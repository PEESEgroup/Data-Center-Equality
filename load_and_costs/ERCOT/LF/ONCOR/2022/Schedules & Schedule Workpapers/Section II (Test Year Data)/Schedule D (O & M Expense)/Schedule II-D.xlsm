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vbaProject.bin" ContentType="application/vnd.ms-office.vbaProject"/>
  <Default Extension="bin" ContentType="application/vnd.openxmlformats-officedocument.spreadsheetml.printerSettings"/>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calcChain.xml" ContentType="application/vnd.openxmlformats-officedocument.spreadsheetml.calcChain+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4" Type="http://schemas.openxmlformats.org/officeDocument/2006/relationships/custom-properties" Target="docProps/custom.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Section II (Test Year Data)\Schedule D (O &amp; M Expense)\"/>
    </mc:Choice>
  </mc:AlternateContent>
  <bookViews>
    <workbookView xWindow="0" yWindow="30" windowWidth="6345" windowHeight="8115" tabRatio="918" firstSheet="1" activeTab="1"/>
  </bookViews>
  <sheets>
    <sheet name="Link Sheet" sheetId="138" r:id="rId3"/>
    <sheet name="II-D-1" sheetId="21" r:id="rId4"/>
    <sheet name="II-D-1a" sheetId="136" r:id="rId5"/>
    <sheet name="II-D-1.1" sheetId="82" r:id="rId6"/>
    <sheet name="II-D-2" sheetId="20" r:id="rId7"/>
    <sheet name="II-D-2a" sheetId="137" r:id="rId8"/>
    <sheet name="II-D-2.1" sheetId="96" r:id="rId9"/>
    <sheet name="II-D-2.2.1" sheetId="155" r:id="rId10"/>
    <sheet name="II-D-2.2.2" sheetId="162" r:id="rId11"/>
    <sheet name="II-D-2.2.3" sheetId="95" r:id="rId12"/>
    <sheet name="II-D-2.2a" sheetId="163" r:id="rId13"/>
    <sheet name="II-D-2.3" sheetId="94" r:id="rId14"/>
    <sheet name="II-D-2.4" sheetId="93" r:id="rId15"/>
    <sheet name="II-D-2.4a" sheetId="92" r:id="rId16"/>
    <sheet name="II-D-2.5" sheetId="91" r:id="rId17"/>
    <sheet name="II-D-2.6" sheetId="90" r:id="rId18"/>
    <sheet name="II-D-2.6a" sheetId="89" r:id="rId19"/>
    <sheet name="II-D-2.6b" sheetId="88" r:id="rId20"/>
    <sheet name="II-D-2.6c" sheetId="87" r:id="rId21"/>
    <sheet name="II-D-2.7 Conf." sheetId="179" r:id="rId22"/>
    <sheet name="II-D-2.8" sheetId="85" r:id="rId23"/>
    <sheet name="II-D-2.9" sheetId="84" r:id="rId24"/>
    <sheet name="II-D-2.9a" sheetId="173" r:id="rId25"/>
    <sheet name="II-D-2.9b" sheetId="174" r:id="rId26"/>
    <sheet name="II-D-2.9c" sheetId="175" r:id="rId27"/>
    <sheet name="II-D-2.9 Attachment 1" sheetId="159" r:id="rId28"/>
    <sheet name="II-D-3" sheetId="139" r:id="rId29"/>
    <sheet name="II-D-3.1" sheetId="140" r:id="rId30"/>
    <sheet name="II-D-3.2" sheetId="141" r:id="rId31"/>
    <sheet name="II-D-3.3" sheetId="142" r:id="rId32"/>
    <sheet name="II-D-3.4" sheetId="143" r:id="rId33"/>
    <sheet name="II-D-3.5" sheetId="144" r:id="rId34"/>
    <sheet name="II-D-3.6" sheetId="145" r:id="rId35"/>
    <sheet name="II-D-3.7.1" sheetId="161" r:id="rId36"/>
    <sheet name="II-D-3.7.2" sheetId="152" r:id="rId37"/>
    <sheet name="II-D-3.7.3" sheetId="153" r:id="rId38"/>
    <sheet name="II-D-3.7.3A" sheetId="178" r:id="rId39"/>
    <sheet name="II-D-3.7.4" sheetId="165" r:id="rId40"/>
    <sheet name="II-D-3.7.4a" sheetId="172" r:id="rId41"/>
    <sheet name="II-D-3.7.5" sheetId="164" r:id="rId42"/>
    <sheet name="II-D-3.8.1" sheetId="147" r:id="rId43"/>
    <sheet name="II-D-3.8.2" sheetId="158" r:id="rId44"/>
    <sheet name="II-D-3.8.3" sheetId="157" r:id="rId45"/>
    <sheet name="II-D-3.9.1" sheetId="176" r:id="rId46"/>
    <sheet name="II-D-3.9.2" sheetId="177" r:id="rId47"/>
    <sheet name="II-D-3.9.3" sheetId="148" r:id="rId48"/>
    <sheet name="II-D-3.10" sheetId="149" r:id="rId49"/>
    <sheet name="II-D-3.10 Attachment 1" sheetId="160" r:id="rId50"/>
    <sheet name="II-D-4" sheetId="150" r:id="rId51"/>
  </sheets>
  <externalReferences>
    <externalReference r:id="rId54"/>
    <externalReference r:id="rId55"/>
    <externalReference r:id="rId56"/>
    <externalReference r:id="rId57"/>
    <externalReference r:id="rId58"/>
    <externalReference r:id="rId59"/>
  </externalReferences>
  <definedNames>
    <definedName name="_xlnm.Print_Area" localSheetId="1">'II-D-1'!$A$15:$X$102</definedName>
    <definedName name="_xlnm.Print_Area" localSheetId="3">'II-D-1.1'!$A$14:$U$101</definedName>
    <definedName name="_xlnm.Print_Area" localSheetId="2">'II-D-1a'!$A$16:$H$103</definedName>
    <definedName name="_xlnm.Print_Area" localSheetId="4">'II-D-2'!$A$15:$X$35</definedName>
    <definedName name="_xlnm.Print_Area" localSheetId="6">'II-D-2.1'!$A$15:$U$35</definedName>
    <definedName name="_xlnm.Print_Area" localSheetId="7">'II-D-2.2.1'!$A$10:$L$25</definedName>
    <definedName name="_xlnm.Print_Area" localSheetId="8">'II-D-2.2.2'!$A$10:$L$23</definedName>
    <definedName name="_xlnm.Print_Area" localSheetId="9">'II-D-2.2.3'!$A$10:$N$40</definedName>
    <definedName name="_xlnm.Print_Area" localSheetId="10">'II-D-2.2a'!$A$10:$I$43</definedName>
    <definedName name="_xlnm.Print_Area" localSheetId="11">'II-D-2.3'!$A$10:$X$36</definedName>
    <definedName name="_xlnm.Print_Area" localSheetId="12">'II-D-2.4'!$A$10:$X$26</definedName>
    <definedName name="_xlnm.Print_Area" localSheetId="13">'II-D-2.4a'!$A$10:$X$20</definedName>
    <definedName name="_xlnm.Print_Area" localSheetId="14">'II-D-2.5'!$A$15:$X$42</definedName>
    <definedName name="_xlnm.Print_Area" localSheetId="15">'II-D-2.6'!$E$15:$X$21</definedName>
    <definedName name="_xlnm.Print_Area" localSheetId="16">'II-D-2.6a'!$E$15:$X$48</definedName>
    <definedName name="_xlnm.Print_Area" localSheetId="17">'II-D-2.6b'!$A$15:$X$232</definedName>
    <definedName name="_xlnm.Print_Area" localSheetId="18">'II-D-2.6c'!$A$15:$X$146</definedName>
    <definedName name="_xlnm.Print_Area" localSheetId="19">'II-D-2.7 Conf.'!$A$10:$O$13</definedName>
    <definedName name="_xlnm.Print_Area" localSheetId="20">'II-D-2.8'!$A$9:$G$11</definedName>
    <definedName name="_xlnm.Print_Area" localSheetId="21">'II-D-2.9'!$D$14:$AA$83</definedName>
    <definedName name="_xlnm.Print_Area" localSheetId="25">'II-D-2.9 Attachment 1'!$A$7:$O$21</definedName>
    <definedName name="_xlnm.Print_Area" localSheetId="22">'II-D-2.9a'!$D$14:$AA$86</definedName>
    <definedName name="_xlnm.Print_Area" localSheetId="23">'II-D-2.9b'!$D$14:$AA$91</definedName>
    <definedName name="_xlnm.Print_Area" localSheetId="24">'II-D-2.9c'!$D$14:$AA$85</definedName>
    <definedName name="_xlnm.Print_Area" localSheetId="5">'II-D-2a'!$E$16:$H$34</definedName>
    <definedName name="_xlnm.Print_Area" localSheetId="26">'II-D-3'!$A$15:$X$121</definedName>
    <definedName name="_xlnm.Print_Area" localSheetId="27">'II-D-3.1'!$A$9:$N$39</definedName>
    <definedName name="_xlnm.Print_Area" localSheetId="46">'II-D-3.10'!$D$11:$O$261</definedName>
    <definedName name="_xlnm.Print_Area" localSheetId="47">'II-D-3.10 Attachment 1'!$A$10:$Q$16</definedName>
    <definedName name="_xlnm.Print_Area" localSheetId="28">'II-D-3.2'!$A$10:$H$39,'II-D-3.2'!$A$40:$Z$70,'II-D-3.2'!$A$71:$T$101,'II-D-3.2'!$A$102:$H$162</definedName>
    <definedName name="_xlnm.Print_Area" localSheetId="29">'II-D-3.3'!$A$10:$F$39,'II-D-3.3'!$A$40:$R$69,'II-D-3.3'!$A$70:$N$101,'II-D-3.3'!$A$102:$F$162</definedName>
    <definedName name="_xlnm.Print_Area" localSheetId="30">'II-D-3.4'!$A$10:$G$39,'II-D-3.4'!$A$40:$V$69,'II-D-3.4'!$A$70:$Q$100,'II-D-3.4'!$A$101:$G$162</definedName>
    <definedName name="_xlnm.Print_Area" localSheetId="31">'II-D-3.5'!$A$15:$H$37</definedName>
    <definedName name="_xlnm.Print_Area" localSheetId="32">'II-D-3.6'!$A$10:$G$39,'II-D-3.6'!$A$40:$V$69,'II-D-3.6'!$A$70:$R$100,'II-D-3.6'!$A$101:$G$162</definedName>
    <definedName name="_xlnm.Print_Area" localSheetId="34">'II-D-3.7.2'!$D$11:$O$168</definedName>
    <definedName name="_xlnm.Print_Area" localSheetId="35">'II-D-3.7.3'!$D$11:$O$122</definedName>
    <definedName name="_xlnm.Print_Area" localSheetId="37">'II-D-3.7.4'!$A$12:$O$30</definedName>
    <definedName name="_xlnm.Print_Area" localSheetId="38">'II-D-3.7.4a'!$A$13:$O$58</definedName>
    <definedName name="_xlnm.Print_Area" localSheetId="39">'II-D-3.7.5'!$B$8:$E$36</definedName>
    <definedName name="_xlnm.Print_Area" localSheetId="40">'II-D-3.8.1'!$A$11:$Q$17</definedName>
    <definedName name="_xlnm.Print_Area" localSheetId="41">'II-D-3.8.2'!$A$10:$Q$17</definedName>
    <definedName name="_xlnm.Print_Area" localSheetId="42">'II-D-3.8.3'!$A$11:$O$87</definedName>
    <definedName name="_xlnm.Print_Area" localSheetId="43">'II-D-3.9.1'!$A$11:$B$16</definedName>
    <definedName name="_xlnm.Print_Area" localSheetId="44">'II-D-3.9.2'!$A$10:$Q$17</definedName>
    <definedName name="_xlnm.Print_Area" localSheetId="45">'II-D-3.9.3'!$A$15:$O$74</definedName>
    <definedName name="_xlnm.Print_Area" localSheetId="48">'II-D-4'!$A$15:$W$21</definedName>
    <definedName name="_xlnm.Print_Titles" localSheetId="1">'II-D-1'!$A:$C,'II-D-1'!$9:$14</definedName>
    <definedName name="_xlnm.Print_Titles" localSheetId="3">'II-D-1.1'!$A:$C,'II-D-1.1'!$9:$13</definedName>
    <definedName name="_xlnm.Print_Titles" localSheetId="2">'II-D-1a'!$A:$D,'II-D-1a'!$10:$15</definedName>
    <definedName name="_xlnm.Print_Titles" localSheetId="4">'II-D-2'!$A:$C,'II-D-2'!$9:$14</definedName>
    <definedName name="_xlnm.Print_Titles" localSheetId="6">'II-D-2.1'!$A:$C,'II-D-2.1'!$10:$14</definedName>
    <definedName name="_xlnm.Print_Titles" localSheetId="9">'II-D-2.2.3'!$A:$C</definedName>
    <definedName name="_xlnm.Print_Titles" localSheetId="11">'II-D-2.3'!$A:$D</definedName>
    <definedName name="_xlnm.Print_Titles" localSheetId="12">'II-D-2.4'!$A:$C</definedName>
    <definedName name="_xlnm.Print_Titles" localSheetId="13">'II-D-2.4a'!$A:$C</definedName>
    <definedName name="_xlnm.Print_Titles" localSheetId="14">'II-D-2.5'!$A:$C,'II-D-2.5'!$10:$14</definedName>
    <definedName name="_xlnm.Print_Titles" localSheetId="15">'II-D-2.6'!$A:$D,'II-D-2.6'!$9:$14</definedName>
    <definedName name="_xlnm.Print_Titles" localSheetId="16">'II-D-2.6a'!$A:$D,'II-D-2.6a'!$10:$14</definedName>
    <definedName name="_xlnm.Print_Titles" localSheetId="17">'II-D-2.6b'!$A:$C,'II-D-2.6b'!$10:$14</definedName>
    <definedName name="_xlnm.Print_Titles" localSheetId="18">'II-D-2.6c'!$A:$D,'II-D-2.6c'!$10:$14</definedName>
    <definedName name="_xlnm.Print_Titles" localSheetId="21">'II-D-2.9'!$A:$C,'II-D-2.9'!$10:$13</definedName>
    <definedName name="_xlnm.Print_Titles" localSheetId="22">'II-D-2.9a'!$A:$C,'II-D-2.9a'!$10:$13</definedName>
    <definedName name="_xlnm.Print_Titles" localSheetId="23">'II-D-2.9b'!$A:$C,'II-D-2.9b'!$10:$13</definedName>
    <definedName name="_xlnm.Print_Titles" localSheetId="24">'II-D-2.9c'!$A:$C,'II-D-2.9c'!$10:$13</definedName>
    <definedName name="_xlnm.Print_Titles" localSheetId="5">'II-D-2a'!$A:$D,'II-D-2a'!$10:$15</definedName>
    <definedName name="_xlnm.Print_Titles" localSheetId="26">'II-D-3'!$A:$C,'II-D-3'!$9:$14</definedName>
    <definedName name="_xlnm.Print_Titles" localSheetId="46">'II-D-3.10'!$A:$C</definedName>
    <definedName name="_xlnm.Print_Titles" localSheetId="31">'II-D-3.5'!$A:$B,'II-D-3.5'!$10:$14</definedName>
    <definedName name="_xlnm.Print_Titles" localSheetId="34">'II-D-3.7.2'!$A:$C</definedName>
    <definedName name="_xlnm.Print_Titles" localSheetId="35">'II-D-3.7.3'!$A:$C</definedName>
    <definedName name="_xlnm.Print_Titles" localSheetId="38">'II-D-3.7.4a'!$9:$12</definedName>
    <definedName name="_xlnm.Print_Titles" localSheetId="42">'II-D-3.8.3'!$13:$17</definedName>
    <definedName name="_xlnm.Print_Titles" localSheetId="45">'II-D-3.9.3'!$10:$14</definedName>
    <definedName name="_xlnm.Print_Titles" localSheetId="48">'II-D-4'!$A:$C,'II-D-4'!$9:$14</definedName>
  </definedNames>
  <calcPr calcId="152511"/>
  <fileRecoveryPr autoRecover="0"/>
</workbook>
</file>

<file path=xl/calcChain.xml><?xml version="1.0" encoding="utf-8"?>
<calcChain xmlns="http://schemas.openxmlformats.org/spreadsheetml/2006/main">
  <c r="T84" i="138" l="1"/>
</calcChain>
</file>

<file path=xl/sharedStrings.xml><?xml version="1.0" encoding="utf-8"?>
<sst xmlns="http://schemas.openxmlformats.org/spreadsheetml/2006/main" count="5822" uniqueCount="1071">
  <si>
    <t>Performance Enhancement Plan (PEP)</t>
  </si>
  <si>
    <t>Executive Annual Incentive Program (EAIP)</t>
  </si>
  <si>
    <t>General Assets (actives)</t>
  </si>
  <si>
    <t>Vision through UnitedHealthcare</t>
  </si>
  <si>
    <t>Legislative Advocacy</t>
  </si>
  <si>
    <t>II-D-4</t>
  </si>
  <si>
    <t>Number of Employees</t>
  </si>
  <si>
    <t>II-D-2.4</t>
  </si>
  <si>
    <t>II-D-2.4a</t>
  </si>
  <si>
    <t>II-D-2.5</t>
  </si>
  <si>
    <t>II-D-2.6</t>
  </si>
  <si>
    <t>II-D-2.6b</t>
  </si>
  <si>
    <t>II-D-2.6c</t>
  </si>
  <si>
    <t>Bad Debt Expense</t>
  </si>
  <si>
    <t>Deferred</t>
  </si>
  <si>
    <t>Incentives &amp;</t>
  </si>
  <si>
    <t>Bonuses</t>
  </si>
  <si>
    <t>Salary Deferral Plan</t>
  </si>
  <si>
    <t>March</t>
  </si>
  <si>
    <t>April</t>
  </si>
  <si>
    <t>May</t>
  </si>
  <si>
    <t>June</t>
  </si>
  <si>
    <t>Changes</t>
  </si>
  <si>
    <t>(r)</t>
  </si>
  <si>
    <t>(s)</t>
  </si>
  <si>
    <t>TOTAL O&amp;M AND A&amp;G EXPENSE</t>
  </si>
  <si>
    <t>A932</t>
  </si>
  <si>
    <t>TOTAL O&amp;M EXPENSE (Lines 24+55+65+75+85)</t>
  </si>
  <si>
    <t>Employee Pensions and Benefits</t>
  </si>
  <si>
    <t>General Advertising Expenses</t>
  </si>
  <si>
    <t>September</t>
  </si>
  <si>
    <t>Advertising, Contributions, and Dues Summary</t>
  </si>
  <si>
    <t>Advertising</t>
  </si>
  <si>
    <t>Contributions/Donations</t>
  </si>
  <si>
    <t>Organizational Memberships &amp; Dues</t>
  </si>
  <si>
    <t>Distribution Expense</t>
  </si>
  <si>
    <t>TOTAL SALES EXPENSE</t>
  </si>
  <si>
    <t>TOTAL A&amp;G EXPENSE</t>
  </si>
  <si>
    <t>TOTAL O&amp;M &amp; A&amp;G EXPENSE</t>
  </si>
  <si>
    <t>TOTAL O&amp;M EXP. EXCL. FUEL &amp; PUR. POWER</t>
  </si>
  <si>
    <t>Test Year</t>
  </si>
  <si>
    <t>II-D-1</t>
  </si>
  <si>
    <t>II-D-2</t>
  </si>
  <si>
    <t>II-D-1-2</t>
  </si>
  <si>
    <t>(a)</t>
  </si>
  <si>
    <t>(b)</t>
  </si>
  <si>
    <t>3rd Month Subsequent</t>
  </si>
  <si>
    <t>Regulated T&amp;D</t>
  </si>
  <si>
    <t>T &amp; D</t>
  </si>
  <si>
    <t>Non-Regulated /</t>
  </si>
  <si>
    <t>Social/Recreational/Religious</t>
  </si>
  <si>
    <t>Political</t>
  </si>
  <si>
    <t>TOTAL EXCLUSIONS FROM REPORTING PERIOD</t>
  </si>
  <si>
    <t>Allocation</t>
  </si>
  <si>
    <t>Subtotal (560-567)</t>
  </si>
  <si>
    <t>Subtotal (568-573)</t>
  </si>
  <si>
    <t>Subtotal (580-589)</t>
  </si>
  <si>
    <t>Subtotal (590-598)</t>
  </si>
  <si>
    <t>TOTAL CUSTOMER ACCOUNTING EXPENSES</t>
  </si>
  <si>
    <t>TOTAL CUSTOMER SERVICE &amp; INFORMATION EXPENSE</t>
  </si>
  <si>
    <t>Customer Service &amp; Information Expense</t>
  </si>
  <si>
    <t>Adjustments</t>
  </si>
  <si>
    <t>Employee Assistance Program</t>
  </si>
  <si>
    <t>Other</t>
  </si>
  <si>
    <t>Month</t>
  </si>
  <si>
    <t>Regular</t>
  </si>
  <si>
    <t>Overtime</t>
  </si>
  <si>
    <t>Compensation</t>
  </si>
  <si>
    <t>(u)</t>
  </si>
  <si>
    <t>Total Test Year</t>
  </si>
  <si>
    <t>Union</t>
  </si>
  <si>
    <t>TOTAL ADMINISTRATIVE &amp; GENERAL EXPENSE</t>
  </si>
  <si>
    <t>TOTAL O&amp;M EXPENSE EXCLUDING FUEL &amp; PUR. POWER</t>
  </si>
  <si>
    <t>TOTAL ADMINISTRATIVE &amp; GENERAL ADJUSTMENTS</t>
  </si>
  <si>
    <t>(c)</t>
  </si>
  <si>
    <t>(d)</t>
  </si>
  <si>
    <t>(e)</t>
  </si>
  <si>
    <t>(f)</t>
  </si>
  <si>
    <t>(g)</t>
  </si>
  <si>
    <t>(h)</t>
  </si>
  <si>
    <t>(i)</t>
  </si>
  <si>
    <t>(j)</t>
  </si>
  <si>
    <t>(k)</t>
  </si>
  <si>
    <t>(l)</t>
  </si>
  <si>
    <t>(m)</t>
  </si>
  <si>
    <t>(n)</t>
  </si>
  <si>
    <t>(o)</t>
  </si>
  <si>
    <t>Line</t>
  </si>
  <si>
    <t>x</t>
  </si>
  <si>
    <t>No</t>
  </si>
  <si>
    <t>Capitalized Advertising Expense</t>
  </si>
  <si>
    <t>Total Capitalized Advertising Expense</t>
  </si>
  <si>
    <t>TOTAL TRANSMISSION EXPENSE (Line 12 + 22)</t>
  </si>
  <si>
    <t>TOTAL DISTRIBUTION EXPENSE (Line 40 + 53)</t>
  </si>
  <si>
    <t>TOTAL CUSTOMER ACCOUNTING EXPENSE</t>
  </si>
  <si>
    <t>A45X</t>
  </si>
  <si>
    <t>Non-Electric</t>
  </si>
  <si>
    <t>Pay Cycles</t>
  </si>
  <si>
    <t xml:space="preserve">Overtime is paid as required by the Fair Labor Standards Act.  Shift related overtime is paid according to the particular shift that </t>
  </si>
  <si>
    <t>Jan</t>
  </si>
  <si>
    <t>Feb</t>
  </si>
  <si>
    <t>Mar</t>
  </si>
  <si>
    <t>Apr</t>
  </si>
  <si>
    <t>Jun</t>
  </si>
  <si>
    <t>Jul</t>
  </si>
  <si>
    <t>Aug</t>
  </si>
  <si>
    <t>Sep</t>
  </si>
  <si>
    <t>Oct</t>
  </si>
  <si>
    <t>Nov</t>
  </si>
  <si>
    <t>Dec</t>
  </si>
  <si>
    <t>Misc Revenues</t>
  </si>
  <si>
    <t>Actual Write Offs</t>
  </si>
  <si>
    <t>Time Reporting</t>
  </si>
  <si>
    <t>Merit Pay Increases</t>
  </si>
  <si>
    <t>Overtime Pay</t>
  </si>
  <si>
    <t>Incentive Pay</t>
  </si>
  <si>
    <t>Severance Pay</t>
  </si>
  <si>
    <t>II-E-4.2</t>
  </si>
  <si>
    <t>Customer Accounts Expense</t>
  </si>
  <si>
    <t>Miscellaneous Accounts Receivable:</t>
  </si>
  <si>
    <t>aging of outstanding Miscellaneous Accounts Receivable.  Each aged category</t>
  </si>
  <si>
    <t>No.</t>
  </si>
  <si>
    <t>TOTAL O&amp;M and ADJUSTMENTS (Lines 24+55+65+75+85)</t>
  </si>
  <si>
    <t>TOTAL TRANSMISSION EXPENSE (Line 12+22)</t>
  </si>
  <si>
    <t>TOTAL DISTRIBUTION EXPENSE (Line 40+53)</t>
  </si>
  <si>
    <t>TOTAL PAYROLL EXCLUDING A&amp;G (Lines 24+55+65+75+85)</t>
  </si>
  <si>
    <t>TDCS</t>
  </si>
  <si>
    <t>Regulatory Commission Expenses</t>
  </si>
  <si>
    <t>(q)</t>
  </si>
  <si>
    <t>Contribution and Donation Expense</t>
  </si>
  <si>
    <t>Membership Dues Expense</t>
  </si>
  <si>
    <t>Industry Organization Dues</t>
  </si>
  <si>
    <t>Business / Economic Dues</t>
  </si>
  <si>
    <t>Industry Organization</t>
  </si>
  <si>
    <t>Business/Economic</t>
  </si>
  <si>
    <t>Professional</t>
  </si>
  <si>
    <t>(t)</t>
  </si>
  <si>
    <t>Less:  Organizational Membership &amp; Dues</t>
  </si>
  <si>
    <t>Miscellaneous Transmission Expenses</t>
  </si>
  <si>
    <t>Maintenance Supervision and Engineering</t>
  </si>
  <si>
    <t>Maintenance of Structures</t>
  </si>
  <si>
    <t>Maintenance of Miscellaneous Transmission Plant</t>
  </si>
  <si>
    <t>Street Lighting and Signal System Expenses</t>
  </si>
  <si>
    <t>Customer Installation Expenses</t>
  </si>
  <si>
    <t>Meter Expenses</t>
  </si>
  <si>
    <t>Load Dispatching</t>
  </si>
  <si>
    <t>Miscellaneous Distribution Expenses</t>
  </si>
  <si>
    <t>A593</t>
  </si>
  <si>
    <t>A594</t>
  </si>
  <si>
    <t>Maintenance of Line Transformers</t>
  </si>
  <si>
    <t>Maintenance of Street Lighting and Signal Systems</t>
  </si>
  <si>
    <t>Maintenance of Meters</t>
  </si>
  <si>
    <t>Maintenance of Miscellaneous Distribution Plant</t>
  </si>
  <si>
    <t>Miscellaneous General Expenses</t>
  </si>
  <si>
    <t>Maintenance of General Plant</t>
  </si>
  <si>
    <t>A583</t>
  </si>
  <si>
    <t>July</t>
  </si>
  <si>
    <t>August</t>
  </si>
  <si>
    <t>1st Month Subsequent</t>
  </si>
  <si>
    <t>2nd Month Subsequent</t>
  </si>
  <si>
    <t>Injuries and Damages</t>
  </si>
  <si>
    <t>Customer Accounts Expenses</t>
  </si>
  <si>
    <t>Pension Expense</t>
  </si>
  <si>
    <t>PAYXAG</t>
  </si>
  <si>
    <t>Year</t>
  </si>
  <si>
    <t xml:space="preserve">Time reporting for pay purposes is only required for non-exempt employees and is reported on an exception reporting basis.  </t>
  </si>
  <si>
    <t>Meter Reading Expenses</t>
  </si>
  <si>
    <t>A906</t>
  </si>
  <si>
    <t>Non-Union</t>
  </si>
  <si>
    <t>Expensed</t>
  </si>
  <si>
    <t>Capitalized</t>
  </si>
  <si>
    <t>Full Time</t>
  </si>
  <si>
    <t>Part Time</t>
  </si>
  <si>
    <t>Temporary</t>
  </si>
  <si>
    <t>Vacant</t>
  </si>
  <si>
    <t>Other Benefits</t>
  </si>
  <si>
    <t xml:space="preserve">Financial Counseling </t>
  </si>
  <si>
    <t xml:space="preserve">Salary Continuation </t>
  </si>
  <si>
    <t>October</t>
  </si>
  <si>
    <t>November</t>
  </si>
  <si>
    <t>December</t>
  </si>
  <si>
    <t>January</t>
  </si>
  <si>
    <t xml:space="preserve">    provided, the period covered, and the calculation of the monthly/annual</t>
  </si>
  <si>
    <t xml:space="preserve">    administration fee.</t>
  </si>
  <si>
    <t>Known and</t>
  </si>
  <si>
    <t>Measurable</t>
  </si>
  <si>
    <t xml:space="preserve">Most Oncor Electric Delivery employees, both exempt and non-exempt, are paid on a semi-monthly basis such that a half month’s </t>
  </si>
  <si>
    <t>processed in the next applicable payroll after they have been approved.</t>
  </si>
  <si>
    <t>Administrative &amp; General Expenses</t>
  </si>
  <si>
    <t>employee works.</t>
  </si>
  <si>
    <t>TOTAL PAYROLL EXPENSE</t>
  </si>
  <si>
    <t>Energy Conservation Program</t>
  </si>
  <si>
    <t>Survivor's Benefit</t>
  </si>
  <si>
    <t>Also, discuss how the Company monitors this methodology to insure its accuracy.</t>
  </si>
  <si>
    <t>Transmission Maintenance Expense</t>
  </si>
  <si>
    <t>Total Transmission Expense</t>
  </si>
  <si>
    <t>A144</t>
  </si>
  <si>
    <t>Distribution Operation Expense</t>
  </si>
  <si>
    <t>Distribution Maintenance Expense</t>
  </si>
  <si>
    <t>Total Distribution Expense</t>
  </si>
  <si>
    <t>Administrative and General Expenses</t>
  </si>
  <si>
    <t>Total Operation and Maintenance Expense</t>
  </si>
  <si>
    <t>Sheet</t>
  </si>
  <si>
    <t>Penalties and Fines</t>
  </si>
  <si>
    <t>Other Exclusions</t>
  </si>
  <si>
    <t>II-D-2.6a</t>
  </si>
  <si>
    <t>●</t>
  </si>
  <si>
    <t>Economic Development</t>
  </si>
  <si>
    <t>Total Contribution and Donation Expense</t>
  </si>
  <si>
    <t>Description</t>
  </si>
  <si>
    <t>Reference</t>
  </si>
  <si>
    <t xml:space="preserve"> </t>
  </si>
  <si>
    <t>Schedule</t>
  </si>
  <si>
    <t>Account</t>
  </si>
  <si>
    <t xml:space="preserve">Total </t>
  </si>
  <si>
    <t>Non-Regulated or</t>
  </si>
  <si>
    <t>Total</t>
  </si>
  <si>
    <t>FF</t>
  </si>
  <si>
    <t>Factor</t>
  </si>
  <si>
    <t>Company</t>
  </si>
  <si>
    <t>Funct.</t>
  </si>
  <si>
    <t>to</t>
  </si>
  <si>
    <t xml:space="preserve"> Non-Electric</t>
  </si>
  <si>
    <t>Electric</t>
  </si>
  <si>
    <t>Texas</t>
  </si>
  <si>
    <t>#</t>
  </si>
  <si>
    <t>Name</t>
  </si>
  <si>
    <t>Operation</t>
  </si>
  <si>
    <t>Rents</t>
  </si>
  <si>
    <t>Maintenance</t>
  </si>
  <si>
    <t>Transmission Expense</t>
  </si>
  <si>
    <t>A560</t>
  </si>
  <si>
    <t>A561</t>
  </si>
  <si>
    <t>A562</t>
  </si>
  <si>
    <t>A563</t>
  </si>
  <si>
    <t>A564</t>
  </si>
  <si>
    <t>A566</t>
  </si>
  <si>
    <t>A567</t>
  </si>
  <si>
    <t>A568</t>
  </si>
  <si>
    <t>A569</t>
  </si>
  <si>
    <t>A570</t>
  </si>
  <si>
    <t>A571</t>
  </si>
  <si>
    <t>A572</t>
  </si>
  <si>
    <t>A573</t>
  </si>
  <si>
    <t>A581</t>
  </si>
  <si>
    <t>A582</t>
  </si>
  <si>
    <t>A584</t>
  </si>
  <si>
    <t>A586</t>
  </si>
  <si>
    <t>A587</t>
  </si>
  <si>
    <t>A589</t>
  </si>
  <si>
    <t>A580</t>
  </si>
  <si>
    <t>A588</t>
  </si>
  <si>
    <t>A591</t>
  </si>
  <si>
    <t>A592</t>
  </si>
  <si>
    <t>A595</t>
  </si>
  <si>
    <t>(p)</t>
  </si>
  <si>
    <t>A597</t>
  </si>
  <si>
    <t>A590</t>
  </si>
  <si>
    <t>Customer Accounting Expenses</t>
  </si>
  <si>
    <t>A902</t>
  </si>
  <si>
    <t>A901</t>
  </si>
  <si>
    <t>Supervision</t>
  </si>
  <si>
    <t>A904</t>
  </si>
  <si>
    <t>Uncollectible Accounts</t>
  </si>
  <si>
    <t>A905</t>
  </si>
  <si>
    <t>A907</t>
  </si>
  <si>
    <t>A910</t>
  </si>
  <si>
    <t>Sales Expense</t>
  </si>
  <si>
    <t>A911</t>
  </si>
  <si>
    <t>A916</t>
  </si>
  <si>
    <t>Adminstrative &amp; General Expenses</t>
  </si>
  <si>
    <t>A920</t>
  </si>
  <si>
    <t>A921</t>
  </si>
  <si>
    <t>A922</t>
  </si>
  <si>
    <t>A923</t>
  </si>
  <si>
    <t>A924</t>
  </si>
  <si>
    <t>A925</t>
  </si>
  <si>
    <t>A926</t>
  </si>
  <si>
    <t>A928</t>
  </si>
  <si>
    <t>A931</t>
  </si>
  <si>
    <t>A935</t>
  </si>
  <si>
    <t>A585</t>
  </si>
  <si>
    <t>A596</t>
  </si>
  <si>
    <t>MET</t>
  </si>
  <si>
    <t>A565</t>
  </si>
  <si>
    <t>A598</t>
  </si>
  <si>
    <t>A903</t>
  </si>
  <si>
    <t>A912</t>
  </si>
  <si>
    <t>A913</t>
  </si>
  <si>
    <t>A917</t>
  </si>
  <si>
    <t>A930.2</t>
  </si>
  <si>
    <t>A930.1</t>
  </si>
  <si>
    <t xml:space="preserve">Load Dispatching </t>
  </si>
  <si>
    <t xml:space="preserve">Rents </t>
  </si>
  <si>
    <t>TRAN</t>
  </si>
  <si>
    <t>DIST</t>
  </si>
  <si>
    <t>Number</t>
  </si>
  <si>
    <t>Supplemental Retirement Plan</t>
  </si>
  <si>
    <t>February</t>
  </si>
  <si>
    <t xml:space="preserve">Time reporting is not required for exempt employees, although some exempt employees do report time for accounting purposes </t>
  </si>
  <si>
    <t>Safety Awards</t>
  </si>
  <si>
    <t>Sub-Total</t>
  </si>
  <si>
    <t xml:space="preserve">Question 2:    </t>
  </si>
  <si>
    <t xml:space="preserve">Present the Company's methodology for calculating monthly bad debt expense.  </t>
  </si>
  <si>
    <t>Total Expenses Subject to 0.3% Limitation</t>
  </si>
  <si>
    <t>Test of Substantive Rule 25.231(b)(1)(E)</t>
  </si>
  <si>
    <t>Construction Work in Progress - Electric</t>
  </si>
  <si>
    <t>II-D-3</t>
  </si>
  <si>
    <t>Operation and Maintenance Expense by Account</t>
  </si>
  <si>
    <t>O&amp;M Totals</t>
  </si>
  <si>
    <t>Transmission Operation Expense</t>
  </si>
  <si>
    <t>Applicable Test Year Revenue</t>
  </si>
  <si>
    <t>% Limitation</t>
  </si>
  <si>
    <t>Dollar Limitation</t>
  </si>
  <si>
    <t>a</t>
  </si>
  <si>
    <t>b</t>
  </si>
  <si>
    <t>Total Test Year Expense</t>
  </si>
  <si>
    <t>(Over)/Under Limit</t>
  </si>
  <si>
    <t>c = a - b</t>
  </si>
  <si>
    <t>Advertising Expense</t>
  </si>
  <si>
    <t>Eliminations</t>
  </si>
  <si>
    <t>Regulated</t>
  </si>
  <si>
    <t>Adjusted</t>
  </si>
  <si>
    <t>T&amp;D</t>
  </si>
  <si>
    <t>2.  Provide the terms of the lease.</t>
  </si>
  <si>
    <t>3.  Provide the address and the business purpose.</t>
  </si>
  <si>
    <t>A107</t>
  </si>
  <si>
    <t>Known</t>
  </si>
  <si>
    <t>Total Amount</t>
  </si>
  <si>
    <t>Customer Service and Informational Expenses</t>
  </si>
  <si>
    <t>Customer Assistance Expenses</t>
  </si>
  <si>
    <t>A908</t>
  </si>
  <si>
    <t>A909</t>
  </si>
  <si>
    <t>Informational and Instructional Advertising Expenses</t>
  </si>
  <si>
    <t>Miscellaneous Customer Service and Informational Expenses</t>
  </si>
  <si>
    <t>Demonstrating and Selling Expenses</t>
  </si>
  <si>
    <t>Advertising Expenses</t>
  </si>
  <si>
    <t>Miscellaneous Sales Expenses</t>
  </si>
  <si>
    <t>Sales Expenses</t>
  </si>
  <si>
    <t>Administrative and General Salaries</t>
  </si>
  <si>
    <t>Office Supplies and Expenses</t>
  </si>
  <si>
    <t>Admin Expense Transferred - Credit</t>
  </si>
  <si>
    <t>Outside Services Employed</t>
  </si>
  <si>
    <t>Property Insurance</t>
  </si>
  <si>
    <t>Bad Debt reserve allowances are established to recognize an estimate of uncollectible accounts</t>
  </si>
  <si>
    <t>Thrift Plan (401(k))</t>
  </si>
  <si>
    <t>Country Club Memberships</t>
  </si>
  <si>
    <t xml:space="preserve">Severance plan </t>
  </si>
  <si>
    <t>Educational</t>
  </si>
  <si>
    <t>Community Service</t>
  </si>
  <si>
    <t>Eligibility and Method of Funding</t>
  </si>
  <si>
    <t>Plan</t>
  </si>
  <si>
    <t>Eligibility</t>
  </si>
  <si>
    <t>Funding Method</t>
  </si>
  <si>
    <t>Scott &amp; White HMO</t>
  </si>
  <si>
    <t>Vision</t>
  </si>
  <si>
    <t>Life Insurance</t>
  </si>
  <si>
    <t>II-D-2.3</t>
  </si>
  <si>
    <t>Scott and White HMO</t>
  </si>
  <si>
    <t>Retirement Plan</t>
  </si>
  <si>
    <t>TOTAL O&amp;M EXPENSE (Line 24+55+65+75+85)</t>
  </si>
  <si>
    <t>TOTAL CUSTOMER SERVICE &amp; INFORMATION EXPENSES</t>
  </si>
  <si>
    <t>Customer Service &amp; Information Expenses</t>
  </si>
  <si>
    <t>Customer Accounting Expense</t>
  </si>
  <si>
    <t>Question 1:  Discuss the Company's policy for writing off bad debts.</t>
  </si>
  <si>
    <t>reserve has two components:  a reserve against specific credit impaired exposures and a reserve</t>
  </si>
  <si>
    <t>against potential credit losses.</t>
  </si>
  <si>
    <t>The Company no longer creates a provision for bad debt related to sales to Retail Electric</t>
  </si>
  <si>
    <t>is multiplied by a percent estimated to represent the uncollectibility of that category.</t>
  </si>
  <si>
    <t>In addition, accounts that have filed for bankruptcy or otherwise exhibited</t>
  </si>
  <si>
    <t xml:space="preserve">credit unworthiness, are included in the provision.  The amount expensed is </t>
  </si>
  <si>
    <t>each period due to uncertainty that may exist in the ultimate collection of the amounts.  This</t>
  </si>
  <si>
    <t>Providers (REPs), pursuant to Substantive Rule 25.107.</t>
  </si>
  <si>
    <t>Operation Supervision and Engineering</t>
  </si>
  <si>
    <t>Station Expenses</t>
  </si>
  <si>
    <t>Overhead Line Expenses</t>
  </si>
  <si>
    <t>Underground Line Expenses</t>
  </si>
  <si>
    <t>Transmission of Electricity by Others</t>
  </si>
  <si>
    <t>Dental</t>
  </si>
  <si>
    <t>Total TDCS</t>
  </si>
  <si>
    <t>Trust</t>
  </si>
  <si>
    <t>Maintenance of Station Equipment</t>
  </si>
  <si>
    <t>Maintenance of Overhead Lines</t>
  </si>
  <si>
    <t>Maintenance of Underground Lines</t>
  </si>
  <si>
    <t>Appliance Purchase Plan</t>
  </si>
  <si>
    <t>You only</t>
  </si>
  <si>
    <t>You + Spouse</t>
  </si>
  <si>
    <t>You + Children</t>
  </si>
  <si>
    <t>You + Family</t>
  </si>
  <si>
    <t>Additional Health and Welfare Benefits</t>
  </si>
  <si>
    <t>TOTAL O&amp;M &amp; A&amp;G ADJUSTMENTS</t>
  </si>
  <si>
    <t>II-D-2a</t>
  </si>
  <si>
    <t>II-D-1a-2a</t>
  </si>
  <si>
    <t>II-D-1a</t>
  </si>
  <si>
    <t>Professional Dues Description</t>
  </si>
  <si>
    <t>Professional Dues</t>
  </si>
  <si>
    <t>Customer Records and Collection Expenses</t>
  </si>
  <si>
    <t>Miscellaneous Customer Account Expenses</t>
  </si>
  <si>
    <t>2.  Provide a copy of the administration contract that details the services</t>
  </si>
  <si>
    <t>Test</t>
  </si>
  <si>
    <t>Per Book</t>
  </si>
  <si>
    <t>II-D-1a OPERATION AND MAINTENANCE EXPENSE - PRIOR THREE YEARS</t>
  </si>
  <si>
    <t>Contract</t>
  </si>
  <si>
    <t>Labor</t>
  </si>
  <si>
    <t>Pension Cost</t>
  </si>
  <si>
    <t>Benefit Expense - Account 926</t>
  </si>
  <si>
    <t>Non- Operating Deductions - Account 426</t>
  </si>
  <si>
    <t>Capitalized -Accounts 107, 108</t>
  </si>
  <si>
    <t>Purchasing &amp; Stores - Account 163</t>
  </si>
  <si>
    <t>Deferred Pension Regulatory Asset - Account 182</t>
  </si>
  <si>
    <t>Total Recoverable Pension Cost</t>
  </si>
  <si>
    <t>3.  Pension cost, pension expense, and pension funding payments</t>
  </si>
  <si>
    <t>OPEB Cost</t>
  </si>
  <si>
    <t>OPEB Expense</t>
  </si>
  <si>
    <t>Deferred OPEB Regulatory Asset - Account 182</t>
  </si>
  <si>
    <t>Total Recoverable OPEB Cost</t>
  </si>
  <si>
    <t>TOTAL</t>
  </si>
  <si>
    <t>CVS Caremark Pharmacy (Commercial)</t>
  </si>
  <si>
    <t>Silverscript Pharmacy</t>
  </si>
  <si>
    <t>Total Administration Fees</t>
  </si>
  <si>
    <t>Aetna Inc. Claims</t>
  </si>
  <si>
    <t>Blue Cross Blue Shield Medical</t>
  </si>
  <si>
    <t>Total Company Claims</t>
  </si>
  <si>
    <t>Blue Cross Blue Shield Health Claims</t>
  </si>
  <si>
    <t>Caremark Claims</t>
  </si>
  <si>
    <t>Silverscript Insurance Co. Claims</t>
  </si>
  <si>
    <t>Benefits</t>
  </si>
  <si>
    <t>Executive</t>
  </si>
  <si>
    <t>Financial</t>
  </si>
  <si>
    <t>Planning</t>
  </si>
  <si>
    <t>Survivor's</t>
  </si>
  <si>
    <t>Assistance</t>
  </si>
  <si>
    <t>Salary</t>
  </si>
  <si>
    <t>CATEGORY</t>
  </si>
  <si>
    <t>REFERENCE</t>
  </si>
  <si>
    <t>AMOUNT</t>
  </si>
  <si>
    <t>Schedule II-D-3.7.2</t>
  </si>
  <si>
    <t>Schedule II-D-3.7.3</t>
  </si>
  <si>
    <t>Schedule II-D-3.7.4</t>
  </si>
  <si>
    <t>Schedule II-D-3.8</t>
  </si>
  <si>
    <t>Schedule II-D-3.9</t>
  </si>
  <si>
    <t>Schedule II-D-3.10</t>
  </si>
  <si>
    <t>Schedule II-B-14</t>
  </si>
  <si>
    <t>RECONCILIATION TO PER BOOK EXPENSE ACCOUNT 926</t>
  </si>
  <si>
    <t>A926 - Employee Pensions and Benefits</t>
  </si>
  <si>
    <t>Scott &amp; White Premiums</t>
  </si>
  <si>
    <t>Metlife Life</t>
  </si>
  <si>
    <t>Metlife AD&amp;D</t>
  </si>
  <si>
    <t>Metlife LTD</t>
  </si>
  <si>
    <t>Total Company Premiums</t>
  </si>
  <si>
    <t>CHWMEG INC</t>
  </si>
  <si>
    <t>Security</t>
  </si>
  <si>
    <t>GARTNER INC</t>
  </si>
  <si>
    <t>A bad debt expense/provision for bad debt is calculated quarterly based on an</t>
  </si>
  <si>
    <t>reviewed quarterly and adjusted accordingly until it is either paid or written off.</t>
  </si>
  <si>
    <t>EDISON ELECTRIC INSTITUTE</t>
  </si>
  <si>
    <t>ASSOCIATION OF EDISON</t>
  </si>
  <si>
    <t>GULF COAST POWER ASSOCIATION</t>
  </si>
  <si>
    <t>UTILITIES TELECOM COUNCIL</t>
  </si>
  <si>
    <t>CENTER FOR ENERGY WORKFORCE DEVELOPMENT</t>
  </si>
  <si>
    <t>COLLEYVILLE AREA CHAMBER OF COMMERCE</t>
  </si>
  <si>
    <t>FORT WORTH HISPANIC CHAMBER OF COMMERCE</t>
  </si>
  <si>
    <t>FRISCO ROTARY</t>
  </si>
  <si>
    <t>GRAPEVINE CHAMBER OF COMMERCE</t>
  </si>
  <si>
    <t>GREATER BIG SPRING ROTARY CLUB</t>
  </si>
  <si>
    <t>HILLSBORO LIONS CLUB</t>
  </si>
  <si>
    <t>ROCKWALL AREA CHAMBER OF COMMERCE</t>
  </si>
  <si>
    <t>TERRELL ROTARY CLUB</t>
  </si>
  <si>
    <t>THE DALLAS ASSEMBLY</t>
  </si>
  <si>
    <t>THE ROTARY CLUB OF PALESTINE</t>
  </si>
  <si>
    <t>ALLEN FAIRVIEW CHAMBER OF COMMERCE</t>
  </si>
  <si>
    <t>ARLINGTON CHAMBER OF COMMERCE</t>
  </si>
  <si>
    <t>AZLE AREA CHAMBER OF COMMERCE</t>
  </si>
  <si>
    <t>BALCH SPRINGS CHAMBER OF COMMERCE</t>
  </si>
  <si>
    <t>BELLMEAD CHAMBER OF COMMERCE</t>
  </si>
  <si>
    <t>BELTON AREA CHAMBER OF COMMERCE</t>
  </si>
  <si>
    <t>BENBROOK AREA CHAMBER OF COMMERCE</t>
  </si>
  <si>
    <t>BEST SOUTHWEST PARTNERSHIP</t>
  </si>
  <si>
    <t>BIG SPRING AREA CHAMBER OF COMMERCE</t>
  </si>
  <si>
    <t>BRECKENRIDGE CHAMBER OF COMMERCE</t>
  </si>
  <si>
    <t>BURKBURNETT CHAMBER OF COMMERCE</t>
  </si>
  <si>
    <t>CEN TEX AFRICAN AMERICAN CHAMBER</t>
  </si>
  <si>
    <t>CLEBURNE ECONOMIC DEVELOPMENT</t>
  </si>
  <si>
    <t>COLORADO CITY AREA CHAMBER OF COMMERCE</t>
  </si>
  <si>
    <t>COMANCHE CHAMBER OF COMMERCE</t>
  </si>
  <si>
    <t>COMMERCE CHAMBER OF COMMERCE</t>
  </si>
  <si>
    <t>COPPELL CHAMBER OF COMMERCE</t>
  </si>
  <si>
    <t>COPPERAS COVE CHAMBER OF COMMERCE</t>
  </si>
  <si>
    <t>CORSICANA NAVARRO COUNTY CHAMBER</t>
  </si>
  <si>
    <t>CROCKETT AREA CHAMBER OF COMMERCE</t>
  </si>
  <si>
    <t>DALLAS CITIZENS COUNCIL</t>
  </si>
  <si>
    <t>DALLAS ZOOLOGICAL SOCIETY</t>
  </si>
  <si>
    <t>DECATUR CHAMBER OF COMMERCE</t>
  </si>
  <si>
    <t>DELTA COUNTY CHAMBER OF COMMERCE</t>
  </si>
  <si>
    <t>DENISON AREA CHAMBER OF COMMERCE</t>
  </si>
  <si>
    <t>DENTON CHAMBER OF COMMERCE</t>
  </si>
  <si>
    <t>DOWNTOWN DALLAS INC</t>
  </si>
  <si>
    <t>DOWNTOWN FORT WORTH INC</t>
  </si>
  <si>
    <t>DUNCANVILLE CHAMBER OF COMMERCE</t>
  </si>
  <si>
    <t>EASTLAND CHAMBER OF COMMERCE</t>
  </si>
  <si>
    <t>ENNIS CHAMBER OF COMMERCE</t>
  </si>
  <si>
    <t>FAIRFIELD CHAMBER OF COMMERCE</t>
  </si>
  <si>
    <t>FORNEY CHAMBER OF COMMERCE</t>
  </si>
  <si>
    <t>FORT WORTH CHAMBER OF COMMERCE</t>
  </si>
  <si>
    <t>GARLAND CHAMBER OF COMMERCE</t>
  </si>
  <si>
    <t>GRAHAM CHAMBER OF COMMERCE</t>
  </si>
  <si>
    <t>GREATER ANNA CHAMBER OF COMMERCE</t>
  </si>
  <si>
    <t>GREATER DALLAS HISPANIC</t>
  </si>
  <si>
    <t>GREATER HEWITT CHAMBER OF COMMERCE</t>
  </si>
  <si>
    <t>GREATER IRVING LAS COLINAS</t>
  </si>
  <si>
    <t>GREATER KELLER CHAMBER OF COMMERCE</t>
  </si>
  <si>
    <t>GREATER KILLEEN CHAMBER OF COMMERCE</t>
  </si>
  <si>
    <t>GREATER WACO CHAMBER OF COMMERCE</t>
  </si>
  <si>
    <t>GREENVILLE CHAMBER OF COMMERCE</t>
  </si>
  <si>
    <t>HARKER HEIGHTS CHAMBER OF COMMERCE</t>
  </si>
  <si>
    <t>HENRIETTA &amp; CLAY COUNTY</t>
  </si>
  <si>
    <t>HILLSBORO CHAMBER OF COMMERCE</t>
  </si>
  <si>
    <t>HURST EULESS BEDFORD CHAMBER OF COMMERCE</t>
  </si>
  <si>
    <t>IOWA PARK CHAMBER OF COMMERCE</t>
  </si>
  <si>
    <t>JACKSBORO CHAMBER OF COMMERCE</t>
  </si>
  <si>
    <t>KAUFMAN CHAMBER OF COMMERCE</t>
  </si>
  <si>
    <t>KAUFMAN COUNTY LEADERSHIP COUNCIL</t>
  </si>
  <si>
    <t>KEENE CHAMBER OF COMMERCE</t>
  </si>
  <si>
    <t>LAKE CITIES CHAMBER OF COMMERCE</t>
  </si>
  <si>
    <t>LAMAR COUNTY CHAMBER OF COMMERCE</t>
  </si>
  <si>
    <t>LAMESA CHAMBER OF COMMERCE</t>
  </si>
  <si>
    <t>LAVON AREA CHAMBER OF COMMERCE</t>
  </si>
  <si>
    <t>LEON COUNTY ECONOMIC DEVELOPMENT</t>
  </si>
  <si>
    <t>LINDALE AREA CHAMBER OF COMMERCE</t>
  </si>
  <si>
    <t>LUFKIN ANGELINA COUNTY ECONOMIC</t>
  </si>
  <si>
    <t>MANSFIELD AREA CHAMBER OF COMMERCE</t>
  </si>
  <si>
    <t>MCKINNEY CHAMBER OF COMMERCE</t>
  </si>
  <si>
    <t>MESQUITE CHAMBER OF COMMERCE</t>
  </si>
  <si>
    <t>METROCREST CHAMBER OF COMMERCE</t>
  </si>
  <si>
    <t>MEXIA AREA CHAMBER OF COMMERCE</t>
  </si>
  <si>
    <t>MIDLAND HISPANIC CHAMBER OF COMMERCE</t>
  </si>
  <si>
    <t>MIDLOTHIAN CHAMBER OF COMMERCE</t>
  </si>
  <si>
    <t>MOTRAN</t>
  </si>
  <si>
    <t>MURPHY CHAMBER OF COMMERCE</t>
  </si>
  <si>
    <t>NACOGDOCHES ECONOMIC DEVELOPMENT CORP</t>
  </si>
  <si>
    <t>NORTH DALLAS CHAMBER OF COMMERCE</t>
  </si>
  <si>
    <t>NORTH TEXAS LEADERS &amp; EXECUTIVES</t>
  </si>
  <si>
    <t>NORTHEAST LEADERSHIP FORUM</t>
  </si>
  <si>
    <t>NORTHEAST TARRANT CHAMBER OF COMMERCE</t>
  </si>
  <si>
    <t>OAK CLIFF CHAMBER OF COMMERCE</t>
  </si>
  <si>
    <t>ODESSA CHAMBER OF COMMERCE</t>
  </si>
  <si>
    <t>PALESTINE AREA CHAMBER OF COMMERCE</t>
  </si>
  <si>
    <t>PFLUGERVILLE CHAMBER OF COMMERCE</t>
  </si>
  <si>
    <t>PROSPER CHAMBER OF COMMERCE</t>
  </si>
  <si>
    <t>RICHARDSON CHAMBER OF COMMERCE</t>
  </si>
  <si>
    <t>ROTARY CLUB OF PARK CITIES</t>
  </si>
  <si>
    <t>ROUND ROCK CHAMBER OF COMMERCE</t>
  </si>
  <si>
    <t>ROWLETT CHAMBER OF COMMERCE</t>
  </si>
  <si>
    <t>ROYSE CITY CHAMBER OF COMMERCE</t>
  </si>
  <si>
    <t>RUSK CHAMBER OF COMMERCE</t>
  </si>
  <si>
    <t>SACHSE CHAMBER OF COMMERCE</t>
  </si>
  <si>
    <t>SEAGOVILLE CHAMBER OF COMMERCE</t>
  </si>
  <si>
    <t>SHEPPARD MILITARY AFFAIRS COMMITTEE</t>
  </si>
  <si>
    <t>SOUTHEASTERN ELECTRIC EXCHANGE</t>
  </si>
  <si>
    <t>SOUTHLAKE CHAMBER OF COMMERCE</t>
  </si>
  <si>
    <t>STEPHENVILLE CHAMBER OF COMMERCE</t>
  </si>
  <si>
    <t>SUNNYVALE CHAMBER OF COMMERCE</t>
  </si>
  <si>
    <t>TEAGUE CHAMBER OF COMMERCE</t>
  </si>
  <si>
    <t>TERRELL CHAMBER OF COMMERCE</t>
  </si>
  <si>
    <t>TEXAS FOREST COUNTRY PARTNERSHIP</t>
  </si>
  <si>
    <t>THE DALLAS BREAKFAST GROUP</t>
  </si>
  <si>
    <t>THE GREATER ROBINSON CHAMBER OF COMMERCE</t>
  </si>
  <si>
    <t>THE GRIDWISE ALLIANCE INC</t>
  </si>
  <si>
    <t>TROUP CHAMBER OF COMMERCE</t>
  </si>
  <si>
    <t>TYLER AREA CHAMBER OF COMMERCE</t>
  </si>
  <si>
    <t>TYLER ECONOMIC DEVELOPMENT COUNCIL</t>
  </si>
  <si>
    <t>UCA INTERNATIONAL USERS GROUP</t>
  </si>
  <si>
    <t>WACO BUSINESS LEAGUE</t>
  </si>
  <si>
    <t>WAXAHACHIE CHAMBER OF COMMERCE</t>
  </si>
  <si>
    <t>WEATHERFORD CHAMBER OF COMMERCE</t>
  </si>
  <si>
    <t>WILLS POINT CHAMBER OF COMMERCE</t>
  </si>
  <si>
    <t>WYLIE CHAMBER OF COMMERCE</t>
  </si>
  <si>
    <t>PROJECT MANAGEMENT INSTITUTE</t>
  </si>
  <si>
    <t>ASSOCIATION OF ENERGY ENGINEERS</t>
  </si>
  <si>
    <t>DALLAS BAR ASSOCIATION</t>
  </si>
  <si>
    <t>STATE BAR OF WISCONSIN</t>
  </si>
  <si>
    <t>TEXAS BOARD OF PROFESSIONAL ENGINEERS</t>
  </si>
  <si>
    <t>TUESDAY FORUM</t>
  </si>
  <si>
    <t>SAFETEC COMPLIANCE SYSTEMS INC</t>
  </si>
  <si>
    <t>REP</t>
  </si>
  <si>
    <t>Legal Name</t>
  </si>
  <si>
    <t>Default</t>
  </si>
  <si>
    <t>Date</t>
  </si>
  <si>
    <t>Amount</t>
  </si>
  <si>
    <t>TC</t>
  </si>
  <si>
    <t>Deposit</t>
  </si>
  <si>
    <t>Bad</t>
  </si>
  <si>
    <t>Debt</t>
  </si>
  <si>
    <t>METLIFE Claims</t>
  </si>
  <si>
    <t>Metlife</t>
  </si>
  <si>
    <t>BCBS Indemnity with Rx and BCBS Indemnity with Legacy Rx</t>
  </si>
  <si>
    <t>BCBS Indemnity Medical Only</t>
  </si>
  <si>
    <t>This is coverage for retirees and LTD participants who are eligible for Medicare. The option provides coverage for eligible expenses that are not covered or fully paid for by Medicare. Coverage is identical to the BCBS Indemnity option described above, except it does not cover prescription drugs.</t>
  </si>
  <si>
    <t>Under all Medical options, employees and retirees may choose which eligible family members to cover:</t>
  </si>
  <si>
    <t>Employees and retirees have a choice of two dental coverage options administered by Aetna. Both options cover, at different benefit levels, most dental services, including preventive, basic and major care.</t>
  </si>
  <si>
    <t>The vision option covers an annual eye exam plus necessary corrective lenses and frames. In addition, other services and materials are available at discounted rates.</t>
  </si>
  <si>
    <t>Accidental Death and Dismemberment (AD&amp;D) through Metlife</t>
  </si>
  <si>
    <t>Long-Term Disability (LTD) through Metlife</t>
  </si>
  <si>
    <t>Full time employees, part time employees
working more than 20 hours a week</t>
  </si>
  <si>
    <t>General Assets (actives)
Trust (retirees)</t>
  </si>
  <si>
    <t>AD&amp;D</t>
  </si>
  <si>
    <t>Full time employees, part time employees
working more than 20 hours a week;</t>
  </si>
  <si>
    <t>LTD</t>
  </si>
  <si>
    <t>All regular employees who have completed 12 months of service and have obtained the required prior approval may finance all or a portion of the purchase price of approved appliances or equipment, up to a maximum aggregate amount of $2,000, through Company-provided 0% financing for a period up to 24 months.</t>
  </si>
  <si>
    <t>Educational Expense Reimbursement Plan</t>
  </si>
  <si>
    <t>Oncor provides financial assistance to Eligible Employees who voluntarily enroll in and successfully complete educational activities that are eligible per the terms of the Program that relate directly to the business of Oncor and the employee’s current or anticipated future position within Oncor. Upon satisfactory completion of approved eligible educational activities per the terms of the Program, Oncor will reimburse 100% of eligible expenses as defined by the Program, up to a maximum reimbursement of $10,000 per calendar year.</t>
  </si>
  <si>
    <t>In the event of an active employee’s death or that of an employee’s spouse, surviving family members can access free financial counseling services. This counseling is provided to employees by AYCO, an independent company. AYCO counselors work on a fee-only basis (which is paid by Oncor) and do not sell commission products. During the session with an AYCO counselor, surviving family members can get comprehensive financial planning advice and help in answering time-sensitive questions, such as what pension, savings and medical plan elections need to be made, or what it may take for surviving family members to maintain their current standard of living.</t>
  </si>
  <si>
    <t>All regular employees and part-time employees regularly scheduled to work at least twenty (20) hours per week are eligible for coverage under the salary continuation program. Eligibility begins on the first day of employment. Salary continuation begins on the date the employee is unable to perform the essential job duties of his or her occupation with or without reasonable accommodations due to illness or injury, and may continue until the earlier of: (i) the date that the employee is released by a physician to perform the essential job duties of his or her occupation with or without reasonable accommodations; or (ii) six (6) months following the date that salary continuation began.</t>
  </si>
  <si>
    <t>The Oncor Severance Plan (the “Severance Plan”) was established to provide certain benefits to employees of the Company, not covered by a collective bargaining agreement, who meet the eligibility criteria and submit a completed, signed, and dated Agreement and Release to the Company’s Human Resources department within the time specified by the Company.</t>
  </si>
  <si>
    <t>Severance Plan for Employees Covered under the Labor Agreement between Oncor and Local Union No. 69 of the IBEW</t>
  </si>
  <si>
    <t>This severance plan covers employees who are represented by Local Union 69 who meet the eligibility criteria and submit a completed, signed and dated Agreement and Release to the Company’s Human Resources department within the time specified by the Company.</t>
  </si>
  <si>
    <t>Survivor’s Benefit</t>
  </si>
  <si>
    <t>In the event of the death of a regular employee, the Company will pay a Survivor's Benefit that is equal to one month of the employee's base salary. The Survivor's Benefit, payable to the group life insurance beneficiary, is made in addition to other benefits such as life insurance and retirement plan death benefits.</t>
  </si>
  <si>
    <t>Commuter Benefits</t>
  </si>
  <si>
    <t>Oncor offers subsidies for Car Pooling and mass transit expenses for certain locations including DART, the T (Bus/Rail) and DCTA (Bus/Rail). Oncor also provides a pretax parking program in some locations.</t>
  </si>
  <si>
    <t>Oncor promotes safety by offering special awards for adhering to proper safety practices and procedures. Employees receive these awards for having no reportable accidents in 5 year increments starting with 5 years.</t>
  </si>
  <si>
    <t>Service Awards</t>
  </si>
  <si>
    <t>Oncor recognizes employees who have given service to the company. Awards are based on years of service and are awarded in 5 year increments starting with 5 years.</t>
  </si>
  <si>
    <t>Long Term Incentive Plan</t>
  </si>
  <si>
    <t>Financial Planning</t>
  </si>
  <si>
    <t>Split-Dollar Life Insurance Program</t>
  </si>
  <si>
    <t>Provides eligible executives with life insurance in recognition of the contributions of such executives to the company and for the purpose of continuing to maintain a competitive level of benefits. The plan was closed to eligible executives in 2003.</t>
  </si>
  <si>
    <t>Provides Company sponsored memberships in area country clubs to facilitate the conducting of business on behalf of Oncor and are provided for specific executive positions as business necessities.</t>
  </si>
  <si>
    <t>Electric Vehicle Incentive Program</t>
  </si>
  <si>
    <t>Wellness</t>
  </si>
  <si>
    <t xml:space="preserve"> Contributions</t>
  </si>
  <si>
    <t>Claims Paid</t>
  </si>
  <si>
    <t>Premiums Paid</t>
  </si>
  <si>
    <t>Adminstration Fees</t>
  </si>
  <si>
    <t>Pension Regulatory Asset Amortization</t>
  </si>
  <si>
    <t>OPEB Regulatory Asset Amortization</t>
  </si>
  <si>
    <t>Participant Contributions</t>
  </si>
  <si>
    <t>Provider Rebates</t>
  </si>
  <si>
    <t>Supplemental Retirement Trust Earnings</t>
  </si>
  <si>
    <t>Incurred But Not Reported Claims</t>
  </si>
  <si>
    <t>Open Enrollment/Communication Materials</t>
  </si>
  <si>
    <t>Benefit Plan Audit</t>
  </si>
  <si>
    <t>Split Dollar Life Insurance</t>
  </si>
  <si>
    <t>Dental administered by Aetna</t>
  </si>
  <si>
    <t>Fully Insured, Premiums paid from General Assets (actives) and Trust (retirees)</t>
  </si>
  <si>
    <t>Trust (retirees)
General Assets (LTD participants)</t>
  </si>
  <si>
    <t>(B) Traditional Retirement Formula – Benefits for retirement are calculated based on salary and years of service. Payments are made as an annuity to the retiree on a monthly basis. Participants begin payments as early as age 55 with at least 15 years of accredited service. Normal retirement age is 65. Benefits may be paid to a participant's survivor, depending on what retirement benefit is chosen.</t>
  </si>
  <si>
    <t>The Oncor Supplemental Retirement Plan is a non-qualified pension plan. The Oncor Supplemental Retirement Plan was established January 1, 2010 as a combination of two separate spin-off plans from the EFH Second Supplemental Retirement Plan sponsored by Energy Future Holdings Corp. and the Retirement Income Restoration Plan of ENSERCH Corp and participating subsidiaries. The purpose of the plan is to provide benefits for participants in excess of the limitations on contributions and benefits imposed by relevant IRS provisions on qualified defined benefit plans.</t>
  </si>
  <si>
    <t>All regular employees who have completed 12 months of service and have obtained the required approval may finance the purchase and installation of approved energy conservation equipment and/or materials up to a maximum amount of $3,500 through Company-provided 0% financing.</t>
  </si>
  <si>
    <t>Please see Schedule II-B-14 and the supporting documentation and workpapers for this information.</t>
  </si>
  <si>
    <t xml:space="preserve">    expense.  Provide a narrative explanation of all adjustments, including the application of the expense ratios or percentages.  Describe</t>
  </si>
  <si>
    <t xml:space="preserve">    the source(s) of the expense ratios (percentages) and provide the calculations.</t>
  </si>
  <si>
    <t>Thrift Plan</t>
  </si>
  <si>
    <t>401K Match</t>
  </si>
  <si>
    <t>Commuter</t>
  </si>
  <si>
    <t xml:space="preserve">Employee </t>
  </si>
  <si>
    <t xml:space="preserve"> Program</t>
  </si>
  <si>
    <t xml:space="preserve"> Physicals</t>
  </si>
  <si>
    <t xml:space="preserve"> Benefits</t>
  </si>
  <si>
    <t>Health</t>
  </si>
  <si>
    <t>Savings Account</t>
  </si>
  <si>
    <t xml:space="preserve"> Deferral Plan</t>
  </si>
  <si>
    <t xml:space="preserve"> Benefit</t>
  </si>
  <si>
    <t>Education</t>
  </si>
  <si>
    <t>Expense</t>
  </si>
  <si>
    <t xml:space="preserve"> Reimbursement</t>
  </si>
  <si>
    <t xml:space="preserve"> Programs</t>
  </si>
  <si>
    <t>Vendor/Source</t>
  </si>
  <si>
    <t>DART</t>
  </si>
  <si>
    <t>Carpool Reimbursement - Expense Source</t>
  </si>
  <si>
    <t>Commuter Benefits Total</t>
  </si>
  <si>
    <t>Magellan Healthcare</t>
  </si>
  <si>
    <t>Ayco CO LP</t>
  </si>
  <si>
    <t>Executives Physicals</t>
  </si>
  <si>
    <t>Cooper Clinic</t>
  </si>
  <si>
    <t>Personal Edge</t>
  </si>
  <si>
    <t>Executives Physicals Total</t>
  </si>
  <si>
    <t>Post Employment Benefits</t>
  </si>
  <si>
    <t>FAS 112 - Journal Source</t>
  </si>
  <si>
    <t>Health Savings Account Contributions</t>
  </si>
  <si>
    <t>Labor Source</t>
  </si>
  <si>
    <t>Journal Source</t>
  </si>
  <si>
    <t>H S A Contributions Total</t>
  </si>
  <si>
    <t>AP Source</t>
  </si>
  <si>
    <t>Thrift Plan (401K)</t>
  </si>
  <si>
    <t>Wellness Programs</t>
  </si>
  <si>
    <t>Cover Tek INC - Flu Vaccinations</t>
  </si>
  <si>
    <t>Live Well - Labor Source</t>
  </si>
  <si>
    <t>Grand Total</t>
  </si>
  <si>
    <t>Wellness Program Total</t>
  </si>
  <si>
    <t>Lease</t>
  </si>
  <si>
    <t xml:space="preserve">Merit pay increases are normally processed once a year for each pay plan.  Interim period merit pay increases are </t>
  </si>
  <si>
    <t xml:space="preserve">Oncor Electric Delivery employees are covered by and paid severance according to the provisions of the Oncor severance policies.  </t>
  </si>
  <si>
    <t>NEED WORKPAPERS HERE</t>
  </si>
  <si>
    <t>Post</t>
  </si>
  <si>
    <t>Employment</t>
  </si>
  <si>
    <t>2.  Provide a reconciliation between the OPEB cost reflected in the OPEB actuarial report(s) and the Company’s requested OPEB</t>
  </si>
  <si>
    <t>2.  Provide a reconciliation between the pension cost reflected in the pension actuarial report(s) and the Company’s requested pension</t>
  </si>
  <si>
    <t>1.  Provide the Company’s two most recent pension actuarial reports, including the report(s)
relied on for the Company’s requested pension expense.</t>
  </si>
  <si>
    <t>Oncor Retirement Plan</t>
  </si>
  <si>
    <t>Oncor Supplemental Retirement Plan</t>
  </si>
  <si>
    <t>Total Plans</t>
  </si>
  <si>
    <t>5.  Provide a copy of the executed lease agreement.</t>
  </si>
  <si>
    <t>The Company does not factor or sell its Accounts Receivable balances.</t>
  </si>
  <si>
    <t>Pension Funding Payments</t>
  </si>
  <si>
    <t>Total Pension Funding Payments - Account 253</t>
  </si>
  <si>
    <t>OPEB Funding Payments</t>
  </si>
  <si>
    <t>Total OPEB Funding Payments - Account 253</t>
  </si>
  <si>
    <t>4.  Monthly payment.</t>
  </si>
  <si>
    <t xml:space="preserve">The additional information requested in support of the Rate Filing Package schedule is voluminous and confidential and will be made </t>
  </si>
  <si>
    <t xml:space="preserve">available in electronic format in accordance with RFP General Instruction No. 15, only after execution of a certification to be bound by the </t>
  </si>
  <si>
    <t>draft protective order set forth in Section VII of this Rate Filing Package or a protective order issued in this docket.</t>
  </si>
  <si>
    <t>II-D-2a A&amp;&amp;G EXPENSES - PRIOR THREE YEARS</t>
  </si>
  <si>
    <t>Please see WP/II-D ADJUSTMENT/09 for the amount of Pension Expense requested in this filing.  Please see Schedule II-B-14 for</t>
  </si>
  <si>
    <t>the supporting documentation and workpapers the adjustment is based on.</t>
  </si>
  <si>
    <t>Please see WP/II-D ADJUSTMENT/08 for the amount of OPEB Expense requested in this filing.  Please see Schedule II-B-14 for</t>
  </si>
  <si>
    <t>NTU</t>
  </si>
  <si>
    <t>Consol</t>
  </si>
  <si>
    <t>(v)</t>
  </si>
  <si>
    <t>(w)</t>
  </si>
  <si>
    <t>(x)</t>
  </si>
  <si>
    <t>(y)</t>
  </si>
  <si>
    <t>DC</t>
  </si>
  <si>
    <t>TIE</t>
  </si>
  <si>
    <t>NTU TRAN</t>
  </si>
  <si>
    <t>DC TIE</t>
  </si>
  <si>
    <t>Consol TRAN</t>
  </si>
  <si>
    <t>NTU DIST</t>
  </si>
  <si>
    <t>Consol DIST</t>
  </si>
  <si>
    <t>Year 2019</t>
  </si>
  <si>
    <t>Year 2018</t>
  </si>
  <si>
    <t>TME 2019</t>
  </si>
  <si>
    <t>TME 2018</t>
  </si>
  <si>
    <t>Count @ Dec 2019</t>
  </si>
  <si>
    <t>Count @ Dec 2018</t>
  </si>
  <si>
    <t>done on quarterly basis.  A reserve related to Damage Claims is currently updated on a monthly basis.</t>
  </si>
  <si>
    <t xml:space="preserve">At this current time adjustments to the reserve allowance for miscellaneous accounts receivable are </t>
  </si>
  <si>
    <t>on a monthly basis based on historical trends on collection of claims.</t>
  </si>
  <si>
    <t>Amort Reg Asset</t>
  </si>
  <si>
    <t>Pension Expense Allocated to Other Accounts</t>
  </si>
  <si>
    <t>OPEB Expense Allocated to Other Accounts</t>
  </si>
  <si>
    <t>Health &amp; Welfare Expense Allocated to Other Accounts</t>
  </si>
  <si>
    <t>Affordable Care Act Compliance &amp; Fees</t>
  </si>
  <si>
    <t>Connect Your Care</t>
  </si>
  <si>
    <t>Aon Investments USA Inc</t>
  </si>
  <si>
    <t>Aetna</t>
  </si>
  <si>
    <t>Consumer Medical</t>
  </si>
  <si>
    <t>Fidelity Investments Institutional</t>
  </si>
  <si>
    <t>Navigate Wellbeing Solutions</t>
  </si>
  <si>
    <t>MDX Medical Inc</t>
  </si>
  <si>
    <t>ROTARY OF CORSICANA</t>
  </si>
  <si>
    <t>AMAZON CAPITAL SERVICES INC</t>
  </si>
  <si>
    <t>CHARTWELL INC</t>
  </si>
  <si>
    <t>THE WOMENS INTERNATION</t>
  </si>
  <si>
    <t>INSTITUTE OF HAZARD</t>
  </si>
  <si>
    <t>LUFKIN ROTARY CLUB</t>
  </si>
  <si>
    <t>ROGERS WILDLIFE REHABILITATION CENTER</t>
  </si>
  <si>
    <t>ROTARY OF SULPHUR SPRINGS</t>
  </si>
  <si>
    <t>ROTARY SATELLITE CLUB OF PALESTINE</t>
  </si>
  <si>
    <t>TEMPLE ROTARY CLUB</t>
  </si>
  <si>
    <t>THE ROTARY SATELLITE CLUB OF PALESTINE</t>
  </si>
  <si>
    <t>WACO ROTARY CLUB</t>
  </si>
  <si>
    <t>TARRANT REGIONAL TRANSPORTATION COALITON</t>
  </si>
  <si>
    <t>BRIDGEPORT CHAMBER OF COMMERCE</t>
  </si>
  <si>
    <t>CAMERON AREA CHAMBER OF COMMERCE</t>
  </si>
  <si>
    <t>CANTON TEXAS CHAMBER OF COMMERCE</t>
  </si>
  <si>
    <t>EAST PARKER COUNTY CHAMBER OF COMMERCE</t>
  </si>
  <si>
    <t>ENERGYSEC</t>
  </si>
  <si>
    <t>FARMERSVILLE CHAMBER OF COMMERCE</t>
  </si>
  <si>
    <t>GREATER HUBBARD CHAMBER OF COMMERCE</t>
  </si>
  <si>
    <t>GREATER TAYLOR CHAMBER OF COMMERCE</t>
  </si>
  <si>
    <t>GROESBECK CHAMBER OF COMMERCE</t>
  </si>
  <si>
    <t>HISTORIC RED RIVER COUNTY</t>
  </si>
  <si>
    <t>KILLEEN INDUSTRIAL FOUNDATION</t>
  </si>
  <si>
    <t>MINERAL WELLS CHAMBER OF COMMERCE</t>
  </si>
  <si>
    <t>NORTH TEXAS HOME BUILDERS ASSOCIATION</t>
  </si>
  <si>
    <t>PERMIAN BASIN BUILDERS ASSOCIATION</t>
  </si>
  <si>
    <t>PLANO CHAMBER OF COMMERCE</t>
  </si>
  <si>
    <t>SNYDER CHAMBER OF COMMERCE</t>
  </si>
  <si>
    <t>SWEETWATER CHAMBER OF COMMERCE</t>
  </si>
  <si>
    <t>THE COLONY CHAMBER OF COMMERCE INC</t>
  </si>
  <si>
    <t>WHITEHOUSE CHAMBER OF COMMERCE</t>
  </si>
  <si>
    <t>WISE COUNTY CHAMBER OF COMMERCE</t>
  </si>
  <si>
    <t>NORTH AMERICAN TRANSMISSION FORUM INC</t>
  </si>
  <si>
    <t>ELECTRIC RELIABILITY COUNCIL OF TEXAS</t>
  </si>
  <si>
    <t>AMERICAN BENEFITS COUNCIL</t>
  </si>
  <si>
    <t>DALLAS FRIDAY GROUP</t>
  </si>
  <si>
    <t>DEEP EAST TEXAS COUNCIL OF GOVERNMENTS</t>
  </si>
  <si>
    <t>TX DEPT AGRICULTURE</t>
  </si>
  <si>
    <t>DRI INC CHICAGO IL</t>
  </si>
  <si>
    <t>FORT WORTH METROPOLITAN BLACK</t>
  </si>
  <si>
    <t>Vistra Retirement</t>
  </si>
  <si>
    <t>Oncor OPEB Plan</t>
  </si>
  <si>
    <t>Shared Retiree Welfare Plan</t>
  </si>
  <si>
    <t>Total OPEB</t>
  </si>
  <si>
    <t xml:space="preserve">Medical and Prescription Drug Benefits - </t>
  </si>
  <si>
    <t>Health Reimbursement Account (HRA) administered by BlueCross BlueShield of Texas (BCBS)</t>
  </si>
  <si>
    <t>This is a PPO health plan that includes prescription drugs with a separate deductible and out of pocket maximum.   Participants also have access to the BCBS Health Advocates, disease management programs and telehealth services through MDLive.  Each year, the participating employee’s HRA is credited by Oncor to help employees who choose this option pay for eligible health care expenses. Participants can earn additional contributions by participating in certain wellness activities. Unused HRA balances can roll over to the following year but unused amounts are forfeited if employment is terminated except in the case of retirement.  There is a similar HRA option through BCBS available to pre-65 retirees.  Pharmacy benefits are provided by CVS/Caremark.</t>
  </si>
  <si>
    <t>Health Savings Account (HSA) administered by BCBS</t>
  </si>
  <si>
    <t>This is a high deductible health plan that includes prescription drugs. Participants also have access to the BCBS Health Advocates, disease management programs and telehealth services through MDLive.  To help employees pay their share of eligible health care expenses, Oncor contributes pretax money to an HSA. Participants can earn additional contributions by participating in certain wellness activities. Participating employees can also make pretax contributions to an HSA. Unused HSA balances remain in the account from year to year. Employees own their HSA balance and can take it with them when they leave Oncor. In addition to putting pretax money in the HSA to help pay for health care expenses this year, employees can also use the HSA to save for retirement healthcare expenses.  There is a similar HSA option through BCBS available for pre-65 retirees.  Pharmacy benefits are provided by CVS/Caremark.</t>
  </si>
  <si>
    <t>Healthcare services are available only through network providers (except in a medical emergency). Participating employees pay a small deductible and have a co-pay for doctor visits and other covered services. Prescription drug coverage is provided with a separate deductible and out of pocket maximum through CVS Caremark. New participants are not eligible to elect this option and it is only available to those who were enrolled the previous year.  Pharmacy benefits are provided by CVS/Caremark.</t>
  </si>
  <si>
    <t>This is coverage for retirees and LTD participants who are eligible for Medicare. The option provides coverage for certain eligible expenses that are not covered or fully paid by Medicare, including prescription drugs. If the retiree reached age 65 and retired before January 1, 2006, the prescription coverage is under the “Legacy Rx” feature of the plan. There is no deductible and coinsurance applies up to certain limits. If a retiree turned age 65 on or after January 1, 2006, the prescription drug coverage is provided under the “with Rx” feature of the plan, and deductible and coinsurance applies.  Pharmacy benefits are provided by Silverscripts (CVS/Caremark).</t>
  </si>
  <si>
    <t>VIA Benefits</t>
  </si>
  <si>
    <t>This is a private Medicare exchange available to Medicare eligible retirees. It allows retirees to choose a health care plan from the universe of fully insured Medicare supplement and Medicare Advantage plans. Retirees eligible for a company retiree medical subsidy will have that subsidy amount contributed to a Health Reimbursement Account to help them pay for their selected coverage and other health care expenses. Coverage purchased through VIA Benefits is provided through the individual carrier of the policy purchased, and is not part of the Oncor Retiree Welfare Plan.</t>
  </si>
  <si>
    <t>If the covered spouse of an Oncor employee has access to medical coverage through another employer, the employee’s payroll deductions for medical coverage will be increased by $75 per month surcharge.</t>
  </si>
  <si>
    <t xml:space="preserve">If the covered employee and/or spouse use tobacco, there is a tobacco surcharge of $200 per year per person.  </t>
  </si>
  <si>
    <t>If an eligible employee waives medical coverage, they receive $100 a month in an opt out credit</t>
  </si>
  <si>
    <t>If an eligible employee waives dental coverage, they receive $10 a month in an opt out credit</t>
  </si>
  <si>
    <t>Life Insurance through Metlife - Active Employees</t>
  </si>
  <si>
    <t>Employees have company paid basic coverage of 1 times their annual base pay and may select coverage for themselves up to 7 times their annual base pay ($2 million maximum); new coverage in excess of 4 times pay requires evidence of insurability. Coverage for an employee’s spouse is limited to $250,000 and cannot exceed the amount of the employee’s coverage. Coverage for each eligible child in the amount of $10,000, $15,000 or $20,000 is also available.</t>
  </si>
  <si>
    <r>
      <t>Life Insurance through Metlife - Retiree</t>
    </r>
  </si>
  <si>
    <t>Retirees are eligible for one of three different life insurance plans at retirement: Program A (closed group as of June 1, 1988), Program B (for LTD participants who retired prior to January 1, 2002 and did not continue coverage under Program A), and Retiree Life Option. Program A offers up to $20,000 of coverage paid by the company, and two options for supplemental coverage including spouse and child coverage. Program B offers the retiree 1 times pay at the time of retirement. The company pays for the first $10,000 of coverage and any remainder is paid by the retiree. The Retiree Life Option allows the retiree to elect coverage up to the amount of Employee Life Option on the date of retirement, in multiples of 1 to 7 times pay. The company pays for $10,000 of coverage, and the remainder is paid by the retiree. Spouse life coverage is available up to the amount of spouse life coverage that was in effect on the date of retirement and cannot exceed the retiree coverage.</t>
  </si>
  <si>
    <t xml:space="preserve">Employees have company paid basic AD&amp;D at 2 times base pay and may select coverage for themselves from one to seven times base pay. </t>
  </si>
  <si>
    <t>Dependent coverage is also available.</t>
  </si>
  <si>
    <t>Flexible Spending Accounts (FSA) through Connect Your Care (CYC)</t>
  </si>
  <si>
    <t>Employees enrolled in the HRA medical option can also enroll in a health care flexible spending account.  A dependent care flexible spending account is also available for employees to contribute to.</t>
  </si>
  <si>
    <t>Live Well Incentive Program through Navigate</t>
  </si>
  <si>
    <t>The Live Well Incentive Program is designed to motivate employees to make positive lifestyle choices. The program offers incentives for an annual physical, healthy incentive based on risk factors, live well quarterly surveys and amp it up challenges.  Focus is on physical activity, healthy eating, healthy life-style choices and overall well being.  Incentive amounts vary depending upon completion of items and if employee or spouse submits information.  Employees who successfully complete the activities have the incentives deposited into their HRA/HSA or in some cases added to their paycheck.</t>
  </si>
  <si>
    <t>HRA</t>
  </si>
  <si>
    <t>Full time employees, part time employees
working more than 20 hours a week;
Retirees/LTD that are Non-Medicare eligible</t>
  </si>
  <si>
    <t>HSA</t>
  </si>
  <si>
    <t>Full time employees, part time employees working more than 20 hours a week;
Retirees/LTD that are Non-Medicare eligible</t>
  </si>
  <si>
    <t>Retirees Medicare eligible; LTD participants who are eligible for Medicare</t>
  </si>
  <si>
    <t>Basic - Company paid; Optional - Fully Insured, Premiums paid from General Assets (actives) and Trust (retirees)</t>
  </si>
  <si>
    <t>Basic - Company paid; Optional - Fully Insured, Premiums paid from General Assets (actives)</t>
  </si>
  <si>
    <t>Company paid -  Premiums paid from General Assets (actives)</t>
  </si>
  <si>
    <t>General Assets (actives)
Trust (retirees HRA)</t>
  </si>
  <si>
    <t>Live Well Incentive
Program (Navigate, Cover-tek, Ultimate Health, Fitbit)</t>
  </si>
  <si>
    <t>The Oncor Retirement Plan is a qualified pension plan. The Oncor Retirement Plan was spun off from the EFH Retirement Plan in September of 2012. Oncor became the sponsor of the Oncor Retirement Plan on January 1, 2013. Employees become participants in the plan automatically upon the first day of the month coincident with, or following, completion of 1 year of service and attainment of age 21. The Oncor Retirement Plan (the “Plan”) has two separate benefit formulas – the cash balance formula and the traditional retirement formula. In November 2001, all active employees participating in the TXU Retirement Plan were given an option to stay in the traditional retirement formula or elect to go to the cash balance formula. This was a one-time irrevocable election.</t>
  </si>
  <si>
    <t>The Oncor Thrift Plan is a defined contribution 401(k) plan. The plan was established on January 1, 2015 as a spin-off from the EFH Thrift Plan and the account balances of current and certain former Oncor employees (including accounts of beneficiaries and alternate payees of such current and former employees) were transferred to the plan effective January 1, 2015. The plan is designed to help employees achieve personal financial goals by offering them the opportunity to save for retirement. Employees can choose the amount of base pay they wish to contribute to the plan, up to 75%. Employee contributions can be made with pretax, after-tax or Roth dollars and are made through payroll deductions.  Oncor matches the first six percent of pay an employee contributes, whether with pretax, after-tax or Roth contributions. The Thrift Plan match percentage is determined by the employee's Retirement Plan formula under the Oncor Retirement Plan - employees in the traditional retirement formula receive a 75% match and those in the cash balance retirement formula receive a 100% match.</t>
  </si>
  <si>
    <t>MDx Medical (Sapphire)</t>
  </si>
  <si>
    <t>Available to BCBS members to provide incentives to various Blue Member Reward programs.</t>
  </si>
  <si>
    <t xml:space="preserve">Offered through BCBS, Scott &amp; White and Magellan (EAP).  The programs are offered at no cost to active employees and their spouses. </t>
  </si>
  <si>
    <t>Employee Assistance Program through Magellan</t>
  </si>
  <si>
    <t xml:space="preserve">The EAP (Employee Assistance Program) is a confidential counseling and referral service administered by Magellan that can assist employees and their families to successfully deal with life's challenges. EAP services are available at no cost, as Oncor has prepaid these services. Employees have up to 8 counseling sessions available to them. The EAP can help with things like stress, anxiety, depression, relationship problems, job or work stress, parenting, alcohol and drugs, legal issues, and financial concerns and dependent care issues. </t>
  </si>
  <si>
    <t>The purpose of the Long-Term Incentive Plan is to provide the Company’s executive officers and other select key employees with the opportunity to earn cash-based long-term incentive compensation contingent upon the Company’s or Participant’s attainment of pre-established performance objectives and the Participant’s completion of designated service periods.</t>
  </si>
  <si>
    <t>The purpose of the Salary Deferral Plan is to assist the company in attracting, retaining and motivating executive officers and other key employees, all of whom are essential to the success of Oncor. The employee can defer up to 50% of his base salary; the company matches 100% up to 8%. In addition, employees may defer up to 85% of their Annual Incentive Payment. Certain grade levels and salary levels are necessary to qualify for the Salary Deferral Plan.</t>
  </si>
  <si>
    <t>Oncor recognizes the importance of the health of its senior management team and the vital leadership role they play in directing and operating the Company.  The Executive Physical is offered at no charge.</t>
  </si>
  <si>
    <t>The purpose of the financial planning benefit is to assist the company in attracting, retaining and motivating executive officers who are essential to the success of Oncor.   This service is provided by AYCO and provides executives a long-term financial strategy on such things as benefits/compensation planning, risk management, income tax planning/preparation, investment planning, estate planning and long-term cash flow/retirement planning.</t>
  </si>
  <si>
    <t>The purpose of the PEP Plan is to create a common understanding of company business strategy and objectives, ensure employee awareness and alignment around critical success factors, align pay with performance at the company and individual levels, and to support a culture built on Oncor Core Values. The amount of PEP an individual receives is determined based on the company scorecard performance and the individual’s contributions.</t>
  </si>
  <si>
    <t>The purpose of the EAIP is to assist Oncor in attracting, retaining and motivating executive officers, all of whom are essential to the success of the company. The amount of EAIP awarded is determined by the company scorecard performance and the executive’s contributions to the overall company performance.</t>
  </si>
  <si>
    <t>The purpose of the Electric Vehicle Incentive Program is to encourage Electric Vehicle (EV) ownership or lease as a viable transportation option and, for a limited time, to provide all regular employees who have completed twelve (12) months of service with additional incentives to become EV early adopters.</t>
  </si>
  <si>
    <t>Schedule II-D-2, Col (g), Ln 9</t>
  </si>
  <si>
    <t>Annual incentive pay is processed once a year with payment on or before March 15th.  Spot bonuses are processed in the</t>
  </si>
  <si>
    <t>next applicable payroll after they have been approved.</t>
  </si>
  <si>
    <t>Test Year 2021</t>
  </si>
  <si>
    <t>Year 2020</t>
  </si>
  <si>
    <t>January 2021</t>
  </si>
  <si>
    <t>February 2021</t>
  </si>
  <si>
    <t>March 2021</t>
  </si>
  <si>
    <t>April 2021</t>
  </si>
  <si>
    <t>May 2021</t>
  </si>
  <si>
    <t>June 2021</t>
  </si>
  <si>
    <t>July 2021</t>
  </si>
  <si>
    <t>August 2021</t>
  </si>
  <si>
    <t>September 2021</t>
  </si>
  <si>
    <t>October 2021</t>
  </si>
  <si>
    <t>November 2021</t>
  </si>
  <si>
    <t>December 2021</t>
  </si>
  <si>
    <t>TME 2020</t>
  </si>
  <si>
    <t>Count @ Dec 2020</t>
  </si>
  <si>
    <t>A930</t>
  </si>
  <si>
    <t>Vehicle Leases</t>
  </si>
  <si>
    <t>ELECTRIC POWER RESEARCH INSTITUTE</t>
  </si>
  <si>
    <t>TEXAS ASSOCIATION OF BUSINESS</t>
  </si>
  <si>
    <t>UTILITY PENSION FUND STUDY GROUP</t>
  </si>
  <si>
    <t>ALLIANCE FOR TRANSPORTATION</t>
  </si>
  <si>
    <t>TYLER AREA BUILDERS ASSOCIATION</t>
  </si>
  <si>
    <t>HEART OF TEXAS BUILDERS ASSN</t>
  </si>
  <si>
    <t>BETTER BUSINESS BUREAU OF</t>
  </si>
  <si>
    <t>TOASTMASTERS INTERNATIONAL</t>
  </si>
  <si>
    <t>SOCIETY OF TEXAS ENVIRONMENTAL</t>
  </si>
  <si>
    <t>BRADY MCCULLOCH COUNTY</t>
  </si>
  <si>
    <t>BROWNWOOD AREA CHAMBER OF COMMERCE</t>
  </si>
  <si>
    <t>CEDAR HILL CHAMBER OF COMMERCE</t>
  </si>
  <si>
    <t>CHICO CHAMBER OF COMMERCE</t>
  </si>
  <si>
    <t>CLEBURNE CHAMBER OF COMMERCE</t>
  </si>
  <si>
    <t>COLLEYVILLE EXECUTIVE ORGANIZATION</t>
  </si>
  <si>
    <t>DESOTO CHAMBER OF COMMERCE</t>
  </si>
  <si>
    <t>DUBLIN CHAMBER OF COMMERCE</t>
  </si>
  <si>
    <t>EARLY CHAMBER OF COMMERCE</t>
  </si>
  <si>
    <t>ELGIN CHAMBER OF COMMERCE</t>
  </si>
  <si>
    <t>ENERGY SECURITY</t>
  </si>
  <si>
    <t>FLOWER MOUND CHAMBER OF COMMERCE</t>
  </si>
  <si>
    <t>FRIENDS OF THE RITER C HULSEY LIBRARY</t>
  </si>
  <si>
    <t>FRISCO CHAMBER OF COMMERCE</t>
  </si>
  <si>
    <t>GAINESVILLE AREA CHAMBER OF COMMERCE</t>
  </si>
  <si>
    <t>GARLAND ECONOMIC DEVELOPMENT PART</t>
  </si>
  <si>
    <t>GRAND PRAIRIE CHAMBER OF COMMERCE</t>
  </si>
  <si>
    <t>GREATER CELINA CHAMBER OF COMMERCE</t>
  </si>
  <si>
    <t>GREATER DALLAS ASIAN AMERICAN</t>
  </si>
  <si>
    <t>GREATER EAST DALLAS CHAMBER OF COMMERCE</t>
  </si>
  <si>
    <t>GREATER ROUND ROCK COMMUNITY FOUNDATION</t>
  </si>
  <si>
    <t>HOPKINS COUNTY CHAMBER OF COMMERCE</t>
  </si>
  <si>
    <t>HUTTO AREA CHAMBER OF COMMERCE</t>
  </si>
  <si>
    <t>MARLIN CHAMBER OF COMMERCE</t>
  </si>
  <si>
    <t>MARTIN COUNTY CHAMBER OF COMMERCE</t>
  </si>
  <si>
    <t>MCGREGOR CHAMBER OF COMMERCE</t>
  </si>
  <si>
    <t>METROPORT CHAMBER OF COMMERCE</t>
  </si>
  <si>
    <t>MIDLAND COMMUNITY THEATRE</t>
  </si>
  <si>
    <t>NACOGDOCHES AREA UNITED WAY</t>
  </si>
  <si>
    <t>POTTSBORO AREA CHAMBER OF COMMERCE INC</t>
  </si>
  <si>
    <t>RED OAK AREA CHAMBER OF COMMERCE</t>
  </si>
  <si>
    <t>ROTARY CLUB OF HURST EULESS BEDFORD</t>
  </si>
  <si>
    <t>SHERMAN CHAMBER OF COMMERCE</t>
  </si>
  <si>
    <t>SPRINGTOWN AREA CHAMBER OF COMMERCE</t>
  </si>
  <si>
    <t>STEDCO</t>
  </si>
  <si>
    <t>TEMPLE CHAMBER OF COMMERCE</t>
  </si>
  <si>
    <t>THE CHAMBER SWEETWATER &amp; NOLAN COUNTY</t>
  </si>
  <si>
    <t>WARD COUNTY LIVESTOCK SHOW</t>
  </si>
  <si>
    <t>WICHITA FALLS CHAMBER</t>
  </si>
  <si>
    <t>TEXAS A&amp;M FOUNDATION</t>
  </si>
  <si>
    <t>DNP USERS GROUP</t>
  </si>
  <si>
    <t>GALLUP, ITL</t>
  </si>
  <si>
    <t>TX BOARD OF NURSING</t>
  </si>
  <si>
    <t>AMER ASSOC NOTARIES</t>
  </si>
  <si>
    <t>ARBOR DAY FOUNDATION</t>
  </si>
  <si>
    <t>ROTARY CLUB OF CORSICANA</t>
  </si>
  <si>
    <t>AMERICAN SOCIETY OF MECHANICAL ENGINEERS</t>
  </si>
  <si>
    <t>AMERICAN SOCIETY OF SA</t>
  </si>
  <si>
    <t>DISASTER RECOVERY INSTITUTE</t>
  </si>
  <si>
    <t>NATIONAL SOCIETY OF BLACK ENGINEERS</t>
  </si>
  <si>
    <t>NNA SERVICES LLC</t>
  </si>
  <si>
    <t>PROJECT MANAGEMENT INSITITUE</t>
  </si>
  <si>
    <t>SOUTHEASTERN ELECTRIC</t>
  </si>
  <si>
    <t>WOMEN'S INTERNATIONAL NETWORK OF UTILITY</t>
  </si>
  <si>
    <t>AMERICAN BARASSOC DUES</t>
  </si>
  <si>
    <t>AMIE INC</t>
  </si>
  <si>
    <t>ATHLETICS GIFTS DONORN</t>
  </si>
  <si>
    <t>CFA INSTITUTE</t>
  </si>
  <si>
    <t>CHRO PARTNERS</t>
  </si>
  <si>
    <t>LEADERSHIP SOUTHWEST</t>
  </si>
  <si>
    <t>LEADERSHIP WOMEN</t>
  </si>
  <si>
    <t>PARALEGAL DIVISION OF</t>
  </si>
  <si>
    <t>ROTARY CLUB OF GRAND PRAIRIE</t>
  </si>
  <si>
    <t>ROTARY CLUB OF MINERAL WELLS</t>
  </si>
  <si>
    <t>ROTARY CLUB OF PALESTINE</t>
  </si>
  <si>
    <t>ROTARY CLUB OF PALESTINE SATELLITE</t>
  </si>
  <si>
    <t>ROTARY CLUB OF WACO</t>
  </si>
  <si>
    <t>SHRM CERTIFICATION</t>
  </si>
  <si>
    <t>SMU COX</t>
  </si>
  <si>
    <t>STATE OF VERMONT</t>
  </si>
  <si>
    <t>TEXAS STATE BOARD OF PUBLIC ACCOUNTANCY</t>
  </si>
  <si>
    <t>THE INST OF INT AUDITO</t>
  </si>
  <si>
    <t>THE PALESTINE ROTARY SATELLITE CLUB</t>
  </si>
  <si>
    <t>THE ROTARY CLUB OF TEMPLE</t>
  </si>
  <si>
    <t>TX DEPT OF INSURANCE</t>
  </si>
  <si>
    <t>TX DPS DL OFFICE</t>
  </si>
  <si>
    <t>VERTAFORE SIRCON</t>
  </si>
  <si>
    <t>ENDEAVOR BUSINESS MEDIA LLC</t>
  </si>
  <si>
    <t>KEEP BIG SPRING BEAUTIFUL INC</t>
  </si>
  <si>
    <t>THE CONFERENCE BOARD INC</t>
  </si>
  <si>
    <t>INDUSTRY COUNCIL ON THE ENVIRONMENT</t>
  </si>
  <si>
    <t>NORTH TEXAS BUSINESS COUNCIL FOR THE ART</t>
  </si>
  <si>
    <t xml:space="preserve">SAMS CLUB </t>
  </si>
  <si>
    <t>TEXAS COMMISSION ON ENVIRONMENTAL QUALITY</t>
  </si>
  <si>
    <t>ALL ENVIRONMENTAL WOMEN</t>
  </si>
  <si>
    <t>HBR SUBSCRIPTION</t>
  </si>
  <si>
    <t>NILE TRANSBOUNDARY ENVIRONMENTAL ACTION PROJECT</t>
  </si>
  <si>
    <t>ODESSA ROTARY CLUB</t>
  </si>
  <si>
    <t>PERMIAN BASIN PETROLEUM ASSOCIATION</t>
  </si>
  <si>
    <t>STEMMONS CORRIDOR BUSINESS ASSOCIATION</t>
  </si>
  <si>
    <t>INSTITUTE OF ELECTRICAL AND ELECTRONICS ENGINEERS</t>
  </si>
  <si>
    <t>NATIONAL SOCIETY OF PROFESSIONAL ENGINEERS</t>
  </si>
  <si>
    <t>AMERICAN SOCIETY OF CIVIL ENGINEERS</t>
  </si>
  <si>
    <t>CONFERENCE &amp; EVENT MANAGEMENT</t>
  </si>
  <si>
    <t xml:space="preserve">GRAMMARLY </t>
  </si>
  <si>
    <t>IEC CONFERENCING SERVICE</t>
  </si>
  <si>
    <t>INFORMATION SYSTEMS AUDIT AND CONTROL ASSOCIATION</t>
  </si>
  <si>
    <t>INTERNATIONAL RIGHT OF WAY ASSOCIATION</t>
  </si>
  <si>
    <t>STATE BAR TX</t>
  </si>
  <si>
    <t>TX REAL ESTATE COMMISSION</t>
  </si>
  <si>
    <t>THE INTERNATIONAL STUDIES ASSOCIATION</t>
  </si>
  <si>
    <t>AMERICAN COUNCIL ON EDUCATION</t>
  </si>
  <si>
    <t>AMERICAN SOCIETY FOR QUALITY</t>
  </si>
  <si>
    <t>AMERICAN TRAFFIC SAFETY SERVICES ASSOCIATION</t>
  </si>
  <si>
    <t>ASSOCIATION OF INTERNATIONAL CERTIFIED PROFESSIONAL ACCOUNTANTS</t>
  </si>
  <si>
    <t>BOARD OF CERTIFIED SAFETY PROFESSIONALS</t>
  </si>
  <si>
    <t>INSTITUTE OF INDUSTRIAL AND SYSTEMS ENGINEERS</t>
  </si>
  <si>
    <t xml:space="preserve">NOTARY SERVICE </t>
  </si>
  <si>
    <t>QUALITY TEXAS FOUNDATION</t>
  </si>
  <si>
    <t>TEXAS BOARD OF LEGAL SPECIALIZATION</t>
  </si>
  <si>
    <t>THE UTILITY SAFETY &amp; OPS LEADERSHIP NETWORK</t>
  </si>
  <si>
    <t>WOMEN'S INTERNATIONAL NETWORK OF UTILITY PROFESSIONALS</t>
  </si>
  <si>
    <t>AMERICAN ASSOCIATION OF EXECUTIVES</t>
  </si>
  <si>
    <t>ASSOCCIAION FOR FINANCIAL PROFESSIONAL</t>
  </si>
  <si>
    <t>ASSOCIATION OF CERTIFIED FRAUD EXAMINERS</t>
  </si>
  <si>
    <t>COMMERCIAL VEHICLE SAFTY</t>
  </si>
  <si>
    <t>DALLAS  ASSOCIATION OF CERTIFIED FRAUD EXAMINERS</t>
  </si>
  <si>
    <t>DALLAS FORT WORTH URBAN FORUM</t>
  </si>
  <si>
    <t>DALLAS REGIONAL CHAMBER</t>
  </si>
  <si>
    <t>DFW ASSOCIATION FOR BUSINESS ECONOMICS</t>
  </si>
  <si>
    <t xml:space="preserve">ETHICS &amp; COMPLIANCE INITIATIVE </t>
  </si>
  <si>
    <t>INTERNATIONAL FOUNDATION OF EMPLOYEE BENEFIT PLANS</t>
  </si>
  <si>
    <t>INTERNATIONAL INFORMATION SYSTEM SECURITY CERTIFICATION</t>
  </si>
  <si>
    <t>INTERNATIONAL WOMEN'S FORUM -DALLAS</t>
  </si>
  <si>
    <t>NATIONAL ASSOCIATION OF CORPORATE DIRECTORS</t>
  </si>
  <si>
    <t>NATIONAL REGISTRY OF EMERGENCY MEDICAL TECHNICIANS</t>
  </si>
  <si>
    <t>OKLAHOMA ACCOUNTANCY</t>
  </si>
  <si>
    <t>PARALEGAL DIVISION OF TEXAS</t>
  </si>
  <si>
    <t>PETROLEUM CLUB OF FORT WORTH</t>
  </si>
  <si>
    <t>SOCIETY FOR HUMAN RESOURCE</t>
  </si>
  <si>
    <t>SOCIETY OF CORPORATE</t>
  </si>
  <si>
    <t>TARRANT COUNTY BAR ASSOCIATION</t>
  </si>
  <si>
    <t>TEXAS BOARD OF PROFESSIONAL GEOSCIENTISTS</t>
  </si>
  <si>
    <t>WORLD AT WORK</t>
  </si>
  <si>
    <t>Trinity Metro</t>
  </si>
  <si>
    <t>Brilliant Energy LLC</t>
  </si>
  <si>
    <t>Entrust Energy</t>
  </si>
  <si>
    <t>GB Power</t>
  </si>
  <si>
    <t>Griddy Energy</t>
  </si>
  <si>
    <t>Iluminar Energy</t>
  </si>
  <si>
    <t>Pogo Energy LLC</t>
  </si>
  <si>
    <t>Power of Texas</t>
  </si>
  <si>
    <t>Regulatory asset amortization from November 27, 2020 through December 31, 2021</t>
  </si>
  <si>
    <t>K&amp;M Adjustment</t>
  </si>
  <si>
    <t>A/R Amount Due (net of credits and unposted payments) 12-31-2021</t>
  </si>
  <si>
    <t>Default Amount</t>
  </si>
  <si>
    <t xml:space="preserve">    Total</t>
  </si>
  <si>
    <t xml:space="preserve">In Docket No. 46957, recovery for the REP default regulatory asset balance of $803,872 at 12-31-2016 reflected a three-year amortization, </t>
  </si>
  <si>
    <t xml:space="preserve">with annual amortization of $267,957 in base rates. Docket No. 46957 rates were effective November 27, 2017.  This regulatory </t>
  </si>
  <si>
    <t>asset of $803,872 was fully amortized and recovered November 26, 2020.</t>
  </si>
  <si>
    <t>WEST TEXAS GIFTS OF HOPE INC</t>
  </si>
  <si>
    <t>MICKEY LELAND</t>
  </si>
  <si>
    <t>DALLAS REGIONAL CHAMBER OF COMMERCE</t>
  </si>
  <si>
    <t>Amarillo Back-up Control Center (Sharyland Acq)</t>
  </si>
  <si>
    <t>Austin Office</t>
  </si>
  <si>
    <t>Corsicana Transmission Service Center</t>
  </si>
  <si>
    <t>Dallas ERC Sublease</t>
  </si>
  <si>
    <t xml:space="preserve">Forney Transmission Service Center </t>
  </si>
  <si>
    <t>Fort Worth 777 Main Corporate Office</t>
  </si>
  <si>
    <t>Fort Worth Measurement Service Office</t>
  </si>
  <si>
    <t>Ft Worth (North) Distribution Service Center</t>
  </si>
  <si>
    <t>Ft Worth ESB Corporate Office</t>
  </si>
  <si>
    <t>Lake Dallas Distribution Service Center</t>
  </si>
  <si>
    <t>Midland Office 702 S. Main</t>
  </si>
  <si>
    <t>Midland Service Center Annex</t>
  </si>
  <si>
    <t>Odessa Distribution Service Center</t>
  </si>
  <si>
    <t>Palestine Transmission Service Center</t>
  </si>
  <si>
    <t>Round Rock Distribution Service Center</t>
  </si>
  <si>
    <t>Stephenville Distribution Service Center</t>
  </si>
  <si>
    <t>Sulphur Springs Transmission Service Center</t>
  </si>
  <si>
    <t>Texoma Transmission Service Center</t>
  </si>
  <si>
    <t>Waco Parking Lot Call Center</t>
  </si>
  <si>
    <t>Waxahachie Distribution Service Center</t>
  </si>
  <si>
    <t>Total Vehicle Leases</t>
  </si>
  <si>
    <t>Total Building Leases</t>
  </si>
  <si>
    <t>Lufkin Transmission Service Center</t>
  </si>
  <si>
    <t>Sulphur Springs Measurement Services Office</t>
  </si>
  <si>
    <t>Dallas Energy Plaza Corporate Storage</t>
  </si>
  <si>
    <t>Grapevine Bus Office</t>
  </si>
  <si>
    <t>Sharyland Midland Business Office</t>
  </si>
  <si>
    <t xml:space="preserve">salary is paid on the 15th and the last day of the month unless that date falls on a weekend or a bank holiday.  Those payments are moved forward </t>
  </si>
  <si>
    <t>to the closest workday.  Bargaining unit employees are paid on a bi-weekly basis.</t>
  </si>
  <si>
    <t>only. Time is submitted via electronic time and attendance systems directly by employees which then routes for manager approval.</t>
  </si>
  <si>
    <t>1.  Provide the Company’s two most recent OPEB actuarial reports, 
     including the report(s) relied on for the Company’s requested OPEB expense.</t>
  </si>
  <si>
    <t>BCBS Indemnity &amp; Legacy Rx</t>
  </si>
  <si>
    <t>BCBS Indemnity Only</t>
  </si>
  <si>
    <t>Full time employees, part time employees
working more than 20 hours a week; retirees</t>
  </si>
  <si>
    <t>(A) Cash Balance Formula – Eligible employees hired after January 1, 2001 are automatically enrolled in the plan under the cash balance formula. Benefits are calculated based on age and service. Interest credits are applied based on the 30 year treasury rate. Participants become fully vested upon reaching three years of vesting service. Benefits are available either as a single lump sum payment or as a monthly annuity. Unlike a traditional pension plan, earned benefits are portable, meaning that after 3 years of participation in the plan, participants can receive the value of their cash balance account before retirement age upon separation from the Company.</t>
  </si>
  <si>
    <t>A separate calculation based on total outstanding Damage Claims is updated</t>
  </si>
  <si>
    <t xml:space="preserve">The information requested in support of the Rate Filing Package schedule is voluminous and confidential and will be made </t>
  </si>
  <si>
    <t>Adjustments Including Nuclear Decommission Charge (pass through)</t>
  </si>
  <si>
    <t>January 2022</t>
  </si>
  <si>
    <t>February 2022</t>
  </si>
  <si>
    <t>March 2022</t>
  </si>
  <si>
    <t xml:space="preserve">Company pays full cost of LTD for eligible employees.  The coverage can replace up to 66 2/3% of base up to a maximum of $25,000 a month.  </t>
  </si>
  <si>
    <t>Consumer Medical is available to BCBS members and provides access to expert medical opinion assistance.  They help members understand their medical condition and treatment options, recommend doctors and hospitals, and assist with obtaining second opinions.</t>
  </si>
  <si>
    <t>Executive Physical Program</t>
  </si>
  <si>
    <t>Tobacco Cessation Programs</t>
  </si>
  <si>
    <t>TOTAL PAYROLL EXPENSE (Line 88+105)</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</si>
</sst>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00_);_(* \(#,##0.000000\);_(* &quot;-&quot;??_);_(@_)"/>
    <numFmt numFmtId="167" formatCode="_(* #,##0.000_);_(* \(#,##0.000\);_(* &quot;-&quot;??_);_(@_)"/>
    <numFmt numFmtId="168" formatCode="mm/dd/yyyy"/>
    <numFmt numFmtId="169" formatCode="0.0"/>
    <numFmt numFmtId="170" formatCode="0.0000000%"/>
    <numFmt numFmtId="171" formatCode="0.000000%"/>
    <numFmt numFmtId="172" formatCode="\£\ #,##0_);[Red]\(\£\ #,##0\)"/>
    <numFmt numFmtId="173" formatCode="\¥\ #,##0_);[Red]\(\¥\ #,##0\)"/>
    <numFmt numFmtId="174" formatCode="\•\ \ @"/>
    <numFmt numFmtId="175" formatCode="#,##0,_);[Red]\(#,##0,\)"/>
    <numFmt numFmtId="176" formatCode="\ \ _•\–\ \ \ \ @"/>
    <numFmt numFmtId="177" formatCode="0.000000000%"/>
    <numFmt numFmtId="178" formatCode="0.00000000%"/>
    <numFmt numFmtId="179" formatCode="0.00_)"/>
    <numFmt numFmtId="180" formatCode="[Blue]#,##0,_);[Red]\(#,##0,\)"/>
    <numFmt numFmtId="181" formatCode="_(* #,##0.00000_);_(* \(#,##0.00000\);_(* &quot;-&quot;??_);_(@_)"/>
  </numFmts>
  <fonts count="54">
    <font>
      <sz val="10"/>
      <name val="Arial"/>
      <family val="2"/>
    </font>
    <font>
      <sz val="10"/>
      <color theme="1"/>
      <name val="Arial"/>
      <family val="2"/>
    </font>
    <font>
      <sz val="11"/>
      <color theme="1"/>
      <name val="Calibri"/>
      <family val="2"/>
      <scheme val="minor"/>
    </font>
    <font>
      <b/>
      <sz val="10"/>
      <name val="Arial"/>
      <family val="2"/>
    </font>
    <font>
      <sz val="8"/>
      <name val="Arial"/>
      <family val="2"/>
    </font>
    <font>
      <u val="single"/>
      <sz val="10"/>
      <name val="Arial"/>
      <family val="2"/>
    </font>
    <font>
      <b/>
      <u val="single"/>
      <sz val="10"/>
      <name val="Arial"/>
      <family val="2"/>
    </font>
    <font>
      <u val="single"/>
      <sz val="10"/>
      <color indexed="12"/>
      <name val="Arial"/>
      <family val="2"/>
    </font>
    <font>
      <b/>
      <u val="singleAccounting"/>
      <sz val="10"/>
      <name val="Arial"/>
      <family val="2"/>
    </font>
    <font>
      <b/>
      <sz val="12"/>
      <name val="Arial"/>
      <family val="2"/>
    </font>
    <font>
      <b/>
      <sz val="14"/>
      <color indexed="9"/>
      <name val="Arial"/>
      <family val="2"/>
    </font>
    <font>
      <b/>
      <sz val="14"/>
      <name val="Arial"/>
      <family val="2"/>
    </font>
    <font>
      <sz val="10"/>
      <color indexed="9"/>
      <name val="Arial"/>
      <family val="2"/>
    </font>
    <font>
      <sz val="12"/>
      <name val="Arial"/>
      <family val="2"/>
    </font>
    <font>
      <sz val="10"/>
      <color indexed="10"/>
      <name val="Arial"/>
      <family val="2"/>
    </font>
    <font>
      <b/>
      <sz val="10"/>
      <color indexed="10"/>
      <name val="Arial"/>
      <family val="2"/>
    </font>
    <font>
      <sz val="10"/>
      <color indexed="8"/>
      <name val="Arial"/>
      <family val="2"/>
    </font>
    <font>
      <b/>
      <sz val="11"/>
      <color indexed="8"/>
      <name val="Calibri"/>
      <family val="1"/>
      <charset val="204"/>
    </font>
    <font>
      <sz val="11"/>
      <name val="Arial"/>
      <family val="2"/>
    </font>
    <font>
      <b/>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Unicode MS"/>
      <family val="2"/>
    </font>
    <font>
      <sz val="10"/>
      <name val="Times New Roman"/>
      <family val="1"/>
    </font>
    <font>
      <sz val="12"/>
      <name val="Times New Roman"/>
      <family val="1"/>
    </font>
    <font>
      <sz val="10"/>
      <color indexed="12"/>
      <name val="Tahoma"/>
      <family val="2"/>
    </font>
    <font>
      <b/>
      <sz val="12"/>
      <name val="Times New Roman"/>
      <family val="1"/>
    </font>
    <font>
      <sz val="11"/>
      <color indexed="8"/>
      <name val="Calibri"/>
      <family val="2"/>
    </font>
    <font>
      <sz val="10"/>
      <name val="BERNHARD"/>
      <family val="2"/>
    </font>
    <font>
      <sz val="10"/>
      <name val="Helv"/>
      <family val="2"/>
    </font>
    <font>
      <sz val="1"/>
      <color indexed="8"/>
      <name val="Courier"/>
      <family val="3"/>
    </font>
    <font>
      <b/>
      <sz val="1"/>
      <color indexed="8"/>
      <name val="Courier"/>
      <family val="3"/>
    </font>
    <font>
      <sz val="11"/>
      <name val="Times New Roman"/>
      <family val="1"/>
    </font>
    <font>
      <b/>
      <i/>
      <sz val="16"/>
      <name val="Helv"/>
      <family val="2"/>
    </font>
    <font>
      <sz val="10"/>
      <color indexed="62"/>
      <name val="Arial"/>
      <family val="2"/>
    </font>
    <font>
      <sz val="8"/>
      <color indexed="12"/>
      <name val="Arial"/>
      <family val="2"/>
    </font>
    <font>
      <b/>
      <sz val="10"/>
      <name val="Times New Roman"/>
      <family val="1"/>
    </font>
    <font>
      <sz val="10"/>
      <name val="MS Sans Serif"/>
      <family val="2"/>
    </font>
    <font>
      <b/>
      <sz val="10"/>
      <name val="MS Sans Serif"/>
      <family val="2"/>
    </font>
    <font>
      <sz val="11"/>
      <name val="Calibri"/>
      <family val="2"/>
      <scheme val="minor"/>
    </font>
    <font>
      <b/>
      <sz val="8"/>
      <name val="Arial"/>
      <family val="2"/>
    </font>
  </fonts>
  <fills count="39">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2F2F2"/>
        <bgColor indexed="64"/>
      </patternFill>
    </fill>
    <fill>
      <patternFill patternType="solid">
        <fgColor rgb="FFA5A5A5"/>
        <bgColor indexed="64"/>
      </patternFill>
    </fill>
    <fill>
      <patternFill patternType="solid">
        <fgColor theme="4"/>
        <bgColor indexed="64"/>
      </patternFill>
    </fill>
    <fill>
      <patternFill patternType="solid">
        <fgColor theme="4" tint="0.79998"/>
        <bgColor indexed="64"/>
      </patternFill>
    </fill>
    <fill>
      <patternFill patternType="solid">
        <fgColor theme="4" tint="0.59999"/>
        <bgColor indexed="64"/>
      </patternFill>
    </fill>
    <fill>
      <patternFill patternType="solid">
        <fgColor theme="4" tint="0.39998"/>
        <bgColor indexed="64"/>
      </patternFill>
    </fill>
    <fill>
      <patternFill patternType="solid">
        <fgColor theme="5"/>
        <bgColor indexed="64"/>
      </patternFill>
    </fill>
    <fill>
      <patternFill patternType="solid">
        <fgColor theme="5" tint="0.79998"/>
        <bgColor indexed="64"/>
      </patternFill>
    </fill>
    <fill>
      <patternFill patternType="solid">
        <fgColor theme="5" tint="0.59999"/>
        <bgColor indexed="64"/>
      </patternFill>
    </fill>
    <fill>
      <patternFill patternType="solid">
        <fgColor theme="5" tint="0.39998"/>
        <bgColor indexed="64"/>
      </patternFill>
    </fill>
    <fill>
      <patternFill patternType="solid">
        <fgColor theme="6"/>
        <bgColor indexed="64"/>
      </patternFill>
    </fill>
    <fill>
      <patternFill patternType="solid">
        <fgColor theme="6" tint="0.79998"/>
        <bgColor indexed="64"/>
      </patternFill>
    </fill>
    <fill>
      <patternFill patternType="solid">
        <fgColor theme="6" tint="0.59999"/>
        <bgColor indexed="64"/>
      </patternFill>
    </fill>
    <fill>
      <patternFill patternType="solid">
        <fgColor theme="6" tint="0.39998"/>
        <bgColor indexed="64"/>
      </patternFill>
    </fill>
    <fill>
      <patternFill patternType="solid">
        <fgColor theme="7"/>
        <bgColor indexed="64"/>
      </patternFill>
    </fill>
    <fill>
      <patternFill patternType="solid">
        <fgColor theme="7" tint="0.79998"/>
        <bgColor indexed="64"/>
      </patternFill>
    </fill>
    <fill>
      <patternFill patternType="solid">
        <fgColor theme="7" tint="0.59999"/>
        <bgColor indexed="64"/>
      </patternFill>
    </fill>
    <fill>
      <patternFill patternType="solid">
        <fgColor theme="7" tint="0.39998"/>
        <bgColor indexed="64"/>
      </patternFill>
    </fill>
    <fill>
      <patternFill patternType="solid">
        <fgColor theme="8"/>
        <bgColor indexed="64"/>
      </patternFill>
    </fill>
    <fill>
      <patternFill patternType="solid">
        <fgColor theme="8" tint="0.79998"/>
        <bgColor indexed="64"/>
      </patternFill>
    </fill>
    <fill>
      <patternFill patternType="solid">
        <fgColor theme="8" tint="0.59999"/>
        <bgColor indexed="64"/>
      </patternFill>
    </fill>
    <fill>
      <patternFill patternType="solid">
        <fgColor theme="8" tint="0.39998"/>
        <bgColor indexed="64"/>
      </patternFill>
    </fill>
    <fill>
      <patternFill patternType="solid">
        <fgColor theme="9"/>
        <bgColor indexed="64"/>
      </patternFill>
    </fill>
    <fill>
      <patternFill patternType="solid">
        <fgColor theme="9" tint="0.79998"/>
        <bgColor indexed="64"/>
      </patternFill>
    </fill>
    <fill>
      <patternFill patternType="solid">
        <fgColor theme="9" tint="0.59999"/>
        <bgColor indexed="64"/>
      </patternFill>
    </fill>
    <fill>
      <patternFill patternType="solid">
        <fgColor theme="9" tint="0.39998"/>
        <bgColor indexed="64"/>
      </patternFill>
    </fill>
    <fill>
      <patternFill patternType="solid">
        <fgColor indexed="44"/>
        <bgColor indexed="64"/>
      </patternFill>
    </fill>
    <fill>
      <patternFill patternType="solid">
        <fgColor indexed="42"/>
        <bgColor indexed="64"/>
      </patternFill>
    </fill>
    <fill>
      <patternFill patternType="solid">
        <fgColor indexed="41"/>
        <bgColor indexed="64"/>
      </patternFill>
    </fill>
    <fill>
      <patternFill patternType="mediumGray">
        <fgColor indexed="22"/>
      </patternFill>
    </fill>
    <fill>
      <patternFill patternType="solid">
        <fgColor rgb="FFFFFF00"/>
        <bgColor indexed="64"/>
      </patternFill>
    </fill>
    <fill>
      <patternFill patternType="solid">
        <fgColor rgb="FF00B0F0"/>
        <bgColor indexed="64"/>
      </patternFill>
    </fill>
    <fill>
      <patternFill patternType="solid">
        <fgColor indexed="10"/>
        <bgColor indexed="64"/>
      </patternFill>
    </fill>
    <fill>
      <patternFill patternType="solid">
        <fgColor indexed="13"/>
        <bgColor indexed="64"/>
      </patternFill>
    </fill>
  </fills>
  <borders count="41">
    <border>
      <left/>
      <right/>
      <top/>
      <bottom/>
      <diagonal/>
    </border>
    <border>
      <left/>
      <right/>
      <top/>
      <bottom style="thick">
        <color theme="4"/>
      </bottom>
    </border>
    <border>
      <left/>
      <right/>
      <top/>
      <bottom style="thick">
        <color theme="4" tint="0.49998"/>
      </bottom>
    </border>
    <border>
      <left/>
      <right/>
      <top/>
      <bottom style="medium">
        <color theme="4" tint="0.39998"/>
      </bottom>
    </border>
    <border>
      <left style="thin">
        <color rgb="FF3F3F3F"/>
      </left>
      <right style="thin">
        <color rgb="FF3F3F3F"/>
      </right>
      <top style="thin">
        <color rgb="FF3F3F3F"/>
      </top>
      <bottom style="thin">
        <color rgb="FF3F3F3F"/>
      </bottom>
    </border>
    <border>
      <left style="thin">
        <color rgb="FF7F7F7F"/>
      </left>
      <right style="thin">
        <color rgb="FF7F7F7F"/>
      </right>
      <top style="thin">
        <color rgb="FF7F7F7F"/>
      </top>
      <bottom style="thin">
        <color rgb="FF7F7F7F"/>
      </bottom>
    </border>
    <border>
      <left/>
      <right/>
      <top/>
      <bottom style="double">
        <color rgb="FFFF8001"/>
      </bottom>
    </border>
    <border>
      <left style="double">
        <color rgb="FF3F3F3F"/>
      </left>
      <right style="double">
        <color rgb="FF3F3F3F"/>
      </right>
      <top style="double">
        <color rgb="FF3F3F3F"/>
      </top>
      <bottom style="double">
        <color rgb="FF3F3F3F"/>
      </bottom>
    </border>
    <border>
      <left/>
      <right/>
      <top style="thin">
        <color theme="4"/>
      </top>
      <bottom style="double">
        <color theme="4"/>
      </bottom>
    </border>
    <border>
      <left/>
      <right/>
      <top/>
      <bottom style="thin">
        <color auto="1"/>
      </bottom>
    </border>
    <border>
      <left/>
      <right/>
      <top/>
      <bottom style="medium">
        <color indexed="45"/>
      </bottom>
    </border>
    <border>
      <left style="thin">
        <color auto="1"/>
      </left>
      <right style="thin">
        <color auto="1"/>
      </right>
      <top/>
      <bottom/>
    </border>
    <border>
      <left/>
      <right/>
      <top/>
      <bottom style="thin">
        <color indexed="45"/>
      </bottom>
    </border>
    <border>
      <left/>
      <right/>
      <top style="medium">
        <color indexed="45"/>
      </top>
      <bottom/>
    </border>
    <border>
      <left/>
      <right/>
      <top/>
      <bottom style="double">
        <color indexed="45"/>
      </bottom>
    </border>
    <border>
      <left/>
      <right/>
      <top/>
      <bottom style="medium">
        <color auto="1"/>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right/>
      <top style="medium">
        <color auto="1"/>
      </top>
      <bottom/>
    </border>
    <border>
      <left style="medium">
        <color auto="1"/>
      </left>
      <right/>
      <top style="medium">
        <color auto="1"/>
      </top>
      <bottom/>
    </border>
    <border>
      <left/>
      <right style="medium">
        <color auto="1"/>
      </right>
      <top style="medium">
        <color auto="1"/>
      </top>
      <bottom/>
    </border>
    <border>
      <left/>
      <right style="medium">
        <color auto="1"/>
      </right>
      <top/>
      <bottom/>
    </border>
    <border>
      <left style="medium">
        <color auto="1"/>
      </left>
      <right/>
      <top/>
      <bottom/>
    </border>
    <border>
      <left style="medium">
        <color auto="1"/>
      </left>
      <right/>
      <top/>
      <bottom style="medium">
        <color auto="1"/>
      </bottom>
    </border>
    <border>
      <left/>
      <right style="medium">
        <color auto="1"/>
      </right>
      <top/>
      <bottom style="medium">
        <color auto="1"/>
      </bottom>
    </border>
    <border>
      <left/>
      <right/>
      <top style="thin">
        <color auto="1"/>
      </top>
      <bottom/>
    </border>
    <border>
      <left/>
      <right/>
      <top style="thin">
        <color auto="1"/>
      </top>
      <bottom style="thin">
        <color auto="1"/>
      </bottom>
    </border>
    <border>
      <left/>
      <right/>
      <top/>
      <bottom style="double">
        <color auto="1"/>
      </bottom>
    </border>
    <border>
      <left/>
      <right/>
      <top style="thin">
        <color auto="1"/>
      </top>
      <bottom style="double">
        <color auto="1"/>
      </bottom>
    </border>
    <border>
      <left style="thin">
        <color auto="1"/>
      </left>
      <right/>
      <top/>
      <bottom style="thin">
        <color auto="1"/>
      </bottom>
    </border>
    <border>
      <left/>
      <right style="thin">
        <color auto="1"/>
      </right>
      <top/>
      <bottom style="thin">
        <color auto="1"/>
      </bottom>
    </border>
    <border>
      <left style="thin">
        <color auto="1"/>
      </left>
      <right/>
      <top/>
      <bottom/>
    </border>
    <border>
      <left/>
      <right style="thin">
        <color auto="1"/>
      </right>
      <top/>
      <bottom/>
    </border>
    <border>
      <left style="thin">
        <color auto="1"/>
      </left>
      <right/>
      <top style="thin">
        <color auto="1"/>
      </top>
      <bottom style="thin">
        <color auto="1"/>
      </bottom>
    </border>
    <border>
      <left/>
      <right style="thin">
        <color auto="1"/>
      </right>
      <top style="thin">
        <color auto="1"/>
      </top>
      <bottom style="thin">
        <color auto="1"/>
      </bottom>
    </border>
    <border>
      <left style="medium">
        <color auto="1"/>
      </left>
      <right/>
      <top style="thin">
        <color auto="1"/>
      </top>
      <bottom style="thin">
        <color auto="1"/>
      </bottom>
    </border>
    <border>
      <left/>
      <right style="medium">
        <color auto="1"/>
      </right>
      <top style="thin">
        <color auto="1"/>
      </top>
      <bottom style="thin">
        <color auto="1"/>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s>
  <cellStyleXfs count="29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1" fillId="0" borderId="0" applyFont="0" applyFill="0" applyBorder="0" applyAlignment="0" applyProtection="0"/>
    <xf numFmtId="43" fontId="0" fillId="0" borderId="0" applyFont="0" applyFill="0" applyBorder="0" applyAlignment="0" applyProtection="0"/>
    <xf numFmtId="41" fontId="1" fillId="0" borderId="0" applyFont="0" applyFill="0" applyBorder="0" applyAlignment="0" applyProtection="0"/>
    <xf numFmtId="0" fontId="7" fillId="0" borderId="0" applyNumberFormat="0" applyFill="0" applyBorder="0">
      <alignment/>
      <protection locked="0"/>
    </xf>
    <xf numFmtId="0" fontId="0" fillId="0" borderId="0">
      <alignment/>
      <protection/>
    </xf>
    <xf numFmtId="0" fontId="2" fillId="0" borderId="0">
      <alignment/>
      <protection/>
    </xf>
    <xf numFmtId="0" fontId="1" fillId="0" borderId="0">
      <alignment/>
      <protection/>
    </xf>
    <xf numFmtId="9" fontId="1" fillId="0" borderId="0" applyFont="0" applyFill="0" applyBorder="0" applyAlignment="0" applyProtection="0"/>
    <xf numFmtId="43" fontId="1" fillId="0" borderId="0" applyFont="0" applyFill="0" applyBorder="0" applyAlignment="0" applyProtection="0"/>
    <xf numFmtId="0" fontId="20" fillId="0" borderId="0" applyNumberFormat="0" applyFill="0" applyBorder="0" applyAlignment="0" applyProtection="0"/>
    <xf numFmtId="0" fontId="21" fillId="0" borderId="1" applyNumberFormat="0" applyFill="0" applyAlignment="0" applyProtection="0"/>
    <xf numFmtId="0" fontId="22" fillId="0" borderId="2" applyNumberFormat="0" applyFill="0" applyAlignment="0" applyProtection="0"/>
    <xf numFmtId="0" fontId="23" fillId="0" borderId="3" applyNumberFormat="0" applyFill="0" applyAlignment="0" applyProtection="0"/>
    <xf numFmtId="0" fontId="23" fillId="0" borderId="0" applyNumberFormat="0" applyFill="0" applyBorder="0" applyAlignment="0" applyProtection="0"/>
    <xf numFmtId="0" fontId="24" fillId="2" borderId="0" applyNumberFormat="0" applyBorder="0" applyAlignment="0" applyProtection="0"/>
    <xf numFmtId="0" fontId="25" fillId="3" borderId="0" applyNumberFormat="0" applyBorder="0" applyAlignment="0" applyProtection="0"/>
    <xf numFmtId="0" fontId="26" fillId="4" borderId="0" applyNumberFormat="0" applyBorder="0" applyAlignment="0" applyProtection="0"/>
    <xf numFmtId="0" fontId="27" fillId="5" borderId="4" applyNumberFormat="0" applyAlignment="0" applyProtection="0"/>
    <xf numFmtId="0" fontId="28" fillId="5" borderId="5" applyNumberFormat="0" applyAlignment="0" applyProtection="0"/>
    <xf numFmtId="0" fontId="29" fillId="0" borderId="6" applyNumberFormat="0" applyFill="0" applyAlignment="0" applyProtection="0"/>
    <xf numFmtId="0" fontId="30" fillId="6" borderId="7" applyNumberFormat="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3" fillId="0" borderId="8" applyNumberFormat="0" applyFill="0" applyAlignment="0" applyProtection="0"/>
    <xf numFmtId="0" fontId="34"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34" fillId="10" borderId="0" applyNumberFormat="0" applyBorder="0" applyAlignment="0" applyProtection="0"/>
    <xf numFmtId="0" fontId="3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34" fillId="30" borderId="0" applyNumberFormat="0" applyBorder="0" applyAlignment="0" applyProtection="0"/>
    <xf numFmtId="0" fontId="35" fillId="0" borderId="0">
      <alignment/>
      <protection/>
    </xf>
    <xf numFmtId="169" fontId="0" fillId="0" borderId="0">
      <alignment horizontal="left" wrapText="1"/>
      <protection/>
    </xf>
    <xf numFmtId="0" fontId="37" fillId="31" borderId="0" applyNumberFormat="0" applyFont="0" applyBorder="0" applyAlignment="0">
      <protection locked="0"/>
    </xf>
    <xf numFmtId="0" fontId="36" fillId="0" borderId="0">
      <alignment vertical="top"/>
      <protection/>
    </xf>
    <xf numFmtId="0" fontId="2" fillId="8" borderId="0" applyNumberFormat="0" applyBorder="0" applyAlignment="0" applyProtection="0"/>
    <xf numFmtId="0" fontId="2" fillId="9"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0" borderId="0">
      <alignment/>
      <protection/>
    </xf>
    <xf numFmtId="0" fontId="35" fillId="0" borderId="0">
      <alignment/>
      <protection/>
    </xf>
    <xf numFmtId="41" fontId="0" fillId="0" borderId="0" applyFont="0" applyFill="0" applyBorder="0" applyAlignment="0" applyProtection="0"/>
    <xf numFmtId="43" fontId="2" fillId="0" borderId="0" applyFont="0" applyFill="0" applyBorder="0" applyAlignment="0" applyProtection="0"/>
    <xf numFmtId="0" fontId="0" fillId="0" borderId="0">
      <alignment/>
      <protection/>
    </xf>
    <xf numFmtId="0" fontId="2" fillId="0" borderId="0">
      <alignment/>
      <protection/>
    </xf>
    <xf numFmtId="0" fontId="2" fillId="0" borderId="0">
      <alignment/>
      <protection/>
    </xf>
    <xf numFmtId="43" fontId="2" fillId="0" borderId="0" applyFont="0" applyFill="0" applyBorder="0" applyAlignment="0" applyProtection="0"/>
    <xf numFmtId="41" fontId="2" fillId="0" borderId="0" applyFont="0" applyFill="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0" fillId="0" borderId="0">
      <alignment/>
      <protection/>
    </xf>
    <xf numFmtId="43" fontId="0" fillId="0" borderId="0" applyFont="0" applyFill="0" applyBorder="0" applyAlignment="0" applyProtection="0"/>
    <xf numFmtId="44" fontId="0" fillId="0" borderId="0" applyFont="0" applyFill="0" applyBorder="0" applyAlignment="0" applyProtection="0"/>
    <xf numFmtId="0" fontId="37" fillId="31" borderId="0" applyNumberFormat="0" applyFont="0" applyBorder="0" applyAlignment="0">
      <protection locked="0"/>
    </xf>
    <xf numFmtId="9" fontId="0" fillId="0" borderId="0" applyFont="0" applyFill="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0" borderId="0">
      <alignment/>
      <protection/>
    </xf>
    <xf numFmtId="41" fontId="0" fillId="0" borderId="0" applyFont="0" applyFill="0" applyBorder="0" applyAlignment="0" applyProtection="0"/>
    <xf numFmtId="43" fontId="2" fillId="0" borderId="0" applyFont="0" applyFill="0" applyBorder="0" applyAlignment="0" applyProtection="0"/>
    <xf numFmtId="0" fontId="2" fillId="0" borderId="0">
      <alignment/>
      <protection/>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0" fontId="2" fillId="0" borderId="0">
      <alignment/>
      <protection/>
    </xf>
    <xf numFmtId="43" fontId="2" fillId="0" borderId="0" applyFont="0" applyFill="0" applyBorder="0" applyAlignment="0" applyProtection="0"/>
    <xf numFmtId="43" fontId="0" fillId="0" borderId="0" applyFont="0" applyFill="0" applyBorder="0" applyAlignment="0" applyProtection="0"/>
    <xf numFmtId="172" fontId="37" fillId="0" borderId="0" applyFont="0" applyFill="0" applyBorder="0" applyAlignment="0" applyProtection="0"/>
    <xf numFmtId="173" fontId="37" fillId="0" borderId="0" applyFont="0" applyFill="0" applyBorder="0" applyAlignment="0" applyProtection="0"/>
    <xf numFmtId="0" fontId="38" fillId="0" borderId="0" applyNumberFormat="0" applyFill="0" applyBorder="0" applyAlignment="0">
      <protection locked="0"/>
    </xf>
    <xf numFmtId="0" fontId="39" fillId="0" borderId="9" applyNumberFormat="0" applyFill="0" applyAlignment="0" applyProtection="0"/>
    <xf numFmtId="174" fontId="37" fillId="0" borderId="0" applyFont="0" applyFill="0" applyBorder="0" applyAlignment="0" applyProtection="0"/>
    <xf numFmtId="0" fontId="0" fillId="0" borderId="0">
      <alignment/>
      <protection/>
    </xf>
    <xf numFmtId="43" fontId="0" fillId="0" borderId="0" applyFont="0" applyFill="0" applyBorder="0" applyAlignment="0" applyProtection="0"/>
    <xf numFmtId="43" fontId="40" fillId="0" borderId="0" applyFont="0" applyFill="0" applyBorder="0" applyAlignment="0" applyProtection="0"/>
    <xf numFmtId="43" fontId="36" fillId="0" borderId="0" applyFont="0" applyFill="0" applyBorder="0" applyAlignment="0" applyProtection="0"/>
    <xf numFmtId="0" fontId="2" fillId="0" borderId="0">
      <alignment/>
      <protection/>
    </xf>
    <xf numFmtId="0" fontId="41" fillId="0" borderId="0">
      <alignment/>
      <protection/>
    </xf>
    <xf numFmtId="0" fontId="42" fillId="0" borderId="0">
      <alignment/>
      <protection/>
    </xf>
    <xf numFmtId="0" fontId="41" fillId="0" borderId="0">
      <alignment/>
      <protection/>
    </xf>
    <xf numFmtId="0" fontId="42" fillId="0" borderId="0">
      <alignment/>
      <protection/>
    </xf>
    <xf numFmtId="175" fontId="0" fillId="0" borderId="0" applyFont="0" applyFill="0" applyBorder="0" applyAlignment="0" applyProtection="0"/>
    <xf numFmtId="43" fontId="2" fillId="0" borderId="0" applyFont="0" applyFill="0" applyBorder="0" applyAlignment="0" applyProtection="0"/>
    <xf numFmtId="7" fontId="0" fillId="0" borderId="0" applyFont="0" applyFill="0" applyBorder="0" applyAlignment="0" applyProtection="0"/>
    <xf numFmtId="44" fontId="0" fillId="0" borderId="0" applyFont="0" applyFill="0" applyBorder="0" applyAlignment="0" applyProtection="0"/>
    <xf numFmtId="7" fontId="0" fillId="0" borderId="0" applyFont="0" applyFill="0" applyBorder="0" applyAlignment="0" applyProtection="0"/>
    <xf numFmtId="176" fontId="37" fillId="0" borderId="0" applyFont="0" applyFill="0" applyBorder="0" applyAlignment="0" applyProtection="0"/>
    <xf numFmtId="0" fontId="43" fillId="0" borderId="0">
      <alignment/>
      <protection locked="0"/>
    </xf>
    <xf numFmtId="0" fontId="44" fillId="0" borderId="0">
      <alignment/>
      <protection locked="0"/>
    </xf>
    <xf numFmtId="0" fontId="44" fillId="0" borderId="0">
      <alignment/>
      <protection locked="0"/>
    </xf>
    <xf numFmtId="0" fontId="43" fillId="0" borderId="0">
      <alignment/>
      <protection locked="0"/>
    </xf>
    <xf numFmtId="0" fontId="43" fillId="0" borderId="0">
      <alignment/>
      <protection locked="0"/>
    </xf>
    <xf numFmtId="0" fontId="43" fillId="0" borderId="0">
      <alignment/>
      <protection locked="0"/>
    </xf>
    <xf numFmtId="0" fontId="43" fillId="0" borderId="0">
      <alignment/>
      <protection locked="0"/>
    </xf>
    <xf numFmtId="0" fontId="43" fillId="0" borderId="0">
      <alignment/>
      <protection locked="0"/>
    </xf>
    <xf numFmtId="0" fontId="43" fillId="0" borderId="0">
      <alignment/>
      <protection locked="0"/>
    </xf>
    <xf numFmtId="0" fontId="43" fillId="0" borderId="0">
      <alignment/>
      <protection locked="0"/>
    </xf>
    <xf numFmtId="0" fontId="43" fillId="0" borderId="0">
      <alignment/>
      <protection locked="0"/>
    </xf>
    <xf numFmtId="0" fontId="43" fillId="0" borderId="0">
      <alignment/>
      <protection locked="0"/>
    </xf>
    <xf numFmtId="170" fontId="45" fillId="0" borderId="0" applyFont="0" applyFill="0" applyBorder="0" applyAlignment="0" applyProtection="0"/>
    <xf numFmtId="177" fontId="45" fillId="0" borderId="0" applyFont="0" applyFill="0" applyBorder="0" applyAlignment="0" applyProtection="0"/>
    <xf numFmtId="171" fontId="45" fillId="0" borderId="0" applyFont="0" applyFill="0" applyBorder="0" applyAlignment="0" applyProtection="0"/>
    <xf numFmtId="178" fontId="45" fillId="0" borderId="0" applyFont="0" applyFill="0" applyBorder="0" applyAlignment="0" applyProtection="0"/>
    <xf numFmtId="179" fontId="46" fillId="0" borderId="0">
      <alignment/>
      <protection/>
    </xf>
    <xf numFmtId="43" fontId="2" fillId="0" borderId="0" applyFont="0" applyFill="0" applyBorder="0" applyAlignment="0" applyProtection="0"/>
    <xf numFmtId="0" fontId="36" fillId="0" borderId="0">
      <alignment/>
      <protection/>
    </xf>
    <xf numFmtId="0" fontId="0" fillId="0" borderId="0">
      <alignment/>
      <protection/>
    </xf>
    <xf numFmtId="0" fontId="0" fillId="0" borderId="0">
      <alignment/>
      <protection/>
    </xf>
    <xf numFmtId="43" fontId="47" fillId="0" borderId="0">
      <alignment/>
      <protection/>
    </xf>
    <xf numFmtId="180" fontId="48" fillId="0" borderId="0">
      <alignment/>
      <protection/>
    </xf>
    <xf numFmtId="0" fontId="49" fillId="0" borderId="10" applyNumberFormat="0" applyAlignment="0" applyProtection="0"/>
    <xf numFmtId="0" fontId="36" fillId="32" borderId="0" applyNumberFormat="0" applyFont="0" applyBorder="0" applyAlignment="0" applyProtection="0"/>
    <xf numFmtId="0" fontId="4" fillId="33" borderId="11" applyNumberFormat="0" applyFont="0" applyBorder="0" applyProtection="0">
      <alignment/>
    </xf>
    <xf numFmtId="0" fontId="4" fillId="31" borderId="11" applyNumberFormat="0" applyFont="0" applyBorder="0" applyProtection="0">
      <alignment/>
    </xf>
    <xf numFmtId="0" fontId="36" fillId="0" borderId="12" applyNumberFormat="0" applyAlignment="0" applyProtection="0"/>
    <xf numFmtId="0" fontId="36" fillId="0" borderId="13" applyNumberFormat="0" applyAlignment="0" applyProtection="0"/>
    <xf numFmtId="0" fontId="49" fillId="0" borderId="14" applyNumberFormat="0" applyAlignment="0" applyProtection="0"/>
    <xf numFmtId="0" fontId="2" fillId="0" borderId="0">
      <alignment/>
      <protection/>
    </xf>
    <xf numFmtId="9" fontId="36" fillId="0" borderId="0" applyFont="0" applyFill="0" applyBorder="0" applyAlignment="0" applyProtection="0"/>
    <xf numFmtId="9" fontId="0" fillId="0" borderId="0" applyFont="0" applyFill="0" applyBorder="0" applyAlignment="0" applyProtection="0"/>
    <xf numFmtId="0" fontId="50" fillId="0" borderId="0" applyNumberFormat="0" applyFont="0" applyFill="0" applyBorder="0" applyProtection="0">
      <alignment/>
    </xf>
    <xf numFmtId="15" fontId="50" fillId="0" borderId="0" applyFont="0" applyFill="0" applyBorder="0" applyAlignment="0" applyProtection="0"/>
    <xf numFmtId="4" fontId="50" fillId="0" borderId="0" applyFont="0" applyFill="0" applyBorder="0" applyAlignment="0" applyProtection="0"/>
    <xf numFmtId="0" fontId="51" fillId="0" borderId="15">
      <alignment horizontal="center"/>
      <protection/>
    </xf>
    <xf numFmtId="3" fontId="50" fillId="0" borderId="0" applyFont="0" applyFill="0" applyBorder="0" applyAlignment="0" applyProtection="0"/>
    <xf numFmtId="0" fontId="50" fillId="34" borderId="0" applyNumberFormat="0" applyFont="0" applyBorder="0" applyAlignment="0" applyProtection="0"/>
    <xf numFmtId="0" fontId="0" fillId="0" borderId="0">
      <alignment/>
      <protection/>
    </xf>
    <xf numFmtId="0" fontId="35" fillId="0" borderId="0">
      <alignment/>
      <protection/>
    </xf>
    <xf numFmtId="0" fontId="23" fillId="0" borderId="3" applyNumberFormat="0" applyFill="0" applyAlignment="0" applyProtection="0"/>
    <xf numFmtId="0" fontId="23" fillId="0" borderId="0" applyNumberFormat="0" applyFill="0" applyBorder="0" applyAlignment="0" applyProtection="0"/>
    <xf numFmtId="0" fontId="0" fillId="0" borderId="0">
      <alignment/>
      <protection/>
    </xf>
    <xf numFmtId="41" fontId="0" fillId="0" borderId="0" applyFont="0" applyFill="0" applyBorder="0" applyAlignment="0" applyProtection="0"/>
    <xf numFmtId="0" fontId="2" fillId="0" borderId="0">
      <alignment/>
      <protection/>
    </xf>
    <xf numFmtId="0" fontId="2" fillId="0" borderId="0">
      <alignment/>
      <protection/>
    </xf>
    <xf numFmtId="0" fontId="2" fillId="0" borderId="0">
      <alignment/>
      <protection/>
    </xf>
    <xf numFmtId="0" fontId="2" fillId="0" borderId="0">
      <alignment/>
      <protection/>
    </xf>
    <xf numFmtId="43" fontId="4" fillId="0" borderId="0" applyFont="0" applyFill="0" applyBorder="0" applyAlignment="0" applyProtection="0"/>
    <xf numFmtId="0" fontId="2" fillId="0" borderId="0">
      <alignment/>
      <protection/>
    </xf>
    <xf numFmtId="2" fontId="50" fillId="0" borderId="0" applyFont="0" applyFill="0" applyBorder="0" applyAlignment="0" applyProtection="0"/>
    <xf numFmtId="2" fontId="50" fillId="0" borderId="0" applyFont="0" applyFill="0" applyBorder="0" applyAlignment="0" applyProtection="0"/>
    <xf numFmtId="2" fontId="50" fillId="0" borderId="0" applyFont="0" applyFill="0" applyBorder="0" applyAlignment="0" applyProtection="0"/>
    <xf numFmtId="43" fontId="0" fillId="0" borderId="0" applyFont="0" applyFill="0" applyBorder="0" applyAlignment="0" applyProtection="0"/>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43" fontId="2" fillId="0" borderId="0" applyFont="0" applyFill="0" applyBorder="0" applyAlignment="0" applyProtection="0"/>
    <xf numFmtId="0" fontId="2" fillId="0" borderId="0">
      <alignment/>
      <protection/>
    </xf>
    <xf numFmtId="0" fontId="2" fillId="0" borderId="0">
      <alignment/>
      <protection/>
    </xf>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43" fontId="2" fillId="0" borderId="0" applyFont="0" applyFill="0" applyBorder="0" applyAlignment="0" applyProtection="0"/>
    <xf numFmtId="0" fontId="2" fillId="0" borderId="0">
      <alignment/>
      <protection/>
    </xf>
    <xf numFmtId="43" fontId="2" fillId="0" borderId="0" applyFont="0" applyFill="0" applyBorder="0" applyAlignment="0" applyProtection="0"/>
    <xf numFmtId="0" fontId="0" fillId="0" borderId="0">
      <alignment/>
      <protection/>
    </xf>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41"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cellStyleXfs>
  <cellXfs count="381">
    <xf numFmtId="0" fontId="0" fillId="0" borderId="0" xfId="0"/>
    <xf numFmtId="0" fontId="0" fillId="0" borderId="0" xfId="0" applyAlignment="1">
      <alignment horizontal="center"/>
    </xf>
    <xf numFmtId="0" fontId="0" fillId="0" borderId="0" xfId="0" applyBorder="1"/>
    <xf numFmtId="0" fontId="0" fillId="0" borderId="0" xfId="0" applyFont="1"/>
    <xf numFmtId="0" fontId="0" fillId="0" borderId="0" xfId="0" applyFont="1" applyFill="1" applyBorder="1"/>
    <xf numFmtId="0" fontId="3" fillId="0" borderId="0" xfId="0" applyFont="1"/>
    <xf numFmtId="0" fontId="0" fillId="0" borderId="0" xfId="0" applyFont="1" applyBorder="1"/>
    <xf numFmtId="0" fontId="3" fillId="0" borderId="0" xfId="0" applyFont="1" applyFill="1" applyBorder="1" applyAlignment="1">
      <alignment horizontal="left"/>
    </xf>
    <xf numFmtId="0" fontId="3" fillId="0" borderId="0" xfId="0" applyFont="1" applyFill="1" applyBorder="1"/>
    <xf numFmtId="0" fontId="3" fillId="0" borderId="16" xfId="0" applyFont="1" applyFill="1" applyBorder="1"/>
    <xf numFmtId="0" fontId="3" fillId="0" borderId="16"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164" fontId="0" fillId="0" borderId="0" xfId="18" applyNumberFormat="1" applyFont="1" applyFill="1" applyBorder="1"/>
    <xf numFmtId="164" fontId="3" fillId="0" borderId="0" xfId="18" applyNumberFormat="1" applyFont="1"/>
    <xf numFmtId="0" fontId="6" fillId="0" borderId="0" xfId="0" applyFont="1" applyFill="1" applyBorder="1"/>
    <xf numFmtId="0" fontId="0" fillId="0" borderId="0" xfId="0" applyFont="1" applyFill="1" applyBorder="1" applyAlignment="1">
      <alignment horizontal="center"/>
    </xf>
    <xf numFmtId="0" fontId="3" fillId="0" borderId="16" xfId="0" applyFont="1" applyFill="1" applyBorder="1" applyAlignment="1" quotePrefix="1">
      <alignment horizontal="center"/>
    </xf>
    <xf numFmtId="0" fontId="3" fillId="0" borderId="0" xfId="0" applyFont="1" applyFill="1" applyBorder="1" applyAlignment="1">
      <alignment horizontal="center"/>
    </xf>
    <xf numFmtId="164" fontId="3" fillId="0" borderId="0" xfId="18" applyNumberFormat="1" applyFont="1" applyFill="1" applyBorder="1"/>
    <xf numFmtId="164" fontId="0" fillId="0" borderId="0" xfId="18" applyNumberFormat="1" applyFont="1" applyFill="1" applyBorder="1" applyAlignment="1" quotePrefix="1">
      <alignment horizontal="center"/>
    </xf>
    <xf numFmtId="164" fontId="0" fillId="0" borderId="0" xfId="0" applyNumberFormat="1" applyFont="1" applyFill="1" applyBorder="1"/>
    <xf numFmtId="0" fontId="3" fillId="0" borderId="0" xfId="0" applyFont="1" applyFill="1" applyBorder="1" applyAlignment="1">
      <alignment horizontal="right"/>
    </xf>
    <xf numFmtId="0" fontId="0" fillId="0" borderId="0" xfId="0" applyFont="1" applyFill="1" applyBorder="1" applyAlignment="1" quotePrefix="1">
      <alignment horizontal="left"/>
    </xf>
    <xf numFmtId="0" fontId="0" fillId="0" borderId="0" xfId="0" applyFont="1" applyFill="1" applyBorder="1" applyAlignment="1" quotePrefix="1">
      <alignment horizontal="center"/>
    </xf>
    <xf numFmtId="0" fontId="3" fillId="0" borderId="0" xfId="0" applyFont="1" applyFill="1" applyBorder="1" applyAlignment="1" quotePrefix="1">
      <alignment horizontal="center"/>
    </xf>
    <xf numFmtId="0" fontId="3" fillId="0" borderId="0" xfId="0" applyFont="1" applyFill="1" applyBorder="1" applyAlignment="1" quotePrefix="1">
      <alignment horizontal="left"/>
    </xf>
    <xf numFmtId="0" fontId="3" fillId="0" borderId="17" xfId="0" applyFont="1" applyFill="1" applyBorder="1" applyAlignment="1" quotePrefix="1">
      <alignment horizontal="center"/>
    </xf>
    <xf numFmtId="0" fontId="0" fillId="0" borderId="0" xfId="0" applyFont="1" applyFill="1"/>
    <xf numFmtId="0" fontId="0" fillId="0" borderId="18" xfId="0" applyFont="1" applyFill="1" applyBorder="1" applyAlignment="1">
      <alignment horizontal="center"/>
    </xf>
    <xf numFmtId="0" fontId="0" fillId="0" borderId="0" xfId="0" applyFont="1" applyFill="1" applyBorder="1" applyAlignment="1">
      <alignment horizontal="left"/>
    </xf>
    <xf numFmtId="0" fontId="0" fillId="0" borderId="0" xfId="0" applyFont="1" applyFill="1" applyBorder="1" applyProtection="1">
      <protection locked="0"/>
    </xf>
    <xf numFmtId="0" fontId="0" fillId="0" borderId="0" xfId="0" applyFont="1" applyFill="1" applyBorder="1" applyAlignment="1" applyProtection="1">
      <alignment horizontal="center"/>
      <protection locked="0"/>
    </xf>
    <xf numFmtId="0" fontId="0" fillId="0" borderId="0" xfId="0" applyFont="1" applyBorder="1" applyProtection="1">
      <protection locked="0"/>
    </xf>
    <xf numFmtId="0" fontId="0" fillId="0" borderId="0" xfId="0" applyFont="1" applyFill="1" applyBorder="1" applyProtection="1" quotePrefix="1">
      <protection locked="0"/>
    </xf>
    <xf numFmtId="0" fontId="3" fillId="0" borderId="0" xfId="0" applyFont="1" applyFill="1" applyBorder="1" applyProtection="1">
      <protection locked="0"/>
    </xf>
    <xf numFmtId="0" fontId="0" fillId="0" borderId="0" xfId="0" applyFont="1" applyFill="1" applyBorder="1" applyAlignment="1" applyProtection="1" quotePrefix="1">
      <alignment horizontal="center"/>
      <protection locked="0"/>
    </xf>
    <xf numFmtId="0" fontId="0" fillId="0" borderId="0" xfId="0" applyFont="1" applyBorder="1" applyAlignment="1" applyProtection="1">
      <alignment horizontal="center"/>
      <protection locked="0"/>
    </xf>
    <xf numFmtId="0" fontId="0" fillId="0" borderId="19" xfId="0" applyFont="1" applyFill="1" applyBorder="1" applyProtection="1">
      <protection locked="0"/>
    </xf>
    <xf numFmtId="0" fontId="0" fillId="0" borderId="19" xfId="0" applyFont="1" applyFill="1" applyBorder="1" applyAlignment="1" applyProtection="1">
      <alignment horizontal="center"/>
      <protection locked="0"/>
    </xf>
    <xf numFmtId="0" fontId="3" fillId="0" borderId="0" xfId="0" applyFont="1" applyFill="1" applyBorder="1" applyAlignment="1" applyProtection="1" quotePrefix="1">
      <alignment horizontal="left"/>
      <protection locked="0"/>
    </xf>
    <xf numFmtId="164" fontId="3" fillId="0" borderId="0" xfId="18" applyNumberFormat="1" applyFont="1" applyFill="1" applyBorder="1" applyProtection="1">
      <protection locked="0"/>
    </xf>
    <xf numFmtId="0" fontId="3" fillId="0" borderId="0" xfId="0" applyFont="1" applyFill="1" applyBorder="1" applyAlignment="1" applyProtection="1">
      <alignment horizontal="center"/>
      <protection locked="0"/>
    </xf>
    <xf numFmtId="164" fontId="0" fillId="0" borderId="0" xfId="18" applyNumberFormat="1" applyFont="1" applyFill="1" applyBorder="1" applyProtection="1">
      <protection locked="0"/>
    </xf>
    <xf numFmtId="0" fontId="3" fillId="0" borderId="0" xfId="0" applyFont="1" applyFill="1" applyBorder="1" applyAlignment="1" applyProtection="1">
      <alignment horizontal="right"/>
      <protection locked="0"/>
    </xf>
    <xf numFmtId="0" fontId="0" fillId="0" borderId="0" xfId="0" applyFont="1" applyFill="1" applyBorder="1" applyAlignment="1" applyProtection="1">
      <alignment horizontal="right"/>
      <protection locked="0"/>
    </xf>
    <xf numFmtId="164" fontId="0" fillId="0" borderId="0" xfId="18" applyNumberFormat="1" applyFont="1" applyFill="1" applyBorder="1" applyAlignment="1" applyProtection="1" quotePrefix="1">
      <alignment horizontal="center"/>
      <protection locked="0"/>
    </xf>
    <xf numFmtId="0" fontId="6" fillId="0" borderId="0" xfId="0" applyFont="1" applyFill="1" applyBorder="1" applyProtection="1">
      <protection locked="0"/>
    </xf>
    <xf numFmtId="164" fontId="6" fillId="0" borderId="0" xfId="18" applyNumberFormat="1" applyFont="1" applyFill="1" applyBorder="1" applyProtection="1">
      <protection locked="0"/>
    </xf>
    <xf numFmtId="0" fontId="6" fillId="0" borderId="0" xfId="0" applyFont="1" applyFill="1" applyBorder="1" applyAlignment="1" applyProtection="1">
      <alignment horizontal="center"/>
      <protection locked="0"/>
    </xf>
    <xf numFmtId="164" fontId="5" fillId="0" borderId="0" xfId="18" applyNumberFormat="1" applyFont="1" applyFill="1" applyBorder="1" applyProtection="1">
      <protection locked="0"/>
    </xf>
    <xf numFmtId="0" fontId="5" fillId="0" borderId="0" xfId="0" applyFont="1" applyFill="1" applyBorder="1" applyAlignment="1" applyProtection="1">
      <alignment horizontal="center"/>
      <protection locked="0"/>
    </xf>
    <xf numFmtId="0" fontId="3" fillId="0" borderId="0" xfId="0" applyFont="1" applyFill="1" applyBorder="1" applyAlignment="1" applyProtection="1">
      <alignment horizontal="left"/>
      <protection locked="0"/>
    </xf>
    <xf numFmtId="164" fontId="3" fillId="0" borderId="0" xfId="18" applyNumberFormat="1" applyFont="1" applyFill="1" applyBorder="1" applyAlignment="1" applyProtection="1" quotePrefix="1">
      <alignment horizontal="center"/>
      <protection locked="0"/>
    </xf>
    <xf numFmtId="0" fontId="5" fillId="0" borderId="0" xfId="0" applyFont="1" applyFill="1" applyBorder="1" applyProtection="1">
      <protection locked="0"/>
    </xf>
    <xf numFmtId="0" fontId="0" fillId="0" borderId="0" xfId="0" applyFont="1" applyFill="1" applyBorder="1" applyAlignment="1" applyProtection="1">
      <alignment horizontal="left"/>
      <protection locked="0"/>
    </xf>
    <xf numFmtId="0" fontId="3" fillId="0" borderId="0" xfId="0" applyFont="1" applyBorder="1" applyProtection="1">
      <protection locked="0"/>
    </xf>
    <xf numFmtId="0" fontId="7" fillId="0" borderId="0" xfId="20" applyFont="1" applyFill="1" applyBorder="1" applyAlignment="1" applyProtection="1">
      <alignment/>
      <protection locked="0"/>
    </xf>
    <xf numFmtId="0" fontId="6" fillId="0" borderId="0" xfId="0" applyFont="1" applyFill="1" applyBorder="1" applyAlignment="1">
      <alignment horizontal="center"/>
    </xf>
    <xf numFmtId="0" fontId="6" fillId="0" borderId="0" xfId="0" applyFont="1" applyFill="1" applyBorder="1" applyAlignment="1">
      <alignment horizontal="left"/>
    </xf>
    <xf numFmtId="0" fontId="0" fillId="0" borderId="0" xfId="0" applyFont="1" applyFill="1" applyBorder="1" applyAlignment="1">
      <alignment/>
    </xf>
    <xf numFmtId="0" fontId="3" fillId="0" borderId="0" xfId="0" applyFont="1" applyFill="1" applyBorder="1" applyAlignment="1">
      <alignment/>
    </xf>
    <xf numFmtId="164" fontId="3" fillId="0" borderId="0" xfId="0" applyNumberFormat="1" applyFont="1" applyFill="1" applyBorder="1"/>
    <xf numFmtId="14" fontId="3" fillId="0" borderId="0" xfId="0" applyNumberFormat="1" applyFont="1" applyFill="1" applyBorder="1" applyAlignment="1">
      <alignment horizontal="left"/>
    </xf>
    <xf numFmtId="0" fontId="7" fillId="0" borderId="0" xfId="20" applyFont="1" applyBorder="1" applyAlignment="1" applyProtection="1">
      <alignment/>
      <protection locked="0"/>
    </xf>
    <xf numFmtId="0" fontId="0" fillId="0" borderId="0" xfId="0" applyFont="1" applyBorder="1" applyAlignment="1" applyProtection="1" quotePrefix="1">
      <alignment horizontal="center"/>
      <protection locked="0"/>
    </xf>
    <xf numFmtId="164" fontId="0" fillId="0" borderId="0" xfId="18" applyNumberFormat="1" applyFont="1"/>
    <xf numFmtId="164" fontId="0" fillId="0" borderId="0" xfId="0" applyNumberFormat="1"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23" xfId="0" applyBorder="1"/>
    <xf numFmtId="164" fontId="0" fillId="0" borderId="0" xfId="18" applyNumberFormat="1" applyFont="1" applyBorder="1"/>
    <xf numFmtId="0" fontId="0" fillId="0" borderId="0" xfId="0" applyBorder="1" applyAlignment="1">
      <alignment horizontal="right"/>
    </xf>
    <xf numFmtId="10" fontId="0" fillId="0" borderId="0" xfId="15" applyNumberFormat="1" applyFont="1" applyBorder="1"/>
    <xf numFmtId="0" fontId="4" fillId="0" borderId="22" xfId="0" applyFont="1" applyBorder="1"/>
    <xf numFmtId="0" fontId="0" fillId="0" borderId="24" xfId="0" applyBorder="1"/>
    <xf numFmtId="0" fontId="0" fillId="0" borderId="15" xfId="0" applyBorder="1"/>
    <xf numFmtId="0" fontId="0" fillId="0" borderId="25" xfId="0" applyBorder="1"/>
    <xf numFmtId="0" fontId="0" fillId="0" borderId="18" xfId="0" applyFont="1" applyBorder="1" applyAlignment="1" applyProtection="1">
      <alignment horizontal="center"/>
      <protection locked="0"/>
    </xf>
    <xf numFmtId="0" fontId="3" fillId="0" borderId="17" xfId="0" applyFont="1" applyBorder="1" applyAlignment="1" applyProtection="1">
      <alignment horizontal="center"/>
      <protection locked="0"/>
    </xf>
    <xf numFmtId="0" fontId="3" fillId="0" borderId="16" xfId="0" applyFont="1" applyBorder="1" applyAlignment="1" applyProtection="1">
      <alignment horizontal="center"/>
      <protection locked="0"/>
    </xf>
    <xf numFmtId="0" fontId="7" fillId="0" borderId="0" xfId="20" applyFont="1" applyFill="1" applyBorder="1" applyAlignment="1" applyProtection="1">
      <alignment/>
      <protection/>
    </xf>
    <xf numFmtId="0" fontId="0" fillId="0" borderId="0" xfId="0" applyFont="1" applyFill="1" applyBorder="1" quotePrefix="1"/>
    <xf numFmtId="0" fontId="3" fillId="0" borderId="0" xfId="0" applyFont="1" applyBorder="1"/>
    <xf numFmtId="0" fontId="0" fillId="0" borderId="19" xfId="0" applyFont="1" applyFill="1" applyBorder="1"/>
    <xf numFmtId="0" fontId="0" fillId="0" borderId="19" xfId="0" applyFont="1" applyFill="1" applyBorder="1" applyAlignment="1">
      <alignment horizontal="center"/>
    </xf>
    <xf numFmtId="0" fontId="0" fillId="0" borderId="19" xfId="0" applyFont="1" applyFill="1" applyBorder="1" applyAlignment="1" quotePrefix="1">
      <alignment horizontal="center"/>
    </xf>
    <xf numFmtId="37" fontId="0" fillId="0" borderId="19" xfId="0" applyNumberFormat="1" applyFont="1" applyFill="1" applyBorder="1" applyAlignment="1" quotePrefix="1">
      <alignment horizontal="center"/>
    </xf>
    <xf numFmtId="0" fontId="0" fillId="0" borderId="0" xfId="0" applyFont="1" applyBorder="1" applyAlignment="1">
      <alignment horizontal="center"/>
    </xf>
    <xf numFmtId="0" fontId="3" fillId="0" borderId="0" xfId="0" applyFont="1" applyBorder="1" applyAlignment="1">
      <alignment horizontal="center"/>
    </xf>
    <xf numFmtId="0" fontId="3" fillId="0" borderId="9" xfId="0" applyFont="1" applyFill="1" applyBorder="1" applyAlignment="1">
      <alignment horizontal="center"/>
    </xf>
    <xf numFmtId="164" fontId="0" fillId="0" borderId="0" xfId="18" applyNumberFormat="1"/>
    <xf numFmtId="0" fontId="0" fillId="0" borderId="0" xfId="0" applyAlignment="1">
      <alignment horizontal="right"/>
    </xf>
    <xf numFmtId="0" fontId="0" fillId="0" borderId="0" xfId="0" applyAlignment="1">
      <alignment/>
    </xf>
    <xf numFmtId="0" fontId="0" fillId="0" borderId="0" xfId="0" applyBorder="1" applyAlignment="1">
      <alignment/>
    </xf>
    <xf numFmtId="0" fontId="0" fillId="0" borderId="0" xfId="0" applyFont="1" applyBorder="1" applyAlignment="1">
      <alignment/>
    </xf>
    <xf numFmtId="0" fontId="6" fillId="0" borderId="0" xfId="0" applyFont="1"/>
    <xf numFmtId="164" fontId="3" fillId="0" borderId="0" xfId="18" applyNumberFormat="1" applyFont="1" applyFill="1" applyBorder="1" applyAlignment="1" applyProtection="1">
      <alignment horizontal="center"/>
      <protection locked="0"/>
    </xf>
    <xf numFmtId="0" fontId="6" fillId="0" borderId="0" xfId="0" applyFont="1" applyFill="1" applyBorder="1" applyAlignment="1" applyProtection="1" quotePrefix="1">
      <alignment horizontal="left"/>
      <protection locked="0"/>
    </xf>
    <xf numFmtId="0" fontId="0" fillId="0" borderId="0" xfId="0" applyFont="1" applyFill="1" applyBorder="1" applyAlignment="1" applyProtection="1" quotePrefix="1">
      <alignment horizontal="left"/>
      <protection locked="0"/>
    </xf>
    <xf numFmtId="0" fontId="3" fillId="0" borderId="0" xfId="0" applyFont="1" applyFill="1" applyBorder="1" applyAlignment="1" applyProtection="1" quotePrefix="1">
      <alignment horizontal="center"/>
      <protection locked="0"/>
    </xf>
    <xf numFmtId="166" fontId="0" fillId="0" borderId="0" xfId="18" applyNumberFormat="1" applyFont="1" applyFill="1" applyBorder="1"/>
    <xf numFmtId="164" fontId="0" fillId="0" borderId="0" xfId="18" applyNumberFormat="1" applyFont="1" applyFill="1" applyBorder="1" applyAlignment="1">
      <alignment horizontal="center"/>
    </xf>
    <xf numFmtId="164" fontId="0" fillId="0" borderId="0" xfId="18" applyNumberFormat="1" applyFont="1" applyFill="1" applyBorder="1" applyAlignment="1" applyProtection="1">
      <alignment/>
      <protection locked="0"/>
    </xf>
    <xf numFmtId="0" fontId="3" fillId="0" borderId="0" xfId="0" applyFont="1" applyAlignment="1">
      <alignment horizontal="center"/>
    </xf>
    <xf numFmtId="0" fontId="3" fillId="0" borderId="15" xfId="0" applyFont="1" applyBorder="1" applyAlignment="1">
      <alignment horizontal="center"/>
    </xf>
    <xf numFmtId="164" fontId="0" fillId="0" borderId="0" xfId="0" applyNumberFormat="1"/>
    <xf numFmtId="0" fontId="0" fillId="0" borderId="0" xfId="0" applyBorder="1" applyAlignment="1">
      <alignment horizontal="center"/>
    </xf>
    <xf numFmtId="10" fontId="0" fillId="0" borderId="0" xfId="15" applyNumberFormat="1" applyFont="1"/>
    <xf numFmtId="43" fontId="0" fillId="0" borderId="0" xfId="18" applyFont="1" applyFill="1" applyBorder="1"/>
    <xf numFmtId="0" fontId="0" fillId="0" borderId="0" xfId="0" quotePrefix="1"/>
    <xf numFmtId="0" fontId="0" fillId="0" borderId="0" xfId="0" applyFont="1" applyFill="1" applyBorder="1" applyAlignment="1" applyProtection="1">
      <alignment/>
      <protection locked="0"/>
    </xf>
    <xf numFmtId="0" fontId="0" fillId="0" borderId="0" xfId="0" applyFont="1" applyBorder="1" applyAlignment="1" applyProtection="1">
      <alignment/>
      <protection locked="0"/>
    </xf>
    <xf numFmtId="0" fontId="0" fillId="0" borderId="26" xfId="0" applyBorder="1"/>
    <xf numFmtId="0" fontId="0" fillId="0" borderId="0" xfId="0" applyNumberFormat="1"/>
    <xf numFmtId="164" fontId="0" fillId="0" borderId="0" xfId="18" applyNumberFormat="1" applyFont="1"/>
    <xf numFmtId="0" fontId="9" fillId="0" borderId="0" xfId="0" applyFont="1"/>
    <xf numFmtId="0" fontId="0" fillId="0" borderId="23" xfId="0" applyFont="1" applyFill="1" applyBorder="1" applyAlignment="1">
      <alignment horizontal="center"/>
    </xf>
    <xf numFmtId="43" fontId="0" fillId="0" borderId="0" xfId="18" applyNumberFormat="1" applyFont="1" applyFill="1" applyBorder="1" applyProtection="1">
      <protection locked="0"/>
    </xf>
    <xf numFmtId="164" fontId="0" fillId="0" borderId="0" xfId="0" applyNumberFormat="1" applyFont="1" applyFill="1" applyBorder="1" applyProtection="1">
      <protection locked="0"/>
    </xf>
    <xf numFmtId="164" fontId="0" fillId="0" borderId="0" xfId="18" applyNumberFormat="1" applyFont="1" applyFill="1" applyBorder="1" applyAlignment="1" applyProtection="1">
      <alignment horizontal="center"/>
      <protection locked="0"/>
    </xf>
    <xf numFmtId="164" fontId="0" fillId="0" borderId="0" xfId="18" applyNumberFormat="1" applyFont="1" applyBorder="1" applyProtection="1">
      <protection locked="0"/>
    </xf>
    <xf numFmtId="164" fontId="0" fillId="0" borderId="26" xfId="18" applyNumberFormat="1" applyFont="1" applyFill="1" applyBorder="1"/>
    <xf numFmtId="164" fontId="3" fillId="0" borderId="26" xfId="18" applyNumberFormat="1" applyFont="1" applyFill="1" applyBorder="1"/>
    <xf numFmtId="164" fontId="0" fillId="0" borderId="26" xfId="18" applyNumberFormat="1" applyFont="1" applyFill="1" applyBorder="1" applyAlignment="1" quotePrefix="1">
      <alignment horizontal="center"/>
    </xf>
    <xf numFmtId="0" fontId="0" fillId="0" borderId="26" xfId="0" applyFont="1" applyFill="1" applyBorder="1"/>
    <xf numFmtId="0" fontId="3" fillId="0" borderId="26" xfId="0" applyFont="1" applyFill="1" applyBorder="1"/>
    <xf numFmtId="164" fontId="0" fillId="0" borderId="0" xfId="18" applyNumberFormat="1" applyFont="1"/>
    <xf numFmtId="0" fontId="0" fillId="0" borderId="26" xfId="0" applyFont="1" applyFill="1" applyBorder="1" applyAlignment="1">
      <alignment horizontal="center"/>
    </xf>
    <xf numFmtId="164" fontId="0" fillId="0" borderId="0" xfId="0" applyNumberFormat="1" applyFont="1" applyFill="1" applyBorder="1"/>
    <xf numFmtId="164" fontId="3" fillId="0" borderId="26" xfId="0" applyNumberFormat="1" applyFont="1" applyFill="1" applyBorder="1"/>
    <xf numFmtId="17" fontId="0" fillId="0" borderId="0" xfId="0" applyNumberFormat="1" applyAlignment="1" quotePrefix="1">
      <alignment horizontal="right"/>
    </xf>
    <xf numFmtId="164" fontId="0" fillId="0" borderId="26" xfId="18" applyNumberFormat="1" applyFont="1" applyFill="1" applyBorder="1" applyProtection="1">
      <protection locked="0"/>
    </xf>
    <xf numFmtId="0" fontId="0" fillId="0" borderId="26" xfId="0" applyFont="1" applyFill="1" applyBorder="1" applyProtection="1">
      <protection locked="0"/>
    </xf>
    <xf numFmtId="164" fontId="0" fillId="0" borderId="0" xfId="18" applyNumberFormat="1" applyFont="1" applyAlignment="1">
      <alignment/>
    </xf>
    <xf numFmtId="164" fontId="0" fillId="0" borderId="26" xfId="18" applyNumberFormat="1" applyFont="1" applyBorder="1"/>
    <xf numFmtId="0" fontId="0" fillId="0" borderId="0" xfId="0" applyFill="1"/>
    <xf numFmtId="0" fontId="0" fillId="0" borderId="0" xfId="0" applyFill="1" applyAlignment="1">
      <alignment/>
    </xf>
    <xf numFmtId="165" fontId="0" fillId="0" borderId="0" xfId="16" applyNumberFormat="1" applyFont="1"/>
    <xf numFmtId="165" fontId="0" fillId="0" borderId="0" xfId="16" applyNumberFormat="1" applyFont="1" applyBorder="1"/>
    <xf numFmtId="165" fontId="3" fillId="0" borderId="0" xfId="16" applyNumberFormat="1" applyFont="1"/>
    <xf numFmtId="0" fontId="3" fillId="0" borderId="15" xfId="0" applyFont="1" applyFill="1" applyBorder="1" applyAlignment="1">
      <alignment/>
    </xf>
    <xf numFmtId="164" fontId="0" fillId="0" borderId="0" xfId="0" applyNumberFormat="1" applyFill="1"/>
    <xf numFmtId="43" fontId="3" fillId="0" borderId="0" xfId="18" applyFont="1" applyFill="1" applyBorder="1" applyAlignment="1">
      <alignment horizontal="center"/>
    </xf>
    <xf numFmtId="0" fontId="0" fillId="0" borderId="0" xfId="0" applyFill="1" applyAlignment="1">
      <alignment horizontal="center"/>
    </xf>
    <xf numFmtId="17" fontId="0" fillId="0" borderId="0" xfId="0" applyNumberFormat="1" applyFill="1" applyAlignment="1" quotePrefix="1">
      <alignment horizontal="right"/>
    </xf>
    <xf numFmtId="165" fontId="0" fillId="0" borderId="0" xfId="16" applyNumberFormat="1" applyFont="1" applyFill="1"/>
    <xf numFmtId="0" fontId="0" fillId="0" borderId="0" xfId="0" applyFill="1" applyBorder="1"/>
    <xf numFmtId="164" fontId="0" fillId="0" borderId="0" xfId="18" applyNumberFormat="1" applyFont="1" applyFill="1"/>
    <xf numFmtId="0" fontId="0" fillId="0" borderId="26" xfId="0" applyFill="1" applyBorder="1"/>
    <xf numFmtId="165" fontId="0" fillId="0" borderId="27" xfId="16" applyNumberFormat="1" applyFont="1" applyBorder="1"/>
    <xf numFmtId="0" fontId="12" fillId="0" borderId="19" xfId="0" applyFont="1" applyFill="1" applyBorder="1" applyProtection="1">
      <protection locked="0"/>
    </xf>
    <xf numFmtId="0" fontId="12" fillId="0" borderId="0" xfId="0" applyFont="1" applyFill="1"/>
    <xf numFmtId="44" fontId="0" fillId="0" borderId="0" xfId="16" applyFont="1"/>
    <xf numFmtId="165" fontId="0" fillId="0" borderId="0" xfId="16" applyNumberFormat="1" applyFont="1" applyFill="1" applyBorder="1"/>
    <xf numFmtId="0" fontId="0" fillId="0" borderId="0" xfId="0" applyFont="1" applyFill="1" applyBorder="1" applyAlignment="1">
      <alignment horizontal="left" indent="1"/>
    </xf>
    <xf numFmtId="9" fontId="0" fillId="0" borderId="0" xfId="15" applyFont="1"/>
    <xf numFmtId="9" fontId="0" fillId="0" borderId="0" xfId="15" applyFont="1" applyFill="1" applyBorder="1" applyAlignment="1">
      <alignment horizontal="center"/>
    </xf>
    <xf numFmtId="9" fontId="3" fillId="0" borderId="0" xfId="15" applyFont="1" applyFill="1" applyBorder="1" applyAlignment="1">
      <alignment horizontal="center"/>
    </xf>
    <xf numFmtId="43" fontId="3" fillId="0" borderId="0" xfId="18" applyFont="1" applyFill="1" applyBorder="1"/>
    <xf numFmtId="9" fontId="0" fillId="0" borderId="0" xfId="15" applyFont="1" applyAlignment="1">
      <alignment horizontal="center"/>
    </xf>
    <xf numFmtId="0" fontId="3" fillId="0" borderId="0" xfId="0" applyFont="1" applyFill="1"/>
    <xf numFmtId="0" fontId="6" fillId="0" borderId="0" xfId="0" applyFont="1" applyFill="1" applyAlignment="1">
      <alignment horizontal="center"/>
    </xf>
    <xf numFmtId="0" fontId="3" fillId="0" borderId="0" xfId="0" applyFont="1" applyFill="1" applyAlignment="1">
      <alignment/>
    </xf>
    <xf numFmtId="0" fontId="0" fillId="0" borderId="0" xfId="0" applyFill="1" applyBorder="1" applyAlignment="1">
      <alignment horizontal="center"/>
    </xf>
    <xf numFmtId="164" fontId="0" fillId="0" borderId="26" xfId="0" applyNumberFormat="1" applyFill="1" applyBorder="1"/>
    <xf numFmtId="0" fontId="3" fillId="0" borderId="0" xfId="0" applyFont="1" applyFill="1" applyAlignment="1">
      <alignment horizontal="right"/>
    </xf>
    <xf numFmtId="165" fontId="3" fillId="0" borderId="28" xfId="16" applyNumberFormat="1" applyFont="1" applyFill="1" applyBorder="1"/>
    <xf numFmtId="165" fontId="3" fillId="0" borderId="0" xfId="16" applyNumberFormat="1" applyFont="1" applyFill="1"/>
    <xf numFmtId="43" fontId="0" fillId="0" borderId="0" xfId="18" applyFont="1" applyFill="1"/>
    <xf numFmtId="165" fontId="3" fillId="0" borderId="28" xfId="0" applyNumberFormat="1" applyFont="1" applyFill="1" applyBorder="1"/>
    <xf numFmtId="9" fontId="3" fillId="0" borderId="0" xfId="15" applyFont="1" applyBorder="1" applyAlignment="1">
      <alignment horizontal="center"/>
    </xf>
    <xf numFmtId="9" fontId="0" fillId="0" borderId="0" xfId="15" applyFont="1" applyBorder="1" applyAlignment="1">
      <alignment horizontal="center"/>
    </xf>
    <xf numFmtId="164" fontId="14" fillId="0" borderId="0" xfId="0" applyNumberFormat="1" applyFont="1" applyBorder="1"/>
    <xf numFmtId="164" fontId="14" fillId="0" borderId="0" xfId="0" applyNumberFormat="1" applyFont="1"/>
    <xf numFmtId="0" fontId="14" fillId="0" borderId="0" xfId="0" applyFont="1" applyFill="1" applyBorder="1"/>
    <xf numFmtId="0" fontId="14" fillId="0" borderId="0" xfId="0" applyFont="1"/>
    <xf numFmtId="43" fontId="14" fillId="0" borderId="0" xfId="18" applyFont="1"/>
    <xf numFmtId="164" fontId="15" fillId="0" borderId="0" xfId="18" applyNumberFormat="1" applyFont="1"/>
    <xf numFmtId="167" fontId="0" fillId="0" borderId="0" xfId="0" applyNumberFormat="1" applyFont="1" applyFill="1" applyBorder="1"/>
    <xf numFmtId="0" fontId="0" fillId="0" borderId="0" xfId="0" applyFont="1" applyAlignment="1">
      <alignment horizontal="right"/>
    </xf>
    <xf numFmtId="0" fontId="0" fillId="0" borderId="0" xfId="0" applyFont="1"/>
    <xf numFmtId="3" fontId="16" fillId="0" borderId="0" xfId="0" applyNumberFormat="1" applyFont="1"/>
    <xf numFmtId="164" fontId="0" fillId="0" borderId="0" xfId="18" applyNumberFormat="1" applyFont="1" applyFill="1" applyAlignment="1">
      <alignment horizontal="center"/>
    </xf>
    <xf numFmtId="165" fontId="0" fillId="0" borderId="26" xfId="16" applyNumberFormat="1" applyFont="1" applyFill="1" applyBorder="1"/>
    <xf numFmtId="0" fontId="0" fillId="0" borderId="0" xfId="0" applyFont="1" applyFill="1" applyBorder="1"/>
    <xf numFmtId="165" fontId="3" fillId="0" borderId="0" xfId="16" applyNumberFormat="1" applyFont="1" applyFill="1" applyBorder="1"/>
    <xf numFmtId="165" fontId="8" fillId="0" borderId="0" xfId="16" applyNumberFormat="1" applyFont="1" applyFill="1" applyBorder="1"/>
    <xf numFmtId="165" fontId="3" fillId="0" borderId="0" xfId="16" applyNumberFormat="1" applyFont="1" applyBorder="1"/>
    <xf numFmtId="0" fontId="0" fillId="0" borderId="0" xfId="0" applyFont="1" applyAlignment="1">
      <alignment horizontal="center"/>
    </xf>
    <xf numFmtId="165" fontId="0" fillId="0" borderId="0" xfId="16" applyNumberFormat="1"/>
    <xf numFmtId="165" fontId="0" fillId="0" borderId="0" xfId="16" applyNumberFormat="1" applyFont="1" applyFill="1" applyBorder="1" applyProtection="1">
      <protection locked="0"/>
    </xf>
    <xf numFmtId="165" fontId="3" fillId="0" borderId="0" xfId="16" applyNumberFormat="1" applyFont="1" applyFill="1" applyBorder="1" applyProtection="1">
      <protection locked="0"/>
    </xf>
    <xf numFmtId="0" fontId="3" fillId="0" borderId="17" xfId="0" applyFont="1" applyFill="1" applyBorder="1" applyAlignment="1">
      <alignment horizontal="center"/>
    </xf>
    <xf numFmtId="0" fontId="3" fillId="0" borderId="16" xfId="0" applyFont="1" applyFill="1" applyBorder="1" applyAlignment="1">
      <alignment horizontal="center"/>
    </xf>
    <xf numFmtId="0" fontId="3" fillId="0" borderId="17" xfId="0" applyFont="1" applyBorder="1" applyAlignment="1" applyProtection="1">
      <alignment horizontal="center"/>
      <protection locked="0"/>
    </xf>
    <xf numFmtId="0" fontId="3" fillId="0" borderId="0" xfId="0" applyFont="1" applyFill="1" applyBorder="1" applyAlignment="1">
      <alignment horizontal="left"/>
    </xf>
    <xf numFmtId="17" fontId="0" fillId="0" borderId="0" xfId="0" applyNumberFormat="1" applyFont="1" applyAlignment="1" quotePrefix="1">
      <alignment horizontal="right"/>
    </xf>
    <xf numFmtId="0" fontId="0" fillId="0" borderId="0" xfId="0" applyFont="1" applyAlignment="1" quotePrefix="1">
      <alignment horizontal="right"/>
    </xf>
    <xf numFmtId="0" fontId="3" fillId="0" borderId="0" xfId="0" applyFont="1" applyFill="1" applyBorder="1" applyAlignment="1" quotePrefix="1">
      <alignment horizontal="center"/>
    </xf>
    <xf numFmtId="0" fontId="3" fillId="0" borderId="9" xfId="0" applyFont="1" applyFill="1" applyBorder="1" applyAlignment="1">
      <alignment horizontal="center"/>
    </xf>
    <xf numFmtId="0" fontId="0" fillId="0" borderId="0" xfId="0" applyFont="1" applyFill="1" applyBorder="1" applyAlignment="1">
      <alignment horizontal="center"/>
    </xf>
    <xf numFmtId="43" fontId="8" fillId="0" borderId="0" xfId="18" applyFont="1" applyAlignment="1">
      <alignment horizontal="center"/>
    </xf>
    <xf numFmtId="164" fontId="3" fillId="0" borderId="29" xfId="18" applyNumberFormat="1" applyFont="1" applyFill="1" applyBorder="1" applyAlignment="1">
      <alignment horizontal="center"/>
    </xf>
    <xf numFmtId="0" fontId="3" fillId="0" borderId="0" xfId="0" applyFont="1"/>
    <xf numFmtId="164" fontId="3" fillId="0" borderId="29" xfId="18" applyNumberFormat="1" applyFont="1" applyFill="1" applyBorder="1"/>
    <xf numFmtId="0" fontId="3" fillId="0" borderId="9" xfId="0" applyFont="1" applyFill="1" applyBorder="1" applyAlignment="1">
      <alignment horizontal="center"/>
    </xf>
    <xf numFmtId="0" fontId="3" fillId="0" borderId="0" xfId="0" applyFont="1" applyFill="1" applyBorder="1" applyAlignment="1">
      <alignment horizontal="center"/>
    </xf>
    <xf numFmtId="165" fontId="0" fillId="0" borderId="0" xfId="16" applyNumberFormat="1" applyFont="1" applyFill="1"/>
    <xf numFmtId="0" fontId="3" fillId="0" borderId="0" xfId="0" applyFont="1" applyFill="1" applyAlignment="1">
      <alignment horizontal="right"/>
    </xf>
    <xf numFmtId="0" fontId="3" fillId="0" borderId="0" xfId="0" applyFont="1" applyFill="1"/>
    <xf numFmtId="165" fontId="0" fillId="0" borderId="0" xfId="16" applyNumberFormat="1" applyFont="1" applyFill="1" applyAlignment="1">
      <alignment horizontal="center"/>
    </xf>
    <xf numFmtId="0" fontId="3" fillId="0" borderId="0" xfId="0" applyFont="1" applyAlignment="1">
      <alignment horizontal="center"/>
    </xf>
    <xf numFmtId="0" fontId="0" fillId="0" borderId="0" xfId="0" applyFont="1" applyAlignment="1">
      <alignment horizontal="center"/>
    </xf>
    <xf numFmtId="164" fontId="3" fillId="0" borderId="0" xfId="0" applyNumberFormat="1" applyFont="1"/>
    <xf numFmtId="165" fontId="3" fillId="0" borderId="0" xfId="16" applyNumberFormat="1" applyFont="1"/>
    <xf numFmtId="164" fontId="0" fillId="0" borderId="9" xfId="18" applyNumberFormat="1" applyFont="1" applyBorder="1"/>
    <xf numFmtId="164" fontId="3" fillId="0" borderId="9" xfId="0" applyNumberFormat="1" applyFont="1" applyBorder="1"/>
    <xf numFmtId="165" fontId="0" fillId="0" borderId="0" xfId="0" applyNumberFormat="1"/>
    <xf numFmtId="165" fontId="3" fillId="0" borderId="28" xfId="0" applyNumberFormat="1" applyFont="1" applyBorder="1"/>
    <xf numFmtId="0" fontId="3" fillId="0" borderId="9" xfId="0" applyFont="1" applyBorder="1" applyAlignment="1">
      <alignment horizontal="center"/>
    </xf>
    <xf numFmtId="41" fontId="0" fillId="0" borderId="0" xfId="0" applyNumberFormat="1"/>
    <xf numFmtId="0" fontId="3" fillId="0" borderId="0" xfId="0" applyFont="1" applyAlignment="1">
      <alignment horizontal="right"/>
    </xf>
    <xf numFmtId="0" fontId="0" fillId="0" borderId="9" xfId="0" applyBorder="1"/>
    <xf numFmtId="41" fontId="0" fillId="0" borderId="9" xfId="0" applyNumberFormat="1" applyBorder="1"/>
    <xf numFmtId="165" fontId="3" fillId="0" borderId="28" xfId="16" applyNumberFormat="1" applyFont="1" applyBorder="1"/>
    <xf numFmtId="165" fontId="3" fillId="0" borderId="0" xfId="0" applyNumberFormat="1" applyFont="1" applyFill="1" applyBorder="1"/>
    <xf numFmtId="0" fontId="0" fillId="0" borderId="18" xfId="0" applyFont="1" applyFill="1" applyBorder="1" applyAlignment="1">
      <alignment horizontal="center"/>
    </xf>
    <xf numFmtId="0" fontId="3" fillId="0" borderId="0" xfId="0" applyFont="1" applyFill="1" applyAlignment="1">
      <alignment horizontal="center"/>
    </xf>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164" fontId="0" fillId="0" borderId="0" xfId="18" applyNumberFormat="1" applyFont="1" applyFill="1" applyBorder="1"/>
    <xf numFmtId="165" fontId="0" fillId="0" borderId="0" xfId="16" applyNumberFormat="1" applyFont="1" applyFill="1" applyBorder="1"/>
    <xf numFmtId="43" fontId="0" fillId="0" borderId="0" xfId="18" applyNumberFormat="1" applyFont="1" applyFill="1" applyBorder="1"/>
    <xf numFmtId="0" fontId="0" fillId="0" borderId="0" xfId="0" applyFont="1" applyFill="1" applyBorder="1" applyAlignment="1">
      <alignment horizontal="left"/>
    </xf>
    <xf numFmtId="41" fontId="0" fillId="0" borderId="0" xfId="0" applyNumberFormat="1" applyFont="1" applyFill="1" applyBorder="1"/>
    <xf numFmtId="42" fontId="0" fillId="0" borderId="0" xfId="0" applyNumberFormat="1"/>
    <xf numFmtId="41" fontId="0" fillId="0" borderId="0" xfId="18" applyNumberFormat="1" applyFont="1"/>
    <xf numFmtId="42" fontId="3" fillId="0" borderId="0" xfId="0" applyNumberFormat="1" applyFont="1"/>
    <xf numFmtId="41" fontId="3" fillId="0" borderId="0" xfId="18" applyNumberFormat="1" applyFont="1"/>
    <xf numFmtId="168" fontId="0" fillId="0" borderId="0" xfId="0" applyNumberFormat="1"/>
    <xf numFmtId="41" fontId="0" fillId="0" borderId="0" xfId="18" applyNumberFormat="1" applyFont="1" applyFill="1"/>
    <xf numFmtId="41" fontId="2" fillId="0" borderId="0" xfId="22" applyNumberFormat="1">
      <alignment/>
      <protection/>
    </xf>
    <xf numFmtId="41" fontId="0" fillId="0" borderId="0" xfId="18" applyNumberFormat="1" applyFont="1" applyFill="1" applyAlignment="1">
      <alignment horizontal="center"/>
    </xf>
    <xf numFmtId="41" fontId="3" fillId="0" borderId="0" xfId="18" applyNumberFormat="1" applyFont="1"/>
    <xf numFmtId="41" fontId="3" fillId="0" borderId="29" xfId="18" applyNumberFormat="1" applyFont="1" applyFill="1" applyBorder="1" applyAlignment="1">
      <alignment horizontal="center"/>
    </xf>
    <xf numFmtId="0" fontId="0" fillId="0" borderId="0" xfId="0" applyFill="1" applyAlignment="1">
      <alignment horizontal="right"/>
    </xf>
    <xf numFmtId="0" fontId="3" fillId="0" borderId="0" xfId="0" applyNumberFormat="1" applyFont="1" applyFill="1" applyAlignment="1">
      <alignment/>
    </xf>
    <xf numFmtId="0" fontId="0" fillId="0" borderId="0" xfId="0" applyNumberFormat="1" applyFill="1" applyAlignment="1">
      <alignment horizontal="left"/>
    </xf>
    <xf numFmtId="0" fontId="3" fillId="0" borderId="0" xfId="0" applyNumberFormat="1" applyFont="1" applyFill="1" applyAlignment="1">
      <alignment horizontal="left"/>
    </xf>
    <xf numFmtId="0" fontId="0" fillId="0" borderId="0" xfId="0" applyNumberFormat="1" applyFill="1" applyAlignment="1">
      <alignment/>
    </xf>
    <xf numFmtId="0" fontId="9" fillId="0" borderId="0" xfId="0" applyFont="1" applyFill="1" applyAlignment="1">
      <alignment/>
    </xf>
    <xf numFmtId="0" fontId="3" fillId="0" borderId="0" xfId="0" applyFont="1" applyFill="1" applyAlignment="1">
      <alignment/>
    </xf>
    <xf numFmtId="0" fontId="0" fillId="0" borderId="0" xfId="0" applyFont="1" applyFill="1" applyAlignment="1">
      <alignment horizontal="right"/>
    </xf>
    <xf numFmtId="0" fontId="0" fillId="0" borderId="0" xfId="0" applyFont="1" applyFill="1" applyAlignment="1">
      <alignment/>
    </xf>
    <xf numFmtId="0" fontId="0" fillId="0" borderId="0" xfId="0" applyFont="1" applyFill="1"/>
    <xf numFmtId="0" fontId="0" fillId="0" borderId="0" xfId="0" applyNumberFormat="1" applyFont="1" applyFill="1" applyAlignment="1">
      <alignment/>
    </xf>
    <xf numFmtId="0" fontId="13" fillId="0" borderId="0" xfId="0" applyFont="1" applyFill="1" applyAlignment="1">
      <alignment/>
    </xf>
    <xf numFmtId="42" fontId="0" fillId="0" borderId="0" xfId="16" applyNumberFormat="1" applyFont="1"/>
    <xf numFmtId="42" fontId="3" fillId="0" borderId="29" xfId="0" applyNumberFormat="1" applyFont="1" applyBorder="1"/>
    <xf numFmtId="41" fontId="3" fillId="0" borderId="0" xfId="0" applyNumberFormat="1" applyFont="1"/>
    <xf numFmtId="0" fontId="18" fillId="0" borderId="0" xfId="0" applyFont="1"/>
    <xf numFmtId="0" fontId="19" fillId="0" borderId="0" xfId="0" applyFont="1"/>
    <xf numFmtId="0" fontId="19" fillId="0" borderId="0" xfId="0" applyFont="1" applyAlignment="1">
      <alignment/>
    </xf>
    <xf numFmtId="165" fontId="0" fillId="0" borderId="0" xfId="16" applyNumberFormat="1" applyFont="1" applyFill="1" applyBorder="1"/>
    <xf numFmtId="0" fontId="3" fillId="0" borderId="15" xfId="0" applyFont="1" applyFill="1" applyBorder="1" applyAlignment="1">
      <alignment horizontal="center"/>
    </xf>
    <xf numFmtId="164" fontId="3" fillId="0" borderId="0" xfId="18" applyNumberFormat="1" applyFont="1"/>
    <xf numFmtId="44" fontId="0" fillId="0" borderId="0" xfId="16" applyNumberFormat="1" applyFont="1" applyFill="1" applyBorder="1"/>
    <xf numFmtId="42" fontId="0" fillId="0" borderId="0" xfId="18" applyNumberFormat="1" applyFont="1"/>
    <xf numFmtId="0" fontId="3" fillId="35" borderId="0" xfId="0" applyFont="1" applyFill="1" applyAlignment="1">
      <alignment horizontal="center"/>
    </xf>
    <xf numFmtId="0" fontId="3" fillId="35" borderId="15" xfId="0" applyFont="1" applyFill="1" applyBorder="1" applyAlignment="1">
      <alignment horizontal="center"/>
    </xf>
    <xf numFmtId="0" fontId="3" fillId="36" borderId="0" xfId="0" applyFont="1" applyFill="1" applyAlignment="1">
      <alignment horizontal="center"/>
    </xf>
    <xf numFmtId="0" fontId="3" fillId="36" borderId="15" xfId="0" applyFont="1" applyFill="1" applyBorder="1" applyAlignment="1">
      <alignment horizontal="center"/>
    </xf>
    <xf numFmtId="0" fontId="3" fillId="0" borderId="0" xfId="0" applyFont="1" applyFill="1" applyAlignment="1">
      <alignment horizontal="center"/>
    </xf>
    <xf numFmtId="43" fontId="0" fillId="0" borderId="0" xfId="18" applyFont="1" applyFill="1" applyBorder="1"/>
    <xf numFmtId="164" fontId="3" fillId="0" borderId="0" xfId="18" applyNumberFormat="1" applyFont="1" applyFill="1"/>
    <xf numFmtId="164" fontId="3" fillId="0" borderId="0" xfId="18" applyNumberFormat="1" applyFont="1" applyFill="1" applyAlignment="1">
      <alignment horizontal="center"/>
    </xf>
    <xf numFmtId="164" fontId="3" fillId="0" borderId="0" xfId="18" applyNumberFormat="1" applyFont="1" applyFill="1" applyAlignment="1">
      <alignment horizontal="center"/>
    </xf>
    <xf numFmtId="0" fontId="3" fillId="0" borderId="26" xfId="0" applyFont="1" applyFill="1" applyBorder="1" applyAlignment="1">
      <alignment horizontal="center"/>
    </xf>
    <xf numFmtId="164" fontId="3" fillId="0" borderId="26" xfId="18" applyNumberFormat="1" applyFont="1" applyFill="1" applyBorder="1" applyAlignment="1">
      <alignment horizontal="center"/>
    </xf>
    <xf numFmtId="164" fontId="3" fillId="0" borderId="26" xfId="18" applyNumberFormat="1" applyFont="1" applyFill="1" applyBorder="1" applyAlignment="1">
      <alignment horizontal="center"/>
    </xf>
    <xf numFmtId="0" fontId="3" fillId="0" borderId="26" xfId="0" applyFont="1" applyFill="1" applyBorder="1" applyAlignment="1">
      <alignment horizontal="center"/>
    </xf>
    <xf numFmtId="0" fontId="3" fillId="0" borderId="20" xfId="0" applyFont="1" applyFill="1" applyBorder="1" applyAlignment="1">
      <alignment horizontal="center"/>
    </xf>
    <xf numFmtId="0" fontId="3" fillId="0" borderId="19" xfId="0" applyFont="1" applyFill="1" applyBorder="1" applyAlignment="1">
      <alignment horizontal="center"/>
    </xf>
    <xf numFmtId="0" fontId="3" fillId="0" borderId="23" xfId="0" applyFont="1" applyFill="1" applyBorder="1" applyAlignment="1">
      <alignment horizontal="center"/>
    </xf>
    <xf numFmtId="0" fontId="0" fillId="0" borderId="24" xfId="0" applyFont="1" applyFill="1" applyBorder="1"/>
    <xf numFmtId="0" fontId="0" fillId="0" borderId="15" xfId="0" applyFont="1" applyFill="1" applyBorder="1" applyAlignment="1">
      <alignment horizontal="center"/>
    </xf>
    <xf numFmtId="43" fontId="0" fillId="0" borderId="0" xfId="0" applyNumberFormat="1" applyFont="1" applyFill="1" applyBorder="1"/>
    <xf numFmtId="43" fontId="3" fillId="0" borderId="0" xfId="0" applyNumberFormat="1" applyFont="1" applyFill="1" applyBorder="1"/>
    <xf numFmtId="165" fontId="3" fillId="0" borderId="28" xfId="0" applyNumberFormat="1" applyFont="1" applyFill="1" applyBorder="1"/>
    <xf numFmtId="42" fontId="0" fillId="0" borderId="0" xfId="0" applyNumberFormat="1" applyBorder="1"/>
    <xf numFmtId="42" fontId="33" fillId="0" borderId="0" xfId="0" applyNumberFormat="1" applyFont="1"/>
    <xf numFmtId="0" fontId="0" fillId="0" borderId="0" xfId="0" applyNumberFormat="1" applyFont="1" applyFill="1" applyAlignment="1">
      <alignment horizontal="left" wrapText="1"/>
    </xf>
    <xf numFmtId="0" fontId="0" fillId="0" borderId="0" xfId="0" applyFont="1" applyFill="1" applyAlignment="1">
      <alignment horizontal="left" wrapText="1"/>
    </xf>
    <xf numFmtId="0" fontId="0" fillId="0" borderId="0" xfId="0" applyNumberFormat="1" applyFont="1" applyFill="1" applyAlignment="1">
      <alignment wrapText="1"/>
    </xf>
    <xf numFmtId="0" fontId="1" fillId="0" borderId="0" xfId="0" applyFont="1" applyFill="1" applyAlignment="1">
      <alignment/>
    </xf>
    <xf numFmtId="0" fontId="1" fillId="0" borderId="0" xfId="0" applyNumberFormat="1" applyFont="1" applyFill="1" applyAlignment="1">
      <alignment/>
    </xf>
    <xf numFmtId="0" fontId="1" fillId="0" borderId="0" xfId="0" applyFont="1" applyFill="1" applyAlignment="1">
      <alignment horizontal="right"/>
    </xf>
    <xf numFmtId="0" fontId="1" fillId="0" borderId="0" xfId="0" applyNumberFormat="1" applyFont="1" applyFill="1" applyAlignment="1">
      <alignment horizontal="left" wrapText="1"/>
    </xf>
    <xf numFmtId="0" fontId="31" fillId="0" borderId="0" xfId="0" applyFont="1" applyFill="1"/>
    <xf numFmtId="0" fontId="0" fillId="0" borderId="0" xfId="0" applyFill="1" applyAlignment="1">
      <alignment wrapText="1"/>
    </xf>
    <xf numFmtId="0" fontId="52" fillId="0" borderId="0" xfId="0" applyFont="1" applyFill="1" applyAlignment="1">
      <alignment/>
    </xf>
    <xf numFmtId="181" fontId="0" fillId="0" borderId="0" xfId="0" applyNumberFormat="1"/>
    <xf numFmtId="42" fontId="3" fillId="0" borderId="29" xfId="18" applyNumberFormat="1" applyFont="1" applyBorder="1"/>
    <xf numFmtId="41" fontId="0" fillId="0" borderId="0" xfId="0" applyNumberFormat="1" applyBorder="1"/>
    <xf numFmtId="41" fontId="33" fillId="0" borderId="0" xfId="0" applyNumberFormat="1" applyFont="1"/>
    <xf numFmtId="41" fontId="0" fillId="0" borderId="0" xfId="0" applyNumberFormat="1" applyFont="1"/>
    <xf numFmtId="41" fontId="0" fillId="0" borderId="0" xfId="18" applyNumberFormat="1" applyFont="1"/>
    <xf numFmtId="10" fontId="3" fillId="0" borderId="0" xfId="15" applyNumberFormat="1" applyFont="1" applyFill="1" applyBorder="1"/>
    <xf numFmtId="10" fontId="0" fillId="0" borderId="0" xfId="15" applyNumberFormat="1" applyFont="1" applyFill="1" applyBorder="1"/>
    <xf numFmtId="41" fontId="0" fillId="0" borderId="0" xfId="16" applyNumberFormat="1" applyFont="1" applyFill="1" applyBorder="1"/>
    <xf numFmtId="42" fontId="0" fillId="0" borderId="0" xfId="16" applyNumberFormat="1" applyFont="1" applyFill="1" applyBorder="1"/>
    <xf numFmtId="41" fontId="0" fillId="0" borderId="0" xfId="0" applyNumberFormat="1" applyFill="1"/>
    <xf numFmtId="42" fontId="0" fillId="0" borderId="0" xfId="16" applyNumberFormat="1" applyFont="1" applyFill="1"/>
    <xf numFmtId="0" fontId="0" fillId="0" borderId="0" xfId="0" applyFont="1" applyFill="1" applyAlignment="1">
      <alignment horizontal="center"/>
    </xf>
    <xf numFmtId="42" fontId="3" fillId="0" borderId="0" xfId="0" applyNumberFormat="1" applyFont="1" applyFill="1"/>
    <xf numFmtId="41" fontId="3" fillId="0" borderId="0" xfId="0" applyNumberFormat="1" applyFont="1" applyFill="1"/>
    <xf numFmtId="42" fontId="3" fillId="0" borderId="29" xfId="0" applyNumberFormat="1" applyFont="1" applyFill="1" applyBorder="1"/>
    <xf numFmtId="168" fontId="0" fillId="0" borderId="0" xfId="0" applyNumberFormat="1" applyAlignment="1">
      <alignment horizontal="center"/>
    </xf>
    <xf numFmtId="0" fontId="0" fillId="0" borderId="0" xfId="0" applyAlignment="1">
      <alignment horizontal="left"/>
    </xf>
    <xf numFmtId="0" fontId="53" fillId="0" borderId="30" xfId="0" applyFont="1" applyBorder="1" applyAlignment="1">
      <alignment horizontal="center"/>
    </xf>
    <xf numFmtId="0" fontId="53" fillId="0" borderId="9" xfId="0" applyFont="1" applyBorder="1" applyAlignment="1">
      <alignment horizontal="center" wrapText="1"/>
    </xf>
    <xf numFmtId="0" fontId="53" fillId="0" borderId="31" xfId="0" applyFont="1" applyBorder="1" applyAlignment="1">
      <alignment horizontal="center"/>
    </xf>
    <xf numFmtId="0" fontId="4" fillId="0" borderId="32" xfId="0" applyFont="1" applyBorder="1"/>
    <xf numFmtId="0" fontId="53" fillId="0" borderId="30" xfId="0" applyFont="1" applyBorder="1"/>
    <xf numFmtId="41" fontId="4" fillId="0" borderId="0" xfId="16" applyNumberFormat="1" applyFont="1" applyBorder="1"/>
    <xf numFmtId="41" fontId="4" fillId="0" borderId="33" xfId="0" applyNumberFormat="1" applyFont="1" applyBorder="1"/>
    <xf numFmtId="41" fontId="4" fillId="0" borderId="9" xfId="16" applyNumberFormat="1" applyFont="1" applyBorder="1"/>
    <xf numFmtId="41" fontId="4" fillId="0" borderId="31" xfId="0" applyNumberFormat="1" applyFont="1" applyBorder="1"/>
    <xf numFmtId="42" fontId="4" fillId="0" borderId="0" xfId="16" applyNumberFormat="1" applyFont="1" applyBorder="1"/>
    <xf numFmtId="42" fontId="4" fillId="0" borderId="33" xfId="0" applyNumberFormat="1" applyFont="1" applyBorder="1"/>
    <xf numFmtId="42" fontId="53" fillId="0" borderId="9" xfId="0" applyNumberFormat="1" applyFont="1" applyBorder="1"/>
    <xf numFmtId="42" fontId="53" fillId="0" borderId="31" xfId="0" applyNumberFormat="1" applyFont="1" applyBorder="1"/>
    <xf numFmtId="42" fontId="0" fillId="0" borderId="0" xfId="18" applyNumberFormat="1" applyFont="1"/>
    <xf numFmtId="42" fontId="3" fillId="0" borderId="0" xfId="18" applyNumberFormat="1" applyFont="1"/>
    <xf numFmtId="41" fontId="0" fillId="0" borderId="0" xfId="18" applyNumberFormat="1" applyFont="1" applyFill="1" applyBorder="1"/>
    <xf numFmtId="41" fontId="3" fillId="0" borderId="0" xfId="0" applyNumberFormat="1" applyFont="1" applyFill="1" applyBorder="1" applyAlignment="1">
      <alignment horizontal="center"/>
    </xf>
    <xf numFmtId="41" fontId="0" fillId="0" borderId="0" xfId="0" applyNumberFormat="1" applyFont="1" applyFill="1" applyBorder="1" applyAlignment="1">
      <alignment horizontal="center"/>
    </xf>
    <xf numFmtId="0" fontId="19" fillId="0" borderId="0" xfId="0" applyFont="1" applyAlignment="1">
      <alignment wrapText="1"/>
    </xf>
    <xf numFmtId="0" fontId="3" fillId="0" borderId="0" xfId="0" applyFont="1" applyFill="1" applyBorder="1"/>
    <xf numFmtId="0" fontId="10" fillId="37" borderId="0" xfId="0" applyFont="1" applyFill="1" applyBorder="1" applyAlignment="1">
      <alignment horizontal="center"/>
    </xf>
    <xf numFmtId="0" fontId="11" fillId="38" borderId="0" xfId="0" applyFont="1" applyFill="1" applyAlignment="1">
      <alignment horizontal="center"/>
    </xf>
    <xf numFmtId="0" fontId="53" fillId="0" borderId="34" xfId="0" applyFont="1" applyBorder="1" applyAlignment="1">
      <alignment horizontal="center" wrapText="1"/>
    </xf>
    <xf numFmtId="0" fontId="53" fillId="0" borderId="27" xfId="0" applyFont="1" applyBorder="1" applyAlignment="1">
      <alignment horizontal="center" wrapText="1"/>
    </xf>
    <xf numFmtId="0" fontId="53" fillId="0" borderId="35" xfId="0" applyFont="1" applyBorder="1" applyAlignment="1">
      <alignment horizontal="center" wrapText="1"/>
    </xf>
    <xf numFmtId="0" fontId="3" fillId="0" borderId="36" xfId="0" applyFont="1" applyBorder="1" applyAlignment="1">
      <alignment horizontal="center"/>
    </xf>
    <xf numFmtId="0" fontId="3" fillId="0" borderId="27" xfId="0" applyFont="1" applyBorder="1" applyAlignment="1">
      <alignment horizontal="center"/>
    </xf>
    <xf numFmtId="0" fontId="3" fillId="0" borderId="37" xfId="0" applyFont="1" applyBorder="1" applyAlignment="1">
      <alignment horizontal="center"/>
    </xf>
    <xf numFmtId="0" fontId="3" fillId="0" borderId="15" xfId="0" applyFont="1" applyFill="1" applyBorder="1" applyAlignment="1">
      <alignment horizontal="center"/>
    </xf>
    <xf numFmtId="0" fontId="3" fillId="0" borderId="15" xfId="0" applyFont="1" applyFill="1" applyBorder="1" applyAlignment="1">
      <alignment horizontal="center"/>
    </xf>
    <xf numFmtId="0" fontId="0" fillId="0" borderId="0" xfId="0" applyNumberFormat="1" applyFont="1" applyFill="1" applyAlignment="1">
      <alignment horizontal="left" wrapText="1"/>
    </xf>
    <xf numFmtId="0" fontId="0" fillId="0" borderId="0" xfId="0" applyFont="1" applyFill="1" applyAlignment="1">
      <alignment horizontal="left" wrapText="1"/>
    </xf>
    <xf numFmtId="0" fontId="0" fillId="0" borderId="0" xfId="0" applyNumberFormat="1" applyFill="1" applyAlignment="1">
      <alignment horizontal="left" wrapText="1"/>
    </xf>
    <xf numFmtId="0" fontId="1" fillId="0" borderId="0" xfId="0" applyNumberFormat="1" applyFont="1" applyFill="1" applyAlignment="1">
      <alignment horizontal="left" wrapText="1"/>
    </xf>
    <xf numFmtId="0" fontId="1" fillId="0" borderId="0" xfId="0" applyFont="1" applyFill="1" applyAlignment="1">
      <alignment horizontal="left" wrapText="1"/>
    </xf>
    <xf numFmtId="0" fontId="0" fillId="0" borderId="0" xfId="0" applyFill="1" applyAlignment="1">
      <alignment horizontal="left" wrapText="1"/>
    </xf>
    <xf numFmtId="0" fontId="16" fillId="0" borderId="38" xfId="0" applyFont="1" applyFill="1" applyBorder="1" applyAlignment="1">
      <alignment horizontal="left" vertical="top" wrapText="1"/>
    </xf>
    <xf numFmtId="0" fontId="16" fillId="0" borderId="39" xfId="0" applyFont="1" applyFill="1" applyBorder="1" applyAlignment="1">
      <alignment horizontal="left" vertical="top" wrapText="1"/>
    </xf>
    <xf numFmtId="0" fontId="16" fillId="0" borderId="40" xfId="0" applyFont="1" applyFill="1" applyBorder="1" applyAlignment="1">
      <alignment horizontal="left" vertical="top" wrapText="1"/>
    </xf>
    <xf numFmtId="0" fontId="52" fillId="0" borderId="0" xfId="0" applyNumberFormat="1" applyFont="1" applyFill="1" applyAlignment="1">
      <alignment horizontal="left" wrapText="1"/>
    </xf>
    <xf numFmtId="0" fontId="17" fillId="0" borderId="38" xfId="0" applyFont="1" applyFill="1" applyBorder="1" applyAlignment="1">
      <alignment horizontal="center" vertical="top" wrapText="1"/>
    </xf>
    <xf numFmtId="0" fontId="17" fillId="0" borderId="39" xfId="0" applyFont="1" applyFill="1" applyBorder="1" applyAlignment="1">
      <alignment horizontal="center" vertical="top" wrapText="1"/>
    </xf>
    <xf numFmtId="0" fontId="17" fillId="0" borderId="40" xfId="0" applyFont="1" applyFill="1" applyBorder="1" applyAlignment="1">
      <alignment horizontal="center" vertical="top" wrapText="1"/>
    </xf>
    <xf numFmtId="0" fontId="17" fillId="0" borderId="38" xfId="0" applyFont="1" applyFill="1" applyBorder="1" applyAlignment="1">
      <alignment horizontal="center" vertical="top" wrapText="1"/>
    </xf>
    <xf numFmtId="0" fontId="17" fillId="0" borderId="39" xfId="0" applyFont="1" applyFill="1" applyBorder="1" applyAlignment="1">
      <alignment horizontal="center" vertical="top" wrapText="1"/>
    </xf>
    <xf numFmtId="0" fontId="17" fillId="0" borderId="40" xfId="0" applyFont="1" applyFill="1" applyBorder="1" applyAlignment="1">
      <alignment horizontal="center" vertical="top" wrapText="1"/>
    </xf>
    <xf numFmtId="0" fontId="3" fillId="0" borderId="15" xfId="0" applyFont="1" applyBorder="1" applyAlignment="1">
      <alignment horizontal="center"/>
    </xf>
  </cellXfs>
  <cellStyles count="285">
    <cellStyle name="Normal" xfId="0" builtinId="0"/>
    <cellStyle name="Percent" xfId="15" builtinId="5"/>
    <cellStyle name="Currency" xfId="16" builtinId="4"/>
    <cellStyle name="Currency [0]" xfId="17" builtinId="7"/>
    <cellStyle name="Comma" xfId="18" builtinId="3"/>
    <cellStyle name="Comma [0]" xfId="19" builtinId="6"/>
    <cellStyle name="Hyperlink" xfId="20" builtinId="8"/>
    <cellStyle name="Normal 2" xfId="21"/>
    <cellStyle name="Normal 3" xfId="22"/>
    <cellStyle name="Normal 4" xfId="23"/>
    <cellStyle name="Percent 2" xfId="24"/>
    <cellStyle name="Comma 2" xfId="25"/>
    <cellStyle name="Title" xfId="26" builtinId="15"/>
    <cellStyle name="Heading 1" xfId="27" builtinId="16"/>
    <cellStyle name="Heading 2" xfId="28" builtinId="17"/>
    <cellStyle name="Heading 3" xfId="29" builtinId="18"/>
    <cellStyle name="Heading 4" xfId="30" builtinId="19"/>
    <cellStyle name="Good" xfId="31" builtinId="26"/>
    <cellStyle name="Bad" xfId="32" builtinId="27"/>
    <cellStyle name="Neutral" xfId="33" builtinId="28"/>
    <cellStyle name="Output" xfId="34" builtinId="21"/>
    <cellStyle name="Calculation" xfId="35" builtinId="22"/>
    <cellStyle name="Linked Cell" xfId="36" builtinId="24"/>
    <cellStyle name="Check Cell" xfId="37" builtinId="23"/>
    <cellStyle name="Warning Text" xfId="38" builtinId="11"/>
    <cellStyle name="Explanatory Text" xfId="39" builtinId="53"/>
    <cellStyle name="Total" xfId="40" builtinId="25"/>
    <cellStyle name="Accent1" xfId="41" builtinId="29"/>
    <cellStyle name="20% - Accent1" xfId="42" builtinId="30"/>
    <cellStyle name="40% - Accent1" xfId="43" builtinId="31"/>
    <cellStyle name="60% - Accent1" xfId="44" builtinId="32"/>
    <cellStyle name="Accent2" xfId="45" builtinId="33"/>
    <cellStyle name="20% - Accent2" xfId="46" builtinId="34"/>
    <cellStyle name="40% - Accent2" xfId="47" builtinId="35"/>
    <cellStyle name="60% - Accent2" xfId="48" builtinId="36"/>
    <cellStyle name="Accent3" xfId="49" builtinId="37"/>
    <cellStyle name="20% - Accent3" xfId="50" builtinId="38"/>
    <cellStyle name="40% - Accent3" xfId="51" builtinId="39"/>
    <cellStyle name="60% - Accent3" xfId="52" builtinId="40"/>
    <cellStyle name="Accent4" xfId="53" builtinId="41"/>
    <cellStyle name="20% - Accent4" xfId="54" builtinId="42"/>
    <cellStyle name="40% - Accent4" xfId="55" builtinId="43"/>
    <cellStyle name="60% - Accent4" xfId="56" builtinId="44"/>
    <cellStyle name="Accent5" xfId="57" builtinId="45"/>
    <cellStyle name="20% - Accent5" xfId="58" builtinId="46"/>
    <cellStyle name="40% - Accent5" xfId="59" builtinId="47"/>
    <cellStyle name="60% - Accent5" xfId="60" builtinId="48"/>
    <cellStyle name="Accent6" xfId="61" builtinId="49"/>
    <cellStyle name="20% - Accent6" xfId="62" builtinId="50"/>
    <cellStyle name="40% - Accent6" xfId="63" builtinId="51"/>
    <cellStyle name="60% - Accent6" xfId="64" builtinId="52"/>
    <cellStyle name="Normal 5" xfId="65"/>
    <cellStyle name="_TXU Gas Plants ML - Henwood 12-5-05 " xfId="66"/>
    <cellStyle name="Input 3" xfId="67"/>
    <cellStyle name="r_Accretion " xfId="68"/>
    <cellStyle name="20% - Accent1 2" xfId="69"/>
    <cellStyle name="40% - Accent1 2" xfId="70"/>
    <cellStyle name="20% - Accent2 2" xfId="71"/>
    <cellStyle name="40% - Accent2 2" xfId="72"/>
    <cellStyle name="20% - Accent3 2" xfId="73"/>
    <cellStyle name="40% - Accent3 2" xfId="74"/>
    <cellStyle name="20% - Accent4 2" xfId="75"/>
    <cellStyle name="40% - Accent4 2" xfId="76"/>
    <cellStyle name="20% - Accent5 2" xfId="77"/>
    <cellStyle name="40% - Accent5 2" xfId="78"/>
    <cellStyle name="20% - Accent6 2" xfId="79"/>
    <cellStyle name="40% - Accent6 2" xfId="80"/>
    <cellStyle name="Normal 3 5" xfId="81"/>
    <cellStyle name="Normal 2 2" xfId="82"/>
    <cellStyle name="Comma [0] 5" xfId="83"/>
    <cellStyle name="Comma 2 5" xfId="84"/>
    <cellStyle name="Normal 2 2 2" xfId="85"/>
    <cellStyle name="Normal 4 5" xfId="86"/>
    <cellStyle name="Normal 6" xfId="87"/>
    <cellStyle name="Comma 17" xfId="88"/>
    <cellStyle name="Comma [0] 4" xfId="89"/>
    <cellStyle name="20% - Accent1 3" xfId="90"/>
    <cellStyle name="40% - Accent1 3" xfId="91"/>
    <cellStyle name="20% - Accent2 3" xfId="92"/>
    <cellStyle name="40% - Accent2 3" xfId="93"/>
    <cellStyle name="20% - Accent3 3" xfId="94"/>
    <cellStyle name="40% - Accent3 3" xfId="95"/>
    <cellStyle name="20% - Accent4 3" xfId="96"/>
    <cellStyle name="40% - Accent4 3" xfId="97"/>
    <cellStyle name="20% - Accent5 3" xfId="98"/>
    <cellStyle name="40% - Accent5 3" xfId="99"/>
    <cellStyle name="20% - Accent6 3" xfId="100"/>
    <cellStyle name="40% - Accent6 3" xfId="101"/>
    <cellStyle name="Normal 5 4" xfId="102"/>
    <cellStyle name="Comma 3" xfId="103"/>
    <cellStyle name="Currency 2" xfId="104"/>
    <cellStyle name="Input 2" xfId="105"/>
    <cellStyle name="Percent 2 4" xfId="106"/>
    <cellStyle name="20% - Accent1 2 2" xfId="107"/>
    <cellStyle name="40% - Accent1 2 2" xfId="108"/>
    <cellStyle name="20% - Accent2 2 2" xfId="109"/>
    <cellStyle name="40% - Accent2 2 2" xfId="110"/>
    <cellStyle name="20% - Accent3 2 2" xfId="111"/>
    <cellStyle name="40% - Accent3 2 2" xfId="112"/>
    <cellStyle name="20% - Accent4 2 2" xfId="113"/>
    <cellStyle name="40% - Accent4 2 2" xfId="114"/>
    <cellStyle name="20% - Accent5 2 2" xfId="115"/>
    <cellStyle name="40% - Accent5 2 2" xfId="116"/>
    <cellStyle name="20% - Accent6 2 2" xfId="117"/>
    <cellStyle name="40% - Accent6 2 2" xfId="118"/>
    <cellStyle name="Normal 3 2" xfId="119"/>
    <cellStyle name="Comma [0] 2" xfId="120"/>
    <cellStyle name="Comma 2 2" xfId="121"/>
    <cellStyle name="Normal 4 2" xfId="122"/>
    <cellStyle name="Comma 4" xfId="123"/>
    <cellStyle name="Comma 8" xfId="124"/>
    <cellStyle name="Comma 5" xfId="125"/>
    <cellStyle name="Comma 13" xfId="126"/>
    <cellStyle name="Comma 14" xfId="127"/>
    <cellStyle name="Comma 9" xfId="128"/>
    <cellStyle name="Comma 12" xfId="129"/>
    <cellStyle name="Comma 16" xfId="130"/>
    <cellStyle name="Comma [0] 3" xfId="131"/>
    <cellStyle name="Comma 6" xfId="132"/>
    <cellStyle name="Comma 7" xfId="133"/>
    <cellStyle name="Comma 11" xfId="134"/>
    <cellStyle name="Comma 15" xfId="135"/>
    <cellStyle name="Comma 10" xfId="136"/>
    <cellStyle name="Normal 7" xfId="137"/>
    <cellStyle name="Comma 18" xfId="138"/>
    <cellStyle name="Comma 2 3" xfId="139"/>
    <cellStyle name="£ BP" xfId="140"/>
    <cellStyle name="¥ JY" xfId="141"/>
    <cellStyle name="Adjustable" xfId="142"/>
    <cellStyle name="Bold/Border" xfId="143"/>
    <cellStyle name="Bullet" xfId="144"/>
    <cellStyle name="Cancel 2 2" xfId="145"/>
    <cellStyle name="Comma 2 2 2" xfId="146"/>
    <cellStyle name="Comma 3 3" xfId="147"/>
    <cellStyle name="Comma 3 2" xfId="148"/>
    <cellStyle name="Normal 10" xfId="149"/>
    <cellStyle name="Comma0 - Modelo1" xfId="150"/>
    <cellStyle name="Comma0 - Style1" xfId="151"/>
    <cellStyle name="Comma1 - Modelo2" xfId="152"/>
    <cellStyle name="Comma1 - Style2" xfId="153"/>
    <cellStyle name="CommaRounded" xfId="154"/>
    <cellStyle name="Comma 21" xfId="155"/>
    <cellStyle name="Currency 2 2" xfId="156"/>
    <cellStyle name="Currency 2 3" xfId="157"/>
    <cellStyle name="Currency 2_Sheet1" xfId="158"/>
    <cellStyle name="Dash" xfId="159"/>
    <cellStyle name="Dia" xfId="160"/>
    <cellStyle name="Encabez1" xfId="161"/>
    <cellStyle name="Encabez2" xfId="162"/>
    <cellStyle name="F2" xfId="163"/>
    <cellStyle name="F3" xfId="164"/>
    <cellStyle name="F4" xfId="165"/>
    <cellStyle name="F5" xfId="166"/>
    <cellStyle name="F6" xfId="167"/>
    <cellStyle name="F7" xfId="168"/>
    <cellStyle name="F8" xfId="169"/>
    <cellStyle name="Fijo" xfId="170"/>
    <cellStyle name="Financiero" xfId="171"/>
    <cellStyle name="Millares [0]_10 AVERIAS MASIVAS + ANT" xfId="172"/>
    <cellStyle name="Millares_10 AVERIAS MASIVAS + ANT" xfId="173"/>
    <cellStyle name="Moneda [0]_10 AVERIAS MASIVAS + ANT" xfId="174"/>
    <cellStyle name="Moneda_10 AVERIAS MASIVAS + ANT" xfId="175"/>
    <cellStyle name="Normal - Style1" xfId="176"/>
    <cellStyle name="Comma 19" xfId="177"/>
    <cellStyle name="Normal 2 3" xfId="178"/>
    <cellStyle name="Normal 2_JE_2010-10-31_0000327287" xfId="179"/>
    <cellStyle name="Normal 3 3" xfId="180"/>
    <cellStyle name="nPlosion" xfId="181"/>
    <cellStyle name="nvision" xfId="182"/>
    <cellStyle name="PB Table Heading" xfId="183"/>
    <cellStyle name="PB Table Highlight1" xfId="184"/>
    <cellStyle name="PB Table Highlight2" xfId="185"/>
    <cellStyle name="PB Table Highlight3" xfId="186"/>
    <cellStyle name="PB Table Standard Row" xfId="187"/>
    <cellStyle name="PB Table Subtotal Row" xfId="188"/>
    <cellStyle name="PB Table Total Row" xfId="189"/>
    <cellStyle name="Normal 8" xfId="190"/>
    <cellStyle name="Percent 2 2" xfId="191"/>
    <cellStyle name="Percent 2 3" xfId="192"/>
    <cellStyle name="PSChar" xfId="193"/>
    <cellStyle name="PSDate" xfId="194"/>
    <cellStyle name="PSDec" xfId="195"/>
    <cellStyle name="PSHeading" xfId="196"/>
    <cellStyle name="PSInt" xfId="197"/>
    <cellStyle name="PSSpacer" xfId="198"/>
    <cellStyle name="Normal 4 3" xfId="199"/>
    <cellStyle name="Normal 5 2" xfId="200"/>
    <cellStyle name="Heading 3 2" xfId="201"/>
    <cellStyle name="Heading 4 2" xfId="202"/>
    <cellStyle name="Normal 6 2" xfId="203"/>
    <cellStyle name="Comma [0] 2 2" xfId="204"/>
    <cellStyle name="Normal 17" xfId="205"/>
    <cellStyle name="Normal 26" xfId="206"/>
    <cellStyle name="Normal 37" xfId="207"/>
    <cellStyle name="Normal 74" xfId="208"/>
    <cellStyle name="Report" xfId="209"/>
    <cellStyle name="Normal 15" xfId="210"/>
    <cellStyle name="Number" xfId="211"/>
    <cellStyle name="PSCustom" xfId="212"/>
    <cellStyle name="PSSum" xfId="213"/>
    <cellStyle name="Comma 3 2 2" xfId="214"/>
    <cellStyle name="Normal 14" xfId="215"/>
    <cellStyle name="Comma 25" xfId="216"/>
    <cellStyle name="Normal 12" xfId="217"/>
    <cellStyle name="Comma 23" xfId="218"/>
    <cellStyle name="Comma 26" xfId="219"/>
    <cellStyle name="Normal 13" xfId="220"/>
    <cellStyle name="Normal 11" xfId="221"/>
    <cellStyle name="Comma 22" xfId="222"/>
    <cellStyle name="Normal 9" xfId="223"/>
    <cellStyle name="Comma 20" xfId="224"/>
    <cellStyle name="Comma 24" xfId="225"/>
    <cellStyle name="Normal 16" xfId="226"/>
    <cellStyle name="Comma 27" xfId="227"/>
    <cellStyle name="Normal 18" xfId="228"/>
    <cellStyle name="20% - Accent1 2 3" xfId="229"/>
    <cellStyle name="20% - Accent1 2 2 2" xfId="230"/>
    <cellStyle name="20% - Accent1 3 2" xfId="231"/>
    <cellStyle name="20% - Accent2 2 3" xfId="232"/>
    <cellStyle name="20% - Accent2 2 2 2" xfId="233"/>
    <cellStyle name="20% - Accent2 3 2" xfId="234"/>
    <cellStyle name="20% - Accent3 2 3" xfId="235"/>
    <cellStyle name="20% - Accent3 2 2 2" xfId="236"/>
    <cellStyle name="20% - Accent3 3 2" xfId="237"/>
    <cellStyle name="20% - Accent4 2 3" xfId="238"/>
    <cellStyle name="20% - Accent4 2 2 2" xfId="239"/>
    <cellStyle name="20% - Accent4 3 2" xfId="240"/>
    <cellStyle name="20% - Accent5 2 3" xfId="241"/>
    <cellStyle name="20% - Accent5 2 2 2" xfId="242"/>
    <cellStyle name="20% - Accent5 3 2" xfId="243"/>
    <cellStyle name="20% - Accent6 2 3" xfId="244"/>
    <cellStyle name="20% - Accent6 2 2 2" xfId="245"/>
    <cellStyle name="20% - Accent6 3 2" xfId="246"/>
    <cellStyle name="40% - Accent1 2 3" xfId="247"/>
    <cellStyle name="40% - Accent1 2 2 2" xfId="248"/>
    <cellStyle name="40% - Accent1 3 2" xfId="249"/>
    <cellStyle name="40% - Accent2 2 3" xfId="250"/>
    <cellStyle name="40% - Accent2 2 2 2" xfId="251"/>
    <cellStyle name="40% - Accent2 3 2" xfId="252"/>
    <cellStyle name="40% - Accent3 2 3" xfId="253"/>
    <cellStyle name="40% - Accent3 2 2 2" xfId="254"/>
    <cellStyle name="40% - Accent3 3 2" xfId="255"/>
    <cellStyle name="40% - Accent4 2 3" xfId="256"/>
    <cellStyle name="40% - Accent4 2 2 2" xfId="257"/>
    <cellStyle name="40% - Accent4 3 2" xfId="258"/>
    <cellStyle name="40% - Accent5 2 3" xfId="259"/>
    <cellStyle name="40% - Accent5 2 2 2" xfId="260"/>
    <cellStyle name="40% - Accent5 3 2" xfId="261"/>
    <cellStyle name="40% - Accent6 2 3" xfId="262"/>
    <cellStyle name="40% - Accent6 2 2 2" xfId="263"/>
    <cellStyle name="40% - Accent6 3 2" xfId="264"/>
    <cellStyle name="Comma [0] 4 2" xfId="265"/>
    <cellStyle name="Comma 17 2" xfId="266"/>
    <cellStyle name="Comma 18 2" xfId="267"/>
    <cellStyle name="Comma 19 2" xfId="268"/>
    <cellStyle name="Comma 2 4" xfId="269"/>
    <cellStyle name="Comma 2 2 3" xfId="270"/>
    <cellStyle name="Comma 20 2" xfId="271"/>
    <cellStyle name="Comma 21 2" xfId="272"/>
    <cellStyle name="Comma 22 2" xfId="273"/>
    <cellStyle name="Comma 23 2" xfId="274"/>
    <cellStyle name="Comma 24 2" xfId="275"/>
    <cellStyle name="Comma 25 2" xfId="276"/>
    <cellStyle name="Comma 26 2" xfId="277"/>
    <cellStyle name="Comma 27 2" xfId="278"/>
    <cellStyle name="Normal 10 2" xfId="279"/>
    <cellStyle name="Normal 11 2" xfId="280"/>
    <cellStyle name="Normal 12 2" xfId="281"/>
    <cellStyle name="Normal 13 2" xfId="282"/>
    <cellStyle name="Normal 14 2" xfId="283"/>
    <cellStyle name="Normal 15 2" xfId="284"/>
    <cellStyle name="Normal 16 2" xfId="285"/>
    <cellStyle name="Normal 17 2" xfId="286"/>
    <cellStyle name="Normal 26 2" xfId="287"/>
    <cellStyle name="Normal 3 4" xfId="288"/>
    <cellStyle name="Normal 3 2 2" xfId="289"/>
    <cellStyle name="Normal 37 2" xfId="290"/>
    <cellStyle name="Normal 4 4" xfId="291"/>
    <cellStyle name="Normal 4 2 2" xfId="292"/>
    <cellStyle name="Normal 5 3" xfId="293"/>
    <cellStyle name="Normal 6 3" xfId="294"/>
    <cellStyle name="Normal 7 2" xfId="295"/>
    <cellStyle name="Normal 74 2" xfId="296"/>
    <cellStyle name="Normal 8 2" xfId="297"/>
    <cellStyle name="Normal 9 2" xfId="298"/>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6" Type="http://schemas.openxmlformats.org/officeDocument/2006/relationships/worksheet" Target="worksheets/sheet4.xml" /><Relationship Id="rId48" Type="http://schemas.openxmlformats.org/officeDocument/2006/relationships/worksheet" Target="worksheets/sheet46.xml" /><Relationship Id="rId49" Type="http://schemas.openxmlformats.org/officeDocument/2006/relationships/worksheet" Target="worksheets/sheet47.xml" /><Relationship Id="rId55" Type="http://schemas.openxmlformats.org/officeDocument/2006/relationships/externalLink" Target="externalLinks/externalLink2.xml" /><Relationship Id="rId34" Type="http://schemas.openxmlformats.org/officeDocument/2006/relationships/worksheet" Target="worksheets/sheet32.xml" /><Relationship Id="rId35" Type="http://schemas.openxmlformats.org/officeDocument/2006/relationships/worksheet" Target="worksheets/sheet33.xml" /><Relationship Id="rId36" Type="http://schemas.openxmlformats.org/officeDocument/2006/relationships/worksheet" Target="worksheets/sheet34.xml" /><Relationship Id="rId37" Type="http://schemas.openxmlformats.org/officeDocument/2006/relationships/worksheet" Target="worksheets/sheet35.xml" /><Relationship Id="rId30" Type="http://schemas.openxmlformats.org/officeDocument/2006/relationships/worksheet" Target="worksheets/sheet28.xml" /><Relationship Id="rId31" Type="http://schemas.openxmlformats.org/officeDocument/2006/relationships/worksheet" Target="worksheets/sheet29.xml" /><Relationship Id="rId32" Type="http://schemas.openxmlformats.org/officeDocument/2006/relationships/worksheet" Target="worksheets/sheet30.xml" /><Relationship Id="rId33" Type="http://schemas.openxmlformats.org/officeDocument/2006/relationships/worksheet" Target="worksheets/sheet31.xml" /><Relationship Id="rId5" Type="http://schemas.openxmlformats.org/officeDocument/2006/relationships/worksheet" Target="worksheets/sheet3.xml" /><Relationship Id="rId38" Type="http://schemas.openxmlformats.org/officeDocument/2006/relationships/worksheet" Target="worksheets/sheet36.xml" /><Relationship Id="rId39" Type="http://schemas.openxmlformats.org/officeDocument/2006/relationships/worksheet" Target="worksheets/sheet37.xml" /><Relationship Id="rId9" Type="http://schemas.openxmlformats.org/officeDocument/2006/relationships/worksheet" Target="worksheets/sheet7.xml" /><Relationship Id="rId24" Type="http://schemas.openxmlformats.org/officeDocument/2006/relationships/worksheet" Target="worksheets/sheet22.xml" /><Relationship Id="rId25" Type="http://schemas.openxmlformats.org/officeDocument/2006/relationships/worksheet" Target="worksheets/sheet23.xml" /><Relationship Id="rId26" Type="http://schemas.openxmlformats.org/officeDocument/2006/relationships/worksheet" Target="worksheets/sheet24.xml" /><Relationship Id="rId27" Type="http://schemas.openxmlformats.org/officeDocument/2006/relationships/worksheet" Target="worksheets/sheet25.xml" /><Relationship Id="rId20" Type="http://schemas.openxmlformats.org/officeDocument/2006/relationships/worksheet" Target="worksheets/sheet18.xml" /><Relationship Id="rId21" Type="http://schemas.openxmlformats.org/officeDocument/2006/relationships/worksheet" Target="worksheets/sheet19.xml" /><Relationship Id="rId22" Type="http://schemas.openxmlformats.org/officeDocument/2006/relationships/worksheet" Target="worksheets/sheet20.xml" /><Relationship Id="rId23" Type="http://schemas.openxmlformats.org/officeDocument/2006/relationships/worksheet" Target="worksheets/sheet21.xml" /><Relationship Id="rId4" Type="http://schemas.openxmlformats.org/officeDocument/2006/relationships/worksheet" Target="worksheets/sheet2.xml" /><Relationship Id="rId28" Type="http://schemas.openxmlformats.org/officeDocument/2006/relationships/worksheet" Target="worksheets/sheet26.xml" /><Relationship Id="rId29" Type="http://schemas.openxmlformats.org/officeDocument/2006/relationships/worksheet" Target="worksheets/sheet27.xml" /><Relationship Id="rId8" Type="http://schemas.openxmlformats.org/officeDocument/2006/relationships/worksheet" Target="worksheets/sheet6.xml" /><Relationship Id="rId14" Type="http://schemas.openxmlformats.org/officeDocument/2006/relationships/worksheet" Target="worksheets/sheet12.xml" /><Relationship Id="rId15" Type="http://schemas.openxmlformats.org/officeDocument/2006/relationships/worksheet" Target="worksheets/sheet13.xml" /><Relationship Id="rId16" Type="http://schemas.openxmlformats.org/officeDocument/2006/relationships/worksheet" Target="worksheets/sheet14.xml" /><Relationship Id="rId17" Type="http://schemas.openxmlformats.org/officeDocument/2006/relationships/worksheet" Target="worksheets/sheet15.xml" /><Relationship Id="rId10" Type="http://schemas.openxmlformats.org/officeDocument/2006/relationships/worksheet" Target="worksheets/sheet8.xml" /><Relationship Id="rId11" Type="http://schemas.openxmlformats.org/officeDocument/2006/relationships/worksheet" Target="worksheets/sheet9.xml" /><Relationship Id="rId12" Type="http://schemas.openxmlformats.org/officeDocument/2006/relationships/worksheet" Target="worksheets/sheet10.xml" /><Relationship Id="rId13" Type="http://schemas.openxmlformats.org/officeDocument/2006/relationships/worksheet" Target="worksheets/sheet11.xml" /><Relationship Id="rId60" Type="http://schemas.openxmlformats.org/officeDocument/2006/relationships/calcChain" Target="calcChain.xml" /><Relationship Id="rId3" Type="http://schemas.openxmlformats.org/officeDocument/2006/relationships/worksheet" Target="worksheets/sheet1.xml" /><Relationship Id="rId18" Type="http://schemas.openxmlformats.org/officeDocument/2006/relationships/worksheet" Target="worksheets/sheet16.xml" /><Relationship Id="rId19" Type="http://schemas.openxmlformats.org/officeDocument/2006/relationships/worksheet" Target="worksheets/sheet17.xml" /><Relationship Id="rId54" Type="http://schemas.openxmlformats.org/officeDocument/2006/relationships/externalLink" Target="externalLinks/externalLink1.xml" /><Relationship Id="rId1" Type="http://schemas.openxmlformats.org/officeDocument/2006/relationships/theme" Target="theme/theme1.xml" /><Relationship Id="rId56" Type="http://schemas.openxmlformats.org/officeDocument/2006/relationships/externalLink" Target="externalLinks/externalLink3.xml" /><Relationship Id="rId57" Type="http://schemas.openxmlformats.org/officeDocument/2006/relationships/externalLink" Target="externalLinks/externalLink4.xml" /><Relationship Id="rId50" Type="http://schemas.openxmlformats.org/officeDocument/2006/relationships/worksheet" Target="worksheets/sheet48.xml" /><Relationship Id="rId51" Type="http://schemas.openxmlformats.org/officeDocument/2006/relationships/worksheet" Target="worksheets/sheet49.xml" /><Relationship Id="rId2" Type="http://schemas.microsoft.com/office/2006/relationships/vbaProject" Target="vbaProject.bin" /><Relationship Id="rId53" Type="http://schemas.openxmlformats.org/officeDocument/2006/relationships/sharedStrings" Target="sharedStrings.xml" /><Relationship Id="rId7" Type="http://schemas.openxmlformats.org/officeDocument/2006/relationships/worksheet" Target="worksheets/sheet5.xml" /><Relationship Id="rId58" Type="http://schemas.openxmlformats.org/officeDocument/2006/relationships/externalLink" Target="externalLinks/externalLink5.xml" /><Relationship Id="rId59" Type="http://schemas.openxmlformats.org/officeDocument/2006/relationships/externalLink" Target="externalLinks/externalLink6.xml" /><Relationship Id="rId52" Type="http://schemas.openxmlformats.org/officeDocument/2006/relationships/styles" Target="styles.xml" /><Relationship Id="rId44" Type="http://schemas.openxmlformats.org/officeDocument/2006/relationships/worksheet" Target="worksheets/sheet42.xml" /><Relationship Id="rId45" Type="http://schemas.openxmlformats.org/officeDocument/2006/relationships/worksheet" Target="worksheets/sheet43.xml" /><Relationship Id="rId46" Type="http://schemas.openxmlformats.org/officeDocument/2006/relationships/worksheet" Target="worksheets/sheet44.xml" /><Relationship Id="rId47" Type="http://schemas.openxmlformats.org/officeDocument/2006/relationships/worksheet" Target="worksheets/sheet45.xml" /><Relationship Id="rId40" Type="http://schemas.openxmlformats.org/officeDocument/2006/relationships/worksheet" Target="worksheets/sheet38.xml" /><Relationship Id="rId41" Type="http://schemas.openxmlformats.org/officeDocument/2006/relationships/worksheet" Target="worksheets/sheet39.xml" /><Relationship Id="rId42" Type="http://schemas.openxmlformats.org/officeDocument/2006/relationships/worksheet" Target="worksheets/sheet40.xml" /><Relationship Id="rId43" Type="http://schemas.openxmlformats.org/officeDocument/2006/relationships/worksheet" Target="worksheets/sheet41.xml" /></Relationships>
</file>

<file path=xl/externalLinks/_rels/externalLink1.xml.rels><?xml version="1.0" encoding="UTF-8" standalone="yes"?><Relationships xmlns="http://schemas.openxmlformats.org/package/2006/relationships"><Relationship Id="rId1" Type="http://schemas.openxmlformats.org/officeDocument/2006/relationships/externalLinkPath" Target="Schedule%20II-D%20Relied%20Upons/II-D-Functionalization.xlsm"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Schedule%20II-D%20Workpapers/WP_II-D%20Adjustment%20Summary.xlsm" TargetMode="External" /></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Schedule%20Headings.xlsm" TargetMode="External" /></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Section%20I%20(Summary)/Schedule%20I-A.xlsm" TargetMode="External" /></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Section%20II%20(Test%20Year%20Data)/Schedule%20F%20(Functionalization%20Factors)/Schedule%20II-F.xlsm" TargetMode="External" /></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Section%20II%20(Test%20Year%20Data)/Schedule%20E%20(Other%20Items)/Schedule%20II-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otal Summary"/>
      <sheetName val="Total Labor Summary"/>
      <sheetName val="ESD"/>
      <sheetName val="TRN"/>
      <sheetName val="TRNDS"/>
      <sheetName val="NTUSU"/>
      <sheetName val="Factors"/>
    </sheetNames>
    <sheetDataSet>
      <sheetData sheetId="0">
        <row r="2">
          <cell r="C2">
            <v>4183461.38</v>
          </cell>
          <cell r="D2">
            <v>193190.04</v>
          </cell>
          <cell r="E2">
            <v>0</v>
          </cell>
          <cell r="G2">
            <v>46904.71</v>
          </cell>
          <cell r="H2">
            <v>0</v>
          </cell>
          <cell r="J2">
            <v>1929.49</v>
          </cell>
          <cell r="K2">
            <v>0</v>
          </cell>
        </row>
        <row r="3">
          <cell r="C3">
            <v>17951503.37</v>
          </cell>
          <cell r="D3">
            <v>1774461.61</v>
          </cell>
          <cell r="E3">
            <v>400489.9</v>
          </cell>
          <cell r="G3">
            <v>0</v>
          </cell>
          <cell r="H3">
            <v>989.26</v>
          </cell>
          <cell r="J3">
            <v>0</v>
          </cell>
          <cell r="K3">
            <v>0</v>
          </cell>
        </row>
        <row r="4">
          <cell r="C4">
            <v>2188588.92</v>
          </cell>
          <cell r="D4">
            <v>155598.9</v>
          </cell>
          <cell r="E4">
            <v>0</v>
          </cell>
          <cell r="G4">
            <v>522403.14</v>
          </cell>
          <cell r="H4">
            <v>-49</v>
          </cell>
          <cell r="J4">
            <v>0</v>
          </cell>
          <cell r="K4">
            <v>0</v>
          </cell>
        </row>
        <row r="5">
          <cell r="C5">
            <v>2234850.92</v>
          </cell>
          <cell r="D5">
            <v>81457.5</v>
          </cell>
          <cell r="E5">
            <v>0</v>
          </cell>
          <cell r="G5">
            <v>0</v>
          </cell>
          <cell r="H5">
            <v>0</v>
          </cell>
          <cell r="J5">
            <v>0</v>
          </cell>
          <cell r="K5">
            <v>0</v>
          </cell>
        </row>
        <row r="6">
          <cell r="C6">
            <v>2674.86</v>
          </cell>
          <cell r="D6">
            <v>0</v>
          </cell>
          <cell r="E6">
            <v>0</v>
          </cell>
          <cell r="G6">
            <v>0</v>
          </cell>
          <cell r="H6">
            <v>0</v>
          </cell>
          <cell r="J6">
            <v>0</v>
          </cell>
          <cell r="K6">
            <v>0</v>
          </cell>
        </row>
        <row r="7">
          <cell r="C7">
            <v>0</v>
          </cell>
          <cell r="D7">
            <v>0</v>
          </cell>
          <cell r="E7">
            <v>0</v>
          </cell>
          <cell r="G7">
            <v>1517206007.59</v>
          </cell>
          <cell r="H7">
            <v>0</v>
          </cell>
          <cell r="J7">
            <v>0</v>
          </cell>
          <cell r="K7">
            <v>0</v>
          </cell>
        </row>
        <row r="8">
          <cell r="C8">
            <v>52694625.21</v>
          </cell>
          <cell r="D8">
            <v>3436299.67</v>
          </cell>
          <cell r="E8">
            <v>0</v>
          </cell>
          <cell r="G8">
            <v>268966.25</v>
          </cell>
          <cell r="H8">
            <v>1261.76</v>
          </cell>
          <cell r="J8">
            <v>0</v>
          </cell>
          <cell r="K8">
            <v>0</v>
          </cell>
        </row>
        <row r="9">
          <cell r="C9">
            <v>193244.05</v>
          </cell>
          <cell r="D9">
            <v>11.23</v>
          </cell>
          <cell r="E9">
            <v>0</v>
          </cell>
          <cell r="G9">
            <v>0</v>
          </cell>
          <cell r="H9">
            <v>0</v>
          </cell>
          <cell r="J9">
            <v>0</v>
          </cell>
          <cell r="K9">
            <v>0</v>
          </cell>
        </row>
        <row r="12">
          <cell r="C12">
            <v>497634.17</v>
          </cell>
          <cell r="D12">
            <v>18030.92</v>
          </cell>
          <cell r="E12">
            <v>0</v>
          </cell>
          <cell r="G12">
            <v>85793.72</v>
          </cell>
          <cell r="H12">
            <v>3368.53</v>
          </cell>
          <cell r="J12">
            <v>225.41</v>
          </cell>
          <cell r="K12">
            <v>0</v>
          </cell>
        </row>
        <row r="13">
          <cell r="C13">
            <v>51802.25</v>
          </cell>
          <cell r="D13">
            <v>11.51</v>
          </cell>
          <cell r="E13">
            <v>0</v>
          </cell>
          <cell r="G13">
            <v>24.05</v>
          </cell>
          <cell r="H13">
            <v>0</v>
          </cell>
          <cell r="J13">
            <v>0</v>
          </cell>
          <cell r="K13">
            <v>0</v>
          </cell>
        </row>
        <row r="14">
          <cell r="C14">
            <v>6797529.74</v>
          </cell>
          <cell r="D14">
            <v>1606018.99</v>
          </cell>
          <cell r="E14">
            <v>0</v>
          </cell>
          <cell r="G14">
            <v>178867.52</v>
          </cell>
          <cell r="H14">
            <v>10148.38</v>
          </cell>
          <cell r="J14">
            <v>0</v>
          </cell>
          <cell r="K14">
            <v>0</v>
          </cell>
        </row>
        <row r="15">
          <cell r="C15">
            <v>20743440.38</v>
          </cell>
          <cell r="D15">
            <v>396864.03</v>
          </cell>
          <cell r="E15">
            <v>0</v>
          </cell>
          <cell r="G15">
            <v>4628.74</v>
          </cell>
          <cell r="H15">
            <v>0</v>
          </cell>
          <cell r="J15">
            <v>0</v>
          </cell>
          <cell r="K15">
            <v>0</v>
          </cell>
        </row>
        <row r="16">
          <cell r="C16">
            <v>80.01</v>
          </cell>
          <cell r="D16">
            <v>0</v>
          </cell>
          <cell r="E16">
            <v>0</v>
          </cell>
          <cell r="G16">
            <v>79.02</v>
          </cell>
          <cell r="H16">
            <v>0</v>
          </cell>
          <cell r="J16">
            <v>0</v>
          </cell>
          <cell r="K16">
            <v>0</v>
          </cell>
        </row>
        <row r="17">
          <cell r="C17">
            <v>1688738.28</v>
          </cell>
          <cell r="D17">
            <v>7438.38</v>
          </cell>
          <cell r="E17">
            <v>0</v>
          </cell>
          <cell r="G17">
            <v>35136.54</v>
          </cell>
          <cell r="H17">
            <v>0</v>
          </cell>
          <cell r="J17">
            <v>0</v>
          </cell>
          <cell r="K17">
            <v>0</v>
          </cell>
        </row>
        <row r="20">
          <cell r="C20">
            <v>-2295.82</v>
          </cell>
          <cell r="D20">
            <v>0</v>
          </cell>
          <cell r="E20">
            <v>0</v>
          </cell>
          <cell r="G20">
            <v>7418229.13</v>
          </cell>
          <cell r="H20">
            <v>2529.86</v>
          </cell>
          <cell r="J20">
            <v>576761.88</v>
          </cell>
          <cell r="K20">
            <v>17814.45</v>
          </cell>
        </row>
        <row r="21">
          <cell r="C21">
            <v>0</v>
          </cell>
          <cell r="D21">
            <v>0</v>
          </cell>
          <cell r="E21">
            <v>0</v>
          </cell>
          <cell r="G21">
            <v>9673462.2</v>
          </cell>
          <cell r="H21">
            <v>0</v>
          </cell>
          <cell r="J21">
            <v>0</v>
          </cell>
          <cell r="K21">
            <v>0</v>
          </cell>
        </row>
        <row r="22">
          <cell r="C22">
            <v>199630.53</v>
          </cell>
          <cell r="D22">
            <v>0</v>
          </cell>
          <cell r="E22">
            <v>0</v>
          </cell>
          <cell r="G22">
            <v>3849449.76</v>
          </cell>
          <cell r="H22">
            <v>105821.08</v>
          </cell>
          <cell r="J22">
            <v>0</v>
          </cell>
          <cell r="K22">
            <v>0</v>
          </cell>
        </row>
        <row r="23">
          <cell r="C23">
            <v>200.75</v>
          </cell>
          <cell r="D23">
            <v>0</v>
          </cell>
          <cell r="E23">
            <v>0</v>
          </cell>
          <cell r="G23">
            <v>13538320.18</v>
          </cell>
          <cell r="H23">
            <v>0</v>
          </cell>
          <cell r="J23">
            <v>92025.48</v>
          </cell>
          <cell r="K23">
            <v>0</v>
          </cell>
        </row>
        <row r="24">
          <cell r="C24">
            <v>0</v>
          </cell>
          <cell r="D24">
            <v>0</v>
          </cell>
          <cell r="E24">
            <v>0</v>
          </cell>
          <cell r="G24">
            <v>10052240.3</v>
          </cell>
          <cell r="H24">
            <v>0</v>
          </cell>
          <cell r="J24">
            <v>7710.57</v>
          </cell>
          <cell r="K24">
            <v>0</v>
          </cell>
        </row>
        <row r="25">
          <cell r="C25">
            <v>0</v>
          </cell>
          <cell r="D25">
            <v>0</v>
          </cell>
          <cell r="E25">
            <v>0</v>
          </cell>
          <cell r="G25">
            <v>729.92</v>
          </cell>
          <cell r="H25">
            <v>0</v>
          </cell>
          <cell r="J25">
            <v>0</v>
          </cell>
          <cell r="K25">
            <v>0</v>
          </cell>
        </row>
        <row r="26">
          <cell r="C26">
            <v>0</v>
          </cell>
          <cell r="D26">
            <v>0</v>
          </cell>
          <cell r="E26">
            <v>0</v>
          </cell>
          <cell r="G26">
            <v>0</v>
          </cell>
          <cell r="H26">
            <v>0</v>
          </cell>
          <cell r="J26">
            <v>28481704.21</v>
          </cell>
          <cell r="K26">
            <v>0</v>
          </cell>
        </row>
        <row r="27">
          <cell r="C27">
            <v>0</v>
          </cell>
          <cell r="D27">
            <v>0</v>
          </cell>
          <cell r="E27">
            <v>0</v>
          </cell>
          <cell r="G27">
            <v>1638443.94</v>
          </cell>
          <cell r="H27">
            <v>0</v>
          </cell>
          <cell r="J27">
            <v>1344.86</v>
          </cell>
          <cell r="K27">
            <v>0</v>
          </cell>
        </row>
        <row r="28">
          <cell r="C28">
            <v>203747.62</v>
          </cell>
          <cell r="D28">
            <v>0</v>
          </cell>
          <cell r="E28">
            <v>0</v>
          </cell>
          <cell r="G28">
            <v>57799060.81</v>
          </cell>
          <cell r="H28">
            <v>162.75</v>
          </cell>
          <cell r="J28">
            <v>3128083.67</v>
          </cell>
          <cell r="K28">
            <v>66349.64</v>
          </cell>
        </row>
        <row r="29">
          <cell r="C29">
            <v>0</v>
          </cell>
          <cell r="D29">
            <v>0</v>
          </cell>
          <cell r="E29">
            <v>0</v>
          </cell>
          <cell r="G29">
            <v>281934.38</v>
          </cell>
          <cell r="H29">
            <v>0</v>
          </cell>
          <cell r="J29">
            <v>0</v>
          </cell>
          <cell r="K29">
            <v>0</v>
          </cell>
        </row>
        <row r="32">
          <cell r="C32">
            <v>13872.81</v>
          </cell>
          <cell r="D32">
            <v>472.73</v>
          </cell>
          <cell r="E32">
            <v>0</v>
          </cell>
          <cell r="G32">
            <v>2049498.84</v>
          </cell>
          <cell r="H32">
            <v>936.42</v>
          </cell>
          <cell r="J32">
            <v>724620.36</v>
          </cell>
          <cell r="K32">
            <v>0</v>
          </cell>
        </row>
        <row r="33">
          <cell r="C33">
            <v>287.17</v>
          </cell>
          <cell r="D33">
            <v>0</v>
          </cell>
          <cell r="E33">
            <v>0</v>
          </cell>
          <cell r="G33">
            <v>5772.44</v>
          </cell>
          <cell r="H33">
            <v>26.81</v>
          </cell>
          <cell r="J33">
            <v>0</v>
          </cell>
          <cell r="K33">
            <v>0</v>
          </cell>
        </row>
        <row r="34">
          <cell r="C34">
            <v>405025.83</v>
          </cell>
          <cell r="D34">
            <v>1989.49</v>
          </cell>
          <cell r="E34">
            <v>0</v>
          </cell>
          <cell r="G34">
            <v>9233978.93</v>
          </cell>
          <cell r="H34">
            <v>304330.67</v>
          </cell>
          <cell r="J34">
            <v>0</v>
          </cell>
          <cell r="K34">
            <v>0</v>
          </cell>
        </row>
        <row r="35">
          <cell r="C35">
            <v>1359.37</v>
          </cell>
          <cell r="D35">
            <v>57.26</v>
          </cell>
          <cell r="E35">
            <v>0</v>
          </cell>
          <cell r="G35">
            <v>107865395.04</v>
          </cell>
          <cell r="H35">
            <v>0</v>
          </cell>
          <cell r="J35">
            <v>174639.23</v>
          </cell>
          <cell r="K35">
            <v>0</v>
          </cell>
        </row>
        <row r="36">
          <cell r="C36">
            <v>0</v>
          </cell>
          <cell r="D36">
            <v>0</v>
          </cell>
          <cell r="E36">
            <v>0</v>
          </cell>
          <cell r="G36">
            <v>26513021.49</v>
          </cell>
          <cell r="H36">
            <v>0</v>
          </cell>
          <cell r="J36">
            <v>38011.04</v>
          </cell>
          <cell r="K36">
            <v>0</v>
          </cell>
        </row>
        <row r="37">
          <cell r="C37">
            <v>0</v>
          </cell>
          <cell r="D37">
            <v>0</v>
          </cell>
          <cell r="E37">
            <v>0</v>
          </cell>
          <cell r="G37">
            <v>4997523.64</v>
          </cell>
          <cell r="H37">
            <v>0</v>
          </cell>
          <cell r="J37">
            <v>229.01</v>
          </cell>
          <cell r="K37">
            <v>0</v>
          </cell>
        </row>
        <row r="38">
          <cell r="C38">
            <v>0</v>
          </cell>
          <cell r="D38">
            <v>0</v>
          </cell>
          <cell r="E38">
            <v>0</v>
          </cell>
          <cell r="G38">
            <v>9626096.35</v>
          </cell>
          <cell r="H38">
            <v>0</v>
          </cell>
          <cell r="J38">
            <v>16023.03</v>
          </cell>
          <cell r="K38">
            <v>0</v>
          </cell>
        </row>
        <row r="39">
          <cell r="C39">
            <v>0</v>
          </cell>
          <cell r="D39">
            <v>0</v>
          </cell>
          <cell r="E39">
            <v>0</v>
          </cell>
          <cell r="G39">
            <v>0</v>
          </cell>
          <cell r="H39">
            <v>0</v>
          </cell>
          <cell r="J39">
            <v>16435498.55</v>
          </cell>
          <cell r="K39">
            <v>0</v>
          </cell>
        </row>
        <row r="40">
          <cell r="C40">
            <v>0</v>
          </cell>
          <cell r="D40">
            <v>0</v>
          </cell>
          <cell r="E40">
            <v>0</v>
          </cell>
          <cell r="G40">
            <v>2183366.66</v>
          </cell>
          <cell r="H40">
            <v>39.61</v>
          </cell>
          <cell r="J40">
            <v>38438.68</v>
          </cell>
          <cell r="K40">
            <v>0</v>
          </cell>
        </row>
        <row r="43">
          <cell r="C43">
            <v>0</v>
          </cell>
          <cell r="D43">
            <v>0</v>
          </cell>
          <cell r="E43">
            <v>0</v>
          </cell>
          <cell r="G43">
            <v>114.29</v>
          </cell>
          <cell r="H43">
            <v>0</v>
          </cell>
          <cell r="J43">
            <v>13780.57</v>
          </cell>
          <cell r="K43">
            <v>2076.24</v>
          </cell>
        </row>
        <row r="44">
          <cell r="C44">
            <v>0</v>
          </cell>
          <cell r="D44">
            <v>0</v>
          </cell>
          <cell r="E44">
            <v>0</v>
          </cell>
          <cell r="G44">
            <v>0</v>
          </cell>
          <cell r="H44">
            <v>0</v>
          </cell>
          <cell r="J44">
            <v>124810.91</v>
          </cell>
          <cell r="K44">
            <v>0</v>
          </cell>
        </row>
        <row r="45">
          <cell r="C45">
            <v>0</v>
          </cell>
          <cell r="D45">
            <v>0</v>
          </cell>
          <cell r="E45">
            <v>0</v>
          </cell>
          <cell r="G45">
            <v>10743.1</v>
          </cell>
          <cell r="H45">
            <v>0</v>
          </cell>
          <cell r="J45">
            <v>8602561.05</v>
          </cell>
          <cell r="K45">
            <v>10906553.98</v>
          </cell>
        </row>
        <row r="46">
          <cell r="C46">
            <v>481266.76</v>
          </cell>
          <cell r="D46">
            <v>0</v>
          </cell>
          <cell r="E46">
            <v>0</v>
          </cell>
          <cell r="G46">
            <v>0</v>
          </cell>
          <cell r="H46">
            <v>0</v>
          </cell>
          <cell r="J46">
            <v>0</v>
          </cell>
          <cell r="K46">
            <v>296044.92</v>
          </cell>
        </row>
        <row r="47">
          <cell r="C47">
            <v>0</v>
          </cell>
          <cell r="D47">
            <v>0</v>
          </cell>
          <cell r="E47">
            <v>0</v>
          </cell>
          <cell r="G47">
            <v>0</v>
          </cell>
          <cell r="H47">
            <v>0</v>
          </cell>
          <cell r="J47">
            <v>0</v>
          </cell>
          <cell r="K47">
            <v>0</v>
          </cell>
        </row>
        <row r="50">
          <cell r="C50">
            <v>0</v>
          </cell>
          <cell r="D50">
            <v>0</v>
          </cell>
          <cell r="E50">
            <v>0</v>
          </cell>
          <cell r="G50">
            <v>0</v>
          </cell>
          <cell r="H50">
            <v>0</v>
          </cell>
          <cell r="J50">
            <v>0</v>
          </cell>
          <cell r="K50">
            <v>0</v>
          </cell>
        </row>
        <row r="51">
          <cell r="C51">
            <v>0</v>
          </cell>
          <cell r="D51">
            <v>0</v>
          </cell>
          <cell r="E51">
            <v>0</v>
          </cell>
          <cell r="G51">
            <v>0</v>
          </cell>
          <cell r="H51">
            <v>0</v>
          </cell>
          <cell r="J51">
            <v>0</v>
          </cell>
          <cell r="K51">
            <v>0</v>
          </cell>
        </row>
        <row r="52">
          <cell r="C52">
            <v>0</v>
          </cell>
          <cell r="D52">
            <v>0</v>
          </cell>
          <cell r="E52">
            <v>0</v>
          </cell>
          <cell r="G52">
            <v>249937.92</v>
          </cell>
          <cell r="H52">
            <v>0</v>
          </cell>
          <cell r="J52">
            <v>579610.08</v>
          </cell>
          <cell r="K52">
            <v>46425416.93</v>
          </cell>
        </row>
        <row r="53">
          <cell r="C53">
            <v>0</v>
          </cell>
          <cell r="D53">
            <v>0</v>
          </cell>
          <cell r="E53">
            <v>0</v>
          </cell>
          <cell r="G53">
            <v>0</v>
          </cell>
          <cell r="H53">
            <v>0</v>
          </cell>
          <cell r="J53">
            <v>0</v>
          </cell>
          <cell r="K53">
            <v>0</v>
          </cell>
        </row>
        <row r="54">
          <cell r="C54">
            <v>0</v>
          </cell>
          <cell r="D54">
            <v>0</v>
          </cell>
          <cell r="E54">
            <v>0</v>
          </cell>
          <cell r="G54">
            <v>0</v>
          </cell>
          <cell r="H54">
            <v>0</v>
          </cell>
          <cell r="J54">
            <v>0</v>
          </cell>
          <cell r="K54">
            <v>0</v>
          </cell>
        </row>
        <row r="57">
          <cell r="C57">
            <v>0</v>
          </cell>
          <cell r="D57">
            <v>0</v>
          </cell>
          <cell r="E57">
            <v>0</v>
          </cell>
          <cell r="G57">
            <v>0</v>
          </cell>
          <cell r="H57">
            <v>0</v>
          </cell>
          <cell r="J57">
            <v>0</v>
          </cell>
          <cell r="K57">
            <v>0</v>
          </cell>
        </row>
        <row r="58">
          <cell r="C58">
            <v>0</v>
          </cell>
          <cell r="D58">
            <v>0</v>
          </cell>
          <cell r="E58">
            <v>0</v>
          </cell>
          <cell r="G58">
            <v>0</v>
          </cell>
          <cell r="H58">
            <v>0</v>
          </cell>
          <cell r="J58">
            <v>0</v>
          </cell>
          <cell r="K58">
            <v>0</v>
          </cell>
        </row>
        <row r="59">
          <cell r="C59">
            <v>0</v>
          </cell>
          <cell r="D59">
            <v>0</v>
          </cell>
          <cell r="E59">
            <v>0</v>
          </cell>
          <cell r="G59">
            <v>0</v>
          </cell>
          <cell r="H59">
            <v>0</v>
          </cell>
          <cell r="J59">
            <v>0</v>
          </cell>
          <cell r="K59">
            <v>0</v>
          </cell>
        </row>
        <row r="60">
          <cell r="C60">
            <v>0</v>
          </cell>
          <cell r="D60">
            <v>0</v>
          </cell>
          <cell r="E60">
            <v>0</v>
          </cell>
          <cell r="G60">
            <v>0</v>
          </cell>
          <cell r="H60">
            <v>0</v>
          </cell>
          <cell r="J60">
            <v>0</v>
          </cell>
          <cell r="K60">
            <v>0</v>
          </cell>
        </row>
        <row r="61">
          <cell r="C61">
            <v>0</v>
          </cell>
          <cell r="D61">
            <v>0</v>
          </cell>
          <cell r="E61">
            <v>0</v>
          </cell>
          <cell r="G61">
            <v>0</v>
          </cell>
          <cell r="H61">
            <v>0</v>
          </cell>
          <cell r="J61">
            <v>0</v>
          </cell>
          <cell r="K61">
            <v>0</v>
          </cell>
        </row>
        <row r="64">
          <cell r="C64">
            <v>17986473.95</v>
          </cell>
          <cell r="D64">
            <v>0</v>
          </cell>
          <cell r="E64">
            <v>0</v>
          </cell>
          <cell r="G64">
            <v>43637831.74</v>
          </cell>
          <cell r="H64">
            <v>0</v>
          </cell>
          <cell r="J64">
            <v>11796549.2</v>
          </cell>
          <cell r="K64">
            <v>17767778.32</v>
          </cell>
        </row>
        <row r="65">
          <cell r="C65">
            <v>2681695.75</v>
          </cell>
          <cell r="D65">
            <v>5955.47</v>
          </cell>
          <cell r="E65">
            <v>0</v>
          </cell>
          <cell r="G65">
            <v>4263120.67</v>
          </cell>
          <cell r="H65">
            <v>0</v>
          </cell>
          <cell r="J65">
            <v>1032780.29</v>
          </cell>
          <cell r="K65">
            <v>1487207.67</v>
          </cell>
        </row>
        <row r="66">
          <cell r="C66">
            <v>0</v>
          </cell>
          <cell r="D66">
            <v>0</v>
          </cell>
          <cell r="E66">
            <v>0</v>
          </cell>
          <cell r="G66">
            <v>0</v>
          </cell>
          <cell r="H66">
            <v>0</v>
          </cell>
          <cell r="J66">
            <v>0</v>
          </cell>
          <cell r="K66">
            <v>0</v>
          </cell>
        </row>
        <row r="67">
          <cell r="C67">
            <v>33930761.62</v>
          </cell>
          <cell r="D67">
            <v>1845391.05</v>
          </cell>
          <cell r="E67">
            <v>0</v>
          </cell>
          <cell r="G67">
            <v>68574958.21</v>
          </cell>
          <cell r="H67">
            <v>0</v>
          </cell>
          <cell r="J67">
            <v>17192326.37</v>
          </cell>
          <cell r="K67">
            <v>3972141.24</v>
          </cell>
        </row>
        <row r="68">
          <cell r="C68">
            <v>3750923.08</v>
          </cell>
          <cell r="D68">
            <v>2012</v>
          </cell>
          <cell r="E68">
            <v>0</v>
          </cell>
          <cell r="G68">
            <v>109928258.52</v>
          </cell>
          <cell r="H68">
            <v>0</v>
          </cell>
          <cell r="J68">
            <v>0</v>
          </cell>
          <cell r="K68">
            <v>0</v>
          </cell>
        </row>
        <row r="69">
          <cell r="C69">
            <v>5191566.1</v>
          </cell>
          <cell r="D69">
            <v>0</v>
          </cell>
          <cell r="E69">
            <v>0</v>
          </cell>
          <cell r="G69">
            <v>18825328.48</v>
          </cell>
          <cell r="H69">
            <v>0</v>
          </cell>
          <cell r="J69">
            <v>0</v>
          </cell>
          <cell r="K69">
            <v>0</v>
          </cell>
        </row>
        <row r="70">
          <cell r="C70">
            <v>43490769.83</v>
          </cell>
          <cell r="D70">
            <v>0</v>
          </cell>
          <cell r="E70">
            <v>0</v>
          </cell>
          <cell r="G70">
            <v>75014996.4</v>
          </cell>
          <cell r="H70">
            <v>0</v>
          </cell>
          <cell r="J70">
            <v>24848257.43</v>
          </cell>
          <cell r="K70">
            <v>8162108.35</v>
          </cell>
        </row>
        <row r="71">
          <cell r="C71">
            <v>0</v>
          </cell>
          <cell r="D71">
            <v>166775.52</v>
          </cell>
          <cell r="E71">
            <v>0</v>
          </cell>
          <cell r="G71">
            <v>3239.08</v>
          </cell>
          <cell r="H71">
            <v>0</v>
          </cell>
          <cell r="J71">
            <v>88431.96</v>
          </cell>
          <cell r="K71">
            <v>0</v>
          </cell>
        </row>
        <row r="72">
          <cell r="C72">
            <v>0</v>
          </cell>
          <cell r="D72">
            <v>0</v>
          </cell>
          <cell r="E72">
            <v>0</v>
          </cell>
          <cell r="G72">
            <v>0</v>
          </cell>
          <cell r="H72">
            <v>0</v>
          </cell>
          <cell r="J72">
            <v>0</v>
          </cell>
          <cell r="K72">
            <v>151079.01</v>
          </cell>
        </row>
        <row r="73">
          <cell r="C73">
            <v>2127782.18</v>
          </cell>
          <cell r="D73">
            <v>0.37</v>
          </cell>
          <cell r="E73">
            <v>0</v>
          </cell>
          <cell r="G73">
            <v>8518849.8</v>
          </cell>
          <cell r="H73">
            <v>0</v>
          </cell>
          <cell r="J73">
            <v>2023482.64</v>
          </cell>
          <cell r="K73">
            <v>4939541.01</v>
          </cell>
        </row>
        <row r="74">
          <cell r="C74">
            <v>468106.79</v>
          </cell>
          <cell r="D74">
            <v>21.75</v>
          </cell>
          <cell r="E74">
            <v>0</v>
          </cell>
          <cell r="G74">
            <v>1265723.92</v>
          </cell>
          <cell r="H74">
            <v>0</v>
          </cell>
          <cell r="J74">
            <v>277033.73</v>
          </cell>
          <cell r="K74">
            <v>131522.72</v>
          </cell>
        </row>
        <row r="75">
          <cell r="C75">
            <v>513.31</v>
          </cell>
          <cell r="D75">
            <v>0</v>
          </cell>
          <cell r="E75">
            <v>0</v>
          </cell>
          <cell r="G75">
            <v>-10689.44</v>
          </cell>
          <cell r="H75">
            <v>0</v>
          </cell>
          <cell r="J75">
            <v>409.06</v>
          </cell>
          <cell r="K75">
            <v>14.72</v>
          </cell>
        </row>
        <row r="76">
          <cell r="C76">
            <v>1273822.81</v>
          </cell>
          <cell r="D76">
            <v>58370.21</v>
          </cell>
          <cell r="E76">
            <v>0</v>
          </cell>
          <cell r="G76">
            <v>2199516.49</v>
          </cell>
          <cell r="H76">
            <v>0</v>
          </cell>
          <cell r="J76">
            <v>9326.39</v>
          </cell>
          <cell r="K76">
            <v>4.38</v>
          </cell>
        </row>
      </sheetData>
      <sheetData sheetId="1">
        <row r="2">
          <cell r="C2">
            <v>3890104.77</v>
          </cell>
          <cell r="D2">
            <v>0</v>
          </cell>
          <cell r="E2">
            <v>0</v>
          </cell>
          <cell r="G2">
            <v>48772.73</v>
          </cell>
          <cell r="H2">
            <v>0</v>
          </cell>
          <cell r="J2">
            <v>0</v>
          </cell>
          <cell r="K2">
            <v>0</v>
          </cell>
        </row>
        <row r="3">
          <cell r="C3">
            <v>11421317.99</v>
          </cell>
          <cell r="D3">
            <v>0</v>
          </cell>
          <cell r="E3">
            <v>0</v>
          </cell>
          <cell r="G3">
            <v>0</v>
          </cell>
          <cell r="H3">
            <v>0</v>
          </cell>
          <cell r="J3">
            <v>0</v>
          </cell>
          <cell r="K3">
            <v>0</v>
          </cell>
        </row>
        <row r="4">
          <cell r="C4">
            <v>1371647.58</v>
          </cell>
          <cell r="D4">
            <v>0</v>
          </cell>
          <cell r="E4">
            <v>0</v>
          </cell>
          <cell r="G4">
            <v>428931.78</v>
          </cell>
          <cell r="H4">
            <v>0</v>
          </cell>
          <cell r="J4">
            <v>0</v>
          </cell>
          <cell r="K4">
            <v>0</v>
          </cell>
        </row>
        <row r="5">
          <cell r="C5">
            <v>772667.79</v>
          </cell>
          <cell r="D5">
            <v>0</v>
          </cell>
          <cell r="E5">
            <v>0</v>
          </cell>
          <cell r="G5">
            <v>0</v>
          </cell>
          <cell r="H5">
            <v>0</v>
          </cell>
          <cell r="J5">
            <v>0</v>
          </cell>
          <cell r="K5">
            <v>0</v>
          </cell>
        </row>
        <row r="6">
          <cell r="C6">
            <v>0</v>
          </cell>
          <cell r="D6">
            <v>0</v>
          </cell>
          <cell r="E6">
            <v>0</v>
          </cell>
          <cell r="G6">
            <v>0</v>
          </cell>
          <cell r="H6">
            <v>0</v>
          </cell>
          <cell r="J6">
            <v>0</v>
          </cell>
          <cell r="K6">
            <v>0</v>
          </cell>
        </row>
        <row r="7">
          <cell r="C7">
            <v>0</v>
          </cell>
          <cell r="D7">
            <v>0</v>
          </cell>
          <cell r="E7">
            <v>0</v>
          </cell>
          <cell r="G7">
            <v>0</v>
          </cell>
          <cell r="H7">
            <v>0</v>
          </cell>
          <cell r="J7">
            <v>0</v>
          </cell>
          <cell r="K7">
            <v>0</v>
          </cell>
        </row>
        <row r="8">
          <cell r="C8">
            <v>17344130.69</v>
          </cell>
          <cell r="D8">
            <v>0</v>
          </cell>
          <cell r="E8">
            <v>0</v>
          </cell>
          <cell r="G8">
            <v>152607.32</v>
          </cell>
          <cell r="H8">
            <v>0</v>
          </cell>
          <cell r="J8">
            <v>0</v>
          </cell>
          <cell r="K8">
            <v>0</v>
          </cell>
        </row>
        <row r="9">
          <cell r="C9">
            <v>0</v>
          </cell>
          <cell r="D9">
            <v>0</v>
          </cell>
          <cell r="E9">
            <v>0</v>
          </cell>
          <cell r="G9">
            <v>0</v>
          </cell>
          <cell r="H9">
            <v>0</v>
          </cell>
          <cell r="J9">
            <v>0</v>
          </cell>
          <cell r="K9">
            <v>0</v>
          </cell>
        </row>
        <row r="12">
          <cell r="C12">
            <v>468645.34</v>
          </cell>
          <cell r="D12">
            <v>0</v>
          </cell>
          <cell r="E12">
            <v>0</v>
          </cell>
          <cell r="G12">
            <v>85793.72</v>
          </cell>
          <cell r="H12">
            <v>0</v>
          </cell>
          <cell r="J12">
            <v>0</v>
          </cell>
          <cell r="K12">
            <v>0</v>
          </cell>
        </row>
        <row r="13">
          <cell r="C13">
            <v>0</v>
          </cell>
          <cell r="D13">
            <v>0</v>
          </cell>
          <cell r="E13">
            <v>0</v>
          </cell>
          <cell r="G13">
            <v>0</v>
          </cell>
          <cell r="H13">
            <v>0</v>
          </cell>
          <cell r="J13">
            <v>0</v>
          </cell>
          <cell r="K13">
            <v>0</v>
          </cell>
        </row>
        <row r="14">
          <cell r="C14">
            <v>3079542.52</v>
          </cell>
          <cell r="D14">
            <v>0</v>
          </cell>
          <cell r="E14">
            <v>0</v>
          </cell>
          <cell r="G14">
            <v>70648.93</v>
          </cell>
          <cell r="H14">
            <v>0</v>
          </cell>
          <cell r="J14">
            <v>0</v>
          </cell>
          <cell r="K14">
            <v>0</v>
          </cell>
        </row>
        <row r="15">
          <cell r="C15">
            <v>2762976.13</v>
          </cell>
          <cell r="D15">
            <v>0</v>
          </cell>
          <cell r="E15">
            <v>0</v>
          </cell>
          <cell r="G15">
            <v>4236.91</v>
          </cell>
          <cell r="H15">
            <v>0</v>
          </cell>
          <cell r="J15">
            <v>0</v>
          </cell>
          <cell r="K15">
            <v>0</v>
          </cell>
        </row>
        <row r="16">
          <cell r="C16">
            <v>0</v>
          </cell>
          <cell r="D16">
            <v>0</v>
          </cell>
          <cell r="E16">
            <v>0</v>
          </cell>
          <cell r="G16">
            <v>0</v>
          </cell>
          <cell r="H16">
            <v>0</v>
          </cell>
          <cell r="J16">
            <v>0</v>
          </cell>
          <cell r="K16">
            <v>0</v>
          </cell>
        </row>
        <row r="17">
          <cell r="C17">
            <v>17473.26</v>
          </cell>
          <cell r="D17">
            <v>0</v>
          </cell>
          <cell r="E17">
            <v>0</v>
          </cell>
          <cell r="G17">
            <v>1299.94</v>
          </cell>
          <cell r="H17">
            <v>0</v>
          </cell>
          <cell r="J17">
            <v>0</v>
          </cell>
          <cell r="K17">
            <v>0</v>
          </cell>
        </row>
        <row r="20">
          <cell r="C20">
            <v>-2756</v>
          </cell>
          <cell r="D20">
            <v>0</v>
          </cell>
          <cell r="E20">
            <v>0</v>
          </cell>
          <cell r="G20">
            <v>5493450.95</v>
          </cell>
          <cell r="H20">
            <v>0</v>
          </cell>
          <cell r="J20">
            <v>544302.93</v>
          </cell>
          <cell r="K20">
            <v>0</v>
          </cell>
        </row>
        <row r="21">
          <cell r="C21">
            <v>0</v>
          </cell>
          <cell r="D21">
            <v>0</v>
          </cell>
          <cell r="E21">
            <v>0</v>
          </cell>
          <cell r="G21">
            <v>9544431.33</v>
          </cell>
          <cell r="H21">
            <v>0</v>
          </cell>
          <cell r="J21">
            <v>0</v>
          </cell>
          <cell r="K21">
            <v>0</v>
          </cell>
        </row>
        <row r="22">
          <cell r="C22">
            <v>61035.14</v>
          </cell>
          <cell r="D22">
            <v>0</v>
          </cell>
          <cell r="E22">
            <v>0</v>
          </cell>
          <cell r="G22">
            <v>2814413.95</v>
          </cell>
          <cell r="H22">
            <v>0</v>
          </cell>
          <cell r="J22">
            <v>0</v>
          </cell>
          <cell r="K22">
            <v>0</v>
          </cell>
        </row>
        <row r="23">
          <cell r="C23">
            <v>0</v>
          </cell>
          <cell r="D23">
            <v>0</v>
          </cell>
          <cell r="E23">
            <v>0</v>
          </cell>
          <cell r="G23">
            <v>1767468.29999999</v>
          </cell>
          <cell r="H23">
            <v>0</v>
          </cell>
          <cell r="J23">
            <v>91312.37</v>
          </cell>
          <cell r="K23">
            <v>0</v>
          </cell>
        </row>
        <row r="24">
          <cell r="C24">
            <v>0</v>
          </cell>
          <cell r="D24">
            <v>0</v>
          </cell>
          <cell r="E24">
            <v>0</v>
          </cell>
          <cell r="G24">
            <v>2316833.34000001</v>
          </cell>
          <cell r="H24">
            <v>0</v>
          </cell>
          <cell r="J24">
            <v>7234.26</v>
          </cell>
          <cell r="K24">
            <v>0</v>
          </cell>
        </row>
        <row r="25">
          <cell r="C25">
            <v>0</v>
          </cell>
          <cell r="D25">
            <v>0</v>
          </cell>
          <cell r="E25">
            <v>0</v>
          </cell>
          <cell r="G25">
            <v>0</v>
          </cell>
          <cell r="H25">
            <v>0</v>
          </cell>
          <cell r="J25">
            <v>0</v>
          </cell>
          <cell r="K25">
            <v>0</v>
          </cell>
        </row>
        <row r="26">
          <cell r="C26">
            <v>0</v>
          </cell>
          <cell r="D26">
            <v>0</v>
          </cell>
          <cell r="E26">
            <v>0</v>
          </cell>
          <cell r="G26">
            <v>0</v>
          </cell>
          <cell r="H26">
            <v>0</v>
          </cell>
          <cell r="J26">
            <v>7470971.87999999</v>
          </cell>
          <cell r="K26">
            <v>0</v>
          </cell>
        </row>
        <row r="27">
          <cell r="C27">
            <v>0</v>
          </cell>
          <cell r="D27">
            <v>0</v>
          </cell>
          <cell r="E27">
            <v>0</v>
          </cell>
          <cell r="G27">
            <v>1272046.15</v>
          </cell>
          <cell r="H27">
            <v>0</v>
          </cell>
          <cell r="J27">
            <v>1210.39</v>
          </cell>
          <cell r="K27">
            <v>0</v>
          </cell>
        </row>
        <row r="28">
          <cell r="C28">
            <v>0</v>
          </cell>
          <cell r="D28">
            <v>0</v>
          </cell>
          <cell r="E28">
            <v>0</v>
          </cell>
          <cell r="G28">
            <v>34001797.83</v>
          </cell>
          <cell r="H28">
            <v>0</v>
          </cell>
          <cell r="J28">
            <v>1499427.65</v>
          </cell>
          <cell r="K28">
            <v>763.55</v>
          </cell>
        </row>
        <row r="29">
          <cell r="C29">
            <v>0</v>
          </cell>
          <cell r="D29">
            <v>0</v>
          </cell>
          <cell r="E29">
            <v>0</v>
          </cell>
          <cell r="G29">
            <v>0</v>
          </cell>
          <cell r="H29">
            <v>0</v>
          </cell>
          <cell r="J29">
            <v>0</v>
          </cell>
          <cell r="K29">
            <v>0</v>
          </cell>
        </row>
        <row r="32">
          <cell r="C32">
            <v>4375</v>
          </cell>
          <cell r="D32">
            <v>0</v>
          </cell>
          <cell r="E32">
            <v>0</v>
          </cell>
          <cell r="G32">
            <v>1921339.44</v>
          </cell>
          <cell r="H32">
            <v>0</v>
          </cell>
          <cell r="J32">
            <v>704407.51</v>
          </cell>
          <cell r="K32">
            <v>0</v>
          </cell>
        </row>
        <row r="33">
          <cell r="C33">
            <v>0</v>
          </cell>
          <cell r="D33">
            <v>0</v>
          </cell>
          <cell r="E33">
            <v>0</v>
          </cell>
          <cell r="G33">
            <v>0</v>
          </cell>
          <cell r="H33">
            <v>0</v>
          </cell>
          <cell r="J33">
            <v>0</v>
          </cell>
          <cell r="K33">
            <v>0</v>
          </cell>
        </row>
        <row r="34">
          <cell r="C34">
            <v>134899.71</v>
          </cell>
          <cell r="D34">
            <v>0</v>
          </cell>
          <cell r="E34">
            <v>0</v>
          </cell>
          <cell r="G34">
            <v>6147661.18</v>
          </cell>
          <cell r="H34">
            <v>0</v>
          </cell>
          <cell r="J34">
            <v>0</v>
          </cell>
          <cell r="K34">
            <v>0</v>
          </cell>
        </row>
        <row r="35">
          <cell r="C35">
            <v>349.74</v>
          </cell>
          <cell r="D35">
            <v>0</v>
          </cell>
          <cell r="E35">
            <v>0</v>
          </cell>
          <cell r="G35">
            <v>36185985.77</v>
          </cell>
          <cell r="H35">
            <v>0</v>
          </cell>
          <cell r="J35">
            <v>58540.66</v>
          </cell>
          <cell r="K35">
            <v>0</v>
          </cell>
        </row>
        <row r="36">
          <cell r="C36">
            <v>0</v>
          </cell>
          <cell r="D36">
            <v>0</v>
          </cell>
          <cell r="E36">
            <v>0</v>
          </cell>
          <cell r="G36">
            <v>9233426.67999999</v>
          </cell>
          <cell r="H36">
            <v>0</v>
          </cell>
          <cell r="J36">
            <v>9608.51</v>
          </cell>
          <cell r="K36">
            <v>0</v>
          </cell>
        </row>
        <row r="37">
          <cell r="C37">
            <v>0</v>
          </cell>
          <cell r="D37">
            <v>0</v>
          </cell>
          <cell r="E37">
            <v>0</v>
          </cell>
          <cell r="G37">
            <v>2162694.46</v>
          </cell>
          <cell r="H37">
            <v>0</v>
          </cell>
          <cell r="J37">
            <v>207.96</v>
          </cell>
          <cell r="K37">
            <v>0</v>
          </cell>
        </row>
        <row r="38">
          <cell r="C38">
            <v>0</v>
          </cell>
          <cell r="D38">
            <v>0</v>
          </cell>
          <cell r="E38">
            <v>0</v>
          </cell>
          <cell r="G38">
            <v>260031.48</v>
          </cell>
          <cell r="H38">
            <v>0</v>
          </cell>
          <cell r="J38">
            <v>4.01</v>
          </cell>
          <cell r="K38">
            <v>0</v>
          </cell>
        </row>
        <row r="39">
          <cell r="C39">
            <v>0</v>
          </cell>
          <cell r="D39">
            <v>0</v>
          </cell>
          <cell r="E39">
            <v>0</v>
          </cell>
          <cell r="G39">
            <v>0</v>
          </cell>
          <cell r="H39">
            <v>0</v>
          </cell>
          <cell r="J39">
            <v>12685192.53</v>
          </cell>
          <cell r="K39">
            <v>0</v>
          </cell>
        </row>
        <row r="40">
          <cell r="C40">
            <v>0</v>
          </cell>
          <cell r="D40">
            <v>0</v>
          </cell>
          <cell r="E40">
            <v>0</v>
          </cell>
          <cell r="G40">
            <v>87974.26</v>
          </cell>
          <cell r="H40">
            <v>0</v>
          </cell>
          <cell r="J40">
            <v>0.57</v>
          </cell>
          <cell r="K40">
            <v>0</v>
          </cell>
        </row>
        <row r="43">
          <cell r="C43">
            <v>0</v>
          </cell>
          <cell r="D43">
            <v>0</v>
          </cell>
          <cell r="E43">
            <v>0</v>
          </cell>
          <cell r="G43">
            <v>114.289999999999</v>
          </cell>
          <cell r="H43">
            <v>0</v>
          </cell>
          <cell r="J43">
            <v>9828.94</v>
          </cell>
          <cell r="K43">
            <v>1485.77</v>
          </cell>
        </row>
        <row r="44">
          <cell r="C44">
            <v>0</v>
          </cell>
          <cell r="D44">
            <v>0</v>
          </cell>
          <cell r="E44">
            <v>0</v>
          </cell>
          <cell r="G44">
            <v>0</v>
          </cell>
          <cell r="H44">
            <v>0</v>
          </cell>
          <cell r="J44">
            <v>0</v>
          </cell>
          <cell r="K44">
            <v>0</v>
          </cell>
        </row>
        <row r="45">
          <cell r="C45">
            <v>0</v>
          </cell>
          <cell r="D45">
            <v>0</v>
          </cell>
          <cell r="E45">
            <v>0</v>
          </cell>
          <cell r="G45">
            <v>10733.69</v>
          </cell>
          <cell r="H45">
            <v>0</v>
          </cell>
          <cell r="J45">
            <v>8003098.6</v>
          </cell>
          <cell r="K45">
            <v>1248666.01</v>
          </cell>
        </row>
        <row r="46">
          <cell r="C46">
            <v>0</v>
          </cell>
          <cell r="D46">
            <v>0</v>
          </cell>
          <cell r="E46">
            <v>0</v>
          </cell>
          <cell r="G46">
            <v>0</v>
          </cell>
          <cell r="H46">
            <v>0</v>
          </cell>
          <cell r="J46">
            <v>0</v>
          </cell>
          <cell r="K46">
            <v>0</v>
          </cell>
        </row>
        <row r="47">
          <cell r="C47">
            <v>0</v>
          </cell>
          <cell r="D47">
            <v>0</v>
          </cell>
          <cell r="E47">
            <v>0</v>
          </cell>
          <cell r="G47">
            <v>0</v>
          </cell>
          <cell r="H47">
            <v>0</v>
          </cell>
          <cell r="J47">
            <v>0</v>
          </cell>
          <cell r="K47">
            <v>0</v>
          </cell>
        </row>
        <row r="50">
          <cell r="C50">
            <v>0</v>
          </cell>
          <cell r="D50">
            <v>0</v>
          </cell>
          <cell r="E50">
            <v>0</v>
          </cell>
          <cell r="G50">
            <v>0</v>
          </cell>
          <cell r="H50">
            <v>0</v>
          </cell>
          <cell r="J50">
            <v>0</v>
          </cell>
          <cell r="K50">
            <v>0</v>
          </cell>
        </row>
        <row r="51">
          <cell r="C51">
            <v>0</v>
          </cell>
          <cell r="D51">
            <v>0</v>
          </cell>
          <cell r="E51">
            <v>0</v>
          </cell>
          <cell r="G51">
            <v>0</v>
          </cell>
          <cell r="H51">
            <v>0</v>
          </cell>
          <cell r="J51">
            <v>0</v>
          </cell>
          <cell r="K51">
            <v>0</v>
          </cell>
        </row>
        <row r="52">
          <cell r="C52">
            <v>0</v>
          </cell>
          <cell r="D52">
            <v>0</v>
          </cell>
          <cell r="E52">
            <v>0</v>
          </cell>
          <cell r="G52">
            <v>0</v>
          </cell>
          <cell r="H52">
            <v>0</v>
          </cell>
          <cell r="J52">
            <v>0</v>
          </cell>
          <cell r="K52">
            <v>0</v>
          </cell>
        </row>
        <row r="53">
          <cell r="C53">
            <v>0</v>
          </cell>
          <cell r="D53">
            <v>0</v>
          </cell>
          <cell r="E53">
            <v>0</v>
          </cell>
          <cell r="G53">
            <v>0</v>
          </cell>
          <cell r="H53">
            <v>0</v>
          </cell>
          <cell r="J53">
            <v>0</v>
          </cell>
          <cell r="K53">
            <v>0</v>
          </cell>
        </row>
        <row r="54">
          <cell r="C54">
            <v>0</v>
          </cell>
          <cell r="D54">
            <v>0</v>
          </cell>
          <cell r="E54">
            <v>0</v>
          </cell>
          <cell r="G54">
            <v>0</v>
          </cell>
          <cell r="H54">
            <v>0</v>
          </cell>
          <cell r="J54">
            <v>0</v>
          </cell>
          <cell r="K54">
            <v>0</v>
          </cell>
        </row>
        <row r="57">
          <cell r="C57">
            <v>0</v>
          </cell>
          <cell r="D57">
            <v>0</v>
          </cell>
          <cell r="E57">
            <v>0</v>
          </cell>
          <cell r="G57">
            <v>0</v>
          </cell>
          <cell r="H57">
            <v>0</v>
          </cell>
          <cell r="J57">
            <v>0</v>
          </cell>
          <cell r="K57">
            <v>0</v>
          </cell>
        </row>
        <row r="58">
          <cell r="C58">
            <v>0</v>
          </cell>
          <cell r="D58">
            <v>0</v>
          </cell>
          <cell r="E58">
            <v>0</v>
          </cell>
          <cell r="G58">
            <v>0</v>
          </cell>
          <cell r="H58">
            <v>0</v>
          </cell>
          <cell r="J58">
            <v>0</v>
          </cell>
          <cell r="K58">
            <v>0</v>
          </cell>
        </row>
        <row r="59">
          <cell r="C59">
            <v>0</v>
          </cell>
          <cell r="D59">
            <v>0</v>
          </cell>
          <cell r="E59">
            <v>0</v>
          </cell>
          <cell r="G59">
            <v>0</v>
          </cell>
          <cell r="H59">
            <v>0</v>
          </cell>
          <cell r="J59">
            <v>0</v>
          </cell>
          <cell r="K59">
            <v>0</v>
          </cell>
        </row>
        <row r="60">
          <cell r="C60">
            <v>0</v>
          </cell>
          <cell r="D60">
            <v>0</v>
          </cell>
          <cell r="E60">
            <v>0</v>
          </cell>
          <cell r="G60">
            <v>0</v>
          </cell>
          <cell r="H60">
            <v>0</v>
          </cell>
          <cell r="J60">
            <v>0</v>
          </cell>
          <cell r="K60">
            <v>0</v>
          </cell>
        </row>
        <row r="61">
          <cell r="C61">
            <v>0</v>
          </cell>
          <cell r="D61">
            <v>0</v>
          </cell>
          <cell r="E61">
            <v>0</v>
          </cell>
          <cell r="G61">
            <v>0</v>
          </cell>
          <cell r="H61">
            <v>0</v>
          </cell>
          <cell r="J61">
            <v>0</v>
          </cell>
          <cell r="K61">
            <v>0</v>
          </cell>
        </row>
        <row r="64">
          <cell r="C64">
            <v>17986358.9</v>
          </cell>
          <cell r="D64">
            <v>0</v>
          </cell>
          <cell r="E64">
            <v>0</v>
          </cell>
          <cell r="G64">
            <v>43634673.22</v>
          </cell>
          <cell r="H64">
            <v>0</v>
          </cell>
          <cell r="J64">
            <v>11796462.68</v>
          </cell>
          <cell r="K64">
            <v>17767774.83</v>
          </cell>
        </row>
        <row r="65">
          <cell r="C65">
            <v>0</v>
          </cell>
          <cell r="D65">
            <v>0</v>
          </cell>
          <cell r="E65">
            <v>0</v>
          </cell>
          <cell r="G65">
            <v>0</v>
          </cell>
          <cell r="H65">
            <v>0</v>
          </cell>
          <cell r="J65">
            <v>0</v>
          </cell>
          <cell r="K65">
            <v>0</v>
          </cell>
        </row>
        <row r="66">
          <cell r="C66">
            <v>0</v>
          </cell>
          <cell r="D66">
            <v>0</v>
          </cell>
          <cell r="E66">
            <v>0</v>
          </cell>
          <cell r="G66">
            <v>0</v>
          </cell>
          <cell r="H66">
            <v>0</v>
          </cell>
          <cell r="J66">
            <v>0</v>
          </cell>
          <cell r="K66">
            <v>0</v>
          </cell>
        </row>
        <row r="67">
          <cell r="C67">
            <v>0</v>
          </cell>
          <cell r="D67">
            <v>0</v>
          </cell>
          <cell r="E67">
            <v>0</v>
          </cell>
          <cell r="G67">
            <v>0</v>
          </cell>
          <cell r="H67">
            <v>0</v>
          </cell>
          <cell r="J67">
            <v>0</v>
          </cell>
          <cell r="K67">
            <v>0</v>
          </cell>
        </row>
        <row r="68">
          <cell r="C68">
            <v>0</v>
          </cell>
          <cell r="D68">
            <v>0</v>
          </cell>
          <cell r="E68">
            <v>0</v>
          </cell>
          <cell r="G68">
            <v>0</v>
          </cell>
          <cell r="H68">
            <v>0</v>
          </cell>
          <cell r="J68">
            <v>0</v>
          </cell>
          <cell r="K68">
            <v>0</v>
          </cell>
        </row>
        <row r="69">
          <cell r="C69">
            <v>0</v>
          </cell>
          <cell r="D69">
            <v>0</v>
          </cell>
          <cell r="E69">
            <v>0</v>
          </cell>
          <cell r="G69">
            <v>0</v>
          </cell>
          <cell r="H69">
            <v>0</v>
          </cell>
          <cell r="J69">
            <v>0</v>
          </cell>
          <cell r="K69">
            <v>0</v>
          </cell>
        </row>
        <row r="70">
          <cell r="C70">
            <v>0</v>
          </cell>
          <cell r="D70">
            <v>0</v>
          </cell>
          <cell r="E70">
            <v>0</v>
          </cell>
          <cell r="G70">
            <v>0</v>
          </cell>
          <cell r="H70">
            <v>0</v>
          </cell>
          <cell r="J70">
            <v>0</v>
          </cell>
          <cell r="K70">
            <v>0</v>
          </cell>
        </row>
        <row r="71">
          <cell r="C71">
            <v>0</v>
          </cell>
          <cell r="D71">
            <v>0</v>
          </cell>
          <cell r="E71">
            <v>0</v>
          </cell>
          <cell r="G71">
            <v>0</v>
          </cell>
          <cell r="H71">
            <v>0</v>
          </cell>
          <cell r="J71">
            <v>0</v>
          </cell>
          <cell r="K71">
            <v>0</v>
          </cell>
        </row>
        <row r="72">
          <cell r="C72">
            <v>0</v>
          </cell>
          <cell r="D72">
            <v>0</v>
          </cell>
          <cell r="E72">
            <v>0</v>
          </cell>
          <cell r="G72">
            <v>0</v>
          </cell>
          <cell r="H72">
            <v>0</v>
          </cell>
          <cell r="J72">
            <v>0</v>
          </cell>
          <cell r="K72">
            <v>0</v>
          </cell>
        </row>
        <row r="73">
          <cell r="C73">
            <v>0</v>
          </cell>
          <cell r="D73">
            <v>0</v>
          </cell>
          <cell r="E73">
            <v>0</v>
          </cell>
          <cell r="G73">
            <v>0</v>
          </cell>
          <cell r="H73">
            <v>0</v>
          </cell>
          <cell r="J73">
            <v>0</v>
          </cell>
          <cell r="K73">
            <v>0</v>
          </cell>
        </row>
        <row r="74">
          <cell r="C74">
            <v>0</v>
          </cell>
          <cell r="D74">
            <v>0</v>
          </cell>
          <cell r="E74">
            <v>0</v>
          </cell>
          <cell r="G74">
            <v>0</v>
          </cell>
          <cell r="H74">
            <v>0</v>
          </cell>
          <cell r="J74">
            <v>0</v>
          </cell>
          <cell r="K74">
            <v>0</v>
          </cell>
        </row>
        <row r="75">
          <cell r="C75">
            <v>0</v>
          </cell>
          <cell r="D75">
            <v>0</v>
          </cell>
          <cell r="E75">
            <v>0</v>
          </cell>
          <cell r="G75">
            <v>3118.18</v>
          </cell>
          <cell r="H75">
            <v>0</v>
          </cell>
          <cell r="J75">
            <v>16.63</v>
          </cell>
          <cell r="K75">
            <v>0</v>
          </cell>
        </row>
        <row r="76">
          <cell r="C76">
            <v>718782.63</v>
          </cell>
          <cell r="D76">
            <v>0</v>
          </cell>
          <cell r="E76">
            <v>0</v>
          </cell>
          <cell r="G76">
            <v>1273875.04</v>
          </cell>
          <cell r="H76">
            <v>0</v>
          </cell>
          <cell r="J76">
            <v>212.809999999978</v>
          </cell>
          <cell r="K76">
            <v>4.40999999999969</v>
          </cell>
        </row>
      </sheetData>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otal Summary"/>
      <sheetName val="Labor Summary"/>
      <sheetName val="Template"/>
      <sheetName val="Adj. #1"/>
      <sheetName val="Adj. #2"/>
      <sheetName val="Adj. #3"/>
      <sheetName val="Adj. #4"/>
      <sheetName val="Adj. #5"/>
      <sheetName val="Adj. #6"/>
      <sheetName val="Adj. #7"/>
      <sheetName val="Adj. #8"/>
      <sheetName val="Adj. #9"/>
      <sheetName val="Adj. #10"/>
      <sheetName val="Adj. #11"/>
      <sheetName val="Adj. #12"/>
      <sheetName val="Adj. #13"/>
      <sheetName val="Adj. #14"/>
      <sheetName val="Adj. #15"/>
      <sheetName val="Adj. #16"/>
      <sheetName val="Adj. #17"/>
      <sheetName val="Adj. #18"/>
      <sheetName val="Adj. #19"/>
      <sheetName val="Adj. #20"/>
      <sheetName val="Adj. #21"/>
      <sheetName val="Adj. #22"/>
      <sheetName val="Adj. #23"/>
      <sheetName val="Adj. #24"/>
      <sheetName val="Adj. #25"/>
      <sheetName val="Adj. #26"/>
      <sheetName val="Adj. #27"/>
      <sheetName val="Adj. #28"/>
      <sheetName val="Adj. #29"/>
      <sheetName val="Adj. #30"/>
      <sheetName val="Adj. #31"/>
      <sheetName val="Adj. #32"/>
      <sheetName val="Adj. #33"/>
      <sheetName val="Adj. #34"/>
      <sheetName val="Adj. #35"/>
      <sheetName val="Adj. #36"/>
      <sheetName val="Adj. #37"/>
      <sheetName val="Adj. #38"/>
      <sheetName val="Adj. #39"/>
      <sheetName val="Adj. #40"/>
      <sheetName val="Adj. #41"/>
      <sheetName val="Adj. #42"/>
      <sheetName val="Adj. #43"/>
      <sheetName val="Adj. #44"/>
      <sheetName val="Adj. #45"/>
      <sheetName val="Adj. #46"/>
      <sheetName val="Adj. #47"/>
      <sheetName val="Adj. #48"/>
      <sheetName val="Adj. #49"/>
      <sheetName val="Adj. #50"/>
      <sheetName val="Adj. #51"/>
      <sheetName val="Adj. #52"/>
      <sheetName val="Adj. #53"/>
      <sheetName val="Adj. #54"/>
      <sheetName val="Adj. #55"/>
      <sheetName val="Adj. #56"/>
      <sheetName val="Adj. #57"/>
      <sheetName val="Adj. #58"/>
      <sheetName val="Adj. #59"/>
      <sheetName val="Adj. #60"/>
      <sheetName val="Adj. #61"/>
      <sheetName val="Adj. #62"/>
      <sheetName val="Adj. #63"/>
      <sheetName val="Adj. #64"/>
      <sheetName val="Adj. #65"/>
      <sheetName val="Adj. #66"/>
      <sheetName val="Adj. #67"/>
      <sheetName val="Adj. #68"/>
      <sheetName val="Adj. #69"/>
      <sheetName val="Adj. #70"/>
    </sheetNames>
    <sheetDataSet>
      <sheetData sheetId="0">
        <row r="3">
          <cell r="D3">
            <v>-39381.44</v>
          </cell>
          <cell r="E3">
            <v>0</v>
          </cell>
          <cell r="F3">
            <v>0</v>
          </cell>
          <cell r="H3">
            <v>0</v>
          </cell>
          <cell r="I3">
            <v>0</v>
          </cell>
          <cell r="K3">
            <v>0</v>
          </cell>
          <cell r="L3">
            <v>0</v>
          </cell>
          <cell r="N3">
            <v>-39381.44</v>
          </cell>
        </row>
        <row r="4">
          <cell r="D4">
            <v>426485.41</v>
          </cell>
          <cell r="E4">
            <v>101904.14</v>
          </cell>
          <cell r="F4">
            <v>0</v>
          </cell>
          <cell r="H4">
            <v>0</v>
          </cell>
          <cell r="I4">
            <v>0</v>
          </cell>
          <cell r="K4">
            <v>0</v>
          </cell>
          <cell r="L4">
            <v>0</v>
          </cell>
          <cell r="N4">
            <v>528389.55</v>
          </cell>
        </row>
        <row r="5">
          <cell r="D5">
            <v>-1048.27</v>
          </cell>
          <cell r="E5">
            <v>0</v>
          </cell>
          <cell r="F5">
            <v>0</v>
          </cell>
          <cell r="H5">
            <v>-119.94</v>
          </cell>
          <cell r="I5">
            <v>0</v>
          </cell>
          <cell r="K5">
            <v>0</v>
          </cell>
          <cell r="L5">
            <v>0</v>
          </cell>
          <cell r="N5">
            <v>-1168.21</v>
          </cell>
        </row>
        <row r="6">
          <cell r="D6">
            <v>4119711.56</v>
          </cell>
          <cell r="E6">
            <v>361100.6</v>
          </cell>
          <cell r="F6">
            <v>0</v>
          </cell>
          <cell r="H6">
            <v>0</v>
          </cell>
          <cell r="I6">
            <v>0</v>
          </cell>
          <cell r="K6">
            <v>0</v>
          </cell>
          <cell r="L6">
            <v>0</v>
          </cell>
          <cell r="N6">
            <v>4480812.16</v>
          </cell>
        </row>
        <row r="7">
          <cell r="D7">
            <v>0</v>
          </cell>
          <cell r="E7">
            <v>0</v>
          </cell>
          <cell r="F7">
            <v>0</v>
          </cell>
          <cell r="H7">
            <v>0</v>
          </cell>
          <cell r="I7">
            <v>0</v>
          </cell>
          <cell r="K7">
            <v>0</v>
          </cell>
          <cell r="L7">
            <v>0</v>
          </cell>
          <cell r="N7">
            <v>0</v>
          </cell>
        </row>
        <row r="8">
          <cell r="D8">
            <v>0</v>
          </cell>
          <cell r="E8">
            <v>0</v>
          </cell>
          <cell r="F8">
            <v>0</v>
          </cell>
          <cell r="H8">
            <v>135316013.85</v>
          </cell>
          <cell r="I8">
            <v>0</v>
          </cell>
          <cell r="K8">
            <v>0</v>
          </cell>
          <cell r="L8">
            <v>0</v>
          </cell>
          <cell r="N8">
            <v>135316013.85</v>
          </cell>
        </row>
        <row r="9">
          <cell r="D9">
            <v>3237080.36</v>
          </cell>
          <cell r="E9">
            <v>0</v>
          </cell>
          <cell r="F9">
            <v>0</v>
          </cell>
          <cell r="H9">
            <v>2817.62</v>
          </cell>
          <cell r="I9">
            <v>0</v>
          </cell>
          <cell r="K9">
            <v>0</v>
          </cell>
          <cell r="L9">
            <v>0</v>
          </cell>
          <cell r="N9">
            <v>3239897.98</v>
          </cell>
        </row>
        <row r="10">
          <cell r="D10">
            <v>0</v>
          </cell>
          <cell r="E10">
            <v>0</v>
          </cell>
          <cell r="F10">
            <v>0</v>
          </cell>
          <cell r="H10">
            <v>0</v>
          </cell>
          <cell r="I10">
            <v>0</v>
          </cell>
          <cell r="K10">
            <v>0</v>
          </cell>
          <cell r="L10">
            <v>0</v>
          </cell>
          <cell r="N10">
            <v>0</v>
          </cell>
        </row>
        <row r="13">
          <cell r="D13">
            <v>8527.15</v>
          </cell>
          <cell r="E13">
            <v>0</v>
          </cell>
          <cell r="F13">
            <v>0</v>
          </cell>
          <cell r="H13">
            <v>0</v>
          </cell>
          <cell r="I13">
            <v>0</v>
          </cell>
          <cell r="K13">
            <v>66.31</v>
          </cell>
          <cell r="L13">
            <v>0</v>
          </cell>
          <cell r="N13">
            <v>8593.46</v>
          </cell>
        </row>
        <row r="14">
          <cell r="D14">
            <v>0</v>
          </cell>
          <cell r="E14">
            <v>0</v>
          </cell>
          <cell r="F14">
            <v>0</v>
          </cell>
          <cell r="H14">
            <v>0</v>
          </cell>
          <cell r="I14">
            <v>0</v>
          </cell>
          <cell r="K14">
            <v>0</v>
          </cell>
          <cell r="L14">
            <v>0</v>
          </cell>
          <cell r="N14">
            <v>0</v>
          </cell>
        </row>
        <row r="15">
          <cell r="D15">
            <v>5349.95</v>
          </cell>
          <cell r="E15">
            <v>0</v>
          </cell>
          <cell r="F15">
            <v>0</v>
          </cell>
          <cell r="H15">
            <v>155.72</v>
          </cell>
          <cell r="I15">
            <v>0</v>
          </cell>
          <cell r="K15">
            <v>0</v>
          </cell>
          <cell r="L15">
            <v>0</v>
          </cell>
          <cell r="N15">
            <v>5505.67</v>
          </cell>
        </row>
        <row r="16">
          <cell r="D16">
            <v>1396025.59</v>
          </cell>
          <cell r="E16">
            <v>0</v>
          </cell>
          <cell r="F16">
            <v>0</v>
          </cell>
          <cell r="H16">
            <v>0</v>
          </cell>
          <cell r="I16">
            <v>0</v>
          </cell>
          <cell r="K16">
            <v>0</v>
          </cell>
          <cell r="L16">
            <v>0</v>
          </cell>
          <cell r="N16">
            <v>1396025.59</v>
          </cell>
        </row>
        <row r="17">
          <cell r="D17">
            <v>0</v>
          </cell>
          <cell r="E17">
            <v>0</v>
          </cell>
          <cell r="F17">
            <v>0</v>
          </cell>
          <cell r="H17">
            <v>0</v>
          </cell>
          <cell r="I17">
            <v>0</v>
          </cell>
          <cell r="K17">
            <v>0</v>
          </cell>
          <cell r="L17">
            <v>0</v>
          </cell>
          <cell r="N17">
            <v>0</v>
          </cell>
        </row>
        <row r="18">
          <cell r="D18">
            <v>5094.69</v>
          </cell>
          <cell r="E18">
            <v>0</v>
          </cell>
          <cell r="F18">
            <v>0</v>
          </cell>
          <cell r="H18">
            <v>103.15</v>
          </cell>
          <cell r="I18">
            <v>0</v>
          </cell>
          <cell r="K18">
            <v>0</v>
          </cell>
          <cell r="L18">
            <v>0</v>
          </cell>
          <cell r="N18">
            <v>5197.84</v>
          </cell>
        </row>
        <row r="21">
          <cell r="D21">
            <v>49.73</v>
          </cell>
          <cell r="E21">
            <v>0</v>
          </cell>
          <cell r="F21">
            <v>0</v>
          </cell>
          <cell r="H21">
            <v>-89126.67</v>
          </cell>
          <cell r="I21">
            <v>0</v>
          </cell>
          <cell r="K21">
            <v>3507.93</v>
          </cell>
          <cell r="L21">
            <v>631.86</v>
          </cell>
          <cell r="N21">
            <v>-84937.15</v>
          </cell>
        </row>
        <row r="22">
          <cell r="D22">
            <v>0</v>
          </cell>
          <cell r="E22">
            <v>0</v>
          </cell>
          <cell r="F22">
            <v>0</v>
          </cell>
          <cell r="H22">
            <v>-37883.77</v>
          </cell>
          <cell r="I22">
            <v>0</v>
          </cell>
          <cell r="K22">
            <v>0</v>
          </cell>
          <cell r="L22">
            <v>0</v>
          </cell>
          <cell r="N22">
            <v>-37883.77</v>
          </cell>
        </row>
        <row r="23">
          <cell r="D23">
            <v>-248.84</v>
          </cell>
          <cell r="E23">
            <v>0</v>
          </cell>
          <cell r="F23">
            <v>0</v>
          </cell>
          <cell r="H23">
            <v>-1858.38</v>
          </cell>
          <cell r="I23">
            <v>0</v>
          </cell>
          <cell r="K23">
            <v>0</v>
          </cell>
          <cell r="L23">
            <v>0</v>
          </cell>
          <cell r="N23">
            <v>-2107.22</v>
          </cell>
        </row>
        <row r="24">
          <cell r="D24">
            <v>1.35</v>
          </cell>
          <cell r="E24">
            <v>0</v>
          </cell>
          <cell r="F24">
            <v>0</v>
          </cell>
          <cell r="H24">
            <v>201971.5</v>
          </cell>
          <cell r="I24">
            <v>0</v>
          </cell>
          <cell r="K24">
            <v>4.81</v>
          </cell>
          <cell r="L24">
            <v>0</v>
          </cell>
          <cell r="N24">
            <v>201977.66</v>
          </cell>
        </row>
        <row r="25">
          <cell r="D25">
            <v>0</v>
          </cell>
          <cell r="E25">
            <v>0</v>
          </cell>
          <cell r="F25">
            <v>0</v>
          </cell>
          <cell r="H25">
            <v>18895.07</v>
          </cell>
          <cell r="I25">
            <v>0</v>
          </cell>
          <cell r="K25">
            <v>1.16</v>
          </cell>
          <cell r="L25">
            <v>0</v>
          </cell>
          <cell r="N25">
            <v>18896.23</v>
          </cell>
        </row>
        <row r="26">
          <cell r="D26">
            <v>0</v>
          </cell>
          <cell r="E26">
            <v>0</v>
          </cell>
          <cell r="F26">
            <v>0</v>
          </cell>
          <cell r="H26">
            <v>96.7</v>
          </cell>
          <cell r="I26">
            <v>0</v>
          </cell>
          <cell r="K26">
            <v>0</v>
          </cell>
          <cell r="L26">
            <v>0</v>
          </cell>
          <cell r="N26">
            <v>96.7</v>
          </cell>
        </row>
        <row r="27">
          <cell r="D27">
            <v>0</v>
          </cell>
          <cell r="E27">
            <v>0</v>
          </cell>
          <cell r="F27">
            <v>0</v>
          </cell>
          <cell r="H27">
            <v>0</v>
          </cell>
          <cell r="I27">
            <v>0</v>
          </cell>
          <cell r="K27">
            <v>-68363.44</v>
          </cell>
          <cell r="L27">
            <v>0</v>
          </cell>
          <cell r="N27">
            <v>-68363.44</v>
          </cell>
        </row>
        <row r="28">
          <cell r="D28">
            <v>0</v>
          </cell>
          <cell r="E28">
            <v>0</v>
          </cell>
          <cell r="F28">
            <v>0</v>
          </cell>
          <cell r="H28">
            <v>44.79</v>
          </cell>
          <cell r="I28">
            <v>0</v>
          </cell>
          <cell r="K28">
            <v>0</v>
          </cell>
          <cell r="L28">
            <v>0</v>
          </cell>
          <cell r="N28">
            <v>44.79</v>
          </cell>
        </row>
        <row r="29">
          <cell r="D29">
            <v>6850.63</v>
          </cell>
          <cell r="E29">
            <v>0</v>
          </cell>
          <cell r="F29">
            <v>0</v>
          </cell>
          <cell r="H29">
            <v>42700283.39</v>
          </cell>
          <cell r="I29">
            <v>0</v>
          </cell>
          <cell r="K29">
            <v>370601.25</v>
          </cell>
          <cell r="L29">
            <v>258354.78</v>
          </cell>
          <cell r="N29">
            <v>43336090.05</v>
          </cell>
        </row>
        <row r="30">
          <cell r="D30">
            <v>0</v>
          </cell>
          <cell r="E30">
            <v>0</v>
          </cell>
          <cell r="F30">
            <v>0</v>
          </cell>
          <cell r="H30">
            <v>449449.64</v>
          </cell>
          <cell r="I30">
            <v>0</v>
          </cell>
          <cell r="K30">
            <v>0</v>
          </cell>
          <cell r="L30">
            <v>0</v>
          </cell>
          <cell r="N30">
            <v>449449.64</v>
          </cell>
        </row>
        <row r="33">
          <cell r="D33">
            <v>3797.54</v>
          </cell>
          <cell r="E33">
            <v>0</v>
          </cell>
          <cell r="F33">
            <v>0</v>
          </cell>
          <cell r="H33">
            <v>51232.68</v>
          </cell>
          <cell r="I33">
            <v>0</v>
          </cell>
          <cell r="K33">
            <v>8081.77</v>
          </cell>
          <cell r="L33">
            <v>0</v>
          </cell>
          <cell r="N33">
            <v>63111.99</v>
          </cell>
        </row>
        <row r="34">
          <cell r="D34">
            <v>0</v>
          </cell>
          <cell r="E34">
            <v>0</v>
          </cell>
          <cell r="F34">
            <v>0</v>
          </cell>
          <cell r="H34">
            <v>0</v>
          </cell>
          <cell r="I34">
            <v>0</v>
          </cell>
          <cell r="K34">
            <v>0</v>
          </cell>
          <cell r="L34">
            <v>0</v>
          </cell>
          <cell r="N34">
            <v>0</v>
          </cell>
        </row>
        <row r="35">
          <cell r="D35">
            <v>-775.6</v>
          </cell>
          <cell r="E35">
            <v>0</v>
          </cell>
          <cell r="F35">
            <v>0</v>
          </cell>
          <cell r="H35">
            <v>44506.18</v>
          </cell>
          <cell r="I35">
            <v>0</v>
          </cell>
          <cell r="K35">
            <v>0</v>
          </cell>
          <cell r="L35">
            <v>0</v>
          </cell>
          <cell r="N35">
            <v>43730.58</v>
          </cell>
        </row>
        <row r="36">
          <cell r="D36">
            <v>0.91</v>
          </cell>
          <cell r="E36">
            <v>0</v>
          </cell>
          <cell r="F36">
            <v>0</v>
          </cell>
          <cell r="H36">
            <v>3902444.12</v>
          </cell>
          <cell r="I36">
            <v>0</v>
          </cell>
          <cell r="K36">
            <v>-145.77</v>
          </cell>
          <cell r="L36">
            <v>0</v>
          </cell>
          <cell r="N36">
            <v>3902299.26</v>
          </cell>
        </row>
        <row r="37">
          <cell r="D37">
            <v>0</v>
          </cell>
          <cell r="E37">
            <v>0</v>
          </cell>
          <cell r="F37">
            <v>0</v>
          </cell>
          <cell r="H37">
            <v>3299.61</v>
          </cell>
          <cell r="I37">
            <v>0</v>
          </cell>
          <cell r="K37">
            <v>5.42</v>
          </cell>
          <cell r="L37">
            <v>0</v>
          </cell>
          <cell r="N37">
            <v>3305.03</v>
          </cell>
        </row>
        <row r="38">
          <cell r="D38">
            <v>0</v>
          </cell>
          <cell r="E38">
            <v>0</v>
          </cell>
          <cell r="F38">
            <v>0</v>
          </cell>
          <cell r="H38">
            <v>12842.63</v>
          </cell>
          <cell r="I38">
            <v>0</v>
          </cell>
          <cell r="K38">
            <v>0.1</v>
          </cell>
          <cell r="L38">
            <v>0</v>
          </cell>
          <cell r="N38">
            <v>12842.73</v>
          </cell>
        </row>
        <row r="39">
          <cell r="D39">
            <v>0</v>
          </cell>
          <cell r="E39">
            <v>0</v>
          </cell>
          <cell r="F39">
            <v>0</v>
          </cell>
          <cell r="H39">
            <v>5974.74</v>
          </cell>
          <cell r="I39">
            <v>0</v>
          </cell>
          <cell r="K39">
            <v>10.22</v>
          </cell>
          <cell r="L39">
            <v>0</v>
          </cell>
          <cell r="N39">
            <v>5984.96</v>
          </cell>
        </row>
        <row r="40">
          <cell r="D40">
            <v>0</v>
          </cell>
          <cell r="E40">
            <v>0</v>
          </cell>
          <cell r="F40">
            <v>0</v>
          </cell>
          <cell r="H40">
            <v>-13076.33</v>
          </cell>
          <cell r="I40">
            <v>0</v>
          </cell>
          <cell r="K40">
            <v>204555.63</v>
          </cell>
          <cell r="L40">
            <v>0</v>
          </cell>
          <cell r="N40">
            <v>191479.3</v>
          </cell>
        </row>
        <row r="41">
          <cell r="D41">
            <v>0</v>
          </cell>
          <cell r="E41">
            <v>0</v>
          </cell>
          <cell r="F41">
            <v>0</v>
          </cell>
          <cell r="H41">
            <v>-18274.72</v>
          </cell>
          <cell r="I41">
            <v>0</v>
          </cell>
          <cell r="K41">
            <v>-335.23</v>
          </cell>
          <cell r="L41">
            <v>0</v>
          </cell>
          <cell r="N41">
            <v>-18609.95</v>
          </cell>
        </row>
        <row r="44">
          <cell r="D44">
            <v>0</v>
          </cell>
          <cell r="E44">
            <v>0</v>
          </cell>
          <cell r="F44">
            <v>0</v>
          </cell>
          <cell r="H44">
            <v>0</v>
          </cell>
          <cell r="I44">
            <v>0</v>
          </cell>
          <cell r="K44">
            <v>-167.33</v>
          </cell>
          <cell r="L44">
            <v>-25</v>
          </cell>
          <cell r="N44">
            <v>-192.33</v>
          </cell>
        </row>
        <row r="45">
          <cell r="D45">
            <v>0</v>
          </cell>
          <cell r="E45">
            <v>0</v>
          </cell>
          <cell r="F45">
            <v>0</v>
          </cell>
          <cell r="H45">
            <v>0</v>
          </cell>
          <cell r="I45">
            <v>0</v>
          </cell>
          <cell r="K45">
            <v>-53535.25</v>
          </cell>
          <cell r="L45">
            <v>0</v>
          </cell>
          <cell r="N45">
            <v>-53535.25</v>
          </cell>
        </row>
        <row r="46">
          <cell r="D46">
            <v>0</v>
          </cell>
          <cell r="E46">
            <v>0</v>
          </cell>
          <cell r="F46">
            <v>0</v>
          </cell>
          <cell r="H46">
            <v>0.09</v>
          </cell>
          <cell r="I46">
            <v>0</v>
          </cell>
          <cell r="K46">
            <v>5559.47</v>
          </cell>
          <cell r="L46">
            <v>265512.86</v>
          </cell>
          <cell r="N46">
            <v>271072.42</v>
          </cell>
        </row>
        <row r="47">
          <cell r="D47">
            <v>-393845.9</v>
          </cell>
          <cell r="E47">
            <v>0</v>
          </cell>
          <cell r="F47">
            <v>0</v>
          </cell>
          <cell r="H47">
            <v>-16239.89</v>
          </cell>
          <cell r="I47">
            <v>0</v>
          </cell>
          <cell r="K47">
            <v>0</v>
          </cell>
          <cell r="L47">
            <v>1403793.44</v>
          </cell>
          <cell r="N47">
            <v>993707.65</v>
          </cell>
        </row>
        <row r="48">
          <cell r="D48">
            <v>0</v>
          </cell>
          <cell r="E48">
            <v>0</v>
          </cell>
          <cell r="F48">
            <v>0</v>
          </cell>
          <cell r="H48">
            <v>0</v>
          </cell>
          <cell r="I48">
            <v>0</v>
          </cell>
          <cell r="K48">
            <v>0</v>
          </cell>
          <cell r="L48">
            <v>0</v>
          </cell>
          <cell r="N48">
            <v>0</v>
          </cell>
        </row>
        <row r="51">
          <cell r="D51">
            <v>0</v>
          </cell>
          <cell r="E51">
            <v>0</v>
          </cell>
          <cell r="F51">
            <v>0</v>
          </cell>
          <cell r="H51">
            <v>0</v>
          </cell>
          <cell r="I51">
            <v>0</v>
          </cell>
          <cell r="K51">
            <v>0</v>
          </cell>
          <cell r="L51">
            <v>0</v>
          </cell>
          <cell r="N51">
            <v>0</v>
          </cell>
        </row>
        <row r="52">
          <cell r="D52">
            <v>0</v>
          </cell>
          <cell r="E52">
            <v>0</v>
          </cell>
          <cell r="F52">
            <v>0</v>
          </cell>
          <cell r="H52">
            <v>0</v>
          </cell>
          <cell r="I52">
            <v>0</v>
          </cell>
          <cell r="K52">
            <v>0</v>
          </cell>
          <cell r="L52">
            <v>0</v>
          </cell>
          <cell r="N52">
            <v>0</v>
          </cell>
        </row>
        <row r="53">
          <cell r="D53">
            <v>0</v>
          </cell>
          <cell r="E53">
            <v>0</v>
          </cell>
          <cell r="F53">
            <v>0</v>
          </cell>
          <cell r="H53">
            <v>750.02</v>
          </cell>
          <cell r="I53">
            <v>0</v>
          </cell>
          <cell r="K53">
            <v>-472896.97</v>
          </cell>
          <cell r="L53">
            <v>-46190044.89</v>
          </cell>
          <cell r="N53">
            <v>-46662191.84</v>
          </cell>
        </row>
        <row r="54">
          <cell r="D54">
            <v>0</v>
          </cell>
          <cell r="E54">
            <v>0</v>
          </cell>
          <cell r="F54">
            <v>0</v>
          </cell>
          <cell r="H54">
            <v>0</v>
          </cell>
          <cell r="I54">
            <v>0</v>
          </cell>
          <cell r="K54">
            <v>0</v>
          </cell>
          <cell r="L54">
            <v>0</v>
          </cell>
          <cell r="N54">
            <v>0</v>
          </cell>
        </row>
        <row r="55">
          <cell r="D55">
            <v>0</v>
          </cell>
          <cell r="E55">
            <v>0</v>
          </cell>
          <cell r="F55">
            <v>0</v>
          </cell>
          <cell r="H55">
            <v>0</v>
          </cell>
          <cell r="I55">
            <v>0</v>
          </cell>
          <cell r="K55">
            <v>0</v>
          </cell>
          <cell r="L55">
            <v>0</v>
          </cell>
          <cell r="N55">
            <v>0</v>
          </cell>
        </row>
        <row r="58">
          <cell r="D58">
            <v>0</v>
          </cell>
          <cell r="E58">
            <v>0</v>
          </cell>
          <cell r="F58">
            <v>0</v>
          </cell>
          <cell r="H58">
            <v>0</v>
          </cell>
          <cell r="I58">
            <v>0</v>
          </cell>
          <cell r="K58">
            <v>0</v>
          </cell>
          <cell r="L58">
            <v>0</v>
          </cell>
          <cell r="N58">
            <v>0</v>
          </cell>
        </row>
        <row r="59">
          <cell r="D59">
            <v>0</v>
          </cell>
          <cell r="E59">
            <v>0</v>
          </cell>
          <cell r="F59">
            <v>0</v>
          </cell>
          <cell r="H59">
            <v>0</v>
          </cell>
          <cell r="I59">
            <v>0</v>
          </cell>
          <cell r="K59">
            <v>0</v>
          </cell>
          <cell r="L59">
            <v>0</v>
          </cell>
          <cell r="N59">
            <v>0</v>
          </cell>
        </row>
        <row r="60">
          <cell r="D60">
            <v>0</v>
          </cell>
          <cell r="E60">
            <v>0</v>
          </cell>
          <cell r="F60">
            <v>0</v>
          </cell>
          <cell r="H60">
            <v>0</v>
          </cell>
          <cell r="I60">
            <v>0</v>
          </cell>
          <cell r="K60">
            <v>0</v>
          </cell>
          <cell r="L60">
            <v>0</v>
          </cell>
          <cell r="N60">
            <v>0</v>
          </cell>
        </row>
        <row r="61">
          <cell r="D61">
            <v>0</v>
          </cell>
          <cell r="E61">
            <v>0</v>
          </cell>
          <cell r="F61">
            <v>0</v>
          </cell>
          <cell r="H61">
            <v>0</v>
          </cell>
          <cell r="I61">
            <v>0</v>
          </cell>
          <cell r="K61">
            <v>0</v>
          </cell>
          <cell r="L61">
            <v>0</v>
          </cell>
          <cell r="N61">
            <v>0</v>
          </cell>
        </row>
        <row r="62">
          <cell r="D62">
            <v>0</v>
          </cell>
          <cell r="E62">
            <v>0</v>
          </cell>
          <cell r="F62">
            <v>0</v>
          </cell>
          <cell r="H62">
            <v>0</v>
          </cell>
          <cell r="I62">
            <v>0</v>
          </cell>
          <cell r="K62">
            <v>0</v>
          </cell>
          <cell r="L62">
            <v>0</v>
          </cell>
          <cell r="N62">
            <v>0</v>
          </cell>
        </row>
        <row r="65">
          <cell r="D65">
            <v>1689248.87</v>
          </cell>
          <cell r="E65">
            <v>0</v>
          </cell>
          <cell r="F65">
            <v>0</v>
          </cell>
          <cell r="H65">
            <v>4658276.89</v>
          </cell>
          <cell r="I65">
            <v>0</v>
          </cell>
          <cell r="K65">
            <v>1270637.62</v>
          </cell>
          <cell r="L65">
            <v>51132.1199999998</v>
          </cell>
          <cell r="N65">
            <v>7669295.5</v>
          </cell>
        </row>
        <row r="66">
          <cell r="D66">
            <v>529932.01</v>
          </cell>
          <cell r="E66">
            <v>0</v>
          </cell>
          <cell r="F66">
            <v>0</v>
          </cell>
          <cell r="H66">
            <v>576409.29</v>
          </cell>
          <cell r="I66">
            <v>0</v>
          </cell>
          <cell r="K66">
            <v>120556.73</v>
          </cell>
          <cell r="L66">
            <v>290287.72</v>
          </cell>
          <cell r="N66">
            <v>1517185.75</v>
          </cell>
        </row>
        <row r="67">
          <cell r="D67">
            <v>0</v>
          </cell>
          <cell r="E67">
            <v>0</v>
          </cell>
          <cell r="F67">
            <v>0</v>
          </cell>
          <cell r="H67">
            <v>0</v>
          </cell>
          <cell r="I67">
            <v>0</v>
          </cell>
          <cell r="K67">
            <v>0</v>
          </cell>
          <cell r="L67">
            <v>0</v>
          </cell>
          <cell r="N67">
            <v>0</v>
          </cell>
        </row>
        <row r="68">
          <cell r="D68">
            <v>-366369.362113062</v>
          </cell>
          <cell r="E68">
            <v>85.48</v>
          </cell>
          <cell r="F68">
            <v>0</v>
          </cell>
          <cell r="H68">
            <v>-1014458.12534403</v>
          </cell>
          <cell r="I68">
            <v>0</v>
          </cell>
          <cell r="K68">
            <v>-276805.489890862</v>
          </cell>
          <cell r="L68">
            <v>-10657.2526520509</v>
          </cell>
          <cell r="N68">
            <v>-1668204.75</v>
          </cell>
        </row>
        <row r="69">
          <cell r="D69">
            <v>10009363.94</v>
          </cell>
          <cell r="E69">
            <v>1341702.9</v>
          </cell>
          <cell r="F69">
            <v>0</v>
          </cell>
          <cell r="H69">
            <v>116828157.894</v>
          </cell>
          <cell r="I69">
            <v>0</v>
          </cell>
          <cell r="K69">
            <v>0</v>
          </cell>
          <cell r="L69">
            <v>0</v>
          </cell>
          <cell r="N69">
            <v>128179224.734</v>
          </cell>
        </row>
        <row r="70">
          <cell r="D70">
            <v>39657.78</v>
          </cell>
          <cell r="E70">
            <v>0</v>
          </cell>
          <cell r="F70">
            <v>0</v>
          </cell>
          <cell r="H70">
            <v>-2709661.2</v>
          </cell>
          <cell r="I70">
            <v>0</v>
          </cell>
          <cell r="K70">
            <v>0</v>
          </cell>
          <cell r="L70">
            <v>0</v>
          </cell>
          <cell r="N70">
            <v>-2670003.42</v>
          </cell>
        </row>
        <row r="71">
          <cell r="D71">
            <v>-10628008.21</v>
          </cell>
          <cell r="E71">
            <v>0</v>
          </cell>
          <cell r="F71">
            <v>0</v>
          </cell>
          <cell r="H71">
            <v>-29212815.77</v>
          </cell>
          <cell r="I71">
            <v>0</v>
          </cell>
          <cell r="K71">
            <v>-8033174.51</v>
          </cell>
          <cell r="L71">
            <v>-216683.620000004</v>
          </cell>
          <cell r="N71">
            <v>-48090682.11</v>
          </cell>
        </row>
        <row r="72">
          <cell r="D72">
            <v>0</v>
          </cell>
          <cell r="E72">
            <v>209845.6</v>
          </cell>
          <cell r="F72">
            <v>0</v>
          </cell>
          <cell r="H72">
            <v>2258848.77</v>
          </cell>
          <cell r="I72">
            <v>143948.36</v>
          </cell>
          <cell r="K72">
            <v>-72416.02</v>
          </cell>
          <cell r="L72">
            <v>0</v>
          </cell>
          <cell r="N72">
            <v>2540226.71</v>
          </cell>
        </row>
        <row r="73">
          <cell r="D73">
            <v>0</v>
          </cell>
          <cell r="E73">
            <v>0</v>
          </cell>
          <cell r="F73">
            <v>0</v>
          </cell>
          <cell r="H73">
            <v>0</v>
          </cell>
          <cell r="I73">
            <v>0</v>
          </cell>
          <cell r="K73">
            <v>0</v>
          </cell>
          <cell r="L73">
            <v>0</v>
          </cell>
          <cell r="N73">
            <v>0</v>
          </cell>
        </row>
        <row r="74">
          <cell r="D74">
            <v>-100076.92</v>
          </cell>
          <cell r="E74">
            <v>0</v>
          </cell>
          <cell r="F74">
            <v>0</v>
          </cell>
          <cell r="H74">
            <v>-286094.86</v>
          </cell>
          <cell r="I74">
            <v>0</v>
          </cell>
          <cell r="K74">
            <v>-76874.4</v>
          </cell>
          <cell r="L74">
            <v>-21523.52</v>
          </cell>
          <cell r="N74">
            <v>-484569.7</v>
          </cell>
        </row>
        <row r="75">
          <cell r="D75">
            <v>-180497.33</v>
          </cell>
          <cell r="E75">
            <v>0</v>
          </cell>
          <cell r="F75">
            <v>0</v>
          </cell>
          <cell r="H75">
            <v>-239172.2</v>
          </cell>
          <cell r="I75">
            <v>0</v>
          </cell>
          <cell r="K75">
            <v>-65209.86</v>
          </cell>
          <cell r="L75">
            <v>-2624.12</v>
          </cell>
          <cell r="N75">
            <v>-487503.51</v>
          </cell>
        </row>
        <row r="76">
          <cell r="D76">
            <v>0</v>
          </cell>
          <cell r="E76">
            <v>0</v>
          </cell>
          <cell r="F76">
            <v>0</v>
          </cell>
          <cell r="H76">
            <v>376.91</v>
          </cell>
          <cell r="I76">
            <v>0</v>
          </cell>
          <cell r="K76">
            <v>0</v>
          </cell>
          <cell r="L76">
            <v>0</v>
          </cell>
          <cell r="N76">
            <v>376.91</v>
          </cell>
        </row>
        <row r="77">
          <cell r="D77">
            <v>27253.15</v>
          </cell>
          <cell r="E77">
            <v>0</v>
          </cell>
          <cell r="F77">
            <v>0</v>
          </cell>
          <cell r="H77">
            <v>45450.12</v>
          </cell>
          <cell r="I77">
            <v>0</v>
          </cell>
          <cell r="K77">
            <v>447.48</v>
          </cell>
          <cell r="L77">
            <v>0</v>
          </cell>
          <cell r="N77">
            <v>73150.75</v>
          </cell>
        </row>
      </sheetData>
      <sheetData sheetId="1">
        <row r="3">
          <cell r="D3">
            <v>0</v>
          </cell>
          <cell r="E3">
            <v>0</v>
          </cell>
          <cell r="F3">
            <v>0</v>
          </cell>
          <cell r="H3">
            <v>0</v>
          </cell>
          <cell r="I3">
            <v>0</v>
          </cell>
          <cell r="K3">
            <v>0</v>
          </cell>
          <cell r="L3">
            <v>0</v>
          </cell>
          <cell r="N3">
            <v>0</v>
          </cell>
        </row>
        <row r="4">
          <cell r="D4">
            <v>0</v>
          </cell>
          <cell r="E4">
            <v>0</v>
          </cell>
          <cell r="F4">
            <v>0</v>
          </cell>
          <cell r="H4">
            <v>0</v>
          </cell>
          <cell r="I4">
            <v>0</v>
          </cell>
          <cell r="K4">
            <v>0</v>
          </cell>
          <cell r="L4">
            <v>0</v>
          </cell>
          <cell r="N4">
            <v>0</v>
          </cell>
        </row>
        <row r="5">
          <cell r="D5">
            <v>0</v>
          </cell>
          <cell r="E5">
            <v>0</v>
          </cell>
          <cell r="F5">
            <v>0</v>
          </cell>
          <cell r="H5">
            <v>0</v>
          </cell>
          <cell r="I5">
            <v>0</v>
          </cell>
          <cell r="K5">
            <v>0</v>
          </cell>
          <cell r="L5">
            <v>0</v>
          </cell>
          <cell r="N5">
            <v>0</v>
          </cell>
        </row>
        <row r="6">
          <cell r="D6">
            <v>0</v>
          </cell>
          <cell r="E6">
            <v>0</v>
          </cell>
          <cell r="F6">
            <v>0</v>
          </cell>
          <cell r="H6">
            <v>0</v>
          </cell>
          <cell r="I6">
            <v>0</v>
          </cell>
          <cell r="K6">
            <v>0</v>
          </cell>
          <cell r="L6">
            <v>0</v>
          </cell>
          <cell r="N6">
            <v>0</v>
          </cell>
        </row>
        <row r="7">
          <cell r="D7">
            <v>0</v>
          </cell>
          <cell r="E7">
            <v>0</v>
          </cell>
          <cell r="F7">
            <v>0</v>
          </cell>
          <cell r="H7">
            <v>0</v>
          </cell>
          <cell r="I7">
            <v>0</v>
          </cell>
          <cell r="K7">
            <v>0</v>
          </cell>
          <cell r="L7">
            <v>0</v>
          </cell>
          <cell r="N7">
            <v>0</v>
          </cell>
        </row>
        <row r="8">
          <cell r="D8">
            <v>0</v>
          </cell>
          <cell r="E8">
            <v>0</v>
          </cell>
          <cell r="F8">
            <v>0</v>
          </cell>
          <cell r="H8">
            <v>0</v>
          </cell>
          <cell r="I8">
            <v>0</v>
          </cell>
          <cell r="K8">
            <v>0</v>
          </cell>
          <cell r="L8">
            <v>0</v>
          </cell>
          <cell r="N8">
            <v>0</v>
          </cell>
        </row>
        <row r="9">
          <cell r="D9">
            <v>3245434.07</v>
          </cell>
          <cell r="E9">
            <v>0</v>
          </cell>
          <cell r="F9">
            <v>0</v>
          </cell>
          <cell r="H9">
            <v>0</v>
          </cell>
          <cell r="I9">
            <v>0</v>
          </cell>
          <cell r="K9">
            <v>0</v>
          </cell>
          <cell r="L9">
            <v>0</v>
          </cell>
          <cell r="N9">
            <v>3245434.07</v>
          </cell>
        </row>
        <row r="10">
          <cell r="D10">
            <v>0</v>
          </cell>
          <cell r="E10">
            <v>0</v>
          </cell>
          <cell r="F10">
            <v>0</v>
          </cell>
          <cell r="H10">
            <v>0</v>
          </cell>
          <cell r="I10">
            <v>0</v>
          </cell>
          <cell r="K10">
            <v>0</v>
          </cell>
          <cell r="L10">
            <v>0</v>
          </cell>
          <cell r="N10">
            <v>0</v>
          </cell>
        </row>
        <row r="13">
          <cell r="D13">
            <v>0</v>
          </cell>
          <cell r="E13">
            <v>0</v>
          </cell>
          <cell r="F13">
            <v>0</v>
          </cell>
          <cell r="H13">
            <v>0</v>
          </cell>
          <cell r="I13">
            <v>0</v>
          </cell>
          <cell r="K13">
            <v>0</v>
          </cell>
          <cell r="L13">
            <v>0</v>
          </cell>
        </row>
        <row r="14">
          <cell r="D14">
            <v>0</v>
          </cell>
          <cell r="E14">
            <v>0</v>
          </cell>
          <cell r="F14">
            <v>0</v>
          </cell>
          <cell r="H14">
            <v>0</v>
          </cell>
          <cell r="I14">
            <v>0</v>
          </cell>
          <cell r="K14">
            <v>0</v>
          </cell>
          <cell r="L14">
            <v>0</v>
          </cell>
        </row>
        <row r="15">
          <cell r="D15">
            <v>0</v>
          </cell>
          <cell r="E15">
            <v>0</v>
          </cell>
          <cell r="F15">
            <v>0</v>
          </cell>
          <cell r="H15">
            <v>0</v>
          </cell>
          <cell r="I15">
            <v>0</v>
          </cell>
          <cell r="K15">
            <v>0</v>
          </cell>
          <cell r="L15">
            <v>0</v>
          </cell>
          <cell r="N15">
            <v>0</v>
          </cell>
        </row>
        <row r="16">
          <cell r="D16">
            <v>0</v>
          </cell>
          <cell r="E16">
            <v>0</v>
          </cell>
          <cell r="F16">
            <v>0</v>
          </cell>
          <cell r="H16">
            <v>0</v>
          </cell>
          <cell r="I16">
            <v>0</v>
          </cell>
          <cell r="K16">
            <v>0</v>
          </cell>
          <cell r="L16">
            <v>0</v>
          </cell>
          <cell r="N16">
            <v>0</v>
          </cell>
        </row>
        <row r="17">
          <cell r="D17">
            <v>0</v>
          </cell>
          <cell r="E17">
            <v>0</v>
          </cell>
          <cell r="F17">
            <v>0</v>
          </cell>
          <cell r="H17">
            <v>0</v>
          </cell>
          <cell r="I17">
            <v>0</v>
          </cell>
          <cell r="K17">
            <v>0</v>
          </cell>
          <cell r="L17">
            <v>0</v>
          </cell>
          <cell r="N17">
            <v>0</v>
          </cell>
        </row>
        <row r="18">
          <cell r="D18">
            <v>0</v>
          </cell>
          <cell r="E18">
            <v>0</v>
          </cell>
          <cell r="F18">
            <v>0</v>
          </cell>
          <cell r="H18">
            <v>0</v>
          </cell>
          <cell r="I18">
            <v>0</v>
          </cell>
          <cell r="K18">
            <v>0</v>
          </cell>
          <cell r="L18">
            <v>0</v>
          </cell>
          <cell r="N18">
            <v>0</v>
          </cell>
        </row>
        <row r="19">
          <cell r="N19">
            <v>0</v>
          </cell>
        </row>
        <row r="21">
          <cell r="D21">
            <v>0</v>
          </cell>
          <cell r="E21">
            <v>0</v>
          </cell>
          <cell r="F21">
            <v>0</v>
          </cell>
          <cell r="H21">
            <v>0</v>
          </cell>
          <cell r="I21">
            <v>0</v>
          </cell>
          <cell r="K21">
            <v>0</v>
          </cell>
          <cell r="L21">
            <v>0</v>
          </cell>
          <cell r="N21">
            <v>0</v>
          </cell>
        </row>
        <row r="22">
          <cell r="D22">
            <v>0</v>
          </cell>
          <cell r="E22">
            <v>0</v>
          </cell>
          <cell r="F22">
            <v>0</v>
          </cell>
          <cell r="H22">
            <v>0</v>
          </cell>
          <cell r="I22">
            <v>0</v>
          </cell>
          <cell r="K22">
            <v>0</v>
          </cell>
          <cell r="L22">
            <v>0</v>
          </cell>
          <cell r="N22">
            <v>0</v>
          </cell>
        </row>
        <row r="23">
          <cell r="D23">
            <v>0</v>
          </cell>
          <cell r="E23">
            <v>0</v>
          </cell>
          <cell r="F23">
            <v>0</v>
          </cell>
          <cell r="H23">
            <v>0</v>
          </cell>
          <cell r="I23">
            <v>0</v>
          </cell>
          <cell r="K23">
            <v>0</v>
          </cell>
          <cell r="L23">
            <v>0</v>
          </cell>
          <cell r="N23">
            <v>0</v>
          </cell>
        </row>
        <row r="24">
          <cell r="D24">
            <v>0</v>
          </cell>
          <cell r="E24">
            <v>0</v>
          </cell>
          <cell r="F24">
            <v>0</v>
          </cell>
          <cell r="H24">
            <v>0</v>
          </cell>
          <cell r="I24">
            <v>0</v>
          </cell>
          <cell r="K24">
            <v>0</v>
          </cell>
          <cell r="L24">
            <v>0</v>
          </cell>
          <cell r="N24">
            <v>0</v>
          </cell>
        </row>
        <row r="25">
          <cell r="D25">
            <v>0</v>
          </cell>
          <cell r="E25">
            <v>0</v>
          </cell>
          <cell r="F25">
            <v>0</v>
          </cell>
          <cell r="H25">
            <v>0</v>
          </cell>
          <cell r="I25">
            <v>0</v>
          </cell>
          <cell r="K25">
            <v>0</v>
          </cell>
          <cell r="L25">
            <v>0</v>
          </cell>
          <cell r="N25">
            <v>0</v>
          </cell>
        </row>
        <row r="26">
          <cell r="D26">
            <v>0</v>
          </cell>
          <cell r="E26">
            <v>0</v>
          </cell>
          <cell r="F26">
            <v>0</v>
          </cell>
          <cell r="H26">
            <v>0</v>
          </cell>
          <cell r="I26">
            <v>0</v>
          </cell>
          <cell r="K26">
            <v>0</v>
          </cell>
          <cell r="L26">
            <v>0</v>
          </cell>
          <cell r="N26">
            <v>0</v>
          </cell>
        </row>
        <row r="27">
          <cell r="D27">
            <v>0</v>
          </cell>
          <cell r="E27">
            <v>0</v>
          </cell>
          <cell r="F27">
            <v>0</v>
          </cell>
          <cell r="H27">
            <v>0</v>
          </cell>
          <cell r="I27">
            <v>0</v>
          </cell>
          <cell r="K27">
            <v>0</v>
          </cell>
          <cell r="L27">
            <v>0</v>
          </cell>
          <cell r="N27">
            <v>0</v>
          </cell>
        </row>
        <row r="28">
          <cell r="D28">
            <v>0</v>
          </cell>
          <cell r="E28">
            <v>0</v>
          </cell>
          <cell r="F28">
            <v>0</v>
          </cell>
          <cell r="H28">
            <v>0</v>
          </cell>
          <cell r="I28">
            <v>0</v>
          </cell>
          <cell r="K28">
            <v>0</v>
          </cell>
          <cell r="L28">
            <v>0</v>
          </cell>
          <cell r="N28">
            <v>0</v>
          </cell>
        </row>
        <row r="29">
          <cell r="D29">
            <v>0</v>
          </cell>
          <cell r="E29">
            <v>0</v>
          </cell>
          <cell r="F29">
            <v>0</v>
          </cell>
          <cell r="H29">
            <v>8021923.71</v>
          </cell>
          <cell r="I29">
            <v>0</v>
          </cell>
          <cell r="K29">
            <v>0</v>
          </cell>
          <cell r="L29">
            <v>0</v>
          </cell>
          <cell r="N29">
            <v>8021923.71</v>
          </cell>
        </row>
        <row r="30">
          <cell r="D30">
            <v>0</v>
          </cell>
          <cell r="E30">
            <v>0</v>
          </cell>
          <cell r="F30">
            <v>0</v>
          </cell>
          <cell r="H30">
            <v>0</v>
          </cell>
          <cell r="I30">
            <v>0</v>
          </cell>
          <cell r="K30">
            <v>0</v>
          </cell>
          <cell r="L30">
            <v>0</v>
          </cell>
          <cell r="N30">
            <v>0</v>
          </cell>
        </row>
        <row r="33">
          <cell r="D33">
            <v>0</v>
          </cell>
          <cell r="E33">
            <v>0</v>
          </cell>
          <cell r="F33">
            <v>0</v>
          </cell>
          <cell r="H33">
            <v>0</v>
          </cell>
          <cell r="I33">
            <v>0</v>
          </cell>
          <cell r="K33">
            <v>0</v>
          </cell>
          <cell r="L33">
            <v>0</v>
          </cell>
          <cell r="N33">
            <v>0</v>
          </cell>
        </row>
        <row r="34">
          <cell r="D34">
            <v>0</v>
          </cell>
          <cell r="E34">
            <v>0</v>
          </cell>
          <cell r="F34">
            <v>0</v>
          </cell>
          <cell r="H34">
            <v>0</v>
          </cell>
          <cell r="I34">
            <v>0</v>
          </cell>
          <cell r="K34">
            <v>0</v>
          </cell>
          <cell r="L34">
            <v>0</v>
          </cell>
          <cell r="N34">
            <v>0</v>
          </cell>
        </row>
        <row r="35">
          <cell r="D35">
            <v>0</v>
          </cell>
          <cell r="E35">
            <v>0</v>
          </cell>
          <cell r="F35">
            <v>0</v>
          </cell>
          <cell r="H35">
            <v>0</v>
          </cell>
          <cell r="I35">
            <v>0</v>
          </cell>
          <cell r="K35">
            <v>0</v>
          </cell>
          <cell r="L35">
            <v>0</v>
          </cell>
          <cell r="N35">
            <v>0</v>
          </cell>
        </row>
        <row r="36">
          <cell r="D36">
            <v>0</v>
          </cell>
          <cell r="E36">
            <v>0</v>
          </cell>
          <cell r="F36">
            <v>0</v>
          </cell>
          <cell r="H36">
            <v>-16078.24</v>
          </cell>
          <cell r="I36">
            <v>0</v>
          </cell>
          <cell r="K36">
            <v>0</v>
          </cell>
          <cell r="L36">
            <v>0</v>
          </cell>
          <cell r="N36">
            <v>-16078.24</v>
          </cell>
        </row>
        <row r="37">
          <cell r="D37">
            <v>0</v>
          </cell>
          <cell r="E37">
            <v>0</v>
          </cell>
          <cell r="F37">
            <v>0</v>
          </cell>
          <cell r="H37">
            <v>0</v>
          </cell>
          <cell r="I37">
            <v>0</v>
          </cell>
          <cell r="K37">
            <v>0</v>
          </cell>
          <cell r="L37">
            <v>0</v>
          </cell>
          <cell r="N37">
            <v>0</v>
          </cell>
        </row>
        <row r="38">
          <cell r="D38">
            <v>0</v>
          </cell>
          <cell r="E38">
            <v>0</v>
          </cell>
          <cell r="F38">
            <v>0</v>
          </cell>
          <cell r="H38">
            <v>0</v>
          </cell>
          <cell r="I38">
            <v>0</v>
          </cell>
          <cell r="K38">
            <v>0</v>
          </cell>
          <cell r="L38">
            <v>0</v>
          </cell>
          <cell r="N38">
            <v>0</v>
          </cell>
        </row>
        <row r="39">
          <cell r="D39">
            <v>0</v>
          </cell>
          <cell r="E39">
            <v>0</v>
          </cell>
          <cell r="F39">
            <v>0</v>
          </cell>
          <cell r="H39">
            <v>0</v>
          </cell>
          <cell r="I39">
            <v>0</v>
          </cell>
          <cell r="K39">
            <v>0</v>
          </cell>
          <cell r="L39">
            <v>0</v>
          </cell>
          <cell r="N39">
            <v>0</v>
          </cell>
        </row>
        <row r="40">
          <cell r="D40">
            <v>0</v>
          </cell>
          <cell r="E40">
            <v>0</v>
          </cell>
          <cell r="F40">
            <v>0</v>
          </cell>
          <cell r="H40">
            <v>0</v>
          </cell>
          <cell r="I40">
            <v>0</v>
          </cell>
          <cell r="K40">
            <v>0</v>
          </cell>
          <cell r="L40">
            <v>0</v>
          </cell>
          <cell r="N40">
            <v>0</v>
          </cell>
        </row>
        <row r="41">
          <cell r="D41">
            <v>0</v>
          </cell>
          <cell r="E41">
            <v>0</v>
          </cell>
          <cell r="F41">
            <v>0</v>
          </cell>
          <cell r="H41">
            <v>0</v>
          </cell>
          <cell r="I41">
            <v>0</v>
          </cell>
          <cell r="K41">
            <v>0</v>
          </cell>
          <cell r="L41">
            <v>0</v>
          </cell>
          <cell r="N41">
            <v>0</v>
          </cell>
        </row>
        <row r="44">
          <cell r="D44">
            <v>0</v>
          </cell>
          <cell r="E44">
            <v>0</v>
          </cell>
          <cell r="F44">
            <v>0</v>
          </cell>
          <cell r="H44">
            <v>0</v>
          </cell>
          <cell r="I44">
            <v>0</v>
          </cell>
          <cell r="K44">
            <v>0</v>
          </cell>
          <cell r="L44">
            <v>0</v>
          </cell>
          <cell r="N44">
            <v>0</v>
          </cell>
        </row>
        <row r="45">
          <cell r="D45">
            <v>0</v>
          </cell>
          <cell r="E45">
            <v>0</v>
          </cell>
          <cell r="F45">
            <v>0</v>
          </cell>
          <cell r="H45">
            <v>0</v>
          </cell>
          <cell r="I45">
            <v>0</v>
          </cell>
          <cell r="K45">
            <v>0</v>
          </cell>
          <cell r="L45">
            <v>0</v>
          </cell>
          <cell r="N45">
            <v>0</v>
          </cell>
        </row>
        <row r="46">
          <cell r="D46">
            <v>0</v>
          </cell>
          <cell r="E46">
            <v>0</v>
          </cell>
          <cell r="F46">
            <v>0</v>
          </cell>
          <cell r="H46">
            <v>0</v>
          </cell>
          <cell r="I46">
            <v>0</v>
          </cell>
          <cell r="K46">
            <v>0</v>
          </cell>
          <cell r="L46">
            <v>0</v>
          </cell>
          <cell r="N46">
            <v>0</v>
          </cell>
        </row>
        <row r="47">
          <cell r="D47">
            <v>0</v>
          </cell>
          <cell r="E47">
            <v>0</v>
          </cell>
          <cell r="F47">
            <v>0</v>
          </cell>
          <cell r="H47">
            <v>0</v>
          </cell>
          <cell r="I47">
            <v>0</v>
          </cell>
          <cell r="K47">
            <v>0</v>
          </cell>
          <cell r="L47">
            <v>0</v>
          </cell>
          <cell r="N47">
            <v>0</v>
          </cell>
        </row>
        <row r="48">
          <cell r="D48">
            <v>0</v>
          </cell>
          <cell r="E48">
            <v>0</v>
          </cell>
          <cell r="F48">
            <v>0</v>
          </cell>
          <cell r="H48">
            <v>0</v>
          </cell>
          <cell r="I48">
            <v>0</v>
          </cell>
          <cell r="K48">
            <v>0</v>
          </cell>
          <cell r="L48">
            <v>0</v>
          </cell>
        </row>
        <row r="51">
          <cell r="D51">
            <v>0</v>
          </cell>
          <cell r="E51">
            <v>0</v>
          </cell>
          <cell r="F51">
            <v>0</v>
          </cell>
          <cell r="H51">
            <v>0</v>
          </cell>
          <cell r="I51">
            <v>0</v>
          </cell>
          <cell r="K51">
            <v>0</v>
          </cell>
          <cell r="L51">
            <v>0</v>
          </cell>
        </row>
        <row r="52">
          <cell r="D52">
            <v>0</v>
          </cell>
          <cell r="E52">
            <v>0</v>
          </cell>
          <cell r="F52">
            <v>0</v>
          </cell>
          <cell r="H52">
            <v>0</v>
          </cell>
          <cell r="I52">
            <v>0</v>
          </cell>
          <cell r="K52">
            <v>0</v>
          </cell>
          <cell r="L52">
            <v>0</v>
          </cell>
        </row>
        <row r="53">
          <cell r="D53">
            <v>0</v>
          </cell>
          <cell r="E53">
            <v>0</v>
          </cell>
          <cell r="F53">
            <v>0</v>
          </cell>
          <cell r="H53">
            <v>0</v>
          </cell>
          <cell r="I53">
            <v>0</v>
          </cell>
          <cell r="K53">
            <v>0</v>
          </cell>
          <cell r="L53">
            <v>0</v>
          </cell>
          <cell r="N53">
            <v>0</v>
          </cell>
        </row>
        <row r="54">
          <cell r="D54">
            <v>0</v>
          </cell>
          <cell r="E54">
            <v>0</v>
          </cell>
          <cell r="F54">
            <v>0</v>
          </cell>
          <cell r="H54">
            <v>0</v>
          </cell>
          <cell r="I54">
            <v>0</v>
          </cell>
          <cell r="K54">
            <v>0</v>
          </cell>
          <cell r="L54">
            <v>0</v>
          </cell>
        </row>
        <row r="55">
          <cell r="D55">
            <v>0</v>
          </cell>
          <cell r="E55">
            <v>0</v>
          </cell>
          <cell r="F55">
            <v>0</v>
          </cell>
          <cell r="H55">
            <v>0</v>
          </cell>
          <cell r="I55">
            <v>0</v>
          </cell>
          <cell r="K55">
            <v>0</v>
          </cell>
          <cell r="L55">
            <v>0</v>
          </cell>
        </row>
        <row r="58">
          <cell r="D58">
            <v>0</v>
          </cell>
          <cell r="E58">
            <v>0</v>
          </cell>
          <cell r="F58">
            <v>0</v>
          </cell>
          <cell r="H58">
            <v>0</v>
          </cell>
          <cell r="I58">
            <v>0</v>
          </cell>
          <cell r="K58">
            <v>0</v>
          </cell>
          <cell r="L58">
            <v>0</v>
          </cell>
          <cell r="N58">
            <v>0</v>
          </cell>
        </row>
        <row r="59">
          <cell r="D59">
            <v>0</v>
          </cell>
          <cell r="E59">
            <v>0</v>
          </cell>
          <cell r="F59">
            <v>0</v>
          </cell>
          <cell r="H59">
            <v>0</v>
          </cell>
          <cell r="I59">
            <v>0</v>
          </cell>
          <cell r="K59">
            <v>0</v>
          </cell>
          <cell r="L59">
            <v>0</v>
          </cell>
          <cell r="N59">
            <v>0</v>
          </cell>
        </row>
        <row r="60">
          <cell r="D60">
            <v>0</v>
          </cell>
          <cell r="E60">
            <v>0</v>
          </cell>
          <cell r="F60">
            <v>0</v>
          </cell>
          <cell r="H60">
            <v>0</v>
          </cell>
          <cell r="I60">
            <v>0</v>
          </cell>
          <cell r="K60">
            <v>0</v>
          </cell>
          <cell r="L60">
            <v>0</v>
          </cell>
          <cell r="N60">
            <v>0</v>
          </cell>
        </row>
        <row r="61">
          <cell r="D61">
            <v>0</v>
          </cell>
          <cell r="E61">
            <v>0</v>
          </cell>
          <cell r="F61">
            <v>0</v>
          </cell>
          <cell r="H61">
            <v>0</v>
          </cell>
          <cell r="I61">
            <v>0</v>
          </cell>
          <cell r="K61">
            <v>0</v>
          </cell>
          <cell r="L61">
            <v>0</v>
          </cell>
          <cell r="N61">
            <v>0</v>
          </cell>
        </row>
        <row r="62">
          <cell r="D62">
            <v>0</v>
          </cell>
          <cell r="E62">
            <v>0</v>
          </cell>
          <cell r="F62">
            <v>0</v>
          </cell>
          <cell r="H62">
            <v>0</v>
          </cell>
          <cell r="I62">
            <v>0</v>
          </cell>
          <cell r="K62">
            <v>0</v>
          </cell>
          <cell r="L62">
            <v>0</v>
          </cell>
        </row>
        <row r="63">
          <cell r="N63">
            <v>0</v>
          </cell>
        </row>
        <row r="65">
          <cell r="D65">
            <v>1689333.1</v>
          </cell>
          <cell r="E65">
            <v>0</v>
          </cell>
          <cell r="F65">
            <v>0</v>
          </cell>
          <cell r="H65">
            <v>4660589.21</v>
          </cell>
          <cell r="I65">
            <v>0</v>
          </cell>
          <cell r="K65">
            <v>1270700.96</v>
          </cell>
          <cell r="L65">
            <v>51134.6699999998</v>
          </cell>
          <cell r="N65">
            <v>7671757.94</v>
          </cell>
        </row>
        <row r="66">
          <cell r="D66">
            <v>0</v>
          </cell>
          <cell r="E66">
            <v>0</v>
          </cell>
          <cell r="F66">
            <v>0</v>
          </cell>
          <cell r="H66">
            <v>0</v>
          </cell>
          <cell r="I66">
            <v>0</v>
          </cell>
          <cell r="K66">
            <v>0</v>
          </cell>
          <cell r="L66">
            <v>0</v>
          </cell>
          <cell r="N66">
            <v>0</v>
          </cell>
        </row>
        <row r="67">
          <cell r="D67">
            <v>0</v>
          </cell>
          <cell r="E67">
            <v>0</v>
          </cell>
          <cell r="F67">
            <v>0</v>
          </cell>
          <cell r="H67">
            <v>0</v>
          </cell>
          <cell r="I67">
            <v>0</v>
          </cell>
          <cell r="K67">
            <v>0</v>
          </cell>
          <cell r="L67">
            <v>0</v>
          </cell>
          <cell r="N67">
            <v>0</v>
          </cell>
        </row>
        <row r="68">
          <cell r="D68">
            <v>0</v>
          </cell>
          <cell r="E68">
            <v>0</v>
          </cell>
          <cell r="F68">
            <v>0</v>
          </cell>
          <cell r="H68">
            <v>0</v>
          </cell>
          <cell r="I68">
            <v>0</v>
          </cell>
          <cell r="K68">
            <v>0</v>
          </cell>
          <cell r="L68">
            <v>0</v>
          </cell>
          <cell r="N68">
            <v>0</v>
          </cell>
        </row>
        <row r="69">
          <cell r="D69">
            <v>0</v>
          </cell>
          <cell r="E69">
            <v>0</v>
          </cell>
          <cell r="F69">
            <v>0</v>
          </cell>
          <cell r="H69">
            <v>0</v>
          </cell>
          <cell r="I69">
            <v>0</v>
          </cell>
          <cell r="K69">
            <v>0</v>
          </cell>
          <cell r="L69">
            <v>0</v>
          </cell>
          <cell r="N69">
            <v>0</v>
          </cell>
        </row>
        <row r="70">
          <cell r="D70">
            <v>0</v>
          </cell>
          <cell r="E70">
            <v>0</v>
          </cell>
          <cell r="F70">
            <v>0</v>
          </cell>
          <cell r="H70">
            <v>0</v>
          </cell>
          <cell r="I70">
            <v>0</v>
          </cell>
          <cell r="K70">
            <v>0</v>
          </cell>
          <cell r="L70">
            <v>0</v>
          </cell>
          <cell r="N70">
            <v>0</v>
          </cell>
        </row>
        <row r="71">
          <cell r="D71">
            <v>0</v>
          </cell>
          <cell r="E71">
            <v>0</v>
          </cell>
          <cell r="F71">
            <v>0</v>
          </cell>
          <cell r="H71">
            <v>0</v>
          </cell>
          <cell r="I71">
            <v>0</v>
          </cell>
          <cell r="K71">
            <v>0</v>
          </cell>
          <cell r="L71">
            <v>0</v>
          </cell>
          <cell r="N71">
            <v>0</v>
          </cell>
        </row>
        <row r="72">
          <cell r="D72">
            <v>0</v>
          </cell>
          <cell r="E72">
            <v>0</v>
          </cell>
          <cell r="F72">
            <v>0</v>
          </cell>
          <cell r="H72">
            <v>0</v>
          </cell>
          <cell r="I72">
            <v>0</v>
          </cell>
          <cell r="K72">
            <v>0</v>
          </cell>
          <cell r="L72">
            <v>0</v>
          </cell>
          <cell r="N72">
            <v>0</v>
          </cell>
        </row>
        <row r="73">
          <cell r="D73">
            <v>0</v>
          </cell>
          <cell r="E73">
            <v>0</v>
          </cell>
          <cell r="F73">
            <v>0</v>
          </cell>
          <cell r="H73">
            <v>0</v>
          </cell>
          <cell r="I73">
            <v>0</v>
          </cell>
          <cell r="K73">
            <v>0</v>
          </cell>
          <cell r="L73">
            <v>0</v>
          </cell>
          <cell r="N73">
            <v>0</v>
          </cell>
        </row>
        <row r="74">
          <cell r="D74">
            <v>0</v>
          </cell>
          <cell r="E74">
            <v>0</v>
          </cell>
          <cell r="F74">
            <v>0</v>
          </cell>
          <cell r="H74">
            <v>0</v>
          </cell>
          <cell r="I74">
            <v>0</v>
          </cell>
          <cell r="K74">
            <v>0</v>
          </cell>
          <cell r="L74">
            <v>0</v>
          </cell>
          <cell r="N74">
            <v>0</v>
          </cell>
        </row>
        <row r="75">
          <cell r="D75">
            <v>0</v>
          </cell>
          <cell r="E75">
            <v>0</v>
          </cell>
          <cell r="F75">
            <v>0</v>
          </cell>
          <cell r="H75">
            <v>0</v>
          </cell>
          <cell r="I75">
            <v>0</v>
          </cell>
          <cell r="K75">
            <v>0</v>
          </cell>
          <cell r="L75">
            <v>0</v>
          </cell>
          <cell r="N75">
            <v>0</v>
          </cell>
        </row>
        <row r="76">
          <cell r="D76">
            <v>0</v>
          </cell>
          <cell r="E76">
            <v>0</v>
          </cell>
          <cell r="F76">
            <v>0</v>
          </cell>
          <cell r="H76">
            <v>0</v>
          </cell>
          <cell r="I76">
            <v>0</v>
          </cell>
          <cell r="K76">
            <v>0</v>
          </cell>
          <cell r="L76">
            <v>0</v>
          </cell>
          <cell r="N76">
            <v>0</v>
          </cell>
        </row>
        <row r="77">
          <cell r="D77">
            <v>0</v>
          </cell>
          <cell r="E77">
            <v>0</v>
          </cell>
          <cell r="F77">
            <v>0</v>
          </cell>
          <cell r="H77">
            <v>0</v>
          </cell>
          <cell r="I77">
            <v>0</v>
          </cell>
          <cell r="K77">
            <v>0</v>
          </cell>
          <cell r="L77">
            <v>0</v>
          </cell>
          <cell r="N77">
            <v>0</v>
          </cell>
        </row>
      </sheetData>
      <sheetData sheetId="2" refreshError="1"/>
      <sheetData sheetId="3">
        <row r="9">
          <cell r="M9">
            <v>1517206007.59</v>
          </cell>
        </row>
      </sheetData>
      <sheetData sheetId="4">
        <row r="9">
          <cell r="M9">
            <v>46329308.93</v>
          </cell>
        </row>
      </sheetData>
      <sheetData sheetId="5">
        <row r="9">
          <cell r="M9">
            <v>20086519.12</v>
          </cell>
        </row>
      </sheetData>
      <sheetData sheetId="6">
        <row r="9">
          <cell r="M9">
            <v>21056212.6</v>
          </cell>
        </row>
      </sheetData>
      <sheetData sheetId="7">
        <row r="9">
          <cell r="M9">
            <v>0</v>
          </cell>
        </row>
      </sheetData>
      <sheetData sheetId="8">
        <row r="9">
          <cell r="M9">
            <v>0</v>
          </cell>
        </row>
      </sheetData>
      <sheetData sheetId="9">
        <row r="9">
          <cell r="M9">
            <v>0</v>
          </cell>
        </row>
      </sheetData>
      <sheetData sheetId="10">
        <row r="9">
          <cell r="M9">
            <v>0</v>
          </cell>
        </row>
      </sheetData>
      <sheetData sheetId="11">
        <row r="9">
          <cell r="M9">
            <v>0</v>
          </cell>
        </row>
      </sheetData>
      <sheetData sheetId="12">
        <row r="9">
          <cell r="M9">
            <v>0</v>
          </cell>
        </row>
      </sheetData>
      <sheetData sheetId="13">
        <row r="9">
          <cell r="M9">
            <v>0</v>
          </cell>
        </row>
      </sheetData>
      <sheetData sheetId="14">
        <row r="9">
          <cell r="M9">
            <v>860393.12</v>
          </cell>
        </row>
      </sheetData>
      <sheetData sheetId="15">
        <row r="9">
          <cell r="M9">
            <v>739232.17</v>
          </cell>
        </row>
      </sheetData>
      <sheetData sheetId="16">
        <row r="9">
          <cell r="M9">
            <v>410085.79</v>
          </cell>
        </row>
      </sheetData>
      <sheetData sheetId="17">
        <row r="9">
          <cell r="M9">
            <v>362453</v>
          </cell>
        </row>
      </sheetData>
      <sheetData sheetId="18">
        <row r="23">
          <cell r="D23">
            <v>-147.49</v>
          </cell>
        </row>
      </sheetData>
      <sheetData sheetId="19">
        <row r="23">
          <cell r="D23">
            <v>-21077.51</v>
          </cell>
        </row>
      </sheetData>
      <sheetData sheetId="20">
        <row r="9">
          <cell r="M9">
            <v>0</v>
          </cell>
        </row>
      </sheetData>
      <sheetData sheetId="21">
        <row r="9">
          <cell r="M9">
            <v>88666.67</v>
          </cell>
        </row>
      </sheetData>
      <sheetData sheetId="22">
        <row r="9">
          <cell r="M9">
            <v>4250</v>
          </cell>
        </row>
      </sheetData>
      <sheetData sheetId="23">
        <row r="23">
          <cell r="D23">
            <v>-22350.19</v>
          </cell>
        </row>
      </sheetData>
      <sheetData sheetId="24">
        <row r="9">
          <cell r="M9">
            <v>8010.5</v>
          </cell>
        </row>
      </sheetData>
      <sheetData sheetId="25">
        <row r="23">
          <cell r="D23">
            <v>2390950.39</v>
          </cell>
        </row>
      </sheetData>
      <sheetData sheetId="26">
        <row r="9">
          <cell r="M9">
            <v>0</v>
          </cell>
        </row>
      </sheetData>
      <sheetData sheetId="27">
        <row r="23">
          <cell r="D23">
            <v>124762.97</v>
          </cell>
        </row>
      </sheetData>
      <sheetData sheetId="28">
        <row r="23">
          <cell r="D23">
            <v>-33754.4</v>
          </cell>
        </row>
      </sheetData>
      <sheetData sheetId="29">
        <row r="23">
          <cell r="C23" t="str">
            <v>A560</v>
          </cell>
        </row>
      </sheetData>
      <sheetData sheetId="30">
        <row r="23">
          <cell r="D23">
            <v>854483.68</v>
          </cell>
        </row>
      </sheetData>
      <sheetData sheetId="31">
        <row r="23">
          <cell r="D23">
            <v>291928.6</v>
          </cell>
        </row>
      </sheetData>
      <sheetData sheetId="32">
        <row r="9">
          <cell r="M9">
            <v>677523</v>
          </cell>
        </row>
      </sheetData>
      <sheetData sheetId="33">
        <row r="23">
          <cell r="D23">
            <v>156185.47</v>
          </cell>
        </row>
      </sheetData>
      <sheetData sheetId="34">
        <row r="9">
          <cell r="M9">
            <v>0</v>
          </cell>
        </row>
      </sheetData>
      <sheetData sheetId="35">
        <row r="9">
          <cell r="M9">
            <v>0</v>
          </cell>
        </row>
      </sheetData>
      <sheetData sheetId="36">
        <row r="9">
          <cell r="M9">
            <v>474636.27</v>
          </cell>
        </row>
      </sheetData>
      <sheetData sheetId="37">
        <row r="9">
          <cell r="M9">
            <v>53535.25</v>
          </cell>
        </row>
      </sheetData>
      <sheetData sheetId="38">
        <row r="9">
          <cell r="M9">
            <v>72416.02</v>
          </cell>
        </row>
      </sheetData>
      <sheetData sheetId="39">
        <row r="9">
          <cell r="M9">
            <v>0</v>
          </cell>
        </row>
      </sheetData>
      <sheetData sheetId="40">
        <row r="9">
          <cell r="M9">
            <v>0</v>
          </cell>
        </row>
      </sheetData>
      <sheetData sheetId="41">
        <row r="9">
          <cell r="M9">
            <v>0</v>
          </cell>
        </row>
      </sheetData>
      <sheetData sheetId="42">
        <row r="9">
          <cell r="M9">
            <v>0</v>
          </cell>
        </row>
      </sheetData>
      <sheetData sheetId="43">
        <row r="23">
          <cell r="D23">
            <v>1380038.48</v>
          </cell>
        </row>
      </sheetData>
      <sheetData sheetId="44">
        <row r="23">
          <cell r="D23">
            <v>601322.569999999</v>
          </cell>
        </row>
      </sheetData>
      <sheetData sheetId="45">
        <row r="9">
          <cell r="M9">
            <v>0</v>
          </cell>
        </row>
      </sheetData>
      <sheetData sheetId="46">
        <row r="23">
          <cell r="D23">
            <v>1566566.06</v>
          </cell>
        </row>
      </sheetData>
      <sheetData sheetId="47">
        <row r="23">
          <cell r="D23">
            <v>75948429.074</v>
          </cell>
        </row>
      </sheetData>
      <sheetData sheetId="48">
        <row r="9">
          <cell r="M9">
            <v>0</v>
          </cell>
        </row>
      </sheetData>
      <sheetData sheetId="49">
        <row r="9">
          <cell r="M9">
            <v>0</v>
          </cell>
        </row>
      </sheetData>
      <sheetData sheetId="50">
        <row r="9">
          <cell r="M9">
            <v>0</v>
          </cell>
        </row>
      </sheetData>
      <sheetData sheetId="51">
        <row r="9">
          <cell r="M9">
            <v>0</v>
          </cell>
        </row>
      </sheetData>
      <sheetData sheetId="52">
        <row r="9">
          <cell r="M9">
            <v>0</v>
          </cell>
        </row>
      </sheetData>
      <sheetData sheetId="53">
        <row r="9">
          <cell r="M9">
            <v>-75000</v>
          </cell>
        </row>
      </sheetData>
      <sheetData sheetId="54">
        <row r="9">
          <cell r="M9">
            <v>0</v>
          </cell>
        </row>
      </sheetData>
      <sheetData sheetId="55">
        <row r="9">
          <cell r="M9">
            <v>0</v>
          </cell>
        </row>
      </sheetData>
      <sheetData sheetId="56">
        <row r="23">
          <cell r="C23" t="str">
            <v>A560</v>
          </cell>
        </row>
      </sheetData>
      <sheetData sheetId="57">
        <row r="9">
          <cell r="M9">
            <v>0</v>
          </cell>
        </row>
      </sheetData>
      <sheetData sheetId="58">
        <row r="9">
          <cell r="M9">
            <v>0</v>
          </cell>
        </row>
      </sheetData>
      <sheetData sheetId="59">
        <row r="9">
          <cell r="M9">
            <v>5827</v>
          </cell>
        </row>
      </sheetData>
      <sheetData sheetId="60">
        <row r="9">
          <cell r="M9">
            <v>0</v>
          </cell>
        </row>
      </sheetData>
      <sheetData sheetId="61">
        <row r="23">
          <cell r="D23">
            <v>101904.14</v>
          </cell>
        </row>
      </sheetData>
      <sheetData sheetId="62">
        <row r="23">
          <cell r="D23">
            <v>50372301</v>
          </cell>
        </row>
      </sheetData>
      <sheetData sheetId="63">
        <row r="23">
          <cell r="D23">
            <v>0</v>
          </cell>
        </row>
      </sheetData>
      <sheetData sheetId="64">
        <row r="23">
          <cell r="D23">
            <v>951000</v>
          </cell>
        </row>
      </sheetData>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put Data"/>
      <sheetName val="Schedule Sponsors"/>
    </sheetNames>
    <sheetDataSet>
      <sheetData sheetId="0">
        <row r="2">
          <cell r="A2" t="str">
            <v>ONCOR ELECTRIC DELIVERY COMPANY LLC</v>
          </cell>
        </row>
        <row r="4">
          <cell r="A4" t="str">
            <v>TEST YEAR ENDING DECEMBER 31, 2021</v>
          </cell>
        </row>
        <row r="9">
          <cell r="A9" t="str">
            <v>2022 RATE CASE</v>
          </cell>
        </row>
      </sheetData>
      <sheetData sheetId="1">
        <row r="51">
          <cell r="A51" t="str">
            <v>II-D-1  </v>
          </cell>
          <cell r="B51" t="str">
            <v>O&amp;&amp;M EXPENSES</v>
          </cell>
          <cell r="D51" t="str">
            <v>W. ALAN LEDBETTER</v>
          </cell>
        </row>
        <row r="52">
          <cell r="A52" t="str">
            <v>III-D-1.1  </v>
          </cell>
          <cell r="B52" t="str">
            <v>MONTHLY O&amp;&amp;M EXPENSE</v>
          </cell>
          <cell r="D52" t="str">
            <v>W. ALAN LEDBETTER</v>
          </cell>
        </row>
        <row r="53">
          <cell r="A53" t="str">
            <v>II-D-2   </v>
          </cell>
          <cell r="B53" t="str">
            <v>A&amp;&amp;G EXPENSES</v>
          </cell>
          <cell r="D53" t="str">
            <v>W. ALAN LEDBETTER</v>
          </cell>
        </row>
        <row r="54">
          <cell r="A54" t="str">
            <v>II-D-2.1  </v>
          </cell>
          <cell r="B54" t="str">
            <v>MONTHLY A&amp;&amp;G EXPENSE</v>
          </cell>
          <cell r="D54" t="str">
            <v>W. ALAN LEDBETTER</v>
          </cell>
        </row>
        <row r="55">
          <cell r="A55" t="str">
            <v>II-D-2.2  </v>
          </cell>
          <cell r="B55" t="str">
            <v>BAD DEBT EXPENSE</v>
          </cell>
          <cell r="D55" t="str">
            <v>W. ALAN LEDBETTER</v>
          </cell>
        </row>
        <row r="56">
          <cell r="A56" t="str">
            <v>II-D-2.2a  </v>
          </cell>
          <cell r="B56" t="str">
            <v>BAD DEBT EXPENSE UNDER 16 TAC § 25.107</v>
          </cell>
          <cell r="D56" t="str">
            <v>W. ALAN LEDBETTER</v>
          </cell>
        </row>
        <row r="57">
          <cell r="A57" t="str">
            <v>II-D-2.3  </v>
          </cell>
          <cell r="B57" t="str">
            <v>SUMMARY OF ADVERTISING, CONTRIBUTIONS, &amp;&amp; DUES</v>
          </cell>
          <cell r="D57" t="str">
            <v>W. ALAN LEDBETTER</v>
          </cell>
        </row>
        <row r="58">
          <cell r="A58" t="str">
            <v>II-D-2.4  </v>
          </cell>
          <cell r="B58" t="str">
            <v>SUMMARY OF ADVERTISING EXPENSE</v>
          </cell>
          <cell r="D58" t="str">
            <v>W. ALAN LEDBETTER</v>
          </cell>
        </row>
        <row r="59">
          <cell r="A59" t="str">
            <v>II-D-2.4a  </v>
          </cell>
          <cell r="B59" t="str">
            <v>CAPITALIZED ADVERTISING</v>
          </cell>
          <cell r="D59" t="str">
            <v>W. ALAN LEDBETTER</v>
          </cell>
        </row>
        <row r="60">
          <cell r="A60" t="str">
            <v>II-D-2.5  </v>
          </cell>
          <cell r="B60" t="str">
            <v>SUMMARY OF CONTRIBUTION &amp;&amp; DONATION EXPENSE</v>
          </cell>
          <cell r="D60" t="str">
            <v>W. ALAN LEDBETTER</v>
          </cell>
        </row>
        <row r="61">
          <cell r="A61" t="str">
            <v>II-D-2.6  </v>
          </cell>
          <cell r="B61" t="str">
            <v>SUMMARY OF MEMBERSHIP DUES EXPENSE</v>
          </cell>
          <cell r="D61" t="str">
            <v>W. ALAN LEDBETTER</v>
          </cell>
        </row>
        <row r="62">
          <cell r="A62" t="str">
            <v>II-D-2.6a  </v>
          </cell>
          <cell r="B62" t="str">
            <v>SUMMARY OF INDUSTRY ORGANIZATION DUES</v>
          </cell>
          <cell r="D62" t="str">
            <v>W. ALAN LEDBETTER</v>
          </cell>
        </row>
        <row r="63">
          <cell r="A63" t="str">
            <v>II-D-2.6b  </v>
          </cell>
          <cell r="B63" t="str">
            <v>SUMMARY OF BUSINESS/ECONOMIC DUES</v>
          </cell>
          <cell r="D63" t="str">
            <v>W. ALAN LEDBETTER</v>
          </cell>
        </row>
        <row r="64">
          <cell r="A64" t="str">
            <v>II-D-2.6c  </v>
          </cell>
          <cell r="B64" t="str">
            <v>SUMMARY OF PROFESSIONAL DUES</v>
          </cell>
          <cell r="D64" t="str">
            <v>W. ALAN LEDBETTER</v>
          </cell>
        </row>
        <row r="65">
          <cell r="A65" t="str">
            <v>II-D-2.7  </v>
          </cell>
          <cell r="B65" t="str">
            <v>OUTSIDE SERVICES EMPLOYED-FERC 900 SERIES EXPENSES</v>
          </cell>
          <cell r="D65" t="str">
            <v>W. ALAN LEDBETTER</v>
          </cell>
        </row>
        <row r="66">
          <cell r="A66" t="str">
            <v>II-D-2.8  </v>
          </cell>
          <cell r="B66" t="str">
            <v>FACTORING OR SALE OF ACCOUNTS RECEIVABLE EXPENSE</v>
          </cell>
          <cell r="D66" t="str">
            <v>W. ALAN LEDBETTER</v>
          </cell>
        </row>
        <row r="67">
          <cell r="A67" t="str">
            <v>II-D-2.9  </v>
          </cell>
          <cell r="B67" t="str">
            <v>RENTS AND LEASES</v>
          </cell>
          <cell r="D67" t="str">
            <v>W. ALAN LEDBETTER</v>
          </cell>
        </row>
        <row r="68">
          <cell r="A68" t="str">
            <v>II-D-3   </v>
          </cell>
          <cell r="B68" t="str">
            <v>PAYROLL EXPENSE DISTRIBUTION</v>
          </cell>
          <cell r="D68" t="str">
            <v>W. ALAN LEDBETTER</v>
          </cell>
        </row>
        <row r="69">
          <cell r="A69" t="str">
            <v>II-D-3.1  </v>
          </cell>
          <cell r="B69" t="str">
            <v>PAYROLL INFORMATION</v>
          </cell>
          <cell r="D69" t="str">
            <v>A. GUILLORY</v>
          </cell>
        </row>
        <row r="70">
          <cell r="A70" t="str">
            <v>II-D-3.2  </v>
          </cell>
          <cell r="B70" t="str">
            <v>REGULAR AND OVERTIME PAYROLL BY FUNCTION</v>
          </cell>
          <cell r="D70" t="str">
            <v>W. ALAN LEDBETTER</v>
          </cell>
        </row>
        <row r="71">
          <cell r="A71" t="str">
            <v>II-D-3.3  </v>
          </cell>
          <cell r="B71" t="str">
            <v>FUNCTIONALIZED REGULAR PAYROLL BY CATEGORY</v>
          </cell>
          <cell r="D71" t="str">
            <v>W. ALAN LEDBETTER</v>
          </cell>
        </row>
        <row r="72">
          <cell r="A72" t="str">
            <v>II-D-3.4  </v>
          </cell>
          <cell r="B72" t="str">
            <v>PAYROLL CAPITALIZED VS. EXPENSED BY FUNCTION</v>
          </cell>
          <cell r="D72" t="str">
            <v>W. ALAN LEDBETTER</v>
          </cell>
        </row>
        <row r="73">
          <cell r="A73" t="str">
            <v>II-D-3.5  </v>
          </cell>
          <cell r="B73" t="str">
            <v>NUMBER OF EMPLOYEES</v>
          </cell>
          <cell r="D73" t="str">
            <v>A. GUILLORY</v>
          </cell>
        </row>
        <row r="74">
          <cell r="A74" t="str">
            <v>II-D-3.6  </v>
          </cell>
          <cell r="B74" t="str">
            <v>COMPENSATION OTHER THAN STANDARD COMPENSATION BY FUNCTION</v>
          </cell>
          <cell r="D74" t="str">
            <v>W. ALAN LEDBETTER/ A. GUILLORY</v>
          </cell>
        </row>
        <row r="75">
          <cell r="A75" t="str">
            <v>II-D-3.7  </v>
          </cell>
          <cell r="B75" t="str">
            <v>GENERAL EMPLOYEE BENEFIT INFORMATION</v>
          </cell>
          <cell r="D75" t="str">
            <v>W. ALAN LEDBETTER/ A. GUILLORY</v>
          </cell>
        </row>
        <row r="76">
          <cell r="A76" t="str">
            <v>II-D-3.8  </v>
          </cell>
          <cell r="B76" t="str">
            <v>PENSION EXPENSE</v>
          </cell>
          <cell r="D76" t="str">
            <v>W. ALAN LEDBETTER/ A. GUILLORY/ K. FEASE</v>
          </cell>
        </row>
        <row r="77">
          <cell r="A77" t="str">
            <v>II-D-3.9  </v>
          </cell>
          <cell r="B77" t="str">
            <v>POSTRETIREMENT BENEFITS OTHER THAN PENSION</v>
          </cell>
          <cell r="D77" t="str">
            <v>W. ALAN LEDBETTER/ A. GUILLORY/ K. FEASE</v>
          </cell>
        </row>
        <row r="78">
          <cell r="A78" t="str">
            <v>II-D-3.10  </v>
          </cell>
          <cell r="B78" t="str">
            <v>ADMINISTRATION FEES</v>
          </cell>
          <cell r="D78" t="str">
            <v>W. ALAN LEDBETTER/ A. GUILLORY</v>
          </cell>
        </row>
        <row r="79">
          <cell r="A79" t="str">
            <v>II-D-4   </v>
          </cell>
          <cell r="B79" t="str">
            <v>SUMMARY OF EXCLUSIONS FROM TEST YEAR</v>
          </cell>
          <cell r="D79" t="str">
            <v>W. ALAN LEDBETTER</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Link Sheet"/>
      <sheetName val="I-A"/>
      <sheetName val="I-A-1"/>
      <sheetName val="I-A-2"/>
    </sheetNames>
    <sheetDataSet>
      <sheetData sheetId="0"/>
      <sheetData sheetId="1"/>
      <sheetData sheetId="2">
        <row r="31">
          <cell r="F31">
            <v>5723987055.49294</v>
          </cell>
        </row>
      </sheetData>
      <sheetData sheetId="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Link Sheet"/>
      <sheetName val="II-F Alloc_Data"/>
      <sheetName val="II-F Alloc_Factor"/>
    </sheetNames>
    <sheetDataSet>
      <sheetData sheetId="0"/>
      <sheetData sheetId="1"/>
      <sheetData sheetId="2">
        <row r="17">
          <cell r="E17">
            <v>0.220201564321226</v>
          </cell>
          <cell r="F17">
            <v>0</v>
          </cell>
          <cell r="G17">
            <v>0</v>
          </cell>
          <cell r="H17">
            <v>0.220201564321226</v>
          </cell>
          <cell r="I17">
            <v>0.607499511148288</v>
          </cell>
          <cell r="J17">
            <v>0</v>
          </cell>
          <cell r="K17">
            <v>0.607499511148288</v>
          </cell>
          <cell r="L17">
            <v>0.16563361015245</v>
          </cell>
          <cell r="M17">
            <v>0.00666531437803589</v>
          </cell>
        </row>
      </sheetData>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Link Sheet"/>
      <sheetName val="II-E-1"/>
      <sheetName val="II-E-2"/>
      <sheetName val="II-E-2.1"/>
      <sheetName val="II-E-3 Attachment"/>
      <sheetName val="II-E-3"/>
      <sheetName val="II-E-3.1"/>
      <sheetName val="II-E-3.2a"/>
      <sheetName val="II-E-3.2b"/>
      <sheetName val="II-E-3.3"/>
      <sheetName val="II-E-3.4"/>
      <sheetName val="II-E-3.5"/>
      <sheetName val="II-E-3.5a"/>
      <sheetName val="II-E-3.6"/>
      <sheetName val="II-E-3.7"/>
      <sheetName val="II-E-3.8"/>
      <sheetName val="II-E-3.9"/>
      <sheetName val="II-E-3.10"/>
      <sheetName val="II-E-3.11"/>
      <sheetName val="II-E-3.12"/>
      <sheetName val="II-E-3.13"/>
      <sheetName val="II-E-3.14"/>
      <sheetName val="II-E-3.15"/>
      <sheetName val="II-E-3.16"/>
      <sheetName val="II-E-3.17"/>
      <sheetName val="II-E-3.18"/>
      <sheetName val="II-E-3.19"/>
      <sheetName val="II-E-3.20"/>
      <sheetName val="II-E-3.21"/>
      <sheetName val="II-E-3.22"/>
      <sheetName val="II-E-3.23"/>
      <sheetName val="II-E-3.24"/>
      <sheetName val="II-E-4"/>
      <sheetName val="II-E-4.1"/>
      <sheetName val="II-E-4.1.1"/>
      <sheetName val="II-E-4.2"/>
      <sheetName val="II-E-4.3"/>
      <sheetName val="II-E-4.4"/>
      <sheetName val="II-E-4.5"/>
      <sheetName val="II-E-4.6"/>
      <sheetName val="II-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ow r="18">
          <cell r="E18">
            <v>353019</v>
          </cell>
        </row>
        <row r="19">
          <cell r="E19">
            <v>764038.15</v>
          </cell>
        </row>
        <row r="20">
          <cell r="E20">
            <v>28000</v>
          </cell>
        </row>
        <row r="21">
          <cell r="E21">
            <v>6440730.36</v>
          </cell>
        </row>
        <row r="22">
          <cell r="E22">
            <v>373207.8</v>
          </cell>
        </row>
        <row r="23">
          <cell r="E23">
            <v>1947</v>
          </cell>
        </row>
        <row r="24">
          <cell r="E24">
            <v>6078420.03</v>
          </cell>
        </row>
      </sheetData>
      <sheetData sheetId="36"/>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4.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5.bin" /></Relationships>
</file>

<file path=xl/worksheets/_rels/sheet6.xml.rels><?xml version="1.0" encoding="UTF-8" standalone="yes"?><Relationships xmlns="http://schemas.openxmlformats.org/package/2006/relationships"><Relationship Id="rId1" Type="http://schemas.openxmlformats.org/officeDocument/2006/relationships/printerSettings" Target="../printerSettings/printerSettings6.bin" /></Relationships>
</file>

<file path=xl/worksheets/_rels/sheet7.xml.rels><?xml version="1.0" encoding="UTF-8" standalone="yes"?><Relationships xmlns="http://schemas.openxmlformats.org/package/2006/relationships"><Relationship Id="rId1" Type="http://schemas.openxmlformats.org/officeDocument/2006/relationships/printerSettings" Target="../printerSettings/printerSettings7.bin" /></Relationships>
</file>

<file path=xl/worksheets/_rels/sheet8.xml.rels><?xml version="1.0" encoding="UTF-8" standalone="yes"?><Relationships xmlns="http://schemas.openxmlformats.org/package/2006/relationships"><Relationship Id="rId1" Type="http://schemas.openxmlformats.org/officeDocument/2006/relationships/printerSettings" Target="../printerSettings/printerSettings8.bin" /></Relationships>
</file>

<file path=xl/worksheets/_rels/sheet9.xml.rels><?xml version="1.0" encoding="UTF-8" standalone="yes"?><Relationships xmlns="http://schemas.openxmlformats.org/package/2006/relationships"><Relationship Id="rId1" Type="http://schemas.openxmlformats.org/officeDocument/2006/relationships/printerSettings" Target="../printerSettings/printerSettings9.bin" /></Relationships>
</file>

<file path=xl/worksheets/_rels/sheet10.xml.rels><?xml version="1.0" encoding="UTF-8" standalone="yes"?><Relationships xmlns="http://schemas.openxmlformats.org/package/2006/relationships"><Relationship Id="rId1" Type="http://schemas.openxmlformats.org/officeDocument/2006/relationships/printerSettings" Target="../printerSettings/printerSettings10.bin" /></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11.bin" /></Relationships>
</file>

<file path=xl/worksheets/_rels/sheet12.xml.rels><?xml version="1.0" encoding="UTF-8" standalone="yes"?><Relationships xmlns="http://schemas.openxmlformats.org/package/2006/relationships"><Relationship Id="rId1" Type="http://schemas.openxmlformats.org/officeDocument/2006/relationships/printerSettings" Target="../printerSettings/printerSettings12.bin" /></Relationships>
</file>

<file path=xl/worksheets/_rels/sheet13.xml.rels><?xml version="1.0" encoding="UTF-8" standalone="yes"?><Relationships xmlns="http://schemas.openxmlformats.org/package/2006/relationships"><Relationship Id="rId1" Type="http://schemas.openxmlformats.org/officeDocument/2006/relationships/printerSettings" Target="../printerSettings/printerSettings13.bin" /></Relationships>
</file>

<file path=xl/worksheets/_rels/sheet14.xml.rels><?xml version="1.0" encoding="UTF-8" standalone="yes"?><Relationships xmlns="http://schemas.openxmlformats.org/package/2006/relationships"><Relationship Id="rId1" Type="http://schemas.openxmlformats.org/officeDocument/2006/relationships/printerSettings" Target="../printerSettings/printerSettings14.bin" /></Relationships>
</file>

<file path=xl/worksheets/_rels/sheet15.xml.rels><?xml version="1.0" encoding="UTF-8" standalone="yes"?><Relationships xmlns="http://schemas.openxmlformats.org/package/2006/relationships"><Relationship Id="rId1" Type="http://schemas.openxmlformats.org/officeDocument/2006/relationships/printerSettings" Target="../printerSettings/printerSettings15.bin" /></Relationships>
</file>

<file path=xl/worksheets/_rels/sheet16.xml.rels><?xml version="1.0" encoding="UTF-8" standalone="yes"?><Relationships xmlns="http://schemas.openxmlformats.org/package/2006/relationships"><Relationship Id="rId1" Type="http://schemas.openxmlformats.org/officeDocument/2006/relationships/printerSettings" Target="../printerSettings/printerSettings16.bin" /></Relationships>
</file>

<file path=xl/worksheets/_rels/sheet17.xml.rels><?xml version="1.0" encoding="UTF-8" standalone="yes"?><Relationships xmlns="http://schemas.openxmlformats.org/package/2006/relationships"><Relationship Id="rId1" Type="http://schemas.openxmlformats.org/officeDocument/2006/relationships/printerSettings" Target="../printerSettings/printerSettings17.bin" /></Relationships>
</file>

<file path=xl/worksheets/_rels/sheet18.xml.rels><?xml version="1.0" encoding="UTF-8" standalone="yes"?><Relationships xmlns="http://schemas.openxmlformats.org/package/2006/relationships"><Relationship Id="rId1" Type="http://schemas.openxmlformats.org/officeDocument/2006/relationships/printerSettings" Target="../printerSettings/printerSettings18.bin" /></Relationships>
</file>

<file path=xl/worksheets/_rels/sheet19.xml.rels><?xml version="1.0" encoding="UTF-8" standalone="yes"?><Relationships xmlns="http://schemas.openxmlformats.org/package/2006/relationships"><Relationship Id="rId1" Type="http://schemas.openxmlformats.org/officeDocument/2006/relationships/printerSettings" Target="../printerSettings/printerSettings19.bin" /></Relationships>
</file>

<file path=xl/worksheets/_rels/sheet20.xml.rels><?xml version="1.0" encoding="UTF-8" standalone="yes"?><Relationships xmlns="http://schemas.openxmlformats.org/package/2006/relationships"><Relationship Id="rId1" Type="http://schemas.openxmlformats.org/officeDocument/2006/relationships/printerSettings" Target="../printerSettings/printerSettings20.bin" /></Relationships>
</file>

<file path=xl/worksheets/_rels/sheet21.xml.rels><?xml version="1.0" encoding="UTF-8" standalone="yes"?><Relationships xmlns="http://schemas.openxmlformats.org/package/2006/relationships"><Relationship Id="rId1" Type="http://schemas.openxmlformats.org/officeDocument/2006/relationships/printerSettings" Target="../printerSettings/printerSettings21.bin" /></Relationships>
</file>

<file path=xl/worksheets/_rels/sheet22.xml.rels><?xml version="1.0" encoding="UTF-8" standalone="yes"?><Relationships xmlns="http://schemas.openxmlformats.org/package/2006/relationships"><Relationship Id="rId1" Type="http://schemas.openxmlformats.org/officeDocument/2006/relationships/printerSettings" Target="../printerSettings/printerSettings22.bin" /></Relationships>
</file>

<file path=xl/worksheets/_rels/sheet23.xml.rels><?xml version="1.0" encoding="UTF-8" standalone="yes"?><Relationships xmlns="http://schemas.openxmlformats.org/package/2006/relationships"><Relationship Id="rId1" Type="http://schemas.openxmlformats.org/officeDocument/2006/relationships/printerSettings" Target="../printerSettings/printerSettings23.bin" /></Relationships>
</file>

<file path=xl/worksheets/_rels/sheet24.xml.rels><?xml version="1.0" encoding="UTF-8" standalone="yes"?><Relationships xmlns="http://schemas.openxmlformats.org/package/2006/relationships"><Relationship Id="rId1" Type="http://schemas.openxmlformats.org/officeDocument/2006/relationships/printerSettings" Target="../printerSettings/printerSettings24.bin" /></Relationships>
</file>

<file path=xl/worksheets/_rels/sheet25.xml.rels><?xml version="1.0" encoding="UTF-8" standalone="yes"?><Relationships xmlns="http://schemas.openxmlformats.org/package/2006/relationships"><Relationship Id="rId1" Type="http://schemas.openxmlformats.org/officeDocument/2006/relationships/printerSettings" Target="../printerSettings/printerSettings25.bin" /></Relationships>
</file>

<file path=xl/worksheets/_rels/sheet26.xml.rels><?xml version="1.0" encoding="UTF-8" standalone="yes"?><Relationships xmlns="http://schemas.openxmlformats.org/package/2006/relationships"><Relationship Id="rId1" Type="http://schemas.openxmlformats.org/officeDocument/2006/relationships/printerSettings" Target="../printerSettings/printerSettings26.bin" /></Relationships>
</file>

<file path=xl/worksheets/_rels/sheet27.xml.rels><?xml version="1.0" encoding="UTF-8" standalone="yes"?><Relationships xmlns="http://schemas.openxmlformats.org/package/2006/relationships"><Relationship Id="rId1" Type="http://schemas.openxmlformats.org/officeDocument/2006/relationships/printerSettings" Target="../printerSettings/printerSettings27.bin" /></Relationships>
</file>

<file path=xl/worksheets/_rels/sheet28.xml.rels><?xml version="1.0" encoding="UTF-8" standalone="yes"?><Relationships xmlns="http://schemas.openxmlformats.org/package/2006/relationships"><Relationship Id="rId1" Type="http://schemas.openxmlformats.org/officeDocument/2006/relationships/printerSettings" Target="../printerSettings/printerSettings28.bin" /></Relationships>
</file>

<file path=xl/worksheets/_rels/sheet29.xml.rels><?xml version="1.0" encoding="UTF-8" standalone="yes"?><Relationships xmlns="http://schemas.openxmlformats.org/package/2006/relationships"><Relationship Id="rId1" Type="http://schemas.openxmlformats.org/officeDocument/2006/relationships/printerSettings" Target="../printerSettings/printerSettings29.bin" /></Relationships>
</file>

<file path=xl/worksheets/_rels/sheet30.xml.rels><?xml version="1.0" encoding="UTF-8" standalone="yes"?><Relationships xmlns="http://schemas.openxmlformats.org/package/2006/relationships"><Relationship Id="rId1" Type="http://schemas.openxmlformats.org/officeDocument/2006/relationships/printerSettings" Target="../printerSettings/printerSettings30.bin" /></Relationships>
</file>

<file path=xl/worksheets/_rels/sheet31.xml.rels><?xml version="1.0" encoding="UTF-8" standalone="yes"?><Relationships xmlns="http://schemas.openxmlformats.org/package/2006/relationships"><Relationship Id="rId1" Type="http://schemas.openxmlformats.org/officeDocument/2006/relationships/printerSettings" Target="../printerSettings/printerSettings31.bin" /></Relationships>
</file>

<file path=xl/worksheets/_rels/sheet32.xml.rels><?xml version="1.0" encoding="UTF-8" standalone="yes"?><Relationships xmlns="http://schemas.openxmlformats.org/package/2006/relationships"><Relationship Id="rId1" Type="http://schemas.openxmlformats.org/officeDocument/2006/relationships/printerSettings" Target="../printerSettings/printerSettings32.bin" /></Relationships>
</file>

<file path=xl/worksheets/_rels/sheet33.xml.rels><?xml version="1.0" encoding="UTF-8" standalone="yes"?><Relationships xmlns="http://schemas.openxmlformats.org/package/2006/relationships"><Relationship Id="rId1" Type="http://schemas.openxmlformats.org/officeDocument/2006/relationships/printerSettings" Target="../printerSettings/printerSettings33.bin" /></Relationships>
</file>

<file path=xl/worksheets/_rels/sheet34.xml.rels><?xml version="1.0" encoding="UTF-8" standalone="yes"?><Relationships xmlns="http://schemas.openxmlformats.org/package/2006/relationships"><Relationship Id="rId1" Type="http://schemas.openxmlformats.org/officeDocument/2006/relationships/printerSettings" Target="../printerSettings/printerSettings34.bin" /></Relationships>
</file>

<file path=xl/worksheets/_rels/sheet35.xml.rels><?xml version="1.0" encoding="UTF-8" standalone="yes"?><Relationships xmlns="http://schemas.openxmlformats.org/package/2006/relationships"><Relationship Id="rId1" Type="http://schemas.openxmlformats.org/officeDocument/2006/relationships/printerSettings" Target="../printerSettings/printerSettings35.bin" /></Relationships>
</file>

<file path=xl/worksheets/_rels/sheet36.xml.rels><?xml version="1.0" encoding="UTF-8" standalone="yes"?><Relationships xmlns="http://schemas.openxmlformats.org/package/2006/relationships"><Relationship Id="rId1" Type="http://schemas.openxmlformats.org/officeDocument/2006/relationships/printerSettings" Target="../printerSettings/printerSettings36.bin" /></Relationships>
</file>

<file path=xl/worksheets/_rels/sheet37.xml.rels><?xml version="1.0" encoding="UTF-8" standalone="yes"?><Relationships xmlns="http://schemas.openxmlformats.org/package/2006/relationships"><Relationship Id="rId1" Type="http://schemas.openxmlformats.org/officeDocument/2006/relationships/printerSettings" Target="../printerSettings/printerSettings37.bin" /></Relationships>
</file>

<file path=xl/worksheets/_rels/sheet38.xml.rels><?xml version="1.0" encoding="UTF-8" standalone="yes"?><Relationships xmlns="http://schemas.openxmlformats.org/package/2006/relationships"><Relationship Id="rId1" Type="http://schemas.openxmlformats.org/officeDocument/2006/relationships/printerSettings" Target="../printerSettings/printerSettings38.bin" /></Relationships>
</file>

<file path=xl/worksheets/_rels/sheet39.xml.rels><?xml version="1.0" encoding="UTF-8" standalone="yes"?><Relationships xmlns="http://schemas.openxmlformats.org/package/2006/relationships"><Relationship Id="rId1" Type="http://schemas.openxmlformats.org/officeDocument/2006/relationships/printerSettings" Target="../printerSettings/printerSettings39.bin" /></Relationships>
</file>

<file path=xl/worksheets/_rels/sheet40.xml.rels><?xml version="1.0" encoding="UTF-8" standalone="yes"?><Relationships xmlns="http://schemas.openxmlformats.org/package/2006/relationships"><Relationship Id="rId1" Type="http://schemas.openxmlformats.org/officeDocument/2006/relationships/printerSettings" Target="../printerSettings/printerSettings40.bin" /></Relationships>
</file>

<file path=xl/worksheets/_rels/sheet41.xml.rels><?xml version="1.0" encoding="UTF-8" standalone="yes"?><Relationships xmlns="http://schemas.openxmlformats.org/package/2006/relationships"><Relationship Id="rId1" Type="http://schemas.openxmlformats.org/officeDocument/2006/relationships/printerSettings" Target="../printerSettings/printerSettings41.bin" /></Relationships>
</file>

<file path=xl/worksheets/_rels/sheet42.xml.rels><?xml version="1.0" encoding="UTF-8" standalone="yes"?><Relationships xmlns="http://schemas.openxmlformats.org/package/2006/relationships"><Relationship Id="rId1" Type="http://schemas.openxmlformats.org/officeDocument/2006/relationships/printerSettings" Target="../printerSettings/printerSettings42.bin" /></Relationships>
</file>

<file path=xl/worksheets/_rels/sheet43.xml.rels><?xml version="1.0" encoding="UTF-8" standalone="yes"?><Relationships xmlns="http://schemas.openxmlformats.org/package/2006/relationships"><Relationship Id="rId1" Type="http://schemas.openxmlformats.org/officeDocument/2006/relationships/printerSettings" Target="../printerSettings/printerSettings43.bin" /></Relationships>
</file>

<file path=xl/worksheets/_rels/sheet44.xml.rels><?xml version="1.0" encoding="UTF-8" standalone="yes"?><Relationships xmlns="http://schemas.openxmlformats.org/package/2006/relationships"><Relationship Id="rId1" Type="http://schemas.openxmlformats.org/officeDocument/2006/relationships/printerSettings" Target="../printerSettings/printerSettings44.bin" /></Relationships>
</file>

<file path=xl/worksheets/_rels/sheet45.xml.rels><?xml version="1.0" encoding="UTF-8" standalone="yes"?><Relationships xmlns="http://schemas.openxmlformats.org/package/2006/relationships"><Relationship Id="rId1" Type="http://schemas.openxmlformats.org/officeDocument/2006/relationships/printerSettings" Target="../printerSettings/printerSettings45.bin" /></Relationships>
</file>

<file path=xl/worksheets/_rels/sheet46.xml.rels><?xml version="1.0" encoding="UTF-8" standalone="yes"?><Relationships xmlns="http://schemas.openxmlformats.org/package/2006/relationships"><Relationship Id="rId1" Type="http://schemas.openxmlformats.org/officeDocument/2006/relationships/printerSettings" Target="../printerSettings/printerSettings46.bin" /></Relationships>
</file>

<file path=xl/worksheets/_rels/sheet47.xml.rels><?xml version="1.0" encoding="UTF-8" standalone="yes"?><Relationships xmlns="http://schemas.openxmlformats.org/package/2006/relationships"><Relationship Id="rId1" Type="http://schemas.openxmlformats.org/officeDocument/2006/relationships/printerSettings" Target="../printerSettings/printerSettings47.bin" /></Relationships>
</file>

<file path=xl/worksheets/_rels/sheet48.xml.rels><?xml version="1.0" encoding="UTF-8" standalone="yes"?><Relationships xmlns="http://schemas.openxmlformats.org/package/2006/relationships"><Relationship Id="rId1" Type="http://schemas.openxmlformats.org/officeDocument/2006/relationships/printerSettings" Target="../printerSettings/printerSettings48.bin" /></Relationships>
</file>

<file path=xl/worksheets/_rels/sheet49.xml.rels><?xml version="1.0" encoding="UTF-8" standalone="yes"?><Relationships xmlns="http://schemas.openxmlformats.org/package/2006/relationships"><Relationship Id="rId1" Type="http://schemas.openxmlformats.org/officeDocument/2006/relationships/printerSettings" Target="../printerSettings/printerSettings49.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
    <tabColor indexed="10"/>
  </sheetPr>
  <dimension ref="A1:Y84"/>
  <sheetViews>
    <sheetView workbookViewId="0" topLeftCell="A1">
      <pane xSplit="2" ySplit="3" topLeftCell="I4" activePane="bottomRight" state="frozen"/>
      <selection pane="topLeft" activeCell="O33" sqref="O33"/>
      <selection pane="bottomLeft" activeCell="O33" sqref="O33"/>
      <selection pane="topRight" activeCell="O33" sqref="O33"/>
      <selection pane="bottomRight" activeCell="R20" sqref="R20"/>
    </sheetView>
  </sheetViews>
  <sheetFormatPr defaultRowHeight="12.75"/>
  <cols>
    <col min="2" max="2" width="52.8571428571429" bestFit="1" customWidth="1"/>
    <col min="3" max="3" width="2.71428571428571" customWidth="1"/>
    <col min="4" max="4" width="14" bestFit="1" customWidth="1"/>
    <col min="5" max="5" width="12.8571428571429" bestFit="1" customWidth="1"/>
    <col min="6" max="6" width="15.7142857142857" bestFit="1" customWidth="1"/>
    <col min="7" max="7" width="14" bestFit="1" customWidth="1"/>
    <col min="8" max="8" width="13.5714285714286" bestFit="1" customWidth="1"/>
    <col min="9" max="9" width="14.1428571428571" bestFit="1" customWidth="1"/>
    <col min="10" max="10" width="12.8571428571429" bestFit="1" customWidth="1"/>
    <col min="11" max="13" width="12.8571428571429" customWidth="1"/>
    <col min="14" max="14" width="14" bestFit="1" customWidth="1"/>
    <col min="15" max="16" width="14" customWidth="1"/>
    <col min="17" max="17" width="14" bestFit="1" customWidth="1"/>
    <col min="18" max="18" width="12.8571428571429" bestFit="1" customWidth="1"/>
    <col min="19" max="19" width="14" bestFit="1" customWidth="1"/>
  </cols>
  <sheetData>
    <row r="1" spans="9:9" ht="12.75">
      <c r="I1" s="106"/>
    </row>
    <row r="2" spans="4:16" s="106" customFormat="1" ht="12.75">
      <c r="D2" s="106" t="s">
        <v>216</v>
      </c>
      <c r="F2" s="106" t="s">
        <v>49</v>
      </c>
      <c r="G2" s="106" t="s">
        <v>321</v>
      </c>
      <c r="H2" s="106" t="s">
        <v>327</v>
      </c>
      <c r="I2" s="18" t="s">
        <v>322</v>
      </c>
      <c r="K2" s="283" t="s">
        <v>716</v>
      </c>
      <c r="L2" s="285" t="s">
        <v>722</v>
      </c>
      <c r="M2" s="283" t="s">
        <v>717</v>
      </c>
      <c r="N2" s="287"/>
      <c r="O2" s="283" t="s">
        <v>716</v>
      </c>
      <c r="P2" s="283" t="s">
        <v>717</v>
      </c>
    </row>
    <row r="3" spans="4:19" s="106" customFormat="1" ht="13.5" thickBot="1">
      <c r="D3" s="106" t="s">
        <v>219</v>
      </c>
      <c r="E3" s="106" t="s">
        <v>320</v>
      </c>
      <c r="F3" s="106" t="s">
        <v>96</v>
      </c>
      <c r="G3" s="106" t="s">
        <v>48</v>
      </c>
      <c r="H3" s="106" t="s">
        <v>22</v>
      </c>
      <c r="I3" s="18" t="s">
        <v>47</v>
      </c>
      <c r="J3" s="107" t="s">
        <v>294</v>
      </c>
      <c r="K3" s="284" t="s">
        <v>294</v>
      </c>
      <c r="L3" s="286" t="s">
        <v>723</v>
      </c>
      <c r="M3" s="284" t="s">
        <v>294</v>
      </c>
      <c r="N3" s="279" t="s">
        <v>295</v>
      </c>
      <c r="O3" s="284" t="s">
        <v>295</v>
      </c>
      <c r="P3" s="284" t="s">
        <v>295</v>
      </c>
      <c r="Q3" s="107" t="s">
        <v>283</v>
      </c>
      <c r="R3" s="107" t="s">
        <v>126</v>
      </c>
      <c r="S3" s="107" t="s">
        <v>216</v>
      </c>
    </row>
    <row r="4" spans="9:19" ht="12.75">
      <c r="I4" s="18"/>
      <c r="J4" s="91"/>
      <c r="K4" s="91"/>
      <c r="L4" s="91"/>
      <c r="M4" s="91"/>
      <c r="N4" s="91"/>
      <c r="O4" s="91"/>
      <c r="P4" s="91"/>
      <c r="Q4" s="91"/>
      <c r="R4" s="91"/>
      <c r="S4" s="91"/>
    </row>
    <row r="5" spans="1:19" ht="18">
      <c r="A5" s="354" t="s">
        <v>308</v>
      </c>
      <c r="B5" s="354"/>
      <c r="C5" s="354"/>
      <c r="D5" s="354"/>
      <c r="E5" s="354"/>
      <c r="F5" s="354"/>
      <c r="G5" s="354"/>
      <c r="H5" s="354"/>
      <c r="I5" s="354"/>
      <c r="J5" s="354"/>
      <c r="K5" s="354"/>
      <c r="L5" s="354"/>
      <c r="M5" s="354"/>
      <c r="N5" s="354"/>
      <c r="O5" s="354"/>
      <c r="P5" s="354"/>
      <c r="Q5" s="354"/>
      <c r="R5" s="354"/>
      <c r="S5" s="354"/>
    </row>
    <row r="6" spans="1:21" ht="12.75">
      <c r="A6" s="4" t="s">
        <v>231</v>
      </c>
      <c r="B6" s="4" t="s">
        <v>373</v>
      </c>
      <c r="D6" s="66">
        <f>+'II-D-1'!E17</f>
        <v>4425485.6200000001</v>
      </c>
      <c r="E6" s="66">
        <f>+'II-D-1'!F17</f>
        <v>0</v>
      </c>
      <c r="F6" s="66">
        <f>+'II-D-1'!G17</f>
        <v>0</v>
      </c>
      <c r="G6" s="66">
        <f>+'II-D-1'!H17</f>
        <v>4425485.6200000001</v>
      </c>
      <c r="H6" s="66">
        <f>+'II-D-1'!I17</f>
        <v>-39381.440000000002</v>
      </c>
      <c r="I6" s="66">
        <f>+'II-D-1'!J17</f>
        <v>4386104.1799999997</v>
      </c>
      <c r="J6" s="66">
        <f>+'II-D-1'!O17</f>
        <v>4144079.9399999999</v>
      </c>
      <c r="K6" s="66">
        <f>+'II-D-1'!P17</f>
        <v>193190.04000000001</v>
      </c>
      <c r="L6" s="66">
        <f>+'II-D-1'!Q17</f>
        <v>0</v>
      </c>
      <c r="M6" s="66">
        <f>+'II-D-1'!R17</f>
        <v>4337269.9799999995</v>
      </c>
      <c r="N6" s="66">
        <f>+'II-D-1'!S17</f>
        <v>46904.709999999999</v>
      </c>
      <c r="O6" s="66">
        <f>+'II-D-1'!T17</f>
        <v>0</v>
      </c>
      <c r="P6" s="66">
        <f>+'II-D-1'!U17</f>
        <v>46904.709999999999</v>
      </c>
      <c r="Q6" s="66">
        <f>+'II-D-1'!V17</f>
        <v>1929.49</v>
      </c>
      <c r="R6" s="66">
        <f>+'II-D-1'!W17</f>
        <v>0</v>
      </c>
      <c r="S6" s="14">
        <f>+M6+P6+Q6+R6</f>
        <v>4386104.1799999997</v>
      </c>
      <c r="T6" s="108" t="b">
        <f t="shared" si="0" ref="T6:T66">+S6=I6</f>
        <v>1</v>
      </c>
      <c r="U6" s="316">
        <f t="shared" si="1" ref="U6:U66">+S6-R6-Q6-P6-M6</f>
        <v>0</v>
      </c>
    </row>
    <row r="7" spans="1:21" ht="12.75">
      <c r="A7" s="4" t="s">
        <v>232</v>
      </c>
      <c r="B7" s="4" t="s">
        <v>292</v>
      </c>
      <c r="D7" s="66">
        <f>+'II-D-1'!E18</f>
        <v>20127444.139999997</v>
      </c>
      <c r="E7" s="66">
        <f>+'II-D-1'!F18</f>
        <v>0</v>
      </c>
      <c r="F7" s="66">
        <f>+'II-D-1'!G18</f>
        <v>0</v>
      </c>
      <c r="G7" s="66">
        <f>+'II-D-1'!H18</f>
        <v>20127444.139999997</v>
      </c>
      <c r="H7" s="66">
        <f>+'II-D-1'!I18</f>
        <v>528389.55000000005</v>
      </c>
      <c r="I7" s="66">
        <f>+'II-D-1'!J18</f>
        <v>20655833.689999998</v>
      </c>
      <c r="J7" s="66">
        <f>+'II-D-1'!O18</f>
        <v>18377988.780000001</v>
      </c>
      <c r="K7" s="66">
        <f>+'II-D-1'!P18</f>
        <v>1876365.75</v>
      </c>
      <c r="L7" s="66">
        <f>+'II-D-1'!Q18</f>
        <v>400489.90000000002</v>
      </c>
      <c r="M7" s="66">
        <f>+'II-D-1'!R18</f>
        <v>20654844.43</v>
      </c>
      <c r="N7" s="66">
        <f>+'II-D-1'!S18</f>
        <v>0</v>
      </c>
      <c r="O7" s="66">
        <f>+'II-D-1'!T18</f>
        <v>989.25999999999999</v>
      </c>
      <c r="P7" s="66">
        <f>+'II-D-1'!U18</f>
        <v>989.25999999999999</v>
      </c>
      <c r="Q7" s="66">
        <f>+'II-D-1'!V18</f>
        <v>0</v>
      </c>
      <c r="R7" s="66">
        <f>+'II-D-1'!W18</f>
        <v>0</v>
      </c>
      <c r="S7" s="14">
        <f t="shared" si="2" ref="S7:S66">+M7+P7+Q7+R7</f>
        <v>20655833.690000001</v>
      </c>
      <c r="T7" s="108" t="b">
        <f t="shared" si="0"/>
        <v>1</v>
      </c>
      <c r="U7" s="316">
        <f t="shared" si="1"/>
        <v>0</v>
      </c>
    </row>
    <row r="8" spans="1:21" ht="12.75">
      <c r="A8" s="4" t="s">
        <v>233</v>
      </c>
      <c r="B8" s="4" t="s">
        <v>374</v>
      </c>
      <c r="D8" s="66">
        <f>+'II-D-1'!E19</f>
        <v>2866541.96</v>
      </c>
      <c r="E8" s="66">
        <f>+'II-D-1'!F19</f>
        <v>0</v>
      </c>
      <c r="F8" s="66">
        <f>+'II-D-1'!G19</f>
        <v>0</v>
      </c>
      <c r="G8" s="66">
        <f>+'II-D-1'!H19</f>
        <v>2866541.96</v>
      </c>
      <c r="H8" s="66">
        <f>+'II-D-1'!I19</f>
        <v>-1168.21</v>
      </c>
      <c r="I8" s="66">
        <f>+'II-D-1'!J19</f>
        <v>2865373.75</v>
      </c>
      <c r="J8" s="66">
        <f>+'II-D-1'!O19</f>
        <v>2187540.6499999999</v>
      </c>
      <c r="K8" s="66">
        <f>+'II-D-1'!P19</f>
        <v>155598.89999999999</v>
      </c>
      <c r="L8" s="66">
        <f>+'II-D-1'!Q19</f>
        <v>0</v>
      </c>
      <c r="M8" s="66">
        <f>+'II-D-1'!R19</f>
        <v>2343139.5499999998</v>
      </c>
      <c r="N8" s="66">
        <f>+'II-D-1'!S19</f>
        <v>522283.20000000001</v>
      </c>
      <c r="O8" s="66">
        <f>+'II-D-1'!T19</f>
        <v>-49</v>
      </c>
      <c r="P8" s="66">
        <f>+'II-D-1'!U19</f>
        <v>522234.20000000001</v>
      </c>
      <c r="Q8" s="66">
        <f>+'II-D-1'!V19</f>
        <v>0</v>
      </c>
      <c r="R8" s="66">
        <f>+'II-D-1'!W19</f>
        <v>0</v>
      </c>
      <c r="S8" s="14">
        <f t="shared" si="2"/>
        <v>2865373.75</v>
      </c>
      <c r="T8" s="108" t="b">
        <f t="shared" si="0"/>
        <v>1</v>
      </c>
      <c r="U8" s="316">
        <f t="shared" si="1"/>
        <v>0</v>
      </c>
    </row>
    <row r="9" spans="1:21" ht="12.75">
      <c r="A9" s="4" t="s">
        <v>234</v>
      </c>
      <c r="B9" s="4" t="s">
        <v>375</v>
      </c>
      <c r="D9" s="66">
        <f>+'II-D-1'!E20</f>
        <v>2316308.4199999999</v>
      </c>
      <c r="E9" s="66">
        <f>+'II-D-1'!F20</f>
        <v>0</v>
      </c>
      <c r="F9" s="66">
        <f>+'II-D-1'!G20</f>
        <v>0</v>
      </c>
      <c r="G9" s="66">
        <f>+'II-D-1'!H20</f>
        <v>2316308.4199999999</v>
      </c>
      <c r="H9" s="66">
        <f>+'II-D-1'!I20</f>
        <v>4480812.1599999992</v>
      </c>
      <c r="I9" s="66">
        <f>+'II-D-1'!J20</f>
        <v>6797120.5799999991</v>
      </c>
      <c r="J9" s="66">
        <f>+'II-D-1'!O20</f>
        <v>6354562.4800000004</v>
      </c>
      <c r="K9" s="66">
        <f>+'II-D-1'!P20</f>
        <v>442558.09999999998</v>
      </c>
      <c r="L9" s="66">
        <f>+'II-D-1'!Q20</f>
        <v>0</v>
      </c>
      <c r="M9" s="66">
        <f>+'II-D-1'!R20</f>
        <v>6797120.5800000001</v>
      </c>
      <c r="N9" s="66">
        <f>+'II-D-1'!S20</f>
        <v>0</v>
      </c>
      <c r="O9" s="66">
        <f>+'II-D-1'!T20</f>
        <v>0</v>
      </c>
      <c r="P9" s="66">
        <f>+'II-D-1'!U20</f>
        <v>0</v>
      </c>
      <c r="Q9" s="66">
        <f>+'II-D-1'!V20</f>
        <v>0</v>
      </c>
      <c r="R9" s="66">
        <f>+'II-D-1'!W20</f>
        <v>0</v>
      </c>
      <c r="S9" s="14">
        <f t="shared" si="2"/>
        <v>6797120.5800000001</v>
      </c>
      <c r="T9" s="108" t="b">
        <f t="shared" si="0"/>
        <v>1</v>
      </c>
      <c r="U9" s="316">
        <f t="shared" si="1"/>
        <v>0</v>
      </c>
    </row>
    <row r="10" spans="1:21" ht="12.75">
      <c r="A10" s="4" t="s">
        <v>235</v>
      </c>
      <c r="B10" s="4" t="s">
        <v>376</v>
      </c>
      <c r="D10" s="66">
        <f>+'II-D-1'!E21</f>
        <v>2674.8599999999997</v>
      </c>
      <c r="E10" s="66">
        <f>+'II-D-1'!F21</f>
        <v>0</v>
      </c>
      <c r="F10" s="66">
        <f>+'II-D-1'!G21</f>
        <v>0</v>
      </c>
      <c r="G10" s="66">
        <f>+'II-D-1'!H21</f>
        <v>2674.8599999999997</v>
      </c>
      <c r="H10" s="66">
        <f>+'II-D-1'!I21</f>
        <v>0</v>
      </c>
      <c r="I10" s="66">
        <f>+'II-D-1'!J21</f>
        <v>2674.8599999999997</v>
      </c>
      <c r="J10" s="66">
        <f>+'II-D-1'!O21</f>
        <v>2674.8600000000001</v>
      </c>
      <c r="K10" s="66">
        <f>+'II-D-1'!P21</f>
        <v>0</v>
      </c>
      <c r="L10" s="66">
        <f>+'II-D-1'!Q21</f>
        <v>0</v>
      </c>
      <c r="M10" s="66">
        <f>+'II-D-1'!R21</f>
        <v>2674.8600000000001</v>
      </c>
      <c r="N10" s="66">
        <f>+'II-D-1'!S21</f>
        <v>0</v>
      </c>
      <c r="O10" s="66">
        <f>+'II-D-1'!T21</f>
        <v>0</v>
      </c>
      <c r="P10" s="66">
        <f>+'II-D-1'!U21</f>
        <v>0</v>
      </c>
      <c r="Q10" s="66">
        <f>+'II-D-1'!V21</f>
        <v>0</v>
      </c>
      <c r="R10" s="66">
        <f>+'II-D-1'!W21</f>
        <v>0</v>
      </c>
      <c r="S10" s="14">
        <f t="shared" si="2"/>
        <v>2674.8600000000001</v>
      </c>
      <c r="T10" s="108" t="b">
        <f t="shared" si="0"/>
        <v>1</v>
      </c>
      <c r="U10" s="316">
        <f t="shared" si="1"/>
        <v>0</v>
      </c>
    </row>
    <row r="11" spans="1:21" ht="12.75">
      <c r="A11" s="4" t="s">
        <v>284</v>
      </c>
      <c r="B11" s="30" t="s">
        <v>377</v>
      </c>
      <c r="D11" s="66">
        <f>+'II-D-1'!E22</f>
        <v>1517206007.5900002</v>
      </c>
      <c r="E11" s="66">
        <f>+'II-D-1'!F22</f>
        <v>0</v>
      </c>
      <c r="F11" s="66">
        <f>+'II-D-1'!G22</f>
        <v>0</v>
      </c>
      <c r="G11" s="66">
        <f>+'II-D-1'!H22</f>
        <v>1517206007.5900002</v>
      </c>
      <c r="H11" s="66">
        <f>+'II-D-1'!I22</f>
        <v>135316013.84999999</v>
      </c>
      <c r="I11" s="66">
        <f>+'II-D-1'!J22</f>
        <v>1652522021.4400001</v>
      </c>
      <c r="J11" s="66">
        <f>+'II-D-1'!O22</f>
        <v>0</v>
      </c>
      <c r="K11" s="66">
        <f>+'II-D-1'!P22</f>
        <v>0</v>
      </c>
      <c r="L11" s="66">
        <f>+'II-D-1'!Q22</f>
        <v>0</v>
      </c>
      <c r="M11" s="66">
        <f>+'II-D-1'!R22</f>
        <v>0</v>
      </c>
      <c r="N11" s="66">
        <f>+'II-D-1'!S22</f>
        <v>1652522021.4399998</v>
      </c>
      <c r="O11" s="66">
        <f>+'II-D-1'!T22</f>
        <v>0</v>
      </c>
      <c r="P11" s="66">
        <f>+'II-D-1'!U22</f>
        <v>1652522021.4399998</v>
      </c>
      <c r="Q11" s="66">
        <f>+'II-D-1'!V22</f>
        <v>0</v>
      </c>
      <c r="R11" s="66">
        <f>+'II-D-1'!W22</f>
        <v>0</v>
      </c>
      <c r="S11" s="14">
        <f t="shared" si="2"/>
        <v>1652522021.4399998</v>
      </c>
      <c r="T11" s="108" t="b">
        <f t="shared" si="0"/>
        <v>1</v>
      </c>
      <c r="U11" s="316">
        <f t="shared" si="1"/>
        <v>0</v>
      </c>
    </row>
    <row r="12" spans="1:21" ht="12.75">
      <c r="A12" s="4" t="s">
        <v>236</v>
      </c>
      <c r="B12" s="4" t="s">
        <v>138</v>
      </c>
      <c r="D12" s="66">
        <f>+'II-D-1'!E23</f>
        <v>56401152.890000008</v>
      </c>
      <c r="E12" s="66">
        <f>+'II-D-1'!F23</f>
        <v>0</v>
      </c>
      <c r="F12" s="66">
        <f>+'II-D-1'!G23</f>
        <v>0</v>
      </c>
      <c r="G12" s="66">
        <f>+'II-D-1'!H23</f>
        <v>56401152.890000008</v>
      </c>
      <c r="H12" s="66">
        <f>+'II-D-1'!I23</f>
        <v>3239897.98</v>
      </c>
      <c r="I12" s="66">
        <f>+'II-D-1'!J23</f>
        <v>59641050.870000005</v>
      </c>
      <c r="J12" s="66">
        <f>+'II-D-1'!O23</f>
        <v>55931705.57</v>
      </c>
      <c r="K12" s="66">
        <f>+'II-D-1'!P23</f>
        <v>3436299.6699999999</v>
      </c>
      <c r="L12" s="66">
        <f>+'II-D-1'!Q23</f>
        <v>0</v>
      </c>
      <c r="M12" s="66">
        <f>+'II-D-1'!R23</f>
        <v>59368005.240000002</v>
      </c>
      <c r="N12" s="66">
        <f>+'II-D-1'!S23</f>
        <v>271783.87</v>
      </c>
      <c r="O12" s="66">
        <f>+'II-D-1'!T23</f>
        <v>1261.76</v>
      </c>
      <c r="P12" s="66">
        <f>+'II-D-1'!U23</f>
        <v>273045.63</v>
      </c>
      <c r="Q12" s="66">
        <f>+'II-D-1'!V23</f>
        <v>0</v>
      </c>
      <c r="R12" s="66">
        <f>+'II-D-1'!W23</f>
        <v>0</v>
      </c>
      <c r="S12" s="14">
        <f t="shared" si="2"/>
        <v>59641050.870000005</v>
      </c>
      <c r="T12" s="108" t="b">
        <f t="shared" si="0"/>
        <v>1</v>
      </c>
      <c r="U12" s="316">
        <f t="shared" si="1"/>
        <v>0</v>
      </c>
    </row>
    <row r="13" spans="1:21" ht="12.75">
      <c r="A13" s="4" t="s">
        <v>237</v>
      </c>
      <c r="B13" s="4" t="s">
        <v>293</v>
      </c>
      <c r="D13" s="66">
        <f>+'II-D-1'!E24</f>
        <v>193255.28000000003</v>
      </c>
      <c r="E13" s="66">
        <f>+'II-D-1'!F24</f>
        <v>0</v>
      </c>
      <c r="F13" s="66">
        <f>+'II-D-1'!G24</f>
        <v>0</v>
      </c>
      <c r="G13" s="66">
        <f>+'II-D-1'!H24</f>
        <v>193255.28000000003</v>
      </c>
      <c r="H13" s="66">
        <f>+'II-D-1'!I24</f>
        <v>0</v>
      </c>
      <c r="I13" s="66">
        <f>+'II-D-1'!J24</f>
        <v>193255.28000000003</v>
      </c>
      <c r="J13" s="66">
        <f>+'II-D-1'!O24</f>
        <v>193244.04999999999</v>
      </c>
      <c r="K13" s="66">
        <f>+'II-D-1'!P24</f>
        <v>11.23</v>
      </c>
      <c r="L13" s="66">
        <f>+'II-D-1'!Q24</f>
        <v>0</v>
      </c>
      <c r="M13" s="66">
        <f>+'II-D-1'!R24</f>
        <v>193255.28</v>
      </c>
      <c r="N13" s="66">
        <f>+'II-D-1'!S24</f>
        <v>0</v>
      </c>
      <c r="O13" s="66">
        <f>+'II-D-1'!T24</f>
        <v>0</v>
      </c>
      <c r="P13" s="66">
        <f>+'II-D-1'!U24</f>
        <v>0</v>
      </c>
      <c r="Q13" s="66">
        <f>+'II-D-1'!V24</f>
        <v>0</v>
      </c>
      <c r="R13" s="66">
        <f>+'II-D-1'!W24</f>
        <v>0</v>
      </c>
      <c r="S13" s="14">
        <f t="shared" si="2"/>
        <v>193255.28</v>
      </c>
      <c r="T13" s="108" t="b">
        <f t="shared" si="0"/>
        <v>1</v>
      </c>
      <c r="U13" s="316">
        <f t="shared" si="1"/>
        <v>0</v>
      </c>
    </row>
    <row r="14" spans="1:21" ht="12.75">
      <c r="A14" s="4" t="s">
        <v>238</v>
      </c>
      <c r="B14" s="4" t="s">
        <v>139</v>
      </c>
      <c r="D14" s="66">
        <f>+'II-D-1'!E29</f>
        <v>605052.74999999988</v>
      </c>
      <c r="E14" s="66">
        <f>+'II-D-1'!F29</f>
        <v>0</v>
      </c>
      <c r="F14" s="66">
        <f>+'II-D-1'!G29</f>
        <v>0</v>
      </c>
      <c r="G14" s="66">
        <f>+'II-D-1'!H29</f>
        <v>605052.74999999988</v>
      </c>
      <c r="H14" s="66">
        <f>+'II-D-1'!I29</f>
        <v>8593.4599999999991</v>
      </c>
      <c r="I14" s="66">
        <f>+'II-D-1'!J29</f>
        <v>613646.20999999985</v>
      </c>
      <c r="J14" s="66">
        <f>+'II-D-1'!O29</f>
        <v>506161.32000000001</v>
      </c>
      <c r="K14" s="66">
        <f>+'II-D-1'!P29</f>
        <v>18030.919999999998</v>
      </c>
      <c r="L14" s="66">
        <f>+'II-D-1'!Q29</f>
        <v>0</v>
      </c>
      <c r="M14" s="66">
        <f>+'II-D-1'!R29</f>
        <v>524192.23999999999</v>
      </c>
      <c r="N14" s="66">
        <f>+'II-D-1'!S29</f>
        <v>85793.720000000001</v>
      </c>
      <c r="O14" s="66">
        <f>+'II-D-1'!T29</f>
        <v>3368.5300000000002</v>
      </c>
      <c r="P14" s="66">
        <f>+'II-D-1'!U29</f>
        <v>89162.25</v>
      </c>
      <c r="Q14" s="66">
        <f>+'II-D-1'!V29</f>
        <v>291.72000000000003</v>
      </c>
      <c r="R14" s="66">
        <f>+'II-D-1'!W29</f>
        <v>0</v>
      </c>
      <c r="S14" s="14">
        <f t="shared" si="2"/>
        <v>613646.20999999996</v>
      </c>
      <c r="T14" s="108" t="b">
        <f t="shared" si="0"/>
        <v>1</v>
      </c>
      <c r="U14" s="316">
        <f t="shared" si="1"/>
        <v>0</v>
      </c>
    </row>
    <row r="15" spans="1:21" ht="12.75">
      <c r="A15" s="4" t="s">
        <v>239</v>
      </c>
      <c r="B15" s="30" t="s">
        <v>140</v>
      </c>
      <c r="D15" s="66">
        <f>+'II-D-1'!E30</f>
        <v>51837.810000000012</v>
      </c>
      <c r="E15" s="66">
        <f>+'II-D-1'!F30</f>
        <v>0</v>
      </c>
      <c r="F15" s="66">
        <f>+'II-D-1'!G30</f>
        <v>0</v>
      </c>
      <c r="G15" s="66">
        <f>+'II-D-1'!H30</f>
        <v>51837.810000000012</v>
      </c>
      <c r="H15" s="66">
        <f>+'II-D-1'!I30</f>
        <v>0</v>
      </c>
      <c r="I15" s="66">
        <f>+'II-D-1'!J30</f>
        <v>51837.810000000012</v>
      </c>
      <c r="J15" s="66">
        <f>+'II-D-1'!O30</f>
        <v>51802.25</v>
      </c>
      <c r="K15" s="66">
        <f>+'II-D-1'!P30</f>
        <v>11.51</v>
      </c>
      <c r="L15" s="66">
        <f>+'II-D-1'!Q30</f>
        <v>0</v>
      </c>
      <c r="M15" s="66">
        <f>+'II-D-1'!R30</f>
        <v>51813.760000000002</v>
      </c>
      <c r="N15" s="66">
        <f>+'II-D-1'!S30</f>
        <v>24.050000000000001</v>
      </c>
      <c r="O15" s="66">
        <f>+'II-D-1'!T30</f>
        <v>0</v>
      </c>
      <c r="P15" s="66">
        <f>+'II-D-1'!U30</f>
        <v>24.050000000000001</v>
      </c>
      <c r="Q15" s="66">
        <f>+'II-D-1'!V30</f>
        <v>0</v>
      </c>
      <c r="R15" s="66">
        <f>+'II-D-1'!W30</f>
        <v>0</v>
      </c>
      <c r="S15" s="14">
        <f t="shared" si="2"/>
        <v>51837.810000000005</v>
      </c>
      <c r="T15" s="108" t="b">
        <f t="shared" si="0"/>
        <v>1</v>
      </c>
      <c r="U15" s="316">
        <f t="shared" si="1"/>
        <v>0</v>
      </c>
    </row>
    <row r="16" spans="1:21" ht="12.75">
      <c r="A16" s="4" t="s">
        <v>240</v>
      </c>
      <c r="B16" s="4" t="s">
        <v>381</v>
      </c>
      <c r="D16" s="66">
        <f>+'II-D-1'!E31</f>
        <v>8592564.6300000008</v>
      </c>
      <c r="E16" s="66">
        <f>+'II-D-1'!F31</f>
        <v>0</v>
      </c>
      <c r="F16" s="66">
        <f>+'II-D-1'!G31</f>
        <v>0</v>
      </c>
      <c r="G16" s="66">
        <f>+'II-D-1'!H31</f>
        <v>8592564.6300000008</v>
      </c>
      <c r="H16" s="66">
        <f>+'II-D-1'!I31</f>
        <v>5505.6700000000001</v>
      </c>
      <c r="I16" s="66">
        <f>+'II-D-1'!J31</f>
        <v>8598070.3000000007</v>
      </c>
      <c r="J16" s="66">
        <f>+'II-D-1'!O31</f>
        <v>6802879.6900000004</v>
      </c>
      <c r="K16" s="66">
        <f>+'II-D-1'!P31</f>
        <v>1606018.99</v>
      </c>
      <c r="L16" s="66">
        <f>+'II-D-1'!Q31</f>
        <v>0</v>
      </c>
      <c r="M16" s="66">
        <f>+'II-D-1'!R31</f>
        <v>8408898.6799999997</v>
      </c>
      <c r="N16" s="66">
        <f>+'II-D-1'!S31</f>
        <v>179023.23999999999</v>
      </c>
      <c r="O16" s="66">
        <f>+'II-D-1'!T31</f>
        <v>10148.379999999999</v>
      </c>
      <c r="P16" s="66">
        <f>+'II-D-1'!U31</f>
        <v>189171.62</v>
      </c>
      <c r="Q16" s="66">
        <f>+'II-D-1'!V31</f>
        <v>0</v>
      </c>
      <c r="R16" s="66">
        <f>+'II-D-1'!W31</f>
        <v>0</v>
      </c>
      <c r="S16" s="14">
        <f t="shared" si="2"/>
        <v>8598070.2999999989</v>
      </c>
      <c r="T16" s="108" t="b">
        <f t="shared" si="0"/>
        <v>1</v>
      </c>
      <c r="U16" s="316">
        <f t="shared" si="1"/>
        <v>0</v>
      </c>
    </row>
    <row r="17" spans="1:21" ht="12.75">
      <c r="A17" s="4" t="s">
        <v>241</v>
      </c>
      <c r="B17" s="4" t="s">
        <v>382</v>
      </c>
      <c r="D17" s="66">
        <f>+'II-D-1'!E32</f>
        <v>21144933.149999995</v>
      </c>
      <c r="E17" s="66">
        <f>+'II-D-1'!F32</f>
        <v>0</v>
      </c>
      <c r="F17" s="66">
        <f>+'II-D-1'!G32</f>
        <v>0</v>
      </c>
      <c r="G17" s="66">
        <f>+'II-D-1'!H32</f>
        <v>21144933.149999995</v>
      </c>
      <c r="H17" s="66">
        <f>+'II-D-1'!I32</f>
        <v>1396025.5900000001</v>
      </c>
      <c r="I17" s="66">
        <f>+'II-D-1'!J32</f>
        <v>22540958.739999995</v>
      </c>
      <c r="J17" s="66">
        <f>+'II-D-1'!O32</f>
        <v>22139465.969999999</v>
      </c>
      <c r="K17" s="66">
        <f>+'II-D-1'!P32</f>
        <v>396864.03000000003</v>
      </c>
      <c r="L17" s="66">
        <f>+'II-D-1'!Q32</f>
        <v>0</v>
      </c>
      <c r="M17" s="66">
        <f>+'II-D-1'!R32</f>
        <v>22536330</v>
      </c>
      <c r="N17" s="66">
        <f>+'II-D-1'!S32</f>
        <v>4628.7399999999998</v>
      </c>
      <c r="O17" s="66">
        <f>+'II-D-1'!T32</f>
        <v>0</v>
      </c>
      <c r="P17" s="66">
        <f>+'II-D-1'!U32</f>
        <v>4628.7399999999998</v>
      </c>
      <c r="Q17" s="66">
        <f>+'II-D-1'!V32</f>
        <v>0</v>
      </c>
      <c r="R17" s="66">
        <f>+'II-D-1'!W32</f>
        <v>0</v>
      </c>
      <c r="S17" s="14">
        <f t="shared" si="2"/>
        <v>22540958.739999998</v>
      </c>
      <c r="T17" s="108" t="b">
        <f t="shared" si="0"/>
        <v>1</v>
      </c>
      <c r="U17" s="316">
        <f t="shared" si="1"/>
        <v>0</v>
      </c>
    </row>
    <row r="18" spans="1:21" ht="12.75">
      <c r="A18" s="4" t="s">
        <v>242</v>
      </c>
      <c r="B18" s="30" t="s">
        <v>383</v>
      </c>
      <c r="D18" s="66">
        <f>+'II-D-1'!E33</f>
        <v>159.03</v>
      </c>
      <c r="E18" s="66">
        <f>+'II-D-1'!F33</f>
        <v>0</v>
      </c>
      <c r="F18" s="66">
        <f>+'II-D-1'!G33</f>
        <v>0</v>
      </c>
      <c r="G18" s="66">
        <f>+'II-D-1'!H33</f>
        <v>159.03</v>
      </c>
      <c r="H18" s="66">
        <f>+'II-D-1'!I33</f>
        <v>0</v>
      </c>
      <c r="I18" s="66">
        <f>+'II-D-1'!J33</f>
        <v>159.03</v>
      </c>
      <c r="J18" s="66">
        <f>+'II-D-1'!O33</f>
        <v>80.010000000000005</v>
      </c>
      <c r="K18" s="66">
        <f>+'II-D-1'!P33</f>
        <v>0</v>
      </c>
      <c r="L18" s="66">
        <f>+'II-D-1'!Q33</f>
        <v>0</v>
      </c>
      <c r="M18" s="66">
        <f>+'II-D-1'!R33</f>
        <v>80.010000000000005</v>
      </c>
      <c r="N18" s="66">
        <f>+'II-D-1'!S33</f>
        <v>79.019999999999996</v>
      </c>
      <c r="O18" s="66">
        <f>+'II-D-1'!T33</f>
        <v>0</v>
      </c>
      <c r="P18" s="66">
        <f>+'II-D-1'!U33</f>
        <v>79.019999999999996</v>
      </c>
      <c r="Q18" s="66">
        <f>+'II-D-1'!V33</f>
        <v>0</v>
      </c>
      <c r="R18" s="66">
        <f>+'II-D-1'!W33</f>
        <v>0</v>
      </c>
      <c r="S18" s="14">
        <f t="shared" si="2"/>
        <v>159.03</v>
      </c>
      <c r="T18" s="108" t="b">
        <f t="shared" si="0"/>
        <v>1</v>
      </c>
      <c r="U18" s="316">
        <f t="shared" si="1"/>
        <v>0</v>
      </c>
    </row>
    <row r="19" spans="1:21" ht="12.75">
      <c r="A19" s="4" t="s">
        <v>243</v>
      </c>
      <c r="B19" s="30" t="s">
        <v>141</v>
      </c>
      <c r="D19" s="66">
        <f>+'II-D-1'!E34</f>
        <v>1731313.2</v>
      </c>
      <c r="E19" s="66">
        <f>+'II-D-1'!F34</f>
        <v>0</v>
      </c>
      <c r="F19" s="66">
        <f>+'II-D-1'!G34</f>
        <v>0</v>
      </c>
      <c r="G19" s="66">
        <f>+'II-D-1'!H34</f>
        <v>1731313.2</v>
      </c>
      <c r="H19" s="66">
        <f>+'II-D-1'!I34</f>
        <v>5197.8399999999992</v>
      </c>
      <c r="I19" s="66">
        <f>+'II-D-1'!J34</f>
        <v>1736511.04</v>
      </c>
      <c r="J19" s="66">
        <f>+'II-D-1'!O34</f>
        <v>1693832.97</v>
      </c>
      <c r="K19" s="66">
        <f>+'II-D-1'!P34</f>
        <v>7438.3800000000001</v>
      </c>
      <c r="L19" s="66">
        <f>+'II-D-1'!Q34</f>
        <v>0</v>
      </c>
      <c r="M19" s="66">
        <f>+'II-D-1'!R34</f>
        <v>1701271.3499999999</v>
      </c>
      <c r="N19" s="66">
        <f>+'II-D-1'!S34</f>
        <v>35239.690000000002</v>
      </c>
      <c r="O19" s="66">
        <f>+'II-D-1'!T34</f>
        <v>0</v>
      </c>
      <c r="P19" s="66">
        <f>+'II-D-1'!U34</f>
        <v>35239.690000000002</v>
      </c>
      <c r="Q19" s="66">
        <f>+'II-D-1'!V34</f>
        <v>0</v>
      </c>
      <c r="R19" s="66">
        <f>+'II-D-1'!W34</f>
        <v>0</v>
      </c>
      <c r="S19" s="14">
        <f t="shared" si="2"/>
        <v>1736511.0399999998</v>
      </c>
      <c r="T19" s="108" t="b">
        <f t="shared" si="0"/>
        <v>1</v>
      </c>
      <c r="U19" s="316">
        <f t="shared" si="1"/>
        <v>0</v>
      </c>
    </row>
    <row r="20" spans="1:21" ht="12.75">
      <c r="A20" s="4" t="s">
        <v>250</v>
      </c>
      <c r="B20" s="23" t="s">
        <v>373</v>
      </c>
      <c r="D20" s="66">
        <f>+'II-D-1'!E43</f>
        <v>8013039.4999999907</v>
      </c>
      <c r="E20" s="66">
        <f>+'II-D-1'!F43</f>
        <v>0</v>
      </c>
      <c r="F20" s="66">
        <f>+'II-D-1'!G43</f>
        <v>0</v>
      </c>
      <c r="G20" s="66">
        <f>+'II-D-1'!H43</f>
        <v>8013039.4999999907</v>
      </c>
      <c r="H20" s="66">
        <f>+'II-D-1'!I43</f>
        <v>-84937.150000000023</v>
      </c>
      <c r="I20" s="66">
        <f>+'II-D-1'!J43</f>
        <v>7928102.3499999903</v>
      </c>
      <c r="J20" s="66">
        <f>+'II-D-1'!O43</f>
        <v>-2246.0900000000001</v>
      </c>
      <c r="K20" s="66">
        <f>+'II-D-1'!P43</f>
        <v>0</v>
      </c>
      <c r="L20" s="66">
        <f>+'II-D-1'!Q43</f>
        <v>0</v>
      </c>
      <c r="M20" s="66">
        <f>+'II-D-1'!R43</f>
        <v>-2246.0900000000001</v>
      </c>
      <c r="N20" s="66">
        <f>+'II-D-1'!S43</f>
        <v>7329102.46</v>
      </c>
      <c r="O20" s="66">
        <f>+'II-D-1'!T43</f>
        <v>2529.8600000000001</v>
      </c>
      <c r="P20" s="66">
        <f>+'II-D-1'!U43</f>
        <v>7331632.3200000003</v>
      </c>
      <c r="Q20" s="66">
        <f>+'II-D-1'!V43</f>
        <v>580269.81000000006</v>
      </c>
      <c r="R20" s="66">
        <f>+'II-D-1'!W43</f>
        <v>18446.310000000001</v>
      </c>
      <c r="S20" s="14">
        <f t="shared" si="2"/>
        <v>7928102.3500000006</v>
      </c>
      <c r="T20" s="108" t="b">
        <f t="shared" si="0"/>
        <v>0</v>
      </c>
      <c r="U20" s="316">
        <f t="shared" si="1"/>
        <v>1.4915713109076023E-10</v>
      </c>
    </row>
    <row r="21" spans="1:21" ht="12.75">
      <c r="A21" s="4" t="s">
        <v>244</v>
      </c>
      <c r="B21" s="23" t="s">
        <v>145</v>
      </c>
      <c r="D21" s="66">
        <f>+'II-D-1'!E44</f>
        <v>9673462.1999999993</v>
      </c>
      <c r="E21" s="66">
        <f>+'II-D-1'!F44</f>
        <v>0</v>
      </c>
      <c r="F21" s="66">
        <f>+'II-D-1'!G44</f>
        <v>0</v>
      </c>
      <c r="G21" s="66">
        <f>+'II-D-1'!H44</f>
        <v>9673462.1999999993</v>
      </c>
      <c r="H21" s="66">
        <f>+'II-D-1'!I44</f>
        <v>-37883.769999999997</v>
      </c>
      <c r="I21" s="66">
        <f>+'II-D-1'!J44</f>
        <v>9635578.4299999997</v>
      </c>
      <c r="J21" s="66">
        <f>+'II-D-1'!O44</f>
        <v>0</v>
      </c>
      <c r="K21" s="66">
        <f>+'II-D-1'!P44</f>
        <v>0</v>
      </c>
      <c r="L21" s="66">
        <f>+'II-D-1'!Q44</f>
        <v>0</v>
      </c>
      <c r="M21" s="66">
        <f>+'II-D-1'!R44</f>
        <v>0</v>
      </c>
      <c r="N21" s="66">
        <f>+'II-D-1'!S44</f>
        <v>9635578.4299999997</v>
      </c>
      <c r="O21" s="66">
        <f>+'II-D-1'!T44</f>
        <v>0</v>
      </c>
      <c r="P21" s="66">
        <f>+'II-D-1'!U44</f>
        <v>9635578.4299999997</v>
      </c>
      <c r="Q21" s="66">
        <f>+'II-D-1'!V44</f>
        <v>0</v>
      </c>
      <c r="R21" s="66">
        <f>+'II-D-1'!W44</f>
        <v>0</v>
      </c>
      <c r="S21" s="14">
        <f t="shared" si="2"/>
        <v>9635578.4299999997</v>
      </c>
      <c r="T21" s="108" t="b">
        <f t="shared" si="0"/>
        <v>1</v>
      </c>
      <c r="U21" s="316">
        <f t="shared" si="1"/>
        <v>0</v>
      </c>
    </row>
    <row r="22" spans="1:21" ht="12.75">
      <c r="A22" s="4" t="s">
        <v>245</v>
      </c>
      <c r="B22" s="4" t="s">
        <v>374</v>
      </c>
      <c r="D22" s="66">
        <f>+'II-D-1'!E45</f>
        <v>4154901.370000001</v>
      </c>
      <c r="E22" s="66">
        <f>+'II-D-1'!F45</f>
        <v>0</v>
      </c>
      <c r="F22" s="66">
        <f>+'II-D-1'!G45</f>
        <v>0</v>
      </c>
      <c r="G22" s="66">
        <f>+'II-D-1'!H45</f>
        <v>4154901.370000001</v>
      </c>
      <c r="H22" s="66">
        <f>+'II-D-1'!I45</f>
        <v>-2107.2200000000003</v>
      </c>
      <c r="I22" s="66">
        <f>+'II-D-1'!J45</f>
        <v>4152794.1500000008</v>
      </c>
      <c r="J22" s="66">
        <f>+'II-D-1'!O45</f>
        <v>199381.69</v>
      </c>
      <c r="K22" s="66">
        <f>+'II-D-1'!P45</f>
        <v>0</v>
      </c>
      <c r="L22" s="66">
        <f>+'II-D-1'!Q45</f>
        <v>0</v>
      </c>
      <c r="M22" s="66">
        <f>+'II-D-1'!R45</f>
        <v>199381.69</v>
      </c>
      <c r="N22" s="66">
        <f>+'II-D-1'!S45</f>
        <v>3847591.3799999999</v>
      </c>
      <c r="O22" s="66">
        <f>+'II-D-1'!T45</f>
        <v>105821.08</v>
      </c>
      <c r="P22" s="66">
        <f>+'II-D-1'!U45</f>
        <v>3953412.46</v>
      </c>
      <c r="Q22" s="66">
        <f>+'II-D-1'!V45</f>
        <v>0</v>
      </c>
      <c r="R22" s="66">
        <f>+'II-D-1'!W45</f>
        <v>0</v>
      </c>
      <c r="S22" s="14">
        <f t="shared" si="2"/>
        <v>4152794.1499999999</v>
      </c>
      <c r="T22" s="108" t="b">
        <f t="shared" si="0"/>
        <v>1</v>
      </c>
      <c r="U22" s="316">
        <f t="shared" si="1"/>
        <v>0</v>
      </c>
    </row>
    <row r="23" spans="1:21" ht="12.75">
      <c r="A23" s="4" t="s">
        <v>155</v>
      </c>
      <c r="B23" s="4" t="s">
        <v>375</v>
      </c>
      <c r="D23" s="66">
        <f>+'II-D-1'!E46</f>
        <v>13630546.409999989</v>
      </c>
      <c r="E23" s="66">
        <f>+'II-D-1'!F46</f>
        <v>0</v>
      </c>
      <c r="F23" s="66">
        <f>+'II-D-1'!G46</f>
        <v>0</v>
      </c>
      <c r="G23" s="66">
        <f>+'II-D-1'!H46</f>
        <v>13630546.409999989</v>
      </c>
      <c r="H23" s="66">
        <f>+'II-D-1'!I46</f>
        <v>201977.66</v>
      </c>
      <c r="I23" s="66">
        <f>+'II-D-1'!J46</f>
        <v>13832524.069999989</v>
      </c>
      <c r="J23" s="66">
        <f>+'II-D-1'!O46</f>
        <v>202.09999999999999</v>
      </c>
      <c r="K23" s="66">
        <f>+'II-D-1'!P46</f>
        <v>0</v>
      </c>
      <c r="L23" s="66">
        <f>+'II-D-1'!Q46</f>
        <v>0</v>
      </c>
      <c r="M23" s="66">
        <f>+'II-D-1'!R46</f>
        <v>202.09999999999999</v>
      </c>
      <c r="N23" s="66">
        <f>+'II-D-1'!S46</f>
        <v>13740291.68</v>
      </c>
      <c r="O23" s="66">
        <f>+'II-D-1'!T46</f>
        <v>0</v>
      </c>
      <c r="P23" s="66">
        <f>+'II-D-1'!U46</f>
        <v>13740291.68</v>
      </c>
      <c r="Q23" s="66">
        <f>+'II-D-1'!V46</f>
        <v>92030.289999999994</v>
      </c>
      <c r="R23" s="66">
        <f>+'II-D-1'!W46</f>
        <v>0</v>
      </c>
      <c r="S23" s="14">
        <f t="shared" si="2"/>
        <v>13832524.069999998</v>
      </c>
      <c r="T23" s="108" t="b">
        <f t="shared" si="0"/>
        <v>1</v>
      </c>
      <c r="U23" s="316">
        <f t="shared" si="1"/>
        <v>-3.7252334550430533E-10</v>
      </c>
    </row>
    <row r="24" spans="1:21" ht="12.75">
      <c r="A24" s="4" t="s">
        <v>246</v>
      </c>
      <c r="B24" s="4" t="s">
        <v>376</v>
      </c>
      <c r="D24" s="66">
        <f>+'II-D-1'!E47</f>
        <v>10059950.870000061</v>
      </c>
      <c r="E24" s="66">
        <f>+'II-D-1'!F47</f>
        <v>0</v>
      </c>
      <c r="F24" s="66">
        <f>+'II-D-1'!G47</f>
        <v>0</v>
      </c>
      <c r="G24" s="66">
        <f>+'II-D-1'!H47</f>
        <v>10059950.870000061</v>
      </c>
      <c r="H24" s="66">
        <f>+'II-D-1'!I47</f>
        <v>18896.23</v>
      </c>
      <c r="I24" s="66">
        <f>+'II-D-1'!J47</f>
        <v>10078847.100000061</v>
      </c>
      <c r="J24" s="66">
        <f>+'II-D-1'!O47</f>
        <v>0</v>
      </c>
      <c r="K24" s="66">
        <f>+'II-D-1'!P47</f>
        <v>0</v>
      </c>
      <c r="L24" s="66">
        <f>+'II-D-1'!Q47</f>
        <v>0</v>
      </c>
      <c r="M24" s="66">
        <f>+'II-D-1'!R47</f>
        <v>0</v>
      </c>
      <c r="N24" s="66">
        <f>+'II-D-1'!S47</f>
        <v>10071135.370000001</v>
      </c>
      <c r="O24" s="66">
        <f>+'II-D-1'!T47</f>
        <v>0</v>
      </c>
      <c r="P24" s="66">
        <f>+'II-D-1'!U47</f>
        <v>10071135.370000001</v>
      </c>
      <c r="Q24" s="66">
        <f>+'II-D-1'!V47</f>
        <v>7711.7299999999996</v>
      </c>
      <c r="R24" s="66">
        <f>+'II-D-1'!W47</f>
        <v>0</v>
      </c>
      <c r="S24" s="14">
        <f t="shared" si="2"/>
        <v>10078847.100000002</v>
      </c>
      <c r="T24" s="108" t="b">
        <f t="shared" si="0"/>
        <v>0</v>
      </c>
      <c r="U24" s="316">
        <f t="shared" si="1"/>
        <v>0</v>
      </c>
    </row>
    <row r="25" spans="1:21" ht="12.75">
      <c r="A25" s="4" t="s">
        <v>281</v>
      </c>
      <c r="B25" s="4" t="s">
        <v>142</v>
      </c>
      <c r="D25" s="66">
        <f>+'II-D-1'!E48</f>
        <v>729.92000000000007</v>
      </c>
      <c r="E25" s="66">
        <f>+'II-D-1'!F48</f>
        <v>0</v>
      </c>
      <c r="F25" s="66">
        <f>+'II-D-1'!G48</f>
        <v>0</v>
      </c>
      <c r="G25" s="66">
        <f>+'II-D-1'!H48</f>
        <v>729.92000000000007</v>
      </c>
      <c r="H25" s="66">
        <f>+'II-D-1'!I48</f>
        <v>96.700000000000003</v>
      </c>
      <c r="I25" s="66">
        <f>+'II-D-1'!J48</f>
        <v>826.62000000000012</v>
      </c>
      <c r="J25" s="66">
        <f>+'II-D-1'!O48</f>
        <v>0</v>
      </c>
      <c r="K25" s="66">
        <f>+'II-D-1'!P48</f>
        <v>0</v>
      </c>
      <c r="L25" s="66">
        <f>+'II-D-1'!Q48</f>
        <v>0</v>
      </c>
      <c r="M25" s="66">
        <f>+'II-D-1'!R48</f>
        <v>0</v>
      </c>
      <c r="N25" s="66">
        <f>+'II-D-1'!S48</f>
        <v>826.62</v>
      </c>
      <c r="O25" s="66">
        <f>+'II-D-1'!T48</f>
        <v>0</v>
      </c>
      <c r="P25" s="66">
        <f>+'II-D-1'!U48</f>
        <v>826.62</v>
      </c>
      <c r="Q25" s="66">
        <f>+'II-D-1'!V48</f>
        <v>0</v>
      </c>
      <c r="R25" s="66">
        <f>+'II-D-1'!W48</f>
        <v>0</v>
      </c>
      <c r="S25" s="14">
        <f t="shared" si="2"/>
        <v>826.62</v>
      </c>
      <c r="T25" s="108" t="b">
        <f t="shared" si="0"/>
        <v>1</v>
      </c>
      <c r="U25" s="316">
        <f t="shared" si="1"/>
        <v>0</v>
      </c>
    </row>
    <row r="26" spans="1:21" ht="12.75">
      <c r="A26" s="4" t="s">
        <v>247</v>
      </c>
      <c r="B26" s="4" t="s">
        <v>144</v>
      </c>
      <c r="D26" s="66">
        <f>+'II-D-1'!E49</f>
        <v>28481704.209999982</v>
      </c>
      <c r="E26" s="66">
        <f>+'II-D-1'!F49</f>
        <v>0</v>
      </c>
      <c r="F26" s="66">
        <f>+'II-D-1'!G49</f>
        <v>0</v>
      </c>
      <c r="G26" s="66">
        <f>+'II-D-1'!H49</f>
        <v>28481704.209999982</v>
      </c>
      <c r="H26" s="66">
        <f>+'II-D-1'!I49</f>
        <v>-68363.440000000002</v>
      </c>
      <c r="I26" s="66">
        <f>+'II-D-1'!J49</f>
        <v>28413340.769999981</v>
      </c>
      <c r="J26" s="66">
        <f>+'II-D-1'!O49</f>
        <v>0</v>
      </c>
      <c r="K26" s="66">
        <f>+'II-D-1'!P49</f>
        <v>0</v>
      </c>
      <c r="L26" s="66">
        <f>+'II-D-1'!Q49</f>
        <v>0</v>
      </c>
      <c r="M26" s="66">
        <f>+'II-D-1'!R49</f>
        <v>0</v>
      </c>
      <c r="N26" s="66">
        <f>+'II-D-1'!S49</f>
        <v>0</v>
      </c>
      <c r="O26" s="66">
        <f>+'II-D-1'!T49</f>
        <v>0</v>
      </c>
      <c r="P26" s="66">
        <f>+'II-D-1'!U49</f>
        <v>0</v>
      </c>
      <c r="Q26" s="66">
        <f>+'II-D-1'!V49</f>
        <v>28413340.77</v>
      </c>
      <c r="R26" s="66">
        <f>+'II-D-1'!W49</f>
        <v>0</v>
      </c>
      <c r="S26" s="14">
        <f t="shared" si="2"/>
        <v>28413340.77</v>
      </c>
      <c r="T26" s="108" t="b">
        <f t="shared" si="0"/>
        <v>1</v>
      </c>
      <c r="U26" s="316">
        <f t="shared" si="1"/>
        <v>0</v>
      </c>
    </row>
    <row r="27" spans="1:21" ht="12.75">
      <c r="A27" s="4" t="s">
        <v>248</v>
      </c>
      <c r="B27" s="4" t="s">
        <v>143</v>
      </c>
      <c r="D27" s="66">
        <f>+'II-D-1'!E50</f>
        <v>1639788.8000000005</v>
      </c>
      <c r="E27" s="66">
        <f>+'II-D-1'!F50</f>
        <v>0</v>
      </c>
      <c r="F27" s="66">
        <f>+'II-D-1'!G50</f>
        <v>0</v>
      </c>
      <c r="G27" s="66">
        <f>+'II-D-1'!H50</f>
        <v>1639788.8000000005</v>
      </c>
      <c r="H27" s="66">
        <f>+'II-D-1'!I50</f>
        <v>44.789999999999999</v>
      </c>
      <c r="I27" s="66">
        <f>+'II-D-1'!J50</f>
        <v>1639833.5900000006</v>
      </c>
      <c r="J27" s="66">
        <f>+'II-D-1'!O50</f>
        <v>0</v>
      </c>
      <c r="K27" s="66">
        <f>+'II-D-1'!P50</f>
        <v>0</v>
      </c>
      <c r="L27" s="66">
        <f>+'II-D-1'!Q50</f>
        <v>0</v>
      </c>
      <c r="M27" s="66">
        <f>+'II-D-1'!R50</f>
        <v>0</v>
      </c>
      <c r="N27" s="66">
        <f>+'II-D-1'!S50</f>
        <v>1638488.73</v>
      </c>
      <c r="O27" s="66">
        <f>+'II-D-1'!T50</f>
        <v>0</v>
      </c>
      <c r="P27" s="66">
        <f>+'II-D-1'!U50</f>
        <v>1638488.73</v>
      </c>
      <c r="Q27" s="66">
        <f>+'II-D-1'!V50</f>
        <v>1344.8599999999999</v>
      </c>
      <c r="R27" s="66">
        <f>+'II-D-1'!W50</f>
        <v>0</v>
      </c>
      <c r="S27" s="14">
        <f t="shared" si="2"/>
        <v>1639833.5900000001</v>
      </c>
      <c r="T27" s="108" t="b">
        <f t="shared" si="0"/>
        <v>1</v>
      </c>
      <c r="U27" s="316">
        <f t="shared" si="1"/>
        <v>0</v>
      </c>
    </row>
    <row r="28" spans="1:21" ht="12.75">
      <c r="A28" s="4" t="s">
        <v>251</v>
      </c>
      <c r="B28" s="4" t="s">
        <v>146</v>
      </c>
      <c r="D28" s="66">
        <f>+'II-D-1'!E51</f>
        <v>61197404.489999883</v>
      </c>
      <c r="E28" s="66">
        <f>+'II-D-1'!F51</f>
        <v>0</v>
      </c>
      <c r="F28" s="66">
        <f>+'II-D-1'!G51</f>
        <v>0</v>
      </c>
      <c r="G28" s="66">
        <f>+'II-D-1'!H51</f>
        <v>61197404.489999883</v>
      </c>
      <c r="H28" s="66">
        <f>+'II-D-1'!I51</f>
        <v>43336090.050000004</v>
      </c>
      <c r="I28" s="66">
        <f>+'II-D-1'!J51</f>
        <v>104533494.53999989</v>
      </c>
      <c r="J28" s="66">
        <f>+'II-D-1'!O51</f>
        <v>210598.25</v>
      </c>
      <c r="K28" s="66">
        <f>+'II-D-1'!P51</f>
        <v>0</v>
      </c>
      <c r="L28" s="66">
        <f>+'II-D-1'!Q51</f>
        <v>0</v>
      </c>
      <c r="M28" s="66">
        <f>+'II-D-1'!R51</f>
        <v>210598.25</v>
      </c>
      <c r="N28" s="66">
        <f>+'II-D-1'!S51</f>
        <v>100499344.2</v>
      </c>
      <c r="O28" s="66">
        <f>+'II-D-1'!T51</f>
        <v>162.75</v>
      </c>
      <c r="P28" s="66">
        <f>+'II-D-1'!U51</f>
        <v>100499506.95</v>
      </c>
      <c r="Q28" s="66">
        <f>+'II-D-1'!V51</f>
        <v>3498684.9199999999</v>
      </c>
      <c r="R28" s="66">
        <f>+'II-D-1'!W51</f>
        <v>324704.41999999998</v>
      </c>
      <c r="S28" s="14">
        <f t="shared" si="2"/>
        <v>104533494.54000001</v>
      </c>
      <c r="T28" s="108" t="b">
        <f t="shared" si="0"/>
        <v>1</v>
      </c>
      <c r="U28" s="316">
        <f t="shared" si="1"/>
        <v>0</v>
      </c>
    </row>
    <row r="29" spans="1:21" ht="12.75">
      <c r="A29" s="4" t="s">
        <v>249</v>
      </c>
      <c r="B29" s="4" t="s">
        <v>228</v>
      </c>
      <c r="D29" s="66">
        <f>+'II-D-1'!E52</f>
        <v>281934.38</v>
      </c>
      <c r="E29" s="66">
        <f>+'II-D-1'!F52</f>
        <v>0</v>
      </c>
      <c r="F29" s="66">
        <f>+'II-D-1'!G52</f>
        <v>0</v>
      </c>
      <c r="G29" s="66">
        <f>+'II-D-1'!H52</f>
        <v>281934.38</v>
      </c>
      <c r="H29" s="66">
        <f>+'II-D-1'!I52</f>
        <v>449449.64000000001</v>
      </c>
      <c r="I29" s="66">
        <f>+'II-D-1'!J52</f>
        <v>731384.02000000002</v>
      </c>
      <c r="J29" s="66">
        <f>+'II-D-1'!O52</f>
        <v>0</v>
      </c>
      <c r="K29" s="66">
        <f>+'II-D-1'!P52</f>
        <v>0</v>
      </c>
      <c r="L29" s="66">
        <f>+'II-D-1'!Q52</f>
        <v>0</v>
      </c>
      <c r="M29" s="66">
        <f>+'II-D-1'!R52</f>
        <v>0</v>
      </c>
      <c r="N29" s="66">
        <f>+'II-D-1'!S52</f>
        <v>731384.02000000002</v>
      </c>
      <c r="O29" s="66">
        <f>+'II-D-1'!T52</f>
        <v>0</v>
      </c>
      <c r="P29" s="66">
        <f>+'II-D-1'!U52</f>
        <v>731384.02000000002</v>
      </c>
      <c r="Q29" s="66">
        <f>+'II-D-1'!V52</f>
        <v>0</v>
      </c>
      <c r="R29" s="66">
        <f>+'II-D-1'!W52</f>
        <v>0</v>
      </c>
      <c r="S29" s="14">
        <f t="shared" si="2"/>
        <v>731384.02000000002</v>
      </c>
      <c r="T29" s="108" t="b">
        <f t="shared" si="0"/>
        <v>1</v>
      </c>
      <c r="U29" s="316">
        <f t="shared" si="1"/>
        <v>0</v>
      </c>
    </row>
    <row r="30" spans="1:21" ht="12.75">
      <c r="A30" s="4" t="s">
        <v>257</v>
      </c>
      <c r="B30" s="4" t="s">
        <v>139</v>
      </c>
      <c r="D30" s="66">
        <f>+'II-D-1'!E57</f>
        <v>2789401.1600000001</v>
      </c>
      <c r="E30" s="66">
        <f>+'II-D-1'!F57</f>
        <v>0</v>
      </c>
      <c r="F30" s="66">
        <f>+'II-D-1'!G57</f>
        <v>0</v>
      </c>
      <c r="G30" s="66">
        <f>+'II-D-1'!H57</f>
        <v>2789401.1600000001</v>
      </c>
      <c r="H30" s="66">
        <f>+'II-D-1'!I57</f>
        <v>63111.989999999998</v>
      </c>
      <c r="I30" s="66">
        <f>+'II-D-1'!J57</f>
        <v>2852513.1500000004</v>
      </c>
      <c r="J30" s="66">
        <f>+'II-D-1'!O57</f>
        <v>17670.349999999999</v>
      </c>
      <c r="K30" s="66">
        <f>+'II-D-1'!P57</f>
        <v>472.73000000000002</v>
      </c>
      <c r="L30" s="66">
        <f>+'II-D-1'!Q57</f>
        <v>0</v>
      </c>
      <c r="M30" s="66">
        <f>+'II-D-1'!R57</f>
        <v>18143.079999999998</v>
      </c>
      <c r="N30" s="66">
        <f>+'II-D-1'!S57</f>
        <v>2100731.52</v>
      </c>
      <c r="O30" s="66">
        <f>+'II-D-1'!T57</f>
        <v>936.41999999999996</v>
      </c>
      <c r="P30" s="66">
        <f>+'II-D-1'!U57</f>
        <v>2101667.9399999999</v>
      </c>
      <c r="Q30" s="66">
        <f>+'II-D-1'!V57</f>
        <v>732702.13</v>
      </c>
      <c r="R30" s="66">
        <f>+'II-D-1'!W57</f>
        <v>0</v>
      </c>
      <c r="S30" s="14">
        <f t="shared" si="2"/>
        <v>2852513.1499999999</v>
      </c>
      <c r="T30" s="108" t="b">
        <f t="shared" si="0"/>
        <v>1</v>
      </c>
      <c r="U30" s="316">
        <f t="shared" si="1"/>
        <v>7.6397554948925972E-11</v>
      </c>
    </row>
    <row r="31" spans="1:21" ht="12.75">
      <c r="A31" s="4" t="s">
        <v>252</v>
      </c>
      <c r="B31" s="30" t="s">
        <v>140</v>
      </c>
      <c r="D31" s="66">
        <f>+'II-D-1'!E58</f>
        <v>6086.420000000001</v>
      </c>
      <c r="E31" s="66">
        <f>+'II-D-1'!F58</f>
        <v>0</v>
      </c>
      <c r="F31" s="66">
        <f>+'II-D-1'!G58</f>
        <v>0</v>
      </c>
      <c r="G31" s="66">
        <f>+'II-D-1'!H58</f>
        <v>6086.420000000001</v>
      </c>
      <c r="H31" s="66">
        <f>+'II-D-1'!I58</f>
        <v>0</v>
      </c>
      <c r="I31" s="66">
        <f>+'II-D-1'!J58</f>
        <v>6086.420000000001</v>
      </c>
      <c r="J31" s="66">
        <f>+'II-D-1'!O58</f>
        <v>287.17000000000002</v>
      </c>
      <c r="K31" s="66">
        <f>+'II-D-1'!P58</f>
        <v>0</v>
      </c>
      <c r="L31" s="66">
        <f>+'II-D-1'!Q58</f>
        <v>0</v>
      </c>
      <c r="M31" s="66">
        <f>+'II-D-1'!R58</f>
        <v>287.17000000000002</v>
      </c>
      <c r="N31" s="66">
        <f>+'II-D-1'!S58</f>
        <v>5772.4399999999996</v>
      </c>
      <c r="O31" s="66">
        <f>+'II-D-1'!T58</f>
        <v>26.809999999999999</v>
      </c>
      <c r="P31" s="66">
        <f>+'II-D-1'!U58</f>
        <v>5799.25</v>
      </c>
      <c r="Q31" s="66">
        <f>+'II-D-1'!V58</f>
        <v>0</v>
      </c>
      <c r="R31" s="66">
        <f>+'II-D-1'!W58</f>
        <v>0</v>
      </c>
      <c r="S31" s="14">
        <f t="shared" si="2"/>
        <v>6086.4200000000001</v>
      </c>
      <c r="T31" s="108" t="b">
        <f t="shared" si="0"/>
        <v>1</v>
      </c>
      <c r="U31" s="316">
        <f t="shared" si="1"/>
        <v>0</v>
      </c>
    </row>
    <row r="32" spans="1:21" ht="12.75">
      <c r="A32" s="4" t="s">
        <v>253</v>
      </c>
      <c r="B32" s="4" t="s">
        <v>381</v>
      </c>
      <c r="D32" s="66">
        <f>+'II-D-1'!E59</f>
        <v>9945324.9200000037</v>
      </c>
      <c r="E32" s="66">
        <f>+'II-D-1'!F59</f>
        <v>0</v>
      </c>
      <c r="F32" s="66">
        <f>+'II-D-1'!G59</f>
        <v>0</v>
      </c>
      <c r="G32" s="66">
        <f>+'II-D-1'!H59</f>
        <v>9945324.9200000037</v>
      </c>
      <c r="H32" s="66">
        <f>+'II-D-1'!I59</f>
        <v>43730.580000000002</v>
      </c>
      <c r="I32" s="66">
        <f>+'II-D-1'!J59</f>
        <v>9989055.5000000037</v>
      </c>
      <c r="J32" s="66">
        <f>+'II-D-1'!O59</f>
        <v>404250.23000000004</v>
      </c>
      <c r="K32" s="66">
        <f>+'II-D-1'!P59</f>
        <v>1989.49</v>
      </c>
      <c r="L32" s="66">
        <f>+'II-D-1'!Q59</f>
        <v>0</v>
      </c>
      <c r="M32" s="66">
        <f>+'II-D-1'!R59</f>
        <v>406239.72000000003</v>
      </c>
      <c r="N32" s="66">
        <f>+'II-D-1'!S59</f>
        <v>9278485.1099999994</v>
      </c>
      <c r="O32" s="66">
        <f>+'II-D-1'!T59</f>
        <v>304330.66999999998</v>
      </c>
      <c r="P32" s="66">
        <f>+'II-D-1'!U59</f>
        <v>9582815.7799999993</v>
      </c>
      <c r="Q32" s="66">
        <f>+'II-D-1'!V59</f>
        <v>0</v>
      </c>
      <c r="R32" s="66">
        <f>+'II-D-1'!W59</f>
        <v>0</v>
      </c>
      <c r="S32" s="14">
        <f t="shared" si="2"/>
        <v>9989055.5</v>
      </c>
      <c r="T32" s="108" t="b">
        <f t="shared" si="0"/>
        <v>1</v>
      </c>
      <c r="U32" s="316">
        <f t="shared" si="1"/>
        <v>6.4028427004814148E-10</v>
      </c>
    </row>
    <row r="33" spans="1:21" ht="12.75">
      <c r="A33" s="4" t="s">
        <v>147</v>
      </c>
      <c r="B33" s="30" t="s">
        <v>382</v>
      </c>
      <c r="D33" s="66">
        <f>+'II-D-1'!E60</f>
        <v>108041450.89999999</v>
      </c>
      <c r="E33" s="66">
        <f>+'II-D-1'!F60</f>
        <v>0</v>
      </c>
      <c r="F33" s="66">
        <f>+'II-D-1'!G60</f>
        <v>0</v>
      </c>
      <c r="G33" s="66">
        <f>+'II-D-1'!H60</f>
        <v>108041450.89999999</v>
      </c>
      <c r="H33" s="66">
        <f>+'II-D-1'!I60</f>
        <v>3902299.2600000002</v>
      </c>
      <c r="I33" s="66">
        <f>+'II-D-1'!J60</f>
        <v>111943750.16</v>
      </c>
      <c r="J33" s="66">
        <f>+'II-D-1'!O60</f>
        <v>1360.28</v>
      </c>
      <c r="K33" s="66">
        <f>+'II-D-1'!P60</f>
        <v>57.259999999999998</v>
      </c>
      <c r="L33" s="66">
        <f>+'II-D-1'!Q60</f>
        <v>0</v>
      </c>
      <c r="M33" s="66">
        <f>+'II-D-1'!R60</f>
        <v>1417.54</v>
      </c>
      <c r="N33" s="66">
        <f>+'II-D-1'!S60</f>
        <v>111767839.16000001</v>
      </c>
      <c r="O33" s="66">
        <f>+'II-D-1'!T60</f>
        <v>0</v>
      </c>
      <c r="P33" s="66">
        <f>+'II-D-1'!U60</f>
        <v>111767839.16000001</v>
      </c>
      <c r="Q33" s="66">
        <f>+'II-D-1'!V60</f>
        <v>174493.46000000002</v>
      </c>
      <c r="R33" s="66">
        <f>+'II-D-1'!W60</f>
        <v>0</v>
      </c>
      <c r="S33" s="14">
        <f t="shared" si="2"/>
        <v>111943750.16000001</v>
      </c>
      <c r="T33" s="108" t="b">
        <f t="shared" si="0"/>
        <v>1</v>
      </c>
      <c r="U33" s="316">
        <f t="shared" si="1"/>
        <v>6.5565473050810397E-09</v>
      </c>
    </row>
    <row r="34" spans="1:21" ht="12.75">
      <c r="A34" s="4" t="s">
        <v>148</v>
      </c>
      <c r="B34" s="4" t="s">
        <v>383</v>
      </c>
      <c r="D34" s="66">
        <f>+'II-D-1'!E61</f>
        <v>26551032.529999986</v>
      </c>
      <c r="E34" s="66">
        <f>+'II-D-1'!F61</f>
        <v>0</v>
      </c>
      <c r="F34" s="66">
        <f>+'II-D-1'!G61</f>
        <v>0</v>
      </c>
      <c r="G34" s="66">
        <f>+'II-D-1'!H61</f>
        <v>26551032.529999986</v>
      </c>
      <c r="H34" s="66">
        <f>+'II-D-1'!I61</f>
        <v>3305.0300000000002</v>
      </c>
      <c r="I34" s="66">
        <f>+'II-D-1'!J61</f>
        <v>26554337.559999987</v>
      </c>
      <c r="J34" s="66">
        <f>+'II-D-1'!O61</f>
        <v>0</v>
      </c>
      <c r="K34" s="66">
        <f>+'II-D-1'!P61</f>
        <v>0</v>
      </c>
      <c r="L34" s="66">
        <f>+'II-D-1'!Q61</f>
        <v>0</v>
      </c>
      <c r="M34" s="66">
        <f>+'II-D-1'!R61</f>
        <v>0</v>
      </c>
      <c r="N34" s="66">
        <f>+'II-D-1'!S61</f>
        <v>26516321.099999998</v>
      </c>
      <c r="O34" s="66">
        <f>+'II-D-1'!T61</f>
        <v>0</v>
      </c>
      <c r="P34" s="66">
        <f>+'II-D-1'!U61</f>
        <v>26516321.099999998</v>
      </c>
      <c r="Q34" s="66">
        <f>+'II-D-1'!V61</f>
        <v>38016.459999999999</v>
      </c>
      <c r="R34" s="66">
        <f>+'II-D-1'!W61</f>
        <v>0</v>
      </c>
      <c r="S34" s="14">
        <f t="shared" si="2"/>
        <v>26554337.559999999</v>
      </c>
      <c r="T34" s="108" t="b">
        <f t="shared" si="0"/>
        <v>1</v>
      </c>
      <c r="U34" s="316">
        <f t="shared" si="1"/>
        <v>0</v>
      </c>
    </row>
    <row r="35" spans="1:21" ht="12.75">
      <c r="A35" s="4" t="s">
        <v>254</v>
      </c>
      <c r="B35" s="4" t="s">
        <v>149</v>
      </c>
      <c r="D35" s="66">
        <f>+'II-D-1'!E62</f>
        <v>4997752.6500000078</v>
      </c>
      <c r="E35" s="66">
        <f>+'II-D-1'!F62</f>
        <v>0</v>
      </c>
      <c r="F35" s="66">
        <f>+'II-D-1'!G62</f>
        <v>0</v>
      </c>
      <c r="G35" s="66">
        <f>+'II-D-1'!H62</f>
        <v>4997752.6500000078</v>
      </c>
      <c r="H35" s="66">
        <f>+'II-D-1'!I62</f>
        <v>12842.73</v>
      </c>
      <c r="I35" s="66">
        <f>+'II-D-1'!J62</f>
        <v>5010595.3800000083</v>
      </c>
      <c r="J35" s="66">
        <f>+'II-D-1'!O62</f>
        <v>0</v>
      </c>
      <c r="K35" s="66">
        <f>+'II-D-1'!P62</f>
        <v>0</v>
      </c>
      <c r="L35" s="66">
        <f>+'II-D-1'!Q62</f>
        <v>0</v>
      </c>
      <c r="M35" s="66">
        <f>+'II-D-1'!R62</f>
        <v>0</v>
      </c>
      <c r="N35" s="66">
        <f>+'II-D-1'!S62</f>
        <v>5010366.2699999996</v>
      </c>
      <c r="O35" s="66">
        <f>+'II-D-1'!T62</f>
        <v>0</v>
      </c>
      <c r="P35" s="66">
        <f>+'II-D-1'!U62</f>
        <v>5010366.2699999996</v>
      </c>
      <c r="Q35" s="66">
        <f>+'II-D-1'!V62</f>
        <v>229.10999999999999</v>
      </c>
      <c r="R35" s="66">
        <f>+'II-D-1'!W62</f>
        <v>0</v>
      </c>
      <c r="S35" s="14">
        <f t="shared" si="2"/>
        <v>5010595.3799999999</v>
      </c>
      <c r="T35" s="108" t="b">
        <f t="shared" si="0"/>
        <v>0</v>
      </c>
      <c r="U35" s="316">
        <f t="shared" si="1"/>
        <v>0</v>
      </c>
    </row>
    <row r="36" spans="1:21" ht="12.75">
      <c r="A36" s="4" t="s">
        <v>282</v>
      </c>
      <c r="B36" s="4" t="s">
        <v>150</v>
      </c>
      <c r="D36" s="66">
        <f>+'II-D-1'!E63</f>
        <v>9642119.3799999934</v>
      </c>
      <c r="E36" s="66">
        <f>+'II-D-1'!F63</f>
        <v>0</v>
      </c>
      <c r="F36" s="66">
        <f>+'II-D-1'!G63</f>
        <v>0</v>
      </c>
      <c r="G36" s="66">
        <f>+'II-D-1'!H63</f>
        <v>9642119.3799999934</v>
      </c>
      <c r="H36" s="66">
        <f>+'II-D-1'!I63</f>
        <v>5984.96</v>
      </c>
      <c r="I36" s="66">
        <f>+'II-D-1'!J63</f>
        <v>9648104.3399999943</v>
      </c>
      <c r="J36" s="66">
        <f>+'II-D-1'!O63</f>
        <v>0</v>
      </c>
      <c r="K36" s="66">
        <f>+'II-D-1'!P63</f>
        <v>0</v>
      </c>
      <c r="L36" s="66">
        <f>+'II-D-1'!Q63</f>
        <v>0</v>
      </c>
      <c r="M36" s="66">
        <f>+'II-D-1'!R63</f>
        <v>0</v>
      </c>
      <c r="N36" s="66">
        <f>+'II-D-1'!S63</f>
        <v>9632071.0899999999</v>
      </c>
      <c r="O36" s="66">
        <f>+'II-D-1'!T63</f>
        <v>0</v>
      </c>
      <c r="P36" s="66">
        <f>+'II-D-1'!U63</f>
        <v>9632071.0899999999</v>
      </c>
      <c r="Q36" s="66">
        <f>+'II-D-1'!V63</f>
        <v>16033.25</v>
      </c>
      <c r="R36" s="66">
        <f>+'II-D-1'!W63</f>
        <v>0</v>
      </c>
      <c r="S36" s="14">
        <f t="shared" si="2"/>
        <v>9648104.3399999999</v>
      </c>
      <c r="T36" s="108" t="b">
        <f t="shared" si="0"/>
        <v>0</v>
      </c>
      <c r="U36" s="316">
        <f t="shared" si="1"/>
        <v>0</v>
      </c>
    </row>
    <row r="37" spans="1:21" ht="12.75">
      <c r="A37" s="4" t="s">
        <v>256</v>
      </c>
      <c r="B37" s="4" t="s">
        <v>151</v>
      </c>
      <c r="D37" s="66">
        <f>+'II-D-1'!E64</f>
        <v>16435498.550000012</v>
      </c>
      <c r="E37" s="66">
        <f>+'II-D-1'!F64</f>
        <v>0</v>
      </c>
      <c r="F37" s="66">
        <f>+'II-D-1'!G64</f>
        <v>0</v>
      </c>
      <c r="G37" s="66">
        <f>+'II-D-1'!H64</f>
        <v>16435498.550000012</v>
      </c>
      <c r="H37" s="66">
        <f>+'II-D-1'!I64</f>
        <v>191479.30000000002</v>
      </c>
      <c r="I37" s="66">
        <f>+'II-D-1'!J64</f>
        <v>16626977.850000013</v>
      </c>
      <c r="J37" s="66">
        <f>+'II-D-1'!O64</f>
        <v>0</v>
      </c>
      <c r="K37" s="66">
        <f>+'II-D-1'!P64</f>
        <v>0</v>
      </c>
      <c r="L37" s="66">
        <f>+'II-D-1'!Q64</f>
        <v>0</v>
      </c>
      <c r="M37" s="66">
        <f>+'II-D-1'!R64</f>
        <v>0</v>
      </c>
      <c r="N37" s="66">
        <f>+'II-D-1'!S64</f>
        <v>-13076.33</v>
      </c>
      <c r="O37" s="66">
        <f>+'II-D-1'!T64</f>
        <v>0</v>
      </c>
      <c r="P37" s="66">
        <f>+'II-D-1'!U64</f>
        <v>-13076.33</v>
      </c>
      <c r="Q37" s="66">
        <f>+'II-D-1'!V64</f>
        <v>16640054.180000002</v>
      </c>
      <c r="R37" s="66">
        <f>+'II-D-1'!W64</f>
        <v>0</v>
      </c>
      <c r="S37" s="14">
        <f t="shared" si="2"/>
        <v>16626977.850000002</v>
      </c>
      <c r="T37" s="108" t="b">
        <f t="shared" si="0"/>
        <v>1</v>
      </c>
      <c r="U37" s="316">
        <f t="shared" si="1"/>
        <v>-7.4578565545380116E-11</v>
      </c>
    </row>
    <row r="38" spans="1:21" ht="12.75">
      <c r="A38" s="4" t="s">
        <v>285</v>
      </c>
      <c r="B38" s="4" t="s">
        <v>152</v>
      </c>
      <c r="D38" s="66">
        <f>+'II-D-1'!E65</f>
        <v>2221844.9499999965</v>
      </c>
      <c r="E38" s="66">
        <f>+'II-D-1'!F65</f>
        <v>0</v>
      </c>
      <c r="F38" s="66">
        <f>+'II-D-1'!G65</f>
        <v>0</v>
      </c>
      <c r="G38" s="66">
        <f>+'II-D-1'!H65</f>
        <v>2221844.9499999965</v>
      </c>
      <c r="H38" s="66">
        <f>+'II-D-1'!I65</f>
        <v>-18609.950000000001</v>
      </c>
      <c r="I38" s="66">
        <f>+'II-D-1'!J65</f>
        <v>2203234.9999999963</v>
      </c>
      <c r="J38" s="66">
        <f>+'II-D-1'!O65</f>
        <v>0</v>
      </c>
      <c r="K38" s="66">
        <f>+'II-D-1'!P65</f>
        <v>0</v>
      </c>
      <c r="L38" s="66">
        <f>+'II-D-1'!Q65</f>
        <v>0</v>
      </c>
      <c r="M38" s="66">
        <f>+'II-D-1'!R65</f>
        <v>0</v>
      </c>
      <c r="N38" s="66">
        <f>+'II-D-1'!S65</f>
        <v>2165091.9399999999</v>
      </c>
      <c r="O38" s="66">
        <f>+'II-D-1'!T65</f>
        <v>39.609999999999999</v>
      </c>
      <c r="P38" s="66">
        <f>+'II-D-1'!U65</f>
        <v>2165131.5499999998</v>
      </c>
      <c r="Q38" s="66">
        <f>+'II-D-1'!V65</f>
        <v>38103.449999999997</v>
      </c>
      <c r="R38" s="66">
        <f>+'II-D-1'!W65</f>
        <v>0</v>
      </c>
      <c r="S38" s="14">
        <f t="shared" si="2"/>
        <v>2203235</v>
      </c>
      <c r="T38" s="108" t="b">
        <f t="shared" si="0"/>
        <v>1</v>
      </c>
      <c r="U38" s="316">
        <f t="shared" si="1"/>
        <v>0</v>
      </c>
    </row>
    <row r="39" spans="1:21" ht="12.75">
      <c r="A39" s="4" t="s">
        <v>260</v>
      </c>
      <c r="B39" s="4" t="s">
        <v>261</v>
      </c>
      <c r="D39" s="66">
        <f>+'II-D-1'!E73</f>
        <v>15971.100000000002</v>
      </c>
      <c r="E39" s="66">
        <f>+'II-D-1'!F73</f>
        <v>0</v>
      </c>
      <c r="F39" s="66">
        <f>+'II-D-1'!G73</f>
        <v>0</v>
      </c>
      <c r="G39" s="66">
        <f>+'II-D-1'!H73</f>
        <v>15971.100000000002</v>
      </c>
      <c r="H39" s="66">
        <f>+'II-D-1'!I73</f>
        <v>-192.33000000000001</v>
      </c>
      <c r="I39" s="66">
        <f>+'II-D-1'!J73</f>
        <v>15778.770000000002</v>
      </c>
      <c r="J39" s="66">
        <f>+'II-D-1'!O73</f>
        <v>0</v>
      </c>
      <c r="K39" s="66">
        <f>+'II-D-1'!P73</f>
        <v>0</v>
      </c>
      <c r="L39" s="66">
        <f>+'II-D-1'!Q73</f>
        <v>0</v>
      </c>
      <c r="M39" s="66">
        <f>+'II-D-1'!R73</f>
        <v>0</v>
      </c>
      <c r="N39" s="66">
        <f>+'II-D-1'!S73</f>
        <v>114.29000000000001</v>
      </c>
      <c r="O39" s="66">
        <f>+'II-D-1'!T73</f>
        <v>0</v>
      </c>
      <c r="P39" s="66">
        <f>+'II-D-1'!U73</f>
        <v>114.29000000000001</v>
      </c>
      <c r="Q39" s="66">
        <f>+'II-D-1'!V73</f>
        <v>13613.24</v>
      </c>
      <c r="R39" s="66">
        <f>+'II-D-1'!W73</f>
        <v>2051.2399999999998</v>
      </c>
      <c r="S39" s="14">
        <f t="shared" si="2"/>
        <v>15778.77</v>
      </c>
      <c r="T39" s="108" t="b">
        <f t="shared" si="0"/>
        <v>1</v>
      </c>
      <c r="U39" s="316">
        <f t="shared" si="1"/>
        <v>8.6686213762732223E-13</v>
      </c>
    </row>
    <row r="40" spans="1:21" ht="12.75">
      <c r="A40" s="4" t="s">
        <v>259</v>
      </c>
      <c r="B40" s="4" t="s">
        <v>166</v>
      </c>
      <c r="D40" s="66">
        <f>+'II-D-1'!E74</f>
        <v>124810.91</v>
      </c>
      <c r="E40" s="66">
        <f>+'II-D-1'!F74</f>
        <v>0</v>
      </c>
      <c r="F40" s="66">
        <f>+'II-D-1'!G74</f>
        <v>0</v>
      </c>
      <c r="G40" s="66">
        <f>+'II-D-1'!H74</f>
        <v>124810.91</v>
      </c>
      <c r="H40" s="66">
        <f>+'II-D-1'!I74</f>
        <v>-53535.25</v>
      </c>
      <c r="I40" s="66">
        <f>+'II-D-1'!J74</f>
        <v>71275.660000000003</v>
      </c>
      <c r="J40" s="66">
        <f>+'II-D-1'!O74</f>
        <v>0</v>
      </c>
      <c r="K40" s="66">
        <f>+'II-D-1'!P74</f>
        <v>0</v>
      </c>
      <c r="L40" s="66">
        <f>+'II-D-1'!Q74</f>
        <v>0</v>
      </c>
      <c r="M40" s="66">
        <f>+'II-D-1'!R74</f>
        <v>0</v>
      </c>
      <c r="N40" s="66">
        <f>+'II-D-1'!S74</f>
        <v>0</v>
      </c>
      <c r="O40" s="66">
        <f>+'II-D-1'!T74</f>
        <v>0</v>
      </c>
      <c r="P40" s="66">
        <f>+'II-D-1'!U74</f>
        <v>0</v>
      </c>
      <c r="Q40" s="66">
        <f>+'II-D-1'!V74</f>
        <v>71275.660000000003</v>
      </c>
      <c r="R40" s="66">
        <f>+'II-D-1'!W74</f>
        <v>0</v>
      </c>
      <c r="S40" s="14">
        <f t="shared" si="2"/>
        <v>71275.660000000003</v>
      </c>
      <c r="T40" s="108" t="b">
        <f t="shared" si="0"/>
        <v>1</v>
      </c>
      <c r="U40" s="316">
        <f t="shared" si="1"/>
        <v>0</v>
      </c>
    </row>
    <row r="41" spans="1:21" ht="12.75">
      <c r="A41" s="4" t="s">
        <v>286</v>
      </c>
      <c r="B41" s="4" t="s">
        <v>396</v>
      </c>
      <c r="D41" s="66">
        <f>+'II-D-1'!E75</f>
        <v>19519858.129999995</v>
      </c>
      <c r="E41" s="66">
        <f>+'II-D-1'!F75</f>
        <v>0</v>
      </c>
      <c r="F41" s="66">
        <f>+'II-D-1'!G75</f>
        <v>0</v>
      </c>
      <c r="G41" s="66">
        <f>+'II-D-1'!H75</f>
        <v>19519858.129999995</v>
      </c>
      <c r="H41" s="66">
        <f>+'II-D-1'!I75</f>
        <v>271072.41999999998</v>
      </c>
      <c r="I41" s="66">
        <f>+'II-D-1'!J75</f>
        <v>19790930.549999997</v>
      </c>
      <c r="J41" s="66">
        <f>+'II-D-1'!O75</f>
        <v>0</v>
      </c>
      <c r="K41" s="66">
        <f>+'II-D-1'!P75</f>
        <v>0</v>
      </c>
      <c r="L41" s="66">
        <f>+'II-D-1'!Q75</f>
        <v>0</v>
      </c>
      <c r="M41" s="66">
        <f>+'II-D-1'!R75</f>
        <v>0</v>
      </c>
      <c r="N41" s="66">
        <f>+'II-D-1'!S75</f>
        <v>10743.190000000001</v>
      </c>
      <c r="O41" s="66">
        <f>+'II-D-1'!T75</f>
        <v>0</v>
      </c>
      <c r="P41" s="66">
        <f>+'II-D-1'!U75</f>
        <v>10743.190000000001</v>
      </c>
      <c r="Q41" s="66">
        <f>+'II-D-1'!V75</f>
        <v>8608120.5200000014</v>
      </c>
      <c r="R41" s="66">
        <f>+'II-D-1'!W75</f>
        <v>11172066.84</v>
      </c>
      <c r="S41" s="14">
        <f t="shared" si="2"/>
        <v>19790930.550000001</v>
      </c>
      <c r="T41" s="108" t="b">
        <f t="shared" si="0"/>
        <v>1</v>
      </c>
      <c r="U41" s="316">
        <f t="shared" si="1"/>
        <v>-5.2204995881766081E-10</v>
      </c>
    </row>
    <row r="42" spans="1:21" ht="12.75">
      <c r="A42" s="4" t="s">
        <v>262</v>
      </c>
      <c r="B42" s="4" t="s">
        <v>263</v>
      </c>
      <c r="D42" s="66">
        <f>+'II-D-1'!E76</f>
        <v>777311.67999999993</v>
      </c>
      <c r="E42" s="66">
        <f>+'II-D-1'!F76</f>
        <v>0</v>
      </c>
      <c r="F42" s="66">
        <f>+'II-D-1'!G76</f>
        <v>0</v>
      </c>
      <c r="G42" s="66">
        <f>+'II-D-1'!H76</f>
        <v>777311.67999999993</v>
      </c>
      <c r="H42" s="66">
        <f>+'II-D-1'!I76</f>
        <v>993707.65000000002</v>
      </c>
      <c r="I42" s="66">
        <f>+'II-D-1'!J76</f>
        <v>1771019.3300000001</v>
      </c>
      <c r="J42" s="66">
        <f>+'II-D-1'!O76</f>
        <v>87420.859999999986</v>
      </c>
      <c r="K42" s="66">
        <f>+'II-D-1'!P76</f>
        <v>0</v>
      </c>
      <c r="L42" s="66">
        <f>+'II-D-1'!Q76</f>
        <v>0</v>
      </c>
      <c r="M42" s="66">
        <f>+'II-D-1'!R76</f>
        <v>87420.859999999986</v>
      </c>
      <c r="N42" s="66">
        <f>+'II-D-1'!S76</f>
        <v>-16239.889999999999</v>
      </c>
      <c r="O42" s="66">
        <f>+'II-D-1'!T76</f>
        <v>0</v>
      </c>
      <c r="P42" s="66">
        <f>+'II-D-1'!U76</f>
        <v>-16239.889999999999</v>
      </c>
      <c r="Q42" s="66">
        <f>+'II-D-1'!V76</f>
        <v>0</v>
      </c>
      <c r="R42" s="66">
        <f>+'II-D-1'!W76</f>
        <v>1699838.3599999999</v>
      </c>
      <c r="S42" s="14">
        <f t="shared" si="2"/>
        <v>1771019.3299999998</v>
      </c>
      <c r="T42" s="108" t="b">
        <f t="shared" si="0"/>
        <v>1</v>
      </c>
      <c r="U42" s="316">
        <f t="shared" si="1"/>
        <v>0</v>
      </c>
    </row>
    <row r="43" spans="1:21" ht="12.75">
      <c r="A43" s="4" t="s">
        <v>264</v>
      </c>
      <c r="B43" s="30" t="s">
        <v>397</v>
      </c>
      <c r="D43" s="66">
        <f>+'II-D-1'!E77</f>
        <v>0</v>
      </c>
      <c r="E43" s="66">
        <f>+'II-D-1'!F77</f>
        <v>0</v>
      </c>
      <c r="F43" s="66">
        <f>+'II-D-1'!G77</f>
        <v>0</v>
      </c>
      <c r="G43" s="66">
        <f>+'II-D-1'!H77</f>
        <v>0</v>
      </c>
      <c r="H43" s="66">
        <f>+'II-D-1'!I77</f>
        <v>0</v>
      </c>
      <c r="I43" s="66">
        <f>+'II-D-1'!J77</f>
        <v>0</v>
      </c>
      <c r="J43" s="66">
        <f>+'II-D-1'!O77</f>
        <v>0</v>
      </c>
      <c r="K43" s="66">
        <f>+'II-D-1'!P77</f>
        <v>0</v>
      </c>
      <c r="L43" s="66">
        <f>+'II-D-1'!Q77</f>
        <v>0</v>
      </c>
      <c r="M43" s="66">
        <f>+'II-D-1'!R77</f>
        <v>0</v>
      </c>
      <c r="N43" s="66">
        <f>+'II-D-1'!S77</f>
        <v>0</v>
      </c>
      <c r="O43" s="66">
        <f>+'II-D-1'!T77</f>
        <v>0</v>
      </c>
      <c r="P43" s="66">
        <f>+'II-D-1'!U77</f>
        <v>0</v>
      </c>
      <c r="Q43" s="66">
        <f>+'II-D-1'!V77</f>
        <v>0</v>
      </c>
      <c r="R43" s="66">
        <f>+'II-D-1'!W77</f>
        <v>0</v>
      </c>
      <c r="S43" s="14">
        <f t="shared" si="2"/>
        <v>0</v>
      </c>
      <c r="T43" s="108" t="b">
        <f t="shared" si="0"/>
        <v>1</v>
      </c>
      <c r="U43" s="316">
        <f t="shared" si="1"/>
        <v>0</v>
      </c>
    </row>
    <row r="44" spans="1:21" ht="12.75">
      <c r="A44" s="4" t="s">
        <v>167</v>
      </c>
      <c r="B44" s="4" t="s">
        <v>329</v>
      </c>
      <c r="D44" s="66">
        <f>+'II-D-1'!E83</f>
        <v>0</v>
      </c>
      <c r="E44" s="66">
        <f>+'II-D-1'!F83</f>
        <v>0</v>
      </c>
      <c r="F44" s="66">
        <f>+'II-D-1'!G83</f>
        <v>0</v>
      </c>
      <c r="G44" s="66">
        <f>+'II-D-1'!H83</f>
        <v>0</v>
      </c>
      <c r="H44" s="66">
        <f>+'II-D-1'!I83</f>
        <v>0</v>
      </c>
      <c r="I44" s="66">
        <f>+'II-D-1'!J83</f>
        <v>0</v>
      </c>
      <c r="J44" s="66">
        <f>+'II-D-1'!O83</f>
        <v>0</v>
      </c>
      <c r="K44" s="66">
        <f>+'II-D-1'!P83</f>
        <v>0</v>
      </c>
      <c r="L44" s="66">
        <f>+'II-D-1'!Q83</f>
        <v>0</v>
      </c>
      <c r="M44" s="66">
        <f>+'II-D-1'!R83</f>
        <v>0</v>
      </c>
      <c r="N44" s="66">
        <f>+'II-D-1'!S83</f>
        <v>0</v>
      </c>
      <c r="O44" s="66">
        <f>+'II-D-1'!T83</f>
        <v>0</v>
      </c>
      <c r="P44" s="66">
        <f>+'II-D-1'!U83</f>
        <v>0</v>
      </c>
      <c r="Q44" s="66">
        <f>+'II-D-1'!V83</f>
        <v>0</v>
      </c>
      <c r="R44" s="66">
        <f>+'II-D-1'!W83</f>
        <v>0</v>
      </c>
      <c r="S44" s="14">
        <f t="shared" si="2"/>
        <v>0</v>
      </c>
      <c r="T44" s="108" t="b">
        <f t="shared" si="0"/>
        <v>1</v>
      </c>
      <c r="U44" s="316">
        <f t="shared" si="1"/>
        <v>0</v>
      </c>
    </row>
    <row r="45" spans="1:21" ht="12.75">
      <c r="A45" s="4" t="s">
        <v>265</v>
      </c>
      <c r="B45" s="4" t="s">
        <v>261</v>
      </c>
      <c r="D45" s="66">
        <f>+'II-D-1'!E84</f>
        <v>0</v>
      </c>
      <c r="E45" s="66">
        <f>+'II-D-1'!F84</f>
        <v>0</v>
      </c>
      <c r="F45" s="66">
        <f>+'II-D-1'!G84</f>
        <v>0</v>
      </c>
      <c r="G45" s="66">
        <f>+'II-D-1'!H84</f>
        <v>0</v>
      </c>
      <c r="H45" s="66">
        <f>+'II-D-1'!I84</f>
        <v>0</v>
      </c>
      <c r="I45" s="66">
        <f>+'II-D-1'!J84</f>
        <v>0</v>
      </c>
      <c r="J45" s="66">
        <f>+'II-D-1'!O84</f>
        <v>0</v>
      </c>
      <c r="K45" s="66">
        <f>+'II-D-1'!P84</f>
        <v>0</v>
      </c>
      <c r="L45" s="66">
        <f>+'II-D-1'!Q84</f>
        <v>0</v>
      </c>
      <c r="M45" s="66">
        <f>+'II-D-1'!R84</f>
        <v>0</v>
      </c>
      <c r="N45" s="66">
        <f>+'II-D-1'!S84</f>
        <v>0</v>
      </c>
      <c r="O45" s="66">
        <f>+'II-D-1'!T84</f>
        <v>0</v>
      </c>
      <c r="P45" s="66">
        <f>+'II-D-1'!U84</f>
        <v>0</v>
      </c>
      <c r="Q45" s="66">
        <f>+'II-D-1'!V84</f>
        <v>0</v>
      </c>
      <c r="R45" s="66">
        <f>+'II-D-1'!W84</f>
        <v>0</v>
      </c>
      <c r="S45" s="14">
        <f t="shared" si="2"/>
        <v>0</v>
      </c>
      <c r="T45" s="108" t="b">
        <f t="shared" si="0"/>
        <v>1</v>
      </c>
      <c r="U45" s="316">
        <f t="shared" si="1"/>
        <v>0</v>
      </c>
    </row>
    <row r="46" spans="1:21" ht="12.75">
      <c r="A46" s="4" t="s">
        <v>331</v>
      </c>
      <c r="B46" s="30" t="s">
        <v>330</v>
      </c>
      <c r="D46" s="66">
        <f>+'II-D-1'!E85</f>
        <v>47254964.93</v>
      </c>
      <c r="E46" s="66">
        <f>+'II-D-1'!F85</f>
        <v>0</v>
      </c>
      <c r="F46" s="66">
        <f>+'II-D-1'!G85</f>
        <v>0</v>
      </c>
      <c r="G46" s="66">
        <f>+'II-D-1'!H85</f>
        <v>47254964.93</v>
      </c>
      <c r="H46" s="66">
        <f>+'II-D-1'!I85</f>
        <v>-46662191.839999996</v>
      </c>
      <c r="I46" s="66">
        <f>+'II-D-1'!J85</f>
        <v>592773.09000000358</v>
      </c>
      <c r="J46" s="66">
        <f>+'II-D-1'!O85</f>
        <v>0</v>
      </c>
      <c r="K46" s="66">
        <f>+'II-D-1'!P85</f>
        <v>0</v>
      </c>
      <c r="L46" s="66">
        <f>+'II-D-1'!Q85</f>
        <v>0</v>
      </c>
      <c r="M46" s="66">
        <f>+'II-D-1'!R85</f>
        <v>0</v>
      </c>
      <c r="N46" s="66">
        <f>+'II-D-1'!S85</f>
        <v>250687.94</v>
      </c>
      <c r="O46" s="66">
        <f>+'II-D-1'!T85</f>
        <v>0</v>
      </c>
      <c r="P46" s="66">
        <f>+'II-D-1'!U85</f>
        <v>250687.94</v>
      </c>
      <c r="Q46" s="66">
        <f>+'II-D-1'!V85</f>
        <v>106713.10999999999</v>
      </c>
      <c r="R46" s="66">
        <f>+'II-D-1'!W85</f>
        <v>235372.03999999911</v>
      </c>
      <c r="S46" s="14">
        <f t="shared" si="2"/>
        <v>592773.08999999915</v>
      </c>
      <c r="T46" s="108" t="b">
        <f t="shared" si="0"/>
        <v>0</v>
      </c>
      <c r="U46" s="316">
        <f t="shared" si="1"/>
        <v>5.8207660913467407E-11</v>
      </c>
    </row>
    <row r="47" spans="1:21" ht="12.75">
      <c r="A47" s="4" t="s">
        <v>332</v>
      </c>
      <c r="B47" s="4" t="s">
        <v>333</v>
      </c>
      <c r="D47" s="66">
        <f>+'II-D-1'!E86</f>
        <v>0</v>
      </c>
      <c r="E47" s="66">
        <f>+'II-D-1'!F86</f>
        <v>0</v>
      </c>
      <c r="F47" s="66">
        <f>+'II-D-1'!G86</f>
        <v>0</v>
      </c>
      <c r="G47" s="66">
        <f>+'II-D-1'!H86</f>
        <v>0</v>
      </c>
      <c r="H47" s="66">
        <f>+'II-D-1'!I86</f>
        <v>0</v>
      </c>
      <c r="I47" s="66">
        <f>+'II-D-1'!J86</f>
        <v>0</v>
      </c>
      <c r="J47" s="66">
        <f>+'II-D-1'!O86</f>
        <v>0</v>
      </c>
      <c r="K47" s="66">
        <f>+'II-D-1'!P86</f>
        <v>0</v>
      </c>
      <c r="L47" s="66">
        <f>+'II-D-1'!Q86</f>
        <v>0</v>
      </c>
      <c r="M47" s="66">
        <f>+'II-D-1'!R86</f>
        <v>0</v>
      </c>
      <c r="N47" s="66">
        <f>+'II-D-1'!S86</f>
        <v>0</v>
      </c>
      <c r="O47" s="66">
        <f>+'II-D-1'!T86</f>
        <v>0</v>
      </c>
      <c r="P47" s="66">
        <f>+'II-D-1'!U86</f>
        <v>0</v>
      </c>
      <c r="Q47" s="66">
        <f>+'II-D-1'!V86</f>
        <v>0</v>
      </c>
      <c r="R47" s="66">
        <f>+'II-D-1'!W86</f>
        <v>0</v>
      </c>
      <c r="S47" s="14">
        <f t="shared" si="2"/>
        <v>0</v>
      </c>
      <c r="T47" s="108" t="b">
        <f t="shared" si="0"/>
        <v>1</v>
      </c>
      <c r="U47" s="316">
        <f t="shared" si="1"/>
        <v>0</v>
      </c>
    </row>
    <row r="48" spans="1:21" ht="12.75">
      <c r="A48" s="4" t="s">
        <v>266</v>
      </c>
      <c r="B48" s="4" t="s">
        <v>334</v>
      </c>
      <c r="D48" s="66">
        <f>+'II-D-1'!E87</f>
        <v>0</v>
      </c>
      <c r="E48" s="66">
        <f>+'II-D-1'!F87</f>
        <v>0</v>
      </c>
      <c r="F48" s="66">
        <f>+'II-D-1'!G87</f>
        <v>0</v>
      </c>
      <c r="G48" s="66">
        <f>+'II-D-1'!H87</f>
        <v>0</v>
      </c>
      <c r="H48" s="66">
        <f>+'II-D-1'!I87</f>
        <v>0</v>
      </c>
      <c r="I48" s="66">
        <f>+'II-D-1'!J87</f>
        <v>0</v>
      </c>
      <c r="J48" s="66">
        <f>+'II-D-1'!O87</f>
        <v>0</v>
      </c>
      <c r="K48" s="66">
        <f>+'II-D-1'!P87</f>
        <v>0</v>
      </c>
      <c r="L48" s="66">
        <f>+'II-D-1'!Q87</f>
        <v>0</v>
      </c>
      <c r="M48" s="66">
        <f>+'II-D-1'!R87</f>
        <v>0</v>
      </c>
      <c r="N48" s="66">
        <f>+'II-D-1'!S87</f>
        <v>0</v>
      </c>
      <c r="O48" s="66">
        <f>+'II-D-1'!T87</f>
        <v>0</v>
      </c>
      <c r="P48" s="66">
        <f>+'II-D-1'!U87</f>
        <v>0</v>
      </c>
      <c r="Q48" s="66">
        <f>+'II-D-1'!V87</f>
        <v>0</v>
      </c>
      <c r="R48" s="66">
        <f>+'II-D-1'!W87</f>
        <v>0</v>
      </c>
      <c r="S48" s="14">
        <f t="shared" si="2"/>
        <v>0</v>
      </c>
      <c r="T48" s="108" t="b">
        <f t="shared" si="0"/>
        <v>1</v>
      </c>
      <c r="U48" s="316">
        <f t="shared" si="1"/>
        <v>0</v>
      </c>
    </row>
    <row r="49" spans="1:21" ht="12.75">
      <c r="A49" s="4" t="s">
        <v>268</v>
      </c>
      <c r="B49" s="60" t="s">
        <v>261</v>
      </c>
      <c r="D49" s="66">
        <f>+'II-D-1'!E93</f>
        <v>0</v>
      </c>
      <c r="E49" s="66">
        <f>+'II-D-1'!F93</f>
        <v>0</v>
      </c>
      <c r="F49" s="66">
        <f>+'II-D-1'!G93</f>
        <v>0</v>
      </c>
      <c r="G49" s="66">
        <f>+'II-D-1'!H93</f>
        <v>0</v>
      </c>
      <c r="H49" s="66">
        <f>+'II-D-1'!I93</f>
        <v>0</v>
      </c>
      <c r="I49" s="66">
        <f>+'II-D-1'!J93</f>
        <v>0</v>
      </c>
      <c r="J49" s="66">
        <f>+'II-D-1'!O93</f>
        <v>0</v>
      </c>
      <c r="K49" s="66">
        <f>+'II-D-1'!P93</f>
        <v>0</v>
      </c>
      <c r="L49" s="66">
        <f>+'II-D-1'!Q93</f>
        <v>0</v>
      </c>
      <c r="M49" s="66">
        <f>+'II-D-1'!R93</f>
        <v>0</v>
      </c>
      <c r="N49" s="66">
        <f>+'II-D-1'!S93</f>
        <v>0</v>
      </c>
      <c r="O49" s="66">
        <f>+'II-D-1'!T93</f>
        <v>0</v>
      </c>
      <c r="P49" s="66">
        <f>+'II-D-1'!U93</f>
        <v>0</v>
      </c>
      <c r="Q49" s="66">
        <f>+'II-D-1'!V93</f>
        <v>0</v>
      </c>
      <c r="R49" s="66">
        <f>+'II-D-1'!W93</f>
        <v>0</v>
      </c>
      <c r="S49" s="14">
        <f t="shared" si="2"/>
        <v>0</v>
      </c>
      <c r="T49" s="108" t="b">
        <f t="shared" si="0"/>
        <v>1</v>
      </c>
      <c r="U49" s="316">
        <f t="shared" si="1"/>
        <v>0</v>
      </c>
    </row>
    <row r="50" spans="1:21" ht="12.75">
      <c r="A50" s="4" t="s">
        <v>287</v>
      </c>
      <c r="B50" s="60" t="s">
        <v>335</v>
      </c>
      <c r="D50" s="66">
        <f>+'II-D-1'!E94</f>
        <v>0</v>
      </c>
      <c r="E50" s="66">
        <f>+'II-D-1'!F94</f>
        <v>0</v>
      </c>
      <c r="F50" s="66">
        <f>+'II-D-1'!G94</f>
        <v>0</v>
      </c>
      <c r="G50" s="66">
        <f>+'II-D-1'!H94</f>
        <v>0</v>
      </c>
      <c r="H50" s="66">
        <f>+'II-D-1'!I94</f>
        <v>0</v>
      </c>
      <c r="I50" s="66">
        <f>+'II-D-1'!J94</f>
        <v>0</v>
      </c>
      <c r="J50" s="66">
        <f>+'II-D-1'!O94</f>
        <v>0</v>
      </c>
      <c r="K50" s="66">
        <f>+'II-D-1'!P94</f>
        <v>0</v>
      </c>
      <c r="L50" s="66">
        <f>+'II-D-1'!Q94</f>
        <v>0</v>
      </c>
      <c r="M50" s="66">
        <f>+'II-D-1'!R94</f>
        <v>0</v>
      </c>
      <c r="N50" s="66">
        <f>+'II-D-1'!S94</f>
        <v>0</v>
      </c>
      <c r="O50" s="66">
        <f>+'II-D-1'!T94</f>
        <v>0</v>
      </c>
      <c r="P50" s="66">
        <f>+'II-D-1'!U94</f>
        <v>0</v>
      </c>
      <c r="Q50" s="66">
        <f>+'II-D-1'!V94</f>
        <v>0</v>
      </c>
      <c r="R50" s="66">
        <f>+'II-D-1'!W94</f>
        <v>0</v>
      </c>
      <c r="S50" s="14">
        <f t="shared" si="2"/>
        <v>0</v>
      </c>
      <c r="T50" s="108" t="b">
        <f t="shared" si="0"/>
        <v>1</v>
      </c>
      <c r="U50" s="316">
        <f t="shared" si="1"/>
        <v>0</v>
      </c>
    </row>
    <row r="51" spans="1:21" ht="12.75">
      <c r="A51" s="4" t="s">
        <v>288</v>
      </c>
      <c r="B51" s="60" t="s">
        <v>336</v>
      </c>
      <c r="D51" s="66">
        <f>+'II-D-1'!E95</f>
        <v>0</v>
      </c>
      <c r="E51" s="66">
        <f>+'II-D-1'!F95</f>
        <v>0</v>
      </c>
      <c r="F51" s="66">
        <f>+'II-D-1'!G95</f>
        <v>0</v>
      </c>
      <c r="G51" s="66">
        <f>+'II-D-1'!H95</f>
        <v>0</v>
      </c>
      <c r="H51" s="66">
        <f>+'II-D-1'!I95</f>
        <v>0</v>
      </c>
      <c r="I51" s="66">
        <f>+'II-D-1'!J95</f>
        <v>0</v>
      </c>
      <c r="J51" s="66">
        <f>+'II-D-1'!O95</f>
        <v>0</v>
      </c>
      <c r="K51" s="66">
        <f>+'II-D-1'!P95</f>
        <v>0</v>
      </c>
      <c r="L51" s="66">
        <f>+'II-D-1'!Q95</f>
        <v>0</v>
      </c>
      <c r="M51" s="66">
        <f>+'II-D-1'!R95</f>
        <v>0</v>
      </c>
      <c r="N51" s="66">
        <f>+'II-D-1'!S95</f>
        <v>0</v>
      </c>
      <c r="O51" s="66">
        <f>+'II-D-1'!T95</f>
        <v>0</v>
      </c>
      <c r="P51" s="66">
        <f>+'II-D-1'!U95</f>
        <v>0</v>
      </c>
      <c r="Q51" s="66">
        <f>+'II-D-1'!V95</f>
        <v>0</v>
      </c>
      <c r="R51" s="66">
        <f>+'II-D-1'!W95</f>
        <v>0</v>
      </c>
      <c r="S51" s="14">
        <f t="shared" si="2"/>
        <v>0</v>
      </c>
      <c r="T51" s="108" t="b">
        <f t="shared" si="0"/>
        <v>1</v>
      </c>
      <c r="U51" s="316">
        <f t="shared" si="1"/>
        <v>0</v>
      </c>
    </row>
    <row r="52" spans="1:21" ht="12.75">
      <c r="A52" s="4" t="s">
        <v>269</v>
      </c>
      <c r="B52" s="60" t="s">
        <v>337</v>
      </c>
      <c r="D52" s="66">
        <f>+'II-D-1'!E96</f>
        <v>0</v>
      </c>
      <c r="E52" s="66">
        <f>+'II-D-1'!F96</f>
        <v>0</v>
      </c>
      <c r="F52" s="66">
        <f>+'II-D-1'!G96</f>
        <v>0</v>
      </c>
      <c r="G52" s="66">
        <f>+'II-D-1'!H96</f>
        <v>0</v>
      </c>
      <c r="H52" s="66">
        <f>+'II-D-1'!I96</f>
        <v>0</v>
      </c>
      <c r="I52" s="66">
        <f>+'II-D-1'!J96</f>
        <v>0</v>
      </c>
      <c r="J52" s="66">
        <f>+'II-D-1'!O96</f>
        <v>0</v>
      </c>
      <c r="K52" s="66">
        <f>+'II-D-1'!P96</f>
        <v>0</v>
      </c>
      <c r="L52" s="66">
        <f>+'II-D-1'!Q96</f>
        <v>0</v>
      </c>
      <c r="M52" s="66">
        <f>+'II-D-1'!R96</f>
        <v>0</v>
      </c>
      <c r="N52" s="66">
        <f>+'II-D-1'!S96</f>
        <v>0</v>
      </c>
      <c r="O52" s="66">
        <f>+'II-D-1'!T96</f>
        <v>0</v>
      </c>
      <c r="P52" s="66">
        <f>+'II-D-1'!U96</f>
        <v>0</v>
      </c>
      <c r="Q52" s="66">
        <f>+'II-D-1'!V96</f>
        <v>0</v>
      </c>
      <c r="R52" s="66">
        <f>+'II-D-1'!W96</f>
        <v>0</v>
      </c>
      <c r="S52" s="14">
        <f t="shared" si="2"/>
        <v>0</v>
      </c>
      <c r="T52" s="108" t="b">
        <f t="shared" si="0"/>
        <v>1</v>
      </c>
      <c r="U52" s="316">
        <f t="shared" si="1"/>
        <v>0</v>
      </c>
    </row>
    <row r="53" spans="1:21" ht="12.75">
      <c r="A53" s="4" t="s">
        <v>289</v>
      </c>
      <c r="B53" s="60" t="s">
        <v>338</v>
      </c>
      <c r="D53" s="66">
        <f>+'II-D-1'!E97</f>
        <v>0</v>
      </c>
      <c r="E53" s="66">
        <f>+'II-D-1'!F97</f>
        <v>0</v>
      </c>
      <c r="F53" s="66">
        <f>+'II-D-1'!G97</f>
        <v>0</v>
      </c>
      <c r="G53" s="66">
        <f>+'II-D-1'!H97</f>
        <v>0</v>
      </c>
      <c r="H53" s="66">
        <f>+'II-D-1'!I97</f>
        <v>0</v>
      </c>
      <c r="I53" s="66">
        <f>+'II-D-1'!J97</f>
        <v>0</v>
      </c>
      <c r="J53" s="66">
        <f>+'II-D-1'!O97</f>
        <v>0</v>
      </c>
      <c r="K53" s="66">
        <f>+'II-D-1'!P97</f>
        <v>0</v>
      </c>
      <c r="L53" s="66">
        <f>+'II-D-1'!Q97</f>
        <v>0</v>
      </c>
      <c r="M53" s="66">
        <f>+'II-D-1'!R97</f>
        <v>0</v>
      </c>
      <c r="N53" s="66">
        <f>+'II-D-1'!S97</f>
        <v>0</v>
      </c>
      <c r="O53" s="66">
        <f>+'II-D-1'!T97</f>
        <v>0</v>
      </c>
      <c r="P53" s="66">
        <f>+'II-D-1'!U97</f>
        <v>0</v>
      </c>
      <c r="Q53" s="66">
        <f>+'II-D-1'!V97</f>
        <v>0</v>
      </c>
      <c r="R53" s="66">
        <f>+'II-D-1'!W97</f>
        <v>0</v>
      </c>
      <c r="S53" s="14">
        <f t="shared" si="2"/>
        <v>0</v>
      </c>
      <c r="T53" s="108" t="b">
        <f t="shared" si="0"/>
        <v>1</v>
      </c>
      <c r="U53" s="316">
        <f t="shared" si="1"/>
        <v>0</v>
      </c>
    </row>
    <row r="54" spans="1:21" ht="12.75">
      <c r="A54" s="4" t="s">
        <v>271</v>
      </c>
      <c r="B54" s="4" t="s">
        <v>339</v>
      </c>
      <c r="D54" s="66">
        <f>+'II-D-2'!E17</f>
        <v>91188633.209999979</v>
      </c>
      <c r="E54" s="66">
        <f>+'II-D-2'!F17</f>
        <v>0</v>
      </c>
      <c r="F54" s="66">
        <f>+'II-D-2'!G17</f>
        <v>0</v>
      </c>
      <c r="G54" s="66">
        <f>+'II-D-2'!H17</f>
        <v>91188633.209999979</v>
      </c>
      <c r="H54" s="66">
        <f>+'II-D-2'!I17</f>
        <v>7669295.5000000009</v>
      </c>
      <c r="I54" s="66">
        <f>+'II-D-2'!J17</f>
        <v>98857928.709999979</v>
      </c>
      <c r="J54" s="66">
        <f>+'II-D-2'!O17</f>
        <v>19675722.82</v>
      </c>
      <c r="K54" s="66">
        <f>+'II-D-2'!P17</f>
        <v>0</v>
      </c>
      <c r="L54" s="66">
        <f>+'II-D-2'!Q17</f>
        <v>0</v>
      </c>
      <c r="M54" s="66">
        <f>+'II-D-2'!R17</f>
        <v>19675722.82</v>
      </c>
      <c r="N54" s="66">
        <f>+'II-D-2'!S17</f>
        <v>48296108.630000003</v>
      </c>
      <c r="O54" s="66">
        <f>+'II-D-2'!T17</f>
        <v>0</v>
      </c>
      <c r="P54" s="66">
        <f>+'II-D-2'!U17</f>
        <v>48296108.630000003</v>
      </c>
      <c r="Q54" s="66">
        <f>+'II-D-2'!V17</f>
        <v>13067186.82</v>
      </c>
      <c r="R54" s="66">
        <f>+'II-D-2'!W17</f>
        <v>17818910.440000001</v>
      </c>
      <c r="S54" s="14">
        <f t="shared" si="2"/>
        <v>98857928.710000008</v>
      </c>
      <c r="T54" s="108" t="b">
        <f t="shared" si="0"/>
        <v>1</v>
      </c>
      <c r="U54" s="316">
        <f t="shared" si="1"/>
        <v>0</v>
      </c>
    </row>
    <row r="55" spans="1:21" ht="12.75">
      <c r="A55" s="4" t="s">
        <v>272</v>
      </c>
      <c r="B55" s="4" t="s">
        <v>340</v>
      </c>
      <c r="D55" s="66">
        <f>+'II-D-2'!E18</f>
        <v>9470759.8500000034</v>
      </c>
      <c r="E55" s="66">
        <f>+'II-D-2'!F18</f>
        <v>0</v>
      </c>
      <c r="F55" s="66">
        <f>+'II-D-2'!G18</f>
        <v>0</v>
      </c>
      <c r="G55" s="66">
        <f>+'II-D-2'!H18</f>
        <v>9470759.8500000034</v>
      </c>
      <c r="H55" s="66">
        <f>+'II-D-2'!I18</f>
        <v>1517185.7499999998</v>
      </c>
      <c r="I55" s="66">
        <f>+'II-D-2'!J18</f>
        <v>10987945.600000003</v>
      </c>
      <c r="J55" s="66">
        <f>+'II-D-2'!O18</f>
        <v>3211627.7599999998</v>
      </c>
      <c r="K55" s="66">
        <f>+'II-D-2'!P18</f>
        <v>5955.4700000000003</v>
      </c>
      <c r="L55" s="66">
        <f>+'II-D-2'!Q18</f>
        <v>0</v>
      </c>
      <c r="M55" s="66">
        <f>+'II-D-2'!R18</f>
        <v>3217583.23</v>
      </c>
      <c r="N55" s="66">
        <f>+'II-D-2'!S18</f>
        <v>4839529.96</v>
      </c>
      <c r="O55" s="66">
        <f>+'II-D-2'!T18</f>
        <v>0</v>
      </c>
      <c r="P55" s="66">
        <f>+'II-D-2'!U18</f>
        <v>4839529.96</v>
      </c>
      <c r="Q55" s="66">
        <f>+'II-D-2'!V18</f>
        <v>1153337.02</v>
      </c>
      <c r="R55" s="66">
        <f>+'II-D-2'!W18</f>
        <v>1777495.3899999999</v>
      </c>
      <c r="S55" s="14">
        <f t="shared" si="2"/>
        <v>10987945.6</v>
      </c>
      <c r="T55" s="108" t="b">
        <f t="shared" si="0"/>
        <v>1</v>
      </c>
      <c r="U55" s="316">
        <f t="shared" si="1"/>
        <v>0</v>
      </c>
    </row>
    <row r="56" spans="1:21" ht="12.75">
      <c r="A56" s="4" t="s">
        <v>273</v>
      </c>
      <c r="B56" s="4" t="s">
        <v>341</v>
      </c>
      <c r="D56" s="66">
        <f>+'II-D-2'!E19</f>
        <v>0</v>
      </c>
      <c r="E56" s="66">
        <f>+'II-D-2'!F19</f>
        <v>0</v>
      </c>
      <c r="F56" s="66">
        <f>+'II-D-2'!G19</f>
        <v>0</v>
      </c>
      <c r="G56" s="66">
        <f>+'II-D-2'!H19</f>
        <v>0</v>
      </c>
      <c r="H56" s="66">
        <f>+'II-D-2'!I19</f>
        <v>0</v>
      </c>
      <c r="I56" s="66">
        <f>+'II-D-2'!J19</f>
        <v>0</v>
      </c>
      <c r="J56" s="66">
        <f>+'II-D-2'!O19</f>
        <v>0</v>
      </c>
      <c r="K56" s="66">
        <f>+'II-D-2'!P19</f>
        <v>0</v>
      </c>
      <c r="L56" s="66">
        <f>+'II-D-2'!Q19</f>
        <v>0</v>
      </c>
      <c r="M56" s="66">
        <f>+'II-D-2'!R19</f>
        <v>0</v>
      </c>
      <c r="N56" s="66">
        <f>+'II-D-2'!S19</f>
        <v>0</v>
      </c>
      <c r="O56" s="66">
        <f>+'II-D-2'!T19</f>
        <v>0</v>
      </c>
      <c r="P56" s="66">
        <f>+'II-D-2'!U19</f>
        <v>0</v>
      </c>
      <c r="Q56" s="66">
        <f>+'II-D-2'!V19</f>
        <v>0</v>
      </c>
      <c r="R56" s="66">
        <f>+'II-D-2'!W19</f>
        <v>0</v>
      </c>
      <c r="S56" s="14">
        <f t="shared" si="2"/>
        <v>0</v>
      </c>
      <c r="T56" s="108" t="b">
        <f t="shared" si="0"/>
        <v>1</v>
      </c>
      <c r="U56" s="316">
        <f t="shared" si="1"/>
        <v>0</v>
      </c>
    </row>
    <row r="57" spans="1:21" ht="12.75">
      <c r="A57" s="4" t="s">
        <v>274</v>
      </c>
      <c r="B57" s="23" t="s">
        <v>342</v>
      </c>
      <c r="D57" s="66">
        <f>+'II-D-2'!E20</f>
        <v>125515578.48999997</v>
      </c>
      <c r="E57" s="66">
        <f>+'II-D-2'!F20</f>
        <v>0</v>
      </c>
      <c r="F57" s="66">
        <f>+'II-D-2'!G20</f>
        <v>0</v>
      </c>
      <c r="G57" s="66">
        <f>+'II-D-2'!H20</f>
        <v>125515578.48999997</v>
      </c>
      <c r="H57" s="66">
        <f>+'II-D-2'!I20</f>
        <v>-1668204.75</v>
      </c>
      <c r="I57" s="66">
        <f>+'II-D-2'!J20</f>
        <v>123847373.73999997</v>
      </c>
      <c r="J57" s="66">
        <f>+'II-D-2'!O20</f>
        <v>33564392.259999998</v>
      </c>
      <c r="K57" s="66">
        <f>+'II-D-2'!P20</f>
        <v>1845476.53</v>
      </c>
      <c r="L57" s="66">
        <f>+'II-D-2'!Q20</f>
        <v>0</v>
      </c>
      <c r="M57" s="66">
        <f>+'II-D-2'!R20</f>
        <v>35409868.789999999</v>
      </c>
      <c r="N57" s="66">
        <f>+'II-D-2'!S20</f>
        <v>67560500.079999998</v>
      </c>
      <c r="O57" s="66">
        <f>+'II-D-2'!T20</f>
        <v>0</v>
      </c>
      <c r="P57" s="66">
        <f>+'II-D-2'!U20</f>
        <v>67560500.079999998</v>
      </c>
      <c r="Q57" s="66">
        <f>+'II-D-2'!V20</f>
        <v>16915520.880000003</v>
      </c>
      <c r="R57" s="66">
        <f>+'II-D-2'!W20</f>
        <v>3961483.9900000002</v>
      </c>
      <c r="S57" s="14">
        <f t="shared" si="2"/>
        <v>123847373.74</v>
      </c>
      <c r="T57" s="108" t="b">
        <f t="shared" si="0"/>
        <v>1</v>
      </c>
      <c r="U57" s="316">
        <f t="shared" si="1"/>
        <v>0</v>
      </c>
    </row>
    <row r="58" spans="1:21" ht="12.75">
      <c r="A58" s="4" t="s">
        <v>275</v>
      </c>
      <c r="B58" s="4" t="s">
        <v>343</v>
      </c>
      <c r="D58" s="66">
        <f>+'II-D-2'!E21</f>
        <v>113681193.60000001</v>
      </c>
      <c r="E58" s="66">
        <f>+'II-D-2'!F21</f>
        <v>0</v>
      </c>
      <c r="F58" s="66">
        <f>+'II-D-2'!G21</f>
        <v>0</v>
      </c>
      <c r="G58" s="66">
        <f>+'II-D-2'!H21</f>
        <v>113681193.60000001</v>
      </c>
      <c r="H58" s="66">
        <f>+'II-D-2'!I21</f>
        <v>128179224.734</v>
      </c>
      <c r="I58" s="66">
        <f>+'II-D-2'!J21</f>
        <v>241860418.33399999</v>
      </c>
      <c r="J58" s="66">
        <f>+'II-D-2'!O21</f>
        <v>13760287.02</v>
      </c>
      <c r="K58" s="66">
        <f>+'II-D-2'!P21</f>
        <v>1343714.8999999999</v>
      </c>
      <c r="L58" s="66">
        <f>+'II-D-2'!Q21</f>
        <v>0</v>
      </c>
      <c r="M58" s="66">
        <f>+'II-D-2'!R21</f>
        <v>15104001.92</v>
      </c>
      <c r="N58" s="66">
        <f>+'II-D-2'!S21</f>
        <v>226756416.41</v>
      </c>
      <c r="O58" s="66">
        <f>+'II-D-2'!T21</f>
        <v>0</v>
      </c>
      <c r="P58" s="66">
        <f>+'II-D-2'!U21</f>
        <v>226756416.41</v>
      </c>
      <c r="Q58" s="66">
        <f>+'II-D-2'!V21</f>
        <v>0</v>
      </c>
      <c r="R58" s="66">
        <f>+'II-D-2'!W21</f>
        <v>0</v>
      </c>
      <c r="S58" s="14">
        <f t="shared" si="2"/>
        <v>241860418.32999998</v>
      </c>
      <c r="T58" s="108" t="b">
        <f t="shared" si="0"/>
        <v>0</v>
      </c>
      <c r="U58" s="316">
        <f t="shared" si="1"/>
        <v>0</v>
      </c>
    </row>
    <row r="59" spans="1:21" ht="12.75">
      <c r="A59" s="4" t="s">
        <v>276</v>
      </c>
      <c r="B59" s="4" t="s">
        <v>160</v>
      </c>
      <c r="D59" s="66">
        <f>+'II-D-2'!E22</f>
        <v>24016894.579999994</v>
      </c>
      <c r="E59" s="66">
        <f>+'II-D-2'!F22</f>
        <v>0</v>
      </c>
      <c r="F59" s="66">
        <f>+'II-D-2'!G22</f>
        <v>0</v>
      </c>
      <c r="G59" s="66">
        <f>+'II-D-2'!H22</f>
        <v>24016894.579999994</v>
      </c>
      <c r="H59" s="66">
        <f>+'II-D-2'!I22</f>
        <v>-2670003.4199999999</v>
      </c>
      <c r="I59" s="66">
        <f>+'II-D-2'!J22</f>
        <v>21346891.159999996</v>
      </c>
      <c r="J59" s="66">
        <f>+'II-D-2'!O22</f>
        <v>5231223.8799999999</v>
      </c>
      <c r="K59" s="66">
        <f>+'II-D-2'!P22</f>
        <v>0</v>
      </c>
      <c r="L59" s="66">
        <f>+'II-D-2'!Q22</f>
        <v>0</v>
      </c>
      <c r="M59" s="66">
        <f>+'II-D-2'!R22</f>
        <v>5231223.8799999999</v>
      </c>
      <c r="N59" s="66">
        <f>+'II-D-2'!S22</f>
        <v>16115667.280000001</v>
      </c>
      <c r="O59" s="66">
        <f>+'II-D-2'!T22</f>
        <v>0</v>
      </c>
      <c r="P59" s="66">
        <f>+'II-D-2'!U22</f>
        <v>16115667.280000001</v>
      </c>
      <c r="Q59" s="66">
        <f>+'II-D-2'!V22</f>
        <v>0</v>
      </c>
      <c r="R59" s="66">
        <f>+'II-D-2'!W22</f>
        <v>0</v>
      </c>
      <c r="S59" s="14">
        <f t="shared" si="2"/>
        <v>21346891.16</v>
      </c>
      <c r="T59" s="108" t="b">
        <f t="shared" si="0"/>
        <v>1</v>
      </c>
      <c r="U59" s="316">
        <f t="shared" si="1"/>
        <v>0</v>
      </c>
    </row>
    <row r="60" spans="1:21" ht="12.75">
      <c r="A60" s="4" t="s">
        <v>277</v>
      </c>
      <c r="B60" s="4" t="s">
        <v>28</v>
      </c>
      <c r="D60" s="66">
        <f>+'II-D-2'!E23</f>
        <v>151516132.0099999</v>
      </c>
      <c r="E60" s="66">
        <f>+'II-D-2'!F23</f>
        <v>0</v>
      </c>
      <c r="F60" s="66">
        <f>+'II-D-2'!G23</f>
        <v>0</v>
      </c>
      <c r="G60" s="66">
        <f>+'II-D-2'!H23</f>
        <v>151516132.0099999</v>
      </c>
      <c r="H60" s="66">
        <f>+'II-D-2'!I23</f>
        <v>-48090682.109999999</v>
      </c>
      <c r="I60" s="66">
        <f>+'II-D-2'!J23</f>
        <v>103425449.8999999</v>
      </c>
      <c r="J60" s="66">
        <f>+'II-D-2'!O23</f>
        <v>32862761.619999997</v>
      </c>
      <c r="K60" s="66">
        <f>+'II-D-2'!P23</f>
        <v>0</v>
      </c>
      <c r="L60" s="66">
        <f>+'II-D-2'!Q23</f>
        <v>0</v>
      </c>
      <c r="M60" s="66">
        <f>+'II-D-2'!R23</f>
        <v>32862761.619999997</v>
      </c>
      <c r="N60" s="66">
        <f>+'II-D-2'!S23</f>
        <v>45802180.63000001</v>
      </c>
      <c r="O60" s="66">
        <f>+'II-D-2'!T23</f>
        <v>0</v>
      </c>
      <c r="P60" s="66">
        <f>+'II-D-2'!U23</f>
        <v>45802180.63000001</v>
      </c>
      <c r="Q60" s="66">
        <f>+'II-D-2'!V23</f>
        <v>16815082.920000002</v>
      </c>
      <c r="R60" s="66">
        <f>+'II-D-2'!W23</f>
        <v>7945424.7299999995</v>
      </c>
      <c r="S60" s="14">
        <f t="shared" si="2"/>
        <v>103425449.90000001</v>
      </c>
      <c r="T60" s="108" t="b">
        <f t="shared" si="0"/>
        <v>1</v>
      </c>
      <c r="U60" s="316">
        <f t="shared" si="1"/>
        <v>0</v>
      </c>
    </row>
    <row r="61" spans="1:21" ht="12.75">
      <c r="A61" s="4" t="s">
        <v>278</v>
      </c>
      <c r="B61" s="4" t="s">
        <v>127</v>
      </c>
      <c r="D61" s="66">
        <f>+'II-D-2'!E24</f>
        <v>258446.56</v>
      </c>
      <c r="E61" s="66">
        <f>+'II-D-2'!F24</f>
        <v>0</v>
      </c>
      <c r="F61" s="66">
        <f>+'II-D-2'!G24</f>
        <v>0</v>
      </c>
      <c r="G61" s="66">
        <f>+'II-D-2'!H24</f>
        <v>258446.56</v>
      </c>
      <c r="H61" s="66">
        <f>+'II-D-2'!I24</f>
        <v>2540226.71</v>
      </c>
      <c r="I61" s="66">
        <f>+'II-D-2'!J24</f>
        <v>2798673.27</v>
      </c>
      <c r="J61" s="66">
        <f>+'II-D-2'!O24</f>
        <v>0</v>
      </c>
      <c r="K61" s="66">
        <f>+'II-D-2'!P24</f>
        <v>376621.12</v>
      </c>
      <c r="L61" s="66">
        <f>+'II-D-2'!Q24</f>
        <v>0</v>
      </c>
      <c r="M61" s="66">
        <f>+'II-D-2'!R24</f>
        <v>376621.12</v>
      </c>
      <c r="N61" s="66">
        <f>+'II-D-2'!S24</f>
        <v>2262087.8500000001</v>
      </c>
      <c r="O61" s="66">
        <f>+'II-D-2'!T24</f>
        <v>143948.35999999999</v>
      </c>
      <c r="P61" s="66">
        <f>+'II-D-2'!U24</f>
        <v>2406036.21</v>
      </c>
      <c r="Q61" s="66">
        <f>+'II-D-2'!V24</f>
        <v>16015.940000000002</v>
      </c>
      <c r="R61" s="66">
        <f>+'II-D-2'!W24</f>
        <v>0</v>
      </c>
      <c r="S61" s="14">
        <f t="shared" si="2"/>
        <v>2798673.27</v>
      </c>
      <c r="T61" s="108" t="b">
        <f t="shared" si="0"/>
        <v>1</v>
      </c>
      <c r="U61" s="316">
        <f t="shared" si="1"/>
        <v>0</v>
      </c>
    </row>
    <row r="62" spans="1:21" ht="12.75">
      <c r="A62" s="30" t="s">
        <v>291</v>
      </c>
      <c r="B62" s="4" t="s">
        <v>29</v>
      </c>
      <c r="D62" s="66">
        <f>+'II-D-2'!E25</f>
        <v>151079.01000000001</v>
      </c>
      <c r="E62" s="66">
        <f>+'II-D-2'!F25</f>
        <v>0</v>
      </c>
      <c r="F62" s="66">
        <f>+'II-D-2'!G25</f>
        <v>0</v>
      </c>
      <c r="G62" s="66">
        <f>+'II-D-2'!H25</f>
        <v>151079.01000000001</v>
      </c>
      <c r="H62" s="66">
        <f>+'II-D-2'!I25</f>
        <v>0</v>
      </c>
      <c r="I62" s="66">
        <f>+'II-D-2'!J25</f>
        <v>151079.01000000001</v>
      </c>
      <c r="J62" s="66">
        <f>+'II-D-2'!O25</f>
        <v>0</v>
      </c>
      <c r="K62" s="66">
        <f>+'II-D-2'!P25</f>
        <v>0</v>
      </c>
      <c r="L62" s="66">
        <f>+'II-D-2'!Q25</f>
        <v>0</v>
      </c>
      <c r="M62" s="66">
        <f>+'II-D-2'!R25</f>
        <v>0</v>
      </c>
      <c r="N62" s="66">
        <f>+'II-D-2'!S25</f>
        <v>0</v>
      </c>
      <c r="O62" s="66">
        <f>+'II-D-2'!T25</f>
        <v>0</v>
      </c>
      <c r="P62" s="66">
        <f>+'II-D-2'!U25</f>
        <v>0</v>
      </c>
      <c r="Q62" s="66">
        <f>+'II-D-2'!V25</f>
        <v>0</v>
      </c>
      <c r="R62" s="66">
        <f>+'II-D-2'!W25</f>
        <v>151079.01000000001</v>
      </c>
      <c r="S62" s="14">
        <f t="shared" si="2"/>
        <v>151079.01000000001</v>
      </c>
      <c r="T62" s="108" t="b">
        <f t="shared" si="0"/>
        <v>1</v>
      </c>
      <c r="U62" s="316">
        <f t="shared" si="1"/>
        <v>0</v>
      </c>
    </row>
    <row r="63" spans="1:21" ht="12.75">
      <c r="A63" s="30" t="s">
        <v>290</v>
      </c>
      <c r="B63" s="4" t="s">
        <v>153</v>
      </c>
      <c r="D63" s="66">
        <f>+'II-D-2'!E26</f>
        <v>17609656</v>
      </c>
      <c r="E63" s="66">
        <f>+'II-D-2'!F26</f>
        <v>0</v>
      </c>
      <c r="F63" s="66">
        <f>+'II-D-2'!G26</f>
        <v>0</v>
      </c>
      <c r="G63" s="66">
        <f>+'II-D-2'!H26</f>
        <v>17609656</v>
      </c>
      <c r="H63" s="66">
        <f>+'II-D-2'!I26</f>
        <v>-484569.70000000001</v>
      </c>
      <c r="I63" s="66">
        <f>+'II-D-2'!J26</f>
        <v>17125086.300000001</v>
      </c>
      <c r="J63" s="66">
        <f>+'II-D-2'!O26</f>
        <v>2027705.2600000002</v>
      </c>
      <c r="K63" s="66">
        <f>+'II-D-2'!P26</f>
        <v>0.37</v>
      </c>
      <c r="L63" s="66">
        <f>+'II-D-2'!Q26</f>
        <v>0</v>
      </c>
      <c r="M63" s="66">
        <f>+'II-D-2'!R26</f>
        <v>2027705.6300000004</v>
      </c>
      <c r="N63" s="66">
        <f>+'II-D-2'!S26</f>
        <v>8232754.9400000004</v>
      </c>
      <c r="O63" s="66">
        <f>+'II-D-2'!T26</f>
        <v>0</v>
      </c>
      <c r="P63" s="66">
        <f>+'II-D-2'!U26</f>
        <v>8232754.9400000004</v>
      </c>
      <c r="Q63" s="66">
        <f>+'II-D-2'!V26</f>
        <v>1946608.24</v>
      </c>
      <c r="R63" s="66">
        <f>+'II-D-2'!W26</f>
        <v>4918017.4900000002</v>
      </c>
      <c r="S63" s="14">
        <f t="shared" si="2"/>
        <v>17125086.300000001</v>
      </c>
      <c r="T63" s="108" t="b">
        <f t="shared" si="0"/>
        <v>1</v>
      </c>
      <c r="U63" s="316">
        <f t="shared" si="1"/>
        <v>0</v>
      </c>
    </row>
    <row r="64" spans="1:21" ht="12.75">
      <c r="A64" s="4" t="s">
        <v>279</v>
      </c>
      <c r="B64" s="4" t="s">
        <v>228</v>
      </c>
      <c r="D64" s="66">
        <f>+'II-D-2'!E27</f>
        <v>2142408.9100000001</v>
      </c>
      <c r="E64" s="66">
        <f>+'II-D-2'!F27</f>
        <v>0</v>
      </c>
      <c r="F64" s="66">
        <f>+'II-D-2'!G27</f>
        <v>0</v>
      </c>
      <c r="G64" s="66">
        <f>+'II-D-2'!H27</f>
        <v>2142408.9100000001</v>
      </c>
      <c r="H64" s="66">
        <f>+'II-D-2'!I27</f>
        <v>-487503.51000000001</v>
      </c>
      <c r="I64" s="66">
        <f>+'II-D-2'!J27</f>
        <v>1654905.4000000001</v>
      </c>
      <c r="J64" s="66">
        <f>+'II-D-2'!O27</f>
        <v>287609.45999999996</v>
      </c>
      <c r="K64" s="66">
        <f>+'II-D-2'!P27</f>
        <v>21.75</v>
      </c>
      <c r="L64" s="66">
        <f>+'II-D-2'!Q27</f>
        <v>0</v>
      </c>
      <c r="M64" s="66">
        <f>+'II-D-2'!R27</f>
        <v>287631.20999999996</v>
      </c>
      <c r="N64" s="66">
        <f>+'II-D-2'!S27</f>
        <v>1026551.72</v>
      </c>
      <c r="O64" s="66">
        <f>+'II-D-2'!T27</f>
        <v>0</v>
      </c>
      <c r="P64" s="66">
        <f>+'II-D-2'!U27</f>
        <v>1026551.72</v>
      </c>
      <c r="Q64" s="66">
        <f>+'II-D-2'!V27</f>
        <v>211823.87</v>
      </c>
      <c r="R64" s="66">
        <f>+'II-D-2'!W27</f>
        <v>128898.60000000001</v>
      </c>
      <c r="S64" s="14">
        <f t="shared" si="2"/>
        <v>1654905.3999999999</v>
      </c>
      <c r="T64" s="108" t="b">
        <f t="shared" si="0"/>
        <v>1</v>
      </c>
      <c r="U64" s="316">
        <f t="shared" si="1"/>
        <v>0</v>
      </c>
    </row>
    <row r="65" spans="1:21" ht="12.75">
      <c r="A65" s="4" t="s">
        <v>280</v>
      </c>
      <c r="B65" s="4" t="s">
        <v>154</v>
      </c>
      <c r="D65" s="66">
        <f>+'II-D-2'!E29</f>
        <v>3541040.2799999989</v>
      </c>
      <c r="E65" s="66">
        <f>+'II-D-2'!F29</f>
        <v>0</v>
      </c>
      <c r="F65" s="66">
        <f>+'II-D-2'!G29</f>
        <v>0</v>
      </c>
      <c r="G65" s="66">
        <f>+'II-D-2'!H29</f>
        <v>3541040.2799999989</v>
      </c>
      <c r="H65" s="66">
        <f>+'II-D-2'!I29</f>
        <v>73150.75</v>
      </c>
      <c r="I65" s="66">
        <f>+'II-D-2'!J29</f>
        <v>3614191.0299999989</v>
      </c>
      <c r="J65" s="66">
        <f>+'II-D-2'!O29</f>
        <v>1301075.96</v>
      </c>
      <c r="K65" s="66">
        <f>+'II-D-2'!P29</f>
        <v>58370.209999999999</v>
      </c>
      <c r="L65" s="66">
        <f>+'II-D-2'!Q29</f>
        <v>0</v>
      </c>
      <c r="M65" s="66">
        <f>+'II-D-2'!R29</f>
        <v>1359446.1699999999</v>
      </c>
      <c r="N65" s="66">
        <f>+'II-D-2'!S29</f>
        <v>2244966.6100000003</v>
      </c>
      <c r="O65" s="66">
        <f>+'II-D-2'!T29</f>
        <v>0</v>
      </c>
      <c r="P65" s="66">
        <f>+'II-D-2'!U29</f>
        <v>2244966.6100000003</v>
      </c>
      <c r="Q65" s="66">
        <f>+'II-D-2'!V29</f>
        <v>9773.869999999999</v>
      </c>
      <c r="R65" s="66">
        <f>+'II-D-2'!W29</f>
        <v>4.3799999999999999</v>
      </c>
      <c r="S65" s="14">
        <f t="shared" si="2"/>
        <v>3614191.0300000003</v>
      </c>
      <c r="T65" s="108" t="b">
        <f t="shared" si="0"/>
        <v>1</v>
      </c>
      <c r="U65" s="316">
        <f t="shared" si="1"/>
        <v>0</v>
      </c>
    </row>
    <row r="66" spans="1:21" s="178" customFormat="1" ht="12.75">
      <c r="A66" s="177" t="s">
        <v>26</v>
      </c>
      <c r="B66" s="177" t="s">
        <v>154</v>
      </c>
      <c r="D66" s="179">
        <f>+'II-D-2'!E28</f>
        <v>-9752.3499999999949</v>
      </c>
      <c r="E66" s="179">
        <f>+'II-D-2'!F28</f>
        <v>0</v>
      </c>
      <c r="F66" s="179">
        <f>+'II-D-2'!G28</f>
        <v>0</v>
      </c>
      <c r="G66" s="179">
        <f>+'II-D-2'!H28</f>
        <v>-9752.3499999999949</v>
      </c>
      <c r="H66" s="179">
        <f>+'II-D-2'!I28</f>
        <v>376.91000000000002</v>
      </c>
      <c r="I66" s="179">
        <f>+'II-D-2'!J28</f>
        <v>-9375.4399999999951</v>
      </c>
      <c r="J66" s="179">
        <f>+'II-D-2'!O28</f>
        <v>513.30999999999995</v>
      </c>
      <c r="K66" s="179">
        <f>+'II-D-2'!P28</f>
        <v>0</v>
      </c>
      <c r="L66" s="179">
        <f>+'II-D-2'!Q28</f>
        <v>0</v>
      </c>
      <c r="M66" s="179">
        <f>+'II-D-2'!R28</f>
        <v>513.30999999999995</v>
      </c>
      <c r="N66" s="179">
        <f>+'II-D-2'!S28</f>
        <v>-10312.530000000001</v>
      </c>
      <c r="O66" s="179">
        <f>+'II-D-2'!T28</f>
        <v>0</v>
      </c>
      <c r="P66" s="179">
        <f>+'II-D-2'!U28</f>
        <v>-10312.530000000001</v>
      </c>
      <c r="Q66" s="179">
        <f>+'II-D-2'!V28</f>
        <v>409.06</v>
      </c>
      <c r="R66" s="179">
        <f>+'II-D-2'!W28</f>
        <v>14.720000000000001</v>
      </c>
      <c r="S66" s="180">
        <f t="shared" si="2"/>
        <v>-9375.4400000000023</v>
      </c>
      <c r="T66" s="108" t="b">
        <f t="shared" si="0"/>
        <v>1</v>
      </c>
      <c r="U66" s="316">
        <f t="shared" si="1"/>
        <v>0</v>
      </c>
    </row>
    <row r="67" spans="1:19" ht="18">
      <c r="A67" s="355" t="s">
        <v>309</v>
      </c>
      <c r="B67" s="355"/>
      <c r="C67" s="355"/>
      <c r="D67" s="355"/>
      <c r="E67" s="355"/>
      <c r="F67" s="355"/>
      <c r="G67" s="355"/>
      <c r="H67" s="355"/>
      <c r="I67" s="355"/>
      <c r="J67" s="355"/>
      <c r="K67" s="355"/>
      <c r="L67" s="355"/>
      <c r="M67" s="355"/>
      <c r="N67" s="355"/>
      <c r="O67" s="355"/>
      <c r="P67" s="355"/>
      <c r="Q67" s="355"/>
      <c r="R67" s="355"/>
      <c r="S67" s="355"/>
    </row>
    <row r="68" spans="20:25" ht="12.75">
      <c r="T68" s="106" t="s">
        <v>202</v>
      </c>
      <c r="U68" s="106"/>
      <c r="V68" s="106"/>
      <c r="W68" s="106"/>
      <c r="X68" s="106"/>
      <c r="Y68" s="106"/>
    </row>
    <row r="69" spans="2:21" ht="12.75">
      <c r="B69" s="5" t="s">
        <v>310</v>
      </c>
      <c r="D69" s="108">
        <f t="shared" si="3" ref="D69:J69">SUM(D6:D13)</f>
        <v>1603538870.7600002</v>
      </c>
      <c r="E69" s="108">
        <f t="shared" si="3"/>
        <v>0</v>
      </c>
      <c r="F69" s="108">
        <f t="shared" si="3"/>
        <v>0</v>
      </c>
      <c r="G69" s="108">
        <f t="shared" si="3"/>
        <v>1603538870.7600002</v>
      </c>
      <c r="H69" s="108">
        <f t="shared" si="3"/>
        <v>143524563.88999999</v>
      </c>
      <c r="I69" s="108">
        <f t="shared" si="3"/>
        <v>1747063434.6499999</v>
      </c>
      <c r="J69" s="108">
        <f t="shared" si="3"/>
        <v>87191796.329999998</v>
      </c>
      <c r="K69" s="108">
        <f t="shared" si="4" ref="K69:O69">SUM(K6:K13)</f>
        <v>6104023.6900000004</v>
      </c>
      <c r="L69" s="108">
        <f t="shared" si="4"/>
        <v>400489.90000000002</v>
      </c>
      <c r="M69" s="108">
        <f t="shared" si="4"/>
        <v>93696309.920000002</v>
      </c>
      <c r="N69" s="108">
        <f t="shared" si="4"/>
        <v>1653362993.2199998</v>
      </c>
      <c r="O69" s="108">
        <f t="shared" si="4"/>
        <v>2202.02</v>
      </c>
      <c r="P69" s="108">
        <f t="shared" si="5" ref="P69:R69">SUM(P6:P13)</f>
        <v>1653365195.24</v>
      </c>
      <c r="Q69" s="108">
        <f t="shared" si="5"/>
        <v>1929.49</v>
      </c>
      <c r="R69" s="108">
        <f t="shared" si="5"/>
        <v>0</v>
      </c>
      <c r="S69" s="108">
        <f>+M69+P69+Q69+R69</f>
        <v>1747063434.6500001</v>
      </c>
      <c r="T69" s="108" t="b">
        <f>+S69=I69</f>
        <v>1</v>
      </c>
      <c r="U69" s="316">
        <f>+S69-R69-Q69-P69-M69</f>
        <v>0</v>
      </c>
    </row>
    <row r="70" spans="2:21" ht="12.75">
      <c r="B70" s="5" t="s">
        <v>194</v>
      </c>
      <c r="D70" s="108">
        <f t="shared" si="6" ref="D70:J70">SUM(D14:D19)</f>
        <v>32125860.569999997</v>
      </c>
      <c r="E70" s="108">
        <f t="shared" si="6"/>
        <v>0</v>
      </c>
      <c r="F70" s="108">
        <f t="shared" si="6"/>
        <v>0</v>
      </c>
      <c r="G70" s="108">
        <f t="shared" si="6"/>
        <v>32125860.569999997</v>
      </c>
      <c r="H70" s="108">
        <f t="shared" si="6"/>
        <v>1415322.5600000001</v>
      </c>
      <c r="I70" s="108">
        <f t="shared" si="6"/>
        <v>33541183.129999995</v>
      </c>
      <c r="J70" s="108">
        <f t="shared" si="6"/>
        <v>31194222.210000001</v>
      </c>
      <c r="K70" s="108">
        <f t="shared" si="7" ref="K70:O70">SUM(K14:K19)</f>
        <v>2028363.8299999998</v>
      </c>
      <c r="L70" s="108">
        <f t="shared" si="7"/>
        <v>0</v>
      </c>
      <c r="M70" s="108">
        <f t="shared" si="7"/>
        <v>33222586.040000003</v>
      </c>
      <c r="N70" s="108">
        <f t="shared" si="7"/>
        <v>304788.46000000002</v>
      </c>
      <c r="O70" s="108">
        <f t="shared" si="7"/>
        <v>13516.91</v>
      </c>
      <c r="P70" s="108">
        <f t="shared" si="8" ref="P70:R70">SUM(P14:P19)</f>
        <v>318305.37</v>
      </c>
      <c r="Q70" s="108">
        <f t="shared" si="8"/>
        <v>291.72000000000003</v>
      </c>
      <c r="R70" s="108">
        <f t="shared" si="8"/>
        <v>0</v>
      </c>
      <c r="S70" s="108">
        <f t="shared" si="9" ref="S70:S80">+M70+P70+Q70+R70</f>
        <v>33541183.130000003</v>
      </c>
      <c r="T70" s="108" t="b">
        <f t="shared" si="10" ref="T70:T80">+S70=I70</f>
        <v>1</v>
      </c>
      <c r="U70" s="316">
        <f t="shared" si="11" ref="U70:U80">+S70-R70-Q70-P70-M70</f>
        <v>0</v>
      </c>
    </row>
    <row r="71" spans="2:21" ht="12.75">
      <c r="B71" s="5" t="s">
        <v>195</v>
      </c>
      <c r="D71" s="108">
        <f>SUM(D69:D70)</f>
        <v>1635664731.3300002</v>
      </c>
      <c r="E71" s="108">
        <f t="shared" si="12" ref="E71:R71">SUM(E69:E70)</f>
        <v>0</v>
      </c>
      <c r="F71" s="108">
        <f t="shared" si="12"/>
        <v>0</v>
      </c>
      <c r="G71" s="108">
        <f t="shared" si="12"/>
        <v>1635664731.3300002</v>
      </c>
      <c r="H71" s="108">
        <f t="shared" si="12"/>
        <v>144939886.44999999</v>
      </c>
      <c r="I71" s="108">
        <f t="shared" si="12"/>
        <v>1780604617.7799997</v>
      </c>
      <c r="J71" s="108">
        <f t="shared" si="12"/>
        <v>118386018.53999999</v>
      </c>
      <c r="K71" s="108">
        <f t="shared" si="12"/>
        <v>8132387.5200000005</v>
      </c>
      <c r="L71" s="108">
        <f t="shared" si="12"/>
        <v>400489.90000000002</v>
      </c>
      <c r="M71" s="108">
        <f t="shared" si="12"/>
        <v>126918895.96000001</v>
      </c>
      <c r="N71" s="108">
        <f t="shared" si="12"/>
        <v>1653667781.6799998</v>
      </c>
      <c r="O71" s="108">
        <f t="shared" si="12"/>
        <v>15718.93</v>
      </c>
      <c r="P71" s="108">
        <f t="shared" si="12"/>
        <v>1653683500.6099999</v>
      </c>
      <c r="Q71" s="108">
        <f t="shared" si="12"/>
        <v>2221.21</v>
      </c>
      <c r="R71" s="108">
        <f t="shared" si="12"/>
        <v>0</v>
      </c>
      <c r="S71" s="108">
        <f t="shared" si="9"/>
        <v>1780604617.78</v>
      </c>
      <c r="T71" s="108" t="b">
        <f t="shared" si="10"/>
        <v>1</v>
      </c>
      <c r="U71" s="316">
        <f t="shared" si="11"/>
        <v>0</v>
      </c>
    </row>
    <row r="72" spans="2:21" ht="12.75">
      <c r="B72" s="5" t="s">
        <v>197</v>
      </c>
      <c r="D72" s="108">
        <f t="shared" si="13" ref="D72:J72">SUM(D20:D29)</f>
        <v>137133462.14999989</v>
      </c>
      <c r="E72" s="108">
        <f t="shared" si="13"/>
        <v>0</v>
      </c>
      <c r="F72" s="108">
        <f t="shared" si="13"/>
        <v>0</v>
      </c>
      <c r="G72" s="108">
        <f t="shared" si="13"/>
        <v>137133462.14999989</v>
      </c>
      <c r="H72" s="108">
        <f t="shared" si="13"/>
        <v>43813263.490000002</v>
      </c>
      <c r="I72" s="108">
        <f t="shared" si="13"/>
        <v>180946725.63999993</v>
      </c>
      <c r="J72" s="108">
        <f t="shared" si="13"/>
        <v>407935.95000000001</v>
      </c>
      <c r="K72" s="108">
        <f t="shared" si="14" ref="K72:O72">SUM(K20:K29)</f>
        <v>0</v>
      </c>
      <c r="L72" s="108">
        <f t="shared" si="14"/>
        <v>0</v>
      </c>
      <c r="M72" s="108">
        <f t="shared" si="14"/>
        <v>407935.95000000001</v>
      </c>
      <c r="N72" s="108">
        <f t="shared" si="14"/>
        <v>147493742.89000002</v>
      </c>
      <c r="O72" s="108">
        <f t="shared" si="14"/>
        <v>108513.69</v>
      </c>
      <c r="P72" s="108">
        <f t="shared" si="15" ref="P72:R72">SUM(P20:P29)</f>
        <v>147602256.58000001</v>
      </c>
      <c r="Q72" s="108">
        <f t="shared" si="15"/>
        <v>32593382.380000003</v>
      </c>
      <c r="R72" s="108">
        <f t="shared" si="15"/>
        <v>343150.72999999998</v>
      </c>
      <c r="S72" s="108">
        <f t="shared" si="9"/>
        <v>180946725.63999999</v>
      </c>
      <c r="T72" s="108" t="b">
        <f t="shared" si="10"/>
        <v>1</v>
      </c>
      <c r="U72" s="316">
        <f t="shared" si="11"/>
        <v>-1.1932570487260819E-08</v>
      </c>
    </row>
    <row r="73" spans="2:21" ht="12.75">
      <c r="B73" s="5" t="s">
        <v>198</v>
      </c>
      <c r="D73" s="108">
        <f t="shared" si="16" ref="D73:J73">SUM(D30:D38)</f>
        <v>180630511.45999998</v>
      </c>
      <c r="E73" s="108">
        <f t="shared" si="16"/>
        <v>0</v>
      </c>
      <c r="F73" s="108">
        <f t="shared" si="16"/>
        <v>0</v>
      </c>
      <c r="G73" s="108">
        <f t="shared" si="16"/>
        <v>180630511.45999998</v>
      </c>
      <c r="H73" s="108">
        <f t="shared" si="16"/>
        <v>4204143.8999999994</v>
      </c>
      <c r="I73" s="108">
        <f t="shared" si="16"/>
        <v>184834655.36000001</v>
      </c>
      <c r="J73" s="108">
        <f t="shared" si="16"/>
        <v>423568.03000000009</v>
      </c>
      <c r="K73" s="108">
        <f t="shared" si="17" ref="K73:O73">SUM(K30:K38)</f>
        <v>2519.4800000000005</v>
      </c>
      <c r="L73" s="108">
        <f t="shared" si="17"/>
        <v>0</v>
      </c>
      <c r="M73" s="108">
        <f t="shared" si="17"/>
        <v>426087.51000000001</v>
      </c>
      <c r="N73" s="108">
        <f t="shared" si="17"/>
        <v>166463602.30000001</v>
      </c>
      <c r="O73" s="108">
        <f t="shared" si="17"/>
        <v>305333.50999999995</v>
      </c>
      <c r="P73" s="108">
        <f t="shared" si="18" ref="P73:R73">SUM(P30:P38)</f>
        <v>166768935.81000003</v>
      </c>
      <c r="Q73" s="108">
        <f t="shared" si="18"/>
        <v>17639632.039999999</v>
      </c>
      <c r="R73" s="108">
        <f t="shared" si="18"/>
        <v>0</v>
      </c>
      <c r="S73" s="108">
        <f t="shared" si="9"/>
        <v>184834655.36000001</v>
      </c>
      <c r="T73" s="108" t="b">
        <f t="shared" si="10"/>
        <v>1</v>
      </c>
      <c r="U73" s="316">
        <f t="shared" si="11"/>
        <v>-9.5460563898086548E-09</v>
      </c>
    </row>
    <row r="74" spans="2:21" ht="12.75">
      <c r="B74" s="5" t="s">
        <v>199</v>
      </c>
      <c r="D74" s="108">
        <f>SUM(D72:D73)</f>
        <v>317763973.6099999</v>
      </c>
      <c r="E74" s="108">
        <f t="shared" si="19" ref="E74:R74">SUM(E72:E73)</f>
        <v>0</v>
      </c>
      <c r="F74" s="108">
        <f t="shared" si="19"/>
        <v>0</v>
      </c>
      <c r="G74" s="108">
        <f t="shared" si="19"/>
        <v>317763973.6099999</v>
      </c>
      <c r="H74" s="108">
        <f t="shared" si="19"/>
        <v>48017407.390000001</v>
      </c>
      <c r="I74" s="108">
        <f t="shared" si="19"/>
        <v>365781380.99999994</v>
      </c>
      <c r="J74" s="108">
        <f t="shared" si="19"/>
        <v>831503.9800000001</v>
      </c>
      <c r="K74" s="108">
        <f t="shared" si="19"/>
        <v>2519.4800000000005</v>
      </c>
      <c r="L74" s="108">
        <f t="shared" si="19"/>
        <v>0</v>
      </c>
      <c r="M74" s="108">
        <f t="shared" si="19"/>
        <v>834023.45999999996</v>
      </c>
      <c r="N74" s="108">
        <f t="shared" si="19"/>
        <v>313957345.19000006</v>
      </c>
      <c r="O74" s="108">
        <f t="shared" si="19"/>
        <v>413847.19999999995</v>
      </c>
      <c r="P74" s="108">
        <f t="shared" si="19"/>
        <v>314371192.39000005</v>
      </c>
      <c r="Q74" s="108">
        <f t="shared" si="19"/>
        <v>50233014.420000002</v>
      </c>
      <c r="R74" s="108">
        <f t="shared" si="19"/>
        <v>343150.72999999998</v>
      </c>
      <c r="S74" s="108">
        <f t="shared" si="9"/>
        <v>365781381.00000006</v>
      </c>
      <c r="T74" s="108" t="b">
        <f t="shared" si="10"/>
        <v>1</v>
      </c>
      <c r="U74" s="316">
        <f t="shared" si="11"/>
        <v>-2.1420419216156006E-08</v>
      </c>
    </row>
    <row r="75" spans="2:21" ht="12.75">
      <c r="B75" s="5" t="s">
        <v>258</v>
      </c>
      <c r="D75" s="108">
        <f>SUM(D39:D43)</f>
        <v>20437951.819999997</v>
      </c>
      <c r="E75" s="108">
        <f t="shared" si="20" ref="E75:R75">SUM(E39:E43)</f>
        <v>0</v>
      </c>
      <c r="F75" s="108">
        <f t="shared" si="20"/>
        <v>0</v>
      </c>
      <c r="G75" s="108">
        <f t="shared" si="20"/>
        <v>20437951.819999997</v>
      </c>
      <c r="H75" s="108">
        <f t="shared" si="20"/>
        <v>1211052.49</v>
      </c>
      <c r="I75" s="108">
        <f t="shared" si="20"/>
        <v>21649004.309999995</v>
      </c>
      <c r="J75" s="108">
        <f t="shared" si="20"/>
        <v>87420.859999999986</v>
      </c>
      <c r="K75" s="108">
        <f t="shared" si="20"/>
        <v>0</v>
      </c>
      <c r="L75" s="108">
        <f t="shared" si="20"/>
        <v>0</v>
      </c>
      <c r="M75" s="108">
        <f t="shared" si="20"/>
        <v>87420.859999999986</v>
      </c>
      <c r="N75" s="108">
        <f t="shared" si="20"/>
        <v>-5382.409999999998</v>
      </c>
      <c r="O75" s="108">
        <f t="shared" si="20"/>
        <v>0</v>
      </c>
      <c r="P75" s="108">
        <f t="shared" si="20"/>
        <v>-5382.409999999998</v>
      </c>
      <c r="Q75" s="108">
        <f t="shared" si="20"/>
        <v>8693009.4200000018</v>
      </c>
      <c r="R75" s="108">
        <f t="shared" si="20"/>
        <v>12873956.44</v>
      </c>
      <c r="S75" s="108">
        <f t="shared" si="9"/>
        <v>21649004.310000002</v>
      </c>
      <c r="T75" s="108" t="b">
        <f t="shared" si="10"/>
        <v>1</v>
      </c>
      <c r="U75" s="316">
        <f t="shared" si="11"/>
        <v>1.1350493878126144E-09</v>
      </c>
    </row>
    <row r="76" spans="2:21" ht="12.75">
      <c r="B76" s="5" t="s">
        <v>362</v>
      </c>
      <c r="D76" s="108">
        <f>SUM(D44:D48)</f>
        <v>47254964.93</v>
      </c>
      <c r="E76" s="108">
        <f t="shared" si="21" ref="E76:R76">SUM(E44:E48)</f>
        <v>0</v>
      </c>
      <c r="F76" s="108">
        <f t="shared" si="21"/>
        <v>0</v>
      </c>
      <c r="G76" s="108">
        <f t="shared" si="21"/>
        <v>47254964.93</v>
      </c>
      <c r="H76" s="108">
        <f t="shared" si="21"/>
        <v>-46662191.839999996</v>
      </c>
      <c r="I76" s="108">
        <f t="shared" si="21"/>
        <v>592773.09000000358</v>
      </c>
      <c r="J76" s="108">
        <f t="shared" si="21"/>
        <v>0</v>
      </c>
      <c r="K76" s="108">
        <f t="shared" si="21"/>
        <v>0</v>
      </c>
      <c r="L76" s="108">
        <f t="shared" si="21"/>
        <v>0</v>
      </c>
      <c r="M76" s="108">
        <f t="shared" si="21"/>
        <v>0</v>
      </c>
      <c r="N76" s="108">
        <f t="shared" si="21"/>
        <v>250687.94</v>
      </c>
      <c r="O76" s="108">
        <f t="shared" si="21"/>
        <v>0</v>
      </c>
      <c r="P76" s="108">
        <f t="shared" si="21"/>
        <v>250687.94</v>
      </c>
      <c r="Q76" s="108">
        <f t="shared" si="21"/>
        <v>106713.10999999999</v>
      </c>
      <c r="R76" s="108">
        <f t="shared" si="21"/>
        <v>235372.03999999911</v>
      </c>
      <c r="S76" s="108">
        <f t="shared" si="9"/>
        <v>592773.08999999915</v>
      </c>
      <c r="T76" s="108" t="b">
        <f t="shared" si="10"/>
        <v>0</v>
      </c>
      <c r="U76" s="316">
        <f t="shared" si="11"/>
        <v>5.8207660913467407E-11</v>
      </c>
    </row>
    <row r="77" spans="2:21" ht="12.75">
      <c r="B77" s="5" t="s">
        <v>338</v>
      </c>
      <c r="D77" s="108">
        <f>SUM(D49:D53)</f>
        <v>0</v>
      </c>
      <c r="E77" s="108">
        <f t="shared" si="22" ref="E77:R77">SUM(E49:E53)</f>
        <v>0</v>
      </c>
      <c r="F77" s="108">
        <f t="shared" si="22"/>
        <v>0</v>
      </c>
      <c r="G77" s="108">
        <f t="shared" si="22"/>
        <v>0</v>
      </c>
      <c r="H77" s="108">
        <f t="shared" si="22"/>
        <v>0</v>
      </c>
      <c r="I77" s="108">
        <f t="shared" si="22"/>
        <v>0</v>
      </c>
      <c r="J77" s="108">
        <f t="shared" si="22"/>
        <v>0</v>
      </c>
      <c r="K77" s="108">
        <f t="shared" si="22"/>
        <v>0</v>
      </c>
      <c r="L77" s="108">
        <f t="shared" si="22"/>
        <v>0</v>
      </c>
      <c r="M77" s="108">
        <f t="shared" si="22"/>
        <v>0</v>
      </c>
      <c r="N77" s="108">
        <f t="shared" si="22"/>
        <v>0</v>
      </c>
      <c r="O77" s="108">
        <f t="shared" si="22"/>
        <v>0</v>
      </c>
      <c r="P77" s="108">
        <f t="shared" si="22"/>
        <v>0</v>
      </c>
      <c r="Q77" s="108">
        <f t="shared" si="22"/>
        <v>0</v>
      </c>
      <c r="R77" s="108">
        <f t="shared" si="22"/>
        <v>0</v>
      </c>
      <c r="S77" s="108">
        <f t="shared" si="9"/>
        <v>0</v>
      </c>
      <c r="T77" s="108" t="b">
        <f t="shared" si="10"/>
        <v>1</v>
      </c>
      <c r="U77" s="316">
        <f t="shared" si="11"/>
        <v>0</v>
      </c>
    </row>
    <row r="78" spans="2:21" ht="12.75">
      <c r="B78" s="5" t="s">
        <v>200</v>
      </c>
      <c r="D78" s="108">
        <f t="shared" si="23" ref="D78:R78">SUM(D54:D66)</f>
        <v>539082070.14999986</v>
      </c>
      <c r="E78" s="108">
        <f t="shared" si="23"/>
        <v>0</v>
      </c>
      <c r="F78" s="108">
        <f t="shared" si="23"/>
        <v>0</v>
      </c>
      <c r="G78" s="108">
        <f t="shared" si="23"/>
        <v>539082070.14999986</v>
      </c>
      <c r="H78" s="108">
        <f t="shared" si="23"/>
        <v>86578496.863999978</v>
      </c>
      <c r="I78" s="108">
        <f t="shared" si="23"/>
        <v>625660567.01399958</v>
      </c>
      <c r="J78" s="108">
        <f t="shared" si="23"/>
        <v>111922919.34999998</v>
      </c>
      <c r="K78" s="108">
        <f t="shared" si="23"/>
        <v>3630160.3500000001</v>
      </c>
      <c r="L78" s="108">
        <f t="shared" si="23"/>
        <v>0</v>
      </c>
      <c r="M78" s="108">
        <f t="shared" si="23"/>
        <v>115553079.69999999</v>
      </c>
      <c r="N78" s="108">
        <f t="shared" si="23"/>
        <v>423126451.5800001</v>
      </c>
      <c r="O78" s="108">
        <f t="shared" si="23"/>
        <v>143948.35999999999</v>
      </c>
      <c r="P78" s="108">
        <f t="shared" si="23"/>
        <v>423270399.94000006</v>
      </c>
      <c r="Q78" s="108">
        <f t="shared" si="23"/>
        <v>50135758.619999997</v>
      </c>
      <c r="R78" s="108">
        <f t="shared" si="23"/>
        <v>36701328.750000007</v>
      </c>
      <c r="S78" s="108">
        <f t="shared" si="9"/>
        <v>625660567.01000011</v>
      </c>
      <c r="T78" s="108" t="b">
        <f t="shared" si="10"/>
        <v>0</v>
      </c>
      <c r="U78" s="316">
        <f t="shared" si="11"/>
        <v>0</v>
      </c>
    </row>
    <row r="79" spans="2:21" ht="12.75">
      <c r="B79" s="5" t="s">
        <v>201</v>
      </c>
      <c r="D79" s="108">
        <f t="shared" si="24" ref="D79:J79">+D78+D77+D76+D75+D74+D71</f>
        <v>2560203691.8400002</v>
      </c>
      <c r="E79" s="108">
        <f t="shared" si="24"/>
        <v>0</v>
      </c>
      <c r="F79" s="108">
        <f t="shared" si="24"/>
        <v>0</v>
      </c>
      <c r="G79" s="108">
        <f t="shared" si="24"/>
        <v>2560203691.8400002</v>
      </c>
      <c r="H79" s="108">
        <f t="shared" si="24"/>
        <v>234084651.35399997</v>
      </c>
      <c r="I79" s="108">
        <f t="shared" si="24"/>
        <v>2794288343.1939993</v>
      </c>
      <c r="J79" s="108">
        <f t="shared" si="24"/>
        <v>231227862.72999996</v>
      </c>
      <c r="K79" s="108">
        <f t="shared" si="25" ref="K79:O79">+K78+K77+K76+K75+K74+K71</f>
        <v>11765067.350000002</v>
      </c>
      <c r="L79" s="108">
        <f t="shared" si="25"/>
        <v>400489.90000000002</v>
      </c>
      <c r="M79" s="108">
        <f t="shared" si="25"/>
        <v>243393419.97999999</v>
      </c>
      <c r="N79" s="108">
        <f t="shared" si="25"/>
        <v>2390996883.98</v>
      </c>
      <c r="O79" s="108">
        <f t="shared" si="25"/>
        <v>573514.48999999999</v>
      </c>
      <c r="P79" s="108">
        <f t="shared" si="26" ref="P79:R79">+P78+P77+P76+P75+P74+P71</f>
        <v>2391570398.4700003</v>
      </c>
      <c r="Q79" s="108">
        <f t="shared" si="26"/>
        <v>109170716.77999999</v>
      </c>
      <c r="R79" s="108">
        <f t="shared" si="26"/>
        <v>50153807.960000001</v>
      </c>
      <c r="S79" s="108">
        <f t="shared" si="9"/>
        <v>2794288343.1900005</v>
      </c>
      <c r="T79" s="108" t="b">
        <f t="shared" si="10"/>
        <v>0</v>
      </c>
      <c r="U79" s="316">
        <f t="shared" si="11"/>
        <v>0</v>
      </c>
    </row>
    <row r="80" spans="2:21" ht="12.75">
      <c r="B80" s="8" t="s">
        <v>190</v>
      </c>
      <c r="D80" s="66">
        <f>+'II-D-3'!E121</f>
        <v>280856647.51999998</v>
      </c>
      <c r="E80" s="66">
        <f>+'II-D-3'!F121</f>
        <v>0</v>
      </c>
      <c r="F80" s="66">
        <f>+'II-D-3'!G121</f>
        <v>0</v>
      </c>
      <c r="G80" s="66">
        <f>+'II-D-3'!H121</f>
        <v>280856647.51999998</v>
      </c>
      <c r="H80" s="66">
        <f>+'II-D-3'!I121</f>
        <v>18923037.479999997</v>
      </c>
      <c r="I80" s="66">
        <f>+'II-D-3'!J121</f>
        <v>299779685</v>
      </c>
      <c r="J80" s="66">
        <f>+'II-D-3'!O121</f>
        <v>64966318.359999999</v>
      </c>
      <c r="K80" s="66">
        <f>+'II-D-3'!P121</f>
        <v>0</v>
      </c>
      <c r="L80" s="66">
        <f>+'II-D-3'!Q121</f>
        <v>0</v>
      </c>
      <c r="M80" s="66">
        <f>+'II-D-3'!R121</f>
        <v>64966318.359999999</v>
      </c>
      <c r="N80" s="66">
        <f>+'II-D-3'!S121</f>
        <v>171590795.55000001</v>
      </c>
      <c r="O80" s="66">
        <f>+'II-D-3'!T121</f>
        <v>0</v>
      </c>
      <c r="P80" s="66">
        <f>+'II-D-3'!U121</f>
        <v>171590795.55000001</v>
      </c>
      <c r="Q80" s="66">
        <f>+'II-D-3'!V121</f>
        <v>44152741.849999994</v>
      </c>
      <c r="R80" s="66">
        <f>+'II-D-3'!W121</f>
        <v>19069829.240000002</v>
      </c>
      <c r="S80" s="108">
        <f t="shared" si="9"/>
        <v>299779685</v>
      </c>
      <c r="T80" s="108" t="b">
        <f t="shared" si="10"/>
        <v>1</v>
      </c>
      <c r="U80" s="316">
        <f t="shared" si="11"/>
        <v>0</v>
      </c>
    </row>
    <row r="82" spans="2:8" ht="12.75">
      <c r="B82" s="8"/>
      <c r="H82" s="66"/>
    </row>
    <row r="84" spans="2:20" ht="12.75">
      <c r="B84" s="85" t="s">
        <v>208</v>
      </c>
      <c r="D84" s="66">
        <f>+'II-D-2.5'!E42</f>
        <v>3540139.5999999996</v>
      </c>
      <c r="E84" s="66">
        <f>+'II-D-2.5'!F42</f>
        <v>0</v>
      </c>
      <c r="F84" s="66">
        <f>+'II-D-2.5'!G42</f>
        <v>0</v>
      </c>
      <c r="G84" s="66">
        <f>+'II-D-2.5'!H42</f>
        <v>3540139.5999999996</v>
      </c>
      <c r="H84" s="66">
        <f>+'II-D-2.5'!I42</f>
        <v>821210.52000000002</v>
      </c>
      <c r="I84" s="66">
        <f>+'II-D-2.5'!J42</f>
        <v>4361350.1200000001</v>
      </c>
      <c r="J84" s="66">
        <f>+'II-D-2.5'!O42</f>
        <v>42237.43</v>
      </c>
      <c r="K84" s="66">
        <f>+'II-D-2.5'!P42</f>
        <v>0</v>
      </c>
      <c r="L84" s="66">
        <f>+'II-D-2.5'!Q42</f>
        <v>0</v>
      </c>
      <c r="M84" s="66">
        <f>+'II-D-2.5'!R42</f>
        <v>42237.43</v>
      </c>
      <c r="N84" s="66">
        <f>+'II-D-2.5'!S42</f>
        <v>66699.540000000008</v>
      </c>
      <c r="O84" s="66">
        <f>+'II-D-2.5'!T42</f>
        <v>0</v>
      </c>
      <c r="P84" s="66">
        <f>+'II-D-2.5'!U42</f>
        <v>66699.540000000008</v>
      </c>
      <c r="Q84" s="66">
        <f>+'II-D-2.5'!V42</f>
        <v>16723.529999999999</v>
      </c>
      <c r="R84" s="66">
        <f>+'II-D-2.5'!W42</f>
        <v>4235689.6200000001</v>
      </c>
      <c r="S84" s="108">
        <f t="shared" si="27" ref="S84">+M84+P84+Q84+R84</f>
        <v>4361350.1200000001</v>
      </c>
      <c r="T84" s="108" t="b">
        <f>ROUND(+S84,2)=ROUND(I84,2)</f>
        <v>1</v>
      </c>
    </row>
  </sheetData>
  <mergeCells count="2">
    <mergeCell ref="A5:S5"/>
    <mergeCell ref="A67:S67"/>
  </mergeCells>
  <pageMargins left="0.75" right="0.75" top="1" bottom="1" header="0.5" footer="0.5"/>
  <pageSetup orientation="portrait" r:id="rId1"/>
  <headerFooter alignWithMargins="0">
    <oddHeader>&amp;C&amp;B
Transmission Expense</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2">
    <tabColor rgb="FFFF0000"/>
  </sheetPr>
  <dimension ref="A1:Z110"/>
  <sheetViews>
    <sheetView tabSelected="1" workbookViewId="0" topLeftCell="A1">
      <pane xSplit="3" ySplit="16" topLeftCell="D17" activePane="bottomRight" state="frozen"/>
      <selection pane="topLeft" activeCell="O94" sqref="O94:W97"/>
      <selection pane="bottomLeft" activeCell="O94" sqref="O94:W97"/>
      <selection pane="topRight" activeCell="O94" sqref="O94:W97"/>
      <selection pane="bottomRight" activeCell="D17" sqref="D17"/>
    </sheetView>
  </sheetViews>
  <sheetFormatPr defaultColWidth="9.14428571428571" defaultRowHeight="12.75" customHeight="1"/>
  <cols>
    <col min="1" max="1" width="5.71428571428571" style="31" customWidth="1"/>
    <col min="2" max="2" width="8.71428571428571" style="33" customWidth="1"/>
    <col min="3" max="3" width="52.8571428571429" style="33" bestFit="1" customWidth="1"/>
    <col min="4" max="4" width="10.5714285714286" style="33" customWidth="1"/>
    <col min="5" max="5" width="15.2857142857143" style="33" bestFit="1" customWidth="1"/>
    <col min="6" max="6" width="14.4285714285714" style="33" bestFit="1" customWidth="1"/>
    <col min="7" max="7" width="17.5714285714286" style="33" customWidth="1"/>
    <col min="8" max="8" width="15.2857142857143" style="33" bestFit="1" customWidth="1"/>
    <col min="9" max="9" width="16" style="33" bestFit="1" customWidth="1"/>
    <col min="10" max="10" width="15.2857142857143" style="33" bestFit="1" customWidth="1"/>
    <col min="11" max="11" width="10.8571428571429" style="33" customWidth="1"/>
    <col min="12" max="12" width="15.2857142857143" style="37" bestFit="1" customWidth="1"/>
    <col min="13" max="13" width="4.71428571428571" style="33" customWidth="1"/>
    <col min="14" max="14" width="9.71428571428571" style="37" customWidth="1"/>
    <col min="15" max="15" width="13.7142857142857" style="33" bestFit="1" customWidth="1"/>
    <col min="16" max="17" width="12.5714285714286" style="33" customWidth="1"/>
    <col min="18" max="18" width="13.7142857142857" style="33" bestFit="1" customWidth="1"/>
    <col min="19" max="19" width="15.2857142857143" style="33" bestFit="1" customWidth="1"/>
    <col min="20" max="21" width="15.2857142857143" style="33" customWidth="1"/>
    <col min="22" max="22" width="12.5714285714286" style="33" bestFit="1" customWidth="1"/>
    <col min="23" max="23" width="12.5714285714286" style="33" customWidth="1"/>
    <col min="24" max="24" width="15.2857142857143" style="33" bestFit="1" customWidth="1"/>
    <col min="25" max="25" width="9.14285714285714" style="33"/>
    <col min="26" max="26" width="6.71428571428571" style="33" bestFit="1" customWidth="1"/>
    <col min="27" max="16384" width="9.14285714285714" style="33"/>
  </cols>
  <sheetData>
    <row r="1" spans="1:1" ht="12.75" customHeight="1">
      <c r="A1" s="35" t="str">
        <f>+'[3]Input Data'!$A$9</f>
        <v>2022 RATE CASE</v>
      </c>
    </row>
    <row r="2" spans="1:24"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ht="12.75">
      <c r="A3" s="7" t="str">
        <f>CONCATENATE('[3]Schedule Sponsors'!$A$51,'[3]Schedule Sponsors'!$B$51)</f>
        <v>II-D-1  O&amp;&amp;M EXPENSES</v>
      </c>
      <c r="B3" s="4"/>
      <c r="D3" s="31"/>
      <c r="E3" s="31"/>
      <c r="F3" s="31"/>
      <c r="G3" s="34"/>
      <c r="H3" s="31"/>
      <c r="I3" s="31"/>
      <c r="J3" s="31"/>
      <c r="K3" s="31"/>
      <c r="L3" s="32"/>
      <c r="M3" s="31"/>
      <c r="N3" s="32"/>
      <c r="O3" s="28"/>
      <c r="P3" s="28"/>
      <c r="Q3" s="28"/>
      <c r="R3" s="28"/>
      <c r="S3" s="31"/>
      <c r="T3" s="31"/>
      <c r="U3" s="31"/>
      <c r="V3" s="31"/>
      <c r="W3" s="31"/>
      <c r="X3" s="31"/>
    </row>
    <row r="4" spans="1:24"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ht="12.75">
      <c r="A5" s="7" t="str">
        <f>CONCATENATE("SPONSOR: ",'[3]Schedule Sponsors'!$D$51)</f>
        <v>SPONSOR: W. ALAN LEDBETTER</v>
      </c>
      <c r="B5" s="4"/>
      <c r="D5" s="31"/>
      <c r="E5" s="31"/>
      <c r="F5" s="31"/>
      <c r="G5" s="31"/>
      <c r="H5" s="31"/>
      <c r="I5" s="31"/>
      <c r="J5" s="31"/>
      <c r="K5" s="31"/>
      <c r="L5" s="32"/>
      <c r="M5" s="31"/>
      <c r="N5" s="32"/>
      <c r="O5" s="31"/>
      <c r="P5" s="31"/>
      <c r="Q5" s="31"/>
      <c r="R5" s="31"/>
      <c r="S5" s="31"/>
      <c r="T5" s="31"/>
      <c r="U5" s="31"/>
      <c r="V5" s="31"/>
      <c r="W5" s="31"/>
      <c r="X5" s="31"/>
    </row>
    <row r="6" spans="2:24" ht="12.75">
      <c r="B6" s="4"/>
      <c r="D6" s="31"/>
      <c r="E6" s="31"/>
      <c r="F6" s="31"/>
      <c r="G6" s="31"/>
      <c r="H6" s="31"/>
      <c r="I6" s="31"/>
      <c r="J6" s="31"/>
      <c r="K6" s="31"/>
      <c r="L6" s="32"/>
      <c r="M6" s="31"/>
      <c r="N6" s="32"/>
      <c r="O6" s="31"/>
      <c r="P6" s="31"/>
      <c r="Q6" s="31"/>
      <c r="R6" s="31"/>
      <c r="S6" s="31"/>
      <c r="T6" s="31"/>
      <c r="U6" s="31"/>
      <c r="V6" s="31"/>
      <c r="W6" s="31"/>
      <c r="X6" s="31"/>
    </row>
    <row r="7" spans="2:24" ht="12.75">
      <c r="B7" s="4"/>
      <c r="D7" s="31"/>
      <c r="E7" s="31"/>
      <c r="F7" s="31"/>
      <c r="G7" s="31"/>
      <c r="H7" s="31"/>
      <c r="I7" s="31"/>
      <c r="J7" s="31"/>
      <c r="K7" s="31"/>
      <c r="L7" s="32"/>
      <c r="M7" s="31"/>
      <c r="N7" s="32"/>
      <c r="O7" s="31"/>
      <c r="P7" s="31"/>
      <c r="Q7" s="31"/>
      <c r="R7" s="31"/>
      <c r="S7" s="31"/>
      <c r="T7" s="31"/>
      <c r="U7" s="31"/>
      <c r="V7" s="31"/>
      <c r="W7" s="31"/>
      <c r="X7" s="31"/>
    </row>
    <row r="8" spans="2:24" ht="12.75">
      <c r="B8" s="35"/>
      <c r="C8" s="31"/>
      <c r="D8" s="31"/>
      <c r="E8" s="31"/>
      <c r="F8" s="31"/>
      <c r="G8" s="31"/>
      <c r="H8" s="31"/>
      <c r="I8" s="31"/>
      <c r="J8" s="31"/>
      <c r="K8" s="31"/>
      <c r="L8" s="32"/>
      <c r="M8" s="31"/>
      <c r="N8" s="32"/>
      <c r="O8" s="31"/>
      <c r="P8" s="31"/>
      <c r="Q8" s="31"/>
      <c r="R8" s="31"/>
      <c r="S8" s="31"/>
      <c r="T8" s="31"/>
      <c r="U8" s="31"/>
      <c r="V8" s="31"/>
      <c r="W8" s="31"/>
      <c r="X8" s="31"/>
    </row>
    <row r="9" spans="2:24" ht="13.5" thickBot="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1:24" s="31" customFormat="1" ht="12.75" customHeight="1">
      <c r="A14" s="38"/>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5" customHeight="1">
      <c r="A15" s="16">
        <v>1</v>
      </c>
      <c r="B15" s="8" t="s">
        <v>230</v>
      </c>
      <c r="D15" s="18"/>
      <c r="E15" s="19"/>
      <c r="F15" s="19"/>
      <c r="G15" s="19"/>
      <c r="H15" s="19"/>
      <c r="I15" s="19"/>
      <c r="J15" s="19"/>
      <c r="K15" s="19"/>
      <c r="L15" s="19"/>
      <c r="M15" s="18"/>
      <c r="N15" s="18"/>
      <c r="O15" s="19"/>
      <c r="P15" s="19"/>
      <c r="Q15" s="19"/>
      <c r="R15" s="19"/>
      <c r="S15" s="19"/>
      <c r="T15" s="19"/>
      <c r="U15" s="19"/>
      <c r="V15" s="19"/>
      <c r="W15" s="19"/>
    </row>
    <row r="16" spans="1:23" s="8" customFormat="1" ht="15" customHeight="1">
      <c r="A16" s="16">
        <v>2</v>
      </c>
      <c r="C16" s="15" t="s">
        <v>227</v>
      </c>
      <c r="D16" s="18" t="s">
        <v>41</v>
      </c>
      <c r="E16" s="19"/>
      <c r="F16" s="19"/>
      <c r="G16" s="19"/>
      <c r="H16" s="19"/>
      <c r="I16" s="19"/>
      <c r="J16" s="19"/>
      <c r="K16" s="19"/>
      <c r="L16" s="19"/>
      <c r="M16" s="58"/>
      <c r="N16" s="18"/>
      <c r="O16" s="19"/>
      <c r="P16" s="19"/>
      <c r="Q16" s="19"/>
      <c r="R16" s="19"/>
      <c r="S16" s="19"/>
      <c r="T16" s="19"/>
      <c r="U16" s="19"/>
      <c r="V16" s="19"/>
      <c r="W16" s="19"/>
    </row>
    <row r="17" spans="1:26" s="4" customFormat="1" ht="15" customHeight="1">
      <c r="A17" s="16">
        <v>3</v>
      </c>
      <c r="B17" s="4" t="s">
        <v>231</v>
      </c>
      <c r="C17" s="4" t="s">
        <v>373</v>
      </c>
      <c r="D17" s="16"/>
      <c r="E17" s="156">
        <v>4425485.6200000001</v>
      </c>
      <c r="F17" s="156">
        <f>ROUND('II-D-1.1'!Q16,2)</f>
        <v>0</v>
      </c>
      <c r="G17" s="156">
        <f>ROUND('II-D-1.1'!R16,2)</f>
        <v>0</v>
      </c>
      <c r="H17" s="156">
        <f>+E17-F17-G17</f>
        <v>4425485.6200000001</v>
      </c>
      <c r="I17" s="156">
        <f>+'II-D-1.1'!T16</f>
        <v>-39381.440000000002</v>
      </c>
      <c r="J17" s="156">
        <f t="shared" si="0" ref="J17:J24">+H17+I17</f>
        <v>4386104.1799999997</v>
      </c>
      <c r="K17" s="159">
        <v>1</v>
      </c>
      <c r="L17" s="156">
        <f>+J17*K17</f>
        <v>4386104.1799999997</v>
      </c>
      <c r="M17" s="16"/>
      <c r="N17" s="16"/>
      <c r="O17" s="156">
        <f>ROUND('[1]Total Summary'!C2,2)+ROUND('[2]Total Summary'!D3,2)</f>
        <v>4144079.9399999999</v>
      </c>
      <c r="P17" s="156">
        <f>ROUND('[1]Total Summary'!D2,2)+ROUND('[2]Total Summary'!E3,2)</f>
        <v>193190.04000000001</v>
      </c>
      <c r="Q17" s="156">
        <f>ROUND('[1]Total Summary'!E2,2)+ROUND('[2]Total Summary'!F3,2)</f>
        <v>0</v>
      </c>
      <c r="R17" s="156">
        <f>SUM(O17:Q17)</f>
        <v>4337269.9799999995</v>
      </c>
      <c r="S17" s="156">
        <f>ROUND('[1]Total Summary'!G2,2)+ROUND('[2]Total Summary'!H3,2)</f>
        <v>46904.709999999999</v>
      </c>
      <c r="T17" s="156">
        <f>ROUND('[1]Total Summary'!H2,2)+ROUND('[2]Total Summary'!I3,2)</f>
        <v>0</v>
      </c>
      <c r="U17" s="156">
        <f>SUM(S17:T17)</f>
        <v>46904.709999999999</v>
      </c>
      <c r="V17" s="156">
        <f>ROUND('[1]Total Summary'!J2,2)+ROUND('[2]Total Summary'!K3,2)</f>
        <v>1929.49</v>
      </c>
      <c r="W17" s="156">
        <f>ROUND('[1]Total Summary'!K2,2)+ROUND('[2]Total Summary'!L3,2)</f>
        <v>0</v>
      </c>
      <c r="X17" s="156">
        <f>+R17+U17+V17+W17</f>
        <v>4386104.1799999997</v>
      </c>
      <c r="Y17" s="4" t="b">
        <f>ROUND(+X17,2)=ROUND(L17,2)</f>
        <v>1</v>
      </c>
      <c r="Z17" s="111">
        <f>ROUND(+L17,2)-ROUND(X17,2)</f>
        <v>0</v>
      </c>
    </row>
    <row r="18" spans="1:26" s="4" customFormat="1" ht="15" customHeight="1">
      <c r="A18" s="16">
        <v>4</v>
      </c>
      <c r="B18" s="4" t="s">
        <v>232</v>
      </c>
      <c r="C18" s="4" t="s">
        <v>292</v>
      </c>
      <c r="D18" s="16"/>
      <c r="E18" s="13">
        <v>20127444.139999997</v>
      </c>
      <c r="F18" s="13">
        <f>ROUND('II-D-1.1'!Q17,2)</f>
        <v>0</v>
      </c>
      <c r="G18" s="13">
        <f>ROUND('II-D-1.1'!R17,2)</f>
        <v>0</v>
      </c>
      <c r="H18" s="13">
        <f t="shared" si="1" ref="H18:H24">+E18-F18-G18</f>
        <v>20127444.139999997</v>
      </c>
      <c r="I18" s="13">
        <f>+'II-D-1.1'!T17</f>
        <v>528389.55000000005</v>
      </c>
      <c r="J18" s="13">
        <f t="shared" si="0"/>
        <v>20655833.689999998</v>
      </c>
      <c r="K18" s="159">
        <v>1</v>
      </c>
      <c r="L18" s="13">
        <f t="shared" si="2" ref="L18:L24">+J18*K18</f>
        <v>20655833.689999998</v>
      </c>
      <c r="M18" s="16"/>
      <c r="N18" s="16"/>
      <c r="O18" s="13">
        <f>ROUND('[1]Total Summary'!C3,2)+ROUND('[2]Total Summary'!D4,2)</f>
        <v>18377988.780000001</v>
      </c>
      <c r="P18" s="13">
        <f>ROUND('[1]Total Summary'!D3,2)+ROUND('[2]Total Summary'!E4,2)</f>
        <v>1876365.75</v>
      </c>
      <c r="Q18" s="13">
        <f>ROUND('[1]Total Summary'!E3,2)+ROUND('[2]Total Summary'!F4,2)</f>
        <v>400489.90000000002</v>
      </c>
      <c r="R18" s="13">
        <f t="shared" si="3" ref="R18:R24">SUM(O18:Q18)</f>
        <v>20654844.43</v>
      </c>
      <c r="S18" s="13">
        <f>ROUND('[1]Total Summary'!G3,2)+ROUND('[2]Total Summary'!H4,2)</f>
        <v>0</v>
      </c>
      <c r="T18" s="13">
        <f>ROUND('[1]Total Summary'!H3,2)+ROUND('[2]Total Summary'!I4,2)</f>
        <v>989.25999999999999</v>
      </c>
      <c r="U18" s="13">
        <f t="shared" si="4" ref="U18:U24">SUM(S18:T18)</f>
        <v>989.25999999999999</v>
      </c>
      <c r="V18" s="13">
        <f>ROUND('[1]Total Summary'!J3,2)+ROUND('[2]Total Summary'!K4,2)</f>
        <v>0</v>
      </c>
      <c r="W18" s="13">
        <f>ROUND('[1]Total Summary'!K3,2)+ROUND('[2]Total Summary'!L4,2)</f>
        <v>0</v>
      </c>
      <c r="X18" s="13">
        <f t="shared" si="5" ref="X18:X24">+R18+U18+V18+W18</f>
        <v>20655833.690000001</v>
      </c>
      <c r="Y18" s="4" t="b">
        <f t="shared" si="6" ref="Y18:Y24">ROUND(+X18,2)=ROUND(L18,2)</f>
        <v>1</v>
      </c>
      <c r="Z18" s="111">
        <f t="shared" si="7" ref="Z18:Z24">ROUND(+L18,2)-ROUND(X18,2)</f>
        <v>0</v>
      </c>
    </row>
    <row r="19" spans="1:26" s="4" customFormat="1" ht="15" customHeight="1">
      <c r="A19" s="16">
        <v>5</v>
      </c>
      <c r="B19" s="4" t="s">
        <v>233</v>
      </c>
      <c r="C19" s="4" t="s">
        <v>374</v>
      </c>
      <c r="D19" s="16"/>
      <c r="E19" s="13">
        <v>2866541.96</v>
      </c>
      <c r="F19" s="13">
        <f>ROUND('II-D-1.1'!Q18,2)</f>
        <v>0</v>
      </c>
      <c r="G19" s="13">
        <f>ROUND('II-D-1.1'!R18,2)</f>
        <v>0</v>
      </c>
      <c r="H19" s="13">
        <f t="shared" si="1"/>
        <v>2866541.96</v>
      </c>
      <c r="I19" s="13">
        <f>+'II-D-1.1'!T18</f>
        <v>-1168.21</v>
      </c>
      <c r="J19" s="13">
        <f t="shared" si="0"/>
        <v>2865373.75</v>
      </c>
      <c r="K19" s="159">
        <v>1</v>
      </c>
      <c r="L19" s="13">
        <f t="shared" si="2"/>
        <v>2865373.75</v>
      </c>
      <c r="M19" s="16"/>
      <c r="N19" s="16"/>
      <c r="O19" s="13">
        <f>ROUND('[1]Total Summary'!C4,2)+ROUND('[2]Total Summary'!D5,2)</f>
        <v>2187540.6499999999</v>
      </c>
      <c r="P19" s="13">
        <f>ROUND('[1]Total Summary'!D4,2)+ROUND('[2]Total Summary'!E5,2)</f>
        <v>155598.89999999999</v>
      </c>
      <c r="Q19" s="13">
        <f>ROUND('[1]Total Summary'!E4,2)+ROUND('[2]Total Summary'!F5,2)</f>
        <v>0</v>
      </c>
      <c r="R19" s="13">
        <f t="shared" si="3"/>
        <v>2343139.5499999998</v>
      </c>
      <c r="S19" s="13">
        <f>ROUND('[1]Total Summary'!G4,2)+ROUND('[2]Total Summary'!H5,2)</f>
        <v>522283.20000000001</v>
      </c>
      <c r="T19" s="13">
        <f>ROUND('[1]Total Summary'!H4,2)+ROUND('[2]Total Summary'!I5,2)</f>
        <v>-49</v>
      </c>
      <c r="U19" s="13">
        <f t="shared" si="4"/>
        <v>522234.20000000001</v>
      </c>
      <c r="V19" s="13">
        <f>ROUND('[1]Total Summary'!J4,2)+ROUND('[2]Total Summary'!K5,2)</f>
        <v>0</v>
      </c>
      <c r="W19" s="13">
        <f>ROUND('[1]Total Summary'!K4,2)+ROUND('[2]Total Summary'!L5,2)</f>
        <v>0</v>
      </c>
      <c r="X19" s="13">
        <f t="shared" si="5"/>
        <v>2865373.75</v>
      </c>
      <c r="Y19" s="4" t="b">
        <f t="shared" si="6"/>
        <v>1</v>
      </c>
      <c r="Z19" s="111">
        <f t="shared" si="7"/>
        <v>0</v>
      </c>
    </row>
    <row r="20" spans="1:26" s="4" customFormat="1" ht="15" customHeight="1">
      <c r="A20" s="16">
        <v>6</v>
      </c>
      <c r="B20" s="4" t="s">
        <v>234</v>
      </c>
      <c r="C20" s="4" t="s">
        <v>375</v>
      </c>
      <c r="D20" s="16"/>
      <c r="E20" s="13">
        <v>2316308.4199999999</v>
      </c>
      <c r="F20" s="13">
        <f>ROUND('II-D-1.1'!Q19,2)</f>
        <v>0</v>
      </c>
      <c r="G20" s="13">
        <f>ROUND('II-D-1.1'!R19,2)</f>
        <v>0</v>
      </c>
      <c r="H20" s="13">
        <f t="shared" si="1"/>
        <v>2316308.4199999999</v>
      </c>
      <c r="I20" s="13">
        <f>+'II-D-1.1'!T19</f>
        <v>4480812.1599999992</v>
      </c>
      <c r="J20" s="13">
        <f t="shared" si="0"/>
        <v>6797120.5799999991</v>
      </c>
      <c r="K20" s="159">
        <v>1</v>
      </c>
      <c r="L20" s="13">
        <f t="shared" si="2"/>
        <v>6797120.5799999991</v>
      </c>
      <c r="M20" s="16"/>
      <c r="N20" s="16"/>
      <c r="O20" s="13">
        <f>ROUND('[1]Total Summary'!C5,2)+ROUND('[2]Total Summary'!D6,2)</f>
        <v>6354562.4800000004</v>
      </c>
      <c r="P20" s="13">
        <f>ROUND('[1]Total Summary'!D5,2)+ROUND('[2]Total Summary'!E6,2)</f>
        <v>442558.09999999998</v>
      </c>
      <c r="Q20" s="13">
        <f>ROUND('[1]Total Summary'!E5,2)+ROUND('[2]Total Summary'!F6,2)</f>
        <v>0</v>
      </c>
      <c r="R20" s="13">
        <f t="shared" si="3"/>
        <v>6797120.5800000001</v>
      </c>
      <c r="S20" s="13">
        <f>ROUND('[1]Total Summary'!G5,2)+ROUND('[2]Total Summary'!H6,2)</f>
        <v>0</v>
      </c>
      <c r="T20" s="13">
        <f>ROUND('[1]Total Summary'!H5,2)+ROUND('[2]Total Summary'!I6,2)</f>
        <v>0</v>
      </c>
      <c r="U20" s="13">
        <f t="shared" si="4"/>
        <v>0</v>
      </c>
      <c r="V20" s="13">
        <f>ROUND('[1]Total Summary'!J5,2)+ROUND('[2]Total Summary'!K6,2)</f>
        <v>0</v>
      </c>
      <c r="W20" s="13">
        <f>ROUND('[1]Total Summary'!K5,2)+ROUND('[2]Total Summary'!L6,2)</f>
        <v>0</v>
      </c>
      <c r="X20" s="13">
        <f t="shared" si="5"/>
        <v>6797120.5800000001</v>
      </c>
      <c r="Y20" s="4" t="b">
        <f t="shared" si="6"/>
        <v>1</v>
      </c>
      <c r="Z20" s="111">
        <f t="shared" si="7"/>
        <v>0</v>
      </c>
    </row>
    <row r="21" spans="1:26" s="4" customFormat="1" ht="15" customHeight="1">
      <c r="A21" s="16">
        <v>7</v>
      </c>
      <c r="B21" s="4" t="s">
        <v>235</v>
      </c>
      <c r="C21" s="4" t="s">
        <v>376</v>
      </c>
      <c r="D21" s="16"/>
      <c r="E21" s="13">
        <v>2674.8599999999997</v>
      </c>
      <c r="F21" s="13">
        <f>ROUND('II-D-1.1'!Q20,2)</f>
        <v>0</v>
      </c>
      <c r="G21" s="13">
        <f>ROUND('II-D-1.1'!R20,2)</f>
        <v>0</v>
      </c>
      <c r="H21" s="13">
        <f t="shared" si="1"/>
        <v>2674.8599999999997</v>
      </c>
      <c r="I21" s="13">
        <f>+'II-D-1.1'!T20</f>
        <v>0</v>
      </c>
      <c r="J21" s="13">
        <f t="shared" si="0"/>
        <v>2674.8599999999997</v>
      </c>
      <c r="K21" s="159">
        <v>1</v>
      </c>
      <c r="L21" s="13">
        <f t="shared" si="2"/>
        <v>2674.8599999999997</v>
      </c>
      <c r="M21" s="16"/>
      <c r="N21" s="16"/>
      <c r="O21" s="13">
        <f>ROUND('[1]Total Summary'!C6,2)+ROUND('[2]Total Summary'!D7,2)</f>
        <v>2674.8600000000001</v>
      </c>
      <c r="P21" s="13">
        <f>ROUND('[1]Total Summary'!D6,2)+ROUND('[2]Total Summary'!E7,2)</f>
        <v>0</v>
      </c>
      <c r="Q21" s="13">
        <f>ROUND('[1]Total Summary'!E6,2)+ROUND('[2]Total Summary'!F7,2)</f>
        <v>0</v>
      </c>
      <c r="R21" s="13">
        <f t="shared" si="3"/>
        <v>2674.8600000000001</v>
      </c>
      <c r="S21" s="13">
        <f>ROUND('[1]Total Summary'!G6,2)+ROUND('[2]Total Summary'!H7,2)</f>
        <v>0</v>
      </c>
      <c r="T21" s="13">
        <f>ROUND('[1]Total Summary'!H6,2)+ROUND('[2]Total Summary'!I7,2)</f>
        <v>0</v>
      </c>
      <c r="U21" s="13">
        <f t="shared" si="4"/>
        <v>0</v>
      </c>
      <c r="V21" s="13">
        <f>ROUND('[1]Total Summary'!J6,2)+ROUND('[2]Total Summary'!K7,2)</f>
        <v>0</v>
      </c>
      <c r="W21" s="13">
        <f>ROUND('[1]Total Summary'!K6,2)+ROUND('[2]Total Summary'!L7,2)</f>
        <v>0</v>
      </c>
      <c r="X21" s="13">
        <f t="shared" si="5"/>
        <v>2674.8600000000001</v>
      </c>
      <c r="Y21" s="4" t="b">
        <f t="shared" si="6"/>
        <v>1</v>
      </c>
      <c r="Z21" s="111">
        <f t="shared" si="7"/>
        <v>0</v>
      </c>
    </row>
    <row r="22" spans="1:26" s="4" customFormat="1" ht="15" customHeight="1">
      <c r="A22" s="16">
        <v>8</v>
      </c>
      <c r="B22" s="4" t="s">
        <v>284</v>
      </c>
      <c r="C22" s="30" t="s">
        <v>377</v>
      </c>
      <c r="D22" s="16"/>
      <c r="E22" s="13">
        <v>1517206007.5900002</v>
      </c>
      <c r="F22" s="13">
        <v>0</v>
      </c>
      <c r="G22" s="13">
        <f>ROUND('II-D-1.1'!R21,2)</f>
        <v>0</v>
      </c>
      <c r="H22" s="13">
        <f t="shared" si="1"/>
        <v>1517206007.5900002</v>
      </c>
      <c r="I22" s="13">
        <f>+'II-D-1.1'!T21</f>
        <v>135316013.84999999</v>
      </c>
      <c r="J22" s="13">
        <f t="shared" si="0"/>
        <v>1652522021.4400001</v>
      </c>
      <c r="K22" s="159">
        <v>1</v>
      </c>
      <c r="L22" s="13">
        <f t="shared" si="2"/>
        <v>1652522021.4400001</v>
      </c>
      <c r="M22" s="16"/>
      <c r="N22" s="16"/>
      <c r="O22" s="13">
        <f>ROUND('[1]Total Summary'!C7,2)+ROUND('[2]Total Summary'!D8,2)</f>
        <v>0</v>
      </c>
      <c r="P22" s="13">
        <f>ROUND('[1]Total Summary'!D7,2)+ROUND('[2]Total Summary'!E8,2)</f>
        <v>0</v>
      </c>
      <c r="Q22" s="13">
        <f>ROUND('[1]Total Summary'!E7,2)+ROUND('[2]Total Summary'!F8,2)</f>
        <v>0</v>
      </c>
      <c r="R22" s="13">
        <f t="shared" si="3"/>
        <v>0</v>
      </c>
      <c r="S22" s="13">
        <f>ROUND('[1]Total Summary'!G7,2)+ROUND('[2]Total Summary'!H8,2)</f>
        <v>1652522021.4399998</v>
      </c>
      <c r="T22" s="13">
        <f>ROUND('[1]Total Summary'!H7,2)+ROUND('[2]Total Summary'!I8,2)</f>
        <v>0</v>
      </c>
      <c r="U22" s="13">
        <f t="shared" si="4"/>
        <v>1652522021.4399998</v>
      </c>
      <c r="V22" s="13">
        <f>ROUND('[1]Total Summary'!J7,2)+ROUND('[2]Total Summary'!K8,2)</f>
        <v>0</v>
      </c>
      <c r="W22" s="13">
        <f>ROUND('[1]Total Summary'!K7,2)+ROUND('[2]Total Summary'!L8,2)</f>
        <v>0</v>
      </c>
      <c r="X22" s="13">
        <f t="shared" si="5"/>
        <v>1652522021.4399998</v>
      </c>
      <c r="Y22" s="4" t="b">
        <f t="shared" si="6"/>
        <v>1</v>
      </c>
      <c r="Z22" s="111">
        <f t="shared" si="7"/>
        <v>0</v>
      </c>
    </row>
    <row r="23" spans="1:26" s="4" customFormat="1" ht="15" customHeight="1">
      <c r="A23" s="16">
        <v>9</v>
      </c>
      <c r="B23" s="4" t="s">
        <v>236</v>
      </c>
      <c r="C23" s="4" t="s">
        <v>138</v>
      </c>
      <c r="D23" s="16"/>
      <c r="E23" s="13">
        <v>56401152.890000008</v>
      </c>
      <c r="F23" s="13">
        <f>ROUND('II-D-1.1'!Q22,2)</f>
        <v>0</v>
      </c>
      <c r="G23" s="13">
        <f>ROUND('II-D-1.1'!R22,2)</f>
        <v>0</v>
      </c>
      <c r="H23" s="13">
        <f t="shared" si="1"/>
        <v>56401152.890000008</v>
      </c>
      <c r="I23" s="13">
        <f>+'II-D-1.1'!T22</f>
        <v>3239897.98</v>
      </c>
      <c r="J23" s="13">
        <f t="shared" si="0"/>
        <v>59641050.870000005</v>
      </c>
      <c r="K23" s="159">
        <v>1</v>
      </c>
      <c r="L23" s="13">
        <f t="shared" si="2"/>
        <v>59641050.870000005</v>
      </c>
      <c r="M23" s="16"/>
      <c r="N23" s="16"/>
      <c r="O23" s="13">
        <f>ROUND('[1]Total Summary'!C8,2)+ROUND('[2]Total Summary'!D9,2)</f>
        <v>55931705.57</v>
      </c>
      <c r="P23" s="13">
        <f>ROUND('[1]Total Summary'!D8,2)+ROUND('[2]Total Summary'!E9,2)</f>
        <v>3436299.6699999999</v>
      </c>
      <c r="Q23" s="13">
        <f>ROUND('[1]Total Summary'!E8,2)+ROUND('[2]Total Summary'!F9,2)</f>
        <v>0</v>
      </c>
      <c r="R23" s="13">
        <f t="shared" si="3"/>
        <v>59368005.240000002</v>
      </c>
      <c r="S23" s="13">
        <f>ROUND('[1]Total Summary'!G8,2)+ROUND('[2]Total Summary'!H9,2)</f>
        <v>271783.87</v>
      </c>
      <c r="T23" s="13">
        <f>ROUND('[1]Total Summary'!H8,2)+ROUND('[2]Total Summary'!I9,2)</f>
        <v>1261.76</v>
      </c>
      <c r="U23" s="13">
        <f t="shared" si="4"/>
        <v>273045.63</v>
      </c>
      <c r="V23" s="13">
        <f>ROUND('[1]Total Summary'!J8,2)+ROUND('[2]Total Summary'!K9,2)</f>
        <v>0</v>
      </c>
      <c r="W23" s="13">
        <f>ROUND('[1]Total Summary'!K8,2)+ROUND('[2]Total Summary'!L9,2)</f>
        <v>0</v>
      </c>
      <c r="X23" s="13">
        <f t="shared" si="5"/>
        <v>59641050.870000005</v>
      </c>
      <c r="Y23" s="4" t="b">
        <f t="shared" si="6"/>
        <v>1</v>
      </c>
      <c r="Z23" s="111">
        <f t="shared" si="7"/>
        <v>0</v>
      </c>
    </row>
    <row r="24" spans="1:26" s="4" customFormat="1" ht="15" customHeight="1">
      <c r="A24" s="16">
        <v>10</v>
      </c>
      <c r="B24" s="4" t="s">
        <v>237</v>
      </c>
      <c r="C24" s="4" t="s">
        <v>293</v>
      </c>
      <c r="D24" s="16"/>
      <c r="E24" s="13">
        <v>193255.28000000003</v>
      </c>
      <c r="F24" s="13">
        <f>ROUND('II-D-1.1'!Q23,2)</f>
        <v>0</v>
      </c>
      <c r="G24" s="13">
        <f>ROUND('II-D-1.1'!R23,2)</f>
        <v>0</v>
      </c>
      <c r="H24" s="13">
        <f t="shared" si="1"/>
        <v>193255.28000000003</v>
      </c>
      <c r="I24" s="13">
        <f>+'II-D-1.1'!T23</f>
        <v>0</v>
      </c>
      <c r="J24" s="13">
        <f t="shared" si="0"/>
        <v>193255.28000000003</v>
      </c>
      <c r="K24" s="159">
        <v>1</v>
      </c>
      <c r="L24" s="13">
        <f t="shared" si="2"/>
        <v>193255.28000000003</v>
      </c>
      <c r="M24" s="16"/>
      <c r="N24" s="16"/>
      <c r="O24" s="13">
        <f>ROUND('[1]Total Summary'!C9,2)+ROUND('[2]Total Summary'!D10,2)</f>
        <v>193244.04999999999</v>
      </c>
      <c r="P24" s="13">
        <f>ROUND('[1]Total Summary'!D9,2)+ROUND('[2]Total Summary'!E10,2)</f>
        <v>11.23</v>
      </c>
      <c r="Q24" s="13">
        <f>ROUND('[1]Total Summary'!E9,2)+ROUND('[2]Total Summary'!F10,2)</f>
        <v>0</v>
      </c>
      <c r="R24" s="13">
        <f t="shared" si="3"/>
        <v>193255.28</v>
      </c>
      <c r="S24" s="13">
        <f>ROUND('[1]Total Summary'!G9,2)+ROUND('[2]Total Summary'!H10,2)</f>
        <v>0</v>
      </c>
      <c r="T24" s="13">
        <f>ROUND('[1]Total Summary'!H9,2)+ROUND('[2]Total Summary'!I10,2)</f>
        <v>0</v>
      </c>
      <c r="U24" s="13">
        <f t="shared" si="4"/>
        <v>0</v>
      </c>
      <c r="V24" s="13">
        <f>ROUND('[1]Total Summary'!J9,2)+ROUND('[2]Total Summary'!K10,2)</f>
        <v>0</v>
      </c>
      <c r="W24" s="13">
        <f>ROUND('[1]Total Summary'!K9,2)+ROUND('[2]Total Summary'!L10,2)</f>
        <v>0</v>
      </c>
      <c r="X24" s="13">
        <f t="shared" si="5"/>
        <v>193255.28</v>
      </c>
      <c r="Y24" s="4" t="b">
        <f t="shared" si="6"/>
        <v>1</v>
      </c>
      <c r="Z24" s="111">
        <f t="shared" si="7"/>
        <v>0</v>
      </c>
    </row>
    <row r="25" spans="1:24" s="8" customFormat="1" ht="15" customHeight="1">
      <c r="A25" s="16">
        <v>11</v>
      </c>
      <c r="D25" s="18"/>
      <c r="E25" s="124"/>
      <c r="F25" s="124"/>
      <c r="G25" s="124"/>
      <c r="H25" s="124"/>
      <c r="I25" s="124"/>
      <c r="J25" s="124"/>
      <c r="K25" s="19"/>
      <c r="L25" s="124"/>
      <c r="M25" s="18"/>
      <c r="N25" s="18"/>
      <c r="O25" s="124"/>
      <c r="P25" s="124"/>
      <c r="Q25" s="124"/>
      <c r="R25" s="124"/>
      <c r="S25" s="124"/>
      <c r="T25" s="124"/>
      <c r="U25" s="124"/>
      <c r="V25" s="124"/>
      <c r="W25" s="124"/>
      <c r="X25" s="124"/>
    </row>
    <row r="26" spans="1:24" s="4" customFormat="1" ht="15" customHeight="1">
      <c r="A26" s="16">
        <v>12</v>
      </c>
      <c r="C26" s="22" t="s">
        <v>54</v>
      </c>
      <c r="D26" s="16"/>
      <c r="E26" s="188">
        <f t="shared" si="8" ref="E26:J26">SUM(E17:E24)</f>
        <v>1603538870.7600002</v>
      </c>
      <c r="F26" s="188">
        <f t="shared" si="8"/>
        <v>0</v>
      </c>
      <c r="G26" s="188">
        <f t="shared" si="8"/>
        <v>0</v>
      </c>
      <c r="H26" s="188">
        <f t="shared" si="8"/>
        <v>1603538870.7600002</v>
      </c>
      <c r="I26" s="188">
        <f t="shared" si="8"/>
        <v>143524563.88999999</v>
      </c>
      <c r="J26" s="188">
        <f t="shared" si="8"/>
        <v>1747063434.6499999</v>
      </c>
      <c r="K26" s="19"/>
      <c r="L26" s="188">
        <f>SUM(L17:L24)</f>
        <v>1747063434.6499999</v>
      </c>
      <c r="M26" s="16"/>
      <c r="N26" s="16"/>
      <c r="O26" s="188">
        <f t="shared" si="9" ref="O26:X26">SUM(O17:O24)</f>
        <v>87191796.329999998</v>
      </c>
      <c r="P26" s="188">
        <f t="shared" si="9"/>
        <v>6104023.6900000004</v>
      </c>
      <c r="Q26" s="188">
        <f t="shared" si="10" ref="Q26">SUM(Q17:Q24)</f>
        <v>400489.90000000002</v>
      </c>
      <c r="R26" s="188">
        <f t="shared" si="9"/>
        <v>93696309.920000002</v>
      </c>
      <c r="S26" s="188">
        <f t="shared" si="9"/>
        <v>1653362993.2199998</v>
      </c>
      <c r="T26" s="188">
        <f t="shared" si="11" ref="T26:U26">SUM(T17:T24)</f>
        <v>2202.02</v>
      </c>
      <c r="U26" s="188">
        <f t="shared" si="11"/>
        <v>1653365195.24</v>
      </c>
      <c r="V26" s="188">
        <f t="shared" si="9"/>
        <v>1929.49</v>
      </c>
      <c r="W26" s="188">
        <f t="shared" si="9"/>
        <v>0</v>
      </c>
      <c r="X26" s="188">
        <f t="shared" si="9"/>
        <v>1747063434.6499999</v>
      </c>
    </row>
    <row r="27" spans="1:24" s="8" customFormat="1" ht="15" customHeight="1">
      <c r="A27" s="16">
        <v>13</v>
      </c>
      <c r="C27" s="18"/>
      <c r="D27" s="18"/>
      <c r="E27" s="125"/>
      <c r="F27" s="125"/>
      <c r="G27" s="125"/>
      <c r="H27" s="125"/>
      <c r="I27" s="125"/>
      <c r="J27" s="125"/>
      <c r="K27" s="19"/>
      <c r="L27" s="125"/>
      <c r="M27" s="25"/>
      <c r="N27" s="18"/>
      <c r="O27" s="125"/>
      <c r="P27" s="125"/>
      <c r="Q27" s="125"/>
      <c r="R27" s="125"/>
      <c r="S27" s="125"/>
      <c r="T27" s="125"/>
      <c r="U27" s="125"/>
      <c r="V27" s="125"/>
      <c r="W27" s="125"/>
      <c r="X27" s="125"/>
    </row>
    <row r="28" spans="1:24" s="8" customFormat="1" ht="15" customHeight="1">
      <c r="A28" s="16">
        <v>14</v>
      </c>
      <c r="C28" s="15" t="s">
        <v>229</v>
      </c>
      <c r="D28" s="18" t="s">
        <v>41</v>
      </c>
      <c r="E28" s="19"/>
      <c r="F28" s="19"/>
      <c r="G28" s="19"/>
      <c r="H28" s="19"/>
      <c r="I28" s="19"/>
      <c r="J28" s="19"/>
      <c r="K28" s="19"/>
      <c r="L28" s="19"/>
      <c r="M28" s="58"/>
      <c r="N28" s="18"/>
      <c r="O28" s="19"/>
      <c r="P28" s="19"/>
      <c r="Q28" s="19"/>
      <c r="R28" s="19"/>
      <c r="S28" s="19"/>
      <c r="T28" s="19"/>
      <c r="U28" s="19"/>
      <c r="V28" s="19"/>
      <c r="W28" s="19"/>
      <c r="X28" s="19"/>
    </row>
    <row r="29" spans="1:26" s="4" customFormat="1" ht="15" customHeight="1">
      <c r="A29" s="16">
        <v>15</v>
      </c>
      <c r="B29" s="4" t="s">
        <v>238</v>
      </c>
      <c r="C29" s="4" t="s">
        <v>139</v>
      </c>
      <c r="D29" s="16"/>
      <c r="E29" s="156">
        <v>605052.74999999988</v>
      </c>
      <c r="F29" s="156">
        <f>ROUND('II-D-1.1'!Q28,2)</f>
        <v>0</v>
      </c>
      <c r="G29" s="156">
        <f>ROUND('II-D-1.1'!R28,2)</f>
        <v>0</v>
      </c>
      <c r="H29" s="156">
        <f t="shared" si="12" ref="H29:H34">+E29-F29-G29</f>
        <v>605052.74999999988</v>
      </c>
      <c r="I29" s="156">
        <f>+'II-D-1.1'!T28</f>
        <v>8593.4599999999991</v>
      </c>
      <c r="J29" s="156">
        <f t="shared" si="13" ref="J29:J34">+H29+I29</f>
        <v>613646.20999999985</v>
      </c>
      <c r="K29" s="159">
        <v>1</v>
      </c>
      <c r="L29" s="156">
        <f t="shared" si="14" ref="L29:L34">+J29*K29</f>
        <v>613646.20999999985</v>
      </c>
      <c r="M29" s="16"/>
      <c r="N29" s="16"/>
      <c r="O29" s="156">
        <f>ROUND('[1]Total Summary'!C12,2)+ROUND('[2]Total Summary'!D13,2)</f>
        <v>506161.32000000001</v>
      </c>
      <c r="P29" s="156">
        <f>ROUND('[1]Total Summary'!D12,2)+ROUND('[2]Total Summary'!E13,2)</f>
        <v>18030.919999999998</v>
      </c>
      <c r="Q29" s="156">
        <f>ROUND('[1]Total Summary'!E12,2)+ROUND('[2]Total Summary'!F13,2)</f>
        <v>0</v>
      </c>
      <c r="R29" s="156">
        <f t="shared" si="15" ref="R29">SUM(O29:Q29)</f>
        <v>524192.23999999999</v>
      </c>
      <c r="S29" s="156">
        <f>ROUND('[1]Total Summary'!G12,2)+ROUND('[2]Total Summary'!H13,2)</f>
        <v>85793.720000000001</v>
      </c>
      <c r="T29" s="156">
        <f>ROUND('[1]Total Summary'!H12,2)+ROUND('[2]Total Summary'!I13,2)</f>
        <v>3368.5300000000002</v>
      </c>
      <c r="U29" s="156">
        <f t="shared" si="16" ref="U29">SUM(S29:T29)</f>
        <v>89162.25</v>
      </c>
      <c r="V29" s="156">
        <f>ROUND('[1]Total Summary'!J12,2)+ROUND('[2]Total Summary'!K13,2)</f>
        <v>291.72000000000003</v>
      </c>
      <c r="W29" s="156">
        <f>ROUND('[1]Total Summary'!K12,2)+ROUND('[2]Total Summary'!L13,2)</f>
        <v>0</v>
      </c>
      <c r="X29" s="156">
        <f t="shared" si="17" ref="X29:X34">+R29+U29+V29+W29</f>
        <v>613646.20999999996</v>
      </c>
      <c r="Y29" s="4" t="b">
        <f t="shared" si="18" ref="Y29:Y34">ROUND(+X29,2)=ROUND(L29,2)</f>
        <v>1</v>
      </c>
      <c r="Z29" s="111">
        <f t="shared" si="19" ref="Z29:Z34">ROUND(+L29,2)-ROUND(X29,2)</f>
        <v>0</v>
      </c>
    </row>
    <row r="30" spans="1:26" s="4" customFormat="1" ht="15" customHeight="1">
      <c r="A30" s="16">
        <v>16</v>
      </c>
      <c r="B30" s="4" t="s">
        <v>239</v>
      </c>
      <c r="C30" s="30" t="s">
        <v>140</v>
      </c>
      <c r="D30" s="16"/>
      <c r="E30" s="13">
        <v>51837.810000000012</v>
      </c>
      <c r="F30" s="13">
        <f>ROUND('II-D-1.1'!Q29,2)</f>
        <v>0</v>
      </c>
      <c r="G30" s="13">
        <f>ROUND('II-D-1.1'!R29,2)</f>
        <v>0</v>
      </c>
      <c r="H30" s="13">
        <f t="shared" si="12"/>
        <v>51837.810000000012</v>
      </c>
      <c r="I30" s="13">
        <f>+'II-D-1.1'!T29</f>
        <v>0</v>
      </c>
      <c r="J30" s="13">
        <f t="shared" si="13"/>
        <v>51837.810000000012</v>
      </c>
      <c r="K30" s="159">
        <v>1</v>
      </c>
      <c r="L30" s="13">
        <f t="shared" si="14"/>
        <v>51837.810000000012</v>
      </c>
      <c r="M30" s="16"/>
      <c r="N30" s="16"/>
      <c r="O30" s="13">
        <f>ROUND('[1]Total Summary'!C13,2)+ROUND('[2]Total Summary'!D14,2)</f>
        <v>51802.25</v>
      </c>
      <c r="P30" s="13">
        <f>ROUND('[1]Total Summary'!D13,2)+ROUND('[2]Total Summary'!E14,2)</f>
        <v>11.51</v>
      </c>
      <c r="Q30" s="13">
        <f>ROUND('[1]Total Summary'!E13,2)+ROUND('[2]Total Summary'!F14,2)</f>
        <v>0</v>
      </c>
      <c r="R30" s="13">
        <f t="shared" si="20" ref="R30:R34">SUM(O30:Q30)</f>
        <v>51813.760000000002</v>
      </c>
      <c r="S30" s="13">
        <f>ROUND('[1]Total Summary'!G13,2)+ROUND('[2]Total Summary'!H14,2)</f>
        <v>24.050000000000001</v>
      </c>
      <c r="T30" s="13">
        <f>ROUND('[1]Total Summary'!H13,2)+ROUND('[2]Total Summary'!I14,2)</f>
        <v>0</v>
      </c>
      <c r="U30" s="13">
        <f t="shared" si="21" ref="U30:U34">SUM(S30:T30)</f>
        <v>24.050000000000001</v>
      </c>
      <c r="V30" s="13">
        <f>ROUND('[1]Total Summary'!J13,2)+ROUND('[2]Total Summary'!K14,2)</f>
        <v>0</v>
      </c>
      <c r="W30" s="13">
        <f>ROUND('[1]Total Summary'!K13,2)+ROUND('[2]Total Summary'!L14,2)</f>
        <v>0</v>
      </c>
      <c r="X30" s="13">
        <f t="shared" si="17"/>
        <v>51837.810000000005</v>
      </c>
      <c r="Y30" s="4" t="b">
        <f t="shared" si="18"/>
        <v>1</v>
      </c>
      <c r="Z30" s="111">
        <f t="shared" si="19"/>
        <v>0</v>
      </c>
    </row>
    <row r="31" spans="1:26" s="4" customFormat="1" ht="15" customHeight="1">
      <c r="A31" s="16">
        <v>17</v>
      </c>
      <c r="B31" s="4" t="s">
        <v>240</v>
      </c>
      <c r="C31" s="4" t="s">
        <v>381</v>
      </c>
      <c r="D31" s="16"/>
      <c r="E31" s="13">
        <v>8592564.6300000008</v>
      </c>
      <c r="F31" s="13">
        <f>ROUND('II-D-1.1'!Q30,2)</f>
        <v>0</v>
      </c>
      <c r="G31" s="13">
        <f>ROUND('II-D-1.1'!R30,2)</f>
        <v>0</v>
      </c>
      <c r="H31" s="13">
        <f t="shared" si="12"/>
        <v>8592564.6300000008</v>
      </c>
      <c r="I31" s="13">
        <f>+'II-D-1.1'!T30</f>
        <v>5505.6700000000001</v>
      </c>
      <c r="J31" s="13">
        <f t="shared" si="13"/>
        <v>8598070.3000000007</v>
      </c>
      <c r="K31" s="159">
        <v>1</v>
      </c>
      <c r="L31" s="13">
        <f t="shared" si="14"/>
        <v>8598070.3000000007</v>
      </c>
      <c r="M31" s="16"/>
      <c r="N31" s="16"/>
      <c r="O31" s="13">
        <f>ROUND('[1]Total Summary'!C14,2)+ROUND('[2]Total Summary'!D15,2)</f>
        <v>6802879.6900000004</v>
      </c>
      <c r="P31" s="13">
        <f>ROUND('[1]Total Summary'!D14,2)+ROUND('[2]Total Summary'!E15,2)</f>
        <v>1606018.99</v>
      </c>
      <c r="Q31" s="13">
        <f>ROUND('[1]Total Summary'!E14,2)+ROUND('[2]Total Summary'!F15,2)</f>
        <v>0</v>
      </c>
      <c r="R31" s="13">
        <f t="shared" si="20"/>
        <v>8408898.6799999997</v>
      </c>
      <c r="S31" s="13">
        <f>ROUND('[1]Total Summary'!G14,2)+ROUND('[2]Total Summary'!H15,2)</f>
        <v>179023.23999999999</v>
      </c>
      <c r="T31" s="13">
        <f>ROUND('[1]Total Summary'!H14,2)+ROUND('[2]Total Summary'!I15,2)</f>
        <v>10148.379999999999</v>
      </c>
      <c r="U31" s="13">
        <f t="shared" si="21"/>
        <v>189171.62</v>
      </c>
      <c r="V31" s="13">
        <f>ROUND('[1]Total Summary'!J14,2)+ROUND('[2]Total Summary'!K15,2)</f>
        <v>0</v>
      </c>
      <c r="W31" s="13">
        <f>ROUND('[1]Total Summary'!K14,2)+ROUND('[2]Total Summary'!L15,2)</f>
        <v>0</v>
      </c>
      <c r="X31" s="13">
        <f t="shared" si="17"/>
        <v>8598070.2999999989</v>
      </c>
      <c r="Y31" s="4" t="b">
        <f t="shared" si="18"/>
        <v>1</v>
      </c>
      <c r="Z31" s="111">
        <f t="shared" si="19"/>
        <v>0</v>
      </c>
    </row>
    <row r="32" spans="1:26" s="4" customFormat="1" ht="15" customHeight="1">
      <c r="A32" s="16">
        <v>18</v>
      </c>
      <c r="B32" s="4" t="s">
        <v>241</v>
      </c>
      <c r="C32" s="4" t="s">
        <v>382</v>
      </c>
      <c r="D32" s="16"/>
      <c r="E32" s="13">
        <v>21144933.149999995</v>
      </c>
      <c r="F32" s="13">
        <f>ROUND('II-D-1.1'!Q31,2)</f>
        <v>0</v>
      </c>
      <c r="G32" s="13">
        <f>ROUND('II-D-1.1'!R31,2)</f>
        <v>0</v>
      </c>
      <c r="H32" s="13">
        <f t="shared" si="12"/>
        <v>21144933.149999995</v>
      </c>
      <c r="I32" s="13">
        <f>+'II-D-1.1'!T31</f>
        <v>1396025.5900000001</v>
      </c>
      <c r="J32" s="13">
        <f t="shared" si="13"/>
        <v>22540958.739999995</v>
      </c>
      <c r="K32" s="159">
        <v>1</v>
      </c>
      <c r="L32" s="13">
        <f t="shared" si="14"/>
        <v>22540958.739999995</v>
      </c>
      <c r="M32" s="16"/>
      <c r="N32" s="16"/>
      <c r="O32" s="13">
        <f>ROUND('[1]Total Summary'!C15,2)+ROUND('[2]Total Summary'!D16,2)</f>
        <v>22139465.969999999</v>
      </c>
      <c r="P32" s="13">
        <f>ROUND('[1]Total Summary'!D15,2)+ROUND('[2]Total Summary'!E16,2)</f>
        <v>396864.03000000003</v>
      </c>
      <c r="Q32" s="13">
        <f>ROUND('[1]Total Summary'!E15,2)+ROUND('[2]Total Summary'!F16,2)</f>
        <v>0</v>
      </c>
      <c r="R32" s="13">
        <f t="shared" si="20"/>
        <v>22536330</v>
      </c>
      <c r="S32" s="13">
        <f>ROUND('[1]Total Summary'!G15,2)+ROUND('[2]Total Summary'!H16,2)</f>
        <v>4628.7399999999998</v>
      </c>
      <c r="T32" s="13">
        <f>ROUND('[1]Total Summary'!H15,2)+ROUND('[2]Total Summary'!I16,2)</f>
        <v>0</v>
      </c>
      <c r="U32" s="13">
        <f t="shared" si="21"/>
        <v>4628.7399999999998</v>
      </c>
      <c r="V32" s="13">
        <f>ROUND('[1]Total Summary'!J15,2)+ROUND('[2]Total Summary'!K16,2)</f>
        <v>0</v>
      </c>
      <c r="W32" s="13">
        <f>ROUND('[1]Total Summary'!K15,2)+ROUND('[2]Total Summary'!L16,2)</f>
        <v>0</v>
      </c>
      <c r="X32" s="13">
        <f t="shared" si="17"/>
        <v>22540958.739999998</v>
      </c>
      <c r="Y32" s="4" t="b">
        <f t="shared" si="18"/>
        <v>1</v>
      </c>
      <c r="Z32" s="111">
        <f t="shared" si="19"/>
        <v>0</v>
      </c>
    </row>
    <row r="33" spans="1:26" s="4" customFormat="1" ht="15" customHeight="1">
      <c r="A33" s="16">
        <v>19</v>
      </c>
      <c r="B33" s="4" t="s">
        <v>242</v>
      </c>
      <c r="C33" s="30" t="s">
        <v>383</v>
      </c>
      <c r="D33" s="16"/>
      <c r="E33" s="13">
        <v>159.03</v>
      </c>
      <c r="F33" s="13">
        <f>ROUND('II-D-1.1'!Q32,2)</f>
        <v>0</v>
      </c>
      <c r="G33" s="13">
        <f>ROUND('II-D-1.1'!R32,2)</f>
        <v>0</v>
      </c>
      <c r="H33" s="13">
        <f t="shared" si="12"/>
        <v>159.03</v>
      </c>
      <c r="I33" s="13">
        <f>+'II-D-1.1'!T32</f>
        <v>0</v>
      </c>
      <c r="J33" s="13">
        <f t="shared" si="13"/>
        <v>159.03</v>
      </c>
      <c r="K33" s="159">
        <v>1</v>
      </c>
      <c r="L33" s="13">
        <f t="shared" si="14"/>
        <v>159.03</v>
      </c>
      <c r="M33" s="16"/>
      <c r="N33" s="16"/>
      <c r="O33" s="13">
        <f>ROUND('[1]Total Summary'!C16,2)+ROUND('[2]Total Summary'!D17,2)</f>
        <v>80.010000000000005</v>
      </c>
      <c r="P33" s="13">
        <f>ROUND('[1]Total Summary'!D16,2)+ROUND('[2]Total Summary'!E17,2)</f>
        <v>0</v>
      </c>
      <c r="Q33" s="13">
        <f>ROUND('[1]Total Summary'!E16,2)+ROUND('[2]Total Summary'!F17,2)</f>
        <v>0</v>
      </c>
      <c r="R33" s="13">
        <f t="shared" si="20"/>
        <v>80.010000000000005</v>
      </c>
      <c r="S33" s="13">
        <f>ROUND('[1]Total Summary'!G16,2)+ROUND('[2]Total Summary'!H17,2)</f>
        <v>79.019999999999996</v>
      </c>
      <c r="T33" s="13">
        <f>ROUND('[1]Total Summary'!H16,2)+ROUND('[2]Total Summary'!I17,2)</f>
        <v>0</v>
      </c>
      <c r="U33" s="13">
        <f t="shared" si="21"/>
        <v>79.019999999999996</v>
      </c>
      <c r="V33" s="13">
        <f>ROUND('[1]Total Summary'!J16,2)+ROUND('[2]Total Summary'!K17,2)</f>
        <v>0</v>
      </c>
      <c r="W33" s="13">
        <f>ROUND('[1]Total Summary'!K16,2)+ROUND('[2]Total Summary'!L17,2)</f>
        <v>0</v>
      </c>
      <c r="X33" s="13">
        <f t="shared" si="17"/>
        <v>159.03</v>
      </c>
      <c r="Y33" s="4" t="b">
        <f t="shared" si="18"/>
        <v>1</v>
      </c>
      <c r="Z33" s="111">
        <f t="shared" si="19"/>
        <v>0</v>
      </c>
    </row>
    <row r="34" spans="1:26" s="4" customFormat="1" ht="15" customHeight="1">
      <c r="A34" s="16">
        <v>20</v>
      </c>
      <c r="B34" s="4" t="s">
        <v>243</v>
      </c>
      <c r="C34" s="30" t="s">
        <v>141</v>
      </c>
      <c r="D34" s="16"/>
      <c r="E34" s="13">
        <v>1731313.2</v>
      </c>
      <c r="F34" s="13">
        <f>ROUND('II-D-1.1'!Q33,2)</f>
        <v>0</v>
      </c>
      <c r="G34" s="13">
        <f>ROUND('II-D-1.1'!R33,2)</f>
        <v>0</v>
      </c>
      <c r="H34" s="13">
        <f t="shared" si="12"/>
        <v>1731313.2</v>
      </c>
      <c r="I34" s="13">
        <f>+'II-D-1.1'!T33</f>
        <v>5197.8399999999992</v>
      </c>
      <c r="J34" s="13">
        <f t="shared" si="13"/>
        <v>1736511.04</v>
      </c>
      <c r="K34" s="159">
        <v>1</v>
      </c>
      <c r="L34" s="13">
        <f t="shared" si="14"/>
        <v>1736511.04</v>
      </c>
      <c r="M34" s="16"/>
      <c r="N34" s="16"/>
      <c r="O34" s="13">
        <f>ROUND('[1]Total Summary'!C17,2)+ROUND('[2]Total Summary'!D18,2)</f>
        <v>1693832.97</v>
      </c>
      <c r="P34" s="13">
        <f>ROUND('[1]Total Summary'!D17,2)+ROUND('[2]Total Summary'!E18,2)</f>
        <v>7438.3800000000001</v>
      </c>
      <c r="Q34" s="13">
        <f>ROUND('[1]Total Summary'!E17,2)+ROUND('[2]Total Summary'!F18,2)</f>
        <v>0</v>
      </c>
      <c r="R34" s="13">
        <f t="shared" si="20"/>
        <v>1701271.3499999999</v>
      </c>
      <c r="S34" s="13">
        <f>ROUND('[1]Total Summary'!G17,2)+ROUND('[2]Total Summary'!H18,2)</f>
        <v>35239.690000000002</v>
      </c>
      <c r="T34" s="13">
        <f>ROUND('[1]Total Summary'!H17,2)+ROUND('[2]Total Summary'!I18,2)</f>
        <v>0</v>
      </c>
      <c r="U34" s="13">
        <f t="shared" si="21"/>
        <v>35239.690000000002</v>
      </c>
      <c r="V34" s="13">
        <f>ROUND('[1]Total Summary'!J17,2)+ROUND('[2]Total Summary'!K18,2)</f>
        <v>0</v>
      </c>
      <c r="W34" s="13">
        <f>ROUND('[1]Total Summary'!K17,2)+ROUND('[2]Total Summary'!L18,2)</f>
        <v>0</v>
      </c>
      <c r="X34" s="13">
        <f t="shared" si="17"/>
        <v>1736511.0399999998</v>
      </c>
      <c r="Y34" s="4" t="b">
        <f t="shared" si="18"/>
        <v>1</v>
      </c>
      <c r="Z34" s="111">
        <f t="shared" si="19"/>
        <v>0</v>
      </c>
    </row>
    <row r="35" spans="1:24" s="4" customFormat="1" ht="15" customHeight="1">
      <c r="A35" s="16">
        <v>21</v>
      </c>
      <c r="D35" s="16"/>
      <c r="E35" s="124"/>
      <c r="F35" s="124"/>
      <c r="G35" s="124"/>
      <c r="H35" s="124"/>
      <c r="I35" s="124"/>
      <c r="J35" s="124"/>
      <c r="K35" s="13"/>
      <c r="L35" s="124"/>
      <c r="M35" s="16"/>
      <c r="N35" s="16"/>
      <c r="O35" s="124"/>
      <c r="P35" s="124"/>
      <c r="Q35" s="124"/>
      <c r="R35" s="124"/>
      <c r="S35" s="124"/>
      <c r="T35" s="124"/>
      <c r="U35" s="124"/>
      <c r="V35" s="124"/>
      <c r="W35" s="124"/>
      <c r="X35" s="124"/>
    </row>
    <row r="36" spans="1:24" s="8" customFormat="1" ht="15" customHeight="1">
      <c r="A36" s="16">
        <v>22</v>
      </c>
      <c r="C36" s="22" t="s">
        <v>55</v>
      </c>
      <c r="D36" s="18"/>
      <c r="E36" s="188">
        <f t="shared" si="22" ref="E36:J36">SUM(E29:E34)</f>
        <v>32125860.569999997</v>
      </c>
      <c r="F36" s="188">
        <f t="shared" si="22"/>
        <v>0</v>
      </c>
      <c r="G36" s="188">
        <f t="shared" si="22"/>
        <v>0</v>
      </c>
      <c r="H36" s="188">
        <f t="shared" si="22"/>
        <v>32125860.569999997</v>
      </c>
      <c r="I36" s="188">
        <f t="shared" si="22"/>
        <v>1415322.5600000001</v>
      </c>
      <c r="J36" s="188">
        <f t="shared" si="22"/>
        <v>33541183.129999995</v>
      </c>
      <c r="K36" s="19"/>
      <c r="L36" s="189">
        <f>SUM(L29:L34)</f>
        <v>33541183.129999995</v>
      </c>
      <c r="M36" s="25"/>
      <c r="N36" s="18"/>
      <c r="O36" s="188">
        <f t="shared" si="23" ref="O36:X36">SUM(O29:O34)</f>
        <v>31194222.210000001</v>
      </c>
      <c r="P36" s="188">
        <f t="shared" si="24" ref="P36:R36">SUM(P29:P34)</f>
        <v>2028363.8299999998</v>
      </c>
      <c r="Q36" s="188">
        <f t="shared" si="25" ref="Q36">SUM(Q29:Q34)</f>
        <v>0</v>
      </c>
      <c r="R36" s="188">
        <f t="shared" si="24"/>
        <v>33222586.040000003</v>
      </c>
      <c r="S36" s="188">
        <f t="shared" si="23"/>
        <v>304788.46000000002</v>
      </c>
      <c r="T36" s="188">
        <f t="shared" si="23"/>
        <v>13516.91</v>
      </c>
      <c r="U36" s="188">
        <f t="shared" si="26" ref="U36">SUM(U29:U34)</f>
        <v>318305.37</v>
      </c>
      <c r="V36" s="188">
        <f t="shared" si="23"/>
        <v>291.72000000000003</v>
      </c>
      <c r="W36" s="188">
        <f t="shared" si="27" ref="W36">SUM(W29:W34)</f>
        <v>0</v>
      </c>
      <c r="X36" s="188">
        <f t="shared" si="23"/>
        <v>33541183.129999995</v>
      </c>
    </row>
    <row r="37" spans="1:24" s="8" customFormat="1" ht="15" customHeight="1">
      <c r="A37" s="16">
        <v>23</v>
      </c>
      <c r="C37" s="22"/>
      <c r="D37" s="18"/>
      <c r="E37" s="125"/>
      <c r="F37" s="125"/>
      <c r="G37" s="125"/>
      <c r="H37" s="125"/>
      <c r="I37" s="125"/>
      <c r="J37" s="125"/>
      <c r="K37" s="19"/>
      <c r="L37" s="19"/>
      <c r="M37" s="25"/>
      <c r="N37" s="18"/>
      <c r="O37" s="125"/>
      <c r="P37" s="125"/>
      <c r="Q37" s="125"/>
      <c r="R37" s="125"/>
      <c r="S37" s="125"/>
      <c r="T37" s="125"/>
      <c r="U37" s="125"/>
      <c r="V37" s="125"/>
      <c r="W37" s="125"/>
      <c r="X37" s="125"/>
    </row>
    <row r="38" spans="1:24" s="8" customFormat="1" ht="15" customHeight="1">
      <c r="A38" s="16">
        <v>24</v>
      </c>
      <c r="B38" s="8" t="s">
        <v>92</v>
      </c>
      <c r="D38" s="18" t="s">
        <v>41</v>
      </c>
      <c r="E38" s="188">
        <f t="shared" si="28" ref="E38:J38">+E36+E26</f>
        <v>1635664731.3300002</v>
      </c>
      <c r="F38" s="188">
        <f t="shared" si="28"/>
        <v>0</v>
      </c>
      <c r="G38" s="188">
        <f t="shared" si="28"/>
        <v>0</v>
      </c>
      <c r="H38" s="188">
        <f t="shared" si="28"/>
        <v>1635664731.3300002</v>
      </c>
      <c r="I38" s="188">
        <f t="shared" si="28"/>
        <v>144939886.44999999</v>
      </c>
      <c r="J38" s="188">
        <f t="shared" si="28"/>
        <v>1780604617.7799997</v>
      </c>
      <c r="K38" s="19"/>
      <c r="L38" s="188">
        <f>+L36+L26</f>
        <v>1780604617.7799997</v>
      </c>
      <c r="M38" s="18"/>
      <c r="N38" s="18"/>
      <c r="O38" s="188">
        <f t="shared" si="29" ref="O38:X38">+O36+O26</f>
        <v>118386018.53999999</v>
      </c>
      <c r="P38" s="188">
        <f t="shared" si="30" ref="P38:R38">+P36+P26</f>
        <v>8132387.5200000005</v>
      </c>
      <c r="Q38" s="188">
        <f t="shared" si="31" ref="Q38">+Q36+Q26</f>
        <v>400489.90000000002</v>
      </c>
      <c r="R38" s="188">
        <f t="shared" si="30"/>
        <v>126918895.96000001</v>
      </c>
      <c r="S38" s="188">
        <f t="shared" si="29"/>
        <v>1653667781.6799998</v>
      </c>
      <c r="T38" s="188">
        <f t="shared" si="29"/>
        <v>15718.93</v>
      </c>
      <c r="U38" s="188">
        <f t="shared" si="32" ref="U38">+U36+U26</f>
        <v>1653683500.6099999</v>
      </c>
      <c r="V38" s="188">
        <f t="shared" si="29"/>
        <v>2221.21</v>
      </c>
      <c r="W38" s="188">
        <f t="shared" si="33" ref="W38">+W36+W26</f>
        <v>0</v>
      </c>
      <c r="X38" s="188">
        <f t="shared" si="29"/>
        <v>1780604617.7799997</v>
      </c>
    </row>
    <row r="39" spans="1:24" s="8" customFormat="1" ht="15" customHeight="1">
      <c r="A39" s="16">
        <v>25</v>
      </c>
      <c r="D39" s="18"/>
      <c r="E39" s="19"/>
      <c r="F39" s="19"/>
      <c r="G39" s="19"/>
      <c r="H39" s="19"/>
      <c r="I39" s="19"/>
      <c r="J39" s="19"/>
      <c r="K39" s="19"/>
      <c r="L39" s="19"/>
      <c r="M39" s="18"/>
      <c r="N39" s="18"/>
      <c r="O39" s="19"/>
      <c r="P39" s="19"/>
      <c r="Q39" s="19"/>
      <c r="R39" s="19"/>
      <c r="S39" s="19"/>
      <c r="T39" s="19"/>
      <c r="U39" s="19"/>
      <c r="V39" s="19"/>
      <c r="W39" s="19"/>
      <c r="X39" s="19"/>
    </row>
    <row r="40" spans="1:24" s="8" customFormat="1" ht="15" customHeight="1">
      <c r="A40" s="16">
        <v>26</v>
      </c>
      <c r="D40" s="18"/>
      <c r="E40" s="19"/>
      <c r="F40" s="19"/>
      <c r="G40" s="19"/>
      <c r="H40" s="19"/>
      <c r="I40" s="19"/>
      <c r="J40" s="19"/>
      <c r="K40" s="19"/>
      <c r="L40" s="19"/>
      <c r="M40" s="18"/>
      <c r="N40" s="18"/>
      <c r="O40" s="19"/>
      <c r="P40" s="19"/>
      <c r="Q40" s="19"/>
      <c r="R40" s="19"/>
      <c r="S40" s="19"/>
      <c r="T40" s="19"/>
      <c r="U40" s="19"/>
      <c r="V40" s="19"/>
      <c r="W40" s="19"/>
      <c r="X40" s="19"/>
    </row>
    <row r="41" spans="1:24" s="8" customFormat="1" ht="15" customHeight="1">
      <c r="A41" s="16">
        <v>27</v>
      </c>
      <c r="B41" s="8" t="s">
        <v>35</v>
      </c>
      <c r="D41" s="18"/>
      <c r="E41" s="19"/>
      <c r="F41" s="19"/>
      <c r="G41" s="19"/>
      <c r="H41" s="19"/>
      <c r="I41" s="19"/>
      <c r="J41" s="19"/>
      <c r="K41" s="19"/>
      <c r="L41" s="19"/>
      <c r="M41" s="18"/>
      <c r="N41" s="25"/>
      <c r="O41" s="19"/>
      <c r="P41" s="19"/>
      <c r="Q41" s="19"/>
      <c r="R41" s="19"/>
      <c r="S41" s="19"/>
      <c r="T41" s="19"/>
      <c r="U41" s="19"/>
      <c r="V41" s="19"/>
      <c r="W41" s="19"/>
      <c r="X41" s="19"/>
    </row>
    <row r="42" spans="1:24" s="8" customFormat="1" ht="15" customHeight="1">
      <c r="A42" s="16">
        <v>28</v>
      </c>
      <c r="C42" s="15" t="s">
        <v>227</v>
      </c>
      <c r="D42" s="18" t="s">
        <v>41</v>
      </c>
      <c r="E42" s="19"/>
      <c r="F42" s="19"/>
      <c r="G42" s="19"/>
      <c r="H42" s="19"/>
      <c r="I42" s="19"/>
      <c r="J42" s="19"/>
      <c r="K42" s="19"/>
      <c r="L42" s="19"/>
      <c r="M42" s="58"/>
      <c r="N42" s="25"/>
      <c r="O42" s="19"/>
      <c r="P42" s="19"/>
      <c r="Q42" s="19"/>
      <c r="R42" s="19"/>
      <c r="S42" s="19"/>
      <c r="T42" s="19"/>
      <c r="U42" s="19"/>
      <c r="V42" s="19"/>
      <c r="W42" s="19"/>
      <c r="X42" s="19"/>
    </row>
    <row r="43" spans="1:26" s="8" customFormat="1" ht="15" customHeight="1">
      <c r="A43" s="16">
        <v>29</v>
      </c>
      <c r="B43" s="4" t="s">
        <v>250</v>
      </c>
      <c r="C43" s="23" t="s">
        <v>373</v>
      </c>
      <c r="D43" s="18"/>
      <c r="E43" s="156">
        <v>8013039.4999999907</v>
      </c>
      <c r="F43" s="156">
        <f>ROUND('II-D-1.1'!Q42,2)</f>
        <v>0</v>
      </c>
      <c r="G43" s="156">
        <f>ROUND('II-D-1.1'!R42,2)</f>
        <v>0</v>
      </c>
      <c r="H43" s="156">
        <f t="shared" si="34" ref="H43:H52">+E43-F43-G43</f>
        <v>8013039.4999999907</v>
      </c>
      <c r="I43" s="156">
        <f>+'II-D-1.1'!T42</f>
        <v>-84937.150000000023</v>
      </c>
      <c r="J43" s="156">
        <f>+H43+I43</f>
        <v>7928102.3499999903</v>
      </c>
      <c r="K43" s="159">
        <v>1</v>
      </c>
      <c r="L43" s="156">
        <f t="shared" si="35" ref="L43:L52">+J43*K43</f>
        <v>7928102.3499999903</v>
      </c>
      <c r="M43" s="58"/>
      <c r="N43" s="16"/>
      <c r="O43" s="156">
        <f>ROUND('[1]Total Summary'!C20,2)+ROUND('[2]Total Summary'!D21,2)</f>
        <v>-2246.0900000000001</v>
      </c>
      <c r="P43" s="156">
        <f>ROUND('[1]Total Summary'!D20,2)+ROUND('[2]Total Summary'!E21,2)</f>
        <v>0</v>
      </c>
      <c r="Q43" s="156">
        <f>ROUND('[1]Total Summary'!E20,2)+ROUND('[2]Total Summary'!F21,2)</f>
        <v>0</v>
      </c>
      <c r="R43" s="156">
        <f t="shared" si="36" ref="R43">SUM(O43:Q43)</f>
        <v>-2246.0900000000001</v>
      </c>
      <c r="S43" s="156">
        <f>ROUND('[1]Total Summary'!G20,2)+ROUND('[2]Total Summary'!H21,2)</f>
        <v>7329102.46</v>
      </c>
      <c r="T43" s="156">
        <f>ROUND('[1]Total Summary'!H20,2)+ROUND('[2]Total Summary'!I21,2)</f>
        <v>2529.8600000000001</v>
      </c>
      <c r="U43" s="156">
        <f t="shared" si="37" ref="U43">SUM(S43:T43)</f>
        <v>7331632.3200000003</v>
      </c>
      <c r="V43" s="156">
        <f>ROUND('[1]Total Summary'!J20,2)+ROUND('[2]Total Summary'!K21,2)</f>
        <v>580269.81000000006</v>
      </c>
      <c r="W43" s="156">
        <f>ROUND('[1]Total Summary'!K20,2)+ROUND('[2]Total Summary'!L21,2)</f>
        <v>18446.310000000001</v>
      </c>
      <c r="X43" s="156">
        <f t="shared" si="38" ref="X43:X52">+R43+U43+V43+W43</f>
        <v>7928102.3500000006</v>
      </c>
      <c r="Y43" s="4" t="b">
        <f t="shared" si="39" ref="Y43:Y52">ROUND(+X43,2)=ROUND(L43,2)</f>
        <v>1</v>
      </c>
      <c r="Z43" s="111">
        <f t="shared" si="40" ref="Z43:Z52">ROUND(+L43,2)-ROUND(X43,2)</f>
        <v>0</v>
      </c>
    </row>
    <row r="44" spans="1:26" s="4" customFormat="1" ht="15" customHeight="1">
      <c r="A44" s="16">
        <v>30</v>
      </c>
      <c r="B44" s="4" t="s">
        <v>244</v>
      </c>
      <c r="C44" s="23" t="s">
        <v>145</v>
      </c>
      <c r="E44" s="13">
        <v>9673462.1999999993</v>
      </c>
      <c r="F44" s="13">
        <v>0</v>
      </c>
      <c r="G44" s="13">
        <f>ROUND('II-D-1.1'!R43,2)</f>
        <v>0</v>
      </c>
      <c r="H44" s="13">
        <f t="shared" si="34"/>
        <v>9673462.1999999993</v>
      </c>
      <c r="I44" s="13">
        <f>+'II-D-1.1'!T43</f>
        <v>-37883.769999999997</v>
      </c>
      <c r="J44" s="13">
        <f>+H44+I44</f>
        <v>9635578.4299999997</v>
      </c>
      <c r="K44" s="159">
        <v>1</v>
      </c>
      <c r="L44" s="13">
        <f t="shared" si="35"/>
        <v>9635578.4299999997</v>
      </c>
      <c r="M44" s="24"/>
      <c r="N44" s="16"/>
      <c r="O44" s="13">
        <f>ROUND('[1]Total Summary'!C21,2)+ROUND('[2]Total Summary'!D22,2)</f>
        <v>0</v>
      </c>
      <c r="P44" s="13">
        <f>ROUND('[1]Total Summary'!D21,2)+ROUND('[2]Total Summary'!E22,2)</f>
        <v>0</v>
      </c>
      <c r="Q44" s="13">
        <f>ROUND('[1]Total Summary'!E21,2)+ROUND('[2]Total Summary'!F22,2)</f>
        <v>0</v>
      </c>
      <c r="R44" s="13">
        <f t="shared" si="41" ref="R44:R52">SUM(O44:Q44)</f>
        <v>0</v>
      </c>
      <c r="S44" s="13">
        <f>ROUND('[1]Total Summary'!G21,2)+ROUND('[2]Total Summary'!H22,2)</f>
        <v>9635578.4299999997</v>
      </c>
      <c r="T44" s="13">
        <f>ROUND('[1]Total Summary'!H21,2)+ROUND('[2]Total Summary'!I22,2)</f>
        <v>0</v>
      </c>
      <c r="U44" s="13">
        <f t="shared" si="42" ref="U44:U52">SUM(S44:T44)</f>
        <v>9635578.4299999997</v>
      </c>
      <c r="V44" s="13">
        <f>ROUND('[1]Total Summary'!J21,2)+ROUND('[2]Total Summary'!K22,2)</f>
        <v>0</v>
      </c>
      <c r="W44" s="13">
        <f>ROUND('[1]Total Summary'!K21,2)+ROUND('[2]Total Summary'!L22,2)</f>
        <v>0</v>
      </c>
      <c r="X44" s="13">
        <f t="shared" si="38"/>
        <v>9635578.4299999997</v>
      </c>
      <c r="Y44" s="4" t="b">
        <f t="shared" si="39"/>
        <v>1</v>
      </c>
      <c r="Z44" s="111">
        <f t="shared" si="40"/>
        <v>0</v>
      </c>
    </row>
    <row r="45" spans="1:26" s="4" customFormat="1" ht="15" customHeight="1">
      <c r="A45" s="16">
        <v>31</v>
      </c>
      <c r="B45" s="4" t="s">
        <v>245</v>
      </c>
      <c r="C45" s="4" t="s">
        <v>374</v>
      </c>
      <c r="D45" s="13"/>
      <c r="E45" s="13">
        <v>4154901.370000001</v>
      </c>
      <c r="F45" s="13">
        <f>ROUND('II-D-1.1'!Q44,2)</f>
        <v>0</v>
      </c>
      <c r="G45" s="13">
        <f>ROUND('II-D-1.1'!R44,2)</f>
        <v>0</v>
      </c>
      <c r="H45" s="13">
        <f t="shared" si="34"/>
        <v>4154901.370000001</v>
      </c>
      <c r="I45" s="13">
        <f>+'II-D-1.1'!T44</f>
        <v>-2107.2200000000003</v>
      </c>
      <c r="J45" s="13">
        <f t="shared" si="43" ref="J45:J52">+H45+I45</f>
        <v>4152794.1500000008</v>
      </c>
      <c r="K45" s="159">
        <v>1</v>
      </c>
      <c r="L45" s="13">
        <f t="shared" si="35"/>
        <v>4152794.1500000008</v>
      </c>
      <c r="M45" s="24"/>
      <c r="N45" s="16"/>
      <c r="O45" s="13">
        <f>ROUND('[1]Total Summary'!C22,2)+ROUND('[2]Total Summary'!D23,2)</f>
        <v>199381.69</v>
      </c>
      <c r="P45" s="13">
        <f>ROUND('[1]Total Summary'!D22,2)+ROUND('[2]Total Summary'!E23,2)</f>
        <v>0</v>
      </c>
      <c r="Q45" s="13">
        <f>ROUND('[1]Total Summary'!E22,2)+ROUND('[2]Total Summary'!F23,2)</f>
        <v>0</v>
      </c>
      <c r="R45" s="13">
        <f t="shared" si="41"/>
        <v>199381.69</v>
      </c>
      <c r="S45" s="13">
        <f>ROUND('[1]Total Summary'!G22,2)+ROUND('[2]Total Summary'!H23,2)</f>
        <v>3847591.3799999999</v>
      </c>
      <c r="T45" s="13">
        <f>ROUND('[1]Total Summary'!H22,2)+ROUND('[2]Total Summary'!I23,2)</f>
        <v>105821.08</v>
      </c>
      <c r="U45" s="13">
        <f t="shared" si="42"/>
        <v>3953412.46</v>
      </c>
      <c r="V45" s="13">
        <f>ROUND('[1]Total Summary'!J22,2)+ROUND('[2]Total Summary'!K23,2)</f>
        <v>0</v>
      </c>
      <c r="W45" s="13">
        <f>ROUND('[1]Total Summary'!K22,2)+ROUND('[2]Total Summary'!L23,2)</f>
        <v>0</v>
      </c>
      <c r="X45" s="13">
        <f t="shared" si="38"/>
        <v>4152794.1499999999</v>
      </c>
      <c r="Y45" s="4" t="b">
        <f t="shared" si="39"/>
        <v>1</v>
      </c>
      <c r="Z45" s="111">
        <f t="shared" si="40"/>
        <v>0</v>
      </c>
    </row>
    <row r="46" spans="1:26" s="4" customFormat="1" ht="15" customHeight="1">
      <c r="A46" s="16">
        <v>32</v>
      </c>
      <c r="B46" s="4" t="s">
        <v>155</v>
      </c>
      <c r="C46" s="4" t="s">
        <v>375</v>
      </c>
      <c r="D46" s="13"/>
      <c r="E46" s="13">
        <v>13630546.409999989</v>
      </c>
      <c r="F46" s="13">
        <f>ROUND('II-D-1.1'!Q45,2)</f>
        <v>0</v>
      </c>
      <c r="G46" s="13">
        <f>ROUND('II-D-1.1'!R45,2)</f>
        <v>0</v>
      </c>
      <c r="H46" s="13">
        <f t="shared" si="34"/>
        <v>13630546.409999989</v>
      </c>
      <c r="I46" s="13">
        <f>+'II-D-1.1'!T45</f>
        <v>201977.66</v>
      </c>
      <c r="J46" s="13">
        <f t="shared" si="43"/>
        <v>13832524.069999989</v>
      </c>
      <c r="K46" s="159">
        <v>1</v>
      </c>
      <c r="L46" s="13">
        <f t="shared" si="35"/>
        <v>13832524.069999989</v>
      </c>
      <c r="M46" s="24"/>
      <c r="N46" s="16"/>
      <c r="O46" s="13">
        <f>ROUND('[1]Total Summary'!C23,2)+ROUND('[2]Total Summary'!D24,2)</f>
        <v>202.09999999999999</v>
      </c>
      <c r="P46" s="13">
        <f>ROUND('[1]Total Summary'!D23,2)+ROUND('[2]Total Summary'!E24,2)</f>
        <v>0</v>
      </c>
      <c r="Q46" s="13">
        <f>ROUND('[1]Total Summary'!E23,2)+ROUND('[2]Total Summary'!F24,2)</f>
        <v>0</v>
      </c>
      <c r="R46" s="13">
        <f t="shared" si="41"/>
        <v>202.09999999999999</v>
      </c>
      <c r="S46" s="13">
        <f>ROUND('[1]Total Summary'!G23,2)+ROUND('[2]Total Summary'!H24,2)</f>
        <v>13740291.68</v>
      </c>
      <c r="T46" s="13">
        <f>ROUND('[1]Total Summary'!H23,2)+ROUND('[2]Total Summary'!I24,2)</f>
        <v>0</v>
      </c>
      <c r="U46" s="13">
        <f t="shared" si="42"/>
        <v>13740291.68</v>
      </c>
      <c r="V46" s="13">
        <f>ROUND('[1]Total Summary'!J23,2)+ROUND('[2]Total Summary'!K24,2)</f>
        <v>92030.289999999994</v>
      </c>
      <c r="W46" s="13">
        <f>ROUND('[1]Total Summary'!K23,2)+ROUND('[2]Total Summary'!L24,2)</f>
        <v>0</v>
      </c>
      <c r="X46" s="13">
        <f t="shared" si="38"/>
        <v>13832524.069999998</v>
      </c>
      <c r="Y46" s="4" t="b">
        <f t="shared" si="39"/>
        <v>1</v>
      </c>
      <c r="Z46" s="111">
        <f t="shared" si="40"/>
        <v>0</v>
      </c>
    </row>
    <row r="47" spans="1:26" s="4" customFormat="1" ht="15" customHeight="1">
      <c r="A47" s="16">
        <v>33</v>
      </c>
      <c r="B47" s="4" t="s">
        <v>246</v>
      </c>
      <c r="C47" s="4" t="s">
        <v>376</v>
      </c>
      <c r="D47" s="13"/>
      <c r="E47" s="13">
        <v>10059950.870000061</v>
      </c>
      <c r="F47" s="13">
        <f>ROUND('II-D-1.1'!Q46,2)</f>
        <v>0</v>
      </c>
      <c r="G47" s="13">
        <f>ROUND('II-D-1.1'!R46,2)</f>
        <v>0</v>
      </c>
      <c r="H47" s="13">
        <f t="shared" si="34"/>
        <v>10059950.870000061</v>
      </c>
      <c r="I47" s="13">
        <f>+'II-D-1.1'!T46</f>
        <v>18896.23</v>
      </c>
      <c r="J47" s="13">
        <f t="shared" si="43"/>
        <v>10078847.100000061</v>
      </c>
      <c r="K47" s="159">
        <v>1</v>
      </c>
      <c r="L47" s="13">
        <f t="shared" si="35"/>
        <v>10078847.100000061</v>
      </c>
      <c r="M47" s="24"/>
      <c r="N47" s="16"/>
      <c r="O47" s="13">
        <f>ROUND('[1]Total Summary'!C24,2)+ROUND('[2]Total Summary'!D25,2)</f>
        <v>0</v>
      </c>
      <c r="P47" s="13">
        <f>ROUND('[1]Total Summary'!D24,2)+ROUND('[2]Total Summary'!E25,2)</f>
        <v>0</v>
      </c>
      <c r="Q47" s="13">
        <f>ROUND('[1]Total Summary'!E24,2)+ROUND('[2]Total Summary'!F25,2)</f>
        <v>0</v>
      </c>
      <c r="R47" s="13">
        <f t="shared" si="41"/>
        <v>0</v>
      </c>
      <c r="S47" s="13">
        <f>ROUND('[1]Total Summary'!G24,2)+ROUND('[2]Total Summary'!H25,2)</f>
        <v>10071135.370000001</v>
      </c>
      <c r="T47" s="13">
        <f>ROUND('[1]Total Summary'!H24,2)+ROUND('[2]Total Summary'!I25,2)</f>
        <v>0</v>
      </c>
      <c r="U47" s="13">
        <f t="shared" si="42"/>
        <v>10071135.370000001</v>
      </c>
      <c r="V47" s="13">
        <f>ROUND('[1]Total Summary'!J24,2)+ROUND('[2]Total Summary'!K25,2)</f>
        <v>7711.7299999999996</v>
      </c>
      <c r="W47" s="13">
        <f>ROUND('[1]Total Summary'!K24,2)+ROUND('[2]Total Summary'!L25,2)</f>
        <v>0</v>
      </c>
      <c r="X47" s="13">
        <f t="shared" si="38"/>
        <v>10078847.100000002</v>
      </c>
      <c r="Y47" s="4" t="b">
        <f t="shared" si="39"/>
        <v>1</v>
      </c>
      <c r="Z47" s="111">
        <f t="shared" si="40"/>
        <v>0</v>
      </c>
    </row>
    <row r="48" spans="1:26" s="4" customFormat="1" ht="15" customHeight="1">
      <c r="A48" s="16">
        <v>34</v>
      </c>
      <c r="B48" s="4" t="s">
        <v>281</v>
      </c>
      <c r="C48" s="4" t="s">
        <v>142</v>
      </c>
      <c r="D48" s="13"/>
      <c r="E48" s="13">
        <v>729.92000000000007</v>
      </c>
      <c r="F48" s="13">
        <f>ROUND('II-D-1.1'!Q47,2)</f>
        <v>0</v>
      </c>
      <c r="G48" s="13">
        <f>ROUND('II-D-1.1'!R47,2)</f>
        <v>0</v>
      </c>
      <c r="H48" s="13">
        <f t="shared" si="34"/>
        <v>729.92000000000007</v>
      </c>
      <c r="I48" s="13">
        <f>+'II-D-1.1'!T47</f>
        <v>96.700000000000003</v>
      </c>
      <c r="J48" s="13">
        <f t="shared" si="43"/>
        <v>826.62000000000012</v>
      </c>
      <c r="K48" s="159">
        <v>1</v>
      </c>
      <c r="L48" s="13">
        <f t="shared" si="35"/>
        <v>826.62000000000012</v>
      </c>
      <c r="M48" s="24"/>
      <c r="N48" s="16"/>
      <c r="O48" s="13">
        <f>ROUND('[1]Total Summary'!C25,2)+ROUND('[2]Total Summary'!D26,2)</f>
        <v>0</v>
      </c>
      <c r="P48" s="13">
        <f>ROUND('[1]Total Summary'!D25,2)+ROUND('[2]Total Summary'!E26,2)</f>
        <v>0</v>
      </c>
      <c r="Q48" s="13">
        <f>ROUND('[1]Total Summary'!E25,2)+ROUND('[2]Total Summary'!F26,2)</f>
        <v>0</v>
      </c>
      <c r="R48" s="13">
        <f t="shared" si="41"/>
        <v>0</v>
      </c>
      <c r="S48" s="13">
        <f>ROUND('[1]Total Summary'!G25,2)+ROUND('[2]Total Summary'!H26,2)</f>
        <v>826.62</v>
      </c>
      <c r="T48" s="13">
        <f>ROUND('[1]Total Summary'!H25,2)+ROUND('[2]Total Summary'!I26,2)</f>
        <v>0</v>
      </c>
      <c r="U48" s="13">
        <f t="shared" si="42"/>
        <v>826.62</v>
      </c>
      <c r="V48" s="13">
        <f>ROUND('[1]Total Summary'!J25,2)+ROUND('[2]Total Summary'!K26,2)</f>
        <v>0</v>
      </c>
      <c r="W48" s="13">
        <f>ROUND('[1]Total Summary'!K25,2)+ROUND('[2]Total Summary'!L26,2)</f>
        <v>0</v>
      </c>
      <c r="X48" s="13">
        <f t="shared" si="38"/>
        <v>826.62</v>
      </c>
      <c r="Y48" s="4" t="b">
        <f t="shared" si="39"/>
        <v>1</v>
      </c>
      <c r="Z48" s="111">
        <f t="shared" si="40"/>
        <v>0</v>
      </c>
    </row>
    <row r="49" spans="1:26" s="4" customFormat="1" ht="15" customHeight="1">
      <c r="A49" s="16">
        <v>35</v>
      </c>
      <c r="B49" s="4" t="s">
        <v>247</v>
      </c>
      <c r="C49" s="4" t="s">
        <v>144</v>
      </c>
      <c r="D49" s="13"/>
      <c r="E49" s="13">
        <v>28481704.209999982</v>
      </c>
      <c r="F49" s="13">
        <f>ROUND('II-D-1.1'!Q48,2)</f>
        <v>0</v>
      </c>
      <c r="G49" s="13">
        <f>ROUND('II-D-1.1'!R48,2)</f>
        <v>0</v>
      </c>
      <c r="H49" s="13">
        <f t="shared" si="34"/>
        <v>28481704.209999982</v>
      </c>
      <c r="I49" s="13">
        <f>+'II-D-1.1'!T48</f>
        <v>-68363.440000000002</v>
      </c>
      <c r="J49" s="13">
        <f t="shared" si="43"/>
        <v>28413340.769999981</v>
      </c>
      <c r="K49" s="159">
        <v>1</v>
      </c>
      <c r="L49" s="13">
        <f t="shared" si="35"/>
        <v>28413340.769999981</v>
      </c>
      <c r="M49" s="24"/>
      <c r="N49" s="16"/>
      <c r="O49" s="13">
        <f>ROUND('[1]Total Summary'!C26,2)+ROUND('[2]Total Summary'!D27,2)</f>
        <v>0</v>
      </c>
      <c r="P49" s="13">
        <f>ROUND('[1]Total Summary'!D26,2)+ROUND('[2]Total Summary'!E27,2)</f>
        <v>0</v>
      </c>
      <c r="Q49" s="13">
        <f>ROUND('[1]Total Summary'!E26,2)+ROUND('[2]Total Summary'!F27,2)</f>
        <v>0</v>
      </c>
      <c r="R49" s="13">
        <f t="shared" si="41"/>
        <v>0</v>
      </c>
      <c r="S49" s="13">
        <f>ROUND('[1]Total Summary'!G26,2)+ROUND('[2]Total Summary'!H27,2)</f>
        <v>0</v>
      </c>
      <c r="T49" s="13">
        <f>ROUND('[1]Total Summary'!H26,2)+ROUND('[2]Total Summary'!I27,2)</f>
        <v>0</v>
      </c>
      <c r="U49" s="13">
        <f t="shared" si="42"/>
        <v>0</v>
      </c>
      <c r="V49" s="13">
        <f>ROUND('[1]Total Summary'!J26,2)+ROUND('[2]Total Summary'!K27,2)</f>
        <v>28413340.77</v>
      </c>
      <c r="W49" s="13">
        <f>ROUND('[1]Total Summary'!K26,2)+ROUND('[2]Total Summary'!L27,2)</f>
        <v>0</v>
      </c>
      <c r="X49" s="13">
        <f t="shared" si="38"/>
        <v>28413340.77</v>
      </c>
      <c r="Y49" s="4" t="b">
        <f t="shared" si="39"/>
        <v>1</v>
      </c>
      <c r="Z49" s="111">
        <f t="shared" si="40"/>
        <v>0</v>
      </c>
    </row>
    <row r="50" spans="1:26" s="4" customFormat="1" ht="15" customHeight="1">
      <c r="A50" s="16">
        <v>36</v>
      </c>
      <c r="B50" s="4" t="s">
        <v>248</v>
      </c>
      <c r="C50" s="4" t="s">
        <v>143</v>
      </c>
      <c r="D50" s="13"/>
      <c r="E50" s="13">
        <v>1639788.8000000005</v>
      </c>
      <c r="F50" s="13">
        <f>ROUND('II-D-1.1'!Q49,2)</f>
        <v>0</v>
      </c>
      <c r="G50" s="13">
        <f>ROUND('II-D-1.1'!R49,2)</f>
        <v>0</v>
      </c>
      <c r="H50" s="13">
        <f t="shared" si="34"/>
        <v>1639788.8000000005</v>
      </c>
      <c r="I50" s="13">
        <f>+'II-D-1.1'!T49</f>
        <v>44.789999999999999</v>
      </c>
      <c r="J50" s="13">
        <f t="shared" si="43"/>
        <v>1639833.5900000006</v>
      </c>
      <c r="K50" s="159">
        <v>1</v>
      </c>
      <c r="L50" s="13">
        <f t="shared" si="35"/>
        <v>1639833.5900000006</v>
      </c>
      <c r="M50" s="24"/>
      <c r="N50" s="16"/>
      <c r="O50" s="13">
        <f>ROUND('[1]Total Summary'!C27,2)+ROUND('[2]Total Summary'!D28,2)</f>
        <v>0</v>
      </c>
      <c r="P50" s="13">
        <f>ROUND('[1]Total Summary'!D27,2)+ROUND('[2]Total Summary'!E28,2)</f>
        <v>0</v>
      </c>
      <c r="Q50" s="13">
        <f>ROUND('[1]Total Summary'!E27,2)+ROUND('[2]Total Summary'!F28,2)</f>
        <v>0</v>
      </c>
      <c r="R50" s="13">
        <f t="shared" si="41"/>
        <v>0</v>
      </c>
      <c r="S50" s="13">
        <f>ROUND('[1]Total Summary'!G27,2)+ROUND('[2]Total Summary'!H28,2)</f>
        <v>1638488.73</v>
      </c>
      <c r="T50" s="13">
        <f>ROUND('[1]Total Summary'!H27,2)+ROUND('[2]Total Summary'!I28,2)</f>
        <v>0</v>
      </c>
      <c r="U50" s="13">
        <f t="shared" si="42"/>
        <v>1638488.73</v>
      </c>
      <c r="V50" s="13">
        <f>ROUND('[1]Total Summary'!J27,2)+ROUND('[2]Total Summary'!K28,2)</f>
        <v>1344.8599999999999</v>
      </c>
      <c r="W50" s="13">
        <f>ROUND('[1]Total Summary'!K27,2)+ROUND('[2]Total Summary'!L28,2)</f>
        <v>0</v>
      </c>
      <c r="X50" s="13">
        <f t="shared" si="38"/>
        <v>1639833.5900000001</v>
      </c>
      <c r="Y50" s="4" t="b">
        <f t="shared" si="39"/>
        <v>1</v>
      </c>
      <c r="Z50" s="111">
        <f t="shared" si="40"/>
        <v>0</v>
      </c>
    </row>
    <row r="51" spans="1:26" s="4" customFormat="1" ht="15" customHeight="1">
      <c r="A51" s="16">
        <v>37</v>
      </c>
      <c r="B51" s="4" t="s">
        <v>251</v>
      </c>
      <c r="C51" s="4" t="s">
        <v>146</v>
      </c>
      <c r="D51" s="13"/>
      <c r="E51" s="13">
        <v>61197404.489999883</v>
      </c>
      <c r="F51" s="13">
        <f>ROUND('II-D-1.1'!Q50,2)</f>
        <v>0</v>
      </c>
      <c r="G51" s="13">
        <f>ROUND('II-D-1.1'!R50,2)</f>
        <v>0</v>
      </c>
      <c r="H51" s="13">
        <f t="shared" si="34"/>
        <v>61197404.489999883</v>
      </c>
      <c r="I51" s="13">
        <f>+'II-D-1.1'!T50</f>
        <v>43336090.050000004</v>
      </c>
      <c r="J51" s="13">
        <f t="shared" si="43"/>
        <v>104533494.53999989</v>
      </c>
      <c r="K51" s="159">
        <v>1</v>
      </c>
      <c r="L51" s="13">
        <f t="shared" si="35"/>
        <v>104533494.53999989</v>
      </c>
      <c r="M51" s="24"/>
      <c r="N51" s="16"/>
      <c r="O51" s="13">
        <f>ROUND('[1]Total Summary'!C28,2)+ROUND('[2]Total Summary'!D29,2)</f>
        <v>210598.25</v>
      </c>
      <c r="P51" s="13">
        <f>ROUND('[1]Total Summary'!D28,2)+ROUND('[2]Total Summary'!E29,2)</f>
        <v>0</v>
      </c>
      <c r="Q51" s="13">
        <f>ROUND('[1]Total Summary'!E28,2)+ROUND('[2]Total Summary'!F29,2)</f>
        <v>0</v>
      </c>
      <c r="R51" s="13">
        <f t="shared" si="41"/>
        <v>210598.25</v>
      </c>
      <c r="S51" s="13">
        <f>ROUND('[1]Total Summary'!G28,2)+ROUND('[2]Total Summary'!H29,2)</f>
        <v>100499344.2</v>
      </c>
      <c r="T51" s="13">
        <f>ROUND('[1]Total Summary'!H28,2)+ROUND('[2]Total Summary'!I29,2)</f>
        <v>162.75</v>
      </c>
      <c r="U51" s="13">
        <f t="shared" si="42"/>
        <v>100499506.95</v>
      </c>
      <c r="V51" s="13">
        <f>ROUND('[1]Total Summary'!J28,2)+ROUND('[2]Total Summary'!K29,2)</f>
        <v>3498684.9199999999</v>
      </c>
      <c r="W51" s="13">
        <f>ROUND('[1]Total Summary'!K28,2)+ROUND('[2]Total Summary'!L29,2)</f>
        <v>324704.41999999998</v>
      </c>
      <c r="X51" s="13">
        <f t="shared" si="38"/>
        <v>104533494.54000001</v>
      </c>
      <c r="Y51" s="4" t="b">
        <f t="shared" si="39"/>
        <v>1</v>
      </c>
      <c r="Z51" s="111">
        <f t="shared" si="40"/>
        <v>0</v>
      </c>
    </row>
    <row r="52" spans="1:26" s="4" customFormat="1" ht="15" customHeight="1">
      <c r="A52" s="16">
        <v>38</v>
      </c>
      <c r="B52" s="4" t="s">
        <v>249</v>
      </c>
      <c r="C52" s="4" t="s">
        <v>228</v>
      </c>
      <c r="D52" s="13"/>
      <c r="E52" s="13">
        <v>281934.38</v>
      </c>
      <c r="F52" s="13">
        <f>ROUND('II-D-1.1'!Q51,2)</f>
        <v>0</v>
      </c>
      <c r="G52" s="13">
        <f>ROUND('II-D-1.1'!R51,2)</f>
        <v>0</v>
      </c>
      <c r="H52" s="13">
        <f t="shared" si="34"/>
        <v>281934.38</v>
      </c>
      <c r="I52" s="13">
        <f>+'II-D-1.1'!T51</f>
        <v>449449.64000000001</v>
      </c>
      <c r="J52" s="13">
        <f t="shared" si="43"/>
        <v>731384.02000000002</v>
      </c>
      <c r="K52" s="159">
        <v>1</v>
      </c>
      <c r="L52" s="13">
        <f t="shared" si="35"/>
        <v>731384.02000000002</v>
      </c>
      <c r="M52" s="24"/>
      <c r="N52" s="16"/>
      <c r="O52" s="13">
        <f>ROUND('[1]Total Summary'!C29,2)+ROUND('[2]Total Summary'!D30,2)</f>
        <v>0</v>
      </c>
      <c r="P52" s="13">
        <f>ROUND('[1]Total Summary'!D29,2)+ROUND('[2]Total Summary'!E30,2)</f>
        <v>0</v>
      </c>
      <c r="Q52" s="13">
        <f>ROUND('[1]Total Summary'!E29,2)+ROUND('[2]Total Summary'!F30,2)</f>
        <v>0</v>
      </c>
      <c r="R52" s="13">
        <f t="shared" si="41"/>
        <v>0</v>
      </c>
      <c r="S52" s="13">
        <f>ROUND('[1]Total Summary'!G29,2)+ROUND('[2]Total Summary'!H30,2)</f>
        <v>731384.02000000002</v>
      </c>
      <c r="T52" s="13">
        <f>ROUND('[1]Total Summary'!H29,2)+ROUND('[2]Total Summary'!I30,2)</f>
        <v>0</v>
      </c>
      <c r="U52" s="13">
        <f t="shared" si="42"/>
        <v>731384.02000000002</v>
      </c>
      <c r="V52" s="13">
        <f>ROUND('[1]Total Summary'!J29,2)+ROUND('[2]Total Summary'!K30,2)</f>
        <v>0</v>
      </c>
      <c r="W52" s="13">
        <f>ROUND('[1]Total Summary'!K29,2)+ROUND('[2]Total Summary'!L30,2)</f>
        <v>0</v>
      </c>
      <c r="X52" s="13">
        <f t="shared" si="38"/>
        <v>731384.02000000002</v>
      </c>
      <c r="Y52" s="4" t="b">
        <f t="shared" si="39"/>
        <v>1</v>
      </c>
      <c r="Z52" s="111">
        <f t="shared" si="40"/>
        <v>0</v>
      </c>
    </row>
    <row r="53" spans="1:24" s="4" customFormat="1" ht="15" customHeight="1">
      <c r="A53" s="16">
        <v>39</v>
      </c>
      <c r="D53" s="13"/>
      <c r="E53" s="124"/>
      <c r="F53" s="124"/>
      <c r="G53" s="124"/>
      <c r="H53" s="124"/>
      <c r="I53" s="124"/>
      <c r="J53" s="124"/>
      <c r="K53" s="13"/>
      <c r="L53" s="124"/>
      <c r="M53" s="24"/>
      <c r="N53" s="16"/>
      <c r="O53" s="124"/>
      <c r="P53" s="124"/>
      <c r="Q53" s="124"/>
      <c r="R53" s="124"/>
      <c r="S53" s="124"/>
      <c r="T53" s="124"/>
      <c r="U53" s="124"/>
      <c r="V53" s="124"/>
      <c r="W53" s="124"/>
      <c r="X53" s="124"/>
    </row>
    <row r="54" spans="1:24" s="8" customFormat="1" ht="15" customHeight="1">
      <c r="A54" s="16">
        <v>40</v>
      </c>
      <c r="C54" s="22" t="s">
        <v>56</v>
      </c>
      <c r="D54" s="18"/>
      <c r="E54" s="188">
        <f t="shared" si="44" ref="E54:J54">SUM(E43:E52)</f>
        <v>137133462.14999989</v>
      </c>
      <c r="F54" s="188">
        <f t="shared" si="44"/>
        <v>0</v>
      </c>
      <c r="G54" s="188">
        <f t="shared" si="44"/>
        <v>0</v>
      </c>
      <c r="H54" s="188">
        <f t="shared" si="44"/>
        <v>137133462.14999989</v>
      </c>
      <c r="I54" s="188">
        <f t="shared" si="44"/>
        <v>43813263.490000002</v>
      </c>
      <c r="J54" s="188">
        <f t="shared" si="44"/>
        <v>180946725.63999993</v>
      </c>
      <c r="K54" s="19"/>
      <c r="L54" s="188">
        <f>SUM(L43:L52)</f>
        <v>180946725.63999993</v>
      </c>
      <c r="M54" s="25"/>
      <c r="N54" s="18"/>
      <c r="O54" s="188">
        <f t="shared" si="45" ref="O54:X54">SUM(O43:O52)</f>
        <v>407935.95000000001</v>
      </c>
      <c r="P54" s="188">
        <f t="shared" si="45"/>
        <v>0</v>
      </c>
      <c r="Q54" s="188">
        <f t="shared" si="46" ref="Q54">SUM(Q43:Q52)</f>
        <v>0</v>
      </c>
      <c r="R54" s="188">
        <f t="shared" si="45"/>
        <v>407935.95000000001</v>
      </c>
      <c r="S54" s="188">
        <f t="shared" si="45"/>
        <v>147493742.89000002</v>
      </c>
      <c r="T54" s="188">
        <f t="shared" si="47" ref="T54:U54">SUM(T43:T52)</f>
        <v>108513.69</v>
      </c>
      <c r="U54" s="188">
        <f t="shared" si="47"/>
        <v>147602256.58000001</v>
      </c>
      <c r="V54" s="188">
        <f t="shared" si="45"/>
        <v>32593382.380000003</v>
      </c>
      <c r="W54" s="188">
        <f t="shared" si="48" ref="W54">SUM(W43:W52)</f>
        <v>343150.72999999998</v>
      </c>
      <c r="X54" s="188">
        <f t="shared" si="45"/>
        <v>180946725.64000002</v>
      </c>
    </row>
    <row r="55" spans="1:24" s="8" customFormat="1" ht="15" customHeight="1">
      <c r="A55" s="16">
        <v>41</v>
      </c>
      <c r="B55" s="15"/>
      <c r="D55" s="18"/>
      <c r="E55" s="125"/>
      <c r="F55" s="125"/>
      <c r="G55" s="125"/>
      <c r="H55" s="125"/>
      <c r="I55" s="125"/>
      <c r="J55" s="125"/>
      <c r="K55" s="19"/>
      <c r="L55" s="125"/>
      <c r="M55" s="58"/>
      <c r="N55" s="18"/>
      <c r="O55" s="125"/>
      <c r="P55" s="125"/>
      <c r="Q55" s="125"/>
      <c r="R55" s="125"/>
      <c r="S55" s="125"/>
      <c r="T55" s="125"/>
      <c r="U55" s="125"/>
      <c r="V55" s="125"/>
      <c r="W55" s="125"/>
      <c r="X55" s="125"/>
    </row>
    <row r="56" spans="1:24" s="8" customFormat="1" ht="15" customHeight="1">
      <c r="A56" s="16">
        <v>42</v>
      </c>
      <c r="C56" s="15" t="s">
        <v>229</v>
      </c>
      <c r="D56" s="18" t="s">
        <v>41</v>
      </c>
      <c r="E56" s="19"/>
      <c r="F56" s="19"/>
      <c r="G56" s="19"/>
      <c r="H56" s="19"/>
      <c r="I56" s="19"/>
      <c r="J56" s="19"/>
      <c r="K56" s="19"/>
      <c r="L56" s="19"/>
      <c r="M56" s="58"/>
      <c r="N56" s="25"/>
      <c r="O56" s="19"/>
      <c r="P56" s="19"/>
      <c r="Q56" s="19"/>
      <c r="R56" s="19"/>
      <c r="S56" s="19"/>
      <c r="T56" s="19"/>
      <c r="U56" s="19"/>
      <c r="V56" s="19"/>
      <c r="W56" s="19"/>
      <c r="X56" s="19"/>
    </row>
    <row r="57" spans="1:26" s="8" customFormat="1" ht="15" customHeight="1">
      <c r="A57" s="16">
        <v>43</v>
      </c>
      <c r="B57" s="4" t="s">
        <v>257</v>
      </c>
      <c r="C57" s="4" t="s">
        <v>139</v>
      </c>
      <c r="D57" s="18"/>
      <c r="E57" s="156">
        <v>2789401.1600000001</v>
      </c>
      <c r="F57" s="156">
        <f>ROUND('II-D-1.1'!Q56,2)</f>
        <v>0</v>
      </c>
      <c r="G57" s="156">
        <f>ROUND('II-D-1.1'!R56,2)</f>
        <v>0</v>
      </c>
      <c r="H57" s="156">
        <f t="shared" si="49" ref="H57:H65">+E57-F57-G57</f>
        <v>2789401.1600000001</v>
      </c>
      <c r="I57" s="156">
        <f>+'II-D-1.1'!T56</f>
        <v>63111.989999999998</v>
      </c>
      <c r="J57" s="156">
        <f>+H57+I57</f>
        <v>2852513.1500000004</v>
      </c>
      <c r="K57" s="159">
        <v>1</v>
      </c>
      <c r="L57" s="156">
        <f t="shared" si="50" ref="L57:L65">+J57*K57</f>
        <v>2852513.1500000004</v>
      </c>
      <c r="M57" s="58"/>
      <c r="N57" s="16"/>
      <c r="O57" s="156">
        <f>ROUND('[1]Total Summary'!C32,2)+ROUND('[2]Total Summary'!D33,2)</f>
        <v>17670.349999999999</v>
      </c>
      <c r="P57" s="156">
        <f>ROUND('[1]Total Summary'!D32,2)+ROUND('[2]Total Summary'!E33,2)</f>
        <v>472.73000000000002</v>
      </c>
      <c r="Q57" s="156">
        <f>ROUND('[1]Total Summary'!E32,2)+ROUND('[2]Total Summary'!F33,2)</f>
        <v>0</v>
      </c>
      <c r="R57" s="156">
        <f t="shared" si="51" ref="R57">SUM(O57:Q57)</f>
        <v>18143.079999999998</v>
      </c>
      <c r="S57" s="156">
        <f>ROUND('[1]Total Summary'!G32,2)+ROUND('[2]Total Summary'!H33,2)</f>
        <v>2100731.52</v>
      </c>
      <c r="T57" s="156">
        <f>ROUND('[1]Total Summary'!H32,2)+ROUND('[2]Total Summary'!I33,2)</f>
        <v>936.41999999999996</v>
      </c>
      <c r="U57" s="156">
        <f t="shared" si="52" ref="U57">SUM(S57:T57)</f>
        <v>2101667.9399999999</v>
      </c>
      <c r="V57" s="156">
        <f>ROUND('[1]Total Summary'!J32,2)+ROUND('[2]Total Summary'!K33,2)</f>
        <v>732702.13</v>
      </c>
      <c r="W57" s="156">
        <f>ROUND('[1]Total Summary'!K32,2)+ROUND('[2]Total Summary'!L33,2)</f>
        <v>0</v>
      </c>
      <c r="X57" s="156">
        <f t="shared" si="53" ref="X57:X65">+R57+U57+V57+W57</f>
        <v>2852513.1499999999</v>
      </c>
      <c r="Y57" s="4" t="b">
        <f t="shared" si="54" ref="Y57:Y65">ROUND(+X57,2)=ROUND(L57,2)</f>
        <v>1</v>
      </c>
      <c r="Z57" s="111">
        <f t="shared" si="55" ref="Z57:Z65">ROUND(+L57,2)-ROUND(X57,2)</f>
        <v>0</v>
      </c>
    </row>
    <row r="58" spans="1:26" s="4" customFormat="1" ht="15" customHeight="1">
      <c r="A58" s="16">
        <v>44</v>
      </c>
      <c r="B58" s="4" t="s">
        <v>252</v>
      </c>
      <c r="C58" s="30" t="s">
        <v>140</v>
      </c>
      <c r="D58" s="16"/>
      <c r="E58" s="13">
        <v>6086.420000000001</v>
      </c>
      <c r="F58" s="13">
        <f>ROUND('II-D-1.1'!Q57,2)</f>
        <v>0</v>
      </c>
      <c r="G58" s="13">
        <f>ROUND('II-D-1.1'!R57,2)</f>
        <v>0</v>
      </c>
      <c r="H58" s="13">
        <f t="shared" si="49"/>
        <v>6086.420000000001</v>
      </c>
      <c r="I58" s="13">
        <f>+'II-D-1.1'!T57</f>
        <v>0</v>
      </c>
      <c r="J58" s="13">
        <f>+H58+I58</f>
        <v>6086.420000000001</v>
      </c>
      <c r="K58" s="159">
        <v>1</v>
      </c>
      <c r="L58" s="13">
        <f t="shared" si="50"/>
        <v>6086.420000000001</v>
      </c>
      <c r="M58" s="16"/>
      <c r="N58" s="16"/>
      <c r="O58" s="13">
        <f>ROUND('[1]Total Summary'!C33,2)+ROUND('[2]Total Summary'!D34,2)</f>
        <v>287.17000000000002</v>
      </c>
      <c r="P58" s="13">
        <f>ROUND('[1]Total Summary'!D33,2)+ROUND('[2]Total Summary'!E34,2)</f>
        <v>0</v>
      </c>
      <c r="Q58" s="13">
        <f>ROUND('[1]Total Summary'!E33,2)+ROUND('[2]Total Summary'!F34,2)</f>
        <v>0</v>
      </c>
      <c r="R58" s="13">
        <f t="shared" si="56" ref="R58:R65">SUM(O58:Q58)</f>
        <v>287.17000000000002</v>
      </c>
      <c r="S58" s="13">
        <f>ROUND('[1]Total Summary'!G33,2)+ROUND('[2]Total Summary'!H34,2)</f>
        <v>5772.4399999999996</v>
      </c>
      <c r="T58" s="13">
        <f>ROUND('[1]Total Summary'!H33,2)+ROUND('[2]Total Summary'!I34,2)</f>
        <v>26.809999999999999</v>
      </c>
      <c r="U58" s="13">
        <f t="shared" si="57" ref="U58:U65">SUM(S58:T58)</f>
        <v>5799.25</v>
      </c>
      <c r="V58" s="13">
        <f>ROUND('[1]Total Summary'!J33,2)+ROUND('[2]Total Summary'!K34,2)</f>
        <v>0</v>
      </c>
      <c r="W58" s="13">
        <f>ROUND('[1]Total Summary'!K33,2)+ROUND('[2]Total Summary'!L34,2)</f>
        <v>0</v>
      </c>
      <c r="X58" s="13">
        <f t="shared" si="53"/>
        <v>6086.4200000000001</v>
      </c>
      <c r="Y58" s="4" t="b">
        <f t="shared" si="54"/>
        <v>1</v>
      </c>
      <c r="Z58" s="111">
        <f t="shared" si="55"/>
        <v>0</v>
      </c>
    </row>
    <row r="59" spans="1:26" s="4" customFormat="1" ht="15" customHeight="1">
      <c r="A59" s="16">
        <v>45</v>
      </c>
      <c r="B59" s="4" t="s">
        <v>253</v>
      </c>
      <c r="C59" s="4" t="s">
        <v>381</v>
      </c>
      <c r="D59" s="16"/>
      <c r="E59" s="13">
        <v>9945324.9200000037</v>
      </c>
      <c r="F59" s="13">
        <f>ROUND('II-D-1.1'!Q58,2)</f>
        <v>0</v>
      </c>
      <c r="G59" s="13">
        <f>ROUND('II-D-1.1'!R58,2)</f>
        <v>0</v>
      </c>
      <c r="H59" s="13">
        <f t="shared" si="49"/>
        <v>9945324.9200000037</v>
      </c>
      <c r="I59" s="13">
        <f>+'II-D-1.1'!T58</f>
        <v>43730.580000000002</v>
      </c>
      <c r="J59" s="13">
        <f t="shared" si="58" ref="J59:J65">+H59+I59</f>
        <v>9989055.5000000037</v>
      </c>
      <c r="K59" s="159">
        <v>1</v>
      </c>
      <c r="L59" s="13">
        <f t="shared" si="50"/>
        <v>9989055.5000000037</v>
      </c>
      <c r="M59" s="16"/>
      <c r="N59" s="16"/>
      <c r="O59" s="13">
        <f>ROUND('[1]Total Summary'!C34,2)+ROUND('[2]Total Summary'!D35,2)</f>
        <v>404250.23000000004</v>
      </c>
      <c r="P59" s="13">
        <f>ROUND('[1]Total Summary'!D34,2)+ROUND('[2]Total Summary'!E35,2)</f>
        <v>1989.49</v>
      </c>
      <c r="Q59" s="13">
        <f>ROUND('[1]Total Summary'!E34,2)+ROUND('[2]Total Summary'!F35,2)</f>
        <v>0</v>
      </c>
      <c r="R59" s="13">
        <f t="shared" si="56"/>
        <v>406239.72000000003</v>
      </c>
      <c r="S59" s="13">
        <f>ROUND('[1]Total Summary'!G34,2)+ROUND('[2]Total Summary'!H35,2)</f>
        <v>9278485.1099999994</v>
      </c>
      <c r="T59" s="13">
        <f>ROUND('[1]Total Summary'!H34,2)+ROUND('[2]Total Summary'!I35,2)</f>
        <v>304330.66999999998</v>
      </c>
      <c r="U59" s="13">
        <f t="shared" si="57"/>
        <v>9582815.7799999993</v>
      </c>
      <c r="V59" s="13">
        <f>ROUND('[1]Total Summary'!J34,2)+ROUND('[2]Total Summary'!K35,2)</f>
        <v>0</v>
      </c>
      <c r="W59" s="13">
        <f>ROUND('[1]Total Summary'!K34,2)+ROUND('[2]Total Summary'!L35,2)</f>
        <v>0</v>
      </c>
      <c r="X59" s="13">
        <f t="shared" si="53"/>
        <v>9989055.5</v>
      </c>
      <c r="Y59" s="4" t="b">
        <f t="shared" si="54"/>
        <v>1</v>
      </c>
      <c r="Z59" s="111">
        <f t="shared" si="55"/>
        <v>0</v>
      </c>
    </row>
    <row r="60" spans="1:26" s="4" customFormat="1" ht="15" customHeight="1">
      <c r="A60" s="16">
        <v>46</v>
      </c>
      <c r="B60" s="4" t="s">
        <v>147</v>
      </c>
      <c r="C60" s="30" t="s">
        <v>382</v>
      </c>
      <c r="D60" s="16"/>
      <c r="E60" s="13">
        <v>108041450.89999999</v>
      </c>
      <c r="F60" s="13">
        <f>ROUND('II-D-1.1'!Q59,2)</f>
        <v>0</v>
      </c>
      <c r="G60" s="13">
        <f>ROUND('II-D-1.1'!R59,2)</f>
        <v>0</v>
      </c>
      <c r="H60" s="13">
        <f t="shared" si="49"/>
        <v>108041450.89999999</v>
      </c>
      <c r="I60" s="13">
        <f>+'II-D-1.1'!T59</f>
        <v>3902299.2600000002</v>
      </c>
      <c r="J60" s="13">
        <f t="shared" si="58"/>
        <v>111943750.16</v>
      </c>
      <c r="K60" s="159">
        <v>1</v>
      </c>
      <c r="L60" s="13">
        <f t="shared" si="50"/>
        <v>111943750.16</v>
      </c>
      <c r="M60" s="16"/>
      <c r="N60" s="16"/>
      <c r="O60" s="13">
        <f>ROUND('[1]Total Summary'!C35,2)+ROUND('[2]Total Summary'!D36,2)</f>
        <v>1360.28</v>
      </c>
      <c r="P60" s="13">
        <f>ROUND('[1]Total Summary'!D35,2)+ROUND('[2]Total Summary'!E36,2)</f>
        <v>57.259999999999998</v>
      </c>
      <c r="Q60" s="13">
        <f>ROUND('[1]Total Summary'!E35,2)+ROUND('[2]Total Summary'!F36,2)</f>
        <v>0</v>
      </c>
      <c r="R60" s="13">
        <f t="shared" si="56"/>
        <v>1417.54</v>
      </c>
      <c r="S60" s="13">
        <f>ROUND('[1]Total Summary'!G35,2)+ROUND('[2]Total Summary'!H36,2)</f>
        <v>111767839.16000001</v>
      </c>
      <c r="T60" s="13">
        <f>ROUND('[1]Total Summary'!H35,2)+ROUND('[2]Total Summary'!I36,2)</f>
        <v>0</v>
      </c>
      <c r="U60" s="13">
        <f t="shared" si="57"/>
        <v>111767839.16000001</v>
      </c>
      <c r="V60" s="13">
        <f>ROUND('[1]Total Summary'!J35,2)+ROUND('[2]Total Summary'!K36,2)</f>
        <v>174493.46000000002</v>
      </c>
      <c r="W60" s="13">
        <f>ROUND('[1]Total Summary'!K35,2)+ROUND('[2]Total Summary'!L36,2)</f>
        <v>0</v>
      </c>
      <c r="X60" s="13">
        <f t="shared" si="53"/>
        <v>111943750.16000001</v>
      </c>
      <c r="Y60" s="4" t="b">
        <f t="shared" si="54"/>
        <v>1</v>
      </c>
      <c r="Z60" s="111">
        <f t="shared" si="55"/>
        <v>0</v>
      </c>
    </row>
    <row r="61" spans="1:26" s="4" customFormat="1" ht="15" customHeight="1">
      <c r="A61" s="16">
        <v>47</v>
      </c>
      <c r="B61" s="4" t="s">
        <v>148</v>
      </c>
      <c r="C61" s="4" t="s">
        <v>383</v>
      </c>
      <c r="D61" s="16"/>
      <c r="E61" s="13">
        <v>26551032.529999986</v>
      </c>
      <c r="F61" s="13">
        <f>ROUND('II-D-1.1'!Q60,2)</f>
        <v>0</v>
      </c>
      <c r="G61" s="13">
        <f>ROUND('II-D-1.1'!R60,2)</f>
        <v>0</v>
      </c>
      <c r="H61" s="13">
        <f t="shared" si="49"/>
        <v>26551032.529999986</v>
      </c>
      <c r="I61" s="13">
        <f>+'II-D-1.1'!T60</f>
        <v>3305.0300000000002</v>
      </c>
      <c r="J61" s="13">
        <f t="shared" si="58"/>
        <v>26554337.559999987</v>
      </c>
      <c r="K61" s="159">
        <v>1</v>
      </c>
      <c r="L61" s="13">
        <f t="shared" si="50"/>
        <v>26554337.559999987</v>
      </c>
      <c r="M61" s="16"/>
      <c r="N61" s="16"/>
      <c r="O61" s="13">
        <f>ROUND('[1]Total Summary'!C36,2)+ROUND('[2]Total Summary'!D37,2)</f>
        <v>0</v>
      </c>
      <c r="P61" s="13">
        <f>ROUND('[1]Total Summary'!D36,2)+ROUND('[2]Total Summary'!E37,2)</f>
        <v>0</v>
      </c>
      <c r="Q61" s="13">
        <f>ROUND('[1]Total Summary'!E36,2)+ROUND('[2]Total Summary'!F37,2)</f>
        <v>0</v>
      </c>
      <c r="R61" s="13">
        <f t="shared" si="56"/>
        <v>0</v>
      </c>
      <c r="S61" s="13">
        <f>ROUND('[1]Total Summary'!G36,2)+ROUND('[2]Total Summary'!H37,2)</f>
        <v>26516321.099999998</v>
      </c>
      <c r="T61" s="13">
        <f>ROUND('[1]Total Summary'!H36,2)+ROUND('[2]Total Summary'!I37,2)</f>
        <v>0</v>
      </c>
      <c r="U61" s="13">
        <f t="shared" si="57"/>
        <v>26516321.099999998</v>
      </c>
      <c r="V61" s="13">
        <f>ROUND('[1]Total Summary'!J36,2)+ROUND('[2]Total Summary'!K37,2)</f>
        <v>38016.459999999999</v>
      </c>
      <c r="W61" s="13">
        <f>ROUND('[1]Total Summary'!K36,2)+ROUND('[2]Total Summary'!L37,2)</f>
        <v>0</v>
      </c>
      <c r="X61" s="13">
        <f t="shared" si="53"/>
        <v>26554337.559999999</v>
      </c>
      <c r="Y61" s="4" t="b">
        <f t="shared" si="54"/>
        <v>1</v>
      </c>
      <c r="Z61" s="111">
        <f t="shared" si="55"/>
        <v>0</v>
      </c>
    </row>
    <row r="62" spans="1:26" s="4" customFormat="1" ht="15" customHeight="1">
      <c r="A62" s="16">
        <v>48</v>
      </c>
      <c r="B62" s="4" t="s">
        <v>254</v>
      </c>
      <c r="C62" s="4" t="s">
        <v>149</v>
      </c>
      <c r="D62" s="16"/>
      <c r="E62" s="13">
        <v>4997752.6500000078</v>
      </c>
      <c r="F62" s="13">
        <f>ROUND('II-D-1.1'!Q61,2)</f>
        <v>0</v>
      </c>
      <c r="G62" s="13">
        <f>ROUND('II-D-1.1'!R61,2)</f>
        <v>0</v>
      </c>
      <c r="H62" s="13">
        <f t="shared" si="49"/>
        <v>4997752.6500000078</v>
      </c>
      <c r="I62" s="13">
        <f>+'II-D-1.1'!T61</f>
        <v>12842.73</v>
      </c>
      <c r="J62" s="13">
        <f t="shared" si="58"/>
        <v>5010595.3800000083</v>
      </c>
      <c r="K62" s="159">
        <v>1</v>
      </c>
      <c r="L62" s="13">
        <f t="shared" si="50"/>
        <v>5010595.3800000083</v>
      </c>
      <c r="M62" s="16"/>
      <c r="N62" s="16"/>
      <c r="O62" s="13">
        <f>ROUND('[1]Total Summary'!C37,2)+ROUND('[2]Total Summary'!D38,2)</f>
        <v>0</v>
      </c>
      <c r="P62" s="13">
        <f>ROUND('[1]Total Summary'!D37,2)+ROUND('[2]Total Summary'!E38,2)</f>
        <v>0</v>
      </c>
      <c r="Q62" s="13">
        <f>ROUND('[1]Total Summary'!E37,2)+ROUND('[2]Total Summary'!F38,2)</f>
        <v>0</v>
      </c>
      <c r="R62" s="13">
        <f t="shared" si="56"/>
        <v>0</v>
      </c>
      <c r="S62" s="13">
        <f>ROUND('[1]Total Summary'!G37,2)+ROUND('[2]Total Summary'!H38,2)</f>
        <v>5010366.2699999996</v>
      </c>
      <c r="T62" s="13">
        <f>ROUND('[1]Total Summary'!H37,2)+ROUND('[2]Total Summary'!I38,2)</f>
        <v>0</v>
      </c>
      <c r="U62" s="13">
        <f t="shared" si="57"/>
        <v>5010366.2699999996</v>
      </c>
      <c r="V62" s="13">
        <f>ROUND('[1]Total Summary'!J37,2)+ROUND('[2]Total Summary'!K38,2)</f>
        <v>229.10999999999999</v>
      </c>
      <c r="W62" s="13">
        <f>ROUND('[1]Total Summary'!K37,2)+ROUND('[2]Total Summary'!L38,2)</f>
        <v>0</v>
      </c>
      <c r="X62" s="13">
        <f t="shared" si="53"/>
        <v>5010595.3799999999</v>
      </c>
      <c r="Y62" s="4" t="b">
        <f t="shared" si="54"/>
        <v>1</v>
      </c>
      <c r="Z62" s="111">
        <f t="shared" si="55"/>
        <v>0</v>
      </c>
    </row>
    <row r="63" spans="1:26" s="4" customFormat="1" ht="15" customHeight="1">
      <c r="A63" s="16">
        <v>49</v>
      </c>
      <c r="B63" s="4" t="s">
        <v>282</v>
      </c>
      <c r="C63" s="4" t="s">
        <v>150</v>
      </c>
      <c r="D63" s="16"/>
      <c r="E63" s="13">
        <v>9642119.3799999934</v>
      </c>
      <c r="F63" s="13">
        <f>ROUND('II-D-1.1'!Q62,2)</f>
        <v>0</v>
      </c>
      <c r="G63" s="13">
        <f>ROUND('II-D-1.1'!R62,2)</f>
        <v>0</v>
      </c>
      <c r="H63" s="13">
        <f t="shared" si="49"/>
        <v>9642119.3799999934</v>
      </c>
      <c r="I63" s="13">
        <f>+'II-D-1.1'!T62</f>
        <v>5984.96</v>
      </c>
      <c r="J63" s="13">
        <f t="shared" si="58"/>
        <v>9648104.3399999943</v>
      </c>
      <c r="K63" s="159">
        <v>1</v>
      </c>
      <c r="L63" s="13">
        <f t="shared" si="50"/>
        <v>9648104.3399999943</v>
      </c>
      <c r="M63" s="16"/>
      <c r="N63" s="16"/>
      <c r="O63" s="13">
        <f>ROUND('[1]Total Summary'!C38,2)+ROUND('[2]Total Summary'!D39,2)</f>
        <v>0</v>
      </c>
      <c r="P63" s="13">
        <f>ROUND('[1]Total Summary'!D38,2)+ROUND('[2]Total Summary'!E39,2)</f>
        <v>0</v>
      </c>
      <c r="Q63" s="13">
        <f>ROUND('[1]Total Summary'!E38,2)+ROUND('[2]Total Summary'!F39,2)</f>
        <v>0</v>
      </c>
      <c r="R63" s="13">
        <f t="shared" si="56"/>
        <v>0</v>
      </c>
      <c r="S63" s="13">
        <f>ROUND('[1]Total Summary'!G38,2)+ROUND('[2]Total Summary'!H39,2)</f>
        <v>9632071.0899999999</v>
      </c>
      <c r="T63" s="13">
        <f>ROUND('[1]Total Summary'!H38,2)+ROUND('[2]Total Summary'!I39,2)</f>
        <v>0</v>
      </c>
      <c r="U63" s="13">
        <f t="shared" si="57"/>
        <v>9632071.0899999999</v>
      </c>
      <c r="V63" s="13">
        <f>ROUND('[1]Total Summary'!J38,2)+ROUND('[2]Total Summary'!K39,2)</f>
        <v>16033.25</v>
      </c>
      <c r="W63" s="13">
        <f>ROUND('[1]Total Summary'!K38,2)+ROUND('[2]Total Summary'!L39,2)</f>
        <v>0</v>
      </c>
      <c r="X63" s="13">
        <f t="shared" si="53"/>
        <v>9648104.3399999999</v>
      </c>
      <c r="Y63" s="4" t="b">
        <f t="shared" si="54"/>
        <v>1</v>
      </c>
      <c r="Z63" s="111">
        <f t="shared" si="55"/>
        <v>0</v>
      </c>
    </row>
    <row r="64" spans="1:26" s="4" customFormat="1" ht="15" customHeight="1">
      <c r="A64" s="16">
        <v>50</v>
      </c>
      <c r="B64" s="4" t="s">
        <v>256</v>
      </c>
      <c r="C64" s="4" t="s">
        <v>151</v>
      </c>
      <c r="D64" s="16"/>
      <c r="E64" s="13">
        <v>16435498.550000012</v>
      </c>
      <c r="F64" s="13">
        <f>ROUND('II-D-1.1'!Q63,2)</f>
        <v>0</v>
      </c>
      <c r="G64" s="13">
        <f>ROUND('II-D-1.1'!R63,2)</f>
        <v>0</v>
      </c>
      <c r="H64" s="13">
        <f t="shared" si="49"/>
        <v>16435498.550000012</v>
      </c>
      <c r="I64" s="13">
        <f>+'II-D-1.1'!T63</f>
        <v>191479.30000000002</v>
      </c>
      <c r="J64" s="13">
        <f t="shared" si="58"/>
        <v>16626977.850000013</v>
      </c>
      <c r="K64" s="159">
        <v>1</v>
      </c>
      <c r="L64" s="13">
        <f t="shared" si="50"/>
        <v>16626977.850000013</v>
      </c>
      <c r="M64" s="16"/>
      <c r="N64" s="16"/>
      <c r="O64" s="13">
        <f>ROUND('[1]Total Summary'!C39,2)+ROUND('[2]Total Summary'!D40,2)</f>
        <v>0</v>
      </c>
      <c r="P64" s="13">
        <f>ROUND('[1]Total Summary'!D39,2)+ROUND('[2]Total Summary'!E40,2)</f>
        <v>0</v>
      </c>
      <c r="Q64" s="13">
        <f>ROUND('[1]Total Summary'!E39,2)+ROUND('[2]Total Summary'!F40,2)</f>
        <v>0</v>
      </c>
      <c r="R64" s="13">
        <f t="shared" si="56"/>
        <v>0</v>
      </c>
      <c r="S64" s="13">
        <f>ROUND('[1]Total Summary'!G39,2)+ROUND('[2]Total Summary'!H40,2)</f>
        <v>-13076.33</v>
      </c>
      <c r="T64" s="13">
        <f>ROUND('[1]Total Summary'!H39,2)+ROUND('[2]Total Summary'!I40,2)</f>
        <v>0</v>
      </c>
      <c r="U64" s="13">
        <f t="shared" si="57"/>
        <v>-13076.33</v>
      </c>
      <c r="V64" s="13">
        <f>ROUND('[1]Total Summary'!J39,2)+ROUND('[2]Total Summary'!K40,2)</f>
        <v>16640054.180000002</v>
      </c>
      <c r="W64" s="13">
        <f>ROUND('[1]Total Summary'!K39,2)+ROUND('[2]Total Summary'!L40,2)</f>
        <v>0</v>
      </c>
      <c r="X64" s="13">
        <f t="shared" si="53"/>
        <v>16626977.850000002</v>
      </c>
      <c r="Y64" s="4" t="b">
        <f t="shared" si="54"/>
        <v>1</v>
      </c>
      <c r="Z64" s="111">
        <f t="shared" si="55"/>
        <v>0</v>
      </c>
    </row>
    <row r="65" spans="1:26" s="4" customFormat="1" ht="15" customHeight="1">
      <c r="A65" s="16">
        <v>51</v>
      </c>
      <c r="B65" s="4" t="s">
        <v>285</v>
      </c>
      <c r="C65" s="4" t="s">
        <v>152</v>
      </c>
      <c r="D65" s="16"/>
      <c r="E65" s="13">
        <v>2221844.9499999965</v>
      </c>
      <c r="F65" s="13">
        <f>ROUND('II-D-1.1'!Q64,2)</f>
        <v>0</v>
      </c>
      <c r="G65" s="13">
        <f>ROUND('II-D-1.1'!R64,2)</f>
        <v>0</v>
      </c>
      <c r="H65" s="13">
        <f t="shared" si="49"/>
        <v>2221844.9499999965</v>
      </c>
      <c r="I65" s="13">
        <f>+'II-D-1.1'!T64</f>
        <v>-18609.950000000001</v>
      </c>
      <c r="J65" s="13">
        <f t="shared" si="58"/>
        <v>2203234.9999999963</v>
      </c>
      <c r="K65" s="159">
        <v>1</v>
      </c>
      <c r="L65" s="13">
        <f t="shared" si="50"/>
        <v>2203234.9999999963</v>
      </c>
      <c r="M65" s="16"/>
      <c r="N65" s="16"/>
      <c r="O65" s="13">
        <f>ROUND('[1]Total Summary'!C40,2)+ROUND('[2]Total Summary'!D41,2)</f>
        <v>0</v>
      </c>
      <c r="P65" s="13">
        <f>ROUND('[1]Total Summary'!D40,2)+ROUND('[2]Total Summary'!E41,2)</f>
        <v>0</v>
      </c>
      <c r="Q65" s="13">
        <f>ROUND('[1]Total Summary'!E40,2)+ROUND('[2]Total Summary'!F41,2)</f>
        <v>0</v>
      </c>
      <c r="R65" s="13">
        <f t="shared" si="56"/>
        <v>0</v>
      </c>
      <c r="S65" s="13">
        <f>ROUND('[1]Total Summary'!G40,2)+ROUND('[2]Total Summary'!H41,2)</f>
        <v>2165091.9399999999</v>
      </c>
      <c r="T65" s="13">
        <f>ROUND('[1]Total Summary'!H40,2)+ROUND('[2]Total Summary'!I41,2)</f>
        <v>39.609999999999999</v>
      </c>
      <c r="U65" s="13">
        <f t="shared" si="57"/>
        <v>2165131.5499999998</v>
      </c>
      <c r="V65" s="13">
        <f>ROUND('[1]Total Summary'!J40,2)+ROUND('[2]Total Summary'!K41,2)</f>
        <v>38103.449999999997</v>
      </c>
      <c r="W65" s="13">
        <f>ROUND('[1]Total Summary'!K40,2)+ROUND('[2]Total Summary'!L41,2)</f>
        <v>0</v>
      </c>
      <c r="X65" s="13">
        <f t="shared" si="53"/>
        <v>2203235</v>
      </c>
      <c r="Y65" s="4" t="b">
        <f t="shared" si="54"/>
        <v>1</v>
      </c>
      <c r="Z65" s="111">
        <f t="shared" si="55"/>
        <v>0</v>
      </c>
    </row>
    <row r="66" spans="1:24" s="4" customFormat="1" ht="15" customHeight="1">
      <c r="A66" s="16">
        <v>52</v>
      </c>
      <c r="D66" s="16"/>
      <c r="E66" s="124"/>
      <c r="F66" s="124"/>
      <c r="G66" s="124"/>
      <c r="H66" s="124"/>
      <c r="I66" s="124"/>
      <c r="J66" s="124"/>
      <c r="K66" s="13"/>
      <c r="L66" s="124"/>
      <c r="M66" s="25"/>
      <c r="N66" s="18"/>
      <c r="O66" s="124"/>
      <c r="P66" s="124"/>
      <c r="Q66" s="124"/>
      <c r="R66" s="124"/>
      <c r="S66" s="124"/>
      <c r="T66" s="124"/>
      <c r="U66" s="124"/>
      <c r="V66" s="124"/>
      <c r="W66" s="124"/>
      <c r="X66" s="124"/>
    </row>
    <row r="67" spans="1:24" s="4" customFormat="1" ht="15" customHeight="1">
      <c r="A67" s="16">
        <v>53</v>
      </c>
      <c r="C67" s="22" t="s">
        <v>57</v>
      </c>
      <c r="D67" s="16"/>
      <c r="E67" s="188">
        <f t="shared" si="59" ref="E67:J67">SUM(E57:E65)</f>
        <v>180630511.45999998</v>
      </c>
      <c r="F67" s="188">
        <f t="shared" si="59"/>
        <v>0</v>
      </c>
      <c r="G67" s="188">
        <f t="shared" si="59"/>
        <v>0</v>
      </c>
      <c r="H67" s="188">
        <f t="shared" si="59"/>
        <v>180630511.45999998</v>
      </c>
      <c r="I67" s="188">
        <f t="shared" si="59"/>
        <v>4204143.8999999994</v>
      </c>
      <c r="J67" s="188">
        <f t="shared" si="59"/>
        <v>184834655.36000001</v>
      </c>
      <c r="K67" s="19"/>
      <c r="L67" s="188">
        <f>SUM(L57:L65)</f>
        <v>184834655.36000001</v>
      </c>
      <c r="M67" s="16"/>
      <c r="N67" s="16"/>
      <c r="O67" s="188">
        <f t="shared" si="60" ref="O67:X67">SUM(O57:O65)</f>
        <v>423568.03000000009</v>
      </c>
      <c r="P67" s="188">
        <f t="shared" si="61" ref="P67:R67">SUM(P57:P65)</f>
        <v>2519.4800000000005</v>
      </c>
      <c r="Q67" s="188">
        <f t="shared" si="62" ref="Q67">SUM(Q57:Q65)</f>
        <v>0</v>
      </c>
      <c r="R67" s="188">
        <f t="shared" si="61"/>
        <v>426087.51000000001</v>
      </c>
      <c r="S67" s="188">
        <f t="shared" si="60"/>
        <v>166463602.30000001</v>
      </c>
      <c r="T67" s="188">
        <f t="shared" si="60"/>
        <v>305333.50999999995</v>
      </c>
      <c r="U67" s="188">
        <f t="shared" si="63" ref="U67">SUM(U57:U65)</f>
        <v>166768935.81000003</v>
      </c>
      <c r="V67" s="188">
        <f t="shared" si="60"/>
        <v>17639632.039999999</v>
      </c>
      <c r="W67" s="188">
        <f t="shared" si="64" ref="W67">SUM(W57:W65)</f>
        <v>0</v>
      </c>
      <c r="X67" s="188">
        <f t="shared" si="60"/>
        <v>184834655.36000001</v>
      </c>
    </row>
    <row r="68" spans="1:24" s="4" customFormat="1" ht="15" customHeight="1">
      <c r="A68" s="16">
        <v>54</v>
      </c>
      <c r="D68" s="16"/>
      <c r="E68" s="124"/>
      <c r="F68" s="124"/>
      <c r="G68" s="124"/>
      <c r="H68" s="124"/>
      <c r="I68" s="124"/>
      <c r="J68" s="124"/>
      <c r="K68" s="13"/>
      <c r="L68" s="124"/>
      <c r="M68" s="16"/>
      <c r="N68" s="16"/>
      <c r="O68" s="124"/>
      <c r="P68" s="124"/>
      <c r="Q68" s="124"/>
      <c r="R68" s="124"/>
      <c r="S68" s="124"/>
      <c r="T68" s="124"/>
      <c r="U68" s="124"/>
      <c r="V68" s="124"/>
      <c r="W68" s="124"/>
      <c r="X68" s="124"/>
    </row>
    <row r="69" spans="1:24" s="8" customFormat="1" ht="15" customHeight="1">
      <c r="A69" s="16">
        <v>55</v>
      </c>
      <c r="B69" s="8" t="s">
        <v>93</v>
      </c>
      <c r="D69" s="18" t="s">
        <v>41</v>
      </c>
      <c r="E69" s="188">
        <f t="shared" si="65" ref="E69:J69">+E67+E54</f>
        <v>317763973.6099999</v>
      </c>
      <c r="F69" s="188">
        <f t="shared" si="65"/>
        <v>0</v>
      </c>
      <c r="G69" s="188">
        <f t="shared" si="65"/>
        <v>0</v>
      </c>
      <c r="H69" s="188">
        <f t="shared" si="65"/>
        <v>317763973.6099999</v>
      </c>
      <c r="I69" s="188">
        <f t="shared" si="65"/>
        <v>48017407.390000001</v>
      </c>
      <c r="J69" s="188">
        <f t="shared" si="65"/>
        <v>365781380.99999994</v>
      </c>
      <c r="K69" s="19"/>
      <c r="L69" s="188">
        <f>+L67+L54</f>
        <v>365781380.99999994</v>
      </c>
      <c r="M69" s="18"/>
      <c r="N69" s="18"/>
      <c r="O69" s="188">
        <f t="shared" si="66" ref="O69:X69">+O67+O54</f>
        <v>831503.9800000001</v>
      </c>
      <c r="P69" s="188">
        <f t="shared" si="67" ref="P69:R69">+P67+P54</f>
        <v>2519.4800000000005</v>
      </c>
      <c r="Q69" s="188">
        <f t="shared" si="68" ref="Q69">+Q67+Q54</f>
        <v>0</v>
      </c>
      <c r="R69" s="188">
        <f t="shared" si="67"/>
        <v>834023.45999999996</v>
      </c>
      <c r="S69" s="188">
        <f t="shared" si="66"/>
        <v>313957345.19000006</v>
      </c>
      <c r="T69" s="188">
        <f t="shared" si="66"/>
        <v>413847.19999999995</v>
      </c>
      <c r="U69" s="188">
        <f t="shared" si="69" ref="U69">+U67+U54</f>
        <v>314371192.39000005</v>
      </c>
      <c r="V69" s="188">
        <f t="shared" si="66"/>
        <v>50233014.420000002</v>
      </c>
      <c r="W69" s="188">
        <f t="shared" si="70" ref="W69">+W67+W54</f>
        <v>343150.72999999998</v>
      </c>
      <c r="X69" s="188">
        <f t="shared" si="66"/>
        <v>365781381</v>
      </c>
    </row>
    <row r="70" spans="1:24" s="8" customFormat="1" ht="15" customHeight="1">
      <c r="A70" s="16">
        <v>56</v>
      </c>
      <c r="D70" s="18"/>
      <c r="E70" s="19"/>
      <c r="F70" s="19"/>
      <c r="G70" s="19"/>
      <c r="H70" s="19"/>
      <c r="I70" s="19"/>
      <c r="J70" s="19"/>
      <c r="K70" s="19"/>
      <c r="L70" s="19"/>
      <c r="M70" s="18"/>
      <c r="N70" s="18"/>
      <c r="O70" s="19"/>
      <c r="P70" s="19"/>
      <c r="Q70" s="19"/>
      <c r="R70" s="19"/>
      <c r="S70" s="19"/>
      <c r="T70" s="19"/>
      <c r="U70" s="19"/>
      <c r="V70" s="19"/>
      <c r="W70" s="19"/>
      <c r="X70" s="19"/>
    </row>
    <row r="71" spans="1:24" s="4" customFormat="1" ht="15" customHeight="1">
      <c r="A71" s="16">
        <v>57</v>
      </c>
      <c r="C71" s="8"/>
      <c r="D71" s="18"/>
      <c r="E71" s="19"/>
      <c r="F71" s="19"/>
      <c r="G71" s="19"/>
      <c r="H71" s="19"/>
      <c r="I71" s="19"/>
      <c r="J71" s="19"/>
      <c r="K71" s="19"/>
      <c r="L71" s="13"/>
      <c r="M71" s="18"/>
      <c r="N71" s="18"/>
      <c r="O71" s="13"/>
      <c r="P71" s="13"/>
      <c r="Q71" s="13"/>
      <c r="R71" s="13"/>
      <c r="S71" s="13"/>
      <c r="T71" s="13"/>
      <c r="U71" s="13"/>
      <c r="V71" s="13"/>
      <c r="W71" s="13"/>
      <c r="X71" s="13"/>
    </row>
    <row r="72" spans="1:24" s="8" customFormat="1" ht="15" customHeight="1">
      <c r="A72" s="16">
        <v>58</v>
      </c>
      <c r="C72" s="15" t="s">
        <v>161</v>
      </c>
      <c r="D72" s="18" t="s">
        <v>41</v>
      </c>
      <c r="E72" s="19"/>
      <c r="F72" s="19"/>
      <c r="G72" s="19"/>
      <c r="H72" s="19"/>
      <c r="I72" s="19"/>
      <c r="J72" s="19"/>
      <c r="K72" s="19"/>
      <c r="L72" s="19"/>
      <c r="M72" s="58"/>
      <c r="N72" s="25"/>
      <c r="O72" s="19"/>
      <c r="P72" s="19"/>
      <c r="Q72" s="19"/>
      <c r="R72" s="19"/>
      <c r="S72" s="19"/>
      <c r="T72" s="19"/>
      <c r="U72" s="19"/>
      <c r="V72" s="19"/>
      <c r="W72" s="19"/>
      <c r="X72" s="19"/>
    </row>
    <row r="73" spans="1:26" s="4" customFormat="1" ht="15" customHeight="1">
      <c r="A73" s="16">
        <v>59</v>
      </c>
      <c r="B73" s="4" t="s">
        <v>260</v>
      </c>
      <c r="C73" s="4" t="s">
        <v>261</v>
      </c>
      <c r="D73" s="16"/>
      <c r="E73" s="156">
        <v>15971.100000000002</v>
      </c>
      <c r="F73" s="156">
        <f>ROUND('II-D-1.1'!Q72,2)</f>
        <v>0</v>
      </c>
      <c r="G73" s="156">
        <f>ROUND('II-D-1.1'!R72,2)</f>
        <v>0</v>
      </c>
      <c r="H73" s="156">
        <f t="shared" si="71" ref="H73:H77">+E73-F73-G73</f>
        <v>15971.100000000002</v>
      </c>
      <c r="I73" s="156">
        <f>+'II-D-1.1'!T72</f>
        <v>-192.33000000000001</v>
      </c>
      <c r="J73" s="156">
        <f>+H73+I73</f>
        <v>15778.770000000002</v>
      </c>
      <c r="K73" s="159">
        <v>1</v>
      </c>
      <c r="L73" s="156">
        <f>+J73*K73</f>
        <v>15778.770000000002</v>
      </c>
      <c r="M73" s="16"/>
      <c r="N73" s="16"/>
      <c r="O73" s="156">
        <f>ROUND('[1]Total Summary'!C43,2)+ROUND('[2]Total Summary'!D44,2)</f>
        <v>0</v>
      </c>
      <c r="P73" s="156">
        <f>ROUND('[1]Total Summary'!D43,2)+ROUND('[2]Total Summary'!E44,2)</f>
        <v>0</v>
      </c>
      <c r="Q73" s="156">
        <f>ROUND('[1]Total Summary'!E43,2)+ROUND('[2]Total Summary'!F44,2)</f>
        <v>0</v>
      </c>
      <c r="R73" s="156">
        <f t="shared" si="72" ref="R73">SUM(O73:Q73)</f>
        <v>0</v>
      </c>
      <c r="S73" s="156">
        <f>ROUND('[1]Total Summary'!G43,2)+ROUND('[2]Total Summary'!H44,2)</f>
        <v>114.29000000000001</v>
      </c>
      <c r="T73" s="156">
        <f>ROUND('[1]Total Summary'!H43,2)+ROUND('[2]Total Summary'!I44,2)</f>
        <v>0</v>
      </c>
      <c r="U73" s="156">
        <f t="shared" si="73" ref="U73">SUM(S73:T73)</f>
        <v>114.29000000000001</v>
      </c>
      <c r="V73" s="156">
        <f>ROUND('[1]Total Summary'!J43,2)+ROUND('[2]Total Summary'!K44,2)</f>
        <v>13613.24</v>
      </c>
      <c r="W73" s="156">
        <f>ROUND('[1]Total Summary'!K43,2)+ROUND('[2]Total Summary'!L44,2)</f>
        <v>2051.2399999999998</v>
      </c>
      <c r="X73" s="156">
        <f t="shared" si="74" ref="X73:X77">+R73+U73+V73+W73</f>
        <v>15778.77</v>
      </c>
      <c r="Y73" s="4" t="b">
        <f>ROUND(+X73,2)=ROUND(L73,2)</f>
        <v>1</v>
      </c>
      <c r="Z73" s="111">
        <f>ROUND(+L73,2)-ROUND(X73,2)</f>
        <v>0</v>
      </c>
    </row>
    <row r="74" spans="1:26" s="4" customFormat="1" ht="15" customHeight="1">
      <c r="A74" s="16">
        <v>60</v>
      </c>
      <c r="B74" s="4" t="s">
        <v>259</v>
      </c>
      <c r="C74" s="4" t="s">
        <v>166</v>
      </c>
      <c r="D74" s="16"/>
      <c r="E74" s="13">
        <v>124810.91</v>
      </c>
      <c r="F74" s="13">
        <f>ROUND('II-D-1.1'!Q73,2)</f>
        <v>0</v>
      </c>
      <c r="G74" s="13">
        <f>ROUND('II-D-1.1'!R73,2)</f>
        <v>0</v>
      </c>
      <c r="H74" s="13">
        <f t="shared" si="71"/>
        <v>124810.91</v>
      </c>
      <c r="I74" s="13">
        <f>+'II-D-1.1'!T73</f>
        <v>-53535.25</v>
      </c>
      <c r="J74" s="13">
        <f>+H74+I74</f>
        <v>71275.660000000003</v>
      </c>
      <c r="K74" s="159">
        <v>1</v>
      </c>
      <c r="L74" s="13">
        <f>+J74*K74</f>
        <v>71275.660000000003</v>
      </c>
      <c r="M74" s="16"/>
      <c r="N74" s="16"/>
      <c r="O74" s="13">
        <f>ROUND('[1]Total Summary'!C44,2)+ROUND('[2]Total Summary'!D45,2)</f>
        <v>0</v>
      </c>
      <c r="P74" s="13">
        <f>ROUND('[1]Total Summary'!D44,2)+ROUND('[2]Total Summary'!E45,2)</f>
        <v>0</v>
      </c>
      <c r="Q74" s="13">
        <f>ROUND('[1]Total Summary'!E44,2)+ROUND('[2]Total Summary'!F45,2)</f>
        <v>0</v>
      </c>
      <c r="R74" s="13">
        <f t="shared" si="75" ref="R74:R77">SUM(O74:Q74)</f>
        <v>0</v>
      </c>
      <c r="S74" s="13">
        <f>ROUND('[1]Total Summary'!G44,2)+ROUND('[2]Total Summary'!H45,2)</f>
        <v>0</v>
      </c>
      <c r="T74" s="13">
        <f>ROUND('[1]Total Summary'!H44,2)+ROUND('[2]Total Summary'!I45,2)</f>
        <v>0</v>
      </c>
      <c r="U74" s="13">
        <f t="shared" si="76" ref="U74:U77">SUM(S74:T74)</f>
        <v>0</v>
      </c>
      <c r="V74" s="13">
        <f>ROUND('[1]Total Summary'!J44,2)+ROUND('[2]Total Summary'!K45,2)</f>
        <v>71275.660000000003</v>
      </c>
      <c r="W74" s="13">
        <f>ROUND('[1]Total Summary'!K44,2)+ROUND('[2]Total Summary'!L45,2)</f>
        <v>0</v>
      </c>
      <c r="X74" s="13">
        <f t="shared" si="74"/>
        <v>71275.660000000003</v>
      </c>
      <c r="Y74" s="4" t="b">
        <f>ROUND(+X74,2)=ROUND(L74,2)</f>
        <v>1</v>
      </c>
      <c r="Z74" s="111">
        <f>ROUND(+L74,2)-ROUND(X74,2)</f>
        <v>0</v>
      </c>
    </row>
    <row r="75" spans="1:26" s="4" customFormat="1" ht="15" customHeight="1">
      <c r="A75" s="16">
        <v>61</v>
      </c>
      <c r="B75" s="4" t="s">
        <v>286</v>
      </c>
      <c r="C75" s="4" t="s">
        <v>396</v>
      </c>
      <c r="D75" s="16"/>
      <c r="E75" s="13">
        <v>19519858.129999995</v>
      </c>
      <c r="F75" s="13">
        <f>ROUND('II-D-1.1'!Q74,2)</f>
        <v>0</v>
      </c>
      <c r="G75" s="13">
        <f>ROUND('II-D-1.1'!R74,2)</f>
        <v>0</v>
      </c>
      <c r="H75" s="13">
        <f t="shared" si="71"/>
        <v>19519858.129999995</v>
      </c>
      <c r="I75" s="13">
        <f>+'II-D-1.1'!T74</f>
        <v>271072.41999999998</v>
      </c>
      <c r="J75" s="13">
        <f>+H75+I75</f>
        <v>19790930.549999997</v>
      </c>
      <c r="K75" s="159">
        <v>1</v>
      </c>
      <c r="L75" s="13">
        <f>+J75*K75</f>
        <v>19790930.549999997</v>
      </c>
      <c r="M75" s="16"/>
      <c r="N75" s="16"/>
      <c r="O75" s="13">
        <f>ROUND('[1]Total Summary'!C45,2)+ROUND('[2]Total Summary'!D46,2)</f>
        <v>0</v>
      </c>
      <c r="P75" s="13">
        <f>ROUND('[1]Total Summary'!D45,2)+ROUND('[2]Total Summary'!E46,2)</f>
        <v>0</v>
      </c>
      <c r="Q75" s="13">
        <f>ROUND('[1]Total Summary'!E45,2)+ROUND('[2]Total Summary'!F46,2)</f>
        <v>0</v>
      </c>
      <c r="R75" s="13">
        <f t="shared" si="75"/>
        <v>0</v>
      </c>
      <c r="S75" s="13">
        <f>ROUND('[1]Total Summary'!G45,2)+ROUND('[2]Total Summary'!H46,2)</f>
        <v>10743.190000000001</v>
      </c>
      <c r="T75" s="13">
        <f>ROUND('[1]Total Summary'!H45,2)+ROUND('[2]Total Summary'!I46,2)</f>
        <v>0</v>
      </c>
      <c r="U75" s="13">
        <f t="shared" si="76"/>
        <v>10743.190000000001</v>
      </c>
      <c r="V75" s="13">
        <f>ROUND('[1]Total Summary'!J45,2)+ROUND('[2]Total Summary'!K46,2)</f>
        <v>8608120.5200000014</v>
      </c>
      <c r="W75" s="13">
        <f>ROUND('[1]Total Summary'!K45,2)+ROUND('[2]Total Summary'!L46,2)</f>
        <v>11172066.84</v>
      </c>
      <c r="X75" s="13">
        <f t="shared" si="74"/>
        <v>19790930.550000001</v>
      </c>
      <c r="Y75" s="4" t="b">
        <f>ROUND(+X75,2)=ROUND(L75,2)</f>
        <v>1</v>
      </c>
      <c r="Z75" s="111">
        <f>ROUND(+L75,2)-ROUND(X75,2)</f>
        <v>0</v>
      </c>
    </row>
    <row r="76" spans="1:26" s="4" customFormat="1" ht="15" customHeight="1">
      <c r="A76" s="16">
        <v>62</v>
      </c>
      <c r="B76" s="4" t="s">
        <v>262</v>
      </c>
      <c r="C76" s="4" t="s">
        <v>263</v>
      </c>
      <c r="D76" s="16"/>
      <c r="E76" s="13">
        <v>777311.67999999993</v>
      </c>
      <c r="F76" s="13">
        <f>ROUND('II-D-1.1'!Q75,2)</f>
        <v>0</v>
      </c>
      <c r="G76" s="13">
        <f>ROUND('II-D-1.1'!R75,2)</f>
        <v>0</v>
      </c>
      <c r="H76" s="13">
        <f t="shared" si="71"/>
        <v>777311.67999999993</v>
      </c>
      <c r="I76" s="13">
        <f>+'II-D-1.1'!T75</f>
        <v>993707.65000000002</v>
      </c>
      <c r="J76" s="13">
        <f>+H76+I76</f>
        <v>1771019.3300000001</v>
      </c>
      <c r="K76" s="159">
        <v>1</v>
      </c>
      <c r="L76" s="13">
        <f>+J76*K76</f>
        <v>1771019.3300000001</v>
      </c>
      <c r="M76" s="16"/>
      <c r="N76" s="16"/>
      <c r="O76" s="13">
        <f>ROUND('[1]Total Summary'!C46,2)+ROUND('[2]Total Summary'!D47,2)</f>
        <v>87420.859999999986</v>
      </c>
      <c r="P76" s="13">
        <f>ROUND('[1]Total Summary'!D46,2)+ROUND('[2]Total Summary'!E47,2)</f>
        <v>0</v>
      </c>
      <c r="Q76" s="13">
        <f>ROUND('[1]Total Summary'!E46,2)+ROUND('[2]Total Summary'!F47,2)</f>
        <v>0</v>
      </c>
      <c r="R76" s="13">
        <f t="shared" si="75"/>
        <v>87420.859999999986</v>
      </c>
      <c r="S76" s="13">
        <f>ROUND('[1]Total Summary'!G46,2)+ROUND('[2]Total Summary'!H47,2)</f>
        <v>-16239.889999999999</v>
      </c>
      <c r="T76" s="13">
        <f>ROUND('[1]Total Summary'!H46,2)+ROUND('[2]Total Summary'!I47,2)</f>
        <v>0</v>
      </c>
      <c r="U76" s="13">
        <f t="shared" si="76"/>
        <v>-16239.889999999999</v>
      </c>
      <c r="V76" s="13">
        <f>ROUND('[1]Total Summary'!J46,2)+ROUND('[2]Total Summary'!K47,2)</f>
        <v>0</v>
      </c>
      <c r="W76" s="13">
        <f>ROUND('[1]Total Summary'!K46,2)+ROUND('[2]Total Summary'!L47,2)</f>
        <v>1699838.3599999999</v>
      </c>
      <c r="X76" s="13">
        <f t="shared" si="74"/>
        <v>1771019.3299999998</v>
      </c>
      <c r="Y76" s="4" t="b">
        <f>ROUND(+X76,2)=ROUND(L76,2)</f>
        <v>1</v>
      </c>
      <c r="Z76" s="111">
        <f>ROUND(+L76,2)-ROUND(X76,2)</f>
        <v>0</v>
      </c>
    </row>
    <row r="77" spans="1:26" s="4" customFormat="1" ht="15" customHeight="1">
      <c r="A77" s="16">
        <v>63</v>
      </c>
      <c r="B77" s="4" t="s">
        <v>264</v>
      </c>
      <c r="C77" s="30" t="s">
        <v>397</v>
      </c>
      <c r="D77" s="16"/>
      <c r="E77" s="13">
        <v>0</v>
      </c>
      <c r="F77" s="13">
        <f>ROUND('II-D-1.1'!Q76,2)</f>
        <v>0</v>
      </c>
      <c r="G77" s="13">
        <f>ROUND('II-D-1.1'!R76,2)</f>
        <v>0</v>
      </c>
      <c r="H77" s="13">
        <f t="shared" si="71"/>
        <v>0</v>
      </c>
      <c r="I77" s="13">
        <f>+'II-D-1.1'!T76</f>
        <v>0</v>
      </c>
      <c r="J77" s="13">
        <f>+H77+I77</f>
        <v>0</v>
      </c>
      <c r="K77" s="159">
        <v>1</v>
      </c>
      <c r="L77" s="13">
        <f>+J77*K77</f>
        <v>0</v>
      </c>
      <c r="M77" s="16"/>
      <c r="N77" s="16"/>
      <c r="O77" s="13">
        <f>ROUND('[1]Total Summary'!C47,2)+ROUND('[2]Total Summary'!D48,2)</f>
        <v>0</v>
      </c>
      <c r="P77" s="13">
        <f>ROUND('[1]Total Summary'!D47,2)+ROUND('[2]Total Summary'!E48,2)</f>
        <v>0</v>
      </c>
      <c r="Q77" s="13">
        <f>ROUND('[1]Total Summary'!E47,2)+ROUND('[2]Total Summary'!F48,2)</f>
        <v>0</v>
      </c>
      <c r="R77" s="13">
        <f t="shared" si="75"/>
        <v>0</v>
      </c>
      <c r="S77" s="13">
        <f>ROUND('[1]Total Summary'!G47,2)+ROUND('[2]Total Summary'!H48,2)</f>
        <v>0</v>
      </c>
      <c r="T77" s="13">
        <f>ROUND('[1]Total Summary'!H47,2)+ROUND('[2]Total Summary'!I48,2)</f>
        <v>0</v>
      </c>
      <c r="U77" s="13">
        <f t="shared" si="76"/>
        <v>0</v>
      </c>
      <c r="V77" s="13">
        <f>ROUND('[1]Total Summary'!J47,2)+ROUND('[2]Total Summary'!K48,2)</f>
        <v>0</v>
      </c>
      <c r="W77" s="13">
        <f>ROUND('[1]Total Summary'!K47,2)+ROUND('[2]Total Summary'!L48,2)</f>
        <v>0</v>
      </c>
      <c r="X77" s="13">
        <f t="shared" si="74"/>
        <v>0</v>
      </c>
      <c r="Y77" s="4" t="b">
        <f>ROUND(+X77,2)=ROUND(L77,2)</f>
        <v>1</v>
      </c>
      <c r="Z77" s="111">
        <f>ROUND(+L77,2)-ROUND(X77,2)</f>
        <v>0</v>
      </c>
    </row>
    <row r="78" spans="1:24" s="4" customFormat="1" ht="15" customHeight="1">
      <c r="A78" s="16">
        <v>64</v>
      </c>
      <c r="D78" s="16"/>
      <c r="E78" s="124"/>
      <c r="F78" s="124"/>
      <c r="G78" s="124"/>
      <c r="H78" s="124"/>
      <c r="I78" s="124"/>
      <c r="J78" s="124"/>
      <c r="K78" s="159"/>
      <c r="L78" s="124"/>
      <c r="M78" s="16"/>
      <c r="N78" s="16"/>
      <c r="O78" s="124"/>
      <c r="P78" s="124"/>
      <c r="Q78" s="124"/>
      <c r="R78" s="124"/>
      <c r="S78" s="124"/>
      <c r="T78" s="124"/>
      <c r="U78" s="124"/>
      <c r="V78" s="124"/>
      <c r="W78" s="124"/>
      <c r="X78" s="124"/>
    </row>
    <row r="79" spans="1:24" s="4" customFormat="1" ht="15" customHeight="1">
      <c r="A79" s="16">
        <v>65</v>
      </c>
      <c r="B79" s="8" t="s">
        <v>58</v>
      </c>
      <c r="C79" s="22"/>
      <c r="D79" s="18" t="s">
        <v>41</v>
      </c>
      <c r="E79" s="188">
        <f t="shared" si="77" ref="E79:J79">SUM(E73:E77)</f>
        <v>20437951.819999997</v>
      </c>
      <c r="F79" s="188">
        <f t="shared" si="77"/>
        <v>0</v>
      </c>
      <c r="G79" s="188">
        <f t="shared" si="77"/>
        <v>0</v>
      </c>
      <c r="H79" s="188">
        <f t="shared" si="77"/>
        <v>20437951.819999997</v>
      </c>
      <c r="I79" s="188">
        <f t="shared" si="77"/>
        <v>1211052.49</v>
      </c>
      <c r="J79" s="188">
        <f t="shared" si="77"/>
        <v>21649004.309999995</v>
      </c>
      <c r="K79" s="160"/>
      <c r="L79" s="188">
        <f>SUM(L73:L77)</f>
        <v>21649004.309999995</v>
      </c>
      <c r="M79" s="24"/>
      <c r="N79" s="16"/>
      <c r="O79" s="188">
        <f t="shared" si="78" ref="O79:X79">SUM(O73:O77)</f>
        <v>87420.859999999986</v>
      </c>
      <c r="P79" s="188">
        <f t="shared" si="78"/>
        <v>0</v>
      </c>
      <c r="Q79" s="188">
        <f t="shared" si="79" ref="Q79">SUM(Q73:Q77)</f>
        <v>0</v>
      </c>
      <c r="R79" s="188">
        <f t="shared" si="78"/>
        <v>87420.859999999986</v>
      </c>
      <c r="S79" s="188">
        <f t="shared" si="78"/>
        <v>-5382.409999999998</v>
      </c>
      <c r="T79" s="188">
        <f t="shared" si="80" ref="T79:U79">SUM(T73:T77)</f>
        <v>0</v>
      </c>
      <c r="U79" s="188">
        <f t="shared" si="80"/>
        <v>-5382.409999999998</v>
      </c>
      <c r="V79" s="188">
        <f t="shared" si="78"/>
        <v>8693009.4200000018</v>
      </c>
      <c r="W79" s="188">
        <f t="shared" si="78"/>
        <v>12873956.44</v>
      </c>
      <c r="X79" s="188">
        <f t="shared" si="78"/>
        <v>21649004.309999999</v>
      </c>
    </row>
    <row r="80" spans="1:24" s="8" customFormat="1" ht="15" customHeight="1">
      <c r="A80" s="16">
        <v>66</v>
      </c>
      <c r="D80" s="18"/>
      <c r="E80" s="19"/>
      <c r="F80" s="19"/>
      <c r="G80" s="19"/>
      <c r="H80" s="19"/>
      <c r="I80" s="19"/>
      <c r="J80" s="19"/>
      <c r="K80" s="160"/>
      <c r="L80" s="19"/>
      <c r="M80" s="18"/>
      <c r="N80" s="25"/>
      <c r="O80" s="19"/>
      <c r="P80" s="19"/>
      <c r="Q80" s="19"/>
      <c r="R80" s="19"/>
      <c r="S80" s="19"/>
      <c r="T80" s="19"/>
      <c r="U80" s="19"/>
      <c r="V80" s="19"/>
      <c r="W80" s="19"/>
      <c r="X80" s="19"/>
    </row>
    <row r="81" spans="1:24" s="4" customFormat="1" ht="15" customHeight="1">
      <c r="A81" s="16">
        <v>67</v>
      </c>
      <c r="D81" s="16"/>
      <c r="E81" s="13"/>
      <c r="F81" s="13"/>
      <c r="G81" s="13"/>
      <c r="H81" s="13"/>
      <c r="I81" s="13"/>
      <c r="J81" s="13"/>
      <c r="K81" s="159"/>
      <c r="L81" s="13"/>
      <c r="M81" s="16"/>
      <c r="N81" s="24"/>
      <c r="O81" s="13"/>
      <c r="P81" s="13"/>
      <c r="Q81" s="13"/>
      <c r="R81" s="13"/>
      <c r="S81" s="13"/>
      <c r="T81" s="13"/>
      <c r="U81" s="13"/>
      <c r="V81" s="13"/>
      <c r="W81" s="13"/>
      <c r="X81" s="13"/>
    </row>
    <row r="82" spans="1:24" s="8" customFormat="1" ht="15" customHeight="1">
      <c r="A82" s="16">
        <v>68</v>
      </c>
      <c r="C82" s="15" t="s">
        <v>362</v>
      </c>
      <c r="D82" s="18" t="s">
        <v>41</v>
      </c>
      <c r="E82" s="19"/>
      <c r="F82" s="19"/>
      <c r="G82" s="19"/>
      <c r="H82" s="19"/>
      <c r="I82" s="19"/>
      <c r="J82" s="19"/>
      <c r="K82" s="160"/>
      <c r="L82" s="19"/>
      <c r="M82" s="58"/>
      <c r="N82" s="25"/>
      <c r="O82" s="19"/>
      <c r="P82" s="19"/>
      <c r="Q82" s="19"/>
      <c r="R82" s="19"/>
      <c r="S82" s="19"/>
      <c r="T82" s="19"/>
      <c r="U82" s="19"/>
      <c r="V82" s="19"/>
      <c r="W82" s="19"/>
      <c r="X82" s="19"/>
    </row>
    <row r="83" spans="1:26" s="4" customFormat="1" ht="15" customHeight="1">
      <c r="A83" s="16">
        <v>69</v>
      </c>
      <c r="B83" s="4" t="s">
        <v>167</v>
      </c>
      <c r="C83" s="4" t="s">
        <v>329</v>
      </c>
      <c r="D83" s="16"/>
      <c r="E83" s="156">
        <v>0</v>
      </c>
      <c r="F83" s="156">
        <f>ROUND('II-D-1.1'!Q82,2)</f>
        <v>0</v>
      </c>
      <c r="G83" s="156">
        <f>ROUND('II-D-1.1'!R82,2)</f>
        <v>0</v>
      </c>
      <c r="H83" s="156">
        <f t="shared" si="81" ref="H83:H87">+E83-F83-G83</f>
        <v>0</v>
      </c>
      <c r="I83" s="156">
        <f>+'II-D-1.1'!T82</f>
        <v>0</v>
      </c>
      <c r="J83" s="156">
        <f>+H83+I83</f>
        <v>0</v>
      </c>
      <c r="K83" s="159">
        <v>1</v>
      </c>
      <c r="L83" s="156">
        <f>+J83*K83</f>
        <v>0</v>
      </c>
      <c r="M83" s="16"/>
      <c r="N83" s="16"/>
      <c r="O83" s="156">
        <f>ROUND('[1]Total Summary'!C50,2)+ROUND('[2]Total Summary'!D51,2)</f>
        <v>0</v>
      </c>
      <c r="P83" s="156">
        <f>ROUND('[1]Total Summary'!D50,2)+ROUND('[2]Total Summary'!E51,2)</f>
        <v>0</v>
      </c>
      <c r="Q83" s="156">
        <f>ROUND('[1]Total Summary'!E50,2)+ROUND('[2]Total Summary'!F51,2)</f>
        <v>0</v>
      </c>
      <c r="R83" s="156">
        <f t="shared" si="82" ref="R83">SUM(O83:Q83)</f>
        <v>0</v>
      </c>
      <c r="S83" s="156">
        <f>ROUND('[1]Total Summary'!G50,2)+ROUND('[2]Total Summary'!H51,2)</f>
        <v>0</v>
      </c>
      <c r="T83" s="156">
        <f>ROUND('[1]Total Summary'!H50,2)+ROUND('[2]Total Summary'!I51,2)</f>
        <v>0</v>
      </c>
      <c r="U83" s="156">
        <f t="shared" si="83" ref="U83">SUM(S83:T83)</f>
        <v>0</v>
      </c>
      <c r="V83" s="156">
        <f>ROUND('[1]Total Summary'!J50,2)+ROUND('[2]Total Summary'!K51,2)</f>
        <v>0</v>
      </c>
      <c r="W83" s="156">
        <f>ROUND('[1]Total Summary'!K50,2)+ROUND('[2]Total Summary'!L51,2)</f>
        <v>0</v>
      </c>
      <c r="X83" s="156">
        <f t="shared" si="84" ref="X83:X87">+R83+U83+V83+W83</f>
        <v>0</v>
      </c>
      <c r="Y83" s="4" t="b">
        <f>ROUND(+X83,2)=ROUND(L83,2)</f>
        <v>1</v>
      </c>
      <c r="Z83" s="111">
        <f>ROUND(+L83,2)-ROUND(X83,2)</f>
        <v>0</v>
      </c>
    </row>
    <row r="84" spans="1:26" s="4" customFormat="1" ht="15" customHeight="1">
      <c r="A84" s="16">
        <v>70</v>
      </c>
      <c r="B84" s="4" t="s">
        <v>265</v>
      </c>
      <c r="C84" s="4" t="s">
        <v>261</v>
      </c>
      <c r="D84" s="16"/>
      <c r="E84" s="13">
        <v>0</v>
      </c>
      <c r="F84" s="13">
        <f>ROUND('II-D-1.1'!Q83,2)</f>
        <v>0</v>
      </c>
      <c r="G84" s="13">
        <f>ROUND('II-D-1.1'!R83,2)</f>
        <v>0</v>
      </c>
      <c r="H84" s="13">
        <f t="shared" si="81"/>
        <v>0</v>
      </c>
      <c r="I84" s="13">
        <f>+'II-D-1.1'!T83</f>
        <v>0</v>
      </c>
      <c r="J84" s="13">
        <f>+H84+I84</f>
        <v>0</v>
      </c>
      <c r="K84" s="159">
        <v>1</v>
      </c>
      <c r="L84" s="13">
        <f>+J84*K84</f>
        <v>0</v>
      </c>
      <c r="M84" s="24"/>
      <c r="N84" s="16"/>
      <c r="O84" s="13">
        <f>ROUND('[1]Total Summary'!C51,2)+ROUND('[2]Total Summary'!D52,2)</f>
        <v>0</v>
      </c>
      <c r="P84" s="13">
        <f>ROUND('[1]Total Summary'!D51,2)+ROUND('[2]Total Summary'!E52,2)</f>
        <v>0</v>
      </c>
      <c r="Q84" s="13">
        <f>ROUND('[1]Total Summary'!E51,2)+ROUND('[2]Total Summary'!F52,2)</f>
        <v>0</v>
      </c>
      <c r="R84" s="13">
        <f t="shared" si="85" ref="R84:R87">SUM(O84:Q84)</f>
        <v>0</v>
      </c>
      <c r="S84" s="13">
        <f>ROUND('[1]Total Summary'!G51,2)+ROUND('[2]Total Summary'!H52,2)</f>
        <v>0</v>
      </c>
      <c r="T84" s="13">
        <f>ROUND('[1]Total Summary'!H51,2)+ROUND('[2]Total Summary'!I52,2)</f>
        <v>0</v>
      </c>
      <c r="U84" s="13">
        <f t="shared" si="86" ref="U84:U87">SUM(S84:T84)</f>
        <v>0</v>
      </c>
      <c r="V84" s="13">
        <f>ROUND('[1]Total Summary'!J51,2)+ROUND('[2]Total Summary'!K52,2)</f>
        <v>0</v>
      </c>
      <c r="W84" s="13">
        <f>ROUND('[1]Total Summary'!K51,2)+ROUND('[2]Total Summary'!L52,2)</f>
        <v>0</v>
      </c>
      <c r="X84" s="13">
        <f t="shared" si="84"/>
        <v>0</v>
      </c>
      <c r="Y84" s="4" t="b">
        <f>ROUND(+X84,2)=ROUND(L84,2)</f>
        <v>1</v>
      </c>
      <c r="Z84" s="111">
        <f>ROUND(+L84,2)-ROUND(X84,2)</f>
        <v>0</v>
      </c>
    </row>
    <row r="85" spans="1:26" s="4" customFormat="1" ht="15" customHeight="1">
      <c r="A85" s="16">
        <v>71</v>
      </c>
      <c r="B85" s="187" t="s">
        <v>331</v>
      </c>
      <c r="C85" s="30" t="s">
        <v>330</v>
      </c>
      <c r="D85" s="16"/>
      <c r="E85" s="13">
        <v>47254964.93</v>
      </c>
      <c r="F85" s="13">
        <f>ROUND('II-D-1.1'!Q84,2)</f>
        <v>0</v>
      </c>
      <c r="G85" s="13">
        <f>ROUND('II-D-1.1'!R84,2)</f>
        <v>0</v>
      </c>
      <c r="H85" s="13">
        <f t="shared" si="81"/>
        <v>47254964.93</v>
      </c>
      <c r="I85" s="13">
        <f>+'II-D-1.1'!T84</f>
        <v>-46662191.839999996</v>
      </c>
      <c r="J85" s="13">
        <f>+H85+I85</f>
        <v>592773.09000000358</v>
      </c>
      <c r="K85" s="159">
        <v>1</v>
      </c>
      <c r="L85" s="13">
        <f>+J85*K85</f>
        <v>592773.09000000358</v>
      </c>
      <c r="M85" s="16"/>
      <c r="N85" s="16"/>
      <c r="O85" s="13">
        <f>ROUND('[1]Total Summary'!C52,2)+ROUND('[2]Total Summary'!D53,2)</f>
        <v>0</v>
      </c>
      <c r="P85" s="13">
        <f>ROUND('[1]Total Summary'!D52,2)+ROUND('[2]Total Summary'!E53,2)</f>
        <v>0</v>
      </c>
      <c r="Q85" s="13">
        <f>ROUND('[1]Total Summary'!E52,2)+ROUND('[2]Total Summary'!F53,2)</f>
        <v>0</v>
      </c>
      <c r="R85" s="13">
        <f t="shared" si="85"/>
        <v>0</v>
      </c>
      <c r="S85" s="13">
        <f>ROUND('[1]Total Summary'!G52,2)+ROUND('[2]Total Summary'!H53,2)</f>
        <v>250687.94</v>
      </c>
      <c r="T85" s="13">
        <f>ROUND('[1]Total Summary'!H52,2)+ROUND('[2]Total Summary'!I53,2)</f>
        <v>0</v>
      </c>
      <c r="U85" s="13">
        <f t="shared" si="86"/>
        <v>250687.94</v>
      </c>
      <c r="V85" s="13">
        <f>ROUND('[1]Total Summary'!J52,2)+ROUND('[2]Total Summary'!K53,2)</f>
        <v>106713.10999999999</v>
      </c>
      <c r="W85" s="13">
        <f>ROUND('[1]Total Summary'!K52,2)+ROUND('[2]Total Summary'!L53,2)</f>
        <v>235372.03999999911</v>
      </c>
      <c r="X85" s="13">
        <f t="shared" si="84"/>
        <v>592773.08999999915</v>
      </c>
      <c r="Y85" s="4" t="b">
        <f>ROUND(+X85,2)=ROUND(L85,2)</f>
        <v>1</v>
      </c>
      <c r="Z85" s="111">
        <f>ROUND(+L85,2)-ROUND(X85,2)</f>
        <v>0</v>
      </c>
    </row>
    <row r="86" spans="1:26" s="8" customFormat="1" ht="15" customHeight="1">
      <c r="A86" s="16">
        <v>72</v>
      </c>
      <c r="B86" s="4" t="s">
        <v>332</v>
      </c>
      <c r="C86" s="4" t="s">
        <v>333</v>
      </c>
      <c r="D86" s="18"/>
      <c r="E86" s="13">
        <v>0</v>
      </c>
      <c r="F86" s="13">
        <f>ROUND('II-D-1.1'!Q85,2)</f>
        <v>0</v>
      </c>
      <c r="G86" s="13">
        <f>ROUND('II-D-1.1'!R85,2)</f>
        <v>0</v>
      </c>
      <c r="H86" s="13">
        <f t="shared" si="81"/>
        <v>0</v>
      </c>
      <c r="I86" s="13">
        <f>+'II-D-1.1'!T85</f>
        <v>0</v>
      </c>
      <c r="J86" s="13">
        <f>+H86+I86</f>
        <v>0</v>
      </c>
      <c r="K86" s="159">
        <v>1</v>
      </c>
      <c r="L86" s="13">
        <f>+J86*K86</f>
        <v>0</v>
      </c>
      <c r="M86" s="25"/>
      <c r="N86" s="16"/>
      <c r="O86" s="13">
        <f>ROUND('[1]Total Summary'!C53,2)+ROUND('[2]Total Summary'!D54,2)</f>
        <v>0</v>
      </c>
      <c r="P86" s="13">
        <f>ROUND('[1]Total Summary'!D53,2)+ROUND('[2]Total Summary'!E54,2)</f>
        <v>0</v>
      </c>
      <c r="Q86" s="13">
        <f>ROUND('[1]Total Summary'!E53,2)+ROUND('[2]Total Summary'!F54,2)</f>
        <v>0</v>
      </c>
      <c r="R86" s="13">
        <f t="shared" si="85"/>
        <v>0</v>
      </c>
      <c r="S86" s="13">
        <f>ROUND('[1]Total Summary'!G53,2)+ROUND('[2]Total Summary'!H54,2)</f>
        <v>0</v>
      </c>
      <c r="T86" s="13">
        <f>ROUND('[1]Total Summary'!H53,2)+ROUND('[2]Total Summary'!I54,2)</f>
        <v>0</v>
      </c>
      <c r="U86" s="13">
        <f t="shared" si="86"/>
        <v>0</v>
      </c>
      <c r="V86" s="13">
        <f>ROUND('[1]Total Summary'!J53,2)+ROUND('[2]Total Summary'!K54,2)</f>
        <v>0</v>
      </c>
      <c r="W86" s="13">
        <f>ROUND('[1]Total Summary'!K53,2)+ROUND('[2]Total Summary'!L54,2)</f>
        <v>0</v>
      </c>
      <c r="X86" s="13">
        <f t="shared" si="84"/>
        <v>0</v>
      </c>
      <c r="Y86" s="4" t="b">
        <f>ROUND(+X86,2)=ROUND(L86,2)</f>
        <v>1</v>
      </c>
      <c r="Z86" s="111">
        <f>ROUND(+L86,2)-ROUND(X86,2)</f>
        <v>0</v>
      </c>
    </row>
    <row r="87" spans="1:26" s="4" customFormat="1" ht="15" customHeight="1">
      <c r="A87" s="16">
        <v>73</v>
      </c>
      <c r="B87" s="4" t="s">
        <v>266</v>
      </c>
      <c r="C87" s="4" t="s">
        <v>334</v>
      </c>
      <c r="D87" s="16"/>
      <c r="E87" s="13">
        <v>0</v>
      </c>
      <c r="F87" s="13">
        <f>ROUND('II-D-1.1'!Q86,2)</f>
        <v>0</v>
      </c>
      <c r="G87" s="13">
        <f>ROUND('II-D-1.1'!R86,2)</f>
        <v>0</v>
      </c>
      <c r="H87" s="13">
        <f t="shared" si="81"/>
        <v>0</v>
      </c>
      <c r="I87" s="13">
        <f>+'II-D-1.1'!T86</f>
        <v>0</v>
      </c>
      <c r="J87" s="13">
        <f>+H87+I87</f>
        <v>0</v>
      </c>
      <c r="K87" s="159">
        <v>1</v>
      </c>
      <c r="L87" s="13">
        <f>+J87*K87</f>
        <v>0</v>
      </c>
      <c r="M87" s="16"/>
      <c r="N87" s="16"/>
      <c r="O87" s="13">
        <f>ROUND('[1]Total Summary'!C54,2)+ROUND('[2]Total Summary'!D55,2)</f>
        <v>0</v>
      </c>
      <c r="P87" s="13">
        <f>ROUND('[1]Total Summary'!D54,2)+ROUND('[2]Total Summary'!E55,2)</f>
        <v>0</v>
      </c>
      <c r="Q87" s="13">
        <f>ROUND('[1]Total Summary'!E54,2)+ROUND('[2]Total Summary'!F55,2)</f>
        <v>0</v>
      </c>
      <c r="R87" s="13">
        <f t="shared" si="85"/>
        <v>0</v>
      </c>
      <c r="S87" s="13">
        <f>ROUND('[1]Total Summary'!G54,2)+ROUND('[2]Total Summary'!H55,2)</f>
        <v>0</v>
      </c>
      <c r="T87" s="13">
        <f>ROUND('[1]Total Summary'!H54,2)+ROUND('[2]Total Summary'!I55,2)</f>
        <v>0</v>
      </c>
      <c r="U87" s="13">
        <f t="shared" si="86"/>
        <v>0</v>
      </c>
      <c r="V87" s="13">
        <f>ROUND('[1]Total Summary'!J54,2)+ROUND('[2]Total Summary'!K55,2)</f>
        <v>0</v>
      </c>
      <c r="W87" s="13">
        <f>ROUND('[1]Total Summary'!K54,2)+ROUND('[2]Total Summary'!L55,2)</f>
        <v>0</v>
      </c>
      <c r="X87" s="13">
        <f t="shared" si="84"/>
        <v>0</v>
      </c>
      <c r="Y87" s="4" t="b">
        <f>ROUND(+X87,2)=ROUND(L87,2)</f>
        <v>1</v>
      </c>
      <c r="Z87" s="111">
        <f>ROUND(+L87,2)-ROUND(X87,2)</f>
        <v>0</v>
      </c>
    </row>
    <row r="88" spans="1:24" s="4" customFormat="1" ht="15" customHeight="1">
      <c r="A88" s="16">
        <v>74</v>
      </c>
      <c r="D88" s="16"/>
      <c r="E88" s="124"/>
      <c r="F88" s="124"/>
      <c r="G88" s="124"/>
      <c r="H88" s="124"/>
      <c r="I88" s="124"/>
      <c r="J88" s="124"/>
      <c r="K88" s="159"/>
      <c r="L88" s="124"/>
      <c r="M88" s="16"/>
      <c r="N88" s="16"/>
      <c r="O88" s="124"/>
      <c r="P88" s="124"/>
      <c r="Q88" s="124"/>
      <c r="R88" s="124"/>
      <c r="S88" s="124"/>
      <c r="T88" s="124"/>
      <c r="U88" s="124"/>
      <c r="V88" s="124"/>
      <c r="W88" s="124"/>
      <c r="X88" s="124"/>
    </row>
    <row r="89" spans="1:24" s="4" customFormat="1" ht="15" customHeight="1">
      <c r="A89" s="16">
        <v>75</v>
      </c>
      <c r="B89" s="8" t="s">
        <v>361</v>
      </c>
      <c r="D89" s="18" t="s">
        <v>41</v>
      </c>
      <c r="E89" s="188">
        <f t="shared" si="87" ref="E89:J89">SUM(E83:E87)</f>
        <v>47254964.93</v>
      </c>
      <c r="F89" s="188">
        <f t="shared" si="87"/>
        <v>0</v>
      </c>
      <c r="G89" s="188">
        <f t="shared" si="87"/>
        <v>0</v>
      </c>
      <c r="H89" s="188">
        <f t="shared" si="87"/>
        <v>47254964.93</v>
      </c>
      <c r="I89" s="188">
        <f t="shared" si="87"/>
        <v>-46662191.839999996</v>
      </c>
      <c r="J89" s="188">
        <f t="shared" si="87"/>
        <v>592773.09000000358</v>
      </c>
      <c r="K89" s="160"/>
      <c r="L89" s="188">
        <f>SUM(L83:L87)</f>
        <v>592773.09000000358</v>
      </c>
      <c r="M89" s="16"/>
      <c r="N89" s="16"/>
      <c r="O89" s="188">
        <f t="shared" si="88" ref="O89:X89">SUM(O83:O87)</f>
        <v>0</v>
      </c>
      <c r="P89" s="188">
        <f t="shared" si="88"/>
        <v>0</v>
      </c>
      <c r="Q89" s="188">
        <f t="shared" si="89" ref="Q89">SUM(Q83:Q87)</f>
        <v>0</v>
      </c>
      <c r="R89" s="188">
        <f t="shared" si="88"/>
        <v>0</v>
      </c>
      <c r="S89" s="188">
        <f t="shared" si="88"/>
        <v>250687.94</v>
      </c>
      <c r="T89" s="188">
        <f t="shared" si="90" ref="T89:U89">SUM(T83:T87)</f>
        <v>0</v>
      </c>
      <c r="U89" s="188">
        <f t="shared" si="90"/>
        <v>250687.94</v>
      </c>
      <c r="V89" s="188">
        <f t="shared" si="88"/>
        <v>106713.10999999999</v>
      </c>
      <c r="W89" s="188">
        <f t="shared" si="88"/>
        <v>235372.03999999911</v>
      </c>
      <c r="X89" s="188">
        <f t="shared" si="88"/>
        <v>592773.08999999915</v>
      </c>
    </row>
    <row r="90" spans="1:24" s="8" customFormat="1" ht="15" customHeight="1">
      <c r="A90" s="16">
        <v>76</v>
      </c>
      <c r="C90" s="22"/>
      <c r="D90" s="18"/>
      <c r="E90" s="19"/>
      <c r="F90" s="19"/>
      <c r="G90" s="19"/>
      <c r="H90" s="19"/>
      <c r="I90" s="19"/>
      <c r="J90" s="19"/>
      <c r="K90" s="160"/>
      <c r="L90" s="19"/>
      <c r="M90" s="18"/>
      <c r="N90" s="25"/>
      <c r="O90" s="19"/>
      <c r="P90" s="19"/>
      <c r="Q90" s="19"/>
      <c r="R90" s="19"/>
      <c r="S90" s="19"/>
      <c r="T90" s="19"/>
      <c r="U90" s="19"/>
      <c r="V90" s="19"/>
      <c r="W90" s="19"/>
      <c r="X90" s="19"/>
    </row>
    <row r="91" spans="1:24" s="4" customFormat="1" ht="15" customHeight="1">
      <c r="A91" s="16">
        <v>77</v>
      </c>
      <c r="D91" s="16"/>
      <c r="E91" s="13"/>
      <c r="F91" s="13"/>
      <c r="G91" s="13"/>
      <c r="H91" s="13"/>
      <c r="I91" s="13"/>
      <c r="J91" s="13"/>
      <c r="K91" s="159"/>
      <c r="L91" s="13"/>
      <c r="M91" s="16"/>
      <c r="N91" s="24"/>
      <c r="O91" s="13"/>
      <c r="P91" s="13"/>
      <c r="Q91" s="13"/>
      <c r="R91" s="13"/>
      <c r="S91" s="13"/>
      <c r="T91" s="13"/>
      <c r="U91" s="13"/>
      <c r="V91" s="13"/>
      <c r="W91" s="13"/>
      <c r="X91" s="13"/>
    </row>
    <row r="92" spans="1:24" s="8" customFormat="1" ht="15" customHeight="1">
      <c r="A92" s="16">
        <v>78</v>
      </c>
      <c r="C92" s="59" t="s">
        <v>267</v>
      </c>
      <c r="D92" s="18" t="s">
        <v>41</v>
      </c>
      <c r="E92" s="19"/>
      <c r="F92" s="19"/>
      <c r="G92" s="19"/>
      <c r="H92" s="19"/>
      <c r="I92" s="19"/>
      <c r="J92" s="19"/>
      <c r="K92" s="160"/>
      <c r="L92" s="19"/>
      <c r="M92" s="58"/>
      <c r="N92" s="25"/>
      <c r="O92" s="19"/>
      <c r="P92" s="19"/>
      <c r="Q92" s="19"/>
      <c r="R92" s="19"/>
      <c r="S92" s="19"/>
      <c r="T92" s="19"/>
      <c r="U92" s="19"/>
      <c r="V92" s="19"/>
      <c r="W92" s="19"/>
      <c r="X92" s="19"/>
    </row>
    <row r="93" spans="1:26" s="4" customFormat="1" ht="15" customHeight="1">
      <c r="A93" s="16">
        <v>79</v>
      </c>
      <c r="B93" s="4" t="s">
        <v>268</v>
      </c>
      <c r="C93" s="60" t="s">
        <v>261</v>
      </c>
      <c r="D93" s="16"/>
      <c r="E93" s="156">
        <v>0</v>
      </c>
      <c r="F93" s="156">
        <f>ROUND('II-D-1.1'!Q92,2)</f>
        <v>0</v>
      </c>
      <c r="G93" s="156">
        <f>ROUND('II-D-1.1'!R92,2)</f>
        <v>0</v>
      </c>
      <c r="H93" s="156">
        <f t="shared" si="91" ref="H93:H97">+E93-F93-G93</f>
        <v>0</v>
      </c>
      <c r="I93" s="156">
        <f>+'II-D-1.1'!T92</f>
        <v>0</v>
      </c>
      <c r="J93" s="156">
        <f>+H93+I93</f>
        <v>0</v>
      </c>
      <c r="K93" s="159">
        <v>1</v>
      </c>
      <c r="L93" s="156">
        <f>+J93*K93</f>
        <v>0</v>
      </c>
      <c r="M93" s="16"/>
      <c r="N93" s="16"/>
      <c r="O93" s="156">
        <f>ROUND('[1]Total Summary'!C57,2)+ROUND('[2]Total Summary'!D58,2)</f>
        <v>0</v>
      </c>
      <c r="P93" s="156">
        <f>ROUND('[1]Total Summary'!D57,2)+ROUND('[2]Total Summary'!E58,2)</f>
        <v>0</v>
      </c>
      <c r="Q93" s="156">
        <f>ROUND('[1]Total Summary'!E57,2)+ROUND('[2]Total Summary'!F58,2)</f>
        <v>0</v>
      </c>
      <c r="R93" s="156">
        <f t="shared" si="92" ref="R93">SUM(O93:Q93)</f>
        <v>0</v>
      </c>
      <c r="S93" s="156">
        <f>ROUND('[1]Total Summary'!G57,2)+ROUND('[2]Total Summary'!H58,2)</f>
        <v>0</v>
      </c>
      <c r="T93" s="156">
        <f>ROUND('[1]Total Summary'!H57,2)+ROUND('[2]Total Summary'!I58,2)</f>
        <v>0</v>
      </c>
      <c r="U93" s="156">
        <f t="shared" si="93" ref="U93">SUM(S93:T93)</f>
        <v>0</v>
      </c>
      <c r="V93" s="156">
        <f>ROUND('[1]Total Summary'!J57,2)+ROUND('[2]Total Summary'!K58,2)</f>
        <v>0</v>
      </c>
      <c r="W93" s="156">
        <f>ROUND('[1]Total Summary'!K57,2)+ROUND('[2]Total Summary'!L58,2)</f>
        <v>0</v>
      </c>
      <c r="X93" s="156">
        <f t="shared" si="94" ref="X93:X97">+R93+U93+V93+W93</f>
        <v>0</v>
      </c>
      <c r="Y93" s="4" t="b">
        <f>ROUND(+X93,2)=ROUND(L93,2)</f>
        <v>1</v>
      </c>
      <c r="Z93" s="161">
        <f>ROUND(+L93,2)-ROUND(X93,2)</f>
        <v>0</v>
      </c>
    </row>
    <row r="94" spans="1:26" s="4" customFormat="1" ht="15" customHeight="1">
      <c r="A94" s="16">
        <v>80</v>
      </c>
      <c r="B94" s="4" t="s">
        <v>287</v>
      </c>
      <c r="C94" s="60" t="s">
        <v>335</v>
      </c>
      <c r="D94" s="16"/>
      <c r="E94" s="13">
        <v>0</v>
      </c>
      <c r="F94" s="13">
        <f>ROUND('II-D-1.1'!Q93,2)</f>
        <v>0</v>
      </c>
      <c r="G94" s="13">
        <f>ROUND('II-D-1.1'!R93,2)</f>
        <v>0</v>
      </c>
      <c r="H94" s="13">
        <f t="shared" si="91"/>
        <v>0</v>
      </c>
      <c r="I94" s="13">
        <f>+'II-D-1.1'!T93</f>
        <v>0</v>
      </c>
      <c r="J94" s="13">
        <f>+H94+I94</f>
        <v>0</v>
      </c>
      <c r="K94" s="159">
        <v>1</v>
      </c>
      <c r="L94" s="13">
        <f>+J94*K94</f>
        <v>0</v>
      </c>
      <c r="M94" s="16"/>
      <c r="N94" s="16"/>
      <c r="O94" s="13">
        <f>ROUND('[1]Total Summary'!C58,2)+ROUND('[2]Total Summary'!D59,2)</f>
        <v>0</v>
      </c>
      <c r="P94" s="13">
        <f>ROUND('[1]Total Summary'!D58,2)+ROUND('[2]Total Summary'!E59,2)</f>
        <v>0</v>
      </c>
      <c r="Q94" s="13">
        <f>ROUND('[1]Total Summary'!E58,2)+ROUND('[2]Total Summary'!F59,2)</f>
        <v>0</v>
      </c>
      <c r="R94" s="13">
        <f t="shared" si="95" ref="R94:R97">SUM(O94:Q94)</f>
        <v>0</v>
      </c>
      <c r="S94" s="13">
        <f>ROUND('[1]Total Summary'!G58,2)+ROUND('[2]Total Summary'!H59,2)</f>
        <v>0</v>
      </c>
      <c r="T94" s="13">
        <f>ROUND('[1]Total Summary'!H58,2)+ROUND('[2]Total Summary'!I59,2)</f>
        <v>0</v>
      </c>
      <c r="U94" s="13">
        <f t="shared" si="96" ref="U94:U97">SUM(S94:T94)</f>
        <v>0</v>
      </c>
      <c r="V94" s="13">
        <f>ROUND('[1]Total Summary'!J58,2)+ROUND('[2]Total Summary'!K59,2)</f>
        <v>0</v>
      </c>
      <c r="W94" s="13">
        <f>ROUND('[1]Total Summary'!K58,2)+ROUND('[2]Total Summary'!L59,2)</f>
        <v>0</v>
      </c>
      <c r="X94" s="13">
        <f t="shared" si="94"/>
        <v>0</v>
      </c>
      <c r="Y94" s="4" t="b">
        <f>ROUND(+X94,2)=ROUND(L94,2)</f>
        <v>1</v>
      </c>
      <c r="Z94" s="161">
        <f>ROUND(+L94,2)-ROUND(X94,2)</f>
        <v>0</v>
      </c>
    </row>
    <row r="95" spans="1:26" s="4" customFormat="1" ht="15" customHeight="1">
      <c r="A95" s="16">
        <v>81</v>
      </c>
      <c r="B95" s="4" t="s">
        <v>288</v>
      </c>
      <c r="C95" s="60" t="s">
        <v>336</v>
      </c>
      <c r="D95" s="16"/>
      <c r="E95" s="13">
        <v>0</v>
      </c>
      <c r="F95" s="13">
        <f>ROUND('II-D-1.1'!Q94,2)</f>
        <v>0</v>
      </c>
      <c r="G95" s="13">
        <f>ROUND('II-D-1.1'!R94,2)</f>
        <v>0</v>
      </c>
      <c r="H95" s="13">
        <f t="shared" si="91"/>
        <v>0</v>
      </c>
      <c r="I95" s="13">
        <f>+'II-D-1.1'!T94</f>
        <v>0</v>
      </c>
      <c r="J95" s="13">
        <f>+H95+I95</f>
        <v>0</v>
      </c>
      <c r="K95" s="159">
        <v>1</v>
      </c>
      <c r="L95" s="13">
        <f>+J95*K95</f>
        <v>0</v>
      </c>
      <c r="M95" s="16"/>
      <c r="N95" s="16"/>
      <c r="O95" s="13">
        <f>ROUND('[1]Total Summary'!C59,2)+ROUND('[2]Total Summary'!D60,2)</f>
        <v>0</v>
      </c>
      <c r="P95" s="13">
        <f>ROUND('[1]Total Summary'!D59,2)+ROUND('[2]Total Summary'!E60,2)</f>
        <v>0</v>
      </c>
      <c r="Q95" s="13">
        <f>ROUND('[1]Total Summary'!E59,2)+ROUND('[2]Total Summary'!F60,2)</f>
        <v>0</v>
      </c>
      <c r="R95" s="13">
        <f t="shared" si="95"/>
        <v>0</v>
      </c>
      <c r="S95" s="13">
        <f>ROUND('[1]Total Summary'!G59,2)+ROUND('[2]Total Summary'!H60,2)</f>
        <v>0</v>
      </c>
      <c r="T95" s="13">
        <f>ROUND('[1]Total Summary'!H59,2)+ROUND('[2]Total Summary'!I60,2)</f>
        <v>0</v>
      </c>
      <c r="U95" s="13">
        <f t="shared" si="96"/>
        <v>0</v>
      </c>
      <c r="V95" s="13">
        <f>ROUND('[1]Total Summary'!J59,2)+ROUND('[2]Total Summary'!K60,2)</f>
        <v>0</v>
      </c>
      <c r="W95" s="13">
        <f>ROUND('[1]Total Summary'!K59,2)+ROUND('[2]Total Summary'!L60,2)</f>
        <v>0</v>
      </c>
      <c r="X95" s="13">
        <f t="shared" si="94"/>
        <v>0</v>
      </c>
      <c r="Y95" s="4" t="b">
        <f>ROUND(+X95,2)=ROUND(L95,2)</f>
        <v>1</v>
      </c>
      <c r="Z95" s="161">
        <f>ROUND(+L95,2)-ROUND(X95,2)</f>
        <v>0</v>
      </c>
    </row>
    <row r="96" spans="1:26" s="4" customFormat="1" ht="15" customHeight="1">
      <c r="A96" s="16">
        <v>82</v>
      </c>
      <c r="B96" s="4" t="s">
        <v>269</v>
      </c>
      <c r="C96" s="60" t="s">
        <v>337</v>
      </c>
      <c r="D96" s="16"/>
      <c r="E96" s="13">
        <v>0</v>
      </c>
      <c r="F96" s="13">
        <f>ROUND('II-D-1.1'!Q95,2)</f>
        <v>0</v>
      </c>
      <c r="G96" s="13">
        <f>ROUND('II-D-1.1'!R95,2)</f>
        <v>0</v>
      </c>
      <c r="H96" s="13">
        <f t="shared" si="91"/>
        <v>0</v>
      </c>
      <c r="I96" s="13">
        <f>+'II-D-1.1'!T95</f>
        <v>0</v>
      </c>
      <c r="J96" s="13">
        <f>+H96+I96</f>
        <v>0</v>
      </c>
      <c r="K96" s="159">
        <v>1</v>
      </c>
      <c r="L96" s="13">
        <f>+J96*K96</f>
        <v>0</v>
      </c>
      <c r="M96" s="16"/>
      <c r="N96" s="16"/>
      <c r="O96" s="13">
        <f>ROUND('[1]Total Summary'!C60,2)+ROUND('[2]Total Summary'!D61,2)</f>
        <v>0</v>
      </c>
      <c r="P96" s="13">
        <f>ROUND('[1]Total Summary'!D60,2)+ROUND('[2]Total Summary'!E61,2)</f>
        <v>0</v>
      </c>
      <c r="Q96" s="13">
        <f>ROUND('[1]Total Summary'!E60,2)+ROUND('[2]Total Summary'!F61,2)</f>
        <v>0</v>
      </c>
      <c r="R96" s="13">
        <f t="shared" si="95"/>
        <v>0</v>
      </c>
      <c r="S96" s="13">
        <f>ROUND('[1]Total Summary'!G60,2)+ROUND('[2]Total Summary'!H61,2)</f>
        <v>0</v>
      </c>
      <c r="T96" s="13">
        <f>ROUND('[1]Total Summary'!H60,2)+ROUND('[2]Total Summary'!I61,2)</f>
        <v>0</v>
      </c>
      <c r="U96" s="13">
        <f t="shared" si="96"/>
        <v>0</v>
      </c>
      <c r="V96" s="13">
        <f>ROUND('[1]Total Summary'!J60,2)+ROUND('[2]Total Summary'!K61,2)</f>
        <v>0</v>
      </c>
      <c r="W96" s="13">
        <f>ROUND('[1]Total Summary'!K60,2)+ROUND('[2]Total Summary'!L61,2)</f>
        <v>0</v>
      </c>
      <c r="X96" s="13">
        <f t="shared" si="94"/>
        <v>0</v>
      </c>
      <c r="Y96" s="4" t="b">
        <f>ROUND(+X96,2)=ROUND(L96,2)</f>
        <v>1</v>
      </c>
      <c r="Z96" s="161">
        <f>ROUND(+L96,2)-ROUND(X96,2)</f>
        <v>0</v>
      </c>
    </row>
    <row r="97" spans="1:26" s="8" customFormat="1" ht="15" customHeight="1">
      <c r="A97" s="16">
        <v>83</v>
      </c>
      <c r="B97" s="4" t="s">
        <v>289</v>
      </c>
      <c r="C97" s="60" t="s">
        <v>338</v>
      </c>
      <c r="D97" s="18"/>
      <c r="E97" s="13">
        <v>0</v>
      </c>
      <c r="F97" s="13">
        <f>ROUND('II-D-1.1'!Q96,2)</f>
        <v>0</v>
      </c>
      <c r="G97" s="13">
        <f>ROUND('II-D-1.1'!R96,2)</f>
        <v>0</v>
      </c>
      <c r="H97" s="13">
        <f t="shared" si="91"/>
        <v>0</v>
      </c>
      <c r="I97" s="13">
        <f>+'II-D-1.1'!T96</f>
        <v>0</v>
      </c>
      <c r="J97" s="13">
        <f>+H97+I97</f>
        <v>0</v>
      </c>
      <c r="K97" s="159">
        <v>1</v>
      </c>
      <c r="L97" s="13">
        <f>+J97*K97</f>
        <v>0</v>
      </c>
      <c r="M97" s="18"/>
      <c r="N97" s="16"/>
      <c r="O97" s="13">
        <f>ROUND('[1]Total Summary'!C61,2)+ROUND('[2]Total Summary'!D62,2)</f>
        <v>0</v>
      </c>
      <c r="P97" s="13">
        <f>ROUND('[1]Total Summary'!D61,2)+ROUND('[2]Total Summary'!E62,2)</f>
        <v>0</v>
      </c>
      <c r="Q97" s="13">
        <f>ROUND('[1]Total Summary'!E61,2)+ROUND('[2]Total Summary'!F62,2)</f>
        <v>0</v>
      </c>
      <c r="R97" s="13">
        <f t="shared" si="95"/>
        <v>0</v>
      </c>
      <c r="S97" s="13">
        <f>ROUND('[1]Total Summary'!G61,2)+ROUND('[2]Total Summary'!H62,2)</f>
        <v>0</v>
      </c>
      <c r="T97" s="13">
        <f>ROUND('[1]Total Summary'!H61,2)+ROUND('[2]Total Summary'!I62,2)</f>
        <v>0</v>
      </c>
      <c r="U97" s="13">
        <f t="shared" si="96"/>
        <v>0</v>
      </c>
      <c r="V97" s="13">
        <f>ROUND('[1]Total Summary'!J61,2)+ROUND('[2]Total Summary'!K62,2)</f>
        <v>0</v>
      </c>
      <c r="W97" s="13">
        <f>ROUND('[1]Total Summary'!K61,2)+ROUND('[2]Total Summary'!L62,2)</f>
        <v>0</v>
      </c>
      <c r="X97" s="13">
        <f t="shared" si="94"/>
        <v>0</v>
      </c>
      <c r="Y97" s="4" t="b">
        <f>ROUND(+X97,2)=ROUND(L97,2)</f>
        <v>1</v>
      </c>
      <c r="Z97" s="161">
        <f>ROUND(+L97,2)-ROUND(X97,2)</f>
        <v>0</v>
      </c>
    </row>
    <row r="98" spans="1:24" s="4" customFormat="1" ht="15" customHeight="1">
      <c r="A98" s="16">
        <v>84</v>
      </c>
      <c r="C98" s="22"/>
      <c r="D98" s="16"/>
      <c r="E98" s="124"/>
      <c r="F98" s="124"/>
      <c r="G98" s="124"/>
      <c r="H98" s="124"/>
      <c r="I98" s="124"/>
      <c r="J98" s="124"/>
      <c r="K98" s="159"/>
      <c r="L98" s="124"/>
      <c r="M98" s="18"/>
      <c r="N98" s="24"/>
      <c r="O98" s="124"/>
      <c r="P98" s="124"/>
      <c r="Q98" s="124"/>
      <c r="R98" s="124"/>
      <c r="S98" s="124"/>
      <c r="T98" s="124"/>
      <c r="U98" s="124"/>
      <c r="V98" s="124"/>
      <c r="W98" s="124"/>
      <c r="X98" s="124"/>
    </row>
    <row r="99" spans="1:24" s="4" customFormat="1" ht="15" customHeight="1">
      <c r="A99" s="16">
        <v>85</v>
      </c>
      <c r="B99" s="8" t="s">
        <v>36</v>
      </c>
      <c r="D99" s="18" t="s">
        <v>41</v>
      </c>
      <c r="E99" s="188">
        <f t="shared" si="97" ref="E99:J99">SUM(E93:E97)</f>
        <v>0</v>
      </c>
      <c r="F99" s="188">
        <f t="shared" si="97"/>
        <v>0</v>
      </c>
      <c r="G99" s="188">
        <f t="shared" si="97"/>
        <v>0</v>
      </c>
      <c r="H99" s="188">
        <f t="shared" si="97"/>
        <v>0</v>
      </c>
      <c r="I99" s="188">
        <f t="shared" si="97"/>
        <v>0</v>
      </c>
      <c r="J99" s="188">
        <f t="shared" si="97"/>
        <v>0</v>
      </c>
      <c r="K99" s="19"/>
      <c r="L99" s="188">
        <f>SUM(L93:L97)</f>
        <v>0</v>
      </c>
      <c r="M99" s="18"/>
      <c r="N99" s="16"/>
      <c r="O99" s="188">
        <f t="shared" si="98" ref="O99:X99">SUM(O93:O97)</f>
        <v>0</v>
      </c>
      <c r="P99" s="188">
        <f t="shared" si="99" ref="P99:R99">SUM(P93:P97)</f>
        <v>0</v>
      </c>
      <c r="Q99" s="188">
        <f t="shared" si="100" ref="Q99">SUM(Q93:Q97)</f>
        <v>0</v>
      </c>
      <c r="R99" s="188">
        <f t="shared" si="99"/>
        <v>0</v>
      </c>
      <c r="S99" s="188">
        <f t="shared" si="98"/>
        <v>0</v>
      </c>
      <c r="T99" s="188">
        <f t="shared" si="98"/>
        <v>0</v>
      </c>
      <c r="U99" s="188">
        <f t="shared" si="101" ref="U99">SUM(U93:U97)</f>
        <v>0</v>
      </c>
      <c r="V99" s="188">
        <f t="shared" si="98"/>
        <v>0</v>
      </c>
      <c r="W99" s="188">
        <f t="shared" si="102" ref="W99">SUM(W93:W97)</f>
        <v>0</v>
      </c>
      <c r="X99" s="188">
        <f t="shared" si="98"/>
        <v>0</v>
      </c>
    </row>
    <row r="100" spans="1:24" s="4" customFormat="1" ht="15" customHeight="1">
      <c r="A100" s="16">
        <v>86</v>
      </c>
      <c r="C100" s="60"/>
      <c r="D100" s="16"/>
      <c r="E100" s="13"/>
      <c r="F100" s="13"/>
      <c r="G100" s="13"/>
      <c r="H100" s="13"/>
      <c r="I100" s="13"/>
      <c r="J100" s="13"/>
      <c r="K100" s="13"/>
      <c r="L100" s="13"/>
      <c r="M100" s="24"/>
      <c r="N100" s="16"/>
      <c r="O100" s="13"/>
      <c r="P100" s="13"/>
      <c r="Q100" s="13"/>
      <c r="R100" s="13"/>
      <c r="S100" s="13"/>
      <c r="T100" s="13"/>
      <c r="U100" s="13"/>
      <c r="V100" s="13"/>
      <c r="W100" s="13"/>
      <c r="X100" s="13"/>
    </row>
    <row r="101" spans="1:24" s="8" customFormat="1" ht="15" customHeight="1">
      <c r="A101" s="16">
        <v>87</v>
      </c>
      <c r="C101" s="61"/>
      <c r="D101" s="18"/>
      <c r="E101" s="19"/>
      <c r="F101" s="19"/>
      <c r="G101" s="19"/>
      <c r="H101" s="19"/>
      <c r="I101" s="19"/>
      <c r="J101" s="19"/>
      <c r="K101" s="19"/>
      <c r="L101" s="19"/>
      <c r="M101" s="25"/>
      <c r="N101" s="25"/>
      <c r="O101" s="19"/>
      <c r="P101" s="19"/>
      <c r="Q101" s="19"/>
      <c r="R101" s="19"/>
      <c r="S101" s="19"/>
      <c r="T101" s="19"/>
      <c r="U101" s="19"/>
      <c r="V101" s="19"/>
      <c r="W101" s="19"/>
      <c r="X101" s="19"/>
    </row>
    <row r="102" spans="1:26" s="8" customFormat="1" ht="15" customHeight="1">
      <c r="A102" s="16">
        <v>88</v>
      </c>
      <c r="B102" s="8" t="s">
        <v>360</v>
      </c>
      <c r="D102" s="18" t="s">
        <v>41</v>
      </c>
      <c r="E102" s="188">
        <f t="shared" si="103" ref="E102:J102">+E99+E89+E79+E69+E38</f>
        <v>2021121621.6900001</v>
      </c>
      <c r="F102" s="188">
        <f t="shared" si="103"/>
        <v>0</v>
      </c>
      <c r="G102" s="188">
        <f t="shared" si="103"/>
        <v>0</v>
      </c>
      <c r="H102" s="188">
        <f t="shared" si="103"/>
        <v>2021121621.6900001</v>
      </c>
      <c r="I102" s="188">
        <f t="shared" si="103"/>
        <v>147506154.49000001</v>
      </c>
      <c r="J102" s="188">
        <f t="shared" si="103"/>
        <v>2168627776.1799998</v>
      </c>
      <c r="K102" s="19"/>
      <c r="L102" s="188">
        <f>+L99+L89+L79+L69+L38</f>
        <v>2168627776.1799998</v>
      </c>
      <c r="M102" s="18"/>
      <c r="N102" s="25"/>
      <c r="O102" s="188">
        <f t="shared" si="104" ref="O102:X102">+O99+O89+O79+O69+O38</f>
        <v>119304943.38</v>
      </c>
      <c r="P102" s="188">
        <f t="shared" si="105" ref="P102:R102">+P99+P89+P79+P69+P38</f>
        <v>8134907.0000000009</v>
      </c>
      <c r="Q102" s="188">
        <f t="shared" si="106" ref="Q102">+Q99+Q89+Q79+Q69+Q38</f>
        <v>400489.90000000002</v>
      </c>
      <c r="R102" s="188">
        <f t="shared" si="105"/>
        <v>127840340.28</v>
      </c>
      <c r="S102" s="188">
        <f t="shared" si="104"/>
        <v>1967870432.3999999</v>
      </c>
      <c r="T102" s="188">
        <f t="shared" si="104"/>
        <v>429566.12999999995</v>
      </c>
      <c r="U102" s="188">
        <f t="shared" si="107" ref="U102">+U99+U89+U79+U69+U38</f>
        <v>1968299998.53</v>
      </c>
      <c r="V102" s="188">
        <f t="shared" si="104"/>
        <v>59034958.160000004</v>
      </c>
      <c r="W102" s="188">
        <f t="shared" si="108" ref="W102">+W99+W89+W79+W69+W38</f>
        <v>13452479.209999999</v>
      </c>
      <c r="X102" s="188">
        <f t="shared" si="104"/>
        <v>2168627776.1799998</v>
      </c>
      <c r="Y102" s="4" t="b">
        <f>ROUND(+X102,2)=ROUND(L102,2)</f>
        <v>1</v>
      </c>
      <c r="Z102" s="111">
        <f>ROUND(+L102,2)-ROUND(X102,2)</f>
        <v>0</v>
      </c>
    </row>
    <row r="103" spans="2:24" ht="12.75" customHeight="1">
      <c r="B103" s="31"/>
      <c r="C103" s="31"/>
      <c r="D103" s="31"/>
      <c r="E103" s="31"/>
      <c r="F103" s="31"/>
      <c r="G103" s="31"/>
      <c r="H103" s="31"/>
      <c r="I103" s="31"/>
      <c r="J103" s="31"/>
      <c r="K103" s="31"/>
      <c r="L103" s="32"/>
      <c r="M103" s="31"/>
      <c r="N103" s="32"/>
      <c r="O103" s="31"/>
      <c r="P103" s="31"/>
      <c r="Q103" s="31"/>
      <c r="R103" s="31"/>
      <c r="S103" s="31"/>
      <c r="T103" s="31"/>
      <c r="U103" s="31"/>
      <c r="V103" s="31"/>
      <c r="W103" s="31"/>
      <c r="X103" s="31"/>
    </row>
    <row r="104" spans="2:24" ht="12.75" customHeight="1">
      <c r="B104" s="31"/>
      <c r="C104" s="31"/>
      <c r="D104" s="31"/>
      <c r="E104" s="31"/>
      <c r="F104" s="31"/>
      <c r="G104" s="31"/>
      <c r="H104" s="31"/>
      <c r="I104" s="31"/>
      <c r="J104" s="31"/>
      <c r="K104" s="31"/>
      <c r="L104" s="32"/>
      <c r="M104" s="31"/>
      <c r="N104" s="32"/>
      <c r="O104" s="31"/>
      <c r="P104" s="31"/>
      <c r="Q104" s="31"/>
      <c r="R104" s="31"/>
      <c r="S104" s="31"/>
      <c r="T104" s="31"/>
      <c r="U104" s="31"/>
      <c r="V104" s="31"/>
      <c r="W104" s="31"/>
      <c r="X104" s="31"/>
    </row>
    <row r="105" spans="2:24" ht="12.75" customHeight="1">
      <c r="B105" s="31"/>
      <c r="C105" s="31"/>
      <c r="D105" s="31"/>
      <c r="E105" s="43"/>
      <c r="F105" s="43"/>
      <c r="G105" s="43"/>
      <c r="H105" s="43"/>
      <c r="I105" s="43"/>
      <c r="J105" s="43"/>
      <c r="K105" s="43"/>
      <c r="L105" s="122"/>
      <c r="M105" s="43"/>
      <c r="N105" s="122"/>
      <c r="O105" s="43"/>
      <c r="P105" s="43"/>
      <c r="Q105" s="43"/>
      <c r="R105" s="43"/>
      <c r="S105" s="43"/>
      <c r="T105" s="43"/>
      <c r="U105" s="43"/>
      <c r="V105" s="43"/>
      <c r="W105" s="43"/>
      <c r="X105" s="43"/>
    </row>
    <row r="106" spans="2:24" ht="12.75" customHeight="1">
      <c r="B106" s="31"/>
      <c r="C106" s="31"/>
      <c r="D106" s="31"/>
      <c r="E106" s="121"/>
      <c r="F106" s="121"/>
      <c r="G106" s="121"/>
      <c r="H106" s="121"/>
      <c r="I106" s="121"/>
      <c r="J106" s="121"/>
      <c r="K106" s="121"/>
      <c r="L106" s="121"/>
      <c r="M106" s="121"/>
      <c r="N106" s="121"/>
      <c r="O106" s="121"/>
      <c r="P106" s="121"/>
      <c r="Q106" s="121"/>
      <c r="R106" s="121"/>
      <c r="S106" s="121"/>
      <c r="T106" s="121"/>
      <c r="U106" s="121"/>
      <c r="V106" s="121"/>
      <c r="W106" s="121"/>
      <c r="X106" s="121"/>
    </row>
    <row r="107" spans="2:24" ht="12.75" customHeight="1">
      <c r="B107" s="31"/>
      <c r="C107" s="31"/>
      <c r="D107" s="31"/>
      <c r="E107" s="31"/>
      <c r="F107" s="31"/>
      <c r="G107" s="31"/>
      <c r="H107" s="31"/>
      <c r="I107" s="31"/>
      <c r="J107" s="31"/>
      <c r="K107" s="31"/>
      <c r="L107" s="32"/>
      <c r="M107" s="31"/>
      <c r="N107" s="32"/>
      <c r="O107" s="31"/>
      <c r="P107" s="31"/>
      <c r="Q107" s="31"/>
      <c r="R107" s="31"/>
      <c r="S107" s="31"/>
      <c r="T107" s="31"/>
      <c r="U107" s="31"/>
      <c r="V107" s="31"/>
      <c r="W107" s="31"/>
      <c r="X107" s="31"/>
    </row>
    <row r="108" spans="2:24" ht="12.75" customHeight="1">
      <c r="B108" s="31"/>
      <c r="C108" s="31"/>
      <c r="D108" s="31"/>
      <c r="E108" s="31"/>
      <c r="F108" s="31"/>
      <c r="G108" s="31"/>
      <c r="H108" s="31"/>
      <c r="I108" s="31"/>
      <c r="J108" s="31"/>
      <c r="K108" s="31"/>
      <c r="L108" s="32"/>
      <c r="M108" s="31"/>
      <c r="N108" s="32"/>
      <c r="O108" s="31"/>
      <c r="P108" s="31"/>
      <c r="Q108" s="31"/>
      <c r="R108" s="31"/>
      <c r="S108" s="31"/>
      <c r="T108" s="31"/>
      <c r="U108" s="31"/>
      <c r="V108" s="31"/>
      <c r="W108" s="31"/>
      <c r="X108" s="31"/>
    </row>
    <row r="109" spans="2:24" ht="12.75" customHeight="1">
      <c r="B109" s="31"/>
      <c r="C109" s="31"/>
      <c r="D109" s="31"/>
      <c r="E109" s="31"/>
      <c r="F109" s="31"/>
      <c r="G109" s="31"/>
      <c r="H109" s="31"/>
      <c r="I109" s="31"/>
      <c r="J109" s="31"/>
      <c r="K109" s="31"/>
      <c r="L109" s="32"/>
      <c r="M109" s="31"/>
      <c r="N109" s="32"/>
      <c r="O109" s="31"/>
      <c r="P109" s="31"/>
      <c r="Q109" s="31"/>
      <c r="R109" s="31"/>
      <c r="S109" s="31"/>
      <c r="T109" s="31"/>
      <c r="U109" s="31"/>
      <c r="V109" s="31"/>
      <c r="W109" s="31"/>
      <c r="X109" s="31"/>
    </row>
    <row r="110" spans="2:24" ht="12.75" customHeight="1">
      <c r="B110" s="31"/>
      <c r="C110" s="31"/>
      <c r="D110" s="31"/>
      <c r="E110" s="31"/>
      <c r="F110" s="31"/>
      <c r="G110" s="31"/>
      <c r="H110" s="31"/>
      <c r="I110" s="31"/>
      <c r="J110" s="31"/>
      <c r="K110" s="31"/>
      <c r="L110" s="32"/>
      <c r="M110" s="31"/>
      <c r="N110" s="32"/>
      <c r="O110" s="31"/>
      <c r="P110" s="31"/>
      <c r="Q110" s="31"/>
      <c r="R110" s="31"/>
      <c r="S110" s="31"/>
      <c r="T110" s="31"/>
      <c r="U110" s="31"/>
      <c r="V110" s="31"/>
      <c r="W110" s="31"/>
      <c r="X110" s="31"/>
    </row>
  </sheetData>
  <printOptions horizontalCentered="1"/>
  <pageMargins left="0.5" right="0.5" top="2.25" bottom="0.5" header="1" footer="0.5"/>
  <pageSetup fitToHeight="0" fitToWidth="2" orientation="landscape" pageOrder="overThenDown" scale="59" r:id="rId1"/>
  <headerFooter alignWithMargins="0">
    <oddHeader>&amp;C&amp;B
2022 RATE CASE
ONCOR ELECTRIC DELIVERY COMPANY LLC
II-D-1  O&amp;&amp;M EXPENSES
TEST YEAR ENDING DECEMBER 31, 2021
SPONSOR: W. ALAN LEDBETTER&amp;R&amp;"Arial,Bold"Schedule &amp;A
Page &amp;P of &amp;N</oddHeader>
  </headerFooter>
  <rowBreaks count="2" manualBreakCount="2">
    <brk id="55" max="19" man="1"/>
    <brk id="91" max="19" man="1"/>
  </rowBreaks>
  <colBreaks count="1" manualBreakCount="1">
    <brk id="12" min="14" max="101"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9">
    <tabColor rgb="FFFF0000"/>
  </sheetPr>
  <dimension ref="A1:J111"/>
  <sheetViews>
    <sheetView zoomScale="85" zoomScaleNormal="85" workbookViewId="0" topLeftCell="A1">
      <pane xSplit="3" ySplit="15" topLeftCell="D16" activePane="bottomRight" state="frozen"/>
      <selection pane="topLeft" activeCell="D14" sqref="D14"/>
      <selection pane="bottomLeft" activeCell="D14" sqref="D14"/>
      <selection pane="topRight" activeCell="D14" sqref="D14"/>
      <selection pane="bottomRight" activeCell="I32" sqref="I32"/>
    </sheetView>
  </sheetViews>
  <sheetFormatPr defaultColWidth="9.14428571428571" defaultRowHeight="12.75"/>
  <cols>
    <col min="1" max="1" width="5.71428571428571" style="31" customWidth="1"/>
    <col min="2" max="2" width="8.71428571428571" style="33" customWidth="1"/>
    <col min="3" max="3" width="52.8571428571429" style="33" bestFit="1" customWidth="1"/>
    <col min="4" max="4" width="10.5714285714286" style="33" customWidth="1"/>
    <col min="5" max="8" width="17.7142857142857" style="33" customWidth="1"/>
    <col min="9" max="9" width="11.5714285714286" style="33" bestFit="1" customWidth="1"/>
    <col min="10" max="16384" width="9.14285714285714" style="33"/>
  </cols>
  <sheetData>
    <row r="1" spans="1:1" ht="12.75">
      <c r="A1" s="35" t="str">
        <f>+'[3]Input Data'!$A$9</f>
        <v>2022 RATE CASE</v>
      </c>
    </row>
    <row r="2" spans="1:5" ht="12.75">
      <c r="A2" s="8" t="str">
        <f>+'[3]Input Data'!$A$2</f>
        <v>ONCOR ELECTRIC DELIVERY COMPANY LLC</v>
      </c>
      <c r="B2" s="31"/>
      <c r="C2" s="31"/>
      <c r="D2" s="31"/>
      <c r="E2" s="31"/>
    </row>
    <row r="3" spans="1:5" ht="12.75">
      <c r="A3" s="198" t="s">
        <v>401</v>
      </c>
      <c r="B3" s="4"/>
      <c r="D3" s="31"/>
      <c r="E3" s="31"/>
    </row>
    <row r="4" spans="1:5" ht="12.75">
      <c r="A4" s="63" t="str">
        <f>+'[3]Input Data'!$A$4</f>
        <v>TEST YEAR ENDING DECEMBER 31, 2021</v>
      </c>
      <c r="B4" s="4"/>
      <c r="D4" s="31"/>
      <c r="E4" s="31"/>
    </row>
    <row r="5" spans="1:5" ht="12.75">
      <c r="A5" s="7" t="str">
        <f>CONCATENATE("SPONSOR: ",'[3]Schedule Sponsors'!$D$51)</f>
        <v>SPONSOR: W. ALAN LEDBETTER</v>
      </c>
      <c r="B5" s="4"/>
      <c r="D5" s="31"/>
      <c r="E5" s="31"/>
    </row>
    <row r="6" spans="2:5" ht="12.75">
      <c r="B6" s="4"/>
      <c r="D6" s="31"/>
      <c r="E6" s="31"/>
    </row>
    <row r="7" spans="2:5" ht="12.75">
      <c r="B7" s="4"/>
      <c r="D7" s="31"/>
      <c r="E7" s="31"/>
    </row>
    <row r="8" spans="2:5" ht="12.75">
      <c r="B8" s="35"/>
      <c r="C8" s="31"/>
      <c r="D8" s="31"/>
      <c r="E8" s="31"/>
    </row>
    <row r="9" spans="2:5" ht="13.5" thickBot="1">
      <c r="B9" s="31" t="s">
        <v>211</v>
      </c>
      <c r="C9" s="31"/>
      <c r="D9" s="31"/>
      <c r="E9" s="36"/>
    </row>
    <row r="10" spans="1:8" s="56" customFormat="1" ht="12.75">
      <c r="A10" s="9"/>
      <c r="B10" s="9"/>
      <c r="C10" s="9"/>
      <c r="D10" s="9"/>
      <c r="E10" s="196"/>
      <c r="F10" s="82"/>
      <c r="G10" s="82"/>
      <c r="H10" s="82"/>
    </row>
    <row r="11" spans="1:8" s="56" customFormat="1" ht="12.75">
      <c r="A11" s="11"/>
      <c r="B11" s="11"/>
      <c r="C11" s="11"/>
      <c r="D11" s="11"/>
      <c r="E11" s="195" t="s">
        <v>399</v>
      </c>
      <c r="F11" s="81"/>
      <c r="G11" s="81"/>
      <c r="H11" s="81"/>
    </row>
    <row r="12" spans="1:8" s="56" customFormat="1" ht="12.75">
      <c r="A12" s="11" t="s">
        <v>87</v>
      </c>
      <c r="B12" s="11" t="s">
        <v>213</v>
      </c>
      <c r="C12" s="11"/>
      <c r="D12" s="11" t="s">
        <v>210</v>
      </c>
      <c r="E12" s="195" t="s">
        <v>164</v>
      </c>
      <c r="F12" s="197" t="s">
        <v>164</v>
      </c>
      <c r="G12" s="197" t="s">
        <v>164</v>
      </c>
      <c r="H12" s="197" t="s">
        <v>164</v>
      </c>
    </row>
    <row r="13" spans="1:8" s="56" customFormat="1" ht="12.75">
      <c r="A13" s="11" t="s">
        <v>89</v>
      </c>
      <c r="B13" s="11" t="s">
        <v>296</v>
      </c>
      <c r="C13" s="11" t="s">
        <v>209</v>
      </c>
      <c r="D13" s="11" t="s">
        <v>212</v>
      </c>
      <c r="E13" s="195" t="s">
        <v>400</v>
      </c>
      <c r="F13" s="81">
        <v>2020</v>
      </c>
      <c r="G13" s="81">
        <v>2019</v>
      </c>
      <c r="H13" s="81">
        <v>2018</v>
      </c>
    </row>
    <row r="14" spans="1:8" s="56" customFormat="1" ht="13.5" thickBot="1">
      <c r="A14" s="12"/>
      <c r="B14" s="29" t="s">
        <v>44</v>
      </c>
      <c r="C14" s="29" t="s">
        <v>45</v>
      </c>
      <c r="D14" s="29" t="s">
        <v>74</v>
      </c>
      <c r="E14" s="29" t="s">
        <v>75</v>
      </c>
      <c r="F14" s="80" t="s">
        <v>76</v>
      </c>
      <c r="G14" s="80" t="s">
        <v>77</v>
      </c>
      <c r="H14" s="80" t="s">
        <v>78</v>
      </c>
    </row>
    <row r="15" spans="1:5" s="31" customFormat="1" ht="12.75" customHeight="1">
      <c r="A15" s="38"/>
      <c r="B15" s="38"/>
      <c r="C15" s="38"/>
      <c r="D15" s="38"/>
      <c r="E15" s="38"/>
    </row>
    <row r="16" spans="1:5" s="8" customFormat="1" ht="15" customHeight="1">
      <c r="A16" s="16">
        <v>1</v>
      </c>
      <c r="B16" s="8" t="s">
        <v>230</v>
      </c>
      <c r="D16" s="18"/>
      <c r="E16" s="19"/>
    </row>
    <row r="17" spans="1:5" s="8" customFormat="1" ht="15" customHeight="1">
      <c r="A17" s="16">
        <v>2</v>
      </c>
      <c r="C17" s="15" t="s">
        <v>227</v>
      </c>
      <c r="D17" s="18" t="s">
        <v>393</v>
      </c>
      <c r="E17" s="19"/>
    </row>
    <row r="18" spans="1:9" s="4" customFormat="1" ht="15" customHeight="1">
      <c r="A18" s="16">
        <v>3</v>
      </c>
      <c r="B18" s="4" t="s">
        <v>231</v>
      </c>
      <c r="C18" s="4" t="s">
        <v>373</v>
      </c>
      <c r="D18" s="16"/>
      <c r="E18" s="156">
        <f>+'II-D-1'!H17</f>
        <v>4425485.6200000001</v>
      </c>
      <c r="F18" s="232">
        <v>3957489.54</v>
      </c>
      <c r="G18" s="246">
        <v>3241227.77</v>
      </c>
      <c r="H18" s="246">
        <v>3040326.79</v>
      </c>
      <c r="I18" s="246"/>
    </row>
    <row r="19" spans="1:8" s="4" customFormat="1" ht="15" customHeight="1">
      <c r="A19" s="16">
        <v>4</v>
      </c>
      <c r="B19" s="4" t="s">
        <v>232</v>
      </c>
      <c r="C19" s="4" t="s">
        <v>292</v>
      </c>
      <c r="D19" s="16"/>
      <c r="E19" s="13">
        <f>+'II-D-1'!H18</f>
        <v>20127444.139999997</v>
      </c>
      <c r="F19" s="231">
        <v>19013662.879999999</v>
      </c>
      <c r="G19" s="13">
        <v>17130204.73</v>
      </c>
      <c r="H19" s="13">
        <v>15751351.979999999</v>
      </c>
    </row>
    <row r="20" spans="1:8" s="4" customFormat="1" ht="15" customHeight="1">
      <c r="A20" s="16">
        <v>5</v>
      </c>
      <c r="B20" s="4" t="s">
        <v>233</v>
      </c>
      <c r="C20" s="4" t="s">
        <v>374</v>
      </c>
      <c r="D20" s="16"/>
      <c r="E20" s="13">
        <f>+'II-D-1'!H19</f>
        <v>2866541.96</v>
      </c>
      <c r="F20" s="231">
        <v>2649952.3599999999</v>
      </c>
      <c r="G20" s="13">
        <v>2196035.2599999998</v>
      </c>
      <c r="H20" s="13">
        <v>1849919.6499999999</v>
      </c>
    </row>
    <row r="21" spans="1:8" s="4" customFormat="1" ht="15" customHeight="1">
      <c r="A21" s="16">
        <v>6</v>
      </c>
      <c r="B21" s="4" t="s">
        <v>234</v>
      </c>
      <c r="C21" s="4" t="s">
        <v>375</v>
      </c>
      <c r="D21" s="16"/>
      <c r="E21" s="13">
        <f>+'II-D-1'!H20</f>
        <v>2316308.4199999999</v>
      </c>
      <c r="F21" s="231">
        <v>2233960.46</v>
      </c>
      <c r="G21" s="13">
        <v>1554015.4299999999</v>
      </c>
      <c r="H21" s="13">
        <v>1267724.79</v>
      </c>
    </row>
    <row r="22" spans="1:8" s="4" customFormat="1" ht="15" customHeight="1">
      <c r="A22" s="16">
        <v>7</v>
      </c>
      <c r="B22" s="4" t="s">
        <v>235</v>
      </c>
      <c r="C22" s="4" t="s">
        <v>376</v>
      </c>
      <c r="D22" s="16"/>
      <c r="E22" s="13">
        <f>+'II-D-1'!H21</f>
        <v>2674.8599999999997</v>
      </c>
      <c r="F22" s="231">
        <v>8237.5499999999993</v>
      </c>
      <c r="G22" s="13">
        <v>4652.3199999999997</v>
      </c>
      <c r="H22" s="13">
        <v>11538.790000000001</v>
      </c>
    </row>
    <row r="23" spans="1:8" s="4" customFormat="1" ht="15" customHeight="1">
      <c r="A23" s="16">
        <v>8</v>
      </c>
      <c r="B23" s="4" t="s">
        <v>284</v>
      </c>
      <c r="C23" s="30" t="s">
        <v>377</v>
      </c>
      <c r="D23" s="16"/>
      <c r="E23" s="13">
        <f>+'II-D-1'!H22</f>
        <v>1517206007.5900002</v>
      </c>
      <c r="F23" s="231">
        <v>1421085320.1500001</v>
      </c>
      <c r="G23" s="13">
        <v>1395959135.22</v>
      </c>
      <c r="H23" s="13">
        <v>1271522161.2000001</v>
      </c>
    </row>
    <row r="24" spans="1:8" s="4" customFormat="1" ht="15" customHeight="1">
      <c r="A24" s="16">
        <v>9</v>
      </c>
      <c r="B24" s="4" t="s">
        <v>236</v>
      </c>
      <c r="C24" s="4" t="s">
        <v>138</v>
      </c>
      <c r="D24" s="16"/>
      <c r="E24" s="13">
        <f>+'II-D-1'!H23</f>
        <v>56401152.890000008</v>
      </c>
      <c r="F24" s="231">
        <v>47437074.149999999</v>
      </c>
      <c r="G24" s="13">
        <v>45262153.040000007</v>
      </c>
      <c r="H24" s="13">
        <v>34572883.649999999</v>
      </c>
    </row>
    <row r="25" spans="1:8" s="4" customFormat="1" ht="15" customHeight="1">
      <c r="A25" s="16">
        <v>10</v>
      </c>
      <c r="B25" s="4" t="s">
        <v>237</v>
      </c>
      <c r="C25" s="4" t="s">
        <v>293</v>
      </c>
      <c r="D25" s="16"/>
      <c r="E25" s="13">
        <f>+'II-D-1'!H24</f>
        <v>193255.28000000003</v>
      </c>
      <c r="F25" s="231">
        <v>151008.45999999999</v>
      </c>
      <c r="G25" s="13">
        <v>199696.75</v>
      </c>
      <c r="H25" s="13">
        <v>158054.67999999999</v>
      </c>
    </row>
    <row r="26" spans="1:8" s="8" customFormat="1" ht="15" customHeight="1">
      <c r="A26" s="16">
        <v>11</v>
      </c>
      <c r="D26" s="18"/>
      <c r="E26" s="125"/>
      <c r="F26" s="128"/>
      <c r="G26" s="128"/>
      <c r="H26" s="128"/>
    </row>
    <row r="27" spans="1:8" s="4" customFormat="1" ht="15" customHeight="1">
      <c r="A27" s="16">
        <v>12</v>
      </c>
      <c r="C27" s="22" t="s">
        <v>54</v>
      </c>
      <c r="D27" s="16"/>
      <c r="E27" s="188">
        <f t="shared" si="0" ref="E27:G27">SUM(E18:E25)</f>
        <v>1603538870.7600002</v>
      </c>
      <c r="F27" s="188">
        <f t="shared" si="0"/>
        <v>1496536705.5500002</v>
      </c>
      <c r="G27" s="188">
        <f t="shared" si="0"/>
        <v>1465547120.52</v>
      </c>
      <c r="H27" s="188">
        <f>SUM(H18:H25)</f>
        <v>1328173961.5300002</v>
      </c>
    </row>
    <row r="28" spans="1:8" s="8" customFormat="1" ht="15" customHeight="1">
      <c r="A28" s="16">
        <v>13</v>
      </c>
      <c r="C28" s="18"/>
      <c r="D28" s="18"/>
      <c r="E28" s="125"/>
      <c r="F28" s="128"/>
      <c r="G28" s="128"/>
      <c r="H28" s="128"/>
    </row>
    <row r="29" spans="1:5" s="8" customFormat="1" ht="15" customHeight="1">
      <c r="A29" s="16">
        <v>14</v>
      </c>
      <c r="C29" s="15" t="s">
        <v>229</v>
      </c>
      <c r="D29" s="18" t="s">
        <v>393</v>
      </c>
      <c r="E29" s="19"/>
    </row>
    <row r="30" spans="1:8" s="4" customFormat="1" ht="15" customHeight="1">
      <c r="A30" s="16">
        <v>15</v>
      </c>
      <c r="B30" s="4" t="s">
        <v>238</v>
      </c>
      <c r="C30" s="4" t="s">
        <v>139</v>
      </c>
      <c r="D30" s="16"/>
      <c r="E30" s="156">
        <f>+'II-D-1'!H29</f>
        <v>605052.74999999988</v>
      </c>
      <c r="F30" s="234">
        <v>720422.04000000004</v>
      </c>
      <c r="G30" s="246">
        <v>722527.17999999993</v>
      </c>
      <c r="H30" s="246">
        <v>530114.17000000004</v>
      </c>
    </row>
    <row r="31" spans="1:8" s="4" customFormat="1" ht="15" customHeight="1">
      <c r="A31" s="16">
        <v>16</v>
      </c>
      <c r="B31" s="4" t="s">
        <v>239</v>
      </c>
      <c r="C31" s="30" t="s">
        <v>140</v>
      </c>
      <c r="D31" s="16"/>
      <c r="E31" s="13">
        <f>+'II-D-1'!H30</f>
        <v>51837.810000000012</v>
      </c>
      <c r="F31" s="233">
        <v>31420.769999999997</v>
      </c>
      <c r="G31" s="13">
        <v>36823.989999999998</v>
      </c>
      <c r="H31" s="13">
        <v>139135.56</v>
      </c>
    </row>
    <row r="32" spans="1:8" s="4" customFormat="1" ht="15" customHeight="1">
      <c r="A32" s="16">
        <v>17</v>
      </c>
      <c r="B32" s="4" t="s">
        <v>240</v>
      </c>
      <c r="C32" s="4" t="s">
        <v>381</v>
      </c>
      <c r="D32" s="16"/>
      <c r="E32" s="13">
        <f>+'II-D-1'!H31</f>
        <v>8592564.6300000008</v>
      </c>
      <c r="F32" s="233">
        <v>8547308.8599999994</v>
      </c>
      <c r="G32" s="13">
        <v>5003735.3799999999</v>
      </c>
      <c r="H32" s="13">
        <v>5260632.4900000002</v>
      </c>
    </row>
    <row r="33" spans="1:8" s="4" customFormat="1" ht="15" customHeight="1">
      <c r="A33" s="16">
        <v>18</v>
      </c>
      <c r="B33" s="4" t="s">
        <v>241</v>
      </c>
      <c r="C33" s="4" t="s">
        <v>382</v>
      </c>
      <c r="D33" s="16"/>
      <c r="E33" s="13">
        <f>+'II-D-1'!H32</f>
        <v>21144933.149999995</v>
      </c>
      <c r="F33" s="233">
        <v>22059895.809999999</v>
      </c>
      <c r="G33" s="13">
        <v>17691220.369999997</v>
      </c>
      <c r="H33" s="13">
        <v>16756443.449999999</v>
      </c>
    </row>
    <row r="34" spans="1:8" s="4" customFormat="1" ht="15" customHeight="1">
      <c r="A34" s="16">
        <v>19</v>
      </c>
      <c r="B34" s="4" t="s">
        <v>242</v>
      </c>
      <c r="C34" s="30" t="s">
        <v>383</v>
      </c>
      <c r="D34" s="16"/>
      <c r="E34" s="13">
        <f>+'II-D-1'!H33</f>
        <v>159.03</v>
      </c>
      <c r="F34" s="233">
        <v>426.06</v>
      </c>
      <c r="G34" s="13">
        <v>17637.25</v>
      </c>
      <c r="H34" s="13">
        <v>439.81</v>
      </c>
    </row>
    <row r="35" spans="1:8" s="4" customFormat="1" ht="15" customHeight="1">
      <c r="A35" s="16">
        <v>20</v>
      </c>
      <c r="B35" s="4" t="s">
        <v>243</v>
      </c>
      <c r="C35" s="30" t="s">
        <v>141</v>
      </c>
      <c r="D35" s="16"/>
      <c r="E35" s="13">
        <f>+'II-D-1'!H34</f>
        <v>1731313.2</v>
      </c>
      <c r="F35" s="233">
        <v>2568691.3100000001</v>
      </c>
      <c r="G35" s="13">
        <v>1770621.45</v>
      </c>
      <c r="H35" s="13">
        <v>1256399.3000000001</v>
      </c>
    </row>
    <row r="36" spans="1:8" s="4" customFormat="1" ht="15" customHeight="1">
      <c r="A36" s="16">
        <v>21</v>
      </c>
      <c r="D36" s="16"/>
      <c r="E36" s="124"/>
      <c r="F36" s="127"/>
      <c r="G36" s="127"/>
      <c r="H36" s="127"/>
    </row>
    <row r="37" spans="1:8" s="8" customFormat="1" ht="15" customHeight="1">
      <c r="A37" s="16">
        <v>22</v>
      </c>
      <c r="C37" s="22" t="s">
        <v>55</v>
      </c>
      <c r="D37" s="18"/>
      <c r="E37" s="188">
        <f t="shared" si="1" ref="E37:G37">SUM(E30:E35)</f>
        <v>32125860.569999997</v>
      </c>
      <c r="F37" s="188">
        <f t="shared" si="1"/>
        <v>33928164.849999994</v>
      </c>
      <c r="G37" s="188">
        <f t="shared" si="1"/>
        <v>25242565.619999997</v>
      </c>
      <c r="H37" s="188">
        <f>SUM(H30:H35)</f>
        <v>23943164.780000001</v>
      </c>
    </row>
    <row r="38" spans="1:8" s="8" customFormat="1" ht="15" customHeight="1">
      <c r="A38" s="16">
        <v>23</v>
      </c>
      <c r="C38" s="22"/>
      <c r="D38" s="18"/>
      <c r="E38" s="125"/>
      <c r="F38" s="128"/>
      <c r="G38" s="128"/>
      <c r="H38" s="128"/>
    </row>
    <row r="39" spans="1:8" s="8" customFormat="1" ht="15" customHeight="1">
      <c r="A39" s="16">
        <v>24</v>
      </c>
      <c r="B39" s="8" t="s">
        <v>92</v>
      </c>
      <c r="D39" s="18" t="s">
        <v>393</v>
      </c>
      <c r="E39" s="188">
        <f t="shared" si="2" ref="E39:G39">+E27+E37</f>
        <v>1635664731.3300002</v>
      </c>
      <c r="F39" s="188">
        <f t="shared" si="2"/>
        <v>1530464870.4000001</v>
      </c>
      <c r="G39" s="188">
        <f t="shared" si="2"/>
        <v>1490789686.1399999</v>
      </c>
      <c r="H39" s="188">
        <f>+H27+H37</f>
        <v>1352117126.3100002</v>
      </c>
    </row>
    <row r="40" spans="1:5" s="8" customFormat="1" ht="15" customHeight="1">
      <c r="A40" s="16">
        <v>25</v>
      </c>
      <c r="D40" s="18"/>
      <c r="E40" s="19"/>
    </row>
    <row r="41" spans="1:5" s="8" customFormat="1" ht="15" customHeight="1">
      <c r="A41" s="16">
        <v>26</v>
      </c>
      <c r="D41" s="18"/>
      <c r="E41" s="19"/>
    </row>
    <row r="42" spans="1:5" s="8" customFormat="1" ht="15" customHeight="1">
      <c r="A42" s="16">
        <v>27</v>
      </c>
      <c r="B42" s="8" t="s">
        <v>35</v>
      </c>
      <c r="D42" s="18"/>
      <c r="E42" s="19"/>
    </row>
    <row r="43" spans="1:5" s="8" customFormat="1" ht="15" customHeight="1">
      <c r="A43" s="16">
        <v>28</v>
      </c>
      <c r="C43" s="15" t="s">
        <v>227</v>
      </c>
      <c r="D43" s="18" t="s">
        <v>393</v>
      </c>
      <c r="E43" s="19"/>
    </row>
    <row r="44" spans="1:10" s="8" customFormat="1" ht="15" customHeight="1">
      <c r="A44" s="16">
        <v>29</v>
      </c>
      <c r="B44" s="4" t="s">
        <v>250</v>
      </c>
      <c r="C44" s="23" t="s">
        <v>373</v>
      </c>
      <c r="D44" s="18"/>
      <c r="E44" s="156">
        <f>+'II-D-1'!H43</f>
        <v>8013039.4999999907</v>
      </c>
      <c r="F44" s="236">
        <v>6492501.4400000004</v>
      </c>
      <c r="G44" s="246">
        <v>6142108.8700000001</v>
      </c>
      <c r="H44" s="246">
        <v>8317139.5999999996</v>
      </c>
      <c r="J44" s="4"/>
    </row>
    <row r="45" spans="1:8" s="4" customFormat="1" ht="15" customHeight="1">
      <c r="A45" s="16">
        <v>30</v>
      </c>
      <c r="B45" s="4" t="s">
        <v>244</v>
      </c>
      <c r="C45" s="23" t="s">
        <v>145</v>
      </c>
      <c r="E45" s="13">
        <f>+'II-D-1'!H44</f>
        <v>9673462.1999999993</v>
      </c>
      <c r="F45" s="235">
        <v>9275729.9399999995</v>
      </c>
      <c r="G45" s="13">
        <v>7568691.5099999998</v>
      </c>
      <c r="H45" s="13">
        <v>7073913.5999999996</v>
      </c>
    </row>
    <row r="46" spans="1:8" s="4" customFormat="1" ht="15" customHeight="1">
      <c r="A46" s="16">
        <v>31</v>
      </c>
      <c r="B46" s="4" t="s">
        <v>245</v>
      </c>
      <c r="C46" s="4" t="s">
        <v>374</v>
      </c>
      <c r="D46" s="13"/>
      <c r="E46" s="13">
        <f>+'II-D-1'!H45</f>
        <v>4154901.370000001</v>
      </c>
      <c r="F46" s="235">
        <v>4071337.2200000002</v>
      </c>
      <c r="G46" s="13">
        <v>3187087.9900000002</v>
      </c>
      <c r="H46" s="13">
        <v>2916720.48</v>
      </c>
    </row>
    <row r="47" spans="1:8" s="4" customFormat="1" ht="15" customHeight="1">
      <c r="A47" s="16">
        <v>32</v>
      </c>
      <c r="B47" s="4" t="s">
        <v>155</v>
      </c>
      <c r="C47" s="4" t="s">
        <v>375</v>
      </c>
      <c r="D47" s="13"/>
      <c r="E47" s="13">
        <f>+'II-D-1'!H46</f>
        <v>13630546.409999989</v>
      </c>
      <c r="F47" s="235">
        <v>24936659.640000001</v>
      </c>
      <c r="G47" s="13">
        <v>25063532.100000001</v>
      </c>
      <c r="H47" s="13">
        <v>31253459.91</v>
      </c>
    </row>
    <row r="48" spans="1:8" s="4" customFormat="1" ht="15" customHeight="1">
      <c r="A48" s="16">
        <v>33</v>
      </c>
      <c r="B48" s="4" t="s">
        <v>246</v>
      </c>
      <c r="C48" s="4" t="s">
        <v>376</v>
      </c>
      <c r="D48" s="13"/>
      <c r="E48" s="13">
        <f>+'II-D-1'!H47</f>
        <v>10059950.870000061</v>
      </c>
      <c r="F48" s="235">
        <v>9518512.1199999992</v>
      </c>
      <c r="G48" s="13">
        <v>11339704.640000001</v>
      </c>
      <c r="H48" s="13">
        <v>14876063.17</v>
      </c>
    </row>
    <row r="49" spans="1:8" s="4" customFormat="1" ht="15" customHeight="1">
      <c r="A49" s="16">
        <v>34</v>
      </c>
      <c r="B49" s="4" t="s">
        <v>281</v>
      </c>
      <c r="C49" s="4" t="s">
        <v>142</v>
      </c>
      <c r="D49" s="13"/>
      <c r="E49" s="13">
        <f>+'II-D-1'!H48</f>
        <v>729.92000000000007</v>
      </c>
      <c r="F49" s="235">
        <v>126.34999999999999</v>
      </c>
      <c r="G49" s="13">
        <v>26116.470000000001</v>
      </c>
      <c r="H49" s="13">
        <v>841.70000000000005</v>
      </c>
    </row>
    <row r="50" spans="1:8" s="4" customFormat="1" ht="15" customHeight="1">
      <c r="A50" s="16">
        <v>35</v>
      </c>
      <c r="B50" s="4" t="s">
        <v>247</v>
      </c>
      <c r="C50" s="4" t="s">
        <v>144</v>
      </c>
      <c r="D50" s="13"/>
      <c r="E50" s="13">
        <f>+'II-D-1'!H49</f>
        <v>28481704.209999982</v>
      </c>
      <c r="F50" s="235">
        <v>26937006.399999999</v>
      </c>
      <c r="G50" s="13">
        <v>27498040.690000001</v>
      </c>
      <c r="H50" s="13">
        <v>28212998.690000001</v>
      </c>
    </row>
    <row r="51" spans="1:8" s="4" customFormat="1" ht="15" customHeight="1">
      <c r="A51" s="16">
        <v>36</v>
      </c>
      <c r="B51" s="4" t="s">
        <v>248</v>
      </c>
      <c r="C51" s="4" t="s">
        <v>143</v>
      </c>
      <c r="D51" s="13"/>
      <c r="E51" s="13">
        <f>+'II-D-1'!H50</f>
        <v>1639788.8000000005</v>
      </c>
      <c r="F51" s="235">
        <v>1201741</v>
      </c>
      <c r="G51" s="13">
        <v>1139775.96</v>
      </c>
      <c r="H51" s="13">
        <v>224863.92000000001</v>
      </c>
    </row>
    <row r="52" spans="1:8" s="4" customFormat="1" ht="15" customHeight="1">
      <c r="A52" s="16">
        <v>37</v>
      </c>
      <c r="B52" s="4" t="s">
        <v>251</v>
      </c>
      <c r="C52" s="4" t="s">
        <v>146</v>
      </c>
      <c r="D52" s="13"/>
      <c r="E52" s="13">
        <f>+'II-D-1'!H51</f>
        <v>61197404.489999883</v>
      </c>
      <c r="F52" s="235">
        <v>60572502.710000008</v>
      </c>
      <c r="G52" s="13">
        <v>57754223.410000004</v>
      </c>
      <c r="H52" s="13">
        <v>53592712.710000001</v>
      </c>
    </row>
    <row r="53" spans="1:8" s="4" customFormat="1" ht="15" customHeight="1">
      <c r="A53" s="16">
        <v>38</v>
      </c>
      <c r="B53" s="4" t="s">
        <v>249</v>
      </c>
      <c r="C53" s="4" t="s">
        <v>228</v>
      </c>
      <c r="D53" s="13"/>
      <c r="E53" s="13">
        <f>+'II-D-1'!H52</f>
        <v>281934.38</v>
      </c>
      <c r="F53" s="235">
        <v>96512.009999999995</v>
      </c>
      <c r="G53" s="13">
        <v>652678.14000000001</v>
      </c>
      <c r="H53" s="13">
        <v>618934.34999999998</v>
      </c>
    </row>
    <row r="54" spans="1:8" s="4" customFormat="1" ht="15" customHeight="1">
      <c r="A54" s="16">
        <v>39</v>
      </c>
      <c r="D54" s="13"/>
      <c r="E54" s="124"/>
      <c r="F54" s="127"/>
      <c r="G54" s="127"/>
      <c r="H54" s="127"/>
    </row>
    <row r="55" spans="1:8" s="8" customFormat="1" ht="15" customHeight="1">
      <c r="A55" s="16">
        <v>40</v>
      </c>
      <c r="C55" s="22" t="s">
        <v>56</v>
      </c>
      <c r="D55" s="18"/>
      <c r="E55" s="188">
        <f>SUM(E44:E53)</f>
        <v>137133462.14999989</v>
      </c>
      <c r="F55" s="188">
        <f t="shared" si="3" ref="F55:G55">SUM(F44:F53)</f>
        <v>143102628.82999998</v>
      </c>
      <c r="G55" s="188">
        <f t="shared" si="3"/>
        <v>140371959.77999997</v>
      </c>
      <c r="H55" s="188">
        <f>SUM(H44:H53)</f>
        <v>147087648.13</v>
      </c>
    </row>
    <row r="56" spans="1:8" s="8" customFormat="1" ht="15" customHeight="1">
      <c r="A56" s="16">
        <v>41</v>
      </c>
      <c r="B56" s="15"/>
      <c r="D56" s="18"/>
      <c r="E56" s="125"/>
      <c r="F56" s="128"/>
      <c r="G56" s="128"/>
      <c r="H56" s="128"/>
    </row>
    <row r="57" spans="1:5" s="8" customFormat="1" ht="15" customHeight="1">
      <c r="A57" s="16">
        <v>42</v>
      </c>
      <c r="C57" s="15" t="s">
        <v>229</v>
      </c>
      <c r="D57" s="18" t="s">
        <v>393</v>
      </c>
      <c r="E57" s="19"/>
    </row>
    <row r="58" spans="1:10" s="8" customFormat="1" ht="15" customHeight="1">
      <c r="A58" s="16">
        <v>43</v>
      </c>
      <c r="B58" s="4" t="s">
        <v>257</v>
      </c>
      <c r="C58" s="4" t="s">
        <v>139</v>
      </c>
      <c r="D58" s="18"/>
      <c r="E58" s="156">
        <f>+'II-D-1'!H57</f>
        <v>2789401.1600000001</v>
      </c>
      <c r="F58" s="238">
        <v>1688795.6799999999</v>
      </c>
      <c r="G58" s="156">
        <v>3043241.27</v>
      </c>
      <c r="H58" s="156">
        <v>2538697.8200000003</v>
      </c>
      <c r="J58" s="4"/>
    </row>
    <row r="59" spans="1:8" s="4" customFormat="1" ht="15" customHeight="1">
      <c r="A59" s="16">
        <v>44</v>
      </c>
      <c r="B59" s="4" t="s">
        <v>252</v>
      </c>
      <c r="C59" s="30" t="s">
        <v>140</v>
      </c>
      <c r="D59" s="16"/>
      <c r="E59" s="13">
        <f>+'II-D-1'!H58</f>
        <v>6086.420000000001</v>
      </c>
      <c r="F59" s="237">
        <v>53360.610000000001</v>
      </c>
      <c r="G59" s="13">
        <v>54834.690000000002</v>
      </c>
      <c r="H59" s="13">
        <v>96275.369999999995</v>
      </c>
    </row>
    <row r="60" spans="1:8" s="4" customFormat="1" ht="15" customHeight="1">
      <c r="A60" s="16">
        <v>45</v>
      </c>
      <c r="B60" s="4" t="s">
        <v>253</v>
      </c>
      <c r="C60" s="4" t="s">
        <v>381</v>
      </c>
      <c r="D60" s="16"/>
      <c r="E60" s="13">
        <f>+'II-D-1'!H59</f>
        <v>9945324.9200000037</v>
      </c>
      <c r="F60" s="237">
        <v>9372217.4399999995</v>
      </c>
      <c r="G60" s="13">
        <v>8062384.2700000005</v>
      </c>
      <c r="H60" s="13">
        <v>7615033.54</v>
      </c>
    </row>
    <row r="61" spans="1:8" s="4" customFormat="1" ht="15" customHeight="1">
      <c r="A61" s="16">
        <v>46</v>
      </c>
      <c r="B61" s="4" t="s">
        <v>147</v>
      </c>
      <c r="C61" s="30" t="s">
        <v>382</v>
      </c>
      <c r="D61" s="16"/>
      <c r="E61" s="13">
        <f>+'II-D-1'!H60</f>
        <v>108041450.89999999</v>
      </c>
      <c r="F61" s="237">
        <v>93226332.86999999</v>
      </c>
      <c r="G61" s="13">
        <v>89840017.230000004</v>
      </c>
      <c r="H61" s="13">
        <v>81841244.949999988</v>
      </c>
    </row>
    <row r="62" spans="1:8" s="4" customFormat="1" ht="15" customHeight="1">
      <c r="A62" s="16">
        <v>47</v>
      </c>
      <c r="B62" s="4" t="s">
        <v>148</v>
      </c>
      <c r="C62" s="4" t="s">
        <v>383</v>
      </c>
      <c r="D62" s="16"/>
      <c r="E62" s="13">
        <f>+'II-D-1'!H61</f>
        <v>26551032.529999986</v>
      </c>
      <c r="F62" s="237">
        <v>23856188.539999999</v>
      </c>
      <c r="G62" s="13">
        <v>22802121.399999999</v>
      </c>
      <c r="H62" s="13">
        <v>18068842.91</v>
      </c>
    </row>
    <row r="63" spans="1:8" s="4" customFormat="1" ht="15" customHeight="1">
      <c r="A63" s="16">
        <v>48</v>
      </c>
      <c r="B63" s="4" t="s">
        <v>254</v>
      </c>
      <c r="C63" s="4" t="s">
        <v>149</v>
      </c>
      <c r="D63" s="16"/>
      <c r="E63" s="13">
        <f>+'II-D-1'!H62</f>
        <v>4997752.6500000078</v>
      </c>
      <c r="F63" s="237">
        <v>3868944.7400000002</v>
      </c>
      <c r="G63" s="13">
        <v>3750561.0899999999</v>
      </c>
      <c r="H63" s="13">
        <v>2467755.9399999999</v>
      </c>
    </row>
    <row r="64" spans="1:8" s="4" customFormat="1" ht="15" customHeight="1">
      <c r="A64" s="16">
        <v>49</v>
      </c>
      <c r="B64" s="4" t="s">
        <v>282</v>
      </c>
      <c r="C64" s="4" t="s">
        <v>150</v>
      </c>
      <c r="D64" s="16"/>
      <c r="E64" s="13">
        <f>+'II-D-1'!H63</f>
        <v>9642119.3799999934</v>
      </c>
      <c r="F64" s="237">
        <v>9828956.9100000001</v>
      </c>
      <c r="G64" s="13">
        <v>7583662.0300000003</v>
      </c>
      <c r="H64" s="13">
        <v>8290138.3600000003</v>
      </c>
    </row>
    <row r="65" spans="1:8" s="4" customFormat="1" ht="15" customHeight="1">
      <c r="A65" s="16">
        <v>50</v>
      </c>
      <c r="B65" s="4" t="s">
        <v>256</v>
      </c>
      <c r="C65" s="4" t="s">
        <v>151</v>
      </c>
      <c r="D65" s="16"/>
      <c r="E65" s="13">
        <f>+'II-D-1'!H64</f>
        <v>16435498.550000012</v>
      </c>
      <c r="F65" s="237">
        <v>15749208.5</v>
      </c>
      <c r="G65" s="13">
        <v>15857154.369999999</v>
      </c>
      <c r="H65" s="13">
        <v>14730213.73</v>
      </c>
    </row>
    <row r="66" spans="1:8" s="4" customFormat="1" ht="15" customHeight="1">
      <c r="A66" s="16">
        <v>51</v>
      </c>
      <c r="B66" s="4" t="s">
        <v>285</v>
      </c>
      <c r="C66" s="4" t="s">
        <v>152</v>
      </c>
      <c r="D66" s="16"/>
      <c r="E66" s="13">
        <f>+'II-D-1'!H65</f>
        <v>2221844.9499999965</v>
      </c>
      <c r="F66" s="237">
        <v>2255446.3100000001</v>
      </c>
      <c r="G66" s="13">
        <v>2392810.4400000004</v>
      </c>
      <c r="H66" s="13">
        <v>2169190.4900000002</v>
      </c>
    </row>
    <row r="67" spans="1:8" s="4" customFormat="1" ht="15" customHeight="1">
      <c r="A67" s="16">
        <v>52</v>
      </c>
      <c r="D67" s="16"/>
      <c r="E67" s="124"/>
      <c r="F67" s="127"/>
      <c r="G67" s="127"/>
      <c r="H67" s="127"/>
    </row>
    <row r="68" spans="1:8" s="4" customFormat="1" ht="15" customHeight="1">
      <c r="A68" s="16">
        <v>53</v>
      </c>
      <c r="C68" s="22" t="s">
        <v>57</v>
      </c>
      <c r="D68" s="16"/>
      <c r="E68" s="188">
        <f t="shared" si="4" ref="E68:G68">SUM(E58:E66)</f>
        <v>180630511.45999998</v>
      </c>
      <c r="F68" s="188">
        <f t="shared" si="4"/>
        <v>159899451.59999999</v>
      </c>
      <c r="G68" s="188">
        <f t="shared" si="4"/>
        <v>153386786.79000002</v>
      </c>
      <c r="H68" s="188">
        <f>SUM(H58:H66)</f>
        <v>137817393.10999998</v>
      </c>
    </row>
    <row r="69" spans="1:8" s="4" customFormat="1" ht="15" customHeight="1">
      <c r="A69" s="16">
        <v>54</v>
      </c>
      <c r="D69" s="16"/>
      <c r="E69" s="124"/>
      <c r="F69" s="127"/>
      <c r="G69" s="127"/>
      <c r="H69" s="127"/>
    </row>
    <row r="70" spans="1:8" s="8" customFormat="1" ht="15" customHeight="1">
      <c r="A70" s="16">
        <v>55</v>
      </c>
      <c r="B70" s="8" t="s">
        <v>93</v>
      </c>
      <c r="D70" s="18" t="s">
        <v>393</v>
      </c>
      <c r="E70" s="188">
        <f t="shared" si="5" ref="E70:G70">+E68+E55</f>
        <v>317763973.6099999</v>
      </c>
      <c r="F70" s="188">
        <f t="shared" si="5"/>
        <v>303002080.42999995</v>
      </c>
      <c r="G70" s="188">
        <f t="shared" si="5"/>
        <v>293758746.56999999</v>
      </c>
      <c r="H70" s="188">
        <f>+H68+H55</f>
        <v>284905041.24000001</v>
      </c>
    </row>
    <row r="71" spans="1:5" s="8" customFormat="1" ht="15" customHeight="1">
      <c r="A71" s="16">
        <v>56</v>
      </c>
      <c r="D71" s="18"/>
      <c r="E71" s="19"/>
    </row>
    <row r="72" spans="1:5" s="4" customFormat="1" ht="15" customHeight="1">
      <c r="A72" s="16">
        <v>57</v>
      </c>
      <c r="C72" s="8"/>
      <c r="D72" s="18"/>
      <c r="E72" s="19"/>
    </row>
    <row r="73" spans="1:5" s="8" customFormat="1" ht="15" customHeight="1">
      <c r="A73" s="16">
        <v>58</v>
      </c>
      <c r="C73" s="15" t="s">
        <v>363</v>
      </c>
      <c r="D73" s="18" t="s">
        <v>393</v>
      </c>
      <c r="E73" s="19"/>
    </row>
    <row r="74" spans="1:8" s="4" customFormat="1" ht="15" customHeight="1">
      <c r="A74" s="16">
        <v>59</v>
      </c>
      <c r="B74" s="4" t="s">
        <v>260</v>
      </c>
      <c r="C74" s="4" t="s">
        <v>261</v>
      </c>
      <c r="D74" s="16"/>
      <c r="E74" s="156">
        <f>+'II-D-1'!H73</f>
        <v>15971.100000000002</v>
      </c>
      <c r="F74" s="240">
        <v>4203.21</v>
      </c>
      <c r="G74" s="156">
        <v>23240.849999999999</v>
      </c>
      <c r="H74" s="156">
        <v>2571.3400000000001</v>
      </c>
    </row>
    <row r="75" spans="1:8" s="4" customFormat="1" ht="15" customHeight="1">
      <c r="A75" s="16">
        <v>60</v>
      </c>
      <c r="B75" s="4" t="s">
        <v>259</v>
      </c>
      <c r="C75" s="4" t="s">
        <v>166</v>
      </c>
      <c r="D75" s="16"/>
      <c r="E75" s="13">
        <f>+'II-D-1'!H74</f>
        <v>124810.91</v>
      </c>
      <c r="F75" s="239">
        <v>156148.09</v>
      </c>
      <c r="G75" s="13">
        <v>213647.13000000001</v>
      </c>
      <c r="H75" s="13">
        <v>3198435.71</v>
      </c>
    </row>
    <row r="76" spans="1:8" s="4" customFormat="1" ht="15" customHeight="1">
      <c r="A76" s="16">
        <v>61</v>
      </c>
      <c r="B76" s="4" t="s">
        <v>286</v>
      </c>
      <c r="C76" s="4" t="s">
        <v>396</v>
      </c>
      <c r="D76" s="16"/>
      <c r="E76" s="13">
        <f>+'II-D-1'!H75</f>
        <v>19519858.129999995</v>
      </c>
      <c r="F76" s="239">
        <v>18287464.140000001</v>
      </c>
      <c r="G76" s="13">
        <v>18572650.93</v>
      </c>
      <c r="H76" s="13">
        <v>19597001.030000001</v>
      </c>
    </row>
    <row r="77" spans="1:8" s="4" customFormat="1" ht="15" customHeight="1">
      <c r="A77" s="16">
        <v>62</v>
      </c>
      <c r="B77" s="4" t="s">
        <v>262</v>
      </c>
      <c r="C77" s="4" t="s">
        <v>263</v>
      </c>
      <c r="D77" s="16"/>
      <c r="E77" s="13">
        <f>+'II-D-1'!H76</f>
        <v>777311.67999999993</v>
      </c>
      <c r="F77" s="239">
        <v>93349.039999999994</v>
      </c>
      <c r="G77" s="13">
        <v>554031.16999999993</v>
      </c>
      <c r="H77" s="13">
        <v>57257.879999999976</v>
      </c>
    </row>
    <row r="78" spans="1:8" s="4" customFormat="1" ht="15" customHeight="1">
      <c r="A78" s="16">
        <v>63</v>
      </c>
      <c r="B78" s="4" t="s">
        <v>264</v>
      </c>
      <c r="C78" s="30" t="s">
        <v>397</v>
      </c>
      <c r="D78" s="16"/>
      <c r="E78" s="13">
        <f>+'II-D-1'!H77</f>
        <v>0</v>
      </c>
      <c r="F78" s="239">
        <v>0</v>
      </c>
      <c r="G78" s="13">
        <v>0</v>
      </c>
      <c r="H78" s="13">
        <v>0</v>
      </c>
    </row>
    <row r="79" spans="1:8" s="4" customFormat="1" ht="15" customHeight="1">
      <c r="A79" s="16">
        <v>64</v>
      </c>
      <c r="D79" s="16"/>
      <c r="E79" s="124"/>
      <c r="F79" s="127"/>
      <c r="G79" s="127"/>
      <c r="H79" s="127"/>
    </row>
    <row r="80" spans="1:8" s="4" customFormat="1" ht="15" customHeight="1">
      <c r="A80" s="16">
        <v>65</v>
      </c>
      <c r="B80" s="8" t="s">
        <v>94</v>
      </c>
      <c r="C80" s="22"/>
      <c r="D80" s="18" t="s">
        <v>393</v>
      </c>
      <c r="E80" s="188">
        <f t="shared" si="6" ref="E80:G80">SUM(E74:E78)</f>
        <v>20437951.819999997</v>
      </c>
      <c r="F80" s="188">
        <f t="shared" si="6"/>
        <v>18541164.48</v>
      </c>
      <c r="G80" s="188">
        <f t="shared" si="6"/>
        <v>19363570.079999998</v>
      </c>
      <c r="H80" s="188">
        <f>SUM(H74:H78)</f>
        <v>22855265.960000001</v>
      </c>
    </row>
    <row r="81" spans="1:5" s="8" customFormat="1" ht="15" customHeight="1">
      <c r="A81" s="16">
        <v>66</v>
      </c>
      <c r="D81" s="18"/>
      <c r="E81" s="19"/>
    </row>
    <row r="82" spans="1:5" s="4" customFormat="1" ht="15" customHeight="1">
      <c r="A82" s="16">
        <v>67</v>
      </c>
      <c r="D82" s="16"/>
      <c r="E82" s="13"/>
    </row>
    <row r="83" spans="1:5" s="8" customFormat="1" ht="15" customHeight="1">
      <c r="A83" s="16">
        <v>68</v>
      </c>
      <c r="C83" s="15" t="s">
        <v>60</v>
      </c>
      <c r="D83" s="18" t="s">
        <v>393</v>
      </c>
      <c r="E83" s="19"/>
    </row>
    <row r="84" spans="1:8" s="4" customFormat="1" ht="15" customHeight="1">
      <c r="A84" s="16">
        <v>69</v>
      </c>
      <c r="B84" s="4" t="s">
        <v>167</v>
      </c>
      <c r="C84" s="4" t="s">
        <v>329</v>
      </c>
      <c r="D84" s="16"/>
      <c r="E84" s="156">
        <f>+'II-D-1'!H83</f>
        <v>0</v>
      </c>
      <c r="F84" s="242">
        <v>0</v>
      </c>
      <c r="G84" s="156">
        <v>0</v>
      </c>
      <c r="H84" s="156">
        <v>0</v>
      </c>
    </row>
    <row r="85" spans="1:8" s="4" customFormat="1" ht="15" customHeight="1">
      <c r="A85" s="16">
        <v>70</v>
      </c>
      <c r="B85" s="4" t="s">
        <v>265</v>
      </c>
      <c r="C85" s="4" t="s">
        <v>261</v>
      </c>
      <c r="D85" s="16"/>
      <c r="E85" s="13">
        <f>+'II-D-1'!H84</f>
        <v>0</v>
      </c>
      <c r="F85" s="241">
        <v>0</v>
      </c>
      <c r="G85" s="13">
        <v>0</v>
      </c>
      <c r="H85" s="13">
        <v>0</v>
      </c>
    </row>
    <row r="86" spans="1:8" s="4" customFormat="1" ht="15" customHeight="1">
      <c r="A86" s="16">
        <v>71</v>
      </c>
      <c r="B86" s="4" t="s">
        <v>331</v>
      </c>
      <c r="C86" s="30" t="s">
        <v>330</v>
      </c>
      <c r="D86" s="16"/>
      <c r="E86" s="13">
        <f>+'II-D-1'!H85</f>
        <v>47254964.93</v>
      </c>
      <c r="F86" s="241">
        <v>45338206.719999999</v>
      </c>
      <c r="G86" s="13">
        <v>51957030.359999999</v>
      </c>
      <c r="H86" s="13">
        <v>47384624.329999998</v>
      </c>
    </row>
    <row r="87" spans="1:10" s="8" customFormat="1" ht="15" customHeight="1">
      <c r="A87" s="16">
        <v>72</v>
      </c>
      <c r="B87" s="4" t="s">
        <v>332</v>
      </c>
      <c r="C87" s="4" t="s">
        <v>333</v>
      </c>
      <c r="D87" s="18"/>
      <c r="E87" s="13">
        <f>+'II-D-1'!H86</f>
        <v>0</v>
      </c>
      <c r="F87" s="241">
        <v>0</v>
      </c>
      <c r="G87" s="13">
        <v>0</v>
      </c>
      <c r="H87" s="13">
        <v>0</v>
      </c>
      <c r="J87" s="4"/>
    </row>
    <row r="88" spans="1:8" s="4" customFormat="1" ht="15" customHeight="1">
      <c r="A88" s="16">
        <v>73</v>
      </c>
      <c r="B88" s="4" t="s">
        <v>266</v>
      </c>
      <c r="C88" s="4" t="s">
        <v>334</v>
      </c>
      <c r="D88" s="16"/>
      <c r="E88" s="13">
        <f>+'II-D-1'!H87</f>
        <v>0</v>
      </c>
      <c r="F88" s="241">
        <v>3055.7399999999998</v>
      </c>
      <c r="G88" s="13">
        <v>0</v>
      </c>
      <c r="H88" s="13">
        <v>0</v>
      </c>
    </row>
    <row r="89" spans="1:8" s="4" customFormat="1" ht="15" customHeight="1">
      <c r="A89" s="16">
        <v>74</v>
      </c>
      <c r="D89" s="16"/>
      <c r="E89" s="124"/>
      <c r="F89" s="127"/>
      <c r="G89" s="127"/>
      <c r="H89" s="127"/>
    </row>
    <row r="90" spans="1:8" s="4" customFormat="1" ht="15" customHeight="1">
      <c r="A90" s="16">
        <v>75</v>
      </c>
      <c r="B90" s="8" t="s">
        <v>59</v>
      </c>
      <c r="D90" s="18" t="s">
        <v>393</v>
      </c>
      <c r="E90" s="188">
        <f t="shared" si="7" ref="E90:G90">SUM(E84:E88)</f>
        <v>47254964.93</v>
      </c>
      <c r="F90" s="188">
        <f t="shared" si="7"/>
        <v>45341262.460000001</v>
      </c>
      <c r="G90" s="188">
        <f t="shared" si="7"/>
        <v>51957030.359999999</v>
      </c>
      <c r="H90" s="188">
        <f>SUM(H84:H88)</f>
        <v>47384624.329999998</v>
      </c>
    </row>
    <row r="91" spans="1:5" s="8" customFormat="1" ht="15" customHeight="1">
      <c r="A91" s="16">
        <v>76</v>
      </c>
      <c r="C91" s="22"/>
      <c r="D91" s="18"/>
      <c r="E91" s="19"/>
    </row>
    <row r="92" spans="1:5" s="4" customFormat="1" ht="15" customHeight="1">
      <c r="A92" s="16">
        <v>77</v>
      </c>
      <c r="D92" s="16"/>
      <c r="E92" s="13"/>
    </row>
    <row r="93" spans="1:5" s="8" customFormat="1" ht="15" customHeight="1">
      <c r="A93" s="16">
        <v>78</v>
      </c>
      <c r="C93" s="59" t="s">
        <v>267</v>
      </c>
      <c r="D93" s="18" t="s">
        <v>393</v>
      </c>
      <c r="E93" s="19"/>
    </row>
    <row r="94" spans="1:8" s="4" customFormat="1" ht="15" customHeight="1">
      <c r="A94" s="16">
        <v>79</v>
      </c>
      <c r="B94" s="4" t="s">
        <v>268</v>
      </c>
      <c r="C94" s="60" t="s">
        <v>261</v>
      </c>
      <c r="D94" s="16"/>
      <c r="E94" s="156">
        <f>+'II-D-1'!H93</f>
        <v>0</v>
      </c>
      <c r="F94" s="244">
        <v>0</v>
      </c>
      <c r="G94" s="156">
        <v>0</v>
      </c>
      <c r="H94" s="156">
        <v>-2030</v>
      </c>
    </row>
    <row r="95" spans="1:8" s="4" customFormat="1" ht="15" customHeight="1">
      <c r="A95" s="16">
        <v>80</v>
      </c>
      <c r="B95" s="4" t="s">
        <v>287</v>
      </c>
      <c r="C95" s="60" t="s">
        <v>335</v>
      </c>
      <c r="D95" s="16"/>
      <c r="E95" s="13">
        <f>+'II-D-1'!H94</f>
        <v>0</v>
      </c>
      <c r="F95" s="243">
        <v>0</v>
      </c>
      <c r="G95" s="13">
        <v>0</v>
      </c>
      <c r="H95" s="13">
        <v>0</v>
      </c>
    </row>
    <row r="96" spans="1:8" s="4" customFormat="1" ht="15" customHeight="1">
      <c r="A96" s="16">
        <v>81</v>
      </c>
      <c r="B96" s="4" t="s">
        <v>288</v>
      </c>
      <c r="C96" s="60" t="s">
        <v>336</v>
      </c>
      <c r="D96" s="16"/>
      <c r="E96" s="13">
        <f>+'II-D-1'!H95</f>
        <v>0</v>
      </c>
      <c r="F96" s="243">
        <v>0</v>
      </c>
      <c r="G96" s="13">
        <v>0</v>
      </c>
      <c r="H96" s="13">
        <v>0</v>
      </c>
    </row>
    <row r="97" spans="1:8" s="4" customFormat="1" ht="15" customHeight="1">
      <c r="A97" s="16">
        <v>82</v>
      </c>
      <c r="B97" s="4" t="s">
        <v>269</v>
      </c>
      <c r="C97" s="60" t="s">
        <v>337</v>
      </c>
      <c r="D97" s="16"/>
      <c r="E97" s="13">
        <f>+'II-D-1'!H96</f>
        <v>0</v>
      </c>
      <c r="F97" s="243">
        <v>0</v>
      </c>
      <c r="G97" s="13">
        <v>0</v>
      </c>
      <c r="H97" s="13">
        <v>0</v>
      </c>
    </row>
    <row r="98" spans="1:8" s="8" customFormat="1" ht="15" customHeight="1">
      <c r="A98" s="16">
        <v>83</v>
      </c>
      <c r="B98" s="4" t="s">
        <v>289</v>
      </c>
      <c r="C98" s="60" t="s">
        <v>338</v>
      </c>
      <c r="D98" s="18"/>
      <c r="E98" s="13">
        <f>+'II-D-1'!H97</f>
        <v>0</v>
      </c>
      <c r="F98" s="243">
        <v>0</v>
      </c>
      <c r="G98" s="13">
        <v>0</v>
      </c>
      <c r="H98" s="13">
        <v>0</v>
      </c>
    </row>
    <row r="99" spans="1:8" s="4" customFormat="1" ht="15" customHeight="1">
      <c r="A99" s="16">
        <v>84</v>
      </c>
      <c r="C99" s="22"/>
      <c r="D99" s="16"/>
      <c r="E99" s="124"/>
      <c r="F99" s="127"/>
      <c r="G99" s="127"/>
      <c r="H99" s="127"/>
    </row>
    <row r="100" spans="1:8" s="4" customFormat="1" ht="15" customHeight="1">
      <c r="A100" s="16">
        <v>85</v>
      </c>
      <c r="B100" s="8" t="s">
        <v>36</v>
      </c>
      <c r="D100" s="18" t="s">
        <v>393</v>
      </c>
      <c r="E100" s="188">
        <f t="shared" si="8" ref="E100:G100">SUM(E94:E98)</f>
        <v>0</v>
      </c>
      <c r="F100" s="188">
        <f t="shared" si="8"/>
        <v>0</v>
      </c>
      <c r="G100" s="188">
        <f t="shared" si="8"/>
        <v>0</v>
      </c>
      <c r="H100" s="188">
        <f>SUM(H94:H98)</f>
        <v>-2030</v>
      </c>
    </row>
    <row r="101" spans="1:5" s="4" customFormat="1" ht="15" customHeight="1">
      <c r="A101" s="16">
        <v>86</v>
      </c>
      <c r="C101" s="60"/>
      <c r="D101" s="16"/>
      <c r="E101" s="13"/>
    </row>
    <row r="102" spans="1:5" s="8" customFormat="1" ht="15" customHeight="1">
      <c r="A102" s="16">
        <v>87</v>
      </c>
      <c r="C102" s="61"/>
      <c r="D102" s="18"/>
      <c r="E102" s="19"/>
    </row>
    <row r="103" spans="1:8" s="8" customFormat="1" ht="15" customHeight="1">
      <c r="A103" s="16">
        <v>88</v>
      </c>
      <c r="B103" s="8" t="s">
        <v>122</v>
      </c>
      <c r="D103" s="18" t="s">
        <v>393</v>
      </c>
      <c r="E103" s="188">
        <f t="shared" si="9" ref="E103:G103">+E100+E90+E80+E70+E39</f>
        <v>2021121621.6900001</v>
      </c>
      <c r="F103" s="188">
        <f t="shared" si="9"/>
        <v>1897349377.77</v>
      </c>
      <c r="G103" s="188">
        <f t="shared" si="9"/>
        <v>1855869033.1499999</v>
      </c>
      <c r="H103" s="188">
        <f>+H100+H90+H80+H70+H39</f>
        <v>1707260027.8400002</v>
      </c>
    </row>
    <row r="104" spans="2:5" ht="12.75" customHeight="1">
      <c r="B104" s="31"/>
      <c r="C104" s="31"/>
      <c r="D104" s="31"/>
      <c r="E104" s="31"/>
    </row>
    <row r="105" spans="2:5" ht="12.75" customHeight="1">
      <c r="B105" s="31"/>
      <c r="C105" s="31"/>
      <c r="D105" s="31"/>
      <c r="E105" s="31"/>
    </row>
    <row r="106" spans="2:8" ht="12.75" customHeight="1">
      <c r="B106" s="31"/>
      <c r="C106" s="31"/>
      <c r="D106" s="31"/>
      <c r="E106" s="43"/>
      <c r="F106" s="123"/>
      <c r="G106" s="123"/>
      <c r="H106" s="123"/>
    </row>
    <row r="107" spans="2:8" ht="12.75" customHeight="1">
      <c r="B107" s="31"/>
      <c r="C107" s="31"/>
      <c r="D107" s="31"/>
      <c r="E107" s="121"/>
      <c r="F107" s="121"/>
      <c r="G107" s="121"/>
      <c r="H107" s="121"/>
    </row>
    <row r="108" spans="2:5" ht="12.75" customHeight="1">
      <c r="B108" s="31"/>
      <c r="C108" s="31"/>
      <c r="D108" s="31"/>
      <c r="E108" s="31"/>
    </row>
    <row r="109" spans="2:5" ht="12.75" customHeight="1">
      <c r="B109" s="31"/>
      <c r="C109" s="31"/>
      <c r="D109" s="31"/>
      <c r="E109" s="31"/>
    </row>
    <row r="110" spans="2:5" ht="12.75" customHeight="1">
      <c r="B110" s="31"/>
      <c r="C110" s="31"/>
      <c r="D110" s="31"/>
      <c r="E110" s="31"/>
    </row>
    <row r="111" spans="2:5" ht="12.75" customHeight="1">
      <c r="B111" s="31"/>
      <c r="C111" s="31"/>
      <c r="D111" s="31"/>
      <c r="E111" s="31"/>
    </row>
  </sheetData>
  <printOptions horizontalCentered="1"/>
  <pageMargins left="0.5" right="0.5" top="3" bottom="0.5" header="1.5" footer="0.5"/>
  <pageSetup fitToHeight="2" fitToWidth="2" orientation="landscape" pageOrder="overThenDown" scale="65" r:id="rId1"/>
  <headerFooter alignWithMargins="0">
    <oddHeader>&amp;C&amp;B
2022 RATE CASE
ONCOR ELECTRIC DELIVERY COMPANY LLC
II-D-1a OPERATION AND MAINTENANCE EXPENSE - PRIOR THREE YEARS
TEST YEAR ENDING DECEMBER 31, 2021
SPONSOR: W. ALAN LEDBETTER&amp;R&amp;"Arial,Bold"Schedule &amp;A
Page &amp;P of &amp;N</oddHeader>
  </headerFooter>
  <rowBreaks count="2" manualBreakCount="2">
    <brk id="40" max="37" man="1"/>
    <brk id="71" max="37"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66">
    <tabColor rgb="FFFF0000"/>
  </sheetPr>
  <dimension ref="A1:X232"/>
  <sheetViews>
    <sheetView zoomScale="85" zoomScaleNormal="85" workbookViewId="0" topLeftCell="A1">
      <pane xSplit="3" ySplit="13" topLeftCell="I14" activePane="bottomRight" state="frozen"/>
      <selection pane="topLeft" activeCell="O94" sqref="O94:W97"/>
      <selection pane="bottomLeft" activeCell="O94" sqref="O94:W97"/>
      <selection pane="topRight" activeCell="O94" sqref="O94:W97"/>
      <selection pane="bottomRight" activeCell="J113" sqref="J113"/>
    </sheetView>
  </sheetViews>
  <sheetFormatPr defaultRowHeight="12.75"/>
  <cols>
    <col min="1" max="1" width="5.71428571428571" customWidth="1"/>
    <col min="2" max="2" width="8.71428571428571" customWidth="1"/>
    <col min="3" max="3" width="52.8571428571429" bestFit="1" customWidth="1"/>
    <col min="4" max="4" width="17.5714285714286" bestFit="1" customWidth="1"/>
    <col min="5" max="6" width="18" bestFit="1" customWidth="1"/>
    <col min="7" max="7" width="17.7142857142857" bestFit="1" customWidth="1"/>
    <col min="8" max="8" width="18" bestFit="1" customWidth="1"/>
    <col min="9" max="9" width="18.2857142857143" bestFit="1" customWidth="1"/>
    <col min="10" max="10" width="17.5714285714286" bestFit="1" customWidth="1"/>
    <col min="11" max="15" width="15.8571428571429" customWidth="1"/>
    <col min="16" max="16" width="15.2857142857143" bestFit="1" customWidth="1"/>
    <col min="17" max="17" width="14.4285714285714" bestFit="1" customWidth="1"/>
    <col min="18" max="18" width="17.1428571428571" bestFit="1" customWidth="1"/>
    <col min="19" max="19" width="18.2857142857143" bestFit="1" customWidth="1"/>
    <col min="20" max="20" width="16.5714285714286" bestFit="1" customWidth="1"/>
    <col min="21" max="21" width="18.2857142857143" bestFit="1" customWidth="1"/>
  </cols>
  <sheetData>
    <row r="1" spans="1:1" ht="12.75">
      <c r="A1" s="5" t="str">
        <f>+'[3]Input Data'!$A$9</f>
        <v>2022 RATE CASE</v>
      </c>
    </row>
    <row r="2" spans="1:14" s="33" customFormat="1" ht="12.75">
      <c r="A2" s="8" t="str">
        <f>+'[3]Input Data'!$A$2</f>
        <v>ONCOR ELECTRIC DELIVERY COMPANY LLC</v>
      </c>
      <c r="G2" s="64"/>
      <c r="L2" s="37"/>
      <c r="M2" s="37"/>
      <c r="N2" s="6"/>
    </row>
    <row r="3" spans="1:14" s="33" customFormat="1" ht="12.75">
      <c r="A3" s="7" t="str">
        <f>CONCATENATE('[3]Schedule Sponsors'!$A$52,'[3]Schedule Sponsors'!$B$52)</f>
        <v>III-D-1.1  MONTHLY O&amp;&amp;M EXPENSE</v>
      </c>
      <c r="B3" s="4"/>
      <c r="C3" s="31"/>
      <c r="E3" s="31"/>
      <c r="F3" s="31"/>
      <c r="G3" s="34"/>
      <c r="L3" s="37"/>
      <c r="M3" s="37"/>
      <c r="N3" s="3"/>
    </row>
    <row r="4" spans="1:13" s="33" customFormat="1" ht="12.75">
      <c r="A4" s="63" t="str">
        <f>+'[3]Input Data'!$A$4</f>
        <v>TEST YEAR ENDING DECEMBER 31, 2021</v>
      </c>
      <c r="B4" s="4"/>
      <c r="C4" s="31"/>
      <c r="L4" s="37"/>
      <c r="M4" s="37"/>
    </row>
    <row r="5" spans="1:13" s="33" customFormat="1" ht="12.75">
      <c r="A5" s="7" t="str">
        <f>CONCATENATE("SPONSOR: ",'[3]Schedule Sponsors'!$D$52)</f>
        <v>SPONSOR: W. ALAN LEDBETTER</v>
      </c>
      <c r="B5" s="4"/>
      <c r="C5" s="31"/>
      <c r="L5" s="37"/>
      <c r="M5" s="37"/>
    </row>
    <row r="6" spans="1:13" s="33" customFormat="1" ht="12.75">
      <c r="A6" s="7"/>
      <c r="B6" s="4"/>
      <c r="C6" s="31"/>
      <c r="D6" s="18"/>
      <c r="E6" s="18"/>
      <c r="F6" s="18"/>
      <c r="G6" s="18"/>
      <c r="H6" s="18"/>
      <c r="I6" s="18"/>
      <c r="L6" s="37"/>
      <c r="M6" s="37"/>
    </row>
    <row r="7" spans="1:13" s="33" customFormat="1" ht="12.75">
      <c r="A7" s="31"/>
      <c r="B7" s="56"/>
      <c r="L7" s="37"/>
      <c r="M7" s="37"/>
    </row>
    <row r="8" spans="1:20" s="33" customFormat="1" ht="13.5" thickBot="1">
      <c r="A8" s="31"/>
      <c r="D8" s="37"/>
      <c r="E8" s="65"/>
      <c r="F8" s="65"/>
      <c r="G8" s="37"/>
      <c r="H8" s="65"/>
      <c r="I8" s="65"/>
      <c r="J8" s="37"/>
      <c r="K8" s="65"/>
      <c r="L8" s="65"/>
      <c r="M8" s="37"/>
      <c r="N8" s="65"/>
      <c r="O8" s="65"/>
      <c r="P8" s="37"/>
      <c r="Q8" s="65"/>
      <c r="R8" s="65"/>
      <c r="S8" s="65"/>
      <c r="T8" s="37"/>
    </row>
    <row r="9" spans="1:21" s="35" customFormat="1" ht="12.75">
      <c r="A9" s="9"/>
      <c r="B9" s="9"/>
      <c r="C9" s="9"/>
      <c r="D9" s="9"/>
      <c r="E9" s="9"/>
      <c r="F9" s="9"/>
      <c r="G9" s="9"/>
      <c r="H9" s="10"/>
      <c r="I9" s="9"/>
      <c r="J9" s="10"/>
      <c r="K9" s="9"/>
      <c r="L9" s="9"/>
      <c r="M9" s="9"/>
      <c r="N9" s="10"/>
      <c r="O9" s="10"/>
      <c r="P9" s="10"/>
      <c r="Q9" s="10"/>
      <c r="R9" s="17"/>
      <c r="S9" s="10" t="s">
        <v>321</v>
      </c>
      <c r="T9" s="17" t="s">
        <v>184</v>
      </c>
      <c r="U9" s="10" t="s">
        <v>322</v>
      </c>
    </row>
    <row r="10" spans="1:21" s="35" customFormat="1" ht="12.75">
      <c r="A10" s="11" t="s">
        <v>87</v>
      </c>
      <c r="B10" s="11" t="s">
        <v>213</v>
      </c>
      <c r="C10" s="11"/>
      <c r="D10" s="11" t="s">
        <v>181</v>
      </c>
      <c r="E10" s="11" t="s">
        <v>298</v>
      </c>
      <c r="F10" s="11" t="s">
        <v>18</v>
      </c>
      <c r="G10" s="11" t="s">
        <v>19</v>
      </c>
      <c r="H10" s="11" t="s">
        <v>20</v>
      </c>
      <c r="I10" s="11" t="s">
        <v>21</v>
      </c>
      <c r="J10" s="11" t="s">
        <v>156</v>
      </c>
      <c r="K10" s="11" t="s">
        <v>157</v>
      </c>
      <c r="L10" s="11" t="s">
        <v>30</v>
      </c>
      <c r="M10" s="11" t="s">
        <v>178</v>
      </c>
      <c r="N10" s="11" t="s">
        <v>179</v>
      </c>
      <c r="O10" s="11" t="s">
        <v>180</v>
      </c>
      <c r="P10" s="11" t="s">
        <v>40</v>
      </c>
      <c r="Q10" s="11"/>
      <c r="R10" s="11" t="s">
        <v>215</v>
      </c>
      <c r="S10" s="11" t="s">
        <v>323</v>
      </c>
      <c r="T10" s="11" t="s">
        <v>185</v>
      </c>
      <c r="U10" s="11" t="s">
        <v>321</v>
      </c>
    </row>
    <row r="11" spans="1:21" s="35" customFormat="1" ht="12.75">
      <c r="A11" s="11" t="s">
        <v>89</v>
      </c>
      <c r="B11" s="11" t="s">
        <v>296</v>
      </c>
      <c r="C11" s="11" t="s">
        <v>209</v>
      </c>
      <c r="D11" s="11">
        <v>2021</v>
      </c>
      <c r="E11" s="11">
        <v>2021</v>
      </c>
      <c r="F11" s="11">
        <v>2021</v>
      </c>
      <c r="G11" s="11">
        <v>2021</v>
      </c>
      <c r="H11" s="11">
        <v>2021</v>
      </c>
      <c r="I11" s="11">
        <v>2021</v>
      </c>
      <c r="J11" s="11">
        <v>2021</v>
      </c>
      <c r="K11" s="11">
        <v>2021</v>
      </c>
      <c r="L11" s="11">
        <v>2021</v>
      </c>
      <c r="M11" s="11">
        <v>2021</v>
      </c>
      <c r="N11" s="11">
        <v>2021</v>
      </c>
      <c r="O11" s="11">
        <v>2021</v>
      </c>
      <c r="P11" s="11" t="s">
        <v>216</v>
      </c>
      <c r="Q11" s="11" t="s">
        <v>320</v>
      </c>
      <c r="R11" s="11" t="s">
        <v>222</v>
      </c>
      <c r="S11" s="11" t="s">
        <v>223</v>
      </c>
      <c r="T11" s="11" t="s">
        <v>61</v>
      </c>
      <c r="U11" s="11" t="s">
        <v>323</v>
      </c>
    </row>
    <row r="12" spans="1:21" s="35" customFormat="1" ht="13.5" thickBot="1">
      <c r="A12" s="12"/>
      <c r="B12" s="29" t="s">
        <v>44</v>
      </c>
      <c r="C12" s="29" t="s">
        <v>45</v>
      </c>
      <c r="D12" s="29" t="s">
        <v>74</v>
      </c>
      <c r="E12" s="29" t="s">
        <v>75</v>
      </c>
      <c r="F12" s="29" t="s">
        <v>76</v>
      </c>
      <c r="G12" s="29" t="s">
        <v>77</v>
      </c>
      <c r="H12" s="29" t="s">
        <v>78</v>
      </c>
      <c r="I12" s="29" t="s">
        <v>79</v>
      </c>
      <c r="J12" s="29" t="s">
        <v>80</v>
      </c>
      <c r="K12" s="29" t="s">
        <v>81</v>
      </c>
      <c r="L12" s="29" t="s">
        <v>82</v>
      </c>
      <c r="M12" s="29" t="s">
        <v>83</v>
      </c>
      <c r="N12" s="29" t="s">
        <v>84</v>
      </c>
      <c r="O12" s="29" t="s">
        <v>85</v>
      </c>
      <c r="P12" s="29" t="s">
        <v>86</v>
      </c>
      <c r="Q12" s="29" t="s">
        <v>255</v>
      </c>
      <c r="R12" s="29" t="s">
        <v>128</v>
      </c>
      <c r="S12" s="29" t="s">
        <v>23</v>
      </c>
      <c r="T12" s="29" t="s">
        <v>24</v>
      </c>
      <c r="U12" s="29" t="s">
        <v>136</v>
      </c>
    </row>
    <row r="13" spans="1:20" s="31" customFormat="1" ht="12.75" customHeight="1">
      <c r="A13" s="38"/>
      <c r="B13" s="38"/>
      <c r="C13" s="38"/>
      <c r="D13" s="153">
        <v>1</v>
      </c>
      <c r="E13" s="153">
        <v>2</v>
      </c>
      <c r="F13" s="153">
        <v>3</v>
      </c>
      <c r="G13" s="153">
        <v>4</v>
      </c>
      <c r="H13" s="153">
        <v>5</v>
      </c>
      <c r="I13" s="153">
        <v>6</v>
      </c>
      <c r="J13" s="153">
        <v>7</v>
      </c>
      <c r="K13" s="153">
        <v>8</v>
      </c>
      <c r="L13" s="153">
        <v>9</v>
      </c>
      <c r="M13" s="153">
        <v>10</v>
      </c>
      <c r="N13" s="153">
        <v>11</v>
      </c>
      <c r="O13" s="153">
        <v>12</v>
      </c>
      <c r="P13" s="38"/>
      <c r="Q13" s="38"/>
      <c r="R13" s="38"/>
      <c r="S13" s="38"/>
      <c r="T13" s="38"/>
    </row>
    <row r="14" spans="1:18" s="8" customFormat="1" ht="15" customHeight="1">
      <c r="A14" s="16">
        <v>1</v>
      </c>
      <c r="B14" s="8" t="s">
        <v>230</v>
      </c>
      <c r="D14" s="18"/>
      <c r="E14" s="19"/>
      <c r="F14" s="19"/>
      <c r="G14" s="19"/>
      <c r="H14" s="19"/>
      <c r="I14" s="19"/>
      <c r="J14" s="19"/>
      <c r="K14" s="18"/>
      <c r="L14" s="18"/>
      <c r="M14" s="19"/>
      <c r="N14" s="19"/>
      <c r="O14" s="19"/>
      <c r="P14" s="19"/>
      <c r="Q14" s="19"/>
      <c r="R14" s="19"/>
    </row>
    <row r="15" spans="1:18" s="8" customFormat="1" ht="15" customHeight="1">
      <c r="A15" s="16">
        <v>2</v>
      </c>
      <c r="C15" s="15" t="s">
        <v>227</v>
      </c>
      <c r="D15" s="18"/>
      <c r="E15" s="19"/>
      <c r="F15" s="19"/>
      <c r="G15" s="19"/>
      <c r="H15" s="19"/>
      <c r="I15" s="19"/>
      <c r="J15" s="19"/>
      <c r="K15" s="58"/>
      <c r="L15" s="18"/>
      <c r="M15" s="19"/>
      <c r="N15" s="19"/>
      <c r="O15" s="19"/>
      <c r="P15" s="19"/>
      <c r="Q15" s="19"/>
      <c r="R15" s="19"/>
    </row>
    <row r="16" spans="1:22" ht="15" customHeight="1">
      <c r="A16" s="16">
        <v>3</v>
      </c>
      <c r="B16" s="4" t="s">
        <v>231</v>
      </c>
      <c r="C16" s="4" t="s">
        <v>373</v>
      </c>
      <c r="D16" s="156">
        <v>474621.73999999999</v>
      </c>
      <c r="E16" s="156">
        <v>491114.81999999995</v>
      </c>
      <c r="F16" s="156">
        <v>49737.989999999998</v>
      </c>
      <c r="G16" s="156">
        <v>426036</v>
      </c>
      <c r="H16" s="156">
        <v>329071.81</v>
      </c>
      <c r="I16" s="156">
        <v>415400.31</v>
      </c>
      <c r="J16" s="156">
        <v>397156.25</v>
      </c>
      <c r="K16" s="156">
        <v>239102.15000000002</v>
      </c>
      <c r="L16" s="156">
        <v>465754.60999999999</v>
      </c>
      <c r="M16" s="156">
        <v>419705.13</v>
      </c>
      <c r="N16" s="156">
        <v>265797.09999999998</v>
      </c>
      <c r="O16" s="156">
        <v>451987.71000000002</v>
      </c>
      <c r="P16" s="156">
        <f>SUM(D16:O16)</f>
        <v>4425485.6200000001</v>
      </c>
      <c r="Q16" s="156">
        <v>0</v>
      </c>
      <c r="R16" s="156">
        <v>0</v>
      </c>
      <c r="S16" s="156">
        <f>+P16-Q16-R16</f>
        <v>4425485.6200000001</v>
      </c>
      <c r="T16" s="156">
        <f>+'[2]Total Summary'!N3</f>
        <v>-39381.440000000002</v>
      </c>
      <c r="U16" s="156">
        <f>+S16+T16</f>
        <v>4386104.1799999997</v>
      </c>
      <c r="V16" t="b">
        <f>ROUND(+U16,2)=ROUND('II-D-1'!L17,2)</f>
        <v>1</v>
      </c>
    </row>
    <row r="17" spans="1:22" ht="15" customHeight="1">
      <c r="A17" s="16">
        <v>4</v>
      </c>
      <c r="B17" s="4" t="s">
        <v>232</v>
      </c>
      <c r="C17" s="4" t="s">
        <v>292</v>
      </c>
      <c r="D17" s="73">
        <v>1443265.48</v>
      </c>
      <c r="E17" s="73">
        <v>1626236.45</v>
      </c>
      <c r="F17" s="73">
        <v>1717010.29</v>
      </c>
      <c r="G17" s="73">
        <v>1508380.7100000002</v>
      </c>
      <c r="H17" s="73">
        <v>1850801.8600000001</v>
      </c>
      <c r="I17" s="73">
        <v>1755610.01</v>
      </c>
      <c r="J17" s="73">
        <v>1702593.45</v>
      </c>
      <c r="K17" s="73">
        <v>1625513.6299999999</v>
      </c>
      <c r="L17" s="73">
        <v>1921598.3300000001</v>
      </c>
      <c r="M17" s="73">
        <v>1613160.22</v>
      </c>
      <c r="N17" s="73">
        <v>1724733.3999999999</v>
      </c>
      <c r="O17" s="73">
        <v>1638540.3100000001</v>
      </c>
      <c r="P17" s="73">
        <f t="shared" si="0" ref="P17:P23">SUM(D17:O17)</f>
        <v>20127444.139999997</v>
      </c>
      <c r="Q17" s="73">
        <v>0</v>
      </c>
      <c r="R17" s="73">
        <v>0</v>
      </c>
      <c r="S17" s="73">
        <f t="shared" si="1" ref="S17:S23">+P17-Q17-R17</f>
        <v>20127444.139999997</v>
      </c>
      <c r="T17" s="73">
        <f>+'[2]Total Summary'!N4</f>
        <v>528389.55000000005</v>
      </c>
      <c r="U17" s="73">
        <f t="shared" si="2" ref="U17:U23">+S17+T17</f>
        <v>20655833.689999998</v>
      </c>
      <c r="V17" t="b">
        <f>ROUND(+U17,2)=ROUND('II-D-1'!L18,2)</f>
        <v>1</v>
      </c>
    </row>
    <row r="18" spans="1:22" ht="15" customHeight="1">
      <c r="A18" s="16">
        <v>5</v>
      </c>
      <c r="B18" s="4" t="s">
        <v>233</v>
      </c>
      <c r="C18" s="4" t="s">
        <v>374</v>
      </c>
      <c r="D18" s="73">
        <v>176559.84000000003</v>
      </c>
      <c r="E18" s="73">
        <v>207467.42000000001</v>
      </c>
      <c r="F18" s="73">
        <v>261878.64999999999</v>
      </c>
      <c r="G18" s="73">
        <v>215930.06</v>
      </c>
      <c r="H18" s="73">
        <v>205964.67000000001</v>
      </c>
      <c r="I18" s="73">
        <v>252856.76000000001</v>
      </c>
      <c r="J18" s="73">
        <v>240941.78999999998</v>
      </c>
      <c r="K18" s="73">
        <v>301742.69</v>
      </c>
      <c r="L18" s="73">
        <v>234857.18000000002</v>
      </c>
      <c r="M18" s="73">
        <v>240005.91</v>
      </c>
      <c r="N18" s="73">
        <v>242957.69</v>
      </c>
      <c r="O18" s="73">
        <v>285379.29999999999</v>
      </c>
      <c r="P18" s="73">
        <f t="shared" si="0"/>
        <v>2866541.96</v>
      </c>
      <c r="Q18" s="73">
        <v>0</v>
      </c>
      <c r="R18" s="73">
        <v>0</v>
      </c>
      <c r="S18" s="73">
        <f t="shared" si="1"/>
        <v>2866541.96</v>
      </c>
      <c r="T18" s="73">
        <f>+'[2]Total Summary'!N5</f>
        <v>-1168.21</v>
      </c>
      <c r="U18" s="73">
        <f t="shared" si="2"/>
        <v>2865373.75</v>
      </c>
      <c r="V18" t="b">
        <f>ROUND(+U18,2)=ROUND('II-D-1'!L19,2)</f>
        <v>1</v>
      </c>
    </row>
    <row r="19" spans="1:22" ht="15" customHeight="1">
      <c r="A19" s="16">
        <v>6</v>
      </c>
      <c r="B19" s="4" t="s">
        <v>234</v>
      </c>
      <c r="C19" s="4" t="s">
        <v>375</v>
      </c>
      <c r="D19" s="73">
        <v>40515.670000000006</v>
      </c>
      <c r="E19" s="73">
        <v>95095.069999999992</v>
      </c>
      <c r="F19" s="73">
        <v>112573.05</v>
      </c>
      <c r="G19" s="73">
        <v>494745.51000000001</v>
      </c>
      <c r="H19" s="73">
        <v>53044.550000000003</v>
      </c>
      <c r="I19" s="73">
        <v>232781.98999999999</v>
      </c>
      <c r="J19" s="73">
        <v>265948.28999999998</v>
      </c>
      <c r="K19" s="73">
        <v>235132.76000000001</v>
      </c>
      <c r="L19" s="73">
        <v>114871.62000000001</v>
      </c>
      <c r="M19" s="73">
        <v>244313.16999999998</v>
      </c>
      <c r="N19" s="73">
        <v>235143.79999999999</v>
      </c>
      <c r="O19" s="73">
        <v>192142.94</v>
      </c>
      <c r="P19" s="73">
        <f t="shared" si="0"/>
        <v>2316308.4199999999</v>
      </c>
      <c r="Q19" s="73">
        <v>0</v>
      </c>
      <c r="R19" s="73">
        <v>0</v>
      </c>
      <c r="S19" s="73">
        <f t="shared" si="1"/>
        <v>2316308.4199999999</v>
      </c>
      <c r="T19" s="73">
        <f>+'[2]Total Summary'!N6</f>
        <v>4480812.1599999992</v>
      </c>
      <c r="U19" s="73">
        <f t="shared" si="2"/>
        <v>6797120.5799999991</v>
      </c>
      <c r="V19" t="b">
        <f>ROUND(+U19,2)=ROUND('II-D-1'!L20,2)</f>
        <v>1</v>
      </c>
    </row>
    <row r="20" spans="1:22" ht="15" customHeight="1">
      <c r="A20" s="16">
        <v>7</v>
      </c>
      <c r="B20" s="4" t="s">
        <v>235</v>
      </c>
      <c r="C20" s="4" t="s">
        <v>376</v>
      </c>
      <c r="D20" s="73">
        <v>0</v>
      </c>
      <c r="E20" s="73">
        <v>0</v>
      </c>
      <c r="F20" s="73">
        <v>0</v>
      </c>
      <c r="G20" s="73">
        <v>0</v>
      </c>
      <c r="H20" s="73">
        <v>0</v>
      </c>
      <c r="I20" s="73">
        <v>1355.4000000000001</v>
      </c>
      <c r="J20" s="73">
        <v>203.62000000000001</v>
      </c>
      <c r="K20" s="73">
        <v>232.41</v>
      </c>
      <c r="L20" s="73">
        <v>283.88999999999999</v>
      </c>
      <c r="M20" s="73">
        <v>0</v>
      </c>
      <c r="N20" s="73">
        <v>0</v>
      </c>
      <c r="O20" s="73">
        <v>599.53999999999996</v>
      </c>
      <c r="P20" s="73">
        <f t="shared" si="0"/>
        <v>2674.8600000000001</v>
      </c>
      <c r="Q20" s="73">
        <v>0</v>
      </c>
      <c r="R20" s="73">
        <v>0</v>
      </c>
      <c r="S20" s="73">
        <f t="shared" si="1"/>
        <v>2674.8600000000001</v>
      </c>
      <c r="T20" s="73">
        <f>+'[2]Total Summary'!N7</f>
        <v>0</v>
      </c>
      <c r="U20" s="73">
        <f t="shared" si="2"/>
        <v>2674.8600000000001</v>
      </c>
      <c r="V20" t="b">
        <f>ROUND(+U20,2)=ROUND('II-D-1'!L21,2)</f>
        <v>1</v>
      </c>
    </row>
    <row r="21" spans="1:22" ht="15" customHeight="1">
      <c r="A21" s="16">
        <v>8</v>
      </c>
      <c r="B21" s="4" t="s">
        <v>284</v>
      </c>
      <c r="C21" s="4" t="s">
        <v>377</v>
      </c>
      <c r="D21" s="73">
        <v>120935404.40000001</v>
      </c>
      <c r="E21" s="73">
        <v>120890919.73</v>
      </c>
      <c r="F21" s="73">
        <v>121691194.84999999</v>
      </c>
      <c r="G21" s="73">
        <v>125705227.45999999</v>
      </c>
      <c r="H21" s="73">
        <v>126433194.48</v>
      </c>
      <c r="I21" s="73">
        <v>127439391.14</v>
      </c>
      <c r="J21" s="73">
        <v>125833059.01000001</v>
      </c>
      <c r="K21" s="73">
        <v>127198299.95999999</v>
      </c>
      <c r="L21" s="73">
        <v>127751113.97</v>
      </c>
      <c r="M21" s="73">
        <v>130992243.5</v>
      </c>
      <c r="N21" s="73">
        <v>131455024.29000001</v>
      </c>
      <c r="O21" s="73">
        <v>130880934.8</v>
      </c>
      <c r="P21" s="73">
        <f t="shared" si="0"/>
        <v>1517206007.5899999</v>
      </c>
      <c r="Q21" s="73">
        <v>0</v>
      </c>
      <c r="R21" s="73">
        <v>0</v>
      </c>
      <c r="S21" s="73">
        <f t="shared" si="1"/>
        <v>1517206007.5899999</v>
      </c>
      <c r="T21" s="73">
        <f>+'[2]Total Summary'!N8</f>
        <v>135316013.84999999</v>
      </c>
      <c r="U21" s="73">
        <f t="shared" si="2"/>
        <v>1652522021.4399998</v>
      </c>
      <c r="V21" t="b">
        <f>ROUND(+U21,2)=ROUND('II-D-1'!L22,2)</f>
        <v>1</v>
      </c>
    </row>
    <row r="22" spans="1:22" ht="15" customHeight="1">
      <c r="A22" s="16">
        <v>9</v>
      </c>
      <c r="B22" s="4" t="s">
        <v>236</v>
      </c>
      <c r="C22" s="4" t="s">
        <v>138</v>
      </c>
      <c r="D22" s="73">
        <v>4365330.2300000004</v>
      </c>
      <c r="E22" s="73">
        <v>4157869.6400000001</v>
      </c>
      <c r="F22" s="73">
        <v>3777421.0499999998</v>
      </c>
      <c r="G22" s="73">
        <v>4001970.79</v>
      </c>
      <c r="H22" s="73">
        <v>4109738.1800000002</v>
      </c>
      <c r="I22" s="73">
        <v>5039083.3599999994</v>
      </c>
      <c r="J22" s="73">
        <v>5255802.1399999997</v>
      </c>
      <c r="K22" s="73">
        <v>5507448.0899999999</v>
      </c>
      <c r="L22" s="73">
        <v>5063257.0599999996</v>
      </c>
      <c r="M22" s="73">
        <v>4946074.4499999993</v>
      </c>
      <c r="N22" s="73">
        <v>4710520.6799999997</v>
      </c>
      <c r="O22" s="73">
        <v>5466637.2199999997</v>
      </c>
      <c r="P22" s="73">
        <f t="shared" si="0"/>
        <v>56401152.890000008</v>
      </c>
      <c r="Q22" s="73">
        <v>0</v>
      </c>
      <c r="R22" s="73">
        <v>0</v>
      </c>
      <c r="S22" s="73">
        <f t="shared" si="1"/>
        <v>56401152.890000008</v>
      </c>
      <c r="T22" s="73">
        <f>+'[2]Total Summary'!N9</f>
        <v>3239897.98</v>
      </c>
      <c r="U22" s="73">
        <f t="shared" si="2"/>
        <v>59641050.870000005</v>
      </c>
      <c r="V22" t="b">
        <f>ROUND(+U22,2)=ROUND('II-D-1'!L23,2)</f>
        <v>1</v>
      </c>
    </row>
    <row r="23" spans="1:22" ht="15" customHeight="1">
      <c r="A23" s="16">
        <v>10</v>
      </c>
      <c r="B23" s="4" t="s">
        <v>237</v>
      </c>
      <c r="C23" s="4" t="s">
        <v>293</v>
      </c>
      <c r="D23" s="73">
        <v>14784.65</v>
      </c>
      <c r="E23" s="73">
        <v>9050.9799999999996</v>
      </c>
      <c r="F23" s="73">
        <v>70968.029999999999</v>
      </c>
      <c r="G23" s="73">
        <v>7073.0299999999997</v>
      </c>
      <c r="H23" s="73">
        <v>6738.9499999999998</v>
      </c>
      <c r="I23" s="73">
        <v>5925.8299999999999</v>
      </c>
      <c r="J23" s="73">
        <v>5728.0500000000002</v>
      </c>
      <c r="K23" s="73">
        <v>5753.6499999999996</v>
      </c>
      <c r="L23" s="73">
        <v>18553.580000000002</v>
      </c>
      <c r="M23" s="73">
        <v>6641.5100000000002</v>
      </c>
      <c r="N23" s="73">
        <v>6888.1899999999996</v>
      </c>
      <c r="O23" s="73">
        <v>35148.830000000002</v>
      </c>
      <c r="P23" s="73">
        <f t="shared" si="0"/>
        <v>193255.28000000003</v>
      </c>
      <c r="Q23" s="73">
        <v>0</v>
      </c>
      <c r="R23" s="73">
        <v>0</v>
      </c>
      <c r="S23" s="73">
        <f t="shared" si="1"/>
        <v>193255.28000000003</v>
      </c>
      <c r="T23" s="73">
        <f>+'[2]Total Summary'!N10</f>
        <v>0</v>
      </c>
      <c r="U23" s="73">
        <f t="shared" si="2"/>
        <v>193255.28000000003</v>
      </c>
      <c r="V23" t="b">
        <f>ROUND(+U23,2)=ROUND('II-D-1'!L24,2)</f>
        <v>1</v>
      </c>
    </row>
    <row r="24" spans="1:21" ht="15" customHeight="1">
      <c r="A24" s="16">
        <v>11</v>
      </c>
      <c r="B24" s="8"/>
      <c r="C24" s="8"/>
      <c r="D24" s="115"/>
      <c r="E24" s="115"/>
      <c r="F24" s="115"/>
      <c r="G24" s="115"/>
      <c r="H24" s="115"/>
      <c r="I24" s="115"/>
      <c r="J24" s="115"/>
      <c r="K24" s="115"/>
      <c r="L24" s="115"/>
      <c r="M24" s="115"/>
      <c r="N24" s="115"/>
      <c r="O24" s="115"/>
      <c r="P24" s="115"/>
      <c r="Q24" s="115"/>
      <c r="R24" s="115"/>
      <c r="S24" s="115"/>
      <c r="T24" s="115"/>
      <c r="U24" s="115"/>
    </row>
    <row r="25" spans="1:22" ht="15" customHeight="1">
      <c r="A25" s="16">
        <v>12</v>
      </c>
      <c r="B25" s="4"/>
      <c r="C25" s="22" t="s">
        <v>54</v>
      </c>
      <c r="D25" s="142">
        <f>SUM(D16:D23)</f>
        <v>127450482.01000002</v>
      </c>
      <c r="E25" s="142">
        <f t="shared" si="3" ref="E25:S25">SUM(E16:E23)</f>
        <v>127477754.11000001</v>
      </c>
      <c r="F25" s="142">
        <f t="shared" si="3"/>
        <v>127680783.91</v>
      </c>
      <c r="G25" s="142">
        <f t="shared" si="3"/>
        <v>132359363.56</v>
      </c>
      <c r="H25" s="142">
        <f t="shared" si="3"/>
        <v>132988554.50000002</v>
      </c>
      <c r="I25" s="142">
        <f t="shared" si="3"/>
        <v>135142404.80000001</v>
      </c>
      <c r="J25" s="142">
        <f t="shared" si="3"/>
        <v>133701432.60000001</v>
      </c>
      <c r="K25" s="142">
        <f t="shared" si="3"/>
        <v>135113225.34</v>
      </c>
      <c r="L25" s="142">
        <f t="shared" si="3"/>
        <v>135570290.24000001</v>
      </c>
      <c r="M25" s="142">
        <f t="shared" si="3"/>
        <v>138462143.88999999</v>
      </c>
      <c r="N25" s="142">
        <f t="shared" si="3"/>
        <v>138641065.15000001</v>
      </c>
      <c r="O25" s="142">
        <f t="shared" si="3"/>
        <v>138951370.65000001</v>
      </c>
      <c r="P25" s="142">
        <f t="shared" si="3"/>
        <v>1603538870.76</v>
      </c>
      <c r="Q25" s="142">
        <f t="shared" si="3"/>
        <v>0</v>
      </c>
      <c r="R25" s="142">
        <f t="shared" si="3"/>
        <v>0</v>
      </c>
      <c r="S25" s="142">
        <f t="shared" si="3"/>
        <v>1603538870.76</v>
      </c>
      <c r="T25" s="142">
        <f>SUM(T16:T23)</f>
        <v>143524563.88999999</v>
      </c>
      <c r="U25" s="142">
        <f>SUM(U16:U23)</f>
        <v>1747063434.6499999</v>
      </c>
      <c r="V25" t="b">
        <f>ROUND(+U25,2)=ROUND('II-D-1'!L26,2)</f>
        <v>1</v>
      </c>
    </row>
    <row r="26" spans="1:21" ht="15" customHeight="1">
      <c r="A26" s="16">
        <v>13</v>
      </c>
      <c r="B26" s="8"/>
      <c r="C26" s="18"/>
      <c r="D26" s="115"/>
      <c r="E26" s="115"/>
      <c r="F26" s="115"/>
      <c r="G26" s="115"/>
      <c r="H26" s="115"/>
      <c r="I26" s="115"/>
      <c r="J26" s="115"/>
      <c r="K26" s="115"/>
      <c r="L26" s="115"/>
      <c r="M26" s="115"/>
      <c r="N26" s="115"/>
      <c r="O26" s="115"/>
      <c r="P26" s="115"/>
      <c r="Q26" s="115"/>
      <c r="R26" s="115"/>
      <c r="S26" s="115"/>
      <c r="T26" s="115"/>
      <c r="U26" s="115"/>
    </row>
    <row r="27" spans="1:21" ht="15" customHeight="1">
      <c r="A27" s="16">
        <v>14</v>
      </c>
      <c r="B27" s="8"/>
      <c r="C27" s="15" t="s">
        <v>229</v>
      </c>
      <c r="D27" s="2"/>
      <c r="E27" s="2"/>
      <c r="F27" s="2"/>
      <c r="G27" s="2"/>
      <c r="H27" s="2"/>
      <c r="I27" s="2"/>
      <c r="J27" s="2"/>
      <c r="K27" s="2"/>
      <c r="L27" s="2"/>
      <c r="M27" s="2"/>
      <c r="N27" s="2"/>
      <c r="O27" s="2"/>
      <c r="P27" s="2"/>
      <c r="Q27" s="2"/>
      <c r="R27" s="2"/>
      <c r="S27" s="2"/>
      <c r="T27" s="2"/>
      <c r="U27" s="2"/>
    </row>
    <row r="28" spans="1:22" ht="15" customHeight="1">
      <c r="A28" s="16">
        <v>15</v>
      </c>
      <c r="B28" s="4" t="s">
        <v>238</v>
      </c>
      <c r="C28" s="4" t="s">
        <v>139</v>
      </c>
      <c r="D28" s="156">
        <v>89110.37999999999</v>
      </c>
      <c r="E28" s="156">
        <v>64971.439999999995</v>
      </c>
      <c r="F28" s="156">
        <v>80581.360000000001</v>
      </c>
      <c r="G28" s="156">
        <v>25479.449999999997</v>
      </c>
      <c r="H28" s="156">
        <v>56329.920000000006</v>
      </c>
      <c r="I28" s="156">
        <v>49197.220000000001</v>
      </c>
      <c r="J28" s="156">
        <v>55086.989999999998</v>
      </c>
      <c r="K28" s="156">
        <v>56958.889999999999</v>
      </c>
      <c r="L28" s="156">
        <v>35006.079999999994</v>
      </c>
      <c r="M28" s="156">
        <v>41668.479999999996</v>
      </c>
      <c r="N28" s="156">
        <v>27193.580000000002</v>
      </c>
      <c r="O28" s="156">
        <v>23468.959999999999</v>
      </c>
      <c r="P28" s="156">
        <f t="shared" si="4" ref="P28:P33">SUM(D28:O28)</f>
        <v>605052.75</v>
      </c>
      <c r="Q28" s="156">
        <v>0</v>
      </c>
      <c r="R28" s="156">
        <v>0</v>
      </c>
      <c r="S28" s="156">
        <f t="shared" si="5" ref="S28:S33">+P28-Q28-R28</f>
        <v>605052.75</v>
      </c>
      <c r="T28" s="156">
        <f>+'[2]Total Summary'!N13</f>
        <v>8593.4599999999991</v>
      </c>
      <c r="U28" s="156">
        <f t="shared" si="6" ref="U28:U33">+S28+T28</f>
        <v>613646.20999999996</v>
      </c>
      <c r="V28" t="b">
        <f>ROUND(+U28,2)=ROUND('II-D-1'!L29,2)</f>
        <v>1</v>
      </c>
    </row>
    <row r="29" spans="1:22" ht="15" customHeight="1">
      <c r="A29" s="16">
        <v>16</v>
      </c>
      <c r="B29" s="4" t="s">
        <v>239</v>
      </c>
      <c r="C29" s="4" t="s">
        <v>140</v>
      </c>
      <c r="D29" s="73">
        <v>735.46999999999991</v>
      </c>
      <c r="E29" s="73">
        <v>1013.0699999999999</v>
      </c>
      <c r="F29" s="73">
        <v>674.38</v>
      </c>
      <c r="G29" s="73">
        <v>630.96000000000004</v>
      </c>
      <c r="H29" s="73">
        <v>4206.5799999999999</v>
      </c>
      <c r="I29" s="73">
        <v>1024.25</v>
      </c>
      <c r="J29" s="73">
        <v>1282.1900000000001</v>
      </c>
      <c r="K29" s="73">
        <v>1660.8700000000001</v>
      </c>
      <c r="L29" s="73">
        <v>712.51999999999998</v>
      </c>
      <c r="M29" s="73">
        <v>761.31000000000006</v>
      </c>
      <c r="N29" s="73">
        <v>791.03000000000009</v>
      </c>
      <c r="O29" s="73">
        <v>38345.18</v>
      </c>
      <c r="P29" s="73">
        <f t="shared" si="4"/>
        <v>51837.809999999998</v>
      </c>
      <c r="Q29" s="73">
        <v>0</v>
      </c>
      <c r="R29" s="73">
        <v>0</v>
      </c>
      <c r="S29" s="73">
        <f t="shared" si="5"/>
        <v>51837.809999999998</v>
      </c>
      <c r="T29" s="73">
        <f>+'[2]Total Summary'!N14</f>
        <v>0</v>
      </c>
      <c r="U29" s="73">
        <f t="shared" si="6"/>
        <v>51837.809999999998</v>
      </c>
      <c r="V29" t="b">
        <f>ROUND(+U29,2)=ROUND('II-D-1'!L30,2)</f>
        <v>1</v>
      </c>
    </row>
    <row r="30" spans="1:22" ht="15" customHeight="1">
      <c r="A30" s="16">
        <v>17</v>
      </c>
      <c r="B30" s="4" t="s">
        <v>240</v>
      </c>
      <c r="C30" s="4" t="s">
        <v>381</v>
      </c>
      <c r="D30" s="73">
        <v>2911127.8799999999</v>
      </c>
      <c r="E30" s="73">
        <v>496425.01000000001</v>
      </c>
      <c r="F30" s="73">
        <v>573796.75</v>
      </c>
      <c r="G30" s="73">
        <v>462913.64000000001</v>
      </c>
      <c r="H30" s="73">
        <v>403314.84000000003</v>
      </c>
      <c r="I30" s="73">
        <v>458084.70000000001</v>
      </c>
      <c r="J30" s="73">
        <v>442298.96999999997</v>
      </c>
      <c r="K30" s="73">
        <v>659188.68000000005</v>
      </c>
      <c r="L30" s="73">
        <v>443336.40000000002</v>
      </c>
      <c r="M30" s="73">
        <v>448224.74000000005</v>
      </c>
      <c r="N30" s="73">
        <v>527451.27000000002</v>
      </c>
      <c r="O30" s="73">
        <v>766401.75</v>
      </c>
      <c r="P30" s="73">
        <f t="shared" si="4"/>
        <v>8592564.629999999</v>
      </c>
      <c r="Q30" s="73">
        <v>0</v>
      </c>
      <c r="R30" s="73">
        <v>0</v>
      </c>
      <c r="S30" s="73">
        <f t="shared" si="5"/>
        <v>8592564.629999999</v>
      </c>
      <c r="T30" s="73">
        <f>+'[2]Total Summary'!N15</f>
        <v>5505.6700000000001</v>
      </c>
      <c r="U30" s="73">
        <f t="shared" si="6"/>
        <v>8598070.2999999989</v>
      </c>
      <c r="V30" t="b">
        <f>ROUND(+U30,2)=ROUND('II-D-1'!L31,2)</f>
        <v>1</v>
      </c>
    </row>
    <row r="31" spans="1:22" ht="15" customHeight="1">
      <c r="A31" s="16">
        <v>18</v>
      </c>
      <c r="B31" s="4" t="s">
        <v>241</v>
      </c>
      <c r="C31" s="4" t="s">
        <v>382</v>
      </c>
      <c r="D31" s="73">
        <v>631002.92000000004</v>
      </c>
      <c r="E31" s="73">
        <v>1377673.3399999999</v>
      </c>
      <c r="F31" s="73">
        <v>2469170.5099999998</v>
      </c>
      <c r="G31" s="73">
        <v>1899392.8099999998</v>
      </c>
      <c r="H31" s="73">
        <v>1540967.2</v>
      </c>
      <c r="I31" s="73">
        <v>1740818.7</v>
      </c>
      <c r="J31" s="73">
        <v>1633721.3600000001</v>
      </c>
      <c r="K31" s="73">
        <v>1881645.6200000001</v>
      </c>
      <c r="L31" s="73">
        <v>2161439.9500000002</v>
      </c>
      <c r="M31" s="73">
        <v>2014130.8300000001</v>
      </c>
      <c r="N31" s="73">
        <v>2082769.75</v>
      </c>
      <c r="O31" s="73">
        <v>1712200.1600000002</v>
      </c>
      <c r="P31" s="73">
        <f t="shared" si="4"/>
        <v>21144933.149999995</v>
      </c>
      <c r="Q31" s="73">
        <v>0</v>
      </c>
      <c r="R31" s="73">
        <v>0</v>
      </c>
      <c r="S31" s="73">
        <f t="shared" si="5"/>
        <v>21144933.149999995</v>
      </c>
      <c r="T31" s="73">
        <f>+'[2]Total Summary'!N16</f>
        <v>1396025.5900000001</v>
      </c>
      <c r="U31" s="73">
        <f t="shared" si="6"/>
        <v>22540958.739999995</v>
      </c>
      <c r="V31" t="b">
        <f>ROUND(+U31,2)=ROUND('II-D-1'!L32,2)</f>
        <v>1</v>
      </c>
    </row>
    <row r="32" spans="1:22" ht="15" customHeight="1">
      <c r="A32" s="16">
        <v>19</v>
      </c>
      <c r="B32" s="4" t="s">
        <v>242</v>
      </c>
      <c r="C32" s="4" t="s">
        <v>383</v>
      </c>
      <c r="D32" s="73">
        <v>0</v>
      </c>
      <c r="E32" s="73">
        <v>0</v>
      </c>
      <c r="F32" s="73">
        <v>80.010000000000005</v>
      </c>
      <c r="G32" s="73">
        <v>0</v>
      </c>
      <c r="H32" s="73">
        <v>0</v>
      </c>
      <c r="I32" s="73">
        <v>0</v>
      </c>
      <c r="J32" s="73">
        <v>0</v>
      </c>
      <c r="K32" s="73">
        <v>0</v>
      </c>
      <c r="L32" s="73">
        <v>79.019999999999996</v>
      </c>
      <c r="M32" s="73">
        <v>0</v>
      </c>
      <c r="N32" s="73">
        <v>0</v>
      </c>
      <c r="O32" s="73">
        <v>0</v>
      </c>
      <c r="P32" s="73">
        <f t="shared" si="4"/>
        <v>159.03</v>
      </c>
      <c r="Q32" s="73">
        <v>0</v>
      </c>
      <c r="R32" s="73">
        <v>0</v>
      </c>
      <c r="S32" s="73">
        <f t="shared" si="5"/>
        <v>159.03</v>
      </c>
      <c r="T32" s="73">
        <f>+'[2]Total Summary'!N17</f>
        <v>0</v>
      </c>
      <c r="U32" s="73">
        <f t="shared" si="6"/>
        <v>159.03</v>
      </c>
      <c r="V32" t="b">
        <f>ROUND(+U32,2)=ROUND('II-D-1'!L33,2)</f>
        <v>1</v>
      </c>
    </row>
    <row r="33" spans="1:22" ht="15" customHeight="1">
      <c r="A33" s="16">
        <v>20</v>
      </c>
      <c r="B33" s="4" t="s">
        <v>243</v>
      </c>
      <c r="C33" s="4" t="s">
        <v>141</v>
      </c>
      <c r="D33" s="73">
        <v>209152.53</v>
      </c>
      <c r="E33" s="73">
        <v>89703.229999999996</v>
      </c>
      <c r="F33" s="73">
        <v>131860.22</v>
      </c>
      <c r="G33" s="73">
        <v>138478.84</v>
      </c>
      <c r="H33" s="73">
        <v>269772.37999999995</v>
      </c>
      <c r="I33" s="73">
        <v>97560.069999999992</v>
      </c>
      <c r="J33" s="73">
        <v>126095.5</v>
      </c>
      <c r="K33" s="73">
        <v>141016.31000000003</v>
      </c>
      <c r="L33" s="73">
        <v>71786.930000000008</v>
      </c>
      <c r="M33" s="73">
        <v>91231.450000000012</v>
      </c>
      <c r="N33" s="73">
        <v>145861.26000000001</v>
      </c>
      <c r="O33" s="73">
        <v>218794.48000000001</v>
      </c>
      <c r="P33" s="73">
        <f t="shared" si="4"/>
        <v>1731313.2</v>
      </c>
      <c r="Q33" s="73">
        <v>0</v>
      </c>
      <c r="R33" s="73">
        <v>0</v>
      </c>
      <c r="S33" s="73">
        <f t="shared" si="5"/>
        <v>1731313.2</v>
      </c>
      <c r="T33" s="73">
        <f>+'[2]Total Summary'!N18</f>
        <v>5197.8399999999992</v>
      </c>
      <c r="U33" s="73">
        <f t="shared" si="6"/>
        <v>1736511.04</v>
      </c>
      <c r="V33" t="b">
        <f>ROUND(+U33,2)=ROUND('II-D-1'!L34,2)</f>
        <v>1</v>
      </c>
    </row>
    <row r="34" spans="1:21" ht="15" customHeight="1">
      <c r="A34" s="16">
        <v>21</v>
      </c>
      <c r="B34" s="4"/>
      <c r="C34" s="4"/>
      <c r="D34" s="115"/>
      <c r="E34" s="115"/>
      <c r="F34" s="115"/>
      <c r="G34" s="115"/>
      <c r="H34" s="115"/>
      <c r="I34" s="115"/>
      <c r="J34" s="115"/>
      <c r="K34" s="115"/>
      <c r="L34" s="115"/>
      <c r="M34" s="115"/>
      <c r="N34" s="115"/>
      <c r="O34" s="115"/>
      <c r="P34" s="115"/>
      <c r="Q34" s="115"/>
      <c r="R34" s="115"/>
      <c r="S34" s="115"/>
      <c r="T34" s="115"/>
      <c r="U34" s="115"/>
    </row>
    <row r="35" spans="1:22" ht="15" customHeight="1">
      <c r="A35" s="16">
        <v>22</v>
      </c>
      <c r="B35" s="8"/>
      <c r="C35" s="22" t="s">
        <v>55</v>
      </c>
      <c r="D35" s="142">
        <f>SUM(D28:D33)</f>
        <v>3841129.1799999997</v>
      </c>
      <c r="E35" s="142">
        <f t="shared" si="7" ref="E35:S35">SUM(E28:E33)</f>
        <v>2029786.0899999999</v>
      </c>
      <c r="F35" s="142">
        <f t="shared" si="7"/>
        <v>3256163.23</v>
      </c>
      <c r="G35" s="142">
        <f t="shared" si="7"/>
        <v>2526895.6999999997</v>
      </c>
      <c r="H35" s="142">
        <f t="shared" si="7"/>
        <v>2274590.9199999999</v>
      </c>
      <c r="I35" s="142">
        <f t="shared" si="7"/>
        <v>2346684.9399999999</v>
      </c>
      <c r="J35" s="142">
        <f t="shared" si="7"/>
        <v>2258485.0100000002</v>
      </c>
      <c r="K35" s="142">
        <f t="shared" si="7"/>
        <v>2740470.3700000001</v>
      </c>
      <c r="L35" s="142">
        <f t="shared" si="7"/>
        <v>2712360.9000000004</v>
      </c>
      <c r="M35" s="142">
        <f t="shared" si="7"/>
        <v>2596016.8100000005</v>
      </c>
      <c r="N35" s="142">
        <f t="shared" si="7"/>
        <v>2784066.8899999997</v>
      </c>
      <c r="O35" s="142">
        <f t="shared" si="7"/>
        <v>2759210.5300000003</v>
      </c>
      <c r="P35" s="142">
        <f t="shared" si="7"/>
        <v>32125860.569999997</v>
      </c>
      <c r="Q35" s="142">
        <f t="shared" si="7"/>
        <v>0</v>
      </c>
      <c r="R35" s="142">
        <f t="shared" si="7"/>
        <v>0</v>
      </c>
      <c r="S35" s="142">
        <f t="shared" si="7"/>
        <v>32125860.569999997</v>
      </c>
      <c r="T35" s="142">
        <f>SUM(T28:T33)</f>
        <v>1415322.5600000001</v>
      </c>
      <c r="U35" s="142">
        <f>SUM(U28:U33)</f>
        <v>33541183.129999995</v>
      </c>
      <c r="V35" t="b">
        <f>ROUND(+U35,2)=ROUND('II-D-1'!L36,2)</f>
        <v>1</v>
      </c>
    </row>
    <row r="36" spans="1:22" ht="15" customHeight="1">
      <c r="A36" s="16">
        <v>23</v>
      </c>
      <c r="B36" s="8"/>
      <c r="C36" s="22"/>
      <c r="D36" s="115"/>
      <c r="E36" s="115"/>
      <c r="F36" s="115"/>
      <c r="G36" s="115"/>
      <c r="H36" s="115"/>
      <c r="I36" s="115"/>
      <c r="J36" s="115"/>
      <c r="K36" s="115"/>
      <c r="L36" s="115"/>
      <c r="M36" s="115"/>
      <c r="N36" s="115"/>
      <c r="O36" s="115"/>
      <c r="P36" s="115"/>
      <c r="Q36" s="115"/>
      <c r="R36" s="115"/>
      <c r="S36" s="115"/>
      <c r="T36" s="115"/>
      <c r="U36" s="115"/>
      <c r="V36" s="2"/>
    </row>
    <row r="37" spans="1:22" ht="15" customHeight="1">
      <c r="A37" s="16">
        <v>24</v>
      </c>
      <c r="B37" s="8" t="s">
        <v>123</v>
      </c>
      <c r="C37" s="8"/>
      <c r="D37" s="190">
        <f>+D35+D25</f>
        <v>131291611.19000003</v>
      </c>
      <c r="E37" s="190">
        <f t="shared" si="8" ref="E37:S37">+E35+E25</f>
        <v>129507540.20000002</v>
      </c>
      <c r="F37" s="190">
        <f t="shared" si="8"/>
        <v>130936947.14</v>
      </c>
      <c r="G37" s="190">
        <f t="shared" si="8"/>
        <v>134886259.25999999</v>
      </c>
      <c r="H37" s="190">
        <f t="shared" si="8"/>
        <v>135263145.42000002</v>
      </c>
      <c r="I37" s="190">
        <f t="shared" si="8"/>
        <v>137489089.74000001</v>
      </c>
      <c r="J37" s="190">
        <f t="shared" si="8"/>
        <v>135959917.61000001</v>
      </c>
      <c r="K37" s="190">
        <f t="shared" si="8"/>
        <v>137853695.71000001</v>
      </c>
      <c r="L37" s="190">
        <f t="shared" si="8"/>
        <v>138282651.14000002</v>
      </c>
      <c r="M37" s="190">
        <f t="shared" si="8"/>
        <v>141058160.69999999</v>
      </c>
      <c r="N37" s="190">
        <f t="shared" si="8"/>
        <v>141425132.03999999</v>
      </c>
      <c r="O37" s="190">
        <f t="shared" si="8"/>
        <v>141710581.18000001</v>
      </c>
      <c r="P37" s="190">
        <f t="shared" si="8"/>
        <v>1635664731.3299999</v>
      </c>
      <c r="Q37" s="190">
        <f t="shared" si="8"/>
        <v>0</v>
      </c>
      <c r="R37" s="190">
        <f t="shared" si="8"/>
        <v>0</v>
      </c>
      <c r="S37" s="190">
        <f t="shared" si="8"/>
        <v>1635664731.3299999</v>
      </c>
      <c r="T37" s="190">
        <f>+T35+T25</f>
        <v>144939886.44999999</v>
      </c>
      <c r="U37" s="190">
        <f>+U35+U25</f>
        <v>1780604617.7799997</v>
      </c>
      <c r="V37" t="b">
        <f>ROUND(+U37,2)=ROUND('II-D-1'!L38,2)</f>
        <v>1</v>
      </c>
    </row>
    <row r="38" spans="1:21" ht="15" customHeight="1">
      <c r="A38" s="16">
        <v>25</v>
      </c>
      <c r="B38" s="8"/>
      <c r="C38" s="8"/>
      <c r="D38" s="2"/>
      <c r="E38" s="2"/>
      <c r="F38" s="2"/>
      <c r="G38" s="2"/>
      <c r="H38" s="2"/>
      <c r="I38" s="2"/>
      <c r="J38" s="2"/>
      <c r="K38" s="2"/>
      <c r="L38" s="2"/>
      <c r="M38" s="2"/>
      <c r="N38" s="2"/>
      <c r="O38" s="2"/>
      <c r="P38" s="2"/>
      <c r="Q38" s="2"/>
      <c r="R38" s="2"/>
      <c r="S38" s="2"/>
      <c r="T38" s="2"/>
      <c r="U38" s="2"/>
    </row>
    <row r="39" spans="1:21" ht="15" customHeight="1">
      <c r="A39" s="16">
        <v>26</v>
      </c>
      <c r="B39" s="8"/>
      <c r="C39" s="8"/>
      <c r="D39" s="2"/>
      <c r="E39" s="2"/>
      <c r="F39" s="2"/>
      <c r="G39" s="2"/>
      <c r="H39" s="2"/>
      <c r="I39" s="2"/>
      <c r="J39" s="2"/>
      <c r="K39" s="2"/>
      <c r="L39" s="2"/>
      <c r="M39" s="2"/>
      <c r="N39" s="2"/>
      <c r="O39" s="2"/>
      <c r="P39" s="2"/>
      <c r="Q39" s="2"/>
      <c r="R39" s="2"/>
      <c r="S39" s="2"/>
      <c r="T39" s="2"/>
      <c r="U39" s="2"/>
    </row>
    <row r="40" spans="1:21" ht="15" customHeight="1">
      <c r="A40" s="16">
        <v>27</v>
      </c>
      <c r="B40" s="8" t="s">
        <v>35</v>
      </c>
      <c r="C40" s="8"/>
      <c r="D40" s="2"/>
      <c r="E40" s="2"/>
      <c r="F40" s="2"/>
      <c r="G40" s="2"/>
      <c r="H40" s="2"/>
      <c r="I40" s="2"/>
      <c r="J40" s="2"/>
      <c r="K40" s="2"/>
      <c r="L40" s="2"/>
      <c r="M40" s="2"/>
      <c r="N40" s="2"/>
      <c r="O40" s="2"/>
      <c r="P40" s="2"/>
      <c r="Q40" s="2"/>
      <c r="R40" s="2"/>
      <c r="S40" s="2"/>
      <c r="T40" s="2"/>
      <c r="U40" s="2"/>
    </row>
    <row r="41" spans="1:21" ht="15" customHeight="1">
      <c r="A41" s="16">
        <v>28</v>
      </c>
      <c r="B41" s="8"/>
      <c r="C41" s="15" t="s">
        <v>227</v>
      </c>
      <c r="D41" s="2"/>
      <c r="E41" s="2"/>
      <c r="F41" s="2"/>
      <c r="G41" s="2"/>
      <c r="H41" s="2"/>
      <c r="I41" s="2"/>
      <c r="J41" s="2"/>
      <c r="K41" s="2"/>
      <c r="L41" s="2"/>
      <c r="M41" s="2"/>
      <c r="N41" s="2"/>
      <c r="O41" s="2"/>
      <c r="P41" s="2"/>
      <c r="Q41" s="2"/>
      <c r="R41" s="2"/>
      <c r="S41" s="2"/>
      <c r="T41" s="2"/>
      <c r="U41" s="2"/>
    </row>
    <row r="42" spans="1:22" ht="15" customHeight="1">
      <c r="A42" s="16">
        <v>29</v>
      </c>
      <c r="B42" s="4" t="s">
        <v>250</v>
      </c>
      <c r="C42" s="4" t="s">
        <v>373</v>
      </c>
      <c r="D42" s="156">
        <v>758521.37</v>
      </c>
      <c r="E42" s="156">
        <v>380592.50999999995</v>
      </c>
      <c r="F42" s="156">
        <v>609123.88</v>
      </c>
      <c r="G42" s="156">
        <v>698384.32000000007</v>
      </c>
      <c r="H42" s="156">
        <v>782045.2699999999</v>
      </c>
      <c r="I42" s="156">
        <v>696591.40000000002</v>
      </c>
      <c r="J42" s="156">
        <v>333769.73999999999</v>
      </c>
      <c r="K42" s="156">
        <v>692317.6399999999</v>
      </c>
      <c r="L42" s="156">
        <v>811617.55000000005</v>
      </c>
      <c r="M42" s="156">
        <v>752831.26000000001</v>
      </c>
      <c r="N42" s="156">
        <v>1009703.64</v>
      </c>
      <c r="O42" s="156">
        <v>487540.91999999998</v>
      </c>
      <c r="P42" s="156">
        <f t="shared" si="9" ref="P42:P51">SUM(D42:O42)</f>
        <v>8013039.4999999991</v>
      </c>
      <c r="Q42" s="156">
        <v>0</v>
      </c>
      <c r="R42" s="156">
        <v>0</v>
      </c>
      <c r="S42" s="156">
        <f t="shared" si="10" ref="S42:S51">+P42-Q42-R42</f>
        <v>8013039.4999999991</v>
      </c>
      <c r="T42" s="156">
        <f>+'[2]Total Summary'!N21</f>
        <v>-84937.150000000023</v>
      </c>
      <c r="U42" s="156">
        <f>+S42+T42</f>
        <v>7928102.3499999987</v>
      </c>
      <c r="V42" t="b">
        <f>ROUND(+U42,2)=ROUND('II-D-1'!L43,2)</f>
        <v>1</v>
      </c>
    </row>
    <row r="43" spans="1:22" ht="15" customHeight="1">
      <c r="A43" s="16">
        <v>30</v>
      </c>
      <c r="B43" s="4" t="s">
        <v>244</v>
      </c>
      <c r="C43" s="4" t="s">
        <v>145</v>
      </c>
      <c r="D43" s="73">
        <v>811743.46999999997</v>
      </c>
      <c r="E43" s="73">
        <v>778256.41000000003</v>
      </c>
      <c r="F43" s="73">
        <v>800797.79000000004</v>
      </c>
      <c r="G43" s="73">
        <v>812777.75</v>
      </c>
      <c r="H43" s="73">
        <v>720305.54000000004</v>
      </c>
      <c r="I43" s="73">
        <v>774197.25</v>
      </c>
      <c r="J43" s="73">
        <v>816412.06999999995</v>
      </c>
      <c r="K43" s="73">
        <v>806920.28000000003</v>
      </c>
      <c r="L43" s="73">
        <v>816569.55000000005</v>
      </c>
      <c r="M43" s="73">
        <v>818661.83999999997</v>
      </c>
      <c r="N43" s="73">
        <v>809871.14000000001</v>
      </c>
      <c r="O43" s="73">
        <v>906949.10999999999</v>
      </c>
      <c r="P43" s="73">
        <f t="shared" si="9"/>
        <v>9673462.1999999993</v>
      </c>
      <c r="Q43" s="73">
        <v>0</v>
      </c>
      <c r="R43" s="73">
        <v>0</v>
      </c>
      <c r="S43" s="73">
        <f t="shared" si="10"/>
        <v>9673462.1999999993</v>
      </c>
      <c r="T43" s="73">
        <f>+'[2]Total Summary'!N22</f>
        <v>-37883.769999999997</v>
      </c>
      <c r="U43" s="73">
        <f t="shared" si="11" ref="U43:U51">+S43+T43</f>
        <v>9635578.4299999997</v>
      </c>
      <c r="V43" t="b">
        <f>ROUND(+U43,2)=ROUND('II-D-1'!L44,2)</f>
        <v>1</v>
      </c>
    </row>
    <row r="44" spans="1:22" ht="15" customHeight="1">
      <c r="A44" s="16">
        <v>31</v>
      </c>
      <c r="B44" s="4" t="s">
        <v>245</v>
      </c>
      <c r="C44" s="4" t="s">
        <v>374</v>
      </c>
      <c r="D44" s="73">
        <v>261881.73000000001</v>
      </c>
      <c r="E44" s="73">
        <v>325029.35999999999</v>
      </c>
      <c r="F44" s="73">
        <v>399015.20000000001</v>
      </c>
      <c r="G44" s="73">
        <v>336367.54000000004</v>
      </c>
      <c r="H44" s="73">
        <v>304811.82000000001</v>
      </c>
      <c r="I44" s="73">
        <v>409874.19</v>
      </c>
      <c r="J44" s="73">
        <v>337221.46000000002</v>
      </c>
      <c r="K44" s="73">
        <v>406833.47999999998</v>
      </c>
      <c r="L44" s="73">
        <v>361700.20000000001</v>
      </c>
      <c r="M44" s="73">
        <v>372846.77999999997</v>
      </c>
      <c r="N44" s="73">
        <v>290732.10000000003</v>
      </c>
      <c r="O44" s="73">
        <v>348587.51000000001</v>
      </c>
      <c r="P44" s="73">
        <f t="shared" si="9"/>
        <v>4154901.3700000001</v>
      </c>
      <c r="Q44" s="73">
        <v>0</v>
      </c>
      <c r="R44" s="73">
        <v>0</v>
      </c>
      <c r="S44" s="73">
        <f t="shared" si="10"/>
        <v>4154901.3700000001</v>
      </c>
      <c r="T44" s="73">
        <f>+'[2]Total Summary'!N23</f>
        <v>-2107.2200000000003</v>
      </c>
      <c r="U44" s="73">
        <f t="shared" si="11"/>
        <v>4152794.1499999999</v>
      </c>
      <c r="V44" t="b">
        <f>ROUND(+U44,2)=ROUND('II-D-1'!L45,2)</f>
        <v>1</v>
      </c>
    </row>
    <row r="45" spans="1:22" ht="15" customHeight="1">
      <c r="A45" s="16">
        <v>32</v>
      </c>
      <c r="B45" s="4" t="s">
        <v>155</v>
      </c>
      <c r="C45" s="4" t="s">
        <v>375</v>
      </c>
      <c r="D45" s="73">
        <v>290715.78999999998</v>
      </c>
      <c r="E45" s="73">
        <v>688717.26000000001</v>
      </c>
      <c r="F45" s="73">
        <v>2999389.6000000001</v>
      </c>
      <c r="G45" s="73">
        <v>1095966.0900000001</v>
      </c>
      <c r="H45" s="73">
        <v>466147.59000000003</v>
      </c>
      <c r="I45" s="73">
        <v>679312.38</v>
      </c>
      <c r="J45" s="73">
        <v>1048125.15</v>
      </c>
      <c r="K45" s="73">
        <v>1112338.77</v>
      </c>
      <c r="L45" s="73">
        <v>1344035.0700000001</v>
      </c>
      <c r="M45" s="73">
        <v>805991.53000000003</v>
      </c>
      <c r="N45" s="73">
        <v>1197852.7</v>
      </c>
      <c r="O45" s="73">
        <v>1901954.48</v>
      </c>
      <c r="P45" s="73">
        <f t="shared" si="9"/>
        <v>13630546.41</v>
      </c>
      <c r="Q45" s="73">
        <v>0</v>
      </c>
      <c r="R45" s="73">
        <v>0</v>
      </c>
      <c r="S45" s="73">
        <f t="shared" si="10"/>
        <v>13630546.41</v>
      </c>
      <c r="T45" s="73">
        <f>+'[2]Total Summary'!N24</f>
        <v>201977.66</v>
      </c>
      <c r="U45" s="73">
        <f t="shared" si="11"/>
        <v>13832524.07</v>
      </c>
      <c r="V45" t="b">
        <f>ROUND(+U45,2)=ROUND('II-D-1'!L46,2)</f>
        <v>1</v>
      </c>
    </row>
    <row r="46" spans="1:22" ht="15" customHeight="1">
      <c r="A46" s="16">
        <v>33</v>
      </c>
      <c r="B46" s="4" t="s">
        <v>246</v>
      </c>
      <c r="C46" s="4" t="s">
        <v>376</v>
      </c>
      <c r="D46" s="73">
        <v>582294.70999999996</v>
      </c>
      <c r="E46" s="73">
        <v>384588.45000000001</v>
      </c>
      <c r="F46" s="73">
        <v>1120375.3700000001</v>
      </c>
      <c r="G46" s="73">
        <v>618375.26000000001</v>
      </c>
      <c r="H46" s="73">
        <v>576176.22999999998</v>
      </c>
      <c r="I46" s="73">
        <v>650748.40000000002</v>
      </c>
      <c r="J46" s="73">
        <v>1008808.51</v>
      </c>
      <c r="K46" s="73">
        <v>756475.73999999999</v>
      </c>
      <c r="L46" s="73">
        <v>291126.13</v>
      </c>
      <c r="M46" s="73">
        <v>1360636.6200000001</v>
      </c>
      <c r="N46" s="73">
        <v>856377.16000000003</v>
      </c>
      <c r="O46" s="73">
        <v>1853968.29</v>
      </c>
      <c r="P46" s="73">
        <f t="shared" si="9"/>
        <v>10059950.870000001</v>
      </c>
      <c r="Q46" s="73">
        <v>0</v>
      </c>
      <c r="R46" s="73">
        <v>0</v>
      </c>
      <c r="S46" s="73">
        <f t="shared" si="10"/>
        <v>10059950.870000001</v>
      </c>
      <c r="T46" s="73">
        <f>+'[2]Total Summary'!N25</f>
        <v>18896.23</v>
      </c>
      <c r="U46" s="73">
        <f t="shared" si="11"/>
        <v>10078847.100000002</v>
      </c>
      <c r="V46" t="b">
        <f>ROUND(+U46,2)=ROUND('II-D-1'!L47,2)</f>
        <v>1</v>
      </c>
    </row>
    <row r="47" spans="1:22" ht="15" customHeight="1">
      <c r="A47" s="16">
        <v>34</v>
      </c>
      <c r="B47" s="4" t="s">
        <v>281</v>
      </c>
      <c r="C47" s="4" t="s">
        <v>142</v>
      </c>
      <c r="D47" s="73">
        <v>45.369999999999997</v>
      </c>
      <c r="E47" s="73">
        <v>0</v>
      </c>
      <c r="F47" s="73">
        <v>0</v>
      </c>
      <c r="G47" s="73">
        <v>0</v>
      </c>
      <c r="H47" s="73">
        <v>0</v>
      </c>
      <c r="I47" s="73">
        <v>515</v>
      </c>
      <c r="J47" s="73">
        <v>0</v>
      </c>
      <c r="K47" s="73">
        <v>0</v>
      </c>
      <c r="L47" s="73">
        <v>-3546.4200000000001</v>
      </c>
      <c r="M47" s="73">
        <v>0</v>
      </c>
      <c r="N47" s="73">
        <v>0</v>
      </c>
      <c r="O47" s="73">
        <v>3715.9699999999998</v>
      </c>
      <c r="P47" s="73">
        <f t="shared" si="9"/>
        <v>729.91999999999962</v>
      </c>
      <c r="Q47" s="73">
        <v>0</v>
      </c>
      <c r="R47" s="73">
        <v>0</v>
      </c>
      <c r="S47" s="73">
        <f t="shared" si="10"/>
        <v>729.91999999999962</v>
      </c>
      <c r="T47" s="73">
        <f>+'[2]Total Summary'!N26</f>
        <v>96.700000000000003</v>
      </c>
      <c r="U47" s="73">
        <f t="shared" si="11"/>
        <v>826.61999999999966</v>
      </c>
      <c r="V47" t="b">
        <f>ROUND(+U47,2)=ROUND('II-D-1'!L48,2)</f>
        <v>1</v>
      </c>
    </row>
    <row r="48" spans="1:22" ht="15" customHeight="1">
      <c r="A48" s="16">
        <v>35</v>
      </c>
      <c r="B48" s="4" t="s">
        <v>247</v>
      </c>
      <c r="C48" s="4" t="s">
        <v>144</v>
      </c>
      <c r="D48" s="73">
        <v>441576.01000000001</v>
      </c>
      <c r="E48" s="73">
        <v>1827464.9399999999</v>
      </c>
      <c r="F48" s="73">
        <v>2442350.8399999999</v>
      </c>
      <c r="G48" s="73">
        <v>2640661.96</v>
      </c>
      <c r="H48" s="73">
        <v>2387263.1800000002</v>
      </c>
      <c r="I48" s="73">
        <v>1924888.29</v>
      </c>
      <c r="J48" s="73">
        <v>2978119.0499999998</v>
      </c>
      <c r="K48" s="73">
        <v>2531226.77</v>
      </c>
      <c r="L48" s="73">
        <v>2878179.46</v>
      </c>
      <c r="M48" s="73">
        <v>2439751.1600000001</v>
      </c>
      <c r="N48" s="73">
        <v>2809999.5</v>
      </c>
      <c r="O48" s="73">
        <v>3180223.0499999998</v>
      </c>
      <c r="P48" s="73">
        <f t="shared" si="9"/>
        <v>28481704.210000001</v>
      </c>
      <c r="Q48" s="73">
        <v>0</v>
      </c>
      <c r="R48" s="73">
        <v>0</v>
      </c>
      <c r="S48" s="73">
        <f t="shared" si="10"/>
        <v>28481704.210000001</v>
      </c>
      <c r="T48" s="73">
        <f>+'[2]Total Summary'!N27</f>
        <v>-68363.440000000002</v>
      </c>
      <c r="U48" s="73">
        <f t="shared" si="11"/>
        <v>28413340.77</v>
      </c>
      <c r="V48" t="b">
        <f>ROUND(+U48,2)=ROUND('II-D-1'!L49,2)</f>
        <v>1</v>
      </c>
    </row>
    <row r="49" spans="1:22" ht="15" customHeight="1">
      <c r="A49" s="16">
        <v>36</v>
      </c>
      <c r="B49" s="4" t="s">
        <v>248</v>
      </c>
      <c r="C49" s="4" t="s">
        <v>143</v>
      </c>
      <c r="D49" s="73">
        <v>83720.029999999999</v>
      </c>
      <c r="E49" s="73">
        <v>72825.520000000004</v>
      </c>
      <c r="F49" s="73">
        <v>96459.559999999998</v>
      </c>
      <c r="G49" s="73">
        <v>134760.44</v>
      </c>
      <c r="H49" s="73">
        <v>101818.94</v>
      </c>
      <c r="I49" s="73">
        <v>149787.35999999999</v>
      </c>
      <c r="J49" s="73">
        <v>172518.03</v>
      </c>
      <c r="K49" s="73">
        <v>168899.79999999999</v>
      </c>
      <c r="L49" s="73">
        <v>184221.72</v>
      </c>
      <c r="M49" s="73">
        <v>160637.28</v>
      </c>
      <c r="N49" s="73">
        <v>138797.59</v>
      </c>
      <c r="O49" s="73">
        <v>175342.53</v>
      </c>
      <c r="P49" s="73">
        <f t="shared" si="9"/>
        <v>1639788.8000000001</v>
      </c>
      <c r="Q49" s="73">
        <v>0</v>
      </c>
      <c r="R49" s="73">
        <v>0</v>
      </c>
      <c r="S49" s="73">
        <f t="shared" si="10"/>
        <v>1639788.8000000001</v>
      </c>
      <c r="T49" s="73">
        <f>+'[2]Total Summary'!N28</f>
        <v>44.789999999999999</v>
      </c>
      <c r="U49" s="73">
        <f t="shared" si="11"/>
        <v>1639833.5900000001</v>
      </c>
      <c r="V49" t="b">
        <f>ROUND(+U49,2)=ROUND('II-D-1'!L50,2)</f>
        <v>1</v>
      </c>
    </row>
    <row r="50" spans="1:22" ht="15" customHeight="1">
      <c r="A50" s="16">
        <v>37</v>
      </c>
      <c r="B50" s="4" t="s">
        <v>251</v>
      </c>
      <c r="C50" s="4" t="s">
        <v>146</v>
      </c>
      <c r="D50" s="73">
        <v>6987857.6499999994</v>
      </c>
      <c r="E50" s="73">
        <v>4728463.4699999997</v>
      </c>
      <c r="F50" s="73">
        <v>4024182.0300000003</v>
      </c>
      <c r="G50" s="73">
        <v>4648906.0700000003</v>
      </c>
      <c r="H50" s="73">
        <v>4755209.7599999998</v>
      </c>
      <c r="I50" s="73">
        <v>5557682.2400000002</v>
      </c>
      <c r="J50" s="73">
        <v>4869176.0499999998</v>
      </c>
      <c r="K50" s="73">
        <v>5167824.7799999993</v>
      </c>
      <c r="L50" s="73">
        <v>4501509.6200000001</v>
      </c>
      <c r="M50" s="73">
        <v>4013984.1200000001</v>
      </c>
      <c r="N50" s="73">
        <v>6016573.2699999996</v>
      </c>
      <c r="O50" s="73">
        <v>5926035.4300000006</v>
      </c>
      <c r="P50" s="73">
        <f t="shared" si="9"/>
        <v>61197404.489999987</v>
      </c>
      <c r="Q50" s="73">
        <v>0</v>
      </c>
      <c r="R50" s="73">
        <v>0</v>
      </c>
      <c r="S50" s="73">
        <f t="shared" si="10"/>
        <v>61197404.489999987</v>
      </c>
      <c r="T50" s="73">
        <f>+'[2]Total Summary'!N29</f>
        <v>43336090.050000004</v>
      </c>
      <c r="U50" s="73">
        <f t="shared" si="11"/>
        <v>104533494.53999999</v>
      </c>
      <c r="V50" t="b">
        <f>ROUND(+U50,2)=ROUND('II-D-1'!L51,2)</f>
        <v>1</v>
      </c>
    </row>
    <row r="51" spans="1:22" ht="15" customHeight="1">
      <c r="A51" s="16">
        <v>38</v>
      </c>
      <c r="B51" s="4" t="s">
        <v>249</v>
      </c>
      <c r="C51" s="4" t="s">
        <v>228</v>
      </c>
      <c r="D51" s="73">
        <v>26513.68</v>
      </c>
      <c r="E51" s="73">
        <v>26414.68</v>
      </c>
      <c r="F51" s="73">
        <v>35288.839999999997</v>
      </c>
      <c r="G51" s="73">
        <v>-18736.25</v>
      </c>
      <c r="H51" s="73">
        <v>22208.07</v>
      </c>
      <c r="I51" s="73">
        <v>26614.57</v>
      </c>
      <c r="J51" s="73">
        <v>28134.049999999999</v>
      </c>
      <c r="K51" s="73">
        <v>28271.700000000001</v>
      </c>
      <c r="L51" s="73">
        <v>25261.639999999999</v>
      </c>
      <c r="M51" s="73">
        <v>28949.959999999999</v>
      </c>
      <c r="N51" s="73">
        <v>24692.380000000001</v>
      </c>
      <c r="O51" s="73">
        <v>28321.060000000001</v>
      </c>
      <c r="P51" s="73">
        <f t="shared" si="9"/>
        <v>281934.38</v>
      </c>
      <c r="Q51" s="73">
        <v>0</v>
      </c>
      <c r="R51" s="73">
        <v>0</v>
      </c>
      <c r="S51" s="73">
        <f t="shared" si="10"/>
        <v>281934.38</v>
      </c>
      <c r="T51" s="73">
        <f>+'[2]Total Summary'!N30</f>
        <v>449449.64000000001</v>
      </c>
      <c r="U51" s="73">
        <f t="shared" si="11"/>
        <v>731384.02000000002</v>
      </c>
      <c r="V51" t="b">
        <f>ROUND(+U51,2)=ROUND('II-D-1'!L52,2)</f>
        <v>1</v>
      </c>
    </row>
    <row r="52" spans="1:21" ht="15" customHeight="1">
      <c r="A52" s="16">
        <v>39</v>
      </c>
      <c r="B52" s="4"/>
      <c r="C52" s="4"/>
      <c r="D52" s="115"/>
      <c r="E52" s="115"/>
      <c r="F52" s="115"/>
      <c r="G52" s="115"/>
      <c r="H52" s="115"/>
      <c r="I52" s="115"/>
      <c r="J52" s="115"/>
      <c r="K52" s="115"/>
      <c r="L52" s="115"/>
      <c r="M52" s="115"/>
      <c r="N52" s="115"/>
      <c r="O52" s="115"/>
      <c r="P52" s="115"/>
      <c r="Q52" s="115"/>
      <c r="R52" s="115"/>
      <c r="S52" s="115"/>
      <c r="T52" s="115"/>
      <c r="U52" s="115"/>
    </row>
    <row r="53" spans="1:22" ht="15" customHeight="1">
      <c r="A53" s="16">
        <v>40</v>
      </c>
      <c r="B53" s="8"/>
      <c r="C53" s="22" t="s">
        <v>56</v>
      </c>
      <c r="D53" s="142">
        <f>SUM(D42:D51)</f>
        <v>10244869.809999999</v>
      </c>
      <c r="E53" s="142">
        <f t="shared" si="12" ref="E53:S53">SUM(E42:E51)</f>
        <v>9212352.5999999978</v>
      </c>
      <c r="F53" s="142">
        <f t="shared" si="12"/>
        <v>12526983.109999999</v>
      </c>
      <c r="G53" s="142">
        <f t="shared" si="12"/>
        <v>10967463.18</v>
      </c>
      <c r="H53" s="142">
        <f t="shared" si="12"/>
        <v>10115986.400000002</v>
      </c>
      <c r="I53" s="142">
        <f t="shared" si="12"/>
        <v>10870211.080000002</v>
      </c>
      <c r="J53" s="142">
        <f t="shared" si="12"/>
        <v>11592284.109999999</v>
      </c>
      <c r="K53" s="142">
        <f t="shared" si="12"/>
        <v>11671108.959999997</v>
      </c>
      <c r="L53" s="142">
        <f t="shared" si="12"/>
        <v>11210674.52</v>
      </c>
      <c r="M53" s="142">
        <f t="shared" si="12"/>
        <v>10754290.550000001</v>
      </c>
      <c r="N53" s="142">
        <f t="shared" si="12"/>
        <v>13154599.48</v>
      </c>
      <c r="O53" s="142">
        <f t="shared" si="12"/>
        <v>14812638.35</v>
      </c>
      <c r="P53" s="142">
        <f t="shared" si="12"/>
        <v>137133462.15000001</v>
      </c>
      <c r="Q53" s="142">
        <f t="shared" si="12"/>
        <v>0</v>
      </c>
      <c r="R53" s="142">
        <f t="shared" si="12"/>
        <v>0</v>
      </c>
      <c r="S53" s="142">
        <f t="shared" si="12"/>
        <v>137133462.15000001</v>
      </c>
      <c r="T53" s="142">
        <f>SUM(T42:T51)</f>
        <v>43813263.490000002</v>
      </c>
      <c r="U53" s="142">
        <f>SUM(U42:U51)</f>
        <v>180946725.64000002</v>
      </c>
      <c r="V53" t="b">
        <f>ROUND(+U53,2)=ROUND('II-D-1'!L54,2)</f>
        <v>1</v>
      </c>
    </row>
    <row r="54" spans="1:21" ht="15" customHeight="1">
      <c r="A54" s="16">
        <v>41</v>
      </c>
      <c r="B54" s="15"/>
      <c r="C54" s="8"/>
      <c r="D54" s="115"/>
      <c r="E54" s="115"/>
      <c r="F54" s="115"/>
      <c r="G54" s="115"/>
      <c r="H54" s="115"/>
      <c r="I54" s="115"/>
      <c r="J54" s="115"/>
      <c r="K54" s="115"/>
      <c r="L54" s="115"/>
      <c r="M54" s="115"/>
      <c r="N54" s="115"/>
      <c r="O54" s="115"/>
      <c r="P54" s="115"/>
      <c r="Q54" s="115"/>
      <c r="R54" s="115"/>
      <c r="S54" s="115"/>
      <c r="T54" s="115"/>
      <c r="U54" s="115"/>
    </row>
    <row r="55" spans="1:21" ht="15" customHeight="1">
      <c r="A55" s="16">
        <v>42</v>
      </c>
      <c r="B55" s="8"/>
      <c r="C55" s="15" t="s">
        <v>229</v>
      </c>
      <c r="D55" s="2"/>
      <c r="E55" s="2"/>
      <c r="F55" s="2"/>
      <c r="G55" s="2"/>
      <c r="H55" s="2"/>
      <c r="I55" s="2"/>
      <c r="J55" s="2"/>
      <c r="K55" s="2"/>
      <c r="L55" s="2"/>
      <c r="M55" s="2"/>
      <c r="N55" s="2"/>
      <c r="O55" s="2"/>
      <c r="P55" s="2"/>
      <c r="Q55" s="2"/>
      <c r="R55" s="2"/>
      <c r="S55" s="2"/>
      <c r="T55" s="2"/>
      <c r="U55" s="2"/>
    </row>
    <row r="56" spans="1:22" ht="15" customHeight="1">
      <c r="A56" s="16">
        <v>43</v>
      </c>
      <c r="B56" s="4" t="s">
        <v>257</v>
      </c>
      <c r="C56" s="4" t="s">
        <v>139</v>
      </c>
      <c r="D56" s="156">
        <v>1173369.5499999998</v>
      </c>
      <c r="E56" s="156">
        <v>2244726.6600000001</v>
      </c>
      <c r="F56" s="156">
        <v>-1765124.9099999999</v>
      </c>
      <c r="G56" s="156">
        <v>151274.34999999998</v>
      </c>
      <c r="H56" s="156">
        <v>1506184.79</v>
      </c>
      <c r="I56" s="156">
        <v>441178.45999999996</v>
      </c>
      <c r="J56" s="156">
        <v>-1603567.1099999999</v>
      </c>
      <c r="K56" s="156">
        <v>695783.06999999995</v>
      </c>
      <c r="L56" s="156">
        <v>-143660.23999999999</v>
      </c>
      <c r="M56" s="156">
        <v>1124345.6899999999</v>
      </c>
      <c r="N56" s="156">
        <v>-291000.71999999997</v>
      </c>
      <c r="O56" s="156">
        <v>-744108.43000000005</v>
      </c>
      <c r="P56" s="156">
        <f>SUM(D56:O56)</f>
        <v>2789401.1599999997</v>
      </c>
      <c r="Q56" s="156">
        <v>0</v>
      </c>
      <c r="R56" s="156">
        <v>0</v>
      </c>
      <c r="S56" s="156">
        <f t="shared" si="13" ref="S56:S64">+P56-Q56-R56</f>
        <v>2789401.1599999997</v>
      </c>
      <c r="T56" s="156">
        <f>+'[2]Total Summary'!N33</f>
        <v>63111.989999999998</v>
      </c>
      <c r="U56" s="156">
        <f>+S56+T56</f>
        <v>2852513.1499999999</v>
      </c>
      <c r="V56" t="b">
        <f>ROUND(+U56,2)=ROUND('II-D-1'!L57,2)</f>
        <v>1</v>
      </c>
    </row>
    <row r="57" spans="1:22" ht="15" customHeight="1">
      <c r="A57" s="16">
        <v>44</v>
      </c>
      <c r="B57" s="4" t="s">
        <v>252</v>
      </c>
      <c r="C57" s="4" t="s">
        <v>140</v>
      </c>
      <c r="D57" s="73">
        <v>410.38999999999999</v>
      </c>
      <c r="E57" s="73">
        <v>310.75</v>
      </c>
      <c r="F57" s="73">
        <v>453.94</v>
      </c>
      <c r="G57" s="73">
        <v>416.38999999999999</v>
      </c>
      <c r="H57" s="73">
        <v>400.27000000000004</v>
      </c>
      <c r="I57" s="73">
        <v>591.29999999999995</v>
      </c>
      <c r="J57" s="73">
        <v>771.74000000000001</v>
      </c>
      <c r="K57" s="73">
        <v>811.02999999999997</v>
      </c>
      <c r="L57" s="73">
        <v>391.54000000000002</v>
      </c>
      <c r="M57" s="73">
        <v>395.23999999999995</v>
      </c>
      <c r="N57" s="73">
        <v>405.30999999999995</v>
      </c>
      <c r="O57" s="73">
        <v>728.5200000000001</v>
      </c>
      <c r="P57" s="73">
        <f t="shared" si="14" ref="P57:P64">SUM(D57:O57)</f>
        <v>6086.4200000000001</v>
      </c>
      <c r="Q57" s="73">
        <v>0</v>
      </c>
      <c r="R57" s="73">
        <v>0</v>
      </c>
      <c r="S57" s="73">
        <f t="shared" si="13"/>
        <v>6086.4200000000001</v>
      </c>
      <c r="T57" s="73">
        <f>+'[2]Total Summary'!N34</f>
        <v>0</v>
      </c>
      <c r="U57" s="73">
        <f t="shared" si="15" ref="U57:U64">+S57+T57</f>
        <v>6086.4200000000001</v>
      </c>
      <c r="V57" t="b">
        <f>ROUND(+U57,2)=ROUND('II-D-1'!L58,2)</f>
        <v>1</v>
      </c>
    </row>
    <row r="58" spans="1:22" ht="15" customHeight="1">
      <c r="A58" s="16">
        <v>45</v>
      </c>
      <c r="B58" s="4" t="s">
        <v>253</v>
      </c>
      <c r="C58" s="4" t="s">
        <v>381</v>
      </c>
      <c r="D58" s="73">
        <v>565264.21000000008</v>
      </c>
      <c r="E58" s="73">
        <v>644306.41000000003</v>
      </c>
      <c r="F58" s="73">
        <v>745734.92000000004</v>
      </c>
      <c r="G58" s="73">
        <v>830547.84999999998</v>
      </c>
      <c r="H58" s="73">
        <v>744223.85999999999</v>
      </c>
      <c r="I58" s="73">
        <v>1109576.1099999999</v>
      </c>
      <c r="J58" s="73">
        <v>1014831.24</v>
      </c>
      <c r="K58" s="73">
        <v>954672.5</v>
      </c>
      <c r="L58" s="73">
        <v>816870.45000000007</v>
      </c>
      <c r="M58" s="73">
        <v>900999.52000000002</v>
      </c>
      <c r="N58" s="73">
        <v>782778.22999999998</v>
      </c>
      <c r="O58" s="73">
        <v>835519.62</v>
      </c>
      <c r="P58" s="73">
        <f t="shared" si="14"/>
        <v>9945324.9199999999</v>
      </c>
      <c r="Q58" s="73">
        <v>0</v>
      </c>
      <c r="R58" s="73">
        <v>0</v>
      </c>
      <c r="S58" s="73">
        <f t="shared" si="13"/>
        <v>9945324.9199999999</v>
      </c>
      <c r="T58" s="73">
        <f>+'[2]Total Summary'!N35</f>
        <v>43730.580000000002</v>
      </c>
      <c r="U58" s="73">
        <f t="shared" si="15"/>
        <v>9989055.5</v>
      </c>
      <c r="V58" t="b">
        <f>ROUND(+U58,2)=ROUND('II-D-1'!L59,2)</f>
        <v>1</v>
      </c>
    </row>
    <row r="59" spans="1:22" ht="15" customHeight="1">
      <c r="A59" s="16">
        <v>46</v>
      </c>
      <c r="B59" s="4" t="s">
        <v>147</v>
      </c>
      <c r="C59" s="4" t="s">
        <v>382</v>
      </c>
      <c r="D59" s="73">
        <v>6573395.0800000001</v>
      </c>
      <c r="E59" s="73">
        <v>6349781.3200000003</v>
      </c>
      <c r="F59" s="73">
        <v>10973053.170000002</v>
      </c>
      <c r="G59" s="73">
        <v>7784267.8300000001</v>
      </c>
      <c r="H59" s="73">
        <v>6543962.4500000002</v>
      </c>
      <c r="I59" s="73">
        <v>7499878.2599999998</v>
      </c>
      <c r="J59" s="73">
        <v>8811316.620000001</v>
      </c>
      <c r="K59" s="73">
        <v>8442816.0499999989</v>
      </c>
      <c r="L59" s="73">
        <v>9542459.4800000004</v>
      </c>
      <c r="M59" s="73">
        <v>9214736.3800000008</v>
      </c>
      <c r="N59" s="73">
        <v>13794033.060000001</v>
      </c>
      <c r="O59" s="73">
        <v>12511751.199999999</v>
      </c>
      <c r="P59" s="73">
        <f t="shared" si="14"/>
        <v>108041450.90000001</v>
      </c>
      <c r="Q59" s="73">
        <v>0</v>
      </c>
      <c r="R59" s="73">
        <v>0</v>
      </c>
      <c r="S59" s="73">
        <f t="shared" si="13"/>
        <v>108041450.90000001</v>
      </c>
      <c r="T59" s="73">
        <f>+'[2]Total Summary'!N36</f>
        <v>3902299.2600000002</v>
      </c>
      <c r="U59" s="73">
        <f t="shared" si="15"/>
        <v>111943750.16000001</v>
      </c>
      <c r="V59" t="b">
        <f>ROUND(+U59,2)=ROUND('II-D-1'!L60,2)</f>
        <v>1</v>
      </c>
    </row>
    <row r="60" spans="1:22" ht="15" customHeight="1">
      <c r="A60" s="16">
        <v>47</v>
      </c>
      <c r="B60" s="4" t="s">
        <v>148</v>
      </c>
      <c r="C60" s="4" t="s">
        <v>383</v>
      </c>
      <c r="D60" s="73">
        <v>1473875.9299999999</v>
      </c>
      <c r="E60" s="73">
        <v>1400474.01</v>
      </c>
      <c r="F60" s="73">
        <v>1903425.3200000001</v>
      </c>
      <c r="G60" s="73">
        <v>2700071.5</v>
      </c>
      <c r="H60" s="73">
        <v>1697031.8899999999</v>
      </c>
      <c r="I60" s="73">
        <v>3057751.54</v>
      </c>
      <c r="J60" s="73">
        <v>2061920.9299999999</v>
      </c>
      <c r="K60" s="73">
        <v>2519977.4500000002</v>
      </c>
      <c r="L60" s="73">
        <v>2333427.5899999999</v>
      </c>
      <c r="M60" s="73">
        <v>2729356.25</v>
      </c>
      <c r="N60" s="73">
        <v>1883591.8200000001</v>
      </c>
      <c r="O60" s="73">
        <v>2790128.2999999998</v>
      </c>
      <c r="P60" s="73">
        <f t="shared" si="14"/>
        <v>26551032.530000001</v>
      </c>
      <c r="Q60" s="73">
        <v>0</v>
      </c>
      <c r="R60" s="73">
        <v>0</v>
      </c>
      <c r="S60" s="73">
        <f t="shared" si="13"/>
        <v>26551032.530000001</v>
      </c>
      <c r="T60" s="73">
        <f>+'[2]Total Summary'!N37</f>
        <v>3305.0300000000002</v>
      </c>
      <c r="U60" s="73">
        <f t="shared" si="15"/>
        <v>26554337.560000002</v>
      </c>
      <c r="V60" t="b">
        <f>ROUND(+U60,2)=ROUND('II-D-1'!L61,2)</f>
        <v>1</v>
      </c>
    </row>
    <row r="61" spans="1:22" ht="15" customHeight="1">
      <c r="A61" s="16">
        <v>48</v>
      </c>
      <c r="B61" s="4" t="s">
        <v>254</v>
      </c>
      <c r="C61" s="4" t="s">
        <v>149</v>
      </c>
      <c r="D61" s="73">
        <v>347339.60999999999</v>
      </c>
      <c r="E61" s="73">
        <v>328806.44</v>
      </c>
      <c r="F61" s="73">
        <v>446624.53000000003</v>
      </c>
      <c r="G61" s="73">
        <v>446139.44</v>
      </c>
      <c r="H61" s="73">
        <v>380743.34000000003</v>
      </c>
      <c r="I61" s="73">
        <v>486130.91999999998</v>
      </c>
      <c r="J61" s="73">
        <v>478056.15000000002</v>
      </c>
      <c r="K61" s="73">
        <v>510993.65000000002</v>
      </c>
      <c r="L61" s="73">
        <v>459983.88</v>
      </c>
      <c r="M61" s="73">
        <v>353375.56</v>
      </c>
      <c r="N61" s="73">
        <v>386968.82000000001</v>
      </c>
      <c r="O61" s="73">
        <v>372590.31</v>
      </c>
      <c r="P61" s="73">
        <f t="shared" si="14"/>
        <v>4997752.6499999994</v>
      </c>
      <c r="Q61" s="73">
        <v>0</v>
      </c>
      <c r="R61" s="73">
        <v>0</v>
      </c>
      <c r="S61" s="73">
        <f t="shared" si="13"/>
        <v>4997752.6499999994</v>
      </c>
      <c r="T61" s="73">
        <f>+'[2]Total Summary'!N38</f>
        <v>12842.73</v>
      </c>
      <c r="U61" s="73">
        <f t="shared" si="15"/>
        <v>5010595.3799999999</v>
      </c>
      <c r="V61" t="b">
        <f>ROUND(+U61,2)=ROUND('II-D-1'!L62,2)</f>
        <v>1</v>
      </c>
    </row>
    <row r="62" spans="1:22" ht="15" customHeight="1">
      <c r="A62" s="16">
        <v>49</v>
      </c>
      <c r="B62" s="4" t="s">
        <v>282</v>
      </c>
      <c r="C62" s="4" t="s">
        <v>150</v>
      </c>
      <c r="D62" s="73">
        <v>591650.06999999995</v>
      </c>
      <c r="E62" s="73">
        <v>523735.46999999997</v>
      </c>
      <c r="F62" s="73">
        <v>1768743.4299999999</v>
      </c>
      <c r="G62" s="73">
        <v>957469.38</v>
      </c>
      <c r="H62" s="73">
        <v>553068.30000000005</v>
      </c>
      <c r="I62" s="73">
        <v>581507.64000000001</v>
      </c>
      <c r="J62" s="73">
        <v>541489.63</v>
      </c>
      <c r="K62" s="73">
        <v>733913.54000000004</v>
      </c>
      <c r="L62" s="73">
        <v>720241.62</v>
      </c>
      <c r="M62" s="73">
        <v>914225.59999999998</v>
      </c>
      <c r="N62" s="73">
        <v>709762.30000000005</v>
      </c>
      <c r="O62" s="73">
        <v>1046312.4</v>
      </c>
      <c r="P62" s="73">
        <f t="shared" si="14"/>
        <v>9642119.379999999</v>
      </c>
      <c r="Q62" s="73">
        <v>0</v>
      </c>
      <c r="R62" s="73">
        <v>0</v>
      </c>
      <c r="S62" s="73">
        <f t="shared" si="13"/>
        <v>9642119.379999999</v>
      </c>
      <c r="T62" s="73">
        <f>+'[2]Total Summary'!N39</f>
        <v>5984.96</v>
      </c>
      <c r="U62" s="73">
        <f t="shared" si="15"/>
        <v>9648104.3399999999</v>
      </c>
      <c r="V62" t="b">
        <f>ROUND(+U62,2)=ROUND('II-D-1'!L63,2)</f>
        <v>1</v>
      </c>
    </row>
    <row r="63" spans="1:22" ht="15" customHeight="1">
      <c r="A63" s="16">
        <v>50</v>
      </c>
      <c r="B63" s="4" t="s">
        <v>256</v>
      </c>
      <c r="C63" s="4" t="s">
        <v>151</v>
      </c>
      <c r="D63" s="73">
        <v>1236275.29</v>
      </c>
      <c r="E63" s="73">
        <v>1273938.03</v>
      </c>
      <c r="F63" s="73">
        <v>1360511.1299999999</v>
      </c>
      <c r="G63" s="73">
        <v>1410215.4299999999</v>
      </c>
      <c r="H63" s="73">
        <v>1321540.6499999999</v>
      </c>
      <c r="I63" s="73">
        <v>1381540.46</v>
      </c>
      <c r="J63" s="73">
        <v>1353942.99</v>
      </c>
      <c r="K63" s="73">
        <v>1420858.8500000001</v>
      </c>
      <c r="L63" s="73">
        <v>1376194.21</v>
      </c>
      <c r="M63" s="73">
        <v>1427589.6299999999</v>
      </c>
      <c r="N63" s="73">
        <v>1452594.73</v>
      </c>
      <c r="O63" s="73">
        <v>1420297.1499999999</v>
      </c>
      <c r="P63" s="73">
        <f t="shared" si="14"/>
        <v>16435498.549999999</v>
      </c>
      <c r="Q63" s="73">
        <v>0</v>
      </c>
      <c r="R63" s="73">
        <v>0</v>
      </c>
      <c r="S63" s="73">
        <f t="shared" si="13"/>
        <v>16435498.549999999</v>
      </c>
      <c r="T63" s="73">
        <f>+'[2]Total Summary'!N40</f>
        <v>191479.30000000002</v>
      </c>
      <c r="U63" s="73">
        <f t="shared" si="15"/>
        <v>16626977.85</v>
      </c>
      <c r="V63" t="b">
        <f>ROUND(+U63,2)=ROUND('II-D-1'!L64,2)</f>
        <v>1</v>
      </c>
    </row>
    <row r="64" spans="1:22" ht="15" customHeight="1">
      <c r="A64" s="16">
        <v>51</v>
      </c>
      <c r="B64" s="4" t="s">
        <v>285</v>
      </c>
      <c r="C64" s="4" t="s">
        <v>152</v>
      </c>
      <c r="D64" s="73">
        <v>189358.60000000001</v>
      </c>
      <c r="E64" s="73">
        <v>157721.01999999999</v>
      </c>
      <c r="F64" s="73">
        <v>224649.53</v>
      </c>
      <c r="G64" s="73">
        <v>155713.34999999998</v>
      </c>
      <c r="H64" s="73">
        <v>257269.87</v>
      </c>
      <c r="I64" s="73">
        <v>150257.30000000002</v>
      </c>
      <c r="J64" s="73">
        <v>146325.22</v>
      </c>
      <c r="K64" s="73">
        <v>219465.95000000001</v>
      </c>
      <c r="L64" s="73">
        <v>175324.50000000003</v>
      </c>
      <c r="M64" s="73">
        <v>150595.16999999998</v>
      </c>
      <c r="N64" s="73">
        <v>197254.51000000001</v>
      </c>
      <c r="O64" s="73">
        <v>197909.92999999999</v>
      </c>
      <c r="P64" s="73">
        <f t="shared" si="14"/>
        <v>2221844.9499999997</v>
      </c>
      <c r="Q64" s="73">
        <v>0</v>
      </c>
      <c r="R64" s="73">
        <v>0</v>
      </c>
      <c r="S64" s="73">
        <f t="shared" si="13"/>
        <v>2221844.9499999997</v>
      </c>
      <c r="T64" s="73">
        <f>+'[2]Total Summary'!N41</f>
        <v>-18609.950000000001</v>
      </c>
      <c r="U64" s="73">
        <f t="shared" si="15"/>
        <v>2203234.9999999995</v>
      </c>
      <c r="V64" t="b">
        <f>ROUND(+U64,2)=ROUND('II-D-1'!L65,2)</f>
        <v>1</v>
      </c>
    </row>
    <row r="65" spans="1:21" ht="15" customHeight="1">
      <c r="A65" s="16">
        <v>52</v>
      </c>
      <c r="B65" s="4"/>
      <c r="C65" s="4"/>
      <c r="D65" s="115"/>
      <c r="E65" s="115"/>
      <c r="F65" s="115"/>
      <c r="G65" s="115"/>
      <c r="H65" s="115"/>
      <c r="I65" s="115"/>
      <c r="J65" s="115"/>
      <c r="K65" s="115"/>
      <c r="L65" s="115"/>
      <c r="M65" s="115"/>
      <c r="N65" s="115"/>
      <c r="O65" s="115"/>
      <c r="P65" s="115"/>
      <c r="Q65" s="115"/>
      <c r="R65" s="115"/>
      <c r="S65" s="115"/>
      <c r="T65" s="115"/>
      <c r="U65" s="115"/>
    </row>
    <row r="66" spans="1:22" ht="15" customHeight="1">
      <c r="A66" s="16">
        <v>53</v>
      </c>
      <c r="B66" s="4"/>
      <c r="C66" s="22" t="s">
        <v>57</v>
      </c>
      <c r="D66" s="142">
        <f>SUM(D56:D64)</f>
        <v>12150938.729999999</v>
      </c>
      <c r="E66" s="142">
        <f t="shared" si="16" ref="E66:S66">SUM(E56:E64)</f>
        <v>12923800.109999999</v>
      </c>
      <c r="F66" s="142">
        <f t="shared" si="16"/>
        <v>15658071.060000001</v>
      </c>
      <c r="G66" s="142">
        <f t="shared" si="16"/>
        <v>14436115.52</v>
      </c>
      <c r="H66" s="142">
        <f t="shared" si="16"/>
        <v>13004425.420000002</v>
      </c>
      <c r="I66" s="142">
        <f t="shared" si="16"/>
        <v>14708411.989999998</v>
      </c>
      <c r="J66" s="142">
        <f t="shared" si="16"/>
        <v>12805087.410000004</v>
      </c>
      <c r="K66" s="142">
        <f t="shared" si="16"/>
        <v>15499292.089999998</v>
      </c>
      <c r="L66" s="142">
        <f t="shared" si="16"/>
        <v>15281233.030000001</v>
      </c>
      <c r="M66" s="142">
        <f t="shared" si="16"/>
        <v>16815619.040000003</v>
      </c>
      <c r="N66" s="142">
        <f t="shared" si="16"/>
        <v>18916388.060000002</v>
      </c>
      <c r="O66" s="142">
        <f t="shared" si="16"/>
        <v>18431129</v>
      </c>
      <c r="P66" s="142">
        <f t="shared" si="16"/>
        <v>180630511.46000001</v>
      </c>
      <c r="Q66" s="142">
        <f t="shared" si="16"/>
        <v>0</v>
      </c>
      <c r="R66" s="142">
        <f t="shared" si="16"/>
        <v>0</v>
      </c>
      <c r="S66" s="142">
        <f t="shared" si="16"/>
        <v>180630511.46000001</v>
      </c>
      <c r="T66" s="142">
        <f>SUM(T56:T64)</f>
        <v>4204143.8999999994</v>
      </c>
      <c r="U66" s="142">
        <f>SUM(U56:U64)</f>
        <v>184834655.36000001</v>
      </c>
      <c r="V66" t="b">
        <f>ROUND(+U66,2)=ROUND('II-D-1'!L67,2)</f>
        <v>1</v>
      </c>
    </row>
    <row r="67" spans="1:21" ht="15" customHeight="1">
      <c r="A67" s="16">
        <v>54</v>
      </c>
      <c r="B67" s="4"/>
      <c r="C67" s="4"/>
      <c r="D67" s="115"/>
      <c r="E67" s="115"/>
      <c r="F67" s="115"/>
      <c r="G67" s="115"/>
      <c r="H67" s="115"/>
      <c r="I67" s="115"/>
      <c r="J67" s="115"/>
      <c r="K67" s="115"/>
      <c r="L67" s="115"/>
      <c r="M67" s="115"/>
      <c r="N67" s="115"/>
      <c r="O67" s="115"/>
      <c r="P67" s="115"/>
      <c r="Q67" s="115"/>
      <c r="R67" s="115"/>
      <c r="S67" s="115"/>
      <c r="T67" s="115"/>
      <c r="U67" s="115"/>
    </row>
    <row r="68" spans="1:22" ht="15" customHeight="1">
      <c r="A68" s="16">
        <v>55</v>
      </c>
      <c r="B68" s="8" t="s">
        <v>124</v>
      </c>
      <c r="C68" s="8"/>
      <c r="D68" s="190">
        <f>+D66+D53</f>
        <v>22395808.539999999</v>
      </c>
      <c r="E68" s="190">
        <f t="shared" si="17" ref="E68:S68">+E66+E53</f>
        <v>22136152.709999997</v>
      </c>
      <c r="F68" s="190">
        <f t="shared" si="17"/>
        <v>28185054.170000002</v>
      </c>
      <c r="G68" s="190">
        <f t="shared" si="17"/>
        <v>25403578.699999999</v>
      </c>
      <c r="H68" s="190">
        <f t="shared" si="17"/>
        <v>23120411.820000004</v>
      </c>
      <c r="I68" s="190">
        <f t="shared" si="17"/>
        <v>25578623.07</v>
      </c>
      <c r="J68" s="190">
        <f t="shared" si="17"/>
        <v>24397371.520000003</v>
      </c>
      <c r="K68" s="190">
        <f t="shared" si="17"/>
        <v>27170401.049999997</v>
      </c>
      <c r="L68" s="190">
        <f t="shared" si="17"/>
        <v>26491907.550000001</v>
      </c>
      <c r="M68" s="190">
        <f t="shared" si="17"/>
        <v>27569909.590000004</v>
      </c>
      <c r="N68" s="190">
        <f t="shared" si="17"/>
        <v>32070987.540000003</v>
      </c>
      <c r="O68" s="190">
        <f t="shared" si="17"/>
        <v>33243767.350000001</v>
      </c>
      <c r="P68" s="190">
        <f t="shared" si="17"/>
        <v>317763973.61000001</v>
      </c>
      <c r="Q68" s="190">
        <f t="shared" si="17"/>
        <v>0</v>
      </c>
      <c r="R68" s="190">
        <f t="shared" si="17"/>
        <v>0</v>
      </c>
      <c r="S68" s="190">
        <f t="shared" si="17"/>
        <v>317763973.61000001</v>
      </c>
      <c r="T68" s="190">
        <f>+T66+T53</f>
        <v>48017407.390000001</v>
      </c>
      <c r="U68" s="190">
        <f>+U66+U53</f>
        <v>365781381</v>
      </c>
      <c r="V68" t="b">
        <f>ROUND(+U68,2)=ROUND('II-D-1'!L69,2)</f>
        <v>1</v>
      </c>
    </row>
    <row r="69" spans="1:21" ht="15" customHeight="1">
      <c r="A69" s="16">
        <v>56</v>
      </c>
      <c r="B69" s="8"/>
      <c r="C69" s="8"/>
      <c r="D69" s="2"/>
      <c r="E69" s="2"/>
      <c r="F69" s="2"/>
      <c r="G69" s="2"/>
      <c r="H69" s="2"/>
      <c r="I69" s="2"/>
      <c r="J69" s="2"/>
      <c r="K69" s="2"/>
      <c r="L69" s="2"/>
      <c r="M69" s="2"/>
      <c r="N69" s="2"/>
      <c r="O69" s="2"/>
      <c r="P69" s="2"/>
      <c r="Q69" s="2"/>
      <c r="R69" s="2"/>
      <c r="S69" s="2"/>
      <c r="T69" s="2"/>
      <c r="U69" s="2"/>
    </row>
    <row r="70" spans="1:21" ht="15" customHeight="1">
      <c r="A70" s="16">
        <v>57</v>
      </c>
      <c r="B70" s="4"/>
      <c r="C70" s="8"/>
      <c r="D70" s="2"/>
      <c r="E70" s="2"/>
      <c r="F70" s="2"/>
      <c r="G70" s="2"/>
      <c r="H70" s="2"/>
      <c r="I70" s="2"/>
      <c r="J70" s="2"/>
      <c r="K70" s="2"/>
      <c r="L70" s="2"/>
      <c r="M70" s="2"/>
      <c r="N70" s="2"/>
      <c r="O70" s="2"/>
      <c r="P70" s="2"/>
      <c r="Q70" s="2"/>
      <c r="R70" s="2"/>
      <c r="S70" s="2"/>
      <c r="T70" s="2"/>
      <c r="U70" s="2"/>
    </row>
    <row r="71" spans="1:21" ht="15" customHeight="1">
      <c r="A71" s="16">
        <v>58</v>
      </c>
      <c r="B71" s="8"/>
      <c r="C71" s="15" t="s">
        <v>363</v>
      </c>
      <c r="D71" s="2"/>
      <c r="E71" s="2"/>
      <c r="F71" s="2"/>
      <c r="G71" s="2"/>
      <c r="H71" s="2"/>
      <c r="I71" s="2"/>
      <c r="J71" s="2"/>
      <c r="K71" s="2"/>
      <c r="L71" s="2"/>
      <c r="M71" s="2"/>
      <c r="N71" s="2"/>
      <c r="O71" s="2"/>
      <c r="P71" s="2"/>
      <c r="Q71" s="2"/>
      <c r="R71" s="2"/>
      <c r="S71" s="2"/>
      <c r="T71" s="2"/>
      <c r="U71" s="2"/>
    </row>
    <row r="72" spans="1:22" ht="15" customHeight="1">
      <c r="A72" s="16">
        <v>59</v>
      </c>
      <c r="B72" s="4" t="s">
        <v>260</v>
      </c>
      <c r="C72" s="4" t="s">
        <v>261</v>
      </c>
      <c r="D72" s="156">
        <v>6321.1300000000001</v>
      </c>
      <c r="E72" s="156">
        <v>-654</v>
      </c>
      <c r="F72" s="156">
        <v>12896.110000000001</v>
      </c>
      <c r="G72" s="156">
        <v>-9139.4899999999998</v>
      </c>
      <c r="H72" s="156">
        <v>-833</v>
      </c>
      <c r="I72" s="156">
        <v>1314</v>
      </c>
      <c r="J72" s="156">
        <v>3618.0799999999999</v>
      </c>
      <c r="K72" s="156">
        <v>2199.0999999999999</v>
      </c>
      <c r="L72" s="156">
        <v>-1655</v>
      </c>
      <c r="M72" s="156">
        <v>17486.689999999999</v>
      </c>
      <c r="N72" s="156">
        <v>-15018.56</v>
      </c>
      <c r="O72" s="156">
        <v>-563.96000000000004</v>
      </c>
      <c r="P72" s="156">
        <f>SUM(D72:O72)</f>
        <v>15971.100000000006</v>
      </c>
      <c r="Q72" s="156">
        <v>0</v>
      </c>
      <c r="R72" s="156">
        <v>0</v>
      </c>
      <c r="S72" s="156">
        <f t="shared" si="18" ref="S72:S76">+P72-Q72-R72</f>
        <v>15971.100000000006</v>
      </c>
      <c r="T72" s="156">
        <f>+'[2]Total Summary'!N44</f>
        <v>-192.33000000000001</v>
      </c>
      <c r="U72" s="156">
        <f>+S72+T72</f>
        <v>15778.770000000006</v>
      </c>
      <c r="V72" t="b">
        <f>ROUND(+U72,2)=ROUND('II-D-1'!L73,2)</f>
        <v>1</v>
      </c>
    </row>
    <row r="73" spans="1:22" ht="15" customHeight="1">
      <c r="A73" s="16">
        <v>60</v>
      </c>
      <c r="B73" s="4" t="s">
        <v>259</v>
      </c>
      <c r="C73" s="4" t="s">
        <v>166</v>
      </c>
      <c r="D73" s="73">
        <v>9224.9599999999991</v>
      </c>
      <c r="E73" s="73">
        <v>12338.860000000001</v>
      </c>
      <c r="F73" s="73">
        <v>9271.7399999999998</v>
      </c>
      <c r="G73" s="73">
        <v>9138.9099999999999</v>
      </c>
      <c r="H73" s="73">
        <v>10298.219999999999</v>
      </c>
      <c r="I73" s="73">
        <v>10610.23</v>
      </c>
      <c r="J73" s="73">
        <v>9114.7099999999991</v>
      </c>
      <c r="K73" s="73">
        <v>14990.91</v>
      </c>
      <c r="L73" s="73">
        <v>9490.3199999999997</v>
      </c>
      <c r="M73" s="73">
        <v>8939.1399999999994</v>
      </c>
      <c r="N73" s="73">
        <v>8917.2000000000007</v>
      </c>
      <c r="O73" s="73">
        <v>12475.709999999999</v>
      </c>
      <c r="P73" s="73">
        <f>SUM(D73:O73)</f>
        <v>124810.91</v>
      </c>
      <c r="Q73" s="73">
        <v>0</v>
      </c>
      <c r="R73" s="73">
        <v>0</v>
      </c>
      <c r="S73" s="73">
        <f t="shared" si="18"/>
        <v>124810.91</v>
      </c>
      <c r="T73" s="73">
        <f>+'[2]Total Summary'!N45</f>
        <v>-53535.25</v>
      </c>
      <c r="U73" s="73">
        <f>+S73+T73</f>
        <v>71275.660000000003</v>
      </c>
      <c r="V73" t="b">
        <f>ROUND(+U73,2)=ROUND('II-D-1'!L74,2)</f>
        <v>1</v>
      </c>
    </row>
    <row r="74" spans="1:24" ht="15" customHeight="1">
      <c r="A74" s="16">
        <v>61</v>
      </c>
      <c r="B74" s="4" t="s">
        <v>286</v>
      </c>
      <c r="C74" s="4" t="s">
        <v>396</v>
      </c>
      <c r="D74" s="73">
        <v>1795216.3100000001</v>
      </c>
      <c r="E74" s="73">
        <v>1454058.8999999999</v>
      </c>
      <c r="F74" s="73">
        <v>1705187.5800000001</v>
      </c>
      <c r="G74" s="73">
        <v>1526108.1799999999</v>
      </c>
      <c r="H74" s="73">
        <v>1515701.47</v>
      </c>
      <c r="I74" s="73">
        <v>1655462.96</v>
      </c>
      <c r="J74" s="73">
        <v>1649466.1000000001</v>
      </c>
      <c r="K74" s="73">
        <v>1685141.47</v>
      </c>
      <c r="L74" s="73">
        <v>1719023.6399999999</v>
      </c>
      <c r="M74" s="73">
        <v>1643757.48</v>
      </c>
      <c r="N74" s="73">
        <v>1592490.8700000001</v>
      </c>
      <c r="O74" s="73">
        <v>1578243.1699999999</v>
      </c>
      <c r="P74" s="73">
        <f>SUM(D74:O74)</f>
        <v>19519858.130000003</v>
      </c>
      <c r="Q74" s="73">
        <v>0</v>
      </c>
      <c r="R74" s="73">
        <v>0</v>
      </c>
      <c r="S74" s="73">
        <f t="shared" si="18"/>
        <v>19519858.130000003</v>
      </c>
      <c r="T74" s="73">
        <f>+'[2]Total Summary'!N46</f>
        <v>271072.41999999998</v>
      </c>
      <c r="U74" s="73">
        <f>+S74+T74</f>
        <v>19790930.550000004</v>
      </c>
      <c r="V74" t="b">
        <f>ROUND(+U74,2)=ROUND('II-D-1'!L75,2)</f>
        <v>1</v>
      </c>
      <c r="X74" s="108"/>
    </row>
    <row r="75" spans="1:22" ht="15" customHeight="1">
      <c r="A75" s="16">
        <v>62</v>
      </c>
      <c r="B75" s="4" t="s">
        <v>262</v>
      </c>
      <c r="C75" s="4" t="s">
        <v>263</v>
      </c>
      <c r="D75" s="73">
        <v>22333.739999999998</v>
      </c>
      <c r="E75" s="73">
        <v>22338.330000000002</v>
      </c>
      <c r="F75" s="73">
        <v>36381.43</v>
      </c>
      <c r="G75" s="73">
        <v>21910.68</v>
      </c>
      <c r="H75" s="73">
        <v>22328.959999999999</v>
      </c>
      <c r="I75" s="73">
        <v>487360.76999999996</v>
      </c>
      <c r="J75" s="73">
        <v>22321.579999999998</v>
      </c>
      <c r="K75" s="73">
        <v>22332.43</v>
      </c>
      <c r="L75" s="73">
        <v>27670.77</v>
      </c>
      <c r="M75" s="73">
        <v>22317.689999999999</v>
      </c>
      <c r="N75" s="73">
        <v>22330.439999999999</v>
      </c>
      <c r="O75" s="73">
        <v>47684.860000000001</v>
      </c>
      <c r="P75" s="73">
        <f>SUM(D75:O75)</f>
        <v>777311.67999999982</v>
      </c>
      <c r="Q75" s="73">
        <v>0</v>
      </c>
      <c r="R75" s="73">
        <v>0</v>
      </c>
      <c r="S75" s="73">
        <f t="shared" si="18"/>
        <v>777311.67999999982</v>
      </c>
      <c r="T75" s="73">
        <f>+'[2]Total Summary'!N47</f>
        <v>993707.65000000002</v>
      </c>
      <c r="U75" s="73">
        <f>+S75+T75</f>
        <v>1771019.3299999998</v>
      </c>
      <c r="V75" t="b">
        <f>ROUND(+U75,2)=ROUND('II-D-1'!L76,2)</f>
        <v>1</v>
      </c>
    </row>
    <row r="76" spans="1:22" ht="15" customHeight="1">
      <c r="A76" s="16">
        <v>63</v>
      </c>
      <c r="B76" s="4" t="s">
        <v>264</v>
      </c>
      <c r="C76" s="4" t="s">
        <v>397</v>
      </c>
      <c r="D76" s="73">
        <v>0</v>
      </c>
      <c r="E76" s="73">
        <v>0</v>
      </c>
      <c r="F76" s="73">
        <v>0</v>
      </c>
      <c r="G76" s="73">
        <v>0</v>
      </c>
      <c r="H76" s="73">
        <v>0</v>
      </c>
      <c r="I76" s="73">
        <v>0</v>
      </c>
      <c r="J76" s="73">
        <v>0</v>
      </c>
      <c r="K76" s="73">
        <v>0</v>
      </c>
      <c r="L76" s="73">
        <v>0</v>
      </c>
      <c r="M76" s="73">
        <v>0</v>
      </c>
      <c r="N76" s="73">
        <v>0</v>
      </c>
      <c r="O76" s="73">
        <v>0</v>
      </c>
      <c r="P76" s="73">
        <f>SUM(D76:O76)</f>
        <v>0</v>
      </c>
      <c r="Q76" s="73">
        <v>0</v>
      </c>
      <c r="R76" s="73">
        <v>0</v>
      </c>
      <c r="S76" s="73">
        <f t="shared" si="18"/>
        <v>0</v>
      </c>
      <c r="T76" s="73">
        <f>+'[2]Total Summary'!N48</f>
        <v>0</v>
      </c>
      <c r="U76" s="73">
        <f>+S76+T76</f>
        <v>0</v>
      </c>
      <c r="V76" t="b">
        <f>ROUND(+U76,2)=ROUND('II-D-1'!L77,2)</f>
        <v>1</v>
      </c>
    </row>
    <row r="77" spans="1:21" ht="15" customHeight="1">
      <c r="A77" s="16">
        <v>64</v>
      </c>
      <c r="B77" s="4"/>
      <c r="C77" s="4"/>
      <c r="D77" s="115"/>
      <c r="E77" s="115"/>
      <c r="F77" s="115"/>
      <c r="G77" s="115"/>
      <c r="H77" s="115"/>
      <c r="I77" s="115"/>
      <c r="J77" s="115"/>
      <c r="K77" s="115"/>
      <c r="L77" s="115"/>
      <c r="M77" s="115"/>
      <c r="N77" s="115"/>
      <c r="O77" s="115"/>
      <c r="P77" s="115"/>
      <c r="Q77" s="115"/>
      <c r="R77" s="115"/>
      <c r="S77" s="115"/>
      <c r="T77" s="115"/>
      <c r="U77" s="115"/>
    </row>
    <row r="78" spans="1:22" ht="15" customHeight="1">
      <c r="A78" s="16">
        <v>65</v>
      </c>
      <c r="B78" s="8" t="s">
        <v>94</v>
      </c>
      <c r="C78" s="22"/>
      <c r="D78" s="190">
        <f>SUM(D72:D76)</f>
        <v>1833096.1400000001</v>
      </c>
      <c r="E78" s="190">
        <f t="shared" si="19" ref="E78:S78">SUM(E72:E76)</f>
        <v>1488082.0900000001</v>
      </c>
      <c r="F78" s="190">
        <f t="shared" si="19"/>
        <v>1763736.8600000001</v>
      </c>
      <c r="G78" s="190">
        <f t="shared" si="19"/>
        <v>1548018.2799999998</v>
      </c>
      <c r="H78" s="190">
        <f t="shared" si="19"/>
        <v>1547495.6499999999</v>
      </c>
      <c r="I78" s="190">
        <f t="shared" si="19"/>
        <v>2154747.96</v>
      </c>
      <c r="J78" s="190">
        <f t="shared" si="19"/>
        <v>1684520.4700000002</v>
      </c>
      <c r="K78" s="190">
        <f t="shared" si="19"/>
        <v>1724663.9099999999</v>
      </c>
      <c r="L78" s="190">
        <f t="shared" si="19"/>
        <v>1754529.73</v>
      </c>
      <c r="M78" s="190">
        <f t="shared" si="19"/>
        <v>1692501</v>
      </c>
      <c r="N78" s="190">
        <f t="shared" si="19"/>
        <v>1608719.95</v>
      </c>
      <c r="O78" s="190">
        <f t="shared" si="19"/>
        <v>1637839.78</v>
      </c>
      <c r="P78" s="190">
        <f t="shared" si="19"/>
        <v>20437951.820000004</v>
      </c>
      <c r="Q78" s="190">
        <f t="shared" si="19"/>
        <v>0</v>
      </c>
      <c r="R78" s="190">
        <f t="shared" si="19"/>
        <v>0</v>
      </c>
      <c r="S78" s="190">
        <f t="shared" si="19"/>
        <v>20437951.820000004</v>
      </c>
      <c r="T78" s="190">
        <f>SUM(T72:T76)</f>
        <v>1211052.49</v>
      </c>
      <c r="U78" s="190">
        <f>SUM(U72:U76)</f>
        <v>21649004.310000002</v>
      </c>
      <c r="V78" t="b">
        <f>ROUND(+U78,2)=ROUND('II-D-1'!L79,2)</f>
        <v>1</v>
      </c>
    </row>
    <row r="79" spans="1:21" ht="15" customHeight="1">
      <c r="A79" s="16">
        <v>66</v>
      </c>
      <c r="B79" s="8"/>
      <c r="C79" s="8"/>
      <c r="D79" s="2"/>
      <c r="E79" s="2"/>
      <c r="F79" s="2"/>
      <c r="G79" s="2"/>
      <c r="H79" s="2"/>
      <c r="I79" s="2"/>
      <c r="J79" s="2"/>
      <c r="K79" s="2"/>
      <c r="L79" s="2"/>
      <c r="M79" s="2"/>
      <c r="N79" s="2"/>
      <c r="O79" s="2"/>
      <c r="P79" s="2"/>
      <c r="Q79" s="2"/>
      <c r="R79" s="2"/>
      <c r="S79" s="2"/>
      <c r="T79" s="2"/>
      <c r="U79" s="2"/>
    </row>
    <row r="80" spans="1:21" ht="15" customHeight="1">
      <c r="A80" s="16">
        <v>67</v>
      </c>
      <c r="B80" s="4"/>
      <c r="C80" s="4"/>
      <c r="D80" s="2"/>
      <c r="E80" s="2"/>
      <c r="F80" s="2"/>
      <c r="G80" s="2"/>
      <c r="H80" s="2"/>
      <c r="I80" s="2"/>
      <c r="J80" s="2"/>
      <c r="K80" s="2"/>
      <c r="L80" s="2"/>
      <c r="M80" s="2"/>
      <c r="N80" s="2"/>
      <c r="O80" s="2"/>
      <c r="P80" s="2"/>
      <c r="Q80" s="2"/>
      <c r="R80" s="2"/>
      <c r="S80" s="2"/>
      <c r="T80" s="2"/>
      <c r="U80" s="2"/>
    </row>
    <row r="81" spans="1:21" ht="15" customHeight="1">
      <c r="A81" s="16">
        <v>68</v>
      </c>
      <c r="B81" s="8"/>
      <c r="C81" s="15" t="s">
        <v>60</v>
      </c>
      <c r="D81" s="2"/>
      <c r="E81" s="2"/>
      <c r="F81" s="2"/>
      <c r="G81" s="2"/>
      <c r="H81" s="2"/>
      <c r="I81" s="2"/>
      <c r="J81" s="2"/>
      <c r="K81" s="2"/>
      <c r="L81" s="2"/>
      <c r="M81" s="2"/>
      <c r="N81" s="2"/>
      <c r="O81" s="2"/>
      <c r="P81" s="2"/>
      <c r="Q81" s="2"/>
      <c r="R81" s="2"/>
      <c r="S81" s="2"/>
      <c r="T81" s="2"/>
      <c r="U81" s="2"/>
    </row>
    <row r="82" spans="1:22" ht="15" customHeight="1">
      <c r="A82" s="16">
        <v>69</v>
      </c>
      <c r="B82" s="4" t="s">
        <v>167</v>
      </c>
      <c r="C82" s="4" t="s">
        <v>329</v>
      </c>
      <c r="D82" s="156">
        <v>0</v>
      </c>
      <c r="E82" s="156">
        <v>0</v>
      </c>
      <c r="F82" s="156">
        <v>0</v>
      </c>
      <c r="G82" s="156">
        <v>0</v>
      </c>
      <c r="H82" s="156">
        <v>0</v>
      </c>
      <c r="I82" s="156">
        <v>0</v>
      </c>
      <c r="J82" s="156">
        <v>0</v>
      </c>
      <c r="K82" s="156">
        <v>0</v>
      </c>
      <c r="L82" s="156">
        <v>0</v>
      </c>
      <c r="M82" s="156">
        <v>0</v>
      </c>
      <c r="N82" s="156">
        <v>0</v>
      </c>
      <c r="O82" s="156">
        <v>0</v>
      </c>
      <c r="P82" s="156">
        <f>SUM(D82:O82)</f>
        <v>0</v>
      </c>
      <c r="Q82" s="156">
        <v>0</v>
      </c>
      <c r="R82" s="156">
        <v>0</v>
      </c>
      <c r="S82" s="156">
        <f t="shared" si="20" ref="S82:S86">+P82-Q82-R82</f>
        <v>0</v>
      </c>
      <c r="T82" s="156">
        <f>+'[2]Total Summary'!N51</f>
        <v>0</v>
      </c>
      <c r="U82" s="156">
        <f>+S82+T82</f>
        <v>0</v>
      </c>
      <c r="V82" t="b">
        <f>ROUND(+U82,2)=ROUND('II-D-1'!L83,2)</f>
        <v>1</v>
      </c>
    </row>
    <row r="83" spans="1:22" ht="15" customHeight="1">
      <c r="A83" s="16">
        <v>70</v>
      </c>
      <c r="B83" s="4" t="s">
        <v>265</v>
      </c>
      <c r="C83" s="4" t="s">
        <v>261</v>
      </c>
      <c r="D83" s="73">
        <v>0</v>
      </c>
      <c r="E83" s="73">
        <v>0</v>
      </c>
      <c r="F83" s="73">
        <v>0</v>
      </c>
      <c r="G83" s="73">
        <v>0</v>
      </c>
      <c r="H83" s="73">
        <v>0</v>
      </c>
      <c r="I83" s="73">
        <v>0</v>
      </c>
      <c r="J83" s="73">
        <v>0</v>
      </c>
      <c r="K83" s="73">
        <v>0</v>
      </c>
      <c r="L83" s="73">
        <v>0</v>
      </c>
      <c r="M83" s="73">
        <v>0</v>
      </c>
      <c r="N83" s="73">
        <v>0</v>
      </c>
      <c r="O83" s="73">
        <v>0</v>
      </c>
      <c r="P83" s="73">
        <f>SUM(D83:O83)</f>
        <v>0</v>
      </c>
      <c r="Q83" s="73">
        <v>0</v>
      </c>
      <c r="R83" s="73">
        <v>0</v>
      </c>
      <c r="S83" s="73">
        <f t="shared" si="20"/>
        <v>0</v>
      </c>
      <c r="T83" s="73">
        <f>+'[2]Total Summary'!N52</f>
        <v>0</v>
      </c>
      <c r="U83" s="73">
        <f>+S83+T83</f>
        <v>0</v>
      </c>
      <c r="V83" t="b">
        <f>ROUND(+U83,2)=ROUND('II-D-1'!L84,2)</f>
        <v>1</v>
      </c>
    </row>
    <row r="84" spans="1:22" ht="15" customHeight="1">
      <c r="A84" s="16">
        <v>71</v>
      </c>
      <c r="B84" s="4" t="s">
        <v>331</v>
      </c>
      <c r="C84" s="4" t="s">
        <v>330</v>
      </c>
      <c r="D84" s="73">
        <v>4537109.6200000001</v>
      </c>
      <c r="E84" s="73">
        <v>2095120.6399999999</v>
      </c>
      <c r="F84" s="73">
        <v>4269265.5300000003</v>
      </c>
      <c r="G84" s="73">
        <v>2663625.4500000002</v>
      </c>
      <c r="H84" s="73">
        <v>2943069.4700000002</v>
      </c>
      <c r="I84" s="73">
        <v>3690129.6600000001</v>
      </c>
      <c r="J84" s="73">
        <v>5380407.4800000004</v>
      </c>
      <c r="K84" s="73">
        <v>5553187.8899999997</v>
      </c>
      <c r="L84" s="73">
        <v>5590564.9100000001</v>
      </c>
      <c r="M84" s="73">
        <v>4330407.7400000002</v>
      </c>
      <c r="N84" s="73">
        <v>3156564.0299999998</v>
      </c>
      <c r="O84" s="73">
        <v>3045512.5099999998</v>
      </c>
      <c r="P84" s="73">
        <f>SUM(D84:O84)</f>
        <v>47254964.93</v>
      </c>
      <c r="Q84" s="73">
        <v>0</v>
      </c>
      <c r="R84" s="73">
        <v>0</v>
      </c>
      <c r="S84" s="73">
        <f t="shared" si="20"/>
        <v>47254964.93</v>
      </c>
      <c r="T84" s="73">
        <f>+'[2]Total Summary'!N53</f>
        <v>-46662191.839999996</v>
      </c>
      <c r="U84" s="73">
        <f>+S84+T84</f>
        <v>592773.09000000358</v>
      </c>
      <c r="V84" t="b">
        <f>ROUND(+U84,2)=ROUND('II-D-1'!L85,2)</f>
        <v>1</v>
      </c>
    </row>
    <row r="85" spans="1:22" ht="15" customHeight="1">
      <c r="A85" s="16">
        <v>72</v>
      </c>
      <c r="B85" s="4" t="s">
        <v>332</v>
      </c>
      <c r="C85" s="4" t="s">
        <v>333</v>
      </c>
      <c r="D85" s="73">
        <v>0</v>
      </c>
      <c r="E85" s="73">
        <v>0</v>
      </c>
      <c r="F85" s="73">
        <v>0</v>
      </c>
      <c r="G85" s="73">
        <v>0</v>
      </c>
      <c r="H85" s="73">
        <v>0</v>
      </c>
      <c r="I85" s="73">
        <v>0</v>
      </c>
      <c r="J85" s="73">
        <v>0</v>
      </c>
      <c r="K85" s="73">
        <v>0</v>
      </c>
      <c r="L85" s="73">
        <v>0</v>
      </c>
      <c r="M85" s="73">
        <v>0</v>
      </c>
      <c r="N85" s="73">
        <v>0</v>
      </c>
      <c r="O85" s="73">
        <v>0</v>
      </c>
      <c r="P85" s="73">
        <f>SUM(D85:O85)</f>
        <v>0</v>
      </c>
      <c r="Q85" s="73">
        <v>0</v>
      </c>
      <c r="R85" s="73">
        <v>0</v>
      </c>
      <c r="S85" s="73">
        <f t="shared" si="20"/>
        <v>0</v>
      </c>
      <c r="T85" s="73">
        <f>+'[2]Total Summary'!N54</f>
        <v>0</v>
      </c>
      <c r="U85" s="73">
        <f>+S85+T85</f>
        <v>0</v>
      </c>
      <c r="V85" t="b">
        <f>ROUND(+U85,2)=ROUND('II-D-1'!L86,2)</f>
        <v>1</v>
      </c>
    </row>
    <row r="86" spans="1:22" ht="15" customHeight="1">
      <c r="A86" s="16">
        <v>73</v>
      </c>
      <c r="B86" s="4" t="s">
        <v>266</v>
      </c>
      <c r="C86" s="4" t="s">
        <v>334</v>
      </c>
      <c r="D86" s="73">
        <v>0</v>
      </c>
      <c r="E86" s="73">
        <v>0</v>
      </c>
      <c r="F86" s="73">
        <v>0</v>
      </c>
      <c r="G86" s="73">
        <v>0</v>
      </c>
      <c r="H86" s="73">
        <v>0</v>
      </c>
      <c r="I86" s="73">
        <v>0</v>
      </c>
      <c r="J86" s="73">
        <v>0</v>
      </c>
      <c r="K86" s="73">
        <v>0</v>
      </c>
      <c r="L86" s="73">
        <v>0</v>
      </c>
      <c r="M86" s="73">
        <v>0</v>
      </c>
      <c r="N86" s="73">
        <v>0</v>
      </c>
      <c r="O86" s="73">
        <v>0</v>
      </c>
      <c r="P86" s="73">
        <f>SUM(D86:O86)</f>
        <v>0</v>
      </c>
      <c r="Q86" s="73">
        <v>0</v>
      </c>
      <c r="R86" s="73">
        <v>0</v>
      </c>
      <c r="S86" s="73">
        <f t="shared" si="20"/>
        <v>0</v>
      </c>
      <c r="T86" s="73">
        <f>+'[2]Total Summary'!N55</f>
        <v>0</v>
      </c>
      <c r="U86" s="73">
        <f>+S86+T86</f>
        <v>0</v>
      </c>
      <c r="V86" t="b">
        <f>ROUND(+U86,2)=ROUND('II-D-1'!L87,2)</f>
        <v>1</v>
      </c>
    </row>
    <row r="87" spans="1:21" ht="15" customHeight="1">
      <c r="A87" s="16">
        <v>74</v>
      </c>
      <c r="B87" s="4"/>
      <c r="C87" s="4"/>
      <c r="D87" s="115"/>
      <c r="E87" s="115"/>
      <c r="F87" s="115"/>
      <c r="G87" s="115"/>
      <c r="H87" s="115"/>
      <c r="I87" s="115"/>
      <c r="J87" s="115"/>
      <c r="K87" s="115"/>
      <c r="L87" s="115"/>
      <c r="M87" s="115"/>
      <c r="N87" s="115"/>
      <c r="O87" s="115"/>
      <c r="P87" s="115"/>
      <c r="Q87" s="115"/>
      <c r="R87" s="115"/>
      <c r="S87" s="115"/>
      <c r="T87" s="115"/>
      <c r="U87" s="115"/>
    </row>
    <row r="88" spans="1:22" ht="15" customHeight="1">
      <c r="A88" s="16">
        <v>75</v>
      </c>
      <c r="B88" s="8" t="s">
        <v>59</v>
      </c>
      <c r="C88" s="4"/>
      <c r="D88" s="190">
        <f>SUM(D82:D86)</f>
        <v>4537109.6200000001</v>
      </c>
      <c r="E88" s="190">
        <f t="shared" si="21" ref="E88:S88">SUM(E82:E86)</f>
        <v>2095120.6399999999</v>
      </c>
      <c r="F88" s="190">
        <f t="shared" si="21"/>
        <v>4269265.5300000003</v>
      </c>
      <c r="G88" s="190">
        <f t="shared" si="21"/>
        <v>2663625.4500000002</v>
      </c>
      <c r="H88" s="190">
        <f t="shared" si="21"/>
        <v>2943069.4700000002</v>
      </c>
      <c r="I88" s="190">
        <f t="shared" si="21"/>
        <v>3690129.6600000001</v>
      </c>
      <c r="J88" s="190">
        <f t="shared" si="21"/>
        <v>5380407.4800000004</v>
      </c>
      <c r="K88" s="190">
        <f t="shared" si="21"/>
        <v>5553187.8899999997</v>
      </c>
      <c r="L88" s="190">
        <f t="shared" si="21"/>
        <v>5590564.9100000001</v>
      </c>
      <c r="M88" s="190">
        <f t="shared" si="21"/>
        <v>4330407.7400000002</v>
      </c>
      <c r="N88" s="190">
        <f t="shared" si="21"/>
        <v>3156564.0299999998</v>
      </c>
      <c r="O88" s="190">
        <f t="shared" si="21"/>
        <v>3045512.5099999998</v>
      </c>
      <c r="P88" s="190">
        <f t="shared" si="21"/>
        <v>47254964.93</v>
      </c>
      <c r="Q88" s="190">
        <f t="shared" si="21"/>
        <v>0</v>
      </c>
      <c r="R88" s="190">
        <f t="shared" si="21"/>
        <v>0</v>
      </c>
      <c r="S88" s="190">
        <f t="shared" si="21"/>
        <v>47254964.93</v>
      </c>
      <c r="T88" s="190">
        <f>SUM(T82:T86)</f>
        <v>-46662191.839999996</v>
      </c>
      <c r="U88" s="190">
        <f>SUM(U82:U86)</f>
        <v>592773.09000000358</v>
      </c>
      <c r="V88" t="b">
        <f>ROUND(+U88,2)=ROUND('II-D-1'!L89,2)</f>
        <v>1</v>
      </c>
    </row>
    <row r="89" spans="1:21" ht="15" customHeight="1">
      <c r="A89" s="16">
        <v>76</v>
      </c>
      <c r="B89" s="8"/>
      <c r="C89" s="22"/>
      <c r="D89" s="2"/>
      <c r="E89" s="2"/>
      <c r="F89" s="2"/>
      <c r="G89" s="2"/>
      <c r="H89" s="2"/>
      <c r="I89" s="2"/>
      <c r="J89" s="2"/>
      <c r="K89" s="2"/>
      <c r="L89" s="2"/>
      <c r="M89" s="2"/>
      <c r="N89" s="2"/>
      <c r="O89" s="2"/>
      <c r="P89" s="2"/>
      <c r="Q89" s="2"/>
      <c r="R89" s="2"/>
      <c r="S89" s="2"/>
      <c r="T89" s="2"/>
      <c r="U89" s="2"/>
    </row>
    <row r="90" spans="1:21" ht="15" customHeight="1">
      <c r="A90" s="16">
        <v>77</v>
      </c>
      <c r="B90" s="4"/>
      <c r="C90" s="4"/>
      <c r="D90" s="2"/>
      <c r="E90" s="2"/>
      <c r="F90" s="2"/>
      <c r="G90" s="2"/>
      <c r="H90" s="2"/>
      <c r="I90" s="2"/>
      <c r="J90" s="2"/>
      <c r="K90" s="2"/>
      <c r="L90" s="2"/>
      <c r="M90" s="2"/>
      <c r="N90" s="2"/>
      <c r="O90" s="2"/>
      <c r="P90" s="2"/>
      <c r="Q90" s="2"/>
      <c r="R90" s="2"/>
      <c r="S90" s="2"/>
      <c r="T90" s="2"/>
      <c r="U90" s="2"/>
    </row>
    <row r="91" spans="1:21" ht="15" customHeight="1">
      <c r="A91" s="16">
        <v>78</v>
      </c>
      <c r="B91" s="8"/>
      <c r="C91" s="59" t="s">
        <v>267</v>
      </c>
      <c r="D91" s="2"/>
      <c r="E91" s="2"/>
      <c r="F91" s="2"/>
      <c r="G91" s="2"/>
      <c r="H91" s="2"/>
      <c r="I91" s="2"/>
      <c r="J91" s="2"/>
      <c r="K91" s="2"/>
      <c r="L91" s="2"/>
      <c r="M91" s="2"/>
      <c r="N91" s="2"/>
      <c r="O91" s="2"/>
      <c r="P91" s="2"/>
      <c r="Q91" s="2"/>
      <c r="R91" s="2"/>
      <c r="S91" s="2"/>
      <c r="T91" s="2"/>
      <c r="U91" s="2"/>
    </row>
    <row r="92" spans="1:22" ht="15" customHeight="1">
      <c r="A92" s="16">
        <v>79</v>
      </c>
      <c r="B92" s="4" t="s">
        <v>268</v>
      </c>
      <c r="C92" s="4" t="s">
        <v>261</v>
      </c>
      <c r="D92" s="156">
        <v>0</v>
      </c>
      <c r="E92" s="156">
        <v>0</v>
      </c>
      <c r="F92" s="156">
        <v>0</v>
      </c>
      <c r="G92" s="156">
        <v>0</v>
      </c>
      <c r="H92" s="156">
        <v>0</v>
      </c>
      <c r="I92" s="156">
        <v>0</v>
      </c>
      <c r="J92" s="156">
        <v>0</v>
      </c>
      <c r="K92" s="156">
        <v>0</v>
      </c>
      <c r="L92" s="156">
        <v>0</v>
      </c>
      <c r="M92" s="156">
        <v>0</v>
      </c>
      <c r="N92" s="156">
        <v>0</v>
      </c>
      <c r="O92" s="156">
        <v>0</v>
      </c>
      <c r="P92" s="156">
        <f>SUM(D92:O92)</f>
        <v>0</v>
      </c>
      <c r="Q92" s="156">
        <v>0</v>
      </c>
      <c r="R92" s="156">
        <v>0</v>
      </c>
      <c r="S92" s="156">
        <f t="shared" si="22" ref="S92:S96">+P92-Q92-R92</f>
        <v>0</v>
      </c>
      <c r="T92" s="156">
        <f>+'[2]Total Summary'!N58</f>
        <v>0</v>
      </c>
      <c r="U92" s="156">
        <f>+S92+T92</f>
        <v>0</v>
      </c>
      <c r="V92" t="b">
        <f>ROUND(+U92,2)=ROUND('II-D-1'!L93,2)</f>
        <v>1</v>
      </c>
    </row>
    <row r="93" spans="1:22" ht="15" customHeight="1">
      <c r="A93" s="16">
        <v>80</v>
      </c>
      <c r="B93" s="4" t="s">
        <v>287</v>
      </c>
      <c r="C93" s="4" t="s">
        <v>335</v>
      </c>
      <c r="D93" s="73">
        <v>0</v>
      </c>
      <c r="E93" s="73">
        <v>0</v>
      </c>
      <c r="F93" s="73">
        <v>0</v>
      </c>
      <c r="G93" s="73">
        <v>0</v>
      </c>
      <c r="H93" s="73">
        <v>0</v>
      </c>
      <c r="I93" s="73">
        <v>0</v>
      </c>
      <c r="J93" s="73">
        <v>0</v>
      </c>
      <c r="K93" s="73">
        <v>0</v>
      </c>
      <c r="L93" s="73">
        <v>0</v>
      </c>
      <c r="M93" s="73">
        <v>0</v>
      </c>
      <c r="N93" s="73">
        <v>0</v>
      </c>
      <c r="O93" s="73">
        <v>0</v>
      </c>
      <c r="P93" s="73">
        <f>SUM(D93:O93)</f>
        <v>0</v>
      </c>
      <c r="Q93" s="73">
        <v>0</v>
      </c>
      <c r="R93" s="73">
        <v>0</v>
      </c>
      <c r="S93" s="73">
        <f t="shared" si="22"/>
        <v>0</v>
      </c>
      <c r="T93" s="73">
        <f>+'[2]Total Summary'!N59</f>
        <v>0</v>
      </c>
      <c r="U93" s="73">
        <f>+S93+T93</f>
        <v>0</v>
      </c>
      <c r="V93" t="b">
        <f>ROUND(+U93,2)=ROUND('II-D-1'!L94,2)</f>
        <v>1</v>
      </c>
    </row>
    <row r="94" spans="1:22" ht="15" customHeight="1">
      <c r="A94" s="16">
        <v>81</v>
      </c>
      <c r="B94" s="4" t="s">
        <v>288</v>
      </c>
      <c r="C94" s="4" t="s">
        <v>336</v>
      </c>
      <c r="D94" s="73">
        <v>0</v>
      </c>
      <c r="E94" s="73">
        <v>0</v>
      </c>
      <c r="F94" s="73">
        <v>0</v>
      </c>
      <c r="G94" s="73">
        <v>0</v>
      </c>
      <c r="H94" s="73">
        <v>0</v>
      </c>
      <c r="I94" s="73">
        <v>0</v>
      </c>
      <c r="J94" s="73">
        <v>0</v>
      </c>
      <c r="K94" s="73">
        <v>0</v>
      </c>
      <c r="L94" s="73">
        <v>0</v>
      </c>
      <c r="M94" s="73">
        <v>0</v>
      </c>
      <c r="N94" s="73">
        <v>0</v>
      </c>
      <c r="O94" s="73">
        <v>0</v>
      </c>
      <c r="P94" s="73">
        <f>SUM(D94:O94)</f>
        <v>0</v>
      </c>
      <c r="Q94" s="73">
        <v>0</v>
      </c>
      <c r="R94" s="73">
        <v>0</v>
      </c>
      <c r="S94" s="73">
        <f t="shared" si="22"/>
        <v>0</v>
      </c>
      <c r="T94" s="73">
        <f>+'[2]Total Summary'!N60</f>
        <v>0</v>
      </c>
      <c r="U94" s="73">
        <f>+S94+T94</f>
        <v>0</v>
      </c>
      <c r="V94" t="b">
        <f>ROUND(+U94,2)=ROUND('II-D-1'!L95,2)</f>
        <v>1</v>
      </c>
    </row>
    <row r="95" spans="1:22" ht="15" customHeight="1">
      <c r="A95" s="16">
        <v>82</v>
      </c>
      <c r="B95" s="4" t="s">
        <v>269</v>
      </c>
      <c r="C95" s="4" t="s">
        <v>337</v>
      </c>
      <c r="D95" s="73">
        <v>0</v>
      </c>
      <c r="E95" s="73">
        <v>0</v>
      </c>
      <c r="F95" s="73">
        <v>0</v>
      </c>
      <c r="G95" s="73">
        <v>0</v>
      </c>
      <c r="H95" s="73">
        <v>0</v>
      </c>
      <c r="I95" s="73">
        <v>0</v>
      </c>
      <c r="J95" s="73">
        <v>0</v>
      </c>
      <c r="K95" s="73">
        <v>0</v>
      </c>
      <c r="L95" s="73">
        <v>0</v>
      </c>
      <c r="M95" s="73">
        <v>0</v>
      </c>
      <c r="N95" s="73">
        <v>0</v>
      </c>
      <c r="O95" s="73">
        <v>0</v>
      </c>
      <c r="P95" s="73">
        <f>SUM(D95:O95)</f>
        <v>0</v>
      </c>
      <c r="Q95" s="73">
        <v>0</v>
      </c>
      <c r="R95" s="73">
        <v>0</v>
      </c>
      <c r="S95" s="73">
        <f t="shared" si="22"/>
        <v>0</v>
      </c>
      <c r="T95" s="73">
        <f>+'[2]Total Summary'!N61</f>
        <v>0</v>
      </c>
      <c r="U95" s="73">
        <f>+S95+T95</f>
        <v>0</v>
      </c>
      <c r="V95" t="b">
        <f>ROUND(+U95,2)=ROUND('II-D-1'!L96,2)</f>
        <v>1</v>
      </c>
    </row>
    <row r="96" spans="1:22" ht="15" customHeight="1">
      <c r="A96" s="16">
        <v>83</v>
      </c>
      <c r="B96" s="4" t="s">
        <v>289</v>
      </c>
      <c r="C96" s="4" t="s">
        <v>338</v>
      </c>
      <c r="D96" s="73">
        <v>0</v>
      </c>
      <c r="E96" s="73">
        <v>0</v>
      </c>
      <c r="F96" s="73">
        <v>0</v>
      </c>
      <c r="G96" s="73">
        <v>0</v>
      </c>
      <c r="H96" s="73">
        <v>0</v>
      </c>
      <c r="I96" s="73">
        <v>0</v>
      </c>
      <c r="J96" s="73">
        <v>0</v>
      </c>
      <c r="K96" s="73">
        <v>0</v>
      </c>
      <c r="L96" s="73">
        <v>0</v>
      </c>
      <c r="M96" s="73">
        <v>0</v>
      </c>
      <c r="N96" s="73">
        <v>0</v>
      </c>
      <c r="O96" s="73">
        <v>0</v>
      </c>
      <c r="P96" s="73">
        <f>SUM(D96:O96)</f>
        <v>0</v>
      </c>
      <c r="Q96" s="73">
        <v>0</v>
      </c>
      <c r="R96" s="73">
        <v>0</v>
      </c>
      <c r="S96" s="73">
        <f t="shared" si="22"/>
        <v>0</v>
      </c>
      <c r="T96" s="73">
        <f>+'[2]Total Summary'!N62</f>
        <v>0</v>
      </c>
      <c r="U96" s="73">
        <f>+S96+T96</f>
        <v>0</v>
      </c>
      <c r="V96" t="b">
        <f>ROUND(+U96,2)=ROUND('II-D-1'!L97,2)</f>
        <v>1</v>
      </c>
    </row>
    <row r="97" spans="1:21" ht="15" customHeight="1">
      <c r="A97" s="16">
        <v>84</v>
      </c>
      <c r="B97" s="4"/>
      <c r="C97" s="22"/>
      <c r="D97" s="115"/>
      <c r="E97" s="115"/>
      <c r="F97" s="115"/>
      <c r="G97" s="115"/>
      <c r="H97" s="115"/>
      <c r="I97" s="115"/>
      <c r="J97" s="115"/>
      <c r="K97" s="115"/>
      <c r="L97" s="115"/>
      <c r="M97" s="115"/>
      <c r="N97" s="115"/>
      <c r="O97" s="115"/>
      <c r="P97" s="115"/>
      <c r="Q97" s="115"/>
      <c r="R97" s="115"/>
      <c r="S97" s="115"/>
      <c r="T97" s="115"/>
      <c r="U97" s="115"/>
    </row>
    <row r="98" spans="1:22" ht="15" customHeight="1">
      <c r="A98" s="16">
        <v>85</v>
      </c>
      <c r="B98" s="8" t="s">
        <v>36</v>
      </c>
      <c r="C98" s="4"/>
      <c r="D98" s="190">
        <f>SUM(D92:D96)</f>
        <v>0</v>
      </c>
      <c r="E98" s="190">
        <f t="shared" si="23" ref="E98:S98">SUM(E92:E96)</f>
        <v>0</v>
      </c>
      <c r="F98" s="190">
        <f t="shared" si="23"/>
        <v>0</v>
      </c>
      <c r="G98" s="190">
        <f t="shared" si="23"/>
        <v>0</v>
      </c>
      <c r="H98" s="190">
        <f t="shared" si="23"/>
        <v>0</v>
      </c>
      <c r="I98" s="190">
        <f t="shared" si="23"/>
        <v>0</v>
      </c>
      <c r="J98" s="190">
        <f t="shared" si="23"/>
        <v>0</v>
      </c>
      <c r="K98" s="190">
        <f t="shared" si="23"/>
        <v>0</v>
      </c>
      <c r="L98" s="190">
        <f t="shared" si="23"/>
        <v>0</v>
      </c>
      <c r="M98" s="190">
        <f t="shared" si="23"/>
        <v>0</v>
      </c>
      <c r="N98" s="190">
        <f t="shared" si="23"/>
        <v>0</v>
      </c>
      <c r="O98" s="190">
        <f t="shared" si="23"/>
        <v>0</v>
      </c>
      <c r="P98" s="190">
        <f t="shared" si="23"/>
        <v>0</v>
      </c>
      <c r="Q98" s="190">
        <f t="shared" si="23"/>
        <v>0</v>
      </c>
      <c r="R98" s="190">
        <f t="shared" si="23"/>
        <v>0</v>
      </c>
      <c r="S98" s="190">
        <f t="shared" si="23"/>
        <v>0</v>
      </c>
      <c r="T98" s="190">
        <f>SUM(T92:T96)</f>
        <v>0</v>
      </c>
      <c r="U98" s="190">
        <f>SUM(U92:U96)</f>
        <v>0</v>
      </c>
      <c r="V98" t="b">
        <f>ROUND(+U98,2)=ROUND('II-D-1'!L99,2)</f>
        <v>1</v>
      </c>
    </row>
    <row r="99" spans="1:21" ht="15" customHeight="1">
      <c r="A99" s="16">
        <v>86</v>
      </c>
      <c r="B99" s="4"/>
      <c r="C99" s="60"/>
      <c r="D99" s="2"/>
      <c r="E99" s="2"/>
      <c r="F99" s="2"/>
      <c r="G99" s="2"/>
      <c r="H99" s="2"/>
      <c r="I99" s="2"/>
      <c r="J99" s="2"/>
      <c r="K99" s="2"/>
      <c r="L99" s="2"/>
      <c r="M99" s="2"/>
      <c r="N99" s="2"/>
      <c r="O99" s="2"/>
      <c r="P99" s="2"/>
      <c r="Q99" s="2"/>
      <c r="R99" s="2"/>
      <c r="S99" s="2"/>
      <c r="T99" s="2"/>
      <c r="U99" s="2"/>
    </row>
    <row r="100" spans="1:21" ht="15" customHeight="1">
      <c r="A100" s="16">
        <v>87</v>
      </c>
      <c r="B100" s="8"/>
      <c r="C100" s="61"/>
      <c r="D100" s="2"/>
      <c r="E100" s="2"/>
      <c r="F100" s="2"/>
      <c r="G100" s="2"/>
      <c r="H100" s="2"/>
      <c r="I100" s="2"/>
      <c r="J100" s="2"/>
      <c r="K100" s="2"/>
      <c r="L100" s="2"/>
      <c r="M100" s="2"/>
      <c r="N100" s="2"/>
      <c r="O100" s="2"/>
      <c r="P100" s="2"/>
      <c r="Q100" s="2"/>
      <c r="R100" s="2"/>
      <c r="S100" s="2"/>
      <c r="T100" s="2"/>
      <c r="U100" s="2"/>
    </row>
    <row r="101" spans="1:22" ht="15" customHeight="1">
      <c r="A101" s="16">
        <v>88</v>
      </c>
      <c r="B101" s="8" t="s">
        <v>27</v>
      </c>
      <c r="C101" s="8"/>
      <c r="D101" s="190">
        <f>+D98+D88+D78+D68+D37</f>
        <v>160057625.49000001</v>
      </c>
      <c r="E101" s="190">
        <f t="shared" si="24" ref="E101:S101">+E98+E88+E78+E68+E37</f>
        <v>155226895.64000002</v>
      </c>
      <c r="F101" s="190">
        <f t="shared" si="24"/>
        <v>165155003.69999999</v>
      </c>
      <c r="G101" s="190">
        <f t="shared" si="24"/>
        <v>164501481.69</v>
      </c>
      <c r="H101" s="190">
        <f t="shared" si="24"/>
        <v>162874122.36000001</v>
      </c>
      <c r="I101" s="190">
        <f t="shared" si="24"/>
        <v>168912590.43000001</v>
      </c>
      <c r="J101" s="190">
        <f t="shared" si="24"/>
        <v>167422217.08000001</v>
      </c>
      <c r="K101" s="190">
        <f t="shared" si="24"/>
        <v>172301948.56</v>
      </c>
      <c r="L101" s="190">
        <f t="shared" si="24"/>
        <v>172119653.33000001</v>
      </c>
      <c r="M101" s="190">
        <f t="shared" si="24"/>
        <v>174650979.03</v>
      </c>
      <c r="N101" s="190">
        <f t="shared" si="24"/>
        <v>178261403.56</v>
      </c>
      <c r="O101" s="190">
        <f t="shared" si="24"/>
        <v>179637700.81999999</v>
      </c>
      <c r="P101" s="190">
        <f t="shared" si="24"/>
        <v>2021121621.6900001</v>
      </c>
      <c r="Q101" s="190">
        <f t="shared" si="24"/>
        <v>0</v>
      </c>
      <c r="R101" s="190">
        <f t="shared" si="24"/>
        <v>0</v>
      </c>
      <c r="S101" s="190">
        <f t="shared" si="24"/>
        <v>2021121621.6900001</v>
      </c>
      <c r="T101" s="190">
        <f>+T98+T88+T78+T68+T37</f>
        <v>147506154.49000001</v>
      </c>
      <c r="U101" s="190">
        <f>+U98+U88+U78+U68+U37</f>
        <v>2168627776.1799998</v>
      </c>
      <c r="V101" t="b">
        <f>ROUND(+U101,2)=ROUND('II-D-1'!L102,2)</f>
        <v>1</v>
      </c>
    </row>
    <row r="102" spans="1:20" ht="12.75">
      <c r="A102" s="2"/>
      <c r="B102" s="2"/>
      <c r="C102" s="2"/>
      <c r="D102" s="2"/>
      <c r="E102" s="2"/>
      <c r="F102" s="2"/>
      <c r="G102" s="2"/>
      <c r="H102" s="2"/>
      <c r="I102" s="2"/>
      <c r="J102" s="2"/>
      <c r="K102" s="2"/>
      <c r="L102" s="2"/>
      <c r="M102" s="2"/>
      <c r="N102" s="2"/>
      <c r="O102" s="2"/>
      <c r="P102" s="2"/>
      <c r="Q102" s="2"/>
      <c r="R102" s="2"/>
      <c r="S102" s="2"/>
      <c r="T102" s="2"/>
    </row>
    <row r="103" spans="1:20" ht="12.75">
      <c r="A103" s="2"/>
      <c r="B103" s="2"/>
      <c r="C103" s="2"/>
      <c r="D103" s="175"/>
      <c r="E103" s="175"/>
      <c r="F103" s="175"/>
      <c r="G103" s="175"/>
      <c r="H103" s="175"/>
      <c r="I103" s="175"/>
      <c r="J103" s="175"/>
      <c r="K103" s="175"/>
      <c r="L103" s="175"/>
      <c r="M103" s="175"/>
      <c r="N103" s="175"/>
      <c r="O103" s="175"/>
      <c r="P103" s="2"/>
      <c r="Q103" s="2"/>
      <c r="R103" s="2"/>
      <c r="S103" s="2"/>
      <c r="T103" s="2"/>
    </row>
    <row r="104" spans="1:21" ht="12.75">
      <c r="A104" s="2"/>
      <c r="B104" s="2"/>
      <c r="C104" s="2"/>
      <c r="D104" s="2"/>
      <c r="E104" s="2"/>
      <c r="F104" s="2"/>
      <c r="G104" s="2"/>
      <c r="H104" s="2"/>
      <c r="I104" s="2"/>
      <c r="J104" s="2"/>
      <c r="K104" s="2"/>
      <c r="L104" s="2"/>
      <c r="M104" s="2"/>
      <c r="N104" s="2"/>
      <c r="O104" s="2"/>
      <c r="P104" s="2" t="b">
        <f>+P101='II-D-1'!E102</f>
        <v>1</v>
      </c>
      <c r="Q104" s="2" t="b">
        <f>+Q101='II-D-1'!F102</f>
        <v>1</v>
      </c>
      <c r="R104" s="2" t="b">
        <f>+R101='II-D-1'!G102</f>
        <v>1</v>
      </c>
      <c r="S104" s="2" t="b">
        <f>+S101='II-D-1'!H102</f>
        <v>1</v>
      </c>
      <c r="T104" s="2" t="b">
        <f>+T101='II-D-1'!I102</f>
        <v>1</v>
      </c>
      <c r="U104" s="2" t="b">
        <f>+U101='II-D-1'!J102</f>
        <v>1</v>
      </c>
    </row>
    <row r="105" spans="1:20" ht="12.75">
      <c r="A105" s="2"/>
      <c r="B105" s="2"/>
      <c r="C105" s="2"/>
      <c r="D105" s="2"/>
      <c r="E105" s="2"/>
      <c r="F105" s="2"/>
      <c r="G105" s="2"/>
      <c r="H105" s="2"/>
      <c r="I105" s="2"/>
      <c r="J105" s="2"/>
      <c r="K105" s="2"/>
      <c r="L105" s="2"/>
      <c r="M105" s="2"/>
      <c r="N105" s="2"/>
      <c r="O105" s="2"/>
      <c r="P105" s="2"/>
      <c r="Q105" s="2"/>
      <c r="R105" s="2"/>
      <c r="S105" s="2"/>
      <c r="T105" s="2"/>
    </row>
    <row r="106" spans="1:20" ht="12.75">
      <c r="A106" s="2"/>
      <c r="B106" s="2"/>
      <c r="C106" s="2"/>
      <c r="D106" s="2"/>
      <c r="E106" s="2"/>
      <c r="F106" s="2"/>
      <c r="G106" s="2"/>
      <c r="H106" s="2"/>
      <c r="I106" s="2"/>
      <c r="J106" s="2"/>
      <c r="K106" s="2"/>
      <c r="L106" s="2"/>
      <c r="M106" s="2"/>
      <c r="N106" s="2"/>
      <c r="O106" s="2"/>
      <c r="P106" s="2"/>
      <c r="Q106" s="2"/>
      <c r="R106" s="2"/>
      <c r="S106" s="2"/>
      <c r="T106" s="2"/>
    </row>
    <row r="107" spans="1:20" ht="12.75">
      <c r="A107" s="2"/>
      <c r="B107" s="2"/>
      <c r="C107" s="2"/>
      <c r="D107" s="2"/>
      <c r="E107" s="2"/>
      <c r="F107" s="2"/>
      <c r="G107" s="2"/>
      <c r="H107" s="2"/>
      <c r="I107" s="2"/>
      <c r="J107" s="2"/>
      <c r="K107" s="2"/>
      <c r="L107" s="2"/>
      <c r="M107" s="2"/>
      <c r="N107" s="2"/>
      <c r="O107" s="2"/>
      <c r="P107" s="2"/>
      <c r="Q107" s="2"/>
      <c r="R107" s="2"/>
      <c r="S107" s="2"/>
      <c r="T107" s="2"/>
    </row>
    <row r="108" spans="1:20" ht="12.75">
      <c r="A108" s="2"/>
      <c r="B108" s="2"/>
      <c r="C108" s="2"/>
      <c r="D108" s="2"/>
      <c r="E108" s="2"/>
      <c r="F108" s="2"/>
      <c r="G108" s="2"/>
      <c r="H108" s="2"/>
      <c r="I108" s="2"/>
      <c r="J108" s="2"/>
      <c r="K108" s="2"/>
      <c r="L108" s="2"/>
      <c r="M108" s="2"/>
      <c r="N108" s="2"/>
      <c r="O108" s="2"/>
      <c r="P108" s="2"/>
      <c r="Q108" s="2"/>
      <c r="R108" s="2"/>
      <c r="S108" s="2"/>
      <c r="T108" s="2"/>
    </row>
    <row r="109" spans="1:20" ht="12.75">
      <c r="A109" s="2"/>
      <c r="B109" s="2"/>
      <c r="C109" s="2"/>
      <c r="D109" s="2"/>
      <c r="E109" s="2"/>
      <c r="F109" s="2"/>
      <c r="G109" s="2"/>
      <c r="H109" s="2"/>
      <c r="I109" s="2"/>
      <c r="J109" s="2"/>
      <c r="K109" s="2"/>
      <c r="L109" s="2"/>
      <c r="M109" s="2"/>
      <c r="N109" s="2"/>
      <c r="O109" s="2"/>
      <c r="P109" s="2"/>
      <c r="Q109" s="2"/>
      <c r="R109" s="2"/>
      <c r="S109" s="2"/>
      <c r="T109" s="2"/>
    </row>
    <row r="110" spans="1:20" ht="12.75">
      <c r="A110" s="2"/>
      <c r="B110" s="2"/>
      <c r="C110" s="2"/>
      <c r="D110" s="2"/>
      <c r="E110" s="2"/>
      <c r="F110" s="2"/>
      <c r="G110" s="2"/>
      <c r="H110" s="2"/>
      <c r="I110" s="2"/>
      <c r="J110" s="2"/>
      <c r="K110" s="2"/>
      <c r="L110" s="2"/>
      <c r="M110" s="2"/>
      <c r="N110" s="2"/>
      <c r="O110" s="2"/>
      <c r="P110" s="2"/>
      <c r="Q110" s="2"/>
      <c r="R110" s="2"/>
      <c r="S110" s="2"/>
      <c r="T110" s="2"/>
    </row>
    <row r="111" spans="1:20" ht="12.75">
      <c r="A111" s="2"/>
      <c r="B111" s="2"/>
      <c r="C111" s="2"/>
      <c r="D111" s="2"/>
      <c r="E111" s="2"/>
      <c r="F111" s="2"/>
      <c r="G111" s="2"/>
      <c r="H111" s="2"/>
      <c r="I111" s="2"/>
      <c r="J111" s="2"/>
      <c r="K111" s="2"/>
      <c r="L111" s="2"/>
      <c r="M111" s="2"/>
      <c r="N111" s="2"/>
      <c r="O111" s="2"/>
      <c r="P111" s="2"/>
      <c r="Q111" s="2"/>
      <c r="R111" s="2"/>
      <c r="S111" s="2"/>
      <c r="T111" s="2"/>
    </row>
    <row r="112" spans="1:20" ht="12.75">
      <c r="A112" s="2"/>
      <c r="B112" s="2"/>
      <c r="C112" s="2"/>
      <c r="D112" s="2"/>
      <c r="E112" s="2"/>
      <c r="F112" s="2"/>
      <c r="G112" s="2"/>
      <c r="H112" s="2"/>
      <c r="I112" s="2"/>
      <c r="J112" s="2"/>
      <c r="K112" s="2"/>
      <c r="L112" s="2"/>
      <c r="M112" s="2"/>
      <c r="N112" s="2"/>
      <c r="O112" s="2"/>
      <c r="P112" s="2"/>
      <c r="Q112" s="2"/>
      <c r="R112" s="2"/>
      <c r="S112" s="2"/>
      <c r="T112" s="2"/>
    </row>
    <row r="113" spans="1:20" ht="12.75">
      <c r="A113" s="2"/>
      <c r="B113" s="2"/>
      <c r="C113" s="2"/>
      <c r="D113" s="2"/>
      <c r="E113" s="2"/>
      <c r="F113" s="2"/>
      <c r="G113" s="2"/>
      <c r="H113" s="2"/>
      <c r="I113" s="2"/>
      <c r="J113" s="2"/>
      <c r="K113" s="2"/>
      <c r="L113" s="2"/>
      <c r="M113" s="2"/>
      <c r="N113" s="2"/>
      <c r="O113" s="2"/>
      <c r="P113" s="2"/>
      <c r="Q113" s="2"/>
      <c r="R113" s="2"/>
      <c r="S113" s="2"/>
      <c r="T113" s="2"/>
    </row>
    <row r="114" spans="1:20" ht="12.75">
      <c r="A114" s="2"/>
      <c r="B114" s="2"/>
      <c r="C114" s="2"/>
      <c r="D114" s="2"/>
      <c r="E114" s="2"/>
      <c r="F114" s="2"/>
      <c r="G114" s="2"/>
      <c r="H114" s="2"/>
      <c r="I114" s="2"/>
      <c r="J114" s="2"/>
      <c r="K114" s="2"/>
      <c r="L114" s="2"/>
      <c r="M114" s="2"/>
      <c r="N114" s="2"/>
      <c r="O114" s="2"/>
      <c r="P114" s="2"/>
      <c r="Q114" s="2"/>
      <c r="R114" s="2"/>
      <c r="S114" s="2"/>
      <c r="T114" s="2"/>
    </row>
    <row r="115" spans="1:20" ht="12.75">
      <c r="A115" s="2"/>
      <c r="B115" s="2"/>
      <c r="C115" s="2"/>
      <c r="D115" s="2"/>
      <c r="E115" s="2"/>
      <c r="F115" s="2"/>
      <c r="G115" s="2"/>
      <c r="H115" s="2"/>
      <c r="I115" s="2"/>
      <c r="J115" s="2"/>
      <c r="K115" s="2"/>
      <c r="L115" s="2"/>
      <c r="M115" s="2"/>
      <c r="N115" s="2"/>
      <c r="O115" s="2"/>
      <c r="P115" s="2"/>
      <c r="Q115" s="2"/>
      <c r="R115" s="2"/>
      <c r="S115" s="2"/>
      <c r="T115" s="2"/>
    </row>
    <row r="116" spans="1:20" ht="12.75">
      <c r="A116" s="2"/>
      <c r="B116" s="2"/>
      <c r="C116" s="2"/>
      <c r="D116" s="2"/>
      <c r="E116" s="2"/>
      <c r="F116" s="2"/>
      <c r="G116" s="2"/>
      <c r="H116" s="2"/>
      <c r="I116" s="2"/>
      <c r="J116" s="2"/>
      <c r="K116" s="2"/>
      <c r="L116" s="2"/>
      <c r="M116" s="2"/>
      <c r="N116" s="2"/>
      <c r="O116" s="2"/>
      <c r="P116" s="2"/>
      <c r="Q116" s="2"/>
      <c r="R116" s="2"/>
      <c r="S116" s="2"/>
      <c r="T116" s="2"/>
    </row>
    <row r="117" spans="1:20" ht="12.75">
      <c r="A117" s="2"/>
      <c r="B117" s="2"/>
      <c r="C117" s="2"/>
      <c r="D117" s="2"/>
      <c r="E117" s="2"/>
      <c r="F117" s="2"/>
      <c r="G117" s="2"/>
      <c r="H117" s="2"/>
      <c r="I117" s="2"/>
      <c r="J117" s="2"/>
      <c r="K117" s="2"/>
      <c r="L117" s="2"/>
      <c r="M117" s="2"/>
      <c r="N117" s="2"/>
      <c r="O117" s="2"/>
      <c r="P117" s="2"/>
      <c r="Q117" s="2"/>
      <c r="R117" s="2"/>
      <c r="S117" s="2"/>
      <c r="T117" s="2"/>
    </row>
    <row r="118" spans="1:20" ht="12.75">
      <c r="A118" s="2"/>
      <c r="B118" s="2"/>
      <c r="C118" s="2"/>
      <c r="D118" s="2"/>
      <c r="E118" s="2"/>
      <c r="F118" s="2"/>
      <c r="G118" s="2"/>
      <c r="H118" s="2"/>
      <c r="I118" s="2"/>
      <c r="J118" s="2"/>
      <c r="K118" s="2"/>
      <c r="L118" s="2"/>
      <c r="M118" s="2"/>
      <c r="N118" s="2"/>
      <c r="O118" s="2"/>
      <c r="P118" s="2"/>
      <c r="Q118" s="2"/>
      <c r="R118" s="2"/>
      <c r="S118" s="2"/>
      <c r="T118" s="2"/>
    </row>
    <row r="119" spans="1:20" ht="12.75">
      <c r="A119" s="2"/>
      <c r="B119" s="2"/>
      <c r="C119" s="2"/>
      <c r="D119" s="2"/>
      <c r="E119" s="2"/>
      <c r="F119" s="2"/>
      <c r="G119" s="2"/>
      <c r="H119" s="2"/>
      <c r="I119" s="2"/>
      <c r="J119" s="2"/>
      <c r="K119" s="2"/>
      <c r="L119" s="2"/>
      <c r="M119" s="2"/>
      <c r="N119" s="2"/>
      <c r="O119" s="2"/>
      <c r="P119" s="2"/>
      <c r="Q119" s="2"/>
      <c r="R119" s="2"/>
      <c r="S119" s="2"/>
      <c r="T119" s="2"/>
    </row>
    <row r="120" spans="1:20" ht="12.75">
      <c r="A120" s="2"/>
      <c r="B120" s="2"/>
      <c r="C120" s="2"/>
      <c r="D120" s="2"/>
      <c r="E120" s="2"/>
      <c r="F120" s="2"/>
      <c r="G120" s="2"/>
      <c r="H120" s="2"/>
      <c r="I120" s="2"/>
      <c r="J120" s="2"/>
      <c r="K120" s="2"/>
      <c r="L120" s="2"/>
      <c r="M120" s="2"/>
      <c r="N120" s="2"/>
      <c r="O120" s="2"/>
      <c r="P120" s="2"/>
      <c r="Q120" s="2"/>
      <c r="R120" s="2"/>
      <c r="S120" s="2"/>
      <c r="T120" s="2"/>
    </row>
    <row r="121" spans="1:20" ht="12.75">
      <c r="A121" s="2"/>
      <c r="B121" s="2"/>
      <c r="C121" s="2"/>
      <c r="D121" s="2"/>
      <c r="E121" s="2"/>
      <c r="F121" s="2"/>
      <c r="G121" s="2"/>
      <c r="H121" s="2"/>
      <c r="I121" s="2"/>
      <c r="J121" s="2"/>
      <c r="K121" s="2"/>
      <c r="L121" s="2"/>
      <c r="M121" s="2"/>
      <c r="N121" s="2"/>
      <c r="O121" s="2"/>
      <c r="P121" s="2"/>
      <c r="Q121" s="2"/>
      <c r="R121" s="2"/>
      <c r="S121" s="2"/>
      <c r="T121" s="2"/>
    </row>
    <row r="122" spans="1:20" ht="12.75">
      <c r="A122" s="2"/>
      <c r="B122" s="2"/>
      <c r="C122" s="2"/>
      <c r="D122" s="2"/>
      <c r="E122" s="2"/>
      <c r="F122" s="2"/>
      <c r="G122" s="2"/>
      <c r="H122" s="2"/>
      <c r="I122" s="2"/>
      <c r="J122" s="2"/>
      <c r="K122" s="2"/>
      <c r="L122" s="2"/>
      <c r="M122" s="2"/>
      <c r="N122" s="2"/>
      <c r="O122" s="2"/>
      <c r="P122" s="2"/>
      <c r="Q122" s="2"/>
      <c r="R122" s="2"/>
      <c r="S122" s="2"/>
      <c r="T122" s="2"/>
    </row>
    <row r="123" spans="1:20" ht="12.75">
      <c r="A123" s="2"/>
      <c r="B123" s="2"/>
      <c r="C123" s="2"/>
      <c r="D123" s="2"/>
      <c r="E123" s="2"/>
      <c r="F123" s="2"/>
      <c r="G123" s="2"/>
      <c r="H123" s="2"/>
      <c r="I123" s="2"/>
      <c r="J123" s="2"/>
      <c r="K123" s="2"/>
      <c r="L123" s="2"/>
      <c r="M123" s="2"/>
      <c r="N123" s="2"/>
      <c r="O123" s="2"/>
      <c r="P123" s="2"/>
      <c r="Q123" s="2"/>
      <c r="R123" s="2"/>
      <c r="S123" s="2"/>
      <c r="T123" s="2"/>
    </row>
    <row r="124" spans="1:20" ht="12.75">
      <c r="A124" s="2"/>
      <c r="B124" s="2"/>
      <c r="C124" s="2"/>
      <c r="D124" s="2"/>
      <c r="E124" s="2"/>
      <c r="F124" s="2"/>
      <c r="G124" s="2"/>
      <c r="H124" s="2"/>
      <c r="I124" s="2"/>
      <c r="J124" s="2"/>
      <c r="K124" s="2"/>
      <c r="L124" s="2"/>
      <c r="M124" s="2"/>
      <c r="N124" s="2"/>
      <c r="O124" s="2"/>
      <c r="P124" s="2"/>
      <c r="Q124" s="2"/>
      <c r="R124" s="2"/>
      <c r="S124" s="2"/>
      <c r="T124" s="2"/>
    </row>
    <row r="125" spans="1:20" ht="12.75">
      <c r="A125" s="2"/>
      <c r="B125" s="2"/>
      <c r="C125" s="2"/>
      <c r="D125" s="2"/>
      <c r="E125" s="2"/>
      <c r="F125" s="2"/>
      <c r="G125" s="2"/>
      <c r="H125" s="2"/>
      <c r="I125" s="2"/>
      <c r="J125" s="2"/>
      <c r="K125" s="2"/>
      <c r="L125" s="2"/>
      <c r="M125" s="2"/>
      <c r="N125" s="2"/>
      <c r="O125" s="2"/>
      <c r="P125" s="2"/>
      <c r="Q125" s="2"/>
      <c r="R125" s="2"/>
      <c r="S125" s="2"/>
      <c r="T125" s="2"/>
    </row>
    <row r="126" spans="1:20" ht="12.75">
      <c r="A126" s="2"/>
      <c r="B126" s="2"/>
      <c r="C126" s="2"/>
      <c r="D126" s="2"/>
      <c r="E126" s="2"/>
      <c r="F126" s="2"/>
      <c r="G126" s="2"/>
      <c r="H126" s="2"/>
      <c r="I126" s="2"/>
      <c r="J126" s="2"/>
      <c r="K126" s="2"/>
      <c r="L126" s="2"/>
      <c r="M126" s="2"/>
      <c r="N126" s="2"/>
      <c r="O126" s="2"/>
      <c r="P126" s="2"/>
      <c r="Q126" s="2"/>
      <c r="R126" s="2"/>
      <c r="S126" s="2"/>
      <c r="T126" s="2"/>
    </row>
    <row r="127" spans="1:20" ht="12.75">
      <c r="A127" s="2"/>
      <c r="B127" s="2"/>
      <c r="C127" s="2"/>
      <c r="D127" s="2"/>
      <c r="E127" s="2"/>
      <c r="F127" s="2"/>
      <c r="G127" s="2"/>
      <c r="H127" s="2"/>
      <c r="I127" s="2"/>
      <c r="J127" s="2"/>
      <c r="K127" s="2"/>
      <c r="L127" s="2"/>
      <c r="M127" s="2"/>
      <c r="N127" s="2"/>
      <c r="O127" s="2"/>
      <c r="P127" s="2"/>
      <c r="Q127" s="2"/>
      <c r="R127" s="2"/>
      <c r="S127" s="2"/>
      <c r="T127" s="2"/>
    </row>
    <row r="128" spans="1:20" ht="12.75">
      <c r="A128" s="2"/>
      <c r="B128" s="2"/>
      <c r="C128" s="2"/>
      <c r="D128" s="2"/>
      <c r="E128" s="2"/>
      <c r="F128" s="2"/>
      <c r="G128" s="2"/>
      <c r="H128" s="2"/>
      <c r="I128" s="2"/>
      <c r="J128" s="2"/>
      <c r="K128" s="2"/>
      <c r="L128" s="2"/>
      <c r="M128" s="2"/>
      <c r="N128" s="2"/>
      <c r="O128" s="2"/>
      <c r="P128" s="2"/>
      <c r="Q128" s="2"/>
      <c r="R128" s="2"/>
      <c r="S128" s="2"/>
      <c r="T128" s="2"/>
    </row>
    <row r="129" spans="1:20" ht="12.75">
      <c r="A129" s="2"/>
      <c r="B129" s="2"/>
      <c r="C129" s="2"/>
      <c r="D129" s="2"/>
      <c r="E129" s="2"/>
      <c r="F129" s="2"/>
      <c r="G129" s="2"/>
      <c r="H129" s="2"/>
      <c r="I129" s="2"/>
      <c r="J129" s="2"/>
      <c r="K129" s="2"/>
      <c r="L129" s="2"/>
      <c r="M129" s="2"/>
      <c r="N129" s="2"/>
      <c r="O129" s="2"/>
      <c r="P129" s="2"/>
      <c r="Q129" s="2"/>
      <c r="R129" s="2"/>
      <c r="S129" s="2"/>
      <c r="T129" s="2"/>
    </row>
    <row r="130" spans="1:20" ht="12.75">
      <c r="A130" s="2"/>
      <c r="B130" s="2"/>
      <c r="C130" s="2"/>
      <c r="D130" s="2"/>
      <c r="E130" s="2"/>
      <c r="F130" s="2"/>
      <c r="G130" s="2"/>
      <c r="H130" s="2"/>
      <c r="I130" s="2"/>
      <c r="J130" s="2"/>
      <c r="K130" s="2"/>
      <c r="L130" s="2"/>
      <c r="M130" s="2"/>
      <c r="N130" s="2"/>
      <c r="O130" s="2"/>
      <c r="P130" s="2"/>
      <c r="Q130" s="2"/>
      <c r="R130" s="2"/>
      <c r="S130" s="2"/>
      <c r="T130" s="2"/>
    </row>
    <row r="131" spans="1:20" ht="12.75">
      <c r="A131" s="2"/>
      <c r="B131" s="2"/>
      <c r="C131" s="2"/>
      <c r="D131" s="2"/>
      <c r="E131" s="2"/>
      <c r="F131" s="2"/>
      <c r="G131" s="2"/>
      <c r="H131" s="2"/>
      <c r="I131" s="2"/>
      <c r="J131" s="2"/>
      <c r="K131" s="2"/>
      <c r="L131" s="2"/>
      <c r="M131" s="2"/>
      <c r="N131" s="2"/>
      <c r="O131" s="2"/>
      <c r="P131" s="2"/>
      <c r="Q131" s="2"/>
      <c r="R131" s="2"/>
      <c r="S131" s="2"/>
      <c r="T131" s="2"/>
    </row>
    <row r="132" spans="1:20" ht="12.75">
      <c r="A132" s="2"/>
      <c r="B132" s="2"/>
      <c r="C132" s="2"/>
      <c r="D132" s="2"/>
      <c r="E132" s="2"/>
      <c r="F132" s="2"/>
      <c r="G132" s="2"/>
      <c r="H132" s="2"/>
      <c r="I132" s="2"/>
      <c r="J132" s="2"/>
      <c r="K132" s="2"/>
      <c r="L132" s="2"/>
      <c r="M132" s="2"/>
      <c r="N132" s="2"/>
      <c r="O132" s="2"/>
      <c r="P132" s="2"/>
      <c r="Q132" s="2"/>
      <c r="R132" s="2"/>
      <c r="S132" s="2"/>
      <c r="T132" s="2"/>
    </row>
    <row r="133" spans="1:20" ht="12.75">
      <c r="A133" s="2"/>
      <c r="B133" s="2"/>
      <c r="C133" s="2"/>
      <c r="D133" s="2"/>
      <c r="E133" s="2"/>
      <c r="F133" s="2"/>
      <c r="G133" s="2"/>
      <c r="H133" s="2"/>
      <c r="I133" s="2"/>
      <c r="J133" s="2"/>
      <c r="K133" s="2"/>
      <c r="L133" s="2"/>
      <c r="M133" s="2"/>
      <c r="N133" s="2"/>
      <c r="O133" s="2"/>
      <c r="P133" s="2"/>
      <c r="Q133" s="2"/>
      <c r="R133" s="2"/>
      <c r="S133" s="2"/>
      <c r="T133" s="2"/>
    </row>
    <row r="134" spans="1:20" ht="12.75">
      <c r="A134" s="2"/>
      <c r="B134" s="2"/>
      <c r="C134" s="2"/>
      <c r="D134" s="2"/>
      <c r="E134" s="2"/>
      <c r="F134" s="2"/>
      <c r="G134" s="2"/>
      <c r="H134" s="2"/>
      <c r="I134" s="2"/>
      <c r="J134" s="2"/>
      <c r="K134" s="2"/>
      <c r="L134" s="2"/>
      <c r="M134" s="2"/>
      <c r="N134" s="2"/>
      <c r="O134" s="2"/>
      <c r="P134" s="2"/>
      <c r="Q134" s="2"/>
      <c r="R134" s="2"/>
      <c r="S134" s="2"/>
      <c r="T134" s="2"/>
    </row>
    <row r="135" spans="1:20" ht="12.75">
      <c r="A135" s="2"/>
      <c r="B135" s="2"/>
      <c r="C135" s="2"/>
      <c r="D135" s="2"/>
      <c r="E135" s="2"/>
      <c r="F135" s="2"/>
      <c r="G135" s="2"/>
      <c r="H135" s="2"/>
      <c r="I135" s="2"/>
      <c r="J135" s="2"/>
      <c r="K135" s="2"/>
      <c r="L135" s="2"/>
      <c r="M135" s="2"/>
      <c r="N135" s="2"/>
      <c r="O135" s="2"/>
      <c r="P135" s="2"/>
      <c r="Q135" s="2"/>
      <c r="R135" s="2"/>
      <c r="S135" s="2"/>
      <c r="T135" s="2"/>
    </row>
    <row r="136" spans="1:20" ht="12.75">
      <c r="A136" s="2"/>
      <c r="B136" s="2"/>
      <c r="C136" s="2"/>
      <c r="D136" s="2"/>
      <c r="E136" s="2"/>
      <c r="F136" s="2"/>
      <c r="G136" s="2"/>
      <c r="H136" s="2"/>
      <c r="I136" s="2"/>
      <c r="J136" s="2"/>
      <c r="K136" s="2"/>
      <c r="L136" s="2"/>
      <c r="M136" s="2"/>
      <c r="N136" s="2"/>
      <c r="O136" s="2"/>
      <c r="P136" s="2"/>
      <c r="Q136" s="2"/>
      <c r="R136" s="2"/>
      <c r="S136" s="2"/>
      <c r="T136" s="2"/>
    </row>
    <row r="137" spans="1:20" ht="12.75">
      <c r="A137" s="2"/>
      <c r="B137" s="2"/>
      <c r="C137" s="2"/>
      <c r="D137" s="2"/>
      <c r="E137" s="2"/>
      <c r="F137" s="2"/>
      <c r="G137" s="2"/>
      <c r="H137" s="2"/>
      <c r="I137" s="2"/>
      <c r="J137" s="2"/>
      <c r="K137" s="2"/>
      <c r="L137" s="2"/>
      <c r="M137" s="2"/>
      <c r="N137" s="2"/>
      <c r="O137" s="2"/>
      <c r="P137" s="2"/>
      <c r="Q137" s="2"/>
      <c r="R137" s="2"/>
      <c r="S137" s="2"/>
      <c r="T137" s="2"/>
    </row>
    <row r="138" spans="1:20" ht="12.75">
      <c r="A138" s="2"/>
      <c r="B138" s="2"/>
      <c r="C138" s="2"/>
      <c r="D138" s="2"/>
      <c r="E138" s="2"/>
      <c r="F138" s="2"/>
      <c r="G138" s="2"/>
      <c r="H138" s="2"/>
      <c r="I138" s="2"/>
      <c r="J138" s="2"/>
      <c r="K138" s="2"/>
      <c r="L138" s="2"/>
      <c r="M138" s="2"/>
      <c r="N138" s="2"/>
      <c r="O138" s="2"/>
      <c r="P138" s="2"/>
      <c r="Q138" s="2"/>
      <c r="R138" s="2"/>
      <c r="S138" s="2"/>
      <c r="T138" s="2"/>
    </row>
    <row r="139" spans="1:20" ht="12.75">
      <c r="A139" s="2"/>
      <c r="B139" s="2"/>
      <c r="C139" s="2"/>
      <c r="D139" s="2"/>
      <c r="E139" s="2"/>
      <c r="F139" s="2"/>
      <c r="G139" s="2"/>
      <c r="H139" s="2"/>
      <c r="I139" s="2"/>
      <c r="J139" s="2"/>
      <c r="K139" s="2"/>
      <c r="L139" s="2"/>
      <c r="M139" s="2"/>
      <c r="N139" s="2"/>
      <c r="O139" s="2"/>
      <c r="P139" s="2"/>
      <c r="Q139" s="2"/>
      <c r="R139" s="2"/>
      <c r="S139" s="2"/>
      <c r="T139" s="2"/>
    </row>
    <row r="140" spans="1:20" ht="12.75">
      <c r="A140" s="2"/>
      <c r="B140" s="2"/>
      <c r="C140" s="2"/>
      <c r="D140" s="2"/>
      <c r="E140" s="2"/>
      <c r="F140" s="2"/>
      <c r="G140" s="2"/>
      <c r="H140" s="2"/>
      <c r="I140" s="2"/>
      <c r="J140" s="2"/>
      <c r="K140" s="2"/>
      <c r="L140" s="2"/>
      <c r="M140" s="2"/>
      <c r="N140" s="2"/>
      <c r="O140" s="2"/>
      <c r="P140" s="2"/>
      <c r="Q140" s="2"/>
      <c r="R140" s="2"/>
      <c r="S140" s="2"/>
      <c r="T140" s="2"/>
    </row>
    <row r="141" spans="1:20" ht="12.75">
      <c r="A141" s="2"/>
      <c r="B141" s="2"/>
      <c r="C141" s="2"/>
      <c r="D141" s="2"/>
      <c r="E141" s="2"/>
      <c r="F141" s="2"/>
      <c r="G141" s="2"/>
      <c r="H141" s="2"/>
      <c r="I141" s="2"/>
      <c r="J141" s="2"/>
      <c r="K141" s="2"/>
      <c r="L141" s="2"/>
      <c r="M141" s="2"/>
      <c r="N141" s="2"/>
      <c r="O141" s="2"/>
      <c r="P141" s="2"/>
      <c r="Q141" s="2"/>
      <c r="R141" s="2"/>
      <c r="S141" s="2"/>
      <c r="T141" s="2"/>
    </row>
    <row r="142" spans="1:20" ht="12.75">
      <c r="A142" s="2"/>
      <c r="B142" s="2"/>
      <c r="C142" s="2"/>
      <c r="D142" s="2"/>
      <c r="E142" s="2"/>
      <c r="F142" s="2"/>
      <c r="G142" s="2"/>
      <c r="H142" s="2"/>
      <c r="I142" s="2"/>
      <c r="J142" s="2"/>
      <c r="K142" s="2"/>
      <c r="L142" s="2"/>
      <c r="M142" s="2"/>
      <c r="N142" s="2"/>
      <c r="O142" s="2"/>
      <c r="P142" s="2"/>
      <c r="Q142" s="2"/>
      <c r="R142" s="2"/>
      <c r="S142" s="2"/>
      <c r="T142" s="2"/>
    </row>
    <row r="143" spans="1:20" ht="12.75">
      <c r="A143" s="2"/>
      <c r="B143" s="2"/>
      <c r="C143" s="2"/>
      <c r="D143" s="2"/>
      <c r="E143" s="2"/>
      <c r="F143" s="2"/>
      <c r="G143" s="2"/>
      <c r="H143" s="2"/>
      <c r="I143" s="2"/>
      <c r="J143" s="2"/>
      <c r="K143" s="2"/>
      <c r="L143" s="2"/>
      <c r="M143" s="2"/>
      <c r="N143" s="2"/>
      <c r="O143" s="2"/>
      <c r="P143" s="2"/>
      <c r="Q143" s="2"/>
      <c r="R143" s="2"/>
      <c r="S143" s="2"/>
      <c r="T143" s="2"/>
    </row>
    <row r="144" spans="1:20" ht="12.75">
      <c r="A144" s="2"/>
      <c r="B144" s="2"/>
      <c r="C144" s="2"/>
      <c r="D144" s="2"/>
      <c r="E144" s="2"/>
      <c r="F144" s="2"/>
      <c r="G144" s="2"/>
      <c r="H144" s="2"/>
      <c r="I144" s="2"/>
      <c r="J144" s="2"/>
      <c r="K144" s="2"/>
      <c r="L144" s="2"/>
      <c r="M144" s="2"/>
      <c r="N144" s="2"/>
      <c r="O144" s="2"/>
      <c r="P144" s="2"/>
      <c r="Q144" s="2"/>
      <c r="R144" s="2"/>
      <c r="S144" s="2"/>
      <c r="T144" s="2"/>
    </row>
    <row r="145" spans="1:20" ht="12.75">
      <c r="A145" s="2"/>
      <c r="B145" s="2"/>
      <c r="C145" s="2"/>
      <c r="D145" s="2"/>
      <c r="E145" s="2"/>
      <c r="F145" s="2"/>
      <c r="G145" s="2"/>
      <c r="H145" s="2"/>
      <c r="I145" s="2"/>
      <c r="J145" s="2"/>
      <c r="K145" s="2"/>
      <c r="L145" s="2"/>
      <c r="M145" s="2"/>
      <c r="N145" s="2"/>
      <c r="O145" s="2"/>
      <c r="P145" s="2"/>
      <c r="Q145" s="2"/>
      <c r="R145" s="2"/>
      <c r="S145" s="2"/>
      <c r="T145" s="2"/>
    </row>
    <row r="146" spans="1:20" ht="12.75">
      <c r="A146" s="2"/>
      <c r="B146" s="2"/>
      <c r="C146" s="2"/>
      <c r="D146" s="2"/>
      <c r="E146" s="2"/>
      <c r="F146" s="2"/>
      <c r="G146" s="2"/>
      <c r="H146" s="2"/>
      <c r="I146" s="2"/>
      <c r="J146" s="2"/>
      <c r="K146" s="2"/>
      <c r="L146" s="2"/>
      <c r="M146" s="2"/>
      <c r="N146" s="2"/>
      <c r="O146" s="2"/>
      <c r="P146" s="2"/>
      <c r="Q146" s="2"/>
      <c r="R146" s="2"/>
      <c r="S146" s="2"/>
      <c r="T146" s="2"/>
    </row>
    <row r="147" spans="1:20" ht="12.75">
      <c r="A147" s="2"/>
      <c r="B147" s="2"/>
      <c r="C147" s="2"/>
      <c r="D147" s="2"/>
      <c r="E147" s="2"/>
      <c r="F147" s="2"/>
      <c r="G147" s="2"/>
      <c r="H147" s="2"/>
      <c r="I147" s="2"/>
      <c r="J147" s="2"/>
      <c r="K147" s="2"/>
      <c r="L147" s="2"/>
      <c r="M147" s="2"/>
      <c r="N147" s="2"/>
      <c r="O147" s="2"/>
      <c r="P147" s="2"/>
      <c r="Q147" s="2"/>
      <c r="R147" s="2"/>
      <c r="S147" s="2"/>
      <c r="T147" s="2"/>
    </row>
    <row r="148" spans="1:20" ht="12.75">
      <c r="A148" s="2"/>
      <c r="B148" s="2"/>
      <c r="C148" s="2"/>
      <c r="D148" s="2"/>
      <c r="E148" s="2"/>
      <c r="F148" s="2"/>
      <c r="G148" s="2"/>
      <c r="H148" s="2"/>
      <c r="I148" s="2"/>
      <c r="J148" s="2"/>
      <c r="K148" s="2"/>
      <c r="L148" s="2"/>
      <c r="M148" s="2"/>
      <c r="N148" s="2"/>
      <c r="O148" s="2"/>
      <c r="P148" s="2"/>
      <c r="Q148" s="2"/>
      <c r="R148" s="2"/>
      <c r="S148" s="2"/>
      <c r="T148" s="2"/>
    </row>
    <row r="149" spans="1:20" ht="12.75">
      <c r="A149" s="2"/>
      <c r="B149" s="2"/>
      <c r="C149" s="2"/>
      <c r="D149" s="2"/>
      <c r="E149" s="2"/>
      <c r="F149" s="2"/>
      <c r="G149" s="2"/>
      <c r="H149" s="2"/>
      <c r="I149" s="2"/>
      <c r="J149" s="2"/>
      <c r="K149" s="2"/>
      <c r="L149" s="2"/>
      <c r="M149" s="2"/>
      <c r="N149" s="2"/>
      <c r="O149" s="2"/>
      <c r="P149" s="2"/>
      <c r="Q149" s="2"/>
      <c r="R149" s="2"/>
      <c r="S149" s="2"/>
      <c r="T149" s="2"/>
    </row>
    <row r="150" spans="1:20" ht="12.75">
      <c r="A150" s="2"/>
      <c r="B150" s="2"/>
      <c r="C150" s="2"/>
      <c r="D150" s="2"/>
      <c r="E150" s="2"/>
      <c r="F150" s="2"/>
      <c r="G150" s="2"/>
      <c r="H150" s="2"/>
      <c r="I150" s="2"/>
      <c r="J150" s="2"/>
      <c r="K150" s="2"/>
      <c r="L150" s="2"/>
      <c r="M150" s="2"/>
      <c r="N150" s="2"/>
      <c r="O150" s="2"/>
      <c r="P150" s="2"/>
      <c r="Q150" s="2"/>
      <c r="R150" s="2"/>
      <c r="S150" s="2"/>
      <c r="T150" s="2"/>
    </row>
    <row r="151" spans="1:20" ht="12.75">
      <c r="A151" s="2"/>
      <c r="B151" s="2"/>
      <c r="C151" s="2"/>
      <c r="D151" s="2"/>
      <c r="E151" s="2"/>
      <c r="F151" s="2"/>
      <c r="G151" s="2"/>
      <c r="H151" s="2"/>
      <c r="I151" s="2"/>
      <c r="J151" s="2"/>
      <c r="K151" s="2"/>
      <c r="L151" s="2"/>
      <c r="M151" s="2"/>
      <c r="N151" s="2"/>
      <c r="O151" s="2"/>
      <c r="P151" s="2"/>
      <c r="Q151" s="2"/>
      <c r="R151" s="2"/>
      <c r="S151" s="2"/>
      <c r="T151" s="2"/>
    </row>
    <row r="152" spans="1:20" ht="12.75">
      <c r="A152" s="2"/>
      <c r="B152" s="2"/>
      <c r="C152" s="2"/>
      <c r="D152" s="2"/>
      <c r="E152" s="2"/>
      <c r="F152" s="2"/>
      <c r="G152" s="2"/>
      <c r="H152" s="2"/>
      <c r="I152" s="2"/>
      <c r="J152" s="2"/>
      <c r="K152" s="2"/>
      <c r="L152" s="2"/>
      <c r="M152" s="2"/>
      <c r="N152" s="2"/>
      <c r="O152" s="2"/>
      <c r="P152" s="2"/>
      <c r="Q152" s="2"/>
      <c r="R152" s="2"/>
      <c r="S152" s="2"/>
      <c r="T152" s="2"/>
    </row>
    <row r="153" spans="1:20" ht="12.75">
      <c r="A153" s="2"/>
      <c r="B153" s="2"/>
      <c r="C153" s="2"/>
      <c r="D153" s="2"/>
      <c r="E153" s="2"/>
      <c r="F153" s="2"/>
      <c r="G153" s="2"/>
      <c r="H153" s="2"/>
      <c r="I153" s="2"/>
      <c r="J153" s="2"/>
      <c r="K153" s="2"/>
      <c r="L153" s="2"/>
      <c r="M153" s="2"/>
      <c r="N153" s="2"/>
      <c r="O153" s="2"/>
      <c r="P153" s="2"/>
      <c r="Q153" s="2"/>
      <c r="R153" s="2"/>
      <c r="S153" s="2"/>
      <c r="T153" s="2"/>
    </row>
    <row r="154" spans="1:20" ht="12.75">
      <c r="A154" s="2"/>
      <c r="B154" s="2"/>
      <c r="C154" s="2"/>
      <c r="D154" s="2"/>
      <c r="E154" s="2"/>
      <c r="F154" s="2"/>
      <c r="G154" s="2"/>
      <c r="H154" s="2"/>
      <c r="I154" s="2"/>
      <c r="J154" s="2"/>
      <c r="K154" s="2"/>
      <c r="L154" s="2"/>
      <c r="M154" s="2"/>
      <c r="N154" s="2"/>
      <c r="O154" s="2"/>
      <c r="P154" s="2"/>
      <c r="Q154" s="2"/>
      <c r="R154" s="2"/>
      <c r="S154" s="2"/>
      <c r="T154" s="2"/>
    </row>
    <row r="155" spans="1:20" ht="12.75">
      <c r="A155" s="2"/>
      <c r="B155" s="2"/>
      <c r="C155" s="2"/>
      <c r="D155" s="2"/>
      <c r="E155" s="2"/>
      <c r="F155" s="2"/>
      <c r="G155" s="2"/>
      <c r="H155" s="2"/>
      <c r="I155" s="2"/>
      <c r="J155" s="2"/>
      <c r="K155" s="2"/>
      <c r="L155" s="2"/>
      <c r="M155" s="2"/>
      <c r="N155" s="2"/>
      <c r="O155" s="2"/>
      <c r="P155" s="2"/>
      <c r="Q155" s="2"/>
      <c r="R155" s="2"/>
      <c r="S155" s="2"/>
      <c r="T155" s="2"/>
    </row>
    <row r="156" spans="1:20" ht="12.75">
      <c r="A156" s="2"/>
      <c r="B156" s="2"/>
      <c r="C156" s="2"/>
      <c r="D156" s="2"/>
      <c r="E156" s="2"/>
      <c r="F156" s="2"/>
      <c r="G156" s="2"/>
      <c r="H156" s="2"/>
      <c r="I156" s="2"/>
      <c r="J156" s="2"/>
      <c r="K156" s="2"/>
      <c r="L156" s="2"/>
      <c r="M156" s="2"/>
      <c r="N156" s="2"/>
      <c r="O156" s="2"/>
      <c r="P156" s="2"/>
      <c r="Q156" s="2"/>
      <c r="R156" s="2"/>
      <c r="S156" s="2"/>
      <c r="T156" s="2"/>
    </row>
    <row r="157" spans="1:20" ht="12.75">
      <c r="A157" s="2"/>
      <c r="B157" s="2"/>
      <c r="C157" s="2"/>
      <c r="D157" s="2"/>
      <c r="E157" s="2"/>
      <c r="F157" s="2"/>
      <c r="G157" s="2"/>
      <c r="H157" s="2"/>
      <c r="I157" s="2"/>
      <c r="J157" s="2"/>
      <c r="K157" s="2"/>
      <c r="L157" s="2"/>
      <c r="M157" s="2"/>
      <c r="N157" s="2"/>
      <c r="O157" s="2"/>
      <c r="P157" s="2"/>
      <c r="Q157" s="2"/>
      <c r="R157" s="2"/>
      <c r="S157" s="2"/>
      <c r="T157" s="2"/>
    </row>
    <row r="158" spans="1:20" ht="12.75">
      <c r="A158" s="2"/>
      <c r="B158" s="2"/>
      <c r="C158" s="2"/>
      <c r="D158" s="2"/>
      <c r="E158" s="2"/>
      <c r="F158" s="2"/>
      <c r="G158" s="2"/>
      <c r="H158" s="2"/>
      <c r="I158" s="2"/>
      <c r="J158" s="2"/>
      <c r="K158" s="2"/>
      <c r="L158" s="2"/>
      <c r="M158" s="2"/>
      <c r="N158" s="2"/>
      <c r="O158" s="2"/>
      <c r="P158" s="2"/>
      <c r="Q158" s="2"/>
      <c r="R158" s="2"/>
      <c r="S158" s="2"/>
      <c r="T158" s="2"/>
    </row>
    <row r="159" spans="1:20" ht="12.75">
      <c r="A159" s="2"/>
      <c r="B159" s="2"/>
      <c r="C159" s="2"/>
      <c r="D159" s="2"/>
      <c r="E159" s="2"/>
      <c r="F159" s="2"/>
      <c r="G159" s="2"/>
      <c r="H159" s="2"/>
      <c r="I159" s="2"/>
      <c r="J159" s="2"/>
      <c r="K159" s="2"/>
      <c r="L159" s="2"/>
      <c r="M159" s="2"/>
      <c r="N159" s="2"/>
      <c r="O159" s="2"/>
      <c r="P159" s="2"/>
      <c r="Q159" s="2"/>
      <c r="R159" s="2"/>
      <c r="S159" s="2"/>
      <c r="T159" s="2"/>
    </row>
    <row r="160" spans="1:20" ht="12.75">
      <c r="A160" s="2"/>
      <c r="B160" s="2"/>
      <c r="C160" s="2"/>
      <c r="D160" s="2"/>
      <c r="E160" s="2"/>
      <c r="F160" s="2"/>
      <c r="G160" s="2"/>
      <c r="H160" s="2"/>
      <c r="I160" s="2"/>
      <c r="J160" s="2"/>
      <c r="K160" s="2"/>
      <c r="L160" s="2"/>
      <c r="M160" s="2"/>
      <c r="N160" s="2"/>
      <c r="O160" s="2"/>
      <c r="P160" s="2"/>
      <c r="Q160" s="2"/>
      <c r="R160" s="2"/>
      <c r="S160" s="2"/>
      <c r="T160" s="2"/>
    </row>
    <row r="161" spans="1:20" ht="12.75">
      <c r="A161" s="2"/>
      <c r="B161" s="2"/>
      <c r="C161" s="2"/>
      <c r="D161" s="2"/>
      <c r="E161" s="2"/>
      <c r="F161" s="2"/>
      <c r="G161" s="2"/>
      <c r="H161" s="2"/>
      <c r="I161" s="2"/>
      <c r="J161" s="2"/>
      <c r="K161" s="2"/>
      <c r="L161" s="2"/>
      <c r="M161" s="2"/>
      <c r="N161" s="2"/>
      <c r="O161" s="2"/>
      <c r="P161" s="2"/>
      <c r="Q161" s="2"/>
      <c r="R161" s="2"/>
      <c r="S161" s="2"/>
      <c r="T161" s="2"/>
    </row>
    <row r="162" spans="1:20" ht="12.75">
      <c r="A162" s="2"/>
      <c r="B162" s="2"/>
      <c r="C162" s="2"/>
      <c r="D162" s="2"/>
      <c r="E162" s="2"/>
      <c r="F162" s="2"/>
      <c r="G162" s="2"/>
      <c r="H162" s="2"/>
      <c r="I162" s="2"/>
      <c r="J162" s="2"/>
      <c r="K162" s="2"/>
      <c r="L162" s="2"/>
      <c r="M162" s="2"/>
      <c r="N162" s="2"/>
      <c r="O162" s="2"/>
      <c r="P162" s="2"/>
      <c r="Q162" s="2"/>
      <c r="R162" s="2"/>
      <c r="S162" s="2"/>
      <c r="T162" s="2"/>
    </row>
    <row r="163" spans="1:20" ht="12.75">
      <c r="A163" s="2"/>
      <c r="B163" s="2"/>
      <c r="C163" s="2"/>
      <c r="D163" s="2"/>
      <c r="E163" s="2"/>
      <c r="F163" s="2"/>
      <c r="G163" s="2"/>
      <c r="H163" s="2"/>
      <c r="I163" s="2"/>
      <c r="J163" s="2"/>
      <c r="K163" s="2"/>
      <c r="L163" s="2"/>
      <c r="M163" s="2"/>
      <c r="N163" s="2"/>
      <c r="O163" s="2"/>
      <c r="P163" s="2"/>
      <c r="Q163" s="2"/>
      <c r="R163" s="2"/>
      <c r="S163" s="2"/>
      <c r="T163" s="2"/>
    </row>
    <row r="164" spans="1:20" ht="12.75">
      <c r="A164" s="2"/>
      <c r="B164" s="2"/>
      <c r="C164" s="2"/>
      <c r="D164" s="2"/>
      <c r="E164" s="2"/>
      <c r="F164" s="2"/>
      <c r="G164" s="2"/>
      <c r="H164" s="2"/>
      <c r="I164" s="2"/>
      <c r="J164" s="2"/>
      <c r="K164" s="2"/>
      <c r="L164" s="2"/>
      <c r="M164" s="2"/>
      <c r="N164" s="2"/>
      <c r="O164" s="2"/>
      <c r="P164" s="2"/>
      <c r="Q164" s="2"/>
      <c r="R164" s="2"/>
      <c r="S164" s="2"/>
      <c r="T164" s="2"/>
    </row>
    <row r="165" spans="1:20" ht="12.75">
      <c r="A165" s="2"/>
      <c r="B165" s="2"/>
      <c r="C165" s="2"/>
      <c r="D165" s="2"/>
      <c r="E165" s="2"/>
      <c r="F165" s="2"/>
      <c r="G165" s="2"/>
      <c r="H165" s="2"/>
      <c r="I165" s="2"/>
      <c r="J165" s="2"/>
      <c r="K165" s="2"/>
      <c r="L165" s="2"/>
      <c r="M165" s="2"/>
      <c r="N165" s="2"/>
      <c r="O165" s="2"/>
      <c r="P165" s="2"/>
      <c r="Q165" s="2"/>
      <c r="R165" s="2"/>
      <c r="S165" s="2"/>
      <c r="T165" s="2"/>
    </row>
    <row r="166" spans="1:20" ht="12.75">
      <c r="A166" s="2"/>
      <c r="B166" s="2"/>
      <c r="C166" s="2"/>
      <c r="D166" s="2"/>
      <c r="E166" s="2"/>
      <c r="F166" s="2"/>
      <c r="G166" s="2"/>
      <c r="H166" s="2"/>
      <c r="I166" s="2"/>
      <c r="J166" s="2"/>
      <c r="K166" s="2"/>
      <c r="L166" s="2"/>
      <c r="M166" s="2"/>
      <c r="N166" s="2"/>
      <c r="O166" s="2"/>
      <c r="P166" s="2"/>
      <c r="Q166" s="2"/>
      <c r="R166" s="2"/>
      <c r="S166" s="2"/>
      <c r="T166" s="2"/>
    </row>
    <row r="167" spans="1:20" ht="12.75">
      <c r="A167" s="2"/>
      <c r="B167" s="2"/>
      <c r="C167" s="2"/>
      <c r="D167" s="2"/>
      <c r="E167" s="2"/>
      <c r="F167" s="2"/>
      <c r="G167" s="2"/>
      <c r="H167" s="2"/>
      <c r="I167" s="2"/>
      <c r="J167" s="2"/>
      <c r="K167" s="2"/>
      <c r="L167" s="2"/>
      <c r="M167" s="2"/>
      <c r="N167" s="2"/>
      <c r="O167" s="2"/>
      <c r="P167" s="2"/>
      <c r="Q167" s="2"/>
      <c r="R167" s="2"/>
      <c r="S167" s="2"/>
      <c r="T167" s="2"/>
    </row>
    <row r="168" spans="1:20" ht="12.75">
      <c r="A168" s="2"/>
      <c r="B168" s="2"/>
      <c r="C168" s="2"/>
      <c r="D168" s="2"/>
      <c r="E168" s="2"/>
      <c r="F168" s="2"/>
      <c r="G168" s="2"/>
      <c r="H168" s="2"/>
      <c r="I168" s="2"/>
      <c r="J168" s="2"/>
      <c r="K168" s="2"/>
      <c r="L168" s="2"/>
      <c r="M168" s="2"/>
      <c r="N168" s="2"/>
      <c r="O168" s="2"/>
      <c r="P168" s="2"/>
      <c r="Q168" s="2"/>
      <c r="R168" s="2"/>
      <c r="S168" s="2"/>
      <c r="T168" s="2"/>
    </row>
    <row r="169" spans="1:20" ht="12.75">
      <c r="A169" s="2"/>
      <c r="B169" s="2"/>
      <c r="C169" s="2"/>
      <c r="D169" s="2"/>
      <c r="E169" s="2"/>
      <c r="F169" s="2"/>
      <c r="G169" s="2"/>
      <c r="H169" s="2"/>
      <c r="I169" s="2"/>
      <c r="J169" s="2"/>
      <c r="K169" s="2"/>
      <c r="L169" s="2"/>
      <c r="M169" s="2"/>
      <c r="N169" s="2"/>
      <c r="O169" s="2"/>
      <c r="P169" s="2"/>
      <c r="Q169" s="2"/>
      <c r="R169" s="2"/>
      <c r="S169" s="2"/>
      <c r="T169" s="2"/>
    </row>
    <row r="170" spans="1:20" ht="12.75">
      <c r="A170" s="2"/>
      <c r="B170" s="2"/>
      <c r="C170" s="2"/>
      <c r="D170" s="2"/>
      <c r="E170" s="2"/>
      <c r="F170" s="2"/>
      <c r="G170" s="2"/>
      <c r="H170" s="2"/>
      <c r="I170" s="2"/>
      <c r="J170" s="2"/>
      <c r="K170" s="2"/>
      <c r="L170" s="2"/>
      <c r="M170" s="2"/>
      <c r="N170" s="2"/>
      <c r="O170" s="2"/>
      <c r="P170" s="2"/>
      <c r="Q170" s="2"/>
      <c r="R170" s="2"/>
      <c r="S170" s="2"/>
      <c r="T170" s="2"/>
    </row>
    <row r="171" spans="1:20" ht="12.75">
      <c r="A171" s="2"/>
      <c r="B171" s="2"/>
      <c r="C171" s="2"/>
      <c r="D171" s="2"/>
      <c r="E171" s="2"/>
      <c r="F171" s="2"/>
      <c r="G171" s="2"/>
      <c r="H171" s="2"/>
      <c r="I171" s="2"/>
      <c r="J171" s="2"/>
      <c r="K171" s="2"/>
      <c r="L171" s="2"/>
      <c r="M171" s="2"/>
      <c r="N171" s="2"/>
      <c r="O171" s="2"/>
      <c r="P171" s="2"/>
      <c r="Q171" s="2"/>
      <c r="R171" s="2"/>
      <c r="S171" s="2"/>
      <c r="T171" s="2"/>
    </row>
    <row r="172" spans="1:20" ht="12.75">
      <c r="A172" s="2"/>
      <c r="B172" s="2"/>
      <c r="C172" s="2"/>
      <c r="D172" s="2"/>
      <c r="E172" s="2"/>
      <c r="F172" s="2"/>
      <c r="G172" s="2"/>
      <c r="H172" s="2"/>
      <c r="I172" s="2"/>
      <c r="J172" s="2"/>
      <c r="K172" s="2"/>
      <c r="L172" s="2"/>
      <c r="M172" s="2"/>
      <c r="N172" s="2"/>
      <c r="O172" s="2"/>
      <c r="P172" s="2"/>
      <c r="Q172" s="2"/>
      <c r="R172" s="2"/>
      <c r="S172" s="2"/>
      <c r="T172" s="2"/>
    </row>
    <row r="173" spans="1:20" ht="12.75">
      <c r="A173" s="2"/>
      <c r="B173" s="2"/>
      <c r="C173" s="2"/>
      <c r="D173" s="2"/>
      <c r="E173" s="2"/>
      <c r="F173" s="2"/>
      <c r="G173" s="2"/>
      <c r="H173" s="2"/>
      <c r="I173" s="2"/>
      <c r="J173" s="2"/>
      <c r="K173" s="2"/>
      <c r="L173" s="2"/>
      <c r="M173" s="2"/>
      <c r="N173" s="2"/>
      <c r="O173" s="2"/>
      <c r="P173" s="2"/>
      <c r="Q173" s="2"/>
      <c r="R173" s="2"/>
      <c r="S173" s="2"/>
      <c r="T173" s="2"/>
    </row>
    <row r="174" spans="1:20" ht="12.75">
      <c r="A174" s="2"/>
      <c r="B174" s="2"/>
      <c r="C174" s="2"/>
      <c r="D174" s="2"/>
      <c r="E174" s="2"/>
      <c r="F174" s="2"/>
      <c r="G174" s="2"/>
      <c r="H174" s="2"/>
      <c r="I174" s="2"/>
      <c r="J174" s="2"/>
      <c r="K174" s="2"/>
      <c r="L174" s="2"/>
      <c r="M174" s="2"/>
      <c r="N174" s="2"/>
      <c r="O174" s="2"/>
      <c r="P174" s="2"/>
      <c r="Q174" s="2"/>
      <c r="R174" s="2"/>
      <c r="S174" s="2"/>
      <c r="T174" s="2"/>
    </row>
    <row r="175" spans="1:20" ht="12.75">
      <c r="A175" s="2"/>
      <c r="B175" s="2"/>
      <c r="C175" s="2"/>
      <c r="D175" s="2"/>
      <c r="E175" s="2"/>
      <c r="F175" s="2"/>
      <c r="G175" s="2"/>
      <c r="H175" s="2"/>
      <c r="I175" s="2"/>
      <c r="J175" s="2"/>
      <c r="K175" s="2"/>
      <c r="L175" s="2"/>
      <c r="M175" s="2"/>
      <c r="N175" s="2"/>
      <c r="O175" s="2"/>
      <c r="P175" s="2"/>
      <c r="Q175" s="2"/>
      <c r="R175" s="2"/>
      <c r="S175" s="2"/>
      <c r="T175" s="2"/>
    </row>
    <row r="176" spans="1:20" ht="12.75">
      <c r="A176" s="2"/>
      <c r="B176" s="2"/>
      <c r="C176" s="2"/>
      <c r="D176" s="2"/>
      <c r="E176" s="2"/>
      <c r="F176" s="2"/>
      <c r="G176" s="2"/>
      <c r="H176" s="2"/>
      <c r="I176" s="2"/>
      <c r="J176" s="2"/>
      <c r="K176" s="2"/>
      <c r="L176" s="2"/>
      <c r="M176" s="2"/>
      <c r="N176" s="2"/>
      <c r="O176" s="2"/>
      <c r="P176" s="2"/>
      <c r="Q176" s="2"/>
      <c r="R176" s="2"/>
      <c r="S176" s="2"/>
      <c r="T176" s="2"/>
    </row>
    <row r="177" spans="1:20" ht="12.75">
      <c r="A177" s="2"/>
      <c r="B177" s="2"/>
      <c r="C177" s="2"/>
      <c r="D177" s="2"/>
      <c r="E177" s="2"/>
      <c r="F177" s="2"/>
      <c r="G177" s="2"/>
      <c r="H177" s="2"/>
      <c r="I177" s="2"/>
      <c r="J177" s="2"/>
      <c r="K177" s="2"/>
      <c r="L177" s="2"/>
      <c r="M177" s="2"/>
      <c r="N177" s="2"/>
      <c r="O177" s="2"/>
      <c r="P177" s="2"/>
      <c r="Q177" s="2"/>
      <c r="R177" s="2"/>
      <c r="S177" s="2"/>
      <c r="T177" s="2"/>
    </row>
    <row r="178" spans="1:20" ht="12.75">
      <c r="A178" s="2"/>
      <c r="B178" s="2"/>
      <c r="C178" s="2"/>
      <c r="D178" s="2"/>
      <c r="E178" s="2"/>
      <c r="F178" s="2"/>
      <c r="G178" s="2"/>
      <c r="H178" s="2"/>
      <c r="I178" s="2"/>
      <c r="J178" s="2"/>
      <c r="K178" s="2"/>
      <c r="L178" s="2"/>
      <c r="M178" s="2"/>
      <c r="N178" s="2"/>
      <c r="O178" s="2"/>
      <c r="P178" s="2"/>
      <c r="Q178" s="2"/>
      <c r="R178" s="2"/>
      <c r="S178" s="2"/>
      <c r="T178" s="2"/>
    </row>
    <row r="179" spans="1:20" ht="12.75">
      <c r="A179" s="2"/>
      <c r="B179" s="2"/>
      <c r="C179" s="2"/>
      <c r="D179" s="2"/>
      <c r="E179" s="2"/>
      <c r="F179" s="2"/>
      <c r="G179" s="2"/>
      <c r="H179" s="2"/>
      <c r="I179" s="2"/>
      <c r="J179" s="2"/>
      <c r="K179" s="2"/>
      <c r="L179" s="2"/>
      <c r="M179" s="2"/>
      <c r="N179" s="2"/>
      <c r="O179" s="2"/>
      <c r="P179" s="2"/>
      <c r="Q179" s="2"/>
      <c r="R179" s="2"/>
      <c r="S179" s="2"/>
      <c r="T179" s="2"/>
    </row>
    <row r="180" spans="1:20" ht="12.75">
      <c r="A180" s="2"/>
      <c r="B180" s="2"/>
      <c r="C180" s="2"/>
      <c r="D180" s="2"/>
      <c r="E180" s="2"/>
      <c r="F180" s="2"/>
      <c r="G180" s="2"/>
      <c r="H180" s="2"/>
      <c r="I180" s="2"/>
      <c r="J180" s="2"/>
      <c r="K180" s="2"/>
      <c r="L180" s="2"/>
      <c r="M180" s="2"/>
      <c r="N180" s="2"/>
      <c r="O180" s="2"/>
      <c r="P180" s="2"/>
      <c r="Q180" s="2"/>
      <c r="R180" s="2"/>
      <c r="S180" s="2"/>
      <c r="T180" s="2"/>
    </row>
    <row r="181" spans="1:20" ht="12.75">
      <c r="A181" s="2"/>
      <c r="B181" s="2"/>
      <c r="C181" s="2"/>
      <c r="D181" s="2"/>
      <c r="E181" s="2"/>
      <c r="F181" s="2"/>
      <c r="G181" s="2"/>
      <c r="H181" s="2"/>
      <c r="I181" s="2"/>
      <c r="J181" s="2"/>
      <c r="K181" s="2"/>
      <c r="L181" s="2"/>
      <c r="M181" s="2"/>
      <c r="N181" s="2"/>
      <c r="O181" s="2"/>
      <c r="P181" s="2"/>
      <c r="Q181" s="2"/>
      <c r="R181" s="2"/>
      <c r="S181" s="2"/>
      <c r="T181" s="2"/>
    </row>
    <row r="182" spans="1:20" ht="12.75">
      <c r="A182" s="2"/>
      <c r="B182" s="2"/>
      <c r="C182" s="2"/>
      <c r="D182" s="2"/>
      <c r="E182" s="2"/>
      <c r="F182" s="2"/>
      <c r="G182" s="2"/>
      <c r="H182" s="2"/>
      <c r="I182" s="2"/>
      <c r="J182" s="2"/>
      <c r="K182" s="2"/>
      <c r="L182" s="2"/>
      <c r="M182" s="2"/>
      <c r="N182" s="2"/>
      <c r="O182" s="2"/>
      <c r="P182" s="2"/>
      <c r="Q182" s="2"/>
      <c r="R182" s="2"/>
      <c r="S182" s="2"/>
      <c r="T182" s="2"/>
    </row>
    <row r="183" spans="1:20" ht="12.75">
      <c r="A183" s="2"/>
      <c r="B183" s="2"/>
      <c r="C183" s="2"/>
      <c r="D183" s="2"/>
      <c r="E183" s="2"/>
      <c r="F183" s="2"/>
      <c r="G183" s="2"/>
      <c r="H183" s="2"/>
      <c r="I183" s="2"/>
      <c r="J183" s="2"/>
      <c r="K183" s="2"/>
      <c r="L183" s="2"/>
      <c r="M183" s="2"/>
      <c r="N183" s="2"/>
      <c r="O183" s="2"/>
      <c r="P183" s="2"/>
      <c r="Q183" s="2"/>
      <c r="R183" s="2"/>
      <c r="S183" s="2"/>
      <c r="T183" s="2"/>
    </row>
    <row r="184" spans="1:20" ht="12.75">
      <c r="A184" s="2"/>
      <c r="B184" s="2"/>
      <c r="C184" s="2"/>
      <c r="D184" s="2"/>
      <c r="E184" s="2"/>
      <c r="F184" s="2"/>
      <c r="G184" s="2"/>
      <c r="H184" s="2"/>
      <c r="I184" s="2"/>
      <c r="J184" s="2"/>
      <c r="K184" s="2"/>
      <c r="L184" s="2"/>
      <c r="M184" s="2"/>
      <c r="N184" s="2"/>
      <c r="O184" s="2"/>
      <c r="P184" s="2"/>
      <c r="Q184" s="2"/>
      <c r="R184" s="2"/>
      <c r="S184" s="2"/>
      <c r="T184" s="2"/>
    </row>
    <row r="185" spans="1:20" ht="12.75">
      <c r="A185" s="2"/>
      <c r="B185" s="2"/>
      <c r="C185" s="2"/>
      <c r="D185" s="2"/>
      <c r="E185" s="2"/>
      <c r="F185" s="2"/>
      <c r="G185" s="2"/>
      <c r="H185" s="2"/>
      <c r="I185" s="2"/>
      <c r="J185" s="2"/>
      <c r="K185" s="2"/>
      <c r="L185" s="2"/>
      <c r="M185" s="2"/>
      <c r="N185" s="2"/>
      <c r="O185" s="2"/>
      <c r="P185" s="2"/>
      <c r="Q185" s="2"/>
      <c r="R185" s="2"/>
      <c r="S185" s="2"/>
      <c r="T185" s="2"/>
    </row>
    <row r="186" spans="1:20" ht="12.75">
      <c r="A186" s="2"/>
      <c r="B186" s="2"/>
      <c r="C186" s="2"/>
      <c r="D186" s="2"/>
      <c r="E186" s="2"/>
      <c r="F186" s="2"/>
      <c r="G186" s="2"/>
      <c r="H186" s="2"/>
      <c r="I186" s="2"/>
      <c r="J186" s="2"/>
      <c r="K186" s="2"/>
      <c r="L186" s="2"/>
      <c r="M186" s="2"/>
      <c r="N186" s="2"/>
      <c r="O186" s="2"/>
      <c r="P186" s="2"/>
      <c r="Q186" s="2"/>
      <c r="R186" s="2"/>
      <c r="S186" s="2"/>
      <c r="T186" s="2"/>
    </row>
    <row r="187" spans="1:20" ht="12.75">
      <c r="A187" s="2"/>
      <c r="B187" s="2"/>
      <c r="C187" s="2"/>
      <c r="D187" s="2"/>
      <c r="E187" s="2"/>
      <c r="F187" s="2"/>
      <c r="G187" s="2"/>
      <c r="H187" s="2"/>
      <c r="I187" s="2"/>
      <c r="J187" s="2"/>
      <c r="K187" s="2"/>
      <c r="L187" s="2"/>
      <c r="M187" s="2"/>
      <c r="N187" s="2"/>
      <c r="O187" s="2"/>
      <c r="P187" s="2"/>
      <c r="Q187" s="2"/>
      <c r="R187" s="2"/>
      <c r="S187" s="2"/>
      <c r="T187" s="2"/>
    </row>
    <row r="188" spans="1:20" ht="12.75">
      <c r="A188" s="2"/>
      <c r="B188" s="2"/>
      <c r="C188" s="2"/>
      <c r="D188" s="2"/>
      <c r="E188" s="2"/>
      <c r="F188" s="2"/>
      <c r="G188" s="2"/>
      <c r="H188" s="2"/>
      <c r="I188" s="2"/>
      <c r="J188" s="2"/>
      <c r="K188" s="2"/>
      <c r="L188" s="2"/>
      <c r="M188" s="2"/>
      <c r="N188" s="2"/>
      <c r="O188" s="2"/>
      <c r="P188" s="2"/>
      <c r="Q188" s="2"/>
      <c r="R188" s="2"/>
      <c r="S188" s="2"/>
      <c r="T188" s="2"/>
    </row>
    <row r="189" spans="1:20" ht="12.75">
      <c r="A189" s="2"/>
      <c r="B189" s="2"/>
      <c r="C189" s="2"/>
      <c r="D189" s="2"/>
      <c r="E189" s="2"/>
      <c r="F189" s="2"/>
      <c r="G189" s="2"/>
      <c r="H189" s="2"/>
      <c r="I189" s="2"/>
      <c r="J189" s="2"/>
      <c r="K189" s="2"/>
      <c r="L189" s="2"/>
      <c r="M189" s="2"/>
      <c r="N189" s="2"/>
      <c r="O189" s="2"/>
      <c r="P189" s="2"/>
      <c r="Q189" s="2"/>
      <c r="R189" s="2"/>
      <c r="S189" s="2"/>
      <c r="T189" s="2"/>
    </row>
    <row r="190" spans="1:20" ht="12.75">
      <c r="A190" s="2"/>
      <c r="B190" s="2"/>
      <c r="C190" s="2"/>
      <c r="D190" s="2"/>
      <c r="E190" s="2"/>
      <c r="F190" s="2"/>
      <c r="G190" s="2"/>
      <c r="H190" s="2"/>
      <c r="I190" s="2"/>
      <c r="J190" s="2"/>
      <c r="K190" s="2"/>
      <c r="L190" s="2"/>
      <c r="M190" s="2"/>
      <c r="N190" s="2"/>
      <c r="O190" s="2"/>
      <c r="P190" s="2"/>
      <c r="Q190" s="2"/>
      <c r="R190" s="2"/>
      <c r="S190" s="2"/>
      <c r="T190" s="2"/>
    </row>
    <row r="191" spans="1:20" ht="12.75">
      <c r="A191" s="2"/>
      <c r="B191" s="2"/>
      <c r="C191" s="2"/>
      <c r="D191" s="2"/>
      <c r="E191" s="2"/>
      <c r="F191" s="2"/>
      <c r="G191" s="2"/>
      <c r="H191" s="2"/>
      <c r="I191" s="2"/>
      <c r="J191" s="2"/>
      <c r="K191" s="2"/>
      <c r="L191" s="2"/>
      <c r="M191" s="2"/>
      <c r="N191" s="2"/>
      <c r="O191" s="2"/>
      <c r="P191" s="2"/>
      <c r="Q191" s="2"/>
      <c r="R191" s="2"/>
      <c r="S191" s="2"/>
      <c r="T191" s="2"/>
    </row>
    <row r="192" spans="1:20" ht="12.75">
      <c r="A192" s="2"/>
      <c r="B192" s="2"/>
      <c r="C192" s="2"/>
      <c r="D192" s="2"/>
      <c r="E192" s="2"/>
      <c r="F192" s="2"/>
      <c r="G192" s="2"/>
      <c r="H192" s="2"/>
      <c r="I192" s="2"/>
      <c r="J192" s="2"/>
      <c r="K192" s="2"/>
      <c r="L192" s="2"/>
      <c r="M192" s="2"/>
      <c r="N192" s="2"/>
      <c r="O192" s="2"/>
      <c r="P192" s="2"/>
      <c r="Q192" s="2"/>
      <c r="R192" s="2"/>
      <c r="S192" s="2"/>
      <c r="T192" s="2"/>
    </row>
    <row r="193" spans="1:20" ht="12.75">
      <c r="A193" s="2"/>
      <c r="B193" s="2"/>
      <c r="C193" s="2"/>
      <c r="D193" s="2"/>
      <c r="E193" s="2"/>
      <c r="F193" s="2"/>
      <c r="G193" s="2"/>
      <c r="H193" s="2"/>
      <c r="I193" s="2"/>
      <c r="J193" s="2"/>
      <c r="K193" s="2"/>
      <c r="L193" s="2"/>
      <c r="M193" s="2"/>
      <c r="N193" s="2"/>
      <c r="O193" s="2"/>
      <c r="P193" s="2"/>
      <c r="Q193" s="2"/>
      <c r="R193" s="2"/>
      <c r="S193" s="2"/>
      <c r="T193" s="2"/>
    </row>
    <row r="194" spans="1:20" ht="12.75">
      <c r="A194" s="2"/>
      <c r="B194" s="2"/>
      <c r="C194" s="2"/>
      <c r="D194" s="2"/>
      <c r="E194" s="2"/>
      <c r="F194" s="2"/>
      <c r="G194" s="2"/>
      <c r="H194" s="2"/>
      <c r="I194" s="2"/>
      <c r="J194" s="2"/>
      <c r="K194" s="2"/>
      <c r="L194" s="2"/>
      <c r="M194" s="2"/>
      <c r="N194" s="2"/>
      <c r="O194" s="2"/>
      <c r="P194" s="2"/>
      <c r="Q194" s="2"/>
      <c r="R194" s="2"/>
      <c r="S194" s="2"/>
      <c r="T194" s="2"/>
    </row>
    <row r="195" spans="1:20" ht="12.75">
      <c r="A195" s="2"/>
      <c r="B195" s="2"/>
      <c r="C195" s="2"/>
      <c r="D195" s="2"/>
      <c r="E195" s="2"/>
      <c r="F195" s="2"/>
      <c r="G195" s="2"/>
      <c r="H195" s="2"/>
      <c r="I195" s="2"/>
      <c r="J195" s="2"/>
      <c r="K195" s="2"/>
      <c r="L195" s="2"/>
      <c r="M195" s="2"/>
      <c r="N195" s="2"/>
      <c r="O195" s="2"/>
      <c r="P195" s="2"/>
      <c r="Q195" s="2"/>
      <c r="R195" s="2"/>
      <c r="S195" s="2"/>
      <c r="T195" s="2"/>
    </row>
    <row r="196" spans="1:20" ht="12.75">
      <c r="A196" s="2"/>
      <c r="B196" s="2"/>
      <c r="C196" s="2"/>
      <c r="D196" s="2"/>
      <c r="E196" s="2"/>
      <c r="F196" s="2"/>
      <c r="G196" s="2"/>
      <c r="H196" s="2"/>
      <c r="I196" s="2"/>
      <c r="J196" s="2"/>
      <c r="K196" s="2"/>
      <c r="L196" s="2"/>
      <c r="M196" s="2"/>
      <c r="N196" s="2"/>
      <c r="O196" s="2"/>
      <c r="P196" s="2"/>
      <c r="Q196" s="2"/>
      <c r="R196" s="2"/>
      <c r="S196" s="2"/>
      <c r="T196" s="2"/>
    </row>
    <row r="197" spans="1:20" ht="12.75">
      <c r="A197" s="2"/>
      <c r="B197" s="2"/>
      <c r="C197" s="2"/>
      <c r="D197" s="2"/>
      <c r="E197" s="2"/>
      <c r="F197" s="2"/>
      <c r="G197" s="2"/>
      <c r="H197" s="2"/>
      <c r="I197" s="2"/>
      <c r="J197" s="2"/>
      <c r="K197" s="2"/>
      <c r="L197" s="2"/>
      <c r="M197" s="2"/>
      <c r="N197" s="2"/>
      <c r="O197" s="2"/>
      <c r="P197" s="2"/>
      <c r="Q197" s="2"/>
      <c r="R197" s="2"/>
      <c r="S197" s="2"/>
      <c r="T197" s="2"/>
    </row>
    <row r="198" spans="1:20" ht="12.75">
      <c r="A198" s="2"/>
      <c r="B198" s="2"/>
      <c r="C198" s="2"/>
      <c r="D198" s="2"/>
      <c r="E198" s="2"/>
      <c r="F198" s="2"/>
      <c r="G198" s="2"/>
      <c r="H198" s="2"/>
      <c r="I198" s="2"/>
      <c r="J198" s="2"/>
      <c r="K198" s="2"/>
      <c r="L198" s="2"/>
      <c r="M198" s="2"/>
      <c r="N198" s="2"/>
      <c r="O198" s="2"/>
      <c r="P198" s="2"/>
      <c r="Q198" s="2"/>
      <c r="R198" s="2"/>
      <c r="S198" s="2"/>
      <c r="T198" s="2"/>
    </row>
    <row r="199" spans="1:20" ht="12.75">
      <c r="A199" s="2"/>
      <c r="B199" s="2"/>
      <c r="C199" s="2"/>
      <c r="D199" s="2"/>
      <c r="E199" s="2"/>
      <c r="F199" s="2"/>
      <c r="G199" s="2"/>
      <c r="H199" s="2"/>
      <c r="I199" s="2"/>
      <c r="J199" s="2"/>
      <c r="K199" s="2"/>
      <c r="L199" s="2"/>
      <c r="M199" s="2"/>
      <c r="N199" s="2"/>
      <c r="O199" s="2"/>
      <c r="P199" s="2"/>
      <c r="Q199" s="2"/>
      <c r="R199" s="2"/>
      <c r="S199" s="2"/>
      <c r="T199" s="2"/>
    </row>
    <row r="200" spans="1:20" ht="12.75">
      <c r="A200" s="2"/>
      <c r="B200" s="2"/>
      <c r="C200" s="2"/>
      <c r="D200" s="2"/>
      <c r="E200" s="2"/>
      <c r="F200" s="2"/>
      <c r="G200" s="2"/>
      <c r="H200" s="2"/>
      <c r="I200" s="2"/>
      <c r="J200" s="2"/>
      <c r="K200" s="2"/>
      <c r="L200" s="2"/>
      <c r="M200" s="2"/>
      <c r="N200" s="2"/>
      <c r="O200" s="2"/>
      <c r="P200" s="2"/>
      <c r="Q200" s="2"/>
      <c r="R200" s="2"/>
      <c r="S200" s="2"/>
      <c r="T200" s="2"/>
    </row>
    <row r="201" spans="1:20" ht="12.75">
      <c r="A201" s="2"/>
      <c r="B201" s="2"/>
      <c r="C201" s="2"/>
      <c r="D201" s="2"/>
      <c r="E201" s="2"/>
      <c r="F201" s="2"/>
      <c r="G201" s="2"/>
      <c r="H201" s="2"/>
      <c r="I201" s="2"/>
      <c r="J201" s="2"/>
      <c r="K201" s="2"/>
      <c r="L201" s="2"/>
      <c r="M201" s="2"/>
      <c r="N201" s="2"/>
      <c r="O201" s="2"/>
      <c r="P201" s="2"/>
      <c r="Q201" s="2"/>
      <c r="R201" s="2"/>
      <c r="S201" s="2"/>
      <c r="T201" s="2"/>
    </row>
    <row r="202" spans="1:20" ht="12.75">
      <c r="A202" s="2"/>
      <c r="B202" s="2"/>
      <c r="C202" s="2"/>
      <c r="D202" s="2"/>
      <c r="E202" s="2"/>
      <c r="F202" s="2"/>
      <c r="G202" s="2"/>
      <c r="H202" s="2"/>
      <c r="I202" s="2"/>
      <c r="J202" s="2"/>
      <c r="K202" s="2"/>
      <c r="L202" s="2"/>
      <c r="M202" s="2"/>
      <c r="N202" s="2"/>
      <c r="O202" s="2"/>
      <c r="P202" s="2"/>
      <c r="Q202" s="2"/>
      <c r="R202" s="2"/>
      <c r="S202" s="2"/>
      <c r="T202" s="2"/>
    </row>
    <row r="203" spans="1:20" ht="12.75">
      <c r="A203" s="2"/>
      <c r="B203" s="2"/>
      <c r="C203" s="2"/>
      <c r="D203" s="2"/>
      <c r="E203" s="2"/>
      <c r="F203" s="2"/>
      <c r="G203" s="2"/>
      <c r="H203" s="2"/>
      <c r="I203" s="2"/>
      <c r="J203" s="2"/>
      <c r="K203" s="2"/>
      <c r="L203" s="2"/>
      <c r="M203" s="2"/>
      <c r="N203" s="2"/>
      <c r="O203" s="2"/>
      <c r="P203" s="2"/>
      <c r="Q203" s="2"/>
      <c r="R203" s="2"/>
      <c r="S203" s="2"/>
      <c r="T203" s="2"/>
    </row>
    <row r="204" spans="1:20" ht="12.75">
      <c r="A204" s="2"/>
      <c r="B204" s="2"/>
      <c r="C204" s="2"/>
      <c r="D204" s="2"/>
      <c r="E204" s="2"/>
      <c r="F204" s="2"/>
      <c r="G204" s="2"/>
      <c r="H204" s="2"/>
      <c r="I204" s="2"/>
      <c r="J204" s="2"/>
      <c r="K204" s="2"/>
      <c r="L204" s="2"/>
      <c r="M204" s="2"/>
      <c r="N204" s="2"/>
      <c r="O204" s="2"/>
      <c r="P204" s="2"/>
      <c r="Q204" s="2"/>
      <c r="R204" s="2"/>
      <c r="S204" s="2"/>
      <c r="T204" s="2"/>
    </row>
    <row r="205" spans="1:20" ht="12.75">
      <c r="A205" s="2"/>
      <c r="B205" s="2"/>
      <c r="C205" s="2"/>
      <c r="D205" s="2"/>
      <c r="E205" s="2"/>
      <c r="F205" s="2"/>
      <c r="G205" s="2"/>
      <c r="H205" s="2"/>
      <c r="I205" s="2"/>
      <c r="J205" s="2"/>
      <c r="K205" s="2"/>
      <c r="L205" s="2"/>
      <c r="M205" s="2"/>
      <c r="N205" s="2"/>
      <c r="O205" s="2"/>
      <c r="P205" s="2"/>
      <c r="Q205" s="2"/>
      <c r="R205" s="2"/>
      <c r="S205" s="2"/>
      <c r="T205" s="2"/>
    </row>
    <row r="206" spans="1:20" ht="12.75">
      <c r="A206" s="2"/>
      <c r="B206" s="2"/>
      <c r="C206" s="2"/>
      <c r="D206" s="2"/>
      <c r="E206" s="2"/>
      <c r="F206" s="2"/>
      <c r="G206" s="2"/>
      <c r="H206" s="2"/>
      <c r="I206" s="2"/>
      <c r="J206" s="2"/>
      <c r="K206" s="2"/>
      <c r="L206" s="2"/>
      <c r="M206" s="2"/>
      <c r="N206" s="2"/>
      <c r="O206" s="2"/>
      <c r="P206" s="2"/>
      <c r="Q206" s="2"/>
      <c r="R206" s="2"/>
      <c r="S206" s="2"/>
      <c r="T206" s="2"/>
    </row>
    <row r="207" spans="1:20" ht="12.75">
      <c r="A207" s="2"/>
      <c r="B207" s="2"/>
      <c r="C207" s="2"/>
      <c r="D207" s="2"/>
      <c r="E207" s="2"/>
      <c r="F207" s="2"/>
      <c r="G207" s="2"/>
      <c r="H207" s="2"/>
      <c r="I207" s="2"/>
      <c r="J207" s="2"/>
      <c r="K207" s="2"/>
      <c r="L207" s="2"/>
      <c r="M207" s="2"/>
      <c r="N207" s="2"/>
      <c r="O207" s="2"/>
      <c r="P207" s="2"/>
      <c r="Q207" s="2"/>
      <c r="R207" s="2"/>
      <c r="S207" s="2"/>
      <c r="T207" s="2"/>
    </row>
    <row r="208" spans="1:20" ht="12.75">
      <c r="A208" s="2"/>
      <c r="B208" s="2"/>
      <c r="C208" s="2"/>
      <c r="D208" s="2"/>
      <c r="E208" s="2"/>
      <c r="F208" s="2"/>
      <c r="G208" s="2"/>
      <c r="H208" s="2"/>
      <c r="I208" s="2"/>
      <c r="J208" s="2"/>
      <c r="K208" s="2"/>
      <c r="L208" s="2"/>
      <c r="M208" s="2"/>
      <c r="N208" s="2"/>
      <c r="O208" s="2"/>
      <c r="P208" s="2"/>
      <c r="Q208" s="2"/>
      <c r="R208" s="2"/>
      <c r="S208" s="2"/>
      <c r="T208" s="2"/>
    </row>
    <row r="209" spans="1:20" ht="12.75">
      <c r="A209" s="2"/>
      <c r="B209" s="2"/>
      <c r="C209" s="2"/>
      <c r="D209" s="2"/>
      <c r="E209" s="2"/>
      <c r="F209" s="2"/>
      <c r="G209" s="2"/>
      <c r="H209" s="2"/>
      <c r="I209" s="2"/>
      <c r="J209" s="2"/>
      <c r="K209" s="2"/>
      <c r="L209" s="2"/>
      <c r="M209" s="2"/>
      <c r="N209" s="2"/>
      <c r="O209" s="2"/>
      <c r="P209" s="2"/>
      <c r="Q209" s="2"/>
      <c r="R209" s="2"/>
      <c r="S209" s="2"/>
      <c r="T209" s="2"/>
    </row>
    <row r="210" spans="1:20" ht="12.75">
      <c r="A210" s="2"/>
      <c r="B210" s="2"/>
      <c r="C210" s="2"/>
      <c r="D210" s="2"/>
      <c r="E210" s="2"/>
      <c r="F210" s="2"/>
      <c r="G210" s="2"/>
      <c r="H210" s="2"/>
      <c r="I210" s="2"/>
      <c r="J210" s="2"/>
      <c r="K210" s="2"/>
      <c r="L210" s="2"/>
      <c r="M210" s="2"/>
      <c r="N210" s="2"/>
      <c r="O210" s="2"/>
      <c r="P210" s="2"/>
      <c r="Q210" s="2"/>
      <c r="R210" s="2"/>
      <c r="S210" s="2"/>
      <c r="T210" s="2"/>
    </row>
    <row r="211" spans="1:20" ht="12.75">
      <c r="A211" s="2"/>
      <c r="B211" s="2"/>
      <c r="C211" s="2"/>
      <c r="D211" s="2"/>
      <c r="E211" s="2"/>
      <c r="F211" s="2"/>
      <c r="G211" s="2"/>
      <c r="H211" s="2"/>
      <c r="I211" s="2"/>
      <c r="J211" s="2"/>
      <c r="K211" s="2"/>
      <c r="L211" s="2"/>
      <c r="M211" s="2"/>
      <c r="N211" s="2"/>
      <c r="O211" s="2"/>
      <c r="P211" s="2"/>
      <c r="Q211" s="2"/>
      <c r="R211" s="2"/>
      <c r="S211" s="2"/>
      <c r="T211" s="2"/>
    </row>
    <row r="212" spans="1:20" ht="12.75">
      <c r="A212" s="2"/>
      <c r="B212" s="2"/>
      <c r="C212" s="2"/>
      <c r="D212" s="2"/>
      <c r="E212" s="2"/>
      <c r="F212" s="2"/>
      <c r="G212" s="2"/>
      <c r="H212" s="2"/>
      <c r="I212" s="2"/>
      <c r="J212" s="2"/>
      <c r="K212" s="2"/>
      <c r="L212" s="2"/>
      <c r="M212" s="2"/>
      <c r="N212" s="2"/>
      <c r="O212" s="2"/>
      <c r="P212" s="2"/>
      <c r="Q212" s="2"/>
      <c r="R212" s="2"/>
      <c r="S212" s="2"/>
      <c r="T212" s="2"/>
    </row>
    <row r="213" spans="1:20" ht="12.75">
      <c r="A213" s="2"/>
      <c r="B213" s="2"/>
      <c r="C213" s="2"/>
      <c r="D213" s="2"/>
      <c r="E213" s="2"/>
      <c r="F213" s="2"/>
      <c r="G213" s="2"/>
      <c r="H213" s="2"/>
      <c r="I213" s="2"/>
      <c r="J213" s="2"/>
      <c r="K213" s="2"/>
      <c r="L213" s="2"/>
      <c r="M213" s="2"/>
      <c r="N213" s="2"/>
      <c r="O213" s="2"/>
      <c r="P213" s="2"/>
      <c r="Q213" s="2"/>
      <c r="R213" s="2"/>
      <c r="S213" s="2"/>
      <c r="T213" s="2"/>
    </row>
    <row r="214" spans="1:20" ht="12.75">
      <c r="A214" s="2"/>
      <c r="B214" s="2"/>
      <c r="C214" s="2"/>
      <c r="D214" s="2"/>
      <c r="E214" s="2"/>
      <c r="F214" s="2"/>
      <c r="G214" s="2"/>
      <c r="H214" s="2"/>
      <c r="I214" s="2"/>
      <c r="J214" s="2"/>
      <c r="K214" s="2"/>
      <c r="L214" s="2"/>
      <c r="M214" s="2"/>
      <c r="N214" s="2"/>
      <c r="O214" s="2"/>
      <c r="P214" s="2"/>
      <c r="Q214" s="2"/>
      <c r="R214" s="2"/>
      <c r="S214" s="2"/>
      <c r="T214" s="2"/>
    </row>
    <row r="215" spans="1:20" ht="12.75">
      <c r="A215" s="2"/>
      <c r="B215" s="2"/>
      <c r="C215" s="2"/>
      <c r="D215" s="2"/>
      <c r="E215" s="2"/>
      <c r="F215" s="2"/>
      <c r="G215" s="2"/>
      <c r="H215" s="2"/>
      <c r="I215" s="2"/>
      <c r="J215" s="2"/>
      <c r="K215" s="2"/>
      <c r="L215" s="2"/>
      <c r="M215" s="2"/>
      <c r="N215" s="2"/>
      <c r="O215" s="2"/>
      <c r="P215" s="2"/>
      <c r="Q215" s="2"/>
      <c r="R215" s="2"/>
      <c r="S215" s="2"/>
      <c r="T215" s="2"/>
    </row>
    <row r="216" spans="1:20" ht="12.75">
      <c r="A216" s="2"/>
      <c r="B216" s="2"/>
      <c r="C216" s="2"/>
      <c r="D216" s="2"/>
      <c r="E216" s="2"/>
      <c r="F216" s="2"/>
      <c r="G216" s="2"/>
      <c r="H216" s="2"/>
      <c r="I216" s="2"/>
      <c r="J216" s="2"/>
      <c r="K216" s="2"/>
      <c r="L216" s="2"/>
      <c r="M216" s="2"/>
      <c r="N216" s="2"/>
      <c r="O216" s="2"/>
      <c r="P216" s="2"/>
      <c r="Q216" s="2"/>
      <c r="R216" s="2"/>
      <c r="S216" s="2"/>
      <c r="T216" s="2"/>
    </row>
    <row r="217" spans="1:20" ht="12.75">
      <c r="A217" s="2"/>
      <c r="B217" s="2"/>
      <c r="C217" s="2"/>
      <c r="D217" s="2"/>
      <c r="E217" s="2"/>
      <c r="F217" s="2"/>
      <c r="G217" s="2"/>
      <c r="H217" s="2"/>
      <c r="I217" s="2"/>
      <c r="J217" s="2"/>
      <c r="K217" s="2"/>
      <c r="L217" s="2"/>
      <c r="M217" s="2"/>
      <c r="N217" s="2"/>
      <c r="O217" s="2"/>
      <c r="P217" s="2"/>
      <c r="Q217" s="2"/>
      <c r="R217" s="2"/>
      <c r="S217" s="2"/>
      <c r="T217" s="2"/>
    </row>
    <row r="218" spans="1:20" ht="12.75">
      <c r="A218" s="2"/>
      <c r="B218" s="2"/>
      <c r="C218" s="2"/>
      <c r="D218" s="2"/>
      <c r="E218" s="2"/>
      <c r="F218" s="2"/>
      <c r="G218" s="2"/>
      <c r="H218" s="2"/>
      <c r="I218" s="2"/>
      <c r="J218" s="2"/>
      <c r="K218" s="2"/>
      <c r="L218" s="2"/>
      <c r="M218" s="2"/>
      <c r="N218" s="2"/>
      <c r="O218" s="2"/>
      <c r="P218" s="2"/>
      <c r="Q218" s="2"/>
      <c r="R218" s="2"/>
      <c r="S218" s="2"/>
      <c r="T218" s="2"/>
    </row>
    <row r="219" spans="1:20" ht="12.75">
      <c r="A219" s="2"/>
      <c r="B219" s="2"/>
      <c r="C219" s="2"/>
      <c r="D219" s="2"/>
      <c r="E219" s="2"/>
      <c r="F219" s="2"/>
      <c r="G219" s="2"/>
      <c r="H219" s="2"/>
      <c r="I219" s="2"/>
      <c r="J219" s="2"/>
      <c r="K219" s="2"/>
      <c r="L219" s="2"/>
      <c r="M219" s="2"/>
      <c r="N219" s="2"/>
      <c r="O219" s="2"/>
      <c r="P219" s="2"/>
      <c r="Q219" s="2"/>
      <c r="R219" s="2"/>
      <c r="S219" s="2"/>
      <c r="T219" s="2"/>
    </row>
    <row r="220" spans="1:20" ht="12.75">
      <c r="A220" s="2"/>
      <c r="B220" s="2"/>
      <c r="C220" s="2"/>
      <c r="D220" s="2"/>
      <c r="E220" s="2"/>
      <c r="F220" s="2"/>
      <c r="G220" s="2"/>
      <c r="H220" s="2"/>
      <c r="I220" s="2"/>
      <c r="J220" s="2"/>
      <c r="K220" s="2"/>
      <c r="L220" s="2"/>
      <c r="M220" s="2"/>
      <c r="N220" s="2"/>
      <c r="O220" s="2"/>
      <c r="P220" s="2"/>
      <c r="Q220" s="2"/>
      <c r="R220" s="2"/>
      <c r="S220" s="2"/>
      <c r="T220" s="2"/>
    </row>
    <row r="221" spans="1:20" ht="12.75">
      <c r="A221" s="2"/>
      <c r="B221" s="2"/>
      <c r="C221" s="2"/>
      <c r="D221" s="2"/>
      <c r="E221" s="2"/>
      <c r="F221" s="2"/>
      <c r="G221" s="2"/>
      <c r="H221" s="2"/>
      <c r="I221" s="2"/>
      <c r="J221" s="2"/>
      <c r="K221" s="2"/>
      <c r="L221" s="2"/>
      <c r="M221" s="2"/>
      <c r="N221" s="2"/>
      <c r="O221" s="2"/>
      <c r="P221" s="2"/>
      <c r="Q221" s="2"/>
      <c r="R221" s="2"/>
      <c r="S221" s="2"/>
      <c r="T221" s="2"/>
    </row>
    <row r="222" spans="1:20" ht="12.75">
      <c r="A222" s="2"/>
      <c r="B222" s="2"/>
      <c r="C222" s="2"/>
      <c r="D222" s="2"/>
      <c r="E222" s="2"/>
      <c r="F222" s="2"/>
      <c r="G222" s="2"/>
      <c r="H222" s="2"/>
      <c r="I222" s="2"/>
      <c r="J222" s="2"/>
      <c r="K222" s="2"/>
      <c r="L222" s="2"/>
      <c r="M222" s="2"/>
      <c r="N222" s="2"/>
      <c r="O222" s="2"/>
      <c r="P222" s="2"/>
      <c r="Q222" s="2"/>
      <c r="R222" s="2"/>
      <c r="S222" s="2"/>
      <c r="T222" s="2"/>
    </row>
    <row r="223" spans="1:20" ht="12.75">
      <c r="A223" s="2"/>
      <c r="B223" s="2"/>
      <c r="C223" s="2"/>
      <c r="D223" s="2"/>
      <c r="E223" s="2"/>
      <c r="F223" s="2"/>
      <c r="G223" s="2"/>
      <c r="H223" s="2"/>
      <c r="I223" s="2"/>
      <c r="J223" s="2"/>
      <c r="K223" s="2"/>
      <c r="L223" s="2"/>
      <c r="M223" s="2"/>
      <c r="N223" s="2"/>
      <c r="O223" s="2"/>
      <c r="P223" s="2"/>
      <c r="Q223" s="2"/>
      <c r="R223" s="2"/>
      <c r="S223" s="2"/>
      <c r="T223" s="2"/>
    </row>
    <row r="224" spans="1:20" ht="12.75">
      <c r="A224" s="2"/>
      <c r="B224" s="2"/>
      <c r="C224" s="2"/>
      <c r="D224" s="2"/>
      <c r="E224" s="2"/>
      <c r="F224" s="2"/>
      <c r="G224" s="2"/>
      <c r="H224" s="2"/>
      <c r="I224" s="2"/>
      <c r="J224" s="2"/>
      <c r="K224" s="2"/>
      <c r="L224" s="2"/>
      <c r="M224" s="2"/>
      <c r="N224" s="2"/>
      <c r="O224" s="2"/>
      <c r="P224" s="2"/>
      <c r="Q224" s="2"/>
      <c r="R224" s="2"/>
      <c r="S224" s="2"/>
      <c r="T224" s="2"/>
    </row>
    <row r="225" spans="1:20" ht="12.75">
      <c r="A225" s="2"/>
      <c r="B225" s="2"/>
      <c r="C225" s="2"/>
      <c r="D225" s="2"/>
      <c r="E225" s="2"/>
      <c r="F225" s="2"/>
      <c r="G225" s="2"/>
      <c r="H225" s="2"/>
      <c r="I225" s="2"/>
      <c r="J225" s="2"/>
      <c r="K225" s="2"/>
      <c r="L225" s="2"/>
      <c r="M225" s="2"/>
      <c r="N225" s="2"/>
      <c r="O225" s="2"/>
      <c r="P225" s="2"/>
      <c r="Q225" s="2"/>
      <c r="R225" s="2"/>
      <c r="S225" s="2"/>
      <c r="T225" s="2"/>
    </row>
    <row r="226" spans="1:20" ht="12.75">
      <c r="A226" s="2"/>
      <c r="B226" s="2"/>
      <c r="C226" s="2"/>
      <c r="D226" s="2"/>
      <c r="E226" s="2"/>
      <c r="F226" s="2"/>
      <c r="G226" s="2"/>
      <c r="H226" s="2"/>
      <c r="I226" s="2"/>
      <c r="J226" s="2"/>
      <c r="K226" s="2"/>
      <c r="L226" s="2"/>
      <c r="M226" s="2"/>
      <c r="N226" s="2"/>
      <c r="O226" s="2"/>
      <c r="P226" s="2"/>
      <c r="Q226" s="2"/>
      <c r="R226" s="2"/>
      <c r="S226" s="2"/>
      <c r="T226" s="2"/>
    </row>
    <row r="227" spans="1:20" ht="12.75">
      <c r="A227" s="2"/>
      <c r="B227" s="2"/>
      <c r="C227" s="2"/>
      <c r="D227" s="2"/>
      <c r="E227" s="2"/>
      <c r="F227" s="2"/>
      <c r="G227" s="2"/>
      <c r="H227" s="2"/>
      <c r="I227" s="2"/>
      <c r="J227" s="2"/>
      <c r="K227" s="2"/>
      <c r="L227" s="2"/>
      <c r="M227" s="2"/>
      <c r="N227" s="2"/>
      <c r="O227" s="2"/>
      <c r="P227" s="2"/>
      <c r="Q227" s="2"/>
      <c r="R227" s="2"/>
      <c r="S227" s="2"/>
      <c r="T227" s="2"/>
    </row>
    <row r="228" spans="1:20" ht="12.75">
      <c r="A228" s="2"/>
      <c r="B228" s="2"/>
      <c r="C228" s="2"/>
      <c r="D228" s="2"/>
      <c r="E228" s="2"/>
      <c r="F228" s="2"/>
      <c r="G228" s="2"/>
      <c r="H228" s="2"/>
      <c r="I228" s="2"/>
      <c r="J228" s="2"/>
      <c r="K228" s="2"/>
      <c r="L228" s="2"/>
      <c r="M228" s="2"/>
      <c r="N228" s="2"/>
      <c r="O228" s="2"/>
      <c r="P228" s="2"/>
      <c r="Q228" s="2"/>
      <c r="R228" s="2"/>
      <c r="S228" s="2"/>
      <c r="T228" s="2"/>
    </row>
    <row r="229" spans="1:20" ht="12.75">
      <c r="A229" s="2"/>
      <c r="B229" s="2"/>
      <c r="C229" s="2"/>
      <c r="D229" s="2"/>
      <c r="E229" s="2"/>
      <c r="F229" s="2"/>
      <c r="G229" s="2"/>
      <c r="H229" s="2"/>
      <c r="I229" s="2"/>
      <c r="J229" s="2"/>
      <c r="K229" s="2"/>
      <c r="L229" s="2"/>
      <c r="M229" s="2"/>
      <c r="N229" s="2"/>
      <c r="O229" s="2"/>
      <c r="P229" s="2"/>
      <c r="Q229" s="2"/>
      <c r="R229" s="2"/>
      <c r="S229" s="2"/>
      <c r="T229" s="2"/>
    </row>
    <row r="230" spans="1:20" ht="12.75">
      <c r="A230" s="2"/>
      <c r="B230" s="2"/>
      <c r="C230" s="2"/>
      <c r="D230" s="2"/>
      <c r="E230" s="2"/>
      <c r="F230" s="2"/>
      <c r="G230" s="2"/>
      <c r="H230" s="2"/>
      <c r="I230" s="2"/>
      <c r="J230" s="2"/>
      <c r="K230" s="2"/>
      <c r="L230" s="2"/>
      <c r="M230" s="2"/>
      <c r="N230" s="2"/>
      <c r="O230" s="2"/>
      <c r="P230" s="2"/>
      <c r="Q230" s="2"/>
      <c r="R230" s="2"/>
      <c r="S230" s="2"/>
      <c r="T230" s="2"/>
    </row>
    <row r="231" spans="1:20" ht="12.75">
      <c r="A231" s="2"/>
      <c r="B231" s="2"/>
      <c r="C231" s="2"/>
      <c r="D231" s="2"/>
      <c r="E231" s="2"/>
      <c r="F231" s="2"/>
      <c r="G231" s="2"/>
      <c r="H231" s="2"/>
      <c r="I231" s="2"/>
      <c r="J231" s="2"/>
      <c r="K231" s="2"/>
      <c r="L231" s="2"/>
      <c r="M231" s="2"/>
      <c r="N231" s="2"/>
      <c r="O231" s="2"/>
      <c r="P231" s="2"/>
      <c r="Q231" s="2"/>
      <c r="R231" s="2"/>
      <c r="S231" s="2"/>
      <c r="T231" s="2"/>
    </row>
    <row r="232" spans="1:20" ht="12.75">
      <c r="A232" s="2"/>
      <c r="B232" s="2"/>
      <c r="C232" s="2"/>
      <c r="D232" s="2"/>
      <c r="E232" s="2"/>
      <c r="F232" s="2"/>
      <c r="G232" s="2"/>
      <c r="H232" s="2"/>
      <c r="I232" s="2"/>
      <c r="J232" s="2"/>
      <c r="K232" s="2"/>
      <c r="L232" s="2"/>
      <c r="M232" s="2"/>
      <c r="N232" s="2"/>
      <c r="O232" s="2"/>
      <c r="P232" s="2"/>
      <c r="Q232" s="2"/>
      <c r="R232" s="2"/>
      <c r="S232" s="2"/>
      <c r="T232" s="2"/>
    </row>
  </sheetData>
  <printOptions horizontalCentered="1"/>
  <pageMargins left="0.5" right="0.5" top="3" bottom="0.5" header="1.5" footer="0.5"/>
  <pageSetup fitToHeight="2" fitToWidth="2" orientation="landscape" pageOrder="overThenDown" scale="54" r:id="rId1"/>
  <headerFooter alignWithMargins="0">
    <oddHeader>&amp;C&amp;B
2022 RATE CASE
ONCOR ELECTRIC DELIVERY COMPANY LLC
III-D-1.1  MONTHLY O&amp;&amp;M EXPENSE
TEST YEAR ENDING DECEMBER 31, 2021
SPONSOR: W. ALAN LEDBETTER&amp;R&amp;"Arial,Bold"Schedule &amp;A
Page &amp;P of &amp;N</oddHeader>
  </headerFooter>
  <rowBreaks count="2" manualBreakCount="2">
    <brk id="38" max="20" man="1"/>
    <brk id="69" max="20" man="1"/>
  </rowBreaks>
  <colBreaks count="1" manualBreakCount="1">
    <brk id="11" min="13" max="100" man="1"/>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3">
    <tabColor rgb="FFFF0000"/>
  </sheetPr>
  <dimension ref="A1:Z146"/>
  <sheetViews>
    <sheetView zoomScale="85" zoomScaleNormal="85" workbookViewId="0" topLeftCell="A1">
      <pane xSplit="2" ySplit="14" topLeftCell="E15" activePane="bottomRight" state="frozen"/>
      <selection pane="topLeft" activeCell="O94" sqref="O94:W97"/>
      <selection pane="bottomLeft" activeCell="O94" sqref="O94:W97"/>
      <selection pane="topRight" activeCell="O94" sqref="O94:W97"/>
      <selection pane="bottomRight" activeCell="K38" sqref="K38"/>
    </sheetView>
  </sheetViews>
  <sheetFormatPr defaultColWidth="9.14428571428571" defaultRowHeight="12.75" customHeight="1"/>
  <cols>
    <col min="1" max="1" width="5.71428571428571" style="31" customWidth="1"/>
    <col min="2" max="2" width="8.71428571428571" style="33" customWidth="1"/>
    <col min="3" max="3" width="46.5714285714286" style="33" customWidth="1"/>
    <col min="4" max="4" width="10.5714285714286" style="33" customWidth="1"/>
    <col min="5" max="5" width="18.2857142857143" style="33" bestFit="1" customWidth="1"/>
    <col min="6" max="6" width="14.4285714285714" style="33" bestFit="1" customWidth="1"/>
    <col min="7" max="7" width="17.2857142857143" style="33" bestFit="1" customWidth="1"/>
    <col min="8" max="8" width="15.2857142857143" style="33" bestFit="1" customWidth="1"/>
    <col min="9" max="9" width="16" style="33" bestFit="1" customWidth="1"/>
    <col min="10" max="10" width="16.5714285714286" style="33" bestFit="1" customWidth="1"/>
    <col min="11" max="11" width="10.2857142857143" style="33" bestFit="1" customWidth="1"/>
    <col min="12" max="12" width="15.1428571428571" style="37" bestFit="1" customWidth="1"/>
    <col min="13" max="13" width="4.57142857142857" style="33" customWidth="1"/>
    <col min="14" max="14" width="6.85714285714286" style="37" bestFit="1" customWidth="1"/>
    <col min="15" max="15" width="15.2857142857143" style="33" bestFit="1" customWidth="1"/>
    <col min="16" max="18" width="15.2857142857143" style="33" customWidth="1"/>
    <col min="19" max="19" width="15.2857142857143" style="33" bestFit="1" customWidth="1"/>
    <col min="20" max="21" width="15.2857142857143" style="33" customWidth="1"/>
    <col min="22" max="22" width="15.2857142857143" style="33" bestFit="1" customWidth="1"/>
    <col min="23" max="23" width="12.7142857142857" style="33" customWidth="1"/>
    <col min="24" max="24" width="19.8571428571429" style="33" bestFit="1" customWidth="1"/>
    <col min="25" max="25" width="9.28571428571429" style="33" bestFit="1" customWidth="1"/>
    <col min="26" max="26" width="17" style="33" bestFit="1" customWidth="1"/>
    <col min="27" max="16384" width="9.14285714285714" style="33"/>
  </cols>
  <sheetData>
    <row r="1" spans="1:1" ht="12.75" customHeight="1">
      <c r="A1" s="35" t="str">
        <f>+'[3]Input Data'!$A$9</f>
        <v>2022 RATE CASE</v>
      </c>
    </row>
    <row r="2" spans="1:24"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ht="12.75">
      <c r="A3" s="7" t="str">
        <f>CONCATENATE('[3]Schedule Sponsors'!$A$53,'[3]Schedule Sponsors'!$B$53)</f>
        <v>II-D-2   A&amp;&amp;G EXPENSES</v>
      </c>
      <c r="B3" s="4"/>
      <c r="D3" s="31"/>
      <c r="E3" s="31"/>
      <c r="F3" s="31"/>
      <c r="G3" s="34"/>
      <c r="H3" s="31"/>
      <c r="I3" s="31"/>
      <c r="J3" s="31"/>
      <c r="K3" s="31"/>
      <c r="L3" s="32"/>
      <c r="M3" s="31"/>
      <c r="N3" s="32"/>
      <c r="O3" s="28"/>
      <c r="P3" s="28"/>
      <c r="Q3" s="28"/>
      <c r="R3" s="28"/>
      <c r="S3" s="31"/>
      <c r="T3" s="31"/>
      <c r="U3" s="31"/>
      <c r="V3" s="31"/>
      <c r="W3" s="31"/>
      <c r="X3" s="31"/>
    </row>
    <row r="4" spans="1:24"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ht="12.75">
      <c r="A5" s="7" t="str">
        <f>CONCATENATE("SPONSOR: ",'[3]Schedule Sponsors'!$D$53)</f>
        <v>SPONSOR: W. ALAN LEDBETTER</v>
      </c>
      <c r="B5" s="4"/>
      <c r="D5" s="31"/>
      <c r="E5" s="31"/>
      <c r="F5" s="31"/>
      <c r="G5" s="31"/>
      <c r="H5" s="31"/>
      <c r="I5" s="31"/>
      <c r="J5" s="31"/>
      <c r="K5" s="31"/>
      <c r="L5" s="32"/>
      <c r="M5" s="31"/>
      <c r="N5" s="32"/>
      <c r="O5" s="31"/>
      <c r="P5" s="31"/>
      <c r="Q5" s="31"/>
      <c r="R5" s="31"/>
      <c r="S5" s="31"/>
      <c r="T5" s="31"/>
      <c r="U5" s="31"/>
      <c r="V5" s="31"/>
      <c r="W5" s="31"/>
      <c r="X5" s="31"/>
    </row>
    <row r="6" spans="2:24" ht="12.75">
      <c r="B6" s="4"/>
      <c r="D6" s="31"/>
      <c r="E6" s="31"/>
      <c r="F6" s="31"/>
      <c r="G6" s="31"/>
      <c r="H6" s="31"/>
      <c r="I6" s="31"/>
      <c r="J6" s="31"/>
      <c r="K6" s="31"/>
      <c r="L6" s="32"/>
      <c r="M6" s="31"/>
      <c r="N6" s="32"/>
      <c r="O6" s="31"/>
      <c r="P6" s="31"/>
      <c r="Q6" s="31"/>
      <c r="R6" s="31"/>
      <c r="S6" s="31"/>
      <c r="T6" s="31"/>
      <c r="U6" s="31"/>
      <c r="V6" s="31"/>
      <c r="W6" s="31"/>
      <c r="X6" s="31"/>
    </row>
    <row r="7" spans="2:24" ht="12.75">
      <c r="B7" s="4"/>
      <c r="D7" s="31"/>
      <c r="E7" s="31"/>
      <c r="F7" s="31"/>
      <c r="G7" s="31"/>
      <c r="H7" s="31"/>
      <c r="I7" s="31"/>
      <c r="J7" s="31"/>
      <c r="K7" s="31"/>
      <c r="L7" s="32"/>
      <c r="M7" s="31"/>
      <c r="N7" s="32"/>
      <c r="O7" s="31"/>
      <c r="P7" s="31"/>
      <c r="Q7" s="31"/>
      <c r="R7" s="31"/>
      <c r="S7" s="31"/>
      <c r="T7" s="31"/>
      <c r="U7" s="31"/>
      <c r="V7" s="31"/>
      <c r="W7" s="31"/>
      <c r="X7" s="31"/>
    </row>
    <row r="8" spans="2:24" ht="12.75">
      <c r="B8" s="35"/>
      <c r="C8" s="31"/>
      <c r="D8" s="31"/>
      <c r="E8" s="31"/>
      <c r="F8" s="31"/>
      <c r="G8" s="31"/>
      <c r="H8" s="31"/>
      <c r="I8" s="31"/>
      <c r="J8" s="31"/>
      <c r="K8" s="31"/>
      <c r="L8" s="32"/>
      <c r="M8" s="31"/>
      <c r="N8" s="32"/>
      <c r="O8" s="31"/>
      <c r="P8" s="31"/>
      <c r="Q8" s="31"/>
      <c r="R8" s="31"/>
      <c r="S8" s="31"/>
      <c r="T8" s="31"/>
      <c r="U8" s="31"/>
      <c r="V8" s="31"/>
      <c r="W8" s="31"/>
      <c r="X8" s="31"/>
    </row>
    <row r="9" spans="2:24" ht="13.5" thickBot="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5" customHeight="1">
      <c r="A15" s="16">
        <v>1</v>
      </c>
      <c r="B15" s="8" t="s">
        <v>188</v>
      </c>
      <c r="D15" s="18" t="s">
        <v>42</v>
      </c>
      <c r="E15" s="19"/>
      <c r="F15" s="19"/>
      <c r="G15" s="19"/>
      <c r="H15" s="19"/>
      <c r="I15" s="19"/>
      <c r="J15" s="19"/>
      <c r="K15" s="19"/>
      <c r="L15" s="19"/>
      <c r="M15" s="18"/>
      <c r="N15" s="25"/>
      <c r="O15" s="19"/>
      <c r="P15" s="19"/>
      <c r="Q15" s="19"/>
      <c r="R15" s="19"/>
      <c r="S15" s="19"/>
      <c r="T15" s="19"/>
      <c r="U15" s="19"/>
      <c r="V15" s="19"/>
      <c r="W15" s="19"/>
    </row>
    <row r="16" spans="1:23" s="8" customFormat="1" ht="15" customHeight="1">
      <c r="A16" s="16">
        <v>2</v>
      </c>
      <c r="D16" s="18"/>
      <c r="E16" s="19"/>
      <c r="F16" s="19"/>
      <c r="G16" s="19"/>
      <c r="H16" s="19"/>
      <c r="I16" s="19"/>
      <c r="J16" s="19"/>
      <c r="K16" s="19"/>
      <c r="L16" s="19"/>
      <c r="M16" s="18"/>
      <c r="N16" s="25"/>
      <c r="O16" s="19"/>
      <c r="P16" s="19"/>
      <c r="Q16" s="19"/>
      <c r="R16" s="19"/>
      <c r="S16" s="19"/>
      <c r="T16" s="19"/>
      <c r="U16" s="19"/>
      <c r="V16" s="19"/>
      <c r="W16" s="19"/>
    </row>
    <row r="17" spans="1:26" s="4" customFormat="1" ht="15" customHeight="1">
      <c r="A17" s="16">
        <v>3</v>
      </c>
      <c r="B17" s="4" t="s">
        <v>271</v>
      </c>
      <c r="C17" s="4" t="s">
        <v>339</v>
      </c>
      <c r="D17" s="16"/>
      <c r="E17" s="156">
        <v>91188633.209999979</v>
      </c>
      <c r="F17" s="156">
        <f>ROUND('II-D-2.1'!Q17,2)</f>
        <v>0</v>
      </c>
      <c r="G17" s="156">
        <v>0</v>
      </c>
      <c r="H17" s="156">
        <f>+E17-F17-G17</f>
        <v>91188633.209999979</v>
      </c>
      <c r="I17" s="156">
        <f>+'II-D-2.1'!T17</f>
        <v>7669295.5000000009</v>
      </c>
      <c r="J17" s="156">
        <f>+H17+I17</f>
        <v>98857928.709999979</v>
      </c>
      <c r="K17" s="159">
        <v>1</v>
      </c>
      <c r="L17" s="156">
        <f>+J17*K17</f>
        <v>98857928.709999979</v>
      </c>
      <c r="M17" s="16"/>
      <c r="N17" s="16"/>
      <c r="O17" s="156">
        <f>ROUND('[1]Total Summary'!C64,2)+ROUND('[2]Total Summary'!D65,2)</f>
        <v>19675722.82</v>
      </c>
      <c r="P17" s="156">
        <f>ROUND('[1]Total Summary'!D64,2)+ROUND('[2]Total Summary'!E65,2)</f>
        <v>0</v>
      </c>
      <c r="Q17" s="156">
        <f>ROUND('[1]Total Summary'!E64,2)+ROUND('[2]Total Summary'!F65,2)</f>
        <v>0</v>
      </c>
      <c r="R17" s="156">
        <f t="shared" si="0" ref="R17">SUM(O17:Q17)</f>
        <v>19675722.82</v>
      </c>
      <c r="S17" s="156">
        <f>ROUND('[1]Total Summary'!G64,2)+ROUND('[2]Total Summary'!H65,2)</f>
        <v>48296108.630000003</v>
      </c>
      <c r="T17" s="156">
        <f>ROUND('[1]Total Summary'!H64,2)+ROUND('[2]Total Summary'!I65,2)</f>
        <v>0</v>
      </c>
      <c r="U17" s="156">
        <f t="shared" si="1" ref="U17">SUM(S17:T17)</f>
        <v>48296108.630000003</v>
      </c>
      <c r="V17" s="156">
        <f>ROUND('[1]Total Summary'!J64,2)+ROUND('[2]Total Summary'!K65,2)</f>
        <v>13067186.82</v>
      </c>
      <c r="W17" s="156">
        <f>ROUND('[1]Total Summary'!K64,2)+ROUND('[2]Total Summary'!L65,2)</f>
        <v>17818910.440000001</v>
      </c>
      <c r="X17" s="156">
        <f>+R17+U17+V17+W17</f>
        <v>98857928.710000008</v>
      </c>
      <c r="Y17" s="4" t="b">
        <f>X17=L17</f>
        <v>1</v>
      </c>
      <c r="Z17" s="111">
        <f t="shared" si="2" ref="Z17:Z27">ROUND(+L17,2)-ROUND(X17,2)</f>
        <v>0</v>
      </c>
    </row>
    <row r="18" spans="1:26" s="4" customFormat="1" ht="15" customHeight="1">
      <c r="A18" s="16">
        <v>4</v>
      </c>
      <c r="B18" s="4" t="s">
        <v>272</v>
      </c>
      <c r="C18" s="4" t="s">
        <v>340</v>
      </c>
      <c r="D18" s="16"/>
      <c r="E18" s="13">
        <v>9470759.8500000034</v>
      </c>
      <c r="F18" s="13">
        <f>ROUND('II-D-2.1'!Q18,2)</f>
        <v>0</v>
      </c>
      <c r="G18" s="13">
        <v>0</v>
      </c>
      <c r="H18" s="13">
        <f t="shared" si="3" ref="H18:H29">+E18-F18-G18</f>
        <v>9470759.8500000034</v>
      </c>
      <c r="I18" s="13">
        <f>+'II-D-2.1'!T18</f>
        <v>1517185.7499999998</v>
      </c>
      <c r="J18" s="13">
        <f t="shared" si="4" ref="J18:J29">+H18+I18</f>
        <v>10987945.600000003</v>
      </c>
      <c r="K18" s="159">
        <v>1</v>
      </c>
      <c r="L18" s="13">
        <f t="shared" si="5" ref="L18:L29">+J18*K18</f>
        <v>10987945.600000003</v>
      </c>
      <c r="M18" s="16"/>
      <c r="N18" s="16"/>
      <c r="O18" s="13">
        <f>ROUND('[1]Total Summary'!C65,2)+ROUND('[2]Total Summary'!D66,2)</f>
        <v>3211627.7599999998</v>
      </c>
      <c r="P18" s="13">
        <f>ROUND('[1]Total Summary'!D65,2)+ROUND('[2]Total Summary'!E66,2)</f>
        <v>5955.4700000000003</v>
      </c>
      <c r="Q18" s="13">
        <f>ROUND('[1]Total Summary'!E65,2)+ROUND('[2]Total Summary'!F66,2)</f>
        <v>0</v>
      </c>
      <c r="R18" s="13">
        <f t="shared" si="6" ref="R18:R29">SUM(O18:Q18)</f>
        <v>3217583.23</v>
      </c>
      <c r="S18" s="13">
        <f>ROUND('[1]Total Summary'!G65,2)+ROUND('[2]Total Summary'!H66,2)</f>
        <v>4839529.96</v>
      </c>
      <c r="T18" s="13">
        <f>ROUND('[1]Total Summary'!H65,2)+ROUND('[2]Total Summary'!I66,2)</f>
        <v>0</v>
      </c>
      <c r="U18" s="13">
        <f t="shared" si="7" ref="U18:U29">SUM(S18:T18)</f>
        <v>4839529.96</v>
      </c>
      <c r="V18" s="13">
        <f>ROUND('[1]Total Summary'!J65,2)+ROUND('[2]Total Summary'!K66,2)</f>
        <v>1153337.02</v>
      </c>
      <c r="W18" s="13">
        <f>ROUND('[1]Total Summary'!K65,2)+ROUND('[2]Total Summary'!L66,2)</f>
        <v>1777495.3899999999</v>
      </c>
      <c r="X18" s="20">
        <f t="shared" si="8" ref="X18:X29">+R18+U18+V18+W18</f>
        <v>10987945.6</v>
      </c>
      <c r="Y18" s="4" t="b">
        <f t="shared" si="9" ref="Y18:Y35">X18=L18</f>
        <v>1</v>
      </c>
      <c r="Z18" s="111">
        <f t="shared" si="2"/>
        <v>0</v>
      </c>
    </row>
    <row r="19" spans="1:26" s="4" customFormat="1" ht="15" customHeight="1">
      <c r="A19" s="16">
        <v>5</v>
      </c>
      <c r="B19" s="4" t="s">
        <v>273</v>
      </c>
      <c r="C19" s="4" t="s">
        <v>341</v>
      </c>
      <c r="D19" s="16"/>
      <c r="E19" s="13">
        <v>0</v>
      </c>
      <c r="F19" s="13">
        <f>ROUND('II-D-2.1'!Q19,2)</f>
        <v>0</v>
      </c>
      <c r="G19" s="13">
        <v>0</v>
      </c>
      <c r="H19" s="13">
        <f t="shared" si="3"/>
        <v>0</v>
      </c>
      <c r="I19" s="13">
        <f>+'II-D-2.1'!T19</f>
        <v>0</v>
      </c>
      <c r="J19" s="13">
        <f t="shared" si="4"/>
        <v>0</v>
      </c>
      <c r="K19" s="159">
        <v>1</v>
      </c>
      <c r="L19" s="13">
        <f t="shared" si="5"/>
        <v>0</v>
      </c>
      <c r="M19" s="16"/>
      <c r="N19" s="16"/>
      <c r="O19" s="13">
        <f>ROUND('[1]Total Summary'!C66,2)+ROUND('[2]Total Summary'!D67,2)</f>
        <v>0</v>
      </c>
      <c r="P19" s="13">
        <f>ROUND('[1]Total Summary'!D66,2)+ROUND('[2]Total Summary'!E67,2)</f>
        <v>0</v>
      </c>
      <c r="Q19" s="13">
        <f>ROUND('[1]Total Summary'!E66,2)+ROUND('[2]Total Summary'!F67,2)</f>
        <v>0</v>
      </c>
      <c r="R19" s="13">
        <f t="shared" si="6"/>
        <v>0</v>
      </c>
      <c r="S19" s="13">
        <f>ROUND('[1]Total Summary'!G66,2)+ROUND('[2]Total Summary'!H67,2)</f>
        <v>0</v>
      </c>
      <c r="T19" s="13">
        <f>ROUND('[1]Total Summary'!H66,2)+ROUND('[2]Total Summary'!I67,2)</f>
        <v>0</v>
      </c>
      <c r="U19" s="13">
        <f t="shared" si="7"/>
        <v>0</v>
      </c>
      <c r="V19" s="13">
        <f>ROUND('[1]Total Summary'!J66,2)+ROUND('[2]Total Summary'!K67,2)</f>
        <v>0</v>
      </c>
      <c r="W19" s="13">
        <f>ROUND('[1]Total Summary'!K66,2)+ROUND('[2]Total Summary'!L67,2)</f>
        <v>0</v>
      </c>
      <c r="X19" s="20">
        <f t="shared" si="8"/>
        <v>0</v>
      </c>
      <c r="Y19" s="4" t="b">
        <f t="shared" si="9"/>
        <v>1</v>
      </c>
      <c r="Z19" s="111">
        <f t="shared" si="2"/>
        <v>0</v>
      </c>
    </row>
    <row r="20" spans="1:26" s="4" customFormat="1" ht="15" customHeight="1">
      <c r="A20" s="16">
        <v>6</v>
      </c>
      <c r="B20" s="4" t="s">
        <v>274</v>
      </c>
      <c r="C20" s="23" t="s">
        <v>342</v>
      </c>
      <c r="D20" s="16"/>
      <c r="E20" s="13">
        <v>125515578.48999997</v>
      </c>
      <c r="F20" s="13">
        <v>0</v>
      </c>
      <c r="G20" s="13">
        <v>0</v>
      </c>
      <c r="H20" s="13">
        <f t="shared" si="3"/>
        <v>125515578.48999997</v>
      </c>
      <c r="I20" s="13">
        <f>+'II-D-2.1'!T20</f>
        <v>-1668204.75</v>
      </c>
      <c r="J20" s="13">
        <f t="shared" si="4"/>
        <v>123847373.73999997</v>
      </c>
      <c r="K20" s="159">
        <v>1</v>
      </c>
      <c r="L20" s="13">
        <f t="shared" si="5"/>
        <v>123847373.73999997</v>
      </c>
      <c r="M20" s="16"/>
      <c r="N20" s="16"/>
      <c r="O20" s="13">
        <f>ROUND('[1]Total Summary'!C67,2)+ROUND('[2]Total Summary'!D68,2)</f>
        <v>33564392.259999998</v>
      </c>
      <c r="P20" s="13">
        <f>ROUND('[1]Total Summary'!D67,2)+ROUND('[2]Total Summary'!E68,2)</f>
        <v>1845476.53</v>
      </c>
      <c r="Q20" s="13">
        <f>ROUND('[1]Total Summary'!E67,2)+ROUND('[2]Total Summary'!F68,2)</f>
        <v>0</v>
      </c>
      <c r="R20" s="13">
        <f t="shared" si="6"/>
        <v>35409868.789999999</v>
      </c>
      <c r="S20" s="13">
        <f>ROUND('[1]Total Summary'!G67,2)+ROUND('[2]Total Summary'!H68,2)</f>
        <v>67560500.079999998</v>
      </c>
      <c r="T20" s="13">
        <f>ROUND('[1]Total Summary'!H67,2)+ROUND('[2]Total Summary'!I68,2)</f>
        <v>0</v>
      </c>
      <c r="U20" s="13">
        <f t="shared" si="7"/>
        <v>67560500.079999998</v>
      </c>
      <c r="V20" s="13">
        <f>ROUND('[1]Total Summary'!J67,2)+ROUND('[2]Total Summary'!K68,2)</f>
        <v>16915520.880000003</v>
      </c>
      <c r="W20" s="13">
        <f>ROUND('[1]Total Summary'!K67,2)+ROUND('[2]Total Summary'!L68,2)</f>
        <v>3961483.9900000002</v>
      </c>
      <c r="X20" s="20">
        <f t="shared" si="8"/>
        <v>123847373.74</v>
      </c>
      <c r="Y20" s="4" t="b">
        <f t="shared" si="9"/>
        <v>1</v>
      </c>
      <c r="Z20" s="111">
        <f t="shared" si="2"/>
        <v>0</v>
      </c>
    </row>
    <row r="21" spans="1:26" s="4" customFormat="1" ht="15" customHeight="1">
      <c r="A21" s="16">
        <v>7</v>
      </c>
      <c r="B21" s="4" t="s">
        <v>275</v>
      </c>
      <c r="C21" s="4" t="s">
        <v>343</v>
      </c>
      <c r="D21" s="16"/>
      <c r="E21" s="13">
        <v>113681193.60000001</v>
      </c>
      <c r="F21" s="13">
        <v>0</v>
      </c>
      <c r="G21" s="13">
        <v>0</v>
      </c>
      <c r="H21" s="13">
        <f t="shared" si="3"/>
        <v>113681193.60000001</v>
      </c>
      <c r="I21" s="13">
        <f>+'II-D-2.1'!T21</f>
        <v>128179224.734</v>
      </c>
      <c r="J21" s="13">
        <f t="shared" si="4"/>
        <v>241860418.33399999</v>
      </c>
      <c r="K21" s="159">
        <v>1</v>
      </c>
      <c r="L21" s="13">
        <f t="shared" si="5"/>
        <v>241860418.33399999</v>
      </c>
      <c r="M21" s="16"/>
      <c r="N21" s="16"/>
      <c r="O21" s="13">
        <f>ROUND('[1]Total Summary'!C68,2)+ROUND('[2]Total Summary'!D69,2)</f>
        <v>13760287.02</v>
      </c>
      <c r="P21" s="13">
        <f>ROUND('[1]Total Summary'!D68,2)+ROUND('[2]Total Summary'!E69,2)</f>
        <v>1343714.8999999999</v>
      </c>
      <c r="Q21" s="13">
        <f>ROUND('[1]Total Summary'!E68,2)+ROUND('[2]Total Summary'!F69,2)</f>
        <v>0</v>
      </c>
      <c r="R21" s="13">
        <f t="shared" si="6"/>
        <v>15104001.92</v>
      </c>
      <c r="S21" s="13">
        <f>ROUND('[1]Total Summary'!G68,2)+ROUND('[2]Total Summary'!H69,2)</f>
        <v>226756416.41</v>
      </c>
      <c r="T21" s="13">
        <f>ROUND('[1]Total Summary'!H68,2)+ROUND('[2]Total Summary'!I69,2)</f>
        <v>0</v>
      </c>
      <c r="U21" s="13">
        <f t="shared" si="7"/>
        <v>226756416.41</v>
      </c>
      <c r="V21" s="13">
        <f>ROUND('[1]Total Summary'!J68,2)+ROUND('[2]Total Summary'!K69,2)</f>
        <v>0</v>
      </c>
      <c r="W21" s="13">
        <f>ROUND('[1]Total Summary'!K68,2)+ROUND('[2]Total Summary'!L69,2)</f>
        <v>0</v>
      </c>
      <c r="X21" s="20">
        <f t="shared" si="8"/>
        <v>241860418.32999998</v>
      </c>
      <c r="Y21" s="4" t="b">
        <f t="shared" si="9"/>
        <v>0</v>
      </c>
      <c r="Z21" s="111">
        <f t="shared" si="2"/>
        <v>0</v>
      </c>
    </row>
    <row r="22" spans="1:26" s="4" customFormat="1" ht="15" customHeight="1">
      <c r="A22" s="16">
        <v>8</v>
      </c>
      <c r="B22" s="4" t="s">
        <v>276</v>
      </c>
      <c r="C22" s="4" t="s">
        <v>160</v>
      </c>
      <c r="D22" s="16"/>
      <c r="E22" s="13">
        <v>24016894.579999994</v>
      </c>
      <c r="F22" s="13">
        <v>0</v>
      </c>
      <c r="G22" s="13">
        <v>0</v>
      </c>
      <c r="H22" s="13">
        <f t="shared" si="3"/>
        <v>24016894.579999994</v>
      </c>
      <c r="I22" s="13">
        <f>+'II-D-2.1'!T22</f>
        <v>-2670003.4199999999</v>
      </c>
      <c r="J22" s="13">
        <f t="shared" si="4"/>
        <v>21346891.159999996</v>
      </c>
      <c r="K22" s="159">
        <v>1</v>
      </c>
      <c r="L22" s="13">
        <f t="shared" si="5"/>
        <v>21346891.159999996</v>
      </c>
      <c r="M22" s="16"/>
      <c r="N22" s="16"/>
      <c r="O22" s="13">
        <f>ROUND('[1]Total Summary'!C69,2)+ROUND('[2]Total Summary'!D70,2)</f>
        <v>5231223.8799999999</v>
      </c>
      <c r="P22" s="13">
        <f>ROUND('[1]Total Summary'!D69,2)+ROUND('[2]Total Summary'!E70,2)</f>
        <v>0</v>
      </c>
      <c r="Q22" s="13">
        <f>ROUND('[1]Total Summary'!E69,2)+ROUND('[2]Total Summary'!F70,2)</f>
        <v>0</v>
      </c>
      <c r="R22" s="13">
        <f t="shared" si="6"/>
        <v>5231223.8799999999</v>
      </c>
      <c r="S22" s="13">
        <f>ROUND('[1]Total Summary'!G69,2)+ROUND('[2]Total Summary'!H70,2)</f>
        <v>16115667.280000001</v>
      </c>
      <c r="T22" s="13">
        <f>ROUND('[1]Total Summary'!H69,2)+ROUND('[2]Total Summary'!I70,2)</f>
        <v>0</v>
      </c>
      <c r="U22" s="13">
        <f t="shared" si="7"/>
        <v>16115667.280000001</v>
      </c>
      <c r="V22" s="13">
        <f>ROUND('[1]Total Summary'!J69,2)+ROUND('[2]Total Summary'!K70,2)</f>
        <v>0</v>
      </c>
      <c r="W22" s="13">
        <f>ROUND('[1]Total Summary'!K69,2)+ROUND('[2]Total Summary'!L70,2)</f>
        <v>0</v>
      </c>
      <c r="X22" s="20">
        <f t="shared" si="8"/>
        <v>21346891.16</v>
      </c>
      <c r="Y22" s="4" t="b">
        <f t="shared" si="9"/>
        <v>1</v>
      </c>
      <c r="Z22" s="111">
        <f t="shared" si="2"/>
        <v>0</v>
      </c>
    </row>
    <row r="23" spans="1:26" s="4" customFormat="1" ht="15" customHeight="1">
      <c r="A23" s="16">
        <v>9</v>
      </c>
      <c r="B23" s="4" t="s">
        <v>277</v>
      </c>
      <c r="C23" s="4" t="s">
        <v>28</v>
      </c>
      <c r="D23" s="16"/>
      <c r="E23" s="13">
        <v>151516132.0099999</v>
      </c>
      <c r="F23" s="13">
        <v>0</v>
      </c>
      <c r="G23" s="13">
        <v>0</v>
      </c>
      <c r="H23" s="13">
        <f t="shared" si="3"/>
        <v>151516132.0099999</v>
      </c>
      <c r="I23" s="13">
        <f>+'II-D-2.1'!T23</f>
        <v>-48090682.109999999</v>
      </c>
      <c r="J23" s="13">
        <f t="shared" si="4"/>
        <v>103425449.8999999</v>
      </c>
      <c r="K23" s="159">
        <v>1</v>
      </c>
      <c r="L23" s="13">
        <f t="shared" si="5"/>
        <v>103425449.8999999</v>
      </c>
      <c r="M23" s="16"/>
      <c r="N23" s="16"/>
      <c r="O23" s="13">
        <f>ROUND('[1]Total Summary'!C70,2)+ROUND('[2]Total Summary'!D71,2)</f>
        <v>32862761.619999997</v>
      </c>
      <c r="P23" s="13">
        <f>ROUND('[1]Total Summary'!D70,2)+ROUND('[2]Total Summary'!E71,2)</f>
        <v>0</v>
      </c>
      <c r="Q23" s="13">
        <f>ROUND('[1]Total Summary'!E70,2)+ROUND('[2]Total Summary'!F71,2)</f>
        <v>0</v>
      </c>
      <c r="R23" s="13">
        <f t="shared" si="6"/>
        <v>32862761.619999997</v>
      </c>
      <c r="S23" s="13">
        <f>ROUND('[1]Total Summary'!G70,2)+ROUND('[2]Total Summary'!H71,2)</f>
        <v>45802180.63000001</v>
      </c>
      <c r="T23" s="13">
        <f>ROUND('[1]Total Summary'!H70,2)+ROUND('[2]Total Summary'!I71,2)</f>
        <v>0</v>
      </c>
      <c r="U23" s="13">
        <f t="shared" si="7"/>
        <v>45802180.63000001</v>
      </c>
      <c r="V23" s="13">
        <f>ROUND('[1]Total Summary'!J70,2)+ROUND('[2]Total Summary'!K71,2)</f>
        <v>16815082.920000002</v>
      </c>
      <c r="W23" s="13">
        <f>ROUND('[1]Total Summary'!K70,2)+ROUND('[2]Total Summary'!L71,2)</f>
        <v>7945424.7299999995</v>
      </c>
      <c r="X23" s="20">
        <f t="shared" si="8"/>
        <v>103425449.90000001</v>
      </c>
      <c r="Y23" s="4" t="b">
        <f t="shared" si="9"/>
        <v>1</v>
      </c>
      <c r="Z23" s="111">
        <f t="shared" si="2"/>
        <v>0</v>
      </c>
    </row>
    <row r="24" spans="1:26" s="4" customFormat="1" ht="15" customHeight="1">
      <c r="A24" s="16">
        <v>10</v>
      </c>
      <c r="B24" s="4" t="s">
        <v>278</v>
      </c>
      <c r="C24" s="4" t="s">
        <v>127</v>
      </c>
      <c r="D24" s="16"/>
      <c r="E24" s="13">
        <v>258446.56</v>
      </c>
      <c r="F24" s="13">
        <v>0</v>
      </c>
      <c r="G24" s="13">
        <v>0</v>
      </c>
      <c r="H24" s="13">
        <f t="shared" si="3"/>
        <v>258446.56</v>
      </c>
      <c r="I24" s="13">
        <f>+'II-D-2.1'!T24</f>
        <v>2540226.71</v>
      </c>
      <c r="J24" s="13">
        <f t="shared" si="4"/>
        <v>2798673.27</v>
      </c>
      <c r="K24" s="159">
        <v>1</v>
      </c>
      <c r="L24" s="13">
        <f t="shared" si="5"/>
        <v>2798673.27</v>
      </c>
      <c r="M24" s="16"/>
      <c r="N24" s="16"/>
      <c r="O24" s="13">
        <f>ROUND('[1]Total Summary'!C71,2)+ROUND('[2]Total Summary'!D72,2)</f>
        <v>0</v>
      </c>
      <c r="P24" s="13">
        <f>ROUND('[1]Total Summary'!D71,2)+ROUND('[2]Total Summary'!E72,2)</f>
        <v>376621.12</v>
      </c>
      <c r="Q24" s="13">
        <f>ROUND('[1]Total Summary'!E71,2)+ROUND('[2]Total Summary'!F72,2)</f>
        <v>0</v>
      </c>
      <c r="R24" s="13">
        <f t="shared" si="6"/>
        <v>376621.12</v>
      </c>
      <c r="S24" s="13">
        <f>ROUND('[1]Total Summary'!G71,2)+ROUND('[2]Total Summary'!H72,2)</f>
        <v>2262087.8500000001</v>
      </c>
      <c r="T24" s="13">
        <f>ROUND('[1]Total Summary'!H71,2)+ROUND('[2]Total Summary'!I72,2)</f>
        <v>143948.35999999999</v>
      </c>
      <c r="U24" s="13">
        <f t="shared" si="7"/>
        <v>2406036.21</v>
      </c>
      <c r="V24" s="13">
        <f>ROUND('[1]Total Summary'!J71,2)+ROUND('[2]Total Summary'!K72,2)</f>
        <v>16015.940000000002</v>
      </c>
      <c r="W24" s="13">
        <f>ROUND('[1]Total Summary'!K71,2)+ROUND('[2]Total Summary'!L72,2)</f>
        <v>0</v>
      </c>
      <c r="X24" s="20">
        <f t="shared" si="8"/>
        <v>2798673.27</v>
      </c>
      <c r="Y24" s="4" t="b">
        <f t="shared" si="9"/>
        <v>1</v>
      </c>
      <c r="Z24" s="111">
        <f t="shared" si="2"/>
        <v>0</v>
      </c>
    </row>
    <row r="25" spans="1:26" s="4" customFormat="1" ht="15" customHeight="1">
      <c r="A25" s="16">
        <v>11</v>
      </c>
      <c r="B25" s="30" t="s">
        <v>291</v>
      </c>
      <c r="C25" s="4" t="s">
        <v>29</v>
      </c>
      <c r="D25" s="16"/>
      <c r="E25" s="13">
        <v>151079.01000000001</v>
      </c>
      <c r="F25" s="13">
        <v>0</v>
      </c>
      <c r="G25" s="13">
        <v>0</v>
      </c>
      <c r="H25" s="13">
        <f t="shared" si="3"/>
        <v>151079.01000000001</v>
      </c>
      <c r="I25" s="13">
        <f>+'II-D-2.1'!T25</f>
        <v>0</v>
      </c>
      <c r="J25" s="13">
        <f t="shared" si="4"/>
        <v>151079.01000000001</v>
      </c>
      <c r="K25" s="159">
        <v>1</v>
      </c>
      <c r="L25" s="13">
        <f t="shared" si="5"/>
        <v>151079.01000000001</v>
      </c>
      <c r="M25" s="16"/>
      <c r="N25" s="16"/>
      <c r="O25" s="13">
        <f>ROUND('[1]Total Summary'!C72,2)+ROUND('[2]Total Summary'!D73,2)</f>
        <v>0</v>
      </c>
      <c r="P25" s="13">
        <f>ROUND('[1]Total Summary'!D72,2)+ROUND('[2]Total Summary'!E73,2)</f>
        <v>0</v>
      </c>
      <c r="Q25" s="13">
        <f>ROUND('[1]Total Summary'!E72,2)+ROUND('[2]Total Summary'!F73,2)</f>
        <v>0</v>
      </c>
      <c r="R25" s="13">
        <f t="shared" si="6"/>
        <v>0</v>
      </c>
      <c r="S25" s="13">
        <f>ROUND('[1]Total Summary'!G72,2)+ROUND('[2]Total Summary'!H73,2)</f>
        <v>0</v>
      </c>
      <c r="T25" s="13">
        <f>ROUND('[1]Total Summary'!H72,2)+ROUND('[2]Total Summary'!I73,2)</f>
        <v>0</v>
      </c>
      <c r="U25" s="13">
        <f t="shared" si="7"/>
        <v>0</v>
      </c>
      <c r="V25" s="13">
        <f>ROUND('[1]Total Summary'!J72,2)+ROUND('[2]Total Summary'!K73,2)</f>
        <v>0</v>
      </c>
      <c r="W25" s="13">
        <f>ROUND('[1]Total Summary'!K72,2)+ROUND('[2]Total Summary'!L73,2)</f>
        <v>151079.01000000001</v>
      </c>
      <c r="X25" s="20">
        <f t="shared" si="8"/>
        <v>151079.01000000001</v>
      </c>
      <c r="Y25" s="4" t="b">
        <f t="shared" si="9"/>
        <v>1</v>
      </c>
      <c r="Z25" s="111">
        <f t="shared" si="2"/>
        <v>0</v>
      </c>
    </row>
    <row r="26" spans="1:26" s="4" customFormat="1" ht="15" customHeight="1">
      <c r="A26" s="16">
        <v>12</v>
      </c>
      <c r="B26" s="30" t="s">
        <v>290</v>
      </c>
      <c r="C26" s="4" t="s">
        <v>153</v>
      </c>
      <c r="D26" s="16"/>
      <c r="E26" s="13">
        <v>17609656</v>
      </c>
      <c r="F26" s="13">
        <v>0</v>
      </c>
      <c r="G26" s="13">
        <v>0</v>
      </c>
      <c r="H26" s="13">
        <f t="shared" si="3"/>
        <v>17609656</v>
      </c>
      <c r="I26" s="13">
        <f>+'II-D-2.1'!T26</f>
        <v>-484569.70000000001</v>
      </c>
      <c r="J26" s="13">
        <f t="shared" si="4"/>
        <v>17125086.300000001</v>
      </c>
      <c r="K26" s="159">
        <v>1</v>
      </c>
      <c r="L26" s="13">
        <f t="shared" si="5"/>
        <v>17125086.300000001</v>
      </c>
      <c r="M26" s="16"/>
      <c r="N26" s="16"/>
      <c r="O26" s="13">
        <f>ROUND('[1]Total Summary'!C73,2)+ROUND('[2]Total Summary'!D74,2)</f>
        <v>2027705.2600000002</v>
      </c>
      <c r="P26" s="13">
        <f>ROUND('[1]Total Summary'!D73,2)+ROUND('[2]Total Summary'!E74,2)</f>
        <v>0.37</v>
      </c>
      <c r="Q26" s="13">
        <f>ROUND('[1]Total Summary'!E73,2)+ROUND('[2]Total Summary'!F74,2)</f>
        <v>0</v>
      </c>
      <c r="R26" s="13">
        <f t="shared" si="6"/>
        <v>2027705.6300000004</v>
      </c>
      <c r="S26" s="13">
        <f>ROUND('[1]Total Summary'!G73,2)+ROUND('[2]Total Summary'!H74,2)</f>
        <v>8232754.9400000004</v>
      </c>
      <c r="T26" s="13">
        <f>ROUND('[1]Total Summary'!H73,2)+ROUND('[2]Total Summary'!I74,2)</f>
        <v>0</v>
      </c>
      <c r="U26" s="13">
        <f t="shared" si="7"/>
        <v>8232754.9400000004</v>
      </c>
      <c r="V26" s="13">
        <f>ROUND('[1]Total Summary'!J73,2)+ROUND('[2]Total Summary'!K74,2)</f>
        <v>1946608.24</v>
      </c>
      <c r="W26" s="13">
        <f>ROUND('[1]Total Summary'!K73,2)+ROUND('[2]Total Summary'!L74,2)</f>
        <v>4918017.4900000002</v>
      </c>
      <c r="X26" s="20">
        <f t="shared" si="8"/>
        <v>17125086.300000001</v>
      </c>
      <c r="Y26" s="4" t="b">
        <f t="shared" si="9"/>
        <v>1</v>
      </c>
      <c r="Z26" s="111">
        <f t="shared" si="2"/>
        <v>0</v>
      </c>
    </row>
    <row r="27" spans="1:26" s="4" customFormat="1" ht="15" customHeight="1">
      <c r="A27" s="16">
        <v>13</v>
      </c>
      <c r="B27" s="4" t="s">
        <v>279</v>
      </c>
      <c r="C27" s="4" t="s">
        <v>228</v>
      </c>
      <c r="D27" s="16"/>
      <c r="E27" s="13">
        <v>2142408.9100000001</v>
      </c>
      <c r="F27" s="13">
        <v>0</v>
      </c>
      <c r="G27" s="13">
        <v>0</v>
      </c>
      <c r="H27" s="13">
        <f t="shared" si="3"/>
        <v>2142408.9100000001</v>
      </c>
      <c r="I27" s="13">
        <f>+'II-D-2.1'!T27</f>
        <v>-487503.51000000001</v>
      </c>
      <c r="J27" s="13">
        <f t="shared" si="4"/>
        <v>1654905.4000000001</v>
      </c>
      <c r="K27" s="159">
        <v>1</v>
      </c>
      <c r="L27" s="13">
        <f t="shared" si="5"/>
        <v>1654905.4000000001</v>
      </c>
      <c r="M27" s="16"/>
      <c r="N27" s="16"/>
      <c r="O27" s="13">
        <f>ROUND('[1]Total Summary'!C74,2)+ROUND('[2]Total Summary'!D75,2)</f>
        <v>287609.45999999996</v>
      </c>
      <c r="P27" s="13">
        <f>ROUND('[1]Total Summary'!D74,2)+ROUND('[2]Total Summary'!E75,2)</f>
        <v>21.75</v>
      </c>
      <c r="Q27" s="13">
        <f>ROUND('[1]Total Summary'!E74,2)+ROUND('[2]Total Summary'!F75,2)</f>
        <v>0</v>
      </c>
      <c r="R27" s="13">
        <f t="shared" si="6"/>
        <v>287631.20999999996</v>
      </c>
      <c r="S27" s="13">
        <f>ROUND('[1]Total Summary'!G74,2)+ROUND('[2]Total Summary'!H75,2)</f>
        <v>1026551.72</v>
      </c>
      <c r="T27" s="13">
        <f>ROUND('[1]Total Summary'!H74,2)+ROUND('[2]Total Summary'!I75,2)</f>
        <v>0</v>
      </c>
      <c r="U27" s="13">
        <f t="shared" si="7"/>
        <v>1026551.72</v>
      </c>
      <c r="V27" s="13">
        <f>ROUND('[1]Total Summary'!J74,2)+ROUND('[2]Total Summary'!K75,2)</f>
        <v>211823.87</v>
      </c>
      <c r="W27" s="13">
        <f>ROUND('[1]Total Summary'!K74,2)+ROUND('[2]Total Summary'!L75,2)</f>
        <v>128898.60000000001</v>
      </c>
      <c r="X27" s="20">
        <f t="shared" si="8"/>
        <v>1654905.3999999999</v>
      </c>
      <c r="Y27" s="4" t="b">
        <f t="shared" si="9"/>
        <v>1</v>
      </c>
      <c r="Z27" s="111">
        <f t="shared" si="2"/>
        <v>0</v>
      </c>
    </row>
    <row r="28" spans="1:26" s="4" customFormat="1" ht="15" customHeight="1">
      <c r="A28" s="16">
        <v>14</v>
      </c>
      <c r="B28" s="4" t="s">
        <v>26</v>
      </c>
      <c r="C28" s="4" t="s">
        <v>154</v>
      </c>
      <c r="D28" s="16"/>
      <c r="E28" s="13">
        <v>-9752.3499999999949</v>
      </c>
      <c r="F28" s="13">
        <f>ROUND('II-D-2.1'!Q28,2)</f>
        <v>0</v>
      </c>
      <c r="G28" s="13">
        <v>0</v>
      </c>
      <c r="H28" s="13">
        <f t="shared" si="3"/>
        <v>-9752.3499999999949</v>
      </c>
      <c r="I28" s="13">
        <f>+'II-D-2.1'!T28</f>
        <v>376.91000000000002</v>
      </c>
      <c r="J28" s="13">
        <f t="shared" si="4"/>
        <v>-9375.4399999999951</v>
      </c>
      <c r="K28" s="159">
        <v>1</v>
      </c>
      <c r="L28" s="13">
        <f t="shared" si="5"/>
        <v>-9375.4399999999951</v>
      </c>
      <c r="M28" s="16"/>
      <c r="N28" s="16"/>
      <c r="O28" s="13">
        <f>ROUND('[1]Total Summary'!C75,2)+ROUND('[2]Total Summary'!D76,2)</f>
        <v>513.30999999999995</v>
      </c>
      <c r="P28" s="13">
        <f>ROUND('[1]Total Summary'!D75,2)+ROUND('[2]Total Summary'!E76,2)</f>
        <v>0</v>
      </c>
      <c r="Q28" s="13">
        <f>ROUND('[1]Total Summary'!E75,2)+ROUND('[2]Total Summary'!F76,2)</f>
        <v>0</v>
      </c>
      <c r="R28" s="13">
        <f t="shared" si="6"/>
        <v>513.30999999999995</v>
      </c>
      <c r="S28" s="13">
        <f>ROUND('[1]Total Summary'!G75,2)+ROUND('[2]Total Summary'!H76,2)</f>
        <v>-10312.530000000001</v>
      </c>
      <c r="T28" s="13">
        <f>ROUND('[1]Total Summary'!H75,2)+ROUND('[2]Total Summary'!I76,2)</f>
        <v>0</v>
      </c>
      <c r="U28" s="13">
        <f t="shared" si="7"/>
        <v>-10312.530000000001</v>
      </c>
      <c r="V28" s="13">
        <f>ROUND('[1]Total Summary'!J75,2)+ROUND('[2]Total Summary'!K76,2)</f>
        <v>409.06</v>
      </c>
      <c r="W28" s="13">
        <f>ROUND('[1]Total Summary'!K75,2)+ROUND('[2]Total Summary'!L76,2)</f>
        <v>14.720000000000001</v>
      </c>
      <c r="X28" s="20">
        <f t="shared" si="8"/>
        <v>-9375.4400000000023</v>
      </c>
      <c r="Y28" s="4" t="b">
        <f t="shared" si="9"/>
        <v>1</v>
      </c>
      <c r="Z28" s="111">
        <f>ROUND(+L28,2)-ROUND(X28,2)</f>
        <v>0</v>
      </c>
    </row>
    <row r="29" spans="1:26" s="4" customFormat="1" ht="15" customHeight="1">
      <c r="A29" s="16">
        <v>15</v>
      </c>
      <c r="B29" s="4" t="s">
        <v>280</v>
      </c>
      <c r="C29" s="4" t="s">
        <v>154</v>
      </c>
      <c r="D29" s="16"/>
      <c r="E29" s="13">
        <v>3541040.2799999989</v>
      </c>
      <c r="F29" s="13">
        <f>ROUND('II-D-2.1'!Q29,2)</f>
        <v>0</v>
      </c>
      <c r="G29" s="13">
        <v>0</v>
      </c>
      <c r="H29" s="13">
        <f t="shared" si="3"/>
        <v>3541040.2799999989</v>
      </c>
      <c r="I29" s="13">
        <f>+'II-D-2.1'!T29</f>
        <v>73150.75</v>
      </c>
      <c r="J29" s="13">
        <f t="shared" si="4"/>
        <v>3614191.0299999989</v>
      </c>
      <c r="K29" s="159">
        <v>1</v>
      </c>
      <c r="L29" s="13">
        <f t="shared" si="5"/>
        <v>3614191.0299999989</v>
      </c>
      <c r="M29" s="16"/>
      <c r="N29" s="16"/>
      <c r="O29" s="13">
        <f>ROUND('[1]Total Summary'!C76,2)+ROUND('[2]Total Summary'!D77,2)</f>
        <v>1301075.96</v>
      </c>
      <c r="P29" s="13">
        <f>ROUND('[1]Total Summary'!D76,2)+ROUND('[2]Total Summary'!E77,2)</f>
        <v>58370.209999999999</v>
      </c>
      <c r="Q29" s="13">
        <f>ROUND('[1]Total Summary'!E76,2)+ROUND('[2]Total Summary'!F77,2)</f>
        <v>0</v>
      </c>
      <c r="R29" s="13">
        <f t="shared" si="6"/>
        <v>1359446.1699999999</v>
      </c>
      <c r="S29" s="13">
        <f>ROUND('[1]Total Summary'!G76,2)+ROUND('[2]Total Summary'!H77,2)</f>
        <v>2244966.6100000003</v>
      </c>
      <c r="T29" s="13">
        <f>ROUND('[1]Total Summary'!H76,2)+ROUND('[2]Total Summary'!I77,2)</f>
        <v>0</v>
      </c>
      <c r="U29" s="13">
        <f t="shared" si="7"/>
        <v>2244966.6100000003</v>
      </c>
      <c r="V29" s="13">
        <f>ROUND('[1]Total Summary'!J76,2)+ROUND('[2]Total Summary'!K77,2)</f>
        <v>9773.869999999999</v>
      </c>
      <c r="W29" s="13">
        <f>ROUND('[1]Total Summary'!K76,2)+ROUND('[2]Total Summary'!L77,2)</f>
        <v>4.3799999999999999</v>
      </c>
      <c r="X29" s="20">
        <f t="shared" si="8"/>
        <v>3614191.0300000003</v>
      </c>
      <c r="Y29" s="4" t="b">
        <f t="shared" si="9"/>
        <v>1</v>
      </c>
      <c r="Z29" s="111">
        <f>ROUND(+L29,2)-ROUND(X29,2)</f>
        <v>0</v>
      </c>
    </row>
    <row r="30" spans="1:24" s="4" customFormat="1" ht="15" customHeight="1">
      <c r="A30" s="16">
        <v>16</v>
      </c>
      <c r="D30" s="16"/>
      <c r="E30" s="124"/>
      <c r="F30" s="124"/>
      <c r="G30" s="124"/>
      <c r="H30" s="124"/>
      <c r="I30" s="124"/>
      <c r="J30" s="124"/>
      <c r="K30" s="159"/>
      <c r="L30" s="124"/>
      <c r="M30" s="16"/>
      <c r="N30" s="16"/>
      <c r="O30" s="126"/>
      <c r="P30" s="126"/>
      <c r="Q30" s="126"/>
      <c r="R30" s="126"/>
      <c r="S30" s="126"/>
      <c r="T30" s="126"/>
      <c r="U30" s="126"/>
      <c r="V30" s="126"/>
      <c r="W30" s="126"/>
      <c r="X30" s="126"/>
    </row>
    <row r="31" spans="1:26" s="8" customFormat="1" ht="15" customHeight="1">
      <c r="A31" s="16">
        <v>17</v>
      </c>
      <c r="B31" s="8" t="s">
        <v>71</v>
      </c>
      <c r="C31" s="26"/>
      <c r="D31" s="18" t="s">
        <v>42</v>
      </c>
      <c r="E31" s="142">
        <f>SUM(E17:E29)</f>
        <v>539082070.14999986</v>
      </c>
      <c r="F31" s="142">
        <f>SUM(F17:F29)</f>
        <v>0</v>
      </c>
      <c r="G31" s="142">
        <f>SUM(G17:G29)</f>
        <v>0</v>
      </c>
      <c r="H31" s="142">
        <f>SUM(H17:H29)</f>
        <v>539082070.14999986</v>
      </c>
      <c r="I31" s="142">
        <f>SUM(I17:I30)</f>
        <v>86578496.863999978</v>
      </c>
      <c r="J31" s="142">
        <f>SUM(J17:J30)</f>
        <v>625660567.01399958</v>
      </c>
      <c r="K31" s="19"/>
      <c r="L31" s="142">
        <f>SUM(L17:L30)</f>
        <v>625660567.01399958</v>
      </c>
      <c r="M31" s="25"/>
      <c r="N31" s="18"/>
      <c r="O31" s="142">
        <f t="shared" si="10" ref="O31:X31">SUM(O17:O30)</f>
        <v>111922919.34999998</v>
      </c>
      <c r="P31" s="142">
        <f t="shared" si="11" ref="P31:W31">SUM(P17:P30)</f>
        <v>3630160.3500000001</v>
      </c>
      <c r="Q31" s="142">
        <f t="shared" si="11"/>
        <v>0</v>
      </c>
      <c r="R31" s="142">
        <f t="shared" si="11"/>
        <v>115553079.69999999</v>
      </c>
      <c r="S31" s="142">
        <f t="shared" si="11"/>
        <v>423126451.5800001</v>
      </c>
      <c r="T31" s="142">
        <f t="shared" si="11"/>
        <v>143948.35999999999</v>
      </c>
      <c r="U31" s="142">
        <f t="shared" si="11"/>
        <v>423270399.94000006</v>
      </c>
      <c r="V31" s="142">
        <f t="shared" si="11"/>
        <v>50135758.619999997</v>
      </c>
      <c r="W31" s="142">
        <f t="shared" si="11"/>
        <v>36701328.750000007</v>
      </c>
      <c r="X31" s="142">
        <f t="shared" si="10"/>
        <v>625660567.00999987</v>
      </c>
      <c r="Y31" s="4" t="b">
        <f t="shared" si="9"/>
        <v>0</v>
      </c>
      <c r="Z31" s="111">
        <f>ROUND(+L31,2)-ROUND(X31,2)</f>
        <v>0</v>
      </c>
    </row>
    <row r="32" spans="1:24" s="4" customFormat="1" ht="15" customHeight="1">
      <c r="A32" s="16">
        <v>18</v>
      </c>
      <c r="C32" s="7"/>
      <c r="D32" s="18"/>
      <c r="E32" s="19"/>
      <c r="F32" s="19"/>
      <c r="G32" s="19"/>
      <c r="H32" s="19"/>
      <c r="I32" s="19"/>
      <c r="J32" s="19"/>
      <c r="K32" s="19"/>
      <c r="L32" s="19"/>
      <c r="M32" s="25"/>
      <c r="N32" s="18"/>
      <c r="O32" s="19"/>
      <c r="P32" s="19"/>
      <c r="Q32" s="19"/>
      <c r="R32" s="19"/>
      <c r="S32" s="19"/>
      <c r="T32" s="19"/>
      <c r="U32" s="19"/>
      <c r="V32" s="19"/>
      <c r="W32" s="19"/>
      <c r="X32" s="19"/>
    </row>
    <row r="33" spans="1:26" s="8" customFormat="1" ht="15" customHeight="1">
      <c r="A33" s="16">
        <v>19</v>
      </c>
      <c r="B33" s="8" t="s">
        <v>38</v>
      </c>
      <c r="C33" s="26"/>
      <c r="D33" s="18" t="s">
        <v>43</v>
      </c>
      <c r="E33" s="142">
        <f>+'II-D-1'!E102+'II-D-2'!E31</f>
        <v>2560203691.8400002</v>
      </c>
      <c r="F33" s="142">
        <f>+'II-D-1'!F102+'II-D-2'!F31</f>
        <v>0</v>
      </c>
      <c r="G33" s="142">
        <f>+'II-D-1'!G102+'II-D-2'!G31</f>
        <v>0</v>
      </c>
      <c r="H33" s="142">
        <f>+'II-D-1'!H102+'II-D-2'!H31</f>
        <v>2560203691.8400002</v>
      </c>
      <c r="I33" s="142">
        <f>+'II-D-1'!I102+'II-D-2'!I31</f>
        <v>234084651.35399997</v>
      </c>
      <c r="J33" s="142">
        <f>+'II-D-1'!J102+'II-D-2'!J31</f>
        <v>2794288343.1939993</v>
      </c>
      <c r="K33" s="19"/>
      <c r="L33" s="142">
        <f>+'II-D-1'!L102+'II-D-2'!L31</f>
        <v>2794288343.1939993</v>
      </c>
      <c r="M33" s="25"/>
      <c r="N33" s="18"/>
      <c r="O33" s="142">
        <f>+'II-D-1'!O102+'II-D-2'!O31</f>
        <v>231227862.72999996</v>
      </c>
      <c r="P33" s="142">
        <f>+'II-D-1'!P102+'II-D-2'!P31</f>
        <v>11765067.350000002</v>
      </c>
      <c r="Q33" s="142">
        <f>+'II-D-1'!Q102+'II-D-2'!Q31</f>
        <v>400489.90000000002</v>
      </c>
      <c r="R33" s="142">
        <f>+'II-D-1'!R102+'II-D-2'!R31</f>
        <v>243393419.97999999</v>
      </c>
      <c r="S33" s="142">
        <f>+'II-D-1'!S102+'II-D-2'!S31</f>
        <v>2390996883.98</v>
      </c>
      <c r="T33" s="142">
        <f>+'II-D-1'!T102+'II-D-2'!T31</f>
        <v>573514.48999999999</v>
      </c>
      <c r="U33" s="142">
        <f>+'II-D-1'!U102+'II-D-2'!U31</f>
        <v>2391570398.4700003</v>
      </c>
      <c r="V33" s="142">
        <f>+'II-D-1'!V102+'II-D-2'!V31</f>
        <v>109170716.78</v>
      </c>
      <c r="W33" s="142">
        <f>+'II-D-1'!W102+'II-D-2'!W31</f>
        <v>50153807.960000008</v>
      </c>
      <c r="X33" s="142">
        <f>+'II-D-1'!X102+'II-D-2'!X31</f>
        <v>2794288343.1899996</v>
      </c>
      <c r="Y33" s="4" t="b">
        <f t="shared" si="9"/>
        <v>0</v>
      </c>
      <c r="Z33" s="111">
        <f>ROUND(+L33,2)-ROUND(X33,2)</f>
        <v>0</v>
      </c>
    </row>
    <row r="34" spans="1:24" s="8" customFormat="1" ht="15" customHeight="1">
      <c r="A34" s="16">
        <v>20</v>
      </c>
      <c r="D34" s="18"/>
      <c r="E34" s="19"/>
      <c r="F34" s="19"/>
      <c r="G34" s="19"/>
      <c r="H34" s="19"/>
      <c r="I34" s="19"/>
      <c r="J34" s="19"/>
      <c r="K34" s="19"/>
      <c r="L34" s="19"/>
      <c r="M34" s="18"/>
      <c r="N34" s="25"/>
      <c r="O34" s="19"/>
      <c r="P34" s="19"/>
      <c r="Q34" s="19"/>
      <c r="R34" s="19"/>
      <c r="S34" s="19"/>
      <c r="T34" s="19"/>
      <c r="U34" s="19"/>
      <c r="V34" s="19"/>
      <c r="W34" s="19"/>
      <c r="X34" s="19"/>
    </row>
    <row r="35" spans="1:26" s="8" customFormat="1" ht="15" customHeight="1">
      <c r="A35" s="16">
        <v>21</v>
      </c>
      <c r="B35" s="8" t="s">
        <v>72</v>
      </c>
      <c r="C35" s="26"/>
      <c r="D35" s="18" t="s">
        <v>43</v>
      </c>
      <c r="E35" s="142">
        <f t="shared" si="12" ref="E35:J35">+E33</f>
        <v>2560203691.8400002</v>
      </c>
      <c r="F35" s="142">
        <f t="shared" si="12"/>
        <v>0</v>
      </c>
      <c r="G35" s="142">
        <f t="shared" si="12"/>
        <v>0</v>
      </c>
      <c r="H35" s="142">
        <f t="shared" si="12"/>
        <v>2560203691.8400002</v>
      </c>
      <c r="I35" s="142">
        <f t="shared" si="12"/>
        <v>234084651.35399997</v>
      </c>
      <c r="J35" s="142">
        <f t="shared" si="12"/>
        <v>2794288343.1939993</v>
      </c>
      <c r="K35" s="19"/>
      <c r="L35" s="142">
        <f>+L33</f>
        <v>2794288343.1939993</v>
      </c>
      <c r="M35" s="25"/>
      <c r="N35" s="18"/>
      <c r="O35" s="142">
        <f t="shared" si="13" ref="O35:X35">+O33</f>
        <v>231227862.72999996</v>
      </c>
      <c r="P35" s="142">
        <f t="shared" si="14" ref="P35:W35">+P33</f>
        <v>11765067.350000002</v>
      </c>
      <c r="Q35" s="142">
        <f t="shared" si="14"/>
        <v>400489.90000000002</v>
      </c>
      <c r="R35" s="142">
        <f t="shared" si="14"/>
        <v>243393419.97999999</v>
      </c>
      <c r="S35" s="142">
        <f t="shared" si="14"/>
        <v>2390996883.98</v>
      </c>
      <c r="T35" s="142">
        <f t="shared" si="14"/>
        <v>573514.48999999999</v>
      </c>
      <c r="U35" s="142">
        <f t="shared" si="14"/>
        <v>2391570398.4700003</v>
      </c>
      <c r="V35" s="142">
        <f t="shared" si="14"/>
        <v>109170716.78</v>
      </c>
      <c r="W35" s="142">
        <f t="shared" si="14"/>
        <v>50153807.960000008</v>
      </c>
      <c r="X35" s="142">
        <f t="shared" si="13"/>
        <v>2794288343.1899996</v>
      </c>
      <c r="Y35" s="4" t="b">
        <f t="shared" si="9"/>
        <v>0</v>
      </c>
      <c r="Z35" s="111">
        <f>ROUND(+L35,2)-ROUND(X35,2)</f>
        <v>0</v>
      </c>
    </row>
    <row r="36" spans="4:24" s="4" customFormat="1" ht="12.75">
      <c r="D36" s="16"/>
      <c r="E36" s="19"/>
      <c r="F36" s="19"/>
      <c r="M36" s="16"/>
      <c r="N36" s="16"/>
      <c r="O36" s="142"/>
      <c r="P36" s="142"/>
      <c r="Q36" s="142"/>
      <c r="R36" s="142"/>
      <c r="S36" s="142"/>
      <c r="T36" s="142"/>
      <c r="U36" s="142"/>
      <c r="V36" s="142"/>
      <c r="W36" s="142"/>
      <c r="X36" s="142"/>
    </row>
    <row r="37" spans="4:24" s="4" customFormat="1" ht="12.75">
      <c r="D37" s="16"/>
      <c r="E37" s="13"/>
      <c r="F37" s="13"/>
      <c r="G37" s="13"/>
      <c r="H37" s="13"/>
      <c r="I37" s="13"/>
      <c r="J37" s="13"/>
      <c r="K37" s="13"/>
      <c r="L37" s="13"/>
      <c r="M37" s="104"/>
      <c r="N37" s="20"/>
      <c r="O37" s="13"/>
      <c r="P37" s="13"/>
      <c r="Q37" s="13"/>
      <c r="R37" s="13"/>
      <c r="S37" s="13"/>
      <c r="T37" s="13"/>
      <c r="U37" s="13"/>
      <c r="V37" s="13"/>
      <c r="W37" s="13"/>
      <c r="X37" s="13"/>
    </row>
    <row r="38" spans="5:24" s="31" customFormat="1" ht="12.75" customHeight="1">
      <c r="E38" s="120"/>
      <c r="F38" s="43"/>
      <c r="G38" s="43"/>
      <c r="H38" s="43"/>
      <c r="I38" s="43"/>
      <c r="J38" s="43"/>
      <c r="K38" s="43"/>
      <c r="L38" s="32"/>
      <c r="M38" s="43"/>
      <c r="N38" s="32"/>
      <c r="O38" s="43"/>
      <c r="P38" s="43"/>
      <c r="Q38" s="43"/>
      <c r="R38" s="43"/>
      <c r="S38" s="46"/>
      <c r="T38" s="46"/>
      <c r="U38" s="46"/>
      <c r="V38" s="46"/>
      <c r="W38" s="46"/>
      <c r="X38" s="46"/>
    </row>
    <row r="39" spans="4:24" s="31" customFormat="1" ht="12.75" customHeight="1">
      <c r="D39" s="43"/>
      <c r="E39" s="121"/>
      <c r="F39" s="121"/>
      <c r="G39" s="121"/>
      <c r="H39" s="121"/>
      <c r="I39" s="121"/>
      <c r="J39" s="121"/>
      <c r="K39" s="43"/>
      <c r="L39" s="121"/>
      <c r="M39" s="43"/>
      <c r="N39" s="32"/>
      <c r="O39" s="121"/>
      <c r="P39" s="121"/>
      <c r="Q39" s="121"/>
      <c r="R39" s="121"/>
      <c r="S39" s="121"/>
      <c r="T39" s="121"/>
      <c r="U39" s="121"/>
      <c r="V39" s="121"/>
      <c r="W39" s="121"/>
      <c r="X39" s="121"/>
    </row>
    <row r="40" spans="4:24" s="31" customFormat="1" ht="12.75" customHeight="1">
      <c r="D40" s="41"/>
      <c r="E40" s="120"/>
      <c r="F40" s="120"/>
      <c r="G40" s="120"/>
      <c r="H40" s="120"/>
      <c r="I40" s="120"/>
      <c r="J40" s="120"/>
      <c r="K40" s="43"/>
      <c r="L40" s="32"/>
      <c r="M40" s="43"/>
      <c r="N40" s="32"/>
      <c r="O40" s="120"/>
      <c r="P40" s="120"/>
      <c r="Q40" s="120"/>
      <c r="R40" s="120"/>
      <c r="S40" s="247"/>
      <c r="T40" s="247"/>
      <c r="U40" s="247"/>
      <c r="V40" s="247"/>
      <c r="W40" s="247"/>
      <c r="X40" s="13"/>
    </row>
    <row r="41" spans="4:24" s="31" customFormat="1" ht="12.75" customHeight="1">
      <c r="D41" s="43"/>
      <c r="E41" s="43"/>
      <c r="F41" s="43"/>
      <c r="G41" s="43"/>
      <c r="H41" s="43"/>
      <c r="I41" s="43"/>
      <c r="J41" s="43"/>
      <c r="K41" s="43"/>
      <c r="L41" s="32"/>
      <c r="M41" s="43"/>
      <c r="N41" s="32"/>
      <c r="O41" s="43"/>
      <c r="P41" s="43"/>
      <c r="Q41" s="43"/>
      <c r="R41" s="43"/>
      <c r="S41" s="13"/>
      <c r="T41" s="13"/>
      <c r="U41" s="13"/>
      <c r="V41" s="13"/>
      <c r="W41" s="13"/>
      <c r="X41" s="13"/>
    </row>
    <row r="42" spans="3:24" s="35" customFormat="1" ht="12.75" customHeight="1">
      <c r="C42" s="44"/>
      <c r="D42" s="41"/>
      <c r="E42" s="41"/>
      <c r="F42" s="41"/>
      <c r="G42" s="41"/>
      <c r="H42" s="41"/>
      <c r="I42" s="41"/>
      <c r="J42" s="41"/>
      <c r="K42" s="41"/>
      <c r="L42" s="41"/>
      <c r="M42" s="41"/>
      <c r="N42" s="41"/>
      <c r="O42" s="120"/>
      <c r="P42" s="120"/>
      <c r="Q42" s="120"/>
      <c r="R42" s="120"/>
      <c r="S42" s="120"/>
      <c r="T42" s="120"/>
      <c r="U42" s="120"/>
      <c r="V42" s="120"/>
      <c r="W42" s="120"/>
      <c r="X42" s="41"/>
    </row>
    <row r="43" spans="4:23" s="31" customFormat="1" ht="12.75" customHeight="1">
      <c r="D43" s="43"/>
      <c r="E43" s="43"/>
      <c r="F43" s="43"/>
      <c r="G43" s="43"/>
      <c r="H43" s="43"/>
      <c r="I43" s="43"/>
      <c r="J43" s="43"/>
      <c r="K43" s="43"/>
      <c r="L43" s="32"/>
      <c r="M43" s="43"/>
      <c r="N43" s="32"/>
      <c r="O43" s="120"/>
      <c r="P43" s="120"/>
      <c r="Q43" s="120"/>
      <c r="R43" s="120"/>
      <c r="S43" s="120"/>
      <c r="T43" s="120"/>
      <c r="U43" s="120"/>
      <c r="V43" s="120"/>
      <c r="W43" s="120"/>
    </row>
    <row r="44" spans="3:23" s="35" customFormat="1" ht="12.75" customHeight="1">
      <c r="C44" s="47"/>
      <c r="D44" s="41"/>
      <c r="E44" s="41"/>
      <c r="F44" s="41"/>
      <c r="G44" s="48"/>
      <c r="H44" s="41"/>
      <c r="I44" s="41"/>
      <c r="J44" s="41"/>
      <c r="K44" s="41"/>
      <c r="L44" s="42"/>
      <c r="M44" s="41"/>
      <c r="N44" s="49"/>
      <c r="O44" s="41"/>
      <c r="P44" s="41"/>
      <c r="Q44" s="41"/>
      <c r="R44" s="41"/>
      <c r="S44" s="41"/>
      <c r="T44" s="41"/>
      <c r="U44" s="41"/>
      <c r="V44" s="41"/>
      <c r="W44" s="41"/>
    </row>
    <row r="45" spans="4:24" s="31" customFormat="1" ht="12.75" customHeight="1">
      <c r="D45" s="50"/>
      <c r="E45" s="43"/>
      <c r="F45" s="43"/>
      <c r="G45" s="43"/>
      <c r="H45" s="43"/>
      <c r="I45" s="43"/>
      <c r="J45" s="43"/>
      <c r="K45" s="43"/>
      <c r="L45" s="32"/>
      <c r="M45" s="43"/>
      <c r="N45" s="32"/>
      <c r="O45" s="43"/>
      <c r="P45" s="43"/>
      <c r="Q45" s="43"/>
      <c r="R45" s="43"/>
      <c r="S45" s="46"/>
      <c r="T45" s="46"/>
      <c r="U45" s="46"/>
      <c r="V45" s="46"/>
      <c r="W45" s="46"/>
      <c r="X45" s="46"/>
    </row>
    <row r="46" spans="4:24" s="31" customFormat="1" ht="12.75" customHeight="1">
      <c r="D46" s="50"/>
      <c r="E46" s="43"/>
      <c r="F46" s="43"/>
      <c r="G46" s="43"/>
      <c r="H46" s="43"/>
      <c r="I46" s="43"/>
      <c r="J46" s="43"/>
      <c r="K46" s="43"/>
      <c r="L46" s="32"/>
      <c r="M46" s="43"/>
      <c r="N46" s="32"/>
      <c r="O46" s="43"/>
      <c r="P46" s="43"/>
      <c r="Q46" s="43"/>
      <c r="R46" s="43"/>
      <c r="S46" s="46"/>
      <c r="T46" s="46"/>
      <c r="U46" s="46"/>
      <c r="V46" s="46"/>
      <c r="W46" s="46"/>
      <c r="X46" s="46"/>
    </row>
    <row r="47" spans="4:24" s="31" customFormat="1" ht="12.75" customHeight="1">
      <c r="D47" s="50"/>
      <c r="E47" s="43"/>
      <c r="F47" s="43"/>
      <c r="G47" s="43"/>
      <c r="H47" s="43"/>
      <c r="I47" s="43"/>
      <c r="J47" s="43"/>
      <c r="K47" s="43"/>
      <c r="L47" s="32"/>
      <c r="M47" s="43"/>
      <c r="N47" s="32"/>
      <c r="O47" s="43"/>
      <c r="P47" s="43"/>
      <c r="Q47" s="43"/>
      <c r="R47" s="43"/>
      <c r="S47" s="46"/>
      <c r="T47" s="46"/>
      <c r="U47" s="46"/>
      <c r="V47" s="46"/>
      <c r="W47" s="46"/>
      <c r="X47" s="46"/>
    </row>
    <row r="48" spans="4:24" s="31" customFormat="1" ht="12.75" customHeight="1">
      <c r="D48" s="50"/>
      <c r="E48" s="43"/>
      <c r="F48" s="43"/>
      <c r="G48" s="43"/>
      <c r="H48" s="43"/>
      <c r="I48" s="43"/>
      <c r="J48" s="43"/>
      <c r="K48" s="43"/>
      <c r="L48" s="32"/>
      <c r="M48" s="43"/>
      <c r="N48" s="32"/>
      <c r="O48" s="43"/>
      <c r="P48" s="43"/>
      <c r="Q48" s="43"/>
      <c r="R48" s="43"/>
      <c r="S48" s="46"/>
      <c r="T48" s="46"/>
      <c r="U48" s="46"/>
      <c r="V48" s="46"/>
      <c r="W48" s="46"/>
      <c r="X48" s="46"/>
    </row>
    <row r="49" spans="4:24" s="31" customFormat="1" ht="12.75" customHeight="1">
      <c r="D49" s="50"/>
      <c r="E49" s="43"/>
      <c r="F49" s="43"/>
      <c r="G49" s="43"/>
      <c r="H49" s="43"/>
      <c r="I49" s="43"/>
      <c r="J49" s="43"/>
      <c r="K49" s="43"/>
      <c r="L49" s="32"/>
      <c r="M49" s="43"/>
      <c r="N49" s="32"/>
      <c r="O49" s="43"/>
      <c r="P49" s="43"/>
      <c r="Q49" s="43"/>
      <c r="R49" s="43"/>
      <c r="S49" s="46"/>
      <c r="T49" s="46"/>
      <c r="U49" s="46"/>
      <c r="V49" s="46"/>
      <c r="W49" s="46"/>
      <c r="X49" s="46"/>
    </row>
    <row r="50" spans="4:24" s="31" customFormat="1" ht="12.75" customHeight="1">
      <c r="D50" s="50"/>
      <c r="E50" s="43"/>
      <c r="F50" s="43"/>
      <c r="G50" s="43"/>
      <c r="H50" s="43"/>
      <c r="I50" s="43"/>
      <c r="J50" s="43"/>
      <c r="K50" s="43"/>
      <c r="L50" s="32"/>
      <c r="M50" s="43"/>
      <c r="N50" s="32"/>
      <c r="O50" s="43"/>
      <c r="P50" s="43"/>
      <c r="Q50" s="43"/>
      <c r="R50" s="43"/>
      <c r="S50" s="46"/>
      <c r="T50" s="46"/>
      <c r="U50" s="46"/>
      <c r="V50" s="46"/>
      <c r="W50" s="46"/>
      <c r="X50" s="46"/>
    </row>
    <row r="51" spans="4:24" s="31" customFormat="1" ht="12.75" customHeight="1">
      <c r="D51" s="50"/>
      <c r="E51" s="43"/>
      <c r="F51" s="43"/>
      <c r="G51" s="43"/>
      <c r="H51" s="43"/>
      <c r="I51" s="43"/>
      <c r="J51" s="43"/>
      <c r="K51" s="43"/>
      <c r="L51" s="32"/>
      <c r="M51" s="43"/>
      <c r="N51" s="32"/>
      <c r="O51" s="43"/>
      <c r="P51" s="43"/>
      <c r="Q51" s="43"/>
      <c r="R51" s="43"/>
      <c r="S51" s="13"/>
      <c r="T51" s="13"/>
      <c r="U51" s="13"/>
      <c r="V51" s="13"/>
      <c r="W51" s="13"/>
      <c r="X51" s="13"/>
    </row>
    <row r="52" spans="4:24" s="31" customFormat="1" ht="12.75" customHeight="1">
      <c r="D52" s="50"/>
      <c r="E52" s="43"/>
      <c r="F52" s="43"/>
      <c r="G52" s="43"/>
      <c r="H52" s="43"/>
      <c r="I52" s="43"/>
      <c r="J52" s="43"/>
      <c r="K52" s="43"/>
      <c r="L52" s="32"/>
      <c r="M52" s="43"/>
      <c r="N52" s="32"/>
      <c r="O52" s="43"/>
      <c r="P52" s="43"/>
      <c r="Q52" s="43"/>
      <c r="R52" s="43"/>
      <c r="S52" s="46"/>
      <c r="T52" s="46"/>
      <c r="U52" s="46"/>
      <c r="V52" s="46"/>
      <c r="W52" s="46"/>
      <c r="X52" s="46"/>
    </row>
    <row r="53" spans="4:24" s="31" customFormat="1" ht="12.75" customHeight="1">
      <c r="D53" s="50"/>
      <c r="E53" s="43"/>
      <c r="F53" s="43"/>
      <c r="G53" s="43"/>
      <c r="H53" s="43"/>
      <c r="I53" s="43"/>
      <c r="J53" s="43"/>
      <c r="K53" s="43"/>
      <c r="L53" s="32"/>
      <c r="M53" s="43"/>
      <c r="N53" s="32"/>
      <c r="O53" s="43"/>
      <c r="P53" s="43"/>
      <c r="Q53" s="43"/>
      <c r="R53" s="43"/>
      <c r="S53" s="46"/>
      <c r="T53" s="46"/>
      <c r="U53" s="46"/>
      <c r="V53" s="46"/>
      <c r="W53" s="46"/>
      <c r="X53" s="46"/>
    </row>
    <row r="54" spans="4:24" s="31" customFormat="1" ht="12.75" customHeight="1">
      <c r="D54" s="50"/>
      <c r="E54" s="43"/>
      <c r="F54" s="43"/>
      <c r="G54" s="43"/>
      <c r="H54" s="43"/>
      <c r="I54" s="43"/>
      <c r="J54" s="43"/>
      <c r="K54" s="43"/>
      <c r="L54" s="32"/>
      <c r="M54" s="43"/>
      <c r="N54" s="32"/>
      <c r="O54" s="43"/>
      <c r="P54" s="43"/>
      <c r="Q54" s="43"/>
      <c r="R54" s="43"/>
      <c r="S54" s="46"/>
      <c r="T54" s="46"/>
      <c r="U54" s="46"/>
      <c r="V54" s="46"/>
      <c r="W54" s="46"/>
      <c r="X54" s="46"/>
    </row>
    <row r="55" spans="3:25" s="35" customFormat="1" ht="12.75" customHeight="1">
      <c r="C55" s="44"/>
      <c r="D55" s="48"/>
      <c r="E55" s="41"/>
      <c r="F55" s="41"/>
      <c r="G55" s="41"/>
      <c r="H55" s="41"/>
      <c r="I55" s="41"/>
      <c r="J55" s="41"/>
      <c r="K55" s="41"/>
      <c r="L55" s="49"/>
      <c r="M55" s="41"/>
      <c r="N55" s="42"/>
      <c r="O55" s="41"/>
      <c r="P55" s="41"/>
      <c r="Q55" s="41"/>
      <c r="R55" s="41"/>
      <c r="S55" s="41"/>
      <c r="T55" s="41"/>
      <c r="U55" s="41"/>
      <c r="V55" s="41"/>
      <c r="W55" s="41"/>
      <c r="X55" s="41"/>
      <c r="Y55" s="31"/>
    </row>
    <row r="56" spans="3:23" s="31" customFormat="1" ht="12.75" customHeight="1">
      <c r="C56" s="45"/>
      <c r="D56" s="50"/>
      <c r="E56" s="43"/>
      <c r="F56" s="43"/>
      <c r="G56" s="43"/>
      <c r="H56" s="43"/>
      <c r="I56" s="43"/>
      <c r="J56" s="43"/>
      <c r="K56" s="43"/>
      <c r="L56" s="51"/>
      <c r="M56" s="43"/>
      <c r="N56" s="32"/>
      <c r="O56" s="43"/>
      <c r="P56" s="43"/>
      <c r="Q56" s="43"/>
      <c r="R56" s="43"/>
      <c r="S56" s="43"/>
      <c r="T56" s="43"/>
      <c r="U56" s="43"/>
      <c r="V56" s="43"/>
      <c r="W56" s="43"/>
    </row>
    <row r="57" spans="2:25" s="35" customFormat="1" ht="12.75" customHeight="1">
      <c r="B57" s="52"/>
      <c r="D57" s="48"/>
      <c r="E57" s="41"/>
      <c r="F57" s="41"/>
      <c r="G57" s="41"/>
      <c r="H57" s="41"/>
      <c r="I57" s="41"/>
      <c r="J57" s="41"/>
      <c r="K57" s="41"/>
      <c r="L57" s="49"/>
      <c r="M57" s="41"/>
      <c r="N57" s="42"/>
      <c r="O57" s="41"/>
      <c r="P57" s="41"/>
      <c r="Q57" s="41"/>
      <c r="R57" s="41"/>
      <c r="S57" s="41"/>
      <c r="T57" s="41"/>
      <c r="U57" s="41"/>
      <c r="V57" s="41"/>
      <c r="W57" s="41"/>
      <c r="X57" s="41"/>
      <c r="Y57" s="31"/>
    </row>
    <row r="58" spans="3:24" s="31" customFormat="1" ht="12.75" customHeight="1">
      <c r="C58" s="44"/>
      <c r="D58" s="50"/>
      <c r="E58" s="43"/>
      <c r="F58" s="43"/>
      <c r="G58" s="43"/>
      <c r="H58" s="43"/>
      <c r="I58" s="43"/>
      <c r="J58" s="43"/>
      <c r="K58" s="43"/>
      <c r="L58" s="51"/>
      <c r="M58" s="43"/>
      <c r="N58" s="42"/>
      <c r="O58" s="43"/>
      <c r="P58" s="43"/>
      <c r="Q58" s="43"/>
      <c r="R58" s="43"/>
      <c r="S58" s="43"/>
      <c r="T58" s="43"/>
      <c r="U58" s="43"/>
      <c r="V58" s="43"/>
      <c r="W58" s="43"/>
      <c r="X58" s="43"/>
    </row>
    <row r="59" spans="3:24" s="35" customFormat="1" ht="12.75" customHeight="1">
      <c r="C59" s="44"/>
      <c r="D59" s="41"/>
      <c r="E59" s="41"/>
      <c r="F59" s="41"/>
      <c r="G59" s="41"/>
      <c r="H59" s="41"/>
      <c r="I59" s="41"/>
      <c r="J59" s="41"/>
      <c r="K59" s="41"/>
      <c r="L59" s="49"/>
      <c r="M59" s="41"/>
      <c r="N59" s="42"/>
      <c r="O59" s="41"/>
      <c r="P59" s="41"/>
      <c r="Q59" s="41"/>
      <c r="R59" s="41"/>
      <c r="S59" s="41"/>
      <c r="T59" s="41"/>
      <c r="U59" s="41"/>
      <c r="V59" s="41"/>
      <c r="W59" s="41"/>
      <c r="X59" s="41"/>
    </row>
    <row r="60" spans="3:23" s="35" customFormat="1" ht="12.75" customHeight="1">
      <c r="C60" s="44"/>
      <c r="D60" s="48"/>
      <c r="E60" s="41"/>
      <c r="F60" s="41"/>
      <c r="G60" s="41"/>
      <c r="H60" s="41"/>
      <c r="I60" s="41"/>
      <c r="J60" s="41"/>
      <c r="K60" s="41"/>
      <c r="L60" s="49"/>
      <c r="M60" s="41"/>
      <c r="N60" s="42"/>
      <c r="O60" s="41"/>
      <c r="P60" s="41"/>
      <c r="Q60" s="41"/>
      <c r="R60" s="41"/>
      <c r="S60" s="41"/>
      <c r="T60" s="41"/>
      <c r="U60" s="41"/>
      <c r="V60" s="41"/>
      <c r="W60" s="41"/>
    </row>
    <row r="61" spans="3:24" s="35" customFormat="1" ht="12.75" customHeight="1">
      <c r="C61" s="44"/>
      <c r="D61" s="41"/>
      <c r="E61" s="41"/>
      <c r="F61" s="41"/>
      <c r="G61" s="41"/>
      <c r="H61" s="41"/>
      <c r="I61" s="41"/>
      <c r="J61" s="41"/>
      <c r="K61" s="41"/>
      <c r="L61" s="49"/>
      <c r="M61" s="41"/>
      <c r="N61" s="42"/>
      <c r="O61" s="41"/>
      <c r="P61" s="41"/>
      <c r="Q61" s="41"/>
      <c r="R61" s="41"/>
      <c r="S61" s="53"/>
      <c r="T61" s="53"/>
      <c r="U61" s="53"/>
      <c r="V61" s="53"/>
      <c r="W61" s="53"/>
      <c r="X61" s="53"/>
    </row>
    <row r="62" spans="3:23" s="35" customFormat="1" ht="12.75" customHeight="1">
      <c r="C62" s="44"/>
      <c r="D62" s="48"/>
      <c r="E62" s="41"/>
      <c r="F62" s="41"/>
      <c r="G62" s="41"/>
      <c r="H62" s="41"/>
      <c r="I62" s="41"/>
      <c r="J62" s="41"/>
      <c r="K62" s="41"/>
      <c r="L62" s="49"/>
      <c r="M62" s="41"/>
      <c r="N62" s="42"/>
      <c r="O62" s="41"/>
      <c r="P62" s="41"/>
      <c r="Q62" s="41"/>
      <c r="R62" s="41"/>
      <c r="S62" s="41"/>
      <c r="T62" s="41"/>
      <c r="U62" s="41"/>
      <c r="V62" s="41"/>
      <c r="W62" s="41"/>
    </row>
    <row r="63" spans="2:24" s="35" customFormat="1" ht="12.75" customHeight="1">
      <c r="B63" s="40"/>
      <c r="C63" s="44"/>
      <c r="D63" s="48"/>
      <c r="E63" s="41"/>
      <c r="F63" s="41"/>
      <c r="G63" s="41"/>
      <c r="H63" s="41"/>
      <c r="I63" s="41"/>
      <c r="J63" s="41"/>
      <c r="K63" s="41"/>
      <c r="L63" s="49"/>
      <c r="M63" s="41"/>
      <c r="N63" s="42"/>
      <c r="O63" s="41"/>
      <c r="P63" s="41"/>
      <c r="Q63" s="41"/>
      <c r="R63" s="41"/>
      <c r="S63" s="41"/>
      <c r="T63" s="41"/>
      <c r="U63" s="41"/>
      <c r="V63" s="41"/>
      <c r="W63" s="41"/>
      <c r="X63" s="41"/>
    </row>
    <row r="64" spans="3:23" s="31" customFormat="1" ht="12.75" customHeight="1">
      <c r="C64" s="44"/>
      <c r="D64" s="50"/>
      <c r="E64" s="43"/>
      <c r="F64" s="43"/>
      <c r="G64" s="43"/>
      <c r="H64" s="43"/>
      <c r="I64" s="43"/>
      <c r="J64" s="43"/>
      <c r="K64" s="43"/>
      <c r="L64" s="51"/>
      <c r="M64" s="43"/>
      <c r="N64" s="42"/>
      <c r="O64" s="43"/>
      <c r="P64" s="43"/>
      <c r="Q64" s="43"/>
      <c r="R64" s="43"/>
      <c r="S64" s="43"/>
      <c r="T64" s="43"/>
      <c r="U64" s="43"/>
      <c r="V64" s="43"/>
      <c r="W64" s="43"/>
    </row>
    <row r="65" spans="3:24" s="31" customFormat="1" ht="12.75" customHeight="1">
      <c r="C65" s="44"/>
      <c r="D65" s="50"/>
      <c r="E65" s="43"/>
      <c r="F65" s="43"/>
      <c r="G65" s="43"/>
      <c r="H65" s="43"/>
      <c r="I65" s="43"/>
      <c r="J65" s="43"/>
      <c r="K65" s="43"/>
      <c r="L65" s="32"/>
      <c r="M65" s="43"/>
      <c r="N65" s="32"/>
      <c r="O65" s="43"/>
      <c r="P65" s="43"/>
      <c r="Q65" s="43"/>
      <c r="R65" s="43"/>
      <c r="S65" s="46"/>
      <c r="T65" s="46"/>
      <c r="U65" s="46"/>
      <c r="V65" s="46"/>
      <c r="W65" s="46"/>
      <c r="X65" s="46"/>
    </row>
    <row r="66" spans="3:24" s="31" customFormat="1" ht="12.75" customHeight="1">
      <c r="C66" s="44"/>
      <c r="D66" s="50"/>
      <c r="E66" s="43"/>
      <c r="F66" s="43"/>
      <c r="G66" s="43"/>
      <c r="H66" s="43"/>
      <c r="I66" s="43"/>
      <c r="J66" s="43"/>
      <c r="K66" s="43"/>
      <c r="L66" s="32"/>
      <c r="M66" s="43"/>
      <c r="N66" s="32"/>
      <c r="O66" s="43"/>
      <c r="P66" s="43"/>
      <c r="Q66" s="43"/>
      <c r="R66" s="43"/>
      <c r="S66" s="46"/>
      <c r="T66" s="46"/>
      <c r="U66" s="46"/>
      <c r="V66" s="46"/>
      <c r="W66" s="46"/>
      <c r="X66" s="46"/>
    </row>
    <row r="67" spans="3:23" s="31" customFormat="1" ht="12.75" customHeight="1">
      <c r="C67" s="44"/>
      <c r="D67" s="50"/>
      <c r="E67" s="43"/>
      <c r="F67" s="43"/>
      <c r="G67" s="43"/>
      <c r="H67" s="43"/>
      <c r="I67" s="43"/>
      <c r="J67" s="43"/>
      <c r="K67" s="43"/>
      <c r="L67" s="51"/>
      <c r="M67" s="43"/>
      <c r="N67" s="42"/>
      <c r="O67" s="43"/>
      <c r="P67" s="43"/>
      <c r="Q67" s="43"/>
      <c r="R67" s="43"/>
      <c r="S67" s="43"/>
      <c r="T67" s="43"/>
      <c r="U67" s="43"/>
      <c r="V67" s="43"/>
      <c r="W67" s="43"/>
    </row>
    <row r="68" spans="3:24" s="31" customFormat="1" ht="12.75" customHeight="1">
      <c r="C68" s="54"/>
      <c r="D68" s="50"/>
      <c r="E68" s="43"/>
      <c r="F68" s="43"/>
      <c r="G68" s="43"/>
      <c r="H68" s="43"/>
      <c r="I68" s="43"/>
      <c r="J68" s="43"/>
      <c r="K68" s="43"/>
      <c r="L68" s="32"/>
      <c r="M68" s="43"/>
      <c r="N68" s="32"/>
      <c r="O68" s="43"/>
      <c r="P68" s="43"/>
      <c r="Q68" s="43"/>
      <c r="R68" s="43"/>
      <c r="S68" s="46"/>
      <c r="T68" s="46"/>
      <c r="U68" s="46"/>
      <c r="V68" s="46"/>
      <c r="W68" s="46"/>
      <c r="X68" s="46"/>
    </row>
    <row r="69" spans="3:24" s="31" customFormat="1" ht="12.75" customHeight="1">
      <c r="C69" s="55"/>
      <c r="D69" s="50"/>
      <c r="E69" s="43"/>
      <c r="F69" s="43"/>
      <c r="G69" s="43"/>
      <c r="H69" s="43"/>
      <c r="I69" s="43"/>
      <c r="J69" s="43"/>
      <c r="K69" s="43"/>
      <c r="L69" s="32"/>
      <c r="M69" s="43"/>
      <c r="N69" s="32"/>
      <c r="O69" s="43"/>
      <c r="P69" s="43"/>
      <c r="Q69" s="43"/>
      <c r="R69" s="43"/>
      <c r="S69" s="46"/>
      <c r="T69" s="46"/>
      <c r="U69" s="46"/>
      <c r="V69" s="46"/>
      <c r="W69" s="46"/>
      <c r="X69" s="46"/>
    </row>
    <row r="70" spans="12:14" s="31" customFormat="1" ht="12.75" customHeight="1">
      <c r="L70" s="32"/>
      <c r="N70" s="32"/>
    </row>
    <row r="71" spans="12:14" s="31" customFormat="1" ht="12.75" customHeight="1">
      <c r="L71" s="32"/>
      <c r="N71" s="32"/>
    </row>
    <row r="72" spans="12:14" s="31" customFormat="1" ht="12.75" customHeight="1">
      <c r="L72" s="32"/>
      <c r="N72" s="32"/>
    </row>
    <row r="73" spans="12:14" s="31" customFormat="1" ht="12.75" customHeight="1">
      <c r="L73" s="32"/>
      <c r="N73" s="32"/>
    </row>
    <row r="74" spans="12:14" s="31" customFormat="1" ht="12.75" customHeight="1">
      <c r="L74" s="32"/>
      <c r="N74" s="32"/>
    </row>
    <row r="75" spans="12:14" s="31" customFormat="1" ht="12.75" customHeight="1">
      <c r="L75" s="32"/>
      <c r="N75" s="32"/>
    </row>
    <row r="76" spans="12:14" s="31" customFormat="1" ht="12.75" customHeight="1">
      <c r="L76" s="32"/>
      <c r="N76" s="32"/>
    </row>
    <row r="77" spans="12:14" s="31" customFormat="1" ht="12.75" customHeight="1">
      <c r="L77" s="32"/>
      <c r="N77" s="32"/>
    </row>
    <row r="78" spans="12:14" s="31" customFormat="1" ht="12.75" customHeight="1">
      <c r="L78" s="32"/>
      <c r="N78" s="32"/>
    </row>
    <row r="79" spans="12:14" s="31" customFormat="1" ht="12.75" customHeight="1">
      <c r="L79" s="32"/>
      <c r="N79" s="32"/>
    </row>
    <row r="80" spans="12:14" s="31" customFormat="1" ht="12.75" customHeight="1">
      <c r="L80" s="32"/>
      <c r="N80" s="32"/>
    </row>
    <row r="81" spans="12:14" s="31" customFormat="1" ht="12.75" customHeight="1">
      <c r="L81" s="32"/>
      <c r="N81" s="32"/>
    </row>
    <row r="82" spans="12:14" s="31" customFormat="1" ht="12.75" customHeight="1">
      <c r="L82" s="32"/>
      <c r="N82" s="32"/>
    </row>
    <row r="83" spans="12:14" s="31" customFormat="1" ht="12.75" customHeight="1">
      <c r="L83" s="32"/>
      <c r="N83" s="32"/>
    </row>
    <row r="84" spans="12:14" s="31" customFormat="1" ht="12.75" customHeight="1">
      <c r="L84" s="32"/>
      <c r="N84" s="32"/>
    </row>
    <row r="85" spans="12:14" s="31" customFormat="1" ht="12.75" customHeight="1">
      <c r="L85" s="32"/>
      <c r="N85" s="32"/>
    </row>
    <row r="86" spans="12:14" s="31" customFormat="1" ht="12.75" customHeight="1">
      <c r="L86" s="32"/>
      <c r="N86" s="32"/>
    </row>
    <row r="87" spans="12:14" s="31" customFormat="1" ht="12.75" customHeight="1">
      <c r="L87" s="32"/>
      <c r="N87" s="32"/>
    </row>
    <row r="88" spans="12:14" s="31" customFormat="1" ht="12.75" customHeight="1">
      <c r="L88" s="32"/>
      <c r="N88" s="32"/>
    </row>
    <row r="89" spans="12:14" s="31" customFormat="1" ht="12.75" customHeight="1">
      <c r="L89" s="32"/>
      <c r="N89" s="32"/>
    </row>
    <row r="90" spans="12:14" s="31" customFormat="1" ht="12.75" customHeight="1">
      <c r="L90" s="32"/>
      <c r="N90" s="32"/>
    </row>
    <row r="91" spans="12:14" s="31" customFormat="1" ht="12.75" customHeight="1">
      <c r="L91" s="32"/>
      <c r="N91" s="32"/>
    </row>
    <row r="92" spans="12:14" s="31" customFormat="1" ht="12.75" customHeight="1">
      <c r="L92" s="32"/>
      <c r="N92" s="32"/>
    </row>
    <row r="93" spans="12:14" s="31" customFormat="1" ht="12.75" customHeight="1">
      <c r="L93" s="32"/>
      <c r="N93" s="32"/>
    </row>
    <row r="94" spans="12:14" s="31" customFormat="1" ht="12.75" customHeight="1">
      <c r="L94" s="32"/>
      <c r="N94" s="32"/>
    </row>
    <row r="95" spans="12:14" s="31" customFormat="1" ht="12.75" customHeight="1">
      <c r="L95" s="32"/>
      <c r="N95" s="32"/>
    </row>
    <row r="96" spans="12:14" s="31" customFormat="1" ht="12.75" customHeight="1">
      <c r="L96" s="32"/>
      <c r="N96" s="32"/>
    </row>
    <row r="97" spans="12:14" s="31" customFormat="1" ht="12.75" customHeight="1">
      <c r="L97" s="32"/>
      <c r="N97" s="32"/>
    </row>
    <row r="98" spans="12:14" s="31" customFormat="1" ht="12.75" customHeight="1">
      <c r="L98" s="32"/>
      <c r="N98" s="32"/>
    </row>
    <row r="99" spans="12:14" s="31" customFormat="1" ht="12.75" customHeight="1">
      <c r="L99" s="32"/>
      <c r="N99" s="32"/>
    </row>
    <row r="100" spans="12:14" s="31" customFormat="1" ht="12.75" customHeight="1">
      <c r="L100" s="32"/>
      <c r="N100" s="32"/>
    </row>
    <row r="101" spans="12:14" s="31" customFormat="1" ht="12.75" customHeight="1">
      <c r="L101" s="32"/>
      <c r="N101" s="32"/>
    </row>
    <row r="102" spans="12:14" s="31" customFormat="1" ht="12.75" customHeight="1">
      <c r="L102" s="32"/>
      <c r="N102" s="32"/>
    </row>
    <row r="103" spans="12:14" s="31" customFormat="1" ht="12.75" customHeight="1">
      <c r="L103" s="32"/>
      <c r="N103" s="32"/>
    </row>
    <row r="104" spans="12:14" s="31" customFormat="1" ht="12.75" customHeight="1">
      <c r="L104" s="32"/>
      <c r="N104" s="32"/>
    </row>
    <row r="105" spans="12:14" s="31" customFormat="1" ht="12.75" customHeight="1">
      <c r="L105" s="32"/>
      <c r="N105" s="32"/>
    </row>
    <row r="106" spans="12:14" s="31" customFormat="1" ht="12.75" customHeight="1">
      <c r="L106" s="32"/>
      <c r="N106" s="32"/>
    </row>
    <row r="107" spans="12:14" s="31" customFormat="1" ht="12.75" customHeight="1">
      <c r="L107" s="32"/>
      <c r="N107" s="32"/>
    </row>
    <row r="108" spans="12:14" s="31" customFormat="1" ht="12.75" customHeight="1">
      <c r="L108" s="32"/>
      <c r="N108" s="32"/>
    </row>
    <row r="109" spans="12:14" s="31" customFormat="1" ht="12.75" customHeight="1">
      <c r="L109" s="32"/>
      <c r="N109" s="32"/>
    </row>
    <row r="110" spans="12:14" s="31" customFormat="1" ht="12.75" customHeight="1">
      <c r="L110" s="32"/>
      <c r="N110" s="32"/>
    </row>
    <row r="111" spans="12:14" s="31" customFormat="1" ht="12.75" customHeight="1">
      <c r="L111" s="32"/>
      <c r="N111" s="32"/>
    </row>
    <row r="112" spans="12:14" s="31" customFormat="1" ht="12.75" customHeight="1">
      <c r="L112" s="32"/>
      <c r="N112" s="32"/>
    </row>
    <row r="113" spans="12:14" s="31" customFormat="1" ht="12.75" customHeight="1">
      <c r="L113" s="32"/>
      <c r="N113" s="32"/>
    </row>
    <row r="114" spans="12:14" s="31" customFormat="1" ht="12.75" customHeight="1">
      <c r="L114" s="32"/>
      <c r="N114" s="32"/>
    </row>
    <row r="115" spans="12:14" s="31" customFormat="1" ht="12.75" customHeight="1">
      <c r="L115" s="32"/>
      <c r="N115" s="32"/>
    </row>
    <row r="116" spans="12:14" s="31" customFormat="1" ht="12.75" customHeight="1">
      <c r="L116" s="32"/>
      <c r="N116" s="32"/>
    </row>
    <row r="117" spans="12:14" s="31" customFormat="1" ht="12.75" customHeight="1">
      <c r="L117" s="32"/>
      <c r="N117" s="32"/>
    </row>
    <row r="118" spans="12:14" s="31" customFormat="1" ht="12.75" customHeight="1">
      <c r="L118" s="32"/>
      <c r="N118" s="32"/>
    </row>
    <row r="119" spans="12:14" s="31" customFormat="1" ht="12.75" customHeight="1">
      <c r="L119" s="32"/>
      <c r="N119" s="32"/>
    </row>
    <row r="120" spans="12:14" s="31" customFormat="1" ht="12.75" customHeight="1">
      <c r="L120" s="32"/>
      <c r="N120" s="32"/>
    </row>
    <row r="121" spans="12:14" s="31" customFormat="1" ht="12.75" customHeight="1">
      <c r="L121" s="32"/>
      <c r="N121" s="32"/>
    </row>
    <row r="122" spans="12:14" s="31" customFormat="1" ht="12.75" customHeight="1">
      <c r="L122" s="32"/>
      <c r="N122" s="32"/>
    </row>
    <row r="123" spans="12:14" s="31" customFormat="1" ht="12.75" customHeight="1">
      <c r="L123" s="32"/>
      <c r="N123" s="32"/>
    </row>
    <row r="124" spans="12:14" s="31" customFormat="1" ht="12.75" customHeight="1">
      <c r="L124" s="32"/>
      <c r="N124" s="32"/>
    </row>
    <row r="125" spans="12:14" s="31" customFormat="1" ht="12.75" customHeight="1">
      <c r="L125" s="32"/>
      <c r="N125" s="32"/>
    </row>
    <row r="126" spans="12:14" s="31" customFormat="1" ht="12.75" customHeight="1">
      <c r="L126" s="32"/>
      <c r="N126" s="32"/>
    </row>
    <row r="127" spans="12:14" s="31" customFormat="1" ht="12.75" customHeight="1">
      <c r="L127" s="32"/>
      <c r="N127" s="32"/>
    </row>
    <row r="128" spans="12:14" s="31" customFormat="1" ht="12.75" customHeight="1">
      <c r="L128" s="32"/>
      <c r="N128" s="32"/>
    </row>
    <row r="129" spans="12:14" s="31" customFormat="1" ht="12.75" customHeight="1">
      <c r="L129" s="32"/>
      <c r="N129" s="32"/>
    </row>
    <row r="130" spans="12:14" s="31" customFormat="1" ht="12.75" customHeight="1">
      <c r="L130" s="32"/>
      <c r="N130" s="32"/>
    </row>
    <row r="131" spans="12:14" s="31" customFormat="1" ht="12.75" customHeight="1">
      <c r="L131" s="32"/>
      <c r="N131" s="32"/>
    </row>
    <row r="132" spans="12:14" s="31" customFormat="1" ht="12.75" customHeight="1">
      <c r="L132" s="32"/>
      <c r="N132" s="32"/>
    </row>
    <row r="133" spans="12:14" s="31" customFormat="1" ht="12.75" customHeight="1">
      <c r="L133" s="32"/>
      <c r="N133" s="32"/>
    </row>
    <row r="134" spans="12:14" s="31" customFormat="1" ht="12.75" customHeight="1">
      <c r="L134" s="32"/>
      <c r="N134" s="32"/>
    </row>
    <row r="135" spans="12:14" s="31" customFormat="1" ht="12.75" customHeight="1">
      <c r="L135" s="32"/>
      <c r="N135" s="32"/>
    </row>
    <row r="136" spans="12:14" s="31" customFormat="1" ht="12.75" customHeight="1">
      <c r="L136" s="32"/>
      <c r="N136" s="32"/>
    </row>
    <row r="137" spans="12:14" s="31" customFormat="1" ht="12.75" customHeight="1">
      <c r="L137" s="32"/>
      <c r="N137" s="32"/>
    </row>
    <row r="138" spans="12:14" s="31" customFormat="1" ht="12.75" customHeight="1">
      <c r="L138" s="32"/>
      <c r="N138" s="32"/>
    </row>
    <row r="139" spans="12:14" s="31" customFormat="1" ht="12.75" customHeight="1">
      <c r="L139" s="32"/>
      <c r="N139" s="32"/>
    </row>
    <row r="140" spans="12:14" s="31" customFormat="1" ht="12.75" customHeight="1">
      <c r="L140" s="32"/>
      <c r="N140" s="32"/>
    </row>
    <row r="141" spans="12:14" s="31" customFormat="1" ht="12.75" customHeight="1">
      <c r="L141" s="32"/>
      <c r="N141" s="32"/>
    </row>
    <row r="142" spans="12:14" s="31" customFormat="1" ht="12.75" customHeight="1">
      <c r="L142" s="32"/>
      <c r="N142" s="32"/>
    </row>
    <row r="143" spans="12:14" s="31" customFormat="1" ht="12.75" customHeight="1">
      <c r="L143" s="32"/>
      <c r="N143" s="32"/>
    </row>
    <row r="144" spans="12:14" s="31" customFormat="1" ht="12.75" customHeight="1">
      <c r="L144" s="32"/>
      <c r="N144" s="32"/>
    </row>
    <row r="145" spans="12:14" s="31" customFormat="1" ht="12.75" customHeight="1">
      <c r="L145" s="32"/>
      <c r="N145" s="32"/>
    </row>
    <row r="146" spans="12:14" s="31" customFormat="1" ht="12.75" customHeight="1">
      <c r="L146" s="32"/>
      <c r="N146" s="32"/>
    </row>
  </sheetData>
  <printOptions horizontalCentered="1"/>
  <pageMargins left="0.5" right="0.5" top="3" bottom="0.5" header="1.5" footer="0.5"/>
  <pageSetup fitToHeight="0" fitToWidth="2" orientation="landscape" pageOrder="overThenDown" scale="49" r:id="rId1"/>
  <headerFooter alignWithMargins="0">
    <oddHeader>&amp;C&amp;B
2022 RATE CASE
ONCOR ELECTRIC DELIVERY COMPANY LLC
II-D-2   A&amp;&amp;G EXPENSES
TEST YEAR ENDING DECEMBER 31, 2021
SPONSOR: W. ALAN LEDBETTER&amp;R&amp;"Arial,Bold"Schedule &amp;A
Page &amp;P of &amp;N</oddHeader>
  </headerFooter>
  <colBreaks count="1" manualBreakCount="1">
    <brk id="13" min="14" max="34"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0">
    <tabColor rgb="FFFF0000"/>
  </sheetPr>
  <dimension ref="A1:I68"/>
  <sheetViews>
    <sheetView zoomScale="85" zoomScaleNormal="85" workbookViewId="0" topLeftCell="A1">
      <pane xSplit="3" ySplit="15" topLeftCell="D16" activePane="bottomRight" state="frozen"/>
      <selection pane="topLeft" activeCell="G42" sqref="G42"/>
      <selection pane="bottomLeft" activeCell="G42" sqref="G42"/>
      <selection pane="topRight" activeCell="G42" sqref="G42"/>
      <selection pane="bottomRight" activeCell="D16" sqref="D16"/>
    </sheetView>
  </sheetViews>
  <sheetFormatPr defaultColWidth="9.14428571428571" defaultRowHeight="12.75"/>
  <cols>
    <col min="1" max="1" width="5.71428571428571" style="31" customWidth="1"/>
    <col min="2" max="2" width="8.71428571428571" style="33" customWidth="1"/>
    <col min="3" max="3" width="46.5714285714286" style="33" customWidth="1"/>
    <col min="4" max="4" width="10.5714285714286" style="33" customWidth="1"/>
    <col min="5" max="7" width="15.2857142857143" style="33" bestFit="1" customWidth="1"/>
    <col min="8" max="8" width="18" style="33" bestFit="1" customWidth="1"/>
    <col min="9" max="16384" width="9.14285714285714" style="33"/>
  </cols>
  <sheetData>
    <row r="1" spans="1:1" ht="12.75">
      <c r="A1" s="35" t="str">
        <f>+'[3]Input Data'!$A$9</f>
        <v>2022 RATE CASE</v>
      </c>
    </row>
    <row r="2" spans="1:8" ht="12.75">
      <c r="A2" s="8" t="str">
        <f>+'[3]Input Data'!$A$2</f>
        <v>ONCOR ELECTRIC DELIVERY COMPANY LLC</v>
      </c>
      <c r="B2" s="31"/>
      <c r="C2" s="31"/>
      <c r="D2" s="31"/>
      <c r="E2" s="31"/>
      <c r="F2" s="31"/>
      <c r="G2" s="57"/>
      <c r="H2" s="31"/>
    </row>
    <row r="3" spans="1:8" ht="12.75">
      <c r="A3" s="198" t="s">
        <v>712</v>
      </c>
      <c r="B3" s="4"/>
      <c r="D3" s="31"/>
      <c r="E3" s="31"/>
      <c r="F3" s="31"/>
      <c r="G3" s="34"/>
      <c r="H3" s="31"/>
    </row>
    <row r="4" spans="1:8" ht="12.75">
      <c r="A4" s="63" t="str">
        <f>+'[3]Input Data'!$A$4</f>
        <v>TEST YEAR ENDING DECEMBER 31, 2021</v>
      </c>
      <c r="B4" s="4"/>
      <c r="D4" s="31"/>
      <c r="E4" s="31"/>
      <c r="F4" s="31"/>
      <c r="G4" s="34"/>
      <c r="H4" s="31"/>
    </row>
    <row r="5" spans="1:8" ht="12.75">
      <c r="A5" s="7" t="str">
        <f>CONCATENATE("SPONSOR: ",'[3]Schedule Sponsors'!$D$53)</f>
        <v>SPONSOR: W. ALAN LEDBETTER</v>
      </c>
      <c r="B5" s="4"/>
      <c r="D5" s="31"/>
      <c r="E5" s="31"/>
      <c r="F5" s="31"/>
      <c r="G5" s="31"/>
      <c r="H5" s="31"/>
    </row>
    <row r="6" spans="2:8" ht="12.75">
      <c r="B6" s="4"/>
      <c r="D6" s="31"/>
      <c r="E6" s="31"/>
      <c r="F6" s="31"/>
      <c r="G6" s="31"/>
      <c r="H6" s="31"/>
    </row>
    <row r="7" spans="2:8" ht="12.75">
      <c r="B7" s="4"/>
      <c r="D7" s="31"/>
      <c r="E7" s="31"/>
      <c r="F7" s="31"/>
      <c r="G7" s="31"/>
      <c r="H7" s="31"/>
    </row>
    <row r="8" spans="2:8" ht="12.75">
      <c r="B8" s="35"/>
      <c r="C8" s="31"/>
      <c r="D8" s="31"/>
      <c r="E8" s="31"/>
      <c r="F8" s="31"/>
      <c r="G8" s="31"/>
      <c r="H8" s="31"/>
    </row>
    <row r="9" spans="2:8" ht="13.5" thickBot="1">
      <c r="B9" s="31" t="s">
        <v>211</v>
      </c>
      <c r="C9" s="31"/>
      <c r="D9" s="31"/>
      <c r="E9" s="36"/>
      <c r="F9" s="36"/>
      <c r="G9" s="36"/>
      <c r="H9" s="36"/>
    </row>
    <row r="10" spans="1:8" s="56" customFormat="1" ht="12.75">
      <c r="A10" s="9"/>
      <c r="B10" s="9"/>
      <c r="C10" s="9"/>
      <c r="D10" s="9"/>
      <c r="E10" s="10"/>
      <c r="F10" s="82"/>
      <c r="G10" s="82"/>
      <c r="H10" s="82"/>
    </row>
    <row r="11" spans="1:8" s="56" customFormat="1" ht="12.75">
      <c r="A11" s="11"/>
      <c r="B11" s="11"/>
      <c r="C11" s="11"/>
      <c r="D11" s="11"/>
      <c r="E11" s="11" t="s">
        <v>321</v>
      </c>
      <c r="F11" s="81"/>
      <c r="G11" s="81"/>
      <c r="H11" s="81"/>
    </row>
    <row r="12" spans="1:8" s="56" customFormat="1" ht="12.75">
      <c r="A12" s="11" t="s">
        <v>87</v>
      </c>
      <c r="B12" s="11" t="s">
        <v>213</v>
      </c>
      <c r="C12" s="11"/>
      <c r="D12" s="11" t="s">
        <v>210</v>
      </c>
      <c r="E12" s="11" t="s">
        <v>323</v>
      </c>
      <c r="F12" s="81" t="str">
        <f>+'II-D-1a'!F12</f>
        <v>Year</v>
      </c>
      <c r="G12" s="81" t="str">
        <f>+'II-D-1a'!G12</f>
        <v>Year</v>
      </c>
      <c r="H12" s="81" t="str">
        <f>+'II-D-1a'!H12</f>
        <v>Year</v>
      </c>
    </row>
    <row r="13" spans="1:8" s="56" customFormat="1" ht="12.75">
      <c r="A13" s="11" t="s">
        <v>89</v>
      </c>
      <c r="B13" s="11" t="s">
        <v>296</v>
      </c>
      <c r="C13" s="11" t="s">
        <v>209</v>
      </c>
      <c r="D13" s="11" t="s">
        <v>212</v>
      </c>
      <c r="E13" s="11" t="s">
        <v>223</v>
      </c>
      <c r="F13" s="81">
        <f>+'II-D-1a'!F13</f>
        <v>2020</v>
      </c>
      <c r="G13" s="81">
        <f>+'II-D-1a'!G13</f>
        <v>2019</v>
      </c>
      <c r="H13" s="81">
        <f>+'II-D-1a'!H13</f>
        <v>2018</v>
      </c>
    </row>
    <row r="14" spans="1:8" s="56" customFormat="1" ht="13.5" thickBot="1">
      <c r="A14" s="12"/>
      <c r="B14" s="29" t="s">
        <v>44</v>
      </c>
      <c r="C14" s="29" t="s">
        <v>45</v>
      </c>
      <c r="D14" s="29" t="s">
        <v>74</v>
      </c>
      <c r="E14" s="29" t="s">
        <v>75</v>
      </c>
      <c r="F14" s="80" t="str">
        <f>+'II-D-1a'!F14</f>
        <v>(e)</v>
      </c>
      <c r="G14" s="80" t="str">
        <f>+'II-D-1a'!G14</f>
        <v>(f)</v>
      </c>
      <c r="H14" s="80" t="str">
        <f>+'II-D-1a'!H14</f>
        <v>(g)</v>
      </c>
    </row>
    <row r="15" spans="2:8" s="31" customFormat="1" ht="12.75" customHeight="1">
      <c r="B15" s="38"/>
      <c r="C15" s="38"/>
      <c r="D15" s="38"/>
      <c r="E15" s="38"/>
      <c r="F15" s="38"/>
      <c r="G15" s="38"/>
      <c r="H15" s="38"/>
    </row>
    <row r="16" spans="1:8" s="8" customFormat="1" ht="15" customHeight="1">
      <c r="A16" s="16">
        <v>1</v>
      </c>
      <c r="B16" s="8" t="s">
        <v>270</v>
      </c>
      <c r="D16" s="18" t="s">
        <v>391</v>
      </c>
      <c r="E16" s="19"/>
      <c r="F16" s="19"/>
      <c r="G16" s="19"/>
      <c r="H16" s="19"/>
    </row>
    <row r="17" spans="1:8" s="8" customFormat="1" ht="15" customHeight="1">
      <c r="A17" s="16">
        <v>2</v>
      </c>
      <c r="D17" s="18"/>
      <c r="E17" s="19"/>
      <c r="F17" s="19"/>
      <c r="G17" s="19"/>
      <c r="H17" s="19"/>
    </row>
    <row r="18" spans="1:9" s="4" customFormat="1" ht="15" customHeight="1">
      <c r="A18" s="16">
        <v>3</v>
      </c>
      <c r="B18" s="4" t="s">
        <v>271</v>
      </c>
      <c r="C18" s="4" t="s">
        <v>339</v>
      </c>
      <c r="D18" s="16"/>
      <c r="E18" s="156">
        <f>+'II-D-2'!H17</f>
        <v>91188633.209999979</v>
      </c>
      <c r="F18" s="246">
        <v>90430393.589999989</v>
      </c>
      <c r="G18" s="246">
        <v>81896987.159999996</v>
      </c>
      <c r="H18" s="246">
        <v>80579281.989999995</v>
      </c>
      <c r="I18" s="246"/>
    </row>
    <row r="19" spans="1:9" s="4" customFormat="1" ht="15" customHeight="1">
      <c r="A19" s="16">
        <v>4</v>
      </c>
      <c r="B19" s="4" t="s">
        <v>272</v>
      </c>
      <c r="C19" s="4" t="s">
        <v>340</v>
      </c>
      <c r="D19" s="16"/>
      <c r="E19" s="13">
        <f>+'II-D-2'!H18</f>
        <v>9470759.8500000034</v>
      </c>
      <c r="F19" s="245">
        <v>10389713.07</v>
      </c>
      <c r="G19" s="13">
        <v>15323699.120000001</v>
      </c>
      <c r="H19" s="13">
        <v>13532730.48</v>
      </c>
      <c r="I19" s="301"/>
    </row>
    <row r="20" spans="1:9" s="4" customFormat="1" ht="15" customHeight="1">
      <c r="A20" s="16">
        <v>5</v>
      </c>
      <c r="B20" s="4" t="s">
        <v>273</v>
      </c>
      <c r="C20" s="4" t="s">
        <v>341</v>
      </c>
      <c r="D20" s="16"/>
      <c r="E20" s="13">
        <f>+'II-D-2'!H19</f>
        <v>0</v>
      </c>
      <c r="F20" s="245">
        <v>0</v>
      </c>
      <c r="G20" s="13">
        <v>0</v>
      </c>
      <c r="H20" s="13">
        <v>0</v>
      </c>
      <c r="I20" s="301"/>
    </row>
    <row r="21" spans="1:9" s="4" customFormat="1" ht="15" customHeight="1">
      <c r="A21" s="16">
        <v>6</v>
      </c>
      <c r="B21" s="4" t="s">
        <v>274</v>
      </c>
      <c r="C21" s="23" t="s">
        <v>342</v>
      </c>
      <c r="D21" s="16"/>
      <c r="E21" s="13">
        <f>+'II-D-2'!H20</f>
        <v>125515578.48999997</v>
      </c>
      <c r="F21" s="245">
        <v>112719858.65000001</v>
      </c>
      <c r="G21" s="13">
        <v>104269878.81</v>
      </c>
      <c r="H21" s="13">
        <v>100823446.81999999</v>
      </c>
      <c r="I21" s="301"/>
    </row>
    <row r="22" spans="1:9" s="4" customFormat="1" ht="15" customHeight="1">
      <c r="A22" s="16">
        <v>7</v>
      </c>
      <c r="B22" s="4" t="s">
        <v>275</v>
      </c>
      <c r="C22" s="4" t="s">
        <v>343</v>
      </c>
      <c r="D22" s="16"/>
      <c r="E22" s="13">
        <f>+'II-D-2'!H21</f>
        <v>113681193.60000001</v>
      </c>
      <c r="F22" s="245">
        <v>113183677.76000001</v>
      </c>
      <c r="G22" s="13">
        <v>112503871.25</v>
      </c>
      <c r="H22" s="13">
        <v>112039247.64999999</v>
      </c>
      <c r="I22" s="301"/>
    </row>
    <row r="23" spans="1:9" s="4" customFormat="1" ht="15" customHeight="1">
      <c r="A23" s="16">
        <v>8</v>
      </c>
      <c r="B23" s="4" t="s">
        <v>276</v>
      </c>
      <c r="C23" s="4" t="s">
        <v>160</v>
      </c>
      <c r="D23" s="16"/>
      <c r="E23" s="13">
        <f>+'II-D-2'!H22</f>
        <v>24016894.579999994</v>
      </c>
      <c r="F23" s="245">
        <v>19596444.789999999</v>
      </c>
      <c r="G23" s="13">
        <v>22248174.829999998</v>
      </c>
      <c r="H23" s="13">
        <v>21877797.419999998</v>
      </c>
      <c r="I23" s="301"/>
    </row>
    <row r="24" spans="1:9" s="4" customFormat="1" ht="15" customHeight="1">
      <c r="A24" s="16">
        <v>9</v>
      </c>
      <c r="B24" s="4" t="s">
        <v>277</v>
      </c>
      <c r="C24" s="4" t="s">
        <v>28</v>
      </c>
      <c r="D24" s="16"/>
      <c r="E24" s="13">
        <f>+'II-D-2'!H23</f>
        <v>151516132.0099999</v>
      </c>
      <c r="F24" s="245">
        <v>140144628.65000001</v>
      </c>
      <c r="G24" s="13">
        <v>140986783.13999999</v>
      </c>
      <c r="H24" s="13">
        <v>140853047.44999999</v>
      </c>
      <c r="I24" s="301"/>
    </row>
    <row r="25" spans="1:9" s="4" customFormat="1" ht="15" customHeight="1">
      <c r="A25" s="16">
        <v>10</v>
      </c>
      <c r="B25" s="4" t="s">
        <v>278</v>
      </c>
      <c r="C25" s="4" t="s">
        <v>127</v>
      </c>
      <c r="D25" s="16"/>
      <c r="E25" s="13">
        <f>+'II-D-2'!H24</f>
        <v>258446.56</v>
      </c>
      <c r="F25" s="245">
        <v>258758.01000000001</v>
      </c>
      <c r="G25" s="13">
        <v>2671277.1899999999</v>
      </c>
      <c r="H25" s="13">
        <v>4138016.1200000001</v>
      </c>
      <c r="I25" s="301"/>
    </row>
    <row r="26" spans="1:9" s="4" customFormat="1" ht="15" customHeight="1">
      <c r="A26" s="16">
        <v>11</v>
      </c>
      <c r="B26" s="30" t="s">
        <v>291</v>
      </c>
      <c r="C26" s="4" t="s">
        <v>29</v>
      </c>
      <c r="D26" s="16"/>
      <c r="E26" s="13">
        <f>+'II-D-2'!H25</f>
        <v>151079.01000000001</v>
      </c>
      <c r="F26" s="245">
        <v>130519.74000000001</v>
      </c>
      <c r="G26" s="13">
        <v>110397.97</v>
      </c>
      <c r="H26" s="13">
        <v>65664.509999999995</v>
      </c>
      <c r="I26" s="301"/>
    </row>
    <row r="27" spans="1:9" s="4" customFormat="1" ht="15" customHeight="1">
      <c r="A27" s="16">
        <v>12</v>
      </c>
      <c r="B27" s="30" t="s">
        <v>290</v>
      </c>
      <c r="C27" s="4" t="s">
        <v>153</v>
      </c>
      <c r="D27" s="16"/>
      <c r="E27" s="13">
        <f>+'II-D-2'!H26</f>
        <v>17609656</v>
      </c>
      <c r="F27" s="245">
        <v>17056186.690000001</v>
      </c>
      <c r="G27" s="13">
        <v>15686176.93</v>
      </c>
      <c r="H27" s="13">
        <v>13349738.560000001</v>
      </c>
      <c r="I27" s="301"/>
    </row>
    <row r="28" spans="1:9" s="4" customFormat="1" ht="15" customHeight="1">
      <c r="A28" s="16">
        <v>13</v>
      </c>
      <c r="B28" s="4" t="s">
        <v>279</v>
      </c>
      <c r="C28" s="4" t="s">
        <v>228</v>
      </c>
      <c r="D28" s="16"/>
      <c r="E28" s="13">
        <f>+'II-D-2'!H27</f>
        <v>2142408.9100000001</v>
      </c>
      <c r="F28" s="245">
        <v>1239786.72</v>
      </c>
      <c r="G28" s="13">
        <v>1362461.01</v>
      </c>
      <c r="H28" s="13">
        <v>1143159.5</v>
      </c>
      <c r="I28" s="301"/>
    </row>
    <row r="29" spans="1:9" s="4" customFormat="1" ht="15" customHeight="1">
      <c r="A29" s="16">
        <v>14</v>
      </c>
      <c r="B29" s="4" t="s">
        <v>26</v>
      </c>
      <c r="C29" s="4" t="s">
        <v>154</v>
      </c>
      <c r="D29" s="16"/>
      <c r="E29" s="13">
        <f>+'II-D-2'!H28</f>
        <v>-9752.3499999999949</v>
      </c>
      <c r="F29" s="245">
        <v>30537.139999999999</v>
      </c>
      <c r="G29" s="13">
        <v>53726.510000000002</v>
      </c>
      <c r="H29" s="13">
        <v>126760.14</v>
      </c>
      <c r="I29" s="301"/>
    </row>
    <row r="30" spans="1:9" s="4" customFormat="1" ht="15" customHeight="1">
      <c r="A30" s="16">
        <v>15</v>
      </c>
      <c r="B30" s="4" t="s">
        <v>280</v>
      </c>
      <c r="C30" s="4" t="s">
        <v>154</v>
      </c>
      <c r="D30" s="16"/>
      <c r="E30" s="13">
        <f>+'II-D-2'!H29</f>
        <v>3541040.2799999989</v>
      </c>
      <c r="F30" s="245">
        <v>3432946.8899999997</v>
      </c>
      <c r="G30" s="13">
        <v>3555158.5899999999</v>
      </c>
      <c r="H30" s="13">
        <v>3273031.73</v>
      </c>
      <c r="I30" s="301"/>
    </row>
    <row r="31" spans="1:9" s="4" customFormat="1" ht="15" customHeight="1">
      <c r="A31" s="16">
        <v>16</v>
      </c>
      <c r="D31" s="16"/>
      <c r="E31" s="124"/>
      <c r="F31" s="124"/>
      <c r="G31" s="124"/>
      <c r="H31" s="124"/>
      <c r="I31" s="301"/>
    </row>
    <row r="32" spans="1:9" s="8" customFormat="1" ht="15" customHeight="1">
      <c r="A32" s="16">
        <v>17</v>
      </c>
      <c r="B32" s="8" t="s">
        <v>73</v>
      </c>
      <c r="C32" s="26"/>
      <c r="D32" s="18" t="s">
        <v>391</v>
      </c>
      <c r="E32" s="142">
        <f t="shared" si="0" ref="E32:H32">SUM(E18:E30)</f>
        <v>539082070.14999986</v>
      </c>
      <c r="F32" s="142">
        <f t="shared" si="0"/>
        <v>508613451.69999999</v>
      </c>
      <c r="G32" s="142">
        <f t="shared" si="0"/>
        <v>500668592.50999999</v>
      </c>
      <c r="H32" s="142">
        <f t="shared" si="0"/>
        <v>491801922.37</v>
      </c>
      <c r="I32" s="302"/>
    </row>
    <row r="33" spans="1:9" s="4" customFormat="1" ht="15" customHeight="1">
      <c r="A33" s="16">
        <v>18</v>
      </c>
      <c r="C33" s="7"/>
      <c r="D33" s="18"/>
      <c r="E33" s="19"/>
      <c r="F33" s="19"/>
      <c r="G33" s="19"/>
      <c r="H33" s="19"/>
      <c r="I33" s="301"/>
    </row>
    <row r="34" spans="1:9" s="8" customFormat="1" ht="15" customHeight="1">
      <c r="A34" s="16">
        <v>19</v>
      </c>
      <c r="B34" s="8" t="s">
        <v>390</v>
      </c>
      <c r="C34" s="26"/>
      <c r="D34" s="18" t="s">
        <v>392</v>
      </c>
      <c r="E34" s="142">
        <f>+'II-D-1a'!E103+'II-D-2a'!E32</f>
        <v>2560203691.8400002</v>
      </c>
      <c r="F34" s="142">
        <f>+'II-D-1a'!F103+'II-D-2a'!F32</f>
        <v>2405962829.4699998</v>
      </c>
      <c r="G34" s="142">
        <f>+'II-D-1a'!G103+'II-D-2a'!G32</f>
        <v>2356537625.6599998</v>
      </c>
      <c r="H34" s="142">
        <f>+'II-D-1a'!H103+'II-D-2a'!H32</f>
        <v>2199061950.21</v>
      </c>
      <c r="I34" s="302"/>
    </row>
    <row r="35" spans="4:6" s="4" customFormat="1" ht="12.75">
      <c r="D35" s="16"/>
      <c r="E35" s="19"/>
      <c r="F35" s="19"/>
    </row>
    <row r="36" spans="4:8" s="4" customFormat="1" ht="12.75">
      <c r="D36" s="16"/>
      <c r="F36" s="13"/>
      <c r="G36" s="13"/>
      <c r="H36" s="13"/>
    </row>
    <row r="37" spans="5:8" s="31" customFormat="1" ht="12.75" customHeight="1">
      <c r="E37" s="43"/>
      <c r="F37" s="43"/>
      <c r="G37" s="43"/>
      <c r="H37" s="43"/>
    </row>
    <row r="38" spans="4:8" s="31" customFormat="1" ht="12.75" customHeight="1">
      <c r="D38" s="43"/>
      <c r="E38" s="43"/>
      <c r="F38" s="43"/>
      <c r="G38" s="43"/>
      <c r="H38" s="43"/>
    </row>
    <row r="39" spans="4:8" s="31" customFormat="1" ht="12.75" customHeight="1">
      <c r="D39" s="41"/>
      <c r="E39" s="43"/>
      <c r="F39" s="43"/>
      <c r="G39" s="43"/>
      <c r="H39" s="43"/>
    </row>
    <row r="40" spans="4:8" s="31" customFormat="1" ht="12.75" customHeight="1">
      <c r="D40" s="43"/>
      <c r="E40" s="43"/>
      <c r="F40" s="43"/>
      <c r="G40" s="43"/>
      <c r="H40" s="43"/>
    </row>
    <row r="41" spans="3:8" s="35" customFormat="1" ht="12.75" customHeight="1">
      <c r="C41" s="44"/>
      <c r="D41" s="41"/>
      <c r="E41" s="41"/>
      <c r="F41" s="41"/>
      <c r="G41" s="41"/>
      <c r="H41" s="41"/>
    </row>
    <row r="42" spans="4:8" s="31" customFormat="1" ht="12.75" customHeight="1">
      <c r="D42" s="43"/>
      <c r="E42" s="43"/>
      <c r="F42" s="43"/>
      <c r="G42" s="43"/>
      <c r="H42" s="43"/>
    </row>
    <row r="43" spans="3:8" s="35" customFormat="1" ht="12.75" customHeight="1">
      <c r="C43" s="47"/>
      <c r="D43" s="41"/>
      <c r="E43" s="41"/>
      <c r="F43" s="41"/>
      <c r="G43" s="48"/>
      <c r="H43" s="41"/>
    </row>
    <row r="44" spans="4:8" s="31" customFormat="1" ht="12.75" customHeight="1">
      <c r="D44" s="50"/>
      <c r="E44" s="43"/>
      <c r="F44" s="43"/>
      <c r="G44" s="43"/>
      <c r="H44" s="43"/>
    </row>
    <row r="45" spans="4:8" s="31" customFormat="1" ht="12.75" customHeight="1">
      <c r="D45" s="50"/>
      <c r="E45" s="43"/>
      <c r="F45" s="43"/>
      <c r="G45" s="43"/>
      <c r="H45" s="43"/>
    </row>
    <row r="46" spans="4:8" s="31" customFormat="1" ht="12.75" customHeight="1">
      <c r="D46" s="50"/>
      <c r="E46" s="43"/>
      <c r="F46" s="43"/>
      <c r="G46" s="43"/>
      <c r="H46" s="43"/>
    </row>
    <row r="47" spans="4:8" s="31" customFormat="1" ht="12.75" customHeight="1">
      <c r="D47" s="50"/>
      <c r="E47" s="43"/>
      <c r="F47" s="43"/>
      <c r="G47" s="43"/>
      <c r="H47" s="43"/>
    </row>
    <row r="48" spans="4:8" s="31" customFormat="1" ht="12.75" customHeight="1">
      <c r="D48" s="50"/>
      <c r="E48" s="43"/>
      <c r="F48" s="43"/>
      <c r="G48" s="43"/>
      <c r="H48" s="43"/>
    </row>
    <row r="49" spans="4:8" s="31" customFormat="1" ht="12.75" customHeight="1">
      <c r="D49" s="50"/>
      <c r="E49" s="43"/>
      <c r="F49" s="43"/>
      <c r="G49" s="43"/>
      <c r="H49" s="43"/>
    </row>
    <row r="50" spans="4:8" s="31" customFormat="1" ht="12.75" customHeight="1">
      <c r="D50" s="50"/>
      <c r="E50" s="43"/>
      <c r="F50" s="43"/>
      <c r="G50" s="43"/>
      <c r="H50" s="43"/>
    </row>
    <row r="51" spans="4:8" s="31" customFormat="1" ht="12.75" customHeight="1">
      <c r="D51" s="50"/>
      <c r="E51" s="43"/>
      <c r="F51" s="43"/>
      <c r="G51" s="43"/>
      <c r="H51" s="43"/>
    </row>
    <row r="52" spans="4:8" s="31" customFormat="1" ht="12.75" customHeight="1">
      <c r="D52" s="50"/>
      <c r="E52" s="43"/>
      <c r="F52" s="43"/>
      <c r="G52" s="43"/>
      <c r="H52" s="43"/>
    </row>
    <row r="53" spans="4:8" s="31" customFormat="1" ht="12.75" customHeight="1">
      <c r="D53" s="50"/>
      <c r="E53" s="43"/>
      <c r="F53" s="43"/>
      <c r="G53" s="43"/>
      <c r="H53" s="43"/>
    </row>
    <row r="54" spans="3:8" s="35" customFormat="1" ht="12.75" customHeight="1">
      <c r="C54" s="44"/>
      <c r="D54" s="48"/>
      <c r="E54" s="41"/>
      <c r="F54" s="41"/>
      <c r="G54" s="41"/>
      <c r="H54" s="41"/>
    </row>
    <row r="55" spans="3:8" s="31" customFormat="1" ht="12.75" customHeight="1">
      <c r="C55" s="45"/>
      <c r="D55" s="50"/>
      <c r="E55" s="43"/>
      <c r="F55" s="43"/>
      <c r="G55" s="43"/>
      <c r="H55" s="43"/>
    </row>
    <row r="56" spans="2:8" s="35" customFormat="1" ht="12.75" customHeight="1">
      <c r="B56" s="52"/>
      <c r="D56" s="48"/>
      <c r="E56" s="41"/>
      <c r="F56" s="41"/>
      <c r="G56" s="41"/>
      <c r="H56" s="41"/>
    </row>
    <row r="57" spans="3:8" s="31" customFormat="1" ht="12.75" customHeight="1">
      <c r="C57" s="44"/>
      <c r="D57" s="50"/>
      <c r="E57" s="43"/>
      <c r="F57" s="43"/>
      <c r="G57" s="43"/>
      <c r="H57" s="43"/>
    </row>
    <row r="58" spans="3:8" s="35" customFormat="1" ht="12.75" customHeight="1">
      <c r="C58" s="44"/>
      <c r="D58" s="41"/>
      <c r="E58" s="41"/>
      <c r="F58" s="41"/>
      <c r="G58" s="41"/>
      <c r="H58" s="41"/>
    </row>
    <row r="59" spans="3:8" s="35" customFormat="1" ht="12.75" customHeight="1">
      <c r="C59" s="44"/>
      <c r="D59" s="48"/>
      <c r="E59" s="41"/>
      <c r="F59" s="41"/>
      <c r="G59" s="41"/>
      <c r="H59" s="41"/>
    </row>
    <row r="60" spans="3:8" s="35" customFormat="1" ht="12.75" customHeight="1">
      <c r="C60" s="44"/>
      <c r="D60" s="41"/>
      <c r="E60" s="41"/>
      <c r="F60" s="41"/>
      <c r="G60" s="41"/>
      <c r="H60" s="41"/>
    </row>
    <row r="61" spans="3:8" s="35" customFormat="1" ht="12.75" customHeight="1">
      <c r="C61" s="44"/>
      <c r="D61" s="48"/>
      <c r="E61" s="41"/>
      <c r="F61" s="41"/>
      <c r="G61" s="41"/>
      <c r="H61" s="41"/>
    </row>
    <row r="62" spans="2:8" s="35" customFormat="1" ht="12.75" customHeight="1">
      <c r="B62" s="40"/>
      <c r="C62" s="44"/>
      <c r="D62" s="48"/>
      <c r="E62" s="41"/>
      <c r="F62" s="41"/>
      <c r="G62" s="41"/>
      <c r="H62" s="41"/>
    </row>
    <row r="63" spans="3:8" s="31" customFormat="1" ht="12.75" customHeight="1">
      <c r="C63" s="44"/>
      <c r="D63" s="50"/>
      <c r="E63" s="43"/>
      <c r="F63" s="43"/>
      <c r="G63" s="43"/>
      <c r="H63" s="43"/>
    </row>
    <row r="64" spans="3:8" s="31" customFormat="1" ht="12.75" customHeight="1">
      <c r="C64" s="44"/>
      <c r="D64" s="50"/>
      <c r="E64" s="43"/>
      <c r="F64" s="43"/>
      <c r="G64" s="43"/>
      <c r="H64" s="43"/>
    </row>
    <row r="65" spans="3:8" s="31" customFormat="1" ht="12.75" customHeight="1">
      <c r="C65" s="44"/>
      <c r="D65" s="50"/>
      <c r="E65" s="43"/>
      <c r="F65" s="43"/>
      <c r="G65" s="43"/>
      <c r="H65" s="43"/>
    </row>
    <row r="66" spans="3:8" s="31" customFormat="1" ht="12.75" customHeight="1">
      <c r="C66" s="44"/>
      <c r="D66" s="50"/>
      <c r="E66" s="43"/>
      <c r="F66" s="43"/>
      <c r="G66" s="43"/>
      <c r="H66" s="43"/>
    </row>
    <row r="67" spans="3:8" s="31" customFormat="1" ht="12.75" customHeight="1">
      <c r="C67" s="54"/>
      <c r="D67" s="50"/>
      <c r="E67" s="43"/>
      <c r="F67" s="43"/>
      <c r="G67" s="43"/>
      <c r="H67" s="43"/>
    </row>
    <row r="68" spans="3:8" s="31" customFormat="1" ht="12.75" customHeight="1">
      <c r="C68" s="55"/>
      <c r="D68" s="50"/>
      <c r="E68" s="43"/>
      <c r="F68" s="43"/>
      <c r="G68" s="43"/>
      <c r="H68" s="43"/>
    </row>
    <row r="69" s="31" customFormat="1" ht="12.75" customHeight="1"/>
    <row r="70" s="31" customFormat="1" ht="12.75" customHeight="1"/>
    <row r="71" s="31" customFormat="1" ht="12.75" customHeight="1"/>
    <row r="72" s="31" customFormat="1" ht="12.75" customHeight="1"/>
    <row r="73" s="31" customFormat="1" ht="12.75" customHeight="1"/>
    <row r="74" s="31" customFormat="1" ht="12.75" customHeight="1"/>
    <row r="75" s="31" customFormat="1" ht="12.75" customHeight="1"/>
    <row r="76" s="31" customFormat="1" ht="12.75" customHeight="1"/>
    <row r="77" s="31" customFormat="1" ht="12.75" customHeight="1"/>
    <row r="78" s="31" customFormat="1" ht="12.75" customHeight="1"/>
    <row r="79" s="31" customFormat="1" ht="12.75" customHeight="1"/>
    <row r="80" s="31" customFormat="1" ht="12.75" customHeight="1"/>
    <row r="81" s="31" customFormat="1" ht="12.75" customHeight="1"/>
    <row r="82" s="31" customFormat="1" ht="12.75" customHeight="1"/>
    <row r="83" s="31" customFormat="1" ht="12.75" customHeight="1"/>
    <row r="84" s="31" customFormat="1" ht="12.75" customHeight="1"/>
    <row r="85" s="31" customFormat="1" ht="12.75" customHeight="1"/>
    <row r="86" s="31" customFormat="1" ht="12.75" customHeight="1"/>
    <row r="87" s="31" customFormat="1" ht="12.75" customHeight="1"/>
    <row r="88" s="31" customFormat="1" ht="12.75" customHeight="1"/>
    <row r="89" s="31" customFormat="1" ht="12.75" customHeight="1"/>
    <row r="90" s="31" customFormat="1" ht="12.75" customHeight="1"/>
    <row r="91" s="31" customFormat="1" ht="12.75" customHeight="1"/>
    <row r="92" s="31" customFormat="1" ht="12.75" customHeight="1"/>
    <row r="93" s="31" customFormat="1" ht="12.75" customHeight="1"/>
    <row r="94" s="31" customFormat="1" ht="12.75" customHeight="1"/>
    <row r="95" s="31" customFormat="1" ht="12.75" customHeight="1"/>
    <row r="96" s="31" customFormat="1" ht="12.75" customHeight="1"/>
    <row r="97" s="31" customFormat="1" ht="12.75" customHeight="1"/>
    <row r="98" s="31" customFormat="1" ht="12.75" customHeight="1"/>
    <row r="99" s="31" customFormat="1" ht="12.75" customHeight="1"/>
    <row r="100" s="31" customFormat="1" ht="12.75" customHeight="1"/>
    <row r="101" s="31" customFormat="1" ht="12.75" customHeight="1"/>
    <row r="102" s="31" customFormat="1" ht="12.75" customHeight="1"/>
    <row r="103" s="31" customFormat="1" ht="12.75" customHeight="1"/>
    <row r="104" s="31" customFormat="1" ht="12.75" customHeight="1"/>
    <row r="105" s="31" customFormat="1" ht="12.75" customHeight="1"/>
    <row r="106" s="31" customFormat="1" ht="12.75" customHeight="1"/>
    <row r="107" s="31" customFormat="1" ht="12.75" customHeight="1"/>
    <row r="108" s="31" customFormat="1" ht="12.75" customHeight="1"/>
    <row r="109" s="31" customFormat="1" ht="12.75" customHeight="1"/>
    <row r="110" s="31" customFormat="1" ht="12.75" customHeight="1"/>
    <row r="111" s="31" customFormat="1" ht="12.75" customHeight="1"/>
    <row r="112" s="31" customFormat="1" ht="12.75" customHeight="1"/>
    <row r="113" s="31" customFormat="1" ht="12.75" customHeight="1"/>
    <row r="114" s="31" customFormat="1" ht="12.75" customHeight="1"/>
    <row r="115" s="31" customFormat="1" ht="12.75" customHeight="1"/>
    <row r="116" s="31" customFormat="1" ht="12.75" customHeight="1"/>
    <row r="117" s="31" customFormat="1" ht="12.75" customHeight="1"/>
    <row r="118" s="31" customFormat="1" ht="12.75" customHeight="1"/>
    <row r="119" s="31" customFormat="1" ht="12.75" customHeight="1"/>
    <row r="120" s="31" customFormat="1" ht="12.75" customHeight="1"/>
    <row r="121" s="31" customFormat="1" ht="12.75" customHeight="1"/>
    <row r="122" s="31" customFormat="1" ht="12.75" customHeight="1"/>
    <row r="123" s="31" customFormat="1" ht="12.75" customHeight="1"/>
    <row r="124" s="31" customFormat="1" ht="12.75" customHeight="1"/>
    <row r="125" s="31" customFormat="1" ht="12.75" customHeight="1"/>
    <row r="126" s="31" customFormat="1" ht="12.75" customHeight="1"/>
    <row r="127" s="31" customFormat="1" ht="12.75" customHeight="1"/>
    <row r="128" s="31" customFormat="1" ht="12.75" customHeight="1"/>
    <row r="129" s="31" customFormat="1" ht="12.75" customHeight="1"/>
    <row r="130" s="31" customFormat="1" ht="12.75" customHeight="1"/>
    <row r="131" s="31" customFormat="1" ht="12.75" customHeight="1"/>
    <row r="132" s="31" customFormat="1" ht="12.75" customHeight="1"/>
    <row r="133" s="31" customFormat="1" ht="12.75" customHeight="1"/>
    <row r="134" s="31" customFormat="1" ht="12.75" customHeight="1"/>
    <row r="135" s="31" customFormat="1" ht="12.75" customHeight="1"/>
    <row r="136" s="31" customFormat="1" ht="12.75" customHeight="1"/>
    <row r="137" s="31" customFormat="1" ht="12.75" customHeight="1"/>
    <row r="138" s="31" customFormat="1" ht="12.75" customHeight="1"/>
    <row r="139" s="31" customFormat="1" ht="12.75" customHeight="1"/>
    <row r="140" s="31" customFormat="1" ht="12.75" customHeight="1"/>
    <row r="141" s="31" customFormat="1" ht="12.75" customHeight="1"/>
    <row r="142" s="31" customFormat="1" ht="12.75" customHeight="1"/>
    <row r="143" s="31" customFormat="1" ht="12.75" customHeight="1"/>
    <row r="144" s="31" customFormat="1" ht="12.75" customHeight="1"/>
    <row r="145" s="31" customFormat="1" ht="12.75" customHeight="1"/>
  </sheetData>
  <printOptions horizontalCentered="1"/>
  <pageMargins left="0.5" right="0.5" top="3" bottom="0.5" header="1.5" footer="0.5"/>
  <pageSetup fitToHeight="7" fitToWidth="2" orientation="landscape" scale="61" r:id="rId1"/>
  <headerFooter alignWithMargins="0">
    <oddHeader>&amp;C&amp;B
2022 RATE CASE
ONCOR ELECTRIC DELIVERY COMPANY LLC
II-D-2a A&amp;&amp;G EXPENSES - PRIOR THREE YEARS
TEST YEAR ENDING DECEMBER 31, 2021
SPONSOR: W. ALAN LEDBETTER&amp;R&amp;"Arial,Bold"Schedule &amp;A
Page &amp;P of &amp;N</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67">
    <tabColor rgb="FFFF0000"/>
  </sheetPr>
  <dimension ref="A1:W38"/>
  <sheetViews>
    <sheetView zoomScale="85" zoomScaleNormal="85" workbookViewId="0" topLeftCell="A1">
      <pane xSplit="3" ySplit="14" topLeftCell="D15" activePane="bottomRight" state="frozen"/>
      <selection pane="topLeft" activeCell="O94" sqref="O94:W97"/>
      <selection pane="bottomLeft" activeCell="O94" sqref="O94:W97"/>
      <selection pane="topRight" activeCell="O94" sqref="O94:W97"/>
      <selection pane="bottomRight" activeCell="D15" sqref="D15"/>
    </sheetView>
  </sheetViews>
  <sheetFormatPr defaultRowHeight="12.75"/>
  <cols>
    <col min="1" max="1" width="5.71428571428571" customWidth="1"/>
    <col min="2" max="2" width="8.71428571428571" customWidth="1"/>
    <col min="3" max="3" width="45.7142857142857" customWidth="1"/>
    <col min="4" max="15" width="16.2857142857143" customWidth="1"/>
    <col min="16" max="16" width="15.2857142857143" bestFit="1" customWidth="1"/>
    <col min="17" max="17" width="14.4285714285714" bestFit="1" customWidth="1"/>
    <col min="18" max="18" width="17" bestFit="1" customWidth="1"/>
    <col min="19" max="19" width="15.2857142857143" bestFit="1" customWidth="1"/>
    <col min="20" max="20" width="13.7142857142857" bestFit="1" customWidth="1"/>
    <col min="21" max="21" width="15.2857142857143" bestFit="1" customWidth="1"/>
  </cols>
  <sheetData>
    <row r="1" spans="1:1" ht="12.75">
      <c r="A1" s="5" t="str">
        <f>+'[3]Input Data'!$A$9</f>
        <v>2022 RATE CASE</v>
      </c>
    </row>
    <row r="2" spans="1:1" ht="12.75">
      <c r="A2" s="8" t="str">
        <f>+'[3]Input Data'!$A$2</f>
        <v>ONCOR ELECTRIC DELIVERY COMPANY LLC</v>
      </c>
    </row>
    <row r="3" spans="1:1" ht="12.75">
      <c r="A3" s="7" t="str">
        <f>CONCATENATE('[3]Schedule Sponsors'!$A$54,'[3]Schedule Sponsors'!$B$54)</f>
        <v>II-D-2.1  MONTHLY A&amp;&amp;G EXPENSE</v>
      </c>
    </row>
    <row r="4" spans="1:1" ht="12.75">
      <c r="A4" s="63" t="str">
        <f>+'[3]Input Data'!$A$4</f>
        <v>TEST YEAR ENDING DECEMBER 31, 2021</v>
      </c>
    </row>
    <row r="5" spans="1:1" ht="12.75">
      <c r="A5" s="7" t="str">
        <f>CONCATENATE("SPONSOR: ",'[3]Schedule Sponsors'!$D$54)</f>
        <v>SPONSOR: W. ALAN LEDBETTER</v>
      </c>
    </row>
    <row r="9" ht="13.5" thickBot="1"/>
    <row r="10" spans="1:21" s="56" customFormat="1" ht="12.75">
      <c r="A10" s="9"/>
      <c r="B10" s="9"/>
      <c r="C10" s="9"/>
      <c r="D10" s="9"/>
      <c r="E10" s="9"/>
      <c r="F10" s="9"/>
      <c r="G10" s="9"/>
      <c r="H10" s="10"/>
      <c r="I10" s="9"/>
      <c r="J10" s="10"/>
      <c r="K10" s="9"/>
      <c r="L10" s="9"/>
      <c r="M10" s="9"/>
      <c r="N10" s="10"/>
      <c r="O10" s="10"/>
      <c r="P10" s="10"/>
      <c r="Q10" s="10"/>
      <c r="R10" s="17"/>
      <c r="S10" s="10" t="s">
        <v>321</v>
      </c>
      <c r="T10" s="17" t="s">
        <v>184</v>
      </c>
      <c r="U10" s="10" t="s">
        <v>322</v>
      </c>
    </row>
    <row r="11" spans="1:21" s="56" customFormat="1" ht="12.75">
      <c r="A11" s="11" t="s">
        <v>87</v>
      </c>
      <c r="B11" s="11" t="s">
        <v>213</v>
      </c>
      <c r="C11" s="11"/>
      <c r="D11" s="11" t="s">
        <v>181</v>
      </c>
      <c r="E11" s="11" t="s">
        <v>298</v>
      </c>
      <c r="F11" s="11" t="s">
        <v>18</v>
      </c>
      <c r="G11" s="11" t="s">
        <v>19</v>
      </c>
      <c r="H11" s="11" t="s">
        <v>20</v>
      </c>
      <c r="I11" s="11" t="s">
        <v>21</v>
      </c>
      <c r="J11" s="11" t="s">
        <v>156</v>
      </c>
      <c r="K11" s="11" t="s">
        <v>157</v>
      </c>
      <c r="L11" s="11" t="s">
        <v>30</v>
      </c>
      <c r="M11" s="11" t="s">
        <v>178</v>
      </c>
      <c r="N11" s="11" t="s">
        <v>179</v>
      </c>
      <c r="O11" s="11" t="s">
        <v>180</v>
      </c>
      <c r="P11" s="11" t="s">
        <v>40</v>
      </c>
      <c r="Q11" s="11"/>
      <c r="R11" s="11" t="s">
        <v>215</v>
      </c>
      <c r="S11" s="11" t="s">
        <v>323</v>
      </c>
      <c r="T11" s="11" t="s">
        <v>185</v>
      </c>
      <c r="U11" s="11" t="s">
        <v>321</v>
      </c>
    </row>
    <row r="12" spans="1:21" s="56" customFormat="1" ht="12.75">
      <c r="A12" s="11" t="s">
        <v>89</v>
      </c>
      <c r="B12" s="11" t="s">
        <v>296</v>
      </c>
      <c r="C12" s="11" t="s">
        <v>209</v>
      </c>
      <c r="D12" s="11">
        <f>+'II-D-1.1'!D11</f>
        <v>2021</v>
      </c>
      <c r="E12" s="11">
        <f>+'II-D-1.1'!E11</f>
        <v>2021</v>
      </c>
      <c r="F12" s="11">
        <f>+'II-D-1.1'!F11</f>
        <v>2021</v>
      </c>
      <c r="G12" s="11">
        <f>+'II-D-1.1'!G11</f>
        <v>2021</v>
      </c>
      <c r="H12" s="11">
        <f>+'II-D-1.1'!H11</f>
        <v>2021</v>
      </c>
      <c r="I12" s="11">
        <f>+'II-D-1.1'!I11</f>
        <v>2021</v>
      </c>
      <c r="J12" s="11">
        <f>+'II-D-1.1'!J11</f>
        <v>2021</v>
      </c>
      <c r="K12" s="11">
        <f>+'II-D-1.1'!K11</f>
        <v>2021</v>
      </c>
      <c r="L12" s="11">
        <f>+'II-D-1.1'!L11</f>
        <v>2021</v>
      </c>
      <c r="M12" s="11">
        <f>+'II-D-1.1'!M11</f>
        <v>2021</v>
      </c>
      <c r="N12" s="11">
        <f>+'II-D-1.1'!N11</f>
        <v>2021</v>
      </c>
      <c r="O12" s="11">
        <f>+'II-D-1.1'!O11</f>
        <v>2021</v>
      </c>
      <c r="P12" s="11" t="s">
        <v>216</v>
      </c>
      <c r="Q12" s="11" t="s">
        <v>320</v>
      </c>
      <c r="R12" s="11" t="s">
        <v>222</v>
      </c>
      <c r="S12" s="11" t="s">
        <v>223</v>
      </c>
      <c r="T12" s="11" t="s">
        <v>61</v>
      </c>
      <c r="U12" s="11" t="s">
        <v>323</v>
      </c>
    </row>
    <row r="13" spans="1:21" s="33" customFormat="1" ht="13.5" thickBot="1">
      <c r="A13" s="29"/>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9" t="s">
        <v>86</v>
      </c>
      <c r="Q13" s="29" t="s">
        <v>255</v>
      </c>
      <c r="R13" s="29" t="s">
        <v>128</v>
      </c>
      <c r="S13" s="29" t="s">
        <v>23</v>
      </c>
      <c r="T13" s="29" t="s">
        <v>24</v>
      </c>
      <c r="U13" s="29" t="s">
        <v>136</v>
      </c>
    </row>
    <row r="14" spans="2:20" s="31" customFormat="1" ht="12.75" customHeight="1">
      <c r="B14" s="38"/>
      <c r="C14" s="38"/>
      <c r="D14" s="153">
        <v>1</v>
      </c>
      <c r="E14" s="153">
        <v>2</v>
      </c>
      <c r="F14" s="153">
        <v>3</v>
      </c>
      <c r="G14" s="153">
        <v>4</v>
      </c>
      <c r="H14" s="153">
        <v>5</v>
      </c>
      <c r="I14" s="153">
        <v>6</v>
      </c>
      <c r="J14" s="153">
        <v>7</v>
      </c>
      <c r="K14" s="153">
        <v>8</v>
      </c>
      <c r="L14" s="153">
        <v>9</v>
      </c>
      <c r="M14" s="153">
        <v>10</v>
      </c>
      <c r="N14" s="153">
        <v>11</v>
      </c>
      <c r="O14" s="153">
        <v>12</v>
      </c>
      <c r="P14" s="38"/>
      <c r="Q14" s="38"/>
      <c r="R14" s="38"/>
      <c r="S14" s="38"/>
      <c r="T14" s="38"/>
    </row>
    <row r="15" spans="1:18" s="8" customFormat="1" ht="15" customHeight="1">
      <c r="A15" s="16">
        <v>1</v>
      </c>
      <c r="B15" s="8" t="s">
        <v>270</v>
      </c>
      <c r="D15" s="18"/>
      <c r="E15" s="19"/>
      <c r="F15" s="19"/>
      <c r="G15" s="19"/>
      <c r="H15" s="19"/>
      <c r="I15" s="19"/>
      <c r="J15" s="19"/>
      <c r="K15" s="18"/>
      <c r="L15" s="25"/>
      <c r="M15" s="19"/>
      <c r="N15" s="19"/>
      <c r="O15" s="19"/>
      <c r="P15" s="19"/>
      <c r="Q15" s="19"/>
      <c r="R15" s="19"/>
    </row>
    <row r="16" spans="1:18" s="8" customFormat="1" ht="15" customHeight="1">
      <c r="A16" s="16">
        <v>2</v>
      </c>
      <c r="D16" s="18"/>
      <c r="E16" s="19"/>
      <c r="F16" s="19"/>
      <c r="G16" s="19"/>
      <c r="H16" s="19"/>
      <c r="I16" s="19"/>
      <c r="J16" s="19"/>
      <c r="K16" s="18"/>
      <c r="L16" s="25"/>
      <c r="M16" s="19"/>
      <c r="N16" s="19"/>
      <c r="O16" s="19"/>
      <c r="P16" s="19"/>
      <c r="Q16" s="19"/>
      <c r="R16" s="19"/>
    </row>
    <row r="17" spans="1:22" s="4" customFormat="1" ht="15" customHeight="1">
      <c r="A17" s="16">
        <v>3</v>
      </c>
      <c r="B17" s="4" t="s">
        <v>271</v>
      </c>
      <c r="C17" s="4" t="s">
        <v>339</v>
      </c>
      <c r="D17" s="156">
        <v>7372870.2000000002</v>
      </c>
      <c r="E17" s="156">
        <v>6245492.7800000003</v>
      </c>
      <c r="F17" s="156">
        <v>8153324.6800000006</v>
      </c>
      <c r="G17" s="156">
        <v>7442132.7600000007</v>
      </c>
      <c r="H17" s="156">
        <v>8679299.0800000001</v>
      </c>
      <c r="I17" s="156">
        <v>8050445.2400000002</v>
      </c>
      <c r="J17" s="156">
        <v>7896988.4500000002</v>
      </c>
      <c r="K17" s="156">
        <v>7382835.6199999992</v>
      </c>
      <c r="L17" s="156">
        <v>7599395.3799999999</v>
      </c>
      <c r="M17" s="156">
        <v>6124825.2800000003</v>
      </c>
      <c r="N17" s="156">
        <v>9184085.959999999</v>
      </c>
      <c r="O17" s="156">
        <v>7056937.7799999993</v>
      </c>
      <c r="P17" s="156">
        <f>SUM(D17:O17)</f>
        <v>91188633.209999993</v>
      </c>
      <c r="Q17" s="156">
        <v>0</v>
      </c>
      <c r="R17" s="156">
        <v>0</v>
      </c>
      <c r="S17" s="156">
        <f>+P17-Q17-R17</f>
        <v>91188633.209999993</v>
      </c>
      <c r="T17" s="156">
        <f>+'[2]Total Summary'!N65</f>
        <v>7669295.5000000009</v>
      </c>
      <c r="U17" s="156">
        <f>+S17+T17</f>
        <v>98857928.709999993</v>
      </c>
      <c r="V17" s="4" t="b">
        <f>+U17=ROUND('II-D-2'!L17,2)</f>
        <v>1</v>
      </c>
    </row>
    <row r="18" spans="1:22" s="4" customFormat="1" ht="15" customHeight="1">
      <c r="A18" s="16">
        <v>4</v>
      </c>
      <c r="B18" s="4" t="s">
        <v>272</v>
      </c>
      <c r="C18" s="4" t="s">
        <v>340</v>
      </c>
      <c r="D18" s="73">
        <v>583893.64000000001</v>
      </c>
      <c r="E18" s="73">
        <v>669181.59999999998</v>
      </c>
      <c r="F18" s="73">
        <v>799032.8899999999</v>
      </c>
      <c r="G18" s="73">
        <v>611759.62</v>
      </c>
      <c r="H18" s="73">
        <v>729592.82000000007</v>
      </c>
      <c r="I18" s="73">
        <v>751364.16999999993</v>
      </c>
      <c r="J18" s="73">
        <v>580000.5</v>
      </c>
      <c r="K18" s="73">
        <v>687023.16999999993</v>
      </c>
      <c r="L18" s="73">
        <v>844361.45000000007</v>
      </c>
      <c r="M18" s="73">
        <v>961528.16000000003</v>
      </c>
      <c r="N18" s="73">
        <v>1111988.71</v>
      </c>
      <c r="O18" s="73">
        <v>1141033.1200000001</v>
      </c>
      <c r="P18" s="13">
        <f t="shared" si="0" ref="P18:P29">SUM(D18:O18)</f>
        <v>9470759.8500000015</v>
      </c>
      <c r="Q18" s="13">
        <v>0</v>
      </c>
      <c r="R18" s="13">
        <v>0</v>
      </c>
      <c r="S18" s="20">
        <f t="shared" si="1" ref="S18:S29">+P18-Q18-R18</f>
        <v>9470759.8500000015</v>
      </c>
      <c r="T18" s="20">
        <f>+'[2]Total Summary'!N66</f>
        <v>1517185.7499999998</v>
      </c>
      <c r="U18" s="21">
        <f t="shared" si="2" ref="U18:U29">+S18+T18</f>
        <v>10987945.600000002</v>
      </c>
      <c r="V18" s="4" t="b">
        <f>+U18=ROUND('II-D-2'!L18,2)</f>
        <v>1</v>
      </c>
    </row>
    <row r="19" spans="1:22" s="4" customFormat="1" ht="15" customHeight="1">
      <c r="A19" s="16">
        <v>5</v>
      </c>
      <c r="B19" s="4" t="s">
        <v>273</v>
      </c>
      <c r="C19" s="4" t="s">
        <v>341</v>
      </c>
      <c r="D19" s="73">
        <v>0</v>
      </c>
      <c r="E19" s="73">
        <v>0</v>
      </c>
      <c r="F19" s="73">
        <v>0</v>
      </c>
      <c r="G19" s="73">
        <v>0</v>
      </c>
      <c r="H19" s="73">
        <v>0</v>
      </c>
      <c r="I19" s="73">
        <v>0</v>
      </c>
      <c r="J19" s="73">
        <v>0</v>
      </c>
      <c r="K19" s="73">
        <v>0</v>
      </c>
      <c r="L19" s="73">
        <v>0</v>
      </c>
      <c r="M19" s="73">
        <v>0</v>
      </c>
      <c r="N19" s="73">
        <v>0</v>
      </c>
      <c r="O19" s="73">
        <v>0</v>
      </c>
      <c r="P19" s="13">
        <f t="shared" si="0"/>
        <v>0</v>
      </c>
      <c r="Q19" s="13">
        <v>0</v>
      </c>
      <c r="R19" s="13">
        <v>0</v>
      </c>
      <c r="S19" s="20">
        <f t="shared" si="1"/>
        <v>0</v>
      </c>
      <c r="T19" s="20">
        <f>+'[2]Total Summary'!N67</f>
        <v>0</v>
      </c>
      <c r="U19" s="21">
        <f t="shared" si="2"/>
        <v>0</v>
      </c>
      <c r="V19" s="4" t="b">
        <f>+U19=ROUND('II-D-2'!L19,2)</f>
        <v>1</v>
      </c>
    </row>
    <row r="20" spans="1:22" s="4" customFormat="1" ht="15" customHeight="1">
      <c r="A20" s="16">
        <v>6</v>
      </c>
      <c r="B20" s="4" t="s">
        <v>274</v>
      </c>
      <c r="C20" s="4" t="s">
        <v>342</v>
      </c>
      <c r="D20" s="73">
        <v>13381891.16</v>
      </c>
      <c r="E20" s="73">
        <v>10276348.880000001</v>
      </c>
      <c r="F20" s="73">
        <v>10484256.65</v>
      </c>
      <c r="G20" s="73">
        <v>9229433.0799999982</v>
      </c>
      <c r="H20" s="73">
        <v>9115510.9399999995</v>
      </c>
      <c r="I20" s="73">
        <v>9835961.2599999998</v>
      </c>
      <c r="J20" s="73">
        <v>10423816.52</v>
      </c>
      <c r="K20" s="73">
        <v>11139475.359999999</v>
      </c>
      <c r="L20" s="73">
        <v>10218577.029999999</v>
      </c>
      <c r="M20" s="73">
        <v>9325539.370000001</v>
      </c>
      <c r="N20" s="73">
        <v>10143175.33</v>
      </c>
      <c r="O20" s="73">
        <v>11941592.91</v>
      </c>
      <c r="P20" s="13">
        <f t="shared" si="0"/>
        <v>125515578.49</v>
      </c>
      <c r="Q20" s="13">
        <v>0</v>
      </c>
      <c r="R20" s="13">
        <v>0</v>
      </c>
      <c r="S20" s="20">
        <f t="shared" si="1"/>
        <v>125515578.49</v>
      </c>
      <c r="T20" s="20">
        <f>+'[2]Total Summary'!N68</f>
        <v>-1668204.75</v>
      </c>
      <c r="U20" s="21">
        <f t="shared" si="2"/>
        <v>123847373.74</v>
      </c>
      <c r="V20" s="4" t="b">
        <f>+U20=ROUND('II-D-2'!L20,2)</f>
        <v>1</v>
      </c>
    </row>
    <row r="21" spans="1:22" s="4" customFormat="1" ht="15" customHeight="1">
      <c r="A21" s="16">
        <v>7</v>
      </c>
      <c r="B21" s="4" t="s">
        <v>275</v>
      </c>
      <c r="C21" s="4" t="s">
        <v>343</v>
      </c>
      <c r="D21" s="73">
        <v>9451199.5599999987</v>
      </c>
      <c r="E21" s="73">
        <v>9451199.5399999991</v>
      </c>
      <c r="F21" s="73">
        <v>9451199.5299999993</v>
      </c>
      <c r="G21" s="73">
        <v>9451199.5399999991</v>
      </c>
      <c r="H21" s="73">
        <v>9451199.5199999996</v>
      </c>
      <c r="I21" s="73">
        <v>9482289.8899999987</v>
      </c>
      <c r="J21" s="73">
        <v>9480345.3399999999</v>
      </c>
      <c r="K21" s="73">
        <v>9492446.120000001</v>
      </c>
      <c r="L21" s="73">
        <v>9492378.6199999992</v>
      </c>
      <c r="M21" s="73">
        <v>9492578.6500000004</v>
      </c>
      <c r="N21" s="73">
        <v>9492578.6400000006</v>
      </c>
      <c r="O21" s="73">
        <v>9492578.6500000004</v>
      </c>
      <c r="P21" s="13">
        <f t="shared" si="0"/>
        <v>113681193.60000002</v>
      </c>
      <c r="Q21" s="13">
        <v>0</v>
      </c>
      <c r="R21" s="13">
        <v>0</v>
      </c>
      <c r="S21" s="20">
        <f t="shared" si="1"/>
        <v>113681193.60000002</v>
      </c>
      <c r="T21" s="20">
        <f>+'[2]Total Summary'!N69</f>
        <v>128179224.734</v>
      </c>
      <c r="U21" s="21">
        <f t="shared" si="2"/>
        <v>241860418.33400002</v>
      </c>
      <c r="V21" s="4" t="b">
        <f>+U21=ROUND('II-D-2'!L21,2)</f>
        <v>0</v>
      </c>
    </row>
    <row r="22" spans="1:22" s="4" customFormat="1" ht="15" customHeight="1">
      <c r="A22" s="16">
        <v>8</v>
      </c>
      <c r="B22" s="4" t="s">
        <v>276</v>
      </c>
      <c r="C22" s="4" t="s">
        <v>160</v>
      </c>
      <c r="D22" s="73">
        <v>1724534.77</v>
      </c>
      <c r="E22" s="73">
        <v>1790074.3300000001</v>
      </c>
      <c r="F22" s="73">
        <v>1920575.6399999999</v>
      </c>
      <c r="G22" s="73">
        <v>1929726.6000000001</v>
      </c>
      <c r="H22" s="73">
        <v>1891873.3399999999</v>
      </c>
      <c r="I22" s="73">
        <v>1752793.6700000002</v>
      </c>
      <c r="J22" s="73">
        <v>2015482.3599999999</v>
      </c>
      <c r="K22" s="73">
        <v>2097790.1800000002</v>
      </c>
      <c r="L22" s="73">
        <v>2001548.99</v>
      </c>
      <c r="M22" s="73">
        <v>2291160.6600000001</v>
      </c>
      <c r="N22" s="73">
        <v>2033591.6699999999</v>
      </c>
      <c r="O22" s="73">
        <v>2567742.3700000001</v>
      </c>
      <c r="P22" s="13">
        <f t="shared" si="0"/>
        <v>24016894.580000002</v>
      </c>
      <c r="Q22" s="13">
        <v>0</v>
      </c>
      <c r="R22" s="13">
        <v>0</v>
      </c>
      <c r="S22" s="20">
        <f t="shared" si="1"/>
        <v>24016894.580000002</v>
      </c>
      <c r="T22" s="20">
        <f>+'[2]Total Summary'!N70</f>
        <v>-2670003.4199999999</v>
      </c>
      <c r="U22" s="21">
        <f t="shared" si="2"/>
        <v>21346891.160000004</v>
      </c>
      <c r="V22" s="4" t="b">
        <f>+U22=ROUND('II-D-2'!L22,2)</f>
        <v>1</v>
      </c>
    </row>
    <row r="23" spans="1:22" s="4" customFormat="1" ht="15" customHeight="1">
      <c r="A23" s="16">
        <v>9</v>
      </c>
      <c r="B23" s="4" t="s">
        <v>277</v>
      </c>
      <c r="C23" s="4" t="s">
        <v>28</v>
      </c>
      <c r="D23" s="73">
        <v>11331372.170000002</v>
      </c>
      <c r="E23" s="73">
        <v>12669416.82</v>
      </c>
      <c r="F23" s="73">
        <v>12716648.83</v>
      </c>
      <c r="G23" s="73">
        <v>11526070.58</v>
      </c>
      <c r="H23" s="73">
        <v>10817262.149999999</v>
      </c>
      <c r="I23" s="73">
        <v>13402463.32</v>
      </c>
      <c r="J23" s="73">
        <v>11951965.440000001</v>
      </c>
      <c r="K23" s="73">
        <v>11629407.41</v>
      </c>
      <c r="L23" s="73">
        <v>13510727.51</v>
      </c>
      <c r="M23" s="73">
        <v>12618987.74</v>
      </c>
      <c r="N23" s="73">
        <v>12523258.100000002</v>
      </c>
      <c r="O23" s="73">
        <v>16818551.939999998</v>
      </c>
      <c r="P23" s="13">
        <f t="shared" si="0"/>
        <v>151516132.00999999</v>
      </c>
      <c r="Q23" s="13">
        <v>0</v>
      </c>
      <c r="R23" s="13">
        <v>0</v>
      </c>
      <c r="S23" s="20">
        <f t="shared" si="1"/>
        <v>151516132.00999999</v>
      </c>
      <c r="T23" s="20">
        <f>+'[2]Total Summary'!N71</f>
        <v>-48090682.109999999</v>
      </c>
      <c r="U23" s="21">
        <f t="shared" si="2"/>
        <v>103425449.89999999</v>
      </c>
      <c r="V23" s="4" t="b">
        <f>+U23=ROUND('II-D-2'!L23,2)</f>
        <v>1</v>
      </c>
    </row>
    <row r="24" spans="1:22" s="4" customFormat="1" ht="15" customHeight="1">
      <c r="A24" s="16">
        <v>10</v>
      </c>
      <c r="B24" s="4" t="s">
        <v>278</v>
      </c>
      <c r="C24" s="4" t="s">
        <v>127</v>
      </c>
      <c r="D24" s="73">
        <v>21641.029999999999</v>
      </c>
      <c r="E24" s="73">
        <v>21391.869999999999</v>
      </c>
      <c r="F24" s="73">
        <v>21516.449999999997</v>
      </c>
      <c r="G24" s="73">
        <v>21454.16</v>
      </c>
      <c r="H24" s="73">
        <v>21578.739999999998</v>
      </c>
      <c r="I24" s="73">
        <v>21516.449999999997</v>
      </c>
      <c r="J24" s="73">
        <v>21641.029999999999</v>
      </c>
      <c r="K24" s="73">
        <v>21516.449999999997</v>
      </c>
      <c r="L24" s="73">
        <v>21641.029999999999</v>
      </c>
      <c r="M24" s="73">
        <v>21641.029999999999</v>
      </c>
      <c r="N24" s="73">
        <v>21516.449999999997</v>
      </c>
      <c r="O24" s="73">
        <v>21391.869999999999</v>
      </c>
      <c r="P24" s="13">
        <f t="shared" si="0"/>
        <v>258446.56</v>
      </c>
      <c r="Q24" s="13">
        <v>0</v>
      </c>
      <c r="R24" s="13">
        <v>0</v>
      </c>
      <c r="S24" s="20">
        <f t="shared" si="1"/>
        <v>258446.56</v>
      </c>
      <c r="T24" s="20">
        <f>+'[2]Total Summary'!N72</f>
        <v>2540226.71</v>
      </c>
      <c r="U24" s="21">
        <f t="shared" si="2"/>
        <v>2798673.27</v>
      </c>
      <c r="V24" s="4" t="b">
        <f>+U24=ROUND('II-D-2'!L24,2)</f>
        <v>1</v>
      </c>
    </row>
    <row r="25" spans="1:22" s="4" customFormat="1" ht="15" customHeight="1">
      <c r="A25" s="16">
        <v>11</v>
      </c>
      <c r="B25" s="30" t="s">
        <v>291</v>
      </c>
      <c r="C25" s="4" t="s">
        <v>29</v>
      </c>
      <c r="D25" s="73">
        <v>7567.1099999999997</v>
      </c>
      <c r="E25" s="73">
        <v>0</v>
      </c>
      <c r="F25" s="73">
        <v>300</v>
      </c>
      <c r="G25" s="73">
        <v>870</v>
      </c>
      <c r="H25" s="73">
        <v>2020</v>
      </c>
      <c r="I25" s="73">
        <v>0</v>
      </c>
      <c r="J25" s="73">
        <v>58224.900000000001</v>
      </c>
      <c r="K25" s="73">
        <v>950</v>
      </c>
      <c r="L25" s="73">
        <v>0</v>
      </c>
      <c r="M25" s="73">
        <v>9125</v>
      </c>
      <c r="N25" s="73">
        <v>1000</v>
      </c>
      <c r="O25" s="73">
        <v>71022</v>
      </c>
      <c r="P25" s="13">
        <f t="shared" si="0"/>
        <v>151079.01000000001</v>
      </c>
      <c r="Q25" s="13">
        <v>0</v>
      </c>
      <c r="R25" s="13">
        <v>0</v>
      </c>
      <c r="S25" s="20">
        <f t="shared" si="1"/>
        <v>151079.01000000001</v>
      </c>
      <c r="T25" s="20">
        <f>+'[2]Total Summary'!N73</f>
        <v>0</v>
      </c>
      <c r="U25" s="21">
        <f t="shared" si="2"/>
        <v>151079.01000000001</v>
      </c>
      <c r="V25" s="4" t="b">
        <f>+U25=ROUND('II-D-2'!L25,2)</f>
        <v>1</v>
      </c>
    </row>
    <row r="26" spans="1:22" s="4" customFormat="1" ht="15" customHeight="1">
      <c r="A26" s="16">
        <v>12</v>
      </c>
      <c r="B26" s="30" t="s">
        <v>290</v>
      </c>
      <c r="C26" s="4" t="s">
        <v>153</v>
      </c>
      <c r="D26" s="73">
        <v>1145993.1799999999</v>
      </c>
      <c r="E26" s="73">
        <v>1172438.49</v>
      </c>
      <c r="F26" s="73">
        <v>1844005.6499999999</v>
      </c>
      <c r="G26" s="73">
        <v>911029.04000000004</v>
      </c>
      <c r="H26" s="73">
        <v>1395297.9399999999</v>
      </c>
      <c r="I26" s="73">
        <v>1992568.1500000001</v>
      </c>
      <c r="J26" s="73">
        <v>973409.04000000004</v>
      </c>
      <c r="K26" s="73">
        <v>1210712.4900000002</v>
      </c>
      <c r="L26" s="73">
        <v>1492464.1299999999</v>
      </c>
      <c r="M26" s="73">
        <v>904026.8899999999</v>
      </c>
      <c r="N26" s="73">
        <v>1359344.1000000001</v>
      </c>
      <c r="O26" s="73">
        <v>3208366.8999999994</v>
      </c>
      <c r="P26" s="13">
        <f t="shared" si="0"/>
        <v>17609656</v>
      </c>
      <c r="Q26" s="13">
        <v>0</v>
      </c>
      <c r="R26" s="13">
        <v>0</v>
      </c>
      <c r="S26" s="20">
        <f t="shared" si="1"/>
        <v>17609656</v>
      </c>
      <c r="T26" s="20">
        <f>+'[2]Total Summary'!N74</f>
        <v>-484569.70000000001</v>
      </c>
      <c r="U26" s="21">
        <f t="shared" si="2"/>
        <v>17125086.300000001</v>
      </c>
      <c r="V26" s="4" t="b">
        <f>+U26=ROUND('II-D-2'!L26,2)</f>
        <v>1</v>
      </c>
    </row>
    <row r="27" spans="1:22" s="4" customFormat="1" ht="15" customHeight="1">
      <c r="A27" s="16">
        <v>13</v>
      </c>
      <c r="B27" s="4" t="s">
        <v>279</v>
      </c>
      <c r="C27" s="4" t="s">
        <v>228</v>
      </c>
      <c r="D27" s="73">
        <v>189853.41999999998</v>
      </c>
      <c r="E27" s="73">
        <v>154262.97</v>
      </c>
      <c r="F27" s="73">
        <v>164070.59</v>
      </c>
      <c r="G27" s="73">
        <v>171126.97</v>
      </c>
      <c r="H27" s="73">
        <v>178145.64000000001</v>
      </c>
      <c r="I27" s="73">
        <v>157371.39999999999</v>
      </c>
      <c r="J27" s="73">
        <v>189741.91</v>
      </c>
      <c r="K27" s="73">
        <v>123033.26000000001</v>
      </c>
      <c r="L27" s="73">
        <v>196990.94</v>
      </c>
      <c r="M27" s="73">
        <v>104920.29000000001</v>
      </c>
      <c r="N27" s="73">
        <v>291762.17000000004</v>
      </c>
      <c r="O27" s="73">
        <v>221129.34999999998</v>
      </c>
      <c r="P27" s="13">
        <f t="shared" si="0"/>
        <v>2142408.9100000001</v>
      </c>
      <c r="Q27" s="13">
        <v>0</v>
      </c>
      <c r="R27" s="13">
        <v>0</v>
      </c>
      <c r="S27" s="20">
        <f t="shared" si="1"/>
        <v>2142408.9100000001</v>
      </c>
      <c r="T27" s="20">
        <f>+'[2]Total Summary'!N75</f>
        <v>-487503.51000000001</v>
      </c>
      <c r="U27" s="21">
        <f t="shared" si="2"/>
        <v>1654905.4000000001</v>
      </c>
      <c r="V27" s="4" t="b">
        <f>+U27=ROUND('II-D-2'!L27,2)</f>
        <v>1</v>
      </c>
    </row>
    <row r="28" spans="1:23" s="4" customFormat="1" ht="15" customHeight="1">
      <c r="A28" s="16">
        <v>14</v>
      </c>
      <c r="B28" s="4" t="s">
        <v>26</v>
      </c>
      <c r="C28" s="4" t="s">
        <v>154</v>
      </c>
      <c r="D28" s="73">
        <v>864.24000000000001</v>
      </c>
      <c r="E28" s="73">
        <v>1542.9200000000001</v>
      </c>
      <c r="F28" s="73">
        <v>1435.9400000000001</v>
      </c>
      <c r="G28" s="73">
        <v>1156.71</v>
      </c>
      <c r="H28" s="73">
        <v>615.63</v>
      </c>
      <c r="I28" s="73">
        <v>871.32000000000005</v>
      </c>
      <c r="J28" s="73">
        <v>981.21000000000004</v>
      </c>
      <c r="K28" s="73">
        <v>-132.28999999999999</v>
      </c>
      <c r="L28" s="73">
        <v>156.91999999999999</v>
      </c>
      <c r="M28" s="73">
        <v>243.75999999999999</v>
      </c>
      <c r="N28" s="73">
        <v>-26580.759999999998</v>
      </c>
      <c r="O28" s="73">
        <v>9092.0500000000011</v>
      </c>
      <c r="P28" s="13">
        <f t="shared" si="0"/>
        <v>-9752.3499999999967</v>
      </c>
      <c r="Q28" s="13">
        <v>0</v>
      </c>
      <c r="R28" s="13">
        <v>0</v>
      </c>
      <c r="S28" s="20">
        <f t="shared" si="1"/>
        <v>-9752.3499999999967</v>
      </c>
      <c r="T28" s="20">
        <f>+'[2]Total Summary'!N76</f>
        <v>376.91000000000002</v>
      </c>
      <c r="U28" s="21">
        <f t="shared" si="2"/>
        <v>-9375.4399999999969</v>
      </c>
      <c r="V28" s="4" t="b">
        <f>+U28=ROUND('II-D-2'!L28,2)</f>
        <v>1</v>
      </c>
      <c r="W28" s="21"/>
    </row>
    <row r="29" spans="1:22" s="4" customFormat="1" ht="15" customHeight="1">
      <c r="A29" s="16">
        <v>15</v>
      </c>
      <c r="B29" s="4" t="s">
        <v>280</v>
      </c>
      <c r="C29" s="4" t="s">
        <v>154</v>
      </c>
      <c r="D29" s="73">
        <v>293501.44999999995</v>
      </c>
      <c r="E29" s="73">
        <v>205327.92999999999</v>
      </c>
      <c r="F29" s="73">
        <v>233783.81</v>
      </c>
      <c r="G29" s="73">
        <v>253394.36000000002</v>
      </c>
      <c r="H29" s="73">
        <v>480201.65000000002</v>
      </c>
      <c r="I29" s="73">
        <v>374489.94</v>
      </c>
      <c r="J29" s="73">
        <v>287336.41000000003</v>
      </c>
      <c r="K29" s="73">
        <v>241036.48999999999</v>
      </c>
      <c r="L29" s="73">
        <v>286251.95000000001</v>
      </c>
      <c r="M29" s="73">
        <v>279312.72999999998</v>
      </c>
      <c r="N29" s="73">
        <v>245008.10999999999</v>
      </c>
      <c r="O29" s="73">
        <v>361395.45000000001</v>
      </c>
      <c r="P29" s="13">
        <f t="shared" si="0"/>
        <v>3541040.2800000003</v>
      </c>
      <c r="Q29" s="13">
        <v>0</v>
      </c>
      <c r="R29" s="13">
        <v>0</v>
      </c>
      <c r="S29" s="13">
        <f t="shared" si="1"/>
        <v>3541040.2800000003</v>
      </c>
      <c r="T29" s="20">
        <f>+'[2]Total Summary'!N77</f>
        <v>73150.75</v>
      </c>
      <c r="U29" s="21">
        <f t="shared" si="2"/>
        <v>3614191.0300000003</v>
      </c>
      <c r="V29" s="4" t="b">
        <f>+U29=ROUND('II-D-2'!L29,2)</f>
        <v>1</v>
      </c>
    </row>
    <row r="30" spans="1:21" s="4" customFormat="1" ht="15" customHeight="1">
      <c r="A30" s="16">
        <v>16</v>
      </c>
      <c r="D30" s="130"/>
      <c r="E30" s="130"/>
      <c r="F30" s="130"/>
      <c r="G30" s="130"/>
      <c r="H30" s="130"/>
      <c r="I30" s="130"/>
      <c r="J30" s="130"/>
      <c r="K30" s="130"/>
      <c r="L30" s="130"/>
      <c r="M30" s="130"/>
      <c r="N30" s="130"/>
      <c r="O30" s="130"/>
      <c r="P30" s="126"/>
      <c r="Q30" s="126"/>
      <c r="R30" s="126"/>
      <c r="S30" s="126"/>
      <c r="T30" s="126"/>
      <c r="U30" s="127"/>
    </row>
    <row r="31" spans="1:22" s="8" customFormat="1" ht="15" customHeight="1">
      <c r="A31" s="16">
        <v>17</v>
      </c>
      <c r="B31" s="8" t="s">
        <v>37</v>
      </c>
      <c r="C31" s="26"/>
      <c r="D31" s="142">
        <f>SUM(D17:D29)</f>
        <v>45505181.930000007</v>
      </c>
      <c r="E31" s="142">
        <f>SUM(E17:E29)</f>
        <v>42656678.130000003</v>
      </c>
      <c r="F31" s="142">
        <f t="shared" si="3" ref="F31:O31">SUM(F17:F29)</f>
        <v>45790150.660000004</v>
      </c>
      <c r="G31" s="142">
        <f t="shared" si="3"/>
        <v>41549353.419999994</v>
      </c>
      <c r="H31" s="142">
        <f t="shared" si="3"/>
        <v>42762597.449999996</v>
      </c>
      <c r="I31" s="142">
        <f t="shared" si="3"/>
        <v>45822134.810000002</v>
      </c>
      <c r="J31" s="142">
        <f t="shared" si="3"/>
        <v>43879933.109999992</v>
      </c>
      <c r="K31" s="142">
        <f t="shared" si="3"/>
        <v>44026094.260000005</v>
      </c>
      <c r="L31" s="142">
        <f t="shared" si="3"/>
        <v>45664493.950000003</v>
      </c>
      <c r="M31" s="142">
        <f t="shared" si="3"/>
        <v>42133889.559999995</v>
      </c>
      <c r="N31" s="142">
        <f t="shared" si="3"/>
        <v>46380728.480000012</v>
      </c>
      <c r="O31" s="142">
        <f t="shared" si="3"/>
        <v>52910834.389999993</v>
      </c>
      <c r="P31" s="142">
        <f t="shared" si="4" ref="P31:U31">SUM(P17:P30)</f>
        <v>539082070.14999998</v>
      </c>
      <c r="Q31" s="142">
        <f t="shared" si="4"/>
        <v>0</v>
      </c>
      <c r="R31" s="142">
        <f t="shared" si="4"/>
        <v>0</v>
      </c>
      <c r="S31" s="142">
        <f t="shared" si="4"/>
        <v>539082070.14999998</v>
      </c>
      <c r="T31" s="142">
        <f t="shared" si="4"/>
        <v>86578496.863999978</v>
      </c>
      <c r="U31" s="142">
        <f t="shared" si="4"/>
        <v>625660567.01399994</v>
      </c>
      <c r="V31" s="4" t="b">
        <f>+U31='II-D-2'!L31</f>
        <v>1</v>
      </c>
    </row>
    <row r="32" spans="1:21" s="4" customFormat="1" ht="15" customHeight="1">
      <c r="A32" s="16">
        <v>18</v>
      </c>
      <c r="C32" s="7"/>
      <c r="D32" s="19"/>
      <c r="E32" s="19"/>
      <c r="F32" s="19"/>
      <c r="G32" s="19"/>
      <c r="H32" s="19"/>
      <c r="I32" s="19"/>
      <c r="J32" s="19"/>
      <c r="K32" s="19"/>
      <c r="L32" s="19"/>
      <c r="M32" s="19"/>
      <c r="N32" s="19"/>
      <c r="O32" s="19"/>
      <c r="P32" s="19"/>
      <c r="Q32" s="19"/>
      <c r="R32" s="19"/>
      <c r="S32" s="19"/>
      <c r="T32" s="19"/>
      <c r="U32" s="19"/>
    </row>
    <row r="33" spans="1:22" s="8" customFormat="1" ht="15" customHeight="1">
      <c r="A33" s="16">
        <v>19</v>
      </c>
      <c r="B33" s="8" t="s">
        <v>25</v>
      </c>
      <c r="C33" s="26"/>
      <c r="D33" s="142">
        <f>+D31+'II-D-1.1'!D101</f>
        <v>205562807.42000002</v>
      </c>
      <c r="E33" s="142">
        <f>+E31+'II-D-1.1'!E101</f>
        <v>197883573.77000001</v>
      </c>
      <c r="F33" s="142">
        <f>+F31+'II-D-1.1'!F101</f>
        <v>210945154.35999998</v>
      </c>
      <c r="G33" s="142">
        <f>+G31+'II-D-1.1'!G101</f>
        <v>206050835.10999998</v>
      </c>
      <c r="H33" s="142">
        <f>+H31+'II-D-1.1'!H101</f>
        <v>205636719.81</v>
      </c>
      <c r="I33" s="142">
        <f>+I31+'II-D-1.1'!I101</f>
        <v>214734725.24000001</v>
      </c>
      <c r="J33" s="142">
        <f>+J31+'II-D-1.1'!J101</f>
        <v>211302150.19</v>
      </c>
      <c r="K33" s="142">
        <f>+K31+'II-D-1.1'!K101</f>
        <v>216328042.81999999</v>
      </c>
      <c r="L33" s="142">
        <f>+L31+'II-D-1.1'!L101</f>
        <v>217784147.28000003</v>
      </c>
      <c r="M33" s="142">
        <f>+M31+'II-D-1.1'!M101</f>
        <v>216784868.59</v>
      </c>
      <c r="N33" s="142">
        <f>+N31+'II-D-1.1'!N101</f>
        <v>224642132.04000002</v>
      </c>
      <c r="O33" s="142">
        <f>+O31+'II-D-1.1'!O101</f>
        <v>232548535.20999998</v>
      </c>
      <c r="P33" s="142">
        <f>+P31+'II-D-1.1'!P101</f>
        <v>2560203691.8400002</v>
      </c>
      <c r="Q33" s="142">
        <f>+Q31+'II-D-1.1'!Q101</f>
        <v>0</v>
      </c>
      <c r="R33" s="142">
        <f>+R31+'II-D-1.1'!R101</f>
        <v>0</v>
      </c>
      <c r="S33" s="142">
        <f>+S31+'II-D-1.1'!S101</f>
        <v>2560203691.8400002</v>
      </c>
      <c r="T33" s="142">
        <f>+T31+'II-D-1.1'!T101</f>
        <v>234084651.35399997</v>
      </c>
      <c r="U33" s="142">
        <f>+U31+'II-D-1.1'!U101</f>
        <v>2794288343.1939998</v>
      </c>
      <c r="V33" s="4" t="b">
        <f>+U33='II-D-2'!L33</f>
        <v>1</v>
      </c>
    </row>
    <row r="34" spans="1:21" s="8" customFormat="1" ht="15" customHeight="1">
      <c r="A34" s="16">
        <v>20</v>
      </c>
      <c r="D34" s="19"/>
      <c r="E34" s="19"/>
      <c r="F34" s="19"/>
      <c r="G34" s="19"/>
      <c r="H34" s="19"/>
      <c r="I34" s="19"/>
      <c r="J34" s="19"/>
      <c r="K34" s="19"/>
      <c r="L34" s="19"/>
      <c r="M34" s="19"/>
      <c r="N34" s="19"/>
      <c r="O34" s="19"/>
      <c r="P34" s="19"/>
      <c r="Q34" s="19"/>
      <c r="R34" s="19"/>
      <c r="S34" s="19"/>
      <c r="T34" s="19"/>
      <c r="U34" s="19"/>
    </row>
    <row r="35" spans="1:22" s="8" customFormat="1" ht="15" customHeight="1">
      <c r="A35" s="16">
        <v>21</v>
      </c>
      <c r="B35" s="8" t="s">
        <v>39</v>
      </c>
      <c r="C35" s="26"/>
      <c r="D35" s="142">
        <f>+D33</f>
        <v>205562807.42000002</v>
      </c>
      <c r="E35" s="142">
        <f>+E33</f>
        <v>197883573.77000001</v>
      </c>
      <c r="F35" s="142">
        <f t="shared" si="5" ref="F35:O35">+F33</f>
        <v>210945154.35999998</v>
      </c>
      <c r="G35" s="142">
        <f t="shared" si="5"/>
        <v>206050835.10999998</v>
      </c>
      <c r="H35" s="142">
        <f t="shared" si="5"/>
        <v>205636719.81</v>
      </c>
      <c r="I35" s="142">
        <f t="shared" si="5"/>
        <v>214734725.24000001</v>
      </c>
      <c r="J35" s="142">
        <f t="shared" si="5"/>
        <v>211302150.19</v>
      </c>
      <c r="K35" s="142">
        <f t="shared" si="5"/>
        <v>216328042.81999999</v>
      </c>
      <c r="L35" s="142">
        <f t="shared" si="5"/>
        <v>217784147.28000003</v>
      </c>
      <c r="M35" s="142">
        <f t="shared" si="5"/>
        <v>216784868.59</v>
      </c>
      <c r="N35" s="142">
        <f t="shared" si="5"/>
        <v>224642132.04000002</v>
      </c>
      <c r="O35" s="142">
        <f t="shared" si="5"/>
        <v>232548535.20999998</v>
      </c>
      <c r="P35" s="142">
        <f t="shared" si="6" ref="P35:U35">+P33</f>
        <v>2560203691.8400002</v>
      </c>
      <c r="Q35" s="142">
        <f t="shared" si="6"/>
        <v>0</v>
      </c>
      <c r="R35" s="142">
        <f t="shared" si="6"/>
        <v>0</v>
      </c>
      <c r="S35" s="142">
        <f t="shared" si="6"/>
        <v>2560203691.8400002</v>
      </c>
      <c r="T35" s="142">
        <f t="shared" si="6"/>
        <v>234084651.35399997</v>
      </c>
      <c r="U35" s="142">
        <f t="shared" si="6"/>
        <v>2794288343.1939998</v>
      </c>
      <c r="V35" s="4" t="b">
        <f>+U35='II-D-2'!L35</f>
        <v>1</v>
      </c>
    </row>
    <row r="37" spans="4:15" ht="12.75">
      <c r="D37" s="176"/>
      <c r="E37" s="176"/>
      <c r="F37" s="176"/>
      <c r="G37" s="176"/>
      <c r="H37" s="176"/>
      <c r="I37" s="176"/>
      <c r="J37" s="176"/>
      <c r="K37" s="176"/>
      <c r="L37" s="176"/>
      <c r="M37" s="176"/>
      <c r="N37" s="176"/>
      <c r="O37" s="176"/>
    </row>
    <row r="38" spans="4:21" ht="12.75">
      <c r="D38" s="108"/>
      <c r="E38" s="108"/>
      <c r="F38" s="108"/>
      <c r="G38" s="108"/>
      <c r="H38" s="108"/>
      <c r="I38" s="108"/>
      <c r="J38" s="108"/>
      <c r="K38" s="108"/>
      <c r="L38" s="108"/>
      <c r="M38" s="108"/>
      <c r="N38" s="108"/>
      <c r="O38" s="108"/>
      <c r="P38" t="b">
        <f>+P35='II-D-2'!E35</f>
        <v>1</v>
      </c>
      <c r="Q38" t="b">
        <f>+Q35='II-D-2'!F35</f>
        <v>1</v>
      </c>
      <c r="R38" t="b">
        <f>+R35='II-D-2'!G35</f>
        <v>1</v>
      </c>
      <c r="S38" t="b">
        <f>+S35='II-D-2'!H35</f>
        <v>1</v>
      </c>
      <c r="T38" t="b">
        <f>+T35='II-D-2'!I35</f>
        <v>1</v>
      </c>
      <c r="U38" t="b">
        <f>+U35='II-D-2'!J35</f>
        <v>1</v>
      </c>
    </row>
  </sheetData>
  <printOptions horizontalCentered="1"/>
  <pageMargins left="0.5" right="0.5" top="3" bottom="0.5" header="1.5" footer="0.5"/>
  <pageSetup fitToWidth="3" orientation="landscape" scale="61" r:id="rId1"/>
  <headerFooter alignWithMargins="0">
    <oddHeader>&amp;C&amp;B
2022 RATE CASE
ONCOR ELECTRIC DELIVERY COMPANY LLC
II-D-2.1  MONTHLY A&amp;&amp;G EXPENSE
TEST YEAR ENDING DECEMBER 31, 2021
SPONSOR: W. ALAN LEDBETTER&amp;R&amp;"Arial,Bold"Schedule &amp;A
Page &amp;P of &amp;N</oddHead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
    <tabColor rgb="FFFF0000"/>
  </sheetPr>
  <dimension ref="A1:B29"/>
  <sheetViews>
    <sheetView workbookViewId="0" topLeftCell="A1">
      <pane ySplit="6" topLeftCell="A7" activePane="bottomLeft" state="frozen"/>
      <selection pane="topLeft" activeCell="A1" sqref="A1"/>
      <selection pane="bottomLeft" activeCell="E27" sqref="E27"/>
    </sheetView>
  </sheetViews>
  <sheetFormatPr defaultRowHeight="12.75"/>
  <sheetData>
    <row r="1" spans="1:1" ht="12.75">
      <c r="A1" s="5" t="str">
        <f>+'[3]Input Data'!$A$9</f>
        <v>2022 RATE CASE</v>
      </c>
    </row>
    <row r="2" spans="1:1" ht="12.75">
      <c r="A2" s="8" t="str">
        <f>+'[3]Input Data'!$A$2</f>
        <v>ONCOR ELECTRIC DELIVERY COMPANY LLC</v>
      </c>
    </row>
    <row r="3" spans="1:1" ht="12.75">
      <c r="A3" s="7" t="str">
        <f>CONCATENATE('[3]Schedule Sponsors'!$A$55,'[3]Schedule Sponsors'!$B$55)</f>
        <v>II-D-2.2  BAD DEBT EXPENSE</v>
      </c>
    </row>
    <row r="4" spans="1:1" ht="12.75">
      <c r="A4" s="63" t="str">
        <f>+'[3]Input Data'!$A$4</f>
        <v>TEST YEAR ENDING DECEMBER 31, 2021</v>
      </c>
    </row>
    <row r="5" spans="1:1" ht="12.75">
      <c r="A5" s="7" t="str">
        <f>CONCATENATE("SPONSOR: ",'[3]Schedule Sponsors'!$D$55)</f>
        <v>SPONSOR: W. ALAN LEDBETTER</v>
      </c>
    </row>
    <row r="10" spans="1:1" ht="12.75">
      <c r="A10" s="5" t="s">
        <v>364</v>
      </c>
    </row>
    <row r="13" spans="1:2" ht="14.25">
      <c r="A13" s="275" t="s">
        <v>344</v>
      </c>
      <c r="B13" s="275"/>
    </row>
    <row r="14" spans="1:2" ht="14.25">
      <c r="A14" s="275" t="s">
        <v>371</v>
      </c>
      <c r="B14" s="275"/>
    </row>
    <row r="15" spans="1:2" ht="14.25">
      <c r="A15" s="275" t="s">
        <v>365</v>
      </c>
      <c r="B15" s="275"/>
    </row>
    <row r="16" spans="1:2" ht="14.25">
      <c r="A16" s="275" t="s">
        <v>366</v>
      </c>
      <c r="B16" s="275"/>
    </row>
    <row r="17" spans="1:2" ht="14.25">
      <c r="A17" s="275"/>
      <c r="B17" s="275"/>
    </row>
    <row r="18" spans="1:2" ht="14.25">
      <c r="A18" s="275" t="s">
        <v>736</v>
      </c>
      <c r="B18" s="275"/>
    </row>
    <row r="19" spans="1:2" ht="14.25">
      <c r="A19" s="275" t="s">
        <v>735</v>
      </c>
      <c r="B19" s="275"/>
    </row>
    <row r="20" spans="1:2" ht="14.25">
      <c r="A20" s="275"/>
      <c r="B20" s="275"/>
    </row>
    <row r="21" spans="1:2" ht="14.25">
      <c r="A21" s="275" t="s">
        <v>367</v>
      </c>
      <c r="B21" s="275"/>
    </row>
    <row r="22" spans="1:2" ht="14.25">
      <c r="A22" s="275" t="s">
        <v>372</v>
      </c>
      <c r="B22" s="275"/>
    </row>
    <row r="25" spans="1:1" ht="12.75">
      <c r="A25" s="112"/>
    </row>
    <row r="29" spans="1:1" ht="12.75">
      <c r="A29" s="112"/>
    </row>
  </sheetData>
  <printOptions horizontalCentered="1"/>
  <pageMargins left="0.5" right="0.5" top="3" bottom="0.5" header="1.5" footer="0.5"/>
  <pageSetup orientation="landscape" r:id="rId1"/>
  <headerFooter alignWithMargins="0">
    <oddHeader>&amp;C&amp;B
2022 RATE CASE
ONCOR ELECTRIC DELIVERY COMPANY LLC
II-D-2.2  BAD DEBT EXPENSE
TEST YEAR ENDING DECEMBER 31, 2021
SPONSOR: W. ALAN LEDBETTER&amp;R&amp;"Arial,Bold"Schedule &amp;A
Page &amp;P of &amp;N</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4">
    <tabColor rgb="FFFF0000"/>
    <pageSetUpPr fitToPage="1"/>
  </sheetPr>
  <dimension ref="A1:B22"/>
  <sheetViews>
    <sheetView workbookViewId="0" topLeftCell="A2">
      <pane ySplit="5" topLeftCell="A7" activePane="bottomLeft" state="frozen"/>
      <selection pane="topLeft" activeCell="A2" sqref="A2"/>
      <selection pane="bottomLeft" activeCell="D28" sqref="D28"/>
    </sheetView>
  </sheetViews>
  <sheetFormatPr defaultRowHeight="12.75"/>
  <cols>
    <col min="1" max="1" width="11.1428571428571" customWidth="1"/>
  </cols>
  <sheetData>
    <row r="1" spans="1:1" ht="12.75">
      <c r="A1" s="5" t="str">
        <f>+'[3]Input Data'!$A$9</f>
        <v>2022 RATE CASE</v>
      </c>
    </row>
    <row r="2" spans="1:1" ht="12.75">
      <c r="A2" s="8" t="str">
        <f>+'[3]Input Data'!$A$2</f>
        <v>ONCOR ELECTRIC DELIVERY COMPANY LLC</v>
      </c>
    </row>
    <row r="3" spans="1:1" ht="12.75">
      <c r="A3" s="7" t="str">
        <f>CONCATENATE('[3]Schedule Sponsors'!$A$55,'[3]Schedule Sponsors'!$B$55)</f>
        <v>II-D-2.2  BAD DEBT EXPENSE</v>
      </c>
    </row>
    <row r="4" spans="1:1" ht="12.75">
      <c r="A4" s="63" t="str">
        <f>+'[3]Input Data'!$A$4</f>
        <v>TEST YEAR ENDING DECEMBER 31, 2021</v>
      </c>
    </row>
    <row r="5" spans="1:1" ht="12.75">
      <c r="A5" s="7" t="str">
        <f>CONCATENATE("SPONSOR: ",'[3]Schedule Sponsors'!$D$55)</f>
        <v>SPONSOR: W. ALAN LEDBETTER</v>
      </c>
    </row>
    <row r="10" spans="1:2" ht="12.75">
      <c r="A10" s="5" t="s">
        <v>302</v>
      </c>
      <c r="B10" s="5" t="s">
        <v>303</v>
      </c>
    </row>
    <row r="11" spans="1:2" ht="12.75">
      <c r="A11" s="5"/>
      <c r="B11" s="206" t="s">
        <v>193</v>
      </c>
    </row>
    <row r="13" spans="2:2" ht="12.75">
      <c r="B13" t="s">
        <v>119</v>
      </c>
    </row>
    <row r="15" spans="2:2" ht="12.75">
      <c r="B15" t="s">
        <v>453</v>
      </c>
    </row>
    <row r="16" spans="2:2" ht="12.75">
      <c r="B16" t="s">
        <v>120</v>
      </c>
    </row>
    <row r="17" spans="2:2" ht="12.75">
      <c r="B17" t="s">
        <v>368</v>
      </c>
    </row>
    <row r="18" spans="2:2" ht="12.75">
      <c r="B18" t="s">
        <v>369</v>
      </c>
    </row>
    <row r="19" spans="2:2" ht="12.75">
      <c r="B19" t="s">
        <v>370</v>
      </c>
    </row>
    <row r="20" spans="2:2" ht="12.75">
      <c r="B20" t="s">
        <v>454</v>
      </c>
    </row>
    <row r="21" spans="2:2" ht="12.75">
      <c r="B21" s="183" t="s">
        <v>1060</v>
      </c>
    </row>
    <row r="22" spans="2:2" ht="12.75">
      <c r="B22" t="s">
        <v>737</v>
      </c>
    </row>
  </sheetData>
  <printOptions horizontalCentered="1"/>
  <pageMargins left="0.5" right="0.5" top="3" bottom="0.5" header="1.5" footer="0.5"/>
  <pageSetup orientation="landscape" r:id="rId1"/>
  <headerFooter alignWithMargins="0">
    <oddHeader>&amp;C&amp;B
2022 RATE CASE
ONCOR ELECTRIC DELIVERY COMPANY LLC
II-D-2.2  BAD DEBT EXPENSE
TEST YEAR ENDING DECEMBER 31, 2021
SPONSOR: W. ALAN LEDBETTER&amp;RSchedule  II-D-2.2.2
Page &amp;P of &amp;P</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68">
    <tabColor rgb="FFFF0000"/>
    <pageSetUpPr fitToPage="1"/>
  </sheetPr>
  <dimension ref="A1:O40"/>
  <sheetViews>
    <sheetView workbookViewId="0" topLeftCell="A1">
      <pane xSplit="3" ySplit="13" topLeftCell="D14" activePane="bottomRight" state="frozen"/>
      <selection pane="topLeft" activeCell="J41" sqref="J41"/>
      <selection pane="bottomLeft" activeCell="J41" sqref="J41"/>
      <selection pane="topRight" activeCell="J41" sqref="J41"/>
      <selection pane="bottomRight" activeCell="E43" sqref="E43"/>
    </sheetView>
  </sheetViews>
  <sheetFormatPr defaultRowHeight="12.75"/>
  <cols>
    <col min="1" max="1" width="5.71428571428571" customWidth="1"/>
    <col min="2" max="2" width="8.71428571428571" customWidth="1"/>
    <col min="3" max="3" width="17.7142857142857" customWidth="1"/>
    <col min="4" max="14" width="13.7142857142857" customWidth="1"/>
  </cols>
  <sheetData>
    <row r="1" spans="1:1" ht="12.75">
      <c r="A1" s="5" t="str">
        <f>+'[3]Input Data'!$A$9</f>
        <v>2022 RATE CASE</v>
      </c>
    </row>
    <row r="2" spans="1:1" ht="12.75">
      <c r="A2" s="8" t="str">
        <f>+'[3]Input Data'!$A$2</f>
        <v>ONCOR ELECTRIC DELIVERY COMPANY LLC</v>
      </c>
    </row>
    <row r="3" spans="1:1" ht="12.75">
      <c r="A3" s="7" t="str">
        <f>CONCATENATE('[3]Schedule Sponsors'!$A$55,'[3]Schedule Sponsors'!$B$55)</f>
        <v>II-D-2.2  BAD DEBT EXPENSE</v>
      </c>
    </row>
    <row r="4" spans="1:1" ht="12.75">
      <c r="A4" s="63" t="str">
        <f>+'[3]Input Data'!$A$4</f>
        <v>TEST YEAR ENDING DECEMBER 31, 2021</v>
      </c>
    </row>
    <row r="5" spans="1:1" ht="12.75">
      <c r="A5" s="7" t="str">
        <f>CONCATENATE("SPONSOR: ",'[3]Schedule Sponsors'!$D$55)</f>
        <v>SPONSOR: W. ALAN LEDBETTER</v>
      </c>
    </row>
    <row r="9" ht="13.5" thickBot="1"/>
    <row r="10" spans="1:14" s="35" customFormat="1" ht="12.75">
      <c r="A10" s="9"/>
      <c r="B10" s="9"/>
      <c r="C10" s="9"/>
      <c r="D10" s="196"/>
      <c r="E10" s="196"/>
      <c r="F10" s="196"/>
      <c r="G10" s="196"/>
      <c r="H10" s="196"/>
      <c r="I10" s="196"/>
      <c r="J10" s="196"/>
      <c r="K10" s="196"/>
      <c r="L10" s="196"/>
      <c r="M10" s="196"/>
      <c r="N10" s="196"/>
    </row>
    <row r="11" spans="1:14" s="35" customFormat="1" ht="12.75">
      <c r="A11" s="11" t="s">
        <v>87</v>
      </c>
      <c r="B11" s="11" t="s">
        <v>213</v>
      </c>
      <c r="C11" s="11"/>
      <c r="D11" s="195" t="s">
        <v>416</v>
      </c>
      <c r="E11" s="195"/>
      <c r="F11" s="195" t="s">
        <v>716</v>
      </c>
      <c r="G11" s="195" t="s">
        <v>722</v>
      </c>
      <c r="H11" s="195" t="s">
        <v>717</v>
      </c>
      <c r="I11" s="195"/>
      <c r="J11" s="195" t="s">
        <v>716</v>
      </c>
      <c r="K11" s="195" t="s">
        <v>717</v>
      </c>
      <c r="L11" s="195"/>
      <c r="M11" s="195"/>
      <c r="N11" s="195"/>
    </row>
    <row r="12" spans="1:14" s="35" customFormat="1" ht="12.75">
      <c r="A12" s="11" t="s">
        <v>89</v>
      </c>
      <c r="B12" s="11" t="s">
        <v>296</v>
      </c>
      <c r="C12" s="11" t="s">
        <v>209</v>
      </c>
      <c r="D12" s="195" t="s">
        <v>435</v>
      </c>
      <c r="E12" s="195" t="s">
        <v>294</v>
      </c>
      <c r="F12" s="195" t="s">
        <v>294</v>
      </c>
      <c r="G12" s="195" t="s">
        <v>723</v>
      </c>
      <c r="H12" s="195" t="s">
        <v>294</v>
      </c>
      <c r="I12" s="195" t="s">
        <v>295</v>
      </c>
      <c r="J12" s="195" t="s">
        <v>295</v>
      </c>
      <c r="K12" s="195" t="s">
        <v>295</v>
      </c>
      <c r="L12" s="195" t="s">
        <v>283</v>
      </c>
      <c r="M12" s="195" t="s">
        <v>126</v>
      </c>
      <c r="N12" s="195" t="s">
        <v>216</v>
      </c>
    </row>
    <row r="13" spans="1:14" s="31" customFormat="1" ht="13.5" thickBot="1">
      <c r="A13" s="29"/>
      <c r="B13" s="29" t="s">
        <v>44</v>
      </c>
      <c r="C13" s="29" t="s">
        <v>45</v>
      </c>
      <c r="D13" s="29" t="s">
        <v>74</v>
      </c>
      <c r="E13" s="29" t="s">
        <v>75</v>
      </c>
      <c r="F13" s="229" t="s">
        <v>76</v>
      </c>
      <c r="G13" s="229" t="s">
        <v>77</v>
      </c>
      <c r="H13" s="229" t="s">
        <v>78</v>
      </c>
      <c r="I13" s="229" t="s">
        <v>79</v>
      </c>
      <c r="J13" s="229" t="s">
        <v>80</v>
      </c>
      <c r="K13" s="229" t="s">
        <v>81</v>
      </c>
      <c r="L13" s="229" t="s">
        <v>82</v>
      </c>
      <c r="M13" s="229" t="s">
        <v>83</v>
      </c>
      <c r="N13" s="229" t="s">
        <v>84</v>
      </c>
    </row>
    <row r="14" spans="2:14" s="31" customFormat="1" ht="12.75" customHeight="1">
      <c r="B14" s="38"/>
      <c r="C14" s="38"/>
      <c r="D14" s="38"/>
      <c r="E14" s="38"/>
      <c r="F14" s="38"/>
      <c r="G14" s="38"/>
      <c r="H14" s="38"/>
      <c r="I14" s="38"/>
      <c r="J14" s="38"/>
      <c r="K14" s="38"/>
      <c r="L14" s="38"/>
      <c r="M14" s="38"/>
      <c r="N14" s="38"/>
    </row>
    <row r="15" spans="1:1" ht="12.75">
      <c r="A15" s="1"/>
    </row>
    <row r="16" spans="1:2" ht="12.75">
      <c r="A16" s="1"/>
      <c r="B16" s="98" t="s">
        <v>845</v>
      </c>
    </row>
    <row r="17" spans="1:15" ht="12.75">
      <c r="A17" s="1">
        <v>1</v>
      </c>
      <c r="B17" t="s">
        <v>95</v>
      </c>
      <c r="C17" t="s">
        <v>110</v>
      </c>
      <c r="D17" s="250">
        <v>80520103.129999995</v>
      </c>
      <c r="E17" s="250">
        <v>41538673.469999999</v>
      </c>
      <c r="F17" s="250">
        <v>1564.81</v>
      </c>
      <c r="G17" s="250">
        <v>1433157.1899999999</v>
      </c>
      <c r="H17" s="250">
        <f>SUM(E17:G17)</f>
        <v>42973395.469999999</v>
      </c>
      <c r="I17" s="250">
        <v>37546707.659999996</v>
      </c>
      <c r="J17" s="250">
        <v>0</v>
      </c>
      <c r="K17" s="250">
        <f>SUM(I17:J17)</f>
        <v>37546707.659999996</v>
      </c>
      <c r="L17" s="250">
        <v>0</v>
      </c>
      <c r="M17" s="250">
        <v>0</v>
      </c>
      <c r="N17" s="252">
        <f>+H17+K17+L17+M17</f>
        <v>80520103.129999995</v>
      </c>
      <c r="O17" t="b">
        <f>+D17=N17</f>
        <v>1</v>
      </c>
    </row>
    <row r="18" spans="1:15" ht="12.75">
      <c r="A18" s="1">
        <v>2</v>
      </c>
      <c r="B18" t="s">
        <v>262</v>
      </c>
      <c r="C18" s="30" t="s">
        <v>13</v>
      </c>
      <c r="D18" s="251">
        <v>777311.68000000005</v>
      </c>
      <c r="E18" s="251">
        <v>481266.76000000001</v>
      </c>
      <c r="F18" s="251">
        <v>0</v>
      </c>
      <c r="G18" s="251">
        <v>0</v>
      </c>
      <c r="H18" s="251">
        <f>SUM(E18:G18)</f>
        <v>481266.76000000001</v>
      </c>
      <c r="I18" s="251">
        <v>296044.91999999998</v>
      </c>
      <c r="J18" s="251">
        <v>0</v>
      </c>
      <c r="K18" s="251">
        <f t="shared" si="0" ref="K18:K20">SUM(I18:J18)</f>
        <v>296044.91999999998</v>
      </c>
      <c r="L18" s="251">
        <v>0</v>
      </c>
      <c r="M18" s="251">
        <v>0</v>
      </c>
      <c r="N18" s="253">
        <f t="shared" si="1" ref="N18:N20">+H18+K18+L18+M18</f>
        <v>777311.67999999993</v>
      </c>
      <c r="O18" t="b">
        <f>+D18=N18</f>
        <v>1</v>
      </c>
    </row>
    <row r="19" spans="1:15" ht="12.75">
      <c r="A19" s="1">
        <v>3</v>
      </c>
      <c r="B19" t="s">
        <v>262</v>
      </c>
      <c r="C19" s="248" t="s">
        <v>738</v>
      </c>
      <c r="D19" s="251">
        <v>267957.35999999999</v>
      </c>
      <c r="E19" s="251">
        <v>0</v>
      </c>
      <c r="F19" s="251">
        <v>0</v>
      </c>
      <c r="G19" s="251">
        <v>0</v>
      </c>
      <c r="H19" s="251">
        <f>SUM(E19:G19)</f>
        <v>0</v>
      </c>
      <c r="I19" s="251">
        <v>267957.35999999999</v>
      </c>
      <c r="J19" s="251">
        <v>0</v>
      </c>
      <c r="K19" s="251">
        <f t="shared" si="0"/>
        <v>267957.35999999999</v>
      </c>
      <c r="L19" s="251">
        <v>0</v>
      </c>
      <c r="M19" s="251">
        <v>0</v>
      </c>
      <c r="N19" s="253">
        <f t="shared" si="1"/>
        <v>267957.35999999999</v>
      </c>
      <c r="O19" t="b">
        <f>+D19=N19</f>
        <v>1</v>
      </c>
    </row>
    <row r="20" spans="1:15" ht="12.75">
      <c r="A20" s="1">
        <v>4</v>
      </c>
      <c r="B20" t="s">
        <v>196</v>
      </c>
      <c r="C20" s="30" t="s">
        <v>111</v>
      </c>
      <c r="D20" s="251">
        <v>83102.320000000007</v>
      </c>
      <c r="E20" s="251">
        <v>9.4000000000000004</v>
      </c>
      <c r="F20" s="251">
        <v>0</v>
      </c>
      <c r="G20" s="251">
        <v>0</v>
      </c>
      <c r="H20" s="251">
        <f>SUM(E20:G20)</f>
        <v>9.4000000000000004</v>
      </c>
      <c r="I20" s="251">
        <v>83092.919999999998</v>
      </c>
      <c r="J20" s="251">
        <v>0</v>
      </c>
      <c r="K20" s="251">
        <f t="shared" si="0"/>
        <v>83092.919999999998</v>
      </c>
      <c r="L20" s="251">
        <v>0</v>
      </c>
      <c r="M20" s="251">
        <v>0</v>
      </c>
      <c r="N20" s="253">
        <f t="shared" si="1"/>
        <v>83102.319999999992</v>
      </c>
      <c r="O20" t="b">
        <f>+D20=N20</f>
        <v>1</v>
      </c>
    </row>
    <row r="21" spans="1:1" ht="12.75">
      <c r="A21" s="1">
        <v>5</v>
      </c>
    </row>
    <row r="22" spans="1:1" ht="12.75">
      <c r="A22" s="1">
        <v>6</v>
      </c>
    </row>
    <row r="23" spans="1:2" ht="12.75">
      <c r="A23" s="1">
        <v>7</v>
      </c>
      <c r="B23" s="98" t="s">
        <v>846</v>
      </c>
    </row>
    <row r="24" spans="1:15" ht="12.75">
      <c r="A24" s="1">
        <v>8</v>
      </c>
      <c r="B24" t="s">
        <v>95</v>
      </c>
      <c r="C24" t="s">
        <v>110</v>
      </c>
      <c r="D24" s="250">
        <v>78079387.920000002</v>
      </c>
      <c r="E24" s="250">
        <v>39760040.93</v>
      </c>
      <c r="F24" s="250">
        <v>6900.3800000000001</v>
      </c>
      <c r="G24" s="250">
        <v>1215289.28</v>
      </c>
      <c r="H24" s="250">
        <f t="shared" si="2" ref="H24:H27">SUM(E24:G24)</f>
        <v>40982230.590000004</v>
      </c>
      <c r="I24" s="250">
        <v>37097157.329999998</v>
      </c>
      <c r="J24" s="250">
        <v>0</v>
      </c>
      <c r="K24" s="250">
        <f t="shared" si="3" ref="K24:K27">SUM(I24:J24)</f>
        <v>37097157.329999998</v>
      </c>
      <c r="L24" s="250">
        <v>0</v>
      </c>
      <c r="M24" s="250">
        <v>0</v>
      </c>
      <c r="N24" s="252">
        <f t="shared" si="4" ref="N24:N27">+H24+K24+L24+M24</f>
        <v>78079387.920000002</v>
      </c>
      <c r="O24" t="b">
        <f>+D24=N24</f>
        <v>1</v>
      </c>
    </row>
    <row r="25" spans="1:15" ht="12.75">
      <c r="A25" s="1">
        <v>9</v>
      </c>
      <c r="B25" t="s">
        <v>262</v>
      </c>
      <c r="C25" s="30" t="s">
        <v>13</v>
      </c>
      <c r="D25" s="251">
        <v>93349.039999999994</v>
      </c>
      <c r="E25" s="251">
        <v>-27679.049999999999</v>
      </c>
      <c r="F25" s="251">
        <v>0</v>
      </c>
      <c r="G25" s="251">
        <v>0</v>
      </c>
      <c r="H25" s="251">
        <f t="shared" si="2"/>
        <v>-27679.049999999999</v>
      </c>
      <c r="I25" s="251">
        <v>121028.09</v>
      </c>
      <c r="J25" s="251">
        <v>0</v>
      </c>
      <c r="K25" s="251">
        <f t="shared" si="3"/>
        <v>121028.09</v>
      </c>
      <c r="L25" s="251">
        <v>0</v>
      </c>
      <c r="M25" s="251">
        <v>0</v>
      </c>
      <c r="N25" s="253">
        <f t="shared" si="4"/>
        <v>93349.039999999994</v>
      </c>
      <c r="O25" t="b">
        <f>+D25=N25</f>
        <v>1</v>
      </c>
    </row>
    <row r="26" spans="1:15" ht="12.75">
      <c r="A26" s="1">
        <v>10</v>
      </c>
      <c r="B26" t="s">
        <v>262</v>
      </c>
      <c r="C26" s="248" t="s">
        <v>738</v>
      </c>
      <c r="D26" s="251">
        <v>267957.35999999999</v>
      </c>
      <c r="E26" s="251">
        <v>0</v>
      </c>
      <c r="F26" s="251">
        <v>0</v>
      </c>
      <c r="G26" s="251">
        <v>0</v>
      </c>
      <c r="H26" s="251">
        <f t="shared" si="2"/>
        <v>0</v>
      </c>
      <c r="I26" s="251">
        <v>267957.35999999999</v>
      </c>
      <c r="J26" s="251">
        <v>0</v>
      </c>
      <c r="K26" s="251">
        <f t="shared" si="3"/>
        <v>267957.35999999999</v>
      </c>
      <c r="L26" s="251">
        <v>0</v>
      </c>
      <c r="M26" s="251">
        <v>0</v>
      </c>
      <c r="N26" s="253">
        <f t="shared" si="4"/>
        <v>267957.35999999999</v>
      </c>
      <c r="O26" t="b">
        <f>+D26=N26</f>
        <v>1</v>
      </c>
    </row>
    <row r="27" spans="1:15" ht="12.75">
      <c r="A27" s="1">
        <v>11</v>
      </c>
      <c r="B27" t="s">
        <v>196</v>
      </c>
      <c r="C27" s="30" t="s">
        <v>111</v>
      </c>
      <c r="D27" s="251">
        <v>6535.8100000000004</v>
      </c>
      <c r="E27" s="251">
        <v>728.40999999999997</v>
      </c>
      <c r="F27" s="251">
        <v>0</v>
      </c>
      <c r="G27" s="251">
        <v>0</v>
      </c>
      <c r="H27" s="251">
        <f t="shared" si="2"/>
        <v>728.40999999999997</v>
      </c>
      <c r="I27" s="251">
        <v>5807.3999999999996</v>
      </c>
      <c r="J27" s="251">
        <v>0</v>
      </c>
      <c r="K27" s="251">
        <f t="shared" si="3"/>
        <v>5807.3999999999996</v>
      </c>
      <c r="L27" s="251">
        <v>0</v>
      </c>
      <c r="M27" s="251">
        <v>0</v>
      </c>
      <c r="N27" s="253">
        <f t="shared" si="4"/>
        <v>6535.8099999999995</v>
      </c>
      <c r="O27" t="b">
        <f>+D27=N27</f>
        <v>1</v>
      </c>
    </row>
    <row r="28" spans="1:14" ht="12.75">
      <c r="A28" s="1">
        <v>12</v>
      </c>
      <c r="D28" s="66"/>
      <c r="E28" s="66"/>
      <c r="F28" s="66"/>
      <c r="G28" s="66"/>
      <c r="H28" s="66"/>
      <c r="I28" s="66"/>
      <c r="J28" s="66"/>
      <c r="K28" s="66"/>
      <c r="L28" s="66"/>
      <c r="M28" s="66"/>
      <c r="N28" s="66"/>
    </row>
    <row r="29" spans="1:1" ht="12.75">
      <c r="A29" s="1">
        <v>13</v>
      </c>
    </row>
    <row r="30" spans="1:2" ht="12.75">
      <c r="A30" s="1">
        <v>14</v>
      </c>
      <c r="B30" s="98" t="s">
        <v>729</v>
      </c>
    </row>
    <row r="31" spans="1:15" ht="12.75">
      <c r="A31" s="1">
        <v>15</v>
      </c>
      <c r="B31" t="s">
        <v>95</v>
      </c>
      <c r="C31" t="s">
        <v>110</v>
      </c>
      <c r="D31" s="250">
        <v>72215437.299999997</v>
      </c>
      <c r="E31" s="250">
        <v>30442736.010000002</v>
      </c>
      <c r="F31" s="250">
        <v>1686154.6000000001</v>
      </c>
      <c r="G31" s="250">
        <v>748926.70999999996</v>
      </c>
      <c r="H31" s="250">
        <f t="shared" si="5" ref="H31:H34">SUM(E31:G31)</f>
        <v>32877817.320000004</v>
      </c>
      <c r="I31" s="250">
        <v>39337619.979999997</v>
      </c>
      <c r="J31" s="250">
        <v>0</v>
      </c>
      <c r="K31" s="250">
        <f t="shared" si="6" ref="K31:K34">SUM(I31:J31)</f>
        <v>39337619.979999997</v>
      </c>
      <c r="L31" s="250">
        <v>0</v>
      </c>
      <c r="M31" s="250">
        <v>0</v>
      </c>
      <c r="N31" s="252">
        <f t="shared" si="7" ref="N31:N34">+H31+K31+L31+M31</f>
        <v>72215437.299999997</v>
      </c>
      <c r="O31" t="b">
        <f>+D31=N31</f>
        <v>1</v>
      </c>
    </row>
    <row r="32" spans="1:15" ht="12.75">
      <c r="A32" s="1">
        <v>16</v>
      </c>
      <c r="B32" t="s">
        <v>262</v>
      </c>
      <c r="C32" s="30" t="s">
        <v>13</v>
      </c>
      <c r="D32" s="251">
        <v>554031.17000000004</v>
      </c>
      <c r="E32" s="251">
        <v>35091.449999999997</v>
      </c>
      <c r="F32" s="251">
        <v>0</v>
      </c>
      <c r="G32" s="251">
        <v>0</v>
      </c>
      <c r="H32" s="251">
        <f t="shared" si="5"/>
        <v>35091.449999999997</v>
      </c>
      <c r="I32" s="251">
        <v>518939.71999999997</v>
      </c>
      <c r="J32" s="251">
        <v>0</v>
      </c>
      <c r="K32" s="251">
        <f t="shared" si="6"/>
        <v>518939.71999999997</v>
      </c>
      <c r="L32" s="251">
        <v>0</v>
      </c>
      <c r="M32" s="251">
        <v>0</v>
      </c>
      <c r="N32" s="253">
        <f t="shared" si="7"/>
        <v>554031.16999999993</v>
      </c>
      <c r="O32" t="b">
        <f>+D32=N32</f>
        <v>1</v>
      </c>
    </row>
    <row r="33" spans="1:15" ht="12.75">
      <c r="A33" s="1">
        <v>17</v>
      </c>
      <c r="B33" t="s">
        <v>262</v>
      </c>
      <c r="C33" s="248" t="s">
        <v>738</v>
      </c>
      <c r="D33" s="251">
        <v>267957.35999999999</v>
      </c>
      <c r="E33" s="251">
        <v>0</v>
      </c>
      <c r="F33" s="251">
        <v>0</v>
      </c>
      <c r="G33" s="251">
        <v>0</v>
      </c>
      <c r="H33" s="251">
        <f t="shared" si="5"/>
        <v>0</v>
      </c>
      <c r="I33" s="251">
        <v>267957.35999999999</v>
      </c>
      <c r="J33" s="251">
        <v>0</v>
      </c>
      <c r="K33" s="251">
        <f t="shared" si="6"/>
        <v>267957.35999999999</v>
      </c>
      <c r="L33" s="251">
        <v>0</v>
      </c>
      <c r="M33" s="251">
        <v>0</v>
      </c>
      <c r="N33" s="253">
        <f t="shared" si="7"/>
        <v>267957.35999999999</v>
      </c>
      <c r="O33" t="b">
        <f>+D33=N33</f>
        <v>1</v>
      </c>
    </row>
    <row r="34" spans="1:15" ht="12.75">
      <c r="A34" s="1">
        <v>18</v>
      </c>
      <c r="B34" t="s">
        <v>196</v>
      </c>
      <c r="C34" s="30" t="s">
        <v>111</v>
      </c>
      <c r="D34" s="251">
        <v>2709.0799999999999</v>
      </c>
      <c r="E34" s="251">
        <v>0.51000000000000001</v>
      </c>
      <c r="F34" s="251">
        <v>0</v>
      </c>
      <c r="G34" s="251">
        <v>0</v>
      </c>
      <c r="H34" s="251">
        <f t="shared" si="5"/>
        <v>0.51000000000000001</v>
      </c>
      <c r="I34" s="251">
        <v>2708.5700000000002</v>
      </c>
      <c r="J34" s="251">
        <v>0</v>
      </c>
      <c r="K34" s="251">
        <f t="shared" si="6"/>
        <v>2708.5700000000002</v>
      </c>
      <c r="L34" s="251">
        <v>0</v>
      </c>
      <c r="M34" s="251">
        <v>0</v>
      </c>
      <c r="N34" s="253">
        <f t="shared" si="7"/>
        <v>2709.0800000000004</v>
      </c>
      <c r="O34" t="b">
        <f>+D34=N34</f>
        <v>1</v>
      </c>
    </row>
    <row r="35" spans="1:14" ht="12.75">
      <c r="A35" s="1">
        <v>19</v>
      </c>
      <c r="C35" s="4"/>
      <c r="D35" s="66"/>
      <c r="E35" s="66"/>
      <c r="F35" s="66"/>
      <c r="G35" s="66"/>
      <c r="H35" s="66"/>
      <c r="I35" s="66"/>
      <c r="J35" s="66"/>
      <c r="K35" s="66"/>
      <c r="L35" s="66"/>
      <c r="M35" s="66"/>
      <c r="N35" s="66"/>
    </row>
    <row r="36" spans="1:2" ht="12.75">
      <c r="A36" s="1">
        <v>20</v>
      </c>
      <c r="B36" s="98" t="s">
        <v>730</v>
      </c>
    </row>
    <row r="37" spans="1:15" ht="12.75">
      <c r="A37" s="1">
        <v>21</v>
      </c>
      <c r="B37" t="s">
        <v>95</v>
      </c>
      <c r="C37" t="s">
        <v>110</v>
      </c>
      <c r="D37" s="250">
        <v>62999926.229999997</v>
      </c>
      <c r="E37" s="250">
        <v>24535872.699999999</v>
      </c>
      <c r="F37" s="250">
        <v>0</v>
      </c>
      <c r="G37" s="250">
        <v>1091753.3100000001</v>
      </c>
      <c r="H37" s="250">
        <f t="shared" si="8" ref="H37:H40">SUM(E37:G37)</f>
        <v>25627626.009999998</v>
      </c>
      <c r="I37" s="250">
        <v>37372300.219999999</v>
      </c>
      <c r="J37" s="250">
        <v>0</v>
      </c>
      <c r="K37" s="250">
        <f t="shared" si="9" ref="K37:K40">SUM(I37:J37)</f>
        <v>37372300.219999999</v>
      </c>
      <c r="L37" s="250">
        <v>0</v>
      </c>
      <c r="M37" s="250">
        <v>0</v>
      </c>
      <c r="N37" s="252">
        <f t="shared" si="10" ref="N37:N40">+H37+K37+L37+M37</f>
        <v>62999926.229999997</v>
      </c>
      <c r="O37" t="b">
        <f>+D37=N37</f>
        <v>1</v>
      </c>
    </row>
    <row r="38" spans="1:15" ht="12.75">
      <c r="A38" s="1">
        <v>22</v>
      </c>
      <c r="B38" t="s">
        <v>262</v>
      </c>
      <c r="C38" s="30" t="s">
        <v>13</v>
      </c>
      <c r="D38" s="251">
        <v>57257.879999999997</v>
      </c>
      <c r="E38" s="251">
        <v>-211577.72</v>
      </c>
      <c r="F38" s="251">
        <v>0</v>
      </c>
      <c r="G38" s="251">
        <v>0</v>
      </c>
      <c r="H38" s="251">
        <f t="shared" si="8"/>
        <v>-211577.72</v>
      </c>
      <c r="I38" s="251">
        <v>268835.59999999998</v>
      </c>
      <c r="J38" s="251">
        <v>0</v>
      </c>
      <c r="K38" s="251">
        <f t="shared" si="9"/>
        <v>268835.59999999998</v>
      </c>
      <c r="L38" s="251">
        <v>0</v>
      </c>
      <c r="M38" s="251">
        <v>0</v>
      </c>
      <c r="N38" s="253">
        <f t="shared" si="10"/>
        <v>57257.879999999976</v>
      </c>
      <c r="O38" t="b">
        <f>+D38=N38</f>
        <v>1</v>
      </c>
    </row>
    <row r="39" spans="1:15" ht="12.75">
      <c r="A39" s="1">
        <v>23</v>
      </c>
      <c r="B39" t="s">
        <v>262</v>
      </c>
      <c r="C39" s="248" t="s">
        <v>738</v>
      </c>
      <c r="D39" s="251">
        <v>267957.35999999999</v>
      </c>
      <c r="E39" s="251">
        <v>0</v>
      </c>
      <c r="F39" s="251">
        <v>0</v>
      </c>
      <c r="G39" s="251">
        <v>0</v>
      </c>
      <c r="H39" s="251">
        <f>SUM(E39:G39)</f>
        <v>0</v>
      </c>
      <c r="I39" s="251">
        <v>267957.35999999999</v>
      </c>
      <c r="J39" s="251">
        <v>0</v>
      </c>
      <c r="K39" s="251">
        <f t="shared" si="9"/>
        <v>267957.35999999999</v>
      </c>
      <c r="L39" s="251">
        <v>0</v>
      </c>
      <c r="M39" s="251">
        <v>0</v>
      </c>
      <c r="N39" s="253">
        <f t="shared" si="10"/>
        <v>267957.35999999999</v>
      </c>
      <c r="O39" t="b">
        <f>+D39=N39</f>
        <v>1</v>
      </c>
    </row>
    <row r="40" spans="1:15" ht="12.75">
      <c r="A40" s="1">
        <v>24</v>
      </c>
      <c r="B40" t="s">
        <v>196</v>
      </c>
      <c r="C40" s="30" t="s">
        <v>111</v>
      </c>
      <c r="D40" s="251">
        <v>3490.0300000000002</v>
      </c>
      <c r="E40" s="251">
        <v>1440.1600000000001</v>
      </c>
      <c r="F40" s="251">
        <v>0</v>
      </c>
      <c r="G40" s="251">
        <v>0</v>
      </c>
      <c r="H40" s="251">
        <f t="shared" si="8"/>
        <v>1440.1600000000001</v>
      </c>
      <c r="I40" s="251">
        <v>2049.8699999999999</v>
      </c>
      <c r="J40" s="251">
        <v>0</v>
      </c>
      <c r="K40" s="251">
        <f t="shared" si="9"/>
        <v>2049.8699999999999</v>
      </c>
      <c r="L40" s="251">
        <v>0</v>
      </c>
      <c r="M40" s="251">
        <v>0</v>
      </c>
      <c r="N40" s="253">
        <f t="shared" si="10"/>
        <v>3490.0299999999997</v>
      </c>
      <c r="O40" t="b">
        <f>+D40=N40</f>
        <v>1</v>
      </c>
    </row>
  </sheetData>
  <printOptions horizontalCentered="1"/>
  <pageMargins left="0.5" right="0.5" top="2.5" bottom="0.5" header="1.5" footer="0.5"/>
  <pageSetup fitToHeight="0" orientation="landscape" pageOrder="overThenDown" scale="60" r:id="rId1"/>
  <headerFooter alignWithMargins="0">
    <oddHeader>&amp;C&amp;B
2022 RATE CASE
ONCOR ELECTRIC DELIVERY COMPANY LLC
II-D-2.2  BAD DEBT EXPENSE
TEST YEAR ENDING DECEMBER 31, 2021
SPONSOR: W. ALAN LEDBETTER&amp;R&amp;"Arial,Bold"Schedule &amp;A
Page &amp;P of &amp;N</oddHead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3">
    <tabColor rgb="FFFF0000"/>
    <pageSetUpPr fitToPage="1"/>
  </sheetPr>
  <dimension ref="A1:G42"/>
  <sheetViews>
    <sheetView workbookViewId="0" topLeftCell="A1">
      <selection pane="topLeft" activeCell="K25" sqref="K25"/>
    </sheetView>
  </sheetViews>
  <sheetFormatPr defaultRowHeight="12.75"/>
  <cols>
    <col min="2" max="2" width="28.8571428571429" bestFit="1" customWidth="1"/>
    <col min="3" max="3" width="18.7142857142857" customWidth="1"/>
    <col min="4" max="4" width="18.2857142857143" customWidth="1"/>
    <col min="5" max="5" width="13.2857142857143" bestFit="1" customWidth="1"/>
    <col min="6" max="6" width="14.8571428571429" bestFit="1" customWidth="1"/>
    <col min="7" max="7" width="11.2857142857143" bestFit="1" customWidth="1"/>
  </cols>
  <sheetData>
    <row r="1" spans="1:1" ht="12.75">
      <c r="A1" s="5" t="str">
        <f>+'[3]Input Data'!$A$9</f>
        <v>2022 RATE CASE</v>
      </c>
    </row>
    <row r="2" spans="1:1" ht="12.75">
      <c r="A2" s="8" t="str">
        <f>+'[3]Input Data'!$A$2</f>
        <v>ONCOR ELECTRIC DELIVERY COMPANY LLC</v>
      </c>
    </row>
    <row r="3" spans="1:1" ht="12.75">
      <c r="A3" s="7" t="str">
        <f>CONCATENATE('[3]Schedule Sponsors'!$A$56,'[3]Schedule Sponsors'!$B$56)</f>
        <v>II-D-2.2a  BAD DEBT EXPENSE UNDER 16 TAC § 25.107</v>
      </c>
    </row>
    <row r="4" spans="1:1" ht="12.75">
      <c r="A4" s="63" t="str">
        <f>+'[3]Input Data'!$A$4</f>
        <v>TEST YEAR ENDING DECEMBER 31, 2021</v>
      </c>
    </row>
    <row r="5" spans="1:1" ht="12.75">
      <c r="A5" s="7" t="str">
        <f>CONCATENATE("SPONSOR: ",'[3]Schedule Sponsors'!$D$56)</f>
        <v>SPONSOR: W. ALAN LEDBETTER</v>
      </c>
    </row>
    <row r="9" ht="13.5" thickBot="1"/>
    <row r="10" spans="1:7" ht="12.75">
      <c r="A10" s="9"/>
      <c r="B10" s="9"/>
      <c r="C10" s="9"/>
      <c r="D10" s="9"/>
      <c r="E10" s="9"/>
      <c r="F10" s="9"/>
      <c r="G10" s="9"/>
    </row>
    <row r="11" spans="1:7" ht="12.75">
      <c r="A11" s="11" t="s">
        <v>87</v>
      </c>
      <c r="B11" s="195" t="s">
        <v>584</v>
      </c>
      <c r="C11" s="195" t="s">
        <v>586</v>
      </c>
      <c r="D11" s="195" t="s">
        <v>586</v>
      </c>
      <c r="E11" s="195" t="s">
        <v>589</v>
      </c>
      <c r="F11" s="195" t="s">
        <v>451</v>
      </c>
      <c r="G11" s="195" t="s">
        <v>591</v>
      </c>
    </row>
    <row r="12" spans="1:7" ht="12.75">
      <c r="A12" s="11" t="s">
        <v>89</v>
      </c>
      <c r="B12" s="195" t="s">
        <v>585</v>
      </c>
      <c r="C12" s="195" t="s">
        <v>587</v>
      </c>
      <c r="D12" s="195" t="s">
        <v>588</v>
      </c>
      <c r="E12" s="195" t="s">
        <v>590</v>
      </c>
      <c r="F12" s="195" t="s">
        <v>590</v>
      </c>
      <c r="G12" s="195" t="s">
        <v>592</v>
      </c>
    </row>
    <row r="13" spans="1:7" ht="13.5" thickBot="1">
      <c r="A13" s="12"/>
      <c r="B13" s="229" t="s">
        <v>44</v>
      </c>
      <c r="C13" s="229" t="s">
        <v>45</v>
      </c>
      <c r="D13" s="229" t="s">
        <v>74</v>
      </c>
      <c r="E13" s="229" t="s">
        <v>75</v>
      </c>
      <c r="F13" s="229" t="s">
        <v>76</v>
      </c>
      <c r="G13" s="229" t="s">
        <v>77</v>
      </c>
    </row>
    <row r="15" spans="1:7" ht="12.75">
      <c r="A15" s="1">
        <v>1</v>
      </c>
      <c r="B15" t="s">
        <v>1007</v>
      </c>
      <c r="C15" s="332">
        <v>44284</v>
      </c>
      <c r="D15" s="282">
        <f>+E34</f>
        <v>1584014.4199999999</v>
      </c>
      <c r="E15" s="282">
        <v>0</v>
      </c>
      <c r="F15" s="282">
        <v>0</v>
      </c>
      <c r="G15" s="282">
        <f>D15-E15-F15</f>
        <v>1584014.4199999999</v>
      </c>
    </row>
    <row r="16" spans="1:7" ht="12.75">
      <c r="A16" s="1">
        <v>2</v>
      </c>
      <c r="B16" t="s">
        <v>1008</v>
      </c>
      <c r="C16" s="332">
        <v>44263</v>
      </c>
      <c r="D16" s="251">
        <f t="shared" si="0" ref="D16:D21">+E35</f>
        <v>4860281.9400000004</v>
      </c>
      <c r="E16" s="251">
        <v>0</v>
      </c>
      <c r="F16" s="255">
        <v>0</v>
      </c>
      <c r="G16" s="251">
        <f t="shared" si="1" ref="G16:G21">D16-E16-F16</f>
        <v>4860281.9400000004</v>
      </c>
    </row>
    <row r="17" spans="1:7" ht="12.75">
      <c r="A17" s="1">
        <v>3</v>
      </c>
      <c r="B17" t="s">
        <v>1009</v>
      </c>
      <c r="C17" s="332">
        <v>44271</v>
      </c>
      <c r="D17" s="251">
        <f t="shared" si="0"/>
        <v>48554.580000000002</v>
      </c>
      <c r="E17" s="251">
        <v>0</v>
      </c>
      <c r="F17" s="255">
        <v>0</v>
      </c>
      <c r="G17" s="251">
        <f t="shared" si="1"/>
        <v>48554.580000000002</v>
      </c>
    </row>
    <row r="18" spans="1:7" ht="12.75">
      <c r="A18" s="1">
        <v>4</v>
      </c>
      <c r="B18" t="s">
        <v>1010</v>
      </c>
      <c r="C18" s="332">
        <v>44266</v>
      </c>
      <c r="D18" s="251">
        <f t="shared" si="0"/>
        <v>1191118.3100000001</v>
      </c>
      <c r="E18" s="251">
        <v>0</v>
      </c>
      <c r="F18" s="255">
        <v>0</v>
      </c>
      <c r="G18" s="251">
        <f t="shared" si="1"/>
        <v>1191118.3100000001</v>
      </c>
    </row>
    <row r="19" spans="1:7" ht="12.75">
      <c r="A19" s="1">
        <v>5</v>
      </c>
      <c r="B19" t="s">
        <v>1011</v>
      </c>
      <c r="C19" s="332">
        <v>44330</v>
      </c>
      <c r="D19" s="251">
        <f t="shared" si="0"/>
        <v>558679.15000000002</v>
      </c>
      <c r="E19" s="251">
        <v>0</v>
      </c>
      <c r="F19" s="255">
        <v>0</v>
      </c>
      <c r="G19" s="251">
        <f t="shared" si="1"/>
        <v>558679.15000000002</v>
      </c>
    </row>
    <row r="20" spans="1:7" ht="12.75">
      <c r="A20" s="1">
        <v>6</v>
      </c>
      <c r="B20" t="s">
        <v>1012</v>
      </c>
      <c r="C20" s="332">
        <v>44399</v>
      </c>
      <c r="D20" s="251">
        <f t="shared" si="0"/>
        <v>31222.949999999953</v>
      </c>
      <c r="E20" s="251">
        <v>0</v>
      </c>
      <c r="F20" s="255">
        <v>0</v>
      </c>
      <c r="G20" s="251">
        <f t="shared" si="1"/>
        <v>31222.949999999953</v>
      </c>
    </row>
    <row r="21" spans="1:7" ht="12.75">
      <c r="A21" s="1">
        <v>7</v>
      </c>
      <c r="B21" t="s">
        <v>1013</v>
      </c>
      <c r="C21" s="332">
        <v>44263</v>
      </c>
      <c r="D21" s="251">
        <f t="shared" si="0"/>
        <v>378147.20000000001</v>
      </c>
      <c r="E21" s="251">
        <v>0</v>
      </c>
      <c r="F21" s="255">
        <v>0</v>
      </c>
      <c r="G21" s="251">
        <f t="shared" si="1"/>
        <v>378147.20000000001</v>
      </c>
    </row>
    <row r="22" spans="1:7" ht="12.75">
      <c r="A22" s="1">
        <v>8</v>
      </c>
      <c r="C22" s="254"/>
      <c r="D22" s="251"/>
      <c r="E22" s="251"/>
      <c r="F22" s="255"/>
      <c r="G22" s="251"/>
    </row>
    <row r="23" spans="1:7" ht="12.75">
      <c r="A23" s="1">
        <v>9</v>
      </c>
      <c r="B23" s="333" t="s">
        <v>1014</v>
      </c>
      <c r="D23" s="223"/>
      <c r="E23" s="223"/>
      <c r="F23" s="223"/>
      <c r="G23" s="223">
        <v>-293264.56</v>
      </c>
    </row>
    <row r="24" spans="1:7" ht="12.75">
      <c r="A24" s="1">
        <v>10</v>
      </c>
      <c r="C24" s="254"/>
      <c r="D24" s="251"/>
      <c r="E24" s="251"/>
      <c r="F24" s="255"/>
      <c r="G24" s="251"/>
    </row>
    <row r="25" spans="1:7" ht="13.5" thickBot="1">
      <c r="A25" s="1">
        <v>11</v>
      </c>
      <c r="B25" s="206" t="s">
        <v>216</v>
      </c>
      <c r="D25" s="273">
        <f>SUM(D15:D24)</f>
        <v>8652018.5500000007</v>
      </c>
      <c r="E25" s="273">
        <f>SUM(E15:E24)</f>
        <v>0</v>
      </c>
      <c r="F25" s="273">
        <f>SUM(F15:F24)</f>
        <v>0</v>
      </c>
      <c r="G25" s="273">
        <f>SUM(G15:G24)</f>
        <v>8358753.9900000012</v>
      </c>
    </row>
    <row r="26" spans="1:7" ht="13.5" thickTop="1">
      <c r="A26" s="1">
        <v>12</v>
      </c>
      <c r="B26" s="183"/>
      <c r="D26" s="223"/>
      <c r="E26" s="223"/>
      <c r="F26" s="223"/>
      <c r="G26" s="223"/>
    </row>
    <row r="27" spans="1:2" ht="12.75">
      <c r="A27" s="1">
        <v>13</v>
      </c>
      <c r="B27" s="183" t="s">
        <v>1019</v>
      </c>
    </row>
    <row r="28" spans="1:2" ht="12.75">
      <c r="A28" s="1">
        <v>14</v>
      </c>
      <c r="B28" s="183" t="s">
        <v>1020</v>
      </c>
    </row>
    <row r="29" spans="1:2" ht="12.75">
      <c r="A29" s="1">
        <v>15</v>
      </c>
      <c r="B29" s="183" t="s">
        <v>1021</v>
      </c>
    </row>
    <row r="30" spans="1:2" ht="12.75">
      <c r="A30" s="1">
        <v>16</v>
      </c>
      <c r="B30" s="183"/>
    </row>
    <row r="31" spans="1:2" ht="12.75">
      <c r="A31" s="1">
        <v>17</v>
      </c>
      <c r="B31" s="183"/>
    </row>
    <row r="32" spans="1:5" ht="12.75">
      <c r="A32" s="1">
        <v>18</v>
      </c>
      <c r="B32" s="356" t="s">
        <v>1015</v>
      </c>
      <c r="C32" s="357"/>
      <c r="D32" s="357"/>
      <c r="E32" s="358"/>
    </row>
    <row r="33" spans="1:5" ht="56.25">
      <c r="A33" s="1">
        <v>19</v>
      </c>
      <c r="B33" s="334" t="s">
        <v>584</v>
      </c>
      <c r="C33" s="335" t="s">
        <v>1016</v>
      </c>
      <c r="D33" s="335" t="s">
        <v>1062</v>
      </c>
      <c r="E33" s="336" t="s">
        <v>1017</v>
      </c>
    </row>
    <row r="34" spans="1:5" ht="12.75">
      <c r="A34" s="1">
        <v>20</v>
      </c>
      <c r="B34" s="337" t="s">
        <v>1007</v>
      </c>
      <c r="C34" s="343">
        <v>1591990.95</v>
      </c>
      <c r="D34" s="343">
        <v>-7976.5299999999997</v>
      </c>
      <c r="E34" s="344">
        <f>C34+D34</f>
        <v>1584014.4199999999</v>
      </c>
    </row>
    <row r="35" spans="1:5" ht="12.75">
      <c r="A35" s="1">
        <v>21</v>
      </c>
      <c r="B35" s="337" t="s">
        <v>1008</v>
      </c>
      <c r="C35" s="339">
        <v>4885172.04</v>
      </c>
      <c r="D35" s="339">
        <v>-24890.099999999999</v>
      </c>
      <c r="E35" s="340">
        <f t="shared" si="2" ref="E35:E40">C35+D35</f>
        <v>4860281.9400000004</v>
      </c>
    </row>
    <row r="36" spans="1:5" ht="12.75">
      <c r="A36" s="1">
        <v>22</v>
      </c>
      <c r="B36" s="337" t="s">
        <v>1009</v>
      </c>
      <c r="C36" s="339">
        <v>48808.160000000003</v>
      </c>
      <c r="D36" s="339">
        <v>-253.58000000000001</v>
      </c>
      <c r="E36" s="340">
        <f t="shared" si="2"/>
        <v>48554.580000000002</v>
      </c>
    </row>
    <row r="37" spans="1:5" ht="12.75">
      <c r="A37" s="1">
        <v>23</v>
      </c>
      <c r="B37" s="337" t="s">
        <v>1010</v>
      </c>
      <c r="C37" s="339">
        <v>1197073.8500000001</v>
      </c>
      <c r="D37" s="339">
        <v>-5955.54</v>
      </c>
      <c r="E37" s="340">
        <f t="shared" si="2"/>
        <v>1191118.3100000001</v>
      </c>
    </row>
    <row r="38" spans="1:5" ht="12.75">
      <c r="A38" s="1">
        <v>24</v>
      </c>
      <c r="B38" s="337" t="s">
        <v>1011</v>
      </c>
      <c r="C38" s="339">
        <v>561373.23999999999</v>
      </c>
      <c r="D38" s="339">
        <v>-2694.0900000000001</v>
      </c>
      <c r="E38" s="340">
        <f t="shared" si="2"/>
        <v>558679.15000000002</v>
      </c>
    </row>
    <row r="39" spans="1:5" ht="12.75">
      <c r="A39" s="1">
        <v>25</v>
      </c>
      <c r="B39" s="337" t="s">
        <v>1012</v>
      </c>
      <c r="C39" s="339">
        <v>518234.04999999999</v>
      </c>
      <c r="D39" s="339">
        <f>-1810.96-485200.14</f>
        <v>-487011.10000000003</v>
      </c>
      <c r="E39" s="340">
        <f t="shared" si="2"/>
        <v>31222.949999999953</v>
      </c>
    </row>
    <row r="40" spans="1:5" ht="12.75">
      <c r="A40" s="1">
        <v>26</v>
      </c>
      <c r="B40" s="337" t="s">
        <v>1013</v>
      </c>
      <c r="C40" s="341">
        <v>379999.27000000002</v>
      </c>
      <c r="D40" s="341">
        <v>-1852.0699999999999</v>
      </c>
      <c r="E40" s="342">
        <f t="shared" si="2"/>
        <v>378147.20000000001</v>
      </c>
    </row>
    <row r="41" spans="1:5" ht="12.75">
      <c r="A41" s="1">
        <v>27</v>
      </c>
      <c r="B41" s="338" t="s">
        <v>1018</v>
      </c>
      <c r="C41" s="345">
        <f>SUM(C34:C40)</f>
        <v>9182651.5600000005</v>
      </c>
      <c r="D41" s="345">
        <f t="shared" si="3" ref="D41:E41">SUM(D34:D40)</f>
        <v>-530633.01000000001</v>
      </c>
      <c r="E41" s="346">
        <f t="shared" si="3"/>
        <v>8652018.5500000007</v>
      </c>
    </row>
    <row r="42" spans="1:1" ht="12.75">
      <c r="A42" s="1">
        <v>28</v>
      </c>
    </row>
  </sheetData>
  <mergeCells count="1">
    <mergeCell ref="B32:E32"/>
  </mergeCells>
  <printOptions horizontalCentered="1"/>
  <pageMargins left="0.5" right="0.5" top="2.5" bottom="0.5" header="1" footer="0.3"/>
  <pageSetup fitToHeight="0" orientation="landscape" scale="98" r:id="rId1"/>
  <headerFooter>
    <oddHeader>&amp;C&amp;B
2022 RATE CASE
ONCOR ELECTRIC DELIVERY COMPANY LLC
II-D-2.2a  BAD DEBT EXPENSE UNDER 16 TAC § 25.107
TEST YEAR ENDING DECEMBER 31, 2021
SPONSOR: W. ALAN LEDBETTER&amp;R&amp;"Arial,Bold"Schedule &amp;A
Page &amp;P of &amp;N</oddHeader>
  </headerFooter>
  <rowBreaks count="1" manualBreakCount="1">
    <brk id="30" max="8" man="1"/>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69">
    <tabColor rgb="FFFF0000"/>
  </sheetPr>
  <dimension ref="A1:Y36"/>
  <sheetViews>
    <sheetView zoomScale="85" zoomScaleNormal="85" workbookViewId="0" topLeftCell="A1">
      <selection pane="topLeft" activeCell="K44" sqref="K44"/>
    </sheetView>
  </sheetViews>
  <sheetFormatPr defaultRowHeight="12.75"/>
  <cols>
    <col min="1" max="1" width="5.71428571428571" customWidth="1"/>
    <col min="2" max="2" width="8.71428571428571" customWidth="1"/>
    <col min="3" max="3" width="32.1428571428571" bestFit="1" customWidth="1"/>
    <col min="4" max="4" width="10.7142857142857" bestFit="1" customWidth="1"/>
    <col min="5" max="5" width="16.2857142857143" bestFit="1" customWidth="1"/>
    <col min="6" max="6" width="12.4285714285714" bestFit="1" customWidth="1"/>
    <col min="7" max="7" width="17.2857142857143" bestFit="1" customWidth="1"/>
    <col min="8" max="8" width="11.7142857142857" customWidth="1"/>
    <col min="9" max="9" width="13.7142857142857" bestFit="1" customWidth="1"/>
    <col min="10" max="10" width="17.2857142857143" bestFit="1" customWidth="1"/>
    <col min="11" max="11" width="10.4285714285714" bestFit="1" customWidth="1"/>
    <col min="12" max="12" width="16.2857142857143" bestFit="1" customWidth="1"/>
    <col min="13" max="13" width="3.28571428571429" bestFit="1" customWidth="1"/>
    <col min="14" max="14" width="6.85714285714286" bestFit="1" customWidth="1"/>
    <col min="15" max="15" width="10.8571428571429" bestFit="1" customWidth="1"/>
    <col min="16" max="18" width="10.8571428571429" customWidth="1"/>
    <col min="19" max="19" width="13.2857142857143" bestFit="1" customWidth="1"/>
    <col min="20" max="21" width="13.2857142857143" customWidth="1"/>
    <col min="22" max="22" width="9" bestFit="1" customWidth="1"/>
    <col min="23" max="23" width="11.5714285714286" customWidth="1"/>
    <col min="24" max="24" width="11.5714285714286"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Sponsors'!$A$57,'[3]Schedule Sponsors'!$B$57)</f>
        <v>II-D-2.3  SUMMARY OF ADVERTISING, CONTRIBUTIONS, &amp;&amp; DUES</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Sponsors'!$D$57)</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5" customHeight="1">
      <c r="A15" s="16">
        <v>1</v>
      </c>
      <c r="B15" s="8" t="s">
        <v>31</v>
      </c>
      <c r="D15" s="18" t="s">
        <v>357</v>
      </c>
      <c r="E15" s="19"/>
      <c r="F15" s="19"/>
      <c r="G15" s="19"/>
      <c r="H15" s="19"/>
      <c r="I15" s="19"/>
      <c r="J15" s="19"/>
      <c r="K15" s="19"/>
      <c r="L15" s="19"/>
      <c r="M15" s="18"/>
      <c r="N15" s="25"/>
      <c r="O15" s="19"/>
      <c r="P15" s="19"/>
      <c r="Q15" s="19"/>
      <c r="R15" s="19"/>
      <c r="S15" s="19"/>
      <c r="T15" s="19"/>
      <c r="U15" s="19"/>
      <c r="V15" s="19"/>
      <c r="W15" s="19"/>
    </row>
    <row r="16" spans="1:23" s="8" customFormat="1" ht="15" customHeight="1">
      <c r="A16" s="16">
        <v>2</v>
      </c>
      <c r="D16" s="18"/>
      <c r="E16" s="19"/>
      <c r="F16" s="19"/>
      <c r="G16" s="19"/>
      <c r="H16" s="19"/>
      <c r="I16" s="19"/>
      <c r="J16" s="19"/>
      <c r="K16" s="19"/>
      <c r="L16" s="19"/>
      <c r="M16" s="18"/>
      <c r="N16" s="25"/>
      <c r="O16" s="19"/>
      <c r="P16" s="19"/>
      <c r="Q16" s="19"/>
      <c r="R16" s="19"/>
      <c r="S16" s="19"/>
      <c r="T16" s="19"/>
      <c r="U16" s="19"/>
      <c r="V16" s="19"/>
      <c r="W16" s="19"/>
    </row>
    <row r="17" spans="1:25" s="4" customFormat="1" ht="15" customHeight="1">
      <c r="A17" s="16">
        <v>3</v>
      </c>
      <c r="C17" s="4" t="s">
        <v>32</v>
      </c>
      <c r="D17" s="18" t="s">
        <v>7</v>
      </c>
      <c r="E17" s="156">
        <f>+'II-D-2.4'!E26</f>
        <v>1539845.6800000002</v>
      </c>
      <c r="F17" s="156">
        <f>+'II-D-2.4'!F26</f>
        <v>0</v>
      </c>
      <c r="G17" s="156">
        <f>+'II-D-2.4'!G26</f>
        <v>0</v>
      </c>
      <c r="H17" s="156">
        <f>+E17-F17+G17</f>
        <v>1539845.6800000002</v>
      </c>
      <c r="I17" s="156">
        <f>+'II-D-2.4'!I26</f>
        <v>-815710.52000000002</v>
      </c>
      <c r="J17" s="156">
        <f>+H17+I17</f>
        <v>724135.16000000015</v>
      </c>
      <c r="K17" s="159">
        <v>1</v>
      </c>
      <c r="L17" s="156">
        <f>+J17*K17</f>
        <v>724135.16000000015</v>
      </c>
      <c r="M17" s="16"/>
      <c r="N17" s="16"/>
      <c r="O17" s="156">
        <f>+'II-D-2.4'!O26</f>
        <v>24110.73</v>
      </c>
      <c r="P17" s="156">
        <f>+'II-D-2.4'!P26</f>
        <v>0</v>
      </c>
      <c r="Q17" s="156">
        <f>+'II-D-2.4'!Q26</f>
        <v>0</v>
      </c>
      <c r="R17" s="156">
        <f>+'II-D-2.4'!R26</f>
        <v>24110.73</v>
      </c>
      <c r="S17" s="156">
        <f>+'II-D-2.4'!S26</f>
        <v>213407.54999999999</v>
      </c>
      <c r="T17" s="156">
        <f>+'II-D-2.4'!T26</f>
        <v>0</v>
      </c>
      <c r="U17" s="156">
        <f>+'II-D-2.4'!U26</f>
        <v>213407.54999999999</v>
      </c>
      <c r="V17" s="156">
        <f>+'II-D-2.4'!V26</f>
        <v>18132.34</v>
      </c>
      <c r="W17" s="156">
        <f>+'II-D-2.4'!W26</f>
        <v>468484.53999999998</v>
      </c>
      <c r="X17" s="156">
        <f>+R17+U17+V17+W17</f>
        <v>724135.15999999992</v>
      </c>
      <c r="Y17" s="4" t="b">
        <f>ROUND(+L17,2)=ROUND(X17,2)</f>
        <v>1</v>
      </c>
    </row>
    <row r="18" spans="1:25" s="4" customFormat="1" ht="15" customHeight="1">
      <c r="A18" s="16">
        <v>4</v>
      </c>
      <c r="C18" s="4" t="s">
        <v>33</v>
      </c>
      <c r="D18" s="18" t="s">
        <v>9</v>
      </c>
      <c r="E18" s="13">
        <f>+'II-D-2.5'!E42</f>
        <v>3540139.5999999996</v>
      </c>
      <c r="F18" s="13">
        <v>0</v>
      </c>
      <c r="G18" s="13">
        <f>+'II-D-2.5'!G42</f>
        <v>0</v>
      </c>
      <c r="H18" s="13">
        <f>+E18-F18+G18</f>
        <v>3540139.5999999996</v>
      </c>
      <c r="I18" s="13">
        <f>+'II-D-2.5'!I42</f>
        <v>821210.52000000002</v>
      </c>
      <c r="J18" s="13">
        <f>+H18+I18</f>
        <v>4361350.1199999992</v>
      </c>
      <c r="K18" s="159">
        <v>1</v>
      </c>
      <c r="L18" s="13">
        <f>+J18*K18</f>
        <v>4361350.1199999992</v>
      </c>
      <c r="M18" s="16"/>
      <c r="N18" s="16"/>
      <c r="O18" s="13">
        <f>+'II-D-2.5'!O42</f>
        <v>42237.43</v>
      </c>
      <c r="P18" s="13">
        <f>+'II-D-2.5'!P42</f>
        <v>0</v>
      </c>
      <c r="Q18" s="13">
        <f>+'II-D-2.5'!Q42</f>
        <v>0</v>
      </c>
      <c r="R18" s="13">
        <f>+'II-D-2.5'!R42</f>
        <v>42237.43</v>
      </c>
      <c r="S18" s="13">
        <f>+'II-D-2.5'!S42</f>
        <v>66699.540000000008</v>
      </c>
      <c r="T18" s="13">
        <f>+'II-D-2.5'!T42</f>
        <v>0</v>
      </c>
      <c r="U18" s="13">
        <f>+'II-D-2.5'!U42</f>
        <v>66699.540000000008</v>
      </c>
      <c r="V18" s="13">
        <f>+'II-D-2.5'!V42</f>
        <v>16723.529999999999</v>
      </c>
      <c r="W18" s="13">
        <f>+'II-D-2.5'!W42</f>
        <v>4235689.6200000001</v>
      </c>
      <c r="X18" s="20">
        <f t="shared" si="0" ref="X18:X19">+R18+U18+V18+W18</f>
        <v>4361350.1200000001</v>
      </c>
      <c r="Y18" s="4" t="b">
        <f>ROUND(+L18,2)=ROUND(X18,2)</f>
        <v>1</v>
      </c>
    </row>
    <row r="19" spans="1:25" s="4" customFormat="1" ht="15" customHeight="1">
      <c r="A19" s="16">
        <v>5</v>
      </c>
      <c r="C19" s="4" t="s">
        <v>34</v>
      </c>
      <c r="D19" s="18" t="s">
        <v>10</v>
      </c>
      <c r="E19" s="13">
        <f>+'II-D-2.6'!E21</f>
        <v>2647382.0499999998</v>
      </c>
      <c r="F19" s="13">
        <f>+'II-D-2.6'!F21</f>
        <v>0</v>
      </c>
      <c r="G19" s="13">
        <f>+'II-D-2.6'!G21</f>
        <v>0</v>
      </c>
      <c r="H19" s="13">
        <f>+E19-F19+G19</f>
        <v>2647382.0499999998</v>
      </c>
      <c r="I19" s="13">
        <f>+'II-D-2.6'!I21</f>
        <v>-5500</v>
      </c>
      <c r="J19" s="13">
        <f>+H19+I19</f>
        <v>2641882.0499999998</v>
      </c>
      <c r="K19" s="159">
        <v>1</v>
      </c>
      <c r="L19" s="13">
        <f>+J19*K19</f>
        <v>2641882.0499999998</v>
      </c>
      <c r="M19" s="16"/>
      <c r="N19" s="16"/>
      <c r="O19" s="13">
        <f>+'II-D-2.6'!O21</f>
        <v>630429.93707873265</v>
      </c>
      <c r="P19" s="13">
        <f>+'II-D-2.6'!P21</f>
        <v>0</v>
      </c>
      <c r="Q19" s="13">
        <f>+'II-D-2.6'!Q21</f>
        <v>0</v>
      </c>
      <c r="R19" s="13">
        <f>+'II-D-2.6'!R21</f>
        <v>630429.93707873265</v>
      </c>
      <c r="S19" s="13">
        <f>+'II-D-2.6'!S21</f>
        <v>1235270.0396710627</v>
      </c>
      <c r="T19" s="13">
        <f>+'II-D-2.6'!T21</f>
        <v>0</v>
      </c>
      <c r="U19" s="13">
        <f>+'II-D-2.6'!U21</f>
        <v>1235270.0396710627</v>
      </c>
      <c r="V19" s="13">
        <f>+'II-D-2.6'!V21</f>
        <v>282604.43271156121</v>
      </c>
      <c r="W19" s="13">
        <f>+'II-D-2.6'!W21</f>
        <v>493577.64053864346</v>
      </c>
      <c r="X19" s="20">
        <f t="shared" si="0"/>
        <v>2641882.0500000003</v>
      </c>
      <c r="Y19" s="4" t="b">
        <f>ROUND(+L19,2)=ROUND(X19,2)</f>
        <v>1</v>
      </c>
    </row>
    <row r="20" spans="1:24" ht="15" customHeight="1">
      <c r="A20" s="16">
        <v>6</v>
      </c>
      <c r="E20" s="115"/>
      <c r="F20" s="115"/>
      <c r="G20" s="115"/>
      <c r="H20" s="115"/>
      <c r="I20" s="115"/>
      <c r="J20" s="115"/>
      <c r="L20" s="115"/>
      <c r="O20" s="115"/>
      <c r="P20" s="115"/>
      <c r="Q20" s="115"/>
      <c r="R20" s="115"/>
      <c r="S20" s="115"/>
      <c r="T20" s="115"/>
      <c r="U20" s="115"/>
      <c r="V20" s="115"/>
      <c r="W20" s="115"/>
      <c r="X20" s="115"/>
    </row>
    <row r="21" spans="1:25" ht="15" customHeight="1">
      <c r="A21" s="16">
        <v>7</v>
      </c>
      <c r="B21" s="5" t="s">
        <v>304</v>
      </c>
      <c r="E21" s="142">
        <f t="shared" si="1" ref="E21:L21">SUM(E17:E19)</f>
        <v>7727367.3299999991</v>
      </c>
      <c r="F21" s="142">
        <f t="shared" si="1"/>
        <v>0</v>
      </c>
      <c r="G21" s="142">
        <f t="shared" si="1"/>
        <v>0</v>
      </c>
      <c r="H21" s="142">
        <f t="shared" si="1"/>
        <v>7727367.3299999991</v>
      </c>
      <c r="I21" s="142">
        <f t="shared" si="1"/>
        <v>0</v>
      </c>
      <c r="J21" s="142">
        <f t="shared" si="1"/>
        <v>7727367.3299999991</v>
      </c>
      <c r="K21" s="14"/>
      <c r="L21" s="142">
        <f t="shared" si="1"/>
        <v>7727367.3299999991</v>
      </c>
      <c r="O21" s="142">
        <f t="shared" si="2" ref="O21:P21">SUM(O17:O18)</f>
        <v>66348.160000000003</v>
      </c>
      <c r="P21" s="142">
        <f t="shared" si="2"/>
        <v>0</v>
      </c>
      <c r="Q21" s="142">
        <f t="shared" si="3" ref="Q21:R21">SUM(Q17:Q18)</f>
        <v>0</v>
      </c>
      <c r="R21" s="142">
        <f t="shared" si="3"/>
        <v>66348.160000000003</v>
      </c>
      <c r="S21" s="142">
        <f t="shared" si="4" ref="S21:T21">SUM(S17:S18)</f>
        <v>280107.08999999997</v>
      </c>
      <c r="T21" s="142">
        <f t="shared" si="4"/>
        <v>0</v>
      </c>
      <c r="U21" s="142">
        <f t="shared" si="5" ref="U21:W21">SUM(U17:U18)</f>
        <v>280107.08999999997</v>
      </c>
      <c r="V21" s="142">
        <f t="shared" si="5"/>
        <v>34855.869999999995</v>
      </c>
      <c r="W21" s="142">
        <f t="shared" si="5"/>
        <v>4704174.1600000001</v>
      </c>
      <c r="X21" s="142">
        <f>SUM(X17:X19)</f>
        <v>7727367.3300000001</v>
      </c>
      <c r="Y21" s="4" t="b">
        <f>ROUND(+L21,2)=ROUND(X21,2)</f>
        <v>1</v>
      </c>
    </row>
    <row r="22" spans="1:1" ht="15" customHeight="1" thickBot="1">
      <c r="A22" s="16">
        <v>8</v>
      </c>
    </row>
    <row r="23" spans="1:11" ht="15" customHeight="1">
      <c r="A23" s="16">
        <v>9</v>
      </c>
      <c r="G23" s="68"/>
      <c r="H23" s="69"/>
      <c r="I23" s="69"/>
      <c r="J23" s="69"/>
      <c r="K23" s="70"/>
    </row>
    <row r="24" spans="1:11" ht="15" customHeight="1">
      <c r="A24" s="16">
        <v>10</v>
      </c>
      <c r="G24" s="359" t="s">
        <v>305</v>
      </c>
      <c r="H24" s="360"/>
      <c r="I24" s="360"/>
      <c r="J24" s="360"/>
      <c r="K24" s="361"/>
    </row>
    <row r="25" spans="1:11" ht="15" customHeight="1">
      <c r="A25" s="16">
        <v>11</v>
      </c>
      <c r="G25" s="72"/>
      <c r="H25" s="2"/>
      <c r="I25" s="2"/>
      <c r="J25" s="2"/>
      <c r="K25" s="71"/>
    </row>
    <row r="26" spans="1:11" ht="15" customHeight="1">
      <c r="A26" s="16">
        <v>12</v>
      </c>
      <c r="G26" s="72"/>
      <c r="H26" s="2"/>
      <c r="I26" s="2"/>
      <c r="J26" s="2"/>
      <c r="K26" s="71"/>
    </row>
    <row r="27" spans="1:11" ht="15" customHeight="1">
      <c r="A27" s="16">
        <v>13</v>
      </c>
      <c r="G27" s="72" t="s">
        <v>311</v>
      </c>
      <c r="H27" s="2"/>
      <c r="I27" s="2"/>
      <c r="J27" s="278">
        <f>+'[4]I-A-1'!$F$31</f>
        <v>5723987055.4929428</v>
      </c>
      <c r="K27" s="71"/>
    </row>
    <row r="28" spans="1:11" ht="15" customHeight="1">
      <c r="A28" s="16">
        <v>14</v>
      </c>
      <c r="G28" s="72" t="s">
        <v>312</v>
      </c>
      <c r="H28" s="2"/>
      <c r="I28" s="74" t="s">
        <v>88</v>
      </c>
      <c r="J28" s="75">
        <v>0.0030000000000000001</v>
      </c>
      <c r="K28" s="71"/>
    </row>
    <row r="29" spans="1:11" ht="15" customHeight="1">
      <c r="A29" s="16">
        <v>15</v>
      </c>
      <c r="G29" s="72" t="s">
        <v>313</v>
      </c>
      <c r="H29" s="2"/>
      <c r="I29" s="2"/>
      <c r="J29" s="141">
        <f>+J27*J28</f>
        <v>17171961.166478828</v>
      </c>
      <c r="K29" s="76" t="s">
        <v>314</v>
      </c>
    </row>
    <row r="30" spans="1:11" ht="15" customHeight="1">
      <c r="A30" s="16">
        <v>16</v>
      </c>
      <c r="G30" s="72"/>
      <c r="H30" s="2"/>
      <c r="I30" s="2"/>
      <c r="J30" s="2"/>
      <c r="K30" s="76"/>
    </row>
    <row r="31" spans="1:11" ht="15" customHeight="1">
      <c r="A31" s="16">
        <v>17</v>
      </c>
      <c r="G31" s="72" t="s">
        <v>316</v>
      </c>
      <c r="H31" s="2"/>
      <c r="I31" s="2"/>
      <c r="J31" s="141">
        <f>+J21</f>
        <v>7727367.3299999991</v>
      </c>
      <c r="K31" s="76"/>
    </row>
    <row r="32" spans="1:11" ht="15" customHeight="1">
      <c r="A32" s="16">
        <v>18</v>
      </c>
      <c r="G32" s="72" t="s">
        <v>137</v>
      </c>
      <c r="H32" s="2"/>
      <c r="I32" s="2"/>
      <c r="J32" s="67">
        <f>-J19</f>
        <v>-2641882.0499999998</v>
      </c>
      <c r="K32" s="76"/>
    </row>
    <row r="33" spans="1:11" ht="15" customHeight="1">
      <c r="A33" s="16">
        <v>19</v>
      </c>
      <c r="G33" s="72" t="s">
        <v>301</v>
      </c>
      <c r="H33" s="2"/>
      <c r="I33" s="2"/>
      <c r="J33" s="152">
        <f>SUM(J31:J32)</f>
        <v>5085485.2799999993</v>
      </c>
      <c r="K33" s="76" t="s">
        <v>315</v>
      </c>
    </row>
    <row r="34" spans="1:11" ht="15" customHeight="1">
      <c r="A34" s="16">
        <v>20</v>
      </c>
      <c r="G34" s="72"/>
      <c r="H34" s="2"/>
      <c r="I34" s="2"/>
      <c r="J34" s="2"/>
      <c r="K34" s="76"/>
    </row>
    <row r="35" spans="1:11" ht="15" customHeight="1">
      <c r="A35" s="16">
        <v>21</v>
      </c>
      <c r="G35" s="72" t="s">
        <v>317</v>
      </c>
      <c r="H35" s="2"/>
      <c r="I35" s="2"/>
      <c r="J35" s="141">
        <f>+J29-J33</f>
        <v>12086475.886478828</v>
      </c>
      <c r="K35" s="76" t="s">
        <v>318</v>
      </c>
    </row>
    <row r="36" spans="1:11" ht="15" customHeight="1" thickBot="1">
      <c r="A36" s="16">
        <v>22</v>
      </c>
      <c r="G36" s="77"/>
      <c r="H36" s="78"/>
      <c r="I36" s="78"/>
      <c r="J36" s="78"/>
      <c r="K36" s="79"/>
    </row>
  </sheetData>
  <mergeCells count="1">
    <mergeCell ref="G24:K24"/>
  </mergeCells>
  <printOptions horizontalCentered="1"/>
  <pageMargins left="0.5" right="0.5" top="3" bottom="0.5" header="1.5" footer="0.5"/>
  <pageSetup orientation="landscape" scale="61" r:id="rId1"/>
  <headerFooter alignWithMargins="0">
    <oddHeader>&amp;C&amp;B
2022 RATE CASE
ONCOR ELECTRIC DELIVERY COMPANY LLC
II-D-2.3  SUMMARY OF ADVERTISING, CONTRIBUTIONS, &amp;&amp; DUES
TEST YEAR ENDING DECEMBER 31, 2021
SPONSOR: W. ALAN LEDBETTER&amp;R&amp;"Arial,Bold"Schedule &amp;A
Page &amp;P of &amp;N</oddHeader>
  </headerFooter>
  <colBreaks count="1" manualBreakCount="1">
    <brk id="11" min="9" max="35" man="1"/>
  </col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0">
    <tabColor rgb="FFFF0000"/>
  </sheetPr>
  <dimension ref="A1:Y26"/>
  <sheetViews>
    <sheetView zoomScale="85" zoomScaleNormal="85" workbookViewId="0" topLeftCell="A1">
      <pane xSplit="3" ySplit="16" topLeftCell="D17" activePane="bottomRight" state="frozen"/>
      <selection pane="topLeft" activeCell="X20" sqref="X20"/>
      <selection pane="bottomLeft" activeCell="X20" sqref="X20"/>
      <selection pane="topRight" activeCell="X20" sqref="X20"/>
      <selection pane="bottomRight" activeCell="K38" sqref="K38"/>
    </sheetView>
  </sheetViews>
  <sheetFormatPr defaultRowHeight="12.75"/>
  <cols>
    <col min="1" max="1" width="5.71428571428571" customWidth="1"/>
    <col min="2" max="2" width="8.71428571428571" customWidth="1"/>
    <col min="3" max="3" width="45.1428571428571" bestFit="1" customWidth="1"/>
    <col min="4" max="4" width="10.2857142857143" bestFit="1" customWidth="1"/>
    <col min="5" max="5" width="12.5714285714286" bestFit="1" customWidth="1"/>
    <col min="6" max="6" width="12.4285714285714" bestFit="1" customWidth="1"/>
    <col min="7" max="7" width="17.2857142857143" bestFit="1" customWidth="1"/>
    <col min="8" max="8" width="12.5714285714286" bestFit="1" customWidth="1"/>
    <col min="9" max="9" width="13.5714285714286" bestFit="1" customWidth="1"/>
    <col min="10" max="10" width="12.5714285714286" bestFit="1" customWidth="1"/>
    <col min="11" max="11" width="10.2857142857143" customWidth="1"/>
    <col min="12" max="12" width="12.5714285714286" bestFit="1" customWidth="1"/>
    <col min="13" max="13" width="3.28571428571429" bestFit="1" customWidth="1"/>
    <col min="14" max="14" width="6.85714285714286" bestFit="1" customWidth="1"/>
    <col min="15" max="15" width="9.42857142857143" bestFit="1" customWidth="1"/>
    <col min="16" max="18" width="9.42857142857143" customWidth="1"/>
    <col min="19" max="19" width="12" bestFit="1" customWidth="1"/>
    <col min="20" max="21" width="12" customWidth="1"/>
    <col min="22" max="22" width="9.71428571428571" bestFit="1" customWidth="1"/>
    <col min="23" max="23" width="11.1428571428571" customWidth="1"/>
    <col min="24" max="24" width="11.8571428571429" bestFit="1" customWidth="1"/>
    <col min="25" max="25" width="9.42857142857143" bestFit="1" customWidth="1"/>
    <col min="26" max="26" width="9.71428571428571"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Sponsors'!$A$58,'[3]Schedule Sponsors'!$B$58)</f>
        <v>II-D-2.4  SUMMARY OF ADVERTISING EXPENSE</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Sponsors'!$D$58)</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2.75">
      <c r="A15" s="16">
        <v>1</v>
      </c>
      <c r="B15" s="8" t="s">
        <v>319</v>
      </c>
      <c r="D15" s="18" t="s">
        <v>7</v>
      </c>
      <c r="E15" s="19"/>
      <c r="F15" s="19"/>
      <c r="G15" s="19"/>
      <c r="H15" s="19"/>
      <c r="I15" s="19"/>
      <c r="J15" s="19"/>
      <c r="K15" s="19"/>
      <c r="L15" s="19"/>
      <c r="M15" s="18"/>
      <c r="N15" s="25"/>
      <c r="O15" s="19"/>
      <c r="P15" s="19"/>
      <c r="Q15" s="19"/>
      <c r="R15" s="19"/>
      <c r="S15" s="19"/>
      <c r="T15" s="19"/>
      <c r="U15" s="19"/>
      <c r="V15" s="19"/>
      <c r="W15" s="19"/>
    </row>
    <row r="16" spans="1:24" s="8" customFormat="1" ht="12.75">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ht="12.75">
      <c r="A17" s="16">
        <v>3</v>
      </c>
      <c r="B17" t="s">
        <v>251</v>
      </c>
      <c r="C17" s="138" t="s">
        <v>146</v>
      </c>
      <c r="D17" s="18"/>
      <c r="E17" s="156">
        <v>12355.469999999999</v>
      </c>
      <c r="F17" s="156">
        <v>0</v>
      </c>
      <c r="G17" s="156">
        <v>0</v>
      </c>
      <c r="H17" s="156">
        <f>+E17+F17+G17</f>
        <v>12355.469999999999</v>
      </c>
      <c r="I17" s="156">
        <v>0</v>
      </c>
      <c r="J17" s="156">
        <f t="shared" si="0" ref="J17:J19">+H17+I17</f>
        <v>12355.469999999999</v>
      </c>
      <c r="K17" s="159">
        <v>1</v>
      </c>
      <c r="L17" s="156">
        <f>+J17*K17</f>
        <v>12355.469999999999</v>
      </c>
      <c r="M17" s="18"/>
      <c r="N17" s="16"/>
      <c r="O17" s="156">
        <v>0</v>
      </c>
      <c r="P17" s="156">
        <v>0</v>
      </c>
      <c r="Q17" s="156">
        <v>0</v>
      </c>
      <c r="R17" s="156">
        <f>SUM(O17:Q17)</f>
        <v>0</v>
      </c>
      <c r="S17" s="156">
        <v>12237.48</v>
      </c>
      <c r="T17" s="156">
        <v>0</v>
      </c>
      <c r="U17" s="156">
        <f>SUM(S17:T17)</f>
        <v>12237.48</v>
      </c>
      <c r="V17" s="156">
        <v>0</v>
      </c>
      <c r="W17" s="156">
        <v>117.99</v>
      </c>
      <c r="X17" s="156">
        <f>+R17+U17+V17+W17</f>
        <v>12355.469999999999</v>
      </c>
      <c r="Y17" s="8" t="b">
        <f t="shared" si="1" ref="Y17:Y23">X17=L17</f>
        <v>1</v>
      </c>
    </row>
    <row r="18" spans="1:25" s="8" customFormat="1" ht="12.75">
      <c r="A18" s="16">
        <v>6</v>
      </c>
      <c r="B18" s="183" t="s">
        <v>331</v>
      </c>
      <c r="C18" s="138" t="s">
        <v>330</v>
      </c>
      <c r="D18" s="18"/>
      <c r="E18" s="13">
        <v>43440.139999999999</v>
      </c>
      <c r="F18" s="13">
        <v>0</v>
      </c>
      <c r="G18" s="13">
        <v>0</v>
      </c>
      <c r="H18" s="13">
        <f t="shared" si="2" ref="H18:H23">+E18+F18+G18</f>
        <v>43440.139999999999</v>
      </c>
      <c r="I18" s="13">
        <v>-980</v>
      </c>
      <c r="J18" s="13">
        <f t="shared" si="0"/>
        <v>42460.139999999999</v>
      </c>
      <c r="K18" s="159">
        <v>1</v>
      </c>
      <c r="L18" s="13">
        <f t="shared" si="3" ref="L18:L19">+J18*K18</f>
        <v>42460.139999999999</v>
      </c>
      <c r="M18" s="18"/>
      <c r="N18" s="16"/>
      <c r="O18" s="13">
        <v>0</v>
      </c>
      <c r="P18" s="13">
        <v>0</v>
      </c>
      <c r="Q18" s="13">
        <v>0</v>
      </c>
      <c r="R18" s="13">
        <f t="shared" si="4" ref="R18:R23">SUM(O18:Q18)</f>
        <v>0</v>
      </c>
      <c r="S18" s="13">
        <v>0</v>
      </c>
      <c r="T18" s="13">
        <v>0</v>
      </c>
      <c r="U18" s="13">
        <f t="shared" si="5" ref="U18:U23">SUM(S18:T18)</f>
        <v>0</v>
      </c>
      <c r="V18" s="13">
        <v>0</v>
      </c>
      <c r="W18" s="13">
        <v>42460.139999999999</v>
      </c>
      <c r="X18" s="21">
        <f t="shared" si="6" ref="X18:X23">+R18+U18+V18+W18</f>
        <v>42460.139999999999</v>
      </c>
      <c r="Y18" s="8" t="b">
        <f t="shared" si="1"/>
        <v>1</v>
      </c>
    </row>
    <row r="19" spans="1:25" s="8" customFormat="1" ht="12.75">
      <c r="A19" s="16">
        <v>7</v>
      </c>
      <c r="B19" t="s">
        <v>272</v>
      </c>
      <c r="C19" s="138" t="s">
        <v>340</v>
      </c>
      <c r="D19" s="18"/>
      <c r="E19" s="13">
        <v>152317.79000000001</v>
      </c>
      <c r="F19" s="13">
        <v>0</v>
      </c>
      <c r="G19" s="13">
        <v>0</v>
      </c>
      <c r="H19" s="13">
        <f t="shared" si="2"/>
        <v>152317.79000000001</v>
      </c>
      <c r="I19" s="13">
        <v>-14098.48</v>
      </c>
      <c r="J19" s="13">
        <f t="shared" si="0"/>
        <v>138219.31</v>
      </c>
      <c r="K19" s="159">
        <v>1</v>
      </c>
      <c r="L19" s="13">
        <f t="shared" si="3"/>
        <v>138219.31</v>
      </c>
      <c r="M19" s="18"/>
      <c r="N19" s="16"/>
      <c r="O19" s="13">
        <v>24090.939999999999</v>
      </c>
      <c r="P19" s="13">
        <v>0</v>
      </c>
      <c r="Q19" s="13">
        <v>0</v>
      </c>
      <c r="R19" s="13">
        <f t="shared" si="4"/>
        <v>24090.939999999999</v>
      </c>
      <c r="S19" s="13">
        <v>90881.479999999996</v>
      </c>
      <c r="T19" s="13">
        <v>0</v>
      </c>
      <c r="U19" s="13">
        <f t="shared" si="5"/>
        <v>90881.479999999996</v>
      </c>
      <c r="V19" s="13">
        <v>18117.459999999999</v>
      </c>
      <c r="W19" s="13">
        <v>5129.4300000000003</v>
      </c>
      <c r="X19" s="21">
        <f t="shared" si="6"/>
        <v>138219.31</v>
      </c>
      <c r="Y19" s="8" t="b">
        <f t="shared" si="1"/>
        <v>1</v>
      </c>
    </row>
    <row r="20" spans="1:25" s="8" customFormat="1" ht="12.75">
      <c r="A20" s="16">
        <v>8</v>
      </c>
      <c r="B20" t="s">
        <v>274</v>
      </c>
      <c r="C20" s="138" t="s">
        <v>342</v>
      </c>
      <c r="D20" s="18"/>
      <c r="E20" s="13">
        <v>74197.229999999996</v>
      </c>
      <c r="F20" s="13">
        <v>0</v>
      </c>
      <c r="G20" s="13">
        <v>0</v>
      </c>
      <c r="H20" s="13">
        <f t="shared" si="2"/>
        <v>74197.229999999996</v>
      </c>
      <c r="I20" s="13">
        <v>0</v>
      </c>
      <c r="J20" s="13">
        <f>+H20+I20</f>
        <v>74197.229999999996</v>
      </c>
      <c r="K20" s="159">
        <v>1</v>
      </c>
      <c r="L20" s="13">
        <f>+J20*K20</f>
        <v>74197.229999999996</v>
      </c>
      <c r="M20" s="18"/>
      <c r="N20" s="16"/>
      <c r="O20" s="13">
        <v>19.789999999999999</v>
      </c>
      <c r="P20" s="13">
        <v>0</v>
      </c>
      <c r="Q20" s="13">
        <v>0</v>
      </c>
      <c r="R20" s="13">
        <f t="shared" si="4"/>
        <v>19.789999999999999</v>
      </c>
      <c r="S20" s="13">
        <v>54.590000000000003</v>
      </c>
      <c r="T20" s="13">
        <v>0</v>
      </c>
      <c r="U20" s="13">
        <f t="shared" si="5"/>
        <v>54.590000000000003</v>
      </c>
      <c r="V20" s="13">
        <v>14.880000000000001</v>
      </c>
      <c r="W20" s="13">
        <v>74107.970000000001</v>
      </c>
      <c r="X20" s="21">
        <f t="shared" si="6"/>
        <v>74197.229999999996</v>
      </c>
      <c r="Y20" s="8" t="b">
        <f t="shared" si="1"/>
        <v>1</v>
      </c>
    </row>
    <row r="21" spans="1:25" s="8" customFormat="1" ht="12.75">
      <c r="A21" s="16">
        <v>9</v>
      </c>
      <c r="B21" t="s">
        <v>291</v>
      </c>
      <c r="C21" s="138" t="s">
        <v>29</v>
      </c>
      <c r="D21" s="18"/>
      <c r="E21" s="13">
        <v>150079.01000000001</v>
      </c>
      <c r="F21" s="13">
        <v>0</v>
      </c>
      <c r="G21" s="13">
        <v>0</v>
      </c>
      <c r="H21" s="13">
        <f t="shared" si="2"/>
        <v>150079.01000000001</v>
      </c>
      <c r="I21" s="13">
        <v>-19430</v>
      </c>
      <c r="J21" s="13">
        <f>+H21+I21</f>
        <v>130649.01000000001</v>
      </c>
      <c r="K21" s="159">
        <v>1</v>
      </c>
      <c r="L21" s="13">
        <f>+J21*K21</f>
        <v>130649.01000000001</v>
      </c>
      <c r="M21" s="18"/>
      <c r="N21" s="16"/>
      <c r="O21" s="13">
        <v>0</v>
      </c>
      <c r="P21" s="13">
        <v>0</v>
      </c>
      <c r="Q21" s="13">
        <v>0</v>
      </c>
      <c r="R21" s="13">
        <f t="shared" si="4"/>
        <v>0</v>
      </c>
      <c r="S21" s="13">
        <v>0</v>
      </c>
      <c r="T21" s="13">
        <v>0</v>
      </c>
      <c r="U21" s="13">
        <f t="shared" si="5"/>
        <v>0</v>
      </c>
      <c r="V21" s="13">
        <v>0</v>
      </c>
      <c r="W21" s="13">
        <v>130649.01</v>
      </c>
      <c r="X21" s="21">
        <f t="shared" si="6"/>
        <v>130649.01</v>
      </c>
      <c r="Y21" s="8" t="b">
        <f t="shared" si="1"/>
        <v>1</v>
      </c>
    </row>
    <row r="22" spans="1:25" s="8" customFormat="1" ht="12.75">
      <c r="A22" s="16">
        <v>10</v>
      </c>
      <c r="B22" t="s">
        <v>290</v>
      </c>
      <c r="C22" s="138" t="s">
        <v>153</v>
      </c>
      <c r="D22" s="18"/>
      <c r="E22" s="13">
        <v>987141.04000000004</v>
      </c>
      <c r="F22" s="13">
        <v>0</v>
      </c>
      <c r="G22" s="13">
        <v>0</v>
      </c>
      <c r="H22" s="13">
        <f t="shared" si="2"/>
        <v>987141.04000000004</v>
      </c>
      <c r="I22" s="13">
        <v>-744852.04000000004</v>
      </c>
      <c r="J22" s="13">
        <f>+H22+I22</f>
        <v>242289</v>
      </c>
      <c r="K22" s="159">
        <v>1</v>
      </c>
      <c r="L22" s="13">
        <f>+J22*K22</f>
        <v>242289</v>
      </c>
      <c r="M22" s="18"/>
      <c r="N22" s="16"/>
      <c r="O22" s="13">
        <v>0</v>
      </c>
      <c r="P22" s="13">
        <v>0</v>
      </c>
      <c r="Q22" s="13">
        <v>0</v>
      </c>
      <c r="R22" s="13">
        <f t="shared" si="4"/>
        <v>0</v>
      </c>
      <c r="S22" s="13">
        <v>110234</v>
      </c>
      <c r="T22" s="13">
        <v>0</v>
      </c>
      <c r="U22" s="13">
        <f t="shared" si="5"/>
        <v>110234</v>
      </c>
      <c r="V22" s="13">
        <v>0</v>
      </c>
      <c r="W22" s="13">
        <v>132055</v>
      </c>
      <c r="X22" s="21">
        <f t="shared" si="6"/>
        <v>242289</v>
      </c>
      <c r="Y22" s="8" t="b">
        <f t="shared" si="1"/>
        <v>1</v>
      </c>
    </row>
    <row r="23" spans="1:25" s="8" customFormat="1" ht="12.75">
      <c r="A23" s="16">
        <v>11</v>
      </c>
      <c r="B23" t="s">
        <v>279</v>
      </c>
      <c r="C23" s="138" t="s">
        <v>228</v>
      </c>
      <c r="D23" s="18"/>
      <c r="E23" s="13">
        <v>120315</v>
      </c>
      <c r="F23" s="13">
        <v>0</v>
      </c>
      <c r="G23" s="13">
        <v>0</v>
      </c>
      <c r="H23" s="13">
        <f t="shared" si="2"/>
        <v>120315</v>
      </c>
      <c r="I23" s="13">
        <v>-36350</v>
      </c>
      <c r="J23" s="13">
        <f t="shared" si="7" ref="J23">+H23+I23</f>
        <v>83965</v>
      </c>
      <c r="K23" s="159">
        <v>1</v>
      </c>
      <c r="L23" s="13">
        <f t="shared" si="8" ref="L23">+J23*K23</f>
        <v>83965</v>
      </c>
      <c r="M23" s="18"/>
      <c r="N23" s="16"/>
      <c r="O23" s="13">
        <v>0</v>
      </c>
      <c r="P23" s="13">
        <v>0</v>
      </c>
      <c r="Q23" s="13">
        <v>0</v>
      </c>
      <c r="R23" s="13">
        <f t="shared" si="4"/>
        <v>0</v>
      </c>
      <c r="S23" s="13">
        <v>0</v>
      </c>
      <c r="T23" s="13">
        <v>0</v>
      </c>
      <c r="U23" s="13">
        <f t="shared" si="5"/>
        <v>0</v>
      </c>
      <c r="V23" s="13">
        <v>0</v>
      </c>
      <c r="W23" s="13">
        <v>83965</v>
      </c>
      <c r="X23" s="21">
        <f t="shared" si="6"/>
        <v>83965</v>
      </c>
      <c r="Y23" s="8" t="b">
        <f t="shared" si="1"/>
        <v>1</v>
      </c>
    </row>
    <row r="24" spans="1:25" ht="12.75">
      <c r="A24" s="16">
        <v>12</v>
      </c>
      <c r="B24" s="4"/>
      <c r="C24" s="4"/>
      <c r="D24" s="18"/>
      <c r="E24" s="13"/>
      <c r="F24" s="13"/>
      <c r="G24" s="13"/>
      <c r="H24" s="13"/>
      <c r="I24" s="117"/>
      <c r="J24" s="13"/>
      <c r="K24" s="103"/>
      <c r="L24" s="13"/>
      <c r="O24" s="129"/>
      <c r="P24" s="129"/>
      <c r="Q24" s="129"/>
      <c r="R24" s="129"/>
      <c r="S24" s="129"/>
      <c r="T24" s="129"/>
      <c r="U24" s="129"/>
      <c r="V24" s="129"/>
      <c r="W24" s="129"/>
      <c r="X24" s="131"/>
      <c r="Y24" s="8"/>
    </row>
    <row r="25" spans="1:24" ht="12.75">
      <c r="A25" s="16">
        <v>13</v>
      </c>
      <c r="E25" s="115"/>
      <c r="F25" s="115"/>
      <c r="G25" s="115"/>
      <c r="H25" s="115"/>
      <c r="I25" s="115"/>
      <c r="J25" s="115"/>
      <c r="L25" s="115"/>
      <c r="O25" s="115"/>
      <c r="P25" s="115"/>
      <c r="Q25" s="115"/>
      <c r="R25" s="115"/>
      <c r="S25" s="115"/>
      <c r="T25" s="115"/>
      <c r="U25" s="115"/>
      <c r="V25" s="115"/>
      <c r="W25" s="115"/>
      <c r="X25" s="115"/>
    </row>
    <row r="26" spans="1:25" ht="12.75">
      <c r="A26" s="16">
        <v>14</v>
      </c>
      <c r="C26" s="5" t="str">
        <f>CONCATENATE("Total ",B15)</f>
        <v>Total Advertising Expense</v>
      </c>
      <c r="E26" s="142">
        <f t="shared" si="9" ref="E26:J26">SUM(E17:E24)</f>
        <v>1539845.6800000002</v>
      </c>
      <c r="F26" s="142">
        <f t="shared" si="9"/>
        <v>0</v>
      </c>
      <c r="G26" s="142">
        <f t="shared" si="9"/>
        <v>0</v>
      </c>
      <c r="H26" s="142">
        <f t="shared" si="9"/>
        <v>1539845.6800000002</v>
      </c>
      <c r="I26" s="142">
        <f t="shared" si="9"/>
        <v>-815710.52000000002</v>
      </c>
      <c r="J26" s="142">
        <f t="shared" si="9"/>
        <v>724135.15999999992</v>
      </c>
      <c r="L26" s="142">
        <f>SUM(L17:L24)</f>
        <v>724135.15999999992</v>
      </c>
      <c r="O26" s="142">
        <f>SUM(O17:O24)</f>
        <v>24110.73</v>
      </c>
      <c r="P26" s="142">
        <f>SUM(P17:P24)</f>
        <v>0</v>
      </c>
      <c r="Q26" s="142">
        <f t="shared" si="10" ref="Q26">SUM(Q17:Q24)</f>
        <v>0</v>
      </c>
      <c r="R26" s="142">
        <f t="shared" si="11" ref="R26:X26">SUM(R17:R24)</f>
        <v>24110.73</v>
      </c>
      <c r="S26" s="142">
        <f t="shared" si="11"/>
        <v>213407.54999999999</v>
      </c>
      <c r="T26" s="142">
        <f t="shared" si="11"/>
        <v>0</v>
      </c>
      <c r="U26" s="142">
        <f t="shared" si="11"/>
        <v>213407.54999999999</v>
      </c>
      <c r="V26" s="142">
        <f t="shared" si="11"/>
        <v>18132.34</v>
      </c>
      <c r="W26" s="142">
        <f t="shared" si="11"/>
        <v>468484.53999999998</v>
      </c>
      <c r="X26" s="142">
        <f t="shared" si="11"/>
        <v>724135.15999999992</v>
      </c>
      <c r="Y26" s="8" t="b">
        <f>ROUND(+X26,2)=ROUND(L26,2)</f>
        <v>1</v>
      </c>
    </row>
  </sheetData>
  <printOptions horizontalCentered="1"/>
  <pageMargins left="0.5" right="0.5" top="3" bottom="0.5" header="1.5" footer="0.5"/>
  <pageSetup orientation="landscape" scale="55" r:id="rId1"/>
  <headerFooter alignWithMargins="0">
    <oddHeader>&amp;C&amp;B
2022 RATE CASE
ONCOR ELECTRIC DELIVERY COMPANY LLC
II-D-2.4  SUMMARY OF ADVERTISING EXPENSE
TEST YEAR ENDING DECEMBER 31, 2021
SPONSOR: W. ALAN LEDBETTER&amp;R&amp;"Arial,Bold"Schedule &amp;A
Page &amp;P of &amp;N</oddHeader>
  </headerFooter>
  <colBreaks count="1" manualBreakCount="1">
    <brk id="13" min="9" max="25"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1">
    <tabColor rgb="FFFF0000"/>
  </sheetPr>
  <dimension ref="A1:X20"/>
  <sheetViews>
    <sheetView workbookViewId="0" topLeftCell="A1">
      <pane xSplit="3" ySplit="13" topLeftCell="D14" activePane="bottomRight" state="frozen"/>
      <selection pane="topLeft" activeCell="X20" sqref="X20"/>
      <selection pane="bottomLeft" activeCell="X20" sqref="X20"/>
      <selection pane="topRight" activeCell="X20" sqref="X20"/>
      <selection pane="bottomRight" activeCell="I24" sqref="I24"/>
    </sheetView>
  </sheetViews>
  <sheetFormatPr defaultRowHeight="12.75"/>
  <cols>
    <col min="1" max="1" width="5.71428571428571" customWidth="1"/>
    <col min="2" max="2" width="8.71428571428571" customWidth="1"/>
    <col min="3" max="3" width="45.1428571428571" bestFit="1" customWidth="1"/>
    <col min="4" max="4" width="10.2857142857143" bestFit="1" customWidth="1"/>
    <col min="5" max="5" width="9.57142857142857" bestFit="1" customWidth="1"/>
    <col min="6" max="6" width="12.1428571428571" bestFit="1" customWidth="1"/>
    <col min="7" max="7" width="17" bestFit="1" customWidth="1"/>
    <col min="8" max="8" width="10.2857142857143" bestFit="1" customWidth="1"/>
    <col min="9" max="9" width="12" bestFit="1" customWidth="1"/>
    <col min="10" max="10" width="10.2857142857143" bestFit="1" customWidth="1"/>
    <col min="11" max="12" width="10.1428571428571" bestFit="1" customWidth="1"/>
    <col min="13" max="13" width="3.28571428571429" bestFit="1" customWidth="1"/>
    <col min="14" max="14" width="6.71428571428571"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Sponsors'!$A$59,'[3]Schedule Sponsors'!$B$59)</f>
        <v>II-D-2.4a  CAPITALIZED ADVERTISING</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Sponsors'!$D$59)</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2.75">
      <c r="A15" s="16">
        <v>1</v>
      </c>
      <c r="B15" s="8" t="s">
        <v>90</v>
      </c>
      <c r="D15" s="18" t="s">
        <v>8</v>
      </c>
      <c r="E15" s="19"/>
      <c r="F15" s="19"/>
      <c r="G15" s="19"/>
      <c r="H15" s="19"/>
      <c r="I15" s="19"/>
      <c r="J15" s="19"/>
      <c r="K15" s="19"/>
      <c r="L15" s="19"/>
      <c r="M15" s="18"/>
      <c r="N15" s="25"/>
      <c r="O15" s="19"/>
      <c r="P15" s="19"/>
      <c r="Q15" s="19"/>
      <c r="R15" s="19"/>
      <c r="S15" s="19"/>
      <c r="T15" s="19"/>
      <c r="U15" s="19"/>
      <c r="V15" s="19"/>
      <c r="W15" s="19"/>
    </row>
    <row r="16" spans="1:24" s="8" customFormat="1" ht="12.75">
      <c r="A16" s="16">
        <v>2</v>
      </c>
      <c r="D16" s="18"/>
      <c r="E16" s="19"/>
      <c r="F16" s="19"/>
      <c r="G16" s="19"/>
      <c r="H16" s="19"/>
      <c r="I16" s="19"/>
      <c r="J16" s="19"/>
      <c r="K16" s="19"/>
      <c r="L16" s="19"/>
      <c r="M16" s="18"/>
      <c r="N16" s="25"/>
      <c r="O16" s="19"/>
      <c r="P16" s="19"/>
      <c r="Q16" s="19"/>
      <c r="R16" s="19"/>
      <c r="S16" s="19"/>
      <c r="T16" s="19"/>
      <c r="U16" s="19"/>
      <c r="V16" s="19"/>
      <c r="W16" s="19"/>
      <c r="X16" s="62"/>
    </row>
    <row r="17" spans="1:24" s="8" customFormat="1" ht="12.75">
      <c r="A17" s="16">
        <v>3</v>
      </c>
      <c r="B17" s="4" t="s">
        <v>326</v>
      </c>
      <c r="C17" s="30" t="s">
        <v>306</v>
      </c>
      <c r="D17" s="18"/>
      <c r="E17" s="156">
        <v>0</v>
      </c>
      <c r="F17" s="156">
        <v>0</v>
      </c>
      <c r="G17" s="156">
        <v>0</v>
      </c>
      <c r="H17" s="156">
        <f>+E17-F17+G17</f>
        <v>0</v>
      </c>
      <c r="I17" s="156">
        <f>-H17</f>
        <v>0</v>
      </c>
      <c r="J17" s="156">
        <f>+H17+I17</f>
        <v>0</v>
      </c>
      <c r="K17" s="159">
        <v>1</v>
      </c>
      <c r="L17" s="156">
        <f>+J17*K17</f>
        <v>0</v>
      </c>
      <c r="M17" s="16"/>
      <c r="N17" s="24"/>
      <c r="O17" s="156">
        <v>0</v>
      </c>
      <c r="P17" s="156">
        <v>0</v>
      </c>
      <c r="Q17" s="156">
        <v>0</v>
      </c>
      <c r="R17" s="156">
        <f>SUM(O17:Q17)</f>
        <v>0</v>
      </c>
      <c r="S17" s="156">
        <v>0</v>
      </c>
      <c r="T17" s="156">
        <v>0</v>
      </c>
      <c r="U17" s="156">
        <f>SUM(S17:T17)</f>
        <v>0</v>
      </c>
      <c r="V17" s="156">
        <v>0</v>
      </c>
      <c r="W17" s="156">
        <v>0</v>
      </c>
      <c r="X17" s="156">
        <f>+R17+U17+V17+W17</f>
        <v>0</v>
      </c>
    </row>
    <row r="18" spans="1:24" ht="12.75">
      <c r="A18" s="16">
        <v>4</v>
      </c>
      <c r="B18" s="30"/>
      <c r="C18" s="4"/>
      <c r="E18" s="115"/>
      <c r="F18" s="115"/>
      <c r="G18" s="115"/>
      <c r="H18" s="115"/>
      <c r="I18" s="115"/>
      <c r="J18" s="115"/>
      <c r="L18" s="115"/>
      <c r="O18" s="115"/>
      <c r="P18" s="115"/>
      <c r="Q18" s="115"/>
      <c r="R18" s="115"/>
      <c r="S18" s="115"/>
      <c r="T18" s="115"/>
      <c r="U18" s="115"/>
      <c r="V18" s="115"/>
      <c r="W18" s="115"/>
      <c r="X18" s="115"/>
    </row>
    <row r="19" spans="1:1" ht="12.75">
      <c r="A19" s="16">
        <v>5</v>
      </c>
    </row>
    <row r="20" spans="1:24" ht="12.75">
      <c r="A20" s="16">
        <v>6</v>
      </c>
      <c r="B20" s="5" t="s">
        <v>91</v>
      </c>
      <c r="E20" s="217">
        <f t="shared" si="0" ref="E20:J20">SUM(E17:E18)</f>
        <v>0</v>
      </c>
      <c r="F20" s="217">
        <f t="shared" si="0"/>
        <v>0</v>
      </c>
      <c r="G20" s="217">
        <f t="shared" si="0"/>
        <v>0</v>
      </c>
      <c r="H20" s="217">
        <f t="shared" si="0"/>
        <v>0</v>
      </c>
      <c r="I20" s="217">
        <f t="shared" si="0"/>
        <v>0</v>
      </c>
      <c r="J20" s="217">
        <f t="shared" si="0"/>
        <v>0</v>
      </c>
      <c r="K20" s="280"/>
      <c r="L20" s="217">
        <f>SUM(L17:L18)</f>
        <v>0</v>
      </c>
      <c r="M20" s="206"/>
      <c r="N20" s="206"/>
      <c r="O20" s="217">
        <f t="shared" si="1" ref="O20:X20">SUM(O17:O18)</f>
        <v>0</v>
      </c>
      <c r="P20" s="217">
        <f t="shared" si="1"/>
        <v>0</v>
      </c>
      <c r="Q20" s="217">
        <f t="shared" si="2" ref="Q20">SUM(Q17:Q18)</f>
        <v>0</v>
      </c>
      <c r="R20" s="217">
        <f t="shared" si="1"/>
        <v>0</v>
      </c>
      <c r="S20" s="217">
        <f t="shared" si="1"/>
        <v>0</v>
      </c>
      <c r="T20" s="217">
        <f t="shared" si="1"/>
        <v>0</v>
      </c>
      <c r="U20" s="217">
        <f t="shared" si="1"/>
        <v>0</v>
      </c>
      <c r="V20" s="217">
        <f t="shared" si="1"/>
        <v>0</v>
      </c>
      <c r="W20" s="217">
        <f t="shared" si="3" ref="W20">SUM(W17:W18)</f>
        <v>0</v>
      </c>
      <c r="X20" s="217">
        <f t="shared" si="1"/>
        <v>0</v>
      </c>
    </row>
  </sheetData>
  <printOptions horizontalCentered="1"/>
  <pageMargins left="0.5" right="0.5" top="3" bottom="0.5" header="1.5" footer="0.5"/>
  <pageSetup orientation="landscape" scale="58" r:id="rId1"/>
  <headerFooter alignWithMargins="0">
    <oddHeader>&amp;C&amp;B
2022 RATE CASE
ONCOR ELECTRIC DELIVERY COMPANY LLC
II-D-2.4a  CAPITALIZED ADVERTISING
TEST YEAR ENDING DECEMBER 31, 2021
SPONSOR: W. ALAN LEDBETTER&amp;R&amp;"Arial,Bold"Schedule &amp;A
Page &amp;P of &amp;N</oddHeader>
  </headerFooter>
  <colBreaks count="1" manualBreakCount="1">
    <brk id="13" min="9" max="19"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2">
    <tabColor rgb="FFFF0000"/>
  </sheetPr>
  <dimension ref="A1:AB64"/>
  <sheetViews>
    <sheetView zoomScale="85" zoomScaleNormal="85" workbookViewId="0" topLeftCell="A1">
      <pane xSplit="3" ySplit="16" topLeftCell="D17" activePane="bottomRight" state="frozen"/>
      <selection pane="topLeft" activeCell="X20" sqref="X20"/>
      <selection pane="bottomLeft" activeCell="X20" sqref="X20"/>
      <selection pane="topRight" activeCell="X20" sqref="X20"/>
      <selection pane="bottomRight" activeCell="V33" sqref="V33"/>
    </sheetView>
  </sheetViews>
  <sheetFormatPr defaultRowHeight="12.75"/>
  <cols>
    <col min="1" max="1" width="5.71428571428571" customWidth="1"/>
    <col min="2" max="2" width="8.71428571428571" customWidth="1"/>
    <col min="3" max="3" width="52.8571428571429" bestFit="1" customWidth="1"/>
    <col min="4" max="4" width="10.2857142857143" bestFit="1" customWidth="1"/>
    <col min="5" max="5" width="12.7142857142857" customWidth="1"/>
    <col min="6" max="6" width="12.2857142857143" bestFit="1" customWidth="1"/>
    <col min="7" max="7" width="17.1428571428571" bestFit="1" customWidth="1"/>
    <col min="8" max="8" width="11.5714285714286" bestFit="1" customWidth="1"/>
    <col min="9" max="9" width="12.1428571428571" bestFit="1" customWidth="1"/>
    <col min="10" max="10" width="11.5714285714286" bestFit="1" customWidth="1"/>
    <col min="11" max="11" width="10.2857142857143" customWidth="1"/>
    <col min="12" max="12" width="14.8571428571429" bestFit="1" customWidth="1"/>
    <col min="13" max="13" width="3.28571428571429" bestFit="1" customWidth="1"/>
    <col min="14" max="14" width="6.85714285714286" bestFit="1" customWidth="1"/>
    <col min="15" max="22" width="9.71428571428571" customWidth="1"/>
    <col min="23" max="23" width="11.5714285714286" customWidth="1"/>
    <col min="24" max="24" width="14.8571428571429"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Sponsors'!$A$60,'[3]Schedule Sponsors'!$B$60)</f>
        <v>II-D-2.5  SUMMARY OF CONTRIBUTION &amp;&amp; DONATION EXPENSE</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Sponsors'!$D$60)</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5"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c r="Y13" s="119"/>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5" customHeight="1">
      <c r="A15" s="16">
        <v>1</v>
      </c>
      <c r="B15" s="8" t="s">
        <v>129</v>
      </c>
      <c r="D15" s="18" t="s">
        <v>9</v>
      </c>
      <c r="E15" s="19"/>
      <c r="F15" s="19"/>
      <c r="G15" s="19"/>
      <c r="H15" s="19"/>
      <c r="I15" s="19"/>
      <c r="J15" s="19"/>
      <c r="K15" s="19"/>
      <c r="L15" s="19"/>
      <c r="M15" s="18"/>
      <c r="N15" s="25"/>
      <c r="O15" s="19"/>
      <c r="P15" s="19"/>
      <c r="Q15" s="19"/>
      <c r="R15" s="19"/>
      <c r="S15" s="19"/>
      <c r="T15" s="19"/>
      <c r="U15" s="19"/>
      <c r="V15" s="19"/>
      <c r="W15" s="19"/>
    </row>
    <row r="16" spans="1:24" s="8" customFormat="1" ht="15" customHeight="1">
      <c r="A16" s="16">
        <v>2</v>
      </c>
      <c r="D16" s="18"/>
      <c r="E16" s="19"/>
      <c r="F16" s="19"/>
      <c r="G16" s="19"/>
      <c r="H16" s="19"/>
      <c r="I16" s="19"/>
      <c r="J16" s="19"/>
      <c r="K16" s="19"/>
      <c r="L16" s="19"/>
      <c r="M16" s="18"/>
      <c r="N16" s="25"/>
      <c r="O16" s="19"/>
      <c r="P16" s="19"/>
      <c r="Q16" s="19"/>
      <c r="R16" s="19"/>
      <c r="S16" s="19"/>
      <c r="T16" s="19"/>
      <c r="U16" s="19"/>
      <c r="V16" s="19"/>
      <c r="W16" s="19"/>
      <c r="X16" s="62"/>
    </row>
    <row r="17" spans="1:24" s="8" customFormat="1" ht="15" customHeight="1">
      <c r="A17" s="16">
        <v>3</v>
      </c>
      <c r="B17" s="187" t="s">
        <v>236</v>
      </c>
      <c r="C17" s="30" t="str">
        <f>VLOOKUP(B17,'II-D-3'!$B$17:$C$121,2,FALSE)</f>
        <v>Miscellaneous Transmission Expenses</v>
      </c>
      <c r="D17" s="18"/>
      <c r="E17" s="13"/>
      <c r="F17" s="13"/>
      <c r="G17" s="13"/>
      <c r="H17" s="13"/>
      <c r="I17" s="13"/>
      <c r="J17" s="13"/>
      <c r="K17" s="159"/>
      <c r="L17" s="13"/>
      <c r="M17" s="18"/>
      <c r="N17" s="24"/>
      <c r="O17" s="19"/>
      <c r="P17" s="19"/>
      <c r="Q17" s="19"/>
      <c r="R17" s="19"/>
      <c r="S17" s="19"/>
      <c r="T17" s="19"/>
      <c r="U17" s="19"/>
      <c r="V17" s="19"/>
      <c r="W17" s="19"/>
      <c r="X17" s="62"/>
    </row>
    <row r="18" spans="1:25" s="8" customFormat="1" ht="15" customHeight="1">
      <c r="A18" s="16">
        <v>4</v>
      </c>
      <c r="B18" s="4"/>
      <c r="C18" s="157" t="s">
        <v>348</v>
      </c>
      <c r="D18" s="18"/>
      <c r="E18" s="156">
        <v>0</v>
      </c>
      <c r="F18" s="156">
        <v>0</v>
      </c>
      <c r="G18" s="156">
        <v>0</v>
      </c>
      <c r="H18" s="156">
        <f>+E18-F18+G18</f>
        <v>0</v>
      </c>
      <c r="I18" s="156">
        <v>0</v>
      </c>
      <c r="J18" s="156">
        <f>+H18+I18</f>
        <v>0</v>
      </c>
      <c r="K18" s="159">
        <v>1</v>
      </c>
      <c r="L18" s="156">
        <f>+J18*K18</f>
        <v>0</v>
      </c>
      <c r="M18" s="18"/>
      <c r="N18" s="16"/>
      <c r="O18" s="156">
        <v>0</v>
      </c>
      <c r="P18" s="156">
        <v>0</v>
      </c>
      <c r="Q18" s="156">
        <v>0</v>
      </c>
      <c r="R18" s="156">
        <f>SUM(O18:Q18)</f>
        <v>0</v>
      </c>
      <c r="S18" s="156">
        <v>0</v>
      </c>
      <c r="T18" s="156">
        <v>0</v>
      </c>
      <c r="U18" s="156">
        <f>SUM(S18:T18)</f>
        <v>0</v>
      </c>
      <c r="V18" s="156">
        <v>0</v>
      </c>
      <c r="W18" s="156">
        <v>0</v>
      </c>
      <c r="X18" s="156">
        <f>+R18+U18+V18+W18</f>
        <v>0</v>
      </c>
      <c r="Y18" s="8" t="b">
        <f>ROUND(+X18,2)=ROUND(L18,2)</f>
        <v>1</v>
      </c>
    </row>
    <row r="19" spans="1:25" s="8" customFormat="1" ht="15" customHeight="1">
      <c r="A19" s="16">
        <v>5</v>
      </c>
      <c r="B19" s="4"/>
      <c r="C19" s="157" t="s">
        <v>349</v>
      </c>
      <c r="D19" s="18"/>
      <c r="E19" s="13">
        <v>20000</v>
      </c>
      <c r="F19" s="13">
        <v>0</v>
      </c>
      <c r="G19" s="13">
        <v>0</v>
      </c>
      <c r="H19" s="13">
        <f>+E19-F19+G19</f>
        <v>20000</v>
      </c>
      <c r="I19" s="13">
        <v>0</v>
      </c>
      <c r="J19" s="13">
        <f>+H19+I19</f>
        <v>20000</v>
      </c>
      <c r="K19" s="159">
        <v>1</v>
      </c>
      <c r="L19" s="13">
        <f>+J19*K19</f>
        <v>20000</v>
      </c>
      <c r="M19" s="18"/>
      <c r="N19" s="16"/>
      <c r="O19" s="13">
        <v>20000</v>
      </c>
      <c r="P19" s="13">
        <v>0</v>
      </c>
      <c r="Q19" s="13">
        <v>0</v>
      </c>
      <c r="R19" s="13">
        <f t="shared" si="0" ref="R19:R20">SUM(O19:Q19)</f>
        <v>20000</v>
      </c>
      <c r="S19" s="13">
        <v>0</v>
      </c>
      <c r="T19" s="13">
        <v>0</v>
      </c>
      <c r="U19" s="13">
        <f t="shared" si="1" ref="U19:U20">SUM(S19:T19)</f>
        <v>0</v>
      </c>
      <c r="V19" s="13">
        <v>0</v>
      </c>
      <c r="W19" s="13">
        <v>0</v>
      </c>
      <c r="X19" s="13">
        <f t="shared" si="2" ref="X19:X20">+R19+U19+V19+W19</f>
        <v>20000</v>
      </c>
      <c r="Y19" s="8" t="b">
        <f>ROUND(+X19,2)=ROUND(L19,2)</f>
        <v>1</v>
      </c>
    </row>
    <row r="20" spans="1:25" s="8" customFormat="1" ht="15" customHeight="1">
      <c r="A20" s="16">
        <v>6</v>
      </c>
      <c r="B20" s="4"/>
      <c r="C20" s="157" t="s">
        <v>207</v>
      </c>
      <c r="D20" s="18"/>
      <c r="E20" s="13">
        <v>0</v>
      </c>
      <c r="F20" s="13">
        <v>0</v>
      </c>
      <c r="G20" s="13">
        <v>0</v>
      </c>
      <c r="H20" s="13">
        <f>+E20-F20+G20</f>
        <v>0</v>
      </c>
      <c r="I20" s="13">
        <v>0</v>
      </c>
      <c r="J20" s="13">
        <f>+H20+I20</f>
        <v>0</v>
      </c>
      <c r="K20" s="159">
        <v>1</v>
      </c>
      <c r="L20" s="13">
        <f>+J20*K20</f>
        <v>0</v>
      </c>
      <c r="M20" s="18"/>
      <c r="N20" s="16"/>
      <c r="O20" s="13">
        <v>0</v>
      </c>
      <c r="P20" s="13">
        <v>0</v>
      </c>
      <c r="Q20" s="13">
        <v>0</v>
      </c>
      <c r="R20" s="13">
        <f t="shared" si="0"/>
        <v>0</v>
      </c>
      <c r="S20" s="13">
        <v>0</v>
      </c>
      <c r="T20" s="13">
        <v>0</v>
      </c>
      <c r="U20" s="13">
        <f t="shared" si="1"/>
        <v>0</v>
      </c>
      <c r="V20" s="13">
        <v>0</v>
      </c>
      <c r="W20" s="13">
        <v>0</v>
      </c>
      <c r="X20" s="13">
        <f t="shared" si="2"/>
        <v>0</v>
      </c>
      <c r="Y20" s="8" t="b">
        <f>ROUND(+X20,2)=ROUND(L20,2)</f>
        <v>1</v>
      </c>
    </row>
    <row r="21" spans="1:25" s="8" customFormat="1" ht="15" customHeight="1">
      <c r="A21" s="16">
        <v>7</v>
      </c>
      <c r="B21" s="4"/>
      <c r="C21" s="198" t="str">
        <f>CONCATENATE("Total Account ",MID(B17,2,3))</f>
        <v>Total Account 566</v>
      </c>
      <c r="D21" s="18"/>
      <c r="E21" s="186">
        <f t="shared" si="3" ref="E21:J21">SUM(E18:E20)</f>
        <v>20000</v>
      </c>
      <c r="F21" s="186">
        <f t="shared" si="3"/>
        <v>0</v>
      </c>
      <c r="G21" s="186">
        <f t="shared" si="3"/>
        <v>0</v>
      </c>
      <c r="H21" s="186">
        <f t="shared" si="3"/>
        <v>20000</v>
      </c>
      <c r="I21" s="186">
        <f t="shared" si="3"/>
        <v>0</v>
      </c>
      <c r="J21" s="186">
        <f t="shared" si="3"/>
        <v>20000</v>
      </c>
      <c r="K21" s="159"/>
      <c r="L21" s="186">
        <f>SUM(L18:L20)</f>
        <v>20000</v>
      </c>
      <c r="M21" s="18"/>
      <c r="N21" s="24"/>
      <c r="O21" s="186">
        <f t="shared" si="4" ref="O21:V21">SUM(O18:O20)</f>
        <v>20000</v>
      </c>
      <c r="P21" s="186">
        <f t="shared" si="4"/>
        <v>0</v>
      </c>
      <c r="Q21" s="186">
        <f t="shared" si="5" ref="Q21">SUM(Q18:Q20)</f>
        <v>0</v>
      </c>
      <c r="R21" s="186">
        <f t="shared" si="4"/>
        <v>20000</v>
      </c>
      <c r="S21" s="186">
        <f t="shared" si="4"/>
        <v>0</v>
      </c>
      <c r="T21" s="186">
        <f t="shared" si="4"/>
        <v>0</v>
      </c>
      <c r="U21" s="186">
        <f t="shared" si="4"/>
        <v>0</v>
      </c>
      <c r="V21" s="186">
        <f t="shared" si="4"/>
        <v>0</v>
      </c>
      <c r="W21" s="186">
        <f>SUM(W18:W20)</f>
        <v>0</v>
      </c>
      <c r="X21" s="186">
        <f>SUM(X18:X20)</f>
        <v>20000</v>
      </c>
      <c r="Y21" s="8" t="b">
        <f>ROUND(+X21,2)=ROUND(L21,2)</f>
        <v>1</v>
      </c>
    </row>
    <row r="22" spans="1:24" s="8" customFormat="1" ht="15" customHeight="1">
      <c r="A22" s="16">
        <v>8</v>
      </c>
      <c r="B22" s="4"/>
      <c r="C22" s="30"/>
      <c r="D22" s="18"/>
      <c r="E22" s="13"/>
      <c r="F22" s="13"/>
      <c r="G22" s="13"/>
      <c r="H22" s="13"/>
      <c r="I22" s="13"/>
      <c r="J22" s="13"/>
      <c r="K22" s="159"/>
      <c r="L22" s="13"/>
      <c r="M22" s="18"/>
      <c r="N22" s="24"/>
      <c r="O22" s="19"/>
      <c r="P22" s="19"/>
      <c r="Q22" s="19"/>
      <c r="R22" s="19"/>
      <c r="S22" s="19"/>
      <c r="T22" s="19"/>
      <c r="U22" s="19"/>
      <c r="V22" s="19"/>
      <c r="W22" s="19"/>
      <c r="X22" s="62"/>
    </row>
    <row r="23" spans="1:24" s="8" customFormat="1" ht="15" customHeight="1">
      <c r="A23" s="16">
        <v>9</v>
      </c>
      <c r="B23" s="187" t="s">
        <v>251</v>
      </c>
      <c r="C23" s="30" t="str">
        <f>VLOOKUP(B23,'II-D-3'!$B$17:$C$121,2,FALSE)</f>
        <v>Miscellaneous Distribution Expenses</v>
      </c>
      <c r="D23" s="18"/>
      <c r="E23" s="13"/>
      <c r="F23" s="13"/>
      <c r="G23" s="13"/>
      <c r="H23" s="13"/>
      <c r="I23" s="13"/>
      <c r="J23" s="13"/>
      <c r="K23" s="159"/>
      <c r="L23" s="13"/>
      <c r="M23" s="18"/>
      <c r="N23" s="24"/>
      <c r="O23" s="19"/>
      <c r="P23" s="19"/>
      <c r="Q23" s="19"/>
      <c r="R23" s="19"/>
      <c r="S23" s="19"/>
      <c r="T23" s="19"/>
      <c r="U23" s="19"/>
      <c r="V23" s="19"/>
      <c r="W23" s="19"/>
      <c r="X23" s="62"/>
    </row>
    <row r="24" spans="1:25" s="8" customFormat="1" ht="15" customHeight="1">
      <c r="A24" s="16">
        <v>10</v>
      </c>
      <c r="B24" s="4"/>
      <c r="C24" s="157" t="s">
        <v>348</v>
      </c>
      <c r="D24" s="18"/>
      <c r="E24" s="156">
        <v>2500</v>
      </c>
      <c r="F24" s="156">
        <v>0</v>
      </c>
      <c r="G24" s="156">
        <v>0</v>
      </c>
      <c r="H24" s="156">
        <f>+E24-F24+G24</f>
        <v>2500</v>
      </c>
      <c r="I24" s="156">
        <v>0</v>
      </c>
      <c r="J24" s="156">
        <f>+H24+I24</f>
        <v>2500</v>
      </c>
      <c r="K24" s="159">
        <v>1</v>
      </c>
      <c r="L24" s="156">
        <f>+J24*K24</f>
        <v>2500</v>
      </c>
      <c r="M24" s="18"/>
      <c r="N24" s="16"/>
      <c r="O24" s="156">
        <v>0</v>
      </c>
      <c r="P24" s="156">
        <v>0</v>
      </c>
      <c r="Q24" s="156">
        <v>0</v>
      </c>
      <c r="R24" s="156">
        <f t="shared" si="6" ref="R24:R26">SUM(O24:Q24)</f>
        <v>0</v>
      </c>
      <c r="S24" s="156">
        <v>2500</v>
      </c>
      <c r="T24" s="156">
        <v>0</v>
      </c>
      <c r="U24" s="156">
        <f t="shared" si="7" ref="U24:U26">SUM(S24:T24)</f>
        <v>2500</v>
      </c>
      <c r="V24" s="156">
        <v>0</v>
      </c>
      <c r="W24" s="156">
        <v>0</v>
      </c>
      <c r="X24" s="156">
        <f t="shared" si="8" ref="X24:X26">+R24+U24+V24+W24</f>
        <v>2500</v>
      </c>
      <c r="Y24" s="8" t="b">
        <f>ROUND(+X24,2)=ROUND(L24,2)</f>
        <v>1</v>
      </c>
    </row>
    <row r="25" spans="1:25" s="8" customFormat="1" ht="15" customHeight="1">
      <c r="A25" s="16">
        <v>11</v>
      </c>
      <c r="B25" s="4"/>
      <c r="C25" s="157" t="s">
        <v>349</v>
      </c>
      <c r="D25" s="18"/>
      <c r="E25" s="13">
        <v>750</v>
      </c>
      <c r="F25" s="13">
        <v>0</v>
      </c>
      <c r="G25" s="13">
        <v>0</v>
      </c>
      <c r="H25" s="13">
        <f>+E25-F25+G25</f>
        <v>750</v>
      </c>
      <c r="I25" s="13">
        <v>0</v>
      </c>
      <c r="J25" s="13">
        <f>+H25+I25</f>
        <v>750</v>
      </c>
      <c r="K25" s="159">
        <v>1</v>
      </c>
      <c r="L25" s="13">
        <f>+J25*K25</f>
        <v>750</v>
      </c>
      <c r="M25" s="18"/>
      <c r="N25" s="16"/>
      <c r="O25" s="13">
        <v>0</v>
      </c>
      <c r="P25" s="13">
        <v>0</v>
      </c>
      <c r="Q25" s="13">
        <v>0</v>
      </c>
      <c r="R25" s="13">
        <f t="shared" si="6"/>
        <v>0</v>
      </c>
      <c r="S25" s="13">
        <v>750</v>
      </c>
      <c r="T25" s="13">
        <v>0</v>
      </c>
      <c r="U25" s="13">
        <f t="shared" si="7"/>
        <v>750</v>
      </c>
      <c r="V25" s="13">
        <v>0</v>
      </c>
      <c r="W25" s="13">
        <v>0</v>
      </c>
      <c r="X25" s="13">
        <f t="shared" si="8"/>
        <v>750</v>
      </c>
      <c r="Y25" s="8" t="b">
        <f>ROUND(+X25,2)=ROUND(L25,2)</f>
        <v>1</v>
      </c>
    </row>
    <row r="26" spans="1:25" s="8" customFormat="1" ht="15" customHeight="1">
      <c r="A26" s="16">
        <v>12</v>
      </c>
      <c r="B26" s="4"/>
      <c r="C26" s="157" t="s">
        <v>207</v>
      </c>
      <c r="D26" s="18"/>
      <c r="E26" s="13">
        <v>0</v>
      </c>
      <c r="F26" s="13">
        <v>0</v>
      </c>
      <c r="G26" s="13">
        <v>0</v>
      </c>
      <c r="H26" s="13">
        <f>+E26-F26+G26</f>
        <v>0</v>
      </c>
      <c r="I26" s="13">
        <v>0</v>
      </c>
      <c r="J26" s="13">
        <f>+H26+I26</f>
        <v>0</v>
      </c>
      <c r="K26" s="159">
        <v>1</v>
      </c>
      <c r="L26" s="13">
        <f>+J26*K26</f>
        <v>0</v>
      </c>
      <c r="M26" s="18"/>
      <c r="N26" s="16"/>
      <c r="O26" s="13">
        <v>0</v>
      </c>
      <c r="P26" s="13">
        <v>0</v>
      </c>
      <c r="Q26" s="13">
        <v>0</v>
      </c>
      <c r="R26" s="13">
        <f t="shared" si="6"/>
        <v>0</v>
      </c>
      <c r="S26" s="13">
        <v>0</v>
      </c>
      <c r="T26" s="13">
        <v>0</v>
      </c>
      <c r="U26" s="13">
        <f t="shared" si="7"/>
        <v>0</v>
      </c>
      <c r="V26" s="13">
        <v>0</v>
      </c>
      <c r="W26" s="13">
        <v>0</v>
      </c>
      <c r="X26" s="13">
        <f t="shared" si="8"/>
        <v>0</v>
      </c>
      <c r="Y26" s="8" t="b">
        <f>ROUND(+X26,2)=ROUND(L26,2)</f>
        <v>1</v>
      </c>
    </row>
    <row r="27" spans="1:25" s="8" customFormat="1" ht="15" customHeight="1">
      <c r="A27" s="16">
        <v>13</v>
      </c>
      <c r="B27" s="4"/>
      <c r="C27" s="198" t="str">
        <f>CONCATENATE("Total Account ",MID(B23,2,3))</f>
        <v>Total Account 588</v>
      </c>
      <c r="D27" s="18"/>
      <c r="E27" s="186">
        <f t="shared" si="9" ref="E27:J27">SUM(E24:E26)</f>
        <v>3250</v>
      </c>
      <c r="F27" s="186">
        <f t="shared" si="9"/>
        <v>0</v>
      </c>
      <c r="G27" s="186">
        <f t="shared" si="9"/>
        <v>0</v>
      </c>
      <c r="H27" s="186">
        <f t="shared" si="9"/>
        <v>3250</v>
      </c>
      <c r="I27" s="186">
        <f t="shared" si="9"/>
        <v>0</v>
      </c>
      <c r="J27" s="186">
        <f t="shared" si="9"/>
        <v>3250</v>
      </c>
      <c r="K27" s="159"/>
      <c r="L27" s="186">
        <f>SUM(L24:L26)</f>
        <v>3250</v>
      </c>
      <c r="M27" s="18"/>
      <c r="N27" s="24"/>
      <c r="O27" s="186">
        <f t="shared" si="10" ref="O27:V27">SUM(O24:O26)</f>
        <v>0</v>
      </c>
      <c r="P27" s="186">
        <f t="shared" si="10"/>
        <v>0</v>
      </c>
      <c r="Q27" s="186">
        <f t="shared" si="11" ref="Q27">SUM(Q24:Q26)</f>
        <v>0</v>
      </c>
      <c r="R27" s="186">
        <f t="shared" si="10"/>
        <v>0</v>
      </c>
      <c r="S27" s="186">
        <f t="shared" si="10"/>
        <v>3250</v>
      </c>
      <c r="T27" s="186">
        <f t="shared" si="10"/>
        <v>0</v>
      </c>
      <c r="U27" s="186">
        <f t="shared" si="10"/>
        <v>3250</v>
      </c>
      <c r="V27" s="186">
        <f t="shared" si="10"/>
        <v>0</v>
      </c>
      <c r="W27" s="186">
        <f>SUM(W24:W26)</f>
        <v>0</v>
      </c>
      <c r="X27" s="186">
        <f>SUM(X24:X26)</f>
        <v>3250</v>
      </c>
      <c r="Y27" s="8" t="b">
        <f>ROUND(+X27,2)=ROUND(L27,2)</f>
        <v>1</v>
      </c>
    </row>
    <row r="28" spans="1:24" s="8" customFormat="1" ht="15" customHeight="1">
      <c r="A28" s="16">
        <v>14</v>
      </c>
      <c r="B28" s="4"/>
      <c r="C28" s="30"/>
      <c r="D28" s="18"/>
      <c r="E28" s="13"/>
      <c r="F28" s="13"/>
      <c r="G28" s="13"/>
      <c r="H28" s="13"/>
      <c r="I28" s="13"/>
      <c r="J28" s="13"/>
      <c r="K28" s="159"/>
      <c r="L28" s="13"/>
      <c r="M28" s="18"/>
      <c r="N28" s="24"/>
      <c r="O28" s="19"/>
      <c r="P28" s="19"/>
      <c r="Q28" s="19"/>
      <c r="R28" s="19"/>
      <c r="S28" s="19"/>
      <c r="T28" s="19"/>
      <c r="U28" s="19"/>
      <c r="V28" s="19"/>
      <c r="W28" s="19"/>
      <c r="X28" s="62"/>
    </row>
    <row r="29" spans="1:24" s="8" customFormat="1" ht="15" customHeight="1">
      <c r="A29" s="16">
        <v>15</v>
      </c>
      <c r="B29" s="187" t="s">
        <v>272</v>
      </c>
      <c r="C29" s="30" t="str">
        <f>VLOOKUP(B29,'II-D-3'!$B$17:$C$121,2,FALSE)</f>
        <v>Office Supplies and Expenses</v>
      </c>
      <c r="D29" s="18"/>
      <c r="E29" s="13"/>
      <c r="F29" s="13"/>
      <c r="G29" s="13"/>
      <c r="H29" s="13"/>
      <c r="I29" s="13"/>
      <c r="J29" s="13"/>
      <c r="K29" s="159"/>
      <c r="L29" s="13"/>
      <c r="M29" s="18"/>
      <c r="N29" s="24"/>
      <c r="O29" s="13"/>
      <c r="P29" s="13"/>
      <c r="Q29" s="13"/>
      <c r="R29" s="13"/>
      <c r="S29" s="13"/>
      <c r="T29" s="13"/>
      <c r="U29" s="13"/>
      <c r="V29" s="13"/>
      <c r="W29" s="13"/>
      <c r="X29" s="62"/>
    </row>
    <row r="30" spans="1:25" s="8" customFormat="1" ht="15" customHeight="1">
      <c r="A30" s="16">
        <v>16</v>
      </c>
      <c r="B30" s="4"/>
      <c r="C30" s="157" t="s">
        <v>348</v>
      </c>
      <c r="D30" s="18"/>
      <c r="E30" s="156">
        <v>4500</v>
      </c>
      <c r="F30" s="156">
        <v>0</v>
      </c>
      <c r="G30" s="156">
        <v>0</v>
      </c>
      <c r="H30" s="156">
        <f>+E30-F30+G30</f>
        <v>4500</v>
      </c>
      <c r="I30" s="156">
        <v>0</v>
      </c>
      <c r="J30" s="156">
        <f>+H30+I30</f>
        <v>4500</v>
      </c>
      <c r="K30" s="159">
        <v>1</v>
      </c>
      <c r="L30" s="156">
        <f>+J30*K30</f>
        <v>4500</v>
      </c>
      <c r="M30" s="18"/>
      <c r="N30" s="16"/>
      <c r="O30" s="156">
        <v>990.90000000000009</v>
      </c>
      <c r="P30" s="156">
        <v>0</v>
      </c>
      <c r="Q30" s="156">
        <v>0</v>
      </c>
      <c r="R30" s="156">
        <f t="shared" si="12" ref="R30:R32">SUM(O30:Q30)</f>
        <v>990.90000000000009</v>
      </c>
      <c r="S30" s="156">
        <v>2733.75</v>
      </c>
      <c r="T30" s="156">
        <v>0</v>
      </c>
      <c r="U30" s="156">
        <f t="shared" si="13" ref="U30:U32">SUM(S30:T30)</f>
        <v>2733.75</v>
      </c>
      <c r="V30" s="156">
        <v>745.19999999999993</v>
      </c>
      <c r="W30" s="156">
        <v>30.150000000000006</v>
      </c>
      <c r="X30" s="156">
        <f t="shared" si="14" ref="X30:X32">+R30+U30+V30+W30</f>
        <v>4500</v>
      </c>
      <c r="Y30" s="8" t="b">
        <f>ROUND(+X30,2)=ROUND(L30,2)</f>
        <v>1</v>
      </c>
    </row>
    <row r="31" spans="1:25" s="8" customFormat="1" ht="15" customHeight="1">
      <c r="A31" s="16">
        <v>17</v>
      </c>
      <c r="B31" s="4"/>
      <c r="C31" s="157" t="s">
        <v>349</v>
      </c>
      <c r="D31" s="18"/>
      <c r="E31" s="13">
        <f>8671.67+500</f>
        <v>9171.6700000000001</v>
      </c>
      <c r="F31" s="13">
        <v>0</v>
      </c>
      <c r="G31" s="13">
        <v>0</v>
      </c>
      <c r="H31" s="13">
        <f>+E31-F31+G31</f>
        <v>9171.6700000000001</v>
      </c>
      <c r="I31" s="13">
        <v>0</v>
      </c>
      <c r="J31" s="13">
        <f>+H31+I31</f>
        <v>9171.6700000000001</v>
      </c>
      <c r="K31" s="159">
        <v>1</v>
      </c>
      <c r="L31" s="13">
        <f>+J31*K31</f>
        <v>9171.6700000000001</v>
      </c>
      <c r="M31" s="18"/>
      <c r="N31" s="16"/>
      <c r="O31" s="13">
        <v>235.97999999999999</v>
      </c>
      <c r="P31" s="13">
        <v>0</v>
      </c>
      <c r="Q31" s="13">
        <v>0</v>
      </c>
      <c r="R31" s="13">
        <f t="shared" si="12"/>
        <v>235.97999999999999</v>
      </c>
      <c r="S31" s="13">
        <v>651.03999999999996</v>
      </c>
      <c r="T31" s="13">
        <v>0</v>
      </c>
      <c r="U31" s="13">
        <f t="shared" si="13"/>
        <v>651.03999999999996</v>
      </c>
      <c r="V31" s="13">
        <v>177.47</v>
      </c>
      <c r="W31" s="13">
        <f>7607.18+500</f>
        <v>8107.1800000000003</v>
      </c>
      <c r="X31" s="13">
        <f t="shared" si="14"/>
        <v>9171.6700000000001</v>
      </c>
      <c r="Y31" s="8" t="b">
        <f>ROUND(+X31,2)=ROUND(L31,2)</f>
        <v>1</v>
      </c>
    </row>
    <row r="32" spans="1:25" s="8" customFormat="1" ht="15" customHeight="1">
      <c r="A32" s="16">
        <v>18</v>
      </c>
      <c r="B32" s="4"/>
      <c r="C32" s="157" t="s">
        <v>207</v>
      </c>
      <c r="D32" s="18"/>
      <c r="E32" s="13">
        <f>3250+1000</f>
        <v>4250</v>
      </c>
      <c r="F32" s="13">
        <v>0</v>
      </c>
      <c r="G32" s="13">
        <v>0</v>
      </c>
      <c r="H32" s="13">
        <f>+E32-F32+G32</f>
        <v>4250</v>
      </c>
      <c r="I32" s="13">
        <v>0</v>
      </c>
      <c r="J32" s="13">
        <f>+H32+I32</f>
        <v>4250</v>
      </c>
      <c r="K32" s="159">
        <v>1</v>
      </c>
      <c r="L32" s="13">
        <f>+J32*K32</f>
        <v>4250</v>
      </c>
      <c r="M32" s="18"/>
      <c r="N32" s="16"/>
      <c r="O32" s="13">
        <v>220.19999999999999</v>
      </c>
      <c r="P32" s="13">
        <v>0</v>
      </c>
      <c r="Q32" s="13">
        <v>0</v>
      </c>
      <c r="R32" s="13">
        <f t="shared" si="12"/>
        <v>220.19999999999999</v>
      </c>
      <c r="S32" s="13">
        <v>607.5</v>
      </c>
      <c r="T32" s="13">
        <v>0</v>
      </c>
      <c r="U32" s="13">
        <f t="shared" si="13"/>
        <v>607.5</v>
      </c>
      <c r="V32" s="13">
        <v>165.59999999999999</v>
      </c>
      <c r="W32" s="13">
        <f>3250+6.7</f>
        <v>3256.6999999999998</v>
      </c>
      <c r="X32" s="13">
        <f t="shared" si="14"/>
        <v>4250</v>
      </c>
      <c r="Y32" s="8" t="b">
        <f>ROUND(+X32,2)=ROUND(L32,2)</f>
        <v>1</v>
      </c>
    </row>
    <row r="33" spans="1:25" s="8" customFormat="1" ht="15" customHeight="1">
      <c r="A33" s="16">
        <v>19</v>
      </c>
      <c r="B33" s="4"/>
      <c r="C33" s="198" t="str">
        <f>CONCATENATE("Total Account ",MID(B29,2,3))</f>
        <v>Total Account 921</v>
      </c>
      <c r="D33" s="18"/>
      <c r="E33" s="186">
        <f t="shared" si="15" ref="E33:J33">SUM(E30:E32)</f>
        <v>17921.669999999998</v>
      </c>
      <c r="F33" s="186">
        <f t="shared" si="15"/>
        <v>0</v>
      </c>
      <c r="G33" s="186">
        <f t="shared" si="15"/>
        <v>0</v>
      </c>
      <c r="H33" s="186">
        <f t="shared" si="15"/>
        <v>17921.669999999998</v>
      </c>
      <c r="I33" s="186">
        <f t="shared" si="15"/>
        <v>0</v>
      </c>
      <c r="J33" s="186">
        <f t="shared" si="15"/>
        <v>17921.669999999998</v>
      </c>
      <c r="K33" s="159"/>
      <c r="L33" s="186">
        <f>SUM(L30:L32)</f>
        <v>17921.669999999998</v>
      </c>
      <c r="M33" s="18"/>
      <c r="N33" s="24"/>
      <c r="O33" s="186">
        <f t="shared" si="16" ref="O33:X33">SUM(O30:O32)</f>
        <v>1447.0800000000002</v>
      </c>
      <c r="P33" s="186">
        <f t="shared" si="16"/>
        <v>0</v>
      </c>
      <c r="Q33" s="186">
        <f t="shared" si="17" ref="Q33">SUM(Q30:Q32)</f>
        <v>0</v>
      </c>
      <c r="R33" s="186">
        <f t="shared" si="16"/>
        <v>1447.0800000000002</v>
      </c>
      <c r="S33" s="186">
        <f t="shared" si="16"/>
        <v>3992.29</v>
      </c>
      <c r="T33" s="186">
        <f t="shared" si="18" ref="T33:U33">SUM(T30:T32)</f>
        <v>0</v>
      </c>
      <c r="U33" s="186">
        <f t="shared" si="18"/>
        <v>3992.29</v>
      </c>
      <c r="V33" s="186">
        <f t="shared" si="16"/>
        <v>1088.27</v>
      </c>
      <c r="W33" s="186">
        <f t="shared" si="16"/>
        <v>11394.029999999999</v>
      </c>
      <c r="X33" s="186">
        <f t="shared" si="16"/>
        <v>17921.669999999998</v>
      </c>
      <c r="Y33" s="8" t="b">
        <f>ROUND(+X33,2)=ROUND(L33,2)</f>
        <v>1</v>
      </c>
    </row>
    <row r="34" spans="1:24" s="8" customFormat="1" ht="15" customHeight="1">
      <c r="A34" s="16">
        <v>20</v>
      </c>
      <c r="B34" s="4"/>
      <c r="C34" s="30"/>
      <c r="D34" s="18"/>
      <c r="E34" s="13"/>
      <c r="F34" s="13"/>
      <c r="G34" s="13"/>
      <c r="H34" s="13"/>
      <c r="I34" s="13"/>
      <c r="J34" s="13"/>
      <c r="K34" s="159"/>
      <c r="L34" s="13"/>
      <c r="M34" s="18"/>
      <c r="N34" s="24"/>
      <c r="O34" s="19"/>
      <c r="P34" s="19"/>
      <c r="Q34" s="19"/>
      <c r="R34" s="19"/>
      <c r="S34" s="19"/>
      <c r="T34" s="19"/>
      <c r="U34" s="19"/>
      <c r="V34" s="19"/>
      <c r="W34" s="19"/>
      <c r="X34" s="62"/>
    </row>
    <row r="35" spans="1:24" s="8" customFormat="1" ht="15" customHeight="1">
      <c r="A35" s="16">
        <v>21</v>
      </c>
      <c r="B35" s="187" t="s">
        <v>290</v>
      </c>
      <c r="C35" s="30" t="str">
        <f>VLOOKUP(B35,'II-D-3'!$B$17:$C$121,2,FALSE)</f>
        <v>Miscellaneous General Expenses</v>
      </c>
      <c r="D35" s="18"/>
      <c r="E35" s="13"/>
      <c r="F35" s="13"/>
      <c r="G35" s="13"/>
      <c r="H35" s="13"/>
      <c r="I35" s="13"/>
      <c r="J35" s="13"/>
      <c r="K35" s="159"/>
      <c r="L35" s="13"/>
      <c r="M35" s="18"/>
      <c r="N35" s="24"/>
      <c r="O35" s="13"/>
      <c r="P35" s="13"/>
      <c r="Q35" s="13"/>
      <c r="R35" s="13"/>
      <c r="S35" s="13"/>
      <c r="T35" s="13"/>
      <c r="U35" s="13"/>
      <c r="V35" s="13"/>
      <c r="W35" s="13"/>
      <c r="X35" s="62"/>
    </row>
    <row r="36" spans="1:25" s="8" customFormat="1" ht="15" customHeight="1">
      <c r="A36" s="16">
        <v>22</v>
      </c>
      <c r="B36" s="4"/>
      <c r="C36" s="157" t="s">
        <v>348</v>
      </c>
      <c r="D36" s="18"/>
      <c r="E36" s="156">
        <v>818000</v>
      </c>
      <c r="F36" s="156">
        <v>0</v>
      </c>
      <c r="G36" s="156">
        <v>0</v>
      </c>
      <c r="H36" s="156">
        <f>+E36-F36+G36</f>
        <v>818000</v>
      </c>
      <c r="I36" s="156">
        <v>139051.05000000002</v>
      </c>
      <c r="J36" s="156">
        <f>+H36+I36</f>
        <v>957051.05000000005</v>
      </c>
      <c r="K36" s="159">
        <v>1</v>
      </c>
      <c r="L36" s="156">
        <f>+J36*K36</f>
        <v>957051.05000000005</v>
      </c>
      <c r="M36" s="18"/>
      <c r="N36" s="16"/>
      <c r="O36" s="156">
        <v>0</v>
      </c>
      <c r="P36" s="156">
        <v>0</v>
      </c>
      <c r="Q36" s="156">
        <v>0</v>
      </c>
      <c r="R36" s="156">
        <f t="shared" si="19" ref="R36:R38">SUM(O36:Q36)</f>
        <v>0</v>
      </c>
      <c r="S36" s="156">
        <v>0</v>
      </c>
      <c r="T36" s="156">
        <v>0</v>
      </c>
      <c r="U36" s="156">
        <f t="shared" si="20" ref="U36:U38">SUM(S36:T36)</f>
        <v>0</v>
      </c>
      <c r="V36" s="156">
        <v>0</v>
      </c>
      <c r="W36" s="156">
        <f>+L36</f>
        <v>957051.05000000005</v>
      </c>
      <c r="X36" s="156">
        <f t="shared" si="21" ref="X36:X38">+R36+U36+V36+W36</f>
        <v>957051.05000000005</v>
      </c>
      <c r="Y36" s="8" t="b">
        <f>ROUND(+X36,2)=ROUND(L36,2)</f>
        <v>1</v>
      </c>
    </row>
    <row r="37" spans="1:25" s="8" customFormat="1" ht="15" customHeight="1">
      <c r="A37" s="16">
        <v>23</v>
      </c>
      <c r="B37" s="4"/>
      <c r="C37" s="157" t="s">
        <v>349</v>
      </c>
      <c r="D37" s="18"/>
      <c r="E37" s="13">
        <v>1322113.9299999999</v>
      </c>
      <c r="F37" s="13">
        <v>0</v>
      </c>
      <c r="G37" s="13">
        <v>0</v>
      </c>
      <c r="H37" s="13">
        <f>+E37-F37+G37</f>
        <v>1322113.9299999999</v>
      </c>
      <c r="I37" s="13">
        <v>228088.83999999997</v>
      </c>
      <c r="J37" s="13">
        <f>+H37+I37</f>
        <v>1550202.77</v>
      </c>
      <c r="K37" s="159">
        <v>1</v>
      </c>
      <c r="L37" s="13">
        <f>+J37*K37</f>
        <v>1550202.77</v>
      </c>
      <c r="M37" s="18"/>
      <c r="N37" s="16"/>
      <c r="O37" s="13">
        <v>20790.349999999999</v>
      </c>
      <c r="P37" s="13">
        <v>0</v>
      </c>
      <c r="Q37" s="13">
        <v>0</v>
      </c>
      <c r="R37" s="13">
        <f t="shared" si="19"/>
        <v>20790.349999999999</v>
      </c>
      <c r="S37" s="13">
        <v>59457.25</v>
      </c>
      <c r="T37" s="13">
        <v>0</v>
      </c>
      <c r="U37" s="13">
        <f t="shared" si="20"/>
        <v>59457.25</v>
      </c>
      <c r="V37" s="13">
        <v>15635.26</v>
      </c>
      <c r="W37" s="13">
        <v>1454319.9100000002</v>
      </c>
      <c r="X37" s="13">
        <f t="shared" si="21"/>
        <v>1550202.7700000003</v>
      </c>
      <c r="Y37" s="8" t="b">
        <f>ROUND(+X37,2)=ROUND(L37,2)</f>
        <v>1</v>
      </c>
    </row>
    <row r="38" spans="1:25" s="8" customFormat="1" ht="15" customHeight="1">
      <c r="A38" s="16">
        <v>24</v>
      </c>
      <c r="B38" s="4"/>
      <c r="C38" s="157" t="s">
        <v>207</v>
      </c>
      <c r="D38" s="18"/>
      <c r="E38" s="13">
        <v>1358854</v>
      </c>
      <c r="F38" s="13">
        <v>0</v>
      </c>
      <c r="G38" s="13">
        <v>0</v>
      </c>
      <c r="H38" s="13">
        <f>+E38-F38+G38</f>
        <v>1358854</v>
      </c>
      <c r="I38" s="13">
        <v>454070.63</v>
      </c>
      <c r="J38" s="13">
        <f>+H38+I38</f>
        <v>1812924.6299999999</v>
      </c>
      <c r="K38" s="159">
        <v>1</v>
      </c>
      <c r="L38" s="13">
        <f>+J38*K38</f>
        <v>1812924.6299999999</v>
      </c>
      <c r="M38" s="18"/>
      <c r="N38" s="16"/>
      <c r="O38" s="13">
        <v>0</v>
      </c>
      <c r="P38" s="13">
        <v>0</v>
      </c>
      <c r="Q38" s="13">
        <v>0</v>
      </c>
      <c r="R38" s="13">
        <f t="shared" si="19"/>
        <v>0</v>
      </c>
      <c r="S38" s="13">
        <v>0</v>
      </c>
      <c r="T38" s="13">
        <v>0</v>
      </c>
      <c r="U38" s="13">
        <f t="shared" si="20"/>
        <v>0</v>
      </c>
      <c r="V38" s="13">
        <v>0</v>
      </c>
      <c r="W38" s="13">
        <f>+L38</f>
        <v>1812924.6299999999</v>
      </c>
      <c r="X38" s="13">
        <f t="shared" si="21"/>
        <v>1812924.6299999999</v>
      </c>
      <c r="Y38" s="8" t="b">
        <f>ROUND(+X38,2)=ROUND(L38,2)</f>
        <v>1</v>
      </c>
    </row>
    <row r="39" spans="1:25" s="8" customFormat="1" ht="15" customHeight="1">
      <c r="A39" s="16">
        <v>25</v>
      </c>
      <c r="B39" s="4"/>
      <c r="C39" s="198" t="str">
        <f>CONCATENATE("Total Account ",MID(B35,2,5))</f>
        <v>Total Account 930.2</v>
      </c>
      <c r="D39" s="18"/>
      <c r="E39" s="186">
        <f t="shared" si="22" ref="E39:J39">SUM(E36:E38)</f>
        <v>3498967.9299999997</v>
      </c>
      <c r="F39" s="186">
        <f t="shared" si="22"/>
        <v>0</v>
      </c>
      <c r="G39" s="186">
        <f t="shared" si="22"/>
        <v>0</v>
      </c>
      <c r="H39" s="186">
        <f t="shared" si="22"/>
        <v>3498967.9299999997</v>
      </c>
      <c r="I39" s="186">
        <f t="shared" si="22"/>
        <v>821210.52000000002</v>
      </c>
      <c r="J39" s="186">
        <f t="shared" si="22"/>
        <v>4320178.4500000002</v>
      </c>
      <c r="K39" s="159"/>
      <c r="L39" s="186">
        <f>SUM(L36:L38)</f>
        <v>4320178.4500000002</v>
      </c>
      <c r="M39" s="18"/>
      <c r="N39" s="24"/>
      <c r="O39" s="186">
        <f t="shared" si="23" ref="O39:X39">SUM(O36:O38)</f>
        <v>20790.349999999999</v>
      </c>
      <c r="P39" s="186">
        <f t="shared" si="23"/>
        <v>0</v>
      </c>
      <c r="Q39" s="186">
        <f t="shared" si="24" ref="Q39">SUM(Q36:Q38)</f>
        <v>0</v>
      </c>
      <c r="R39" s="186">
        <f t="shared" si="25" ref="R39">SUM(R36:R38)</f>
        <v>20790.349999999999</v>
      </c>
      <c r="S39" s="186">
        <f t="shared" si="23"/>
        <v>59457.25</v>
      </c>
      <c r="T39" s="186">
        <f t="shared" si="26" ref="T39:U39">SUM(T36:T38)</f>
        <v>0</v>
      </c>
      <c r="U39" s="186">
        <f t="shared" si="26"/>
        <v>59457.25</v>
      </c>
      <c r="V39" s="186">
        <f t="shared" si="23"/>
        <v>15635.26</v>
      </c>
      <c r="W39" s="186">
        <f t="shared" si="23"/>
        <v>4224295.5899999999</v>
      </c>
      <c r="X39" s="186">
        <f t="shared" si="23"/>
        <v>4320178.4500000002</v>
      </c>
      <c r="Y39" s="8" t="b">
        <f>ROUND(+X39,2)=ROUND(L39,2)</f>
        <v>1</v>
      </c>
    </row>
    <row r="40" spans="1:24" s="4" customFormat="1" ht="15" customHeight="1">
      <c r="A40" s="16">
        <v>26</v>
      </c>
      <c r="C40" s="30"/>
      <c r="D40" s="16"/>
      <c r="E40" s="13"/>
      <c r="F40" s="13"/>
      <c r="G40" s="13"/>
      <c r="H40" s="13"/>
      <c r="I40" s="13"/>
      <c r="J40" s="13"/>
      <c r="K40" s="159"/>
      <c r="L40" s="13"/>
      <c r="M40" s="16"/>
      <c r="N40" s="16"/>
      <c r="O40" s="13"/>
      <c r="P40" s="13"/>
      <c r="Q40" s="13"/>
      <c r="R40" s="13"/>
      <c r="S40" s="13"/>
      <c r="T40" s="13"/>
      <c r="U40" s="13"/>
      <c r="V40" s="13"/>
      <c r="W40" s="13"/>
      <c r="X40" s="62"/>
    </row>
    <row r="41" spans="1:24" s="4" customFormat="1" ht="15" customHeight="1">
      <c r="A41" s="16">
        <v>27</v>
      </c>
      <c r="C41" s="30"/>
      <c r="D41" s="16"/>
      <c r="E41" s="13"/>
      <c r="F41" s="13"/>
      <c r="G41" s="13"/>
      <c r="H41" s="13"/>
      <c r="I41" s="13"/>
      <c r="J41" s="13"/>
      <c r="K41" s="159"/>
      <c r="L41" s="13"/>
      <c r="M41" s="16"/>
      <c r="N41" s="16"/>
      <c r="O41" s="20"/>
      <c r="P41" s="20"/>
      <c r="Q41" s="20"/>
      <c r="R41" s="20"/>
      <c r="S41" s="20"/>
      <c r="T41" s="20"/>
      <c r="U41" s="20"/>
      <c r="V41" s="20"/>
      <c r="W41" s="20"/>
      <c r="X41" s="62"/>
    </row>
    <row r="42" spans="1:28" s="2" customFormat="1" ht="15" customHeight="1">
      <c r="A42" s="16">
        <v>28</v>
      </c>
      <c r="B42" s="85" t="str">
        <f>CONCATENATE("Total"," ",+B15)</f>
        <v>Total Contribution and Donation Expense</v>
      </c>
      <c r="E42" s="190">
        <f t="shared" si="27" ref="E42:J42">+E21+E33+E39+E27</f>
        <v>3540139.5999999996</v>
      </c>
      <c r="F42" s="190">
        <f t="shared" si="27"/>
        <v>0</v>
      </c>
      <c r="G42" s="190">
        <f t="shared" si="27"/>
        <v>0</v>
      </c>
      <c r="H42" s="190">
        <f t="shared" si="27"/>
        <v>3540139.5999999996</v>
      </c>
      <c r="I42" s="190">
        <f t="shared" si="27"/>
        <v>821210.52000000002</v>
      </c>
      <c r="J42" s="190">
        <f t="shared" si="27"/>
        <v>4361350.1200000001</v>
      </c>
      <c r="K42" s="173"/>
      <c r="L42" s="190">
        <f>+L21+L33+L39+L27</f>
        <v>4361350.1200000001</v>
      </c>
      <c r="M42" s="85"/>
      <c r="N42" s="85"/>
      <c r="O42" s="190">
        <f t="shared" si="28" ref="O42:X42">+O21+O33+O39+O27</f>
        <v>42237.43</v>
      </c>
      <c r="P42" s="190">
        <f t="shared" si="28"/>
        <v>0</v>
      </c>
      <c r="Q42" s="190">
        <f t="shared" si="28"/>
        <v>0</v>
      </c>
      <c r="R42" s="190">
        <f t="shared" si="28"/>
        <v>42237.43</v>
      </c>
      <c r="S42" s="190">
        <f t="shared" si="28"/>
        <v>66699.540000000008</v>
      </c>
      <c r="T42" s="190">
        <f t="shared" si="28"/>
        <v>0</v>
      </c>
      <c r="U42" s="190">
        <f t="shared" si="28"/>
        <v>66699.540000000008</v>
      </c>
      <c r="V42" s="190">
        <f t="shared" si="28"/>
        <v>16723.529999999999</v>
      </c>
      <c r="W42" s="190">
        <f t="shared" si="28"/>
        <v>4235689.6200000001</v>
      </c>
      <c r="X42" s="190">
        <f t="shared" si="28"/>
        <v>4361350.1200000001</v>
      </c>
      <c r="Y42" s="8" t="b">
        <f>ROUND(+X42,2)=ROUND(L42,2)</f>
        <v>1</v>
      </c>
      <c r="Z42" s="85"/>
      <c r="AA42" s="85"/>
      <c r="AB42" s="85"/>
    </row>
    <row r="43" spans="1:25" s="2" customFormat="1" ht="12.75">
      <c r="A43" s="16"/>
      <c r="K43" s="174"/>
      <c r="Y43" s="8"/>
    </row>
    <row r="44" spans="11:25" s="2" customFormat="1" ht="12.75">
      <c r="K44" s="174"/>
      <c r="Y44" s="8"/>
    </row>
    <row r="45" spans="11:25" s="2" customFormat="1" ht="12.75">
      <c r="K45" s="174"/>
      <c r="Y45" s="8"/>
    </row>
    <row r="46" spans="11:11" s="2" customFormat="1" ht="12.75">
      <c r="K46" s="174"/>
    </row>
    <row r="47" spans="11:11" s="2" customFormat="1" ht="12.75">
      <c r="K47" s="174"/>
    </row>
    <row r="48" spans="11:11" s="2" customFormat="1" ht="12.75">
      <c r="K48" s="174"/>
    </row>
    <row r="49" spans="11:11" s="2" customFormat="1" ht="12.75">
      <c r="K49" s="174"/>
    </row>
    <row r="50" spans="11:11" s="2" customFormat="1" ht="12.75">
      <c r="K50" s="174"/>
    </row>
    <row r="51" spans="11:11" s="2" customFormat="1" ht="12.75">
      <c r="K51" s="174"/>
    </row>
    <row r="52" spans="11:11" s="2" customFormat="1" ht="12.75">
      <c r="K52" s="174"/>
    </row>
    <row r="53" spans="11:11" s="2" customFormat="1" ht="12.75">
      <c r="K53" s="174"/>
    </row>
    <row r="54" spans="11:11" s="2" customFormat="1" ht="12.75">
      <c r="K54" s="174"/>
    </row>
    <row r="55" spans="11:11" s="2" customFormat="1" ht="12.75">
      <c r="K55" s="174"/>
    </row>
    <row r="56" spans="11:11" s="2" customFormat="1" ht="12.75">
      <c r="K56" s="174"/>
    </row>
    <row r="57" spans="11:11" s="2" customFormat="1" ht="12.75">
      <c r="K57" s="174"/>
    </row>
    <row r="58" spans="11:11" s="2" customFormat="1" ht="12.75">
      <c r="K58" s="174"/>
    </row>
    <row r="59" spans="11:11" s="2" customFormat="1" ht="12.75">
      <c r="K59" s="174"/>
    </row>
    <row r="60" spans="11:11" s="2" customFormat="1" ht="12.75">
      <c r="K60" s="174"/>
    </row>
    <row r="61" spans="11:11" s="2" customFormat="1" ht="12.75">
      <c r="K61" s="174"/>
    </row>
    <row r="62" spans="11:11" s="2" customFormat="1" ht="12.75">
      <c r="K62" s="174"/>
    </row>
    <row r="63" spans="11:11" s="2" customFormat="1" ht="12.75">
      <c r="K63" s="174"/>
    </row>
    <row r="64" spans="11:11" s="2" customFormat="1" ht="12.75">
      <c r="K64" s="174"/>
    </row>
    <row r="65" s="2" customFormat="1" ht="12.75"/>
    <row r="66" s="2" customFormat="1" ht="12.75"/>
    <row r="67" s="2" customFormat="1" ht="12.75"/>
    <row r="68" s="2" customFormat="1" ht="12.75"/>
    <row r="69" s="2" customFormat="1" ht="12.75"/>
    <row r="70" s="2" customFormat="1" ht="12.75"/>
    <row r="71" s="2" customFormat="1" ht="12.75"/>
    <row r="72" s="2" customFormat="1" ht="12.75"/>
    <row r="73" s="2" customFormat="1" ht="12.75"/>
    <row r="74" s="2" customFormat="1" ht="12.75"/>
    <row r="75" s="2" customFormat="1" ht="12.75"/>
    <row r="76" s="2" customFormat="1" ht="12.75"/>
    <row r="77" s="2" customFormat="1" ht="12.75"/>
    <row r="78" s="2" customFormat="1" ht="12.75"/>
    <row r="79" s="2" customFormat="1" ht="12.75"/>
    <row r="80" s="2" customFormat="1" ht="12.75"/>
    <row r="81" s="2" customFormat="1" ht="12.75"/>
    <row r="82" s="2" customFormat="1" ht="12.75"/>
    <row r="83" s="2" customFormat="1" ht="12.75"/>
    <row r="84" s="2" customFormat="1" ht="12.75"/>
    <row r="85" s="2" customFormat="1" ht="12.75"/>
    <row r="86" s="2" customFormat="1" ht="12.75"/>
    <row r="87" s="2" customFormat="1" ht="12.75"/>
    <row r="88" s="2" customFormat="1" ht="12.75"/>
    <row r="89" s="2" customFormat="1" ht="12.75"/>
    <row r="90" s="2" customFormat="1" ht="12.75"/>
    <row r="91" s="2" customFormat="1" ht="12.75"/>
    <row r="92" s="2" customFormat="1" ht="12.75"/>
    <row r="93" s="2" customFormat="1" ht="12.75"/>
    <row r="94" s="2" customFormat="1" ht="12.75"/>
    <row r="95" s="2" customFormat="1" ht="12.75"/>
    <row r="96" s="2" customFormat="1" ht="12.75"/>
    <row r="97" s="2" customFormat="1" ht="12.75"/>
    <row r="98" s="2" customFormat="1" ht="12.75"/>
    <row r="99" s="2" customFormat="1" ht="12.75"/>
    <row r="100" s="2" customFormat="1" ht="12.75"/>
    <row r="101" s="2" customFormat="1" ht="12.75"/>
    <row r="102" s="2" customFormat="1" ht="12.75"/>
    <row r="103" s="2" customFormat="1" ht="12.75"/>
    <row r="104" s="2" customFormat="1" ht="12.75"/>
    <row r="105" s="2" customFormat="1" ht="12.75"/>
    <row r="106" s="2" customFormat="1" ht="12.75"/>
    <row r="107" s="2" customFormat="1" ht="12.75"/>
    <row r="108" s="2" customFormat="1" ht="12.75"/>
    <row r="109" s="2" customFormat="1" ht="12.75"/>
    <row r="110" s="2" customFormat="1" ht="12.75"/>
    <row r="111" s="2" customFormat="1" ht="12.75"/>
    <row r="112" s="2" customFormat="1" ht="12.75"/>
    <row r="113" s="2" customFormat="1" ht="12.75"/>
    <row r="114" s="2" customFormat="1" ht="12.75"/>
    <row r="115" s="2" customFormat="1" ht="12.75"/>
    <row r="116" s="2" customFormat="1" ht="12.75"/>
    <row r="117" s="2" customFormat="1" ht="12.75"/>
    <row r="118" s="2" customFormat="1" ht="12.75"/>
    <row r="119" s="2" customFormat="1" ht="12.75"/>
    <row r="120" s="2" customFormat="1" ht="12.75"/>
    <row r="121" s="2" customFormat="1" ht="12.75"/>
    <row r="122" s="2" customFormat="1" ht="12.75"/>
    <row r="123" s="2" customFormat="1" ht="12.75"/>
    <row r="124" s="2" customFormat="1" ht="12.75"/>
    <row r="125" s="2" customFormat="1" ht="12.75"/>
    <row r="126" s="2" customFormat="1" ht="12.75"/>
    <row r="127" s="2" customFormat="1" ht="12.75"/>
    <row r="128" s="2" customFormat="1" ht="12.75"/>
    <row r="129" s="2" customFormat="1" ht="12.75"/>
    <row r="130" s="2" customFormat="1" ht="12.75"/>
    <row r="131" s="2" customFormat="1" ht="12.75"/>
    <row r="132" s="2" customFormat="1" ht="12.75"/>
    <row r="133" s="2" customFormat="1" ht="12.75"/>
    <row r="134" s="2" customFormat="1" ht="12.75"/>
    <row r="135" s="2" customFormat="1" ht="12.75"/>
    <row r="136" s="2" customFormat="1" ht="12.75"/>
    <row r="137" s="2" customFormat="1" ht="12.75"/>
    <row r="138" s="2" customFormat="1" ht="12.75"/>
    <row r="139" s="2" customFormat="1" ht="12.75"/>
    <row r="140" s="2" customFormat="1" ht="12.75"/>
    <row r="141" s="2" customFormat="1" ht="12.75"/>
    <row r="142" s="2" customFormat="1" ht="12.75"/>
    <row r="143" s="2" customFormat="1" ht="12.75"/>
    <row r="144" s="2" customFormat="1" ht="12.75"/>
    <row r="145" s="2" customFormat="1" ht="12.75"/>
    <row r="146" s="2" customFormat="1" ht="12.75"/>
    <row r="147" s="2" customFormat="1" ht="12.75"/>
    <row r="148" s="2" customFormat="1" ht="12.75"/>
    <row r="149" s="2" customFormat="1" ht="12.75"/>
    <row r="150" s="2" customFormat="1" ht="12.75"/>
    <row r="151" s="2" customFormat="1" ht="12.75"/>
    <row r="152" s="2" customFormat="1" ht="12.75"/>
    <row r="153" s="2" customFormat="1" ht="12.75"/>
    <row r="154" s="2" customFormat="1" ht="12.75"/>
    <row r="155" s="2" customFormat="1" ht="12.75"/>
    <row r="156" s="2" customFormat="1" ht="12.75"/>
    <row r="157" s="2" customFormat="1" ht="12.75"/>
    <row r="158" s="2" customFormat="1" ht="12.75"/>
    <row r="159" s="2" customFormat="1" ht="12.75"/>
    <row r="160" s="2" customFormat="1" ht="12.75"/>
    <row r="161" s="2" customFormat="1" ht="12.75"/>
    <row r="162" s="2" customFormat="1" ht="12.75"/>
    <row r="163" s="2" customFormat="1" ht="12.75"/>
    <row r="164" s="2" customFormat="1" ht="12.75"/>
    <row r="165" s="2" customFormat="1" ht="12.75"/>
    <row r="166" s="2" customFormat="1" ht="12.75"/>
    <row r="167" s="2" customFormat="1" ht="12.75"/>
    <row r="168" s="2" customFormat="1" ht="12.75"/>
    <row r="169" s="2" customFormat="1" ht="12.75"/>
    <row r="170" s="2" customFormat="1" ht="12.75"/>
    <row r="171" s="2" customFormat="1" ht="12.75"/>
    <row r="172" s="2" customFormat="1" ht="12.75"/>
    <row r="173" s="2" customFormat="1" ht="12.75"/>
    <row r="174" s="2" customFormat="1" ht="12.75"/>
    <row r="175" s="2" customFormat="1" ht="12.75"/>
    <row r="176" s="2" customFormat="1" ht="12.75"/>
    <row r="177" s="2" customFormat="1" ht="12.75"/>
    <row r="178" s="2" customFormat="1" ht="12.75"/>
    <row r="179" s="2" customFormat="1" ht="12.75"/>
    <row r="180" s="2" customFormat="1" ht="12.75"/>
    <row r="181" s="2" customFormat="1" ht="12.75"/>
    <row r="182" s="2" customFormat="1" ht="12.75"/>
    <row r="183" s="2" customFormat="1" ht="12.75"/>
    <row r="184" s="2" customFormat="1" ht="12.75"/>
    <row r="185" s="2" customFormat="1" ht="12.75"/>
    <row r="186" s="2" customFormat="1" ht="12.75"/>
    <row r="187" s="2" customFormat="1" ht="12.75"/>
    <row r="188" s="2" customFormat="1" ht="12.75"/>
    <row r="189" s="2" customFormat="1" ht="12.75"/>
    <row r="190" s="2" customFormat="1" ht="12.75"/>
    <row r="191" s="2" customFormat="1" ht="12.75"/>
    <row r="192" s="2" customFormat="1" ht="12.75"/>
    <row r="193" s="2" customFormat="1" ht="12.75"/>
    <row r="194" s="2" customFormat="1" ht="12.75"/>
    <row r="195" s="2" customFormat="1" ht="12.75"/>
    <row r="196" s="2" customFormat="1" ht="12.75"/>
    <row r="197" s="2" customFormat="1" ht="12.75"/>
    <row r="198" s="2" customFormat="1" ht="12.75"/>
    <row r="199" s="2" customFormat="1" ht="12.75"/>
    <row r="200" s="2" customFormat="1" ht="12.75"/>
    <row r="201" s="2" customFormat="1" ht="12.75"/>
    <row r="202" s="2" customFormat="1" ht="12.75"/>
    <row r="203" s="2" customFormat="1" ht="12.75"/>
    <row r="204" s="2" customFormat="1" ht="12.75"/>
    <row r="205" s="2" customFormat="1" ht="12.75"/>
    <row r="206" s="2" customFormat="1" ht="12.75"/>
    <row r="207" s="2" customFormat="1" ht="12.75"/>
    <row r="208" s="2" customFormat="1" ht="12.75"/>
    <row r="209" s="2" customFormat="1" ht="12.75"/>
    <row r="210" s="2" customFormat="1" ht="12.75"/>
    <row r="211" s="2" customFormat="1" ht="12.75"/>
    <row r="212" s="2" customFormat="1" ht="12.75"/>
    <row r="213" s="2" customFormat="1" ht="12.75"/>
    <row r="214" s="2" customFormat="1" ht="12.75"/>
    <row r="215" s="2" customFormat="1" ht="12.75"/>
    <row r="216" s="2" customFormat="1" ht="12.75"/>
    <row r="217" s="2" customFormat="1" ht="12.75"/>
    <row r="218" s="2" customFormat="1" ht="12.75"/>
    <row r="219" s="2" customFormat="1" ht="12.75"/>
    <row r="220" s="2" customFormat="1" ht="12.75"/>
    <row r="221" s="2" customFormat="1" ht="12.75"/>
    <row r="222" s="2" customFormat="1" ht="12.75"/>
    <row r="223" s="2" customFormat="1" ht="12.75"/>
    <row r="224" s="2" customFormat="1" ht="12.75"/>
    <row r="225" s="2" customFormat="1" ht="12.75"/>
    <row r="226" s="2" customFormat="1" ht="12.75"/>
    <row r="227" s="2" customFormat="1" ht="12.75"/>
    <row r="228" s="2" customFormat="1" ht="12.75"/>
    <row r="229" s="2" customFormat="1" ht="12.75"/>
    <row r="230" s="2" customFormat="1" ht="12.75"/>
    <row r="231" s="2" customFormat="1" ht="12.75"/>
    <row r="232" s="2" customFormat="1" ht="12.75"/>
    <row r="233" s="2" customFormat="1" ht="12.75"/>
    <row r="234" s="2" customFormat="1" ht="12.75"/>
    <row r="235" s="2" customFormat="1" ht="12.75"/>
    <row r="236" s="2" customFormat="1" ht="12.75"/>
    <row r="237" s="2" customFormat="1" ht="12.75"/>
    <row r="238" s="2" customFormat="1" ht="12.75"/>
    <row r="239" s="2" customFormat="1" ht="12.75"/>
    <row r="240" s="2" customFormat="1" ht="12.75"/>
    <row r="241" s="2" customFormat="1" ht="12.75"/>
    <row r="242" s="2" customFormat="1" ht="12.75"/>
    <row r="243" s="2" customFormat="1" ht="12.75"/>
    <row r="244" s="2" customFormat="1" ht="12.75"/>
    <row r="245" s="2" customFormat="1" ht="12.75"/>
    <row r="246" s="2" customFormat="1" ht="12.75"/>
    <row r="247" s="2" customFormat="1" ht="12.75"/>
    <row r="248" s="2" customFormat="1" ht="12.75"/>
    <row r="249" s="2" customFormat="1" ht="12.75"/>
    <row r="250" s="2" customFormat="1" ht="12.75"/>
    <row r="251" s="2" customFormat="1" ht="12.75"/>
    <row r="252" s="2" customFormat="1" ht="12.75"/>
    <row r="253" s="2" customFormat="1" ht="12.75"/>
    <row r="254" s="2" customFormat="1" ht="12.75"/>
    <row r="255" s="2" customFormat="1" ht="12.75"/>
    <row r="256" s="2" customFormat="1" ht="12.75"/>
    <row r="257" s="2" customFormat="1" ht="12.75"/>
    <row r="258" s="2" customFormat="1" ht="12.75"/>
    <row r="259" s="2" customFormat="1" ht="12.75"/>
    <row r="260" s="2" customFormat="1" ht="12.75"/>
    <row r="261" s="2" customFormat="1" ht="12.75"/>
    <row r="262" s="2" customFormat="1" ht="12.75"/>
    <row r="263" s="2" customFormat="1" ht="12.75"/>
    <row r="264" s="2" customFormat="1" ht="12.75"/>
    <row r="265" s="2" customFormat="1" ht="12.75"/>
    <row r="266" s="2" customFormat="1" ht="12.75"/>
    <row r="267" s="2" customFormat="1" ht="12.75"/>
    <row r="268" s="2" customFormat="1" ht="12.75"/>
    <row r="269" s="2" customFormat="1" ht="12.75"/>
    <row r="270" s="2" customFormat="1" ht="12.75"/>
    <row r="271" s="2" customFormat="1" ht="12.75"/>
    <row r="272" s="2" customFormat="1" ht="12.75"/>
    <row r="273" s="2" customFormat="1" ht="12.75"/>
    <row r="274" s="2" customFormat="1" ht="12.75"/>
    <row r="275" s="2" customFormat="1" ht="12.75"/>
    <row r="276" s="2" customFormat="1" ht="12.75"/>
    <row r="277" s="2" customFormat="1" ht="12.75"/>
    <row r="278" s="2" customFormat="1" ht="12.75"/>
    <row r="279" s="2" customFormat="1" ht="12.75"/>
    <row r="280" s="2" customFormat="1" ht="12.75"/>
    <row r="281" s="2" customFormat="1" ht="12.75"/>
    <row r="282" s="2" customFormat="1" ht="12.75"/>
    <row r="283" s="2" customFormat="1" ht="12.75"/>
    <row r="284" s="2" customFormat="1" ht="12.75"/>
    <row r="285" s="2" customFormat="1" ht="12.75"/>
    <row r="286" s="2" customFormat="1" ht="12.75"/>
    <row r="287" s="2" customFormat="1" ht="12.75"/>
    <row r="288" s="2" customFormat="1" ht="12.75"/>
    <row r="289" s="2" customFormat="1" ht="12.75"/>
    <row r="290" s="2" customFormat="1" ht="12.75"/>
    <row r="291" s="2" customFormat="1" ht="12.75"/>
    <row r="292" s="2" customFormat="1" ht="12.75"/>
    <row r="293" s="2" customFormat="1" ht="12.75"/>
    <row r="294" s="2" customFormat="1" ht="12.75"/>
    <row r="295" s="2" customFormat="1" ht="12.75"/>
    <row r="296" s="2" customFormat="1" ht="12.75"/>
    <row r="297" s="2" customFormat="1" ht="12.75"/>
    <row r="298" s="2" customFormat="1" ht="12.75"/>
    <row r="299" s="2" customFormat="1" ht="12.75"/>
    <row r="300" s="2" customFormat="1" ht="12.75"/>
    <row r="301" s="2" customFormat="1" ht="12.75"/>
    <row r="302" s="2" customFormat="1" ht="12.75"/>
    <row r="303" s="2" customFormat="1" ht="12.75"/>
    <row r="304" s="2" customFormat="1" ht="12.75"/>
    <row r="305" s="2" customFormat="1" ht="12.75"/>
    <row r="306" s="2" customFormat="1" ht="12.75"/>
    <row r="307" s="2" customFormat="1" ht="12.75"/>
    <row r="308" s="2" customFormat="1" ht="12.75"/>
    <row r="309" s="2" customFormat="1" ht="12.75"/>
    <row r="310" s="2" customFormat="1" ht="12.75"/>
    <row r="311" s="2" customFormat="1" ht="12.75"/>
    <row r="312" s="2" customFormat="1" ht="12.75"/>
    <row r="313" s="2" customFormat="1" ht="12.75"/>
    <row r="314" s="2" customFormat="1" ht="12.75"/>
    <row r="315" s="2" customFormat="1" ht="12.75"/>
    <row r="316" s="2" customFormat="1" ht="12.75"/>
    <row r="317" s="2" customFormat="1" ht="12.75"/>
    <row r="318" s="2" customFormat="1" ht="12.75"/>
    <row r="319" s="2" customFormat="1" ht="12.75"/>
    <row r="320" s="2" customFormat="1" ht="12.75"/>
    <row r="321" s="2" customFormat="1" ht="12.75"/>
    <row r="322" s="2" customFormat="1" ht="12.75"/>
    <row r="323" s="2" customFormat="1" ht="12.75"/>
    <row r="324" s="2" customFormat="1" ht="12.75"/>
    <row r="325" s="2" customFormat="1" ht="12.75"/>
    <row r="326" s="2" customFormat="1" ht="12.75"/>
    <row r="327" s="2" customFormat="1" ht="12.75"/>
    <row r="328" s="2" customFormat="1" ht="12.75"/>
    <row r="329" s="2" customFormat="1" ht="12.75"/>
    <row r="330" s="2" customFormat="1" ht="12.75"/>
    <row r="331" s="2" customFormat="1" ht="12.75"/>
    <row r="332" s="2" customFormat="1" ht="12.75"/>
    <row r="333" s="2" customFormat="1" ht="12.75"/>
    <row r="334" s="2" customFormat="1" ht="12.75"/>
    <row r="335" s="2" customFormat="1" ht="12.75"/>
    <row r="336" s="2" customFormat="1" ht="12.75"/>
    <row r="337" s="2" customFormat="1" ht="12.75"/>
    <row r="338" s="2" customFormat="1" ht="12.75"/>
    <row r="339" s="2" customFormat="1" ht="12.75"/>
    <row r="340" s="2" customFormat="1" ht="12.75"/>
    <row r="341" s="2" customFormat="1" ht="12.75"/>
    <row r="342" s="2" customFormat="1" ht="12.75"/>
    <row r="343" s="2" customFormat="1" ht="12.75"/>
    <row r="344" s="2" customFormat="1" ht="12.75"/>
    <row r="345" s="2" customFormat="1" ht="12.75"/>
    <row r="346" s="2" customFormat="1" ht="12.75"/>
    <row r="347" s="2" customFormat="1" ht="12.75"/>
    <row r="348" s="2" customFormat="1" ht="12.75"/>
    <row r="349" s="2" customFormat="1" ht="12.75"/>
    <row r="350" s="2" customFormat="1" ht="12.75"/>
    <row r="351" s="2" customFormat="1" ht="12.75"/>
    <row r="352" s="2" customFormat="1" ht="12.75"/>
    <row r="353" s="2" customFormat="1" ht="12.75"/>
    <row r="354" s="2" customFormat="1" ht="12.75"/>
    <row r="355" s="2" customFormat="1" ht="12.75"/>
    <row r="356" s="2" customFormat="1" ht="12.75"/>
    <row r="357" s="2" customFormat="1" ht="12.75"/>
    <row r="358" s="2" customFormat="1" ht="12.75"/>
    <row r="359" s="2" customFormat="1" ht="12.75"/>
    <row r="360" s="2" customFormat="1" ht="12.75"/>
    <row r="361" s="2" customFormat="1" ht="12.75"/>
    <row r="362" s="2" customFormat="1" ht="12.75"/>
    <row r="363" s="2" customFormat="1" ht="12.75"/>
    <row r="364" s="2" customFormat="1" ht="12.75"/>
    <row r="365" s="2" customFormat="1" ht="12.75"/>
    <row r="366" s="2" customFormat="1" ht="12.75"/>
    <row r="367" s="2" customFormat="1" ht="12.75"/>
    <row r="368" s="2" customFormat="1" ht="12.75"/>
    <row r="369" s="2" customFormat="1" ht="12.75"/>
    <row r="370" s="2" customFormat="1" ht="12.75"/>
    <row r="371" s="2" customFormat="1" ht="12.75"/>
    <row r="372" s="2" customFormat="1" ht="12.75"/>
    <row r="373" s="2" customFormat="1" ht="12.75"/>
    <row r="374" s="2" customFormat="1" ht="12.75"/>
    <row r="375" s="2" customFormat="1" ht="12.75"/>
    <row r="376" s="2" customFormat="1" ht="12.75"/>
    <row r="377" s="2" customFormat="1" ht="12.75"/>
    <row r="378" s="2" customFormat="1" ht="12.75"/>
    <row r="379" s="2" customFormat="1" ht="12.75"/>
    <row r="380" s="2" customFormat="1" ht="12.75"/>
    <row r="381" s="2" customFormat="1" ht="12.75"/>
    <row r="382" s="2" customFormat="1" ht="12.75"/>
    <row r="383" s="2" customFormat="1" ht="12.75"/>
    <row r="384" s="2" customFormat="1" ht="12.75"/>
    <row r="385" s="2" customFormat="1" ht="12.75"/>
    <row r="386" s="2" customFormat="1" ht="12.75"/>
    <row r="387" s="2" customFormat="1" ht="12.75"/>
    <row r="388" s="2" customFormat="1" ht="12.75"/>
    <row r="389" s="2" customFormat="1" ht="12.75"/>
    <row r="390" s="2" customFormat="1" ht="12.75"/>
    <row r="391" s="2" customFormat="1" ht="12.75"/>
    <row r="392" s="2" customFormat="1" ht="12.75"/>
    <row r="393" s="2" customFormat="1" ht="12.75"/>
    <row r="394" s="2" customFormat="1" ht="12.75"/>
    <row r="395" s="2" customFormat="1" ht="12.75"/>
    <row r="396" s="2" customFormat="1" ht="12.75"/>
    <row r="397" s="2" customFormat="1" ht="12.75"/>
    <row r="398" s="2" customFormat="1" ht="12.75"/>
    <row r="399" s="2" customFormat="1" ht="12.75"/>
    <row r="400" s="2" customFormat="1" ht="12.75"/>
    <row r="401" s="2" customFormat="1" ht="12.75"/>
    <row r="402" s="2" customFormat="1" ht="12.75"/>
    <row r="403" s="2" customFormat="1" ht="12.75"/>
    <row r="404" s="2" customFormat="1" ht="12.75"/>
    <row r="405" s="2" customFormat="1" ht="12.75"/>
    <row r="406" s="2" customFormat="1" ht="12.75"/>
    <row r="407" s="2" customFormat="1" ht="12.75"/>
    <row r="408" s="2" customFormat="1" ht="12.75"/>
    <row r="409" s="2" customFormat="1" ht="12.75"/>
    <row r="410" s="2" customFormat="1" ht="12.75"/>
    <row r="411" s="2" customFormat="1" ht="12.75"/>
    <row r="412" s="2" customFormat="1" ht="12.75"/>
    <row r="413" s="2" customFormat="1" ht="12.75"/>
    <row r="414" s="2" customFormat="1" ht="12.75"/>
    <row r="415" s="2" customFormat="1" ht="12.75"/>
    <row r="416" s="2" customFormat="1" ht="12.75"/>
    <row r="417" s="2" customFormat="1" ht="12.75"/>
    <row r="418" s="2" customFormat="1" ht="12.75"/>
    <row r="419" s="2" customFormat="1" ht="12.75"/>
    <row r="420" s="2" customFormat="1" ht="12.75"/>
    <row r="421" s="2" customFormat="1" ht="12.75"/>
    <row r="422" s="2" customFormat="1" ht="12.75"/>
    <row r="423" s="2" customFormat="1" ht="12.75"/>
    <row r="424" s="2" customFormat="1" ht="12.75"/>
    <row r="425" s="2" customFormat="1" ht="12.75"/>
    <row r="426" s="2" customFormat="1" ht="12.75"/>
    <row r="427" s="2" customFormat="1" ht="12.75"/>
    <row r="428" s="2" customFormat="1" ht="12.75"/>
    <row r="429" s="2" customFormat="1" ht="12.75"/>
    <row r="430" s="2" customFormat="1" ht="12.75"/>
    <row r="431" s="2" customFormat="1" ht="12.75"/>
    <row r="432" s="2" customFormat="1" ht="12.75"/>
    <row r="433" s="2" customFormat="1" ht="12.75"/>
    <row r="434" s="2" customFormat="1" ht="12.75"/>
    <row r="435" s="2" customFormat="1" ht="12.75"/>
    <row r="436" s="2" customFormat="1" ht="12.75"/>
    <row r="437" s="2" customFormat="1" ht="12.75"/>
    <row r="438" s="2" customFormat="1" ht="12.75"/>
    <row r="439" s="2" customFormat="1" ht="12.75"/>
    <row r="440" s="2" customFormat="1" ht="12.75"/>
    <row r="441" s="2" customFormat="1" ht="12.75"/>
    <row r="442" s="2" customFormat="1" ht="12.75"/>
    <row r="443" s="2" customFormat="1" ht="12.75"/>
    <row r="444" s="2" customFormat="1" ht="12.75"/>
    <row r="445" s="2" customFormat="1" ht="12.75"/>
    <row r="446" s="2" customFormat="1" ht="12.75"/>
    <row r="447" s="2" customFormat="1" ht="12.75"/>
    <row r="448" s="2" customFormat="1" ht="12.75"/>
    <row r="449" s="2" customFormat="1" ht="12.75"/>
    <row r="450" s="2" customFormat="1" ht="12.75"/>
    <row r="451" s="2" customFormat="1" ht="12.75"/>
    <row r="452" s="2" customFormat="1" ht="12.75"/>
    <row r="453" s="2" customFormat="1" ht="12.75"/>
    <row r="454" s="2" customFormat="1" ht="12.75"/>
    <row r="455" s="2" customFormat="1" ht="12.75"/>
    <row r="456" s="2" customFormat="1" ht="12.75"/>
    <row r="457" s="2" customFormat="1" ht="12.75"/>
    <row r="458" s="2" customFormat="1" ht="12.75"/>
    <row r="459" s="2" customFormat="1" ht="12.75"/>
    <row r="460" s="2" customFormat="1" ht="12.75"/>
    <row r="461" s="2" customFormat="1" ht="12.75"/>
    <row r="462" s="2" customFormat="1" ht="12.75"/>
    <row r="463" s="2" customFormat="1" ht="12.75"/>
    <row r="464" s="2" customFormat="1" ht="12.75"/>
    <row r="465" s="2" customFormat="1" ht="12.75"/>
    <row r="466" s="2" customFormat="1" ht="12.75"/>
    <row r="467" s="2" customFormat="1" ht="12.75"/>
    <row r="468" s="2" customFormat="1" ht="12.75"/>
    <row r="469" s="2" customFormat="1" ht="12.75"/>
    <row r="470" s="2" customFormat="1" ht="12.75"/>
    <row r="471" s="2" customFormat="1" ht="12.75"/>
    <row r="472" s="2" customFormat="1" ht="12.75"/>
    <row r="473" s="2" customFormat="1" ht="12.75"/>
    <row r="474" s="2" customFormat="1" ht="12.75"/>
    <row r="475" s="2" customFormat="1" ht="12.75"/>
    <row r="476" s="2" customFormat="1" ht="12.75"/>
    <row r="477" s="2" customFormat="1" ht="12.75"/>
    <row r="478" s="2" customFormat="1" ht="12.75"/>
    <row r="479" s="2" customFormat="1" ht="12.75"/>
    <row r="480" s="2" customFormat="1" ht="12.75"/>
    <row r="481" s="2" customFormat="1" ht="12.75"/>
    <row r="482" s="2" customFormat="1" ht="12.75"/>
    <row r="483" s="2" customFormat="1" ht="12.75"/>
    <row r="484" s="2" customFormat="1" ht="12.75"/>
    <row r="485" s="2" customFormat="1" ht="12.75"/>
    <row r="486" s="2" customFormat="1" ht="12.75"/>
    <row r="487" s="2" customFormat="1" ht="12.75"/>
    <row r="488" s="2" customFormat="1" ht="12.75"/>
    <row r="489" s="2" customFormat="1" ht="12.75"/>
    <row r="490" s="2" customFormat="1" ht="12.75"/>
    <row r="491" s="2" customFormat="1" ht="12.75"/>
    <row r="492" s="2" customFormat="1" ht="12.75"/>
    <row r="493" s="2" customFormat="1" ht="12.75"/>
    <row r="494" s="2" customFormat="1" ht="12.75"/>
    <row r="495" s="2" customFormat="1" ht="12.75"/>
    <row r="496" s="2" customFormat="1" ht="12.75"/>
    <row r="497" s="2" customFormat="1" ht="12.75"/>
    <row r="498" s="2" customFormat="1" ht="12.75"/>
    <row r="499" s="2" customFormat="1" ht="12.75"/>
    <row r="500" s="2" customFormat="1" ht="12.75"/>
    <row r="501" s="2" customFormat="1" ht="12.75"/>
    <row r="502" s="2" customFormat="1" ht="12.75"/>
    <row r="503" s="2" customFormat="1" ht="12.75"/>
    <row r="504" s="2" customFormat="1" ht="12.75"/>
    <row r="505" s="2" customFormat="1" ht="12.75"/>
    <row r="506" s="2" customFormat="1" ht="12.75"/>
    <row r="507" s="2" customFormat="1" ht="12.75"/>
    <row r="508" s="2" customFormat="1" ht="12.75"/>
    <row r="509" s="2" customFormat="1" ht="12.75"/>
    <row r="510" s="2" customFormat="1" ht="12.75"/>
    <row r="511" s="2" customFormat="1" ht="12.75"/>
    <row r="512" s="2" customFormat="1" ht="12.75"/>
    <row r="513" s="2" customFormat="1" ht="12.75"/>
    <row r="514" s="2" customFormat="1" ht="12.75"/>
    <row r="515" s="2" customFormat="1" ht="12.75"/>
    <row r="516" s="2" customFormat="1" ht="12.75"/>
    <row r="517" s="2" customFormat="1" ht="12.75"/>
    <row r="518" s="2" customFormat="1" ht="12.75"/>
    <row r="519" s="2" customFormat="1" ht="12.75"/>
    <row r="520" s="2" customFormat="1" ht="12.75"/>
    <row r="521" s="2" customFormat="1" ht="12.75"/>
  </sheetData>
  <printOptions horizontalCentered="1"/>
  <pageMargins left="0.5" right="0.5" top="3" bottom="0.5" header="1.5" footer="0.5"/>
  <pageSetup orientation="landscape" pageOrder="overThenDown" scale="65" r:id="rId1"/>
  <headerFooter alignWithMargins="0">
    <oddHeader>&amp;C&amp;B
2022 RATE CASE
ONCOR ELECTRIC DELIVERY COMPANY LLC
II-D-2.5  SUMMARY OF CONTRIBUTION &amp;&amp; DONATION EXPENSE
TEST YEAR ENDING DECEMBER 31, 2021
SPONSOR: W. ALAN LEDBETTER&amp;R&amp;"Arial,Bold"Schedule &amp;A
Page &amp;P of &amp;N</oddHeader>
  </headerFooter>
  <colBreaks count="1" manualBreakCount="1">
    <brk id="11" min="14" max="83" man="1"/>
  </col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3">
    <tabColor rgb="FFFF0000"/>
  </sheetPr>
  <dimension ref="A1:Y30"/>
  <sheetViews>
    <sheetView workbookViewId="0" topLeftCell="A1">
      <pane xSplit="3" ySplit="16" topLeftCell="D17" activePane="bottomRight" state="frozen"/>
      <selection pane="topLeft" activeCell="D39" sqref="D39"/>
      <selection pane="bottomLeft" activeCell="D39" sqref="D39"/>
      <selection pane="topRight" activeCell="D39" sqref="D39"/>
      <selection pane="bottomRight" activeCell="D17" sqref="D17"/>
    </sheetView>
  </sheetViews>
  <sheetFormatPr defaultRowHeight="12.75"/>
  <cols>
    <col min="1" max="1" width="5.71428571428571" customWidth="1"/>
    <col min="2" max="2" width="8.71428571428571" customWidth="1"/>
    <col min="3" max="3" width="45.1428571428571" bestFit="1" customWidth="1"/>
    <col min="4" max="4" width="10.2857142857143" bestFit="1" customWidth="1"/>
    <col min="5" max="5" width="15.5714285714286" bestFit="1" customWidth="1"/>
    <col min="6" max="6" width="12.4285714285714" bestFit="1" customWidth="1"/>
    <col min="7" max="7" width="17.2857142857143" bestFit="1" customWidth="1"/>
    <col min="8" max="8" width="15.5714285714286" bestFit="1" customWidth="1"/>
    <col min="9" max="9" width="15.4285714285714" bestFit="1" customWidth="1"/>
    <col min="10" max="10" width="15.5714285714286" bestFit="1" customWidth="1"/>
    <col min="11" max="11" width="10.2857142857143" customWidth="1"/>
    <col min="12" max="12" width="12.4285714285714" bestFit="1" customWidth="1"/>
    <col min="13" max="13" width="3.28571428571429" bestFit="1" customWidth="1"/>
    <col min="14" max="14" width="6.71428571428571" bestFit="1" customWidth="1"/>
    <col min="15" max="15" width="9.71428571428571" bestFit="1" customWidth="1"/>
    <col min="16" max="17" width="9" bestFit="1" customWidth="1"/>
    <col min="18" max="18" width="9.71428571428571" bestFit="1" customWidth="1"/>
    <col min="19" max="19" width="11.2857142857143" bestFit="1" customWidth="1"/>
    <col min="20" max="20" width="9" bestFit="1" customWidth="1"/>
    <col min="21" max="21" width="13" customWidth="1"/>
    <col min="22" max="23" width="9.71428571428571" bestFit="1" customWidth="1"/>
    <col min="24" max="24" width="11.2857142857143" bestFit="1" customWidth="1"/>
    <col min="25" max="25" width="9.28571428571429"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Sponsors'!$A$61,'[3]Schedule Sponsors'!$B$61)</f>
        <v>II-D-2.6  SUMMARY OF MEMBERSHIP DUES EXPENSE</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Sponsors'!$D$61)</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2.75">
      <c r="A15" s="16">
        <v>1</v>
      </c>
      <c r="B15" s="8" t="s">
        <v>130</v>
      </c>
      <c r="D15" s="18" t="s">
        <v>10</v>
      </c>
      <c r="E15" s="19"/>
      <c r="F15" s="19"/>
      <c r="G15" s="19"/>
      <c r="H15" s="19"/>
      <c r="I15" s="19"/>
      <c r="J15" s="19"/>
      <c r="K15" s="19"/>
      <c r="L15" s="19"/>
      <c r="M15" s="18"/>
      <c r="N15" s="25"/>
      <c r="O15" s="19"/>
      <c r="P15" s="19"/>
      <c r="Q15" s="19"/>
      <c r="R15" s="19"/>
      <c r="S15" s="19"/>
      <c r="T15" s="19"/>
      <c r="U15" s="19"/>
      <c r="V15" s="19"/>
      <c r="W15" s="19"/>
    </row>
    <row r="16" spans="1:24" s="8" customFormat="1" ht="12.75">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ht="12.75">
      <c r="A17" s="16">
        <v>3</v>
      </c>
      <c r="B17" s="4"/>
      <c r="C17" s="30" t="s">
        <v>133</v>
      </c>
      <c r="D17" s="18"/>
      <c r="E17" s="156">
        <f>+'II-D-2.6a'!E48</f>
        <v>1290702.03</v>
      </c>
      <c r="F17" s="156">
        <f>+'II-D-2.6a'!F48</f>
        <v>0</v>
      </c>
      <c r="G17" s="156">
        <f>+'II-D-2.6a'!G48</f>
        <v>0</v>
      </c>
      <c r="H17" s="156">
        <f>+E17+F17+G17</f>
        <v>1290702.03</v>
      </c>
      <c r="I17" s="156">
        <f>+'II-D-2.6a'!I48</f>
        <v>0</v>
      </c>
      <c r="J17" s="156">
        <f>+H17+I17</f>
        <v>1290702.03</v>
      </c>
      <c r="K17" s="159">
        <v>1</v>
      </c>
      <c r="L17" s="156">
        <f>+J17*K17</f>
        <v>1290702.03</v>
      </c>
      <c r="M17" s="156"/>
      <c r="N17" s="156"/>
      <c r="O17" s="156">
        <f>+'II-D-2.6a'!O48</f>
        <v>259396.59999999998</v>
      </c>
      <c r="P17" s="156">
        <f>+'II-D-2.6a'!P48</f>
        <v>0</v>
      </c>
      <c r="Q17" s="156">
        <f>+'II-D-2.6a'!Q48</f>
        <v>0</v>
      </c>
      <c r="R17" s="156">
        <f>+'II-D-2.6a'!R48</f>
        <v>259396.59999999998</v>
      </c>
      <c r="S17" s="156">
        <f>+'II-D-2.6a'!S48</f>
        <v>821372.69000000006</v>
      </c>
      <c r="T17" s="156">
        <f>+'II-D-2.6a'!T48</f>
        <v>0</v>
      </c>
      <c r="U17" s="156">
        <f>+'II-D-2.6a'!U48</f>
        <v>821372.69000000006</v>
      </c>
      <c r="V17" s="156">
        <f>+'II-D-2.6a'!V48</f>
        <v>185959.01000000001</v>
      </c>
      <c r="W17" s="156">
        <f>+'II-D-2.6a'!W48</f>
        <v>23973.729999999996</v>
      </c>
      <c r="X17" s="156">
        <f>+R17+U17+V17+W17</f>
        <v>1290702.03</v>
      </c>
      <c r="Y17" s="8" t="b">
        <f>ROUND(+X17,2)=ROUND(L17,2)</f>
        <v>1</v>
      </c>
    </row>
    <row r="18" spans="1:25" s="4" customFormat="1" ht="12.75">
      <c r="A18" s="16">
        <v>4</v>
      </c>
      <c r="C18" s="4" t="s">
        <v>134</v>
      </c>
      <c r="D18" s="16"/>
      <c r="E18" s="349">
        <f>+'II-D-2.6b'!E232</f>
        <v>507284.07999999996</v>
      </c>
      <c r="F18" s="349">
        <f>+'II-D-2.6b'!F232</f>
        <v>0</v>
      </c>
      <c r="G18" s="349">
        <f>+'II-D-2.6b'!G232</f>
        <v>0</v>
      </c>
      <c r="H18" s="349">
        <f>+E18+F18+G18</f>
        <v>507284.07999999996</v>
      </c>
      <c r="I18" s="349">
        <f>+'II-D-2.6b'!I232</f>
        <v>-5000</v>
      </c>
      <c r="J18" s="349">
        <f>+H18+I18</f>
        <v>502284.07999999996</v>
      </c>
      <c r="K18" s="159">
        <v>1</v>
      </c>
      <c r="L18" s="349">
        <f>+J18*K18</f>
        <v>502284.07999999996</v>
      </c>
      <c r="M18" s="351"/>
      <c r="N18" s="351"/>
      <c r="O18" s="349">
        <f>+'II-D-2.6b'!O232</f>
        <v>2444.7970787326949</v>
      </c>
      <c r="P18" s="349">
        <f>+'II-D-2.6b'!P232</f>
        <v>0</v>
      </c>
      <c r="Q18" s="349">
        <f>+'II-D-2.6b'!Q232</f>
        <v>0</v>
      </c>
      <c r="R18" s="349">
        <f>+'II-D-2.6b'!R232</f>
        <v>2444.7970787326949</v>
      </c>
      <c r="S18" s="349">
        <f>+'II-D-2.6b'!S232</f>
        <v>41335.039671062645</v>
      </c>
      <c r="T18" s="349">
        <f>+'II-D-2.6b'!T232</f>
        <v>0</v>
      </c>
      <c r="U18" s="349">
        <f>+'II-D-2.6b'!U232</f>
        <v>41335.039671062645</v>
      </c>
      <c r="V18" s="349">
        <f>+'II-D-2.6b'!V232</f>
        <v>1811.8427115611971</v>
      </c>
      <c r="W18" s="349">
        <f>+'II-D-2.6b'!W232</f>
        <v>456692.40053864347</v>
      </c>
      <c r="X18" s="249">
        <f t="shared" si="0" ref="X18:X19">+R18+U18+V18+W18</f>
        <v>502284.08000000002</v>
      </c>
      <c r="Y18" s="8" t="b">
        <f>ROUND(+X18,2)=ROUND(L18,2)</f>
        <v>1</v>
      </c>
    </row>
    <row r="19" spans="1:25" s="4" customFormat="1" ht="12.75">
      <c r="A19" s="16">
        <v>5</v>
      </c>
      <c r="C19" s="60" t="s">
        <v>135</v>
      </c>
      <c r="D19" s="16"/>
      <c r="E19" s="349">
        <f>+'II-D-2.6c'!E146</f>
        <v>849395.94000000018</v>
      </c>
      <c r="F19" s="349">
        <f>+'II-D-2.6c'!F146</f>
        <v>0</v>
      </c>
      <c r="G19" s="349">
        <f>+'II-D-2.6c'!G146</f>
        <v>0</v>
      </c>
      <c r="H19" s="349">
        <f>+E19+F19+G19</f>
        <v>849395.94000000018</v>
      </c>
      <c r="I19" s="349">
        <f>+'II-D-2.6c'!I146</f>
        <v>-500</v>
      </c>
      <c r="J19" s="349">
        <f>+H19+I19</f>
        <v>848895.94000000018</v>
      </c>
      <c r="K19" s="159">
        <v>1</v>
      </c>
      <c r="L19" s="349">
        <f>+J19*K19</f>
        <v>848895.94000000018</v>
      </c>
      <c r="M19" s="351"/>
      <c r="N19" s="351"/>
      <c r="O19" s="349">
        <f>+'II-D-2.6c'!O146</f>
        <v>368588.53999999998</v>
      </c>
      <c r="P19" s="349">
        <f>+'II-D-2.6c'!P146</f>
        <v>0</v>
      </c>
      <c r="Q19" s="349">
        <f>+'II-D-2.6c'!Q146</f>
        <v>0</v>
      </c>
      <c r="R19" s="349">
        <f>+'II-D-2.6c'!R146</f>
        <v>368588.53999999998</v>
      </c>
      <c r="S19" s="349">
        <f>+'II-D-2.6c'!S146</f>
        <v>372562.31</v>
      </c>
      <c r="T19" s="349">
        <f>+'II-D-2.6c'!T146</f>
        <v>0</v>
      </c>
      <c r="U19" s="349">
        <f>+'II-D-2.6c'!U146</f>
        <v>372562.31</v>
      </c>
      <c r="V19" s="349">
        <f>+'II-D-2.6c'!V146</f>
        <v>94833.579999999987</v>
      </c>
      <c r="W19" s="349">
        <f>+'II-D-2.6c'!W146</f>
        <v>12911.51</v>
      </c>
      <c r="X19" s="249">
        <f t="shared" si="0"/>
        <v>848895.93999999994</v>
      </c>
      <c r="Y19" s="8" t="b">
        <f>ROUND(+X19,2)=ROUND(L19,2)</f>
        <v>1</v>
      </c>
    </row>
    <row r="20" spans="1:24" ht="12.75">
      <c r="A20" s="16">
        <v>6</v>
      </c>
      <c r="E20" s="115"/>
      <c r="F20" s="115"/>
      <c r="G20" s="115"/>
      <c r="H20" s="115"/>
      <c r="I20" s="115"/>
      <c r="J20" s="115"/>
      <c r="L20" s="115"/>
      <c r="O20" s="115"/>
      <c r="P20" s="115"/>
      <c r="Q20" s="115"/>
      <c r="R20" s="115"/>
      <c r="S20" s="115"/>
      <c r="T20" s="115"/>
      <c r="U20" s="115"/>
      <c r="V20" s="115"/>
      <c r="W20" s="115"/>
      <c r="X20" s="115"/>
    </row>
    <row r="21" spans="1:25" ht="12.75">
      <c r="A21" s="16">
        <v>7</v>
      </c>
      <c r="B21" s="5" t="str">
        <f>CONCATENATE("Total"," ",+B15)</f>
        <v>Total Membership Dues Expense</v>
      </c>
      <c r="E21" s="142">
        <f t="shared" si="1" ref="E21:J21">SUM(E17:E19)</f>
        <v>2647382.0499999998</v>
      </c>
      <c r="F21" s="142">
        <f t="shared" si="1"/>
        <v>0</v>
      </c>
      <c r="G21" s="142">
        <f t="shared" si="1"/>
        <v>0</v>
      </c>
      <c r="H21" s="142">
        <f t="shared" si="1"/>
        <v>2647382.0499999998</v>
      </c>
      <c r="I21" s="142">
        <f t="shared" si="1"/>
        <v>-5500</v>
      </c>
      <c r="J21" s="142">
        <f t="shared" si="1"/>
        <v>2641882.0499999998</v>
      </c>
      <c r="K21" s="142"/>
      <c r="L21" s="142">
        <f>SUM(L17:L19)</f>
        <v>2641882.0499999998</v>
      </c>
      <c r="M21" s="142"/>
      <c r="N21" s="142"/>
      <c r="O21" s="142">
        <f t="shared" si="2" ref="O21:X21">SUM(O17:O19)</f>
        <v>630429.93707873265</v>
      </c>
      <c r="P21" s="142">
        <f t="shared" si="2"/>
        <v>0</v>
      </c>
      <c r="Q21" s="142">
        <f t="shared" si="3" ref="Q21:R21">SUM(Q17:Q19)</f>
        <v>0</v>
      </c>
      <c r="R21" s="142">
        <f t="shared" si="3"/>
        <v>630429.93707873265</v>
      </c>
      <c r="S21" s="142">
        <f t="shared" si="2"/>
        <v>1235270.0396710627</v>
      </c>
      <c r="T21" s="142">
        <f t="shared" si="4" ref="T21:U21">SUM(T17:T19)</f>
        <v>0</v>
      </c>
      <c r="U21" s="142">
        <f t="shared" si="4"/>
        <v>1235270.0396710627</v>
      </c>
      <c r="V21" s="142">
        <f t="shared" si="5" ref="V21:W21">SUM(V17:V19)</f>
        <v>282604.43271156121</v>
      </c>
      <c r="W21" s="142">
        <f t="shared" si="5"/>
        <v>493577.64053864346</v>
      </c>
      <c r="X21" s="142">
        <f t="shared" si="2"/>
        <v>2641882.0499999998</v>
      </c>
      <c r="Y21" s="8" t="b">
        <f>ROUND(+X21,2)=ROUND(L21,2)</f>
        <v>1</v>
      </c>
    </row>
    <row r="27" spans="3:4" ht="12.75">
      <c r="C27" s="3"/>
      <c r="D27" s="3"/>
    </row>
    <row r="28" spans="3:4" ht="12.75">
      <c r="C28" s="3"/>
      <c r="D28" s="3"/>
    </row>
    <row r="29" spans="3:4" ht="12.75">
      <c r="C29" s="3"/>
      <c r="D29" s="3"/>
    </row>
    <row r="30" spans="3:4" ht="12.75">
      <c r="C30" s="3"/>
      <c r="D30" s="3"/>
    </row>
  </sheetData>
  <printOptions horizontalCentered="1"/>
  <pageMargins left="0.5" right="0.5" top="3" bottom="0.5" header="1.5" footer="0.5"/>
  <pageSetup fitToHeight="2" fitToWidth="2" orientation="landscape" scale="70" r:id="rId1"/>
  <headerFooter alignWithMargins="0">
    <oddHeader>&amp;C&amp;B
2022 RATE CASE
ONCOR ELECTRIC DELIVERY COMPANY LLC
II-D-2.6  SUMMARY OF MEMBERSHIP DUES EXPENSE
TEST YEAR ENDING DECEMBER 31, 2021
SPONSOR: W. ALAN LEDBETTER&amp;R&amp;"Arial,Bold"Schedule &amp;A
Page &amp;P of &amp;N</oddHeader>
  </headerFooter>
  <colBreaks count="1" manualBreakCount="1">
    <brk id="12" min="14" max="20" man="1"/>
  </col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4">
    <tabColor rgb="FFFF0000"/>
  </sheetPr>
  <dimension ref="A1:Y48"/>
  <sheetViews>
    <sheetView zoomScale="85" zoomScaleNormal="85" workbookViewId="0" topLeftCell="A1">
      <pane xSplit="3" ySplit="16" topLeftCell="D17" activePane="bottomRight" state="frozen"/>
      <selection pane="topLeft" activeCell="D39" sqref="D39"/>
      <selection pane="bottomLeft" activeCell="D39" sqref="D39"/>
      <selection pane="topRight" activeCell="D39" sqref="D39"/>
      <selection pane="bottomRight" activeCell="C43" sqref="C43"/>
    </sheetView>
  </sheetViews>
  <sheetFormatPr defaultRowHeight="12.75"/>
  <cols>
    <col min="1" max="1" width="5.71428571428571" customWidth="1"/>
    <col min="2" max="2" width="8.71428571428571" customWidth="1"/>
    <col min="3" max="3" width="84.4285714285714" customWidth="1"/>
    <col min="4" max="4" width="10.2857142857143" bestFit="1" customWidth="1"/>
    <col min="5" max="5" width="14.1428571428571" bestFit="1" customWidth="1"/>
    <col min="6" max="6" width="12.2857142857143" bestFit="1" customWidth="1"/>
    <col min="7" max="7" width="17.1428571428571" bestFit="1" customWidth="1"/>
    <col min="8" max="8" width="14.1428571428571" bestFit="1" customWidth="1"/>
    <col min="9" max="9" width="13.4285714285714" bestFit="1" customWidth="1"/>
    <col min="10" max="10" width="14.1428571428571" bestFit="1" customWidth="1"/>
    <col min="11" max="11" width="10.2857142857143" customWidth="1"/>
    <col min="12" max="12" width="12.4285714285714" bestFit="1" customWidth="1"/>
    <col min="13" max="13" width="3.28571428571429" bestFit="1" customWidth="1"/>
    <col min="14" max="14" width="6.85714285714286" bestFit="1" customWidth="1"/>
    <col min="15" max="15" width="11.5714285714286" bestFit="1" customWidth="1"/>
    <col min="16" max="17" width="6.14285714285714" bestFit="1" customWidth="1"/>
    <col min="18" max="18" width="11.5714285714286" customWidth="1"/>
    <col min="19" max="19" width="13.4285714285714" bestFit="1" customWidth="1"/>
    <col min="20" max="20" width="6.14285714285714" bestFit="1" customWidth="1"/>
    <col min="21" max="21" width="13.4285714285714" customWidth="1"/>
    <col min="22" max="22" width="11.2857142857143" bestFit="1" customWidth="1"/>
    <col min="23" max="23" width="11.8571428571429" customWidth="1"/>
    <col min="24" max="24" width="13"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Sponsors'!$A$62,'[3]Schedule Sponsors'!$B$62)</f>
        <v>II-D-2.6a  SUMMARY OF INDUSTRY ORGANIZATION DUES</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Sponsors'!$D$62)</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2.75">
      <c r="A15" s="16">
        <v>1</v>
      </c>
      <c r="B15" s="8" t="s">
        <v>131</v>
      </c>
      <c r="D15" s="18" t="s">
        <v>205</v>
      </c>
      <c r="E15" s="19"/>
      <c r="F15" s="19"/>
      <c r="G15" s="19"/>
      <c r="H15" s="19"/>
      <c r="I15" s="19"/>
      <c r="J15" s="19"/>
      <c r="K15" s="19"/>
      <c r="L15" s="19"/>
      <c r="M15" s="18"/>
      <c r="N15" s="25"/>
      <c r="O15" s="19"/>
      <c r="P15" s="19"/>
      <c r="Q15" s="19"/>
      <c r="R15" s="19"/>
      <c r="S15" s="19"/>
      <c r="T15" s="19"/>
      <c r="U15" s="19"/>
      <c r="V15" s="19"/>
      <c r="W15" s="19"/>
    </row>
    <row r="16" spans="1:24" s="8" customFormat="1" ht="12.75">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ht="12.75">
      <c r="A17" s="16">
        <v>3</v>
      </c>
      <c r="B17" t="s">
        <v>232</v>
      </c>
      <c r="C17" t="s">
        <v>571</v>
      </c>
      <c r="D17" s="18"/>
      <c r="E17" s="156">
        <v>6875</v>
      </c>
      <c r="F17" s="156">
        <v>0</v>
      </c>
      <c r="G17" s="156">
        <v>0</v>
      </c>
      <c r="H17" s="156">
        <f t="shared" si="0" ref="H17:H43">+E17-F17+G17</f>
        <v>6875</v>
      </c>
      <c r="I17" s="156">
        <v>0</v>
      </c>
      <c r="J17" s="156">
        <f t="shared" si="1" ref="J17:J43">+H17+I17</f>
        <v>6875</v>
      </c>
      <c r="K17" s="159">
        <v>1</v>
      </c>
      <c r="L17" s="156">
        <f t="shared" si="2" ref="L17:L43">+J17*K17</f>
        <v>6875</v>
      </c>
      <c r="M17" s="156"/>
      <c r="N17" s="156"/>
      <c r="O17" s="156">
        <v>6875</v>
      </c>
      <c r="P17" s="156">
        <v>0</v>
      </c>
      <c r="Q17" s="156">
        <v>0</v>
      </c>
      <c r="R17" s="156">
        <f>SUM(O17:Q17)</f>
        <v>6875</v>
      </c>
      <c r="S17" s="156">
        <v>0</v>
      </c>
      <c r="T17" s="156">
        <v>0</v>
      </c>
      <c r="U17" s="156">
        <f>SUM(S17:T17)</f>
        <v>0</v>
      </c>
      <c r="V17" s="156">
        <v>0</v>
      </c>
      <c r="W17" s="156">
        <v>0</v>
      </c>
      <c r="X17" s="156">
        <f>+R17+U17+V17+W17</f>
        <v>6875</v>
      </c>
      <c r="Y17" s="8" t="b">
        <f>+X17=L17</f>
        <v>1</v>
      </c>
    </row>
    <row r="18" spans="1:25" s="8" customFormat="1" ht="12.75">
      <c r="A18" s="16">
        <v>4</v>
      </c>
      <c r="B18" t="s">
        <v>236</v>
      </c>
      <c r="C18" t="s">
        <v>455</v>
      </c>
      <c r="D18" s="18"/>
      <c r="E18" s="349">
        <v>5250</v>
      </c>
      <c r="F18" s="349">
        <v>0</v>
      </c>
      <c r="G18" s="349">
        <v>0</v>
      </c>
      <c r="H18" s="349">
        <f t="shared" si="0"/>
        <v>5250</v>
      </c>
      <c r="I18" s="349">
        <v>0</v>
      </c>
      <c r="J18" s="349">
        <f t="shared" si="1"/>
        <v>5250</v>
      </c>
      <c r="K18" s="159">
        <v>1</v>
      </c>
      <c r="L18" s="349">
        <f t="shared" si="2"/>
        <v>5250</v>
      </c>
      <c r="M18" s="350"/>
      <c r="N18" s="351"/>
      <c r="O18" s="349">
        <v>5250</v>
      </c>
      <c r="P18" s="349">
        <v>0</v>
      </c>
      <c r="Q18" s="349">
        <v>0</v>
      </c>
      <c r="R18" s="349">
        <f t="shared" si="3" ref="R18:R43">SUM(O18:Q18)</f>
        <v>5250</v>
      </c>
      <c r="S18" s="349">
        <v>0</v>
      </c>
      <c r="T18" s="349">
        <v>0</v>
      </c>
      <c r="U18" s="349">
        <f t="shared" si="4" ref="U18:U43">SUM(S18:T18)</f>
        <v>0</v>
      </c>
      <c r="V18" s="349">
        <v>0</v>
      </c>
      <c r="W18" s="349">
        <v>0</v>
      </c>
      <c r="X18" s="349">
        <f t="shared" si="5" ref="X18:X43">+R18+U18+V18+W18</f>
        <v>5250</v>
      </c>
      <c r="Y18" s="8" t="b">
        <f t="shared" si="6" ref="Y18:Y43">+X18=L18</f>
        <v>1</v>
      </c>
    </row>
    <row r="19" spans="1:25" s="8" customFormat="1" ht="12.75">
      <c r="A19" s="16">
        <v>5</v>
      </c>
      <c r="B19" t="s">
        <v>251</v>
      </c>
      <c r="C19" t="s">
        <v>456</v>
      </c>
      <c r="D19" s="18"/>
      <c r="E19" s="349">
        <v>27062.5</v>
      </c>
      <c r="F19" s="349">
        <v>0</v>
      </c>
      <c r="G19" s="349">
        <v>0</v>
      </c>
      <c r="H19" s="349">
        <f t="shared" si="0"/>
        <v>27062.5</v>
      </c>
      <c r="I19" s="349">
        <v>0</v>
      </c>
      <c r="J19" s="349">
        <f t="shared" si="1"/>
        <v>27062.5</v>
      </c>
      <c r="K19" s="159">
        <v>1</v>
      </c>
      <c r="L19" s="349">
        <f t="shared" si="2"/>
        <v>27062.5</v>
      </c>
      <c r="M19" s="350"/>
      <c r="N19" s="351"/>
      <c r="O19" s="349">
        <v>0</v>
      </c>
      <c r="P19" s="349">
        <v>0</v>
      </c>
      <c r="Q19" s="349">
        <v>0</v>
      </c>
      <c r="R19" s="349">
        <f t="shared" si="3"/>
        <v>0</v>
      </c>
      <c r="S19" s="349">
        <v>27062.5</v>
      </c>
      <c r="T19" s="349">
        <v>0</v>
      </c>
      <c r="U19" s="349">
        <f t="shared" si="4"/>
        <v>27062.5</v>
      </c>
      <c r="V19" s="349">
        <v>0</v>
      </c>
      <c r="W19" s="349">
        <v>0</v>
      </c>
      <c r="X19" s="349">
        <f t="shared" si="5"/>
        <v>27062.5</v>
      </c>
      <c r="Y19" s="8" t="b">
        <f t="shared" si="6"/>
        <v>1</v>
      </c>
    </row>
    <row r="20" spans="1:25" s="8" customFormat="1" ht="12.75">
      <c r="A20" s="16">
        <v>6</v>
      </c>
      <c r="B20" t="s">
        <v>251</v>
      </c>
      <c r="C20" t="s">
        <v>863</v>
      </c>
      <c r="D20" s="18"/>
      <c r="E20" s="349">
        <v>57994.599999999999</v>
      </c>
      <c r="F20" s="349">
        <v>0</v>
      </c>
      <c r="G20" s="349">
        <v>0</v>
      </c>
      <c r="H20" s="349">
        <f t="shared" si="0"/>
        <v>57994.599999999999</v>
      </c>
      <c r="I20" s="349">
        <v>0</v>
      </c>
      <c r="J20" s="349">
        <f t="shared" si="1"/>
        <v>57994.599999999999</v>
      </c>
      <c r="K20" s="159">
        <v>1</v>
      </c>
      <c r="L20" s="349">
        <f t="shared" si="2"/>
        <v>57994.599999999999</v>
      </c>
      <c r="M20" s="350"/>
      <c r="N20" s="351"/>
      <c r="O20" s="349">
        <v>0</v>
      </c>
      <c r="P20" s="349">
        <v>0</v>
      </c>
      <c r="Q20" s="349">
        <v>0</v>
      </c>
      <c r="R20" s="349">
        <f t="shared" si="3"/>
        <v>0</v>
      </c>
      <c r="S20" s="349">
        <v>57994.599999999999</v>
      </c>
      <c r="T20" s="349">
        <v>0</v>
      </c>
      <c r="U20" s="349">
        <f t="shared" si="4"/>
        <v>57994.599999999999</v>
      </c>
      <c r="V20" s="349">
        <v>0</v>
      </c>
      <c r="W20" s="349">
        <v>0</v>
      </c>
      <c r="X20" s="349">
        <f t="shared" si="5"/>
        <v>57994.599999999999</v>
      </c>
      <c r="Y20" s="8" t="b">
        <f t="shared" si="6"/>
        <v>1</v>
      </c>
    </row>
    <row r="21" spans="1:25" s="8" customFormat="1" ht="12.75">
      <c r="A21" s="16">
        <v>7</v>
      </c>
      <c r="B21" t="s">
        <v>251</v>
      </c>
      <c r="C21" t="s">
        <v>784</v>
      </c>
      <c r="D21" s="18"/>
      <c r="E21" s="349">
        <v>2000</v>
      </c>
      <c r="F21" s="349">
        <v>0</v>
      </c>
      <c r="G21" s="349">
        <v>0</v>
      </c>
      <c r="H21" s="349">
        <f t="shared" si="7" ref="H21:H33">+E21-F21+G21</f>
        <v>2000</v>
      </c>
      <c r="I21" s="349">
        <v>0</v>
      </c>
      <c r="J21" s="349">
        <f t="shared" si="8" ref="J21:J34">+H21+I21</f>
        <v>2000</v>
      </c>
      <c r="K21" s="159">
        <v>1</v>
      </c>
      <c r="L21" s="349">
        <f t="shared" si="9" ref="L21:L34">+J21*K21</f>
        <v>2000</v>
      </c>
      <c r="M21" s="350"/>
      <c r="N21" s="351"/>
      <c r="O21" s="349">
        <v>0</v>
      </c>
      <c r="P21" s="349">
        <v>0</v>
      </c>
      <c r="Q21" s="349">
        <v>0</v>
      </c>
      <c r="R21" s="349">
        <f t="shared" si="3"/>
        <v>0</v>
      </c>
      <c r="S21" s="349">
        <v>2000</v>
      </c>
      <c r="T21" s="349">
        <v>0</v>
      </c>
      <c r="U21" s="349">
        <f t="shared" si="4"/>
        <v>2000</v>
      </c>
      <c r="V21" s="349">
        <v>0</v>
      </c>
      <c r="W21" s="349">
        <v>0</v>
      </c>
      <c r="X21" s="349">
        <f t="shared" si="10" ref="X21:X34">+R21+U21+V21+W21</f>
        <v>2000</v>
      </c>
      <c r="Y21" s="8" t="b">
        <f t="shared" si="11" ref="Y21:Y34">+X21=L21</f>
        <v>1</v>
      </c>
    </row>
    <row r="22" spans="1:25" s="8" customFormat="1" ht="12.75">
      <c r="A22" s="16">
        <v>8</v>
      </c>
      <c r="B22" t="s">
        <v>272</v>
      </c>
      <c r="C22" t="s">
        <v>785</v>
      </c>
      <c r="D22" s="18"/>
      <c r="E22" s="349">
        <v>4500</v>
      </c>
      <c r="F22" s="349">
        <v>0</v>
      </c>
      <c r="G22" s="349">
        <v>0</v>
      </c>
      <c r="H22" s="349">
        <f t="shared" si="7"/>
        <v>4500</v>
      </c>
      <c r="I22" s="349">
        <v>0</v>
      </c>
      <c r="J22" s="349">
        <f t="shared" si="8"/>
        <v>4500</v>
      </c>
      <c r="K22" s="159">
        <v>1</v>
      </c>
      <c r="L22" s="349">
        <f t="shared" si="9"/>
        <v>4500</v>
      </c>
      <c r="M22" s="350"/>
      <c r="N22" s="351"/>
      <c r="O22" s="349">
        <v>990.89999999999998</v>
      </c>
      <c r="P22" s="349">
        <v>0</v>
      </c>
      <c r="Q22" s="349">
        <v>0</v>
      </c>
      <c r="R22" s="349">
        <f t="shared" si="3"/>
        <v>990.89999999999998</v>
      </c>
      <c r="S22" s="349">
        <v>2733.75</v>
      </c>
      <c r="T22" s="349">
        <v>0</v>
      </c>
      <c r="U22" s="349">
        <f t="shared" si="4"/>
        <v>2733.75</v>
      </c>
      <c r="V22" s="349">
        <v>745.20000000000005</v>
      </c>
      <c r="W22" s="349">
        <v>30.149999999999999</v>
      </c>
      <c r="X22" s="349">
        <f t="shared" si="10"/>
        <v>4500</v>
      </c>
      <c r="Y22" s="8" t="b">
        <f t="shared" si="11"/>
        <v>1</v>
      </c>
    </row>
    <row r="23" spans="1:25" s="8" customFormat="1" ht="12.75">
      <c r="A23" s="16">
        <v>9</v>
      </c>
      <c r="B23" t="s">
        <v>272</v>
      </c>
      <c r="C23" t="s">
        <v>459</v>
      </c>
      <c r="D23" s="18"/>
      <c r="E23" s="349">
        <v>6500</v>
      </c>
      <c r="F23" s="349">
        <v>0</v>
      </c>
      <c r="G23" s="349">
        <v>0</v>
      </c>
      <c r="H23" s="349">
        <f t="shared" si="7"/>
        <v>6500</v>
      </c>
      <c r="I23" s="349">
        <v>0</v>
      </c>
      <c r="J23" s="349">
        <f t="shared" si="8"/>
        <v>6500</v>
      </c>
      <c r="K23" s="159">
        <v>1</v>
      </c>
      <c r="L23" s="349">
        <f t="shared" si="9"/>
        <v>6500</v>
      </c>
      <c r="M23" s="350"/>
      <c r="N23" s="351"/>
      <c r="O23" s="349">
        <v>1431.3</v>
      </c>
      <c r="P23" s="349">
        <v>0</v>
      </c>
      <c r="Q23" s="349">
        <v>0</v>
      </c>
      <c r="R23" s="349">
        <f t="shared" si="3"/>
        <v>1431.3</v>
      </c>
      <c r="S23" s="349">
        <v>3948.75</v>
      </c>
      <c r="T23" s="349">
        <v>0</v>
      </c>
      <c r="U23" s="349">
        <f t="shared" si="4"/>
        <v>3948.75</v>
      </c>
      <c r="V23" s="349">
        <v>1076.4000000000001</v>
      </c>
      <c r="W23" s="349">
        <v>43.549999999999727</v>
      </c>
      <c r="X23" s="349">
        <f t="shared" si="10"/>
        <v>6500</v>
      </c>
      <c r="Y23" s="8" t="b">
        <f t="shared" si="11"/>
        <v>1</v>
      </c>
    </row>
    <row r="24" spans="1:25" s="8" customFormat="1" ht="12.75">
      <c r="A24" s="16">
        <v>10</v>
      </c>
      <c r="B24" t="s">
        <v>272</v>
      </c>
      <c r="C24" t="s">
        <v>455</v>
      </c>
      <c r="D24" s="18"/>
      <c r="E24" s="349">
        <v>5000</v>
      </c>
      <c r="F24" s="349">
        <v>0</v>
      </c>
      <c r="G24" s="349">
        <v>0</v>
      </c>
      <c r="H24" s="349">
        <f t="shared" si="7"/>
        <v>5000</v>
      </c>
      <c r="I24" s="349">
        <v>0</v>
      </c>
      <c r="J24" s="349">
        <f t="shared" si="8"/>
        <v>5000</v>
      </c>
      <c r="K24" s="159">
        <v>1</v>
      </c>
      <c r="L24" s="349">
        <f t="shared" si="9"/>
        <v>5000</v>
      </c>
      <c r="M24" s="350"/>
      <c r="N24" s="351"/>
      <c r="O24" s="349">
        <v>0</v>
      </c>
      <c r="P24" s="349">
        <v>0</v>
      </c>
      <c r="Q24" s="349">
        <v>0</v>
      </c>
      <c r="R24" s="349">
        <f t="shared" si="3"/>
        <v>0</v>
      </c>
      <c r="S24" s="349">
        <v>5000</v>
      </c>
      <c r="T24" s="349">
        <v>0</v>
      </c>
      <c r="U24" s="349">
        <f t="shared" si="4"/>
        <v>5000</v>
      </c>
      <c r="V24" s="349">
        <v>0</v>
      </c>
      <c r="W24" s="349">
        <v>0</v>
      </c>
      <c r="X24" s="349">
        <f t="shared" si="10"/>
        <v>5000</v>
      </c>
      <c r="Y24" s="8" t="b">
        <f t="shared" si="11"/>
        <v>1</v>
      </c>
    </row>
    <row r="25" spans="1:25" s="8" customFormat="1" ht="12.75">
      <c r="A25" s="16">
        <v>11</v>
      </c>
      <c r="B25" t="s">
        <v>272</v>
      </c>
      <c r="C25" t="s">
        <v>952</v>
      </c>
      <c r="D25" s="18"/>
      <c r="E25" s="349">
        <v>520</v>
      </c>
      <c r="F25" s="349">
        <v>0</v>
      </c>
      <c r="G25" s="349">
        <v>0</v>
      </c>
      <c r="H25" s="349">
        <f t="shared" si="7"/>
        <v>520</v>
      </c>
      <c r="I25" s="349">
        <v>0</v>
      </c>
      <c r="J25" s="349">
        <f t="shared" si="8"/>
        <v>520</v>
      </c>
      <c r="K25" s="159">
        <v>1</v>
      </c>
      <c r="L25" s="349">
        <f t="shared" si="9"/>
        <v>520</v>
      </c>
      <c r="M25" s="350"/>
      <c r="N25" s="351"/>
      <c r="O25" s="349">
        <v>114.5</v>
      </c>
      <c r="P25" s="349">
        <v>0</v>
      </c>
      <c r="Q25" s="349">
        <v>0</v>
      </c>
      <c r="R25" s="349">
        <f t="shared" si="3"/>
        <v>114.5</v>
      </c>
      <c r="S25" s="349">
        <v>315.89999999999998</v>
      </c>
      <c r="T25" s="349">
        <v>0</v>
      </c>
      <c r="U25" s="349">
        <f t="shared" si="4"/>
        <v>315.89999999999998</v>
      </c>
      <c r="V25" s="349">
        <v>86.109999999999999</v>
      </c>
      <c r="W25" s="349">
        <v>3.4900000000000233</v>
      </c>
      <c r="X25" s="349">
        <f t="shared" si="10"/>
        <v>520</v>
      </c>
      <c r="Y25" s="8" t="b">
        <f t="shared" si="11"/>
        <v>1</v>
      </c>
    </row>
    <row r="26" spans="1:25" s="8" customFormat="1" ht="12.75">
      <c r="A26" s="16">
        <v>12</v>
      </c>
      <c r="B26" t="s">
        <v>272</v>
      </c>
      <c r="C26" t="s">
        <v>864</v>
      </c>
      <c r="D26" s="18"/>
      <c r="E26" s="349">
        <v>16377.9</v>
      </c>
      <c r="F26" s="349">
        <v>0</v>
      </c>
      <c r="G26" s="349">
        <v>0</v>
      </c>
      <c r="H26" s="349">
        <f t="shared" si="7"/>
        <v>16377.9</v>
      </c>
      <c r="I26" s="349">
        <v>0</v>
      </c>
      <c r="J26" s="349">
        <f t="shared" si="8"/>
        <v>16377.9</v>
      </c>
      <c r="K26" s="159">
        <v>1</v>
      </c>
      <c r="L26" s="349">
        <f t="shared" si="9"/>
        <v>16377.9</v>
      </c>
      <c r="M26" s="350"/>
      <c r="N26" s="351"/>
      <c r="O26" s="349">
        <v>3606.4099999999999</v>
      </c>
      <c r="P26" s="349">
        <v>0</v>
      </c>
      <c r="Q26" s="349">
        <v>0</v>
      </c>
      <c r="R26" s="349">
        <f t="shared" si="3"/>
        <v>3606.4099999999999</v>
      </c>
      <c r="S26" s="349">
        <v>9949.5699999999997</v>
      </c>
      <c r="T26" s="349">
        <v>0</v>
      </c>
      <c r="U26" s="349">
        <f t="shared" si="4"/>
        <v>9949.5699999999997</v>
      </c>
      <c r="V26" s="349">
        <v>2712.1799999999998</v>
      </c>
      <c r="W26" s="349">
        <v>109.74</v>
      </c>
      <c r="X26" s="349">
        <f t="shared" si="10"/>
        <v>16377.9</v>
      </c>
      <c r="Y26" s="8" t="b">
        <f t="shared" si="11"/>
        <v>1</v>
      </c>
    </row>
    <row r="27" spans="1:25" s="8" customFormat="1" ht="12.75">
      <c r="A27" s="16">
        <v>13</v>
      </c>
      <c r="B27" t="s">
        <v>272</v>
      </c>
      <c r="C27" t="s">
        <v>865</v>
      </c>
      <c r="D27" s="18"/>
      <c r="E27" s="349">
        <v>6600</v>
      </c>
      <c r="F27" s="349">
        <v>0</v>
      </c>
      <c r="G27" s="349">
        <v>0</v>
      </c>
      <c r="H27" s="349">
        <f t="shared" si="7"/>
        <v>6600</v>
      </c>
      <c r="I27" s="349">
        <v>0</v>
      </c>
      <c r="J27" s="349">
        <f t="shared" si="8"/>
        <v>6600</v>
      </c>
      <c r="K27" s="159">
        <v>1</v>
      </c>
      <c r="L27" s="349">
        <f t="shared" si="9"/>
        <v>6600</v>
      </c>
      <c r="M27" s="350"/>
      <c r="N27" s="351"/>
      <c r="O27" s="349">
        <v>1453.3199999999999</v>
      </c>
      <c r="P27" s="349">
        <v>0</v>
      </c>
      <c r="Q27" s="349">
        <v>0</v>
      </c>
      <c r="R27" s="349">
        <f t="shared" si="3"/>
        <v>1453.3199999999999</v>
      </c>
      <c r="S27" s="349">
        <v>4009.5</v>
      </c>
      <c r="T27" s="349">
        <v>0</v>
      </c>
      <c r="U27" s="349">
        <f t="shared" si="4"/>
        <v>4009.5</v>
      </c>
      <c r="V27" s="349">
        <v>1092.96</v>
      </c>
      <c r="W27" s="349">
        <v>44.219999999999999</v>
      </c>
      <c r="X27" s="349">
        <f t="shared" si="10"/>
        <v>6600</v>
      </c>
      <c r="Y27" s="8" t="b">
        <f t="shared" si="11"/>
        <v>1</v>
      </c>
    </row>
    <row r="28" spans="1:25" s="8" customFormat="1" ht="12.75">
      <c r="A28" s="16">
        <v>14</v>
      </c>
      <c r="B28" t="s">
        <v>274</v>
      </c>
      <c r="C28" t="s">
        <v>866</v>
      </c>
      <c r="D28" s="18"/>
      <c r="E28" s="349">
        <v>25000</v>
      </c>
      <c r="F28" s="349">
        <v>0</v>
      </c>
      <c r="G28" s="349">
        <v>0</v>
      </c>
      <c r="H28" s="349">
        <f t="shared" si="7"/>
        <v>25000</v>
      </c>
      <c r="I28" s="349">
        <v>0</v>
      </c>
      <c r="J28" s="349">
        <f t="shared" si="8"/>
        <v>25000</v>
      </c>
      <c r="K28" s="159">
        <v>1</v>
      </c>
      <c r="L28" s="349">
        <f t="shared" si="9"/>
        <v>25000</v>
      </c>
      <c r="M28" s="350"/>
      <c r="N28" s="351"/>
      <c r="O28" s="349">
        <v>0</v>
      </c>
      <c r="P28" s="349">
        <v>0</v>
      </c>
      <c r="Q28" s="349">
        <v>0</v>
      </c>
      <c r="R28" s="349">
        <f t="shared" si="3"/>
        <v>0</v>
      </c>
      <c r="S28" s="349">
        <v>25000</v>
      </c>
      <c r="T28" s="349">
        <v>0</v>
      </c>
      <c r="U28" s="349">
        <f t="shared" si="4"/>
        <v>25000</v>
      </c>
      <c r="V28" s="349">
        <v>0</v>
      </c>
      <c r="W28" s="349">
        <v>0</v>
      </c>
      <c r="X28" s="349">
        <f t="shared" si="10"/>
        <v>25000</v>
      </c>
      <c r="Y28" s="8" t="b">
        <f t="shared" si="11"/>
        <v>1</v>
      </c>
    </row>
    <row r="29" spans="1:25" s="8" customFormat="1" ht="12.75">
      <c r="A29" s="16">
        <v>15</v>
      </c>
      <c r="B29" t="s">
        <v>274</v>
      </c>
      <c r="C29" t="s">
        <v>455</v>
      </c>
      <c r="D29" s="18"/>
      <c r="E29" s="349">
        <v>75318.029999999999</v>
      </c>
      <c r="F29" s="349">
        <v>0</v>
      </c>
      <c r="G29" s="349">
        <v>0</v>
      </c>
      <c r="H29" s="349">
        <f t="shared" si="7"/>
        <v>75318.029999999999</v>
      </c>
      <c r="I29" s="349">
        <v>0</v>
      </c>
      <c r="J29" s="349">
        <f t="shared" si="8"/>
        <v>75318.029999999999</v>
      </c>
      <c r="K29" s="159">
        <v>1</v>
      </c>
      <c r="L29" s="349">
        <f t="shared" si="9"/>
        <v>75318.029999999999</v>
      </c>
      <c r="M29" s="350"/>
      <c r="N29" s="351"/>
      <c r="O29" s="349">
        <v>16585.029999999999</v>
      </c>
      <c r="P29" s="349">
        <v>0</v>
      </c>
      <c r="Q29" s="349">
        <v>0</v>
      </c>
      <c r="R29" s="349">
        <f t="shared" si="3"/>
        <v>16585.029999999999</v>
      </c>
      <c r="S29" s="349">
        <v>45755.690000000002</v>
      </c>
      <c r="T29" s="349">
        <v>0</v>
      </c>
      <c r="U29" s="349">
        <f t="shared" si="4"/>
        <v>45755.690000000002</v>
      </c>
      <c r="V29" s="349">
        <v>12472.68</v>
      </c>
      <c r="W29" s="349">
        <v>504.62999999999806</v>
      </c>
      <c r="X29" s="349">
        <f t="shared" si="10"/>
        <v>75318.029999999999</v>
      </c>
      <c r="Y29" s="8" t="b">
        <f t="shared" si="11"/>
        <v>1</v>
      </c>
    </row>
    <row r="30" spans="1:25" s="8" customFormat="1" ht="12.75">
      <c r="A30" s="16">
        <v>16</v>
      </c>
      <c r="B30" t="s">
        <v>290</v>
      </c>
      <c r="C30" t="s">
        <v>490</v>
      </c>
      <c r="D30" s="18"/>
      <c r="E30" s="349">
        <v>11000</v>
      </c>
      <c r="F30" s="349">
        <v>0</v>
      </c>
      <c r="G30" s="349">
        <v>0</v>
      </c>
      <c r="H30" s="349">
        <f t="shared" si="7"/>
        <v>11000</v>
      </c>
      <c r="I30" s="349">
        <v>0</v>
      </c>
      <c r="J30" s="349">
        <f t="shared" si="8"/>
        <v>11000</v>
      </c>
      <c r="K30" s="159">
        <v>1</v>
      </c>
      <c r="L30" s="349">
        <f t="shared" si="9"/>
        <v>11000</v>
      </c>
      <c r="M30" s="350"/>
      <c r="N30" s="351"/>
      <c r="O30" s="349">
        <v>2422.1999999999998</v>
      </c>
      <c r="P30" s="349">
        <v>0</v>
      </c>
      <c r="Q30" s="349">
        <v>0</v>
      </c>
      <c r="R30" s="349">
        <f t="shared" si="3"/>
        <v>2422.1999999999998</v>
      </c>
      <c r="S30" s="349">
        <v>6682.5</v>
      </c>
      <c r="T30" s="349">
        <v>0</v>
      </c>
      <c r="U30" s="349">
        <f t="shared" si="4"/>
        <v>6682.5</v>
      </c>
      <c r="V30" s="349">
        <v>1821.5999999999999</v>
      </c>
      <c r="W30" s="349">
        <v>73.700000000000003</v>
      </c>
      <c r="X30" s="349">
        <f t="shared" si="10"/>
        <v>11000.000000000002</v>
      </c>
      <c r="Y30" s="8" t="b">
        <f t="shared" si="11"/>
        <v>1</v>
      </c>
    </row>
    <row r="31" spans="1:25" s="8" customFormat="1" ht="12.75">
      <c r="A31" s="16">
        <v>17</v>
      </c>
      <c r="B31" t="s">
        <v>290</v>
      </c>
      <c r="C31" t="s">
        <v>786</v>
      </c>
      <c r="D31" s="18"/>
      <c r="E31" s="349">
        <v>2500</v>
      </c>
      <c r="F31" s="349">
        <v>0</v>
      </c>
      <c r="G31" s="349">
        <v>0</v>
      </c>
      <c r="H31" s="349">
        <f t="shared" si="7"/>
        <v>2500</v>
      </c>
      <c r="I31" s="349">
        <v>0</v>
      </c>
      <c r="J31" s="349">
        <f t="shared" si="8"/>
        <v>2500</v>
      </c>
      <c r="K31" s="159">
        <v>1</v>
      </c>
      <c r="L31" s="349">
        <f t="shared" si="9"/>
        <v>2500</v>
      </c>
      <c r="M31" s="350"/>
      <c r="N31" s="351"/>
      <c r="O31" s="349">
        <v>0</v>
      </c>
      <c r="P31" s="349">
        <v>0</v>
      </c>
      <c r="Q31" s="349">
        <v>0</v>
      </c>
      <c r="R31" s="349">
        <f t="shared" si="3"/>
        <v>0</v>
      </c>
      <c r="S31" s="349">
        <v>0</v>
      </c>
      <c r="T31" s="349">
        <v>0</v>
      </c>
      <c r="U31" s="349">
        <f t="shared" si="4"/>
        <v>0</v>
      </c>
      <c r="V31" s="349">
        <v>0</v>
      </c>
      <c r="W31" s="349">
        <v>2500</v>
      </c>
      <c r="X31" s="349">
        <f t="shared" si="10"/>
        <v>2500</v>
      </c>
      <c r="Y31" s="8" t="b">
        <f t="shared" si="11"/>
        <v>1</v>
      </c>
    </row>
    <row r="32" spans="1:25" s="8" customFormat="1" ht="12.75">
      <c r="A32" s="16">
        <v>18</v>
      </c>
      <c r="B32" t="s">
        <v>290</v>
      </c>
      <c r="C32" t="s">
        <v>787</v>
      </c>
      <c r="D32" s="18"/>
      <c r="E32" s="349">
        <v>1000</v>
      </c>
      <c r="F32" s="349">
        <v>0</v>
      </c>
      <c r="G32" s="349">
        <v>0</v>
      </c>
      <c r="H32" s="349">
        <f t="shared" si="7"/>
        <v>1000</v>
      </c>
      <c r="I32" s="349">
        <v>0</v>
      </c>
      <c r="J32" s="349">
        <f t="shared" si="8"/>
        <v>1000</v>
      </c>
      <c r="K32" s="159">
        <v>1</v>
      </c>
      <c r="L32" s="349">
        <f t="shared" si="9"/>
        <v>1000</v>
      </c>
      <c r="M32" s="350"/>
      <c r="N32" s="351"/>
      <c r="O32" s="349">
        <v>0</v>
      </c>
      <c r="P32" s="349">
        <v>0</v>
      </c>
      <c r="Q32" s="349">
        <v>0</v>
      </c>
      <c r="R32" s="349">
        <f t="shared" si="3"/>
        <v>0</v>
      </c>
      <c r="S32" s="349">
        <v>0</v>
      </c>
      <c r="T32" s="349">
        <v>0</v>
      </c>
      <c r="U32" s="349">
        <f t="shared" si="4"/>
        <v>0</v>
      </c>
      <c r="V32" s="349">
        <v>0</v>
      </c>
      <c r="W32" s="349">
        <v>1000</v>
      </c>
      <c r="X32" s="349">
        <f t="shared" si="10"/>
        <v>1000</v>
      </c>
      <c r="Y32" s="8" t="b">
        <f t="shared" si="11"/>
        <v>1</v>
      </c>
    </row>
    <row r="33" spans="1:25" s="8" customFormat="1" ht="12.75">
      <c r="A33" s="16">
        <v>19</v>
      </c>
      <c r="B33" t="s">
        <v>290</v>
      </c>
      <c r="C33" t="s">
        <v>455</v>
      </c>
      <c r="D33" s="18"/>
      <c r="E33" s="349">
        <v>971425</v>
      </c>
      <c r="F33" s="349">
        <v>0</v>
      </c>
      <c r="G33" s="349">
        <v>0</v>
      </c>
      <c r="H33" s="349">
        <f t="shared" si="7"/>
        <v>971425</v>
      </c>
      <c r="I33" s="349">
        <v>0</v>
      </c>
      <c r="J33" s="349">
        <f t="shared" si="8"/>
        <v>971425</v>
      </c>
      <c r="K33" s="159">
        <v>1</v>
      </c>
      <c r="L33" s="349">
        <f t="shared" si="9"/>
        <v>971425</v>
      </c>
      <c r="M33" s="350"/>
      <c r="N33" s="351"/>
      <c r="O33" s="349">
        <v>213907.79999999996</v>
      </c>
      <c r="P33" s="349">
        <v>0</v>
      </c>
      <c r="Q33" s="349">
        <v>0</v>
      </c>
      <c r="R33" s="349">
        <f t="shared" si="3"/>
        <v>213907.79999999996</v>
      </c>
      <c r="S33" s="349">
        <v>590140.68000000005</v>
      </c>
      <c r="T33" s="349">
        <v>0</v>
      </c>
      <c r="U33" s="349">
        <f t="shared" si="4"/>
        <v>590140.68000000005</v>
      </c>
      <c r="V33" s="349">
        <v>160867.96000000002</v>
      </c>
      <c r="W33" s="349">
        <v>6508.5600000000004</v>
      </c>
      <c r="X33" s="349">
        <f t="shared" si="10"/>
        <v>971425</v>
      </c>
      <c r="Y33" s="8" t="b">
        <f t="shared" si="11"/>
        <v>1</v>
      </c>
    </row>
    <row r="34" spans="1:25" s="8" customFormat="1" ht="12.75">
      <c r="A34" s="16">
        <v>20</v>
      </c>
      <c r="B34" s="138" t="s">
        <v>290</v>
      </c>
      <c r="C34" s="138" t="s">
        <v>949</v>
      </c>
      <c r="D34" s="18"/>
      <c r="E34" s="324">
        <v>23000</v>
      </c>
      <c r="F34" s="324">
        <v>0</v>
      </c>
      <c r="G34" s="324">
        <v>0</v>
      </c>
      <c r="H34" s="324">
        <f t="shared" si="12" ref="H34">+E34+F34+G34</f>
        <v>23000</v>
      </c>
      <c r="I34" s="324">
        <v>0</v>
      </c>
      <c r="J34" s="324">
        <f t="shared" si="8"/>
        <v>23000</v>
      </c>
      <c r="K34" s="159">
        <v>1</v>
      </c>
      <c r="L34" s="324">
        <f t="shared" si="9"/>
        <v>23000</v>
      </c>
      <c r="M34" s="324"/>
      <c r="N34" s="324"/>
      <c r="O34" s="324">
        <v>5064.6000000000004</v>
      </c>
      <c r="P34" s="324">
        <v>0</v>
      </c>
      <c r="Q34" s="324">
        <v>0</v>
      </c>
      <c r="R34" s="324">
        <f t="shared" si="13" ref="R34">SUM(O34:Q34)</f>
        <v>5064.6000000000004</v>
      </c>
      <c r="S34" s="324">
        <v>13972.5</v>
      </c>
      <c r="T34" s="324">
        <v>0</v>
      </c>
      <c r="U34" s="324">
        <f t="shared" si="14" ref="U34">SUM(S34:T34)</f>
        <v>13972.5</v>
      </c>
      <c r="V34" s="324">
        <v>3808.8000000000002</v>
      </c>
      <c r="W34" s="324">
        <v>154.09999999999999</v>
      </c>
      <c r="X34" s="324">
        <f t="shared" si="10"/>
        <v>22999.999999999996</v>
      </c>
      <c r="Y34" s="249" t="b">
        <f t="shared" si="11"/>
        <v>1</v>
      </c>
    </row>
    <row r="35" spans="1:25" s="8" customFormat="1" ht="12.75">
      <c r="A35" s="16">
        <v>21</v>
      </c>
      <c r="B35" t="s">
        <v>290</v>
      </c>
      <c r="C35" t="s">
        <v>457</v>
      </c>
      <c r="D35" s="18"/>
      <c r="E35" s="349">
        <v>3000</v>
      </c>
      <c r="F35" s="349">
        <v>0</v>
      </c>
      <c r="G35" s="349">
        <v>0</v>
      </c>
      <c r="H35" s="349">
        <f t="shared" si="0"/>
        <v>3000</v>
      </c>
      <c r="I35" s="349">
        <v>0</v>
      </c>
      <c r="J35" s="349">
        <f t="shared" si="1"/>
        <v>3000</v>
      </c>
      <c r="K35" s="159">
        <v>1</v>
      </c>
      <c r="L35" s="349">
        <f t="shared" si="2"/>
        <v>3000</v>
      </c>
      <c r="M35" s="350"/>
      <c r="N35" s="351"/>
      <c r="O35" s="349">
        <v>0</v>
      </c>
      <c r="P35" s="349">
        <v>0</v>
      </c>
      <c r="Q35" s="349">
        <v>0</v>
      </c>
      <c r="R35" s="349">
        <f t="shared" si="3"/>
        <v>0</v>
      </c>
      <c r="S35" s="349">
        <v>3000</v>
      </c>
      <c r="T35" s="349">
        <v>0</v>
      </c>
      <c r="U35" s="349">
        <f t="shared" si="4"/>
        <v>3000</v>
      </c>
      <c r="V35" s="349">
        <v>0</v>
      </c>
      <c r="W35" s="349">
        <v>0</v>
      </c>
      <c r="X35" s="349">
        <f t="shared" si="5"/>
        <v>3000</v>
      </c>
      <c r="Y35" s="8" t="b">
        <f t="shared" si="6"/>
        <v>1</v>
      </c>
    </row>
    <row r="36" spans="1:25" s="8" customFormat="1" ht="12.75">
      <c r="A36" s="16">
        <v>22</v>
      </c>
      <c r="B36" t="s">
        <v>290</v>
      </c>
      <c r="C36" t="s">
        <v>521</v>
      </c>
      <c r="D36" s="18"/>
      <c r="E36" s="349">
        <v>250</v>
      </c>
      <c r="F36" s="349">
        <v>0</v>
      </c>
      <c r="G36" s="349">
        <v>0</v>
      </c>
      <c r="H36" s="349">
        <f t="shared" si="0"/>
        <v>250</v>
      </c>
      <c r="I36" s="349">
        <v>0</v>
      </c>
      <c r="J36" s="349">
        <f t="shared" si="1"/>
        <v>250</v>
      </c>
      <c r="K36" s="159">
        <v>1</v>
      </c>
      <c r="L36" s="349">
        <f t="shared" si="2"/>
        <v>250</v>
      </c>
      <c r="M36" s="350"/>
      <c r="N36" s="351"/>
      <c r="O36" s="349">
        <v>0</v>
      </c>
      <c r="P36" s="349">
        <v>0</v>
      </c>
      <c r="Q36" s="349">
        <v>0</v>
      </c>
      <c r="R36" s="349">
        <f t="shared" si="3"/>
        <v>0</v>
      </c>
      <c r="S36" s="349">
        <v>0</v>
      </c>
      <c r="T36" s="349">
        <v>0</v>
      </c>
      <c r="U36" s="349">
        <f t="shared" si="4"/>
        <v>0</v>
      </c>
      <c r="V36" s="349">
        <v>0</v>
      </c>
      <c r="W36" s="349">
        <v>250</v>
      </c>
      <c r="X36" s="349">
        <f t="shared" si="5"/>
        <v>250</v>
      </c>
      <c r="Y36" s="8" t="b">
        <f t="shared" si="6"/>
        <v>1</v>
      </c>
    </row>
    <row r="37" spans="1:25" s="8" customFormat="1" ht="12.75">
      <c r="A37" s="16">
        <v>23</v>
      </c>
      <c r="B37" t="s">
        <v>290</v>
      </c>
      <c r="C37" t="s">
        <v>953</v>
      </c>
      <c r="D37" s="18"/>
      <c r="E37" s="349">
        <v>7700</v>
      </c>
      <c r="F37" s="349">
        <v>0</v>
      </c>
      <c r="G37" s="349">
        <v>0</v>
      </c>
      <c r="H37" s="349">
        <f t="shared" si="15" ref="H37:H41">+E37-F37+G37</f>
        <v>7700</v>
      </c>
      <c r="I37" s="349">
        <v>0</v>
      </c>
      <c r="J37" s="349">
        <f t="shared" si="16" ref="J37:J41">+H37+I37</f>
        <v>7700</v>
      </c>
      <c r="K37" s="159">
        <v>1</v>
      </c>
      <c r="L37" s="349">
        <f t="shared" si="17" ref="L37:L41">+J37*K37</f>
        <v>7700</v>
      </c>
      <c r="M37" s="350"/>
      <c r="N37" s="351"/>
      <c r="O37" s="349">
        <v>1695.54</v>
      </c>
      <c r="P37" s="349">
        <v>0</v>
      </c>
      <c r="Q37" s="349">
        <v>0</v>
      </c>
      <c r="R37" s="349">
        <f t="shared" si="3"/>
        <v>1695.54</v>
      </c>
      <c r="S37" s="349">
        <v>4677.75</v>
      </c>
      <c r="T37" s="349">
        <v>0</v>
      </c>
      <c r="U37" s="349">
        <f t="shared" si="4"/>
        <v>4677.75</v>
      </c>
      <c r="V37" s="349">
        <v>1275.1199999999999</v>
      </c>
      <c r="W37" s="349">
        <v>51.590000000000003</v>
      </c>
      <c r="X37" s="349">
        <f t="shared" si="5"/>
        <v>7700</v>
      </c>
      <c r="Y37" s="8" t="b">
        <f t="shared" si="6"/>
        <v>1</v>
      </c>
    </row>
    <row r="38" spans="1:25" s="8" customFormat="1" ht="12.75">
      <c r="A38" s="16">
        <v>24</v>
      </c>
      <c r="B38" t="s">
        <v>290</v>
      </c>
      <c r="C38" t="s">
        <v>775</v>
      </c>
      <c r="D38" s="18"/>
      <c r="E38" s="349">
        <v>501</v>
      </c>
      <c r="F38" s="349">
        <v>0</v>
      </c>
      <c r="G38" s="349">
        <v>0</v>
      </c>
      <c r="H38" s="349">
        <f t="shared" si="15"/>
        <v>501</v>
      </c>
      <c r="I38" s="349">
        <v>0</v>
      </c>
      <c r="J38" s="349">
        <f t="shared" si="16"/>
        <v>501</v>
      </c>
      <c r="K38" s="159">
        <v>1</v>
      </c>
      <c r="L38" s="349">
        <f t="shared" si="17"/>
        <v>501</v>
      </c>
      <c r="M38" s="350"/>
      <c r="N38" s="351"/>
      <c r="O38" s="349">
        <v>0</v>
      </c>
      <c r="P38" s="349">
        <v>0</v>
      </c>
      <c r="Q38" s="349">
        <v>0</v>
      </c>
      <c r="R38" s="349">
        <f t="shared" si="3"/>
        <v>0</v>
      </c>
      <c r="S38" s="349">
        <v>0</v>
      </c>
      <c r="T38" s="349">
        <v>0</v>
      </c>
      <c r="U38" s="349">
        <f t="shared" si="4"/>
        <v>0</v>
      </c>
      <c r="V38" s="349">
        <v>0</v>
      </c>
      <c r="W38" s="349">
        <v>501</v>
      </c>
      <c r="X38" s="349">
        <f t="shared" si="5"/>
        <v>501</v>
      </c>
      <c r="Y38" s="8" t="b">
        <f t="shared" si="6"/>
        <v>1</v>
      </c>
    </row>
    <row r="39" spans="1:25" s="8" customFormat="1" ht="12.75">
      <c r="A39" s="16">
        <v>25</v>
      </c>
      <c r="B39" t="s">
        <v>290</v>
      </c>
      <c r="C39" t="s">
        <v>776</v>
      </c>
      <c r="D39" s="18"/>
      <c r="E39" s="349">
        <v>649</v>
      </c>
      <c r="F39" s="349">
        <v>0</v>
      </c>
      <c r="G39" s="349">
        <v>0</v>
      </c>
      <c r="H39" s="349">
        <f t="shared" si="18" ref="H39">+E39-F39+G39</f>
        <v>649</v>
      </c>
      <c r="I39" s="349">
        <v>0</v>
      </c>
      <c r="J39" s="349">
        <f t="shared" si="19" ref="J39">+H39+I39</f>
        <v>649</v>
      </c>
      <c r="K39" s="159">
        <v>1</v>
      </c>
      <c r="L39" s="349">
        <f t="shared" si="20" ref="L39">+J39*K39</f>
        <v>649</v>
      </c>
      <c r="M39" s="350"/>
      <c r="N39" s="351"/>
      <c r="O39" s="349">
        <v>0</v>
      </c>
      <c r="P39" s="349">
        <v>0</v>
      </c>
      <c r="Q39" s="349">
        <v>0</v>
      </c>
      <c r="R39" s="349">
        <f t="shared" si="21" ref="R39">SUM(O39:Q39)</f>
        <v>0</v>
      </c>
      <c r="S39" s="349">
        <v>0</v>
      </c>
      <c r="T39" s="349">
        <v>0</v>
      </c>
      <c r="U39" s="349">
        <f t="shared" si="22" ref="U39">SUM(S39:T39)</f>
        <v>0</v>
      </c>
      <c r="V39" s="349">
        <v>0</v>
      </c>
      <c r="W39" s="349">
        <v>649</v>
      </c>
      <c r="X39" s="349">
        <f t="shared" si="23" ref="X39">+R39+U39+V39+W39</f>
        <v>649</v>
      </c>
      <c r="Y39" s="8" t="b">
        <f t="shared" si="24" ref="Y39">+X39=L39</f>
        <v>1</v>
      </c>
    </row>
    <row r="40" spans="1:25" s="8" customFormat="1" ht="12.75">
      <c r="A40" s="16">
        <v>26</v>
      </c>
      <c r="B40" t="s">
        <v>290</v>
      </c>
      <c r="C40" t="s">
        <v>565</v>
      </c>
      <c r="D40" s="18"/>
      <c r="E40" s="349">
        <v>3500</v>
      </c>
      <c r="F40" s="349">
        <v>0</v>
      </c>
      <c r="G40" s="349">
        <v>0</v>
      </c>
      <c r="H40" s="349">
        <f t="shared" si="15"/>
        <v>3500</v>
      </c>
      <c r="I40" s="349">
        <v>0</v>
      </c>
      <c r="J40" s="349">
        <f t="shared" si="16"/>
        <v>3500</v>
      </c>
      <c r="K40" s="159">
        <v>1</v>
      </c>
      <c r="L40" s="349">
        <f t="shared" si="17"/>
        <v>3500</v>
      </c>
      <c r="M40" s="350"/>
      <c r="N40" s="351"/>
      <c r="O40" s="349">
        <v>0</v>
      </c>
      <c r="P40" s="349">
        <v>0</v>
      </c>
      <c r="Q40" s="349">
        <v>0</v>
      </c>
      <c r="R40" s="349">
        <f t="shared" si="3"/>
        <v>0</v>
      </c>
      <c r="S40" s="349">
        <v>0</v>
      </c>
      <c r="T40" s="349">
        <v>0</v>
      </c>
      <c r="U40" s="349">
        <f t="shared" si="4"/>
        <v>0</v>
      </c>
      <c r="V40" s="349">
        <v>0</v>
      </c>
      <c r="W40" s="349">
        <v>3500</v>
      </c>
      <c r="X40" s="349">
        <f t="shared" si="5"/>
        <v>3500</v>
      </c>
      <c r="Y40" s="8" t="b">
        <f t="shared" si="6"/>
        <v>1</v>
      </c>
    </row>
    <row r="41" spans="1:25" s="8" customFormat="1" ht="12.75">
      <c r="A41" s="16">
        <v>27</v>
      </c>
      <c r="B41" t="s">
        <v>290</v>
      </c>
      <c r="C41" t="s">
        <v>867</v>
      </c>
      <c r="D41" s="18"/>
      <c r="E41" s="349">
        <v>550</v>
      </c>
      <c r="F41" s="349">
        <v>0</v>
      </c>
      <c r="G41" s="349">
        <v>0</v>
      </c>
      <c r="H41" s="349">
        <f t="shared" si="15"/>
        <v>550</v>
      </c>
      <c r="I41" s="349">
        <v>0</v>
      </c>
      <c r="J41" s="349">
        <f t="shared" si="16"/>
        <v>550</v>
      </c>
      <c r="K41" s="159">
        <v>1</v>
      </c>
      <c r="L41" s="349">
        <f t="shared" si="17"/>
        <v>550</v>
      </c>
      <c r="M41" s="350"/>
      <c r="N41" s="351"/>
      <c r="O41" s="349">
        <v>0</v>
      </c>
      <c r="P41" s="349">
        <v>0</v>
      </c>
      <c r="Q41" s="349">
        <v>0</v>
      </c>
      <c r="R41" s="349">
        <f t="shared" si="3"/>
        <v>0</v>
      </c>
      <c r="S41" s="349">
        <v>0</v>
      </c>
      <c r="T41" s="349">
        <v>0</v>
      </c>
      <c r="U41" s="349">
        <f t="shared" si="4"/>
        <v>0</v>
      </c>
      <c r="V41" s="349">
        <v>0</v>
      </c>
      <c r="W41" s="349">
        <v>550</v>
      </c>
      <c r="X41" s="349">
        <f t="shared" si="5"/>
        <v>550</v>
      </c>
      <c r="Y41" s="8" t="b">
        <f t="shared" si="6"/>
        <v>1</v>
      </c>
    </row>
    <row r="42" spans="1:25" s="8" customFormat="1" ht="12.75">
      <c r="A42" s="16">
        <v>28</v>
      </c>
      <c r="B42" t="s">
        <v>290</v>
      </c>
      <c r="C42" t="s">
        <v>570</v>
      </c>
      <c r="D42" s="18"/>
      <c r="E42" s="349">
        <v>7500</v>
      </c>
      <c r="F42" s="349">
        <v>0</v>
      </c>
      <c r="G42" s="349">
        <v>0</v>
      </c>
      <c r="H42" s="349">
        <f t="shared" si="0"/>
        <v>7500</v>
      </c>
      <c r="I42" s="349">
        <v>0</v>
      </c>
      <c r="J42" s="349">
        <f t="shared" si="1"/>
        <v>7500</v>
      </c>
      <c r="K42" s="159">
        <v>1</v>
      </c>
      <c r="L42" s="349">
        <f t="shared" si="2"/>
        <v>7500</v>
      </c>
      <c r="M42" s="350"/>
      <c r="N42" s="351"/>
      <c r="O42" s="349">
        <v>0</v>
      </c>
      <c r="P42" s="349">
        <v>0</v>
      </c>
      <c r="Q42" s="349">
        <v>0</v>
      </c>
      <c r="R42" s="349">
        <f t="shared" si="3"/>
        <v>0</v>
      </c>
      <c r="S42" s="349">
        <v>0</v>
      </c>
      <c r="T42" s="349">
        <v>0</v>
      </c>
      <c r="U42" s="349">
        <f t="shared" si="4"/>
        <v>0</v>
      </c>
      <c r="V42" s="349">
        <v>0</v>
      </c>
      <c r="W42" s="349">
        <v>7500</v>
      </c>
      <c r="X42" s="349">
        <f t="shared" si="5"/>
        <v>7500</v>
      </c>
      <c r="Y42" s="8" t="b">
        <f t="shared" si="6"/>
        <v>1</v>
      </c>
    </row>
    <row r="43" spans="1:25" s="8" customFormat="1" ht="12.75">
      <c r="A43" s="16">
        <v>29</v>
      </c>
      <c r="B43" t="s">
        <v>290</v>
      </c>
      <c r="C43" s="138" t="s">
        <v>458</v>
      </c>
      <c r="D43" s="18"/>
      <c r="E43" s="349">
        <v>19129</v>
      </c>
      <c r="F43" s="349">
        <v>0</v>
      </c>
      <c r="G43" s="349">
        <v>0</v>
      </c>
      <c r="H43" s="349">
        <f t="shared" si="0"/>
        <v>19129</v>
      </c>
      <c r="I43" s="349">
        <v>0</v>
      </c>
      <c r="J43" s="349">
        <f t="shared" si="1"/>
        <v>19129</v>
      </c>
      <c r="K43" s="159">
        <v>1</v>
      </c>
      <c r="L43" s="349">
        <f t="shared" si="2"/>
        <v>19129</v>
      </c>
      <c r="M43" s="350"/>
      <c r="N43" s="351"/>
      <c r="O43" s="349">
        <v>0</v>
      </c>
      <c r="P43" s="349">
        <v>0</v>
      </c>
      <c r="Q43" s="349">
        <v>0</v>
      </c>
      <c r="R43" s="349">
        <f t="shared" si="3"/>
        <v>0</v>
      </c>
      <c r="S43" s="349">
        <v>19129</v>
      </c>
      <c r="T43" s="349">
        <v>0</v>
      </c>
      <c r="U43" s="349">
        <f t="shared" si="4"/>
        <v>19129</v>
      </c>
      <c r="V43" s="349">
        <v>0</v>
      </c>
      <c r="W43" s="349">
        <v>0</v>
      </c>
      <c r="X43" s="349">
        <f t="shared" si="5"/>
        <v>19129</v>
      </c>
      <c r="Y43" s="8" t="b">
        <f t="shared" si="6"/>
        <v>1</v>
      </c>
    </row>
    <row r="44" spans="1:24" s="8" customFormat="1" ht="12.75">
      <c r="A44" s="16">
        <v>30</v>
      </c>
      <c r="B44"/>
      <c r="C44"/>
      <c r="D44" s="18"/>
      <c r="E44" s="13"/>
      <c r="F44" s="13"/>
      <c r="G44" s="13"/>
      <c r="H44" s="13"/>
      <c r="I44" s="13"/>
      <c r="J44" s="13"/>
      <c r="K44" s="159"/>
      <c r="L44" s="13"/>
      <c r="M44" s="18"/>
      <c r="N44" s="16"/>
      <c r="O44" s="13"/>
      <c r="P44" s="13"/>
      <c r="Q44" s="13"/>
      <c r="R44" s="13"/>
      <c r="S44" s="13"/>
      <c r="T44" s="13"/>
      <c r="U44" s="13"/>
      <c r="V44" s="13"/>
      <c r="W44" s="13"/>
      <c r="X44" s="13"/>
    </row>
    <row r="45" spans="1:24" s="8" customFormat="1" ht="12.75">
      <c r="A45" s="16">
        <v>31</v>
      </c>
      <c r="B45"/>
      <c r="C45"/>
      <c r="D45" s="18"/>
      <c r="E45" s="13"/>
      <c r="F45" s="13"/>
      <c r="G45" s="13"/>
      <c r="H45" s="13"/>
      <c r="I45" s="13"/>
      <c r="J45" s="13"/>
      <c r="K45" s="159"/>
      <c r="L45" s="13"/>
      <c r="M45" s="18"/>
      <c r="N45" s="16"/>
      <c r="O45" s="13"/>
      <c r="P45" s="13"/>
      <c r="Q45" s="13"/>
      <c r="R45" s="13"/>
      <c r="S45" s="13"/>
      <c r="T45" s="13"/>
      <c r="U45" s="13"/>
      <c r="V45" s="13"/>
      <c r="W45" s="13"/>
      <c r="X45" s="13"/>
    </row>
    <row r="46" spans="1:24" s="8" customFormat="1" ht="12.75">
      <c r="A46" s="16">
        <v>32</v>
      </c>
      <c r="B46"/>
      <c r="C46"/>
      <c r="D46" s="18"/>
      <c r="E46" s="13"/>
      <c r="F46" s="13"/>
      <c r="G46" s="13"/>
      <c r="H46" s="13"/>
      <c r="I46" s="13"/>
      <c r="J46" s="13"/>
      <c r="K46" s="159"/>
      <c r="L46" s="13"/>
      <c r="M46" s="18"/>
      <c r="N46" s="16"/>
      <c r="O46" s="13"/>
      <c r="P46" s="13"/>
      <c r="Q46" s="13"/>
      <c r="R46" s="13"/>
      <c r="S46" s="13"/>
      <c r="T46" s="13"/>
      <c r="U46" s="13"/>
      <c r="V46" s="13"/>
      <c r="W46" s="13"/>
      <c r="X46" s="13"/>
    </row>
    <row r="47" spans="1:25" s="4" customFormat="1" ht="12.75">
      <c r="A47" s="16">
        <v>33</v>
      </c>
      <c r="D47" s="16"/>
      <c r="E47" s="124"/>
      <c r="F47" s="124"/>
      <c r="G47" s="124"/>
      <c r="H47" s="124"/>
      <c r="I47" s="124"/>
      <c r="J47" s="124"/>
      <c r="K47" s="103"/>
      <c r="L47" s="124"/>
      <c r="M47" s="16"/>
      <c r="N47" s="16"/>
      <c r="O47" s="124"/>
      <c r="P47" s="124"/>
      <c r="Q47" s="124"/>
      <c r="R47" s="124"/>
      <c r="S47" s="124"/>
      <c r="T47" s="124"/>
      <c r="U47" s="124"/>
      <c r="V47" s="124"/>
      <c r="W47" s="124"/>
      <c r="X47" s="132"/>
      <c r="Y47" s="8"/>
    </row>
    <row r="48" spans="1:25" ht="12.75">
      <c r="A48" s="16">
        <v>34</v>
      </c>
      <c r="B48" s="5" t="str">
        <f>CONCATENATE("Total"," ",+B15)</f>
        <v>Total Industry Organization Dues</v>
      </c>
      <c r="E48" s="142">
        <f t="shared" si="25" ref="E48:J48">SUM(E17:E46)</f>
        <v>1290702.03</v>
      </c>
      <c r="F48" s="142">
        <f t="shared" si="25"/>
        <v>0</v>
      </c>
      <c r="G48" s="142">
        <f t="shared" si="25"/>
        <v>0</v>
      </c>
      <c r="H48" s="142">
        <f t="shared" si="25"/>
        <v>1290702.03</v>
      </c>
      <c r="I48" s="142">
        <f t="shared" si="25"/>
        <v>0</v>
      </c>
      <c r="J48" s="142">
        <f t="shared" si="25"/>
        <v>1290702.03</v>
      </c>
      <c r="K48" s="14"/>
      <c r="L48" s="142">
        <f>SUM(L17:L46)</f>
        <v>1290702.03</v>
      </c>
      <c r="M48" s="142"/>
      <c r="N48" s="142"/>
      <c r="O48" s="142">
        <f>SUM(O17:O46)</f>
        <v>259396.59999999998</v>
      </c>
      <c r="P48" s="142">
        <f>SUM(P17:P46)</f>
        <v>0</v>
      </c>
      <c r="Q48" s="142">
        <f t="shared" si="26" ref="Q48">SUM(Q17:Q46)</f>
        <v>0</v>
      </c>
      <c r="R48" s="142">
        <f t="shared" si="27" ref="R48:X48">SUM(R17:R46)</f>
        <v>259396.59999999998</v>
      </c>
      <c r="S48" s="142">
        <f t="shared" si="27"/>
        <v>821372.69000000006</v>
      </c>
      <c r="T48" s="142">
        <f t="shared" si="27"/>
        <v>0</v>
      </c>
      <c r="U48" s="142">
        <f t="shared" si="27"/>
        <v>821372.69000000006</v>
      </c>
      <c r="V48" s="142">
        <f t="shared" si="27"/>
        <v>185959.01000000001</v>
      </c>
      <c r="W48" s="142">
        <f t="shared" si="27"/>
        <v>23973.729999999996</v>
      </c>
      <c r="X48" s="142">
        <f t="shared" si="27"/>
        <v>1290702.03</v>
      </c>
      <c r="Y48" s="8" t="b">
        <f>ROUND(+X48,2)=ROUND(L48,2)</f>
        <v>1</v>
      </c>
    </row>
  </sheetData>
  <printOptions horizontalCentered="1"/>
  <pageMargins left="0.5" right="0.5" top="3" bottom="0.5" header="1.5" footer="0.5"/>
  <pageSetup fitToHeight="2" fitToWidth="2" orientation="landscape" scale="59" r:id="rId1"/>
  <headerFooter alignWithMargins="0">
    <oddHeader>&amp;C&amp;B
2022 RATE CASE
ONCOR ELECTRIC DELIVERY COMPANY LLC
II-D-2.6a  SUMMARY OF INDUSTRY ORGANIZATION DUES
TEST YEAR ENDING DECEMBER 31, 2021
SPONSOR: W. ALAN LEDBETTER&amp;R&amp;"Arial,Bold"Schedule &amp;A
Page &amp;P of &amp;N</oddHeader>
  </headerFooter>
  <colBreaks count="1" manualBreakCount="1">
    <brk id="13" min="14" max="47" man="1"/>
  </col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5">
    <tabColor rgb="FFFF0000"/>
  </sheetPr>
  <dimension ref="A1:Y233"/>
  <sheetViews>
    <sheetView workbookViewId="0" topLeftCell="A1">
      <pane xSplit="3" ySplit="15" topLeftCell="D204" activePane="bottomRight" state="frozen"/>
      <selection pane="topLeft" activeCell="D39" sqref="D39"/>
      <selection pane="bottomLeft" activeCell="D39" sqref="D39"/>
      <selection pane="topRight" activeCell="D39" sqref="D39"/>
      <selection pane="bottomRight" activeCell="A15" sqref="A15:A232"/>
    </sheetView>
  </sheetViews>
  <sheetFormatPr defaultRowHeight="12.75"/>
  <cols>
    <col min="1" max="1" width="5.71428571428571" customWidth="1"/>
    <col min="2" max="2" width="8.71428571428571" customWidth="1"/>
    <col min="3" max="3" width="68" bestFit="1" customWidth="1"/>
    <col min="4" max="4" width="10.2857142857143" bestFit="1" customWidth="1"/>
    <col min="5" max="5" width="11.2857142857143" bestFit="1" customWidth="1"/>
    <col min="6" max="6" width="12.1428571428571" bestFit="1" customWidth="1"/>
    <col min="7" max="7" width="17" bestFit="1" customWidth="1"/>
    <col min="8" max="10" width="12" bestFit="1" customWidth="1"/>
    <col min="11" max="11" width="10.1428571428571" bestFit="1" customWidth="1"/>
    <col min="12" max="12" width="12.5714285714286" bestFit="1" customWidth="1"/>
    <col min="13" max="13" width="3.28571428571429" bestFit="1" customWidth="1"/>
    <col min="14" max="14" width="6.71428571428571" bestFit="1" customWidth="1"/>
    <col min="15" max="15" width="8.71428571428571" bestFit="1" customWidth="1"/>
    <col min="16" max="18" width="8.71428571428571" customWidth="1"/>
    <col min="19" max="19" width="9.71428571428571" bestFit="1" customWidth="1"/>
    <col min="20" max="21" width="9.71428571428571" customWidth="1"/>
    <col min="23" max="23" width="9.71428571428571" customWidth="1"/>
    <col min="24" max="24" width="11.2857142857143"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Sponsors'!$A$63,'[3]Schedule Sponsors'!$B$63)</f>
        <v>II-D-2.6b  SUMMARY OF BUSINESS/ECONOMIC DUES</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Sponsors'!$D$63)</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2.75">
      <c r="A15" s="16">
        <v>1</v>
      </c>
      <c r="B15" s="8" t="s">
        <v>132</v>
      </c>
      <c r="D15" s="18" t="s">
        <v>11</v>
      </c>
      <c r="E15" s="19"/>
      <c r="F15" s="19"/>
      <c r="G15" s="19"/>
      <c r="H15" s="19"/>
      <c r="I15" s="19"/>
      <c r="J15" s="19"/>
      <c r="K15" s="19"/>
      <c r="L15" s="19"/>
      <c r="M15" s="18"/>
      <c r="N15" s="25"/>
      <c r="O15" s="19"/>
      <c r="P15" s="19"/>
      <c r="Q15" s="19"/>
      <c r="R15" s="19"/>
      <c r="S15" s="19"/>
      <c r="T15" s="19"/>
      <c r="U15" s="19"/>
      <c r="V15" s="19"/>
      <c r="W15" s="19"/>
    </row>
    <row r="16" spans="1:24" s="8" customFormat="1" ht="12.75">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ht="12.75">
      <c r="A17" s="16">
        <v>3</v>
      </c>
      <c r="B17" t="s">
        <v>236</v>
      </c>
      <c r="C17" t="s">
        <v>954</v>
      </c>
      <c r="D17" s="18"/>
      <c r="E17" s="156">
        <v>190</v>
      </c>
      <c r="F17" s="156">
        <v>0</v>
      </c>
      <c r="G17" s="156">
        <v>0</v>
      </c>
      <c r="H17" s="156">
        <f>+E17+F17+G17</f>
        <v>190</v>
      </c>
      <c r="I17" s="156">
        <v>0</v>
      </c>
      <c r="J17" s="156">
        <f>+H17+I17</f>
        <v>190</v>
      </c>
      <c r="K17" s="159">
        <v>1</v>
      </c>
      <c r="L17" s="156">
        <f t="shared" si="0" ref="L17:L188">+J17*K17</f>
        <v>190</v>
      </c>
      <c r="M17" s="156"/>
      <c r="N17" s="156"/>
      <c r="O17" s="156">
        <v>190</v>
      </c>
      <c r="P17" s="156">
        <v>0</v>
      </c>
      <c r="Q17" s="156">
        <v>0</v>
      </c>
      <c r="R17" s="156">
        <f>SUM(O17:Q17)</f>
        <v>190</v>
      </c>
      <c r="S17" s="156">
        <v>0</v>
      </c>
      <c r="T17" s="156">
        <v>0</v>
      </c>
      <c r="U17" s="156">
        <f>SUM(S17:T17)</f>
        <v>0</v>
      </c>
      <c r="V17" s="156">
        <v>0</v>
      </c>
      <c r="W17" s="156">
        <v>0</v>
      </c>
      <c r="X17" s="281">
        <f>+R17+U17+V17+W17</f>
        <v>190</v>
      </c>
      <c r="Y17" s="8" t="b">
        <f t="shared" si="1" ref="Y17:Y158">+X17=L17</f>
        <v>1</v>
      </c>
    </row>
    <row r="18" spans="1:25" s="4" customFormat="1" ht="12.75">
      <c r="A18" s="16">
        <v>4</v>
      </c>
      <c r="B18" t="s">
        <v>236</v>
      </c>
      <c r="C18" t="s">
        <v>870</v>
      </c>
      <c r="D18" s="16"/>
      <c r="E18" s="349">
        <v>5.1299999999999999</v>
      </c>
      <c r="F18" s="349">
        <v>0</v>
      </c>
      <c r="G18" s="349">
        <v>0</v>
      </c>
      <c r="H18" s="349">
        <f t="shared" si="2" ref="H18:H188">+E18+F18+G18</f>
        <v>5.1299999999999999</v>
      </c>
      <c r="I18" s="349">
        <v>0</v>
      </c>
      <c r="J18" s="349">
        <f t="shared" si="3" ref="J18:J188">+H18+I18</f>
        <v>5.1299999999999999</v>
      </c>
      <c r="K18" s="159">
        <v>1</v>
      </c>
      <c r="L18" s="13">
        <f t="shared" si="0"/>
        <v>5.1299999999999999</v>
      </c>
      <c r="M18" s="16"/>
      <c r="N18" s="16"/>
      <c r="O18" s="349">
        <v>5.1299999999999999</v>
      </c>
      <c r="P18" s="349">
        <v>0</v>
      </c>
      <c r="Q18" s="349">
        <v>0</v>
      </c>
      <c r="R18" s="349">
        <f t="shared" si="4" ref="R18:R78">SUM(O18:Q18)</f>
        <v>5.1299999999999999</v>
      </c>
      <c r="S18" s="349">
        <v>0</v>
      </c>
      <c r="T18" s="349">
        <v>0</v>
      </c>
      <c r="U18" s="349">
        <f t="shared" si="5" ref="U18:U78">SUM(S18:T18)</f>
        <v>0</v>
      </c>
      <c r="V18" s="349">
        <v>0</v>
      </c>
      <c r="W18" s="349">
        <v>0</v>
      </c>
      <c r="X18" s="249">
        <f t="shared" si="6" ref="X18:X159">+R18+U18+V18+W18</f>
        <v>5.1299999999999999</v>
      </c>
      <c r="Y18" s="8" t="b">
        <f t="shared" si="1"/>
        <v>1</v>
      </c>
    </row>
    <row r="19" spans="1:25" s="4" customFormat="1" ht="12.75">
      <c r="A19" s="16">
        <v>5</v>
      </c>
      <c r="B19" t="s">
        <v>250</v>
      </c>
      <c r="C19" t="s">
        <v>916</v>
      </c>
      <c r="D19" s="16"/>
      <c r="E19" s="349">
        <v>1.2</v>
      </c>
      <c r="F19" s="349">
        <v>0</v>
      </c>
      <c r="G19" s="349">
        <v>0</v>
      </c>
      <c r="H19" s="349">
        <f t="shared" si="2"/>
        <v>1.2</v>
      </c>
      <c r="I19" s="349">
        <v>0</v>
      </c>
      <c r="J19" s="349">
        <f t="shared" si="3"/>
        <v>1.2</v>
      </c>
      <c r="K19" s="159">
        <v>1</v>
      </c>
      <c r="L19" s="13">
        <f t="shared" si="0"/>
        <v>1.2</v>
      </c>
      <c r="M19" s="16"/>
      <c r="N19" s="16"/>
      <c r="O19" s="349">
        <v>0</v>
      </c>
      <c r="P19" s="349">
        <v>0</v>
      </c>
      <c r="Q19" s="349">
        <v>0</v>
      </c>
      <c r="R19" s="349">
        <f t="shared" si="4"/>
        <v>0</v>
      </c>
      <c r="S19" s="349">
        <v>1.2</v>
      </c>
      <c r="T19" s="349">
        <v>0</v>
      </c>
      <c r="U19" s="349">
        <f t="shared" si="5"/>
        <v>1.2</v>
      </c>
      <c r="V19" s="349">
        <v>0</v>
      </c>
      <c r="W19" s="349">
        <v>0</v>
      </c>
      <c r="X19" s="249">
        <f t="shared" si="6"/>
        <v>1.2</v>
      </c>
      <c r="Y19" s="8" t="b">
        <f t="shared" si="1"/>
        <v>1</v>
      </c>
    </row>
    <row r="20" spans="1:25" s="4" customFormat="1" ht="12.75">
      <c r="A20" s="16">
        <v>6</v>
      </c>
      <c r="B20" t="s">
        <v>250</v>
      </c>
      <c r="C20" t="s">
        <v>868</v>
      </c>
      <c r="D20" s="16"/>
      <c r="E20" s="349">
        <v>703.63</v>
      </c>
      <c r="F20" s="349">
        <v>0</v>
      </c>
      <c r="G20" s="349">
        <v>0</v>
      </c>
      <c r="H20" s="349">
        <f t="shared" si="2"/>
        <v>703.63</v>
      </c>
      <c r="I20" s="349">
        <v>0</v>
      </c>
      <c r="J20" s="349">
        <f t="shared" si="3"/>
        <v>703.63</v>
      </c>
      <c r="K20" s="159">
        <v>1</v>
      </c>
      <c r="L20" s="13">
        <f t="shared" si="0"/>
        <v>703.63</v>
      </c>
      <c r="M20" s="16"/>
      <c r="N20" s="16"/>
      <c r="O20" s="349">
        <v>0</v>
      </c>
      <c r="P20" s="349">
        <v>0</v>
      </c>
      <c r="Q20" s="349">
        <v>0</v>
      </c>
      <c r="R20" s="349">
        <f t="shared" si="4"/>
        <v>0</v>
      </c>
      <c r="S20" s="349">
        <v>703.63</v>
      </c>
      <c r="T20" s="349">
        <v>0</v>
      </c>
      <c r="U20" s="349">
        <f t="shared" si="5"/>
        <v>703.63</v>
      </c>
      <c r="V20" s="349">
        <v>0</v>
      </c>
      <c r="W20" s="349">
        <v>0</v>
      </c>
      <c r="X20" s="249">
        <f t="shared" si="6"/>
        <v>703.63</v>
      </c>
      <c r="Y20" s="8" t="b">
        <f t="shared" si="1"/>
        <v>1</v>
      </c>
    </row>
    <row r="21" spans="1:25" ht="12.75">
      <c r="A21" s="16">
        <v>7</v>
      </c>
      <c r="B21" t="s">
        <v>250</v>
      </c>
      <c r="C21" s="184" t="s">
        <v>465</v>
      </c>
      <c r="E21" s="349">
        <v>522</v>
      </c>
      <c r="F21" s="349">
        <v>0</v>
      </c>
      <c r="G21" s="349">
        <v>0</v>
      </c>
      <c r="H21" s="349">
        <f t="shared" si="2"/>
        <v>522</v>
      </c>
      <c r="I21" s="349">
        <v>0</v>
      </c>
      <c r="J21" s="349">
        <f t="shared" si="3"/>
        <v>522</v>
      </c>
      <c r="K21" s="159">
        <v>1</v>
      </c>
      <c r="L21" s="13">
        <f t="shared" si="0"/>
        <v>522</v>
      </c>
      <c r="N21" s="16"/>
      <c r="O21" s="349">
        <v>0</v>
      </c>
      <c r="P21" s="349">
        <v>0</v>
      </c>
      <c r="Q21" s="349">
        <v>0</v>
      </c>
      <c r="R21" s="349">
        <f t="shared" si="4"/>
        <v>0</v>
      </c>
      <c r="S21" s="349">
        <v>0</v>
      </c>
      <c r="T21" s="349">
        <v>0</v>
      </c>
      <c r="U21" s="349">
        <f t="shared" si="5"/>
        <v>0</v>
      </c>
      <c r="V21" s="349">
        <v>0</v>
      </c>
      <c r="W21" s="349">
        <v>522</v>
      </c>
      <c r="X21" s="249">
        <f t="shared" si="6"/>
        <v>522</v>
      </c>
      <c r="Y21" s="8" t="b">
        <f t="shared" si="1"/>
        <v>1</v>
      </c>
    </row>
    <row r="22" spans="1:25" ht="12.75">
      <c r="A22" s="16">
        <v>8</v>
      </c>
      <c r="B22" t="s">
        <v>250</v>
      </c>
      <c r="C22" t="s">
        <v>917</v>
      </c>
      <c r="E22" s="349">
        <v>670</v>
      </c>
      <c r="F22" s="349">
        <v>0</v>
      </c>
      <c r="G22" s="349">
        <v>0</v>
      </c>
      <c r="H22" s="349">
        <f>+E22+F22+G22</f>
        <v>670</v>
      </c>
      <c r="I22" s="349">
        <v>0</v>
      </c>
      <c r="J22" s="349">
        <f>+H22+I22</f>
        <v>670</v>
      </c>
      <c r="K22" s="159">
        <v>1</v>
      </c>
      <c r="L22" s="13">
        <f>+J22*K22</f>
        <v>670</v>
      </c>
      <c r="N22" s="16"/>
      <c r="O22" s="349">
        <v>0</v>
      </c>
      <c r="P22" s="349">
        <v>0</v>
      </c>
      <c r="Q22" s="349">
        <v>0</v>
      </c>
      <c r="R22" s="349">
        <f t="shared" si="4"/>
        <v>0</v>
      </c>
      <c r="S22" s="349">
        <v>0</v>
      </c>
      <c r="T22" s="349">
        <v>0</v>
      </c>
      <c r="U22" s="349">
        <f t="shared" si="5"/>
        <v>0</v>
      </c>
      <c r="V22" s="349">
        <v>0</v>
      </c>
      <c r="W22" s="349">
        <v>670</v>
      </c>
      <c r="X22" s="249">
        <f t="shared" si="6"/>
        <v>670</v>
      </c>
      <c r="Y22" s="8" t="b">
        <f t="shared" si="1"/>
        <v>1</v>
      </c>
    </row>
    <row r="23" spans="1:25" ht="12.75">
      <c r="A23" s="16">
        <v>9</v>
      </c>
      <c r="B23" t="s">
        <v>250</v>
      </c>
      <c r="C23" t="s">
        <v>750</v>
      </c>
      <c r="E23" s="349">
        <v>140</v>
      </c>
      <c r="F23" s="349">
        <v>0</v>
      </c>
      <c r="G23" s="349">
        <v>0</v>
      </c>
      <c r="H23" s="349">
        <f t="shared" si="2"/>
        <v>140</v>
      </c>
      <c r="I23" s="349">
        <v>0</v>
      </c>
      <c r="J23" s="349">
        <f t="shared" si="3"/>
        <v>140</v>
      </c>
      <c r="K23" s="159">
        <v>1</v>
      </c>
      <c r="L23" s="13">
        <f t="shared" si="0"/>
        <v>140</v>
      </c>
      <c r="N23" s="16"/>
      <c r="O23" s="349">
        <v>0</v>
      </c>
      <c r="P23" s="349">
        <v>0</v>
      </c>
      <c r="Q23" s="349">
        <v>0</v>
      </c>
      <c r="R23" s="349">
        <f t="shared" si="4"/>
        <v>0</v>
      </c>
      <c r="S23" s="349">
        <v>0</v>
      </c>
      <c r="T23" s="349">
        <v>0</v>
      </c>
      <c r="U23" s="349">
        <f t="shared" si="5"/>
        <v>0</v>
      </c>
      <c r="V23" s="349">
        <v>0</v>
      </c>
      <c r="W23" s="349">
        <v>140</v>
      </c>
      <c r="X23" s="249">
        <f t="shared" si="6"/>
        <v>140</v>
      </c>
      <c r="Y23" s="8" t="b">
        <f t="shared" si="1"/>
        <v>1</v>
      </c>
    </row>
    <row r="24" spans="1:25" ht="12.75">
      <c r="A24" s="16">
        <v>10</v>
      </c>
      <c r="B24" t="s">
        <v>250</v>
      </c>
      <c r="C24" t="s">
        <v>954</v>
      </c>
      <c r="E24" s="349">
        <v>235.91999999999999</v>
      </c>
      <c r="F24" s="349">
        <v>0</v>
      </c>
      <c r="G24" s="349">
        <v>0</v>
      </c>
      <c r="H24" s="349">
        <f t="shared" si="2"/>
        <v>235.91999999999999</v>
      </c>
      <c r="I24" s="349">
        <v>0</v>
      </c>
      <c r="J24" s="349">
        <f t="shared" si="3"/>
        <v>235.91999999999999</v>
      </c>
      <c r="K24" s="159">
        <v>1</v>
      </c>
      <c r="L24" s="13">
        <f t="shared" si="0"/>
        <v>235.91999999999999</v>
      </c>
      <c r="N24" s="16"/>
      <c r="O24" s="349">
        <v>0</v>
      </c>
      <c r="P24" s="349">
        <v>0</v>
      </c>
      <c r="Q24" s="349">
        <v>0</v>
      </c>
      <c r="R24" s="349">
        <f t="shared" si="4"/>
        <v>0</v>
      </c>
      <c r="S24" s="349">
        <v>235.91999999999999</v>
      </c>
      <c r="T24" s="349">
        <v>0</v>
      </c>
      <c r="U24" s="349">
        <f t="shared" si="5"/>
        <v>235.91999999999999</v>
      </c>
      <c r="V24" s="349">
        <v>0</v>
      </c>
      <c r="W24" s="349">
        <v>0</v>
      </c>
      <c r="X24" s="249">
        <f t="shared" si="6"/>
        <v>235.91999999999999</v>
      </c>
      <c r="Y24" s="8" t="b">
        <f t="shared" si="1"/>
        <v>1</v>
      </c>
    </row>
    <row r="25" spans="1:25" ht="12.75">
      <c r="A25" s="16">
        <v>11</v>
      </c>
      <c r="B25" t="s">
        <v>250</v>
      </c>
      <c r="C25" t="s">
        <v>955</v>
      </c>
      <c r="E25" s="349">
        <v>13.75</v>
      </c>
      <c r="F25" s="349">
        <v>0</v>
      </c>
      <c r="G25" s="349">
        <v>0</v>
      </c>
      <c r="H25" s="349">
        <f t="shared" si="2"/>
        <v>13.75</v>
      </c>
      <c r="I25" s="349">
        <v>0</v>
      </c>
      <c r="J25" s="349">
        <f t="shared" si="3"/>
        <v>13.75</v>
      </c>
      <c r="K25" s="159">
        <v>1</v>
      </c>
      <c r="L25" s="13">
        <f t="shared" si="0"/>
        <v>13.75</v>
      </c>
      <c r="N25" s="16"/>
      <c r="O25" s="349">
        <v>0</v>
      </c>
      <c r="P25" s="349">
        <v>0</v>
      </c>
      <c r="Q25" s="349">
        <v>0</v>
      </c>
      <c r="R25" s="349">
        <f t="shared" si="4"/>
        <v>0</v>
      </c>
      <c r="S25" s="349">
        <v>13.75</v>
      </c>
      <c r="T25" s="349">
        <v>0</v>
      </c>
      <c r="U25" s="349">
        <f t="shared" si="5"/>
        <v>13.75</v>
      </c>
      <c r="V25" s="349">
        <v>0</v>
      </c>
      <c r="W25" s="349">
        <v>0</v>
      </c>
      <c r="X25" s="249">
        <f t="shared" si="6"/>
        <v>13.75</v>
      </c>
      <c r="Y25" s="8" t="b">
        <f t="shared" si="1"/>
        <v>1</v>
      </c>
    </row>
    <row r="26" spans="1:25" ht="12.75">
      <c r="A26" s="16">
        <v>12</v>
      </c>
      <c r="B26" t="s">
        <v>250</v>
      </c>
      <c r="C26" s="184" t="s">
        <v>870</v>
      </c>
      <c r="E26" s="349">
        <v>18</v>
      </c>
      <c r="F26" s="349">
        <v>0</v>
      </c>
      <c r="G26" s="349">
        <v>0</v>
      </c>
      <c r="H26" s="349">
        <f t="shared" si="2"/>
        <v>18</v>
      </c>
      <c r="I26" s="349">
        <v>0</v>
      </c>
      <c r="J26" s="349">
        <f t="shared" si="3"/>
        <v>18</v>
      </c>
      <c r="K26" s="159">
        <v>1</v>
      </c>
      <c r="L26" s="13">
        <f t="shared" si="0"/>
        <v>18</v>
      </c>
      <c r="N26" s="16"/>
      <c r="O26" s="349">
        <v>0</v>
      </c>
      <c r="P26" s="349">
        <v>0</v>
      </c>
      <c r="Q26" s="349">
        <v>0</v>
      </c>
      <c r="R26" s="349">
        <f t="shared" si="4"/>
        <v>0</v>
      </c>
      <c r="S26" s="349">
        <v>18</v>
      </c>
      <c r="T26" s="349">
        <v>0</v>
      </c>
      <c r="U26" s="349">
        <f t="shared" si="5"/>
        <v>18</v>
      </c>
      <c r="V26" s="349">
        <v>0</v>
      </c>
      <c r="W26" s="349">
        <v>0</v>
      </c>
      <c r="X26" s="249">
        <f t="shared" si="6"/>
        <v>18</v>
      </c>
      <c r="Y26" s="8" t="b">
        <f t="shared" si="1"/>
        <v>1</v>
      </c>
    </row>
    <row r="27" spans="1:25" ht="12.75">
      <c r="A27" s="16">
        <v>13</v>
      </c>
      <c r="B27" t="s">
        <v>251</v>
      </c>
      <c r="C27" t="s">
        <v>751</v>
      </c>
      <c r="E27" s="349">
        <v>10932.17</v>
      </c>
      <c r="F27" s="349">
        <v>0</v>
      </c>
      <c r="G27" s="349">
        <v>0</v>
      </c>
      <c r="H27" s="349">
        <f t="shared" si="2"/>
        <v>10932.17</v>
      </c>
      <c r="I27" s="349">
        <v>0</v>
      </c>
      <c r="J27" s="349">
        <f t="shared" si="3"/>
        <v>10932.17</v>
      </c>
      <c r="K27" s="159">
        <v>1</v>
      </c>
      <c r="L27" s="13">
        <f t="shared" si="0"/>
        <v>10932.17</v>
      </c>
      <c r="N27" s="16"/>
      <c r="O27" s="349">
        <v>0</v>
      </c>
      <c r="P27" s="349">
        <v>0</v>
      </c>
      <c r="Q27" s="349">
        <v>0</v>
      </c>
      <c r="R27" s="349">
        <f t="shared" si="4"/>
        <v>0</v>
      </c>
      <c r="S27" s="349">
        <v>10932.17</v>
      </c>
      <c r="T27" s="349">
        <v>0</v>
      </c>
      <c r="U27" s="349">
        <f t="shared" si="5"/>
        <v>10932.17</v>
      </c>
      <c r="V27" s="349">
        <v>0</v>
      </c>
      <c r="W27" s="349">
        <v>0</v>
      </c>
      <c r="X27" s="249">
        <f t="shared" si="6"/>
        <v>10932.17</v>
      </c>
      <c r="Y27" s="8" t="b">
        <f t="shared" si="1"/>
        <v>1</v>
      </c>
    </row>
    <row r="28" spans="1:25" s="138" customFormat="1" ht="12.75">
      <c r="A28" s="16">
        <v>14</v>
      </c>
      <c r="B28" s="138" t="s">
        <v>251</v>
      </c>
      <c r="C28" s="138" t="s">
        <v>980</v>
      </c>
      <c r="D28" s="18"/>
      <c r="E28" s="324">
        <v>2500</v>
      </c>
      <c r="F28" s="324">
        <v>0</v>
      </c>
      <c r="G28" s="324">
        <v>0</v>
      </c>
      <c r="H28" s="324">
        <f t="shared" si="2"/>
        <v>2500</v>
      </c>
      <c r="I28" s="324">
        <v>0</v>
      </c>
      <c r="J28" s="324">
        <f t="shared" si="3"/>
        <v>2500</v>
      </c>
      <c r="K28" s="159">
        <v>1</v>
      </c>
      <c r="L28" s="324">
        <f t="shared" si="0"/>
        <v>2500</v>
      </c>
      <c r="M28" s="324"/>
      <c r="N28" s="324"/>
      <c r="O28" s="324">
        <v>0</v>
      </c>
      <c r="P28" s="324">
        <v>0</v>
      </c>
      <c r="Q28" s="324">
        <v>0</v>
      </c>
      <c r="R28" s="324">
        <f t="shared" si="4"/>
        <v>0</v>
      </c>
      <c r="S28" s="324">
        <v>2500</v>
      </c>
      <c r="T28" s="324">
        <v>0</v>
      </c>
      <c r="U28" s="324">
        <f t="shared" si="5"/>
        <v>2500</v>
      </c>
      <c r="V28" s="324">
        <v>0</v>
      </c>
      <c r="W28" s="324">
        <v>0</v>
      </c>
      <c r="X28" s="324">
        <f t="shared" si="6"/>
        <v>2500</v>
      </c>
      <c r="Y28" s="249" t="b">
        <f t="shared" si="1"/>
        <v>1</v>
      </c>
    </row>
    <row r="29" spans="1:25" ht="12.75">
      <c r="A29" s="16">
        <v>15</v>
      </c>
      <c r="B29" t="s">
        <v>251</v>
      </c>
      <c r="C29" t="s">
        <v>558</v>
      </c>
      <c r="E29" s="349">
        <v>20536.849999999999</v>
      </c>
      <c r="F29" s="349">
        <v>0</v>
      </c>
      <c r="G29" s="349">
        <v>0</v>
      </c>
      <c r="H29" s="349">
        <f t="shared" si="2"/>
        <v>20536.849999999999</v>
      </c>
      <c r="I29" s="349">
        <v>0</v>
      </c>
      <c r="J29" s="349">
        <f t="shared" si="3"/>
        <v>20536.849999999999</v>
      </c>
      <c r="K29" s="159">
        <v>1</v>
      </c>
      <c r="L29" s="13">
        <f t="shared" si="0"/>
        <v>20536.849999999999</v>
      </c>
      <c r="N29" s="16"/>
      <c r="O29" s="349">
        <v>0</v>
      </c>
      <c r="P29" s="349">
        <v>0</v>
      </c>
      <c r="Q29" s="349">
        <v>0</v>
      </c>
      <c r="R29" s="349">
        <f t="shared" si="4"/>
        <v>0</v>
      </c>
      <c r="S29" s="349">
        <v>20536.849999999999</v>
      </c>
      <c r="T29" s="349">
        <v>0</v>
      </c>
      <c r="U29" s="349">
        <f t="shared" si="5"/>
        <v>20536.849999999999</v>
      </c>
      <c r="V29" s="349">
        <v>0</v>
      </c>
      <c r="W29" s="349">
        <v>0</v>
      </c>
      <c r="X29" s="249">
        <f t="shared" si="6"/>
        <v>20536.849999999999</v>
      </c>
      <c r="Y29" s="8" t="b">
        <f t="shared" si="1"/>
        <v>1</v>
      </c>
    </row>
    <row r="30" spans="1:25" ht="12.75">
      <c r="A30" s="16">
        <v>16</v>
      </c>
      <c r="B30" t="s">
        <v>251</v>
      </c>
      <c r="C30" t="s">
        <v>870</v>
      </c>
      <c r="E30" s="349">
        <v>142</v>
      </c>
      <c r="F30" s="349">
        <v>0</v>
      </c>
      <c r="G30" s="349">
        <v>0</v>
      </c>
      <c r="H30" s="349">
        <f t="shared" si="2"/>
        <v>142</v>
      </c>
      <c r="I30" s="349">
        <v>0</v>
      </c>
      <c r="J30" s="349">
        <f t="shared" si="3"/>
        <v>142</v>
      </c>
      <c r="K30" s="159">
        <v>1</v>
      </c>
      <c r="L30" s="13">
        <f t="shared" si="0"/>
        <v>142</v>
      </c>
      <c r="N30" s="16"/>
      <c r="O30" s="349">
        <v>0</v>
      </c>
      <c r="P30" s="349">
        <v>0</v>
      </c>
      <c r="Q30" s="349">
        <v>0</v>
      </c>
      <c r="R30" s="349">
        <f t="shared" si="4"/>
        <v>0</v>
      </c>
      <c r="S30" s="349">
        <v>142</v>
      </c>
      <c r="T30" s="349">
        <v>0</v>
      </c>
      <c r="U30" s="349">
        <f t="shared" si="5"/>
        <v>142</v>
      </c>
      <c r="V30" s="349">
        <v>0</v>
      </c>
      <c r="W30" s="349">
        <v>0</v>
      </c>
      <c r="X30" s="249">
        <f t="shared" si="6"/>
        <v>142</v>
      </c>
      <c r="Y30" s="8" t="b">
        <f t="shared" si="1"/>
        <v>1</v>
      </c>
    </row>
    <row r="31" spans="1:25" ht="12.75">
      <c r="A31" s="16">
        <v>17</v>
      </c>
      <c r="B31" t="s">
        <v>254</v>
      </c>
      <c r="C31" t="s">
        <v>954</v>
      </c>
      <c r="E31" s="349">
        <v>45</v>
      </c>
      <c r="F31" s="349">
        <v>0</v>
      </c>
      <c r="G31" s="349">
        <v>0</v>
      </c>
      <c r="H31" s="349">
        <f t="shared" si="2"/>
        <v>45</v>
      </c>
      <c r="I31" s="349">
        <v>0</v>
      </c>
      <c r="J31" s="349">
        <f t="shared" si="3"/>
        <v>45</v>
      </c>
      <c r="K31" s="159">
        <v>1</v>
      </c>
      <c r="L31" s="13">
        <f t="shared" si="0"/>
        <v>45</v>
      </c>
      <c r="N31" s="16"/>
      <c r="O31" s="349">
        <v>0</v>
      </c>
      <c r="P31" s="349">
        <v>0</v>
      </c>
      <c r="Q31" s="349">
        <v>0</v>
      </c>
      <c r="R31" s="349">
        <f t="shared" si="4"/>
        <v>0</v>
      </c>
      <c r="S31" s="349">
        <v>45</v>
      </c>
      <c r="T31" s="349">
        <v>0</v>
      </c>
      <c r="U31" s="349">
        <f t="shared" si="5"/>
        <v>45</v>
      </c>
      <c r="V31" s="349">
        <v>0</v>
      </c>
      <c r="W31" s="349">
        <v>0</v>
      </c>
      <c r="X31" s="249">
        <f t="shared" si="6"/>
        <v>45</v>
      </c>
      <c r="Y31" s="8" t="b">
        <f t="shared" si="1"/>
        <v>1</v>
      </c>
    </row>
    <row r="32" spans="1:25" s="138" customFormat="1" ht="12.75">
      <c r="A32" s="16">
        <v>18</v>
      </c>
      <c r="B32" s="138" t="s">
        <v>286</v>
      </c>
      <c r="C32" s="138" t="s">
        <v>752</v>
      </c>
      <c r="D32" s="18"/>
      <c r="E32" s="324">
        <v>30886.970000000001</v>
      </c>
      <c r="F32" s="324">
        <v>0</v>
      </c>
      <c r="G32" s="324">
        <v>0</v>
      </c>
      <c r="H32" s="324">
        <f t="shared" si="2"/>
        <v>30886.970000000001</v>
      </c>
      <c r="I32" s="324">
        <v>0</v>
      </c>
      <c r="J32" s="324">
        <f t="shared" si="3"/>
        <v>30886.970000000001</v>
      </c>
      <c r="K32" s="159">
        <v>1</v>
      </c>
      <c r="L32" s="324">
        <f t="shared" si="0"/>
        <v>30886.970000000001</v>
      </c>
      <c r="M32" s="324"/>
      <c r="N32" s="324"/>
      <c r="O32" s="324">
        <v>0</v>
      </c>
      <c r="P32" s="324">
        <v>0</v>
      </c>
      <c r="Q32" s="324">
        <v>0</v>
      </c>
      <c r="R32" s="324">
        <f t="shared" si="4"/>
        <v>0</v>
      </c>
      <c r="S32" s="324">
        <v>0</v>
      </c>
      <c r="T32" s="324">
        <v>0</v>
      </c>
      <c r="U32" s="324">
        <f t="shared" si="5"/>
        <v>0</v>
      </c>
      <c r="V32" s="324">
        <v>0</v>
      </c>
      <c r="W32" s="324">
        <v>30886.970000000001</v>
      </c>
      <c r="X32" s="324">
        <f t="shared" si="6"/>
        <v>30886.970000000001</v>
      </c>
      <c r="Y32" s="249" t="b">
        <f t="shared" si="1"/>
        <v>1</v>
      </c>
    </row>
    <row r="33" spans="1:25" ht="12.75">
      <c r="A33" s="16">
        <v>19</v>
      </c>
      <c r="B33" t="s">
        <v>272</v>
      </c>
      <c r="C33" t="s">
        <v>956</v>
      </c>
      <c r="E33" s="349">
        <v>450</v>
      </c>
      <c r="F33" s="349">
        <v>0</v>
      </c>
      <c r="G33" s="349">
        <v>0</v>
      </c>
      <c r="H33" s="349">
        <f t="shared" si="2"/>
        <v>450</v>
      </c>
      <c r="I33" s="349">
        <v>0</v>
      </c>
      <c r="J33" s="349">
        <f t="shared" si="3"/>
        <v>450</v>
      </c>
      <c r="K33" s="159">
        <v>1</v>
      </c>
      <c r="L33" s="13">
        <f t="shared" si="0"/>
        <v>450</v>
      </c>
      <c r="N33" s="16"/>
      <c r="O33" s="349">
        <v>99.09004947107951</v>
      </c>
      <c r="P33" s="349">
        <v>0</v>
      </c>
      <c r="Q33" s="349">
        <v>0</v>
      </c>
      <c r="R33" s="349">
        <f t="shared" si="4"/>
        <v>99.09004947107951</v>
      </c>
      <c r="S33" s="349">
        <v>273.3750392081692</v>
      </c>
      <c r="T33" s="349">
        <v>0</v>
      </c>
      <c r="U33" s="349">
        <f t="shared" si="5"/>
        <v>273.3750392081692</v>
      </c>
      <c r="V33" s="349">
        <v>74.520009464989627</v>
      </c>
      <c r="W33" s="349">
        <v>3.0149018557616367</v>
      </c>
      <c r="X33" s="249">
        <f t="shared" si="6"/>
        <v>450</v>
      </c>
      <c r="Y33" s="8" t="b">
        <f t="shared" si="1"/>
        <v>1</v>
      </c>
    </row>
    <row r="34" spans="1:25" ht="12.75">
      <c r="A34" s="16">
        <v>20</v>
      </c>
      <c r="B34" t="s">
        <v>272</v>
      </c>
      <c r="C34" t="s">
        <v>869</v>
      </c>
      <c r="E34" s="349">
        <v>15230</v>
      </c>
      <c r="F34" s="349">
        <v>0</v>
      </c>
      <c r="G34" s="349">
        <v>0</v>
      </c>
      <c r="H34" s="349">
        <f t="shared" si="2"/>
        <v>15230</v>
      </c>
      <c r="I34" s="349">
        <v>0</v>
      </c>
      <c r="J34" s="349">
        <f t="shared" si="3"/>
        <v>15230</v>
      </c>
      <c r="K34" s="159">
        <v>1</v>
      </c>
      <c r="L34" s="13">
        <f t="shared" si="0"/>
        <v>15230</v>
      </c>
      <c r="N34" s="16"/>
      <c r="O34" s="349">
        <v>0</v>
      </c>
      <c r="P34" s="349">
        <v>0</v>
      </c>
      <c r="Q34" s="349">
        <v>0</v>
      </c>
      <c r="R34" s="349">
        <f t="shared" si="4"/>
        <v>0</v>
      </c>
      <c r="S34" s="349">
        <v>0</v>
      </c>
      <c r="T34" s="349">
        <v>0</v>
      </c>
      <c r="U34" s="349">
        <f t="shared" si="5"/>
        <v>0</v>
      </c>
      <c r="V34" s="349">
        <v>0</v>
      </c>
      <c r="W34" s="349">
        <v>15230</v>
      </c>
      <c r="X34" s="249">
        <f t="shared" si="6"/>
        <v>15230</v>
      </c>
      <c r="Y34" s="8" t="b">
        <f t="shared" si="1"/>
        <v>1</v>
      </c>
    </row>
    <row r="35" spans="1:25" ht="12.75">
      <c r="A35" s="16">
        <v>21</v>
      </c>
      <c r="B35" t="s">
        <v>272</v>
      </c>
      <c r="C35" t="s">
        <v>491</v>
      </c>
      <c r="E35" s="349">
        <v>5412.5</v>
      </c>
      <c r="F35" s="349">
        <v>0</v>
      </c>
      <c r="G35" s="349">
        <v>0</v>
      </c>
      <c r="H35" s="349">
        <f>+E35+F35+G35</f>
        <v>5412.5</v>
      </c>
      <c r="I35" s="349">
        <v>0</v>
      </c>
      <c r="J35" s="349">
        <f>+H35+I35</f>
        <v>5412.5</v>
      </c>
      <c r="K35" s="159">
        <v>1</v>
      </c>
      <c r="L35" s="13">
        <f>+J35*K35</f>
        <v>5412.5</v>
      </c>
      <c r="N35" s="16"/>
      <c r="O35" s="349">
        <v>1191.8299999999999</v>
      </c>
      <c r="P35" s="349">
        <v>0</v>
      </c>
      <c r="Q35" s="349">
        <v>0</v>
      </c>
      <c r="R35" s="349">
        <f t="shared" si="4"/>
        <v>1191.8299999999999</v>
      </c>
      <c r="S35" s="349">
        <v>3288.0900000000001</v>
      </c>
      <c r="T35" s="349">
        <v>0</v>
      </c>
      <c r="U35" s="349">
        <f t="shared" si="5"/>
        <v>3288.0900000000001</v>
      </c>
      <c r="V35" s="349">
        <v>896.30999999999995</v>
      </c>
      <c r="W35" s="349">
        <v>36.269999999999982</v>
      </c>
      <c r="X35" s="249">
        <f t="shared" si="6"/>
        <v>5412.5</v>
      </c>
      <c r="Y35" s="8" t="b">
        <f t="shared" si="1"/>
        <v>1</v>
      </c>
    </row>
    <row r="36" spans="1:25" ht="12.75">
      <c r="A36" s="16">
        <v>22</v>
      </c>
      <c r="B36" t="s">
        <v>272</v>
      </c>
      <c r="C36" t="s">
        <v>464</v>
      </c>
      <c r="E36" s="349">
        <v>150</v>
      </c>
      <c r="F36" s="349">
        <v>0</v>
      </c>
      <c r="G36" s="349">
        <v>0</v>
      </c>
      <c r="H36" s="349">
        <f t="shared" si="2"/>
        <v>150</v>
      </c>
      <c r="I36" s="349">
        <v>0</v>
      </c>
      <c r="J36" s="349">
        <f t="shared" si="3"/>
        <v>150</v>
      </c>
      <c r="K36" s="159">
        <v>1</v>
      </c>
      <c r="L36" s="13">
        <f t="shared" si="0"/>
        <v>150</v>
      </c>
      <c r="N36" s="16"/>
      <c r="O36" s="349">
        <v>0</v>
      </c>
      <c r="P36" s="349">
        <v>0</v>
      </c>
      <c r="Q36" s="349">
        <v>0</v>
      </c>
      <c r="R36" s="349">
        <f t="shared" si="4"/>
        <v>0</v>
      </c>
      <c r="S36" s="349">
        <v>0</v>
      </c>
      <c r="T36" s="349">
        <v>0</v>
      </c>
      <c r="U36" s="349">
        <f t="shared" si="5"/>
        <v>0</v>
      </c>
      <c r="V36" s="349">
        <v>0</v>
      </c>
      <c r="W36" s="349">
        <v>150</v>
      </c>
      <c r="X36" s="249">
        <f t="shared" si="6"/>
        <v>150</v>
      </c>
      <c r="Y36" s="8" t="b">
        <f t="shared" si="1"/>
        <v>1</v>
      </c>
    </row>
    <row r="37" spans="1:25" ht="12.75">
      <c r="A37" s="16">
        <v>23</v>
      </c>
      <c r="B37" t="s">
        <v>272</v>
      </c>
      <c r="C37" t="s">
        <v>957</v>
      </c>
      <c r="E37" s="349">
        <v>120</v>
      </c>
      <c r="F37" s="349">
        <v>0</v>
      </c>
      <c r="G37" s="349">
        <v>0</v>
      </c>
      <c r="H37" s="349">
        <f t="shared" si="7" ref="H37:H98">+E37+F37+G37</f>
        <v>120</v>
      </c>
      <c r="I37" s="349">
        <v>0</v>
      </c>
      <c r="J37" s="349">
        <f t="shared" si="8" ref="J37:J98">+H37+I37</f>
        <v>120</v>
      </c>
      <c r="K37" s="159">
        <v>1</v>
      </c>
      <c r="L37" s="13">
        <f t="shared" si="9" ref="L37:L98">+J37*K37</f>
        <v>120</v>
      </c>
      <c r="N37" s="16"/>
      <c r="O37" s="349">
        <v>0</v>
      </c>
      <c r="P37" s="349">
        <v>0</v>
      </c>
      <c r="Q37" s="349">
        <v>0</v>
      </c>
      <c r="R37" s="349">
        <f t="shared" si="4"/>
        <v>0</v>
      </c>
      <c r="S37" s="349">
        <v>0</v>
      </c>
      <c r="T37" s="349">
        <v>0</v>
      </c>
      <c r="U37" s="349">
        <f t="shared" si="5"/>
        <v>0</v>
      </c>
      <c r="V37" s="349">
        <v>120</v>
      </c>
      <c r="W37" s="349">
        <v>0</v>
      </c>
      <c r="X37" s="249">
        <f t="shared" si="10" ref="X37:X98">+R37+U37+V37+W37</f>
        <v>120</v>
      </c>
      <c r="Y37" s="8" t="b">
        <f t="shared" si="11" ref="Y37:Y98">+X37=L37</f>
        <v>1</v>
      </c>
    </row>
    <row r="38" spans="1:25" ht="12.75">
      <c r="A38" s="16">
        <v>24</v>
      </c>
      <c r="B38" t="s">
        <v>272</v>
      </c>
      <c r="C38" t="s">
        <v>755</v>
      </c>
      <c r="E38" s="349">
        <v>500</v>
      </c>
      <c r="F38" s="349">
        <v>0</v>
      </c>
      <c r="G38" s="349">
        <v>0</v>
      </c>
      <c r="H38" s="349">
        <f t="shared" si="7"/>
        <v>500</v>
      </c>
      <c r="I38" s="349">
        <v>0</v>
      </c>
      <c r="J38" s="349">
        <f t="shared" si="8"/>
        <v>500</v>
      </c>
      <c r="K38" s="159">
        <v>1</v>
      </c>
      <c r="L38" s="13">
        <f t="shared" si="9"/>
        <v>500</v>
      </c>
      <c r="N38" s="16"/>
      <c r="O38" s="349">
        <v>0</v>
      </c>
      <c r="P38" s="349">
        <v>0</v>
      </c>
      <c r="Q38" s="349">
        <v>0</v>
      </c>
      <c r="R38" s="349">
        <f t="shared" si="4"/>
        <v>0</v>
      </c>
      <c r="S38" s="349">
        <v>0</v>
      </c>
      <c r="T38" s="349">
        <v>0</v>
      </c>
      <c r="U38" s="349">
        <f t="shared" si="5"/>
        <v>0</v>
      </c>
      <c r="V38" s="349">
        <v>0</v>
      </c>
      <c r="W38" s="349">
        <v>500</v>
      </c>
      <c r="X38" s="249">
        <f t="shared" si="10"/>
        <v>500</v>
      </c>
      <c r="Y38" s="8" t="b">
        <f t="shared" si="11"/>
        <v>1</v>
      </c>
    </row>
    <row r="39" spans="1:25" ht="12.75">
      <c r="A39" s="16">
        <v>25</v>
      </c>
      <c r="B39" t="s">
        <v>272</v>
      </c>
      <c r="C39" t="s">
        <v>1023</v>
      </c>
      <c r="E39" s="349">
        <v>5000</v>
      </c>
      <c r="F39" s="349">
        <v>0</v>
      </c>
      <c r="G39" s="349">
        <v>0</v>
      </c>
      <c r="H39" s="349">
        <f t="shared" si="7"/>
        <v>5000</v>
      </c>
      <c r="I39" s="349">
        <f>-H39</f>
        <v>-5000</v>
      </c>
      <c r="J39" s="349">
        <f t="shared" si="8"/>
        <v>0</v>
      </c>
      <c r="K39" s="159">
        <v>1</v>
      </c>
      <c r="L39" s="13">
        <f t="shared" si="9"/>
        <v>0</v>
      </c>
      <c r="N39" s="16"/>
      <c r="O39" s="349">
        <v>0</v>
      </c>
      <c r="P39" s="349">
        <v>0</v>
      </c>
      <c r="Q39" s="349">
        <v>0</v>
      </c>
      <c r="R39" s="349">
        <f t="shared" si="4"/>
        <v>0</v>
      </c>
      <c r="S39" s="349">
        <v>0</v>
      </c>
      <c r="T39" s="349">
        <v>0</v>
      </c>
      <c r="U39" s="349">
        <f t="shared" si="5"/>
        <v>0</v>
      </c>
      <c r="V39" s="349">
        <v>0</v>
      </c>
      <c r="W39" s="349">
        <v>0</v>
      </c>
      <c r="X39" s="249">
        <f t="shared" si="10"/>
        <v>0</v>
      </c>
      <c r="Y39" s="8" t="b">
        <f t="shared" si="11"/>
        <v>1</v>
      </c>
    </row>
    <row r="40" spans="1:25" ht="12.75">
      <c r="A40" s="16">
        <v>26</v>
      </c>
      <c r="B40" t="s">
        <v>272</v>
      </c>
      <c r="C40" t="s">
        <v>958</v>
      </c>
      <c r="E40" s="349">
        <v>199.99999999999997</v>
      </c>
      <c r="F40" s="349">
        <v>0</v>
      </c>
      <c r="G40" s="349">
        <v>0</v>
      </c>
      <c r="H40" s="349">
        <f t="shared" si="7"/>
        <v>199.99999999999997</v>
      </c>
      <c r="I40" s="349">
        <v>0</v>
      </c>
      <c r="J40" s="349">
        <f t="shared" si="8"/>
        <v>199.99999999999997</v>
      </c>
      <c r="K40" s="159">
        <v>1</v>
      </c>
      <c r="L40" s="13">
        <f t="shared" si="9"/>
        <v>199.99999999999997</v>
      </c>
      <c r="N40" s="16"/>
      <c r="O40" s="349">
        <v>44.040021987146446</v>
      </c>
      <c r="P40" s="349">
        <v>0</v>
      </c>
      <c r="Q40" s="349">
        <v>0</v>
      </c>
      <c r="R40" s="349">
        <f t="shared" si="4"/>
        <v>44.040021987146446</v>
      </c>
      <c r="S40" s="349">
        <v>121.50001742585299</v>
      </c>
      <c r="T40" s="349">
        <v>0</v>
      </c>
      <c r="U40" s="349">
        <f t="shared" si="5"/>
        <v>121.50001742585299</v>
      </c>
      <c r="V40" s="349">
        <v>33.12000420666206</v>
      </c>
      <c r="W40" s="349">
        <v>1.3399563803385051</v>
      </c>
      <c r="X40" s="249">
        <f t="shared" si="10"/>
        <v>199.99999999999997</v>
      </c>
      <c r="Y40" s="8" t="b">
        <f t="shared" si="11"/>
        <v>1</v>
      </c>
    </row>
    <row r="41" spans="1:25" ht="12.75">
      <c r="A41" s="16">
        <v>27</v>
      </c>
      <c r="B41" t="s">
        <v>272</v>
      </c>
      <c r="C41" t="s">
        <v>959</v>
      </c>
      <c r="E41" s="349">
        <v>321.60000000000002</v>
      </c>
      <c r="F41" s="349">
        <v>0</v>
      </c>
      <c r="G41" s="349">
        <v>0</v>
      </c>
      <c r="H41" s="349">
        <f t="shared" si="7"/>
        <v>321.60000000000002</v>
      </c>
      <c r="I41" s="349">
        <v>0</v>
      </c>
      <c r="J41" s="349">
        <f t="shared" si="8"/>
        <v>321.60000000000002</v>
      </c>
      <c r="K41" s="159">
        <v>1</v>
      </c>
      <c r="L41" s="13">
        <f t="shared" si="9"/>
        <v>321.60000000000002</v>
      </c>
      <c r="N41" s="16"/>
      <c r="O41" s="349">
        <v>0</v>
      </c>
      <c r="P41" s="349">
        <v>0</v>
      </c>
      <c r="Q41" s="349">
        <v>0</v>
      </c>
      <c r="R41" s="349">
        <f t="shared" si="4"/>
        <v>0</v>
      </c>
      <c r="S41" s="349">
        <v>0</v>
      </c>
      <c r="T41" s="349">
        <v>0</v>
      </c>
      <c r="U41" s="349">
        <f t="shared" si="5"/>
        <v>0</v>
      </c>
      <c r="V41" s="349">
        <v>0</v>
      </c>
      <c r="W41" s="349">
        <v>321.60000000000002</v>
      </c>
      <c r="X41" s="249">
        <f t="shared" si="10"/>
        <v>321.60000000000002</v>
      </c>
      <c r="Y41" s="8" t="b">
        <f t="shared" si="11"/>
        <v>1</v>
      </c>
    </row>
    <row r="42" spans="1:25" s="138" customFormat="1" ht="12.75">
      <c r="A42" s="16">
        <v>28</v>
      </c>
      <c r="B42" s="138" t="s">
        <v>272</v>
      </c>
      <c r="C42" s="138" t="s">
        <v>1000</v>
      </c>
      <c r="D42" s="18"/>
      <c r="E42" s="324">
        <v>379.08999999999998</v>
      </c>
      <c r="F42" s="324">
        <v>0</v>
      </c>
      <c r="G42" s="324">
        <v>0</v>
      </c>
      <c r="H42" s="324">
        <f t="shared" si="7"/>
        <v>379.08999999999998</v>
      </c>
      <c r="I42" s="324">
        <v>0</v>
      </c>
      <c r="J42" s="324">
        <f t="shared" si="8"/>
        <v>379.08999999999998</v>
      </c>
      <c r="K42" s="159">
        <v>1</v>
      </c>
      <c r="L42" s="324">
        <f t="shared" si="9"/>
        <v>379.08999999999998</v>
      </c>
      <c r="M42" s="324"/>
      <c r="N42" s="324"/>
      <c r="O42" s="324">
        <v>0</v>
      </c>
      <c r="P42" s="324">
        <v>0</v>
      </c>
      <c r="Q42" s="324">
        <v>0</v>
      </c>
      <c r="R42" s="324">
        <f t="shared" si="4"/>
        <v>0</v>
      </c>
      <c r="S42" s="324">
        <v>0</v>
      </c>
      <c r="T42" s="324">
        <v>0</v>
      </c>
      <c r="U42" s="324">
        <f t="shared" si="5"/>
        <v>0</v>
      </c>
      <c r="V42" s="324">
        <v>0</v>
      </c>
      <c r="W42" s="324">
        <v>379.08999999999998</v>
      </c>
      <c r="X42" s="324">
        <f t="shared" si="10"/>
        <v>379.08999999999998</v>
      </c>
      <c r="Y42" s="249" t="b">
        <f t="shared" si="11"/>
        <v>1</v>
      </c>
    </row>
    <row r="43" spans="1:25" ht="12.75">
      <c r="A43" s="16">
        <v>29</v>
      </c>
      <c r="B43" t="s">
        <v>272</v>
      </c>
      <c r="C43" t="s">
        <v>756</v>
      </c>
      <c r="E43" s="349">
        <v>1000</v>
      </c>
      <c r="F43" s="349">
        <v>0</v>
      </c>
      <c r="G43" s="349">
        <v>0</v>
      </c>
      <c r="H43" s="349">
        <f t="shared" si="7"/>
        <v>1000</v>
      </c>
      <c r="I43" s="349">
        <v>0</v>
      </c>
      <c r="J43" s="349">
        <f t="shared" si="8"/>
        <v>1000</v>
      </c>
      <c r="K43" s="159">
        <v>1</v>
      </c>
      <c r="L43" s="13">
        <f t="shared" si="9"/>
        <v>1000</v>
      </c>
      <c r="N43" s="16"/>
      <c r="O43" s="349">
        <v>220.20010993573223</v>
      </c>
      <c r="P43" s="349">
        <v>0</v>
      </c>
      <c r="Q43" s="349">
        <v>0</v>
      </c>
      <c r="R43" s="349">
        <f t="shared" si="4"/>
        <v>220.20010993573223</v>
      </c>
      <c r="S43" s="349">
        <v>607.5000871292649</v>
      </c>
      <c r="T43" s="349">
        <v>0</v>
      </c>
      <c r="U43" s="349">
        <f t="shared" si="5"/>
        <v>607.5000871292649</v>
      </c>
      <c r="V43" s="349">
        <v>165.6000210333103</v>
      </c>
      <c r="W43" s="349">
        <v>6.6997819016925257</v>
      </c>
      <c r="X43" s="249">
        <f t="shared" si="10"/>
        <v>1000</v>
      </c>
      <c r="Y43" s="8" t="b">
        <f t="shared" si="11"/>
        <v>1</v>
      </c>
    </row>
    <row r="44" spans="1:25" ht="12.75">
      <c r="A44" s="16">
        <v>30</v>
      </c>
      <c r="B44" t="s">
        <v>272</v>
      </c>
      <c r="C44" t="s">
        <v>934</v>
      </c>
      <c r="E44" s="349">
        <v>450</v>
      </c>
      <c r="F44" s="349">
        <v>0</v>
      </c>
      <c r="G44" s="349">
        <v>0</v>
      </c>
      <c r="H44" s="349">
        <f t="shared" si="7"/>
        <v>450</v>
      </c>
      <c r="I44" s="349">
        <v>0</v>
      </c>
      <c r="J44" s="349">
        <f t="shared" si="8"/>
        <v>450</v>
      </c>
      <c r="K44" s="159">
        <v>1</v>
      </c>
      <c r="L44" s="13">
        <f t="shared" si="9"/>
        <v>450</v>
      </c>
      <c r="N44" s="16"/>
      <c r="O44" s="349">
        <v>0</v>
      </c>
      <c r="P44" s="349">
        <v>0</v>
      </c>
      <c r="Q44" s="349">
        <v>0</v>
      </c>
      <c r="R44" s="349">
        <f t="shared" si="4"/>
        <v>0</v>
      </c>
      <c r="S44" s="349">
        <v>0</v>
      </c>
      <c r="T44" s="349">
        <v>0</v>
      </c>
      <c r="U44" s="349">
        <f t="shared" si="5"/>
        <v>0</v>
      </c>
      <c r="V44" s="349">
        <v>0</v>
      </c>
      <c r="W44" s="349">
        <v>450</v>
      </c>
      <c r="X44" s="249">
        <f t="shared" si="10"/>
        <v>450</v>
      </c>
      <c r="Y44" s="8" t="b">
        <f t="shared" si="11"/>
        <v>1</v>
      </c>
    </row>
    <row r="45" spans="1:25" ht="12.75">
      <c r="A45" s="16">
        <v>31</v>
      </c>
      <c r="B45" t="s">
        <v>272</v>
      </c>
      <c r="C45" t="s">
        <v>935</v>
      </c>
      <c r="E45" s="349">
        <v>200</v>
      </c>
      <c r="F45" s="349">
        <v>0</v>
      </c>
      <c r="G45" s="349">
        <v>0</v>
      </c>
      <c r="H45" s="349">
        <f t="shared" si="7"/>
        <v>200</v>
      </c>
      <c r="I45" s="349">
        <v>0</v>
      </c>
      <c r="J45" s="349">
        <f t="shared" si="8"/>
        <v>200</v>
      </c>
      <c r="K45" s="159">
        <v>1</v>
      </c>
      <c r="L45" s="13">
        <f t="shared" si="9"/>
        <v>200</v>
      </c>
      <c r="N45" s="16"/>
      <c r="O45" s="349">
        <v>0</v>
      </c>
      <c r="P45" s="349">
        <v>0</v>
      </c>
      <c r="Q45" s="349">
        <v>0</v>
      </c>
      <c r="R45" s="349">
        <f t="shared" si="4"/>
        <v>0</v>
      </c>
      <c r="S45" s="349">
        <v>0</v>
      </c>
      <c r="T45" s="349">
        <v>0</v>
      </c>
      <c r="U45" s="349">
        <f t="shared" si="5"/>
        <v>0</v>
      </c>
      <c r="V45" s="349">
        <v>0</v>
      </c>
      <c r="W45" s="349">
        <v>200</v>
      </c>
      <c r="X45" s="249">
        <f t="shared" si="10"/>
        <v>200</v>
      </c>
      <c r="Y45" s="8" t="b">
        <f t="shared" si="11"/>
        <v>1</v>
      </c>
    </row>
    <row r="46" spans="1:25" ht="12.75">
      <c r="A46" s="16">
        <v>32</v>
      </c>
      <c r="B46" t="s">
        <v>272</v>
      </c>
      <c r="C46" t="s">
        <v>936</v>
      </c>
      <c r="E46" s="349">
        <v>135</v>
      </c>
      <c r="F46" s="349">
        <v>0</v>
      </c>
      <c r="G46" s="349">
        <v>0</v>
      </c>
      <c r="H46" s="349">
        <f t="shared" si="7"/>
        <v>135</v>
      </c>
      <c r="I46" s="349">
        <v>0</v>
      </c>
      <c r="J46" s="349">
        <f t="shared" si="8"/>
        <v>135</v>
      </c>
      <c r="K46" s="159">
        <v>1</v>
      </c>
      <c r="L46" s="13">
        <f t="shared" si="9"/>
        <v>135</v>
      </c>
      <c r="N46" s="16"/>
      <c r="O46" s="349">
        <v>0</v>
      </c>
      <c r="P46" s="349">
        <v>0</v>
      </c>
      <c r="Q46" s="349">
        <v>0</v>
      </c>
      <c r="R46" s="349">
        <f t="shared" si="4"/>
        <v>0</v>
      </c>
      <c r="S46" s="349">
        <v>0</v>
      </c>
      <c r="T46" s="349">
        <v>0</v>
      </c>
      <c r="U46" s="349">
        <f t="shared" si="5"/>
        <v>0</v>
      </c>
      <c r="V46" s="349">
        <v>0</v>
      </c>
      <c r="W46" s="349">
        <v>135</v>
      </c>
      <c r="X46" s="249">
        <f t="shared" si="10"/>
        <v>135</v>
      </c>
      <c r="Y46" s="8" t="b">
        <f t="shared" si="11"/>
        <v>1</v>
      </c>
    </row>
    <row r="47" spans="1:25" ht="12.75">
      <c r="A47" s="16">
        <v>33</v>
      </c>
      <c r="B47" t="s">
        <v>272</v>
      </c>
      <c r="C47" t="s">
        <v>937</v>
      </c>
      <c r="E47" s="349">
        <v>45</v>
      </c>
      <c r="F47" s="349">
        <v>0</v>
      </c>
      <c r="G47" s="349">
        <v>0</v>
      </c>
      <c r="H47" s="349">
        <f t="shared" si="7"/>
        <v>45</v>
      </c>
      <c r="I47" s="349">
        <v>0</v>
      </c>
      <c r="J47" s="349">
        <f t="shared" si="8"/>
        <v>45</v>
      </c>
      <c r="K47" s="159">
        <v>1</v>
      </c>
      <c r="L47" s="13">
        <f t="shared" si="9"/>
        <v>45</v>
      </c>
      <c r="N47" s="16"/>
      <c r="O47" s="349">
        <v>0</v>
      </c>
      <c r="P47" s="349">
        <v>0</v>
      </c>
      <c r="Q47" s="349">
        <v>0</v>
      </c>
      <c r="R47" s="349">
        <f t="shared" si="4"/>
        <v>0</v>
      </c>
      <c r="S47" s="349">
        <v>0</v>
      </c>
      <c r="T47" s="349">
        <v>0</v>
      </c>
      <c r="U47" s="349">
        <f t="shared" si="5"/>
        <v>0</v>
      </c>
      <c r="V47" s="349">
        <v>0</v>
      </c>
      <c r="W47" s="349">
        <v>45</v>
      </c>
      <c r="X47" s="249">
        <f t="shared" si="10"/>
        <v>45</v>
      </c>
      <c r="Y47" s="8" t="b">
        <f t="shared" si="11"/>
        <v>1</v>
      </c>
    </row>
    <row r="48" spans="1:25" ht="12.75">
      <c r="A48" s="16">
        <v>34</v>
      </c>
      <c r="B48" t="s">
        <v>272</v>
      </c>
      <c r="C48" t="s">
        <v>938</v>
      </c>
      <c r="E48" s="349">
        <v>272.5</v>
      </c>
      <c r="F48" s="349">
        <v>0</v>
      </c>
      <c r="G48" s="349">
        <v>0</v>
      </c>
      <c r="H48" s="349">
        <f t="shared" si="7"/>
        <v>272.5</v>
      </c>
      <c r="I48" s="349">
        <v>0</v>
      </c>
      <c r="J48" s="349">
        <f t="shared" si="8"/>
        <v>272.5</v>
      </c>
      <c r="K48" s="159">
        <v>1</v>
      </c>
      <c r="L48" s="13">
        <f t="shared" si="9"/>
        <v>272.5</v>
      </c>
      <c r="N48" s="16"/>
      <c r="O48" s="349">
        <v>0</v>
      </c>
      <c r="P48" s="349">
        <v>0</v>
      </c>
      <c r="Q48" s="349">
        <v>0</v>
      </c>
      <c r="R48" s="349">
        <f t="shared" si="4"/>
        <v>0</v>
      </c>
      <c r="S48" s="349">
        <v>0</v>
      </c>
      <c r="T48" s="349">
        <v>0</v>
      </c>
      <c r="U48" s="349">
        <f t="shared" si="5"/>
        <v>0</v>
      </c>
      <c r="V48" s="349">
        <v>0</v>
      </c>
      <c r="W48" s="349">
        <v>272.5</v>
      </c>
      <c r="X48" s="249">
        <f t="shared" si="10"/>
        <v>272.5</v>
      </c>
      <c r="Y48" s="8" t="b">
        <f t="shared" si="11"/>
        <v>1</v>
      </c>
    </row>
    <row r="49" spans="1:25" ht="12.75">
      <c r="A49" s="16">
        <v>35</v>
      </c>
      <c r="B49" t="s">
        <v>272</v>
      </c>
      <c r="C49" t="s">
        <v>757</v>
      </c>
      <c r="E49" s="349">
        <v>910</v>
      </c>
      <c r="F49" s="349">
        <v>0</v>
      </c>
      <c r="G49" s="349">
        <v>0</v>
      </c>
      <c r="H49" s="349">
        <f t="shared" si="7"/>
        <v>910</v>
      </c>
      <c r="I49" s="349">
        <v>0</v>
      </c>
      <c r="J49" s="349">
        <f t="shared" si="8"/>
        <v>910</v>
      </c>
      <c r="K49" s="159">
        <v>1</v>
      </c>
      <c r="L49" s="13">
        <f t="shared" si="9"/>
        <v>910</v>
      </c>
      <c r="N49" s="16"/>
      <c r="O49" s="349">
        <v>0</v>
      </c>
      <c r="P49" s="349">
        <v>0</v>
      </c>
      <c r="Q49" s="349">
        <v>0</v>
      </c>
      <c r="R49" s="349">
        <f t="shared" si="4"/>
        <v>0</v>
      </c>
      <c r="S49" s="349">
        <v>0</v>
      </c>
      <c r="T49" s="349">
        <v>0</v>
      </c>
      <c r="U49" s="349">
        <f t="shared" si="5"/>
        <v>0</v>
      </c>
      <c r="V49" s="349">
        <v>0</v>
      </c>
      <c r="W49" s="349">
        <v>910</v>
      </c>
      <c r="X49" s="249">
        <f t="shared" si="10"/>
        <v>910</v>
      </c>
      <c r="Y49" s="8" t="b">
        <f t="shared" si="11"/>
        <v>1</v>
      </c>
    </row>
    <row r="50" spans="1:25" ht="12.75">
      <c r="A50" s="16">
        <v>36</v>
      </c>
      <c r="B50" t="s">
        <v>272</v>
      </c>
      <c r="C50" t="s">
        <v>758</v>
      </c>
      <c r="E50" s="349">
        <v>90</v>
      </c>
      <c r="F50" s="349">
        <v>0</v>
      </c>
      <c r="G50" s="349">
        <v>0</v>
      </c>
      <c r="H50" s="349">
        <f t="shared" si="7"/>
        <v>90</v>
      </c>
      <c r="I50" s="349">
        <v>0</v>
      </c>
      <c r="J50" s="349">
        <f t="shared" si="8"/>
        <v>90</v>
      </c>
      <c r="K50" s="159">
        <v>1</v>
      </c>
      <c r="L50" s="13">
        <f t="shared" si="9"/>
        <v>90</v>
      </c>
      <c r="N50" s="16"/>
      <c r="O50" s="349">
        <v>0</v>
      </c>
      <c r="P50" s="349">
        <v>0</v>
      </c>
      <c r="Q50" s="349">
        <v>0</v>
      </c>
      <c r="R50" s="349">
        <f t="shared" si="4"/>
        <v>0</v>
      </c>
      <c r="S50" s="349">
        <v>0</v>
      </c>
      <c r="T50" s="349">
        <v>0</v>
      </c>
      <c r="U50" s="349">
        <f t="shared" si="5"/>
        <v>0</v>
      </c>
      <c r="V50" s="349">
        <v>0</v>
      </c>
      <c r="W50" s="349">
        <v>90</v>
      </c>
      <c r="X50" s="249">
        <f t="shared" si="10"/>
        <v>90</v>
      </c>
      <c r="Y50" s="8" t="b">
        <f t="shared" si="11"/>
        <v>1</v>
      </c>
    </row>
    <row r="51" spans="1:25" ht="12.75">
      <c r="A51" s="16">
        <v>37</v>
      </c>
      <c r="B51" t="s">
        <v>272</v>
      </c>
      <c r="C51" t="s">
        <v>954</v>
      </c>
      <c r="E51" s="349">
        <v>45</v>
      </c>
      <c r="F51" s="349">
        <v>0</v>
      </c>
      <c r="G51" s="349">
        <v>0</v>
      </c>
      <c r="H51" s="349">
        <f t="shared" si="7"/>
        <v>45</v>
      </c>
      <c r="I51" s="349">
        <v>0</v>
      </c>
      <c r="J51" s="349">
        <f t="shared" si="8"/>
        <v>45</v>
      </c>
      <c r="K51" s="159">
        <v>1</v>
      </c>
      <c r="L51" s="13">
        <f t="shared" si="9"/>
        <v>45</v>
      </c>
      <c r="N51" s="16"/>
      <c r="O51" s="349">
        <v>9.9090000000000007</v>
      </c>
      <c r="P51" s="349">
        <v>0</v>
      </c>
      <c r="Q51" s="349">
        <v>0</v>
      </c>
      <c r="R51" s="349">
        <f t="shared" si="4"/>
        <v>9.9090000000000007</v>
      </c>
      <c r="S51" s="349">
        <v>27.338999999999995</v>
      </c>
      <c r="T51" s="349">
        <v>0</v>
      </c>
      <c r="U51" s="349">
        <f t="shared" si="5"/>
        <v>27.338999999999995</v>
      </c>
      <c r="V51" s="349">
        <v>7.452</v>
      </c>
      <c r="W51" s="349">
        <v>0.3000000000000011</v>
      </c>
      <c r="X51" s="249">
        <f t="shared" si="10"/>
        <v>45</v>
      </c>
      <c r="Y51" s="8" t="b">
        <f t="shared" si="11"/>
        <v>1</v>
      </c>
    </row>
    <row r="52" spans="1:25" s="138" customFormat="1" ht="12.75">
      <c r="A52" s="16">
        <v>38</v>
      </c>
      <c r="B52" s="138" t="s">
        <v>272</v>
      </c>
      <c r="C52" s="138" t="s">
        <v>940</v>
      </c>
      <c r="D52" s="18"/>
      <c r="E52" s="324">
        <v>575</v>
      </c>
      <c r="F52" s="324">
        <v>0</v>
      </c>
      <c r="G52" s="324">
        <v>0</v>
      </c>
      <c r="H52" s="324">
        <f t="shared" si="7"/>
        <v>575</v>
      </c>
      <c r="I52" s="324">
        <v>0</v>
      </c>
      <c r="J52" s="324">
        <f t="shared" si="8"/>
        <v>575</v>
      </c>
      <c r="K52" s="159">
        <v>1</v>
      </c>
      <c r="L52" s="324">
        <f t="shared" si="9"/>
        <v>575</v>
      </c>
      <c r="M52" s="324"/>
      <c r="N52" s="324"/>
      <c r="O52" s="324">
        <v>126.61</v>
      </c>
      <c r="P52" s="324">
        <v>0</v>
      </c>
      <c r="Q52" s="324">
        <v>0</v>
      </c>
      <c r="R52" s="324">
        <f t="shared" si="4"/>
        <v>126.61</v>
      </c>
      <c r="S52" s="324">
        <v>349.31</v>
      </c>
      <c r="T52" s="324">
        <v>0</v>
      </c>
      <c r="U52" s="324">
        <f t="shared" si="5"/>
        <v>349.31</v>
      </c>
      <c r="V52" s="324">
        <v>95.219999999999999</v>
      </c>
      <c r="W52" s="324">
        <v>3.8599999999999999</v>
      </c>
      <c r="X52" s="324">
        <f t="shared" si="10"/>
        <v>575</v>
      </c>
      <c r="Y52" s="249" t="b">
        <f t="shared" si="11"/>
        <v>1</v>
      </c>
    </row>
    <row r="53" spans="1:25" ht="12.75">
      <c r="A53" s="16">
        <v>39</v>
      </c>
      <c r="B53" t="s">
        <v>272</v>
      </c>
      <c r="C53" t="s">
        <v>759</v>
      </c>
      <c r="E53" s="349">
        <v>758</v>
      </c>
      <c r="F53" s="349">
        <v>0</v>
      </c>
      <c r="G53" s="349">
        <v>0</v>
      </c>
      <c r="H53" s="349">
        <f t="shared" si="7"/>
        <v>758</v>
      </c>
      <c r="I53" s="349">
        <v>0</v>
      </c>
      <c r="J53" s="349">
        <f t="shared" si="8"/>
        <v>758</v>
      </c>
      <c r="K53" s="159">
        <v>1</v>
      </c>
      <c r="L53" s="13">
        <f t="shared" si="9"/>
        <v>758</v>
      </c>
      <c r="N53" s="16"/>
      <c r="O53" s="349">
        <v>0</v>
      </c>
      <c r="P53" s="349">
        <v>0</v>
      </c>
      <c r="Q53" s="349">
        <v>0</v>
      </c>
      <c r="R53" s="349">
        <f t="shared" si="4"/>
        <v>0</v>
      </c>
      <c r="S53" s="349">
        <v>0</v>
      </c>
      <c r="T53" s="349">
        <v>0</v>
      </c>
      <c r="U53" s="349">
        <f t="shared" si="5"/>
        <v>0</v>
      </c>
      <c r="V53" s="349">
        <v>0</v>
      </c>
      <c r="W53" s="349">
        <v>758</v>
      </c>
      <c r="X53" s="249">
        <f t="shared" si="10"/>
        <v>758</v>
      </c>
      <c r="Y53" s="8" t="b">
        <f t="shared" si="11"/>
        <v>1</v>
      </c>
    </row>
    <row r="54" spans="1:25" ht="12.75">
      <c r="A54" s="16">
        <v>40</v>
      </c>
      <c r="B54" t="s">
        <v>272</v>
      </c>
      <c r="C54" t="s">
        <v>467</v>
      </c>
      <c r="E54" s="349">
        <v>324</v>
      </c>
      <c r="F54" s="349">
        <v>0</v>
      </c>
      <c r="G54" s="349">
        <v>0</v>
      </c>
      <c r="H54" s="349">
        <f t="shared" si="7"/>
        <v>324</v>
      </c>
      <c r="I54" s="349">
        <v>0</v>
      </c>
      <c r="J54" s="349">
        <f t="shared" si="8"/>
        <v>324</v>
      </c>
      <c r="K54" s="159">
        <v>1</v>
      </c>
      <c r="L54" s="13">
        <f t="shared" si="9"/>
        <v>324</v>
      </c>
      <c r="N54" s="16"/>
      <c r="O54" s="349">
        <v>0</v>
      </c>
      <c r="P54" s="349">
        <v>0</v>
      </c>
      <c r="Q54" s="349">
        <v>0</v>
      </c>
      <c r="R54" s="349">
        <f t="shared" si="4"/>
        <v>0</v>
      </c>
      <c r="S54" s="349">
        <v>0</v>
      </c>
      <c r="T54" s="349">
        <v>0</v>
      </c>
      <c r="U54" s="349">
        <f t="shared" si="5"/>
        <v>0</v>
      </c>
      <c r="V54" s="349">
        <v>0</v>
      </c>
      <c r="W54" s="349">
        <v>324</v>
      </c>
      <c r="X54" s="249">
        <f t="shared" si="10"/>
        <v>324</v>
      </c>
      <c r="Y54" s="8" t="b">
        <f t="shared" si="11"/>
        <v>1</v>
      </c>
    </row>
    <row r="55" spans="1:25" ht="12.75">
      <c r="A55" s="16">
        <v>41</v>
      </c>
      <c r="B55" t="s">
        <v>272</v>
      </c>
      <c r="C55" t="s">
        <v>944</v>
      </c>
      <c r="E55" s="349">
        <v>90</v>
      </c>
      <c r="F55" s="349">
        <v>0</v>
      </c>
      <c r="G55" s="349">
        <v>0</v>
      </c>
      <c r="H55" s="349">
        <f t="shared" si="7"/>
        <v>90</v>
      </c>
      <c r="I55" s="349">
        <v>0</v>
      </c>
      <c r="J55" s="349">
        <f t="shared" si="8"/>
        <v>90</v>
      </c>
      <c r="K55" s="159">
        <v>1</v>
      </c>
      <c r="L55" s="13">
        <f t="shared" si="9"/>
        <v>90</v>
      </c>
      <c r="N55" s="16"/>
      <c r="O55" s="349">
        <v>0</v>
      </c>
      <c r="P55" s="349">
        <v>0</v>
      </c>
      <c r="Q55" s="349">
        <v>0</v>
      </c>
      <c r="R55" s="349">
        <f t="shared" si="4"/>
        <v>0</v>
      </c>
      <c r="S55" s="349">
        <v>0</v>
      </c>
      <c r="T55" s="349">
        <v>0</v>
      </c>
      <c r="U55" s="349">
        <f t="shared" si="5"/>
        <v>0</v>
      </c>
      <c r="V55" s="349">
        <v>0</v>
      </c>
      <c r="W55" s="349">
        <v>90</v>
      </c>
      <c r="X55" s="249">
        <f t="shared" si="10"/>
        <v>90</v>
      </c>
      <c r="Y55" s="8" t="b">
        <f t="shared" si="11"/>
        <v>1</v>
      </c>
    </row>
    <row r="56" spans="1:25" ht="12.75">
      <c r="A56" s="16">
        <v>42</v>
      </c>
      <c r="B56" t="s">
        <v>272</v>
      </c>
      <c r="C56" t="s">
        <v>469</v>
      </c>
      <c r="E56" s="349">
        <v>90</v>
      </c>
      <c r="F56" s="349">
        <v>0</v>
      </c>
      <c r="G56" s="349">
        <v>0</v>
      </c>
      <c r="H56" s="349">
        <f t="shared" si="7"/>
        <v>90</v>
      </c>
      <c r="I56" s="349">
        <v>0</v>
      </c>
      <c r="J56" s="349">
        <f t="shared" si="8"/>
        <v>90</v>
      </c>
      <c r="K56" s="159">
        <v>1</v>
      </c>
      <c r="L56" s="13">
        <f t="shared" si="9"/>
        <v>90</v>
      </c>
      <c r="N56" s="16"/>
      <c r="O56" s="349">
        <v>0</v>
      </c>
      <c r="P56" s="349">
        <v>0</v>
      </c>
      <c r="Q56" s="349">
        <v>0</v>
      </c>
      <c r="R56" s="349">
        <f t="shared" si="4"/>
        <v>0</v>
      </c>
      <c r="S56" s="349">
        <v>0</v>
      </c>
      <c r="T56" s="349">
        <v>0</v>
      </c>
      <c r="U56" s="349">
        <f t="shared" si="5"/>
        <v>0</v>
      </c>
      <c r="V56" s="349">
        <v>0</v>
      </c>
      <c r="W56" s="349">
        <v>90</v>
      </c>
      <c r="X56" s="249">
        <f t="shared" si="10"/>
        <v>90</v>
      </c>
      <c r="Y56" s="8" t="b">
        <f t="shared" si="11"/>
        <v>1</v>
      </c>
    </row>
    <row r="57" spans="1:25" ht="12.75">
      <c r="A57" s="16">
        <v>43</v>
      </c>
      <c r="B57" t="s">
        <v>272</v>
      </c>
      <c r="C57" t="s">
        <v>945</v>
      </c>
      <c r="E57" s="349">
        <v>275</v>
      </c>
      <c r="F57" s="349">
        <v>0</v>
      </c>
      <c r="G57" s="349">
        <v>0</v>
      </c>
      <c r="H57" s="349">
        <f t="shared" si="7"/>
        <v>275</v>
      </c>
      <c r="I57" s="349">
        <v>0</v>
      </c>
      <c r="J57" s="349">
        <f t="shared" si="8"/>
        <v>275</v>
      </c>
      <c r="K57" s="159">
        <v>1</v>
      </c>
      <c r="L57" s="13">
        <f t="shared" si="9"/>
        <v>275</v>
      </c>
      <c r="N57" s="16"/>
      <c r="O57" s="349">
        <v>0</v>
      </c>
      <c r="P57" s="349">
        <v>0</v>
      </c>
      <c r="Q57" s="349">
        <v>0</v>
      </c>
      <c r="R57" s="349">
        <f t="shared" si="4"/>
        <v>0</v>
      </c>
      <c r="S57" s="349">
        <v>0</v>
      </c>
      <c r="T57" s="349">
        <v>0</v>
      </c>
      <c r="U57" s="349">
        <f t="shared" si="5"/>
        <v>0</v>
      </c>
      <c r="V57" s="349">
        <v>0</v>
      </c>
      <c r="W57" s="349">
        <v>275</v>
      </c>
      <c r="X57" s="249">
        <f t="shared" si="10"/>
        <v>275</v>
      </c>
      <c r="Y57" s="8" t="b">
        <f t="shared" si="11"/>
        <v>1</v>
      </c>
    </row>
    <row r="58" spans="1:25" ht="12.75">
      <c r="A58" s="16">
        <v>44</v>
      </c>
      <c r="B58" t="s">
        <v>272</v>
      </c>
      <c r="C58" t="s">
        <v>760</v>
      </c>
      <c r="E58" s="349">
        <v>90</v>
      </c>
      <c r="F58" s="349">
        <v>0</v>
      </c>
      <c r="G58" s="349">
        <v>0</v>
      </c>
      <c r="H58" s="349">
        <f t="shared" si="7"/>
        <v>90</v>
      </c>
      <c r="I58" s="349">
        <v>0</v>
      </c>
      <c r="J58" s="349">
        <f t="shared" si="8"/>
        <v>90</v>
      </c>
      <c r="K58" s="159">
        <v>1</v>
      </c>
      <c r="L58" s="13">
        <f t="shared" si="9"/>
        <v>90</v>
      </c>
      <c r="N58" s="16"/>
      <c r="O58" s="349">
        <v>0</v>
      </c>
      <c r="P58" s="349">
        <v>0</v>
      </c>
      <c r="Q58" s="349">
        <v>0</v>
      </c>
      <c r="R58" s="349">
        <f t="shared" si="4"/>
        <v>0</v>
      </c>
      <c r="S58" s="349">
        <v>0</v>
      </c>
      <c r="T58" s="349">
        <v>0</v>
      </c>
      <c r="U58" s="349">
        <f t="shared" si="5"/>
        <v>0</v>
      </c>
      <c r="V58" s="349">
        <v>0</v>
      </c>
      <c r="W58" s="349">
        <v>90</v>
      </c>
      <c r="X58" s="249">
        <f t="shared" si="10"/>
        <v>90</v>
      </c>
      <c r="Y58" s="8" t="b">
        <f t="shared" si="11"/>
        <v>1</v>
      </c>
    </row>
    <row r="59" spans="1:25" ht="12.75">
      <c r="A59" s="16">
        <v>45</v>
      </c>
      <c r="B59" t="s">
        <v>272</v>
      </c>
      <c r="C59" t="s">
        <v>870</v>
      </c>
      <c r="E59" s="349">
        <v>180</v>
      </c>
      <c r="F59" s="349">
        <v>0</v>
      </c>
      <c r="G59" s="349">
        <v>0</v>
      </c>
      <c r="H59" s="349">
        <f t="shared" si="7"/>
        <v>180</v>
      </c>
      <c r="I59" s="349">
        <v>0</v>
      </c>
      <c r="J59" s="349">
        <f t="shared" si="8"/>
        <v>180</v>
      </c>
      <c r="K59" s="159">
        <v>1</v>
      </c>
      <c r="L59" s="13">
        <f t="shared" si="9"/>
        <v>180</v>
      </c>
      <c r="N59" s="16"/>
      <c r="O59" s="349">
        <v>39.637880794701985</v>
      </c>
      <c r="P59" s="349">
        <v>0</v>
      </c>
      <c r="Q59" s="349">
        <v>0</v>
      </c>
      <c r="R59" s="349">
        <f t="shared" si="4"/>
        <v>39.637880794701985</v>
      </c>
      <c r="S59" s="349">
        <v>109.3505298013245</v>
      </c>
      <c r="T59" s="349">
        <v>0</v>
      </c>
      <c r="U59" s="349">
        <f t="shared" si="5"/>
        <v>109.3505298013245</v>
      </c>
      <c r="V59" s="349">
        <v>29.800662251655631</v>
      </c>
      <c r="W59" s="349">
        <v>1.2109271523178826</v>
      </c>
      <c r="X59" s="249">
        <f t="shared" si="10"/>
        <v>180</v>
      </c>
      <c r="Y59" s="8" t="b">
        <f t="shared" si="11"/>
        <v>1</v>
      </c>
    </row>
    <row r="60" spans="1:25" s="138" customFormat="1" ht="12.75">
      <c r="A60" s="16">
        <v>46</v>
      </c>
      <c r="B60" s="138" t="s">
        <v>272</v>
      </c>
      <c r="C60" s="138" t="s">
        <v>582</v>
      </c>
      <c r="D60" s="18"/>
      <c r="E60" s="324">
        <v>156</v>
      </c>
      <c r="F60" s="324">
        <v>0</v>
      </c>
      <c r="G60" s="324">
        <v>0</v>
      </c>
      <c r="H60" s="324">
        <f t="shared" si="7"/>
        <v>156</v>
      </c>
      <c r="I60" s="324">
        <v>0</v>
      </c>
      <c r="J60" s="324">
        <f t="shared" si="8"/>
        <v>156</v>
      </c>
      <c r="K60" s="159">
        <v>1</v>
      </c>
      <c r="L60" s="324">
        <f t="shared" si="9"/>
        <v>156</v>
      </c>
      <c r="M60" s="324"/>
      <c r="N60" s="324"/>
      <c r="O60" s="324">
        <v>0</v>
      </c>
      <c r="P60" s="324">
        <v>0</v>
      </c>
      <c r="Q60" s="324">
        <v>0</v>
      </c>
      <c r="R60" s="324">
        <f t="shared" si="4"/>
        <v>0</v>
      </c>
      <c r="S60" s="324">
        <v>0</v>
      </c>
      <c r="T60" s="324">
        <v>0</v>
      </c>
      <c r="U60" s="324">
        <f t="shared" si="5"/>
        <v>0</v>
      </c>
      <c r="V60" s="324">
        <v>0</v>
      </c>
      <c r="W60" s="324">
        <v>156</v>
      </c>
      <c r="X60" s="324">
        <f t="shared" si="10"/>
        <v>156</v>
      </c>
      <c r="Y60" s="249" t="b">
        <f t="shared" si="11"/>
        <v>1</v>
      </c>
    </row>
    <row r="61" spans="1:25" ht="12.75">
      <c r="A61" s="16">
        <v>47</v>
      </c>
      <c r="B61" t="s">
        <v>272</v>
      </c>
      <c r="C61" t="s">
        <v>761</v>
      </c>
      <c r="E61" s="349">
        <v>182.5</v>
      </c>
      <c r="F61" s="349">
        <v>0</v>
      </c>
      <c r="G61" s="349">
        <v>0</v>
      </c>
      <c r="H61" s="349">
        <f t="shared" si="7"/>
        <v>182.5</v>
      </c>
      <c r="I61" s="349">
        <v>0</v>
      </c>
      <c r="J61" s="349">
        <f t="shared" si="8"/>
        <v>182.5</v>
      </c>
      <c r="K61" s="159">
        <v>1</v>
      </c>
      <c r="L61" s="13">
        <f t="shared" si="9"/>
        <v>182.5</v>
      </c>
      <c r="N61" s="16"/>
      <c r="O61" s="349">
        <v>0</v>
      </c>
      <c r="P61" s="349">
        <v>0</v>
      </c>
      <c r="Q61" s="349">
        <v>0</v>
      </c>
      <c r="R61" s="349">
        <f t="shared" si="4"/>
        <v>0</v>
      </c>
      <c r="S61" s="349">
        <v>0</v>
      </c>
      <c r="T61" s="349">
        <v>0</v>
      </c>
      <c r="U61" s="349">
        <f t="shared" si="5"/>
        <v>0</v>
      </c>
      <c r="V61" s="349">
        <v>0</v>
      </c>
      <c r="W61" s="349">
        <v>182.5</v>
      </c>
      <c r="X61" s="249">
        <f t="shared" si="10"/>
        <v>182.5</v>
      </c>
      <c r="Y61" s="8" t="b">
        <f t="shared" si="11"/>
        <v>1</v>
      </c>
    </row>
    <row r="62" spans="1:25" ht="12.75">
      <c r="A62" s="16">
        <v>48</v>
      </c>
      <c r="B62" t="s">
        <v>274</v>
      </c>
      <c r="C62" t="s">
        <v>871</v>
      </c>
      <c r="E62" s="349">
        <v>250</v>
      </c>
      <c r="F62" s="349">
        <v>0</v>
      </c>
      <c r="G62" s="349">
        <v>0</v>
      </c>
      <c r="H62" s="349">
        <f t="shared" si="7"/>
        <v>250</v>
      </c>
      <c r="I62" s="349">
        <v>0</v>
      </c>
      <c r="J62" s="349">
        <f t="shared" si="8"/>
        <v>250</v>
      </c>
      <c r="K62" s="159">
        <v>1</v>
      </c>
      <c r="L62" s="13">
        <f t="shared" si="9"/>
        <v>250</v>
      </c>
      <c r="N62" s="16"/>
      <c r="O62" s="349">
        <v>55.050016544034669</v>
      </c>
      <c r="P62" s="349">
        <v>0</v>
      </c>
      <c r="Q62" s="349">
        <v>0</v>
      </c>
      <c r="R62" s="349">
        <f t="shared" si="4"/>
        <v>55.050016544034669</v>
      </c>
      <c r="S62" s="349">
        <v>151.87499749803396</v>
      </c>
      <c r="T62" s="349">
        <v>0</v>
      </c>
      <c r="U62" s="349">
        <f t="shared" si="5"/>
        <v>151.87499749803396</v>
      </c>
      <c r="V62" s="349">
        <v>41.400014604579631</v>
      </c>
      <c r="W62" s="349">
        <v>1.6749713533517323</v>
      </c>
      <c r="X62" s="249">
        <f t="shared" si="10"/>
        <v>250</v>
      </c>
      <c r="Y62" s="8" t="b">
        <f t="shared" si="11"/>
        <v>1</v>
      </c>
    </row>
    <row r="63" spans="1:25" ht="12.75">
      <c r="A63" s="16">
        <v>49</v>
      </c>
      <c r="B63" t="s">
        <v>274</v>
      </c>
      <c r="C63" t="s">
        <v>762</v>
      </c>
      <c r="E63" s="349">
        <v>0</v>
      </c>
      <c r="F63" s="349">
        <v>0</v>
      </c>
      <c r="G63" s="349">
        <v>0</v>
      </c>
      <c r="H63" s="349">
        <f t="shared" si="7"/>
        <v>0</v>
      </c>
      <c r="I63" s="349">
        <v>0</v>
      </c>
      <c r="J63" s="349">
        <f t="shared" si="8"/>
        <v>0</v>
      </c>
      <c r="K63" s="159">
        <v>1</v>
      </c>
      <c r="L63" s="13">
        <f t="shared" si="9"/>
        <v>0</v>
      </c>
      <c r="N63" s="16"/>
      <c r="O63" s="349">
        <v>0</v>
      </c>
      <c r="P63" s="349">
        <v>0</v>
      </c>
      <c r="Q63" s="349">
        <v>0</v>
      </c>
      <c r="R63" s="349">
        <f t="shared" si="4"/>
        <v>0</v>
      </c>
      <c r="S63" s="349">
        <v>0</v>
      </c>
      <c r="T63" s="349">
        <v>0</v>
      </c>
      <c r="U63" s="349">
        <f t="shared" si="5"/>
        <v>0</v>
      </c>
      <c r="V63" s="349">
        <v>0</v>
      </c>
      <c r="W63" s="349">
        <v>0</v>
      </c>
      <c r="X63" s="249">
        <f t="shared" si="10"/>
        <v>0</v>
      </c>
      <c r="Y63" s="8" t="b">
        <f t="shared" si="11"/>
        <v>1</v>
      </c>
    </row>
    <row r="64" spans="1:25" ht="12.75">
      <c r="A64" s="16">
        <v>50</v>
      </c>
      <c r="B64" t="s">
        <v>290</v>
      </c>
      <c r="C64" t="s">
        <v>470</v>
      </c>
      <c r="E64" s="349">
        <v>3060</v>
      </c>
      <c r="F64" s="349">
        <v>0</v>
      </c>
      <c r="G64" s="349">
        <v>0</v>
      </c>
      <c r="H64" s="349">
        <f t="shared" si="7"/>
        <v>3060</v>
      </c>
      <c r="I64" s="349">
        <v>0</v>
      </c>
      <c r="J64" s="349">
        <f t="shared" si="8"/>
        <v>3060</v>
      </c>
      <c r="K64" s="159">
        <v>1</v>
      </c>
      <c r="L64" s="13">
        <f t="shared" si="9"/>
        <v>3060</v>
      </c>
      <c r="N64" s="16"/>
      <c r="O64" s="349">
        <v>0</v>
      </c>
      <c r="P64" s="349">
        <v>0</v>
      </c>
      <c r="Q64" s="349">
        <v>0</v>
      </c>
      <c r="R64" s="349">
        <f t="shared" si="4"/>
        <v>0</v>
      </c>
      <c r="S64" s="349">
        <v>0</v>
      </c>
      <c r="T64" s="349">
        <v>0</v>
      </c>
      <c r="U64" s="349">
        <f t="shared" si="5"/>
        <v>0</v>
      </c>
      <c r="V64" s="349">
        <v>0</v>
      </c>
      <c r="W64" s="349">
        <v>3060</v>
      </c>
      <c r="X64" s="249">
        <f t="shared" si="10"/>
        <v>3060</v>
      </c>
      <c r="Y64" s="8" t="b">
        <f t="shared" si="11"/>
        <v>1</v>
      </c>
    </row>
    <row r="65" spans="1:25" ht="12.75">
      <c r="A65" s="16">
        <v>51</v>
      </c>
      <c r="B65" t="s">
        <v>290</v>
      </c>
      <c r="C65" t="s">
        <v>471</v>
      </c>
      <c r="E65" s="349">
        <v>12000</v>
      </c>
      <c r="F65" s="349">
        <v>0</v>
      </c>
      <c r="G65" s="349">
        <v>0</v>
      </c>
      <c r="H65" s="349">
        <f t="shared" si="7"/>
        <v>12000</v>
      </c>
      <c r="I65" s="349">
        <v>0</v>
      </c>
      <c r="J65" s="349">
        <f t="shared" si="8"/>
        <v>12000</v>
      </c>
      <c r="K65" s="159">
        <v>1</v>
      </c>
      <c r="L65" s="13">
        <f t="shared" si="9"/>
        <v>12000</v>
      </c>
      <c r="N65" s="16"/>
      <c r="O65" s="349">
        <v>0</v>
      </c>
      <c r="P65" s="349">
        <v>0</v>
      </c>
      <c r="Q65" s="349">
        <v>0</v>
      </c>
      <c r="R65" s="349">
        <f t="shared" si="4"/>
        <v>0</v>
      </c>
      <c r="S65" s="349">
        <v>0</v>
      </c>
      <c r="T65" s="349">
        <v>0</v>
      </c>
      <c r="U65" s="349">
        <f t="shared" si="5"/>
        <v>0</v>
      </c>
      <c r="V65" s="349">
        <v>0</v>
      </c>
      <c r="W65" s="349">
        <v>12000</v>
      </c>
      <c r="X65" s="249">
        <f t="shared" si="10"/>
        <v>12000</v>
      </c>
      <c r="Y65" s="8" t="b">
        <f t="shared" si="11"/>
        <v>1</v>
      </c>
    </row>
    <row r="66" spans="1:25" ht="12.75">
      <c r="A66" s="16">
        <v>52</v>
      </c>
      <c r="B66" t="s">
        <v>290</v>
      </c>
      <c r="C66" t="s">
        <v>472</v>
      </c>
      <c r="E66" s="349">
        <v>1700</v>
      </c>
      <c r="F66" s="349">
        <v>0</v>
      </c>
      <c r="G66" s="349">
        <v>0</v>
      </c>
      <c r="H66" s="349">
        <f t="shared" si="7"/>
        <v>1700</v>
      </c>
      <c r="I66" s="349">
        <v>0</v>
      </c>
      <c r="J66" s="349">
        <f t="shared" si="8"/>
        <v>1700</v>
      </c>
      <c r="K66" s="159">
        <v>1</v>
      </c>
      <c r="L66" s="13">
        <f t="shared" si="9"/>
        <v>1700</v>
      </c>
      <c r="N66" s="16"/>
      <c r="O66" s="349">
        <v>0</v>
      </c>
      <c r="P66" s="349">
        <v>0</v>
      </c>
      <c r="Q66" s="349">
        <v>0</v>
      </c>
      <c r="R66" s="349">
        <f t="shared" si="4"/>
        <v>0</v>
      </c>
      <c r="S66" s="349">
        <v>0</v>
      </c>
      <c r="T66" s="349">
        <v>0</v>
      </c>
      <c r="U66" s="349">
        <f t="shared" si="5"/>
        <v>0</v>
      </c>
      <c r="V66" s="349">
        <v>0</v>
      </c>
      <c r="W66" s="349">
        <v>1700</v>
      </c>
      <c r="X66" s="249">
        <f t="shared" si="10"/>
        <v>1700</v>
      </c>
      <c r="Y66" s="8" t="b">
        <f t="shared" si="11"/>
        <v>1</v>
      </c>
    </row>
    <row r="67" spans="1:25" ht="12.75">
      <c r="A67" s="16">
        <v>53</v>
      </c>
      <c r="B67" t="s">
        <v>290</v>
      </c>
      <c r="C67" t="s">
        <v>473</v>
      </c>
      <c r="E67" s="349">
        <v>500</v>
      </c>
      <c r="F67" s="349">
        <v>0</v>
      </c>
      <c r="G67" s="349">
        <v>0</v>
      </c>
      <c r="H67" s="349">
        <f t="shared" si="7"/>
        <v>500</v>
      </c>
      <c r="I67" s="349">
        <v>0</v>
      </c>
      <c r="J67" s="349">
        <f t="shared" si="8"/>
        <v>500</v>
      </c>
      <c r="K67" s="159">
        <v>1</v>
      </c>
      <c r="L67" s="13">
        <f t="shared" si="9"/>
        <v>500</v>
      </c>
      <c r="N67" s="16"/>
      <c r="O67" s="349">
        <v>0</v>
      </c>
      <c r="P67" s="349">
        <v>0</v>
      </c>
      <c r="Q67" s="349">
        <v>0</v>
      </c>
      <c r="R67" s="349">
        <f t="shared" si="4"/>
        <v>0</v>
      </c>
      <c r="S67" s="349">
        <v>0</v>
      </c>
      <c r="T67" s="349">
        <v>0</v>
      </c>
      <c r="U67" s="349">
        <f t="shared" si="5"/>
        <v>0</v>
      </c>
      <c r="V67" s="349">
        <v>0</v>
      </c>
      <c r="W67" s="349">
        <v>500</v>
      </c>
      <c r="X67" s="249">
        <f t="shared" si="10"/>
        <v>500</v>
      </c>
      <c r="Y67" s="8" t="b">
        <f t="shared" si="11"/>
        <v>1</v>
      </c>
    </row>
    <row r="68" spans="1:25" ht="12.75">
      <c r="A68" s="16">
        <v>54</v>
      </c>
      <c r="B68" t="s">
        <v>290</v>
      </c>
      <c r="C68" t="s">
        <v>474</v>
      </c>
      <c r="E68" s="349">
        <v>500</v>
      </c>
      <c r="F68" s="349">
        <v>0</v>
      </c>
      <c r="G68" s="349">
        <v>0</v>
      </c>
      <c r="H68" s="349">
        <f t="shared" si="7"/>
        <v>500</v>
      </c>
      <c r="I68" s="349">
        <v>0</v>
      </c>
      <c r="J68" s="349">
        <f t="shared" si="8"/>
        <v>500</v>
      </c>
      <c r="K68" s="159">
        <v>1</v>
      </c>
      <c r="L68" s="13">
        <f t="shared" si="9"/>
        <v>500</v>
      </c>
      <c r="N68" s="16"/>
      <c r="O68" s="349">
        <v>0</v>
      </c>
      <c r="P68" s="349">
        <v>0</v>
      </c>
      <c r="Q68" s="349">
        <v>0</v>
      </c>
      <c r="R68" s="349">
        <f t="shared" si="4"/>
        <v>0</v>
      </c>
      <c r="S68" s="349">
        <v>0</v>
      </c>
      <c r="T68" s="349">
        <v>0</v>
      </c>
      <c r="U68" s="349">
        <f t="shared" si="5"/>
        <v>0</v>
      </c>
      <c r="V68" s="349">
        <v>0</v>
      </c>
      <c r="W68" s="349">
        <v>500</v>
      </c>
      <c r="X68" s="249">
        <f t="shared" si="10"/>
        <v>500</v>
      </c>
      <c r="Y68" s="8" t="b">
        <f t="shared" si="11"/>
        <v>1</v>
      </c>
    </row>
    <row r="69" spans="1:25" ht="12.75">
      <c r="A69" s="16">
        <v>55</v>
      </c>
      <c r="B69" t="s">
        <v>290</v>
      </c>
      <c r="C69" t="s">
        <v>475</v>
      </c>
      <c r="E69" s="349">
        <v>2500</v>
      </c>
      <c r="F69" s="349">
        <v>0</v>
      </c>
      <c r="G69" s="349">
        <v>0</v>
      </c>
      <c r="H69" s="349">
        <f t="shared" si="7"/>
        <v>2500</v>
      </c>
      <c r="I69" s="349">
        <v>0</v>
      </c>
      <c r="J69" s="349">
        <f t="shared" si="8"/>
        <v>2500</v>
      </c>
      <c r="K69" s="159">
        <v>1</v>
      </c>
      <c r="L69" s="13">
        <f t="shared" si="9"/>
        <v>2500</v>
      </c>
      <c r="N69" s="16"/>
      <c r="O69" s="349">
        <v>0</v>
      </c>
      <c r="P69" s="349">
        <v>0</v>
      </c>
      <c r="Q69" s="349">
        <v>0</v>
      </c>
      <c r="R69" s="349">
        <f t="shared" si="4"/>
        <v>0</v>
      </c>
      <c r="S69" s="349">
        <v>0</v>
      </c>
      <c r="T69" s="349">
        <v>0</v>
      </c>
      <c r="U69" s="349">
        <f t="shared" si="5"/>
        <v>0</v>
      </c>
      <c r="V69" s="349">
        <v>0</v>
      </c>
      <c r="W69" s="349">
        <v>2500</v>
      </c>
      <c r="X69" s="249">
        <f t="shared" si="10"/>
        <v>2500</v>
      </c>
      <c r="Y69" s="8" t="b">
        <f t="shared" si="11"/>
        <v>1</v>
      </c>
    </row>
    <row r="70" spans="1:25" ht="12.75">
      <c r="A70" s="16">
        <v>56</v>
      </c>
      <c r="B70" t="s">
        <v>290</v>
      </c>
      <c r="C70" t="s">
        <v>476</v>
      </c>
      <c r="E70" s="349">
        <v>2500</v>
      </c>
      <c r="F70" s="349">
        <v>0</v>
      </c>
      <c r="G70" s="349">
        <v>0</v>
      </c>
      <c r="H70" s="349">
        <f t="shared" si="7"/>
        <v>2500</v>
      </c>
      <c r="I70" s="349">
        <v>0</v>
      </c>
      <c r="J70" s="349">
        <f t="shared" si="8"/>
        <v>2500</v>
      </c>
      <c r="K70" s="159">
        <v>1</v>
      </c>
      <c r="L70" s="13">
        <f t="shared" si="9"/>
        <v>2500</v>
      </c>
      <c r="N70" s="16"/>
      <c r="O70" s="349">
        <v>0</v>
      </c>
      <c r="P70" s="349">
        <v>0</v>
      </c>
      <c r="Q70" s="349">
        <v>0</v>
      </c>
      <c r="R70" s="349">
        <f t="shared" si="4"/>
        <v>0</v>
      </c>
      <c r="S70" s="349">
        <v>0</v>
      </c>
      <c r="T70" s="349">
        <v>0</v>
      </c>
      <c r="U70" s="349">
        <f t="shared" si="5"/>
        <v>0</v>
      </c>
      <c r="V70" s="349">
        <v>0</v>
      </c>
      <c r="W70" s="349">
        <v>2500</v>
      </c>
      <c r="X70" s="249">
        <f t="shared" si="10"/>
        <v>2500</v>
      </c>
      <c r="Y70" s="8" t="b">
        <f t="shared" si="11"/>
        <v>1</v>
      </c>
    </row>
    <row r="71" spans="1:25" ht="12.75">
      <c r="A71" s="16">
        <v>57</v>
      </c>
      <c r="B71" t="s">
        <v>290</v>
      </c>
      <c r="C71" t="s">
        <v>477</v>
      </c>
      <c r="E71" s="349">
        <v>3000</v>
      </c>
      <c r="F71" s="349">
        <v>0</v>
      </c>
      <c r="G71" s="349">
        <v>0</v>
      </c>
      <c r="H71" s="349">
        <f t="shared" si="7"/>
        <v>3000</v>
      </c>
      <c r="I71" s="349">
        <v>0</v>
      </c>
      <c r="J71" s="349">
        <f t="shared" si="8"/>
        <v>3000</v>
      </c>
      <c r="K71" s="159">
        <v>1</v>
      </c>
      <c r="L71" s="13">
        <f t="shared" si="9"/>
        <v>3000</v>
      </c>
      <c r="N71" s="16"/>
      <c r="O71" s="349">
        <v>0</v>
      </c>
      <c r="P71" s="349">
        <v>0</v>
      </c>
      <c r="Q71" s="349">
        <v>0</v>
      </c>
      <c r="R71" s="349">
        <f t="shared" si="4"/>
        <v>0</v>
      </c>
      <c r="S71" s="349">
        <v>0</v>
      </c>
      <c r="T71" s="349">
        <v>0</v>
      </c>
      <c r="U71" s="349">
        <f t="shared" si="5"/>
        <v>0</v>
      </c>
      <c r="V71" s="349">
        <v>0</v>
      </c>
      <c r="W71" s="349">
        <v>3000</v>
      </c>
      <c r="X71" s="249">
        <f t="shared" si="10"/>
        <v>3000</v>
      </c>
      <c r="Y71" s="8" t="b">
        <f t="shared" si="11"/>
        <v>1</v>
      </c>
    </row>
    <row r="72" spans="1:25" ht="12.75">
      <c r="A72" s="16">
        <v>58</v>
      </c>
      <c r="B72" t="s">
        <v>290</v>
      </c>
      <c r="C72" t="s">
        <v>478</v>
      </c>
      <c r="E72" s="349">
        <v>1205</v>
      </c>
      <c r="F72" s="349">
        <v>0</v>
      </c>
      <c r="G72" s="349">
        <v>0</v>
      </c>
      <c r="H72" s="349">
        <f t="shared" si="7"/>
        <v>1205</v>
      </c>
      <c r="I72" s="349">
        <v>0</v>
      </c>
      <c r="J72" s="349">
        <f t="shared" si="8"/>
        <v>1205</v>
      </c>
      <c r="K72" s="159">
        <v>1</v>
      </c>
      <c r="L72" s="13">
        <f t="shared" si="9"/>
        <v>1205</v>
      </c>
      <c r="N72" s="16"/>
      <c r="O72" s="349">
        <v>0</v>
      </c>
      <c r="P72" s="349">
        <v>0</v>
      </c>
      <c r="Q72" s="349">
        <v>0</v>
      </c>
      <c r="R72" s="349">
        <f t="shared" si="4"/>
        <v>0</v>
      </c>
      <c r="S72" s="349">
        <v>0</v>
      </c>
      <c r="T72" s="349">
        <v>0</v>
      </c>
      <c r="U72" s="349">
        <f t="shared" si="5"/>
        <v>0</v>
      </c>
      <c r="V72" s="349">
        <v>0</v>
      </c>
      <c r="W72" s="349">
        <v>1205</v>
      </c>
      <c r="X72" s="249">
        <f t="shared" si="10"/>
        <v>1205</v>
      </c>
      <c r="Y72" s="8" t="b">
        <f t="shared" si="11"/>
        <v>1</v>
      </c>
    </row>
    <row r="73" spans="1:25" ht="12.75">
      <c r="A73" s="16">
        <v>59</v>
      </c>
      <c r="B73" t="s">
        <v>290</v>
      </c>
      <c r="C73" t="s">
        <v>872</v>
      </c>
      <c r="E73" s="349">
        <v>463</v>
      </c>
      <c r="F73" s="349">
        <v>0</v>
      </c>
      <c r="G73" s="349">
        <v>0</v>
      </c>
      <c r="H73" s="349">
        <f t="shared" si="7"/>
        <v>463</v>
      </c>
      <c r="I73" s="349">
        <v>0</v>
      </c>
      <c r="J73" s="349">
        <f t="shared" si="8"/>
        <v>463</v>
      </c>
      <c r="K73" s="159">
        <v>1</v>
      </c>
      <c r="L73" s="13">
        <f t="shared" si="9"/>
        <v>463</v>
      </c>
      <c r="N73" s="16"/>
      <c r="O73" s="349">
        <v>0</v>
      </c>
      <c r="P73" s="349">
        <v>0</v>
      </c>
      <c r="Q73" s="349">
        <v>0</v>
      </c>
      <c r="R73" s="349">
        <f t="shared" si="4"/>
        <v>0</v>
      </c>
      <c r="S73" s="349">
        <v>0</v>
      </c>
      <c r="T73" s="349">
        <v>0</v>
      </c>
      <c r="U73" s="349">
        <f t="shared" si="5"/>
        <v>0</v>
      </c>
      <c r="V73" s="349">
        <v>0</v>
      </c>
      <c r="W73" s="349">
        <v>463</v>
      </c>
      <c r="X73" s="249">
        <f t="shared" si="10"/>
        <v>463</v>
      </c>
      <c r="Y73" s="8" t="b">
        <f t="shared" si="11"/>
        <v>1</v>
      </c>
    </row>
    <row r="74" spans="1:25" ht="12.75">
      <c r="A74" s="16">
        <v>60</v>
      </c>
      <c r="B74" t="s">
        <v>290</v>
      </c>
      <c r="C74" t="s">
        <v>479</v>
      </c>
      <c r="E74" s="349">
        <v>600</v>
      </c>
      <c r="F74" s="349">
        <v>0</v>
      </c>
      <c r="G74" s="349">
        <v>0</v>
      </c>
      <c r="H74" s="349">
        <f t="shared" si="7"/>
        <v>600</v>
      </c>
      <c r="I74" s="349">
        <v>0</v>
      </c>
      <c r="J74" s="349">
        <f t="shared" si="8"/>
        <v>600</v>
      </c>
      <c r="K74" s="159">
        <v>1</v>
      </c>
      <c r="L74" s="13">
        <f t="shared" si="9"/>
        <v>600</v>
      </c>
      <c r="N74" s="16"/>
      <c r="O74" s="349">
        <v>0</v>
      </c>
      <c r="P74" s="349">
        <v>0</v>
      </c>
      <c r="Q74" s="349">
        <v>0</v>
      </c>
      <c r="R74" s="349">
        <f t="shared" si="4"/>
        <v>0</v>
      </c>
      <c r="S74" s="349">
        <v>0</v>
      </c>
      <c r="T74" s="349">
        <v>0</v>
      </c>
      <c r="U74" s="349">
        <f t="shared" si="5"/>
        <v>0</v>
      </c>
      <c r="V74" s="349">
        <v>0</v>
      </c>
      <c r="W74" s="349">
        <v>600</v>
      </c>
      <c r="X74" s="249">
        <f t="shared" si="10"/>
        <v>600</v>
      </c>
      <c r="Y74" s="8" t="b">
        <f t="shared" si="11"/>
        <v>1</v>
      </c>
    </row>
    <row r="75" spans="1:25" ht="12.75">
      <c r="A75" s="16">
        <v>61</v>
      </c>
      <c r="B75" t="s">
        <v>290</v>
      </c>
      <c r="C75" t="s">
        <v>763</v>
      </c>
      <c r="E75" s="349">
        <v>200</v>
      </c>
      <c r="F75" s="349">
        <v>0</v>
      </c>
      <c r="G75" s="349">
        <v>0</v>
      </c>
      <c r="H75" s="349">
        <f t="shared" si="7"/>
        <v>200</v>
      </c>
      <c r="I75" s="349">
        <v>0</v>
      </c>
      <c r="J75" s="349">
        <f t="shared" si="8"/>
        <v>200</v>
      </c>
      <c r="K75" s="159">
        <v>1</v>
      </c>
      <c r="L75" s="13">
        <f t="shared" si="9"/>
        <v>200</v>
      </c>
      <c r="N75" s="16"/>
      <c r="O75" s="349">
        <v>0</v>
      </c>
      <c r="P75" s="349">
        <v>0</v>
      </c>
      <c r="Q75" s="349">
        <v>0</v>
      </c>
      <c r="R75" s="349">
        <f t="shared" si="4"/>
        <v>0</v>
      </c>
      <c r="S75" s="349">
        <v>0</v>
      </c>
      <c r="T75" s="349">
        <v>0</v>
      </c>
      <c r="U75" s="349">
        <f t="shared" si="5"/>
        <v>0</v>
      </c>
      <c r="V75" s="349">
        <v>0</v>
      </c>
      <c r="W75" s="349">
        <v>200</v>
      </c>
      <c r="X75" s="249">
        <f t="shared" si="10"/>
        <v>200</v>
      </c>
      <c r="Y75" s="8" t="b">
        <f t="shared" si="11"/>
        <v>1</v>
      </c>
    </row>
    <row r="76" spans="1:25" ht="12.75">
      <c r="A76" s="16">
        <v>62</v>
      </c>
      <c r="B76" t="s">
        <v>290</v>
      </c>
      <c r="C76" t="s">
        <v>873</v>
      </c>
      <c r="E76" s="349">
        <v>900</v>
      </c>
      <c r="F76" s="349">
        <v>0</v>
      </c>
      <c r="G76" s="349">
        <v>0</v>
      </c>
      <c r="H76" s="349">
        <f t="shared" si="7"/>
        <v>900</v>
      </c>
      <c r="I76" s="349">
        <v>0</v>
      </c>
      <c r="J76" s="349">
        <f t="shared" si="8"/>
        <v>900</v>
      </c>
      <c r="K76" s="159">
        <v>1</v>
      </c>
      <c r="L76" s="13">
        <f t="shared" si="9"/>
        <v>900</v>
      </c>
      <c r="N76" s="16"/>
      <c r="O76" s="349">
        <v>0</v>
      </c>
      <c r="P76" s="349">
        <v>0</v>
      </c>
      <c r="Q76" s="349">
        <v>0</v>
      </c>
      <c r="R76" s="349">
        <f t="shared" si="4"/>
        <v>0</v>
      </c>
      <c r="S76" s="349">
        <v>0</v>
      </c>
      <c r="T76" s="349">
        <v>0</v>
      </c>
      <c r="U76" s="349">
        <f t="shared" si="5"/>
        <v>0</v>
      </c>
      <c r="V76" s="349">
        <v>0</v>
      </c>
      <c r="W76" s="349">
        <v>900</v>
      </c>
      <c r="X76" s="249">
        <f t="shared" si="10"/>
        <v>900</v>
      </c>
      <c r="Y76" s="8" t="b">
        <f t="shared" si="11"/>
        <v>1</v>
      </c>
    </row>
    <row r="77" spans="1:25" ht="12.75">
      <c r="A77" s="16">
        <v>63</v>
      </c>
      <c r="B77" t="s">
        <v>290</v>
      </c>
      <c r="C77" t="s">
        <v>480</v>
      </c>
      <c r="E77" s="349">
        <v>400</v>
      </c>
      <c r="F77" s="349">
        <v>0</v>
      </c>
      <c r="G77" s="349">
        <v>0</v>
      </c>
      <c r="H77" s="349">
        <f t="shared" si="7"/>
        <v>400</v>
      </c>
      <c r="I77" s="349">
        <v>0</v>
      </c>
      <c r="J77" s="349">
        <f t="shared" si="8"/>
        <v>400</v>
      </c>
      <c r="K77" s="159">
        <v>1</v>
      </c>
      <c r="L77" s="13">
        <f t="shared" si="9"/>
        <v>400</v>
      </c>
      <c r="N77" s="16"/>
      <c r="O77" s="349">
        <v>0</v>
      </c>
      <c r="P77" s="349">
        <v>0</v>
      </c>
      <c r="Q77" s="349">
        <v>0</v>
      </c>
      <c r="R77" s="349">
        <f t="shared" si="4"/>
        <v>0</v>
      </c>
      <c r="S77" s="349">
        <v>0</v>
      </c>
      <c r="T77" s="349">
        <v>0</v>
      </c>
      <c r="U77" s="349">
        <f t="shared" si="5"/>
        <v>0</v>
      </c>
      <c r="V77" s="349">
        <v>0</v>
      </c>
      <c r="W77" s="349">
        <v>400</v>
      </c>
      <c r="X77" s="249">
        <f t="shared" si="10"/>
        <v>400</v>
      </c>
      <c r="Y77" s="8" t="b">
        <f t="shared" si="11"/>
        <v>1</v>
      </c>
    </row>
    <row r="78" spans="1:25" ht="12.75">
      <c r="A78" s="16">
        <v>64</v>
      </c>
      <c r="B78" t="s">
        <v>290</v>
      </c>
      <c r="C78" t="s">
        <v>764</v>
      </c>
      <c r="E78" s="349">
        <v>700</v>
      </c>
      <c r="F78" s="349">
        <v>0</v>
      </c>
      <c r="G78" s="349">
        <v>0</v>
      </c>
      <c r="H78" s="349">
        <f t="shared" si="7"/>
        <v>700</v>
      </c>
      <c r="I78" s="349">
        <v>0</v>
      </c>
      <c r="J78" s="349">
        <f t="shared" si="8"/>
        <v>700</v>
      </c>
      <c r="K78" s="159">
        <v>1</v>
      </c>
      <c r="L78" s="13">
        <f t="shared" si="9"/>
        <v>700</v>
      </c>
      <c r="N78" s="16"/>
      <c r="O78" s="349">
        <v>0</v>
      </c>
      <c r="P78" s="349">
        <v>0</v>
      </c>
      <c r="Q78" s="349">
        <v>0</v>
      </c>
      <c r="R78" s="349">
        <f t="shared" si="4"/>
        <v>0</v>
      </c>
      <c r="S78" s="349">
        <v>0</v>
      </c>
      <c r="T78" s="349">
        <v>0</v>
      </c>
      <c r="U78" s="349">
        <f t="shared" si="5"/>
        <v>0</v>
      </c>
      <c r="V78" s="349">
        <v>0</v>
      </c>
      <c r="W78" s="349">
        <v>700</v>
      </c>
      <c r="X78" s="249">
        <f t="shared" si="10"/>
        <v>700</v>
      </c>
      <c r="Y78" s="8" t="b">
        <f t="shared" si="11"/>
        <v>1</v>
      </c>
    </row>
    <row r="79" spans="1:25" ht="12.75">
      <c r="A79" s="16">
        <v>65</v>
      </c>
      <c r="B79" t="s">
        <v>290</v>
      </c>
      <c r="C79" t="s">
        <v>765</v>
      </c>
      <c r="E79" s="349">
        <v>160</v>
      </c>
      <c r="F79" s="349">
        <v>0</v>
      </c>
      <c r="G79" s="349">
        <v>0</v>
      </c>
      <c r="H79" s="349">
        <f t="shared" si="7"/>
        <v>160</v>
      </c>
      <c r="I79" s="349">
        <v>0</v>
      </c>
      <c r="J79" s="349">
        <f t="shared" si="8"/>
        <v>160</v>
      </c>
      <c r="K79" s="159">
        <v>1</v>
      </c>
      <c r="L79" s="13">
        <f t="shared" si="9"/>
        <v>160</v>
      </c>
      <c r="N79" s="16"/>
      <c r="O79" s="349">
        <v>0</v>
      </c>
      <c r="P79" s="349">
        <v>0</v>
      </c>
      <c r="Q79" s="349">
        <v>0</v>
      </c>
      <c r="R79" s="349">
        <f t="shared" si="12" ref="R79:R140">SUM(O79:Q79)</f>
        <v>0</v>
      </c>
      <c r="S79" s="349">
        <v>0</v>
      </c>
      <c r="T79" s="349">
        <v>0</v>
      </c>
      <c r="U79" s="349">
        <f t="shared" si="13" ref="U79:U140">SUM(S79:T79)</f>
        <v>0</v>
      </c>
      <c r="V79" s="349">
        <v>0</v>
      </c>
      <c r="W79" s="349">
        <v>160</v>
      </c>
      <c r="X79" s="249">
        <f t="shared" si="10"/>
        <v>160</v>
      </c>
      <c r="Y79" s="8" t="b">
        <f t="shared" si="11"/>
        <v>1</v>
      </c>
    </row>
    <row r="80" spans="1:25" ht="12.75">
      <c r="A80" s="16">
        <v>66</v>
      </c>
      <c r="B80" t="s">
        <v>290</v>
      </c>
      <c r="C80" t="s">
        <v>874</v>
      </c>
      <c r="E80" s="349">
        <v>1700</v>
      </c>
      <c r="F80" s="349">
        <v>0</v>
      </c>
      <c r="G80" s="349">
        <v>0</v>
      </c>
      <c r="H80" s="349">
        <f t="shared" si="7"/>
        <v>1700</v>
      </c>
      <c r="I80" s="349">
        <v>0</v>
      </c>
      <c r="J80" s="349">
        <f t="shared" si="8"/>
        <v>1700</v>
      </c>
      <c r="K80" s="159">
        <v>1</v>
      </c>
      <c r="L80" s="13">
        <f t="shared" si="9"/>
        <v>1700</v>
      </c>
      <c r="N80" s="16"/>
      <c r="O80" s="349">
        <v>0</v>
      </c>
      <c r="P80" s="349">
        <v>0</v>
      </c>
      <c r="Q80" s="349">
        <v>0</v>
      </c>
      <c r="R80" s="349">
        <f t="shared" si="12"/>
        <v>0</v>
      </c>
      <c r="S80" s="349">
        <v>0</v>
      </c>
      <c r="T80" s="349">
        <v>0</v>
      </c>
      <c r="U80" s="349">
        <f t="shared" si="13"/>
        <v>0</v>
      </c>
      <c r="V80" s="349">
        <v>0</v>
      </c>
      <c r="W80" s="349">
        <v>1700</v>
      </c>
      <c r="X80" s="249">
        <f t="shared" si="10"/>
        <v>1700</v>
      </c>
      <c r="Y80" s="8" t="b">
        <f t="shared" si="11"/>
        <v>1</v>
      </c>
    </row>
    <row r="81" spans="1:25" ht="12.75">
      <c r="A81" s="16">
        <v>67</v>
      </c>
      <c r="B81" t="s">
        <v>290</v>
      </c>
      <c r="C81" t="s">
        <v>481</v>
      </c>
      <c r="E81" s="349">
        <v>400</v>
      </c>
      <c r="F81" s="349">
        <v>0</v>
      </c>
      <c r="G81" s="349">
        <v>0</v>
      </c>
      <c r="H81" s="349">
        <f t="shared" si="7"/>
        <v>400</v>
      </c>
      <c r="I81" s="349">
        <v>0</v>
      </c>
      <c r="J81" s="349">
        <f t="shared" si="8"/>
        <v>400</v>
      </c>
      <c r="K81" s="159">
        <v>1</v>
      </c>
      <c r="L81" s="13">
        <f t="shared" si="9"/>
        <v>400</v>
      </c>
      <c r="N81" s="16"/>
      <c r="O81" s="349">
        <v>0</v>
      </c>
      <c r="P81" s="349">
        <v>0</v>
      </c>
      <c r="Q81" s="349">
        <v>0</v>
      </c>
      <c r="R81" s="349">
        <f t="shared" si="12"/>
        <v>0</v>
      </c>
      <c r="S81" s="349">
        <v>0</v>
      </c>
      <c r="T81" s="349">
        <v>0</v>
      </c>
      <c r="U81" s="349">
        <f t="shared" si="13"/>
        <v>0</v>
      </c>
      <c r="V81" s="349">
        <v>0</v>
      </c>
      <c r="W81" s="349">
        <v>400</v>
      </c>
      <c r="X81" s="249">
        <f t="shared" si="10"/>
        <v>400</v>
      </c>
      <c r="Y81" s="8" t="b">
        <f t="shared" si="11"/>
        <v>1</v>
      </c>
    </row>
    <row r="82" spans="1:25" ht="12.75">
      <c r="A82" s="16">
        <v>68</v>
      </c>
      <c r="B82" t="s">
        <v>290</v>
      </c>
      <c r="C82" t="s">
        <v>875</v>
      </c>
      <c r="E82" s="349">
        <v>25</v>
      </c>
      <c r="F82" s="349">
        <v>0</v>
      </c>
      <c r="G82" s="349">
        <v>0</v>
      </c>
      <c r="H82" s="349">
        <f t="shared" si="7"/>
        <v>25</v>
      </c>
      <c r="I82" s="349">
        <v>0</v>
      </c>
      <c r="J82" s="349">
        <f t="shared" si="8"/>
        <v>25</v>
      </c>
      <c r="K82" s="159">
        <v>1</v>
      </c>
      <c r="L82" s="13">
        <f t="shared" si="9"/>
        <v>25</v>
      </c>
      <c r="N82" s="16"/>
      <c r="O82" s="349">
        <v>0</v>
      </c>
      <c r="P82" s="349">
        <v>0</v>
      </c>
      <c r="Q82" s="349">
        <v>0</v>
      </c>
      <c r="R82" s="349">
        <f t="shared" si="12"/>
        <v>0</v>
      </c>
      <c r="S82" s="349">
        <v>0</v>
      </c>
      <c r="T82" s="349">
        <v>0</v>
      </c>
      <c r="U82" s="349">
        <f t="shared" si="13"/>
        <v>0</v>
      </c>
      <c r="V82" s="349">
        <v>0</v>
      </c>
      <c r="W82" s="349">
        <v>25</v>
      </c>
      <c r="X82" s="249">
        <f t="shared" si="10"/>
        <v>25</v>
      </c>
      <c r="Y82" s="8" t="b">
        <f t="shared" si="11"/>
        <v>1</v>
      </c>
    </row>
    <row r="83" spans="1:25" ht="12.75">
      <c r="A83" s="16">
        <v>69</v>
      </c>
      <c r="B83" t="s">
        <v>290</v>
      </c>
      <c r="C83" t="s">
        <v>876</v>
      </c>
      <c r="E83" s="349">
        <v>2100</v>
      </c>
      <c r="F83" s="349">
        <v>0</v>
      </c>
      <c r="G83" s="349">
        <v>0</v>
      </c>
      <c r="H83" s="349">
        <f t="shared" si="7"/>
        <v>2100</v>
      </c>
      <c r="I83" s="349">
        <v>0</v>
      </c>
      <c r="J83" s="349">
        <f t="shared" si="8"/>
        <v>2100</v>
      </c>
      <c r="K83" s="159">
        <v>1</v>
      </c>
      <c r="L83" s="13">
        <f t="shared" si="9"/>
        <v>2100</v>
      </c>
      <c r="N83" s="16"/>
      <c r="O83" s="349">
        <v>0</v>
      </c>
      <c r="P83" s="349">
        <v>0</v>
      </c>
      <c r="Q83" s="349">
        <v>0</v>
      </c>
      <c r="R83" s="349">
        <f t="shared" si="12"/>
        <v>0</v>
      </c>
      <c r="S83" s="349">
        <v>0</v>
      </c>
      <c r="T83" s="349">
        <v>0</v>
      </c>
      <c r="U83" s="349">
        <f t="shared" si="13"/>
        <v>0</v>
      </c>
      <c r="V83" s="349">
        <v>0</v>
      </c>
      <c r="W83" s="349">
        <v>2100</v>
      </c>
      <c r="X83" s="249">
        <f t="shared" si="10"/>
        <v>2100</v>
      </c>
      <c r="Y83" s="8" t="b">
        <f t="shared" si="11"/>
        <v>1</v>
      </c>
    </row>
    <row r="84" spans="1:25" ht="12.75">
      <c r="A84" s="16">
        <v>70</v>
      </c>
      <c r="B84" t="s">
        <v>290</v>
      </c>
      <c r="C84" t="s">
        <v>482</v>
      </c>
      <c r="E84" s="349">
        <v>100</v>
      </c>
      <c r="F84" s="349">
        <v>0</v>
      </c>
      <c r="G84" s="349">
        <v>0</v>
      </c>
      <c r="H84" s="349">
        <f t="shared" si="7"/>
        <v>100</v>
      </c>
      <c r="I84" s="349">
        <v>0</v>
      </c>
      <c r="J84" s="349">
        <f t="shared" si="8"/>
        <v>100</v>
      </c>
      <c r="K84" s="159">
        <v>1</v>
      </c>
      <c r="L84" s="13">
        <f t="shared" si="9"/>
        <v>100</v>
      </c>
      <c r="N84" s="16"/>
      <c r="O84" s="349">
        <v>0</v>
      </c>
      <c r="P84" s="349">
        <v>0</v>
      </c>
      <c r="Q84" s="349">
        <v>0</v>
      </c>
      <c r="R84" s="349">
        <f t="shared" si="12"/>
        <v>0</v>
      </c>
      <c r="S84" s="349">
        <v>0</v>
      </c>
      <c r="T84" s="349">
        <v>0</v>
      </c>
      <c r="U84" s="349">
        <f t="shared" si="13"/>
        <v>0</v>
      </c>
      <c r="V84" s="349">
        <v>0</v>
      </c>
      <c r="W84" s="349">
        <v>100</v>
      </c>
      <c r="X84" s="249">
        <f t="shared" si="10"/>
        <v>100</v>
      </c>
      <c r="Y84" s="8" t="b">
        <f t="shared" si="11"/>
        <v>1</v>
      </c>
    </row>
    <row r="85" spans="1:25" ht="12.75">
      <c r="A85" s="16">
        <v>71</v>
      </c>
      <c r="B85" t="s">
        <v>290</v>
      </c>
      <c r="C85" t="s">
        <v>460</v>
      </c>
      <c r="E85" s="349">
        <v>2100</v>
      </c>
      <c r="F85" s="349">
        <v>0</v>
      </c>
      <c r="G85" s="349">
        <v>0</v>
      </c>
      <c r="H85" s="349">
        <f t="shared" si="7"/>
        <v>2100</v>
      </c>
      <c r="I85" s="349">
        <v>0</v>
      </c>
      <c r="J85" s="349">
        <f t="shared" si="8"/>
        <v>2100</v>
      </c>
      <c r="K85" s="159">
        <v>1</v>
      </c>
      <c r="L85" s="13">
        <f t="shared" si="9"/>
        <v>2100</v>
      </c>
      <c r="N85" s="16"/>
      <c r="O85" s="349">
        <v>0</v>
      </c>
      <c r="P85" s="349">
        <v>0</v>
      </c>
      <c r="Q85" s="349">
        <v>0</v>
      </c>
      <c r="R85" s="349">
        <f t="shared" si="12"/>
        <v>0</v>
      </c>
      <c r="S85" s="349">
        <v>0</v>
      </c>
      <c r="T85" s="349">
        <v>0</v>
      </c>
      <c r="U85" s="349">
        <f t="shared" si="13"/>
        <v>0</v>
      </c>
      <c r="V85" s="349">
        <v>0</v>
      </c>
      <c r="W85" s="349">
        <v>2100</v>
      </c>
      <c r="X85" s="249">
        <f t="shared" si="10"/>
        <v>2100</v>
      </c>
      <c r="Y85" s="8" t="b">
        <f t="shared" si="11"/>
        <v>1</v>
      </c>
    </row>
    <row r="86" spans="1:25" ht="12.75">
      <c r="A86" s="16">
        <v>72</v>
      </c>
      <c r="B86" t="s">
        <v>290</v>
      </c>
      <c r="C86" t="s">
        <v>877</v>
      </c>
      <c r="E86" s="349">
        <v>140</v>
      </c>
      <c r="F86" s="349">
        <v>0</v>
      </c>
      <c r="G86" s="349">
        <v>0</v>
      </c>
      <c r="H86" s="349">
        <f t="shared" si="7"/>
        <v>140</v>
      </c>
      <c r="I86" s="349">
        <v>0</v>
      </c>
      <c r="J86" s="349">
        <f t="shared" si="8"/>
        <v>140</v>
      </c>
      <c r="K86" s="159">
        <v>1</v>
      </c>
      <c r="L86" s="13">
        <f t="shared" si="9"/>
        <v>140</v>
      </c>
      <c r="N86" s="16"/>
      <c r="O86" s="349">
        <v>0</v>
      </c>
      <c r="P86" s="349">
        <v>0</v>
      </c>
      <c r="Q86" s="349">
        <v>0</v>
      </c>
      <c r="R86" s="349">
        <f t="shared" si="12"/>
        <v>0</v>
      </c>
      <c r="S86" s="349">
        <v>0</v>
      </c>
      <c r="T86" s="349">
        <v>0</v>
      </c>
      <c r="U86" s="349">
        <f t="shared" si="13"/>
        <v>0</v>
      </c>
      <c r="V86" s="349">
        <v>0</v>
      </c>
      <c r="W86" s="349">
        <v>140</v>
      </c>
      <c r="X86" s="249">
        <f t="shared" si="10"/>
        <v>140</v>
      </c>
      <c r="Y86" s="8" t="b">
        <f t="shared" si="11"/>
        <v>1</v>
      </c>
    </row>
    <row r="87" spans="1:25" ht="12.75">
      <c r="A87" s="16">
        <v>73</v>
      </c>
      <c r="B87" t="s">
        <v>290</v>
      </c>
      <c r="C87" t="s">
        <v>483</v>
      </c>
      <c r="E87" s="349">
        <v>180</v>
      </c>
      <c r="F87" s="349">
        <v>0</v>
      </c>
      <c r="G87" s="349">
        <v>0</v>
      </c>
      <c r="H87" s="349">
        <f t="shared" si="7"/>
        <v>180</v>
      </c>
      <c r="I87" s="349">
        <v>0</v>
      </c>
      <c r="J87" s="349">
        <f t="shared" si="8"/>
        <v>180</v>
      </c>
      <c r="K87" s="159">
        <v>1</v>
      </c>
      <c r="L87" s="13">
        <f t="shared" si="9"/>
        <v>180</v>
      </c>
      <c r="N87" s="16"/>
      <c r="O87" s="349">
        <v>0</v>
      </c>
      <c r="P87" s="349">
        <v>0</v>
      </c>
      <c r="Q87" s="349">
        <v>0</v>
      </c>
      <c r="R87" s="349">
        <f t="shared" si="12"/>
        <v>0</v>
      </c>
      <c r="S87" s="349">
        <v>0</v>
      </c>
      <c r="T87" s="349">
        <v>0</v>
      </c>
      <c r="U87" s="349">
        <f t="shared" si="13"/>
        <v>0</v>
      </c>
      <c r="V87" s="349">
        <v>0</v>
      </c>
      <c r="W87" s="349">
        <v>180</v>
      </c>
      <c r="X87" s="249">
        <f t="shared" si="10"/>
        <v>180</v>
      </c>
      <c r="Y87" s="8" t="b">
        <f t="shared" si="11"/>
        <v>1</v>
      </c>
    </row>
    <row r="88" spans="1:25" ht="12.75">
      <c r="A88" s="16">
        <v>74</v>
      </c>
      <c r="B88" t="s">
        <v>290</v>
      </c>
      <c r="C88" t="s">
        <v>484</v>
      </c>
      <c r="E88" s="349">
        <v>400</v>
      </c>
      <c r="F88" s="349">
        <v>0</v>
      </c>
      <c r="G88" s="349">
        <v>0</v>
      </c>
      <c r="H88" s="349">
        <f t="shared" si="7"/>
        <v>400</v>
      </c>
      <c r="I88" s="349">
        <v>0</v>
      </c>
      <c r="J88" s="349">
        <f t="shared" si="8"/>
        <v>400</v>
      </c>
      <c r="K88" s="159">
        <v>1</v>
      </c>
      <c r="L88" s="13">
        <f t="shared" si="9"/>
        <v>400</v>
      </c>
      <c r="N88" s="16"/>
      <c r="O88" s="349">
        <v>0</v>
      </c>
      <c r="P88" s="349">
        <v>0</v>
      </c>
      <c r="Q88" s="349">
        <v>0</v>
      </c>
      <c r="R88" s="349">
        <f t="shared" si="12"/>
        <v>0</v>
      </c>
      <c r="S88" s="349">
        <v>0</v>
      </c>
      <c r="T88" s="349">
        <v>0</v>
      </c>
      <c r="U88" s="349">
        <f t="shared" si="13"/>
        <v>0</v>
      </c>
      <c r="V88" s="349">
        <v>0</v>
      </c>
      <c r="W88" s="349">
        <v>400</v>
      </c>
      <c r="X88" s="249">
        <f t="shared" si="10"/>
        <v>400</v>
      </c>
      <c r="Y88" s="8" t="b">
        <f t="shared" si="11"/>
        <v>1</v>
      </c>
    </row>
    <row r="89" spans="1:25" ht="12.75">
      <c r="A89" s="16">
        <v>75</v>
      </c>
      <c r="B89" t="s">
        <v>290</v>
      </c>
      <c r="C89" t="s">
        <v>485</v>
      </c>
      <c r="E89" s="349">
        <v>615.83000000000004</v>
      </c>
      <c r="F89" s="349">
        <v>0</v>
      </c>
      <c r="G89" s="349">
        <v>0</v>
      </c>
      <c r="H89" s="349">
        <f t="shared" si="7"/>
        <v>615.83000000000004</v>
      </c>
      <c r="I89" s="349">
        <v>0</v>
      </c>
      <c r="J89" s="349">
        <f t="shared" si="8"/>
        <v>615.83000000000004</v>
      </c>
      <c r="K89" s="159">
        <v>1</v>
      </c>
      <c r="L89" s="13">
        <f t="shared" si="9"/>
        <v>615.83000000000004</v>
      </c>
      <c r="N89" s="16"/>
      <c r="O89" s="349">
        <v>0</v>
      </c>
      <c r="P89" s="349">
        <v>0</v>
      </c>
      <c r="Q89" s="349">
        <v>0</v>
      </c>
      <c r="R89" s="349">
        <f t="shared" si="12"/>
        <v>0</v>
      </c>
      <c r="S89" s="349">
        <v>0</v>
      </c>
      <c r="T89" s="349">
        <v>0</v>
      </c>
      <c r="U89" s="349">
        <f t="shared" si="13"/>
        <v>0</v>
      </c>
      <c r="V89" s="349">
        <v>0</v>
      </c>
      <c r="W89" s="349">
        <v>615.83000000000004</v>
      </c>
      <c r="X89" s="249">
        <f t="shared" si="10"/>
        <v>615.83000000000004</v>
      </c>
      <c r="Y89" s="8" t="b">
        <f t="shared" si="11"/>
        <v>1</v>
      </c>
    </row>
    <row r="90" spans="1:25" ht="12.75">
      <c r="A90" s="16">
        <v>76</v>
      </c>
      <c r="B90" t="s">
        <v>290</v>
      </c>
      <c r="C90" t="s">
        <v>486</v>
      </c>
      <c r="E90" s="349">
        <v>1000</v>
      </c>
      <c r="F90" s="349">
        <v>0</v>
      </c>
      <c r="G90" s="349">
        <v>0</v>
      </c>
      <c r="H90" s="349">
        <f t="shared" si="7"/>
        <v>1000</v>
      </c>
      <c r="I90" s="349">
        <v>0</v>
      </c>
      <c r="J90" s="349">
        <f t="shared" si="8"/>
        <v>1000</v>
      </c>
      <c r="K90" s="159">
        <v>1</v>
      </c>
      <c r="L90" s="13">
        <f t="shared" si="9"/>
        <v>1000</v>
      </c>
      <c r="N90" s="16"/>
      <c r="O90" s="349">
        <v>0</v>
      </c>
      <c r="P90" s="349">
        <v>0</v>
      </c>
      <c r="Q90" s="349">
        <v>0</v>
      </c>
      <c r="R90" s="349">
        <f t="shared" si="12"/>
        <v>0</v>
      </c>
      <c r="S90" s="349">
        <v>0</v>
      </c>
      <c r="T90" s="349">
        <v>0</v>
      </c>
      <c r="U90" s="349">
        <f t="shared" si="13"/>
        <v>0</v>
      </c>
      <c r="V90" s="349">
        <v>0</v>
      </c>
      <c r="W90" s="349">
        <v>1000</v>
      </c>
      <c r="X90" s="249">
        <f t="shared" si="10"/>
        <v>1000</v>
      </c>
      <c r="Y90" s="8" t="b">
        <f t="shared" si="11"/>
        <v>1</v>
      </c>
    </row>
    <row r="91" spans="1:25" ht="12.75">
      <c r="A91" s="16">
        <v>77</v>
      </c>
      <c r="B91" t="s">
        <v>290</v>
      </c>
      <c r="C91" t="s">
        <v>487</v>
      </c>
      <c r="E91" s="349">
        <v>1000</v>
      </c>
      <c r="F91" s="349">
        <v>0</v>
      </c>
      <c r="G91" s="349">
        <v>0</v>
      </c>
      <c r="H91" s="349">
        <f t="shared" si="7"/>
        <v>1000</v>
      </c>
      <c r="I91" s="349">
        <v>0</v>
      </c>
      <c r="J91" s="349">
        <f t="shared" si="8"/>
        <v>1000</v>
      </c>
      <c r="K91" s="159">
        <v>1</v>
      </c>
      <c r="L91" s="13">
        <f t="shared" si="9"/>
        <v>1000</v>
      </c>
      <c r="N91" s="16"/>
      <c r="O91" s="349">
        <v>0</v>
      </c>
      <c r="P91" s="349">
        <v>0</v>
      </c>
      <c r="Q91" s="349">
        <v>0</v>
      </c>
      <c r="R91" s="349">
        <f t="shared" si="12"/>
        <v>0</v>
      </c>
      <c r="S91" s="349">
        <v>0</v>
      </c>
      <c r="T91" s="349">
        <v>0</v>
      </c>
      <c r="U91" s="349">
        <f t="shared" si="13"/>
        <v>0</v>
      </c>
      <c r="V91" s="349">
        <v>0</v>
      </c>
      <c r="W91" s="349">
        <v>1000</v>
      </c>
      <c r="X91" s="249">
        <f t="shared" si="10"/>
        <v>1000</v>
      </c>
      <c r="Y91" s="8" t="b">
        <f t="shared" si="11"/>
        <v>1</v>
      </c>
    </row>
    <row r="92" spans="1:25" ht="12.75">
      <c r="A92" s="16">
        <v>78</v>
      </c>
      <c r="B92" t="s">
        <v>290</v>
      </c>
      <c r="C92" t="s">
        <v>488</v>
      </c>
      <c r="E92" s="349">
        <v>1570</v>
      </c>
      <c r="F92" s="349">
        <v>0</v>
      </c>
      <c r="G92" s="349">
        <v>0</v>
      </c>
      <c r="H92" s="349">
        <f t="shared" si="7"/>
        <v>1570</v>
      </c>
      <c r="I92" s="349">
        <v>0</v>
      </c>
      <c r="J92" s="349">
        <f t="shared" si="8"/>
        <v>1570</v>
      </c>
      <c r="K92" s="159">
        <v>1</v>
      </c>
      <c r="L92" s="13">
        <f t="shared" si="9"/>
        <v>1570</v>
      </c>
      <c r="N92" s="16"/>
      <c r="O92" s="349">
        <v>0</v>
      </c>
      <c r="P92" s="349">
        <v>0</v>
      </c>
      <c r="Q92" s="349">
        <v>0</v>
      </c>
      <c r="R92" s="349">
        <f t="shared" si="12"/>
        <v>0</v>
      </c>
      <c r="S92" s="349">
        <v>0</v>
      </c>
      <c r="T92" s="349">
        <v>0</v>
      </c>
      <c r="U92" s="349">
        <f t="shared" si="13"/>
        <v>0</v>
      </c>
      <c r="V92" s="349">
        <v>0</v>
      </c>
      <c r="W92" s="349">
        <v>1570</v>
      </c>
      <c r="X92" s="249">
        <f t="shared" si="10"/>
        <v>1570</v>
      </c>
      <c r="Y92" s="8" t="b">
        <f t="shared" si="11"/>
        <v>1</v>
      </c>
    </row>
    <row r="93" spans="1:25" ht="12.75">
      <c r="A93" s="16">
        <v>79</v>
      </c>
      <c r="B93" t="s">
        <v>290</v>
      </c>
      <c r="C93" t="s">
        <v>489</v>
      </c>
      <c r="E93" s="349">
        <v>200</v>
      </c>
      <c r="F93" s="349">
        <v>0</v>
      </c>
      <c r="G93" s="349">
        <v>0</v>
      </c>
      <c r="H93" s="349">
        <f t="shared" si="7"/>
        <v>200</v>
      </c>
      <c r="I93" s="349">
        <v>0</v>
      </c>
      <c r="J93" s="349">
        <f t="shared" si="8"/>
        <v>200</v>
      </c>
      <c r="K93" s="159">
        <v>1</v>
      </c>
      <c r="L93" s="13">
        <f t="shared" si="9"/>
        <v>200</v>
      </c>
      <c r="N93" s="16"/>
      <c r="O93" s="349">
        <v>0</v>
      </c>
      <c r="P93" s="349">
        <v>0</v>
      </c>
      <c r="Q93" s="349">
        <v>0</v>
      </c>
      <c r="R93" s="349">
        <f t="shared" si="12"/>
        <v>0</v>
      </c>
      <c r="S93" s="349">
        <v>0</v>
      </c>
      <c r="T93" s="349">
        <v>0</v>
      </c>
      <c r="U93" s="349">
        <f t="shared" si="13"/>
        <v>0</v>
      </c>
      <c r="V93" s="349">
        <v>0</v>
      </c>
      <c r="W93" s="349">
        <v>200</v>
      </c>
      <c r="X93" s="249">
        <f t="shared" si="10"/>
        <v>200</v>
      </c>
      <c r="Y93" s="8" t="b">
        <f t="shared" si="11"/>
        <v>1</v>
      </c>
    </row>
    <row r="94" spans="1:25" ht="12.75">
      <c r="A94" s="16">
        <v>80</v>
      </c>
      <c r="B94" t="s">
        <v>290</v>
      </c>
      <c r="C94" t="s">
        <v>1024</v>
      </c>
      <c r="E94" s="349">
        <v>0</v>
      </c>
      <c r="F94" s="349">
        <v>0</v>
      </c>
      <c r="G94" s="349">
        <v>0</v>
      </c>
      <c r="H94" s="349">
        <f t="shared" si="7"/>
        <v>0</v>
      </c>
      <c r="I94" s="349">
        <v>0</v>
      </c>
      <c r="J94" s="349">
        <f t="shared" si="8"/>
        <v>0</v>
      </c>
      <c r="K94" s="159">
        <v>1</v>
      </c>
      <c r="L94" s="13">
        <f t="shared" si="9"/>
        <v>0</v>
      </c>
      <c r="N94" s="16"/>
      <c r="O94" s="349">
        <v>0</v>
      </c>
      <c r="P94" s="349">
        <v>0</v>
      </c>
      <c r="Q94" s="349">
        <v>0</v>
      </c>
      <c r="R94" s="349">
        <f t="shared" si="12"/>
        <v>0</v>
      </c>
      <c r="S94" s="349">
        <v>0</v>
      </c>
      <c r="T94" s="349">
        <v>0</v>
      </c>
      <c r="U94" s="349">
        <f t="shared" si="13"/>
        <v>0</v>
      </c>
      <c r="V94" s="349">
        <v>0</v>
      </c>
      <c r="W94" s="349">
        <v>0</v>
      </c>
      <c r="X94" s="249">
        <f t="shared" si="10"/>
        <v>0</v>
      </c>
      <c r="Y94" s="8" t="b">
        <f t="shared" si="11"/>
        <v>1</v>
      </c>
    </row>
    <row r="95" spans="1:25" ht="12.75">
      <c r="A95" s="16">
        <v>81</v>
      </c>
      <c r="B95" t="s">
        <v>290</v>
      </c>
      <c r="C95" t="s">
        <v>492</v>
      </c>
      <c r="E95" s="349">
        <v>500</v>
      </c>
      <c r="F95" s="349">
        <v>0</v>
      </c>
      <c r="G95" s="349">
        <v>0</v>
      </c>
      <c r="H95" s="349">
        <f t="shared" si="7"/>
        <v>500</v>
      </c>
      <c r="I95" s="349">
        <v>0</v>
      </c>
      <c r="J95" s="349">
        <f t="shared" si="8"/>
        <v>500</v>
      </c>
      <c r="K95" s="159">
        <v>1</v>
      </c>
      <c r="L95" s="13">
        <f t="shared" si="9"/>
        <v>500</v>
      </c>
      <c r="N95" s="16"/>
      <c r="O95" s="349">
        <v>0</v>
      </c>
      <c r="P95" s="349">
        <v>0</v>
      </c>
      <c r="Q95" s="349">
        <v>0</v>
      </c>
      <c r="R95" s="349">
        <f t="shared" si="12"/>
        <v>0</v>
      </c>
      <c r="S95" s="349">
        <v>0</v>
      </c>
      <c r="T95" s="349">
        <v>0</v>
      </c>
      <c r="U95" s="349">
        <f t="shared" si="13"/>
        <v>0</v>
      </c>
      <c r="V95" s="349">
        <v>0</v>
      </c>
      <c r="W95" s="349">
        <v>500</v>
      </c>
      <c r="X95" s="249">
        <f t="shared" si="10"/>
        <v>500</v>
      </c>
      <c r="Y95" s="8" t="b">
        <f t="shared" si="11"/>
        <v>1</v>
      </c>
    </row>
    <row r="96" spans="1:25" ht="12.75">
      <c r="A96" s="16">
        <v>82</v>
      </c>
      <c r="B96" t="s">
        <v>290</v>
      </c>
      <c r="C96" t="s">
        <v>493</v>
      </c>
      <c r="E96" s="349">
        <v>185</v>
      </c>
      <c r="F96" s="349">
        <v>0</v>
      </c>
      <c r="G96" s="349">
        <v>0</v>
      </c>
      <c r="H96" s="349">
        <f t="shared" si="7"/>
        <v>185</v>
      </c>
      <c r="I96" s="349">
        <v>0</v>
      </c>
      <c r="J96" s="349">
        <f t="shared" si="8"/>
        <v>185</v>
      </c>
      <c r="K96" s="159">
        <v>1</v>
      </c>
      <c r="L96" s="13">
        <f t="shared" si="9"/>
        <v>185</v>
      </c>
      <c r="N96" s="16"/>
      <c r="O96" s="349">
        <v>0</v>
      </c>
      <c r="P96" s="349">
        <v>0</v>
      </c>
      <c r="Q96" s="349">
        <v>0</v>
      </c>
      <c r="R96" s="349">
        <f t="shared" si="12"/>
        <v>0</v>
      </c>
      <c r="S96" s="349">
        <v>0</v>
      </c>
      <c r="T96" s="349">
        <v>0</v>
      </c>
      <c r="U96" s="349">
        <f t="shared" si="13"/>
        <v>0</v>
      </c>
      <c r="V96" s="349">
        <v>0</v>
      </c>
      <c r="W96" s="349">
        <v>185</v>
      </c>
      <c r="X96" s="249">
        <f t="shared" si="10"/>
        <v>185</v>
      </c>
      <c r="Y96" s="8" t="b">
        <f t="shared" si="11"/>
        <v>1</v>
      </c>
    </row>
    <row r="97" spans="1:25" ht="12.75">
      <c r="A97" s="16">
        <v>83</v>
      </c>
      <c r="B97" t="s">
        <v>290</v>
      </c>
      <c r="C97" t="s">
        <v>494</v>
      </c>
      <c r="E97" s="349">
        <v>1000</v>
      </c>
      <c r="F97" s="349">
        <v>0</v>
      </c>
      <c r="G97" s="349">
        <v>0</v>
      </c>
      <c r="H97" s="349">
        <f t="shared" si="7"/>
        <v>1000</v>
      </c>
      <c r="I97" s="349">
        <v>0</v>
      </c>
      <c r="J97" s="349">
        <f t="shared" si="8"/>
        <v>1000</v>
      </c>
      <c r="K97" s="159">
        <v>1</v>
      </c>
      <c r="L97" s="13">
        <f t="shared" si="9"/>
        <v>1000</v>
      </c>
      <c r="N97" s="16"/>
      <c r="O97" s="349">
        <v>0</v>
      </c>
      <c r="P97" s="349">
        <v>0</v>
      </c>
      <c r="Q97" s="349">
        <v>0</v>
      </c>
      <c r="R97" s="349">
        <f t="shared" si="12"/>
        <v>0</v>
      </c>
      <c r="S97" s="349">
        <v>0</v>
      </c>
      <c r="T97" s="349">
        <v>0</v>
      </c>
      <c r="U97" s="349">
        <f t="shared" si="13"/>
        <v>0</v>
      </c>
      <c r="V97" s="349">
        <v>0</v>
      </c>
      <c r="W97" s="349">
        <v>1000</v>
      </c>
      <c r="X97" s="249">
        <f t="shared" si="10"/>
        <v>1000</v>
      </c>
      <c r="Y97" s="8" t="b">
        <f t="shared" si="11"/>
        <v>1</v>
      </c>
    </row>
    <row r="98" spans="1:25" ht="12.75">
      <c r="A98" s="16">
        <v>84</v>
      </c>
      <c r="B98" t="s">
        <v>290</v>
      </c>
      <c r="C98" t="s">
        <v>495</v>
      </c>
      <c r="E98" s="349">
        <v>550</v>
      </c>
      <c r="F98" s="349">
        <v>0</v>
      </c>
      <c r="G98" s="349">
        <v>0</v>
      </c>
      <c r="H98" s="349">
        <f t="shared" si="7"/>
        <v>550</v>
      </c>
      <c r="I98" s="349">
        <v>0</v>
      </c>
      <c r="J98" s="349">
        <f t="shared" si="8"/>
        <v>550</v>
      </c>
      <c r="K98" s="159">
        <v>1</v>
      </c>
      <c r="L98" s="13">
        <f t="shared" si="9"/>
        <v>550</v>
      </c>
      <c r="N98" s="16"/>
      <c r="O98" s="349">
        <v>0</v>
      </c>
      <c r="P98" s="349">
        <v>0</v>
      </c>
      <c r="Q98" s="349">
        <v>0</v>
      </c>
      <c r="R98" s="349">
        <f t="shared" si="12"/>
        <v>0</v>
      </c>
      <c r="S98" s="349">
        <v>0</v>
      </c>
      <c r="T98" s="349">
        <v>0</v>
      </c>
      <c r="U98" s="349">
        <f t="shared" si="13"/>
        <v>0</v>
      </c>
      <c r="V98" s="349">
        <v>0</v>
      </c>
      <c r="W98" s="349">
        <v>550</v>
      </c>
      <c r="X98" s="249">
        <f t="shared" si="10"/>
        <v>550</v>
      </c>
      <c r="Y98" s="8" t="b">
        <f t="shared" si="11"/>
        <v>1</v>
      </c>
    </row>
    <row r="99" spans="1:25" ht="12.75">
      <c r="A99" s="16">
        <v>85</v>
      </c>
      <c r="B99" t="s">
        <v>290</v>
      </c>
      <c r="C99" t="s">
        <v>878</v>
      </c>
      <c r="E99" s="349">
        <v>1200</v>
      </c>
      <c r="F99" s="349">
        <v>0</v>
      </c>
      <c r="G99" s="349">
        <v>0</v>
      </c>
      <c r="H99" s="349">
        <f t="shared" si="14" ref="H99:H116">+E99+F99+G99</f>
        <v>1200</v>
      </c>
      <c r="I99" s="349">
        <v>0</v>
      </c>
      <c r="J99" s="349">
        <f t="shared" si="15" ref="J99:J116">+H99+I99</f>
        <v>1200</v>
      </c>
      <c r="K99" s="159">
        <v>1</v>
      </c>
      <c r="L99" s="13">
        <f t="shared" si="16" ref="L99:L116">+J99*K99</f>
        <v>1200</v>
      </c>
      <c r="N99" s="16"/>
      <c r="O99" s="349">
        <v>0</v>
      </c>
      <c r="P99" s="349">
        <v>0</v>
      </c>
      <c r="Q99" s="349">
        <v>0</v>
      </c>
      <c r="R99" s="349">
        <f t="shared" si="12"/>
        <v>0</v>
      </c>
      <c r="S99" s="349">
        <v>0</v>
      </c>
      <c r="T99" s="349">
        <v>0</v>
      </c>
      <c r="U99" s="349">
        <f t="shared" si="13"/>
        <v>0</v>
      </c>
      <c r="V99" s="349">
        <v>0</v>
      </c>
      <c r="W99" s="349">
        <v>1200</v>
      </c>
      <c r="X99" s="249">
        <f t="shared" si="17" ref="X99:X116">+R99+U99+V99+W99</f>
        <v>1200</v>
      </c>
      <c r="Y99" s="8" t="b">
        <f t="shared" si="18" ref="Y99:Y116">+X99=L99</f>
        <v>1</v>
      </c>
    </row>
    <row r="100" spans="1:25" ht="12.75">
      <c r="A100" s="16">
        <v>86</v>
      </c>
      <c r="B100" t="s">
        <v>290</v>
      </c>
      <c r="C100" t="s">
        <v>879</v>
      </c>
      <c r="E100" s="349">
        <v>300</v>
      </c>
      <c r="F100" s="349">
        <v>0</v>
      </c>
      <c r="G100" s="349">
        <v>0</v>
      </c>
      <c r="H100" s="349">
        <f t="shared" si="14"/>
        <v>300</v>
      </c>
      <c r="I100" s="349">
        <v>0</v>
      </c>
      <c r="J100" s="349">
        <f t="shared" si="15"/>
        <v>300</v>
      </c>
      <c r="K100" s="159">
        <v>1</v>
      </c>
      <c r="L100" s="13">
        <f t="shared" si="16"/>
        <v>300</v>
      </c>
      <c r="N100" s="16"/>
      <c r="O100" s="349">
        <v>0</v>
      </c>
      <c r="P100" s="349">
        <v>0</v>
      </c>
      <c r="Q100" s="349">
        <v>0</v>
      </c>
      <c r="R100" s="349">
        <f t="shared" si="12"/>
        <v>0</v>
      </c>
      <c r="S100" s="349">
        <v>0</v>
      </c>
      <c r="T100" s="349">
        <v>0</v>
      </c>
      <c r="U100" s="349">
        <f t="shared" si="13"/>
        <v>0</v>
      </c>
      <c r="V100" s="349">
        <v>0</v>
      </c>
      <c r="W100" s="349">
        <v>300</v>
      </c>
      <c r="X100" s="249">
        <f t="shared" si="17"/>
        <v>300</v>
      </c>
      <c r="Y100" s="8" t="b">
        <f t="shared" si="18"/>
        <v>1</v>
      </c>
    </row>
    <row r="101" spans="1:25" ht="12.75">
      <c r="A101" s="16">
        <v>87</v>
      </c>
      <c r="B101" t="s">
        <v>290</v>
      </c>
      <c r="C101" t="s">
        <v>498</v>
      </c>
      <c r="E101" s="349">
        <v>575</v>
      </c>
      <c r="F101" s="349">
        <v>0</v>
      </c>
      <c r="G101" s="349">
        <v>0</v>
      </c>
      <c r="H101" s="349">
        <f t="shared" si="14"/>
        <v>575</v>
      </c>
      <c r="I101" s="349">
        <v>0</v>
      </c>
      <c r="J101" s="349">
        <f t="shared" si="15"/>
        <v>575</v>
      </c>
      <c r="K101" s="159">
        <v>1</v>
      </c>
      <c r="L101" s="13">
        <f t="shared" si="16"/>
        <v>575</v>
      </c>
      <c r="N101" s="16"/>
      <c r="O101" s="349">
        <v>0</v>
      </c>
      <c r="P101" s="349">
        <v>0</v>
      </c>
      <c r="Q101" s="349">
        <v>0</v>
      </c>
      <c r="R101" s="349">
        <f t="shared" si="12"/>
        <v>0</v>
      </c>
      <c r="S101" s="349">
        <v>0</v>
      </c>
      <c r="T101" s="349">
        <v>0</v>
      </c>
      <c r="U101" s="349">
        <f t="shared" si="13"/>
        <v>0</v>
      </c>
      <c r="V101" s="349">
        <v>0</v>
      </c>
      <c r="W101" s="349">
        <v>575</v>
      </c>
      <c r="X101" s="249">
        <f t="shared" si="17"/>
        <v>575</v>
      </c>
      <c r="Y101" s="8" t="b">
        <f t="shared" si="18"/>
        <v>1</v>
      </c>
    </row>
    <row r="102" spans="1:25" ht="12.75">
      <c r="A102" s="16">
        <v>88</v>
      </c>
      <c r="B102" t="s">
        <v>290</v>
      </c>
      <c r="C102" t="s">
        <v>880</v>
      </c>
      <c r="E102" s="349">
        <v>500</v>
      </c>
      <c r="F102" s="349">
        <v>0</v>
      </c>
      <c r="G102" s="349">
        <v>0</v>
      </c>
      <c r="H102" s="349">
        <f t="shared" si="14"/>
        <v>500</v>
      </c>
      <c r="I102" s="349">
        <v>0</v>
      </c>
      <c r="J102" s="349">
        <f t="shared" si="15"/>
        <v>500</v>
      </c>
      <c r="K102" s="159">
        <v>1</v>
      </c>
      <c r="L102" s="13">
        <f t="shared" si="16"/>
        <v>500</v>
      </c>
      <c r="N102" s="16"/>
      <c r="O102" s="349">
        <v>0</v>
      </c>
      <c r="P102" s="349">
        <v>0</v>
      </c>
      <c r="Q102" s="349">
        <v>0</v>
      </c>
      <c r="R102" s="349">
        <f t="shared" si="12"/>
        <v>0</v>
      </c>
      <c r="S102" s="349">
        <v>0</v>
      </c>
      <c r="T102" s="349">
        <v>0</v>
      </c>
      <c r="U102" s="349">
        <f t="shared" si="13"/>
        <v>0</v>
      </c>
      <c r="V102" s="349">
        <v>0</v>
      </c>
      <c r="W102" s="349">
        <v>500</v>
      </c>
      <c r="X102" s="249">
        <f t="shared" si="17"/>
        <v>500</v>
      </c>
      <c r="Y102" s="8" t="b">
        <f t="shared" si="18"/>
        <v>1</v>
      </c>
    </row>
    <row r="103" spans="1:25" ht="12.75">
      <c r="A103" s="16">
        <v>89</v>
      </c>
      <c r="B103" t="s">
        <v>290</v>
      </c>
      <c r="C103" t="s">
        <v>766</v>
      </c>
      <c r="E103" s="349">
        <v>3000</v>
      </c>
      <c r="F103" s="349">
        <v>0</v>
      </c>
      <c r="G103" s="349">
        <v>0</v>
      </c>
      <c r="H103" s="349">
        <f t="shared" si="14"/>
        <v>3000</v>
      </c>
      <c r="I103" s="349">
        <v>0</v>
      </c>
      <c r="J103" s="349">
        <f t="shared" si="15"/>
        <v>3000</v>
      </c>
      <c r="K103" s="159">
        <v>1</v>
      </c>
      <c r="L103" s="13">
        <f t="shared" si="16"/>
        <v>3000</v>
      </c>
      <c r="N103" s="16"/>
      <c r="O103" s="349">
        <v>0</v>
      </c>
      <c r="P103" s="349">
        <v>0</v>
      </c>
      <c r="Q103" s="349">
        <v>0</v>
      </c>
      <c r="R103" s="349">
        <f t="shared" si="12"/>
        <v>0</v>
      </c>
      <c r="S103" s="349">
        <v>0</v>
      </c>
      <c r="T103" s="349">
        <v>0</v>
      </c>
      <c r="U103" s="349">
        <f t="shared" si="13"/>
        <v>0</v>
      </c>
      <c r="V103" s="349">
        <v>0</v>
      </c>
      <c r="W103" s="349">
        <v>3000</v>
      </c>
      <c r="X103" s="249">
        <f t="shared" si="17"/>
        <v>3000</v>
      </c>
      <c r="Y103" s="8" t="b">
        <f t="shared" si="18"/>
        <v>1</v>
      </c>
    </row>
    <row r="104" spans="1:25" ht="12.75">
      <c r="A104" s="16">
        <v>90</v>
      </c>
      <c r="B104" t="s">
        <v>290</v>
      </c>
      <c r="C104" t="s">
        <v>499</v>
      </c>
      <c r="E104" s="349">
        <v>880</v>
      </c>
      <c r="F104" s="349">
        <v>0</v>
      </c>
      <c r="G104" s="349">
        <v>0</v>
      </c>
      <c r="H104" s="349">
        <f t="shared" si="14"/>
        <v>880</v>
      </c>
      <c r="I104" s="349">
        <v>0</v>
      </c>
      <c r="J104" s="349">
        <f t="shared" si="15"/>
        <v>880</v>
      </c>
      <c r="K104" s="159">
        <v>1</v>
      </c>
      <c r="L104" s="13">
        <f t="shared" si="16"/>
        <v>880</v>
      </c>
      <c r="N104" s="16"/>
      <c r="O104" s="349">
        <v>0</v>
      </c>
      <c r="P104" s="349">
        <v>0</v>
      </c>
      <c r="Q104" s="349">
        <v>0</v>
      </c>
      <c r="R104" s="349">
        <f t="shared" si="12"/>
        <v>0</v>
      </c>
      <c r="S104" s="349">
        <v>0</v>
      </c>
      <c r="T104" s="349">
        <v>0</v>
      </c>
      <c r="U104" s="349">
        <f t="shared" si="13"/>
        <v>0</v>
      </c>
      <c r="V104" s="349">
        <v>0</v>
      </c>
      <c r="W104" s="349">
        <v>880</v>
      </c>
      <c r="X104" s="249">
        <f t="shared" si="17"/>
        <v>880</v>
      </c>
      <c r="Y104" s="8" t="b">
        <f t="shared" si="18"/>
        <v>1</v>
      </c>
    </row>
    <row r="105" spans="1:25" ht="12.75">
      <c r="A105" s="16">
        <v>91</v>
      </c>
      <c r="B105" t="s">
        <v>290</v>
      </c>
      <c r="C105" t="s">
        <v>881</v>
      </c>
      <c r="E105" s="349">
        <v>795</v>
      </c>
      <c r="F105" s="349">
        <v>0</v>
      </c>
      <c r="G105" s="349">
        <v>0</v>
      </c>
      <c r="H105" s="349">
        <f t="shared" si="14"/>
        <v>795</v>
      </c>
      <c r="I105" s="349">
        <v>0</v>
      </c>
      <c r="J105" s="349">
        <f t="shared" si="15"/>
        <v>795</v>
      </c>
      <c r="K105" s="159">
        <v>1</v>
      </c>
      <c r="L105" s="13">
        <f t="shared" si="16"/>
        <v>795</v>
      </c>
      <c r="N105" s="16"/>
      <c r="O105" s="349">
        <v>0</v>
      </c>
      <c r="P105" s="349">
        <v>0</v>
      </c>
      <c r="Q105" s="349">
        <v>0</v>
      </c>
      <c r="R105" s="349">
        <f t="shared" si="12"/>
        <v>0</v>
      </c>
      <c r="S105" s="349">
        <v>0</v>
      </c>
      <c r="T105" s="349">
        <v>0</v>
      </c>
      <c r="U105" s="349">
        <f t="shared" si="13"/>
        <v>0</v>
      </c>
      <c r="V105" s="349">
        <v>0</v>
      </c>
      <c r="W105" s="349">
        <v>795</v>
      </c>
      <c r="X105" s="249">
        <f t="shared" si="17"/>
        <v>795</v>
      </c>
      <c r="Y105" s="8" t="b">
        <f t="shared" si="18"/>
        <v>1</v>
      </c>
    </row>
    <row r="106" spans="1:25" ht="12.75">
      <c r="A106" s="16">
        <v>92</v>
      </c>
      <c r="B106" t="s">
        <v>290</v>
      </c>
      <c r="C106" t="s">
        <v>882</v>
      </c>
      <c r="E106" s="349">
        <v>-5196</v>
      </c>
      <c r="F106" s="349">
        <v>0</v>
      </c>
      <c r="G106" s="349">
        <v>0</v>
      </c>
      <c r="H106" s="349">
        <f t="shared" si="14"/>
        <v>-5196</v>
      </c>
      <c r="I106" s="349">
        <v>0</v>
      </c>
      <c r="J106" s="349">
        <f t="shared" si="15"/>
        <v>-5196</v>
      </c>
      <c r="K106" s="159">
        <v>1</v>
      </c>
      <c r="L106" s="13">
        <f t="shared" si="16"/>
        <v>-5196</v>
      </c>
      <c r="N106" s="16"/>
      <c r="O106" s="349">
        <v>-1144.169696969697</v>
      </c>
      <c r="P106" s="349">
        <v>0</v>
      </c>
      <c r="Q106" s="349">
        <v>0</v>
      </c>
      <c r="R106" s="349">
        <f t="shared" si="12"/>
        <v>-1144.169696969697</v>
      </c>
      <c r="S106" s="349">
        <v>-3156.5699999999997</v>
      </c>
      <c r="T106" s="349">
        <v>0</v>
      </c>
      <c r="U106" s="349">
        <f t="shared" si="13"/>
        <v>-3156.5699999999997</v>
      </c>
      <c r="V106" s="349">
        <v>-860.48909090909081</v>
      </c>
      <c r="W106" s="349">
        <v>-34.771212121212379</v>
      </c>
      <c r="X106" s="249">
        <f t="shared" si="17"/>
        <v>-5196</v>
      </c>
      <c r="Y106" s="8" t="b">
        <f t="shared" si="18"/>
        <v>1</v>
      </c>
    </row>
    <row r="107" spans="1:25" ht="12.75">
      <c r="A107" s="16">
        <v>93</v>
      </c>
      <c r="B107" t="s">
        <v>290</v>
      </c>
      <c r="C107" t="s">
        <v>767</v>
      </c>
      <c r="E107" s="349">
        <v>4799.9999999999991</v>
      </c>
      <c r="F107" s="349">
        <v>0</v>
      </c>
      <c r="G107" s="349">
        <v>0</v>
      </c>
      <c r="H107" s="349">
        <f t="shared" si="14"/>
        <v>4799.9999999999991</v>
      </c>
      <c r="I107" s="349">
        <v>0</v>
      </c>
      <c r="J107" s="349">
        <f t="shared" si="15"/>
        <v>4799.9999999999991</v>
      </c>
      <c r="K107" s="159">
        <v>1</v>
      </c>
      <c r="L107" s="13">
        <f t="shared" si="16"/>
        <v>4799.9999999999991</v>
      </c>
      <c r="N107" s="16"/>
      <c r="O107" s="349">
        <v>1056.969696969697</v>
      </c>
      <c r="P107" s="349">
        <v>0</v>
      </c>
      <c r="Q107" s="349">
        <v>0</v>
      </c>
      <c r="R107" s="349">
        <f t="shared" si="12"/>
        <v>1056.969696969697</v>
      </c>
      <c r="S107" s="349">
        <v>2915.9999999999995</v>
      </c>
      <c r="T107" s="349">
        <v>0</v>
      </c>
      <c r="U107" s="349">
        <f t="shared" si="13"/>
        <v>2915.9999999999995</v>
      </c>
      <c r="V107" s="349">
        <v>794.90909090909088</v>
      </c>
      <c r="W107" s="349">
        <v>32.121212121212359</v>
      </c>
      <c r="X107" s="249">
        <f t="shared" si="17"/>
        <v>4799.9999999999991</v>
      </c>
      <c r="Y107" s="8" t="b">
        <f t="shared" si="18"/>
        <v>1</v>
      </c>
    </row>
    <row r="108" spans="1:25" ht="12.75">
      <c r="A108" s="16">
        <v>94</v>
      </c>
      <c r="B108" t="s">
        <v>290</v>
      </c>
      <c r="C108" t="s">
        <v>500</v>
      </c>
      <c r="E108" s="349">
        <v>1400</v>
      </c>
      <c r="F108" s="349">
        <v>0</v>
      </c>
      <c r="G108" s="349">
        <v>0</v>
      </c>
      <c r="H108" s="349">
        <f t="shared" si="14"/>
        <v>1400</v>
      </c>
      <c r="I108" s="349">
        <v>0</v>
      </c>
      <c r="J108" s="349">
        <f t="shared" si="15"/>
        <v>1400</v>
      </c>
      <c r="K108" s="159">
        <v>1</v>
      </c>
      <c r="L108" s="13">
        <f t="shared" si="16"/>
        <v>1400</v>
      </c>
      <c r="N108" s="16"/>
      <c r="O108" s="349">
        <v>0</v>
      </c>
      <c r="P108" s="349">
        <v>0</v>
      </c>
      <c r="Q108" s="349">
        <v>0</v>
      </c>
      <c r="R108" s="349">
        <f t="shared" si="12"/>
        <v>0</v>
      </c>
      <c r="S108" s="349">
        <v>0</v>
      </c>
      <c r="T108" s="349">
        <v>0</v>
      </c>
      <c r="U108" s="349">
        <f t="shared" si="13"/>
        <v>0</v>
      </c>
      <c r="V108" s="349">
        <v>0</v>
      </c>
      <c r="W108" s="349">
        <v>1400</v>
      </c>
      <c r="X108" s="249">
        <f t="shared" si="17"/>
        <v>1400</v>
      </c>
      <c r="Y108" s="8" t="b">
        <f t="shared" si="18"/>
        <v>1</v>
      </c>
    </row>
    <row r="109" spans="1:25" ht="12.75">
      <c r="A109" s="16">
        <v>95</v>
      </c>
      <c r="B109" t="s">
        <v>290</v>
      </c>
      <c r="C109" t="s">
        <v>501</v>
      </c>
      <c r="E109" s="349">
        <v>140</v>
      </c>
      <c r="F109" s="349">
        <v>0</v>
      </c>
      <c r="G109" s="349">
        <v>0</v>
      </c>
      <c r="H109" s="349">
        <f t="shared" si="14"/>
        <v>140</v>
      </c>
      <c r="I109" s="349">
        <v>0</v>
      </c>
      <c r="J109" s="349">
        <f t="shared" si="15"/>
        <v>140</v>
      </c>
      <c r="K109" s="159">
        <v>1</v>
      </c>
      <c r="L109" s="13">
        <f t="shared" si="16"/>
        <v>140</v>
      </c>
      <c r="N109" s="16"/>
      <c r="O109" s="349">
        <v>0</v>
      </c>
      <c r="P109" s="349">
        <v>0</v>
      </c>
      <c r="Q109" s="349">
        <v>0</v>
      </c>
      <c r="R109" s="349">
        <f t="shared" si="12"/>
        <v>0</v>
      </c>
      <c r="S109" s="349">
        <v>0</v>
      </c>
      <c r="T109" s="349">
        <v>0</v>
      </c>
      <c r="U109" s="349">
        <f t="shared" si="13"/>
        <v>0</v>
      </c>
      <c r="V109" s="349">
        <v>0</v>
      </c>
      <c r="W109" s="349">
        <v>140</v>
      </c>
      <c r="X109" s="249">
        <f t="shared" si="17"/>
        <v>140</v>
      </c>
      <c r="Y109" s="8" t="b">
        <f t="shared" si="18"/>
        <v>1</v>
      </c>
    </row>
    <row r="110" spans="1:25" ht="12.75">
      <c r="A110" s="16">
        <v>96</v>
      </c>
      <c r="B110" t="s">
        <v>290</v>
      </c>
      <c r="C110" t="s">
        <v>768</v>
      </c>
      <c r="E110" s="349">
        <v>350</v>
      </c>
      <c r="F110" s="349">
        <v>0</v>
      </c>
      <c r="G110" s="349">
        <v>0</v>
      </c>
      <c r="H110" s="349">
        <f t="shared" si="14"/>
        <v>350</v>
      </c>
      <c r="I110" s="349">
        <v>0</v>
      </c>
      <c r="J110" s="349">
        <f t="shared" si="15"/>
        <v>350</v>
      </c>
      <c r="K110" s="159">
        <v>1</v>
      </c>
      <c r="L110" s="13">
        <f t="shared" si="16"/>
        <v>350</v>
      </c>
      <c r="N110" s="16"/>
      <c r="O110" s="349">
        <v>0</v>
      </c>
      <c r="P110" s="349">
        <v>0</v>
      </c>
      <c r="Q110" s="349">
        <v>0</v>
      </c>
      <c r="R110" s="349">
        <f t="shared" si="12"/>
        <v>0</v>
      </c>
      <c r="S110" s="349">
        <v>0</v>
      </c>
      <c r="T110" s="349">
        <v>0</v>
      </c>
      <c r="U110" s="349">
        <f t="shared" si="13"/>
        <v>0</v>
      </c>
      <c r="V110" s="349">
        <v>0</v>
      </c>
      <c r="W110" s="349">
        <v>350</v>
      </c>
      <c r="X110" s="249">
        <f t="shared" si="17"/>
        <v>350</v>
      </c>
      <c r="Y110" s="8" t="b">
        <f t="shared" si="18"/>
        <v>1</v>
      </c>
    </row>
    <row r="111" spans="1:25" ht="12.75">
      <c r="A111" s="16">
        <v>97</v>
      </c>
      <c r="B111" t="s">
        <v>290</v>
      </c>
      <c r="C111" t="s">
        <v>883</v>
      </c>
      <c r="E111" s="349">
        <v>3000</v>
      </c>
      <c r="F111" s="349">
        <v>0</v>
      </c>
      <c r="G111" s="349">
        <v>0</v>
      </c>
      <c r="H111" s="349">
        <f t="shared" si="14"/>
        <v>3000</v>
      </c>
      <c r="I111" s="349">
        <v>0</v>
      </c>
      <c r="J111" s="349">
        <f t="shared" si="15"/>
        <v>3000</v>
      </c>
      <c r="K111" s="159">
        <v>1</v>
      </c>
      <c r="L111" s="13">
        <f t="shared" si="16"/>
        <v>3000</v>
      </c>
      <c r="N111" s="16"/>
      <c r="O111" s="349">
        <v>0</v>
      </c>
      <c r="P111" s="349">
        <v>0</v>
      </c>
      <c r="Q111" s="349">
        <v>0</v>
      </c>
      <c r="R111" s="349">
        <f t="shared" si="12"/>
        <v>0</v>
      </c>
      <c r="S111" s="349">
        <v>0</v>
      </c>
      <c r="T111" s="349">
        <v>0</v>
      </c>
      <c r="U111" s="349">
        <f t="shared" si="13"/>
        <v>0</v>
      </c>
      <c r="V111" s="349">
        <v>0</v>
      </c>
      <c r="W111" s="349">
        <v>3000</v>
      </c>
      <c r="X111" s="249">
        <f t="shared" si="17"/>
        <v>3000</v>
      </c>
      <c r="Y111" s="8" t="b">
        <f t="shared" si="18"/>
        <v>1</v>
      </c>
    </row>
    <row r="112" spans="1:25" ht="12.75">
      <c r="A112" s="16">
        <v>98</v>
      </c>
      <c r="B112" t="s">
        <v>290</v>
      </c>
      <c r="C112" t="s">
        <v>502</v>
      </c>
      <c r="E112" s="349">
        <v>350</v>
      </c>
      <c r="F112" s="349">
        <v>0</v>
      </c>
      <c r="G112" s="349">
        <v>0</v>
      </c>
      <c r="H112" s="349">
        <f t="shared" si="14"/>
        <v>350</v>
      </c>
      <c r="I112" s="349">
        <v>0</v>
      </c>
      <c r="J112" s="349">
        <f t="shared" si="15"/>
        <v>350</v>
      </c>
      <c r="K112" s="159">
        <v>1</v>
      </c>
      <c r="L112" s="13">
        <f t="shared" si="16"/>
        <v>350</v>
      </c>
      <c r="N112" s="16"/>
      <c r="O112" s="349">
        <v>0</v>
      </c>
      <c r="P112" s="349">
        <v>0</v>
      </c>
      <c r="Q112" s="349">
        <v>0</v>
      </c>
      <c r="R112" s="349">
        <f t="shared" si="12"/>
        <v>0</v>
      </c>
      <c r="S112" s="349">
        <v>0</v>
      </c>
      <c r="T112" s="349">
        <v>0</v>
      </c>
      <c r="U112" s="349">
        <f t="shared" si="13"/>
        <v>0</v>
      </c>
      <c r="V112" s="349">
        <v>0</v>
      </c>
      <c r="W112" s="349">
        <v>350</v>
      </c>
      <c r="X112" s="249">
        <f t="shared" si="17"/>
        <v>350</v>
      </c>
      <c r="Y112" s="8" t="b">
        <f t="shared" si="18"/>
        <v>1</v>
      </c>
    </row>
    <row r="113" spans="1:25" ht="12.75">
      <c r="A113" s="16">
        <v>99</v>
      </c>
      <c r="B113" t="s">
        <v>290</v>
      </c>
      <c r="C113" t="s">
        <v>503</v>
      </c>
      <c r="E113" s="349">
        <v>37946</v>
      </c>
      <c r="F113" s="349">
        <v>0</v>
      </c>
      <c r="G113" s="349">
        <v>0</v>
      </c>
      <c r="H113" s="349">
        <f t="shared" si="14"/>
        <v>37946</v>
      </c>
      <c r="I113" s="349">
        <v>0</v>
      </c>
      <c r="J113" s="349">
        <f t="shared" si="15"/>
        <v>37946</v>
      </c>
      <c r="K113" s="159">
        <v>1</v>
      </c>
      <c r="L113" s="13">
        <f t="shared" si="16"/>
        <v>37946</v>
      </c>
      <c r="N113" s="16"/>
      <c r="O113" s="349">
        <v>0</v>
      </c>
      <c r="P113" s="349">
        <v>0</v>
      </c>
      <c r="Q113" s="349">
        <v>0</v>
      </c>
      <c r="R113" s="349">
        <f t="shared" si="12"/>
        <v>0</v>
      </c>
      <c r="S113" s="349">
        <v>0</v>
      </c>
      <c r="T113" s="349">
        <v>0</v>
      </c>
      <c r="U113" s="349">
        <f t="shared" si="13"/>
        <v>0</v>
      </c>
      <c r="V113" s="349">
        <v>0</v>
      </c>
      <c r="W113" s="349">
        <v>37946</v>
      </c>
      <c r="X113" s="249">
        <f t="shared" si="17"/>
        <v>37946</v>
      </c>
      <c r="Y113" s="8" t="b">
        <f t="shared" si="18"/>
        <v>1</v>
      </c>
    </row>
    <row r="114" spans="1:25" ht="12.75">
      <c r="A114" s="16">
        <v>100</v>
      </c>
      <c r="B114" t="s">
        <v>290</v>
      </c>
      <c r="C114" t="s">
        <v>461</v>
      </c>
      <c r="E114" s="349">
        <v>15000</v>
      </c>
      <c r="F114" s="349">
        <v>0</v>
      </c>
      <c r="G114" s="349">
        <v>0</v>
      </c>
      <c r="H114" s="349">
        <f t="shared" si="14"/>
        <v>15000</v>
      </c>
      <c r="I114" s="349">
        <v>0</v>
      </c>
      <c r="J114" s="349">
        <f t="shared" si="15"/>
        <v>15000</v>
      </c>
      <c r="K114" s="159">
        <v>1</v>
      </c>
      <c r="L114" s="13">
        <f t="shared" si="16"/>
        <v>15000</v>
      </c>
      <c r="N114" s="16"/>
      <c r="O114" s="349">
        <v>0</v>
      </c>
      <c r="P114" s="349">
        <v>0</v>
      </c>
      <c r="Q114" s="349">
        <v>0</v>
      </c>
      <c r="R114" s="349">
        <f t="shared" si="12"/>
        <v>0</v>
      </c>
      <c r="S114" s="349">
        <v>0</v>
      </c>
      <c r="T114" s="349">
        <v>0</v>
      </c>
      <c r="U114" s="349">
        <f t="shared" si="13"/>
        <v>0</v>
      </c>
      <c r="V114" s="349">
        <v>0</v>
      </c>
      <c r="W114" s="349">
        <v>15000</v>
      </c>
      <c r="X114" s="249">
        <f t="shared" si="17"/>
        <v>15000</v>
      </c>
      <c r="Y114" s="8" t="b">
        <f t="shared" si="18"/>
        <v>1</v>
      </c>
    </row>
    <row r="115" spans="1:25" ht="12.75">
      <c r="A115" s="16">
        <v>101</v>
      </c>
      <c r="B115" t="s">
        <v>290</v>
      </c>
      <c r="C115" t="s">
        <v>790</v>
      </c>
      <c r="E115" s="349">
        <v>15025</v>
      </c>
      <c r="F115" s="349">
        <v>0</v>
      </c>
      <c r="G115" s="349">
        <v>0</v>
      </c>
      <c r="H115" s="349">
        <f t="shared" si="14"/>
        <v>15025</v>
      </c>
      <c r="I115" s="349">
        <v>0</v>
      </c>
      <c r="J115" s="349">
        <f t="shared" si="15"/>
        <v>15025</v>
      </c>
      <c r="K115" s="159">
        <v>1</v>
      </c>
      <c r="L115" s="13">
        <f t="shared" si="16"/>
        <v>15025</v>
      </c>
      <c r="N115" s="16"/>
      <c r="O115" s="349">
        <v>0</v>
      </c>
      <c r="P115" s="349">
        <v>0</v>
      </c>
      <c r="Q115" s="349">
        <v>0</v>
      </c>
      <c r="R115" s="349">
        <f t="shared" si="12"/>
        <v>0</v>
      </c>
      <c r="S115" s="349">
        <v>0</v>
      </c>
      <c r="T115" s="349">
        <v>0</v>
      </c>
      <c r="U115" s="349">
        <f t="shared" si="13"/>
        <v>0</v>
      </c>
      <c r="V115" s="349">
        <v>0</v>
      </c>
      <c r="W115" s="349">
        <v>15025</v>
      </c>
      <c r="X115" s="249">
        <f t="shared" si="17"/>
        <v>15025</v>
      </c>
      <c r="Y115" s="8" t="b">
        <f t="shared" si="18"/>
        <v>1</v>
      </c>
    </row>
    <row r="116" spans="1:25" ht="12.75">
      <c r="A116" s="16">
        <v>102</v>
      </c>
      <c r="B116" t="s">
        <v>290</v>
      </c>
      <c r="C116" t="s">
        <v>884</v>
      </c>
      <c r="E116" s="349">
        <v>100</v>
      </c>
      <c r="F116" s="349">
        <v>0</v>
      </c>
      <c r="G116" s="349">
        <v>0</v>
      </c>
      <c r="H116" s="349">
        <f t="shared" si="14"/>
        <v>100</v>
      </c>
      <c r="I116" s="349">
        <v>0</v>
      </c>
      <c r="J116" s="349">
        <f t="shared" si="15"/>
        <v>100</v>
      </c>
      <c r="K116" s="159">
        <v>1</v>
      </c>
      <c r="L116" s="13">
        <f t="shared" si="16"/>
        <v>100</v>
      </c>
      <c r="N116" s="16"/>
      <c r="O116" s="349">
        <v>0</v>
      </c>
      <c r="P116" s="349">
        <v>0</v>
      </c>
      <c r="Q116" s="349">
        <v>0</v>
      </c>
      <c r="R116" s="349">
        <f t="shared" si="12"/>
        <v>0</v>
      </c>
      <c r="S116" s="349">
        <v>0</v>
      </c>
      <c r="T116" s="349">
        <v>0</v>
      </c>
      <c r="U116" s="349">
        <f t="shared" si="13"/>
        <v>0</v>
      </c>
      <c r="V116" s="349">
        <v>0</v>
      </c>
      <c r="W116" s="349">
        <v>100</v>
      </c>
      <c r="X116" s="249">
        <f t="shared" si="17"/>
        <v>100</v>
      </c>
      <c r="Y116" s="8" t="b">
        <f t="shared" si="18"/>
        <v>1</v>
      </c>
    </row>
    <row r="117" spans="1:25" ht="12.75">
      <c r="A117" s="16">
        <v>103</v>
      </c>
      <c r="B117" t="s">
        <v>290</v>
      </c>
      <c r="C117" t="s">
        <v>885</v>
      </c>
      <c r="E117" s="349">
        <v>5550</v>
      </c>
      <c r="F117" s="349">
        <v>0</v>
      </c>
      <c r="G117" s="349">
        <v>0</v>
      </c>
      <c r="H117" s="349">
        <f>+E117+F117+G117</f>
        <v>5550</v>
      </c>
      <c r="I117" s="349">
        <v>0</v>
      </c>
      <c r="J117" s="349">
        <f>+H117+I117</f>
        <v>5550</v>
      </c>
      <c r="K117" s="159">
        <v>1</v>
      </c>
      <c r="L117" s="13">
        <f>+J117*K117</f>
        <v>5550</v>
      </c>
      <c r="N117" s="16"/>
      <c r="O117" s="349">
        <v>0</v>
      </c>
      <c r="P117" s="349">
        <v>0</v>
      </c>
      <c r="Q117" s="349">
        <v>0</v>
      </c>
      <c r="R117" s="349">
        <f t="shared" si="12"/>
        <v>0</v>
      </c>
      <c r="S117" s="349">
        <v>0</v>
      </c>
      <c r="T117" s="349">
        <v>0</v>
      </c>
      <c r="U117" s="349">
        <f t="shared" si="13"/>
        <v>0</v>
      </c>
      <c r="V117" s="349">
        <v>0</v>
      </c>
      <c r="W117" s="349">
        <v>5550</v>
      </c>
      <c r="X117" s="249">
        <f t="shared" si="6"/>
        <v>5550</v>
      </c>
      <c r="Y117" s="8" t="b">
        <f t="shared" si="1"/>
        <v>1</v>
      </c>
    </row>
    <row r="118" spans="1:25" ht="12.75">
      <c r="A118" s="16">
        <v>104</v>
      </c>
      <c r="B118" t="s">
        <v>290</v>
      </c>
      <c r="C118" t="s">
        <v>462</v>
      </c>
      <c r="E118" s="349">
        <v>1680</v>
      </c>
      <c r="F118" s="349">
        <v>0</v>
      </c>
      <c r="G118" s="349">
        <v>0</v>
      </c>
      <c r="H118" s="349">
        <f t="shared" si="2"/>
        <v>1680</v>
      </c>
      <c r="I118" s="349">
        <v>0</v>
      </c>
      <c r="J118" s="349">
        <f t="shared" si="3"/>
        <v>1680</v>
      </c>
      <c r="K118" s="159">
        <v>1</v>
      </c>
      <c r="L118" s="13">
        <f t="shared" si="0"/>
        <v>1680</v>
      </c>
      <c r="N118" s="16"/>
      <c r="O118" s="349">
        <v>0</v>
      </c>
      <c r="P118" s="349">
        <v>0</v>
      </c>
      <c r="Q118" s="349">
        <v>0</v>
      </c>
      <c r="R118" s="349">
        <f t="shared" si="12"/>
        <v>0</v>
      </c>
      <c r="S118" s="349">
        <v>0</v>
      </c>
      <c r="T118" s="349">
        <v>0</v>
      </c>
      <c r="U118" s="349">
        <f t="shared" si="13"/>
        <v>0</v>
      </c>
      <c r="V118" s="349">
        <v>0</v>
      </c>
      <c r="W118" s="349">
        <v>1680</v>
      </c>
      <c r="X118" s="249">
        <f t="shared" si="6"/>
        <v>1680</v>
      </c>
      <c r="Y118" s="8" t="b">
        <f t="shared" si="1"/>
        <v>1</v>
      </c>
    </row>
    <row r="119" spans="1:25" ht="12.75">
      <c r="A119" s="16">
        <v>105</v>
      </c>
      <c r="B119" t="s">
        <v>290</v>
      </c>
      <c r="C119" t="s">
        <v>886</v>
      </c>
      <c r="E119" s="349">
        <v>3300</v>
      </c>
      <c r="F119" s="349">
        <v>0</v>
      </c>
      <c r="G119" s="349">
        <v>0</v>
      </c>
      <c r="H119" s="349">
        <f t="shared" si="2"/>
        <v>3300</v>
      </c>
      <c r="I119" s="349">
        <v>0</v>
      </c>
      <c r="J119" s="349">
        <f t="shared" si="3"/>
        <v>3300</v>
      </c>
      <c r="K119" s="159">
        <v>1</v>
      </c>
      <c r="L119" s="13">
        <f t="shared" si="0"/>
        <v>3300</v>
      </c>
      <c r="N119" s="16"/>
      <c r="O119" s="349">
        <v>0</v>
      </c>
      <c r="P119" s="349">
        <v>0</v>
      </c>
      <c r="Q119" s="349">
        <v>0</v>
      </c>
      <c r="R119" s="349">
        <f t="shared" si="12"/>
        <v>0</v>
      </c>
      <c r="S119" s="349">
        <v>0</v>
      </c>
      <c r="T119" s="349">
        <v>0</v>
      </c>
      <c r="U119" s="349">
        <f t="shared" si="13"/>
        <v>0</v>
      </c>
      <c r="V119" s="349">
        <v>0</v>
      </c>
      <c r="W119" s="349">
        <v>3300</v>
      </c>
      <c r="X119" s="249">
        <f t="shared" si="6"/>
        <v>3300</v>
      </c>
      <c r="Y119" s="8" t="b">
        <f t="shared" si="1"/>
        <v>1</v>
      </c>
    </row>
    <row r="120" spans="1:25" ht="12.75">
      <c r="A120" s="16">
        <v>106</v>
      </c>
      <c r="B120" t="s">
        <v>290</v>
      </c>
      <c r="C120" t="s">
        <v>504</v>
      </c>
      <c r="E120" s="349">
        <v>1572.1900000000001</v>
      </c>
      <c r="F120" s="349">
        <v>0</v>
      </c>
      <c r="G120" s="349">
        <v>0</v>
      </c>
      <c r="H120" s="349">
        <f t="shared" si="2"/>
        <v>1572.1900000000001</v>
      </c>
      <c r="I120" s="349">
        <v>0</v>
      </c>
      <c r="J120" s="349">
        <f t="shared" si="3"/>
        <v>1572.1900000000001</v>
      </c>
      <c r="K120" s="159">
        <v>1</v>
      </c>
      <c r="L120" s="13">
        <f t="shared" si="19" ref="L120:L141">+J120*K120</f>
        <v>1572.1900000000001</v>
      </c>
      <c r="M120" s="18"/>
      <c r="N120" s="16"/>
      <c r="O120" s="349">
        <v>0</v>
      </c>
      <c r="P120" s="349">
        <v>0</v>
      </c>
      <c r="Q120" s="349">
        <v>0</v>
      </c>
      <c r="R120" s="349">
        <f t="shared" si="12"/>
        <v>0</v>
      </c>
      <c r="S120" s="349">
        <v>0</v>
      </c>
      <c r="T120" s="349">
        <v>0</v>
      </c>
      <c r="U120" s="349">
        <f t="shared" si="13"/>
        <v>0</v>
      </c>
      <c r="V120" s="349">
        <v>0</v>
      </c>
      <c r="W120" s="349">
        <v>1572.1900000000001</v>
      </c>
      <c r="X120" s="249">
        <f t="shared" si="6"/>
        <v>1572.1900000000001</v>
      </c>
      <c r="Y120" s="8" t="b">
        <f t="shared" si="1"/>
        <v>1</v>
      </c>
    </row>
    <row r="121" spans="1:25" ht="12.75">
      <c r="A121" s="16">
        <v>107</v>
      </c>
      <c r="B121" t="s">
        <v>290</v>
      </c>
      <c r="C121" t="s">
        <v>887</v>
      </c>
      <c r="E121" s="349">
        <v>5000</v>
      </c>
      <c r="F121" s="349">
        <v>0</v>
      </c>
      <c r="G121" s="349">
        <v>0</v>
      </c>
      <c r="H121" s="349">
        <f t="shared" si="2"/>
        <v>5000</v>
      </c>
      <c r="I121" s="349">
        <v>0</v>
      </c>
      <c r="J121" s="349">
        <f t="shared" si="3"/>
        <v>5000</v>
      </c>
      <c r="K121" s="159">
        <v>1</v>
      </c>
      <c r="L121" s="13">
        <f t="shared" si="19"/>
        <v>5000</v>
      </c>
      <c r="M121" s="18"/>
      <c r="N121" s="16"/>
      <c r="O121" s="349">
        <v>0</v>
      </c>
      <c r="P121" s="349">
        <v>0</v>
      </c>
      <c r="Q121" s="349">
        <v>0</v>
      </c>
      <c r="R121" s="349">
        <f t="shared" si="12"/>
        <v>0</v>
      </c>
      <c r="S121" s="349">
        <v>0</v>
      </c>
      <c r="T121" s="349">
        <v>0</v>
      </c>
      <c r="U121" s="349">
        <f t="shared" si="13"/>
        <v>0</v>
      </c>
      <c r="V121" s="349">
        <v>0</v>
      </c>
      <c r="W121" s="349">
        <v>5000</v>
      </c>
      <c r="X121" s="249">
        <f t="shared" si="6"/>
        <v>5000</v>
      </c>
      <c r="Y121" s="8" t="b">
        <f t="shared" si="1"/>
        <v>1</v>
      </c>
    </row>
    <row r="122" spans="1:25" ht="12.75">
      <c r="A122" s="16">
        <v>108</v>
      </c>
      <c r="B122" t="s">
        <v>290</v>
      </c>
      <c r="C122" t="s">
        <v>505</v>
      </c>
      <c r="E122" s="349">
        <v>500</v>
      </c>
      <c r="F122" s="349">
        <v>0</v>
      </c>
      <c r="G122" s="349">
        <v>0</v>
      </c>
      <c r="H122" s="349">
        <f t="shared" si="2"/>
        <v>500</v>
      </c>
      <c r="I122" s="349">
        <v>0</v>
      </c>
      <c r="J122" s="349">
        <f t="shared" si="3"/>
        <v>500</v>
      </c>
      <c r="K122" s="159">
        <v>1</v>
      </c>
      <c r="L122" s="13">
        <f t="shared" si="19"/>
        <v>500</v>
      </c>
      <c r="M122" s="18"/>
      <c r="N122" s="16"/>
      <c r="O122" s="349">
        <v>0</v>
      </c>
      <c r="P122" s="349">
        <v>0</v>
      </c>
      <c r="Q122" s="349">
        <v>0</v>
      </c>
      <c r="R122" s="349">
        <f t="shared" si="12"/>
        <v>0</v>
      </c>
      <c r="S122" s="349">
        <v>0</v>
      </c>
      <c r="T122" s="349">
        <v>0</v>
      </c>
      <c r="U122" s="349">
        <f t="shared" si="13"/>
        <v>0</v>
      </c>
      <c r="V122" s="349">
        <v>0</v>
      </c>
      <c r="W122" s="349">
        <v>500</v>
      </c>
      <c r="X122" s="249">
        <f t="shared" si="6"/>
        <v>500</v>
      </c>
      <c r="Y122" s="8" t="b">
        <f t="shared" si="1"/>
        <v>1</v>
      </c>
    </row>
    <row r="123" spans="1:25" ht="12.75">
      <c r="A123" s="16">
        <v>109</v>
      </c>
      <c r="B123" t="s">
        <v>290</v>
      </c>
      <c r="C123" t="s">
        <v>888</v>
      </c>
      <c r="E123" s="349">
        <v>17000</v>
      </c>
      <c r="F123" s="349">
        <v>0</v>
      </c>
      <c r="G123" s="349">
        <v>0</v>
      </c>
      <c r="H123" s="349">
        <f t="shared" si="2"/>
        <v>17000</v>
      </c>
      <c r="I123" s="349">
        <v>0</v>
      </c>
      <c r="J123" s="349">
        <f t="shared" si="3"/>
        <v>17000</v>
      </c>
      <c r="K123" s="159">
        <v>1</v>
      </c>
      <c r="L123" s="13">
        <f t="shared" si="19"/>
        <v>17000</v>
      </c>
      <c r="M123" s="18"/>
      <c r="N123" s="16"/>
      <c r="O123" s="349">
        <v>0</v>
      </c>
      <c r="P123" s="349">
        <v>0</v>
      </c>
      <c r="Q123" s="349">
        <v>0</v>
      </c>
      <c r="R123" s="349">
        <f t="shared" si="12"/>
        <v>0</v>
      </c>
      <c r="S123" s="349">
        <v>0</v>
      </c>
      <c r="T123" s="349">
        <v>0</v>
      </c>
      <c r="U123" s="349">
        <f t="shared" si="13"/>
        <v>0</v>
      </c>
      <c r="V123" s="349">
        <v>0</v>
      </c>
      <c r="W123" s="349">
        <v>17000</v>
      </c>
      <c r="X123" s="249">
        <f t="shared" si="6"/>
        <v>17000</v>
      </c>
      <c r="Y123" s="8" t="b">
        <f t="shared" si="1"/>
        <v>1</v>
      </c>
    </row>
    <row r="124" spans="1:25" ht="12.75">
      <c r="A124" s="16">
        <v>110</v>
      </c>
      <c r="B124" t="s">
        <v>290</v>
      </c>
      <c r="C124" t="s">
        <v>463</v>
      </c>
      <c r="E124" s="349">
        <v>4500</v>
      </c>
      <c r="F124" s="349">
        <v>0</v>
      </c>
      <c r="G124" s="349">
        <v>0</v>
      </c>
      <c r="H124" s="349">
        <f t="shared" si="2"/>
        <v>4500</v>
      </c>
      <c r="I124" s="349">
        <v>0</v>
      </c>
      <c r="J124" s="349">
        <f t="shared" si="3"/>
        <v>4500</v>
      </c>
      <c r="K124" s="159">
        <v>1</v>
      </c>
      <c r="L124" s="13">
        <f t="shared" si="19"/>
        <v>4500</v>
      </c>
      <c r="M124" s="18"/>
      <c r="N124" s="16"/>
      <c r="O124" s="349">
        <v>0</v>
      </c>
      <c r="P124" s="349">
        <v>0</v>
      </c>
      <c r="Q124" s="349">
        <v>0</v>
      </c>
      <c r="R124" s="349">
        <f t="shared" si="12"/>
        <v>0</v>
      </c>
      <c r="S124" s="349">
        <v>0</v>
      </c>
      <c r="T124" s="349">
        <v>0</v>
      </c>
      <c r="U124" s="349">
        <f t="shared" si="13"/>
        <v>0</v>
      </c>
      <c r="V124" s="349">
        <v>0</v>
      </c>
      <c r="W124" s="349">
        <v>4500</v>
      </c>
      <c r="X124" s="249">
        <f t="shared" si="6"/>
        <v>4500</v>
      </c>
      <c r="Y124" s="8" t="b">
        <f t="shared" si="1"/>
        <v>1</v>
      </c>
    </row>
    <row r="125" spans="1:25" ht="12.75">
      <c r="A125" s="16">
        <v>111</v>
      </c>
      <c r="B125" t="s">
        <v>290</v>
      </c>
      <c r="C125" t="s">
        <v>506</v>
      </c>
      <c r="E125" s="349">
        <v>400</v>
      </c>
      <c r="F125" s="349">
        <v>0</v>
      </c>
      <c r="G125" s="349">
        <v>0</v>
      </c>
      <c r="H125" s="349">
        <f t="shared" si="2"/>
        <v>400</v>
      </c>
      <c r="I125" s="349">
        <v>0</v>
      </c>
      <c r="J125" s="349">
        <f t="shared" si="3"/>
        <v>400</v>
      </c>
      <c r="K125" s="159">
        <v>1</v>
      </c>
      <c r="L125" s="13">
        <f t="shared" si="19"/>
        <v>400</v>
      </c>
      <c r="M125" s="18"/>
      <c r="N125" s="16"/>
      <c r="O125" s="349">
        <v>0</v>
      </c>
      <c r="P125" s="349">
        <v>0</v>
      </c>
      <c r="Q125" s="349">
        <v>0</v>
      </c>
      <c r="R125" s="349">
        <f t="shared" si="12"/>
        <v>0</v>
      </c>
      <c r="S125" s="349">
        <v>0</v>
      </c>
      <c r="T125" s="349">
        <v>0</v>
      </c>
      <c r="U125" s="349">
        <f t="shared" si="13"/>
        <v>0</v>
      </c>
      <c r="V125" s="349">
        <v>0</v>
      </c>
      <c r="W125" s="349">
        <v>400</v>
      </c>
      <c r="X125" s="249">
        <f t="shared" si="6"/>
        <v>400</v>
      </c>
      <c r="Y125" s="8" t="b">
        <f t="shared" si="1"/>
        <v>1</v>
      </c>
    </row>
    <row r="126" spans="1:25" ht="12.75">
      <c r="A126" s="16">
        <v>112</v>
      </c>
      <c r="B126" t="s">
        <v>290</v>
      </c>
      <c r="C126" t="s">
        <v>889</v>
      </c>
      <c r="E126" s="349">
        <v>1000</v>
      </c>
      <c r="F126" s="349">
        <v>0</v>
      </c>
      <c r="G126" s="349">
        <v>0</v>
      </c>
      <c r="H126" s="349">
        <f t="shared" si="2"/>
        <v>1000</v>
      </c>
      <c r="I126" s="349">
        <v>0</v>
      </c>
      <c r="J126" s="349">
        <f t="shared" si="3"/>
        <v>1000</v>
      </c>
      <c r="K126" s="159">
        <v>1</v>
      </c>
      <c r="L126" s="13">
        <f t="shared" si="19"/>
        <v>1000</v>
      </c>
      <c r="M126" s="18"/>
      <c r="N126" s="16"/>
      <c r="O126" s="349">
        <v>0</v>
      </c>
      <c r="P126" s="349">
        <v>0</v>
      </c>
      <c r="Q126" s="349">
        <v>0</v>
      </c>
      <c r="R126" s="349">
        <f t="shared" si="12"/>
        <v>0</v>
      </c>
      <c r="S126" s="349">
        <v>0</v>
      </c>
      <c r="T126" s="349">
        <v>0</v>
      </c>
      <c r="U126" s="349">
        <f t="shared" si="13"/>
        <v>0</v>
      </c>
      <c r="V126" s="349">
        <v>0</v>
      </c>
      <c r="W126" s="349">
        <v>1000</v>
      </c>
      <c r="X126" s="249">
        <f t="shared" si="6"/>
        <v>1000</v>
      </c>
      <c r="Y126" s="8" t="b">
        <f t="shared" si="1"/>
        <v>1</v>
      </c>
    </row>
    <row r="127" spans="1:25" ht="12.75">
      <c r="A127" s="16">
        <v>113</v>
      </c>
      <c r="B127" t="s">
        <v>290</v>
      </c>
      <c r="C127" t="s">
        <v>890</v>
      </c>
      <c r="E127" s="349">
        <v>7500</v>
      </c>
      <c r="F127" s="349">
        <v>0</v>
      </c>
      <c r="G127" s="349">
        <v>0</v>
      </c>
      <c r="H127" s="349">
        <f t="shared" si="2"/>
        <v>7500</v>
      </c>
      <c r="I127" s="349">
        <v>0</v>
      </c>
      <c r="J127" s="349">
        <f t="shared" si="3"/>
        <v>7500</v>
      </c>
      <c r="K127" s="159">
        <v>1</v>
      </c>
      <c r="L127" s="13">
        <f t="shared" si="19"/>
        <v>7500</v>
      </c>
      <c r="M127" s="18"/>
      <c r="N127" s="16"/>
      <c r="O127" s="349">
        <v>0</v>
      </c>
      <c r="P127" s="349">
        <v>0</v>
      </c>
      <c r="Q127" s="349">
        <v>0</v>
      </c>
      <c r="R127" s="349">
        <f t="shared" si="12"/>
        <v>0</v>
      </c>
      <c r="S127" s="349">
        <v>0</v>
      </c>
      <c r="T127" s="349">
        <v>0</v>
      </c>
      <c r="U127" s="349">
        <f t="shared" si="13"/>
        <v>0</v>
      </c>
      <c r="V127" s="349">
        <v>0</v>
      </c>
      <c r="W127" s="349">
        <v>7500</v>
      </c>
      <c r="X127" s="249">
        <f t="shared" si="6"/>
        <v>7500</v>
      </c>
      <c r="Y127" s="8" t="b">
        <f t="shared" si="1"/>
        <v>1</v>
      </c>
    </row>
    <row r="128" spans="1:25" ht="12.75">
      <c r="A128" s="16">
        <v>114</v>
      </c>
      <c r="B128" t="s">
        <v>290</v>
      </c>
      <c r="C128" t="s">
        <v>507</v>
      </c>
      <c r="E128" s="349">
        <v>25000</v>
      </c>
      <c r="F128" s="349">
        <v>0</v>
      </c>
      <c r="G128" s="349">
        <v>0</v>
      </c>
      <c r="H128" s="349">
        <f t="shared" si="2"/>
        <v>25000</v>
      </c>
      <c r="I128" s="349">
        <v>0</v>
      </c>
      <c r="J128" s="349">
        <f t="shared" si="3"/>
        <v>25000</v>
      </c>
      <c r="K128" s="159">
        <v>1</v>
      </c>
      <c r="L128" s="13">
        <f t="shared" si="19"/>
        <v>25000</v>
      </c>
      <c r="M128" s="18"/>
      <c r="N128" s="16"/>
      <c r="O128" s="349">
        <v>0</v>
      </c>
      <c r="P128" s="349">
        <v>0</v>
      </c>
      <c r="Q128" s="349">
        <v>0</v>
      </c>
      <c r="R128" s="349">
        <f t="shared" si="12"/>
        <v>0</v>
      </c>
      <c r="S128" s="349">
        <v>0</v>
      </c>
      <c r="T128" s="349">
        <v>0</v>
      </c>
      <c r="U128" s="349">
        <f t="shared" si="13"/>
        <v>0</v>
      </c>
      <c r="V128" s="349">
        <v>0</v>
      </c>
      <c r="W128" s="349">
        <v>25000</v>
      </c>
      <c r="X128" s="249">
        <f t="shared" si="6"/>
        <v>25000</v>
      </c>
      <c r="Y128" s="8" t="b">
        <f t="shared" si="1"/>
        <v>1</v>
      </c>
    </row>
    <row r="129" spans="1:25" ht="12.75">
      <c r="A129" s="16">
        <v>115</v>
      </c>
      <c r="B129" t="s">
        <v>290</v>
      </c>
      <c r="C129" t="s">
        <v>891</v>
      </c>
      <c r="E129" s="349">
        <v>8000</v>
      </c>
      <c r="F129" s="349">
        <v>0</v>
      </c>
      <c r="G129" s="349">
        <v>0</v>
      </c>
      <c r="H129" s="349">
        <f t="shared" si="2"/>
        <v>8000</v>
      </c>
      <c r="I129" s="349">
        <v>0</v>
      </c>
      <c r="J129" s="349">
        <f t="shared" si="3"/>
        <v>8000</v>
      </c>
      <c r="K129" s="159">
        <v>1</v>
      </c>
      <c r="L129" s="13">
        <f t="shared" si="19"/>
        <v>8000</v>
      </c>
      <c r="M129" s="18"/>
      <c r="N129" s="16"/>
      <c r="O129" s="349">
        <v>0</v>
      </c>
      <c r="P129" s="349">
        <v>0</v>
      </c>
      <c r="Q129" s="349">
        <v>0</v>
      </c>
      <c r="R129" s="349">
        <f t="shared" si="12"/>
        <v>0</v>
      </c>
      <c r="S129" s="349">
        <v>0</v>
      </c>
      <c r="T129" s="349">
        <v>0</v>
      </c>
      <c r="U129" s="349">
        <f t="shared" si="13"/>
        <v>0</v>
      </c>
      <c r="V129" s="349">
        <v>0</v>
      </c>
      <c r="W129" s="349">
        <v>8000</v>
      </c>
      <c r="X129" s="249">
        <f t="shared" si="6"/>
        <v>8000</v>
      </c>
      <c r="Y129" s="8" t="b">
        <f t="shared" si="1"/>
        <v>1</v>
      </c>
    </row>
    <row r="130" spans="1:25" ht="12.75">
      <c r="A130" s="16">
        <v>116</v>
      </c>
      <c r="B130" t="s">
        <v>290</v>
      </c>
      <c r="C130" t="s">
        <v>508</v>
      </c>
      <c r="E130" s="349">
        <v>424</v>
      </c>
      <c r="F130" s="349">
        <v>0</v>
      </c>
      <c r="G130" s="349">
        <v>0</v>
      </c>
      <c r="H130" s="349">
        <f t="shared" si="2"/>
        <v>424</v>
      </c>
      <c r="I130" s="349">
        <v>0</v>
      </c>
      <c r="J130" s="349">
        <f t="shared" si="3"/>
        <v>424</v>
      </c>
      <c r="K130" s="159">
        <v>1</v>
      </c>
      <c r="L130" s="13">
        <f t="shared" si="19"/>
        <v>424</v>
      </c>
      <c r="M130" s="18"/>
      <c r="N130" s="16"/>
      <c r="O130" s="349">
        <v>0</v>
      </c>
      <c r="P130" s="349">
        <v>0</v>
      </c>
      <c r="Q130" s="349">
        <v>0</v>
      </c>
      <c r="R130" s="349">
        <f t="shared" si="12"/>
        <v>0</v>
      </c>
      <c r="S130" s="349">
        <v>0</v>
      </c>
      <c r="T130" s="349">
        <v>0</v>
      </c>
      <c r="U130" s="349">
        <f t="shared" si="13"/>
        <v>0</v>
      </c>
      <c r="V130" s="349">
        <v>0</v>
      </c>
      <c r="W130" s="349">
        <v>424</v>
      </c>
      <c r="X130" s="249">
        <f t="shared" si="6"/>
        <v>424</v>
      </c>
      <c r="Y130" s="8" t="b">
        <f t="shared" si="1"/>
        <v>1</v>
      </c>
    </row>
    <row r="131" spans="1:25" ht="12.75">
      <c r="A131" s="16">
        <v>117</v>
      </c>
      <c r="B131" t="s">
        <v>290</v>
      </c>
      <c r="C131" t="s">
        <v>769</v>
      </c>
      <c r="E131" s="349">
        <v>100</v>
      </c>
      <c r="F131" s="349">
        <v>0</v>
      </c>
      <c r="G131" s="349">
        <v>0</v>
      </c>
      <c r="H131" s="349">
        <f t="shared" si="2"/>
        <v>100</v>
      </c>
      <c r="I131" s="349">
        <v>0</v>
      </c>
      <c r="J131" s="349">
        <f t="shared" si="3"/>
        <v>100</v>
      </c>
      <c r="K131" s="159">
        <v>1</v>
      </c>
      <c r="L131" s="13">
        <f t="shared" si="19"/>
        <v>100</v>
      </c>
      <c r="M131" s="18"/>
      <c r="N131" s="16"/>
      <c r="O131" s="349">
        <v>0</v>
      </c>
      <c r="P131" s="349">
        <v>0</v>
      </c>
      <c r="Q131" s="349">
        <v>0</v>
      </c>
      <c r="R131" s="349">
        <f t="shared" si="12"/>
        <v>0</v>
      </c>
      <c r="S131" s="349">
        <v>0</v>
      </c>
      <c r="T131" s="349">
        <v>0</v>
      </c>
      <c r="U131" s="349">
        <f t="shared" si="13"/>
        <v>0</v>
      </c>
      <c r="V131" s="349">
        <v>0</v>
      </c>
      <c r="W131" s="349">
        <v>100</v>
      </c>
      <c r="X131" s="249">
        <f t="shared" si="6"/>
        <v>100</v>
      </c>
      <c r="Y131" s="8" t="b">
        <f t="shared" si="1"/>
        <v>1</v>
      </c>
    </row>
    <row r="132" spans="1:25" ht="12.75">
      <c r="A132" s="16">
        <v>118</v>
      </c>
      <c r="B132" t="s">
        <v>290</v>
      </c>
      <c r="C132" t="s">
        <v>509</v>
      </c>
      <c r="E132" s="349">
        <v>10000</v>
      </c>
      <c r="F132" s="349">
        <v>0</v>
      </c>
      <c r="G132" s="349">
        <v>0</v>
      </c>
      <c r="H132" s="349">
        <f t="shared" si="2"/>
        <v>10000</v>
      </c>
      <c r="I132" s="349">
        <v>0</v>
      </c>
      <c r="J132" s="349">
        <f t="shared" si="3"/>
        <v>10000</v>
      </c>
      <c r="K132" s="159">
        <v>1</v>
      </c>
      <c r="L132" s="13">
        <f t="shared" si="19"/>
        <v>10000</v>
      </c>
      <c r="M132" s="18"/>
      <c r="N132" s="16"/>
      <c r="O132" s="349">
        <v>0</v>
      </c>
      <c r="P132" s="349">
        <v>0</v>
      </c>
      <c r="Q132" s="349">
        <v>0</v>
      </c>
      <c r="R132" s="349">
        <f t="shared" si="12"/>
        <v>0</v>
      </c>
      <c r="S132" s="349">
        <v>0</v>
      </c>
      <c r="T132" s="349">
        <v>0</v>
      </c>
      <c r="U132" s="349">
        <f t="shared" si="13"/>
        <v>0</v>
      </c>
      <c r="V132" s="349">
        <v>0</v>
      </c>
      <c r="W132" s="349">
        <v>10000</v>
      </c>
      <c r="X132" s="249">
        <f t="shared" si="6"/>
        <v>10000</v>
      </c>
      <c r="Y132" s="8" t="b">
        <f t="shared" si="1"/>
        <v>1</v>
      </c>
    </row>
    <row r="133" spans="1:25" ht="12.75">
      <c r="A133" s="16">
        <v>119</v>
      </c>
      <c r="B133" t="s">
        <v>290</v>
      </c>
      <c r="C133" t="s">
        <v>510</v>
      </c>
      <c r="E133" s="349">
        <v>5000</v>
      </c>
      <c r="F133" s="349">
        <v>0</v>
      </c>
      <c r="G133" s="349">
        <v>0</v>
      </c>
      <c r="H133" s="349">
        <f t="shared" si="2"/>
        <v>5000</v>
      </c>
      <c r="I133" s="349">
        <v>0</v>
      </c>
      <c r="J133" s="349">
        <f t="shared" si="3"/>
        <v>5000</v>
      </c>
      <c r="K133" s="159">
        <v>1</v>
      </c>
      <c r="L133" s="13">
        <f t="shared" si="19"/>
        <v>5000</v>
      </c>
      <c r="M133" s="18"/>
      <c r="N133" s="16"/>
      <c r="O133" s="349">
        <v>0</v>
      </c>
      <c r="P133" s="349">
        <v>0</v>
      </c>
      <c r="Q133" s="349">
        <v>0</v>
      </c>
      <c r="R133" s="349">
        <f t="shared" si="12"/>
        <v>0</v>
      </c>
      <c r="S133" s="349">
        <v>0</v>
      </c>
      <c r="T133" s="349">
        <v>0</v>
      </c>
      <c r="U133" s="349">
        <f t="shared" si="13"/>
        <v>0</v>
      </c>
      <c r="V133" s="349">
        <v>0</v>
      </c>
      <c r="W133" s="349">
        <v>5000</v>
      </c>
      <c r="X133" s="249">
        <f t="shared" si="6"/>
        <v>5000</v>
      </c>
      <c r="Y133" s="8" t="b">
        <f t="shared" si="1"/>
        <v>1</v>
      </c>
    </row>
    <row r="134" spans="1:25" ht="12.75">
      <c r="A134" s="16">
        <v>120</v>
      </c>
      <c r="B134" t="s">
        <v>290</v>
      </c>
      <c r="C134" t="s">
        <v>511</v>
      </c>
      <c r="E134" s="349">
        <v>1300</v>
      </c>
      <c r="F134" s="349">
        <v>0</v>
      </c>
      <c r="G134" s="349">
        <v>0</v>
      </c>
      <c r="H134" s="349">
        <f t="shared" si="2"/>
        <v>1300</v>
      </c>
      <c r="I134" s="349">
        <v>0</v>
      </c>
      <c r="J134" s="349">
        <f t="shared" si="3"/>
        <v>1300</v>
      </c>
      <c r="K134" s="159">
        <v>1</v>
      </c>
      <c r="L134" s="13">
        <f t="shared" si="19"/>
        <v>1300</v>
      </c>
      <c r="M134" s="18"/>
      <c r="N134" s="16"/>
      <c r="O134" s="349">
        <v>0</v>
      </c>
      <c r="P134" s="349">
        <v>0</v>
      </c>
      <c r="Q134" s="349">
        <v>0</v>
      </c>
      <c r="R134" s="349">
        <f t="shared" si="12"/>
        <v>0</v>
      </c>
      <c r="S134" s="349">
        <v>0</v>
      </c>
      <c r="T134" s="349">
        <v>0</v>
      </c>
      <c r="U134" s="349">
        <f t="shared" si="13"/>
        <v>0</v>
      </c>
      <c r="V134" s="349">
        <v>0</v>
      </c>
      <c r="W134" s="349">
        <v>1300</v>
      </c>
      <c r="X134" s="249">
        <f t="shared" si="6"/>
        <v>1300</v>
      </c>
      <c r="Y134" s="8" t="b">
        <f t="shared" si="1"/>
        <v>1</v>
      </c>
    </row>
    <row r="135" spans="1:25" ht="12.75">
      <c r="A135" s="16">
        <v>121</v>
      </c>
      <c r="B135" t="s">
        <v>290</v>
      </c>
      <c r="C135" t="s">
        <v>892</v>
      </c>
      <c r="E135" s="349">
        <v>300</v>
      </c>
      <c r="F135" s="349">
        <v>0</v>
      </c>
      <c r="G135" s="349">
        <v>0</v>
      </c>
      <c r="H135" s="349">
        <f t="shared" si="2"/>
        <v>300</v>
      </c>
      <c r="I135" s="349">
        <v>0</v>
      </c>
      <c r="J135" s="349">
        <f t="shared" si="3"/>
        <v>300</v>
      </c>
      <c r="K135" s="159">
        <v>1</v>
      </c>
      <c r="L135" s="13">
        <f t="shared" si="19"/>
        <v>300</v>
      </c>
      <c r="M135" s="18"/>
      <c r="N135" s="16"/>
      <c r="O135" s="349">
        <v>0</v>
      </c>
      <c r="P135" s="349">
        <v>0</v>
      </c>
      <c r="Q135" s="349">
        <v>0</v>
      </c>
      <c r="R135" s="349">
        <f t="shared" si="12"/>
        <v>0</v>
      </c>
      <c r="S135" s="349">
        <v>0</v>
      </c>
      <c r="T135" s="349">
        <v>0</v>
      </c>
      <c r="U135" s="349">
        <f t="shared" si="13"/>
        <v>0</v>
      </c>
      <c r="V135" s="349">
        <v>0</v>
      </c>
      <c r="W135" s="349">
        <v>300</v>
      </c>
      <c r="X135" s="249">
        <f t="shared" si="6"/>
        <v>300</v>
      </c>
      <c r="Y135" s="8" t="b">
        <f t="shared" si="1"/>
        <v>1</v>
      </c>
    </row>
    <row r="136" spans="1:25" ht="12.75">
      <c r="A136" s="16">
        <v>122</v>
      </c>
      <c r="B136" t="s">
        <v>290</v>
      </c>
      <c r="C136" t="s">
        <v>770</v>
      </c>
      <c r="E136" s="349">
        <v>550</v>
      </c>
      <c r="F136" s="349">
        <v>0</v>
      </c>
      <c r="G136" s="349">
        <v>0</v>
      </c>
      <c r="H136" s="349">
        <f t="shared" si="2"/>
        <v>550</v>
      </c>
      <c r="I136" s="349">
        <v>0</v>
      </c>
      <c r="J136" s="349">
        <f t="shared" si="3"/>
        <v>550</v>
      </c>
      <c r="K136" s="159">
        <v>1</v>
      </c>
      <c r="L136" s="13">
        <f t="shared" si="19"/>
        <v>550</v>
      </c>
      <c r="M136" s="18"/>
      <c r="N136" s="16"/>
      <c r="O136" s="349">
        <v>0</v>
      </c>
      <c r="P136" s="349">
        <v>0</v>
      </c>
      <c r="Q136" s="349">
        <v>0</v>
      </c>
      <c r="R136" s="349">
        <f t="shared" si="12"/>
        <v>0</v>
      </c>
      <c r="S136" s="349">
        <v>0</v>
      </c>
      <c r="T136" s="349">
        <v>0</v>
      </c>
      <c r="U136" s="349">
        <f t="shared" si="13"/>
        <v>0</v>
      </c>
      <c r="V136" s="349">
        <v>0</v>
      </c>
      <c r="W136" s="349">
        <v>550</v>
      </c>
      <c r="X136" s="249">
        <f t="shared" si="6"/>
        <v>550</v>
      </c>
      <c r="Y136" s="8" t="b">
        <f t="shared" si="1"/>
        <v>1</v>
      </c>
    </row>
    <row r="137" spans="1:25" ht="12.75">
      <c r="A137" s="16">
        <v>123</v>
      </c>
      <c r="B137" t="s">
        <v>290</v>
      </c>
      <c r="C137" t="s">
        <v>512</v>
      </c>
      <c r="E137" s="349">
        <v>2500</v>
      </c>
      <c r="F137" s="349">
        <v>0</v>
      </c>
      <c r="G137" s="349">
        <v>0</v>
      </c>
      <c r="H137" s="349">
        <f t="shared" si="2"/>
        <v>2500</v>
      </c>
      <c r="I137" s="349">
        <v>0</v>
      </c>
      <c r="J137" s="349">
        <f t="shared" si="3"/>
        <v>2500</v>
      </c>
      <c r="K137" s="159">
        <v>1</v>
      </c>
      <c r="L137" s="13">
        <f t="shared" si="19"/>
        <v>2500</v>
      </c>
      <c r="M137" s="18"/>
      <c r="N137" s="16"/>
      <c r="O137" s="349">
        <v>0</v>
      </c>
      <c r="P137" s="349">
        <v>0</v>
      </c>
      <c r="Q137" s="349">
        <v>0</v>
      </c>
      <c r="R137" s="349">
        <f t="shared" si="12"/>
        <v>0</v>
      </c>
      <c r="S137" s="349">
        <v>0</v>
      </c>
      <c r="T137" s="349">
        <v>0</v>
      </c>
      <c r="U137" s="349">
        <f t="shared" si="13"/>
        <v>0</v>
      </c>
      <c r="V137" s="349">
        <v>0</v>
      </c>
      <c r="W137" s="349">
        <v>2500</v>
      </c>
      <c r="X137" s="249">
        <f t="shared" si="6"/>
        <v>2500</v>
      </c>
      <c r="Y137" s="8" t="b">
        <f t="shared" si="1"/>
        <v>1</v>
      </c>
    </row>
    <row r="138" spans="1:25" ht="12.75">
      <c r="A138" s="16">
        <v>124</v>
      </c>
      <c r="B138" t="s">
        <v>290</v>
      </c>
      <c r="C138" t="s">
        <v>513</v>
      </c>
      <c r="E138" s="349">
        <v>250</v>
      </c>
      <c r="F138" s="349">
        <v>0</v>
      </c>
      <c r="G138" s="349">
        <v>0</v>
      </c>
      <c r="H138" s="349">
        <f t="shared" si="2"/>
        <v>250</v>
      </c>
      <c r="I138" s="349">
        <v>0</v>
      </c>
      <c r="J138" s="349">
        <f t="shared" si="3"/>
        <v>250</v>
      </c>
      <c r="K138" s="159">
        <v>1</v>
      </c>
      <c r="L138" s="13">
        <f t="shared" si="19"/>
        <v>250</v>
      </c>
      <c r="M138" s="18"/>
      <c r="N138" s="16"/>
      <c r="O138" s="349">
        <v>0</v>
      </c>
      <c r="P138" s="349">
        <v>0</v>
      </c>
      <c r="Q138" s="349">
        <v>0</v>
      </c>
      <c r="R138" s="349">
        <f t="shared" si="12"/>
        <v>0</v>
      </c>
      <c r="S138" s="349">
        <v>0</v>
      </c>
      <c r="T138" s="349">
        <v>0</v>
      </c>
      <c r="U138" s="349">
        <f t="shared" si="13"/>
        <v>0</v>
      </c>
      <c r="V138" s="349">
        <v>0</v>
      </c>
      <c r="W138" s="349">
        <v>250</v>
      </c>
      <c r="X138" s="249">
        <f t="shared" si="6"/>
        <v>250</v>
      </c>
      <c r="Y138" s="8" t="b">
        <f t="shared" si="1"/>
        <v>1</v>
      </c>
    </row>
    <row r="139" spans="1:25" ht="12.75">
      <c r="A139" s="16">
        <v>125</v>
      </c>
      <c r="B139" t="s">
        <v>290</v>
      </c>
      <c r="C139" t="s">
        <v>771</v>
      </c>
      <c r="E139" s="349">
        <v>90</v>
      </c>
      <c r="F139" s="349">
        <v>0</v>
      </c>
      <c r="G139" s="349">
        <v>0</v>
      </c>
      <c r="H139" s="349">
        <f t="shared" si="2"/>
        <v>90</v>
      </c>
      <c r="I139" s="349">
        <v>0</v>
      </c>
      <c r="J139" s="349">
        <f t="shared" si="3"/>
        <v>90</v>
      </c>
      <c r="K139" s="159">
        <v>1</v>
      </c>
      <c r="L139" s="13">
        <f t="shared" si="19"/>
        <v>90</v>
      </c>
      <c r="M139" s="18"/>
      <c r="N139" s="16"/>
      <c r="O139" s="349">
        <v>0</v>
      </c>
      <c r="P139" s="349">
        <v>0</v>
      </c>
      <c r="Q139" s="349">
        <v>0</v>
      </c>
      <c r="R139" s="349">
        <f t="shared" si="12"/>
        <v>0</v>
      </c>
      <c r="S139" s="349">
        <v>0</v>
      </c>
      <c r="T139" s="349">
        <v>0</v>
      </c>
      <c r="U139" s="349">
        <f t="shared" si="13"/>
        <v>0</v>
      </c>
      <c r="V139" s="349">
        <v>0</v>
      </c>
      <c r="W139" s="349">
        <v>90</v>
      </c>
      <c r="X139" s="249">
        <f t="shared" si="6"/>
        <v>90</v>
      </c>
      <c r="Y139" s="8" t="b">
        <f t="shared" si="1"/>
        <v>1</v>
      </c>
    </row>
    <row r="140" spans="1:25" ht="12.75">
      <c r="A140" s="16">
        <v>126</v>
      </c>
      <c r="B140" t="s">
        <v>290</v>
      </c>
      <c r="C140" t="s">
        <v>514</v>
      </c>
      <c r="E140" s="349">
        <v>551.25</v>
      </c>
      <c r="F140" s="349">
        <v>0</v>
      </c>
      <c r="G140" s="349">
        <v>0</v>
      </c>
      <c r="H140" s="349">
        <f t="shared" si="2"/>
        <v>551.25</v>
      </c>
      <c r="I140" s="349">
        <v>0</v>
      </c>
      <c r="J140" s="349">
        <f t="shared" si="3"/>
        <v>551.25</v>
      </c>
      <c r="K140" s="159">
        <v>1</v>
      </c>
      <c r="L140" s="13">
        <f t="shared" si="19"/>
        <v>551.25</v>
      </c>
      <c r="M140" s="18"/>
      <c r="N140" s="16"/>
      <c r="O140" s="349">
        <v>0</v>
      </c>
      <c r="P140" s="349">
        <v>0</v>
      </c>
      <c r="Q140" s="349">
        <v>0</v>
      </c>
      <c r="R140" s="349">
        <f t="shared" si="12"/>
        <v>0</v>
      </c>
      <c r="S140" s="349">
        <v>0</v>
      </c>
      <c r="T140" s="349">
        <v>0</v>
      </c>
      <c r="U140" s="349">
        <f t="shared" si="13"/>
        <v>0</v>
      </c>
      <c r="V140" s="349">
        <v>0</v>
      </c>
      <c r="W140" s="349">
        <v>551.25</v>
      </c>
      <c r="X140" s="249">
        <f t="shared" si="6"/>
        <v>551.25</v>
      </c>
      <c r="Y140" s="8" t="b">
        <f t="shared" si="1"/>
        <v>1</v>
      </c>
    </row>
    <row r="141" spans="1:25" ht="12.75">
      <c r="A141" s="16">
        <v>127</v>
      </c>
      <c r="B141" t="s">
        <v>290</v>
      </c>
      <c r="C141" t="s">
        <v>515</v>
      </c>
      <c r="E141" s="349">
        <v>330</v>
      </c>
      <c r="F141" s="349">
        <v>0</v>
      </c>
      <c r="G141" s="349">
        <v>0</v>
      </c>
      <c r="H141" s="349">
        <f t="shared" si="2"/>
        <v>330</v>
      </c>
      <c r="I141" s="349">
        <v>0</v>
      </c>
      <c r="J141" s="349">
        <f t="shared" si="3"/>
        <v>330</v>
      </c>
      <c r="K141" s="159">
        <v>1</v>
      </c>
      <c r="L141" s="13">
        <f t="shared" si="19"/>
        <v>330</v>
      </c>
      <c r="M141" s="18"/>
      <c r="N141" s="16"/>
      <c r="O141" s="349">
        <v>0</v>
      </c>
      <c r="P141" s="349">
        <v>0</v>
      </c>
      <c r="Q141" s="349">
        <v>0</v>
      </c>
      <c r="R141" s="349">
        <f t="shared" si="20" ref="R141:R204">SUM(O141:Q141)</f>
        <v>0</v>
      </c>
      <c r="S141" s="349">
        <v>0</v>
      </c>
      <c r="T141" s="349">
        <v>0</v>
      </c>
      <c r="U141" s="349">
        <f t="shared" si="21" ref="U141:U204">SUM(S141:T141)</f>
        <v>0</v>
      </c>
      <c r="V141" s="349">
        <v>0</v>
      </c>
      <c r="W141" s="349">
        <v>330</v>
      </c>
      <c r="X141" s="249">
        <f t="shared" si="6"/>
        <v>330</v>
      </c>
      <c r="Y141" s="8" t="b">
        <f t="shared" si="1"/>
        <v>1</v>
      </c>
    </row>
    <row r="142" spans="1:25" ht="12.75">
      <c r="A142" s="16">
        <v>128</v>
      </c>
      <c r="B142" t="s">
        <v>290</v>
      </c>
      <c r="C142" t="s">
        <v>516</v>
      </c>
      <c r="E142" s="349">
        <v>1010</v>
      </c>
      <c r="F142" s="349">
        <v>0</v>
      </c>
      <c r="G142" s="349">
        <v>0</v>
      </c>
      <c r="H142" s="349">
        <f t="shared" si="2"/>
        <v>1010</v>
      </c>
      <c r="I142" s="349">
        <v>0</v>
      </c>
      <c r="J142" s="349">
        <f t="shared" si="3"/>
        <v>1010</v>
      </c>
      <c r="K142" s="159">
        <v>1</v>
      </c>
      <c r="L142" s="13">
        <f t="shared" si="0"/>
        <v>1010</v>
      </c>
      <c r="N142" s="16"/>
      <c r="O142" s="349">
        <v>0</v>
      </c>
      <c r="P142" s="349">
        <v>0</v>
      </c>
      <c r="Q142" s="349">
        <v>0</v>
      </c>
      <c r="R142" s="349">
        <f t="shared" si="20"/>
        <v>0</v>
      </c>
      <c r="S142" s="349">
        <v>0</v>
      </c>
      <c r="T142" s="349">
        <v>0</v>
      </c>
      <c r="U142" s="349">
        <f t="shared" si="21"/>
        <v>0</v>
      </c>
      <c r="V142" s="349">
        <v>0</v>
      </c>
      <c r="W142" s="349">
        <v>1010</v>
      </c>
      <c r="X142" s="249">
        <f t="shared" si="6"/>
        <v>1010</v>
      </c>
      <c r="Y142" s="8" t="b">
        <f t="shared" si="1"/>
        <v>1</v>
      </c>
    </row>
    <row r="143" spans="1:25" ht="12.75">
      <c r="A143" s="16">
        <v>129</v>
      </c>
      <c r="B143" t="s">
        <v>290</v>
      </c>
      <c r="C143" t="s">
        <v>772</v>
      </c>
      <c r="E143" s="349">
        <v>200</v>
      </c>
      <c r="F143" s="349">
        <v>0</v>
      </c>
      <c r="G143" s="349">
        <v>0</v>
      </c>
      <c r="H143" s="349">
        <f t="shared" si="2"/>
        <v>200</v>
      </c>
      <c r="I143" s="349">
        <v>0</v>
      </c>
      <c r="J143" s="349">
        <f t="shared" si="3"/>
        <v>200</v>
      </c>
      <c r="K143" s="159">
        <v>1</v>
      </c>
      <c r="L143" s="13">
        <f t="shared" si="0"/>
        <v>200</v>
      </c>
      <c r="N143" s="16"/>
      <c r="O143" s="349">
        <v>0</v>
      </c>
      <c r="P143" s="349">
        <v>0</v>
      </c>
      <c r="Q143" s="349">
        <v>0</v>
      </c>
      <c r="R143" s="349">
        <f t="shared" si="20"/>
        <v>0</v>
      </c>
      <c r="S143" s="349">
        <v>0</v>
      </c>
      <c r="T143" s="349">
        <v>0</v>
      </c>
      <c r="U143" s="349">
        <f t="shared" si="21"/>
        <v>0</v>
      </c>
      <c r="V143" s="349">
        <v>0</v>
      </c>
      <c r="W143" s="349">
        <v>200</v>
      </c>
      <c r="X143" s="249">
        <f t="shared" si="6"/>
        <v>200</v>
      </c>
      <c r="Y143" s="8" t="b">
        <f t="shared" si="1"/>
        <v>1</v>
      </c>
    </row>
    <row r="144" spans="1:25" ht="12.75">
      <c r="A144" s="16">
        <v>130</v>
      </c>
      <c r="B144" t="s">
        <v>290</v>
      </c>
      <c r="C144" t="s">
        <v>893</v>
      </c>
      <c r="E144" s="349">
        <v>3040</v>
      </c>
      <c r="F144" s="349">
        <v>0</v>
      </c>
      <c r="G144" s="349">
        <v>0</v>
      </c>
      <c r="H144" s="349">
        <f t="shared" si="2"/>
        <v>3040</v>
      </c>
      <c r="I144" s="349">
        <v>0</v>
      </c>
      <c r="J144" s="349">
        <f t="shared" si="3"/>
        <v>3040</v>
      </c>
      <c r="K144" s="159">
        <v>1</v>
      </c>
      <c r="L144" s="13">
        <f t="shared" si="0"/>
        <v>3040</v>
      </c>
      <c r="N144" s="16"/>
      <c r="O144" s="349">
        <v>0</v>
      </c>
      <c r="P144" s="349">
        <v>0</v>
      </c>
      <c r="Q144" s="349">
        <v>0</v>
      </c>
      <c r="R144" s="349">
        <f t="shared" si="20"/>
        <v>0</v>
      </c>
      <c r="S144" s="349">
        <v>0</v>
      </c>
      <c r="T144" s="349">
        <v>0</v>
      </c>
      <c r="U144" s="349">
        <f t="shared" si="21"/>
        <v>0</v>
      </c>
      <c r="V144" s="349">
        <v>0</v>
      </c>
      <c r="W144" s="349">
        <v>3040</v>
      </c>
      <c r="X144" s="249">
        <f t="shared" si="6"/>
        <v>3040</v>
      </c>
      <c r="Y144" s="8" t="b">
        <f t="shared" si="1"/>
        <v>1</v>
      </c>
    </row>
    <row r="145" spans="1:25" ht="12.75">
      <c r="A145" s="16">
        <v>131</v>
      </c>
      <c r="B145" t="s">
        <v>290</v>
      </c>
      <c r="C145" t="s">
        <v>517</v>
      </c>
      <c r="E145" s="349">
        <v>7550</v>
      </c>
      <c r="F145" s="349">
        <v>0</v>
      </c>
      <c r="G145" s="349">
        <v>0</v>
      </c>
      <c r="H145" s="349">
        <f t="shared" si="2"/>
        <v>7550</v>
      </c>
      <c r="I145" s="349">
        <v>0</v>
      </c>
      <c r="J145" s="349">
        <f t="shared" si="3"/>
        <v>7550</v>
      </c>
      <c r="K145" s="159">
        <v>1</v>
      </c>
      <c r="L145" s="13">
        <f t="shared" si="0"/>
        <v>7550</v>
      </c>
      <c r="N145" s="16"/>
      <c r="O145" s="349">
        <v>0</v>
      </c>
      <c r="P145" s="349">
        <v>0</v>
      </c>
      <c r="Q145" s="349">
        <v>0</v>
      </c>
      <c r="R145" s="349">
        <f t="shared" si="20"/>
        <v>0</v>
      </c>
      <c r="S145" s="349">
        <v>0</v>
      </c>
      <c r="T145" s="349">
        <v>0</v>
      </c>
      <c r="U145" s="349">
        <f t="shared" si="21"/>
        <v>0</v>
      </c>
      <c r="V145" s="349">
        <v>0</v>
      </c>
      <c r="W145" s="349">
        <v>7550</v>
      </c>
      <c r="X145" s="249">
        <f t="shared" si="6"/>
        <v>7550</v>
      </c>
      <c r="Y145" s="8" t="b">
        <f t="shared" si="1"/>
        <v>1</v>
      </c>
    </row>
    <row r="146" spans="1:25" ht="12.75">
      <c r="A146" s="16">
        <v>132</v>
      </c>
      <c r="B146" t="s">
        <v>290</v>
      </c>
      <c r="C146" t="s">
        <v>894</v>
      </c>
      <c r="E146" s="349">
        <v>500</v>
      </c>
      <c r="F146" s="349">
        <v>0</v>
      </c>
      <c r="G146" s="349">
        <v>0</v>
      </c>
      <c r="H146" s="349">
        <f>+E146+F146+G146</f>
        <v>500</v>
      </c>
      <c r="I146" s="349">
        <v>0</v>
      </c>
      <c r="J146" s="349">
        <f>+H146+I146</f>
        <v>500</v>
      </c>
      <c r="K146" s="159">
        <v>1</v>
      </c>
      <c r="L146" s="13">
        <f>+J146*K146</f>
        <v>500</v>
      </c>
      <c r="N146" s="16"/>
      <c r="O146" s="349">
        <v>0</v>
      </c>
      <c r="P146" s="349">
        <v>0</v>
      </c>
      <c r="Q146" s="349">
        <v>0</v>
      </c>
      <c r="R146" s="349">
        <f t="shared" si="20"/>
        <v>0</v>
      </c>
      <c r="S146" s="349">
        <v>0</v>
      </c>
      <c r="T146" s="349">
        <v>0</v>
      </c>
      <c r="U146" s="349">
        <f t="shared" si="21"/>
        <v>0</v>
      </c>
      <c r="V146" s="349">
        <v>0</v>
      </c>
      <c r="W146" s="349">
        <v>500</v>
      </c>
      <c r="X146" s="249">
        <f t="shared" si="6"/>
        <v>500</v>
      </c>
      <c r="Y146" s="8" t="b">
        <f t="shared" si="1"/>
        <v>1</v>
      </c>
    </row>
    <row r="147" spans="1:25" ht="12.75">
      <c r="A147" s="16">
        <v>133</v>
      </c>
      <c r="B147" t="s">
        <v>290</v>
      </c>
      <c r="C147" t="s">
        <v>518</v>
      </c>
      <c r="E147" s="349">
        <v>132</v>
      </c>
      <c r="F147" s="349">
        <v>0</v>
      </c>
      <c r="G147" s="349">
        <v>0</v>
      </c>
      <c r="H147" s="349">
        <f>+E147+F147+G147</f>
        <v>132</v>
      </c>
      <c r="I147" s="349">
        <v>0</v>
      </c>
      <c r="J147" s="349">
        <f>+H147+I147</f>
        <v>132</v>
      </c>
      <c r="K147" s="159">
        <v>1</v>
      </c>
      <c r="L147" s="13">
        <f>+J147*K147</f>
        <v>132</v>
      </c>
      <c r="N147" s="16"/>
      <c r="O147" s="349">
        <v>0</v>
      </c>
      <c r="P147" s="349">
        <v>0</v>
      </c>
      <c r="Q147" s="349">
        <v>0</v>
      </c>
      <c r="R147" s="349">
        <f t="shared" si="20"/>
        <v>0</v>
      </c>
      <c r="S147" s="349">
        <v>0</v>
      </c>
      <c r="T147" s="349">
        <v>0</v>
      </c>
      <c r="U147" s="349">
        <f t="shared" si="21"/>
        <v>0</v>
      </c>
      <c r="V147" s="349">
        <v>0</v>
      </c>
      <c r="W147" s="349">
        <v>132</v>
      </c>
      <c r="X147" s="249">
        <f t="shared" si="6"/>
        <v>132</v>
      </c>
      <c r="Y147" s="8" t="b">
        <f t="shared" si="1"/>
        <v>1</v>
      </c>
    </row>
    <row r="148" spans="1:25" ht="12.75">
      <c r="A148" s="16">
        <v>134</v>
      </c>
      <c r="B148" t="s">
        <v>290</v>
      </c>
      <c r="C148" t="s">
        <v>519</v>
      </c>
      <c r="E148" s="349">
        <v>500</v>
      </c>
      <c r="F148" s="349">
        <v>0</v>
      </c>
      <c r="G148" s="349">
        <v>0</v>
      </c>
      <c r="H148" s="349">
        <f>+E148+F148+G148</f>
        <v>500</v>
      </c>
      <c r="I148" s="349">
        <v>0</v>
      </c>
      <c r="J148" s="349">
        <f>+H148+I148</f>
        <v>500</v>
      </c>
      <c r="K148" s="159">
        <v>1</v>
      </c>
      <c r="L148" s="13">
        <f>+J148*K148</f>
        <v>500</v>
      </c>
      <c r="N148" s="16"/>
      <c r="O148" s="349">
        <v>0</v>
      </c>
      <c r="P148" s="349">
        <v>0</v>
      </c>
      <c r="Q148" s="349">
        <v>0</v>
      </c>
      <c r="R148" s="349">
        <f t="shared" si="20"/>
        <v>0</v>
      </c>
      <c r="S148" s="349">
        <v>0</v>
      </c>
      <c r="T148" s="349">
        <v>0</v>
      </c>
      <c r="U148" s="349">
        <f t="shared" si="21"/>
        <v>0</v>
      </c>
      <c r="V148" s="349">
        <v>0</v>
      </c>
      <c r="W148" s="349">
        <v>500</v>
      </c>
      <c r="X148" s="249">
        <f t="shared" si="6"/>
        <v>500</v>
      </c>
      <c r="Y148" s="8" t="b">
        <f t="shared" si="1"/>
        <v>1</v>
      </c>
    </row>
    <row r="149" spans="1:25" ht="12.75">
      <c r="A149" s="16">
        <v>135</v>
      </c>
      <c r="B149" t="s">
        <v>290</v>
      </c>
      <c r="C149" t="s">
        <v>520</v>
      </c>
      <c r="E149" s="349">
        <v>715</v>
      </c>
      <c r="F149" s="349">
        <v>0</v>
      </c>
      <c r="G149" s="349">
        <v>0</v>
      </c>
      <c r="H149" s="349">
        <f>+E149+F149+G149</f>
        <v>715</v>
      </c>
      <c r="I149" s="349">
        <v>0</v>
      </c>
      <c r="J149" s="349">
        <f>+H149+I149</f>
        <v>715</v>
      </c>
      <c r="K149" s="159">
        <v>1</v>
      </c>
      <c r="L149" s="13">
        <f>+J149*K149</f>
        <v>715</v>
      </c>
      <c r="N149" s="16"/>
      <c r="O149" s="349">
        <v>0</v>
      </c>
      <c r="P149" s="349">
        <v>0</v>
      </c>
      <c r="Q149" s="349">
        <v>0</v>
      </c>
      <c r="R149" s="349">
        <f t="shared" si="20"/>
        <v>0</v>
      </c>
      <c r="S149" s="349">
        <v>0</v>
      </c>
      <c r="T149" s="349">
        <v>0</v>
      </c>
      <c r="U149" s="349">
        <f t="shared" si="21"/>
        <v>0</v>
      </c>
      <c r="V149" s="349">
        <v>0</v>
      </c>
      <c r="W149" s="349">
        <v>715</v>
      </c>
      <c r="X149" s="249">
        <f t="shared" si="6"/>
        <v>715</v>
      </c>
      <c r="Y149" s="8" t="b">
        <f t="shared" si="1"/>
        <v>1</v>
      </c>
    </row>
    <row r="150" spans="1:25" ht="12.75">
      <c r="A150" s="16">
        <v>136</v>
      </c>
      <c r="B150" t="s">
        <v>290</v>
      </c>
      <c r="C150" t="s">
        <v>522</v>
      </c>
      <c r="E150" s="349">
        <v>200</v>
      </c>
      <c r="F150" s="349">
        <v>0</v>
      </c>
      <c r="G150" s="349">
        <v>0</v>
      </c>
      <c r="H150" s="349">
        <f t="shared" si="2"/>
        <v>200</v>
      </c>
      <c r="I150" s="349">
        <v>0</v>
      </c>
      <c r="J150" s="349">
        <f t="shared" si="3"/>
        <v>200</v>
      </c>
      <c r="K150" s="159">
        <v>1</v>
      </c>
      <c r="L150" s="13">
        <f t="shared" si="0"/>
        <v>200</v>
      </c>
      <c r="N150" s="16"/>
      <c r="O150" s="349">
        <v>0</v>
      </c>
      <c r="P150" s="349">
        <v>0</v>
      </c>
      <c r="Q150" s="349">
        <v>0</v>
      </c>
      <c r="R150" s="349">
        <f t="shared" si="20"/>
        <v>0</v>
      </c>
      <c r="S150" s="349">
        <v>0</v>
      </c>
      <c r="T150" s="349">
        <v>0</v>
      </c>
      <c r="U150" s="349">
        <f t="shared" si="21"/>
        <v>0</v>
      </c>
      <c r="V150" s="349">
        <v>0</v>
      </c>
      <c r="W150" s="349">
        <v>200</v>
      </c>
      <c r="X150" s="249">
        <f t="shared" si="6"/>
        <v>200</v>
      </c>
      <c r="Y150" s="8" t="b">
        <f t="shared" si="1"/>
        <v>1</v>
      </c>
    </row>
    <row r="151" spans="1:25" s="138" customFormat="1" ht="12.75">
      <c r="A151" s="16">
        <v>137</v>
      </c>
      <c r="B151" s="138" t="s">
        <v>290</v>
      </c>
      <c r="C151" s="138" t="s">
        <v>950</v>
      </c>
      <c r="D151" s="18"/>
      <c r="E151" s="324">
        <v>150</v>
      </c>
      <c r="F151" s="324">
        <v>0</v>
      </c>
      <c r="G151" s="324">
        <v>0</v>
      </c>
      <c r="H151" s="324">
        <f t="shared" si="2"/>
        <v>150</v>
      </c>
      <c r="I151" s="324">
        <v>0</v>
      </c>
      <c r="J151" s="324">
        <f t="shared" si="3"/>
        <v>150</v>
      </c>
      <c r="K151" s="159">
        <v>1</v>
      </c>
      <c r="L151" s="324">
        <f t="shared" si="0"/>
        <v>150</v>
      </c>
      <c r="M151" s="324"/>
      <c r="N151" s="324"/>
      <c r="O151" s="324">
        <v>0</v>
      </c>
      <c r="P151" s="324">
        <v>0</v>
      </c>
      <c r="Q151" s="324">
        <v>0</v>
      </c>
      <c r="R151" s="324">
        <f t="shared" si="22" ref="R151">SUM(O151:Q151)</f>
        <v>0</v>
      </c>
      <c r="S151" s="324">
        <v>0</v>
      </c>
      <c r="T151" s="324">
        <v>0</v>
      </c>
      <c r="U151" s="324">
        <f t="shared" si="23" ref="U151">SUM(S151:T151)</f>
        <v>0</v>
      </c>
      <c r="V151" s="324">
        <v>0</v>
      </c>
      <c r="W151" s="324">
        <v>150</v>
      </c>
      <c r="X151" s="324">
        <f t="shared" si="6"/>
        <v>150</v>
      </c>
      <c r="Y151" s="249" t="b">
        <f t="shared" si="1"/>
        <v>1</v>
      </c>
    </row>
    <row r="152" spans="1:25" ht="12.75">
      <c r="A152" s="16">
        <v>138</v>
      </c>
      <c r="B152" t="s">
        <v>290</v>
      </c>
      <c r="C152" t="s">
        <v>773</v>
      </c>
      <c r="E152" s="349">
        <v>50</v>
      </c>
      <c r="F152" s="349">
        <v>0</v>
      </c>
      <c r="G152" s="349">
        <v>0</v>
      </c>
      <c r="H152" s="349">
        <f>+E152+F152+G152</f>
        <v>50</v>
      </c>
      <c r="I152" s="349">
        <v>0</v>
      </c>
      <c r="J152" s="349">
        <f>+H152+I152</f>
        <v>50</v>
      </c>
      <c r="K152" s="159">
        <v>1</v>
      </c>
      <c r="L152" s="13">
        <f>+J152*K152</f>
        <v>50</v>
      </c>
      <c r="N152" s="16"/>
      <c r="O152" s="349">
        <v>0</v>
      </c>
      <c r="P152" s="349">
        <v>0</v>
      </c>
      <c r="Q152" s="349">
        <v>0</v>
      </c>
      <c r="R152" s="349">
        <f t="shared" si="20"/>
        <v>0</v>
      </c>
      <c r="S152" s="349">
        <v>0</v>
      </c>
      <c r="T152" s="349">
        <v>0</v>
      </c>
      <c r="U152" s="349">
        <f t="shared" si="21"/>
        <v>0</v>
      </c>
      <c r="V152" s="349">
        <v>0</v>
      </c>
      <c r="W152" s="349">
        <v>50</v>
      </c>
      <c r="X152" s="249">
        <f t="shared" si="6"/>
        <v>50</v>
      </c>
      <c r="Y152" s="8" t="b">
        <f t="shared" si="1"/>
        <v>1</v>
      </c>
    </row>
    <row r="153" spans="1:25" ht="12.75">
      <c r="A153" s="16">
        <v>139</v>
      </c>
      <c r="B153" t="s">
        <v>290</v>
      </c>
      <c r="C153" t="s">
        <v>523</v>
      </c>
      <c r="E153" s="349">
        <v>175</v>
      </c>
      <c r="F153" s="349">
        <v>0</v>
      </c>
      <c r="G153" s="349">
        <v>0</v>
      </c>
      <c r="H153" s="349">
        <f t="shared" si="2"/>
        <v>175</v>
      </c>
      <c r="I153" s="349">
        <v>0</v>
      </c>
      <c r="J153" s="349">
        <f t="shared" si="3"/>
        <v>175</v>
      </c>
      <c r="K153" s="159">
        <v>1</v>
      </c>
      <c r="L153" s="13">
        <f t="shared" si="0"/>
        <v>175</v>
      </c>
      <c r="N153" s="16"/>
      <c r="O153" s="349">
        <v>0</v>
      </c>
      <c r="P153" s="349">
        <v>0</v>
      </c>
      <c r="Q153" s="349">
        <v>0</v>
      </c>
      <c r="R153" s="349">
        <f t="shared" si="20"/>
        <v>0</v>
      </c>
      <c r="S153" s="349">
        <v>0</v>
      </c>
      <c r="T153" s="349">
        <v>0</v>
      </c>
      <c r="U153" s="349">
        <f t="shared" si="21"/>
        <v>0</v>
      </c>
      <c r="V153" s="349">
        <v>0</v>
      </c>
      <c r="W153" s="349">
        <v>175</v>
      </c>
      <c r="X153" s="249">
        <f t="shared" si="6"/>
        <v>175</v>
      </c>
      <c r="Y153" s="8" t="b">
        <f t="shared" si="1"/>
        <v>1</v>
      </c>
    </row>
    <row r="154" spans="1:25" ht="12.75">
      <c r="A154" s="16">
        <v>140</v>
      </c>
      <c r="B154" t="s">
        <v>290</v>
      </c>
      <c r="C154" t="s">
        <v>524</v>
      </c>
      <c r="E154" s="349">
        <v>800</v>
      </c>
      <c r="F154" s="349">
        <v>0</v>
      </c>
      <c r="G154" s="349">
        <v>0</v>
      </c>
      <c r="H154" s="349">
        <f>+E154+F154+G154</f>
        <v>800</v>
      </c>
      <c r="I154" s="349">
        <v>0</v>
      </c>
      <c r="J154" s="349">
        <f>+H154+I154</f>
        <v>800</v>
      </c>
      <c r="K154" s="159">
        <v>1</v>
      </c>
      <c r="L154" s="13">
        <f>+J154*K154</f>
        <v>800</v>
      </c>
      <c r="N154" s="16"/>
      <c r="O154" s="349">
        <v>0</v>
      </c>
      <c r="P154" s="349">
        <v>0</v>
      </c>
      <c r="Q154" s="349">
        <v>0</v>
      </c>
      <c r="R154" s="349">
        <f t="shared" si="20"/>
        <v>0</v>
      </c>
      <c r="S154" s="349">
        <v>0</v>
      </c>
      <c r="T154" s="349">
        <v>0</v>
      </c>
      <c r="U154" s="349">
        <f t="shared" si="21"/>
        <v>0</v>
      </c>
      <c r="V154" s="349">
        <v>0</v>
      </c>
      <c r="W154" s="349">
        <v>800</v>
      </c>
      <c r="X154" s="249">
        <f t="shared" si="6"/>
        <v>800</v>
      </c>
      <c r="Y154" s="8" t="b">
        <f t="shared" si="1"/>
        <v>1</v>
      </c>
    </row>
    <row r="155" spans="1:25" ht="12.75">
      <c r="A155" s="16">
        <v>141</v>
      </c>
      <c r="B155" t="s">
        <v>290</v>
      </c>
      <c r="C155" t="s">
        <v>525</v>
      </c>
      <c r="E155" s="349">
        <v>700</v>
      </c>
      <c r="F155" s="349">
        <v>0</v>
      </c>
      <c r="G155" s="349">
        <v>0</v>
      </c>
      <c r="H155" s="349">
        <f t="shared" si="2"/>
        <v>700</v>
      </c>
      <c r="I155" s="349">
        <v>0</v>
      </c>
      <c r="J155" s="349">
        <f t="shared" si="3"/>
        <v>700</v>
      </c>
      <c r="K155" s="159">
        <v>1</v>
      </c>
      <c r="L155" s="13">
        <f t="shared" si="0"/>
        <v>700</v>
      </c>
      <c r="N155" s="16"/>
      <c r="O155" s="349">
        <v>0</v>
      </c>
      <c r="P155" s="349">
        <v>0</v>
      </c>
      <c r="Q155" s="349">
        <v>0</v>
      </c>
      <c r="R155" s="349">
        <f t="shared" si="20"/>
        <v>0</v>
      </c>
      <c r="S155" s="349">
        <v>0</v>
      </c>
      <c r="T155" s="349">
        <v>0</v>
      </c>
      <c r="U155" s="349">
        <f t="shared" si="21"/>
        <v>0</v>
      </c>
      <c r="V155" s="349">
        <v>0</v>
      </c>
      <c r="W155" s="349">
        <v>700</v>
      </c>
      <c r="X155" s="249">
        <f t="shared" si="6"/>
        <v>700</v>
      </c>
      <c r="Y155" s="8" t="b">
        <f t="shared" si="1"/>
        <v>1</v>
      </c>
    </row>
    <row r="156" spans="1:25" ht="12.75">
      <c r="A156" s="16">
        <v>142</v>
      </c>
      <c r="B156" t="s">
        <v>290</v>
      </c>
      <c r="C156" t="s">
        <v>526</v>
      </c>
      <c r="E156" s="349">
        <v>125</v>
      </c>
      <c r="F156" s="349">
        <v>0</v>
      </c>
      <c r="G156" s="349">
        <v>0</v>
      </c>
      <c r="H156" s="349">
        <f>+E156+F156+G156</f>
        <v>125</v>
      </c>
      <c r="I156" s="349">
        <v>0</v>
      </c>
      <c r="J156" s="349">
        <f>+H156+I156</f>
        <v>125</v>
      </c>
      <c r="K156" s="159">
        <v>1</v>
      </c>
      <c r="L156" s="13">
        <f>+J156*K156</f>
        <v>125</v>
      </c>
      <c r="N156" s="16"/>
      <c r="O156" s="349">
        <v>0</v>
      </c>
      <c r="P156" s="349">
        <v>0</v>
      </c>
      <c r="Q156" s="349">
        <v>0</v>
      </c>
      <c r="R156" s="349">
        <f t="shared" si="20"/>
        <v>0</v>
      </c>
      <c r="S156" s="349">
        <v>0</v>
      </c>
      <c r="T156" s="349">
        <v>0</v>
      </c>
      <c r="U156" s="349">
        <f t="shared" si="21"/>
        <v>0</v>
      </c>
      <c r="V156" s="349">
        <v>0</v>
      </c>
      <c r="W156" s="349">
        <v>125</v>
      </c>
      <c r="X156" s="249">
        <f t="shared" si="6"/>
        <v>125</v>
      </c>
      <c r="Y156" s="8" t="b">
        <f t="shared" si="1"/>
        <v>1</v>
      </c>
    </row>
    <row r="157" spans="1:25" ht="12.75">
      <c r="A157" s="16">
        <v>143</v>
      </c>
      <c r="B157" t="s">
        <v>290</v>
      </c>
      <c r="C157" t="s">
        <v>527</v>
      </c>
      <c r="E157" s="349">
        <v>-100</v>
      </c>
      <c r="F157" s="349">
        <v>0</v>
      </c>
      <c r="G157" s="349">
        <v>0</v>
      </c>
      <c r="H157" s="349">
        <f t="shared" si="2"/>
        <v>-100</v>
      </c>
      <c r="I157" s="349">
        <v>0</v>
      </c>
      <c r="J157" s="349">
        <f t="shared" si="3"/>
        <v>-100</v>
      </c>
      <c r="K157" s="159">
        <v>1</v>
      </c>
      <c r="L157" s="13">
        <f t="shared" si="0"/>
        <v>-100</v>
      </c>
      <c r="N157" s="16"/>
      <c r="O157" s="349">
        <v>0</v>
      </c>
      <c r="P157" s="349">
        <v>0</v>
      </c>
      <c r="Q157" s="349">
        <v>0</v>
      </c>
      <c r="R157" s="349">
        <f t="shared" si="20"/>
        <v>0</v>
      </c>
      <c r="S157" s="349">
        <v>0</v>
      </c>
      <c r="T157" s="349">
        <v>0</v>
      </c>
      <c r="U157" s="349">
        <f t="shared" si="21"/>
        <v>0</v>
      </c>
      <c r="V157" s="349">
        <v>0</v>
      </c>
      <c r="W157" s="349">
        <v>-100</v>
      </c>
      <c r="X157" s="249">
        <f t="shared" si="6"/>
        <v>-100</v>
      </c>
      <c r="Y157" s="8" t="b">
        <f t="shared" si="1"/>
        <v>1</v>
      </c>
    </row>
    <row r="158" spans="1:25" ht="12.75">
      <c r="A158" s="16">
        <v>144</v>
      </c>
      <c r="B158" t="s">
        <v>290</v>
      </c>
      <c r="C158" t="s">
        <v>528</v>
      </c>
      <c r="E158" s="349">
        <v>400</v>
      </c>
      <c r="F158" s="349">
        <v>0</v>
      </c>
      <c r="G158" s="349">
        <v>0</v>
      </c>
      <c r="H158" s="349">
        <f t="shared" si="2"/>
        <v>400</v>
      </c>
      <c r="I158" s="349">
        <v>0</v>
      </c>
      <c r="J158" s="349">
        <f t="shared" si="3"/>
        <v>400</v>
      </c>
      <c r="K158" s="159">
        <v>1</v>
      </c>
      <c r="L158" s="13">
        <f t="shared" si="0"/>
        <v>400</v>
      </c>
      <c r="N158" s="16"/>
      <c r="O158" s="349">
        <v>0</v>
      </c>
      <c r="P158" s="349">
        <v>0</v>
      </c>
      <c r="Q158" s="349">
        <v>0</v>
      </c>
      <c r="R158" s="349">
        <f t="shared" si="20"/>
        <v>0</v>
      </c>
      <c r="S158" s="349">
        <v>0</v>
      </c>
      <c r="T158" s="349">
        <v>0</v>
      </c>
      <c r="U158" s="349">
        <f t="shared" si="21"/>
        <v>0</v>
      </c>
      <c r="V158" s="349">
        <v>0</v>
      </c>
      <c r="W158" s="349">
        <v>400</v>
      </c>
      <c r="X158" s="249">
        <f t="shared" si="6"/>
        <v>400</v>
      </c>
      <c r="Y158" s="8" t="b">
        <f t="shared" si="1"/>
        <v>1</v>
      </c>
    </row>
    <row r="159" spans="1:25" ht="12.75">
      <c r="A159" s="16">
        <v>145</v>
      </c>
      <c r="B159" t="s">
        <v>290</v>
      </c>
      <c r="C159" t="s">
        <v>529</v>
      </c>
      <c r="E159" s="349">
        <v>500</v>
      </c>
      <c r="F159" s="349">
        <v>0</v>
      </c>
      <c r="G159" s="349">
        <v>0</v>
      </c>
      <c r="H159" s="349">
        <f t="shared" si="2"/>
        <v>500</v>
      </c>
      <c r="I159" s="349">
        <v>0</v>
      </c>
      <c r="J159" s="349">
        <f t="shared" si="3"/>
        <v>500</v>
      </c>
      <c r="K159" s="159">
        <v>1</v>
      </c>
      <c r="L159" s="13">
        <f t="shared" si="0"/>
        <v>500</v>
      </c>
      <c r="N159" s="16"/>
      <c r="O159" s="349">
        <v>0</v>
      </c>
      <c r="P159" s="349">
        <v>0</v>
      </c>
      <c r="Q159" s="349">
        <v>0</v>
      </c>
      <c r="R159" s="349">
        <f t="shared" si="20"/>
        <v>0</v>
      </c>
      <c r="S159" s="349">
        <v>0</v>
      </c>
      <c r="T159" s="349">
        <v>0</v>
      </c>
      <c r="U159" s="349">
        <f t="shared" si="21"/>
        <v>0</v>
      </c>
      <c r="V159" s="349">
        <v>0</v>
      </c>
      <c r="W159" s="349">
        <v>500</v>
      </c>
      <c r="X159" s="249">
        <f t="shared" si="6"/>
        <v>500</v>
      </c>
      <c r="Y159" s="8" t="b">
        <f t="shared" si="24" ref="Y159:Y224">+X159=L159</f>
        <v>1</v>
      </c>
    </row>
    <row r="160" spans="1:25" ht="12.75">
      <c r="A160" s="16">
        <v>146</v>
      </c>
      <c r="B160" t="s">
        <v>290</v>
      </c>
      <c r="C160" t="s">
        <v>530</v>
      </c>
      <c r="E160" s="349">
        <v>2000</v>
      </c>
      <c r="F160" s="349">
        <v>0</v>
      </c>
      <c r="G160" s="349">
        <v>0</v>
      </c>
      <c r="H160" s="349">
        <f t="shared" si="2"/>
        <v>2000</v>
      </c>
      <c r="I160" s="349">
        <v>0</v>
      </c>
      <c r="J160" s="349">
        <f t="shared" si="3"/>
        <v>2000</v>
      </c>
      <c r="K160" s="159">
        <v>1</v>
      </c>
      <c r="L160" s="13">
        <f t="shared" si="0"/>
        <v>2000</v>
      </c>
      <c r="N160" s="16"/>
      <c r="O160" s="349">
        <v>0</v>
      </c>
      <c r="P160" s="349">
        <v>0</v>
      </c>
      <c r="Q160" s="349">
        <v>0</v>
      </c>
      <c r="R160" s="349">
        <f t="shared" si="20"/>
        <v>0</v>
      </c>
      <c r="S160" s="349">
        <v>0</v>
      </c>
      <c r="T160" s="349">
        <v>0</v>
      </c>
      <c r="U160" s="349">
        <f t="shared" si="21"/>
        <v>0</v>
      </c>
      <c r="V160" s="349">
        <v>0</v>
      </c>
      <c r="W160" s="349">
        <v>2000</v>
      </c>
      <c r="X160" s="249">
        <f t="shared" si="25" ref="X160:X225">+R160+U160+V160+W160</f>
        <v>2000</v>
      </c>
      <c r="Y160" s="8" t="b">
        <f t="shared" si="24"/>
        <v>1</v>
      </c>
    </row>
    <row r="161" spans="1:25" ht="12.75">
      <c r="A161" s="16">
        <v>147</v>
      </c>
      <c r="B161" t="s">
        <v>290</v>
      </c>
      <c r="C161" t="s">
        <v>895</v>
      </c>
      <c r="E161" s="349">
        <v>300</v>
      </c>
      <c r="F161" s="349">
        <v>0</v>
      </c>
      <c r="G161" s="349">
        <v>0</v>
      </c>
      <c r="H161" s="349">
        <f t="shared" si="2"/>
        <v>300</v>
      </c>
      <c r="I161" s="349">
        <v>0</v>
      </c>
      <c r="J161" s="349">
        <f t="shared" si="3"/>
        <v>300</v>
      </c>
      <c r="K161" s="159">
        <v>1</v>
      </c>
      <c r="L161" s="13">
        <f t="shared" si="0"/>
        <v>300</v>
      </c>
      <c r="N161" s="16"/>
      <c r="O161" s="349">
        <v>0</v>
      </c>
      <c r="P161" s="349">
        <v>0</v>
      </c>
      <c r="Q161" s="349">
        <v>0</v>
      </c>
      <c r="R161" s="349">
        <f t="shared" si="20"/>
        <v>0</v>
      </c>
      <c r="S161" s="349">
        <v>0</v>
      </c>
      <c r="T161" s="349">
        <v>0</v>
      </c>
      <c r="U161" s="349">
        <f t="shared" si="21"/>
        <v>0</v>
      </c>
      <c r="V161" s="349">
        <v>0</v>
      </c>
      <c r="W161" s="349">
        <v>300</v>
      </c>
      <c r="X161" s="249">
        <f t="shared" si="25"/>
        <v>300</v>
      </c>
      <c r="Y161" s="8" t="b">
        <f t="shared" si="24"/>
        <v>1</v>
      </c>
    </row>
    <row r="162" spans="1:25" ht="12.75">
      <c r="A162" s="16">
        <v>148</v>
      </c>
      <c r="B162" t="s">
        <v>290</v>
      </c>
      <c r="C162" t="s">
        <v>896</v>
      </c>
      <c r="E162" s="349">
        <v>275</v>
      </c>
      <c r="F162" s="349">
        <v>0</v>
      </c>
      <c r="G162" s="349">
        <v>0</v>
      </c>
      <c r="H162" s="349">
        <f t="shared" si="2"/>
        <v>275</v>
      </c>
      <c r="I162" s="349">
        <v>0</v>
      </c>
      <c r="J162" s="349">
        <f t="shared" si="3"/>
        <v>275</v>
      </c>
      <c r="K162" s="159">
        <v>1</v>
      </c>
      <c r="L162" s="13">
        <f t="shared" si="0"/>
        <v>275</v>
      </c>
      <c r="N162" s="16"/>
      <c r="O162" s="349">
        <v>0</v>
      </c>
      <c r="P162" s="349">
        <v>0</v>
      </c>
      <c r="Q162" s="349">
        <v>0</v>
      </c>
      <c r="R162" s="349">
        <f t="shared" si="20"/>
        <v>0</v>
      </c>
      <c r="S162" s="349">
        <v>0</v>
      </c>
      <c r="T162" s="349">
        <v>0</v>
      </c>
      <c r="U162" s="349">
        <f t="shared" si="21"/>
        <v>0</v>
      </c>
      <c r="V162" s="349">
        <v>0</v>
      </c>
      <c r="W162" s="349">
        <v>275</v>
      </c>
      <c r="X162" s="249">
        <f t="shared" si="25"/>
        <v>275</v>
      </c>
      <c r="Y162" s="8" t="b">
        <f t="shared" si="24"/>
        <v>1</v>
      </c>
    </row>
    <row r="163" spans="1:25" ht="12.75">
      <c r="A163" s="16">
        <v>149</v>
      </c>
      <c r="B163" t="s">
        <v>290</v>
      </c>
      <c r="C163" t="s">
        <v>897</v>
      </c>
      <c r="E163" s="349">
        <v>500</v>
      </c>
      <c r="F163" s="349">
        <v>0</v>
      </c>
      <c r="G163" s="349">
        <v>0</v>
      </c>
      <c r="H163" s="349">
        <f t="shared" si="2"/>
        <v>500</v>
      </c>
      <c r="I163" s="349">
        <v>0</v>
      </c>
      <c r="J163" s="349">
        <f t="shared" si="3"/>
        <v>500</v>
      </c>
      <c r="K163" s="159">
        <v>1</v>
      </c>
      <c r="L163" s="13">
        <f t="shared" si="0"/>
        <v>500</v>
      </c>
      <c r="N163" s="16"/>
      <c r="O163" s="349">
        <v>0</v>
      </c>
      <c r="P163" s="349">
        <v>0</v>
      </c>
      <c r="Q163" s="349">
        <v>0</v>
      </c>
      <c r="R163" s="349">
        <f t="shared" si="20"/>
        <v>0</v>
      </c>
      <c r="S163" s="349">
        <v>0</v>
      </c>
      <c r="T163" s="349">
        <v>0</v>
      </c>
      <c r="U163" s="349">
        <f t="shared" si="21"/>
        <v>0</v>
      </c>
      <c r="V163" s="349">
        <v>0</v>
      </c>
      <c r="W163" s="349">
        <v>500</v>
      </c>
      <c r="X163" s="249">
        <f t="shared" si="25"/>
        <v>500</v>
      </c>
      <c r="Y163" s="8" t="b">
        <f t="shared" si="24"/>
        <v>1</v>
      </c>
    </row>
    <row r="164" spans="1:25" ht="12.75">
      <c r="A164" s="16">
        <v>150</v>
      </c>
      <c r="B164" t="s">
        <v>290</v>
      </c>
      <c r="C164" t="s">
        <v>531</v>
      </c>
      <c r="E164" s="349">
        <v>5500</v>
      </c>
      <c r="F164" s="349">
        <v>0</v>
      </c>
      <c r="G164" s="349">
        <v>0</v>
      </c>
      <c r="H164" s="349">
        <f t="shared" si="2"/>
        <v>5500</v>
      </c>
      <c r="I164" s="349">
        <v>0</v>
      </c>
      <c r="J164" s="349">
        <f t="shared" si="3"/>
        <v>5500</v>
      </c>
      <c r="K164" s="159">
        <v>1</v>
      </c>
      <c r="L164" s="13">
        <f t="shared" si="0"/>
        <v>5500</v>
      </c>
      <c r="N164" s="16"/>
      <c r="O164" s="349">
        <v>0</v>
      </c>
      <c r="P164" s="349">
        <v>0</v>
      </c>
      <c r="Q164" s="349">
        <v>0</v>
      </c>
      <c r="R164" s="349">
        <f t="shared" si="20"/>
        <v>0</v>
      </c>
      <c r="S164" s="349">
        <v>0</v>
      </c>
      <c r="T164" s="349">
        <v>0</v>
      </c>
      <c r="U164" s="349">
        <f t="shared" si="21"/>
        <v>0</v>
      </c>
      <c r="V164" s="349">
        <v>0</v>
      </c>
      <c r="W164" s="349">
        <v>5500</v>
      </c>
      <c r="X164" s="249">
        <f t="shared" si="25"/>
        <v>5500</v>
      </c>
      <c r="Y164" s="8" t="b">
        <f t="shared" si="24"/>
        <v>1</v>
      </c>
    </row>
    <row r="165" spans="1:25" ht="12.75">
      <c r="A165" s="16">
        <v>151</v>
      </c>
      <c r="B165" t="s">
        <v>290</v>
      </c>
      <c r="C165" t="s">
        <v>532</v>
      </c>
      <c r="E165" s="349">
        <v>1000</v>
      </c>
      <c r="F165" s="349">
        <v>0</v>
      </c>
      <c r="G165" s="349">
        <v>0</v>
      </c>
      <c r="H165" s="349">
        <f>+E165+F165+G165</f>
        <v>1000</v>
      </c>
      <c r="I165" s="349">
        <v>0</v>
      </c>
      <c r="J165" s="349">
        <f>+H165+I165</f>
        <v>1000</v>
      </c>
      <c r="K165" s="159">
        <v>1</v>
      </c>
      <c r="L165" s="13">
        <f>+J165*K165</f>
        <v>1000</v>
      </c>
      <c r="N165" s="16"/>
      <c r="O165" s="349">
        <v>0</v>
      </c>
      <c r="P165" s="349">
        <v>0</v>
      </c>
      <c r="Q165" s="349">
        <v>0</v>
      </c>
      <c r="R165" s="349">
        <f t="shared" si="20"/>
        <v>0</v>
      </c>
      <c r="S165" s="349">
        <v>0</v>
      </c>
      <c r="T165" s="349">
        <v>0</v>
      </c>
      <c r="U165" s="349">
        <f t="shared" si="21"/>
        <v>0</v>
      </c>
      <c r="V165" s="349">
        <v>0</v>
      </c>
      <c r="W165" s="349">
        <v>1000</v>
      </c>
      <c r="X165" s="249">
        <f t="shared" si="25"/>
        <v>1000</v>
      </c>
      <c r="Y165" s="8" t="b">
        <f t="shared" si="24"/>
        <v>1</v>
      </c>
    </row>
    <row r="166" spans="1:25" ht="12.75">
      <c r="A166" s="16">
        <v>152</v>
      </c>
      <c r="B166" t="s">
        <v>290</v>
      </c>
      <c r="C166" t="s">
        <v>533</v>
      </c>
      <c r="E166" s="349">
        <v>2470</v>
      </c>
      <c r="F166" s="349">
        <v>0</v>
      </c>
      <c r="G166" s="349">
        <v>0</v>
      </c>
      <c r="H166" s="349">
        <f t="shared" si="2"/>
        <v>2470</v>
      </c>
      <c r="I166" s="349">
        <v>0</v>
      </c>
      <c r="J166" s="349">
        <f t="shared" si="3"/>
        <v>2470</v>
      </c>
      <c r="K166" s="159">
        <v>1</v>
      </c>
      <c r="L166" s="13">
        <f t="shared" si="0"/>
        <v>2470</v>
      </c>
      <c r="N166" s="16"/>
      <c r="O166" s="349">
        <v>0</v>
      </c>
      <c r="P166" s="349">
        <v>0</v>
      </c>
      <c r="Q166" s="349">
        <v>0</v>
      </c>
      <c r="R166" s="349">
        <f t="shared" si="20"/>
        <v>0</v>
      </c>
      <c r="S166" s="349">
        <v>0</v>
      </c>
      <c r="T166" s="349">
        <v>0</v>
      </c>
      <c r="U166" s="349">
        <f t="shared" si="21"/>
        <v>0</v>
      </c>
      <c r="V166" s="349">
        <v>0</v>
      </c>
      <c r="W166" s="349">
        <v>2470</v>
      </c>
      <c r="X166" s="249">
        <f t="shared" si="25"/>
        <v>2470</v>
      </c>
      <c r="Y166" s="8" t="b">
        <f t="shared" si="24"/>
        <v>1</v>
      </c>
    </row>
    <row r="167" spans="1:25" ht="12.75">
      <c r="A167" s="16">
        <v>153</v>
      </c>
      <c r="B167" t="s">
        <v>290</v>
      </c>
      <c r="C167" t="s">
        <v>898</v>
      </c>
      <c r="E167" s="349">
        <v>1350</v>
      </c>
      <c r="F167" s="349">
        <v>0</v>
      </c>
      <c r="G167" s="349">
        <v>0</v>
      </c>
      <c r="H167" s="349">
        <f t="shared" si="2"/>
        <v>1350</v>
      </c>
      <c r="I167" s="349">
        <v>0</v>
      </c>
      <c r="J167" s="349">
        <f t="shared" si="3"/>
        <v>1350</v>
      </c>
      <c r="K167" s="159">
        <v>1</v>
      </c>
      <c r="L167" s="13">
        <f t="shared" si="0"/>
        <v>1350</v>
      </c>
      <c r="N167" s="16"/>
      <c r="O167" s="349">
        <v>0</v>
      </c>
      <c r="P167" s="349">
        <v>0</v>
      </c>
      <c r="Q167" s="349">
        <v>0</v>
      </c>
      <c r="R167" s="349">
        <f t="shared" si="20"/>
        <v>0</v>
      </c>
      <c r="S167" s="349">
        <v>0</v>
      </c>
      <c r="T167" s="349">
        <v>0</v>
      </c>
      <c r="U167" s="349">
        <f t="shared" si="21"/>
        <v>0</v>
      </c>
      <c r="V167" s="349">
        <v>0</v>
      </c>
      <c r="W167" s="349">
        <v>1350</v>
      </c>
      <c r="X167" s="249">
        <f t="shared" si="25"/>
        <v>1350</v>
      </c>
      <c r="Y167" s="8" t="b">
        <f t="shared" si="24"/>
        <v>1</v>
      </c>
    </row>
    <row r="168" spans="1:25" ht="12.75">
      <c r="A168" s="16">
        <v>154</v>
      </c>
      <c r="B168" t="s">
        <v>290</v>
      </c>
      <c r="C168" t="s">
        <v>534</v>
      </c>
      <c r="E168" s="349">
        <v>550</v>
      </c>
      <c r="F168" s="349">
        <v>0</v>
      </c>
      <c r="G168" s="349">
        <v>0</v>
      </c>
      <c r="H168" s="349">
        <f t="shared" si="2"/>
        <v>550</v>
      </c>
      <c r="I168" s="349">
        <v>0</v>
      </c>
      <c r="J168" s="349">
        <f t="shared" si="3"/>
        <v>550</v>
      </c>
      <c r="K168" s="159">
        <v>1</v>
      </c>
      <c r="L168" s="13">
        <f t="shared" si="0"/>
        <v>550</v>
      </c>
      <c r="N168" s="16"/>
      <c r="O168" s="349">
        <v>0</v>
      </c>
      <c r="P168" s="349">
        <v>0</v>
      </c>
      <c r="Q168" s="349">
        <v>0</v>
      </c>
      <c r="R168" s="349">
        <f t="shared" si="20"/>
        <v>0</v>
      </c>
      <c r="S168" s="349">
        <v>0</v>
      </c>
      <c r="T168" s="349">
        <v>0</v>
      </c>
      <c r="U168" s="349">
        <f t="shared" si="21"/>
        <v>0</v>
      </c>
      <c r="V168" s="349">
        <v>0</v>
      </c>
      <c r="W168" s="349">
        <v>550</v>
      </c>
      <c r="X168" s="249">
        <f t="shared" si="25"/>
        <v>550</v>
      </c>
      <c r="Y168" s="8" t="b">
        <f t="shared" si="24"/>
        <v>1</v>
      </c>
    </row>
    <row r="169" spans="1:25" ht="12.75">
      <c r="A169" s="16">
        <v>155</v>
      </c>
      <c r="B169" t="s">
        <v>290</v>
      </c>
      <c r="C169" t="s">
        <v>899</v>
      </c>
      <c r="E169" s="349">
        <v>216</v>
      </c>
      <c r="F169" s="349">
        <v>0</v>
      </c>
      <c r="G169" s="349">
        <v>0</v>
      </c>
      <c r="H169" s="349">
        <f t="shared" si="2"/>
        <v>216</v>
      </c>
      <c r="I169" s="349">
        <v>0</v>
      </c>
      <c r="J169" s="349">
        <f t="shared" si="3"/>
        <v>216</v>
      </c>
      <c r="K169" s="159">
        <v>1</v>
      </c>
      <c r="L169" s="13">
        <f t="shared" si="0"/>
        <v>216</v>
      </c>
      <c r="N169" s="16"/>
      <c r="O169" s="349">
        <v>0</v>
      </c>
      <c r="P169" s="349">
        <v>0</v>
      </c>
      <c r="Q169" s="349">
        <v>0</v>
      </c>
      <c r="R169" s="349">
        <f t="shared" si="20"/>
        <v>0</v>
      </c>
      <c r="S169" s="349">
        <v>0</v>
      </c>
      <c r="T169" s="349">
        <v>0</v>
      </c>
      <c r="U169" s="349">
        <f t="shared" si="21"/>
        <v>0</v>
      </c>
      <c r="V169" s="349">
        <v>0</v>
      </c>
      <c r="W169" s="349">
        <v>216</v>
      </c>
      <c r="X169" s="249">
        <f t="shared" si="25"/>
        <v>216</v>
      </c>
      <c r="Y169" s="8" t="b">
        <f t="shared" si="24"/>
        <v>1</v>
      </c>
    </row>
    <row r="170" spans="1:25" ht="12.75">
      <c r="A170" s="16">
        <v>156</v>
      </c>
      <c r="B170" t="s">
        <v>290</v>
      </c>
      <c r="C170" t="s">
        <v>535</v>
      </c>
      <c r="E170" s="349">
        <v>1000</v>
      </c>
      <c r="F170" s="349">
        <v>0</v>
      </c>
      <c r="G170" s="349">
        <v>0</v>
      </c>
      <c r="H170" s="349">
        <f t="shared" si="2"/>
        <v>1000</v>
      </c>
      <c r="I170" s="349">
        <v>0</v>
      </c>
      <c r="J170" s="349">
        <f t="shared" si="3"/>
        <v>1000</v>
      </c>
      <c r="K170" s="159">
        <v>1</v>
      </c>
      <c r="L170" s="13">
        <f t="shared" si="0"/>
        <v>1000</v>
      </c>
      <c r="N170" s="16"/>
      <c r="O170" s="349">
        <v>0</v>
      </c>
      <c r="P170" s="349">
        <v>0</v>
      </c>
      <c r="Q170" s="349">
        <v>0</v>
      </c>
      <c r="R170" s="349">
        <f t="shared" si="20"/>
        <v>0</v>
      </c>
      <c r="S170" s="349">
        <v>0</v>
      </c>
      <c r="T170" s="349">
        <v>0</v>
      </c>
      <c r="U170" s="349">
        <f t="shared" si="21"/>
        <v>0</v>
      </c>
      <c r="V170" s="349">
        <v>0</v>
      </c>
      <c r="W170" s="349">
        <v>1000</v>
      </c>
      <c r="X170" s="249">
        <f t="shared" si="25"/>
        <v>1000</v>
      </c>
      <c r="Y170" s="8" t="b">
        <f t="shared" si="24"/>
        <v>1</v>
      </c>
    </row>
    <row r="171" spans="1:25" ht="12.75">
      <c r="A171" s="16">
        <v>157</v>
      </c>
      <c r="B171" t="s">
        <v>290</v>
      </c>
      <c r="C171" t="s">
        <v>536</v>
      </c>
      <c r="E171" s="349">
        <v>3000</v>
      </c>
      <c r="F171" s="349">
        <v>0</v>
      </c>
      <c r="G171" s="349">
        <v>0</v>
      </c>
      <c r="H171" s="349">
        <f t="shared" si="2"/>
        <v>3000</v>
      </c>
      <c r="I171" s="349">
        <v>0</v>
      </c>
      <c r="J171" s="349">
        <f t="shared" si="3"/>
        <v>3000</v>
      </c>
      <c r="K171" s="159">
        <v>1</v>
      </c>
      <c r="L171" s="13">
        <f t="shared" si="0"/>
        <v>3000</v>
      </c>
      <c r="N171" s="16"/>
      <c r="O171" s="349">
        <v>0</v>
      </c>
      <c r="P171" s="349">
        <v>0</v>
      </c>
      <c r="Q171" s="349">
        <v>0</v>
      </c>
      <c r="R171" s="349">
        <f t="shared" si="20"/>
        <v>0</v>
      </c>
      <c r="S171" s="349">
        <v>0</v>
      </c>
      <c r="T171" s="349">
        <v>0</v>
      </c>
      <c r="U171" s="349">
        <f t="shared" si="21"/>
        <v>0</v>
      </c>
      <c r="V171" s="349">
        <v>0</v>
      </c>
      <c r="W171" s="349">
        <v>3000</v>
      </c>
      <c r="X171" s="249">
        <f t="shared" si="25"/>
        <v>3000</v>
      </c>
      <c r="Y171" s="8" t="b">
        <f t="shared" si="24"/>
        <v>1</v>
      </c>
    </row>
    <row r="172" spans="1:25" ht="12.75">
      <c r="A172" s="16">
        <v>158</v>
      </c>
      <c r="B172" t="s">
        <v>290</v>
      </c>
      <c r="C172" t="s">
        <v>774</v>
      </c>
      <c r="E172" s="349">
        <v>1200</v>
      </c>
      <c r="F172" s="349">
        <v>0</v>
      </c>
      <c r="G172" s="349">
        <v>0</v>
      </c>
      <c r="H172" s="349">
        <f t="shared" si="2"/>
        <v>1200</v>
      </c>
      <c r="I172" s="349">
        <v>0</v>
      </c>
      <c r="J172" s="349">
        <f t="shared" si="3"/>
        <v>1200</v>
      </c>
      <c r="K172" s="159">
        <v>1</v>
      </c>
      <c r="L172" s="13">
        <f t="shared" si="0"/>
        <v>1200</v>
      </c>
      <c r="N172" s="16"/>
      <c r="O172" s="349">
        <v>0</v>
      </c>
      <c r="P172" s="349">
        <v>0</v>
      </c>
      <c r="Q172" s="349">
        <v>0</v>
      </c>
      <c r="R172" s="349">
        <f t="shared" si="20"/>
        <v>0</v>
      </c>
      <c r="S172" s="349">
        <v>0</v>
      </c>
      <c r="T172" s="349">
        <v>0</v>
      </c>
      <c r="U172" s="349">
        <f t="shared" si="21"/>
        <v>0</v>
      </c>
      <c r="V172" s="349">
        <v>0</v>
      </c>
      <c r="W172" s="349">
        <v>1200</v>
      </c>
      <c r="X172" s="249">
        <f t="shared" si="25"/>
        <v>1200</v>
      </c>
      <c r="Y172" s="8" t="b">
        <f t="shared" si="24"/>
        <v>1</v>
      </c>
    </row>
    <row r="173" spans="1:25" ht="12.75">
      <c r="A173" s="16">
        <v>159</v>
      </c>
      <c r="B173" t="s">
        <v>290</v>
      </c>
      <c r="C173" t="s">
        <v>537</v>
      </c>
      <c r="E173" s="349">
        <v>500</v>
      </c>
      <c r="F173" s="349">
        <v>0</v>
      </c>
      <c r="G173" s="349">
        <v>0</v>
      </c>
      <c r="H173" s="349">
        <f t="shared" si="2"/>
        <v>500</v>
      </c>
      <c r="I173" s="349">
        <v>0</v>
      </c>
      <c r="J173" s="349">
        <f t="shared" si="3"/>
        <v>500</v>
      </c>
      <c r="K173" s="159">
        <v>1</v>
      </c>
      <c r="L173" s="13">
        <f t="shared" si="0"/>
        <v>500</v>
      </c>
      <c r="N173" s="16"/>
      <c r="O173" s="349">
        <v>0</v>
      </c>
      <c r="P173" s="349">
        <v>0</v>
      </c>
      <c r="Q173" s="349">
        <v>0</v>
      </c>
      <c r="R173" s="349">
        <f t="shared" si="20"/>
        <v>0</v>
      </c>
      <c r="S173" s="349">
        <v>0</v>
      </c>
      <c r="T173" s="349">
        <v>0</v>
      </c>
      <c r="U173" s="349">
        <f t="shared" si="21"/>
        <v>0</v>
      </c>
      <c r="V173" s="349">
        <v>0</v>
      </c>
      <c r="W173" s="349">
        <v>500</v>
      </c>
      <c r="X173" s="249">
        <f t="shared" si="25"/>
        <v>500</v>
      </c>
      <c r="Y173" s="8" t="b">
        <f t="shared" si="24"/>
        <v>1</v>
      </c>
    </row>
    <row r="174" spans="1:25" ht="12.75">
      <c r="A174" s="16">
        <v>160</v>
      </c>
      <c r="B174" t="s">
        <v>290</v>
      </c>
      <c r="C174" t="s">
        <v>538</v>
      </c>
      <c r="E174" s="349">
        <v>325</v>
      </c>
      <c r="F174" s="349">
        <v>0</v>
      </c>
      <c r="G174" s="349">
        <v>0</v>
      </c>
      <c r="H174" s="349">
        <f t="shared" si="2"/>
        <v>325</v>
      </c>
      <c r="I174" s="349">
        <v>0</v>
      </c>
      <c r="J174" s="349">
        <f t="shared" si="3"/>
        <v>325</v>
      </c>
      <c r="K174" s="159">
        <v>1</v>
      </c>
      <c r="L174" s="13">
        <f t="shared" si="0"/>
        <v>325</v>
      </c>
      <c r="N174" s="16"/>
      <c r="O174" s="349">
        <v>0</v>
      </c>
      <c r="P174" s="349">
        <v>0</v>
      </c>
      <c r="Q174" s="349">
        <v>0</v>
      </c>
      <c r="R174" s="349">
        <f t="shared" si="20"/>
        <v>0</v>
      </c>
      <c r="S174" s="349">
        <v>0</v>
      </c>
      <c r="T174" s="349">
        <v>0</v>
      </c>
      <c r="U174" s="349">
        <f t="shared" si="21"/>
        <v>0</v>
      </c>
      <c r="V174" s="349">
        <v>0</v>
      </c>
      <c r="W174" s="349">
        <v>325</v>
      </c>
      <c r="X174" s="249">
        <f t="shared" si="25"/>
        <v>325</v>
      </c>
      <c r="Y174" s="8" t="b">
        <f t="shared" si="24"/>
        <v>1</v>
      </c>
    </row>
    <row r="175" spans="1:25" ht="12.75">
      <c r="A175" s="16">
        <v>161</v>
      </c>
      <c r="B175" t="s">
        <v>290</v>
      </c>
      <c r="C175" t="s">
        <v>900</v>
      </c>
      <c r="E175" s="349">
        <v>1000</v>
      </c>
      <c r="F175" s="349">
        <v>0</v>
      </c>
      <c r="G175" s="349">
        <v>0</v>
      </c>
      <c r="H175" s="349">
        <f t="shared" si="2"/>
        <v>1000</v>
      </c>
      <c r="I175" s="349">
        <v>0</v>
      </c>
      <c r="J175" s="349">
        <f t="shared" si="3"/>
        <v>1000</v>
      </c>
      <c r="K175" s="159">
        <v>1</v>
      </c>
      <c r="L175" s="13">
        <f t="shared" si="0"/>
        <v>1000</v>
      </c>
      <c r="N175" s="16"/>
      <c r="O175" s="349">
        <v>0</v>
      </c>
      <c r="P175" s="349">
        <v>0</v>
      </c>
      <c r="Q175" s="349">
        <v>0</v>
      </c>
      <c r="R175" s="349">
        <f t="shared" si="20"/>
        <v>0</v>
      </c>
      <c r="S175" s="349">
        <v>0</v>
      </c>
      <c r="T175" s="349">
        <v>0</v>
      </c>
      <c r="U175" s="349">
        <f t="shared" si="21"/>
        <v>0</v>
      </c>
      <c r="V175" s="349">
        <v>0</v>
      </c>
      <c r="W175" s="349">
        <v>1000</v>
      </c>
      <c r="X175" s="249">
        <f t="shared" si="25"/>
        <v>1000</v>
      </c>
      <c r="Y175" s="8" t="b">
        <f t="shared" si="24"/>
        <v>1</v>
      </c>
    </row>
    <row r="176" spans="1:25" ht="12.75">
      <c r="A176" s="16">
        <v>162</v>
      </c>
      <c r="B176" t="s">
        <v>290</v>
      </c>
      <c r="C176" t="s">
        <v>539</v>
      </c>
      <c r="E176" s="349">
        <v>3500</v>
      </c>
      <c r="F176" s="349">
        <v>0</v>
      </c>
      <c r="G176" s="349">
        <v>0</v>
      </c>
      <c r="H176" s="349">
        <f t="shared" si="2"/>
        <v>3500</v>
      </c>
      <c r="I176" s="349">
        <v>0</v>
      </c>
      <c r="J176" s="349">
        <f t="shared" si="3"/>
        <v>3500</v>
      </c>
      <c r="K176" s="159">
        <v>1</v>
      </c>
      <c r="L176" s="13">
        <f t="shared" si="0"/>
        <v>3500</v>
      </c>
      <c r="N176" s="16"/>
      <c r="O176" s="349">
        <v>0</v>
      </c>
      <c r="P176" s="349">
        <v>0</v>
      </c>
      <c r="Q176" s="349">
        <v>0</v>
      </c>
      <c r="R176" s="349">
        <f t="shared" si="20"/>
        <v>0</v>
      </c>
      <c r="S176" s="349">
        <v>0</v>
      </c>
      <c r="T176" s="349">
        <v>0</v>
      </c>
      <c r="U176" s="349">
        <f t="shared" si="21"/>
        <v>0</v>
      </c>
      <c r="V176" s="349">
        <v>0</v>
      </c>
      <c r="W176" s="349">
        <v>3500</v>
      </c>
      <c r="X176" s="249">
        <f t="shared" si="25"/>
        <v>3500</v>
      </c>
      <c r="Y176" s="8" t="b">
        <f t="shared" si="24"/>
        <v>1</v>
      </c>
    </row>
    <row r="177" spans="1:25" ht="12.75">
      <c r="A177" s="16">
        <v>163</v>
      </c>
      <c r="B177" t="s">
        <v>290</v>
      </c>
      <c r="C177" t="s">
        <v>540</v>
      </c>
      <c r="E177" s="349">
        <v>13000</v>
      </c>
      <c r="F177" s="349">
        <v>0</v>
      </c>
      <c r="G177" s="349">
        <v>0</v>
      </c>
      <c r="H177" s="349">
        <f t="shared" si="2"/>
        <v>13000</v>
      </c>
      <c r="I177" s="349">
        <v>0</v>
      </c>
      <c r="J177" s="349">
        <f t="shared" si="3"/>
        <v>13000</v>
      </c>
      <c r="K177" s="159">
        <v>1</v>
      </c>
      <c r="L177" s="13">
        <f t="shared" si="0"/>
        <v>13000</v>
      </c>
      <c r="N177" s="16"/>
      <c r="O177" s="349">
        <v>0</v>
      </c>
      <c r="P177" s="349">
        <v>0</v>
      </c>
      <c r="Q177" s="349">
        <v>0</v>
      </c>
      <c r="R177" s="349">
        <f t="shared" si="20"/>
        <v>0</v>
      </c>
      <c r="S177" s="349">
        <v>0</v>
      </c>
      <c r="T177" s="349">
        <v>0</v>
      </c>
      <c r="U177" s="349">
        <f t="shared" si="21"/>
        <v>0</v>
      </c>
      <c r="V177" s="349">
        <v>0</v>
      </c>
      <c r="W177" s="349">
        <v>13000</v>
      </c>
      <c r="X177" s="249">
        <f t="shared" si="25"/>
        <v>13000</v>
      </c>
      <c r="Y177" s="8" t="b">
        <f t="shared" si="24"/>
        <v>1</v>
      </c>
    </row>
    <row r="178" spans="1:25" ht="12.75">
      <c r="A178" s="16">
        <v>164</v>
      </c>
      <c r="B178" t="s">
        <v>290</v>
      </c>
      <c r="C178" t="s">
        <v>541</v>
      </c>
      <c r="E178" s="349">
        <v>20000</v>
      </c>
      <c r="F178" s="349">
        <v>0</v>
      </c>
      <c r="G178" s="349">
        <v>0</v>
      </c>
      <c r="H178" s="349">
        <f t="shared" si="2"/>
        <v>20000</v>
      </c>
      <c r="I178" s="349">
        <v>0</v>
      </c>
      <c r="J178" s="349">
        <f t="shared" si="3"/>
        <v>20000</v>
      </c>
      <c r="K178" s="159">
        <v>1</v>
      </c>
      <c r="L178" s="13">
        <f t="shared" si="0"/>
        <v>20000</v>
      </c>
      <c r="N178" s="16"/>
      <c r="O178" s="349">
        <v>0</v>
      </c>
      <c r="P178" s="349">
        <v>0</v>
      </c>
      <c r="Q178" s="349">
        <v>0</v>
      </c>
      <c r="R178" s="349">
        <f t="shared" si="20"/>
        <v>0</v>
      </c>
      <c r="S178" s="349">
        <v>0</v>
      </c>
      <c r="T178" s="349">
        <v>0</v>
      </c>
      <c r="U178" s="349">
        <f t="shared" si="21"/>
        <v>0</v>
      </c>
      <c r="V178" s="349">
        <v>0</v>
      </c>
      <c r="W178" s="349">
        <v>20000</v>
      </c>
      <c r="X178" s="249">
        <f t="shared" si="25"/>
        <v>20000</v>
      </c>
      <c r="Y178" s="8" t="b">
        <f t="shared" si="24"/>
        <v>1</v>
      </c>
    </row>
    <row r="179" spans="1:25" ht="12.75">
      <c r="A179" s="16">
        <v>165</v>
      </c>
      <c r="B179" t="s">
        <v>290</v>
      </c>
      <c r="C179" t="s">
        <v>542</v>
      </c>
      <c r="E179" s="349">
        <v>250</v>
      </c>
      <c r="F179" s="349">
        <v>0</v>
      </c>
      <c r="G179" s="349">
        <v>0</v>
      </c>
      <c r="H179" s="349">
        <f t="shared" si="2"/>
        <v>250</v>
      </c>
      <c r="I179" s="349">
        <v>0</v>
      </c>
      <c r="J179" s="349">
        <f t="shared" si="3"/>
        <v>250</v>
      </c>
      <c r="K179" s="159">
        <v>1</v>
      </c>
      <c r="L179" s="13">
        <f t="shared" si="0"/>
        <v>250</v>
      </c>
      <c r="N179" s="16"/>
      <c r="O179" s="349">
        <v>0</v>
      </c>
      <c r="P179" s="349">
        <v>0</v>
      </c>
      <c r="Q179" s="349">
        <v>0</v>
      </c>
      <c r="R179" s="349">
        <f t="shared" si="20"/>
        <v>0</v>
      </c>
      <c r="S179" s="349">
        <v>0</v>
      </c>
      <c r="T179" s="349">
        <v>0</v>
      </c>
      <c r="U179" s="349">
        <f t="shared" si="21"/>
        <v>0</v>
      </c>
      <c r="V179" s="349">
        <v>0</v>
      </c>
      <c r="W179" s="349">
        <v>250</v>
      </c>
      <c r="X179" s="249">
        <f t="shared" si="25"/>
        <v>250</v>
      </c>
      <c r="Y179" s="8" t="b">
        <f t="shared" si="24"/>
        <v>1</v>
      </c>
    </row>
    <row r="180" spans="1:25" ht="12.75">
      <c r="A180" s="16">
        <v>166</v>
      </c>
      <c r="B180" t="s">
        <v>290</v>
      </c>
      <c r="C180" t="s">
        <v>543</v>
      </c>
      <c r="E180" s="349">
        <v>8100</v>
      </c>
      <c r="F180" s="349">
        <v>0</v>
      </c>
      <c r="G180" s="349">
        <v>0</v>
      </c>
      <c r="H180" s="349">
        <f t="shared" si="2"/>
        <v>8100</v>
      </c>
      <c r="I180" s="349">
        <v>0</v>
      </c>
      <c r="J180" s="349">
        <f t="shared" si="3"/>
        <v>8100</v>
      </c>
      <c r="K180" s="159">
        <v>1</v>
      </c>
      <c r="L180" s="13">
        <f t="shared" si="0"/>
        <v>8100</v>
      </c>
      <c r="N180" s="16"/>
      <c r="O180" s="349">
        <v>0</v>
      </c>
      <c r="P180" s="349">
        <v>0</v>
      </c>
      <c r="Q180" s="349">
        <v>0</v>
      </c>
      <c r="R180" s="349">
        <f t="shared" si="20"/>
        <v>0</v>
      </c>
      <c r="S180" s="349">
        <v>0</v>
      </c>
      <c r="T180" s="349">
        <v>0</v>
      </c>
      <c r="U180" s="349">
        <f t="shared" si="21"/>
        <v>0</v>
      </c>
      <c r="V180" s="349">
        <v>0</v>
      </c>
      <c r="W180" s="349">
        <v>8100</v>
      </c>
      <c r="X180" s="249">
        <f t="shared" si="25"/>
        <v>8100</v>
      </c>
      <c r="Y180" s="8" t="b">
        <f t="shared" si="24"/>
        <v>1</v>
      </c>
    </row>
    <row r="181" spans="1:25" ht="12.75">
      <c r="A181" s="16">
        <v>167</v>
      </c>
      <c r="B181" t="s">
        <v>290</v>
      </c>
      <c r="C181" t="s">
        <v>544</v>
      </c>
      <c r="E181" s="349">
        <v>13350</v>
      </c>
      <c r="F181" s="349">
        <v>0</v>
      </c>
      <c r="G181" s="349">
        <v>0</v>
      </c>
      <c r="H181" s="349">
        <f t="shared" si="2"/>
        <v>13350</v>
      </c>
      <c r="I181" s="349">
        <v>0</v>
      </c>
      <c r="J181" s="349">
        <f t="shared" si="3"/>
        <v>13350</v>
      </c>
      <c r="K181" s="159">
        <v>1</v>
      </c>
      <c r="L181" s="13">
        <f t="shared" si="0"/>
        <v>13350</v>
      </c>
      <c r="N181" s="16"/>
      <c r="O181" s="349">
        <v>0</v>
      </c>
      <c r="P181" s="349">
        <v>0</v>
      </c>
      <c r="Q181" s="349">
        <v>0</v>
      </c>
      <c r="R181" s="349">
        <f t="shared" si="20"/>
        <v>0</v>
      </c>
      <c r="S181" s="349">
        <v>0</v>
      </c>
      <c r="T181" s="349">
        <v>0</v>
      </c>
      <c r="U181" s="349">
        <f t="shared" si="21"/>
        <v>0</v>
      </c>
      <c r="V181" s="349">
        <v>0</v>
      </c>
      <c r="W181" s="349">
        <v>13350</v>
      </c>
      <c r="X181" s="249">
        <f t="shared" si="25"/>
        <v>13350</v>
      </c>
      <c r="Y181" s="8" t="b">
        <f t="shared" si="24"/>
        <v>1</v>
      </c>
    </row>
    <row r="182" spans="1:25" ht="12.75">
      <c r="A182" s="16">
        <v>168</v>
      </c>
      <c r="B182" t="s">
        <v>290</v>
      </c>
      <c r="C182" t="s">
        <v>545</v>
      </c>
      <c r="E182" s="349">
        <v>10500</v>
      </c>
      <c r="F182" s="349">
        <v>0</v>
      </c>
      <c r="G182" s="349">
        <v>0</v>
      </c>
      <c r="H182" s="349">
        <f t="shared" si="2"/>
        <v>10500</v>
      </c>
      <c r="I182" s="349">
        <v>0</v>
      </c>
      <c r="J182" s="349">
        <f t="shared" si="3"/>
        <v>10500</v>
      </c>
      <c r="K182" s="159">
        <v>1</v>
      </c>
      <c r="L182" s="13">
        <f t="shared" si="0"/>
        <v>10500</v>
      </c>
      <c r="N182" s="16"/>
      <c r="O182" s="349">
        <v>0</v>
      </c>
      <c r="P182" s="349">
        <v>0</v>
      </c>
      <c r="Q182" s="349">
        <v>0</v>
      </c>
      <c r="R182" s="349">
        <f t="shared" si="20"/>
        <v>0</v>
      </c>
      <c r="S182" s="349">
        <v>0</v>
      </c>
      <c r="T182" s="349">
        <v>0</v>
      </c>
      <c r="U182" s="349">
        <f t="shared" si="21"/>
        <v>0</v>
      </c>
      <c r="V182" s="349">
        <v>0</v>
      </c>
      <c r="W182" s="349">
        <v>10500</v>
      </c>
      <c r="X182" s="249">
        <f t="shared" si="25"/>
        <v>10500</v>
      </c>
      <c r="Y182" s="8" t="b">
        <f t="shared" si="24"/>
        <v>1</v>
      </c>
    </row>
    <row r="183" spans="1:25" ht="12.75">
      <c r="A183" s="16">
        <v>169</v>
      </c>
      <c r="B183" t="s">
        <v>290</v>
      </c>
      <c r="C183" t="s">
        <v>546</v>
      </c>
      <c r="E183" s="349">
        <v>393</v>
      </c>
      <c r="F183" s="349">
        <v>0</v>
      </c>
      <c r="G183" s="349">
        <v>0</v>
      </c>
      <c r="H183" s="349">
        <f t="shared" si="2"/>
        <v>393</v>
      </c>
      <c r="I183" s="349">
        <v>0</v>
      </c>
      <c r="J183" s="349">
        <f t="shared" si="3"/>
        <v>393</v>
      </c>
      <c r="K183" s="159">
        <v>1</v>
      </c>
      <c r="L183" s="13">
        <f t="shared" si="0"/>
        <v>393</v>
      </c>
      <c r="N183" s="16"/>
      <c r="O183" s="349">
        <v>0</v>
      </c>
      <c r="P183" s="349">
        <v>0</v>
      </c>
      <c r="Q183" s="349">
        <v>0</v>
      </c>
      <c r="R183" s="349">
        <f t="shared" si="20"/>
        <v>0</v>
      </c>
      <c r="S183" s="349">
        <v>0</v>
      </c>
      <c r="T183" s="349">
        <v>0</v>
      </c>
      <c r="U183" s="349">
        <f t="shared" si="21"/>
        <v>0</v>
      </c>
      <c r="V183" s="349">
        <v>0</v>
      </c>
      <c r="W183" s="349">
        <v>393</v>
      </c>
      <c r="X183" s="249">
        <f t="shared" si="25"/>
        <v>393</v>
      </c>
      <c r="Y183" s="8" t="b">
        <f t="shared" si="24"/>
        <v>1</v>
      </c>
    </row>
    <row r="184" spans="1:25" ht="12.75">
      <c r="A184" s="16">
        <v>170</v>
      </c>
      <c r="B184" t="s">
        <v>290</v>
      </c>
      <c r="C184" t="s">
        <v>960</v>
      </c>
      <c r="E184" s="349">
        <v>2500</v>
      </c>
      <c r="F184" s="349">
        <v>0</v>
      </c>
      <c r="G184" s="349">
        <v>0</v>
      </c>
      <c r="H184" s="349">
        <f t="shared" si="2"/>
        <v>2500</v>
      </c>
      <c r="I184" s="349">
        <v>0</v>
      </c>
      <c r="J184" s="349">
        <f t="shared" si="3"/>
        <v>2500</v>
      </c>
      <c r="K184" s="159">
        <v>1</v>
      </c>
      <c r="L184" s="13">
        <f t="shared" si="0"/>
        <v>2500</v>
      </c>
      <c r="N184" s="16"/>
      <c r="O184" s="349">
        <v>0</v>
      </c>
      <c r="P184" s="349">
        <v>0</v>
      </c>
      <c r="Q184" s="349">
        <v>0</v>
      </c>
      <c r="R184" s="349">
        <f t="shared" si="20"/>
        <v>0</v>
      </c>
      <c r="S184" s="349">
        <v>0</v>
      </c>
      <c r="T184" s="349">
        <v>0</v>
      </c>
      <c r="U184" s="349">
        <f t="shared" si="21"/>
        <v>0</v>
      </c>
      <c r="V184" s="349">
        <v>0</v>
      </c>
      <c r="W184" s="349">
        <v>2500</v>
      </c>
      <c r="X184" s="249">
        <f t="shared" si="25"/>
        <v>2500</v>
      </c>
      <c r="Y184" s="8" t="b">
        <f t="shared" si="24"/>
        <v>1</v>
      </c>
    </row>
    <row r="185" spans="1:25" ht="12.75">
      <c r="A185" s="16">
        <v>171</v>
      </c>
      <c r="B185" t="s">
        <v>290</v>
      </c>
      <c r="C185" t="s">
        <v>547</v>
      </c>
      <c r="E185" s="349">
        <v>1475</v>
      </c>
      <c r="F185" s="349">
        <v>0</v>
      </c>
      <c r="G185" s="349">
        <v>0</v>
      </c>
      <c r="H185" s="349">
        <f t="shared" si="2"/>
        <v>1475</v>
      </c>
      <c r="I185" s="349">
        <v>0</v>
      </c>
      <c r="J185" s="349">
        <f t="shared" si="3"/>
        <v>1475</v>
      </c>
      <c r="K185" s="159">
        <v>1</v>
      </c>
      <c r="L185" s="13">
        <f t="shared" si="0"/>
        <v>1475</v>
      </c>
      <c r="N185" s="16"/>
      <c r="O185" s="349">
        <v>0</v>
      </c>
      <c r="P185" s="349">
        <v>0</v>
      </c>
      <c r="Q185" s="349">
        <v>0</v>
      </c>
      <c r="R185" s="349">
        <f t="shared" si="20"/>
        <v>0</v>
      </c>
      <c r="S185" s="349">
        <v>0</v>
      </c>
      <c r="T185" s="349">
        <v>0</v>
      </c>
      <c r="U185" s="349">
        <f t="shared" si="21"/>
        <v>0</v>
      </c>
      <c r="V185" s="349">
        <v>0</v>
      </c>
      <c r="W185" s="349">
        <v>1475</v>
      </c>
      <c r="X185" s="249">
        <f t="shared" si="25"/>
        <v>1475</v>
      </c>
      <c r="Y185" s="8" t="b">
        <f t="shared" si="24"/>
        <v>1</v>
      </c>
    </row>
    <row r="186" spans="1:25" ht="12.75">
      <c r="A186" s="16">
        <v>172</v>
      </c>
      <c r="B186" t="s">
        <v>290</v>
      </c>
      <c r="C186" t="s">
        <v>777</v>
      </c>
      <c r="E186" s="349">
        <v>3750</v>
      </c>
      <c r="F186" s="349">
        <v>0</v>
      </c>
      <c r="G186" s="349">
        <v>0</v>
      </c>
      <c r="H186" s="349">
        <f t="shared" si="2"/>
        <v>3750</v>
      </c>
      <c r="I186" s="349">
        <v>0</v>
      </c>
      <c r="J186" s="349">
        <f t="shared" si="3"/>
        <v>3750</v>
      </c>
      <c r="K186" s="159">
        <v>1</v>
      </c>
      <c r="L186" s="13">
        <f t="shared" si="0"/>
        <v>3750</v>
      </c>
      <c r="N186" s="16"/>
      <c r="O186" s="349">
        <v>0</v>
      </c>
      <c r="P186" s="349">
        <v>0</v>
      </c>
      <c r="Q186" s="349">
        <v>0</v>
      </c>
      <c r="R186" s="349">
        <f t="shared" si="20"/>
        <v>0</v>
      </c>
      <c r="S186" s="349">
        <v>0</v>
      </c>
      <c r="T186" s="349">
        <v>0</v>
      </c>
      <c r="U186" s="349">
        <f t="shared" si="21"/>
        <v>0</v>
      </c>
      <c r="V186" s="349">
        <v>0</v>
      </c>
      <c r="W186" s="349">
        <v>3750</v>
      </c>
      <c r="X186" s="249">
        <f t="shared" si="25"/>
        <v>3750</v>
      </c>
      <c r="Y186" s="8" t="b">
        <f t="shared" si="24"/>
        <v>1</v>
      </c>
    </row>
    <row r="187" spans="1:25" ht="12.75">
      <c r="A187" s="16">
        <v>173</v>
      </c>
      <c r="B187" t="s">
        <v>290</v>
      </c>
      <c r="C187" t="s">
        <v>901</v>
      </c>
      <c r="E187" s="349">
        <v>950</v>
      </c>
      <c r="F187" s="349">
        <v>0</v>
      </c>
      <c r="G187" s="349">
        <v>0</v>
      </c>
      <c r="H187" s="349">
        <f t="shared" si="2"/>
        <v>950</v>
      </c>
      <c r="I187" s="349">
        <v>0</v>
      </c>
      <c r="J187" s="349">
        <f t="shared" si="3"/>
        <v>950</v>
      </c>
      <c r="K187" s="159">
        <v>1</v>
      </c>
      <c r="L187" s="13">
        <f t="shared" si="0"/>
        <v>950</v>
      </c>
      <c r="N187" s="16"/>
      <c r="O187" s="349">
        <v>0</v>
      </c>
      <c r="P187" s="349">
        <v>0</v>
      </c>
      <c r="Q187" s="349">
        <v>0</v>
      </c>
      <c r="R187" s="349">
        <f t="shared" si="20"/>
        <v>0</v>
      </c>
      <c r="S187" s="349">
        <v>0</v>
      </c>
      <c r="T187" s="349">
        <v>0</v>
      </c>
      <c r="U187" s="349">
        <f t="shared" si="21"/>
        <v>0</v>
      </c>
      <c r="V187" s="349">
        <v>0</v>
      </c>
      <c r="W187" s="349">
        <v>950</v>
      </c>
      <c r="X187" s="249">
        <f t="shared" si="25"/>
        <v>950</v>
      </c>
      <c r="Y187" s="8" t="b">
        <f t="shared" si="24"/>
        <v>1</v>
      </c>
    </row>
    <row r="188" spans="1:25" ht="12.75">
      <c r="A188" s="16">
        <v>174</v>
      </c>
      <c r="B188" t="s">
        <v>290</v>
      </c>
      <c r="C188" t="s">
        <v>548</v>
      </c>
      <c r="E188" s="349">
        <v>600</v>
      </c>
      <c r="F188" s="349">
        <v>0</v>
      </c>
      <c r="G188" s="349">
        <v>0</v>
      </c>
      <c r="H188" s="349">
        <f t="shared" si="2"/>
        <v>600</v>
      </c>
      <c r="I188" s="349">
        <v>0</v>
      </c>
      <c r="J188" s="349">
        <f t="shared" si="3"/>
        <v>600</v>
      </c>
      <c r="K188" s="159">
        <v>1</v>
      </c>
      <c r="L188" s="13">
        <f t="shared" si="0"/>
        <v>600</v>
      </c>
      <c r="N188" s="16"/>
      <c r="O188" s="349">
        <v>0</v>
      </c>
      <c r="P188" s="349">
        <v>0</v>
      </c>
      <c r="Q188" s="349">
        <v>0</v>
      </c>
      <c r="R188" s="349">
        <f t="shared" si="20"/>
        <v>0</v>
      </c>
      <c r="S188" s="349">
        <v>0</v>
      </c>
      <c r="T188" s="349">
        <v>0</v>
      </c>
      <c r="U188" s="349">
        <f t="shared" si="21"/>
        <v>0</v>
      </c>
      <c r="V188" s="349">
        <v>0</v>
      </c>
      <c r="W188" s="349">
        <v>600</v>
      </c>
      <c r="X188" s="249">
        <f t="shared" si="25"/>
        <v>600</v>
      </c>
      <c r="Y188" s="8" t="b">
        <f t="shared" si="24"/>
        <v>1</v>
      </c>
    </row>
    <row r="189" spans="1:25" ht="12.75">
      <c r="A189" s="16">
        <v>175</v>
      </c>
      <c r="B189" t="s">
        <v>290</v>
      </c>
      <c r="C189" t="s">
        <v>902</v>
      </c>
      <c r="E189" s="349">
        <v>500</v>
      </c>
      <c r="F189" s="349">
        <v>0</v>
      </c>
      <c r="G189" s="349">
        <v>0</v>
      </c>
      <c r="H189" s="349">
        <f t="shared" si="26" ref="H189:H229">+E189+F189+G189</f>
        <v>500</v>
      </c>
      <c r="I189" s="349">
        <v>0</v>
      </c>
      <c r="J189" s="349">
        <f t="shared" si="27" ref="J189:J229">+H189+I189</f>
        <v>500</v>
      </c>
      <c r="K189" s="159">
        <v>1</v>
      </c>
      <c r="L189" s="13">
        <f t="shared" si="28" ref="L189:L229">+J189*K189</f>
        <v>500</v>
      </c>
      <c r="N189" s="16"/>
      <c r="O189" s="349">
        <v>0</v>
      </c>
      <c r="P189" s="349">
        <v>0</v>
      </c>
      <c r="Q189" s="349">
        <v>0</v>
      </c>
      <c r="R189" s="349">
        <f t="shared" si="20"/>
        <v>0</v>
      </c>
      <c r="S189" s="349">
        <v>0</v>
      </c>
      <c r="T189" s="349">
        <v>0</v>
      </c>
      <c r="U189" s="349">
        <f t="shared" si="21"/>
        <v>0</v>
      </c>
      <c r="V189" s="349">
        <v>0</v>
      </c>
      <c r="W189" s="349">
        <v>500</v>
      </c>
      <c r="X189" s="249">
        <f t="shared" si="25"/>
        <v>500</v>
      </c>
      <c r="Y189" s="8" t="b">
        <f t="shared" si="24"/>
        <v>1</v>
      </c>
    </row>
    <row r="190" spans="1:25" ht="12.75">
      <c r="A190" s="16">
        <v>176</v>
      </c>
      <c r="B190" t="s">
        <v>290</v>
      </c>
      <c r="C190" t="s">
        <v>549</v>
      </c>
      <c r="E190" s="349">
        <v>4140</v>
      </c>
      <c r="F190" s="349">
        <v>0</v>
      </c>
      <c r="G190" s="349">
        <v>0</v>
      </c>
      <c r="H190" s="349">
        <f t="shared" si="26"/>
        <v>4140</v>
      </c>
      <c r="I190" s="349">
        <v>0</v>
      </c>
      <c r="J190" s="349">
        <f t="shared" si="27"/>
        <v>4140</v>
      </c>
      <c r="K190" s="159">
        <v>1</v>
      </c>
      <c r="L190" s="13">
        <f t="shared" si="28"/>
        <v>4140</v>
      </c>
      <c r="N190" s="16"/>
      <c r="O190" s="349">
        <v>0</v>
      </c>
      <c r="P190" s="349">
        <v>0</v>
      </c>
      <c r="Q190" s="349">
        <v>0</v>
      </c>
      <c r="R190" s="349">
        <f t="shared" si="20"/>
        <v>0</v>
      </c>
      <c r="S190" s="349">
        <v>0</v>
      </c>
      <c r="T190" s="349">
        <v>0</v>
      </c>
      <c r="U190" s="349">
        <f t="shared" si="21"/>
        <v>0</v>
      </c>
      <c r="V190" s="349">
        <v>0</v>
      </c>
      <c r="W190" s="349">
        <v>4140</v>
      </c>
      <c r="X190" s="249">
        <f t="shared" si="25"/>
        <v>4140</v>
      </c>
      <c r="Y190" s="8" t="b">
        <f t="shared" si="24"/>
        <v>1</v>
      </c>
    </row>
    <row r="191" spans="1:25" ht="12.75">
      <c r="A191" s="16">
        <v>177</v>
      </c>
      <c r="B191" t="s">
        <v>290</v>
      </c>
      <c r="C191" t="s">
        <v>466</v>
      </c>
      <c r="E191" s="349">
        <v>4250</v>
      </c>
      <c r="F191" s="349">
        <v>0</v>
      </c>
      <c r="G191" s="349">
        <v>0</v>
      </c>
      <c r="H191" s="349">
        <f t="shared" si="26"/>
        <v>4250</v>
      </c>
      <c r="I191" s="349">
        <v>0</v>
      </c>
      <c r="J191" s="349">
        <f t="shared" si="27"/>
        <v>4250</v>
      </c>
      <c r="K191" s="159">
        <v>1</v>
      </c>
      <c r="L191" s="13">
        <f t="shared" si="28"/>
        <v>4250</v>
      </c>
      <c r="N191" s="16"/>
      <c r="O191" s="349">
        <v>0</v>
      </c>
      <c r="P191" s="349">
        <v>0</v>
      </c>
      <c r="Q191" s="349">
        <v>0</v>
      </c>
      <c r="R191" s="349">
        <f t="shared" si="20"/>
        <v>0</v>
      </c>
      <c r="S191" s="349">
        <v>0</v>
      </c>
      <c r="T191" s="349">
        <v>0</v>
      </c>
      <c r="U191" s="349">
        <f t="shared" si="21"/>
        <v>0</v>
      </c>
      <c r="V191" s="349">
        <v>0</v>
      </c>
      <c r="W191" s="349">
        <v>4250</v>
      </c>
      <c r="X191" s="249">
        <f t="shared" si="25"/>
        <v>4250</v>
      </c>
      <c r="Y191" s="8" t="b">
        <f t="shared" si="24"/>
        <v>1</v>
      </c>
    </row>
    <row r="192" spans="1:25" ht="12.75">
      <c r="A192" s="16">
        <v>178</v>
      </c>
      <c r="B192" t="s">
        <v>290</v>
      </c>
      <c r="C192" t="s">
        <v>903</v>
      </c>
      <c r="E192" s="349">
        <v>850</v>
      </c>
      <c r="F192" s="349">
        <v>0</v>
      </c>
      <c r="G192" s="349">
        <v>0</v>
      </c>
      <c r="H192" s="349">
        <f>+E192+F192+G192</f>
        <v>850</v>
      </c>
      <c r="I192" s="349">
        <v>0</v>
      </c>
      <c r="J192" s="349">
        <f>+H192+I192</f>
        <v>850</v>
      </c>
      <c r="K192" s="159">
        <v>1</v>
      </c>
      <c r="L192" s="13">
        <f>+J192*K192</f>
        <v>850</v>
      </c>
      <c r="N192" s="16"/>
      <c r="O192" s="349">
        <v>0</v>
      </c>
      <c r="P192" s="349">
        <v>0</v>
      </c>
      <c r="Q192" s="349">
        <v>0</v>
      </c>
      <c r="R192" s="349">
        <f t="shared" si="20"/>
        <v>0</v>
      </c>
      <c r="S192" s="349">
        <v>0</v>
      </c>
      <c r="T192" s="349">
        <v>0</v>
      </c>
      <c r="U192" s="349">
        <f t="shared" si="21"/>
        <v>0</v>
      </c>
      <c r="V192" s="349">
        <v>0</v>
      </c>
      <c r="W192" s="349">
        <v>850</v>
      </c>
      <c r="X192" s="249">
        <f t="shared" si="25"/>
        <v>850</v>
      </c>
      <c r="Y192" s="8" t="b">
        <f t="shared" si="24"/>
        <v>1</v>
      </c>
    </row>
    <row r="193" spans="1:25" ht="12.75">
      <c r="A193" s="16">
        <v>179</v>
      </c>
      <c r="B193" t="s">
        <v>290</v>
      </c>
      <c r="C193" t="s">
        <v>550</v>
      </c>
      <c r="E193" s="349">
        <v>360</v>
      </c>
      <c r="F193" s="349">
        <v>0</v>
      </c>
      <c r="G193" s="349">
        <v>0</v>
      </c>
      <c r="H193" s="349">
        <f t="shared" si="26"/>
        <v>360</v>
      </c>
      <c r="I193" s="349">
        <v>0</v>
      </c>
      <c r="J193" s="349">
        <f t="shared" si="27"/>
        <v>360</v>
      </c>
      <c r="K193" s="159">
        <v>1</v>
      </c>
      <c r="L193" s="13">
        <f t="shared" si="28"/>
        <v>360</v>
      </c>
      <c r="N193" s="16"/>
      <c r="O193" s="349">
        <v>0</v>
      </c>
      <c r="P193" s="349">
        <v>0</v>
      </c>
      <c r="Q193" s="349">
        <v>0</v>
      </c>
      <c r="R193" s="349">
        <f t="shared" si="20"/>
        <v>0</v>
      </c>
      <c r="S193" s="349">
        <v>0</v>
      </c>
      <c r="T193" s="349">
        <v>0</v>
      </c>
      <c r="U193" s="349">
        <f t="shared" si="21"/>
        <v>0</v>
      </c>
      <c r="V193" s="349">
        <v>0</v>
      </c>
      <c r="W193" s="349">
        <v>360</v>
      </c>
      <c r="X193" s="249">
        <f t="shared" si="25"/>
        <v>360</v>
      </c>
      <c r="Y193" s="8" t="b">
        <f t="shared" si="24"/>
        <v>1</v>
      </c>
    </row>
    <row r="194" spans="1:25" ht="12.75">
      <c r="A194" s="16">
        <v>180</v>
      </c>
      <c r="B194" t="s">
        <v>290</v>
      </c>
      <c r="C194" t="s">
        <v>551</v>
      </c>
      <c r="E194" s="349">
        <v>2000</v>
      </c>
      <c r="F194" s="349">
        <v>0</v>
      </c>
      <c r="G194" s="349">
        <v>0</v>
      </c>
      <c r="H194" s="349">
        <f t="shared" si="26"/>
        <v>2000</v>
      </c>
      <c r="I194" s="349">
        <v>0</v>
      </c>
      <c r="J194" s="349">
        <f t="shared" si="27"/>
        <v>2000</v>
      </c>
      <c r="K194" s="159">
        <v>1</v>
      </c>
      <c r="L194" s="13">
        <f t="shared" si="28"/>
        <v>2000</v>
      </c>
      <c r="N194" s="16"/>
      <c r="O194" s="349">
        <v>0</v>
      </c>
      <c r="P194" s="349">
        <v>0</v>
      </c>
      <c r="Q194" s="349">
        <v>0</v>
      </c>
      <c r="R194" s="349">
        <f t="shared" si="20"/>
        <v>0</v>
      </c>
      <c r="S194" s="349">
        <v>0</v>
      </c>
      <c r="T194" s="349">
        <v>0</v>
      </c>
      <c r="U194" s="349">
        <f t="shared" si="21"/>
        <v>0</v>
      </c>
      <c r="V194" s="349">
        <v>0</v>
      </c>
      <c r="W194" s="349">
        <v>2000</v>
      </c>
      <c r="X194" s="249">
        <f t="shared" si="25"/>
        <v>2000</v>
      </c>
      <c r="Y194" s="8" t="b">
        <f t="shared" si="24"/>
        <v>1</v>
      </c>
    </row>
    <row r="195" spans="1:25" ht="12.75">
      <c r="A195" s="16">
        <v>181</v>
      </c>
      <c r="B195" t="s">
        <v>290</v>
      </c>
      <c r="C195" t="s">
        <v>552</v>
      </c>
      <c r="E195" s="349">
        <v>1130</v>
      </c>
      <c r="F195" s="349">
        <v>0</v>
      </c>
      <c r="G195" s="349">
        <v>0</v>
      </c>
      <c r="H195" s="349">
        <f t="shared" si="26"/>
        <v>1130</v>
      </c>
      <c r="I195" s="349">
        <v>0</v>
      </c>
      <c r="J195" s="349">
        <f t="shared" si="27"/>
        <v>1130</v>
      </c>
      <c r="K195" s="159">
        <v>1</v>
      </c>
      <c r="L195" s="13">
        <f t="shared" si="28"/>
        <v>1130</v>
      </c>
      <c r="N195" s="16"/>
      <c r="O195" s="349">
        <v>0</v>
      </c>
      <c r="P195" s="349">
        <v>0</v>
      </c>
      <c r="Q195" s="349">
        <v>0</v>
      </c>
      <c r="R195" s="349">
        <f t="shared" si="20"/>
        <v>0</v>
      </c>
      <c r="S195" s="349">
        <v>0</v>
      </c>
      <c r="T195" s="349">
        <v>0</v>
      </c>
      <c r="U195" s="349">
        <f t="shared" si="21"/>
        <v>0</v>
      </c>
      <c r="V195" s="349">
        <v>0</v>
      </c>
      <c r="W195" s="349">
        <v>1130</v>
      </c>
      <c r="X195" s="249">
        <f t="shared" si="25"/>
        <v>1130</v>
      </c>
      <c r="Y195" s="8" t="b">
        <f t="shared" si="24"/>
        <v>1</v>
      </c>
    </row>
    <row r="196" spans="1:25" ht="12.75">
      <c r="A196" s="16">
        <v>182</v>
      </c>
      <c r="B196" t="s">
        <v>290</v>
      </c>
      <c r="C196" t="s">
        <v>553</v>
      </c>
      <c r="E196" s="349">
        <v>250</v>
      </c>
      <c r="F196" s="349">
        <v>0</v>
      </c>
      <c r="G196" s="349">
        <v>0</v>
      </c>
      <c r="H196" s="349">
        <f t="shared" si="26"/>
        <v>250</v>
      </c>
      <c r="I196" s="349">
        <v>0</v>
      </c>
      <c r="J196" s="349">
        <f t="shared" si="27"/>
        <v>250</v>
      </c>
      <c r="K196" s="159">
        <v>1</v>
      </c>
      <c r="L196" s="13">
        <f t="shared" si="28"/>
        <v>250</v>
      </c>
      <c r="N196" s="16"/>
      <c r="O196" s="349">
        <v>0</v>
      </c>
      <c r="P196" s="349">
        <v>0</v>
      </c>
      <c r="Q196" s="349">
        <v>0</v>
      </c>
      <c r="R196" s="349">
        <f t="shared" si="20"/>
        <v>0</v>
      </c>
      <c r="S196" s="349">
        <v>0</v>
      </c>
      <c r="T196" s="349">
        <v>0</v>
      </c>
      <c r="U196" s="349">
        <f t="shared" si="21"/>
        <v>0</v>
      </c>
      <c r="V196" s="349">
        <v>0</v>
      </c>
      <c r="W196" s="349">
        <v>250</v>
      </c>
      <c r="X196" s="249">
        <f t="shared" si="25"/>
        <v>250</v>
      </c>
      <c r="Y196" s="8" t="b">
        <f t="shared" si="24"/>
        <v>1</v>
      </c>
    </row>
    <row r="197" spans="1:25" ht="12.75">
      <c r="A197" s="16">
        <v>183</v>
      </c>
      <c r="B197" t="s">
        <v>290</v>
      </c>
      <c r="C197" t="s">
        <v>554</v>
      </c>
      <c r="E197" s="349">
        <v>160</v>
      </c>
      <c r="F197" s="349">
        <v>0</v>
      </c>
      <c r="G197" s="349">
        <v>0</v>
      </c>
      <c r="H197" s="349">
        <f t="shared" si="26"/>
        <v>160</v>
      </c>
      <c r="I197" s="349">
        <v>0</v>
      </c>
      <c r="J197" s="349">
        <f t="shared" si="27"/>
        <v>160</v>
      </c>
      <c r="K197" s="159">
        <v>1</v>
      </c>
      <c r="L197" s="13">
        <f t="shared" si="28"/>
        <v>160</v>
      </c>
      <c r="N197" s="16"/>
      <c r="O197" s="349">
        <v>0</v>
      </c>
      <c r="P197" s="349">
        <v>0</v>
      </c>
      <c r="Q197" s="349">
        <v>0</v>
      </c>
      <c r="R197" s="349">
        <f t="shared" si="20"/>
        <v>0</v>
      </c>
      <c r="S197" s="349">
        <v>0</v>
      </c>
      <c r="T197" s="349">
        <v>0</v>
      </c>
      <c r="U197" s="349">
        <f t="shared" si="21"/>
        <v>0</v>
      </c>
      <c r="V197" s="349">
        <v>0</v>
      </c>
      <c r="W197" s="349">
        <v>160</v>
      </c>
      <c r="X197" s="249">
        <f t="shared" si="25"/>
        <v>160</v>
      </c>
      <c r="Y197" s="8" t="b">
        <f t="shared" si="24"/>
        <v>1</v>
      </c>
    </row>
    <row r="198" spans="1:25" ht="12.75">
      <c r="A198" s="16">
        <v>184</v>
      </c>
      <c r="B198" t="s">
        <v>290</v>
      </c>
      <c r="C198" t="s">
        <v>555</v>
      </c>
      <c r="E198" s="349">
        <v>785</v>
      </c>
      <c r="F198" s="349">
        <v>0</v>
      </c>
      <c r="G198" s="349">
        <v>0</v>
      </c>
      <c r="H198" s="349">
        <f t="shared" si="26"/>
        <v>785</v>
      </c>
      <c r="I198" s="349">
        <v>0</v>
      </c>
      <c r="J198" s="349">
        <f t="shared" si="27"/>
        <v>785</v>
      </c>
      <c r="K198" s="159">
        <v>1</v>
      </c>
      <c r="L198" s="13">
        <f t="shared" si="28"/>
        <v>785</v>
      </c>
      <c r="N198" s="16"/>
      <c r="O198" s="349">
        <v>0</v>
      </c>
      <c r="P198" s="349">
        <v>0</v>
      </c>
      <c r="Q198" s="349">
        <v>0</v>
      </c>
      <c r="R198" s="349">
        <f t="shared" si="20"/>
        <v>0</v>
      </c>
      <c r="S198" s="349">
        <v>0</v>
      </c>
      <c r="T198" s="349">
        <v>0</v>
      </c>
      <c r="U198" s="349">
        <f t="shared" si="21"/>
        <v>0</v>
      </c>
      <c r="V198" s="349">
        <v>0</v>
      </c>
      <c r="W198" s="349">
        <v>785</v>
      </c>
      <c r="X198" s="249">
        <f t="shared" si="25"/>
        <v>785</v>
      </c>
      <c r="Y198" s="8" t="b">
        <f t="shared" si="24"/>
        <v>1</v>
      </c>
    </row>
    <row r="199" spans="1:25" ht="12.75">
      <c r="A199" s="16">
        <v>185</v>
      </c>
      <c r="B199" t="s">
        <v>290</v>
      </c>
      <c r="C199" t="s">
        <v>556</v>
      </c>
      <c r="E199" s="349">
        <v>200</v>
      </c>
      <c r="F199" s="349">
        <v>0</v>
      </c>
      <c r="G199" s="349">
        <v>0</v>
      </c>
      <c r="H199" s="349">
        <f t="shared" si="26"/>
        <v>200</v>
      </c>
      <c r="I199" s="349">
        <v>0</v>
      </c>
      <c r="J199" s="349">
        <f t="shared" si="27"/>
        <v>200</v>
      </c>
      <c r="K199" s="159">
        <v>1</v>
      </c>
      <c r="L199" s="13">
        <f t="shared" si="28"/>
        <v>200</v>
      </c>
      <c r="N199" s="16"/>
      <c r="O199" s="349">
        <v>0</v>
      </c>
      <c r="P199" s="349">
        <v>0</v>
      </c>
      <c r="Q199" s="349">
        <v>0</v>
      </c>
      <c r="R199" s="349">
        <f t="shared" si="20"/>
        <v>0</v>
      </c>
      <c r="S199" s="349">
        <v>0</v>
      </c>
      <c r="T199" s="349">
        <v>0</v>
      </c>
      <c r="U199" s="349">
        <f t="shared" si="21"/>
        <v>0</v>
      </c>
      <c r="V199" s="349">
        <v>0</v>
      </c>
      <c r="W199" s="349">
        <v>200</v>
      </c>
      <c r="X199" s="249">
        <f t="shared" si="25"/>
        <v>200</v>
      </c>
      <c r="Y199" s="8" t="b">
        <f t="shared" si="24"/>
        <v>1</v>
      </c>
    </row>
    <row r="200" spans="1:25" ht="12.75">
      <c r="A200" s="16">
        <v>186</v>
      </c>
      <c r="B200" t="s">
        <v>290</v>
      </c>
      <c r="C200" t="s">
        <v>557</v>
      </c>
      <c r="E200" s="349">
        <v>3000</v>
      </c>
      <c r="F200" s="349">
        <v>0</v>
      </c>
      <c r="G200" s="349">
        <v>0</v>
      </c>
      <c r="H200" s="349">
        <f t="shared" si="26"/>
        <v>3000</v>
      </c>
      <c r="I200" s="349">
        <v>0</v>
      </c>
      <c r="J200" s="349">
        <f t="shared" si="27"/>
        <v>3000</v>
      </c>
      <c r="K200" s="159">
        <v>1</v>
      </c>
      <c r="L200" s="13">
        <f t="shared" si="28"/>
        <v>3000</v>
      </c>
      <c r="N200" s="16"/>
      <c r="O200" s="349">
        <v>0</v>
      </c>
      <c r="P200" s="349">
        <v>0</v>
      </c>
      <c r="Q200" s="349">
        <v>0</v>
      </c>
      <c r="R200" s="349">
        <f t="shared" si="20"/>
        <v>0</v>
      </c>
      <c r="S200" s="349">
        <v>0</v>
      </c>
      <c r="T200" s="349">
        <v>0</v>
      </c>
      <c r="U200" s="349">
        <f t="shared" si="21"/>
        <v>0</v>
      </c>
      <c r="V200" s="349">
        <v>0</v>
      </c>
      <c r="W200" s="349">
        <v>3000</v>
      </c>
      <c r="X200" s="249">
        <f t="shared" si="25"/>
        <v>3000</v>
      </c>
      <c r="Y200" s="8" t="b">
        <f t="shared" si="24"/>
        <v>1</v>
      </c>
    </row>
    <row r="201" spans="1:25" ht="12.75">
      <c r="A201" s="16">
        <v>187</v>
      </c>
      <c r="B201" t="s">
        <v>290</v>
      </c>
      <c r="C201" t="s">
        <v>904</v>
      </c>
      <c r="E201" s="349">
        <v>5500</v>
      </c>
      <c r="F201" s="349">
        <v>0</v>
      </c>
      <c r="G201" s="349">
        <v>0</v>
      </c>
      <c r="H201" s="349">
        <f t="shared" si="26"/>
        <v>5500</v>
      </c>
      <c r="I201" s="349">
        <v>0</v>
      </c>
      <c r="J201" s="349">
        <f t="shared" si="27"/>
        <v>5500</v>
      </c>
      <c r="K201" s="159">
        <v>1</v>
      </c>
      <c r="L201" s="13">
        <f t="shared" si="28"/>
        <v>5500</v>
      </c>
      <c r="N201" s="16"/>
      <c r="O201" s="349">
        <v>0</v>
      </c>
      <c r="P201" s="349">
        <v>0</v>
      </c>
      <c r="Q201" s="349">
        <v>0</v>
      </c>
      <c r="R201" s="349">
        <f t="shared" si="20"/>
        <v>0</v>
      </c>
      <c r="S201" s="349">
        <v>0</v>
      </c>
      <c r="T201" s="349">
        <v>0</v>
      </c>
      <c r="U201" s="349">
        <f t="shared" si="21"/>
        <v>0</v>
      </c>
      <c r="V201" s="349">
        <v>0</v>
      </c>
      <c r="W201" s="349">
        <v>5500</v>
      </c>
      <c r="X201" s="249">
        <f t="shared" si="25"/>
        <v>5500</v>
      </c>
      <c r="Y201" s="8" t="b">
        <f t="shared" si="24"/>
        <v>1</v>
      </c>
    </row>
    <row r="202" spans="1:25" ht="12.75">
      <c r="A202" s="16">
        <v>188</v>
      </c>
      <c r="B202" t="s">
        <v>290</v>
      </c>
      <c r="C202" t="s">
        <v>778</v>
      </c>
      <c r="E202" s="349">
        <v>300</v>
      </c>
      <c r="F202" s="349">
        <v>0</v>
      </c>
      <c r="G202" s="349">
        <v>0</v>
      </c>
      <c r="H202" s="349">
        <f t="shared" si="26"/>
        <v>300</v>
      </c>
      <c r="I202" s="349">
        <v>0</v>
      </c>
      <c r="J202" s="349">
        <f t="shared" si="27"/>
        <v>300</v>
      </c>
      <c r="K202" s="159">
        <v>1</v>
      </c>
      <c r="L202" s="13">
        <f t="shared" si="28"/>
        <v>300</v>
      </c>
      <c r="N202" s="16"/>
      <c r="O202" s="349">
        <v>0</v>
      </c>
      <c r="P202" s="349">
        <v>0</v>
      </c>
      <c r="Q202" s="349">
        <v>0</v>
      </c>
      <c r="R202" s="349">
        <f t="shared" si="20"/>
        <v>0</v>
      </c>
      <c r="S202" s="349">
        <v>0</v>
      </c>
      <c r="T202" s="349">
        <v>0</v>
      </c>
      <c r="U202" s="349">
        <f t="shared" si="21"/>
        <v>0</v>
      </c>
      <c r="V202" s="349">
        <v>0</v>
      </c>
      <c r="W202" s="349">
        <v>300</v>
      </c>
      <c r="X202" s="249">
        <f t="shared" si="25"/>
        <v>300</v>
      </c>
      <c r="Y202" s="8" t="b">
        <f t="shared" si="24"/>
        <v>1</v>
      </c>
    </row>
    <row r="203" spans="1:25" ht="12.75">
      <c r="A203" s="16">
        <v>189</v>
      </c>
      <c r="B203" t="s">
        <v>290</v>
      </c>
      <c r="C203" t="s">
        <v>559</v>
      </c>
      <c r="E203" s="349">
        <v>2500</v>
      </c>
      <c r="F203" s="349">
        <v>0</v>
      </c>
      <c r="G203" s="349">
        <v>0</v>
      </c>
      <c r="H203" s="349">
        <f t="shared" si="26"/>
        <v>2500</v>
      </c>
      <c r="I203" s="349">
        <v>0</v>
      </c>
      <c r="J203" s="349">
        <f t="shared" si="27"/>
        <v>2500</v>
      </c>
      <c r="K203" s="159">
        <v>1</v>
      </c>
      <c r="L203" s="13">
        <f t="shared" si="28"/>
        <v>2500</v>
      </c>
      <c r="N203" s="16"/>
      <c r="O203" s="349">
        <v>0</v>
      </c>
      <c r="P203" s="349">
        <v>0</v>
      </c>
      <c r="Q203" s="349">
        <v>0</v>
      </c>
      <c r="R203" s="349">
        <f t="shared" si="20"/>
        <v>0</v>
      </c>
      <c r="S203" s="349">
        <v>0</v>
      </c>
      <c r="T203" s="349">
        <v>0</v>
      </c>
      <c r="U203" s="349">
        <f t="shared" si="21"/>
        <v>0</v>
      </c>
      <c r="V203" s="349">
        <v>0</v>
      </c>
      <c r="W203" s="349">
        <v>2500</v>
      </c>
      <c r="X203" s="249">
        <f t="shared" si="25"/>
        <v>2500</v>
      </c>
      <c r="Y203" s="8" t="b">
        <f t="shared" si="24"/>
        <v>1</v>
      </c>
    </row>
    <row r="204" spans="1:25" ht="12.75">
      <c r="A204" s="16">
        <v>190</v>
      </c>
      <c r="B204" t="s">
        <v>290</v>
      </c>
      <c r="C204" t="s">
        <v>905</v>
      </c>
      <c r="E204" s="349">
        <v>300</v>
      </c>
      <c r="F204" s="349">
        <v>0</v>
      </c>
      <c r="G204" s="349">
        <v>0</v>
      </c>
      <c r="H204" s="349">
        <f t="shared" si="26"/>
        <v>300</v>
      </c>
      <c r="I204" s="349">
        <v>0</v>
      </c>
      <c r="J204" s="349">
        <f t="shared" si="27"/>
        <v>300</v>
      </c>
      <c r="K204" s="159">
        <v>1</v>
      </c>
      <c r="L204" s="13">
        <f t="shared" si="28"/>
        <v>300</v>
      </c>
      <c r="N204" s="16"/>
      <c r="O204" s="349">
        <v>0</v>
      </c>
      <c r="P204" s="349">
        <v>0</v>
      </c>
      <c r="Q204" s="349">
        <v>0</v>
      </c>
      <c r="R204" s="349">
        <f t="shared" si="20"/>
        <v>0</v>
      </c>
      <c r="S204" s="349">
        <v>0</v>
      </c>
      <c r="T204" s="349">
        <v>0</v>
      </c>
      <c r="U204" s="349">
        <f t="shared" si="21"/>
        <v>0</v>
      </c>
      <c r="V204" s="349">
        <v>0</v>
      </c>
      <c r="W204" s="349">
        <v>300</v>
      </c>
      <c r="X204" s="249">
        <f t="shared" si="25"/>
        <v>300</v>
      </c>
      <c r="Y204" s="8" t="b">
        <f t="shared" si="24"/>
        <v>1</v>
      </c>
    </row>
    <row r="205" spans="1:25" ht="12.75">
      <c r="A205" s="16">
        <v>191</v>
      </c>
      <c r="B205" t="s">
        <v>290</v>
      </c>
      <c r="C205" t="s">
        <v>906</v>
      </c>
      <c r="E205" s="349">
        <v>250</v>
      </c>
      <c r="F205" s="349">
        <v>0</v>
      </c>
      <c r="G205" s="349">
        <v>0</v>
      </c>
      <c r="H205" s="349">
        <f t="shared" si="26"/>
        <v>250</v>
      </c>
      <c r="I205" s="349">
        <v>0</v>
      </c>
      <c r="J205" s="349">
        <f t="shared" si="27"/>
        <v>250</v>
      </c>
      <c r="K205" s="159">
        <v>1</v>
      </c>
      <c r="L205" s="13">
        <f t="shared" si="28"/>
        <v>250</v>
      </c>
      <c r="N205" s="16"/>
      <c r="O205" s="349">
        <v>0</v>
      </c>
      <c r="P205" s="349">
        <v>0</v>
      </c>
      <c r="Q205" s="349">
        <v>0</v>
      </c>
      <c r="R205" s="349">
        <f t="shared" si="29" ref="R205:R229">SUM(O205:Q205)</f>
        <v>0</v>
      </c>
      <c r="S205" s="349">
        <v>0</v>
      </c>
      <c r="T205" s="349">
        <v>0</v>
      </c>
      <c r="U205" s="349">
        <f t="shared" si="30" ref="U205:U229">SUM(S205:T205)</f>
        <v>0</v>
      </c>
      <c r="V205" s="349">
        <v>0</v>
      </c>
      <c r="W205" s="349">
        <v>250</v>
      </c>
      <c r="X205" s="249">
        <f t="shared" si="25"/>
        <v>250</v>
      </c>
      <c r="Y205" s="8" t="b">
        <f t="shared" si="24"/>
        <v>1</v>
      </c>
    </row>
    <row r="206" spans="1:25" ht="12.75">
      <c r="A206" s="16">
        <v>192</v>
      </c>
      <c r="B206" t="s">
        <v>290</v>
      </c>
      <c r="C206" t="s">
        <v>961</v>
      </c>
      <c r="E206" s="349">
        <v>-750</v>
      </c>
      <c r="F206" s="349">
        <v>0</v>
      </c>
      <c r="G206" s="349">
        <v>0</v>
      </c>
      <c r="H206" s="349">
        <f t="shared" si="26"/>
        <v>-750</v>
      </c>
      <c r="I206" s="349">
        <v>0</v>
      </c>
      <c r="J206" s="349">
        <f t="shared" si="27"/>
        <v>-750</v>
      </c>
      <c r="K206" s="159">
        <v>1</v>
      </c>
      <c r="L206" s="13">
        <f t="shared" si="28"/>
        <v>-750</v>
      </c>
      <c r="N206" s="16"/>
      <c r="O206" s="349">
        <v>0</v>
      </c>
      <c r="P206" s="349">
        <v>0</v>
      </c>
      <c r="Q206" s="349">
        <v>0</v>
      </c>
      <c r="R206" s="349">
        <f t="shared" si="29"/>
        <v>0</v>
      </c>
      <c r="S206" s="349">
        <v>0</v>
      </c>
      <c r="T206" s="349">
        <v>0</v>
      </c>
      <c r="U206" s="349">
        <f t="shared" si="30"/>
        <v>0</v>
      </c>
      <c r="V206" s="349">
        <v>0</v>
      </c>
      <c r="W206" s="349">
        <v>-750</v>
      </c>
      <c r="X206" s="249">
        <f t="shared" si="25"/>
        <v>-750</v>
      </c>
      <c r="Y206" s="8" t="b">
        <f t="shared" si="24"/>
        <v>1</v>
      </c>
    </row>
    <row r="207" spans="1:25" ht="12.75">
      <c r="A207" s="16">
        <v>193</v>
      </c>
      <c r="B207" t="s">
        <v>290</v>
      </c>
      <c r="C207" t="s">
        <v>560</v>
      </c>
      <c r="E207" s="349">
        <v>1250</v>
      </c>
      <c r="F207" s="349">
        <v>0</v>
      </c>
      <c r="G207" s="349">
        <v>0</v>
      </c>
      <c r="H207" s="349">
        <f t="shared" si="26"/>
        <v>1250</v>
      </c>
      <c r="I207" s="349">
        <v>0</v>
      </c>
      <c r="J207" s="349">
        <f t="shared" si="27"/>
        <v>1250</v>
      </c>
      <c r="K207" s="159">
        <v>1</v>
      </c>
      <c r="L207" s="13">
        <f t="shared" si="28"/>
        <v>1250</v>
      </c>
      <c r="N207" s="16"/>
      <c r="O207" s="349">
        <v>0</v>
      </c>
      <c r="P207" s="349">
        <v>0</v>
      </c>
      <c r="Q207" s="349">
        <v>0</v>
      </c>
      <c r="R207" s="349">
        <f t="shared" si="29"/>
        <v>0</v>
      </c>
      <c r="S207" s="349">
        <v>0</v>
      </c>
      <c r="T207" s="349">
        <v>0</v>
      </c>
      <c r="U207" s="349">
        <f t="shared" si="30"/>
        <v>0</v>
      </c>
      <c r="V207" s="349">
        <v>0</v>
      </c>
      <c r="W207" s="349">
        <v>1250</v>
      </c>
      <c r="X207" s="249">
        <f t="shared" si="25"/>
        <v>1250</v>
      </c>
      <c r="Y207" s="8" t="b">
        <f t="shared" si="24"/>
        <v>1</v>
      </c>
    </row>
    <row r="208" spans="1:25" ht="12.75">
      <c r="A208" s="16">
        <v>194</v>
      </c>
      <c r="B208" t="s">
        <v>290</v>
      </c>
      <c r="C208" t="s">
        <v>561</v>
      </c>
      <c r="E208" s="349">
        <v>300</v>
      </c>
      <c r="F208" s="349">
        <v>0</v>
      </c>
      <c r="G208" s="349">
        <v>0</v>
      </c>
      <c r="H208" s="349">
        <f t="shared" si="26"/>
        <v>300</v>
      </c>
      <c r="I208" s="349">
        <v>0</v>
      </c>
      <c r="J208" s="349">
        <f t="shared" si="27"/>
        <v>300</v>
      </c>
      <c r="K208" s="159">
        <v>1</v>
      </c>
      <c r="L208" s="13">
        <f t="shared" si="28"/>
        <v>300</v>
      </c>
      <c r="N208" s="16"/>
      <c r="O208" s="349">
        <v>0</v>
      </c>
      <c r="P208" s="349">
        <v>0</v>
      </c>
      <c r="Q208" s="349">
        <v>0</v>
      </c>
      <c r="R208" s="349">
        <f t="shared" si="29"/>
        <v>0</v>
      </c>
      <c r="S208" s="349">
        <v>0</v>
      </c>
      <c r="T208" s="349">
        <v>0</v>
      </c>
      <c r="U208" s="349">
        <f t="shared" si="30"/>
        <v>0</v>
      </c>
      <c r="V208" s="349">
        <v>0</v>
      </c>
      <c r="W208" s="349">
        <v>300</v>
      </c>
      <c r="X208" s="249">
        <f t="shared" si="25"/>
        <v>300</v>
      </c>
      <c r="Y208" s="8" t="b">
        <f t="shared" si="24"/>
        <v>1</v>
      </c>
    </row>
    <row r="209" spans="1:25" ht="12.75">
      <c r="A209" s="16">
        <v>195</v>
      </c>
      <c r="B209" t="s">
        <v>290</v>
      </c>
      <c r="C209" t="s">
        <v>779</v>
      </c>
      <c r="E209" s="349">
        <v>250</v>
      </c>
      <c r="F209" s="349">
        <v>0</v>
      </c>
      <c r="G209" s="349">
        <v>0</v>
      </c>
      <c r="H209" s="349">
        <f t="shared" si="26"/>
        <v>250</v>
      </c>
      <c r="I209" s="349">
        <v>0</v>
      </c>
      <c r="J209" s="349">
        <f t="shared" si="27"/>
        <v>250</v>
      </c>
      <c r="K209" s="159">
        <v>1</v>
      </c>
      <c r="L209" s="13">
        <f t="shared" si="28"/>
        <v>250</v>
      </c>
      <c r="N209" s="16"/>
      <c r="O209" s="349">
        <v>0</v>
      </c>
      <c r="P209" s="349">
        <v>0</v>
      </c>
      <c r="Q209" s="349">
        <v>0</v>
      </c>
      <c r="R209" s="349">
        <f t="shared" si="29"/>
        <v>0</v>
      </c>
      <c r="S209" s="349">
        <v>0</v>
      </c>
      <c r="T209" s="349">
        <v>0</v>
      </c>
      <c r="U209" s="349">
        <f t="shared" si="30"/>
        <v>0</v>
      </c>
      <c r="V209" s="349">
        <v>0</v>
      </c>
      <c r="W209" s="349">
        <v>250</v>
      </c>
      <c r="X209" s="249">
        <f t="shared" si="25"/>
        <v>250</v>
      </c>
      <c r="Y209" s="8" t="b">
        <f t="shared" si="24"/>
        <v>1</v>
      </c>
    </row>
    <row r="210" spans="1:25" ht="12.75">
      <c r="A210" s="16">
        <v>196</v>
      </c>
      <c r="B210" t="s">
        <v>290</v>
      </c>
      <c r="C210" t="s">
        <v>762</v>
      </c>
      <c r="E210" s="349">
        <v>2500</v>
      </c>
      <c r="F210" s="349">
        <v>0</v>
      </c>
      <c r="G210" s="349">
        <v>0</v>
      </c>
      <c r="H210" s="349">
        <f t="shared" si="26"/>
        <v>2500</v>
      </c>
      <c r="I210" s="349">
        <v>0</v>
      </c>
      <c r="J210" s="349">
        <f t="shared" si="27"/>
        <v>2500</v>
      </c>
      <c r="K210" s="159">
        <v>1</v>
      </c>
      <c r="L210" s="13">
        <f t="shared" si="28"/>
        <v>2500</v>
      </c>
      <c r="N210" s="16"/>
      <c r="O210" s="349">
        <v>550.5</v>
      </c>
      <c r="P210" s="349">
        <v>0</v>
      </c>
      <c r="Q210" s="349">
        <v>0</v>
      </c>
      <c r="R210" s="349">
        <f t="shared" si="29"/>
        <v>550.5</v>
      </c>
      <c r="S210" s="349">
        <v>1518.75</v>
      </c>
      <c r="T210" s="349">
        <v>0</v>
      </c>
      <c r="U210" s="349">
        <f t="shared" si="30"/>
        <v>1518.75</v>
      </c>
      <c r="V210" s="349">
        <v>414</v>
      </c>
      <c r="W210" s="349">
        <v>16.75</v>
      </c>
      <c r="X210" s="249">
        <f t="shared" si="25"/>
        <v>2500</v>
      </c>
      <c r="Y210" s="8" t="b">
        <f t="shared" si="24"/>
        <v>1</v>
      </c>
    </row>
    <row r="211" spans="1:25" ht="12.75">
      <c r="A211" s="16">
        <v>197</v>
      </c>
      <c r="B211" t="s">
        <v>290</v>
      </c>
      <c r="C211" t="s">
        <v>562</v>
      </c>
      <c r="E211" s="349">
        <v>400</v>
      </c>
      <c r="F211" s="349">
        <v>0</v>
      </c>
      <c r="G211" s="349">
        <v>0</v>
      </c>
      <c r="H211" s="349">
        <f t="shared" si="26"/>
        <v>400</v>
      </c>
      <c r="I211" s="349">
        <v>0</v>
      </c>
      <c r="J211" s="349">
        <f t="shared" si="27"/>
        <v>400</v>
      </c>
      <c r="K211" s="159">
        <v>1</v>
      </c>
      <c r="L211" s="13">
        <f t="shared" si="28"/>
        <v>400</v>
      </c>
      <c r="N211" s="16"/>
      <c r="O211" s="349">
        <v>0</v>
      </c>
      <c r="P211" s="349">
        <v>0</v>
      </c>
      <c r="Q211" s="349">
        <v>0</v>
      </c>
      <c r="R211" s="349">
        <f t="shared" si="29"/>
        <v>0</v>
      </c>
      <c r="S211" s="349">
        <v>0</v>
      </c>
      <c r="T211" s="349">
        <v>0</v>
      </c>
      <c r="U211" s="349">
        <f t="shared" si="30"/>
        <v>0</v>
      </c>
      <c r="V211" s="349">
        <v>0</v>
      </c>
      <c r="W211" s="349">
        <v>400</v>
      </c>
      <c r="X211" s="249">
        <f t="shared" si="25"/>
        <v>400</v>
      </c>
      <c r="Y211" s="8" t="b">
        <f t="shared" si="24"/>
        <v>1</v>
      </c>
    </row>
    <row r="212" spans="1:25" ht="12.75">
      <c r="A212" s="16">
        <v>198</v>
      </c>
      <c r="B212" t="s">
        <v>290</v>
      </c>
      <c r="C212" t="s">
        <v>907</v>
      </c>
      <c r="E212" s="349">
        <v>12040</v>
      </c>
      <c r="F212" s="349">
        <v>0</v>
      </c>
      <c r="G212" s="349">
        <v>0</v>
      </c>
      <c r="H212" s="349">
        <f t="shared" si="26"/>
        <v>12040</v>
      </c>
      <c r="I212" s="349">
        <v>0</v>
      </c>
      <c r="J212" s="349">
        <f t="shared" si="27"/>
        <v>12040</v>
      </c>
      <c r="K212" s="159">
        <v>1</v>
      </c>
      <c r="L212" s="13">
        <f t="shared" si="28"/>
        <v>12040</v>
      </c>
      <c r="N212" s="16"/>
      <c r="O212" s="349">
        <v>0</v>
      </c>
      <c r="P212" s="349">
        <v>0</v>
      </c>
      <c r="Q212" s="349">
        <v>0</v>
      </c>
      <c r="R212" s="349">
        <f t="shared" si="29"/>
        <v>0</v>
      </c>
      <c r="S212" s="349">
        <v>0</v>
      </c>
      <c r="T212" s="349">
        <v>0</v>
      </c>
      <c r="U212" s="349">
        <f t="shared" si="30"/>
        <v>0</v>
      </c>
      <c r="V212" s="349">
        <v>0</v>
      </c>
      <c r="W212" s="349">
        <v>12040</v>
      </c>
      <c r="X212" s="249">
        <f t="shared" si="25"/>
        <v>12040</v>
      </c>
      <c r="Y212" s="8" t="b">
        <f t="shared" si="24"/>
        <v>1</v>
      </c>
    </row>
    <row r="213" spans="1:25" ht="12.75">
      <c r="A213" s="16">
        <v>199</v>
      </c>
      <c r="B213" t="s">
        <v>290</v>
      </c>
      <c r="C213" t="s">
        <v>563</v>
      </c>
      <c r="E213" s="349">
        <v>2650</v>
      </c>
      <c r="F213" s="349">
        <v>0</v>
      </c>
      <c r="G213" s="349">
        <v>0</v>
      </c>
      <c r="H213" s="349">
        <f t="shared" si="26"/>
        <v>2650</v>
      </c>
      <c r="I213" s="349">
        <v>0</v>
      </c>
      <c r="J213" s="349">
        <f t="shared" si="27"/>
        <v>2650</v>
      </c>
      <c r="K213" s="159">
        <v>1</v>
      </c>
      <c r="L213" s="13">
        <f t="shared" si="28"/>
        <v>2650</v>
      </c>
      <c r="N213" s="16"/>
      <c r="O213" s="349">
        <v>0</v>
      </c>
      <c r="P213" s="349">
        <v>0</v>
      </c>
      <c r="Q213" s="349">
        <v>0</v>
      </c>
      <c r="R213" s="349">
        <f t="shared" si="29"/>
        <v>0</v>
      </c>
      <c r="S213" s="349">
        <v>0</v>
      </c>
      <c r="T213" s="349">
        <v>0</v>
      </c>
      <c r="U213" s="349">
        <f t="shared" si="30"/>
        <v>0</v>
      </c>
      <c r="V213" s="349">
        <v>0</v>
      </c>
      <c r="W213" s="349">
        <v>2650</v>
      </c>
      <c r="X213" s="249">
        <f t="shared" si="25"/>
        <v>2650</v>
      </c>
      <c r="Y213" s="8" t="b">
        <f t="shared" si="24"/>
        <v>1</v>
      </c>
    </row>
    <row r="214" spans="1:25" ht="12.75">
      <c r="A214" s="16">
        <v>200</v>
      </c>
      <c r="B214" t="s">
        <v>290</v>
      </c>
      <c r="C214" t="s">
        <v>564</v>
      </c>
      <c r="E214" s="349">
        <v>1500</v>
      </c>
      <c r="F214" s="349">
        <v>0</v>
      </c>
      <c r="G214" s="349">
        <v>0</v>
      </c>
      <c r="H214" s="349">
        <f t="shared" si="26"/>
        <v>1500</v>
      </c>
      <c r="I214" s="349">
        <v>0</v>
      </c>
      <c r="J214" s="349">
        <f t="shared" si="27"/>
        <v>1500</v>
      </c>
      <c r="K214" s="159">
        <v>1</v>
      </c>
      <c r="L214" s="13">
        <f t="shared" si="28"/>
        <v>1500</v>
      </c>
      <c r="N214" s="16"/>
      <c r="O214" s="349">
        <v>0</v>
      </c>
      <c r="P214" s="349">
        <v>0</v>
      </c>
      <c r="Q214" s="349">
        <v>0</v>
      </c>
      <c r="R214" s="349">
        <f t="shared" si="29"/>
        <v>0</v>
      </c>
      <c r="S214" s="349">
        <v>0</v>
      </c>
      <c r="T214" s="349">
        <v>0</v>
      </c>
      <c r="U214" s="349">
        <f t="shared" si="30"/>
        <v>0</v>
      </c>
      <c r="V214" s="349">
        <v>0</v>
      </c>
      <c r="W214" s="349">
        <v>1500</v>
      </c>
      <c r="X214" s="249">
        <f t="shared" si="25"/>
        <v>1500</v>
      </c>
      <c r="Y214" s="8" t="b">
        <f t="shared" si="24"/>
        <v>1</v>
      </c>
    </row>
    <row r="215" spans="1:25" ht="12.75">
      <c r="A215" s="16">
        <v>201</v>
      </c>
      <c r="B215" t="s">
        <v>290</v>
      </c>
      <c r="C215" t="s">
        <v>908</v>
      </c>
      <c r="E215" s="349">
        <v>250</v>
      </c>
      <c r="F215" s="349">
        <v>0</v>
      </c>
      <c r="G215" s="349">
        <v>0</v>
      </c>
      <c r="H215" s="349">
        <f t="shared" si="26"/>
        <v>250</v>
      </c>
      <c r="I215" s="349">
        <v>0</v>
      </c>
      <c r="J215" s="349">
        <f t="shared" si="27"/>
        <v>250</v>
      </c>
      <c r="K215" s="159">
        <v>1</v>
      </c>
      <c r="L215" s="13">
        <f t="shared" si="28"/>
        <v>250</v>
      </c>
      <c r="N215" s="16"/>
      <c r="O215" s="349">
        <v>0</v>
      </c>
      <c r="P215" s="349">
        <v>0</v>
      </c>
      <c r="Q215" s="349">
        <v>0</v>
      </c>
      <c r="R215" s="349">
        <f t="shared" si="29"/>
        <v>0</v>
      </c>
      <c r="S215" s="349">
        <v>0</v>
      </c>
      <c r="T215" s="349">
        <v>0</v>
      </c>
      <c r="U215" s="349">
        <f t="shared" si="30"/>
        <v>0</v>
      </c>
      <c r="V215" s="349">
        <v>0</v>
      </c>
      <c r="W215" s="349">
        <v>250</v>
      </c>
      <c r="X215" s="249">
        <f t="shared" si="25"/>
        <v>250</v>
      </c>
      <c r="Y215" s="8" t="b">
        <f t="shared" si="24"/>
        <v>1</v>
      </c>
    </row>
    <row r="216" spans="1:25" ht="12.75">
      <c r="A216" s="16">
        <v>202</v>
      </c>
      <c r="B216" t="s">
        <v>290</v>
      </c>
      <c r="C216" t="s">
        <v>780</v>
      </c>
      <c r="E216" s="349">
        <v>1100</v>
      </c>
      <c r="F216" s="349">
        <v>0</v>
      </c>
      <c r="G216" s="349">
        <v>0</v>
      </c>
      <c r="H216" s="349">
        <f t="shared" si="26"/>
        <v>1100</v>
      </c>
      <c r="I216" s="349">
        <v>0</v>
      </c>
      <c r="J216" s="349">
        <f t="shared" si="27"/>
        <v>1100</v>
      </c>
      <c r="K216" s="159">
        <v>1</v>
      </c>
      <c r="L216" s="13">
        <f t="shared" si="28"/>
        <v>1100</v>
      </c>
      <c r="N216" s="16"/>
      <c r="O216" s="349">
        <v>0</v>
      </c>
      <c r="P216" s="349">
        <v>0</v>
      </c>
      <c r="Q216" s="349">
        <v>0</v>
      </c>
      <c r="R216" s="349">
        <f t="shared" si="29"/>
        <v>0</v>
      </c>
      <c r="S216" s="349">
        <v>0</v>
      </c>
      <c r="T216" s="349">
        <v>0</v>
      </c>
      <c r="U216" s="349">
        <f t="shared" si="30"/>
        <v>0</v>
      </c>
      <c r="V216" s="349">
        <v>0</v>
      </c>
      <c r="W216" s="349">
        <v>1100</v>
      </c>
      <c r="X216" s="249">
        <f t="shared" si="25"/>
        <v>1100</v>
      </c>
      <c r="Y216" s="8" t="b">
        <f t="shared" si="24"/>
        <v>1</v>
      </c>
    </row>
    <row r="217" spans="1:25" ht="12.75">
      <c r="A217" s="16">
        <v>203</v>
      </c>
      <c r="B217" t="s">
        <v>290</v>
      </c>
      <c r="C217" t="s">
        <v>468</v>
      </c>
      <c r="E217" s="349">
        <v>475</v>
      </c>
      <c r="F217" s="349">
        <v>0</v>
      </c>
      <c r="G217" s="349">
        <v>0</v>
      </c>
      <c r="H217" s="349">
        <f t="shared" si="26"/>
        <v>475</v>
      </c>
      <c r="I217" s="349">
        <v>0</v>
      </c>
      <c r="J217" s="349">
        <f t="shared" si="27"/>
        <v>475</v>
      </c>
      <c r="K217" s="159">
        <v>1</v>
      </c>
      <c r="L217" s="13">
        <f t="shared" si="28"/>
        <v>475</v>
      </c>
      <c r="N217" s="16"/>
      <c r="O217" s="349">
        <v>0</v>
      </c>
      <c r="P217" s="349">
        <v>0</v>
      </c>
      <c r="Q217" s="349">
        <v>0</v>
      </c>
      <c r="R217" s="349">
        <f t="shared" si="29"/>
        <v>0</v>
      </c>
      <c r="S217" s="349">
        <v>0</v>
      </c>
      <c r="T217" s="349">
        <v>0</v>
      </c>
      <c r="U217" s="349">
        <f t="shared" si="30"/>
        <v>0</v>
      </c>
      <c r="V217" s="349">
        <v>0</v>
      </c>
      <c r="W217" s="349">
        <v>475</v>
      </c>
      <c r="X217" s="249">
        <f t="shared" si="25"/>
        <v>475</v>
      </c>
      <c r="Y217" s="8" t="b">
        <f t="shared" si="24"/>
        <v>1</v>
      </c>
    </row>
    <row r="218" spans="1:25" ht="12.75">
      <c r="A218" s="16">
        <v>204</v>
      </c>
      <c r="B218" t="s">
        <v>290</v>
      </c>
      <c r="C218" t="s">
        <v>566</v>
      </c>
      <c r="E218" s="349">
        <v>125</v>
      </c>
      <c r="F218" s="349">
        <v>0</v>
      </c>
      <c r="G218" s="349">
        <v>0</v>
      </c>
      <c r="H218" s="349">
        <f t="shared" si="26"/>
        <v>125</v>
      </c>
      <c r="I218" s="349">
        <v>0</v>
      </c>
      <c r="J218" s="349">
        <f t="shared" si="27"/>
        <v>125</v>
      </c>
      <c r="K218" s="159">
        <v>1</v>
      </c>
      <c r="L218" s="13">
        <f t="shared" si="28"/>
        <v>125</v>
      </c>
      <c r="N218" s="16"/>
      <c r="O218" s="349">
        <v>0</v>
      </c>
      <c r="P218" s="349">
        <v>0</v>
      </c>
      <c r="Q218" s="349">
        <v>0</v>
      </c>
      <c r="R218" s="349">
        <f t="shared" si="29"/>
        <v>0</v>
      </c>
      <c r="S218" s="349">
        <v>0</v>
      </c>
      <c r="T218" s="349">
        <v>0</v>
      </c>
      <c r="U218" s="349">
        <f t="shared" si="30"/>
        <v>0</v>
      </c>
      <c r="V218" s="349">
        <v>0</v>
      </c>
      <c r="W218" s="349">
        <v>125</v>
      </c>
      <c r="X218" s="249">
        <f t="shared" si="25"/>
        <v>125</v>
      </c>
      <c r="Y218" s="8" t="b">
        <f t="shared" si="24"/>
        <v>1</v>
      </c>
    </row>
    <row r="219" spans="1:25" ht="12.75">
      <c r="A219" s="16">
        <v>205</v>
      </c>
      <c r="B219" t="s">
        <v>290</v>
      </c>
      <c r="C219" t="s">
        <v>568</v>
      </c>
      <c r="E219" s="349">
        <v>145</v>
      </c>
      <c r="F219" s="349">
        <v>0</v>
      </c>
      <c r="G219" s="349">
        <v>0</v>
      </c>
      <c r="H219" s="349">
        <f t="shared" si="31" ref="H219:H221">+E219+F219+G219</f>
        <v>145</v>
      </c>
      <c r="I219" s="349">
        <v>0</v>
      </c>
      <c r="J219" s="349">
        <f t="shared" si="32" ref="J219:J221">+H219+I219</f>
        <v>145</v>
      </c>
      <c r="K219" s="159">
        <v>1</v>
      </c>
      <c r="L219" s="13">
        <f t="shared" si="33" ref="L219:L221">+J219*K219</f>
        <v>145</v>
      </c>
      <c r="N219" s="16"/>
      <c r="O219" s="349">
        <v>0</v>
      </c>
      <c r="P219" s="349">
        <v>0</v>
      </c>
      <c r="Q219" s="349">
        <v>0</v>
      </c>
      <c r="R219" s="349">
        <f t="shared" si="29"/>
        <v>0</v>
      </c>
      <c r="S219" s="349">
        <v>0</v>
      </c>
      <c r="T219" s="349">
        <v>0</v>
      </c>
      <c r="U219" s="349">
        <f t="shared" si="30"/>
        <v>0</v>
      </c>
      <c r="V219" s="349">
        <v>0</v>
      </c>
      <c r="W219" s="349">
        <v>145</v>
      </c>
      <c r="X219" s="249">
        <f t="shared" si="34" ref="X219:X221">+R219+U219+V219+W219</f>
        <v>145</v>
      </c>
      <c r="Y219" s="8" t="b">
        <f t="shared" si="35" ref="Y219:Y221">+X219=L219</f>
        <v>1</v>
      </c>
    </row>
    <row r="220" spans="1:25" ht="12.75">
      <c r="A220" s="16">
        <v>206</v>
      </c>
      <c r="B220" t="s">
        <v>290</v>
      </c>
      <c r="C220" t="s">
        <v>569</v>
      </c>
      <c r="E220" s="349">
        <v>1000</v>
      </c>
      <c r="F220" s="349">
        <v>0</v>
      </c>
      <c r="G220" s="349">
        <v>0</v>
      </c>
      <c r="H220" s="349">
        <f t="shared" si="31"/>
        <v>1000</v>
      </c>
      <c r="I220" s="349">
        <v>0</v>
      </c>
      <c r="J220" s="349">
        <f t="shared" si="32"/>
        <v>1000</v>
      </c>
      <c r="K220" s="159">
        <v>1</v>
      </c>
      <c r="L220" s="13">
        <f t="shared" si="33"/>
        <v>1000</v>
      </c>
      <c r="N220" s="16"/>
      <c r="O220" s="349">
        <v>0</v>
      </c>
      <c r="P220" s="349">
        <v>0</v>
      </c>
      <c r="Q220" s="349">
        <v>0</v>
      </c>
      <c r="R220" s="349">
        <f t="shared" si="29"/>
        <v>0</v>
      </c>
      <c r="S220" s="349">
        <v>0</v>
      </c>
      <c r="T220" s="349">
        <v>0</v>
      </c>
      <c r="U220" s="349">
        <f t="shared" si="30"/>
        <v>0</v>
      </c>
      <c r="V220" s="349">
        <v>0</v>
      </c>
      <c r="W220" s="349">
        <v>1000</v>
      </c>
      <c r="X220" s="249">
        <f t="shared" si="34"/>
        <v>1000</v>
      </c>
      <c r="Y220" s="8" t="b">
        <f t="shared" si="35"/>
        <v>1</v>
      </c>
    </row>
    <row r="221" spans="1:25" ht="12.75">
      <c r="A221" s="16">
        <v>207</v>
      </c>
      <c r="B221" t="s">
        <v>290</v>
      </c>
      <c r="C221" t="s">
        <v>572</v>
      </c>
      <c r="E221" s="349">
        <v>750</v>
      </c>
      <c r="F221" s="349">
        <v>0</v>
      </c>
      <c r="G221" s="349">
        <v>0</v>
      </c>
      <c r="H221" s="349">
        <f t="shared" si="31"/>
        <v>750</v>
      </c>
      <c r="I221" s="349">
        <v>0</v>
      </c>
      <c r="J221" s="349">
        <f t="shared" si="32"/>
        <v>750</v>
      </c>
      <c r="K221" s="159">
        <v>1</v>
      </c>
      <c r="L221" s="13">
        <f t="shared" si="33"/>
        <v>750</v>
      </c>
      <c r="N221" s="16"/>
      <c r="O221" s="349">
        <v>0</v>
      </c>
      <c r="P221" s="349">
        <v>0</v>
      </c>
      <c r="Q221" s="349">
        <v>0</v>
      </c>
      <c r="R221" s="349">
        <f t="shared" si="29"/>
        <v>0</v>
      </c>
      <c r="S221" s="349">
        <v>0</v>
      </c>
      <c r="T221" s="349">
        <v>0</v>
      </c>
      <c r="U221" s="349">
        <f t="shared" si="30"/>
        <v>0</v>
      </c>
      <c r="V221" s="349">
        <v>0</v>
      </c>
      <c r="W221" s="349">
        <v>750</v>
      </c>
      <c r="X221" s="249">
        <f t="shared" si="34"/>
        <v>750</v>
      </c>
      <c r="Y221" s="8" t="b">
        <f t="shared" si="35"/>
        <v>1</v>
      </c>
    </row>
    <row r="222" spans="1:25" ht="12.75">
      <c r="A222" s="16">
        <v>208</v>
      </c>
      <c r="B222" t="s">
        <v>290</v>
      </c>
      <c r="C222" t="s">
        <v>909</v>
      </c>
      <c r="E222" s="349">
        <v>200</v>
      </c>
      <c r="F222" s="349">
        <v>0</v>
      </c>
      <c r="G222" s="349">
        <v>0</v>
      </c>
      <c r="H222" s="349">
        <f t="shared" si="26"/>
        <v>200</v>
      </c>
      <c r="I222" s="349">
        <v>0</v>
      </c>
      <c r="J222" s="349">
        <f t="shared" si="27"/>
        <v>200</v>
      </c>
      <c r="K222" s="159">
        <v>1</v>
      </c>
      <c r="L222" s="13">
        <f t="shared" si="28"/>
        <v>200</v>
      </c>
      <c r="N222" s="16"/>
      <c r="O222" s="349">
        <v>0</v>
      </c>
      <c r="P222" s="349">
        <v>0</v>
      </c>
      <c r="Q222" s="349">
        <v>0</v>
      </c>
      <c r="R222" s="349">
        <f t="shared" si="29"/>
        <v>0</v>
      </c>
      <c r="S222" s="349">
        <v>0</v>
      </c>
      <c r="T222" s="349">
        <v>0</v>
      </c>
      <c r="U222" s="349">
        <f t="shared" si="30"/>
        <v>0</v>
      </c>
      <c r="V222" s="349">
        <v>0</v>
      </c>
      <c r="W222" s="349">
        <v>200</v>
      </c>
      <c r="X222" s="249">
        <f t="shared" si="25"/>
        <v>200</v>
      </c>
      <c r="Y222" s="8" t="b">
        <f t="shared" si="24"/>
        <v>1</v>
      </c>
    </row>
    <row r="223" spans="1:25" ht="12.75">
      <c r="A223" s="16">
        <v>209</v>
      </c>
      <c r="B223" t="s">
        <v>290</v>
      </c>
      <c r="C223" t="s">
        <v>573</v>
      </c>
      <c r="E223" s="349">
        <v>2500</v>
      </c>
      <c r="F223" s="349">
        <v>0</v>
      </c>
      <c r="G223" s="349">
        <v>0</v>
      </c>
      <c r="H223" s="349">
        <f t="shared" si="26"/>
        <v>2500</v>
      </c>
      <c r="I223" s="349">
        <v>0</v>
      </c>
      <c r="J223" s="349">
        <f t="shared" si="27"/>
        <v>2500</v>
      </c>
      <c r="K223" s="159">
        <v>1</v>
      </c>
      <c r="L223" s="13">
        <f t="shared" si="28"/>
        <v>2500</v>
      </c>
      <c r="N223" s="16"/>
      <c r="O223" s="349">
        <v>0</v>
      </c>
      <c r="P223" s="349">
        <v>0</v>
      </c>
      <c r="Q223" s="349">
        <v>0</v>
      </c>
      <c r="R223" s="349">
        <f t="shared" si="29"/>
        <v>0</v>
      </c>
      <c r="S223" s="349">
        <v>0</v>
      </c>
      <c r="T223" s="349">
        <v>0</v>
      </c>
      <c r="U223" s="349">
        <f t="shared" si="30"/>
        <v>0</v>
      </c>
      <c r="V223" s="349">
        <v>0</v>
      </c>
      <c r="W223" s="349">
        <v>2500</v>
      </c>
      <c r="X223" s="249">
        <f t="shared" si="25"/>
        <v>2500</v>
      </c>
      <c r="Y223" s="8" t="b">
        <f t="shared" si="24"/>
        <v>1</v>
      </c>
    </row>
    <row r="224" spans="1:25" ht="12.75">
      <c r="A224" s="16">
        <v>210</v>
      </c>
      <c r="B224" t="s">
        <v>290</v>
      </c>
      <c r="C224" t="s">
        <v>574</v>
      </c>
      <c r="E224" s="349">
        <v>300</v>
      </c>
      <c r="F224" s="349">
        <v>0</v>
      </c>
      <c r="G224" s="349">
        <v>0</v>
      </c>
      <c r="H224" s="349">
        <f t="shared" si="26"/>
        <v>300</v>
      </c>
      <c r="I224" s="349">
        <v>0</v>
      </c>
      <c r="J224" s="349">
        <f t="shared" si="27"/>
        <v>300</v>
      </c>
      <c r="K224" s="159">
        <v>1</v>
      </c>
      <c r="L224" s="13">
        <f t="shared" si="28"/>
        <v>300</v>
      </c>
      <c r="N224" s="16"/>
      <c r="O224" s="349">
        <v>0</v>
      </c>
      <c r="P224" s="349">
        <v>0</v>
      </c>
      <c r="Q224" s="349">
        <v>0</v>
      </c>
      <c r="R224" s="349">
        <f t="shared" si="29"/>
        <v>0</v>
      </c>
      <c r="S224" s="349">
        <v>0</v>
      </c>
      <c r="T224" s="349">
        <v>0</v>
      </c>
      <c r="U224" s="349">
        <f t="shared" si="30"/>
        <v>0</v>
      </c>
      <c r="V224" s="349">
        <v>0</v>
      </c>
      <c r="W224" s="349">
        <v>300</v>
      </c>
      <c r="X224" s="249">
        <f t="shared" si="25"/>
        <v>300</v>
      </c>
      <c r="Y224" s="8" t="b">
        <f t="shared" si="24"/>
        <v>1</v>
      </c>
    </row>
    <row r="225" spans="1:25" ht="12.75">
      <c r="A225" s="16">
        <v>211</v>
      </c>
      <c r="B225" t="s">
        <v>290</v>
      </c>
      <c r="C225" t="s">
        <v>781</v>
      </c>
      <c r="E225" s="349">
        <v>300</v>
      </c>
      <c r="F225" s="349">
        <v>0</v>
      </c>
      <c r="G225" s="349">
        <v>0</v>
      </c>
      <c r="H225" s="349">
        <f t="shared" si="26"/>
        <v>300</v>
      </c>
      <c r="I225" s="349">
        <v>0</v>
      </c>
      <c r="J225" s="349">
        <f t="shared" si="27"/>
        <v>300</v>
      </c>
      <c r="K225" s="159">
        <v>1</v>
      </c>
      <c r="L225" s="13">
        <f t="shared" si="28"/>
        <v>300</v>
      </c>
      <c r="N225" s="16"/>
      <c r="O225" s="349">
        <v>0</v>
      </c>
      <c r="P225" s="349">
        <v>0</v>
      </c>
      <c r="Q225" s="349">
        <v>0</v>
      </c>
      <c r="R225" s="349">
        <f t="shared" si="29"/>
        <v>0</v>
      </c>
      <c r="S225" s="349">
        <v>0</v>
      </c>
      <c r="T225" s="349">
        <v>0</v>
      </c>
      <c r="U225" s="349">
        <f t="shared" si="30"/>
        <v>0</v>
      </c>
      <c r="V225" s="349">
        <v>0</v>
      </c>
      <c r="W225" s="349">
        <v>300</v>
      </c>
      <c r="X225" s="249">
        <f t="shared" si="25"/>
        <v>300</v>
      </c>
      <c r="Y225" s="8" t="b">
        <f t="shared" si="36" ref="Y225:Y229">+X225=L225</f>
        <v>1</v>
      </c>
    </row>
    <row r="226" spans="1:25" ht="12.75">
      <c r="A226" s="16">
        <v>212</v>
      </c>
      <c r="B226" t="s">
        <v>290</v>
      </c>
      <c r="C226" t="s">
        <v>910</v>
      </c>
      <c r="E226" s="349">
        <v>7500</v>
      </c>
      <c r="F226" s="349">
        <v>0</v>
      </c>
      <c r="G226" s="349">
        <v>0</v>
      </c>
      <c r="H226" s="349">
        <f t="shared" si="26"/>
        <v>7500</v>
      </c>
      <c r="I226" s="349">
        <v>0</v>
      </c>
      <c r="J226" s="349">
        <f t="shared" si="27"/>
        <v>7500</v>
      </c>
      <c r="K226" s="159">
        <v>1</v>
      </c>
      <c r="L226" s="13">
        <f t="shared" si="28"/>
        <v>7500</v>
      </c>
      <c r="N226" s="16"/>
      <c r="O226" s="349">
        <v>0</v>
      </c>
      <c r="P226" s="349">
        <v>0</v>
      </c>
      <c r="Q226" s="349">
        <v>0</v>
      </c>
      <c r="R226" s="349">
        <f t="shared" si="29"/>
        <v>0</v>
      </c>
      <c r="S226" s="349">
        <v>0</v>
      </c>
      <c r="T226" s="349">
        <v>0</v>
      </c>
      <c r="U226" s="349">
        <f t="shared" si="30"/>
        <v>0</v>
      </c>
      <c r="V226" s="349">
        <v>0</v>
      </c>
      <c r="W226" s="349">
        <v>7500</v>
      </c>
      <c r="X226" s="249">
        <f t="shared" si="37" ref="X226:X229">+R226+U226+V226+W226</f>
        <v>7500</v>
      </c>
      <c r="Y226" s="8" t="b">
        <f t="shared" si="36"/>
        <v>1</v>
      </c>
    </row>
    <row r="227" spans="1:25" ht="12.75">
      <c r="A227" s="16">
        <v>213</v>
      </c>
      <c r="B227" t="s">
        <v>290</v>
      </c>
      <c r="C227" t="s">
        <v>575</v>
      </c>
      <c r="E227" s="349">
        <v>608</v>
      </c>
      <c r="F227" s="349">
        <v>0</v>
      </c>
      <c r="G227" s="349">
        <v>0</v>
      </c>
      <c r="H227" s="349">
        <f t="shared" si="26"/>
        <v>608</v>
      </c>
      <c r="I227" s="349">
        <v>0</v>
      </c>
      <c r="J227" s="349">
        <f t="shared" si="27"/>
        <v>608</v>
      </c>
      <c r="K227" s="159">
        <v>1</v>
      </c>
      <c r="L227" s="13">
        <f t="shared" si="28"/>
        <v>608</v>
      </c>
      <c r="N227" s="16"/>
      <c r="O227" s="349">
        <v>0</v>
      </c>
      <c r="P227" s="349">
        <v>0</v>
      </c>
      <c r="Q227" s="349">
        <v>0</v>
      </c>
      <c r="R227" s="349">
        <f t="shared" si="29"/>
        <v>0</v>
      </c>
      <c r="S227" s="349">
        <v>0</v>
      </c>
      <c r="T227" s="349">
        <v>0</v>
      </c>
      <c r="U227" s="349">
        <f t="shared" si="30"/>
        <v>0</v>
      </c>
      <c r="V227" s="349">
        <v>0</v>
      </c>
      <c r="W227" s="349">
        <v>608</v>
      </c>
      <c r="X227" s="249">
        <f t="shared" si="37"/>
        <v>608</v>
      </c>
      <c r="Y227" s="8" t="b">
        <f t="shared" si="36"/>
        <v>1</v>
      </c>
    </row>
    <row r="228" spans="1:25" ht="12.75">
      <c r="A228" s="16">
        <v>214</v>
      </c>
      <c r="B228" t="s">
        <v>290</v>
      </c>
      <c r="C228" t="s">
        <v>782</v>
      </c>
      <c r="E228" s="349">
        <v>125</v>
      </c>
      <c r="F228" s="349">
        <v>0</v>
      </c>
      <c r="G228" s="349">
        <v>0</v>
      </c>
      <c r="H228" s="349">
        <f t="shared" si="26"/>
        <v>125</v>
      </c>
      <c r="I228" s="349">
        <v>0</v>
      </c>
      <c r="J228" s="349">
        <f t="shared" si="27"/>
        <v>125</v>
      </c>
      <c r="K228" s="159">
        <v>1</v>
      </c>
      <c r="L228" s="13">
        <f t="shared" si="28"/>
        <v>125</v>
      </c>
      <c r="N228" s="16"/>
      <c r="O228" s="349">
        <v>0</v>
      </c>
      <c r="P228" s="349">
        <v>0</v>
      </c>
      <c r="Q228" s="349">
        <v>0</v>
      </c>
      <c r="R228" s="349">
        <f t="shared" si="29"/>
        <v>0</v>
      </c>
      <c r="S228" s="349">
        <v>0</v>
      </c>
      <c r="T228" s="349">
        <v>0</v>
      </c>
      <c r="U228" s="349">
        <f t="shared" si="30"/>
        <v>0</v>
      </c>
      <c r="V228" s="349">
        <v>0</v>
      </c>
      <c r="W228" s="349">
        <v>125</v>
      </c>
      <c r="X228" s="249">
        <f t="shared" si="37"/>
        <v>125</v>
      </c>
      <c r="Y228" s="8" t="b">
        <f t="shared" si="36"/>
        <v>1</v>
      </c>
    </row>
    <row r="229" spans="1:25" ht="12.75">
      <c r="A229" s="16">
        <v>215</v>
      </c>
      <c r="B229" t="s">
        <v>290</v>
      </c>
      <c r="C229" t="s">
        <v>576</v>
      </c>
      <c r="E229" s="349">
        <v>950</v>
      </c>
      <c r="F229" s="349">
        <v>0</v>
      </c>
      <c r="G229" s="349">
        <v>0</v>
      </c>
      <c r="H229" s="349">
        <f t="shared" si="26"/>
        <v>950</v>
      </c>
      <c r="I229" s="349">
        <v>0</v>
      </c>
      <c r="J229" s="349">
        <f t="shared" si="27"/>
        <v>950</v>
      </c>
      <c r="K229" s="159">
        <v>1</v>
      </c>
      <c r="L229" s="13">
        <f t="shared" si="28"/>
        <v>950</v>
      </c>
      <c r="N229" s="16"/>
      <c r="O229" s="349">
        <v>0</v>
      </c>
      <c r="P229" s="349">
        <v>0</v>
      </c>
      <c r="Q229" s="349">
        <v>0</v>
      </c>
      <c r="R229" s="349">
        <f t="shared" si="29"/>
        <v>0</v>
      </c>
      <c r="S229" s="349">
        <v>0</v>
      </c>
      <c r="T229" s="349">
        <v>0</v>
      </c>
      <c r="U229" s="349">
        <f t="shared" si="30"/>
        <v>0</v>
      </c>
      <c r="V229" s="349">
        <v>0</v>
      </c>
      <c r="W229" s="349">
        <v>950</v>
      </c>
      <c r="X229" s="249">
        <f t="shared" si="37"/>
        <v>950</v>
      </c>
      <c r="Y229" s="8" t="b">
        <f t="shared" si="36"/>
        <v>1</v>
      </c>
    </row>
    <row r="230" spans="1:25" ht="12.75">
      <c r="A230" s="16">
        <v>216</v>
      </c>
      <c r="E230" s="13"/>
      <c r="F230" s="13"/>
      <c r="G230" s="13"/>
      <c r="H230" s="13"/>
      <c r="I230" s="13"/>
      <c r="J230" s="13"/>
      <c r="K230" s="159"/>
      <c r="L230" s="13"/>
      <c r="M230" s="3"/>
      <c r="N230" s="16"/>
      <c r="O230" s="13"/>
      <c r="P230" s="13"/>
      <c r="Q230" s="13"/>
      <c r="R230" s="13"/>
      <c r="S230" s="13"/>
      <c r="T230" s="13"/>
      <c r="U230" s="13"/>
      <c r="V230" s="13"/>
      <c r="W230" s="13"/>
      <c r="X230" s="62"/>
      <c r="Y230" s="8"/>
    </row>
    <row r="231" spans="1:24" ht="12.75">
      <c r="A231" s="16">
        <v>217</v>
      </c>
      <c r="E231" s="115"/>
      <c r="F231" s="115"/>
      <c r="G231" s="115"/>
      <c r="H231" s="115"/>
      <c r="I231" s="115"/>
      <c r="J231" s="115"/>
      <c r="K231" s="162"/>
      <c r="L231" s="115"/>
      <c r="O231" s="115"/>
      <c r="P231" s="115"/>
      <c r="Q231" s="115"/>
      <c r="R231" s="115"/>
      <c r="S231" s="115"/>
      <c r="T231" s="115"/>
      <c r="U231" s="115"/>
      <c r="V231" s="115"/>
      <c r="W231" s="115"/>
      <c r="X231" s="115"/>
    </row>
    <row r="232" spans="1:25" ht="12.75">
      <c r="A232" s="16">
        <v>218</v>
      </c>
      <c r="B232" s="5" t="str">
        <f>CONCATENATE("Total"," ",+B15)</f>
        <v>Total Business / Economic Dues</v>
      </c>
      <c r="E232" s="142">
        <f t="shared" si="38" ref="E232:J232">SUM(E17:E230)</f>
        <v>507284.07999999996</v>
      </c>
      <c r="F232" s="142">
        <f t="shared" si="38"/>
        <v>0</v>
      </c>
      <c r="G232" s="142">
        <f t="shared" si="38"/>
        <v>0</v>
      </c>
      <c r="H232" s="142">
        <f t="shared" si="38"/>
        <v>507284.07999999996</v>
      </c>
      <c r="I232" s="142">
        <f t="shared" si="38"/>
        <v>-5000</v>
      </c>
      <c r="J232" s="142">
        <f t="shared" si="38"/>
        <v>502284.07999999996</v>
      </c>
      <c r="K232" s="142"/>
      <c r="L232" s="142">
        <f>SUM(L17:L230)</f>
        <v>502284.07999999996</v>
      </c>
      <c r="M232" s="142"/>
      <c r="N232" s="142"/>
      <c r="O232" s="142">
        <f>SUM(O17:O230)</f>
        <v>2444.7970787326949</v>
      </c>
      <c r="P232" s="142">
        <f t="shared" si="39" ref="P232:X232">SUM(P17:P230)</f>
        <v>0</v>
      </c>
      <c r="Q232" s="142">
        <f t="shared" si="39"/>
        <v>0</v>
      </c>
      <c r="R232" s="142">
        <f t="shared" si="39"/>
        <v>2444.7970787326949</v>
      </c>
      <c r="S232" s="142">
        <f t="shared" si="39"/>
        <v>41335.039671062645</v>
      </c>
      <c r="T232" s="142">
        <f t="shared" si="39"/>
        <v>0</v>
      </c>
      <c r="U232" s="142">
        <f t="shared" si="39"/>
        <v>41335.039671062645</v>
      </c>
      <c r="V232" s="142">
        <f t="shared" si="39"/>
        <v>1811.8427115611971</v>
      </c>
      <c r="W232" s="142">
        <f t="shared" si="39"/>
        <v>456692.40053864347</v>
      </c>
      <c r="X232" s="142">
        <f t="shared" si="39"/>
        <v>502284.07999999996</v>
      </c>
      <c r="Y232" s="8" t="b">
        <f>+X232=L232</f>
        <v>1</v>
      </c>
    </row>
    <row r="233" spans="11:11" ht="12.75">
      <c r="K233" s="162"/>
    </row>
  </sheetData>
  <printOptions horizontalCentered="1"/>
  <pageMargins left="0.5" right="0.5" top="3" bottom="0.5" header="1.5" footer="0.5"/>
  <pageSetup fitToHeight="10" fitToWidth="10" orientation="landscape" pageOrder="overThenDown" scale="61" r:id="rId1"/>
  <headerFooter alignWithMargins="0">
    <oddHeader xml:space="preserve">&amp;C&amp;B
2022 RATE CASE
ONCOR ELECTRIC DELIVERY COMPANY LLC
II-D-2.6b  SUMMARY OF BUSINESS/ECONOMIC DUES
TEST YEAR ENDING DECEMBER 31, 2021
SPONSOR: W. ALAN LEDBETTER&amp;R&amp;"Arial,Bold"Schedule &amp;A 
Page &amp;P of &amp;N </oddHeader>
  </headerFooter>
  <colBreaks count="1" manualBreakCount="1">
    <brk id="11" min="14" max="402" man="1"/>
  </colBreak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6">
    <tabColor rgb="FFFF0000"/>
  </sheetPr>
  <dimension ref="A1:Y149"/>
  <sheetViews>
    <sheetView zoomScale="85" zoomScaleNormal="85" workbookViewId="0" topLeftCell="A1">
      <pane ySplit="13" topLeftCell="A104" activePane="bottomLeft" state="frozen"/>
      <selection pane="topLeft" activeCell="D39" sqref="D39"/>
      <selection pane="bottomLeft" activeCell="C130" sqref="C130"/>
    </sheetView>
  </sheetViews>
  <sheetFormatPr defaultRowHeight="12.75"/>
  <cols>
    <col min="1" max="1" width="5.71428571428571" customWidth="1"/>
    <col min="2" max="2" width="8.71428571428571" customWidth="1"/>
    <col min="3" max="3" width="79" bestFit="1" customWidth="1"/>
    <col min="4" max="4" width="10.2857142857143" bestFit="1" customWidth="1"/>
    <col min="5" max="5" width="11.2857142857143" bestFit="1" customWidth="1"/>
    <col min="6" max="6" width="12.2857142857143" bestFit="1" customWidth="1"/>
    <col min="7" max="7" width="17.1428571428571" bestFit="1" customWidth="1"/>
    <col min="8" max="8" width="11.2857142857143" bestFit="1" customWidth="1"/>
    <col min="9" max="9" width="12" bestFit="1" customWidth="1"/>
    <col min="10" max="10" width="11.2857142857143" bestFit="1" customWidth="1"/>
    <col min="11" max="11" width="10.2857142857143" customWidth="1"/>
    <col min="12" max="12" width="12.4285714285714" bestFit="1" customWidth="1"/>
    <col min="13" max="13" width="3.28571428571429" bestFit="1" customWidth="1"/>
    <col min="14" max="14" width="6.71428571428571" bestFit="1" customWidth="1"/>
    <col min="15" max="15" width="10.8571428571429" bestFit="1" customWidth="1"/>
    <col min="16" max="18" width="10.8571428571429" customWidth="1"/>
    <col min="19" max="19" width="10.8571428571429" bestFit="1" customWidth="1"/>
    <col min="20" max="21" width="10.8571428571429" customWidth="1"/>
    <col min="22" max="22" width="9.71428571428571" bestFit="1" customWidth="1"/>
    <col min="23" max="23" width="9.28571428571429" customWidth="1"/>
    <col min="24" max="24" width="11.2857142857143" bestFit="1" customWidth="1"/>
    <col min="25" max="25" width="9.28571428571429" bestFit="1" customWidth="1"/>
  </cols>
  <sheetData>
    <row r="1" spans="1:1" ht="12.75">
      <c r="A1" s="5" t="str">
        <f>+'[3]Input Data'!$A$9</f>
        <v>2022 RATE CASE</v>
      </c>
    </row>
    <row r="2" spans="1:24" s="33" customFormat="1" ht="12.75">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ht="12.75">
      <c r="A3" s="7" t="str">
        <f>CONCATENATE('[3]Schedule Sponsors'!$A$64,'[3]Schedule Sponsors'!$B$64)</f>
        <v>II-D-2.6c  SUMMARY OF PROFESSIONAL DUES</v>
      </c>
      <c r="B3" s="4"/>
      <c r="D3" s="31"/>
      <c r="E3" s="31"/>
      <c r="F3" s="31"/>
      <c r="G3" s="34"/>
      <c r="H3" s="31"/>
      <c r="I3" s="31"/>
      <c r="J3" s="31"/>
      <c r="K3" s="31"/>
      <c r="L3" s="32"/>
      <c r="M3" s="31"/>
      <c r="N3" s="32"/>
      <c r="O3" s="28"/>
      <c r="P3" s="28"/>
      <c r="Q3" s="28"/>
      <c r="R3" s="28"/>
      <c r="S3" s="31"/>
      <c r="T3" s="31"/>
      <c r="U3" s="31"/>
      <c r="V3" s="31"/>
      <c r="W3" s="31"/>
      <c r="X3" s="31"/>
    </row>
    <row r="4" spans="1:24" s="33" customFormat="1" ht="12.75">
      <c r="A4" s="63" t="str">
        <f>+'[3]Input Data'!$A$4</f>
        <v>TEST YEAR ENDING DECEMBER 31, 2021</v>
      </c>
      <c r="B4" s="4"/>
      <c r="D4" s="31"/>
      <c r="E4" s="31"/>
      <c r="F4" s="31"/>
      <c r="G4" s="34"/>
      <c r="H4" s="31"/>
      <c r="I4" s="31"/>
      <c r="J4" s="31"/>
      <c r="K4" s="31"/>
      <c r="L4" s="32"/>
      <c r="M4" s="31"/>
      <c r="N4" s="32"/>
      <c r="O4" s="28"/>
      <c r="P4" s="28"/>
      <c r="Q4" s="28"/>
      <c r="R4" s="28"/>
      <c r="S4" s="31"/>
      <c r="T4" s="31"/>
      <c r="U4" s="31"/>
      <c r="V4" s="31"/>
      <c r="W4" s="31"/>
      <c r="X4" s="31"/>
    </row>
    <row r="5" spans="1:24" s="33" customFormat="1" ht="12.75">
      <c r="A5" s="7" t="str">
        <f>CONCATENATE("SPONSOR: ",'[3]Schedule Sponsors'!$D$64)</f>
        <v>SPONSOR: W. ALAN LEDBETTER</v>
      </c>
      <c r="B5" s="4"/>
      <c r="D5" s="31"/>
      <c r="E5" s="31"/>
      <c r="F5" s="31"/>
      <c r="G5" s="31"/>
      <c r="H5" s="31"/>
      <c r="I5" s="31"/>
      <c r="J5" s="31"/>
      <c r="K5" s="31"/>
      <c r="L5" s="32"/>
      <c r="M5" s="31"/>
      <c r="N5" s="32"/>
      <c r="O5" s="31"/>
      <c r="P5" s="31"/>
      <c r="Q5" s="31"/>
      <c r="R5" s="31"/>
      <c r="S5" s="31"/>
      <c r="T5" s="31"/>
      <c r="U5" s="31"/>
      <c r="V5" s="31"/>
      <c r="W5" s="31"/>
      <c r="X5" s="31"/>
    </row>
    <row r="6" spans="1:24" s="33" customFormat="1" ht="12.75">
      <c r="A6" s="31"/>
      <c r="B6" s="4"/>
      <c r="D6" s="31"/>
      <c r="E6" s="31"/>
      <c r="F6" s="31"/>
      <c r="G6" s="31"/>
      <c r="H6" s="31"/>
      <c r="I6" s="31"/>
      <c r="J6" s="31"/>
      <c r="K6" s="31"/>
      <c r="L6" s="32"/>
      <c r="M6" s="31"/>
      <c r="N6" s="32"/>
      <c r="O6" s="31"/>
      <c r="P6" s="31"/>
      <c r="Q6" s="31"/>
      <c r="R6" s="31"/>
      <c r="S6" s="31"/>
      <c r="T6" s="31"/>
      <c r="U6" s="31"/>
      <c r="V6" s="31"/>
      <c r="W6" s="31"/>
      <c r="X6" s="31"/>
    </row>
    <row r="7" spans="1:24" s="33" customFormat="1" ht="12.75">
      <c r="A7" s="31"/>
      <c r="B7" s="4"/>
      <c r="D7" s="31"/>
      <c r="E7" s="31"/>
      <c r="F7" s="31"/>
      <c r="G7" s="31"/>
      <c r="H7" s="31"/>
      <c r="I7" s="31"/>
      <c r="J7" s="31"/>
      <c r="K7" s="31"/>
      <c r="L7" s="32"/>
      <c r="M7" s="31"/>
      <c r="N7" s="32"/>
      <c r="O7" s="31"/>
      <c r="P7" s="31"/>
      <c r="Q7" s="31"/>
      <c r="R7" s="31"/>
      <c r="S7" s="31"/>
      <c r="T7" s="31"/>
      <c r="U7" s="31"/>
      <c r="V7" s="31"/>
      <c r="W7" s="31"/>
      <c r="X7" s="31"/>
    </row>
    <row r="8" spans="1:24" s="33" customFormat="1" ht="12.75">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211</v>
      </c>
      <c r="C9" s="31"/>
      <c r="D9" s="31"/>
      <c r="E9" s="36"/>
      <c r="F9" s="36"/>
      <c r="G9" s="36"/>
      <c r="H9" s="36"/>
      <c r="I9" s="36"/>
      <c r="J9" s="36"/>
      <c r="K9" s="36"/>
      <c r="L9" s="36"/>
      <c r="M9" s="36"/>
      <c r="N9" s="36"/>
      <c r="O9" s="36"/>
      <c r="P9" s="36"/>
      <c r="Q9" s="36"/>
      <c r="R9" s="36"/>
      <c r="S9" s="36"/>
      <c r="T9" s="36"/>
      <c r="U9" s="36"/>
      <c r="V9" s="36"/>
      <c r="W9" s="36"/>
      <c r="X9" s="36"/>
    </row>
    <row r="10" spans="1:24" s="35"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35"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35" customFormat="1" ht="12.75">
      <c r="A12" s="11" t="s">
        <v>89</v>
      </c>
      <c r="B12" s="11" t="s">
        <v>296</v>
      </c>
      <c r="C12" s="11" t="s">
        <v>394</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2: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3" s="8" customFormat="1" ht="12.75">
      <c r="A15" s="16">
        <v>1</v>
      </c>
      <c r="B15" s="8" t="s">
        <v>395</v>
      </c>
      <c r="D15" s="18" t="s">
        <v>12</v>
      </c>
      <c r="E15" s="19"/>
      <c r="F15" s="19"/>
      <c r="G15" s="19"/>
      <c r="H15" s="19"/>
      <c r="I15" s="19"/>
      <c r="J15" s="19"/>
      <c r="K15" s="19"/>
      <c r="L15" s="19"/>
      <c r="M15" s="18"/>
      <c r="N15" s="25"/>
      <c r="O15" s="19"/>
      <c r="P15" s="19"/>
      <c r="Q15" s="19"/>
      <c r="R15" s="19"/>
      <c r="S15" s="19"/>
      <c r="T15" s="19"/>
      <c r="U15" s="19"/>
      <c r="V15" s="19"/>
      <c r="W15" s="19"/>
    </row>
    <row r="16" spans="1:24" s="8" customFormat="1" ht="12.75">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ht="12.75">
      <c r="A17" s="16">
        <v>3</v>
      </c>
      <c r="B17" t="s">
        <v>231</v>
      </c>
      <c r="C17" t="s">
        <v>962</v>
      </c>
      <c r="D17" s="18"/>
      <c r="E17" s="325">
        <v>437.14999999999998</v>
      </c>
      <c r="F17" s="325">
        <v>0</v>
      </c>
      <c r="G17" s="325">
        <v>0</v>
      </c>
      <c r="H17" s="325">
        <f t="shared" si="0" ref="H17">+E17+F17+G17</f>
        <v>437.14999999999998</v>
      </c>
      <c r="I17" s="325">
        <v>0</v>
      </c>
      <c r="J17" s="325">
        <f t="shared" si="1" ref="J17">+H17+I17</f>
        <v>437.14999999999998</v>
      </c>
      <c r="K17" s="159">
        <v>1</v>
      </c>
      <c r="L17" s="325">
        <f t="shared" si="2" ref="L17">+J17*K17</f>
        <v>437.14999999999998</v>
      </c>
      <c r="M17" s="156"/>
      <c r="N17" s="156"/>
      <c r="O17" s="325">
        <v>437.14999999999998</v>
      </c>
      <c r="P17" s="325">
        <v>0</v>
      </c>
      <c r="Q17" s="325">
        <v>0</v>
      </c>
      <c r="R17" s="325">
        <f>SUM(O17:Q17)</f>
        <v>437.14999999999998</v>
      </c>
      <c r="S17" s="325">
        <v>0</v>
      </c>
      <c r="T17" s="325">
        <v>0</v>
      </c>
      <c r="U17" s="325">
        <f>SUM(S17:T17)</f>
        <v>0</v>
      </c>
      <c r="V17" s="325">
        <v>0</v>
      </c>
      <c r="W17" s="325">
        <v>0</v>
      </c>
      <c r="X17" s="325">
        <f>+R17+U17+V17+W17</f>
        <v>437.14999999999998</v>
      </c>
      <c r="Y17" s="4" t="b">
        <f t="shared" si="3" ref="Y17">+X17=L17</f>
        <v>1</v>
      </c>
    </row>
    <row r="18" spans="1:25" s="8" customFormat="1" ht="12.75">
      <c r="A18" s="16">
        <v>4</v>
      </c>
      <c r="B18" t="s">
        <v>231</v>
      </c>
      <c r="C18" t="s">
        <v>911</v>
      </c>
      <c r="D18" s="18"/>
      <c r="E18" s="324">
        <v>125</v>
      </c>
      <c r="F18" s="324">
        <v>0</v>
      </c>
      <c r="G18" s="324">
        <v>0</v>
      </c>
      <c r="H18" s="324">
        <f t="shared" si="4" ref="H18:H78">+E18+F18+G18</f>
        <v>125</v>
      </c>
      <c r="I18" s="324">
        <v>0</v>
      </c>
      <c r="J18" s="324">
        <f t="shared" si="5" ref="J18:J78">+H18+I18</f>
        <v>125</v>
      </c>
      <c r="K18" s="159">
        <v>1</v>
      </c>
      <c r="L18" s="324">
        <f t="shared" si="6" ref="L18:L78">+J18*K18</f>
        <v>125</v>
      </c>
      <c r="M18" s="324"/>
      <c r="N18" s="324"/>
      <c r="O18" s="324">
        <v>125</v>
      </c>
      <c r="P18" s="324">
        <v>0</v>
      </c>
      <c r="Q18" s="324">
        <v>0</v>
      </c>
      <c r="R18" s="324">
        <f t="shared" si="7" ref="R18:R78">SUM(O18:Q18)</f>
        <v>125</v>
      </c>
      <c r="S18" s="324">
        <v>0</v>
      </c>
      <c r="T18" s="324">
        <v>0</v>
      </c>
      <c r="U18" s="324">
        <f t="shared" si="8" ref="U18:U78">SUM(S18:T18)</f>
        <v>0</v>
      </c>
      <c r="V18" s="324">
        <v>0</v>
      </c>
      <c r="W18" s="324">
        <v>0</v>
      </c>
      <c r="X18" s="324">
        <f t="shared" si="9" ref="X18:X78">+R18+U18+V18+W18</f>
        <v>125</v>
      </c>
      <c r="Y18" s="249" t="b">
        <f t="shared" si="10" ref="Y18:Y78">+X18=L18</f>
        <v>1</v>
      </c>
    </row>
    <row r="19" spans="1:25" s="8" customFormat="1" ht="12.75">
      <c r="A19" s="16">
        <v>5</v>
      </c>
      <c r="B19" t="s">
        <v>231</v>
      </c>
      <c r="C19" t="s">
        <v>581</v>
      </c>
      <c r="D19" s="18"/>
      <c r="E19" s="324">
        <v>31.5</v>
      </c>
      <c r="F19" s="324">
        <v>0</v>
      </c>
      <c r="G19" s="324">
        <v>0</v>
      </c>
      <c r="H19" s="324">
        <f t="shared" si="4"/>
        <v>31.5</v>
      </c>
      <c r="I19" s="324">
        <v>0</v>
      </c>
      <c r="J19" s="324">
        <f t="shared" si="5"/>
        <v>31.5</v>
      </c>
      <c r="K19" s="159">
        <v>1</v>
      </c>
      <c r="L19" s="324">
        <f t="shared" si="6"/>
        <v>31.5</v>
      </c>
      <c r="M19" s="324"/>
      <c r="N19" s="324"/>
      <c r="O19" s="324">
        <v>31.5</v>
      </c>
      <c r="P19" s="324">
        <v>0</v>
      </c>
      <c r="Q19" s="324">
        <v>0</v>
      </c>
      <c r="R19" s="324">
        <f t="shared" si="7"/>
        <v>31.5</v>
      </c>
      <c r="S19" s="324">
        <v>0</v>
      </c>
      <c r="T19" s="324">
        <v>0</v>
      </c>
      <c r="U19" s="324">
        <f t="shared" si="8"/>
        <v>0</v>
      </c>
      <c r="V19" s="324">
        <v>0</v>
      </c>
      <c r="W19" s="324">
        <v>0</v>
      </c>
      <c r="X19" s="324">
        <f t="shared" si="9"/>
        <v>31.5</v>
      </c>
      <c r="Y19" s="249" t="b">
        <f t="shared" si="10"/>
        <v>1</v>
      </c>
    </row>
    <row r="20" spans="1:25" s="8" customFormat="1" ht="12.75">
      <c r="A20" s="16">
        <v>6</v>
      </c>
      <c r="B20" t="s">
        <v>232</v>
      </c>
      <c r="C20" t="s">
        <v>912</v>
      </c>
      <c r="D20" s="18"/>
      <c r="E20" s="324">
        <v>2000</v>
      </c>
      <c r="F20" s="324">
        <v>0</v>
      </c>
      <c r="G20" s="324">
        <v>0</v>
      </c>
      <c r="H20" s="324">
        <f t="shared" si="4"/>
        <v>2000</v>
      </c>
      <c r="I20" s="324">
        <v>0</v>
      </c>
      <c r="J20" s="324">
        <f t="shared" si="5"/>
        <v>2000</v>
      </c>
      <c r="K20" s="159">
        <v>1</v>
      </c>
      <c r="L20" s="324">
        <f t="shared" si="6"/>
        <v>2000</v>
      </c>
      <c r="M20" s="324"/>
      <c r="N20" s="324"/>
      <c r="O20" s="324">
        <v>2000</v>
      </c>
      <c r="P20" s="324">
        <v>0</v>
      </c>
      <c r="Q20" s="324">
        <v>0</v>
      </c>
      <c r="R20" s="324">
        <f t="shared" si="7"/>
        <v>2000</v>
      </c>
      <c r="S20" s="324">
        <v>0</v>
      </c>
      <c r="T20" s="324">
        <v>0</v>
      </c>
      <c r="U20" s="324">
        <f t="shared" si="8"/>
        <v>0</v>
      </c>
      <c r="V20" s="324">
        <v>0</v>
      </c>
      <c r="W20" s="324">
        <v>0</v>
      </c>
      <c r="X20" s="324">
        <f t="shared" si="9"/>
        <v>2000</v>
      </c>
      <c r="Y20" s="249" t="b">
        <f t="shared" si="10"/>
        <v>1</v>
      </c>
    </row>
    <row r="21" spans="1:25" s="8" customFormat="1" ht="12.75">
      <c r="A21" s="16">
        <v>7</v>
      </c>
      <c r="B21" t="s">
        <v>232</v>
      </c>
      <c r="C21" t="s">
        <v>962</v>
      </c>
      <c r="D21" s="18"/>
      <c r="E21" s="324">
        <v>1194.25</v>
      </c>
      <c r="F21" s="324">
        <v>0</v>
      </c>
      <c r="G21" s="324">
        <v>0</v>
      </c>
      <c r="H21" s="324">
        <f t="shared" si="4"/>
        <v>1194.25</v>
      </c>
      <c r="I21" s="324">
        <v>0</v>
      </c>
      <c r="J21" s="324">
        <f t="shared" si="5"/>
        <v>1194.25</v>
      </c>
      <c r="K21" s="159">
        <v>1</v>
      </c>
      <c r="L21" s="324">
        <f t="shared" si="6"/>
        <v>1194.25</v>
      </c>
      <c r="M21" s="324"/>
      <c r="N21" s="324"/>
      <c r="O21" s="324">
        <v>1194.25</v>
      </c>
      <c r="P21" s="324">
        <v>0</v>
      </c>
      <c r="Q21" s="324">
        <v>0</v>
      </c>
      <c r="R21" s="324">
        <f t="shared" si="7"/>
        <v>1194.25</v>
      </c>
      <c r="S21" s="324">
        <v>0</v>
      </c>
      <c r="T21" s="324">
        <v>0</v>
      </c>
      <c r="U21" s="324">
        <f t="shared" si="8"/>
        <v>0</v>
      </c>
      <c r="V21" s="324">
        <v>0</v>
      </c>
      <c r="W21" s="324">
        <v>0</v>
      </c>
      <c r="X21" s="324">
        <f t="shared" si="9"/>
        <v>1194.25</v>
      </c>
      <c r="Y21" s="249" t="b">
        <f t="shared" si="10"/>
        <v>1</v>
      </c>
    </row>
    <row r="22" spans="1:25" s="8" customFormat="1" ht="12.75">
      <c r="A22" s="16">
        <v>8</v>
      </c>
      <c r="B22" t="s">
        <v>232</v>
      </c>
      <c r="C22" t="s">
        <v>963</v>
      </c>
      <c r="D22" s="18"/>
      <c r="E22" s="324">
        <v>40</v>
      </c>
      <c r="F22" s="324">
        <v>0</v>
      </c>
      <c r="G22" s="324">
        <v>0</v>
      </c>
      <c r="H22" s="324">
        <f t="shared" si="4"/>
        <v>40</v>
      </c>
      <c r="I22" s="324">
        <v>0</v>
      </c>
      <c r="J22" s="324">
        <f t="shared" si="5"/>
        <v>40</v>
      </c>
      <c r="K22" s="159">
        <v>1</v>
      </c>
      <c r="L22" s="324">
        <f t="shared" si="6"/>
        <v>40</v>
      </c>
      <c r="M22" s="324"/>
      <c r="N22" s="324"/>
      <c r="O22" s="324">
        <v>40</v>
      </c>
      <c r="P22" s="324">
        <v>0</v>
      </c>
      <c r="Q22" s="324">
        <v>0</v>
      </c>
      <c r="R22" s="324">
        <f t="shared" si="7"/>
        <v>40</v>
      </c>
      <c r="S22" s="324">
        <v>0</v>
      </c>
      <c r="T22" s="324">
        <v>0</v>
      </c>
      <c r="U22" s="324">
        <f t="shared" si="8"/>
        <v>0</v>
      </c>
      <c r="V22" s="324">
        <v>0</v>
      </c>
      <c r="W22" s="324">
        <v>0</v>
      </c>
      <c r="X22" s="324">
        <f t="shared" si="9"/>
        <v>40</v>
      </c>
      <c r="Y22" s="249" t="b">
        <f t="shared" si="10"/>
        <v>1</v>
      </c>
    </row>
    <row r="23" spans="1:25" s="8" customFormat="1" ht="12.75">
      <c r="A23" s="16">
        <v>9</v>
      </c>
      <c r="B23" t="s">
        <v>232</v>
      </c>
      <c r="C23" t="s">
        <v>581</v>
      </c>
      <c r="D23" s="18"/>
      <c r="E23" s="324">
        <v>488</v>
      </c>
      <c r="F23" s="324">
        <v>0</v>
      </c>
      <c r="G23" s="324">
        <v>0</v>
      </c>
      <c r="H23" s="324">
        <f t="shared" si="4"/>
        <v>488</v>
      </c>
      <c r="I23" s="324">
        <v>0</v>
      </c>
      <c r="J23" s="324">
        <f t="shared" si="5"/>
        <v>488</v>
      </c>
      <c r="K23" s="159">
        <v>1</v>
      </c>
      <c r="L23" s="324">
        <f t="shared" si="6"/>
        <v>488</v>
      </c>
      <c r="M23" s="324"/>
      <c r="N23" s="324"/>
      <c r="O23" s="324">
        <v>488</v>
      </c>
      <c r="P23" s="324">
        <v>0</v>
      </c>
      <c r="Q23" s="324">
        <v>0</v>
      </c>
      <c r="R23" s="324">
        <f t="shared" si="7"/>
        <v>488</v>
      </c>
      <c r="S23" s="324">
        <v>0</v>
      </c>
      <c r="T23" s="324">
        <v>0</v>
      </c>
      <c r="U23" s="324">
        <f t="shared" si="8"/>
        <v>0</v>
      </c>
      <c r="V23" s="324">
        <v>0</v>
      </c>
      <c r="W23" s="324">
        <v>0</v>
      </c>
      <c r="X23" s="324">
        <f t="shared" si="9"/>
        <v>488</v>
      </c>
      <c r="Y23" s="249" t="b">
        <f t="shared" si="10"/>
        <v>1</v>
      </c>
    </row>
    <row r="24" spans="1:25" s="8" customFormat="1" ht="12.75">
      <c r="A24" s="16">
        <v>10</v>
      </c>
      <c r="B24" t="s">
        <v>236</v>
      </c>
      <c r="C24" t="s">
        <v>964</v>
      </c>
      <c r="D24" s="18"/>
      <c r="E24" s="324">
        <v>69.129999999999995</v>
      </c>
      <c r="F24" s="324">
        <v>0</v>
      </c>
      <c r="G24" s="324">
        <v>0</v>
      </c>
      <c r="H24" s="324">
        <f t="shared" si="4"/>
        <v>69.129999999999995</v>
      </c>
      <c r="I24" s="324">
        <v>0</v>
      </c>
      <c r="J24" s="324">
        <f t="shared" si="5"/>
        <v>69.129999999999995</v>
      </c>
      <c r="K24" s="159">
        <v>1</v>
      </c>
      <c r="L24" s="324">
        <f t="shared" si="6"/>
        <v>69.129999999999995</v>
      </c>
      <c r="M24" s="324"/>
      <c r="N24" s="324"/>
      <c r="O24" s="324">
        <v>69.129999999999995</v>
      </c>
      <c r="P24" s="324">
        <v>0</v>
      </c>
      <c r="Q24" s="324">
        <v>0</v>
      </c>
      <c r="R24" s="324">
        <f t="shared" si="7"/>
        <v>69.129999999999995</v>
      </c>
      <c r="S24" s="324">
        <v>0</v>
      </c>
      <c r="T24" s="324">
        <v>0</v>
      </c>
      <c r="U24" s="324">
        <f t="shared" si="8"/>
        <v>0</v>
      </c>
      <c r="V24" s="324">
        <v>0</v>
      </c>
      <c r="W24" s="324">
        <v>0</v>
      </c>
      <c r="X24" s="324">
        <f t="shared" si="9"/>
        <v>69.129999999999995</v>
      </c>
      <c r="Y24" s="249" t="b">
        <f t="shared" si="10"/>
        <v>1</v>
      </c>
    </row>
    <row r="25" spans="1:25" s="8" customFormat="1" ht="12.75">
      <c r="A25" s="16">
        <v>11</v>
      </c>
      <c r="B25" t="s">
        <v>236</v>
      </c>
      <c r="C25" t="s">
        <v>918</v>
      </c>
      <c r="D25" s="18"/>
      <c r="E25" s="324">
        <v>71.099999999999994</v>
      </c>
      <c r="F25" s="324">
        <v>0</v>
      </c>
      <c r="G25" s="324">
        <v>0</v>
      </c>
      <c r="H25" s="324">
        <f t="shared" si="4"/>
        <v>71.099999999999994</v>
      </c>
      <c r="I25" s="324">
        <v>0</v>
      </c>
      <c r="J25" s="324">
        <f t="shared" si="5"/>
        <v>71.099999999999994</v>
      </c>
      <c r="K25" s="159">
        <v>1</v>
      </c>
      <c r="L25" s="324">
        <f t="shared" si="6"/>
        <v>71.099999999999994</v>
      </c>
      <c r="M25" s="324"/>
      <c r="N25" s="324"/>
      <c r="O25" s="324">
        <v>71.099999999999994</v>
      </c>
      <c r="P25" s="324">
        <v>0</v>
      </c>
      <c r="Q25" s="324">
        <v>0</v>
      </c>
      <c r="R25" s="324">
        <f t="shared" si="7"/>
        <v>71.099999999999994</v>
      </c>
      <c r="S25" s="324">
        <v>0</v>
      </c>
      <c r="T25" s="324">
        <v>0</v>
      </c>
      <c r="U25" s="324">
        <f t="shared" si="8"/>
        <v>0</v>
      </c>
      <c r="V25" s="324">
        <v>0</v>
      </c>
      <c r="W25" s="324">
        <v>0</v>
      </c>
      <c r="X25" s="324">
        <f t="shared" si="9"/>
        <v>71.099999999999994</v>
      </c>
      <c r="Y25" s="249" t="b">
        <f t="shared" si="10"/>
        <v>1</v>
      </c>
    </row>
    <row r="26" spans="1:25" s="8" customFormat="1" ht="12.75">
      <c r="A26" s="16">
        <v>12</v>
      </c>
      <c r="B26" t="s">
        <v>236</v>
      </c>
      <c r="C26" t="s">
        <v>578</v>
      </c>
      <c r="D26" s="18"/>
      <c r="E26" s="324">
        <v>15</v>
      </c>
      <c r="F26" s="324">
        <v>0</v>
      </c>
      <c r="G26" s="324">
        <v>0</v>
      </c>
      <c r="H26" s="324">
        <f t="shared" si="4"/>
        <v>15</v>
      </c>
      <c r="I26" s="324">
        <v>0</v>
      </c>
      <c r="J26" s="324">
        <f t="shared" si="5"/>
        <v>15</v>
      </c>
      <c r="K26" s="159">
        <v>1</v>
      </c>
      <c r="L26" s="324">
        <f t="shared" si="6"/>
        <v>15</v>
      </c>
      <c r="M26" s="324"/>
      <c r="N26" s="324"/>
      <c r="O26" s="324">
        <v>15</v>
      </c>
      <c r="P26" s="324">
        <v>0</v>
      </c>
      <c r="Q26" s="324">
        <v>0</v>
      </c>
      <c r="R26" s="324">
        <f t="shared" si="7"/>
        <v>15</v>
      </c>
      <c r="S26" s="324">
        <v>0</v>
      </c>
      <c r="T26" s="324">
        <v>0</v>
      </c>
      <c r="U26" s="324">
        <f t="shared" si="8"/>
        <v>0</v>
      </c>
      <c r="V26" s="324">
        <v>0</v>
      </c>
      <c r="W26" s="324">
        <v>0</v>
      </c>
      <c r="X26" s="324">
        <f t="shared" si="9"/>
        <v>15</v>
      </c>
      <c r="Y26" s="249" t="b">
        <f t="shared" si="10"/>
        <v>1</v>
      </c>
    </row>
    <row r="27" spans="1:25" s="8" customFormat="1" ht="12.75">
      <c r="A27" s="16">
        <v>13</v>
      </c>
      <c r="B27" t="s">
        <v>236</v>
      </c>
      <c r="C27" t="s">
        <v>965</v>
      </c>
      <c r="D27" s="18"/>
      <c r="E27" s="324">
        <v>157.5</v>
      </c>
      <c r="F27" s="324">
        <v>0</v>
      </c>
      <c r="G27" s="324">
        <v>0</v>
      </c>
      <c r="H27" s="324">
        <f t="shared" si="4"/>
        <v>157.5</v>
      </c>
      <c r="I27" s="324">
        <v>0</v>
      </c>
      <c r="J27" s="324">
        <f t="shared" si="5"/>
        <v>157.5</v>
      </c>
      <c r="K27" s="159">
        <v>1</v>
      </c>
      <c r="L27" s="324">
        <f t="shared" si="6"/>
        <v>157.5</v>
      </c>
      <c r="M27" s="324"/>
      <c r="N27" s="324"/>
      <c r="O27" s="324">
        <v>157.5</v>
      </c>
      <c r="P27" s="324">
        <v>0</v>
      </c>
      <c r="Q27" s="324">
        <v>0</v>
      </c>
      <c r="R27" s="324">
        <f t="shared" si="7"/>
        <v>157.5</v>
      </c>
      <c r="S27" s="324">
        <v>0</v>
      </c>
      <c r="T27" s="324">
        <v>0</v>
      </c>
      <c r="U27" s="324">
        <f t="shared" si="8"/>
        <v>0</v>
      </c>
      <c r="V27" s="324">
        <v>0</v>
      </c>
      <c r="W27" s="324">
        <v>0</v>
      </c>
      <c r="X27" s="324">
        <f t="shared" si="9"/>
        <v>157.5</v>
      </c>
      <c r="Y27" s="249" t="b">
        <f t="shared" si="10"/>
        <v>1</v>
      </c>
    </row>
    <row r="28" spans="1:25" s="8" customFormat="1" ht="12.75">
      <c r="A28" s="16">
        <v>14</v>
      </c>
      <c r="B28" t="s">
        <v>236</v>
      </c>
      <c r="C28" t="s">
        <v>913</v>
      </c>
      <c r="D28" s="18"/>
      <c r="E28" s="324">
        <v>5.4199999999999999</v>
      </c>
      <c r="F28" s="324">
        <v>0</v>
      </c>
      <c r="G28" s="324">
        <v>0</v>
      </c>
      <c r="H28" s="324">
        <f t="shared" si="4"/>
        <v>5.4199999999999999</v>
      </c>
      <c r="I28" s="324">
        <v>0</v>
      </c>
      <c r="J28" s="324">
        <f t="shared" si="5"/>
        <v>5.4199999999999999</v>
      </c>
      <c r="K28" s="159">
        <v>1</v>
      </c>
      <c r="L28" s="324">
        <f t="shared" si="6"/>
        <v>5.4199999999999999</v>
      </c>
      <c r="M28" s="324"/>
      <c r="N28" s="324"/>
      <c r="O28" s="324">
        <v>5.4199999999999999</v>
      </c>
      <c r="P28" s="324">
        <v>0</v>
      </c>
      <c r="Q28" s="324">
        <v>0</v>
      </c>
      <c r="R28" s="324">
        <f t="shared" si="7"/>
        <v>5.4199999999999999</v>
      </c>
      <c r="S28" s="324">
        <v>0</v>
      </c>
      <c r="T28" s="324">
        <v>0</v>
      </c>
      <c r="U28" s="324">
        <f t="shared" si="8"/>
        <v>0</v>
      </c>
      <c r="V28" s="324">
        <v>0</v>
      </c>
      <c r="W28" s="324">
        <v>0</v>
      </c>
      <c r="X28" s="324">
        <f t="shared" si="9"/>
        <v>5.4199999999999999</v>
      </c>
      <c r="Y28" s="249" t="b">
        <f t="shared" si="10"/>
        <v>1</v>
      </c>
    </row>
    <row r="29" spans="1:25" s="8" customFormat="1" ht="12.75">
      <c r="A29" s="16">
        <v>15</v>
      </c>
      <c r="B29" t="s">
        <v>236</v>
      </c>
      <c r="C29" t="s">
        <v>966</v>
      </c>
      <c r="D29" s="18"/>
      <c r="E29" s="324">
        <v>92.370000000000005</v>
      </c>
      <c r="F29" s="324">
        <v>0</v>
      </c>
      <c r="G29" s="324">
        <v>0</v>
      </c>
      <c r="H29" s="324">
        <f t="shared" si="4"/>
        <v>92.370000000000005</v>
      </c>
      <c r="I29" s="324">
        <v>0</v>
      </c>
      <c r="J29" s="324">
        <f t="shared" si="5"/>
        <v>92.370000000000005</v>
      </c>
      <c r="K29" s="159">
        <v>1</v>
      </c>
      <c r="L29" s="324">
        <f t="shared" si="6"/>
        <v>92.370000000000005</v>
      </c>
      <c r="M29" s="324"/>
      <c r="N29" s="324"/>
      <c r="O29" s="324">
        <v>92.370000000000005</v>
      </c>
      <c r="P29" s="324">
        <v>0</v>
      </c>
      <c r="Q29" s="324">
        <v>0</v>
      </c>
      <c r="R29" s="324">
        <f t="shared" si="7"/>
        <v>92.370000000000005</v>
      </c>
      <c r="S29" s="324">
        <v>0</v>
      </c>
      <c r="T29" s="324">
        <v>0</v>
      </c>
      <c r="U29" s="324">
        <f t="shared" si="8"/>
        <v>0</v>
      </c>
      <c r="V29" s="324">
        <v>0</v>
      </c>
      <c r="W29" s="324">
        <v>0</v>
      </c>
      <c r="X29" s="324">
        <f t="shared" si="9"/>
        <v>92.370000000000005</v>
      </c>
      <c r="Y29" s="249" t="b">
        <f t="shared" si="10"/>
        <v>1</v>
      </c>
    </row>
    <row r="30" spans="1:25" s="8" customFormat="1" ht="12.75">
      <c r="A30" s="16">
        <v>16</v>
      </c>
      <c r="B30" t="s">
        <v>236</v>
      </c>
      <c r="C30" t="s">
        <v>968</v>
      </c>
      <c r="D30" s="18"/>
      <c r="E30" s="324">
        <v>112.5</v>
      </c>
      <c r="F30" s="324">
        <v>0</v>
      </c>
      <c r="G30" s="324">
        <v>0</v>
      </c>
      <c r="H30" s="324">
        <f t="shared" si="4"/>
        <v>112.5</v>
      </c>
      <c r="I30" s="324">
        <v>0</v>
      </c>
      <c r="J30" s="324">
        <f t="shared" si="5"/>
        <v>112.5</v>
      </c>
      <c r="K30" s="159">
        <v>1</v>
      </c>
      <c r="L30" s="324">
        <f t="shared" si="6"/>
        <v>112.5</v>
      </c>
      <c r="M30" s="324"/>
      <c r="N30" s="324"/>
      <c r="O30" s="324">
        <v>112.5</v>
      </c>
      <c r="P30" s="324">
        <v>0</v>
      </c>
      <c r="Q30" s="324">
        <v>0</v>
      </c>
      <c r="R30" s="324">
        <f t="shared" si="7"/>
        <v>112.5</v>
      </c>
      <c r="S30" s="324">
        <v>0</v>
      </c>
      <c r="T30" s="324">
        <v>0</v>
      </c>
      <c r="U30" s="324">
        <f t="shared" si="8"/>
        <v>0</v>
      </c>
      <c r="V30" s="324">
        <v>0</v>
      </c>
      <c r="W30" s="324">
        <v>0</v>
      </c>
      <c r="X30" s="324">
        <f t="shared" si="9"/>
        <v>112.5</v>
      </c>
      <c r="Y30" s="249" t="b">
        <f t="shared" si="10"/>
        <v>1</v>
      </c>
    </row>
    <row r="31" spans="1:25" s="8" customFormat="1" ht="12.75">
      <c r="A31" s="16">
        <v>17</v>
      </c>
      <c r="B31" t="s">
        <v>236</v>
      </c>
      <c r="C31" t="s">
        <v>962</v>
      </c>
      <c r="D31" s="18"/>
      <c r="E31" s="324">
        <v>819.71000000000004</v>
      </c>
      <c r="F31" s="324">
        <v>0</v>
      </c>
      <c r="G31" s="324">
        <v>0</v>
      </c>
      <c r="H31" s="324">
        <f t="shared" si="4"/>
        <v>819.71000000000004</v>
      </c>
      <c r="I31" s="324">
        <v>0</v>
      </c>
      <c r="J31" s="324">
        <f t="shared" si="5"/>
        <v>819.71000000000004</v>
      </c>
      <c r="K31" s="159">
        <v>1</v>
      </c>
      <c r="L31" s="324">
        <f t="shared" si="6"/>
        <v>819.71000000000004</v>
      </c>
      <c r="M31" s="324"/>
      <c r="N31" s="324"/>
      <c r="O31" s="324">
        <v>819.71000000000004</v>
      </c>
      <c r="P31" s="324">
        <v>0</v>
      </c>
      <c r="Q31" s="324">
        <v>0</v>
      </c>
      <c r="R31" s="324">
        <f t="shared" si="7"/>
        <v>819.71000000000004</v>
      </c>
      <c r="S31" s="324">
        <v>0</v>
      </c>
      <c r="T31" s="324">
        <v>0</v>
      </c>
      <c r="U31" s="324">
        <f t="shared" si="8"/>
        <v>0</v>
      </c>
      <c r="V31" s="324">
        <v>0</v>
      </c>
      <c r="W31" s="324">
        <v>0</v>
      </c>
      <c r="X31" s="324">
        <f t="shared" si="9"/>
        <v>819.71000000000004</v>
      </c>
      <c r="Y31" s="249" t="b">
        <f t="shared" si="10"/>
        <v>1</v>
      </c>
    </row>
    <row r="32" spans="1:25" s="8" customFormat="1" ht="12.75">
      <c r="A32" s="16">
        <v>18</v>
      </c>
      <c r="B32" t="s">
        <v>236</v>
      </c>
      <c r="C32" t="s">
        <v>969</v>
      </c>
      <c r="D32" s="18"/>
      <c r="E32" s="324">
        <v>109.69</v>
      </c>
      <c r="F32" s="324">
        <v>0</v>
      </c>
      <c r="G32" s="324">
        <v>0</v>
      </c>
      <c r="H32" s="324">
        <f t="shared" si="4"/>
        <v>109.69</v>
      </c>
      <c r="I32" s="324">
        <v>0</v>
      </c>
      <c r="J32" s="324">
        <f t="shared" si="5"/>
        <v>109.69</v>
      </c>
      <c r="K32" s="159">
        <v>1</v>
      </c>
      <c r="L32" s="324">
        <f t="shared" si="6"/>
        <v>109.69</v>
      </c>
      <c r="M32" s="324"/>
      <c r="N32" s="324"/>
      <c r="O32" s="324">
        <v>109.69</v>
      </c>
      <c r="P32" s="324">
        <v>0</v>
      </c>
      <c r="Q32" s="324">
        <v>0</v>
      </c>
      <c r="R32" s="324">
        <f t="shared" si="7"/>
        <v>109.69</v>
      </c>
      <c r="S32" s="324">
        <v>0</v>
      </c>
      <c r="T32" s="324">
        <v>0</v>
      </c>
      <c r="U32" s="324">
        <f t="shared" si="8"/>
        <v>0</v>
      </c>
      <c r="V32" s="324">
        <v>0</v>
      </c>
      <c r="W32" s="324">
        <v>0</v>
      </c>
      <c r="X32" s="324">
        <f t="shared" si="9"/>
        <v>109.69</v>
      </c>
      <c r="Y32" s="249" t="b">
        <f t="shared" si="10"/>
        <v>1</v>
      </c>
    </row>
    <row r="33" spans="1:25" s="8" customFormat="1" ht="12.75">
      <c r="A33" s="16">
        <v>19</v>
      </c>
      <c r="B33" t="s">
        <v>236</v>
      </c>
      <c r="C33" t="s">
        <v>963</v>
      </c>
      <c r="D33" s="18"/>
      <c r="E33" s="324">
        <v>90.219999999999999</v>
      </c>
      <c r="F33" s="324">
        <v>0</v>
      </c>
      <c r="G33" s="324">
        <v>0</v>
      </c>
      <c r="H33" s="324">
        <f t="shared" si="4"/>
        <v>90.219999999999999</v>
      </c>
      <c r="I33" s="324">
        <v>0</v>
      </c>
      <c r="J33" s="324">
        <f t="shared" si="5"/>
        <v>90.219999999999999</v>
      </c>
      <c r="K33" s="159">
        <v>1</v>
      </c>
      <c r="L33" s="324">
        <f t="shared" si="6"/>
        <v>90.219999999999999</v>
      </c>
      <c r="M33" s="324"/>
      <c r="N33" s="324"/>
      <c r="O33" s="324">
        <v>90.219999999999999</v>
      </c>
      <c r="P33" s="324">
        <v>0</v>
      </c>
      <c r="Q33" s="324">
        <v>0</v>
      </c>
      <c r="R33" s="324">
        <f t="shared" si="7"/>
        <v>90.219999999999999</v>
      </c>
      <c r="S33" s="324">
        <v>0</v>
      </c>
      <c r="T33" s="324">
        <v>0</v>
      </c>
      <c r="U33" s="324">
        <f t="shared" si="8"/>
        <v>0</v>
      </c>
      <c r="V33" s="324">
        <v>0</v>
      </c>
      <c r="W33" s="324">
        <v>0</v>
      </c>
      <c r="X33" s="324">
        <f t="shared" si="9"/>
        <v>90.219999999999999</v>
      </c>
      <c r="Y33" s="249" t="b">
        <f t="shared" si="10"/>
        <v>1</v>
      </c>
    </row>
    <row r="34" spans="1:25" s="8" customFormat="1" ht="12.75">
      <c r="A34" s="16">
        <v>20</v>
      </c>
      <c r="B34" t="s">
        <v>236</v>
      </c>
      <c r="C34" t="s">
        <v>783</v>
      </c>
      <c r="D34" s="18"/>
      <c r="E34" s="324">
        <v>235851</v>
      </c>
      <c r="F34" s="324">
        <v>0</v>
      </c>
      <c r="G34" s="324">
        <v>0</v>
      </c>
      <c r="H34" s="324">
        <f t="shared" si="4"/>
        <v>235851</v>
      </c>
      <c r="I34" s="324">
        <v>0</v>
      </c>
      <c r="J34" s="324">
        <f t="shared" si="5"/>
        <v>235851</v>
      </c>
      <c r="K34" s="159">
        <v>1</v>
      </c>
      <c r="L34" s="324">
        <f t="shared" si="6"/>
        <v>235851</v>
      </c>
      <c r="M34" s="324"/>
      <c r="N34" s="324"/>
      <c r="O34" s="324">
        <v>235851</v>
      </c>
      <c r="P34" s="324">
        <v>0</v>
      </c>
      <c r="Q34" s="324">
        <v>0</v>
      </c>
      <c r="R34" s="324">
        <f t="shared" si="7"/>
        <v>235851</v>
      </c>
      <c r="S34" s="324">
        <v>0</v>
      </c>
      <c r="T34" s="324">
        <v>0</v>
      </c>
      <c r="U34" s="324">
        <f t="shared" si="8"/>
        <v>0</v>
      </c>
      <c r="V34" s="324">
        <v>0</v>
      </c>
      <c r="W34" s="324">
        <v>0</v>
      </c>
      <c r="X34" s="324">
        <f t="shared" si="9"/>
        <v>235851</v>
      </c>
      <c r="Y34" s="249" t="b">
        <f t="shared" si="10"/>
        <v>1</v>
      </c>
    </row>
    <row r="35" spans="1:25" s="8" customFormat="1" ht="12.75">
      <c r="A35" s="16">
        <v>21</v>
      </c>
      <c r="B35" t="s">
        <v>236</v>
      </c>
      <c r="C35" t="s">
        <v>970</v>
      </c>
      <c r="D35" s="18"/>
      <c r="E35" s="324">
        <v>20</v>
      </c>
      <c r="F35" s="324">
        <v>0</v>
      </c>
      <c r="G35" s="324">
        <v>0</v>
      </c>
      <c r="H35" s="324">
        <f t="shared" si="4"/>
        <v>20</v>
      </c>
      <c r="I35" s="324">
        <v>0</v>
      </c>
      <c r="J35" s="324">
        <f t="shared" si="5"/>
        <v>20</v>
      </c>
      <c r="K35" s="159">
        <v>1</v>
      </c>
      <c r="L35" s="324">
        <f t="shared" si="6"/>
        <v>20</v>
      </c>
      <c r="M35" s="324"/>
      <c r="N35" s="324"/>
      <c r="O35" s="324">
        <v>20</v>
      </c>
      <c r="P35" s="324">
        <v>0</v>
      </c>
      <c r="Q35" s="324">
        <v>0</v>
      </c>
      <c r="R35" s="324">
        <f t="shared" si="7"/>
        <v>20</v>
      </c>
      <c r="S35" s="324">
        <v>0</v>
      </c>
      <c r="T35" s="324">
        <v>0</v>
      </c>
      <c r="U35" s="324">
        <f t="shared" si="8"/>
        <v>0</v>
      </c>
      <c r="V35" s="324">
        <v>0</v>
      </c>
      <c r="W35" s="324">
        <v>0</v>
      </c>
      <c r="X35" s="324">
        <f t="shared" si="9"/>
        <v>20</v>
      </c>
      <c r="Y35" s="249" t="b">
        <f t="shared" si="10"/>
        <v>1</v>
      </c>
    </row>
    <row r="36" spans="1:25" s="8" customFormat="1" ht="12.75">
      <c r="A36" s="16">
        <v>22</v>
      </c>
      <c r="B36" t="s">
        <v>236</v>
      </c>
      <c r="C36" t="s">
        <v>581</v>
      </c>
      <c r="D36" s="18"/>
      <c r="E36" s="324">
        <v>215.5</v>
      </c>
      <c r="F36" s="324">
        <v>0</v>
      </c>
      <c r="G36" s="324">
        <v>0</v>
      </c>
      <c r="H36" s="324">
        <f t="shared" si="4"/>
        <v>215.5</v>
      </c>
      <c r="I36" s="324">
        <v>0</v>
      </c>
      <c r="J36" s="324">
        <f t="shared" si="5"/>
        <v>215.5</v>
      </c>
      <c r="K36" s="159">
        <v>1</v>
      </c>
      <c r="L36" s="324">
        <f t="shared" si="6"/>
        <v>215.5</v>
      </c>
      <c r="M36" s="324"/>
      <c r="N36" s="324"/>
      <c r="O36" s="324">
        <v>215.5</v>
      </c>
      <c r="P36" s="324">
        <v>0</v>
      </c>
      <c r="Q36" s="324">
        <v>0</v>
      </c>
      <c r="R36" s="324">
        <f t="shared" si="7"/>
        <v>215.5</v>
      </c>
      <c r="S36" s="324">
        <v>0</v>
      </c>
      <c r="T36" s="324">
        <v>0</v>
      </c>
      <c r="U36" s="324">
        <f t="shared" si="8"/>
        <v>0</v>
      </c>
      <c r="V36" s="324">
        <v>0</v>
      </c>
      <c r="W36" s="324">
        <v>0</v>
      </c>
      <c r="X36" s="324">
        <f t="shared" si="9"/>
        <v>215.5</v>
      </c>
      <c r="Y36" s="249" t="b">
        <f t="shared" si="10"/>
        <v>1</v>
      </c>
    </row>
    <row r="37" spans="1:25" s="8" customFormat="1" ht="12.75">
      <c r="A37" s="16">
        <v>23</v>
      </c>
      <c r="B37" t="s">
        <v>236</v>
      </c>
      <c r="C37" t="s">
        <v>914</v>
      </c>
      <c r="D37" s="18"/>
      <c r="E37" s="324">
        <v>11.560000000000001</v>
      </c>
      <c r="F37" s="324">
        <v>0</v>
      </c>
      <c r="G37" s="324">
        <v>0</v>
      </c>
      <c r="H37" s="324">
        <f t="shared" si="4"/>
        <v>11.560000000000001</v>
      </c>
      <c r="I37" s="324">
        <v>0</v>
      </c>
      <c r="J37" s="324">
        <f t="shared" si="5"/>
        <v>11.560000000000001</v>
      </c>
      <c r="K37" s="159">
        <v>1</v>
      </c>
      <c r="L37" s="324">
        <f t="shared" si="6"/>
        <v>11.560000000000001</v>
      </c>
      <c r="M37" s="324"/>
      <c r="N37" s="324"/>
      <c r="O37" s="324">
        <v>11.560000000000001</v>
      </c>
      <c r="P37" s="324">
        <v>0</v>
      </c>
      <c r="Q37" s="324">
        <v>0</v>
      </c>
      <c r="R37" s="324">
        <f t="shared" si="7"/>
        <v>11.560000000000001</v>
      </c>
      <c r="S37" s="324">
        <v>0</v>
      </c>
      <c r="T37" s="324">
        <v>0</v>
      </c>
      <c r="U37" s="324">
        <f t="shared" si="8"/>
        <v>0</v>
      </c>
      <c r="V37" s="324">
        <v>0</v>
      </c>
      <c r="W37" s="324">
        <v>0</v>
      </c>
      <c r="X37" s="324">
        <f t="shared" si="9"/>
        <v>11.560000000000001</v>
      </c>
      <c r="Y37" s="249" t="b">
        <f t="shared" si="10"/>
        <v>1</v>
      </c>
    </row>
    <row r="38" spans="1:25" s="8" customFormat="1" ht="12.75">
      <c r="A38" s="16">
        <v>24</v>
      </c>
      <c r="B38" t="s">
        <v>236</v>
      </c>
      <c r="C38" t="s">
        <v>971</v>
      </c>
      <c r="D38" s="18"/>
      <c r="E38" s="324">
        <v>104.5</v>
      </c>
      <c r="F38" s="324">
        <v>0</v>
      </c>
      <c r="G38" s="324">
        <v>0</v>
      </c>
      <c r="H38" s="324">
        <f t="shared" si="4"/>
        <v>104.5</v>
      </c>
      <c r="I38" s="324">
        <v>0</v>
      </c>
      <c r="J38" s="324">
        <f t="shared" si="5"/>
        <v>104.5</v>
      </c>
      <c r="K38" s="159">
        <v>1</v>
      </c>
      <c r="L38" s="324">
        <f t="shared" si="6"/>
        <v>104.5</v>
      </c>
      <c r="M38" s="324"/>
      <c r="N38" s="324"/>
      <c r="O38" s="324">
        <v>104.5</v>
      </c>
      <c r="P38" s="324">
        <v>0</v>
      </c>
      <c r="Q38" s="324">
        <v>0</v>
      </c>
      <c r="R38" s="324">
        <f t="shared" si="7"/>
        <v>104.5</v>
      </c>
      <c r="S38" s="324">
        <v>0</v>
      </c>
      <c r="T38" s="324">
        <v>0</v>
      </c>
      <c r="U38" s="324">
        <f t="shared" si="8"/>
        <v>0</v>
      </c>
      <c r="V38" s="324">
        <v>0</v>
      </c>
      <c r="W38" s="324">
        <v>0</v>
      </c>
      <c r="X38" s="324">
        <f t="shared" si="9"/>
        <v>104.5</v>
      </c>
      <c r="Y38" s="249" t="b">
        <f t="shared" si="10"/>
        <v>1</v>
      </c>
    </row>
    <row r="39" spans="1:25" s="8" customFormat="1" ht="12.75">
      <c r="A39" s="16">
        <v>25</v>
      </c>
      <c r="B39" t="s">
        <v>250</v>
      </c>
      <c r="C39" t="s">
        <v>915</v>
      </c>
      <c r="D39" s="18"/>
      <c r="E39" s="324">
        <v>6.5899999999999999</v>
      </c>
      <c r="F39" s="324">
        <v>0</v>
      </c>
      <c r="G39" s="324">
        <v>0</v>
      </c>
      <c r="H39" s="324">
        <f t="shared" si="4"/>
        <v>6.5899999999999999</v>
      </c>
      <c r="I39" s="324">
        <v>0</v>
      </c>
      <c r="J39" s="324">
        <f t="shared" si="5"/>
        <v>6.5899999999999999</v>
      </c>
      <c r="K39" s="159">
        <v>1</v>
      </c>
      <c r="L39" s="324">
        <f t="shared" si="6"/>
        <v>6.5899999999999999</v>
      </c>
      <c r="M39" s="324"/>
      <c r="N39" s="324"/>
      <c r="O39" s="324">
        <v>0</v>
      </c>
      <c r="P39" s="324">
        <v>0</v>
      </c>
      <c r="Q39" s="324">
        <v>0</v>
      </c>
      <c r="R39" s="324">
        <f t="shared" si="7"/>
        <v>0</v>
      </c>
      <c r="S39" s="324">
        <v>6.5899999999999999</v>
      </c>
      <c r="T39" s="324">
        <v>0</v>
      </c>
      <c r="U39" s="324">
        <f t="shared" si="8"/>
        <v>6.5899999999999999</v>
      </c>
      <c r="V39" s="324">
        <v>0</v>
      </c>
      <c r="W39" s="324">
        <v>0</v>
      </c>
      <c r="X39" s="324">
        <f t="shared" si="9"/>
        <v>6.5899999999999999</v>
      </c>
      <c r="Y39" s="249" t="b">
        <f t="shared" si="10"/>
        <v>1</v>
      </c>
    </row>
    <row r="40" spans="1:25" s="8" customFormat="1" ht="12.75">
      <c r="A40" s="16">
        <v>26</v>
      </c>
      <c r="B40" t="s">
        <v>250</v>
      </c>
      <c r="C40" t="s">
        <v>912</v>
      </c>
      <c r="D40" s="18"/>
      <c r="E40" s="324">
        <v>2000</v>
      </c>
      <c r="F40" s="324">
        <v>0</v>
      </c>
      <c r="G40" s="324">
        <v>0</v>
      </c>
      <c r="H40" s="324">
        <f t="shared" si="4"/>
        <v>2000</v>
      </c>
      <c r="I40" s="324">
        <v>0</v>
      </c>
      <c r="J40" s="324">
        <f t="shared" si="5"/>
        <v>2000</v>
      </c>
      <c r="K40" s="159">
        <v>1</v>
      </c>
      <c r="L40" s="324">
        <f t="shared" si="6"/>
        <v>2000</v>
      </c>
      <c r="M40" s="324"/>
      <c r="N40" s="324"/>
      <c r="O40" s="324">
        <v>0</v>
      </c>
      <c r="P40" s="324">
        <v>0</v>
      </c>
      <c r="Q40" s="324">
        <v>0</v>
      </c>
      <c r="R40" s="324">
        <f t="shared" si="7"/>
        <v>0</v>
      </c>
      <c r="S40" s="324">
        <v>2000</v>
      </c>
      <c r="T40" s="324">
        <v>0</v>
      </c>
      <c r="U40" s="324">
        <f t="shared" si="8"/>
        <v>2000</v>
      </c>
      <c r="V40" s="324">
        <v>0</v>
      </c>
      <c r="W40" s="324">
        <v>0</v>
      </c>
      <c r="X40" s="324">
        <f t="shared" si="9"/>
        <v>2000</v>
      </c>
      <c r="Y40" s="249" t="b">
        <f t="shared" si="10"/>
        <v>1</v>
      </c>
    </row>
    <row r="41" spans="1:25" s="8" customFormat="1" ht="12.75">
      <c r="A41" s="16">
        <v>27</v>
      </c>
      <c r="B41" t="s">
        <v>250</v>
      </c>
      <c r="C41" t="s">
        <v>962</v>
      </c>
      <c r="D41" s="18"/>
      <c r="E41" s="324">
        <v>409.60000000000002</v>
      </c>
      <c r="F41" s="324">
        <v>0</v>
      </c>
      <c r="G41" s="324">
        <v>0</v>
      </c>
      <c r="H41" s="324">
        <f t="shared" si="4"/>
        <v>409.60000000000002</v>
      </c>
      <c r="I41" s="324">
        <v>0</v>
      </c>
      <c r="J41" s="324">
        <f t="shared" si="5"/>
        <v>409.60000000000002</v>
      </c>
      <c r="K41" s="159">
        <v>1</v>
      </c>
      <c r="L41" s="324">
        <f t="shared" si="6"/>
        <v>409.60000000000002</v>
      </c>
      <c r="M41" s="324"/>
      <c r="N41" s="324"/>
      <c r="O41" s="324">
        <v>0</v>
      </c>
      <c r="P41" s="324">
        <v>0</v>
      </c>
      <c r="Q41" s="324">
        <v>0</v>
      </c>
      <c r="R41" s="324">
        <f t="shared" si="7"/>
        <v>0</v>
      </c>
      <c r="S41" s="324">
        <v>69.400000000000006</v>
      </c>
      <c r="T41" s="324">
        <v>0</v>
      </c>
      <c r="U41" s="324">
        <f t="shared" si="8"/>
        <v>69.400000000000006</v>
      </c>
      <c r="V41" s="324">
        <v>97.200000000000003</v>
      </c>
      <c r="W41" s="324">
        <v>243</v>
      </c>
      <c r="X41" s="324">
        <f t="shared" si="9"/>
        <v>409.60000000000002</v>
      </c>
      <c r="Y41" s="249" t="b">
        <f t="shared" si="10"/>
        <v>1</v>
      </c>
    </row>
    <row r="42" spans="1:25" s="8" customFormat="1" ht="12.75">
      <c r="A42" s="16">
        <v>28</v>
      </c>
      <c r="B42" t="s">
        <v>250</v>
      </c>
      <c r="C42" t="s">
        <v>969</v>
      </c>
      <c r="D42" s="18"/>
      <c r="E42" s="324">
        <v>160</v>
      </c>
      <c r="F42" s="324">
        <v>0</v>
      </c>
      <c r="G42" s="324">
        <v>0</v>
      </c>
      <c r="H42" s="324">
        <f t="shared" si="4"/>
        <v>160</v>
      </c>
      <c r="I42" s="324">
        <v>0</v>
      </c>
      <c r="J42" s="324">
        <f t="shared" si="5"/>
        <v>160</v>
      </c>
      <c r="K42" s="159">
        <v>1</v>
      </c>
      <c r="L42" s="324">
        <f t="shared" si="6"/>
        <v>160</v>
      </c>
      <c r="M42" s="324"/>
      <c r="N42" s="324"/>
      <c r="O42" s="324">
        <v>0</v>
      </c>
      <c r="P42" s="324">
        <v>0</v>
      </c>
      <c r="Q42" s="324">
        <v>0</v>
      </c>
      <c r="R42" s="324">
        <f t="shared" si="7"/>
        <v>0</v>
      </c>
      <c r="S42" s="324">
        <v>160</v>
      </c>
      <c r="T42" s="324">
        <v>0</v>
      </c>
      <c r="U42" s="324">
        <f t="shared" si="8"/>
        <v>160</v>
      </c>
      <c r="V42" s="324">
        <v>0</v>
      </c>
      <c r="W42" s="324">
        <v>0</v>
      </c>
      <c r="X42" s="324">
        <f t="shared" si="9"/>
        <v>160</v>
      </c>
      <c r="Y42" s="249" t="b">
        <f t="shared" si="10"/>
        <v>1</v>
      </c>
    </row>
    <row r="43" spans="1:25" s="8" customFormat="1" ht="12.75">
      <c r="A43" s="16">
        <v>29</v>
      </c>
      <c r="B43" t="s">
        <v>250</v>
      </c>
      <c r="C43" t="s">
        <v>963</v>
      </c>
      <c r="D43" s="18"/>
      <c r="E43" s="324">
        <v>224.25</v>
      </c>
      <c r="F43" s="324">
        <v>0</v>
      </c>
      <c r="G43" s="324">
        <v>0</v>
      </c>
      <c r="H43" s="324">
        <f t="shared" si="4"/>
        <v>224.25</v>
      </c>
      <c r="I43" s="324">
        <v>0</v>
      </c>
      <c r="J43" s="324">
        <f t="shared" si="5"/>
        <v>224.25</v>
      </c>
      <c r="K43" s="159">
        <v>1</v>
      </c>
      <c r="L43" s="324">
        <f t="shared" si="6"/>
        <v>224.25</v>
      </c>
      <c r="M43" s="324"/>
      <c r="N43" s="324"/>
      <c r="O43" s="324">
        <v>0</v>
      </c>
      <c r="P43" s="324">
        <v>0</v>
      </c>
      <c r="Q43" s="324">
        <v>0</v>
      </c>
      <c r="R43" s="324">
        <f t="shared" si="7"/>
        <v>0</v>
      </c>
      <c r="S43" s="324">
        <v>104.65000000000001</v>
      </c>
      <c r="T43" s="324">
        <v>0</v>
      </c>
      <c r="U43" s="324">
        <f t="shared" si="8"/>
        <v>104.65000000000001</v>
      </c>
      <c r="V43" s="324">
        <v>119.59999999999999</v>
      </c>
      <c r="W43" s="324">
        <v>0</v>
      </c>
      <c r="X43" s="324">
        <f t="shared" si="9"/>
        <v>224.25</v>
      </c>
      <c r="Y43" s="249" t="b">
        <f t="shared" si="10"/>
        <v>1</v>
      </c>
    </row>
    <row r="44" spans="1:25" s="8" customFormat="1" ht="12.75">
      <c r="A44" s="16">
        <v>30</v>
      </c>
      <c r="B44" t="s">
        <v>250</v>
      </c>
      <c r="C44" t="s">
        <v>581</v>
      </c>
      <c r="D44" s="18"/>
      <c r="E44" s="324">
        <v>29.199999999999999</v>
      </c>
      <c r="F44" s="324">
        <v>0</v>
      </c>
      <c r="G44" s="324">
        <v>0</v>
      </c>
      <c r="H44" s="324">
        <f t="shared" si="4"/>
        <v>29.199999999999999</v>
      </c>
      <c r="I44" s="324">
        <v>0</v>
      </c>
      <c r="J44" s="324">
        <f t="shared" si="5"/>
        <v>29.199999999999999</v>
      </c>
      <c r="K44" s="159">
        <v>1</v>
      </c>
      <c r="L44" s="324">
        <f t="shared" si="6"/>
        <v>29.199999999999999</v>
      </c>
      <c r="M44" s="324"/>
      <c r="N44" s="324"/>
      <c r="O44" s="324">
        <v>0</v>
      </c>
      <c r="P44" s="324">
        <v>0</v>
      </c>
      <c r="Q44" s="324">
        <v>0</v>
      </c>
      <c r="R44" s="324">
        <f t="shared" si="7"/>
        <v>0</v>
      </c>
      <c r="S44" s="324">
        <v>29.199999999999999</v>
      </c>
      <c r="T44" s="324">
        <v>0</v>
      </c>
      <c r="U44" s="324">
        <f t="shared" si="8"/>
        <v>29.199999999999999</v>
      </c>
      <c r="V44" s="324">
        <v>0</v>
      </c>
      <c r="W44" s="324">
        <v>0</v>
      </c>
      <c r="X44" s="324">
        <f t="shared" si="9"/>
        <v>29.199999999999999</v>
      </c>
      <c r="Y44" s="249" t="b">
        <f t="shared" si="10"/>
        <v>1</v>
      </c>
    </row>
    <row r="45" spans="1:25" s="8" customFormat="1" ht="12.75">
      <c r="A45" s="16">
        <v>31</v>
      </c>
      <c r="B45" t="s">
        <v>250</v>
      </c>
      <c r="C45" t="s">
        <v>972</v>
      </c>
      <c r="D45" s="18"/>
      <c r="E45" s="324">
        <v>220</v>
      </c>
      <c r="F45" s="324">
        <v>0</v>
      </c>
      <c r="G45" s="324">
        <v>0</v>
      </c>
      <c r="H45" s="324">
        <f t="shared" si="4"/>
        <v>220</v>
      </c>
      <c r="I45" s="324">
        <v>0</v>
      </c>
      <c r="J45" s="324">
        <f t="shared" si="5"/>
        <v>220</v>
      </c>
      <c r="K45" s="159">
        <v>1</v>
      </c>
      <c r="L45" s="324">
        <f t="shared" si="6"/>
        <v>220</v>
      </c>
      <c r="M45" s="324"/>
      <c r="N45" s="324"/>
      <c r="O45" s="324">
        <v>0</v>
      </c>
      <c r="P45" s="324">
        <v>0</v>
      </c>
      <c r="Q45" s="324">
        <v>0</v>
      </c>
      <c r="R45" s="324">
        <f t="shared" si="7"/>
        <v>0</v>
      </c>
      <c r="S45" s="324">
        <v>0</v>
      </c>
      <c r="T45" s="324">
        <v>0</v>
      </c>
      <c r="U45" s="324">
        <f t="shared" si="8"/>
        <v>0</v>
      </c>
      <c r="V45" s="324">
        <v>0</v>
      </c>
      <c r="W45" s="324">
        <v>220</v>
      </c>
      <c r="X45" s="324">
        <f t="shared" si="9"/>
        <v>220</v>
      </c>
      <c r="Y45" s="249" t="b">
        <f t="shared" si="10"/>
        <v>1</v>
      </c>
    </row>
    <row r="46" spans="1:25" s="8" customFormat="1" ht="12.75">
      <c r="A46" s="16">
        <v>32</v>
      </c>
      <c r="B46" t="s">
        <v>250</v>
      </c>
      <c r="C46" t="s">
        <v>788</v>
      </c>
      <c r="D46" s="18"/>
      <c r="E46" s="324">
        <v>143.41</v>
      </c>
      <c r="F46" s="324">
        <v>0</v>
      </c>
      <c r="G46" s="324">
        <v>0</v>
      </c>
      <c r="H46" s="324">
        <f t="shared" si="4"/>
        <v>143.41</v>
      </c>
      <c r="I46" s="324">
        <v>0</v>
      </c>
      <c r="J46" s="324">
        <f t="shared" si="5"/>
        <v>143.41</v>
      </c>
      <c r="K46" s="159">
        <v>1</v>
      </c>
      <c r="L46" s="324">
        <f t="shared" si="6"/>
        <v>143.41</v>
      </c>
      <c r="M46" s="324"/>
      <c r="N46" s="324"/>
      <c r="O46" s="324">
        <v>0</v>
      </c>
      <c r="P46" s="324">
        <v>0</v>
      </c>
      <c r="Q46" s="324">
        <v>0</v>
      </c>
      <c r="R46" s="324">
        <f t="shared" si="7"/>
        <v>0</v>
      </c>
      <c r="S46" s="324">
        <v>0</v>
      </c>
      <c r="T46" s="324">
        <v>0</v>
      </c>
      <c r="U46" s="324">
        <f t="shared" si="8"/>
        <v>0</v>
      </c>
      <c r="V46" s="324">
        <v>0</v>
      </c>
      <c r="W46" s="324">
        <v>143.41</v>
      </c>
      <c r="X46" s="324">
        <f t="shared" si="9"/>
        <v>143.41</v>
      </c>
      <c r="Y46" s="249" t="b">
        <f t="shared" si="10"/>
        <v>1</v>
      </c>
    </row>
    <row r="47" spans="1:25" s="8" customFormat="1" ht="12.75">
      <c r="A47" s="16">
        <v>33</v>
      </c>
      <c r="B47" t="s">
        <v>247</v>
      </c>
      <c r="C47" t="s">
        <v>581</v>
      </c>
      <c r="D47" s="18"/>
      <c r="E47" s="324">
        <v>0.40000000000000002</v>
      </c>
      <c r="F47" s="324">
        <v>0</v>
      </c>
      <c r="G47" s="324">
        <v>0</v>
      </c>
      <c r="H47" s="324">
        <f t="shared" si="4"/>
        <v>0.40000000000000002</v>
      </c>
      <c r="I47" s="324">
        <v>0</v>
      </c>
      <c r="J47" s="324">
        <f t="shared" si="5"/>
        <v>0.40000000000000002</v>
      </c>
      <c r="K47" s="159">
        <v>1</v>
      </c>
      <c r="L47" s="324">
        <f t="shared" si="6"/>
        <v>0.40000000000000002</v>
      </c>
      <c r="M47" s="324"/>
      <c r="N47" s="324"/>
      <c r="O47" s="324">
        <v>0</v>
      </c>
      <c r="P47" s="324">
        <v>0</v>
      </c>
      <c r="Q47" s="324">
        <v>0</v>
      </c>
      <c r="R47" s="324">
        <f t="shared" si="7"/>
        <v>0</v>
      </c>
      <c r="S47" s="324">
        <v>0</v>
      </c>
      <c r="T47" s="324">
        <v>0</v>
      </c>
      <c r="U47" s="324">
        <f t="shared" si="8"/>
        <v>0</v>
      </c>
      <c r="V47" s="324">
        <v>0.40000000000000002</v>
      </c>
      <c r="W47" s="324">
        <v>0</v>
      </c>
      <c r="X47" s="324">
        <f t="shared" si="9"/>
        <v>0.40000000000000002</v>
      </c>
      <c r="Y47" s="249" t="b">
        <f t="shared" si="10"/>
        <v>1</v>
      </c>
    </row>
    <row r="48" spans="1:25" s="8" customFormat="1" ht="12.75">
      <c r="A48" s="16">
        <v>34</v>
      </c>
      <c r="B48" t="s">
        <v>251</v>
      </c>
      <c r="C48" t="s">
        <v>973</v>
      </c>
      <c r="D48" s="18"/>
      <c r="E48" s="324">
        <v>6</v>
      </c>
      <c r="F48" s="324">
        <v>0</v>
      </c>
      <c r="G48" s="324">
        <v>0</v>
      </c>
      <c r="H48" s="324">
        <f t="shared" si="4"/>
        <v>6</v>
      </c>
      <c r="I48" s="324">
        <v>0</v>
      </c>
      <c r="J48" s="324">
        <f t="shared" si="5"/>
        <v>6</v>
      </c>
      <c r="K48" s="159">
        <v>1</v>
      </c>
      <c r="L48" s="324">
        <f t="shared" si="6"/>
        <v>6</v>
      </c>
      <c r="M48" s="324"/>
      <c r="N48" s="324"/>
      <c r="O48" s="324">
        <v>0</v>
      </c>
      <c r="P48" s="324">
        <v>0</v>
      </c>
      <c r="Q48" s="324">
        <v>0</v>
      </c>
      <c r="R48" s="324">
        <f t="shared" si="7"/>
        <v>0</v>
      </c>
      <c r="S48" s="324">
        <v>6</v>
      </c>
      <c r="T48" s="324">
        <v>0</v>
      </c>
      <c r="U48" s="324">
        <f t="shared" si="8"/>
        <v>6</v>
      </c>
      <c r="V48" s="324">
        <v>0</v>
      </c>
      <c r="W48" s="324">
        <v>0</v>
      </c>
      <c r="X48" s="324">
        <f t="shared" si="9"/>
        <v>6</v>
      </c>
      <c r="Y48" s="249" t="b">
        <f t="shared" si="10"/>
        <v>1</v>
      </c>
    </row>
    <row r="49" spans="1:25" s="8" customFormat="1" ht="12.75">
      <c r="A49" s="16">
        <v>35</v>
      </c>
      <c r="B49" t="s">
        <v>251</v>
      </c>
      <c r="C49" t="s">
        <v>974</v>
      </c>
      <c r="D49" s="18"/>
      <c r="E49" s="324">
        <v>52.700000000000003</v>
      </c>
      <c r="F49" s="324">
        <v>0</v>
      </c>
      <c r="G49" s="324">
        <v>0</v>
      </c>
      <c r="H49" s="324">
        <f t="shared" si="4"/>
        <v>52.700000000000003</v>
      </c>
      <c r="I49" s="324">
        <v>0</v>
      </c>
      <c r="J49" s="324">
        <f t="shared" si="5"/>
        <v>52.700000000000003</v>
      </c>
      <c r="K49" s="159">
        <v>1</v>
      </c>
      <c r="L49" s="324">
        <f t="shared" si="6"/>
        <v>52.700000000000003</v>
      </c>
      <c r="M49" s="324"/>
      <c r="N49" s="324"/>
      <c r="O49" s="324">
        <v>0</v>
      </c>
      <c r="P49" s="324">
        <v>0</v>
      </c>
      <c r="Q49" s="324">
        <v>0</v>
      </c>
      <c r="R49" s="324">
        <f t="shared" si="7"/>
        <v>0</v>
      </c>
      <c r="S49" s="324">
        <v>52.700000000000003</v>
      </c>
      <c r="T49" s="324">
        <v>0</v>
      </c>
      <c r="U49" s="324">
        <f t="shared" si="8"/>
        <v>52.700000000000003</v>
      </c>
      <c r="V49" s="324">
        <v>0</v>
      </c>
      <c r="W49" s="324">
        <v>0</v>
      </c>
      <c r="X49" s="324">
        <f t="shared" si="9"/>
        <v>52.700000000000003</v>
      </c>
      <c r="Y49" s="249" t="b">
        <f t="shared" si="10"/>
        <v>1</v>
      </c>
    </row>
    <row r="50" spans="1:25" s="8" customFormat="1" ht="12.75">
      <c r="A50" s="16">
        <v>36</v>
      </c>
      <c r="B50" t="s">
        <v>251</v>
      </c>
      <c r="C50" t="s">
        <v>918</v>
      </c>
      <c r="D50" s="18"/>
      <c r="E50" s="324">
        <v>12.640000000000001</v>
      </c>
      <c r="F50" s="324">
        <v>0</v>
      </c>
      <c r="G50" s="324">
        <v>0</v>
      </c>
      <c r="H50" s="324">
        <f t="shared" si="4"/>
        <v>12.640000000000001</v>
      </c>
      <c r="I50" s="324">
        <v>0</v>
      </c>
      <c r="J50" s="324">
        <f t="shared" si="5"/>
        <v>12.640000000000001</v>
      </c>
      <c r="K50" s="159">
        <v>1</v>
      </c>
      <c r="L50" s="324">
        <f t="shared" si="6"/>
        <v>12.640000000000001</v>
      </c>
      <c r="M50" s="324"/>
      <c r="N50" s="324"/>
      <c r="O50" s="324">
        <v>0</v>
      </c>
      <c r="P50" s="324">
        <v>0</v>
      </c>
      <c r="Q50" s="324">
        <v>0</v>
      </c>
      <c r="R50" s="324">
        <f t="shared" si="7"/>
        <v>0</v>
      </c>
      <c r="S50" s="324">
        <v>12.640000000000001</v>
      </c>
      <c r="T50" s="324">
        <v>0</v>
      </c>
      <c r="U50" s="324">
        <f t="shared" si="8"/>
        <v>12.640000000000001</v>
      </c>
      <c r="V50" s="324">
        <v>0</v>
      </c>
      <c r="W50" s="324">
        <v>0</v>
      </c>
      <c r="X50" s="324">
        <f t="shared" si="9"/>
        <v>12.640000000000001</v>
      </c>
      <c r="Y50" s="249" t="b">
        <f t="shared" si="10"/>
        <v>1</v>
      </c>
    </row>
    <row r="51" spans="1:25" s="8" customFormat="1" ht="12.75">
      <c r="A51" s="16">
        <v>37</v>
      </c>
      <c r="B51" t="s">
        <v>251</v>
      </c>
      <c r="C51" t="s">
        <v>919</v>
      </c>
      <c r="D51" s="18"/>
      <c r="E51" s="324">
        <v>67.200000000000003</v>
      </c>
      <c r="F51" s="324">
        <v>0</v>
      </c>
      <c r="G51" s="324">
        <v>0</v>
      </c>
      <c r="H51" s="324">
        <f t="shared" si="4"/>
        <v>67.200000000000003</v>
      </c>
      <c r="I51" s="324">
        <v>0</v>
      </c>
      <c r="J51" s="324">
        <f t="shared" si="5"/>
        <v>67.200000000000003</v>
      </c>
      <c r="K51" s="159">
        <v>1</v>
      </c>
      <c r="L51" s="324">
        <f t="shared" si="6"/>
        <v>67.200000000000003</v>
      </c>
      <c r="M51" s="324"/>
      <c r="N51" s="324"/>
      <c r="O51" s="324">
        <v>0</v>
      </c>
      <c r="P51" s="324">
        <v>0</v>
      </c>
      <c r="Q51" s="324">
        <v>0</v>
      </c>
      <c r="R51" s="324">
        <f t="shared" si="7"/>
        <v>0</v>
      </c>
      <c r="S51" s="324">
        <v>67.200000000000003</v>
      </c>
      <c r="T51" s="324">
        <v>0</v>
      </c>
      <c r="U51" s="324">
        <f t="shared" si="8"/>
        <v>67.200000000000003</v>
      </c>
      <c r="V51" s="324">
        <v>0</v>
      </c>
      <c r="W51" s="324">
        <v>0</v>
      </c>
      <c r="X51" s="324">
        <f t="shared" si="9"/>
        <v>67.200000000000003</v>
      </c>
      <c r="Y51" s="249" t="b">
        <f t="shared" si="10"/>
        <v>1</v>
      </c>
    </row>
    <row r="52" spans="1:25" s="8" customFormat="1" ht="12.75">
      <c r="A52" s="16">
        <v>38</v>
      </c>
      <c r="B52" t="s">
        <v>251</v>
      </c>
      <c r="C52" t="s">
        <v>975</v>
      </c>
      <c r="D52" s="18"/>
      <c r="E52" s="324">
        <v>52.159999999999997</v>
      </c>
      <c r="F52" s="324">
        <v>0</v>
      </c>
      <c r="G52" s="324">
        <v>0</v>
      </c>
      <c r="H52" s="324">
        <f t="shared" si="4"/>
        <v>52.159999999999997</v>
      </c>
      <c r="I52" s="324">
        <v>0</v>
      </c>
      <c r="J52" s="324">
        <f t="shared" si="5"/>
        <v>52.159999999999997</v>
      </c>
      <c r="K52" s="159">
        <v>1</v>
      </c>
      <c r="L52" s="324">
        <f t="shared" si="6"/>
        <v>52.159999999999997</v>
      </c>
      <c r="M52" s="324"/>
      <c r="N52" s="324"/>
      <c r="O52" s="324">
        <v>0</v>
      </c>
      <c r="P52" s="324">
        <v>0</v>
      </c>
      <c r="Q52" s="324">
        <v>0</v>
      </c>
      <c r="R52" s="324">
        <f t="shared" si="7"/>
        <v>0</v>
      </c>
      <c r="S52" s="324">
        <v>52.159999999999997</v>
      </c>
      <c r="T52" s="324">
        <v>0</v>
      </c>
      <c r="U52" s="324">
        <f t="shared" si="8"/>
        <v>52.159999999999997</v>
      </c>
      <c r="V52" s="324">
        <v>0</v>
      </c>
      <c r="W52" s="324">
        <v>0</v>
      </c>
      <c r="X52" s="324">
        <f t="shared" si="9"/>
        <v>52.159999999999997</v>
      </c>
      <c r="Y52" s="249" t="b">
        <f t="shared" si="10"/>
        <v>1</v>
      </c>
    </row>
    <row r="53" spans="1:25" s="8" customFormat="1" ht="12.75">
      <c r="A53" s="16">
        <v>39</v>
      </c>
      <c r="B53" t="s">
        <v>251</v>
      </c>
      <c r="C53" t="s">
        <v>976</v>
      </c>
      <c r="D53" s="18"/>
      <c r="E53" s="324">
        <v>48.5</v>
      </c>
      <c r="F53" s="324">
        <v>0</v>
      </c>
      <c r="G53" s="324">
        <v>0</v>
      </c>
      <c r="H53" s="324">
        <f t="shared" si="4"/>
        <v>48.5</v>
      </c>
      <c r="I53" s="324">
        <v>0</v>
      </c>
      <c r="J53" s="324">
        <f t="shared" si="5"/>
        <v>48.5</v>
      </c>
      <c r="K53" s="159">
        <v>1</v>
      </c>
      <c r="L53" s="324">
        <f t="shared" si="6"/>
        <v>48.5</v>
      </c>
      <c r="M53" s="324"/>
      <c r="N53" s="324"/>
      <c r="O53" s="324">
        <v>0</v>
      </c>
      <c r="P53" s="324">
        <v>0</v>
      </c>
      <c r="Q53" s="324">
        <v>0</v>
      </c>
      <c r="R53" s="324">
        <f t="shared" si="7"/>
        <v>0</v>
      </c>
      <c r="S53" s="324">
        <v>48.5</v>
      </c>
      <c r="T53" s="324">
        <v>0</v>
      </c>
      <c r="U53" s="324">
        <f t="shared" si="8"/>
        <v>48.5</v>
      </c>
      <c r="V53" s="324">
        <v>0</v>
      </c>
      <c r="W53" s="324">
        <v>0</v>
      </c>
      <c r="X53" s="324">
        <f t="shared" si="9"/>
        <v>48.5</v>
      </c>
      <c r="Y53" s="249" t="b">
        <f t="shared" si="10"/>
        <v>1</v>
      </c>
    </row>
    <row r="54" spans="1:25" s="8" customFormat="1" ht="12.75">
      <c r="A54" s="16">
        <v>40</v>
      </c>
      <c r="B54" t="s">
        <v>251</v>
      </c>
      <c r="C54" t="s">
        <v>977</v>
      </c>
      <c r="D54" s="18"/>
      <c r="E54" s="324">
        <v>57.600000000000001</v>
      </c>
      <c r="F54" s="324">
        <v>0</v>
      </c>
      <c r="G54" s="324">
        <v>0</v>
      </c>
      <c r="H54" s="324">
        <f t="shared" si="4"/>
        <v>57.600000000000001</v>
      </c>
      <c r="I54" s="324">
        <v>0</v>
      </c>
      <c r="J54" s="324">
        <f t="shared" si="5"/>
        <v>57.600000000000001</v>
      </c>
      <c r="K54" s="159">
        <v>1</v>
      </c>
      <c r="L54" s="324">
        <f t="shared" si="6"/>
        <v>57.600000000000001</v>
      </c>
      <c r="M54" s="324"/>
      <c r="N54" s="324"/>
      <c r="O54" s="324">
        <v>0</v>
      </c>
      <c r="P54" s="324">
        <v>0</v>
      </c>
      <c r="Q54" s="324">
        <v>0</v>
      </c>
      <c r="R54" s="324">
        <f t="shared" si="7"/>
        <v>0</v>
      </c>
      <c r="S54" s="324">
        <v>57.600000000000001</v>
      </c>
      <c r="T54" s="324">
        <v>0</v>
      </c>
      <c r="U54" s="324">
        <f t="shared" si="8"/>
        <v>57.600000000000001</v>
      </c>
      <c r="V54" s="324">
        <v>0</v>
      </c>
      <c r="W54" s="324">
        <v>0</v>
      </c>
      <c r="X54" s="324">
        <f t="shared" si="9"/>
        <v>57.600000000000001</v>
      </c>
      <c r="Y54" s="249" t="b">
        <f t="shared" si="10"/>
        <v>1</v>
      </c>
    </row>
    <row r="55" spans="1:25" s="8" customFormat="1" ht="12.75">
      <c r="A55" s="16">
        <v>41</v>
      </c>
      <c r="B55" t="s">
        <v>251</v>
      </c>
      <c r="C55" t="s">
        <v>920</v>
      </c>
      <c r="D55" s="18"/>
      <c r="E55" s="324">
        <v>200</v>
      </c>
      <c r="F55" s="324">
        <v>0</v>
      </c>
      <c r="G55" s="324">
        <v>0</v>
      </c>
      <c r="H55" s="324">
        <f t="shared" si="4"/>
        <v>200</v>
      </c>
      <c r="I55" s="324">
        <v>0</v>
      </c>
      <c r="J55" s="324">
        <f t="shared" si="5"/>
        <v>200</v>
      </c>
      <c r="K55" s="159">
        <v>1</v>
      </c>
      <c r="L55" s="324">
        <f t="shared" si="6"/>
        <v>200</v>
      </c>
      <c r="M55" s="324"/>
      <c r="N55" s="324"/>
      <c r="O55" s="324">
        <v>0</v>
      </c>
      <c r="P55" s="324">
        <v>0</v>
      </c>
      <c r="Q55" s="324">
        <v>0</v>
      </c>
      <c r="R55" s="324">
        <f t="shared" si="7"/>
        <v>0</v>
      </c>
      <c r="S55" s="324">
        <v>200</v>
      </c>
      <c r="T55" s="324">
        <v>0</v>
      </c>
      <c r="U55" s="324">
        <f t="shared" si="8"/>
        <v>200</v>
      </c>
      <c r="V55" s="324">
        <v>0</v>
      </c>
      <c r="W55" s="324">
        <v>0</v>
      </c>
      <c r="X55" s="324">
        <f t="shared" si="9"/>
        <v>200</v>
      </c>
      <c r="Y55" s="249" t="b">
        <f t="shared" si="10"/>
        <v>1</v>
      </c>
    </row>
    <row r="56" spans="1:25" s="8" customFormat="1" ht="12.75">
      <c r="A56" s="16">
        <v>42</v>
      </c>
      <c r="B56" t="s">
        <v>251</v>
      </c>
      <c r="C56" t="s">
        <v>962</v>
      </c>
      <c r="D56" s="18"/>
      <c r="E56" s="324">
        <v>979.90999999999997</v>
      </c>
      <c r="F56" s="324">
        <v>0</v>
      </c>
      <c r="G56" s="324">
        <v>0</v>
      </c>
      <c r="H56" s="324">
        <f t="shared" si="4"/>
        <v>979.90999999999997</v>
      </c>
      <c r="I56" s="324">
        <v>0</v>
      </c>
      <c r="J56" s="324">
        <f t="shared" si="5"/>
        <v>979.90999999999997</v>
      </c>
      <c r="K56" s="159">
        <v>1</v>
      </c>
      <c r="L56" s="324">
        <f t="shared" si="6"/>
        <v>979.90999999999997</v>
      </c>
      <c r="M56" s="324"/>
      <c r="N56" s="324"/>
      <c r="O56" s="324">
        <v>0</v>
      </c>
      <c r="P56" s="324">
        <v>0</v>
      </c>
      <c r="Q56" s="324">
        <v>0</v>
      </c>
      <c r="R56" s="324">
        <f t="shared" si="7"/>
        <v>0</v>
      </c>
      <c r="S56" s="324">
        <v>979.90999999999997</v>
      </c>
      <c r="T56" s="324">
        <v>0</v>
      </c>
      <c r="U56" s="324">
        <f t="shared" si="8"/>
        <v>979.90999999999997</v>
      </c>
      <c r="V56" s="324">
        <v>0</v>
      </c>
      <c r="W56" s="324">
        <v>0</v>
      </c>
      <c r="X56" s="324">
        <f t="shared" si="9"/>
        <v>979.90999999999997</v>
      </c>
      <c r="Y56" s="249" t="b">
        <f t="shared" si="10"/>
        <v>1</v>
      </c>
    </row>
    <row r="57" spans="1:25" s="8" customFormat="1" ht="12.75">
      <c r="A57" s="16">
        <v>43</v>
      </c>
      <c r="B57" t="s">
        <v>251</v>
      </c>
      <c r="C57" t="s">
        <v>978</v>
      </c>
      <c r="D57" s="18"/>
      <c r="E57" s="324">
        <v>173.40000000000001</v>
      </c>
      <c r="F57" s="324">
        <v>0</v>
      </c>
      <c r="G57" s="324">
        <v>0</v>
      </c>
      <c r="H57" s="324">
        <f t="shared" si="4"/>
        <v>173.40000000000001</v>
      </c>
      <c r="I57" s="324">
        <v>0</v>
      </c>
      <c r="J57" s="324">
        <f t="shared" si="5"/>
        <v>173.40000000000001</v>
      </c>
      <c r="K57" s="159">
        <v>1</v>
      </c>
      <c r="L57" s="324">
        <f t="shared" si="6"/>
        <v>173.40000000000001</v>
      </c>
      <c r="M57" s="324"/>
      <c r="N57" s="324"/>
      <c r="O57" s="324">
        <v>0</v>
      </c>
      <c r="P57" s="324">
        <v>0</v>
      </c>
      <c r="Q57" s="324">
        <v>0</v>
      </c>
      <c r="R57" s="324">
        <f t="shared" si="7"/>
        <v>0</v>
      </c>
      <c r="S57" s="324">
        <v>173.40000000000001</v>
      </c>
      <c r="T57" s="324">
        <v>0</v>
      </c>
      <c r="U57" s="324">
        <f t="shared" si="8"/>
        <v>173.40000000000001</v>
      </c>
      <c r="V57" s="324">
        <v>0</v>
      </c>
      <c r="W57" s="324">
        <v>0</v>
      </c>
      <c r="X57" s="324">
        <f t="shared" si="9"/>
        <v>173.40000000000001</v>
      </c>
      <c r="Y57" s="249" t="b">
        <f t="shared" si="10"/>
        <v>1</v>
      </c>
    </row>
    <row r="58" spans="1:25" s="8" customFormat="1" ht="12.75">
      <c r="A58" s="16">
        <v>44</v>
      </c>
      <c r="B58" t="s">
        <v>251</v>
      </c>
      <c r="C58" t="s">
        <v>921</v>
      </c>
      <c r="D58" s="18"/>
      <c r="E58" s="324">
        <v>46.75</v>
      </c>
      <c r="F58" s="324">
        <v>0</v>
      </c>
      <c r="G58" s="324">
        <v>0</v>
      </c>
      <c r="H58" s="324">
        <f t="shared" si="4"/>
        <v>46.75</v>
      </c>
      <c r="I58" s="324">
        <v>0</v>
      </c>
      <c r="J58" s="324">
        <f t="shared" si="5"/>
        <v>46.75</v>
      </c>
      <c r="K58" s="159">
        <v>1</v>
      </c>
      <c r="L58" s="324">
        <f t="shared" si="6"/>
        <v>46.75</v>
      </c>
      <c r="M58" s="324"/>
      <c r="N58" s="324"/>
      <c r="O58" s="324">
        <v>0</v>
      </c>
      <c r="P58" s="324">
        <v>0</v>
      </c>
      <c r="Q58" s="324">
        <v>0</v>
      </c>
      <c r="R58" s="324">
        <f t="shared" si="7"/>
        <v>0</v>
      </c>
      <c r="S58" s="324">
        <v>46.75</v>
      </c>
      <c r="T58" s="324">
        <v>0</v>
      </c>
      <c r="U58" s="324">
        <f t="shared" si="8"/>
        <v>46.75</v>
      </c>
      <c r="V58" s="324">
        <v>0</v>
      </c>
      <c r="W58" s="324">
        <v>0</v>
      </c>
      <c r="X58" s="324">
        <f t="shared" si="9"/>
        <v>46.75</v>
      </c>
      <c r="Y58" s="249" t="b">
        <f t="shared" si="10"/>
        <v>1</v>
      </c>
    </row>
    <row r="59" spans="1:25" s="8" customFormat="1" ht="12.75">
      <c r="A59" s="16">
        <v>45</v>
      </c>
      <c r="B59" t="s">
        <v>251</v>
      </c>
      <c r="C59" t="s">
        <v>963</v>
      </c>
      <c r="D59" s="18"/>
      <c r="E59" s="324">
        <v>275.05000000000001</v>
      </c>
      <c r="F59" s="324">
        <v>0</v>
      </c>
      <c r="G59" s="324">
        <v>0</v>
      </c>
      <c r="H59" s="324">
        <f t="shared" si="4"/>
        <v>275.05000000000001</v>
      </c>
      <c r="I59" s="324">
        <v>0</v>
      </c>
      <c r="J59" s="324">
        <f t="shared" si="5"/>
        <v>275.05000000000001</v>
      </c>
      <c r="K59" s="159">
        <v>1</v>
      </c>
      <c r="L59" s="324">
        <f t="shared" si="6"/>
        <v>275.05000000000001</v>
      </c>
      <c r="M59" s="324"/>
      <c r="N59" s="324"/>
      <c r="O59" s="324">
        <v>0</v>
      </c>
      <c r="P59" s="324">
        <v>0</v>
      </c>
      <c r="Q59" s="324">
        <v>0</v>
      </c>
      <c r="R59" s="324">
        <f t="shared" si="7"/>
        <v>0</v>
      </c>
      <c r="S59" s="324">
        <v>275.05000000000001</v>
      </c>
      <c r="T59" s="324">
        <v>0</v>
      </c>
      <c r="U59" s="324">
        <f t="shared" si="8"/>
        <v>275.05000000000001</v>
      </c>
      <c r="V59" s="324">
        <v>0</v>
      </c>
      <c r="W59" s="324">
        <v>0</v>
      </c>
      <c r="X59" s="324">
        <f t="shared" si="9"/>
        <v>275.05000000000001</v>
      </c>
      <c r="Y59" s="249" t="b">
        <f t="shared" si="10"/>
        <v>1</v>
      </c>
    </row>
    <row r="60" spans="1:25" s="8" customFormat="1" ht="12.75">
      <c r="A60" s="16">
        <v>46</v>
      </c>
      <c r="B60" t="s">
        <v>251</v>
      </c>
      <c r="C60" t="s">
        <v>922</v>
      </c>
      <c r="D60" s="18"/>
      <c r="E60" s="324">
        <v>16.530000000000001</v>
      </c>
      <c r="F60" s="324">
        <v>0</v>
      </c>
      <c r="G60" s="324">
        <v>0</v>
      </c>
      <c r="H60" s="324">
        <f t="shared" si="4"/>
        <v>16.530000000000001</v>
      </c>
      <c r="I60" s="324">
        <v>0</v>
      </c>
      <c r="J60" s="324">
        <f t="shared" si="5"/>
        <v>16.530000000000001</v>
      </c>
      <c r="K60" s="159">
        <v>1</v>
      </c>
      <c r="L60" s="324">
        <f t="shared" si="6"/>
        <v>16.530000000000001</v>
      </c>
      <c r="M60" s="324"/>
      <c r="N60" s="324"/>
      <c r="O60" s="324">
        <v>0</v>
      </c>
      <c r="P60" s="324">
        <v>0</v>
      </c>
      <c r="Q60" s="324">
        <v>0</v>
      </c>
      <c r="R60" s="324">
        <f t="shared" si="7"/>
        <v>0</v>
      </c>
      <c r="S60" s="324">
        <v>16.530000000000001</v>
      </c>
      <c r="T60" s="324">
        <v>0</v>
      </c>
      <c r="U60" s="324">
        <f t="shared" si="8"/>
        <v>16.530000000000001</v>
      </c>
      <c r="V60" s="324">
        <v>0</v>
      </c>
      <c r="W60" s="324">
        <v>0</v>
      </c>
      <c r="X60" s="324">
        <f t="shared" si="9"/>
        <v>16.530000000000001</v>
      </c>
      <c r="Y60" s="249" t="b">
        <f t="shared" si="10"/>
        <v>1</v>
      </c>
    </row>
    <row r="61" spans="1:25" s="8" customFormat="1" ht="12.75">
      <c r="A61" s="16">
        <v>47</v>
      </c>
      <c r="B61" t="s">
        <v>251</v>
      </c>
      <c r="C61" t="s">
        <v>979</v>
      </c>
      <c r="D61" s="18"/>
      <c r="E61" s="324">
        <v>101.95</v>
      </c>
      <c r="F61" s="324">
        <v>0</v>
      </c>
      <c r="G61" s="324">
        <v>0</v>
      </c>
      <c r="H61" s="324">
        <f t="shared" si="4"/>
        <v>101.95</v>
      </c>
      <c r="I61" s="324">
        <v>0</v>
      </c>
      <c r="J61" s="324">
        <f t="shared" si="5"/>
        <v>101.95</v>
      </c>
      <c r="K61" s="159">
        <v>1</v>
      </c>
      <c r="L61" s="324">
        <f t="shared" si="6"/>
        <v>101.95</v>
      </c>
      <c r="M61" s="324"/>
      <c r="N61" s="324"/>
      <c r="O61" s="324">
        <v>0</v>
      </c>
      <c r="P61" s="324">
        <v>0</v>
      </c>
      <c r="Q61" s="324">
        <v>0</v>
      </c>
      <c r="R61" s="324">
        <f t="shared" si="7"/>
        <v>0</v>
      </c>
      <c r="S61" s="324">
        <v>101.95</v>
      </c>
      <c r="T61" s="324">
        <v>0</v>
      </c>
      <c r="U61" s="324">
        <f t="shared" si="8"/>
        <v>101.95</v>
      </c>
      <c r="V61" s="324">
        <v>0</v>
      </c>
      <c r="W61" s="324">
        <v>0</v>
      </c>
      <c r="X61" s="324">
        <f t="shared" si="9"/>
        <v>101.95</v>
      </c>
      <c r="Y61" s="249" t="b">
        <f t="shared" si="10"/>
        <v>1</v>
      </c>
    </row>
    <row r="62" spans="1:25" s="8" customFormat="1" ht="12.75">
      <c r="A62" s="16">
        <v>48</v>
      </c>
      <c r="B62" t="s">
        <v>251</v>
      </c>
      <c r="C62" t="s">
        <v>923</v>
      </c>
      <c r="D62" s="18"/>
      <c r="E62" s="324">
        <v>514.96000000000004</v>
      </c>
      <c r="F62" s="324">
        <v>0</v>
      </c>
      <c r="G62" s="324">
        <v>0</v>
      </c>
      <c r="H62" s="324">
        <f t="shared" si="4"/>
        <v>514.96000000000004</v>
      </c>
      <c r="I62" s="324">
        <v>0</v>
      </c>
      <c r="J62" s="324">
        <f t="shared" si="5"/>
        <v>514.96000000000004</v>
      </c>
      <c r="K62" s="159">
        <v>1</v>
      </c>
      <c r="L62" s="324">
        <f t="shared" si="6"/>
        <v>514.96000000000004</v>
      </c>
      <c r="M62" s="324"/>
      <c r="N62" s="324"/>
      <c r="O62" s="324">
        <v>0</v>
      </c>
      <c r="P62" s="324">
        <v>0</v>
      </c>
      <c r="Q62" s="324">
        <v>0</v>
      </c>
      <c r="R62" s="324">
        <f t="shared" si="7"/>
        <v>0</v>
      </c>
      <c r="S62" s="324">
        <v>514.96000000000004</v>
      </c>
      <c r="T62" s="324">
        <v>0</v>
      </c>
      <c r="U62" s="324">
        <f t="shared" si="8"/>
        <v>514.96000000000004</v>
      </c>
      <c r="V62" s="324">
        <v>0</v>
      </c>
      <c r="W62" s="324">
        <v>0</v>
      </c>
      <c r="X62" s="324">
        <f t="shared" si="9"/>
        <v>514.96000000000004</v>
      </c>
      <c r="Y62" s="249" t="b">
        <f t="shared" si="10"/>
        <v>1</v>
      </c>
    </row>
    <row r="63" spans="1:25" s="8" customFormat="1" ht="12.75">
      <c r="A63" s="16">
        <v>49</v>
      </c>
      <c r="B63" t="s">
        <v>251</v>
      </c>
      <c r="C63" t="s">
        <v>924</v>
      </c>
      <c r="D63" s="18"/>
      <c r="E63" s="324">
        <v>40</v>
      </c>
      <c r="F63" s="324">
        <v>0</v>
      </c>
      <c r="G63" s="324">
        <v>0</v>
      </c>
      <c r="H63" s="324">
        <f t="shared" si="4"/>
        <v>40</v>
      </c>
      <c r="I63" s="324">
        <v>0</v>
      </c>
      <c r="J63" s="324">
        <f t="shared" si="5"/>
        <v>40</v>
      </c>
      <c r="K63" s="159">
        <v>1</v>
      </c>
      <c r="L63" s="324">
        <f t="shared" si="6"/>
        <v>40</v>
      </c>
      <c r="M63" s="324"/>
      <c r="N63" s="324"/>
      <c r="O63" s="324">
        <v>0</v>
      </c>
      <c r="P63" s="324">
        <v>0</v>
      </c>
      <c r="Q63" s="324">
        <v>0</v>
      </c>
      <c r="R63" s="324">
        <f t="shared" si="7"/>
        <v>0</v>
      </c>
      <c r="S63" s="324">
        <v>40</v>
      </c>
      <c r="T63" s="324">
        <v>0</v>
      </c>
      <c r="U63" s="324">
        <f t="shared" si="8"/>
        <v>40</v>
      </c>
      <c r="V63" s="324">
        <v>0</v>
      </c>
      <c r="W63" s="324">
        <v>0</v>
      </c>
      <c r="X63" s="324">
        <f t="shared" si="9"/>
        <v>40</v>
      </c>
      <c r="Y63" s="249" t="b">
        <f t="shared" si="10"/>
        <v>1</v>
      </c>
    </row>
    <row r="64" spans="1:25" s="8" customFormat="1" ht="12.75">
      <c r="A64" s="16">
        <v>50</v>
      </c>
      <c r="B64" t="s">
        <v>251</v>
      </c>
      <c r="C64" t="s">
        <v>970</v>
      </c>
      <c r="D64" s="18"/>
      <c r="E64" s="324">
        <v>202</v>
      </c>
      <c r="F64" s="324">
        <v>0</v>
      </c>
      <c r="G64" s="324">
        <v>0</v>
      </c>
      <c r="H64" s="324">
        <f t="shared" si="4"/>
        <v>202</v>
      </c>
      <c r="I64" s="324">
        <v>0</v>
      </c>
      <c r="J64" s="324">
        <f t="shared" si="5"/>
        <v>202</v>
      </c>
      <c r="K64" s="159">
        <v>1</v>
      </c>
      <c r="L64" s="324">
        <f t="shared" si="6"/>
        <v>202</v>
      </c>
      <c r="M64" s="324"/>
      <c r="N64" s="324"/>
      <c r="O64" s="324">
        <v>0</v>
      </c>
      <c r="P64" s="324">
        <v>0</v>
      </c>
      <c r="Q64" s="324">
        <v>0</v>
      </c>
      <c r="R64" s="324">
        <f t="shared" si="7"/>
        <v>0</v>
      </c>
      <c r="S64" s="324">
        <v>202</v>
      </c>
      <c r="T64" s="324">
        <v>0</v>
      </c>
      <c r="U64" s="324">
        <f t="shared" si="8"/>
        <v>202</v>
      </c>
      <c r="V64" s="324">
        <v>0</v>
      </c>
      <c r="W64" s="324">
        <v>0</v>
      </c>
      <c r="X64" s="324">
        <f t="shared" si="9"/>
        <v>202</v>
      </c>
      <c r="Y64" s="249" t="b">
        <f t="shared" si="10"/>
        <v>1</v>
      </c>
    </row>
    <row r="65" spans="1:25" s="8" customFormat="1" ht="12.75">
      <c r="A65" s="16">
        <v>51</v>
      </c>
      <c r="B65" t="s">
        <v>251</v>
      </c>
      <c r="C65" t="s">
        <v>981</v>
      </c>
      <c r="D65" s="18"/>
      <c r="E65" s="324">
        <v>3.2000000000000002</v>
      </c>
      <c r="F65" s="324">
        <v>0</v>
      </c>
      <c r="G65" s="324">
        <v>0</v>
      </c>
      <c r="H65" s="324">
        <f t="shared" si="4"/>
        <v>3.2000000000000002</v>
      </c>
      <c r="I65" s="324">
        <v>0</v>
      </c>
      <c r="J65" s="324">
        <f t="shared" si="5"/>
        <v>3.2000000000000002</v>
      </c>
      <c r="K65" s="159">
        <v>1</v>
      </c>
      <c r="L65" s="324">
        <f t="shared" si="6"/>
        <v>3.2000000000000002</v>
      </c>
      <c r="M65" s="324"/>
      <c r="N65" s="324"/>
      <c r="O65" s="324">
        <v>0</v>
      </c>
      <c r="P65" s="324">
        <v>0</v>
      </c>
      <c r="Q65" s="324">
        <v>0</v>
      </c>
      <c r="R65" s="324">
        <f t="shared" si="7"/>
        <v>0</v>
      </c>
      <c r="S65" s="324">
        <v>3.2000000000000002</v>
      </c>
      <c r="T65" s="324">
        <v>0</v>
      </c>
      <c r="U65" s="324">
        <f t="shared" si="8"/>
        <v>3.2000000000000002</v>
      </c>
      <c r="V65" s="324">
        <v>0</v>
      </c>
      <c r="W65" s="324">
        <v>0</v>
      </c>
      <c r="X65" s="324">
        <f t="shared" si="9"/>
        <v>3.2000000000000002</v>
      </c>
      <c r="Y65" s="249" t="b">
        <f t="shared" si="10"/>
        <v>1</v>
      </c>
    </row>
    <row r="66" spans="1:25" s="8" customFormat="1" ht="12.75">
      <c r="A66" s="16">
        <v>52</v>
      </c>
      <c r="B66" t="s">
        <v>251</v>
      </c>
      <c r="C66" t="s">
        <v>581</v>
      </c>
      <c r="D66" s="18"/>
      <c r="E66" s="324">
        <v>227.19999999999999</v>
      </c>
      <c r="F66" s="324">
        <v>0</v>
      </c>
      <c r="G66" s="324">
        <v>0</v>
      </c>
      <c r="H66" s="324">
        <f t="shared" si="4"/>
        <v>227.19999999999999</v>
      </c>
      <c r="I66" s="324">
        <v>0</v>
      </c>
      <c r="J66" s="324">
        <f t="shared" si="5"/>
        <v>227.19999999999999</v>
      </c>
      <c r="K66" s="159">
        <v>1</v>
      </c>
      <c r="L66" s="324">
        <f t="shared" si="6"/>
        <v>227.19999999999999</v>
      </c>
      <c r="M66" s="324"/>
      <c r="N66" s="324"/>
      <c r="O66" s="324">
        <v>0</v>
      </c>
      <c r="P66" s="324">
        <v>0</v>
      </c>
      <c r="Q66" s="324">
        <v>0</v>
      </c>
      <c r="R66" s="324">
        <f t="shared" si="7"/>
        <v>0</v>
      </c>
      <c r="S66" s="324">
        <v>227.19999999999999</v>
      </c>
      <c r="T66" s="324">
        <v>0</v>
      </c>
      <c r="U66" s="324">
        <f t="shared" si="8"/>
        <v>227.19999999999999</v>
      </c>
      <c r="V66" s="324">
        <v>0</v>
      </c>
      <c r="W66" s="324">
        <v>0</v>
      </c>
      <c r="X66" s="324">
        <f t="shared" si="9"/>
        <v>227.19999999999999</v>
      </c>
      <c r="Y66" s="249" t="b">
        <f t="shared" si="10"/>
        <v>1</v>
      </c>
    </row>
    <row r="67" spans="1:25" s="8" customFormat="1" ht="12.75">
      <c r="A67" s="16">
        <v>53</v>
      </c>
      <c r="B67" t="s">
        <v>251</v>
      </c>
      <c r="C67" t="s">
        <v>942</v>
      </c>
      <c r="D67" s="18"/>
      <c r="E67" s="324">
        <v>667</v>
      </c>
      <c r="F67" s="324">
        <v>0</v>
      </c>
      <c r="G67" s="324">
        <v>0</v>
      </c>
      <c r="H67" s="324">
        <f t="shared" si="4"/>
        <v>667</v>
      </c>
      <c r="I67" s="324">
        <v>0</v>
      </c>
      <c r="J67" s="324">
        <f t="shared" si="5"/>
        <v>667</v>
      </c>
      <c r="K67" s="159">
        <v>1</v>
      </c>
      <c r="L67" s="324">
        <f t="shared" si="6"/>
        <v>667</v>
      </c>
      <c r="M67" s="324"/>
      <c r="N67" s="324"/>
      <c r="O67" s="324">
        <v>0</v>
      </c>
      <c r="P67" s="324">
        <v>0</v>
      </c>
      <c r="Q67" s="324">
        <v>0</v>
      </c>
      <c r="R67" s="324">
        <f t="shared" si="7"/>
        <v>0</v>
      </c>
      <c r="S67" s="324">
        <v>667</v>
      </c>
      <c r="T67" s="324">
        <v>0</v>
      </c>
      <c r="U67" s="324">
        <f t="shared" si="8"/>
        <v>667</v>
      </c>
      <c r="V67" s="324">
        <v>0</v>
      </c>
      <c r="W67" s="324">
        <v>0</v>
      </c>
      <c r="X67" s="324">
        <f t="shared" si="9"/>
        <v>667</v>
      </c>
      <c r="Y67" s="249" t="b">
        <f t="shared" si="10"/>
        <v>1</v>
      </c>
    </row>
    <row r="68" spans="1:25" s="8" customFormat="1" ht="12.75">
      <c r="A68" s="16">
        <v>54</v>
      </c>
      <c r="B68" t="s">
        <v>251</v>
      </c>
      <c r="C68" t="s">
        <v>972</v>
      </c>
      <c r="D68" s="18"/>
      <c r="E68" s="324">
        <v>176</v>
      </c>
      <c r="F68" s="324">
        <v>0</v>
      </c>
      <c r="G68" s="324">
        <v>0</v>
      </c>
      <c r="H68" s="324">
        <f t="shared" si="4"/>
        <v>176</v>
      </c>
      <c r="I68" s="324">
        <v>0</v>
      </c>
      <c r="J68" s="324">
        <f t="shared" si="5"/>
        <v>176</v>
      </c>
      <c r="K68" s="159">
        <v>1</v>
      </c>
      <c r="L68" s="324">
        <f t="shared" si="6"/>
        <v>176</v>
      </c>
      <c r="M68" s="324"/>
      <c r="N68" s="324"/>
      <c r="O68" s="324">
        <v>0</v>
      </c>
      <c r="P68" s="324">
        <v>0</v>
      </c>
      <c r="Q68" s="324">
        <v>0</v>
      </c>
      <c r="R68" s="324">
        <f t="shared" si="7"/>
        <v>0</v>
      </c>
      <c r="S68" s="324">
        <v>176</v>
      </c>
      <c r="T68" s="324">
        <v>0</v>
      </c>
      <c r="U68" s="324">
        <f t="shared" si="8"/>
        <v>176</v>
      </c>
      <c r="V68" s="324">
        <v>0</v>
      </c>
      <c r="W68" s="324">
        <v>0</v>
      </c>
      <c r="X68" s="324">
        <f t="shared" si="9"/>
        <v>176</v>
      </c>
      <c r="Y68" s="249" t="b">
        <f t="shared" si="10"/>
        <v>1</v>
      </c>
    </row>
    <row r="69" spans="1:25" s="8" customFormat="1" ht="12.75">
      <c r="A69" s="16">
        <v>55</v>
      </c>
      <c r="B69" t="s">
        <v>251</v>
      </c>
      <c r="C69" t="s">
        <v>982</v>
      </c>
      <c r="D69" s="18"/>
      <c r="E69" s="324">
        <v>44.799999999999997</v>
      </c>
      <c r="F69" s="324">
        <v>0</v>
      </c>
      <c r="G69" s="324">
        <v>0</v>
      </c>
      <c r="H69" s="324">
        <f t="shared" si="4"/>
        <v>44.799999999999997</v>
      </c>
      <c r="I69" s="324">
        <v>0</v>
      </c>
      <c r="J69" s="324">
        <f t="shared" si="5"/>
        <v>44.799999999999997</v>
      </c>
      <c r="K69" s="159">
        <v>1</v>
      </c>
      <c r="L69" s="324">
        <f t="shared" si="6"/>
        <v>44.799999999999997</v>
      </c>
      <c r="M69" s="324"/>
      <c r="N69" s="324"/>
      <c r="O69" s="324">
        <v>0</v>
      </c>
      <c r="P69" s="324">
        <v>0</v>
      </c>
      <c r="Q69" s="324">
        <v>0</v>
      </c>
      <c r="R69" s="324">
        <f t="shared" si="7"/>
        <v>0</v>
      </c>
      <c r="S69" s="324">
        <v>44.799999999999997</v>
      </c>
      <c r="T69" s="324">
        <v>0</v>
      </c>
      <c r="U69" s="324">
        <f t="shared" si="8"/>
        <v>44.799999999999997</v>
      </c>
      <c r="V69" s="324">
        <v>0</v>
      </c>
      <c r="W69" s="324">
        <v>0</v>
      </c>
      <c r="X69" s="324">
        <f t="shared" si="9"/>
        <v>44.799999999999997</v>
      </c>
      <c r="Y69" s="249" t="b">
        <f t="shared" si="10"/>
        <v>1</v>
      </c>
    </row>
    <row r="70" spans="1:25" s="8" customFormat="1" ht="12.75">
      <c r="A70" s="16">
        <v>56</v>
      </c>
      <c r="B70" t="s">
        <v>251</v>
      </c>
      <c r="C70" t="s">
        <v>914</v>
      </c>
      <c r="D70" s="18"/>
      <c r="E70" s="324">
        <v>25.16</v>
      </c>
      <c r="F70" s="324">
        <v>0</v>
      </c>
      <c r="G70" s="324">
        <v>0</v>
      </c>
      <c r="H70" s="324">
        <f t="shared" si="4"/>
        <v>25.16</v>
      </c>
      <c r="I70" s="324">
        <v>0</v>
      </c>
      <c r="J70" s="324">
        <f t="shared" si="5"/>
        <v>25.16</v>
      </c>
      <c r="K70" s="159">
        <v>1</v>
      </c>
      <c r="L70" s="324">
        <f t="shared" si="6"/>
        <v>25.16</v>
      </c>
      <c r="M70" s="324"/>
      <c r="N70" s="324"/>
      <c r="O70" s="324">
        <v>0</v>
      </c>
      <c r="P70" s="324">
        <v>0</v>
      </c>
      <c r="Q70" s="324">
        <v>0</v>
      </c>
      <c r="R70" s="324">
        <f t="shared" si="7"/>
        <v>0</v>
      </c>
      <c r="S70" s="324">
        <v>25.16</v>
      </c>
      <c r="T70" s="324">
        <v>0</v>
      </c>
      <c r="U70" s="324">
        <f t="shared" si="8"/>
        <v>25.16</v>
      </c>
      <c r="V70" s="324">
        <v>0</v>
      </c>
      <c r="W70" s="324">
        <v>0</v>
      </c>
      <c r="X70" s="324">
        <f t="shared" si="9"/>
        <v>25.16</v>
      </c>
      <c r="Y70" s="249" t="b">
        <f t="shared" si="10"/>
        <v>1</v>
      </c>
    </row>
    <row r="71" spans="1:25" s="8" customFormat="1" ht="12.75">
      <c r="A71" s="16">
        <v>57</v>
      </c>
      <c r="B71" t="s">
        <v>251</v>
      </c>
      <c r="C71" t="s">
        <v>925</v>
      </c>
      <c r="D71" s="18"/>
      <c r="E71" s="324">
        <v>11.9</v>
      </c>
      <c r="F71" s="324">
        <v>0</v>
      </c>
      <c r="G71" s="324">
        <v>0</v>
      </c>
      <c r="H71" s="324">
        <f t="shared" si="4"/>
        <v>11.9</v>
      </c>
      <c r="I71" s="324">
        <v>0</v>
      </c>
      <c r="J71" s="324">
        <f t="shared" si="5"/>
        <v>11.9</v>
      </c>
      <c r="K71" s="159">
        <v>1</v>
      </c>
      <c r="L71" s="324">
        <f t="shared" si="6"/>
        <v>11.9</v>
      </c>
      <c r="M71" s="324"/>
      <c r="N71" s="324"/>
      <c r="O71" s="324">
        <v>0</v>
      </c>
      <c r="P71" s="324">
        <v>0</v>
      </c>
      <c r="Q71" s="324">
        <v>0</v>
      </c>
      <c r="R71" s="324">
        <f t="shared" si="7"/>
        <v>0</v>
      </c>
      <c r="S71" s="324">
        <v>11.9</v>
      </c>
      <c r="T71" s="324">
        <v>0</v>
      </c>
      <c r="U71" s="324">
        <f t="shared" si="8"/>
        <v>11.9</v>
      </c>
      <c r="V71" s="324">
        <v>0</v>
      </c>
      <c r="W71" s="324">
        <v>0</v>
      </c>
      <c r="X71" s="324">
        <f t="shared" si="9"/>
        <v>11.9</v>
      </c>
      <c r="Y71" s="249" t="b">
        <f t="shared" si="10"/>
        <v>1</v>
      </c>
    </row>
    <row r="72" spans="1:25" s="8" customFormat="1" ht="12.75">
      <c r="A72" s="16">
        <v>58</v>
      </c>
      <c r="B72" t="s">
        <v>257</v>
      </c>
      <c r="C72" t="s">
        <v>962</v>
      </c>
      <c r="D72" s="18"/>
      <c r="E72" s="324">
        <v>60.75</v>
      </c>
      <c r="F72" s="324">
        <v>0</v>
      </c>
      <c r="G72" s="324">
        <v>0</v>
      </c>
      <c r="H72" s="324">
        <f t="shared" si="4"/>
        <v>60.75</v>
      </c>
      <c r="I72" s="324">
        <v>0</v>
      </c>
      <c r="J72" s="324">
        <f t="shared" si="5"/>
        <v>60.75</v>
      </c>
      <c r="K72" s="159">
        <v>1</v>
      </c>
      <c r="L72" s="324">
        <f t="shared" si="6"/>
        <v>60.75</v>
      </c>
      <c r="M72" s="324"/>
      <c r="N72" s="324"/>
      <c r="O72" s="324">
        <v>0</v>
      </c>
      <c r="P72" s="324">
        <v>0</v>
      </c>
      <c r="Q72" s="324">
        <v>0</v>
      </c>
      <c r="R72" s="324">
        <f t="shared" si="7"/>
        <v>0</v>
      </c>
      <c r="S72" s="324">
        <v>0</v>
      </c>
      <c r="T72" s="324">
        <v>0</v>
      </c>
      <c r="U72" s="324">
        <f t="shared" si="8"/>
        <v>0</v>
      </c>
      <c r="V72" s="324">
        <v>60.75</v>
      </c>
      <c r="W72" s="324">
        <v>0</v>
      </c>
      <c r="X72" s="324">
        <f t="shared" si="9"/>
        <v>60.75</v>
      </c>
      <c r="Y72" s="249" t="b">
        <f t="shared" si="10"/>
        <v>1</v>
      </c>
    </row>
    <row r="73" spans="1:25" s="8" customFormat="1" ht="12.75">
      <c r="A73" s="16">
        <v>59</v>
      </c>
      <c r="B73" t="s">
        <v>257</v>
      </c>
      <c r="C73" t="s">
        <v>963</v>
      </c>
      <c r="D73" s="18"/>
      <c r="E73" s="324">
        <v>74.75</v>
      </c>
      <c r="F73" s="324">
        <v>0</v>
      </c>
      <c r="G73" s="324">
        <v>0</v>
      </c>
      <c r="H73" s="324">
        <f t="shared" si="4"/>
        <v>74.75</v>
      </c>
      <c r="I73" s="324">
        <v>0</v>
      </c>
      <c r="J73" s="324">
        <f t="shared" si="5"/>
        <v>74.75</v>
      </c>
      <c r="K73" s="159">
        <v>1</v>
      </c>
      <c r="L73" s="324">
        <f t="shared" si="6"/>
        <v>74.75</v>
      </c>
      <c r="M73" s="324"/>
      <c r="N73" s="324"/>
      <c r="O73" s="324">
        <v>0</v>
      </c>
      <c r="P73" s="324">
        <v>0</v>
      </c>
      <c r="Q73" s="324">
        <v>0</v>
      </c>
      <c r="R73" s="324">
        <f t="shared" si="7"/>
        <v>0</v>
      </c>
      <c r="S73" s="324">
        <v>0</v>
      </c>
      <c r="T73" s="324">
        <v>0</v>
      </c>
      <c r="U73" s="324">
        <f t="shared" si="8"/>
        <v>0</v>
      </c>
      <c r="V73" s="324">
        <v>74.75</v>
      </c>
      <c r="W73" s="324">
        <v>0</v>
      </c>
      <c r="X73" s="324">
        <f t="shared" si="9"/>
        <v>74.75</v>
      </c>
      <c r="Y73" s="249" t="b">
        <f t="shared" si="10"/>
        <v>1</v>
      </c>
    </row>
    <row r="74" spans="1:25" s="8" customFormat="1" ht="12.75">
      <c r="A74" s="16">
        <v>60</v>
      </c>
      <c r="B74" t="s">
        <v>147</v>
      </c>
      <c r="C74" t="s">
        <v>967</v>
      </c>
      <c r="D74" s="18"/>
      <c r="E74" s="324">
        <v>115.84999999999999</v>
      </c>
      <c r="F74" s="324">
        <v>0</v>
      </c>
      <c r="G74" s="324">
        <v>0</v>
      </c>
      <c r="H74" s="324">
        <f t="shared" si="4"/>
        <v>115.84999999999999</v>
      </c>
      <c r="I74" s="324">
        <v>0</v>
      </c>
      <c r="J74" s="324">
        <f t="shared" si="5"/>
        <v>115.84999999999999</v>
      </c>
      <c r="K74" s="159">
        <v>1</v>
      </c>
      <c r="L74" s="324">
        <f t="shared" si="6"/>
        <v>115.84999999999999</v>
      </c>
      <c r="M74" s="324"/>
      <c r="N74" s="324"/>
      <c r="O74" s="324">
        <v>0</v>
      </c>
      <c r="P74" s="324">
        <v>0</v>
      </c>
      <c r="Q74" s="324">
        <v>0</v>
      </c>
      <c r="R74" s="324">
        <f t="shared" si="7"/>
        <v>0</v>
      </c>
      <c r="S74" s="324">
        <v>115.84999999999999</v>
      </c>
      <c r="T74" s="324">
        <v>0</v>
      </c>
      <c r="U74" s="324">
        <f t="shared" si="8"/>
        <v>115.84999999999999</v>
      </c>
      <c r="V74" s="324">
        <v>0</v>
      </c>
      <c r="W74" s="324">
        <v>0</v>
      </c>
      <c r="X74" s="324">
        <f t="shared" si="9"/>
        <v>115.84999999999999</v>
      </c>
      <c r="Y74" s="249" t="b">
        <f t="shared" si="10"/>
        <v>1</v>
      </c>
    </row>
    <row r="75" spans="1:25" s="8" customFormat="1" ht="12.75">
      <c r="A75" s="16">
        <v>61</v>
      </c>
      <c r="B75" t="s">
        <v>147</v>
      </c>
      <c r="C75" t="s">
        <v>581</v>
      </c>
      <c r="D75" s="18"/>
      <c r="E75" s="324">
        <v>1.2</v>
      </c>
      <c r="F75" s="324">
        <v>0</v>
      </c>
      <c r="G75" s="324">
        <v>0</v>
      </c>
      <c r="H75" s="324">
        <f t="shared" si="4"/>
        <v>1.2</v>
      </c>
      <c r="I75" s="324">
        <v>0</v>
      </c>
      <c r="J75" s="324">
        <f t="shared" si="5"/>
        <v>1.2</v>
      </c>
      <c r="K75" s="159">
        <v>1</v>
      </c>
      <c r="L75" s="324">
        <f t="shared" si="6"/>
        <v>1.2</v>
      </c>
      <c r="M75" s="324"/>
      <c r="N75" s="324"/>
      <c r="O75" s="324">
        <v>0</v>
      </c>
      <c r="P75" s="324">
        <v>0</v>
      </c>
      <c r="Q75" s="324">
        <v>0</v>
      </c>
      <c r="R75" s="324">
        <f t="shared" si="7"/>
        <v>0</v>
      </c>
      <c r="S75" s="324">
        <v>1.2</v>
      </c>
      <c r="T75" s="324">
        <v>0</v>
      </c>
      <c r="U75" s="324">
        <f t="shared" si="8"/>
        <v>1.2</v>
      </c>
      <c r="V75" s="324">
        <v>0</v>
      </c>
      <c r="W75" s="324">
        <v>0</v>
      </c>
      <c r="X75" s="324">
        <f t="shared" si="9"/>
        <v>1.2</v>
      </c>
      <c r="Y75" s="249" t="b">
        <f t="shared" si="10"/>
        <v>1</v>
      </c>
    </row>
    <row r="76" spans="1:25" s="8" customFormat="1" ht="12.75">
      <c r="A76" s="16">
        <v>62</v>
      </c>
      <c r="B76" t="s">
        <v>147</v>
      </c>
      <c r="C76" t="s">
        <v>972</v>
      </c>
      <c r="D76" s="18"/>
      <c r="E76" s="324">
        <v>1085.5</v>
      </c>
      <c r="F76" s="324">
        <v>0</v>
      </c>
      <c r="G76" s="324">
        <v>0</v>
      </c>
      <c r="H76" s="324">
        <f t="shared" si="4"/>
        <v>1085.5</v>
      </c>
      <c r="I76" s="324">
        <v>0</v>
      </c>
      <c r="J76" s="324">
        <f t="shared" si="5"/>
        <v>1085.5</v>
      </c>
      <c r="K76" s="159">
        <v>1</v>
      </c>
      <c r="L76" s="324">
        <f t="shared" si="6"/>
        <v>1085.5</v>
      </c>
      <c r="M76" s="324"/>
      <c r="N76" s="324"/>
      <c r="O76" s="324">
        <v>0</v>
      </c>
      <c r="P76" s="324">
        <v>0</v>
      </c>
      <c r="Q76" s="324">
        <v>0</v>
      </c>
      <c r="R76" s="324">
        <f t="shared" si="7"/>
        <v>0</v>
      </c>
      <c r="S76" s="324">
        <v>1085.5</v>
      </c>
      <c r="T76" s="324">
        <v>0</v>
      </c>
      <c r="U76" s="324">
        <f t="shared" si="8"/>
        <v>1085.5</v>
      </c>
      <c r="V76" s="324">
        <v>0</v>
      </c>
      <c r="W76" s="324">
        <v>0</v>
      </c>
      <c r="X76" s="324">
        <f t="shared" si="9"/>
        <v>1085.5</v>
      </c>
      <c r="Y76" s="249" t="b">
        <f t="shared" si="10"/>
        <v>1</v>
      </c>
    </row>
    <row r="77" spans="1:25" s="8" customFormat="1" ht="12.75">
      <c r="A77" s="16">
        <v>63</v>
      </c>
      <c r="B77" t="s">
        <v>147</v>
      </c>
      <c r="C77" t="s">
        <v>788</v>
      </c>
      <c r="D77" s="18"/>
      <c r="E77" s="324">
        <v>537.78999999999996</v>
      </c>
      <c r="F77" s="324">
        <v>0</v>
      </c>
      <c r="G77" s="324">
        <v>0</v>
      </c>
      <c r="H77" s="324">
        <f t="shared" si="4"/>
        <v>537.78999999999996</v>
      </c>
      <c r="I77" s="324">
        <v>0</v>
      </c>
      <c r="J77" s="324">
        <f t="shared" si="5"/>
        <v>537.78999999999996</v>
      </c>
      <c r="K77" s="159">
        <v>1</v>
      </c>
      <c r="L77" s="324">
        <f t="shared" si="6"/>
        <v>537.78999999999996</v>
      </c>
      <c r="M77" s="324"/>
      <c r="N77" s="324"/>
      <c r="O77" s="324">
        <v>0</v>
      </c>
      <c r="P77" s="324">
        <v>0</v>
      </c>
      <c r="Q77" s="324">
        <v>0</v>
      </c>
      <c r="R77" s="324">
        <f t="shared" si="7"/>
        <v>0</v>
      </c>
      <c r="S77" s="324">
        <v>537.78999999999996</v>
      </c>
      <c r="T77" s="324">
        <v>0</v>
      </c>
      <c r="U77" s="324">
        <f t="shared" si="8"/>
        <v>537.78999999999996</v>
      </c>
      <c r="V77" s="324">
        <v>0</v>
      </c>
      <c r="W77" s="324">
        <v>0</v>
      </c>
      <c r="X77" s="324">
        <f t="shared" si="9"/>
        <v>537.78999999999996</v>
      </c>
      <c r="Y77" s="249" t="b">
        <f t="shared" si="10"/>
        <v>1</v>
      </c>
    </row>
    <row r="78" spans="1:25" s="8" customFormat="1" ht="12.75">
      <c r="A78" s="16">
        <v>64</v>
      </c>
      <c r="B78" t="s">
        <v>254</v>
      </c>
      <c r="C78" t="s">
        <v>581</v>
      </c>
      <c r="D78" s="18"/>
      <c r="E78" s="324">
        <v>3.2000000000000002</v>
      </c>
      <c r="F78" s="324">
        <v>0</v>
      </c>
      <c r="G78" s="324">
        <v>0</v>
      </c>
      <c r="H78" s="324">
        <f t="shared" si="4"/>
        <v>3.2000000000000002</v>
      </c>
      <c r="I78" s="324">
        <v>0</v>
      </c>
      <c r="J78" s="324">
        <f t="shared" si="5"/>
        <v>3.2000000000000002</v>
      </c>
      <c r="K78" s="159">
        <v>1</v>
      </c>
      <c r="L78" s="324">
        <f t="shared" si="6"/>
        <v>3.2000000000000002</v>
      </c>
      <c r="M78" s="324"/>
      <c r="N78" s="324"/>
      <c r="O78" s="324">
        <v>0</v>
      </c>
      <c r="P78" s="324">
        <v>0</v>
      </c>
      <c r="Q78" s="324">
        <v>0</v>
      </c>
      <c r="R78" s="324">
        <f t="shared" si="7"/>
        <v>0</v>
      </c>
      <c r="S78" s="324">
        <v>3.2000000000000002</v>
      </c>
      <c r="T78" s="324">
        <v>0</v>
      </c>
      <c r="U78" s="324">
        <f t="shared" si="8"/>
        <v>3.2000000000000002</v>
      </c>
      <c r="V78" s="324">
        <v>0</v>
      </c>
      <c r="W78" s="324">
        <v>0</v>
      </c>
      <c r="X78" s="324">
        <f t="shared" si="9"/>
        <v>3.2000000000000002</v>
      </c>
      <c r="Y78" s="249" t="b">
        <f t="shared" si="10"/>
        <v>1</v>
      </c>
    </row>
    <row r="79" spans="1:25" s="8" customFormat="1" ht="12.75">
      <c r="A79" s="16">
        <v>65</v>
      </c>
      <c r="B79" t="s">
        <v>331</v>
      </c>
      <c r="C79" t="s">
        <v>983</v>
      </c>
      <c r="D79" s="18"/>
      <c r="E79" s="324">
        <v>79</v>
      </c>
      <c r="F79" s="324">
        <v>0</v>
      </c>
      <c r="G79" s="324">
        <v>0</v>
      </c>
      <c r="H79" s="324">
        <f t="shared" si="11" ref="H79:H136">+E79+F79+G79</f>
        <v>79</v>
      </c>
      <c r="I79" s="324">
        <v>0</v>
      </c>
      <c r="J79" s="324">
        <f t="shared" si="12" ref="J79:J136">+H79+I79</f>
        <v>79</v>
      </c>
      <c r="K79" s="159">
        <v>1</v>
      </c>
      <c r="L79" s="324">
        <f t="shared" si="13" ref="L79:L136">+J79*K79</f>
        <v>79</v>
      </c>
      <c r="M79" s="324"/>
      <c r="N79" s="324"/>
      <c r="O79" s="324">
        <v>0</v>
      </c>
      <c r="P79" s="324">
        <v>0</v>
      </c>
      <c r="Q79" s="324">
        <v>0</v>
      </c>
      <c r="R79" s="324">
        <f t="shared" si="14" ref="R79:R136">SUM(O79:Q79)</f>
        <v>0</v>
      </c>
      <c r="S79" s="324">
        <v>0</v>
      </c>
      <c r="T79" s="324">
        <v>0</v>
      </c>
      <c r="U79" s="324">
        <f t="shared" si="15" ref="U79:U136">SUM(S79:T79)</f>
        <v>0</v>
      </c>
      <c r="V79" s="324">
        <v>0</v>
      </c>
      <c r="W79" s="324">
        <v>79</v>
      </c>
      <c r="X79" s="324">
        <f t="shared" si="16" ref="X79:X136">+R79+U79+V79+W79</f>
        <v>79</v>
      </c>
      <c r="Y79" s="249" t="b">
        <f t="shared" si="17" ref="Y79:Y136">+X79=L79</f>
        <v>1</v>
      </c>
    </row>
    <row r="80" spans="1:25" s="8" customFormat="1" ht="12.75">
      <c r="A80" s="16">
        <v>66</v>
      </c>
      <c r="B80" t="s">
        <v>272</v>
      </c>
      <c r="C80" t="s">
        <v>984</v>
      </c>
      <c r="D80" s="18"/>
      <c r="E80" s="324">
        <v>125</v>
      </c>
      <c r="F80" s="324">
        <v>0</v>
      </c>
      <c r="G80" s="324">
        <v>0</v>
      </c>
      <c r="H80" s="324">
        <f t="shared" si="11"/>
        <v>125</v>
      </c>
      <c r="I80" s="324">
        <v>0</v>
      </c>
      <c r="J80" s="324">
        <f t="shared" si="12"/>
        <v>125</v>
      </c>
      <c r="K80" s="159">
        <v>1</v>
      </c>
      <c r="L80" s="324">
        <f t="shared" si="13"/>
        <v>125</v>
      </c>
      <c r="M80" s="324"/>
      <c r="N80" s="324"/>
      <c r="O80" s="324">
        <v>27.530000000000001</v>
      </c>
      <c r="P80" s="324">
        <v>0</v>
      </c>
      <c r="Q80" s="324">
        <v>0</v>
      </c>
      <c r="R80" s="324">
        <f t="shared" si="14"/>
        <v>27.530000000000001</v>
      </c>
      <c r="S80" s="324">
        <v>75.939999999999998</v>
      </c>
      <c r="T80" s="324">
        <v>0</v>
      </c>
      <c r="U80" s="324">
        <f t="shared" si="15"/>
        <v>75.939999999999998</v>
      </c>
      <c r="V80" s="324">
        <v>20.699999999999999</v>
      </c>
      <c r="W80" s="324">
        <v>0.82999999999999996</v>
      </c>
      <c r="X80" s="324">
        <f t="shared" si="16"/>
        <v>125</v>
      </c>
      <c r="Y80" s="249" t="b">
        <f t="shared" si="17"/>
        <v>1</v>
      </c>
    </row>
    <row r="81" spans="1:25" s="8" customFormat="1" ht="12.75">
      <c r="A81" s="16">
        <v>67</v>
      </c>
      <c r="B81" t="s">
        <v>272</v>
      </c>
      <c r="C81" t="s">
        <v>926</v>
      </c>
      <c r="D81" s="18"/>
      <c r="E81" s="324">
        <v>450</v>
      </c>
      <c r="F81" s="324">
        <v>0</v>
      </c>
      <c r="G81" s="324">
        <v>0</v>
      </c>
      <c r="H81" s="324">
        <f t="shared" si="11"/>
        <v>450</v>
      </c>
      <c r="I81" s="324">
        <v>0</v>
      </c>
      <c r="J81" s="324">
        <f t="shared" si="12"/>
        <v>450</v>
      </c>
      <c r="K81" s="159">
        <v>1</v>
      </c>
      <c r="L81" s="324">
        <f t="shared" si="13"/>
        <v>450</v>
      </c>
      <c r="M81" s="324"/>
      <c r="N81" s="324"/>
      <c r="O81" s="324">
        <v>99.090000000000003</v>
      </c>
      <c r="P81" s="324">
        <v>0</v>
      </c>
      <c r="Q81" s="324">
        <v>0</v>
      </c>
      <c r="R81" s="324">
        <f t="shared" si="14"/>
        <v>99.090000000000003</v>
      </c>
      <c r="S81" s="324">
        <v>273.38</v>
      </c>
      <c r="T81" s="324">
        <v>0</v>
      </c>
      <c r="U81" s="324">
        <f t="shared" si="15"/>
        <v>273.38</v>
      </c>
      <c r="V81" s="324">
        <v>74.519999999999996</v>
      </c>
      <c r="W81" s="324">
        <v>3.0099999999999998</v>
      </c>
      <c r="X81" s="324">
        <f t="shared" si="16"/>
        <v>450</v>
      </c>
      <c r="Y81" s="249" t="b">
        <f t="shared" si="17"/>
        <v>1</v>
      </c>
    </row>
    <row r="82" spans="1:25" s="8" customFormat="1" ht="12.75">
      <c r="A82" s="16">
        <v>68</v>
      </c>
      <c r="B82" t="s">
        <v>272</v>
      </c>
      <c r="C82" t="s">
        <v>964</v>
      </c>
      <c r="D82" s="18"/>
      <c r="E82" s="324">
        <v>157.5</v>
      </c>
      <c r="F82" s="324">
        <v>0</v>
      </c>
      <c r="G82" s="324">
        <v>0</v>
      </c>
      <c r="H82" s="324">
        <f t="shared" si="11"/>
        <v>157.5</v>
      </c>
      <c r="I82" s="324">
        <v>0</v>
      </c>
      <c r="J82" s="324">
        <f t="shared" si="12"/>
        <v>157.5</v>
      </c>
      <c r="K82" s="159">
        <v>1</v>
      </c>
      <c r="L82" s="324">
        <f t="shared" si="13"/>
        <v>157.5</v>
      </c>
      <c r="M82" s="324"/>
      <c r="N82" s="324"/>
      <c r="O82" s="324">
        <v>34.68</v>
      </c>
      <c r="P82" s="324">
        <v>0</v>
      </c>
      <c r="Q82" s="324">
        <v>0</v>
      </c>
      <c r="R82" s="324">
        <f t="shared" si="14"/>
        <v>34.68</v>
      </c>
      <c r="S82" s="324">
        <v>95.680000000000007</v>
      </c>
      <c r="T82" s="324">
        <v>0</v>
      </c>
      <c r="U82" s="324">
        <f t="shared" si="15"/>
        <v>95.680000000000007</v>
      </c>
      <c r="V82" s="324">
        <v>26.079999999999998</v>
      </c>
      <c r="W82" s="324">
        <v>1.0600000000000001</v>
      </c>
      <c r="X82" s="324">
        <f t="shared" si="16"/>
        <v>157.5</v>
      </c>
      <c r="Y82" s="249" t="b">
        <f t="shared" si="17"/>
        <v>1</v>
      </c>
    </row>
    <row r="83" spans="1:25" s="8" customFormat="1" ht="12.75">
      <c r="A83" s="16">
        <v>69</v>
      </c>
      <c r="B83" t="s">
        <v>272</v>
      </c>
      <c r="C83" t="s">
        <v>927</v>
      </c>
      <c r="D83" s="18"/>
      <c r="E83" s="324">
        <v>5000</v>
      </c>
      <c r="F83" s="324">
        <v>0</v>
      </c>
      <c r="G83" s="324">
        <v>0</v>
      </c>
      <c r="H83" s="324">
        <f t="shared" si="11"/>
        <v>5000</v>
      </c>
      <c r="I83" s="324">
        <v>0</v>
      </c>
      <c r="J83" s="324">
        <f t="shared" si="12"/>
        <v>5000</v>
      </c>
      <c r="K83" s="159">
        <v>1</v>
      </c>
      <c r="L83" s="324">
        <f t="shared" si="13"/>
        <v>5000</v>
      </c>
      <c r="M83" s="324"/>
      <c r="N83" s="324"/>
      <c r="O83" s="324">
        <v>1101</v>
      </c>
      <c r="P83" s="324">
        <v>0</v>
      </c>
      <c r="Q83" s="324">
        <v>0</v>
      </c>
      <c r="R83" s="324">
        <f t="shared" si="14"/>
        <v>1101</v>
      </c>
      <c r="S83" s="324">
        <v>3037.5</v>
      </c>
      <c r="T83" s="324">
        <v>0</v>
      </c>
      <c r="U83" s="324">
        <f t="shared" si="15"/>
        <v>3037.5</v>
      </c>
      <c r="V83" s="324">
        <v>828</v>
      </c>
      <c r="W83" s="324">
        <v>33.5</v>
      </c>
      <c r="X83" s="324">
        <f t="shared" si="16"/>
        <v>5000</v>
      </c>
      <c r="Y83" s="249" t="b">
        <f t="shared" si="17"/>
        <v>1</v>
      </c>
    </row>
    <row r="84" spans="1:25" s="8" customFormat="1" ht="12.75">
      <c r="A84" s="16">
        <v>70</v>
      </c>
      <c r="B84" t="s">
        <v>272</v>
      </c>
      <c r="C84" t="s">
        <v>985</v>
      </c>
      <c r="D84" s="18"/>
      <c r="E84" s="324">
        <v>990</v>
      </c>
      <c r="F84" s="324">
        <v>0</v>
      </c>
      <c r="G84" s="324">
        <v>0</v>
      </c>
      <c r="H84" s="324">
        <f t="shared" si="11"/>
        <v>990</v>
      </c>
      <c r="I84" s="324">
        <v>0</v>
      </c>
      <c r="J84" s="324">
        <f t="shared" si="12"/>
        <v>990</v>
      </c>
      <c r="K84" s="159">
        <v>1</v>
      </c>
      <c r="L84" s="324">
        <f t="shared" si="13"/>
        <v>990</v>
      </c>
      <c r="M84" s="324"/>
      <c r="N84" s="324"/>
      <c r="O84" s="324">
        <v>218</v>
      </c>
      <c r="P84" s="324">
        <v>0</v>
      </c>
      <c r="Q84" s="324">
        <v>0</v>
      </c>
      <c r="R84" s="324">
        <f t="shared" si="14"/>
        <v>218</v>
      </c>
      <c r="S84" s="324">
        <v>601.41999999999996</v>
      </c>
      <c r="T84" s="324">
        <v>0</v>
      </c>
      <c r="U84" s="324">
        <f t="shared" si="15"/>
        <v>601.41999999999996</v>
      </c>
      <c r="V84" s="324">
        <v>163.94</v>
      </c>
      <c r="W84" s="324">
        <v>6.6399999999999997</v>
      </c>
      <c r="X84" s="324">
        <f t="shared" si="16"/>
        <v>989.99999999999989</v>
      </c>
      <c r="Y84" s="249" t="b">
        <f t="shared" si="17"/>
        <v>1</v>
      </c>
    </row>
    <row r="85" spans="1:25" s="8" customFormat="1" ht="12.75">
      <c r="A85" s="16">
        <v>71</v>
      </c>
      <c r="B85" t="s">
        <v>272</v>
      </c>
      <c r="C85" t="s">
        <v>986</v>
      </c>
      <c r="D85" s="18"/>
      <c r="E85" s="324">
        <v>605</v>
      </c>
      <c r="F85" s="324">
        <v>0</v>
      </c>
      <c r="G85" s="324">
        <v>0</v>
      </c>
      <c r="H85" s="324">
        <f t="shared" si="11"/>
        <v>605</v>
      </c>
      <c r="I85" s="324">
        <v>0</v>
      </c>
      <c r="J85" s="324">
        <f t="shared" si="12"/>
        <v>605</v>
      </c>
      <c r="K85" s="159">
        <v>1</v>
      </c>
      <c r="L85" s="324">
        <f t="shared" si="13"/>
        <v>605</v>
      </c>
      <c r="M85" s="324"/>
      <c r="N85" s="324"/>
      <c r="O85" s="324">
        <v>133.21000000000001</v>
      </c>
      <c r="P85" s="324">
        <v>0</v>
      </c>
      <c r="Q85" s="324">
        <v>0</v>
      </c>
      <c r="R85" s="324">
        <f t="shared" si="14"/>
        <v>133.21000000000001</v>
      </c>
      <c r="S85" s="324">
        <v>367.54000000000002</v>
      </c>
      <c r="T85" s="324">
        <v>0</v>
      </c>
      <c r="U85" s="324">
        <f t="shared" si="15"/>
        <v>367.54000000000002</v>
      </c>
      <c r="V85" s="324">
        <v>100.19</v>
      </c>
      <c r="W85" s="324">
        <v>4.0599999999999996</v>
      </c>
      <c r="X85" s="324">
        <f t="shared" si="16"/>
        <v>605</v>
      </c>
      <c r="Y85" s="249" t="b">
        <f t="shared" si="17"/>
        <v>1</v>
      </c>
    </row>
    <row r="86" spans="1:25" s="8" customFormat="1" ht="12.75">
      <c r="A86" s="16">
        <v>72</v>
      </c>
      <c r="B86" t="s">
        <v>272</v>
      </c>
      <c r="C86" t="s">
        <v>976</v>
      </c>
      <c r="D86" s="18"/>
      <c r="E86" s="324">
        <v>1370</v>
      </c>
      <c r="F86" s="324">
        <v>0</v>
      </c>
      <c r="G86" s="324">
        <v>0</v>
      </c>
      <c r="H86" s="324">
        <f t="shared" si="11"/>
        <v>1370</v>
      </c>
      <c r="I86" s="324">
        <v>0</v>
      </c>
      <c r="J86" s="324">
        <f t="shared" si="12"/>
        <v>1370</v>
      </c>
      <c r="K86" s="159">
        <v>1</v>
      </c>
      <c r="L86" s="324">
        <f t="shared" si="13"/>
        <v>1370</v>
      </c>
      <c r="M86" s="324"/>
      <c r="N86" s="324"/>
      <c r="O86" s="324">
        <v>236.72</v>
      </c>
      <c r="P86" s="324">
        <v>0</v>
      </c>
      <c r="Q86" s="324">
        <v>0</v>
      </c>
      <c r="R86" s="324">
        <f t="shared" si="14"/>
        <v>236.72</v>
      </c>
      <c r="S86" s="324">
        <v>653.04999999999995</v>
      </c>
      <c r="T86" s="324">
        <v>0</v>
      </c>
      <c r="U86" s="324">
        <f t="shared" si="15"/>
        <v>653.04999999999995</v>
      </c>
      <c r="V86" s="324">
        <v>178.02000000000001</v>
      </c>
      <c r="W86" s="324">
        <v>302.20999999999998</v>
      </c>
      <c r="X86" s="324">
        <f t="shared" si="16"/>
        <v>1370</v>
      </c>
      <c r="Y86" s="249" t="b">
        <f t="shared" si="17"/>
        <v>1</v>
      </c>
    </row>
    <row r="87" spans="1:25" s="8" customFormat="1" ht="12.75">
      <c r="A87" s="16">
        <v>73</v>
      </c>
      <c r="B87" t="s">
        <v>272</v>
      </c>
      <c r="C87" t="s">
        <v>928</v>
      </c>
      <c r="D87" s="18"/>
      <c r="E87" s="324">
        <v>200</v>
      </c>
      <c r="F87" s="324">
        <v>0</v>
      </c>
      <c r="G87" s="324">
        <v>0</v>
      </c>
      <c r="H87" s="324">
        <f t="shared" si="11"/>
        <v>200</v>
      </c>
      <c r="I87" s="324">
        <v>0</v>
      </c>
      <c r="J87" s="324">
        <f t="shared" si="12"/>
        <v>200</v>
      </c>
      <c r="K87" s="159">
        <v>1</v>
      </c>
      <c r="L87" s="324">
        <f t="shared" si="13"/>
        <v>200</v>
      </c>
      <c r="M87" s="324"/>
      <c r="N87" s="324"/>
      <c r="O87" s="324">
        <v>0</v>
      </c>
      <c r="P87" s="324">
        <v>0</v>
      </c>
      <c r="Q87" s="324">
        <v>0</v>
      </c>
      <c r="R87" s="324">
        <f t="shared" si="14"/>
        <v>0</v>
      </c>
      <c r="S87" s="324">
        <v>0</v>
      </c>
      <c r="T87" s="324">
        <v>0</v>
      </c>
      <c r="U87" s="324">
        <f t="shared" si="15"/>
        <v>0</v>
      </c>
      <c r="V87" s="324">
        <v>0</v>
      </c>
      <c r="W87" s="324">
        <v>200</v>
      </c>
      <c r="X87" s="324">
        <f t="shared" si="16"/>
        <v>200</v>
      </c>
      <c r="Y87" s="249" t="b">
        <f t="shared" si="17"/>
        <v>1</v>
      </c>
    </row>
    <row r="88" spans="1:25" s="8" customFormat="1" ht="12.75">
      <c r="A88" s="16">
        <v>74</v>
      </c>
      <c r="B88" t="s">
        <v>272</v>
      </c>
      <c r="C88" t="s">
        <v>929</v>
      </c>
      <c r="D88" s="18"/>
      <c r="E88" s="324">
        <v>375</v>
      </c>
      <c r="F88" s="324">
        <v>0</v>
      </c>
      <c r="G88" s="324">
        <v>0</v>
      </c>
      <c r="H88" s="324">
        <f t="shared" si="11"/>
        <v>375</v>
      </c>
      <c r="I88" s="324">
        <v>0</v>
      </c>
      <c r="J88" s="324">
        <f t="shared" si="12"/>
        <v>375</v>
      </c>
      <c r="K88" s="159">
        <v>1</v>
      </c>
      <c r="L88" s="324">
        <f t="shared" si="13"/>
        <v>375</v>
      </c>
      <c r="M88" s="324"/>
      <c r="N88" s="324"/>
      <c r="O88" s="324">
        <v>82.569999999999993</v>
      </c>
      <c r="P88" s="324">
        <v>0</v>
      </c>
      <c r="Q88" s="324">
        <v>0</v>
      </c>
      <c r="R88" s="324">
        <f t="shared" si="14"/>
        <v>82.569999999999993</v>
      </c>
      <c r="S88" s="324">
        <v>227.81</v>
      </c>
      <c r="T88" s="324">
        <v>0</v>
      </c>
      <c r="U88" s="324">
        <f t="shared" si="15"/>
        <v>227.81</v>
      </c>
      <c r="V88" s="324">
        <v>62.100000000000001</v>
      </c>
      <c r="W88" s="324">
        <v>2.52</v>
      </c>
      <c r="X88" s="324">
        <f t="shared" si="16"/>
        <v>375</v>
      </c>
      <c r="Y88" s="249" t="b">
        <f t="shared" si="17"/>
        <v>1</v>
      </c>
    </row>
    <row r="89" spans="1:25" s="8" customFormat="1" ht="12.75">
      <c r="A89" s="16">
        <v>75</v>
      </c>
      <c r="B89" t="s">
        <v>272</v>
      </c>
      <c r="C89" t="s">
        <v>930</v>
      </c>
      <c r="D89" s="18"/>
      <c r="E89" s="324">
        <v>3000</v>
      </c>
      <c r="F89" s="324">
        <v>0</v>
      </c>
      <c r="G89" s="324">
        <v>0</v>
      </c>
      <c r="H89" s="324">
        <f t="shared" si="11"/>
        <v>3000</v>
      </c>
      <c r="I89" s="324">
        <v>0</v>
      </c>
      <c r="J89" s="324">
        <f t="shared" si="12"/>
        <v>3000</v>
      </c>
      <c r="K89" s="159">
        <v>1</v>
      </c>
      <c r="L89" s="324">
        <f t="shared" si="13"/>
        <v>3000</v>
      </c>
      <c r="M89" s="324"/>
      <c r="N89" s="324"/>
      <c r="O89" s="324">
        <v>660.60000000000002</v>
      </c>
      <c r="P89" s="324">
        <v>0</v>
      </c>
      <c r="Q89" s="324">
        <v>0</v>
      </c>
      <c r="R89" s="324">
        <f t="shared" si="14"/>
        <v>660.60000000000002</v>
      </c>
      <c r="S89" s="324">
        <v>1822.5</v>
      </c>
      <c r="T89" s="324">
        <v>0</v>
      </c>
      <c r="U89" s="324">
        <f t="shared" si="15"/>
        <v>1822.5</v>
      </c>
      <c r="V89" s="324">
        <v>496.80000000000001</v>
      </c>
      <c r="W89" s="324">
        <v>20.100000000000001</v>
      </c>
      <c r="X89" s="324">
        <f t="shared" si="16"/>
        <v>3000</v>
      </c>
      <c r="Y89" s="249" t="b">
        <f t="shared" si="17"/>
        <v>1</v>
      </c>
    </row>
    <row r="90" spans="1:25" s="8" customFormat="1" ht="12.75">
      <c r="A90" s="16">
        <v>76</v>
      </c>
      <c r="B90" t="s">
        <v>272</v>
      </c>
      <c r="C90" t="s">
        <v>450</v>
      </c>
      <c r="D90" s="18"/>
      <c r="E90" s="324">
        <v>7206.25</v>
      </c>
      <c r="F90" s="324">
        <v>0</v>
      </c>
      <c r="G90" s="324">
        <v>0</v>
      </c>
      <c r="H90" s="324">
        <f t="shared" si="11"/>
        <v>7206.25</v>
      </c>
      <c r="I90" s="324">
        <v>0</v>
      </c>
      <c r="J90" s="324">
        <f t="shared" si="12"/>
        <v>7206.25</v>
      </c>
      <c r="K90" s="159">
        <v>1</v>
      </c>
      <c r="L90" s="324">
        <f t="shared" si="13"/>
        <v>7206.25</v>
      </c>
      <c r="M90" s="324"/>
      <c r="N90" s="324"/>
      <c r="O90" s="324">
        <v>1586.8199999999999</v>
      </c>
      <c r="P90" s="324">
        <v>0</v>
      </c>
      <c r="Q90" s="324">
        <v>0</v>
      </c>
      <c r="R90" s="324">
        <f t="shared" si="14"/>
        <v>1586.8199999999999</v>
      </c>
      <c r="S90" s="324">
        <v>4377.8000000000002</v>
      </c>
      <c r="T90" s="324">
        <v>0</v>
      </c>
      <c r="U90" s="324">
        <f t="shared" si="15"/>
        <v>4377.8000000000002</v>
      </c>
      <c r="V90" s="324">
        <v>1193.3599999999999</v>
      </c>
      <c r="W90" s="324">
        <v>48.270000000000003</v>
      </c>
      <c r="X90" s="324">
        <f t="shared" si="16"/>
        <v>7206.25</v>
      </c>
      <c r="Y90" s="249" t="b">
        <f t="shared" si="17"/>
        <v>1</v>
      </c>
    </row>
    <row r="91" spans="1:25" s="8" customFormat="1" ht="12.75">
      <c r="A91" s="16">
        <v>77</v>
      </c>
      <c r="B91" t="s">
        <v>272</v>
      </c>
      <c r="C91" t="s">
        <v>987</v>
      </c>
      <c r="D91" s="18"/>
      <c r="E91" s="324">
        <v>750</v>
      </c>
      <c r="F91" s="324">
        <v>0</v>
      </c>
      <c r="G91" s="324">
        <v>0</v>
      </c>
      <c r="H91" s="324">
        <f t="shared" si="11"/>
        <v>750</v>
      </c>
      <c r="I91" s="324">
        <v>0</v>
      </c>
      <c r="J91" s="324">
        <f t="shared" si="12"/>
        <v>750</v>
      </c>
      <c r="K91" s="159">
        <v>1</v>
      </c>
      <c r="L91" s="324">
        <f t="shared" si="13"/>
        <v>750</v>
      </c>
      <c r="M91" s="324"/>
      <c r="N91" s="324"/>
      <c r="O91" s="324">
        <v>0</v>
      </c>
      <c r="P91" s="324">
        <v>0</v>
      </c>
      <c r="Q91" s="324">
        <v>0</v>
      </c>
      <c r="R91" s="324">
        <f t="shared" si="14"/>
        <v>0</v>
      </c>
      <c r="S91" s="324">
        <v>750</v>
      </c>
      <c r="T91" s="324">
        <v>0</v>
      </c>
      <c r="U91" s="324">
        <f t="shared" si="15"/>
        <v>750</v>
      </c>
      <c r="V91" s="324">
        <v>0</v>
      </c>
      <c r="W91" s="324">
        <v>0</v>
      </c>
      <c r="X91" s="324">
        <f t="shared" si="16"/>
        <v>750</v>
      </c>
      <c r="Y91" s="249" t="b">
        <f t="shared" si="17"/>
        <v>1</v>
      </c>
    </row>
    <row r="92" spans="1:25" s="8" customFormat="1" ht="12.75">
      <c r="A92" s="16">
        <v>78</v>
      </c>
      <c r="B92" t="s">
        <v>272</v>
      </c>
      <c r="C92" t="s">
        <v>965</v>
      </c>
      <c r="D92" s="18"/>
      <c r="E92" s="324">
        <v>450</v>
      </c>
      <c r="F92" s="324">
        <v>0</v>
      </c>
      <c r="G92" s="324">
        <v>0</v>
      </c>
      <c r="H92" s="324">
        <f t="shared" si="11"/>
        <v>450</v>
      </c>
      <c r="I92" s="324">
        <v>0</v>
      </c>
      <c r="J92" s="324">
        <f t="shared" si="12"/>
        <v>450</v>
      </c>
      <c r="K92" s="159">
        <v>1</v>
      </c>
      <c r="L92" s="324">
        <f t="shared" si="13"/>
        <v>450</v>
      </c>
      <c r="M92" s="324"/>
      <c r="N92" s="324"/>
      <c r="O92" s="324">
        <v>0</v>
      </c>
      <c r="P92" s="324">
        <v>0</v>
      </c>
      <c r="Q92" s="324">
        <v>0</v>
      </c>
      <c r="R92" s="324">
        <f t="shared" si="14"/>
        <v>0</v>
      </c>
      <c r="S92" s="324">
        <v>0</v>
      </c>
      <c r="T92" s="324">
        <v>0</v>
      </c>
      <c r="U92" s="324">
        <f t="shared" si="15"/>
        <v>0</v>
      </c>
      <c r="V92" s="324">
        <v>0</v>
      </c>
      <c r="W92" s="324">
        <v>450</v>
      </c>
      <c r="X92" s="324">
        <f t="shared" si="16"/>
        <v>450</v>
      </c>
      <c r="Y92" s="249" t="b">
        <f t="shared" si="17"/>
        <v>1</v>
      </c>
    </row>
    <row r="93" spans="1:25" s="8" customFormat="1" ht="12.75">
      <c r="A93" s="16">
        <v>79</v>
      </c>
      <c r="B93" t="s">
        <v>272</v>
      </c>
      <c r="C93" t="s">
        <v>988</v>
      </c>
      <c r="D93" s="18"/>
      <c r="E93" s="324">
        <v>100</v>
      </c>
      <c r="F93" s="324">
        <v>0</v>
      </c>
      <c r="G93" s="324">
        <v>0</v>
      </c>
      <c r="H93" s="324">
        <f t="shared" si="11"/>
        <v>100</v>
      </c>
      <c r="I93" s="324">
        <v>0</v>
      </c>
      <c r="J93" s="324">
        <f t="shared" si="12"/>
        <v>100</v>
      </c>
      <c r="K93" s="159">
        <v>1</v>
      </c>
      <c r="L93" s="324">
        <f t="shared" si="13"/>
        <v>100</v>
      </c>
      <c r="M93" s="324"/>
      <c r="N93" s="324"/>
      <c r="O93" s="324">
        <v>22.02</v>
      </c>
      <c r="P93" s="324">
        <v>0</v>
      </c>
      <c r="Q93" s="324">
        <v>0</v>
      </c>
      <c r="R93" s="324">
        <f t="shared" si="14"/>
        <v>22.02</v>
      </c>
      <c r="S93" s="324">
        <v>60.759999999999998</v>
      </c>
      <c r="T93" s="324">
        <v>0</v>
      </c>
      <c r="U93" s="324">
        <f t="shared" si="15"/>
        <v>60.759999999999998</v>
      </c>
      <c r="V93" s="324">
        <v>16.559999999999999</v>
      </c>
      <c r="W93" s="324">
        <v>0.66000000000000003</v>
      </c>
      <c r="X93" s="324">
        <f t="shared" si="16"/>
        <v>100</v>
      </c>
      <c r="Y93" s="249" t="b">
        <f t="shared" si="17"/>
        <v>1</v>
      </c>
    </row>
    <row r="94" spans="1:25" s="8" customFormat="1" ht="12.75">
      <c r="A94" s="16">
        <v>80</v>
      </c>
      <c r="B94" t="s">
        <v>272</v>
      </c>
      <c r="C94" t="s">
        <v>579</v>
      </c>
      <c r="D94" s="18"/>
      <c r="E94" s="324">
        <v>1880</v>
      </c>
      <c r="F94" s="324">
        <v>0</v>
      </c>
      <c r="G94" s="324">
        <v>0</v>
      </c>
      <c r="H94" s="324">
        <f t="shared" si="11"/>
        <v>1880</v>
      </c>
      <c r="I94" s="324">
        <v>0</v>
      </c>
      <c r="J94" s="324">
        <f t="shared" si="12"/>
        <v>1880</v>
      </c>
      <c r="K94" s="159">
        <v>1</v>
      </c>
      <c r="L94" s="324">
        <f t="shared" si="13"/>
        <v>1880</v>
      </c>
      <c r="M94" s="324"/>
      <c r="N94" s="324"/>
      <c r="O94" s="324">
        <v>413.98000000000002</v>
      </c>
      <c r="P94" s="324">
        <v>0</v>
      </c>
      <c r="Q94" s="324">
        <v>0</v>
      </c>
      <c r="R94" s="324">
        <f t="shared" si="14"/>
        <v>413.98000000000002</v>
      </c>
      <c r="S94" s="324">
        <v>1142.0999999999999</v>
      </c>
      <c r="T94" s="324">
        <v>0</v>
      </c>
      <c r="U94" s="324">
        <f t="shared" si="15"/>
        <v>1142.0999999999999</v>
      </c>
      <c r="V94" s="324">
        <v>311.32999999999998</v>
      </c>
      <c r="W94" s="324">
        <v>12.59</v>
      </c>
      <c r="X94" s="324">
        <f t="shared" si="16"/>
        <v>1879.9999999999998</v>
      </c>
      <c r="Y94" s="249" t="b">
        <f t="shared" si="17"/>
        <v>1</v>
      </c>
    </row>
    <row r="95" spans="1:25" s="8" customFormat="1" ht="12.75">
      <c r="A95" s="16">
        <v>81</v>
      </c>
      <c r="B95" t="s">
        <v>272</v>
      </c>
      <c r="C95" t="s">
        <v>989</v>
      </c>
      <c r="D95" s="18"/>
      <c r="E95" s="324">
        <v>200</v>
      </c>
      <c r="F95" s="324">
        <v>0</v>
      </c>
      <c r="G95" s="324">
        <v>0</v>
      </c>
      <c r="H95" s="324">
        <f t="shared" si="11"/>
        <v>200</v>
      </c>
      <c r="I95" s="324">
        <v>0</v>
      </c>
      <c r="J95" s="324">
        <f t="shared" si="12"/>
        <v>200</v>
      </c>
      <c r="K95" s="159">
        <v>1</v>
      </c>
      <c r="L95" s="324">
        <f t="shared" si="13"/>
        <v>200</v>
      </c>
      <c r="M95" s="324"/>
      <c r="N95" s="324"/>
      <c r="O95" s="324">
        <v>44.039999999999999</v>
      </c>
      <c r="P95" s="324">
        <v>0</v>
      </c>
      <c r="Q95" s="324">
        <v>0</v>
      </c>
      <c r="R95" s="324">
        <f t="shared" si="14"/>
        <v>44.039999999999999</v>
      </c>
      <c r="S95" s="324">
        <v>121.5</v>
      </c>
      <c r="T95" s="324">
        <v>0</v>
      </c>
      <c r="U95" s="324">
        <f t="shared" si="15"/>
        <v>121.5</v>
      </c>
      <c r="V95" s="324">
        <v>33.119999999999997</v>
      </c>
      <c r="W95" s="324">
        <v>1.3400000000000001</v>
      </c>
      <c r="X95" s="324">
        <f t="shared" si="16"/>
        <v>200</v>
      </c>
      <c r="Y95" s="249" t="b">
        <f t="shared" si="17"/>
        <v>1</v>
      </c>
    </row>
    <row r="96" spans="1:25" s="8" customFormat="1" ht="12.75">
      <c r="A96" s="16">
        <v>82</v>
      </c>
      <c r="B96" t="s">
        <v>272</v>
      </c>
      <c r="C96" t="s">
        <v>990</v>
      </c>
      <c r="D96" s="18"/>
      <c r="E96" s="324">
        <v>995</v>
      </c>
      <c r="F96" s="324">
        <v>0</v>
      </c>
      <c r="G96" s="324">
        <v>0</v>
      </c>
      <c r="H96" s="324">
        <f t="shared" si="11"/>
        <v>995</v>
      </c>
      <c r="I96" s="324">
        <v>0</v>
      </c>
      <c r="J96" s="324">
        <f t="shared" si="12"/>
        <v>995</v>
      </c>
      <c r="K96" s="159">
        <v>1</v>
      </c>
      <c r="L96" s="324">
        <f t="shared" si="13"/>
        <v>995</v>
      </c>
      <c r="M96" s="324"/>
      <c r="N96" s="324"/>
      <c r="O96" s="324">
        <v>219.09999999999999</v>
      </c>
      <c r="P96" s="324">
        <v>0</v>
      </c>
      <c r="Q96" s="324">
        <v>0</v>
      </c>
      <c r="R96" s="324">
        <f t="shared" si="14"/>
        <v>219.09999999999999</v>
      </c>
      <c r="S96" s="324">
        <v>604.46000000000004</v>
      </c>
      <c r="T96" s="324">
        <v>0</v>
      </c>
      <c r="U96" s="324">
        <f t="shared" si="15"/>
        <v>604.46000000000004</v>
      </c>
      <c r="V96" s="324">
        <v>164.77000000000001</v>
      </c>
      <c r="W96" s="324">
        <v>6.6699999999999999</v>
      </c>
      <c r="X96" s="324">
        <f t="shared" si="16"/>
        <v>995</v>
      </c>
      <c r="Y96" s="249" t="b">
        <f t="shared" si="17"/>
        <v>1</v>
      </c>
    </row>
    <row r="97" spans="1:25" s="8" customFormat="1" ht="12.75">
      <c r="A97" s="16">
        <v>83</v>
      </c>
      <c r="B97" t="s">
        <v>272</v>
      </c>
      <c r="C97" t="s">
        <v>991</v>
      </c>
      <c r="D97" s="18"/>
      <c r="E97" s="324">
        <v>150</v>
      </c>
      <c r="F97" s="324">
        <v>0</v>
      </c>
      <c r="G97" s="324">
        <v>0</v>
      </c>
      <c r="H97" s="324">
        <f t="shared" si="11"/>
        <v>150</v>
      </c>
      <c r="I97" s="324">
        <v>0</v>
      </c>
      <c r="J97" s="324">
        <f t="shared" si="12"/>
        <v>150</v>
      </c>
      <c r="K97" s="159">
        <v>1</v>
      </c>
      <c r="L97" s="324">
        <f t="shared" si="13"/>
        <v>150</v>
      </c>
      <c r="M97" s="324"/>
      <c r="N97" s="324"/>
      <c r="O97" s="324">
        <v>33.030000000000001</v>
      </c>
      <c r="P97" s="324">
        <v>0</v>
      </c>
      <c r="Q97" s="324">
        <v>0</v>
      </c>
      <c r="R97" s="324">
        <f t="shared" si="14"/>
        <v>33.030000000000001</v>
      </c>
      <c r="S97" s="324">
        <v>91.120000000000005</v>
      </c>
      <c r="T97" s="324">
        <v>0</v>
      </c>
      <c r="U97" s="324">
        <f t="shared" si="15"/>
        <v>91.120000000000005</v>
      </c>
      <c r="V97" s="324">
        <v>24.84</v>
      </c>
      <c r="W97" s="324">
        <v>1.01</v>
      </c>
      <c r="X97" s="324">
        <f t="shared" si="16"/>
        <v>150</v>
      </c>
      <c r="Y97" s="249" t="b">
        <f t="shared" si="17"/>
        <v>1</v>
      </c>
    </row>
    <row r="98" spans="1:25" s="8" customFormat="1" ht="12.75">
      <c r="A98" s="16">
        <v>84</v>
      </c>
      <c r="B98" t="s">
        <v>272</v>
      </c>
      <c r="C98" t="s">
        <v>789</v>
      </c>
      <c r="D98" s="18"/>
      <c r="E98" s="324">
        <v>595.96000000000004</v>
      </c>
      <c r="F98" s="324">
        <v>0</v>
      </c>
      <c r="G98" s="324">
        <v>0</v>
      </c>
      <c r="H98" s="324">
        <f t="shared" si="11"/>
        <v>595.96000000000004</v>
      </c>
      <c r="I98" s="324">
        <v>0</v>
      </c>
      <c r="J98" s="324">
        <f t="shared" si="12"/>
        <v>595.96000000000004</v>
      </c>
      <c r="K98" s="159">
        <v>1</v>
      </c>
      <c r="L98" s="324">
        <f t="shared" si="13"/>
        <v>595.96000000000004</v>
      </c>
      <c r="M98" s="324"/>
      <c r="N98" s="324"/>
      <c r="O98" s="324">
        <v>131.22999999999999</v>
      </c>
      <c r="P98" s="324">
        <v>0</v>
      </c>
      <c r="Q98" s="324">
        <v>0</v>
      </c>
      <c r="R98" s="324">
        <f t="shared" si="14"/>
        <v>131.22999999999999</v>
      </c>
      <c r="S98" s="324">
        <v>362.05000000000001</v>
      </c>
      <c r="T98" s="324">
        <v>0</v>
      </c>
      <c r="U98" s="324">
        <f t="shared" si="15"/>
        <v>362.05000000000001</v>
      </c>
      <c r="V98" s="324">
        <v>98.689999999999998</v>
      </c>
      <c r="W98" s="324">
        <v>3.9900000000000002</v>
      </c>
      <c r="X98" s="324">
        <f t="shared" si="16"/>
        <v>595.96000000000004</v>
      </c>
      <c r="Y98" s="249" t="b">
        <f t="shared" si="17"/>
        <v>1</v>
      </c>
    </row>
    <row r="99" spans="1:25" s="8" customFormat="1" ht="12.75">
      <c r="A99" s="16">
        <v>85</v>
      </c>
      <c r="B99" t="s">
        <v>272</v>
      </c>
      <c r="C99" t="s">
        <v>992</v>
      </c>
      <c r="D99" s="18"/>
      <c r="E99" s="324">
        <v>295</v>
      </c>
      <c r="F99" s="324">
        <v>0</v>
      </c>
      <c r="G99" s="324">
        <v>0</v>
      </c>
      <c r="H99" s="324">
        <f t="shared" si="11"/>
        <v>295</v>
      </c>
      <c r="I99" s="324">
        <v>0</v>
      </c>
      <c r="J99" s="324">
        <f t="shared" si="12"/>
        <v>295</v>
      </c>
      <c r="K99" s="159">
        <v>1</v>
      </c>
      <c r="L99" s="324">
        <f t="shared" si="13"/>
        <v>295</v>
      </c>
      <c r="M99" s="324"/>
      <c r="N99" s="324"/>
      <c r="O99" s="324">
        <v>64.959999999999994</v>
      </c>
      <c r="P99" s="324">
        <v>0</v>
      </c>
      <c r="Q99" s="324">
        <v>0</v>
      </c>
      <c r="R99" s="324">
        <f t="shared" si="14"/>
        <v>64.959999999999994</v>
      </c>
      <c r="S99" s="324">
        <v>179.21000000000001</v>
      </c>
      <c r="T99" s="324">
        <v>0</v>
      </c>
      <c r="U99" s="324">
        <f t="shared" si="15"/>
        <v>179.21000000000001</v>
      </c>
      <c r="V99" s="324">
        <v>48.850000000000001</v>
      </c>
      <c r="W99" s="324">
        <v>1.98</v>
      </c>
      <c r="X99" s="324">
        <f t="shared" si="16"/>
        <v>295.00000000000006</v>
      </c>
      <c r="Y99" s="249" t="b">
        <f t="shared" si="17"/>
        <v>1</v>
      </c>
    </row>
    <row r="100" spans="1:25" s="8" customFormat="1" ht="12.75">
      <c r="A100" s="16">
        <v>86</v>
      </c>
      <c r="B100" t="s">
        <v>272</v>
      </c>
      <c r="C100" t="s">
        <v>968</v>
      </c>
      <c r="D100" s="18"/>
      <c r="E100" s="324">
        <v>535</v>
      </c>
      <c r="F100" s="324">
        <v>0</v>
      </c>
      <c r="G100" s="324">
        <v>0</v>
      </c>
      <c r="H100" s="324">
        <f t="shared" si="11"/>
        <v>535</v>
      </c>
      <c r="I100" s="324">
        <v>0</v>
      </c>
      <c r="J100" s="324">
        <f t="shared" si="12"/>
        <v>535</v>
      </c>
      <c r="K100" s="159">
        <v>1</v>
      </c>
      <c r="L100" s="324">
        <f t="shared" si="13"/>
        <v>535</v>
      </c>
      <c r="M100" s="324"/>
      <c r="N100" s="324"/>
      <c r="O100" s="324">
        <v>117.8</v>
      </c>
      <c r="P100" s="324">
        <v>0</v>
      </c>
      <c r="Q100" s="324">
        <v>0</v>
      </c>
      <c r="R100" s="324">
        <f t="shared" si="14"/>
        <v>117.8</v>
      </c>
      <c r="S100" s="324">
        <v>325.01999999999998</v>
      </c>
      <c r="T100" s="324">
        <v>0</v>
      </c>
      <c r="U100" s="324">
        <f t="shared" si="15"/>
        <v>325.01999999999998</v>
      </c>
      <c r="V100" s="324">
        <v>88.599999999999994</v>
      </c>
      <c r="W100" s="324">
        <v>3.5800000000000001</v>
      </c>
      <c r="X100" s="324">
        <f t="shared" si="16"/>
        <v>535</v>
      </c>
      <c r="Y100" s="249" t="b">
        <f t="shared" si="17"/>
        <v>1</v>
      </c>
    </row>
    <row r="101" spans="1:25" s="8" customFormat="1" ht="12.75">
      <c r="A101" s="16">
        <v>87</v>
      </c>
      <c r="B101" t="s">
        <v>272</v>
      </c>
      <c r="C101" t="s">
        <v>962</v>
      </c>
      <c r="D101" s="18"/>
      <c r="E101" s="324">
        <v>1211.2000000000001</v>
      </c>
      <c r="F101" s="324">
        <v>0</v>
      </c>
      <c r="G101" s="324">
        <v>0</v>
      </c>
      <c r="H101" s="324">
        <f t="shared" si="11"/>
        <v>1211.2000000000001</v>
      </c>
      <c r="I101" s="324">
        <v>0</v>
      </c>
      <c r="J101" s="324">
        <f t="shared" si="12"/>
        <v>1211.2000000000001</v>
      </c>
      <c r="K101" s="159">
        <v>1</v>
      </c>
      <c r="L101" s="324">
        <f t="shared" si="13"/>
        <v>1211.2000000000001</v>
      </c>
      <c r="M101" s="324"/>
      <c r="N101" s="324"/>
      <c r="O101" s="324">
        <v>274.63999999999999</v>
      </c>
      <c r="P101" s="324">
        <v>0</v>
      </c>
      <c r="Q101" s="324">
        <v>0</v>
      </c>
      <c r="R101" s="324">
        <f t="shared" si="14"/>
        <v>274.63999999999999</v>
      </c>
      <c r="S101" s="324">
        <v>858.86000000000001</v>
      </c>
      <c r="T101" s="324">
        <v>0</v>
      </c>
      <c r="U101" s="324">
        <f t="shared" si="15"/>
        <v>858.86000000000001</v>
      </c>
      <c r="V101" s="324">
        <v>74.689999999999998</v>
      </c>
      <c r="W101" s="324">
        <v>3.0099999999999998</v>
      </c>
      <c r="X101" s="324">
        <f t="shared" si="16"/>
        <v>1211.2000000000001</v>
      </c>
      <c r="Y101" s="249" t="b">
        <f t="shared" si="17"/>
        <v>1</v>
      </c>
    </row>
    <row r="102" spans="1:25" s="8" customFormat="1" ht="12.75">
      <c r="A102" s="16">
        <v>88</v>
      </c>
      <c r="B102" t="s">
        <v>272</v>
      </c>
      <c r="C102" t="s">
        <v>754</v>
      </c>
      <c r="D102" s="18"/>
      <c r="E102" s="324">
        <v>160</v>
      </c>
      <c r="F102" s="324">
        <v>0</v>
      </c>
      <c r="G102" s="324">
        <v>0</v>
      </c>
      <c r="H102" s="324">
        <f t="shared" si="11"/>
        <v>160</v>
      </c>
      <c r="I102" s="324">
        <v>0</v>
      </c>
      <c r="J102" s="324">
        <f t="shared" si="12"/>
        <v>160</v>
      </c>
      <c r="K102" s="159">
        <v>1</v>
      </c>
      <c r="L102" s="324">
        <f t="shared" si="13"/>
        <v>160</v>
      </c>
      <c r="M102" s="324"/>
      <c r="N102" s="324"/>
      <c r="O102" s="324">
        <v>35.229999999999997</v>
      </c>
      <c r="P102" s="324">
        <v>0</v>
      </c>
      <c r="Q102" s="324">
        <v>0</v>
      </c>
      <c r="R102" s="324">
        <f t="shared" si="14"/>
        <v>35.229999999999997</v>
      </c>
      <c r="S102" s="324">
        <v>97.200000000000003</v>
      </c>
      <c r="T102" s="324">
        <v>0</v>
      </c>
      <c r="U102" s="324">
        <f t="shared" si="15"/>
        <v>97.200000000000003</v>
      </c>
      <c r="V102" s="324">
        <v>26.5</v>
      </c>
      <c r="W102" s="324">
        <v>1.0700000000000001</v>
      </c>
      <c r="X102" s="324">
        <f t="shared" si="16"/>
        <v>160</v>
      </c>
      <c r="Y102" s="249" t="b">
        <f t="shared" si="17"/>
        <v>1</v>
      </c>
    </row>
    <row r="103" spans="1:25" s="8" customFormat="1" ht="12.75">
      <c r="A103" s="16">
        <v>89</v>
      </c>
      <c r="B103" t="s">
        <v>272</v>
      </c>
      <c r="C103" t="s">
        <v>993</v>
      </c>
      <c r="D103" s="18"/>
      <c r="E103" s="324">
        <v>325</v>
      </c>
      <c r="F103" s="324">
        <v>0</v>
      </c>
      <c r="G103" s="324">
        <v>0</v>
      </c>
      <c r="H103" s="324">
        <f t="shared" si="11"/>
        <v>325</v>
      </c>
      <c r="I103" s="324">
        <v>0</v>
      </c>
      <c r="J103" s="324">
        <f t="shared" si="12"/>
        <v>325</v>
      </c>
      <c r="K103" s="159">
        <v>1</v>
      </c>
      <c r="L103" s="324">
        <f t="shared" si="13"/>
        <v>325</v>
      </c>
      <c r="M103" s="324"/>
      <c r="N103" s="324"/>
      <c r="O103" s="324">
        <v>71.569999999999993</v>
      </c>
      <c r="P103" s="324">
        <v>0</v>
      </c>
      <c r="Q103" s="324">
        <v>0</v>
      </c>
      <c r="R103" s="324">
        <f t="shared" si="14"/>
        <v>71.569999999999993</v>
      </c>
      <c r="S103" s="324">
        <v>197.44</v>
      </c>
      <c r="T103" s="324">
        <v>0</v>
      </c>
      <c r="U103" s="324">
        <f t="shared" si="15"/>
        <v>197.44</v>
      </c>
      <c r="V103" s="324">
        <v>53.82</v>
      </c>
      <c r="W103" s="324">
        <v>2.1699999999999999</v>
      </c>
      <c r="X103" s="324">
        <f t="shared" si="16"/>
        <v>325</v>
      </c>
      <c r="Y103" s="249" t="b">
        <f t="shared" si="17"/>
        <v>1</v>
      </c>
    </row>
    <row r="104" spans="1:25" s="8" customFormat="1" ht="12.75">
      <c r="A104" s="16">
        <v>90</v>
      </c>
      <c r="B104" t="s">
        <v>272</v>
      </c>
      <c r="C104" t="s">
        <v>994</v>
      </c>
      <c r="D104" s="18"/>
      <c r="E104" s="324">
        <v>250</v>
      </c>
      <c r="F104" s="324">
        <v>0</v>
      </c>
      <c r="G104" s="324">
        <v>0</v>
      </c>
      <c r="H104" s="324">
        <f t="shared" si="11"/>
        <v>250</v>
      </c>
      <c r="I104" s="324">
        <v>0</v>
      </c>
      <c r="J104" s="324">
        <f t="shared" si="12"/>
        <v>250</v>
      </c>
      <c r="K104" s="159">
        <v>1</v>
      </c>
      <c r="L104" s="324">
        <f t="shared" si="13"/>
        <v>250</v>
      </c>
      <c r="M104" s="324"/>
      <c r="N104" s="324"/>
      <c r="O104" s="324">
        <v>55.060000000000002</v>
      </c>
      <c r="P104" s="324">
        <v>0</v>
      </c>
      <c r="Q104" s="324">
        <v>0</v>
      </c>
      <c r="R104" s="324">
        <f t="shared" si="14"/>
        <v>55.060000000000002</v>
      </c>
      <c r="S104" s="324">
        <v>151.88</v>
      </c>
      <c r="T104" s="324">
        <v>0</v>
      </c>
      <c r="U104" s="324">
        <f t="shared" si="15"/>
        <v>151.88</v>
      </c>
      <c r="V104" s="324">
        <v>41.399999999999999</v>
      </c>
      <c r="W104" s="324">
        <v>1.6599999999999999</v>
      </c>
      <c r="X104" s="324">
        <f t="shared" si="16"/>
        <v>250</v>
      </c>
      <c r="Y104" s="249" t="b">
        <f t="shared" si="17"/>
        <v>1</v>
      </c>
    </row>
    <row r="105" spans="1:25" s="8" customFormat="1" ht="12.75">
      <c r="A105" s="16">
        <v>91</v>
      </c>
      <c r="B105" t="s">
        <v>272</v>
      </c>
      <c r="C105" t="s">
        <v>995</v>
      </c>
      <c r="D105" s="18"/>
      <c r="E105" s="324">
        <v>750</v>
      </c>
      <c r="F105" s="324">
        <v>0</v>
      </c>
      <c r="G105" s="324">
        <v>0</v>
      </c>
      <c r="H105" s="324">
        <f t="shared" si="11"/>
        <v>750</v>
      </c>
      <c r="I105" s="324">
        <v>0</v>
      </c>
      <c r="J105" s="324">
        <f t="shared" si="12"/>
        <v>750</v>
      </c>
      <c r="K105" s="159">
        <v>1</v>
      </c>
      <c r="L105" s="324">
        <f t="shared" si="13"/>
        <v>750</v>
      </c>
      <c r="M105" s="324"/>
      <c r="N105" s="324"/>
      <c r="O105" s="324">
        <v>165.15000000000001</v>
      </c>
      <c r="P105" s="324">
        <v>0</v>
      </c>
      <c r="Q105" s="324">
        <v>0</v>
      </c>
      <c r="R105" s="324">
        <f t="shared" si="14"/>
        <v>165.15000000000001</v>
      </c>
      <c r="S105" s="324">
        <v>455.62</v>
      </c>
      <c r="T105" s="324">
        <v>0</v>
      </c>
      <c r="U105" s="324">
        <f t="shared" si="15"/>
        <v>455.62</v>
      </c>
      <c r="V105" s="324">
        <v>124.2</v>
      </c>
      <c r="W105" s="324">
        <v>5.0300000000000002</v>
      </c>
      <c r="X105" s="324">
        <f t="shared" si="16"/>
        <v>750</v>
      </c>
      <c r="Y105" s="249" t="b">
        <f t="shared" si="17"/>
        <v>1</v>
      </c>
    </row>
    <row r="106" spans="1:25" s="8" customFormat="1" ht="12.75">
      <c r="A106" s="16">
        <v>92</v>
      </c>
      <c r="B106" t="s">
        <v>272</v>
      </c>
      <c r="C106" t="s">
        <v>931</v>
      </c>
      <c r="D106" s="18"/>
      <c r="E106" s="324">
        <v>50</v>
      </c>
      <c r="F106" s="324">
        <v>0</v>
      </c>
      <c r="G106" s="324">
        <v>0</v>
      </c>
      <c r="H106" s="324">
        <f t="shared" si="11"/>
        <v>50</v>
      </c>
      <c r="I106" s="324">
        <v>0</v>
      </c>
      <c r="J106" s="324">
        <f t="shared" si="12"/>
        <v>50</v>
      </c>
      <c r="K106" s="159">
        <v>1</v>
      </c>
      <c r="L106" s="324">
        <f t="shared" si="13"/>
        <v>50</v>
      </c>
      <c r="M106" s="324"/>
      <c r="N106" s="324"/>
      <c r="O106" s="324">
        <v>0</v>
      </c>
      <c r="P106" s="324">
        <v>0</v>
      </c>
      <c r="Q106" s="324">
        <v>0</v>
      </c>
      <c r="R106" s="324">
        <f t="shared" si="14"/>
        <v>0</v>
      </c>
      <c r="S106" s="324">
        <v>0</v>
      </c>
      <c r="T106" s="324">
        <v>0</v>
      </c>
      <c r="U106" s="324">
        <f t="shared" si="15"/>
        <v>0</v>
      </c>
      <c r="V106" s="324">
        <v>0</v>
      </c>
      <c r="W106" s="324">
        <v>50</v>
      </c>
      <c r="X106" s="324">
        <f t="shared" si="16"/>
        <v>50</v>
      </c>
      <c r="Y106" s="249" t="b">
        <f t="shared" si="17"/>
        <v>1</v>
      </c>
    </row>
    <row r="107" spans="1:25" s="8" customFormat="1" ht="12.75">
      <c r="A107" s="16">
        <v>93</v>
      </c>
      <c r="B107" t="s">
        <v>272</v>
      </c>
      <c r="C107" t="s">
        <v>932</v>
      </c>
      <c r="D107" s="18"/>
      <c r="E107" s="324">
        <v>225</v>
      </c>
      <c r="F107" s="324">
        <v>0</v>
      </c>
      <c r="G107" s="324">
        <v>0</v>
      </c>
      <c r="H107" s="324">
        <f t="shared" si="11"/>
        <v>225</v>
      </c>
      <c r="I107" s="324">
        <v>0</v>
      </c>
      <c r="J107" s="324">
        <f t="shared" si="12"/>
        <v>225</v>
      </c>
      <c r="K107" s="159">
        <v>1</v>
      </c>
      <c r="L107" s="324">
        <f t="shared" si="13"/>
        <v>225</v>
      </c>
      <c r="M107" s="324"/>
      <c r="N107" s="324"/>
      <c r="O107" s="324">
        <v>49.539999999999999</v>
      </c>
      <c r="P107" s="324">
        <v>0</v>
      </c>
      <c r="Q107" s="324">
        <v>0</v>
      </c>
      <c r="R107" s="324">
        <f t="shared" si="14"/>
        <v>49.539999999999999</v>
      </c>
      <c r="S107" s="324">
        <v>136.68000000000001</v>
      </c>
      <c r="T107" s="324">
        <v>0</v>
      </c>
      <c r="U107" s="324">
        <f t="shared" si="15"/>
        <v>136.68000000000001</v>
      </c>
      <c r="V107" s="324">
        <v>37.259999999999998</v>
      </c>
      <c r="W107" s="324">
        <v>1.52</v>
      </c>
      <c r="X107" s="324">
        <f t="shared" si="16"/>
        <v>225</v>
      </c>
      <c r="Y107" s="249" t="b">
        <f t="shared" si="17"/>
        <v>1</v>
      </c>
    </row>
    <row r="108" spans="1:25" s="8" customFormat="1" ht="12.75">
      <c r="A108" s="16">
        <v>94</v>
      </c>
      <c r="B108" t="s">
        <v>272</v>
      </c>
      <c r="C108" t="s">
        <v>996</v>
      </c>
      <c r="D108" s="18"/>
      <c r="E108" s="324">
        <v>1464</v>
      </c>
      <c r="F108" s="324">
        <v>0</v>
      </c>
      <c r="G108" s="324">
        <v>0</v>
      </c>
      <c r="H108" s="324">
        <f t="shared" si="11"/>
        <v>1464</v>
      </c>
      <c r="I108" s="324">
        <v>0</v>
      </c>
      <c r="J108" s="324">
        <f t="shared" si="12"/>
        <v>1464</v>
      </c>
      <c r="K108" s="159">
        <v>1</v>
      </c>
      <c r="L108" s="324">
        <f t="shared" si="13"/>
        <v>1464</v>
      </c>
      <c r="M108" s="324"/>
      <c r="N108" s="324"/>
      <c r="O108" s="324">
        <v>322.37</v>
      </c>
      <c r="P108" s="324">
        <v>0</v>
      </c>
      <c r="Q108" s="324">
        <v>0</v>
      </c>
      <c r="R108" s="324">
        <f t="shared" si="14"/>
        <v>322.37</v>
      </c>
      <c r="S108" s="324">
        <v>889.38</v>
      </c>
      <c r="T108" s="324">
        <v>0</v>
      </c>
      <c r="U108" s="324">
        <f t="shared" si="15"/>
        <v>889.38</v>
      </c>
      <c r="V108" s="324">
        <v>242.44</v>
      </c>
      <c r="W108" s="324">
        <v>9.8100000000000005</v>
      </c>
      <c r="X108" s="324">
        <f t="shared" si="16"/>
        <v>1464</v>
      </c>
      <c r="Y108" s="249" t="b">
        <f t="shared" si="17"/>
        <v>1</v>
      </c>
    </row>
    <row r="109" spans="1:25" s="8" customFormat="1" ht="12.75">
      <c r="A109" s="16">
        <v>95</v>
      </c>
      <c r="B109" t="s">
        <v>272</v>
      </c>
      <c r="C109" t="s">
        <v>997</v>
      </c>
      <c r="D109" s="18"/>
      <c r="E109" s="324">
        <v>95</v>
      </c>
      <c r="F109" s="324">
        <v>0</v>
      </c>
      <c r="G109" s="324">
        <v>0</v>
      </c>
      <c r="H109" s="324">
        <f t="shared" si="11"/>
        <v>95</v>
      </c>
      <c r="I109" s="324">
        <v>0</v>
      </c>
      <c r="J109" s="324">
        <f t="shared" si="12"/>
        <v>95</v>
      </c>
      <c r="K109" s="159">
        <v>1</v>
      </c>
      <c r="L109" s="324">
        <f t="shared" si="13"/>
        <v>95</v>
      </c>
      <c r="M109" s="324"/>
      <c r="N109" s="324"/>
      <c r="O109" s="324">
        <v>20.920000000000002</v>
      </c>
      <c r="P109" s="324">
        <v>0</v>
      </c>
      <c r="Q109" s="324">
        <v>0</v>
      </c>
      <c r="R109" s="324">
        <f t="shared" si="14"/>
        <v>20.920000000000002</v>
      </c>
      <c r="S109" s="324">
        <v>57.710000000000001</v>
      </c>
      <c r="T109" s="324">
        <v>0</v>
      </c>
      <c r="U109" s="324">
        <f t="shared" si="15"/>
        <v>57.710000000000001</v>
      </c>
      <c r="V109" s="324">
        <v>15.73</v>
      </c>
      <c r="W109" s="324">
        <v>0.64000000000000001</v>
      </c>
      <c r="X109" s="324">
        <f t="shared" si="16"/>
        <v>95</v>
      </c>
      <c r="Y109" s="249" t="b">
        <f t="shared" si="17"/>
        <v>1</v>
      </c>
    </row>
    <row r="110" spans="1:25" s="8" customFormat="1" ht="12.75">
      <c r="A110" s="16">
        <v>96</v>
      </c>
      <c r="B110" t="s">
        <v>272</v>
      </c>
      <c r="C110" t="s">
        <v>963</v>
      </c>
      <c r="D110" s="18"/>
      <c r="E110" s="324">
        <v>897</v>
      </c>
      <c r="F110" s="324">
        <v>0</v>
      </c>
      <c r="G110" s="324">
        <v>0</v>
      </c>
      <c r="H110" s="324">
        <f t="shared" si="11"/>
        <v>897</v>
      </c>
      <c r="I110" s="324">
        <v>0</v>
      </c>
      <c r="J110" s="324">
        <f t="shared" si="12"/>
        <v>897</v>
      </c>
      <c r="K110" s="159">
        <v>1</v>
      </c>
      <c r="L110" s="324">
        <f t="shared" si="13"/>
        <v>897</v>
      </c>
      <c r="M110" s="324"/>
      <c r="N110" s="324"/>
      <c r="O110" s="324">
        <v>131.68000000000001</v>
      </c>
      <c r="P110" s="324">
        <v>0</v>
      </c>
      <c r="Q110" s="324">
        <v>0</v>
      </c>
      <c r="R110" s="324">
        <f t="shared" si="14"/>
        <v>131.68000000000001</v>
      </c>
      <c r="S110" s="324">
        <v>363.27999999999997</v>
      </c>
      <c r="T110" s="324">
        <v>0</v>
      </c>
      <c r="U110" s="324">
        <f t="shared" si="15"/>
        <v>363.27999999999997</v>
      </c>
      <c r="V110" s="324">
        <v>99.040000000000006</v>
      </c>
      <c r="W110" s="324">
        <v>303</v>
      </c>
      <c r="X110" s="324">
        <f t="shared" si="16"/>
        <v>897</v>
      </c>
      <c r="Y110" s="249" t="b">
        <f t="shared" si="17"/>
        <v>1</v>
      </c>
    </row>
    <row r="111" spans="1:25" s="8" customFormat="1" ht="12.75">
      <c r="A111" s="16">
        <v>97</v>
      </c>
      <c r="B111" t="s">
        <v>272</v>
      </c>
      <c r="C111" t="s">
        <v>998</v>
      </c>
      <c r="D111" s="18"/>
      <c r="E111" s="324">
        <v>75</v>
      </c>
      <c r="F111" s="324">
        <v>0</v>
      </c>
      <c r="G111" s="324">
        <v>0</v>
      </c>
      <c r="H111" s="324">
        <f t="shared" si="11"/>
        <v>75</v>
      </c>
      <c r="I111" s="324">
        <v>0</v>
      </c>
      <c r="J111" s="324">
        <f t="shared" si="12"/>
        <v>75</v>
      </c>
      <c r="K111" s="159">
        <v>1</v>
      </c>
      <c r="L111" s="324">
        <f t="shared" si="13"/>
        <v>75</v>
      </c>
      <c r="M111" s="324"/>
      <c r="N111" s="324"/>
      <c r="O111" s="324">
        <v>16.52</v>
      </c>
      <c r="P111" s="324">
        <v>0</v>
      </c>
      <c r="Q111" s="324">
        <v>0</v>
      </c>
      <c r="R111" s="324">
        <f t="shared" si="14"/>
        <v>16.52</v>
      </c>
      <c r="S111" s="324">
        <v>45.560000000000002</v>
      </c>
      <c r="T111" s="324">
        <v>0</v>
      </c>
      <c r="U111" s="324">
        <f t="shared" si="15"/>
        <v>45.560000000000002</v>
      </c>
      <c r="V111" s="324">
        <v>12.42</v>
      </c>
      <c r="W111" s="324">
        <v>0.5</v>
      </c>
      <c r="X111" s="324">
        <f t="shared" si="16"/>
        <v>75</v>
      </c>
      <c r="Y111" s="249" t="b">
        <f t="shared" si="17"/>
        <v>1</v>
      </c>
    </row>
    <row r="112" spans="1:25" s="8" customFormat="1" ht="12.75">
      <c r="A112" s="16">
        <v>98</v>
      </c>
      <c r="B112" t="s">
        <v>272</v>
      </c>
      <c r="C112" t="s">
        <v>933</v>
      </c>
      <c r="D112" s="18"/>
      <c r="E112" s="324">
        <v>75</v>
      </c>
      <c r="F112" s="324">
        <v>0</v>
      </c>
      <c r="G112" s="324">
        <v>0</v>
      </c>
      <c r="H112" s="324">
        <f t="shared" si="11"/>
        <v>75</v>
      </c>
      <c r="I112" s="324">
        <v>0</v>
      </c>
      <c r="J112" s="324">
        <f t="shared" si="12"/>
        <v>75</v>
      </c>
      <c r="K112" s="159">
        <v>1</v>
      </c>
      <c r="L112" s="324">
        <f t="shared" si="13"/>
        <v>75</v>
      </c>
      <c r="M112" s="324"/>
      <c r="N112" s="324"/>
      <c r="O112" s="324">
        <v>16.52</v>
      </c>
      <c r="P112" s="324">
        <v>0</v>
      </c>
      <c r="Q112" s="324">
        <v>0</v>
      </c>
      <c r="R112" s="324">
        <f t="shared" si="14"/>
        <v>16.52</v>
      </c>
      <c r="S112" s="324">
        <v>45.560000000000002</v>
      </c>
      <c r="T112" s="324">
        <v>0</v>
      </c>
      <c r="U112" s="324">
        <f t="shared" si="15"/>
        <v>45.560000000000002</v>
      </c>
      <c r="V112" s="324">
        <v>12.42</v>
      </c>
      <c r="W112" s="324">
        <v>0.5</v>
      </c>
      <c r="X112" s="324">
        <f t="shared" si="16"/>
        <v>75</v>
      </c>
      <c r="Y112" s="249" t="b">
        <f t="shared" si="17"/>
        <v>1</v>
      </c>
    </row>
    <row r="113" spans="1:25" s="8" customFormat="1" ht="12.75">
      <c r="A113" s="16">
        <v>99</v>
      </c>
      <c r="B113" t="s">
        <v>272</v>
      </c>
      <c r="C113" t="s">
        <v>999</v>
      </c>
      <c r="D113" s="18"/>
      <c r="E113" s="324">
        <v>75</v>
      </c>
      <c r="F113" s="324">
        <v>0</v>
      </c>
      <c r="G113" s="324">
        <v>0</v>
      </c>
      <c r="H113" s="324">
        <f t="shared" si="11"/>
        <v>75</v>
      </c>
      <c r="I113" s="324">
        <v>0</v>
      </c>
      <c r="J113" s="324">
        <f t="shared" si="12"/>
        <v>75</v>
      </c>
      <c r="K113" s="159">
        <v>1</v>
      </c>
      <c r="L113" s="324">
        <f t="shared" si="13"/>
        <v>75</v>
      </c>
      <c r="M113" s="324"/>
      <c r="N113" s="324"/>
      <c r="O113" s="324">
        <v>16.52</v>
      </c>
      <c r="P113" s="324">
        <v>0</v>
      </c>
      <c r="Q113" s="324">
        <v>0</v>
      </c>
      <c r="R113" s="324">
        <f t="shared" si="14"/>
        <v>16.52</v>
      </c>
      <c r="S113" s="324">
        <v>45.560000000000002</v>
      </c>
      <c r="T113" s="324">
        <v>0</v>
      </c>
      <c r="U113" s="324">
        <f t="shared" si="15"/>
        <v>45.560000000000002</v>
      </c>
      <c r="V113" s="324">
        <v>12.42</v>
      </c>
      <c r="W113" s="324">
        <v>0.5</v>
      </c>
      <c r="X113" s="324">
        <f t="shared" si="16"/>
        <v>75</v>
      </c>
      <c r="Y113" s="249" t="b">
        <f t="shared" si="17"/>
        <v>1</v>
      </c>
    </row>
    <row r="114" spans="1:25" s="8" customFormat="1" ht="12.75">
      <c r="A114" s="16">
        <v>100</v>
      </c>
      <c r="B114" t="s">
        <v>272</v>
      </c>
      <c r="C114" t="s">
        <v>923</v>
      </c>
      <c r="D114" s="18"/>
      <c r="E114" s="324">
        <v>162.50999999999999</v>
      </c>
      <c r="F114" s="324">
        <v>0</v>
      </c>
      <c r="G114" s="324">
        <v>0</v>
      </c>
      <c r="H114" s="324">
        <f t="shared" si="11"/>
        <v>162.50999999999999</v>
      </c>
      <c r="I114" s="324">
        <v>0</v>
      </c>
      <c r="J114" s="324">
        <f t="shared" si="12"/>
        <v>162.50999999999999</v>
      </c>
      <c r="K114" s="159">
        <v>1</v>
      </c>
      <c r="L114" s="324">
        <f t="shared" si="13"/>
        <v>162.50999999999999</v>
      </c>
      <c r="M114" s="324"/>
      <c r="N114" s="324"/>
      <c r="O114" s="324">
        <v>0</v>
      </c>
      <c r="P114" s="324">
        <v>0</v>
      </c>
      <c r="Q114" s="324">
        <v>0</v>
      </c>
      <c r="R114" s="324">
        <f t="shared" si="14"/>
        <v>0</v>
      </c>
      <c r="S114" s="324">
        <v>0</v>
      </c>
      <c r="T114" s="324">
        <v>0</v>
      </c>
      <c r="U114" s="324">
        <f t="shared" si="15"/>
        <v>0</v>
      </c>
      <c r="V114" s="324">
        <v>0</v>
      </c>
      <c r="W114" s="324">
        <v>162.50999999999999</v>
      </c>
      <c r="X114" s="324">
        <f t="shared" si="16"/>
        <v>162.50999999999999</v>
      </c>
      <c r="Y114" s="249" t="b">
        <f t="shared" si="17"/>
        <v>1</v>
      </c>
    </row>
    <row r="115" spans="1:25" s="8" customFormat="1" ht="12.75">
      <c r="A115" s="16">
        <v>101</v>
      </c>
      <c r="B115" t="s">
        <v>272</v>
      </c>
      <c r="C115" t="s">
        <v>577</v>
      </c>
      <c r="D115" s="18"/>
      <c r="E115" s="324">
        <v>137.50999999999999</v>
      </c>
      <c r="F115" s="324">
        <v>0</v>
      </c>
      <c r="G115" s="324">
        <v>0</v>
      </c>
      <c r="H115" s="324">
        <f t="shared" si="11"/>
        <v>137.50999999999999</v>
      </c>
      <c r="I115" s="324">
        <v>0</v>
      </c>
      <c r="J115" s="324">
        <f t="shared" si="12"/>
        <v>137.50999999999999</v>
      </c>
      <c r="K115" s="159">
        <v>1</v>
      </c>
      <c r="L115" s="324">
        <f t="shared" si="13"/>
        <v>137.50999999999999</v>
      </c>
      <c r="M115" s="324"/>
      <c r="N115" s="324"/>
      <c r="O115" s="324">
        <v>0</v>
      </c>
      <c r="P115" s="324">
        <v>0</v>
      </c>
      <c r="Q115" s="324">
        <v>0</v>
      </c>
      <c r="R115" s="324">
        <f t="shared" si="14"/>
        <v>0</v>
      </c>
      <c r="S115" s="324">
        <v>137.5</v>
      </c>
      <c r="T115" s="324">
        <v>0</v>
      </c>
      <c r="U115" s="324">
        <f t="shared" si="15"/>
        <v>137.5</v>
      </c>
      <c r="V115" s="324">
        <v>0.01</v>
      </c>
      <c r="W115" s="324">
        <v>0</v>
      </c>
      <c r="X115" s="324">
        <f t="shared" si="16"/>
        <v>137.50999999999999</v>
      </c>
      <c r="Y115" s="249" t="b">
        <f t="shared" si="17"/>
        <v>1</v>
      </c>
    </row>
    <row r="116" spans="1:25" s="8" customFormat="1" ht="12.75">
      <c r="A116" s="16">
        <v>102</v>
      </c>
      <c r="B116" t="s">
        <v>272</v>
      </c>
      <c r="C116" t="s">
        <v>583</v>
      </c>
      <c r="D116" s="18"/>
      <c r="E116" s="324">
        <v>13771.74</v>
      </c>
      <c r="F116" s="324">
        <v>0</v>
      </c>
      <c r="G116" s="324">
        <v>0</v>
      </c>
      <c r="H116" s="324">
        <f t="shared" si="11"/>
        <v>13771.74</v>
      </c>
      <c r="I116" s="324">
        <v>0</v>
      </c>
      <c r="J116" s="324">
        <f t="shared" si="12"/>
        <v>13771.74</v>
      </c>
      <c r="K116" s="159">
        <v>1</v>
      </c>
      <c r="L116" s="324">
        <f t="shared" si="13"/>
        <v>13771.74</v>
      </c>
      <c r="M116" s="324"/>
      <c r="N116" s="324"/>
      <c r="O116" s="324">
        <v>3246.9699999999998</v>
      </c>
      <c r="P116" s="324">
        <v>0</v>
      </c>
      <c r="Q116" s="324">
        <v>0</v>
      </c>
      <c r="R116" s="324">
        <f t="shared" si="14"/>
        <v>3246.9699999999998</v>
      </c>
      <c r="S116" s="324">
        <v>8524.9400000000005</v>
      </c>
      <c r="T116" s="324">
        <v>0</v>
      </c>
      <c r="U116" s="324">
        <f t="shared" si="15"/>
        <v>8524.9400000000005</v>
      </c>
      <c r="V116" s="324">
        <v>1922.0799999999999</v>
      </c>
      <c r="W116" s="324">
        <v>77.75</v>
      </c>
      <c r="X116" s="324">
        <f t="shared" si="16"/>
        <v>13771.74</v>
      </c>
      <c r="Y116" s="249" t="b">
        <f t="shared" si="17"/>
        <v>1</v>
      </c>
    </row>
    <row r="117" spans="1:25" s="8" customFormat="1" ht="12.75">
      <c r="A117" s="16">
        <v>103</v>
      </c>
      <c r="B117" t="s">
        <v>272</v>
      </c>
      <c r="C117" t="s">
        <v>939</v>
      </c>
      <c r="D117" s="18"/>
      <c r="E117" s="324">
        <v>100</v>
      </c>
      <c r="F117" s="324">
        <v>0</v>
      </c>
      <c r="G117" s="324">
        <v>0</v>
      </c>
      <c r="H117" s="324">
        <f t="shared" si="11"/>
        <v>100</v>
      </c>
      <c r="I117" s="324">
        <v>0</v>
      </c>
      <c r="J117" s="324">
        <f t="shared" si="12"/>
        <v>100</v>
      </c>
      <c r="K117" s="159">
        <v>1</v>
      </c>
      <c r="L117" s="324">
        <f t="shared" si="13"/>
        <v>100</v>
      </c>
      <c r="M117" s="324"/>
      <c r="N117" s="324"/>
      <c r="O117" s="324">
        <v>22.02</v>
      </c>
      <c r="P117" s="324">
        <v>0</v>
      </c>
      <c r="Q117" s="324">
        <v>0</v>
      </c>
      <c r="R117" s="324">
        <f t="shared" si="14"/>
        <v>22.02</v>
      </c>
      <c r="S117" s="324">
        <v>60.75</v>
      </c>
      <c r="T117" s="324">
        <v>0</v>
      </c>
      <c r="U117" s="324">
        <f t="shared" si="15"/>
        <v>60.75</v>
      </c>
      <c r="V117" s="324">
        <v>16.559999999999999</v>
      </c>
      <c r="W117" s="324">
        <v>0.67000000000000004</v>
      </c>
      <c r="X117" s="324">
        <f t="shared" si="16"/>
        <v>100</v>
      </c>
      <c r="Y117" s="249" t="b">
        <f t="shared" si="17"/>
        <v>1</v>
      </c>
    </row>
    <row r="118" spans="1:25" s="8" customFormat="1" ht="12.75">
      <c r="A118" s="16">
        <v>104</v>
      </c>
      <c r="B118" t="s">
        <v>272</v>
      </c>
      <c r="C118" t="s">
        <v>1001</v>
      </c>
      <c r="D118" s="18"/>
      <c r="E118" s="324">
        <v>1314</v>
      </c>
      <c r="F118" s="324">
        <v>0</v>
      </c>
      <c r="G118" s="324">
        <v>0</v>
      </c>
      <c r="H118" s="324">
        <f t="shared" si="11"/>
        <v>1314</v>
      </c>
      <c r="I118" s="324">
        <v>0</v>
      </c>
      <c r="J118" s="324">
        <f t="shared" si="12"/>
        <v>1314</v>
      </c>
      <c r="K118" s="159">
        <v>1</v>
      </c>
      <c r="L118" s="324">
        <f t="shared" si="13"/>
        <v>1314</v>
      </c>
      <c r="M118" s="324"/>
      <c r="N118" s="324"/>
      <c r="O118" s="324">
        <v>289.31999999999999</v>
      </c>
      <c r="P118" s="324">
        <v>0</v>
      </c>
      <c r="Q118" s="324">
        <v>0</v>
      </c>
      <c r="R118" s="324">
        <f t="shared" si="14"/>
        <v>289.31999999999999</v>
      </c>
      <c r="S118" s="324">
        <v>798.24000000000001</v>
      </c>
      <c r="T118" s="324">
        <v>0</v>
      </c>
      <c r="U118" s="324">
        <f t="shared" si="15"/>
        <v>798.24000000000001</v>
      </c>
      <c r="V118" s="324">
        <v>217.62000000000001</v>
      </c>
      <c r="W118" s="324">
        <v>8.8200000000000003</v>
      </c>
      <c r="X118" s="324">
        <f t="shared" si="16"/>
        <v>1313.9999999999998</v>
      </c>
      <c r="Y118" s="249" t="b">
        <f t="shared" si="17"/>
        <v>1</v>
      </c>
    </row>
    <row r="119" spans="1:25" s="8" customFormat="1" ht="12.75">
      <c r="A119" s="16">
        <v>105</v>
      </c>
      <c r="B119" t="s">
        <v>272</v>
      </c>
      <c r="C119" t="s">
        <v>1002</v>
      </c>
      <c r="D119" s="18"/>
      <c r="E119" s="324">
        <v>705</v>
      </c>
      <c r="F119" s="324">
        <v>0</v>
      </c>
      <c r="G119" s="324">
        <v>0</v>
      </c>
      <c r="H119" s="324">
        <f t="shared" si="11"/>
        <v>705</v>
      </c>
      <c r="I119" s="324">
        <v>0</v>
      </c>
      <c r="J119" s="324">
        <f t="shared" si="12"/>
        <v>705</v>
      </c>
      <c r="K119" s="159">
        <v>1</v>
      </c>
      <c r="L119" s="324">
        <f t="shared" si="13"/>
        <v>705</v>
      </c>
      <c r="M119" s="324"/>
      <c r="N119" s="324"/>
      <c r="O119" s="324">
        <v>155.24000000000001</v>
      </c>
      <c r="P119" s="324">
        <v>0</v>
      </c>
      <c r="Q119" s="324">
        <v>0</v>
      </c>
      <c r="R119" s="324">
        <f t="shared" si="14"/>
        <v>155.24000000000001</v>
      </c>
      <c r="S119" s="324">
        <v>428.29000000000002</v>
      </c>
      <c r="T119" s="324">
        <v>0</v>
      </c>
      <c r="U119" s="324">
        <f t="shared" si="15"/>
        <v>428.29000000000002</v>
      </c>
      <c r="V119" s="324">
        <v>116.75</v>
      </c>
      <c r="W119" s="324">
        <v>4.7199999999999998</v>
      </c>
      <c r="X119" s="324">
        <f t="shared" si="16"/>
        <v>705</v>
      </c>
      <c r="Y119" s="249" t="b">
        <f t="shared" si="17"/>
        <v>1</v>
      </c>
    </row>
    <row r="120" spans="1:25" s="8" customFormat="1" ht="12.75">
      <c r="A120" s="16">
        <v>106</v>
      </c>
      <c r="B120" t="s">
        <v>272</v>
      </c>
      <c r="C120" t="s">
        <v>580</v>
      </c>
      <c r="D120" s="18"/>
      <c r="E120" s="324">
        <v>504</v>
      </c>
      <c r="F120" s="324">
        <v>0</v>
      </c>
      <c r="G120" s="324">
        <v>0</v>
      </c>
      <c r="H120" s="324">
        <f t="shared" si="11"/>
        <v>504</v>
      </c>
      <c r="I120" s="324">
        <v>0</v>
      </c>
      <c r="J120" s="324">
        <f t="shared" si="12"/>
        <v>504</v>
      </c>
      <c r="K120" s="159">
        <v>1</v>
      </c>
      <c r="L120" s="324">
        <f t="shared" si="13"/>
        <v>504</v>
      </c>
      <c r="M120" s="324"/>
      <c r="N120" s="324"/>
      <c r="O120" s="324">
        <v>110.98</v>
      </c>
      <c r="P120" s="324">
        <v>0</v>
      </c>
      <c r="Q120" s="324">
        <v>0</v>
      </c>
      <c r="R120" s="324">
        <f t="shared" si="14"/>
        <v>110.98</v>
      </c>
      <c r="S120" s="324">
        <v>306.18000000000001</v>
      </c>
      <c r="T120" s="324">
        <v>0</v>
      </c>
      <c r="U120" s="324">
        <f t="shared" si="15"/>
        <v>306.18000000000001</v>
      </c>
      <c r="V120" s="324">
        <v>83.459999999999994</v>
      </c>
      <c r="W120" s="324">
        <v>3.3799999999999999</v>
      </c>
      <c r="X120" s="324">
        <f t="shared" si="16"/>
        <v>504</v>
      </c>
      <c r="Y120" s="249" t="b">
        <f t="shared" si="17"/>
        <v>1</v>
      </c>
    </row>
    <row r="121" spans="1:25" s="8" customFormat="1" ht="12.75">
      <c r="A121" s="16">
        <v>107</v>
      </c>
      <c r="B121" t="s">
        <v>272</v>
      </c>
      <c r="C121" t="s">
        <v>970</v>
      </c>
      <c r="D121" s="18"/>
      <c r="E121" s="324">
        <v>5292.3299999999999</v>
      </c>
      <c r="F121" s="324">
        <v>0</v>
      </c>
      <c r="G121" s="324">
        <v>0</v>
      </c>
      <c r="H121" s="324">
        <f t="shared" si="11"/>
        <v>5292.3299999999999</v>
      </c>
      <c r="I121" s="324">
        <v>0</v>
      </c>
      <c r="J121" s="324">
        <f t="shared" si="12"/>
        <v>5292.3299999999999</v>
      </c>
      <c r="K121" s="159">
        <v>1</v>
      </c>
      <c r="L121" s="324">
        <f t="shared" si="13"/>
        <v>5292.3299999999999</v>
      </c>
      <c r="M121" s="324"/>
      <c r="N121" s="324"/>
      <c r="O121" s="324">
        <v>1165.3699999999999</v>
      </c>
      <c r="P121" s="324">
        <v>0</v>
      </c>
      <c r="Q121" s="324">
        <v>0</v>
      </c>
      <c r="R121" s="324">
        <f t="shared" si="14"/>
        <v>1165.3699999999999</v>
      </c>
      <c r="S121" s="324">
        <v>3215.1100000000001</v>
      </c>
      <c r="T121" s="324">
        <v>0</v>
      </c>
      <c r="U121" s="324">
        <f t="shared" si="15"/>
        <v>3215.1100000000001</v>
      </c>
      <c r="V121" s="324">
        <v>876.44000000000005</v>
      </c>
      <c r="W121" s="324">
        <v>35.409999999999997</v>
      </c>
      <c r="X121" s="324">
        <f t="shared" si="16"/>
        <v>5292.3299999999999</v>
      </c>
      <c r="Y121" s="249" t="b">
        <f t="shared" si="17"/>
        <v>1</v>
      </c>
    </row>
    <row r="122" spans="1:25" s="8" customFormat="1" ht="12.75">
      <c r="A122" s="16">
        <v>108</v>
      </c>
      <c r="B122" t="s">
        <v>272</v>
      </c>
      <c r="C122" t="s">
        <v>941</v>
      </c>
      <c r="D122" s="18"/>
      <c r="E122" s="324">
        <v>220</v>
      </c>
      <c r="F122" s="324">
        <v>0</v>
      </c>
      <c r="G122" s="324">
        <v>0</v>
      </c>
      <c r="H122" s="324">
        <f t="shared" si="11"/>
        <v>220</v>
      </c>
      <c r="I122" s="324">
        <v>0</v>
      </c>
      <c r="J122" s="324">
        <f t="shared" si="12"/>
        <v>220</v>
      </c>
      <c r="K122" s="159">
        <v>1</v>
      </c>
      <c r="L122" s="324">
        <f t="shared" si="13"/>
        <v>220</v>
      </c>
      <c r="M122" s="324"/>
      <c r="N122" s="324"/>
      <c r="O122" s="324">
        <v>48.439999999999998</v>
      </c>
      <c r="P122" s="324">
        <v>0</v>
      </c>
      <c r="Q122" s="324">
        <v>0</v>
      </c>
      <c r="R122" s="324">
        <f t="shared" si="14"/>
        <v>48.439999999999998</v>
      </c>
      <c r="S122" s="324">
        <v>133.65000000000001</v>
      </c>
      <c r="T122" s="324">
        <v>0</v>
      </c>
      <c r="U122" s="324">
        <f t="shared" si="15"/>
        <v>133.65000000000001</v>
      </c>
      <c r="V122" s="324">
        <v>36.43</v>
      </c>
      <c r="W122" s="324">
        <v>1.48</v>
      </c>
      <c r="X122" s="324">
        <f t="shared" si="16"/>
        <v>220</v>
      </c>
      <c r="Y122" s="249" t="b">
        <f t="shared" si="17"/>
        <v>1</v>
      </c>
    </row>
    <row r="123" spans="1:25" s="8" customFormat="1" ht="12.75">
      <c r="A123" s="16">
        <v>109</v>
      </c>
      <c r="B123" t="s">
        <v>272</v>
      </c>
      <c r="C123" t="s">
        <v>1003</v>
      </c>
      <c r="D123" s="18"/>
      <c r="E123" s="324">
        <v>436.66000000000002</v>
      </c>
      <c r="F123" s="324">
        <v>0</v>
      </c>
      <c r="G123" s="324">
        <v>0</v>
      </c>
      <c r="H123" s="324">
        <f t="shared" si="11"/>
        <v>436.66000000000002</v>
      </c>
      <c r="I123" s="324">
        <v>0</v>
      </c>
      <c r="J123" s="324">
        <f t="shared" si="12"/>
        <v>436.66000000000002</v>
      </c>
      <c r="K123" s="159">
        <v>1</v>
      </c>
      <c r="L123" s="324">
        <f t="shared" si="13"/>
        <v>436.66000000000002</v>
      </c>
      <c r="M123" s="324"/>
      <c r="N123" s="324"/>
      <c r="O123" s="324">
        <v>96.159999999999997</v>
      </c>
      <c r="P123" s="324">
        <v>0</v>
      </c>
      <c r="Q123" s="324">
        <v>0</v>
      </c>
      <c r="R123" s="324">
        <f t="shared" si="14"/>
        <v>96.159999999999997</v>
      </c>
      <c r="S123" s="324">
        <v>265.27999999999997</v>
      </c>
      <c r="T123" s="324">
        <v>0</v>
      </c>
      <c r="U123" s="324">
        <f t="shared" si="15"/>
        <v>265.27999999999997</v>
      </c>
      <c r="V123" s="324">
        <v>72.310000000000002</v>
      </c>
      <c r="W123" s="324">
        <v>2.9100000000000001</v>
      </c>
      <c r="X123" s="324">
        <f t="shared" si="16"/>
        <v>436.65999999999997</v>
      </c>
      <c r="Y123" s="249" t="b">
        <f t="shared" si="17"/>
        <v>1</v>
      </c>
    </row>
    <row r="124" spans="1:25" s="8" customFormat="1" ht="12.75">
      <c r="A124" s="16">
        <v>110</v>
      </c>
      <c r="B124" t="s">
        <v>272</v>
      </c>
      <c r="C124" t="s">
        <v>981</v>
      </c>
      <c r="D124" s="18"/>
      <c r="E124" s="324">
        <v>174.66</v>
      </c>
      <c r="F124" s="324">
        <v>0</v>
      </c>
      <c r="G124" s="324">
        <v>0</v>
      </c>
      <c r="H124" s="324">
        <f t="shared" si="11"/>
        <v>174.66</v>
      </c>
      <c r="I124" s="324">
        <v>0</v>
      </c>
      <c r="J124" s="324">
        <f t="shared" si="12"/>
        <v>174.66</v>
      </c>
      <c r="K124" s="159">
        <v>1</v>
      </c>
      <c r="L124" s="324">
        <f t="shared" si="13"/>
        <v>174.66</v>
      </c>
      <c r="M124" s="324"/>
      <c r="N124" s="324"/>
      <c r="O124" s="324">
        <v>36.700000000000003</v>
      </c>
      <c r="P124" s="324">
        <v>0</v>
      </c>
      <c r="Q124" s="324">
        <v>0</v>
      </c>
      <c r="R124" s="324">
        <f t="shared" si="14"/>
        <v>36.700000000000003</v>
      </c>
      <c r="S124" s="324">
        <v>109.25</v>
      </c>
      <c r="T124" s="324">
        <v>0</v>
      </c>
      <c r="U124" s="324">
        <f t="shared" si="15"/>
        <v>109.25</v>
      </c>
      <c r="V124" s="324">
        <v>27.600000000000001</v>
      </c>
      <c r="W124" s="324">
        <v>1.1100000000000001</v>
      </c>
      <c r="X124" s="324">
        <f t="shared" si="16"/>
        <v>174.66</v>
      </c>
      <c r="Y124" s="249" t="b">
        <f t="shared" si="17"/>
        <v>1</v>
      </c>
    </row>
    <row r="125" spans="1:25" s="8" customFormat="1" ht="12.75">
      <c r="A125" s="16">
        <v>111</v>
      </c>
      <c r="B125" t="s">
        <v>272</v>
      </c>
      <c r="C125" t="s">
        <v>581</v>
      </c>
      <c r="D125" s="18"/>
      <c r="E125" s="324">
        <v>348.39999999999998</v>
      </c>
      <c r="F125" s="324">
        <v>0</v>
      </c>
      <c r="G125" s="324">
        <v>0</v>
      </c>
      <c r="H125" s="324">
        <f t="shared" si="11"/>
        <v>348.39999999999998</v>
      </c>
      <c r="I125" s="324">
        <v>0</v>
      </c>
      <c r="J125" s="324">
        <f t="shared" si="12"/>
        <v>348.39999999999998</v>
      </c>
      <c r="K125" s="159">
        <v>1</v>
      </c>
      <c r="L125" s="324">
        <f t="shared" si="13"/>
        <v>348.39999999999998</v>
      </c>
      <c r="M125" s="324"/>
      <c r="N125" s="324"/>
      <c r="O125" s="324">
        <v>39.729999999999997</v>
      </c>
      <c r="P125" s="324">
        <v>0</v>
      </c>
      <c r="Q125" s="324">
        <v>0</v>
      </c>
      <c r="R125" s="324">
        <f t="shared" si="14"/>
        <v>39.729999999999997</v>
      </c>
      <c r="S125" s="324">
        <v>125.17</v>
      </c>
      <c r="T125" s="324">
        <v>0</v>
      </c>
      <c r="U125" s="324">
        <f t="shared" si="15"/>
        <v>125.17</v>
      </c>
      <c r="V125" s="324">
        <v>22.579999999999998</v>
      </c>
      <c r="W125" s="324">
        <v>160.91999999999999</v>
      </c>
      <c r="X125" s="324">
        <f t="shared" si="16"/>
        <v>348.39999999999998</v>
      </c>
      <c r="Y125" s="249" t="b">
        <f t="shared" si="17"/>
        <v>1</v>
      </c>
    </row>
    <row r="126" spans="1:25" s="8" customFormat="1" ht="12.75">
      <c r="A126" s="16">
        <v>112</v>
      </c>
      <c r="B126" t="s">
        <v>272</v>
      </c>
      <c r="C126" t="s">
        <v>1004</v>
      </c>
      <c r="D126" s="18"/>
      <c r="E126" s="324">
        <v>223</v>
      </c>
      <c r="F126" s="324">
        <v>0</v>
      </c>
      <c r="G126" s="324">
        <v>0</v>
      </c>
      <c r="H126" s="324">
        <f t="shared" si="11"/>
        <v>223</v>
      </c>
      <c r="I126" s="324">
        <v>0</v>
      </c>
      <c r="J126" s="324">
        <f t="shared" si="12"/>
        <v>223</v>
      </c>
      <c r="K126" s="159">
        <v>1</v>
      </c>
      <c r="L126" s="324">
        <f t="shared" si="13"/>
        <v>223</v>
      </c>
      <c r="M126" s="324"/>
      <c r="N126" s="324"/>
      <c r="O126" s="324">
        <v>49.109999999999999</v>
      </c>
      <c r="P126" s="324">
        <v>0</v>
      </c>
      <c r="Q126" s="324">
        <v>0</v>
      </c>
      <c r="R126" s="324">
        <f t="shared" si="14"/>
        <v>49.109999999999999</v>
      </c>
      <c r="S126" s="324">
        <v>135.46000000000001</v>
      </c>
      <c r="T126" s="324">
        <v>0</v>
      </c>
      <c r="U126" s="324">
        <f t="shared" si="15"/>
        <v>135.46000000000001</v>
      </c>
      <c r="V126" s="324">
        <v>36.939999999999998</v>
      </c>
      <c r="W126" s="324">
        <v>1.49</v>
      </c>
      <c r="X126" s="324">
        <f t="shared" si="16"/>
        <v>223</v>
      </c>
      <c r="Y126" s="249" t="b">
        <f t="shared" si="17"/>
        <v>1</v>
      </c>
    </row>
    <row r="127" spans="1:25" s="8" customFormat="1" ht="12.75">
      <c r="A127" s="16">
        <v>113</v>
      </c>
      <c r="B127" t="s">
        <v>272</v>
      </c>
      <c r="C127" t="s">
        <v>942</v>
      </c>
      <c r="D127" s="18"/>
      <c r="E127" s="324">
        <v>2790</v>
      </c>
      <c r="F127" s="324">
        <v>0</v>
      </c>
      <c r="G127" s="324">
        <v>0</v>
      </c>
      <c r="H127" s="324">
        <f t="shared" si="11"/>
        <v>2790</v>
      </c>
      <c r="I127" s="324">
        <v>0</v>
      </c>
      <c r="J127" s="324">
        <f t="shared" si="12"/>
        <v>2790</v>
      </c>
      <c r="K127" s="159">
        <v>1</v>
      </c>
      <c r="L127" s="324">
        <f t="shared" si="13"/>
        <v>2790</v>
      </c>
      <c r="M127" s="324"/>
      <c r="N127" s="324"/>
      <c r="O127" s="324">
        <v>517.41999999999996</v>
      </c>
      <c r="P127" s="324">
        <v>0</v>
      </c>
      <c r="Q127" s="324">
        <v>0</v>
      </c>
      <c r="R127" s="324">
        <f t="shared" si="14"/>
        <v>517.41999999999996</v>
      </c>
      <c r="S127" s="324">
        <v>1427.6199999999999</v>
      </c>
      <c r="T127" s="324">
        <v>0</v>
      </c>
      <c r="U127" s="324">
        <f t="shared" si="15"/>
        <v>1427.6199999999999</v>
      </c>
      <c r="V127" s="324">
        <v>389.14999999999998</v>
      </c>
      <c r="W127" s="324">
        <v>455.81</v>
      </c>
      <c r="X127" s="324">
        <f t="shared" si="16"/>
        <v>2790</v>
      </c>
      <c r="Y127" s="249" t="b">
        <f t="shared" si="17"/>
        <v>1</v>
      </c>
    </row>
    <row r="128" spans="1:25" s="8" customFormat="1" ht="12.75">
      <c r="A128" s="16">
        <v>114</v>
      </c>
      <c r="B128" t="s">
        <v>272</v>
      </c>
      <c r="C128" t="s">
        <v>468</v>
      </c>
      <c r="D128" s="18"/>
      <c r="E128" s="324">
        <v>489.25</v>
      </c>
      <c r="F128" s="324">
        <v>0</v>
      </c>
      <c r="G128" s="324">
        <v>0</v>
      </c>
      <c r="H128" s="324">
        <f t="shared" si="11"/>
        <v>489.25</v>
      </c>
      <c r="I128" s="324">
        <v>0</v>
      </c>
      <c r="J128" s="324">
        <f t="shared" si="12"/>
        <v>489.25</v>
      </c>
      <c r="K128" s="159">
        <v>1</v>
      </c>
      <c r="L128" s="324">
        <f t="shared" si="13"/>
        <v>489.25</v>
      </c>
      <c r="M128" s="324"/>
      <c r="N128" s="324"/>
      <c r="O128" s="324">
        <v>107.73</v>
      </c>
      <c r="P128" s="324">
        <v>0</v>
      </c>
      <c r="Q128" s="324">
        <v>0</v>
      </c>
      <c r="R128" s="324">
        <f t="shared" si="14"/>
        <v>107.73</v>
      </c>
      <c r="S128" s="324">
        <v>297.22000000000003</v>
      </c>
      <c r="T128" s="324">
        <v>0</v>
      </c>
      <c r="U128" s="324">
        <f t="shared" si="15"/>
        <v>297.22000000000003</v>
      </c>
      <c r="V128" s="324">
        <v>81.019999999999996</v>
      </c>
      <c r="W128" s="324">
        <v>3.2799999999999998</v>
      </c>
      <c r="X128" s="324">
        <f t="shared" si="16"/>
        <v>489.25</v>
      </c>
      <c r="Y128" s="249" t="b">
        <f t="shared" si="17"/>
        <v>1</v>
      </c>
    </row>
    <row r="129" spans="1:25" s="8" customFormat="1" ht="12.75">
      <c r="A129" s="16">
        <v>115</v>
      </c>
      <c r="B129" t="s">
        <v>272</v>
      </c>
      <c r="C129" t="s">
        <v>943</v>
      </c>
      <c r="D129" s="18"/>
      <c r="E129" s="324">
        <v>2700</v>
      </c>
      <c r="F129" s="324">
        <v>0</v>
      </c>
      <c r="G129" s="324">
        <v>0</v>
      </c>
      <c r="H129" s="324">
        <f t="shared" si="11"/>
        <v>2700</v>
      </c>
      <c r="I129" s="324">
        <v>0</v>
      </c>
      <c r="J129" s="324">
        <f t="shared" si="12"/>
        <v>2700</v>
      </c>
      <c r="K129" s="159">
        <v>1</v>
      </c>
      <c r="L129" s="324">
        <f t="shared" si="13"/>
        <v>2700</v>
      </c>
      <c r="M129" s="324"/>
      <c r="N129" s="324"/>
      <c r="O129" s="324">
        <v>594.53999999999996</v>
      </c>
      <c r="P129" s="324">
        <v>0</v>
      </c>
      <c r="Q129" s="324">
        <v>0</v>
      </c>
      <c r="R129" s="324">
        <f t="shared" si="14"/>
        <v>594.53999999999996</v>
      </c>
      <c r="S129" s="324">
        <v>1640.25</v>
      </c>
      <c r="T129" s="324">
        <v>0</v>
      </c>
      <c r="U129" s="324">
        <f t="shared" si="15"/>
        <v>1640.25</v>
      </c>
      <c r="V129" s="324">
        <v>447.12</v>
      </c>
      <c r="W129" s="324">
        <v>18.09</v>
      </c>
      <c r="X129" s="324">
        <f t="shared" si="16"/>
        <v>2700</v>
      </c>
      <c r="Y129" s="249" t="b">
        <f t="shared" si="17"/>
        <v>1</v>
      </c>
    </row>
    <row r="130" spans="1:25" s="8" customFormat="1" ht="12.75">
      <c r="A130" s="16">
        <v>116</v>
      </c>
      <c r="B130" t="s">
        <v>272</v>
      </c>
      <c r="C130" t="s">
        <v>753</v>
      </c>
      <c r="D130" s="18"/>
      <c r="E130" s="324">
        <v>183</v>
      </c>
      <c r="F130" s="324">
        <v>0</v>
      </c>
      <c r="G130" s="324">
        <v>0</v>
      </c>
      <c r="H130" s="324">
        <f t="shared" si="11"/>
        <v>183</v>
      </c>
      <c r="I130" s="324">
        <v>0</v>
      </c>
      <c r="J130" s="324">
        <f t="shared" si="12"/>
        <v>183</v>
      </c>
      <c r="K130" s="159">
        <v>1</v>
      </c>
      <c r="L130" s="324">
        <f t="shared" si="13"/>
        <v>183</v>
      </c>
      <c r="M130" s="324"/>
      <c r="N130" s="324"/>
      <c r="O130" s="324">
        <v>0</v>
      </c>
      <c r="P130" s="324">
        <v>0</v>
      </c>
      <c r="Q130" s="324">
        <v>0</v>
      </c>
      <c r="R130" s="324">
        <f t="shared" si="14"/>
        <v>0</v>
      </c>
      <c r="S130" s="324">
        <v>0</v>
      </c>
      <c r="T130" s="324">
        <v>0</v>
      </c>
      <c r="U130" s="324">
        <f t="shared" si="15"/>
        <v>0</v>
      </c>
      <c r="V130" s="324">
        <v>0</v>
      </c>
      <c r="W130" s="324">
        <v>183</v>
      </c>
      <c r="X130" s="324">
        <f t="shared" si="16"/>
        <v>183</v>
      </c>
      <c r="Y130" s="249" t="b">
        <f t="shared" si="17"/>
        <v>1</v>
      </c>
    </row>
    <row r="131" spans="1:25" s="8" customFormat="1" ht="12.75">
      <c r="A131" s="16">
        <v>117</v>
      </c>
      <c r="B131" t="s">
        <v>272</v>
      </c>
      <c r="C131" t="s">
        <v>946</v>
      </c>
      <c r="D131" s="18"/>
      <c r="E131" s="324">
        <v>50</v>
      </c>
      <c r="F131" s="324">
        <v>0</v>
      </c>
      <c r="G131" s="324">
        <v>0</v>
      </c>
      <c r="H131" s="324">
        <f t="shared" si="11"/>
        <v>50</v>
      </c>
      <c r="I131" s="324">
        <v>0</v>
      </c>
      <c r="J131" s="324">
        <f t="shared" si="12"/>
        <v>50</v>
      </c>
      <c r="K131" s="159">
        <v>1</v>
      </c>
      <c r="L131" s="324">
        <f t="shared" si="13"/>
        <v>50</v>
      </c>
      <c r="M131" s="324"/>
      <c r="N131" s="324"/>
      <c r="O131" s="324">
        <v>11.01</v>
      </c>
      <c r="P131" s="324">
        <v>0</v>
      </c>
      <c r="Q131" s="324">
        <v>0</v>
      </c>
      <c r="R131" s="324">
        <f t="shared" si="14"/>
        <v>11.01</v>
      </c>
      <c r="S131" s="324">
        <v>30.370000000000001</v>
      </c>
      <c r="T131" s="324">
        <v>0</v>
      </c>
      <c r="U131" s="324">
        <f t="shared" si="15"/>
        <v>30.370000000000001</v>
      </c>
      <c r="V131" s="324">
        <v>8.2799999999999994</v>
      </c>
      <c r="W131" s="324">
        <v>0.34000000000000002</v>
      </c>
      <c r="X131" s="324">
        <f t="shared" si="16"/>
        <v>50.000000000000007</v>
      </c>
      <c r="Y131" s="249" t="b">
        <f t="shared" si="17"/>
        <v>1</v>
      </c>
    </row>
    <row r="132" spans="1:25" s="8" customFormat="1" ht="12.75">
      <c r="A132" s="16">
        <v>118</v>
      </c>
      <c r="B132" t="s">
        <v>272</v>
      </c>
      <c r="C132" t="s">
        <v>947</v>
      </c>
      <c r="D132" s="18"/>
      <c r="E132" s="324">
        <v>105</v>
      </c>
      <c r="F132" s="324">
        <v>0</v>
      </c>
      <c r="G132" s="324">
        <v>0</v>
      </c>
      <c r="H132" s="324">
        <f t="shared" si="11"/>
        <v>105</v>
      </c>
      <c r="I132" s="324">
        <v>0</v>
      </c>
      <c r="J132" s="324">
        <f t="shared" si="12"/>
        <v>105</v>
      </c>
      <c r="K132" s="159">
        <v>1</v>
      </c>
      <c r="L132" s="324">
        <f t="shared" si="13"/>
        <v>105</v>
      </c>
      <c r="M132" s="324"/>
      <c r="N132" s="324"/>
      <c r="O132" s="324">
        <v>23.120000000000001</v>
      </c>
      <c r="P132" s="324">
        <v>0</v>
      </c>
      <c r="Q132" s="324">
        <v>0</v>
      </c>
      <c r="R132" s="324">
        <f t="shared" si="14"/>
        <v>23.120000000000001</v>
      </c>
      <c r="S132" s="324">
        <v>63.789999999999999</v>
      </c>
      <c r="T132" s="324">
        <v>0</v>
      </c>
      <c r="U132" s="324">
        <f t="shared" si="15"/>
        <v>63.789999999999999</v>
      </c>
      <c r="V132" s="324">
        <v>17.390000000000001</v>
      </c>
      <c r="W132" s="324">
        <v>0.69999999999999996</v>
      </c>
      <c r="X132" s="324">
        <f t="shared" si="16"/>
        <v>105</v>
      </c>
      <c r="Y132" s="249" t="b">
        <f t="shared" si="17"/>
        <v>1</v>
      </c>
    </row>
    <row r="133" spans="1:25" s="8" customFormat="1" ht="12.75">
      <c r="A133" s="16">
        <v>119</v>
      </c>
      <c r="B133" t="s">
        <v>272</v>
      </c>
      <c r="C133" t="s">
        <v>948</v>
      </c>
      <c r="D133" s="18"/>
      <c r="E133" s="324">
        <v>58.25</v>
      </c>
      <c r="F133" s="324">
        <v>0</v>
      </c>
      <c r="G133" s="324">
        <v>0</v>
      </c>
      <c r="H133" s="324">
        <f t="shared" si="11"/>
        <v>58.25</v>
      </c>
      <c r="I133" s="324">
        <v>0</v>
      </c>
      <c r="J133" s="324">
        <f t="shared" si="12"/>
        <v>58.25</v>
      </c>
      <c r="K133" s="159">
        <v>1</v>
      </c>
      <c r="L133" s="324">
        <f t="shared" si="13"/>
        <v>58.25</v>
      </c>
      <c r="M133" s="324"/>
      <c r="N133" s="324"/>
      <c r="O133" s="324">
        <v>12.83</v>
      </c>
      <c r="P133" s="324">
        <v>0</v>
      </c>
      <c r="Q133" s="324">
        <v>0</v>
      </c>
      <c r="R133" s="324">
        <f t="shared" si="14"/>
        <v>12.83</v>
      </c>
      <c r="S133" s="324">
        <v>35.390000000000001</v>
      </c>
      <c r="T133" s="324">
        <v>0</v>
      </c>
      <c r="U133" s="324">
        <f t="shared" si="15"/>
        <v>35.390000000000001</v>
      </c>
      <c r="V133" s="324">
        <v>9.6500000000000004</v>
      </c>
      <c r="W133" s="324">
        <v>0.38</v>
      </c>
      <c r="X133" s="324">
        <f t="shared" si="16"/>
        <v>58.25</v>
      </c>
      <c r="Y133" s="249" t="b">
        <f t="shared" si="17"/>
        <v>1</v>
      </c>
    </row>
    <row r="134" spans="1:25" s="8" customFormat="1" ht="12.75">
      <c r="A134" s="16">
        <v>120</v>
      </c>
      <c r="B134" t="s">
        <v>272</v>
      </c>
      <c r="C134" t="s">
        <v>983</v>
      </c>
      <c r="D134" s="18"/>
      <c r="E134" s="324">
        <v>187.69999999999999</v>
      </c>
      <c r="F134" s="324">
        <v>0</v>
      </c>
      <c r="G134" s="324">
        <v>0</v>
      </c>
      <c r="H134" s="324">
        <f t="shared" si="11"/>
        <v>187.69999999999999</v>
      </c>
      <c r="I134" s="324">
        <v>0</v>
      </c>
      <c r="J134" s="324">
        <f t="shared" si="12"/>
        <v>187.69999999999999</v>
      </c>
      <c r="K134" s="159">
        <v>1</v>
      </c>
      <c r="L134" s="324">
        <f t="shared" si="13"/>
        <v>187.69999999999999</v>
      </c>
      <c r="M134" s="324"/>
      <c r="N134" s="324"/>
      <c r="O134" s="324">
        <v>19.129999999999999</v>
      </c>
      <c r="P134" s="324">
        <v>0</v>
      </c>
      <c r="Q134" s="324">
        <v>0</v>
      </c>
      <c r="R134" s="324">
        <f t="shared" si="14"/>
        <v>19.129999999999999</v>
      </c>
      <c r="S134" s="324">
        <v>4.5700000000000003</v>
      </c>
      <c r="T134" s="324">
        <v>0</v>
      </c>
      <c r="U134" s="324">
        <f t="shared" si="15"/>
        <v>4.5700000000000003</v>
      </c>
      <c r="V134" s="324">
        <v>0</v>
      </c>
      <c r="W134" s="324">
        <v>164</v>
      </c>
      <c r="X134" s="324">
        <f t="shared" si="16"/>
        <v>187.69999999999999</v>
      </c>
      <c r="Y134" s="249" t="b">
        <f t="shared" si="17"/>
        <v>1</v>
      </c>
    </row>
    <row r="135" spans="1:25" s="8" customFormat="1" ht="12.75">
      <c r="A135" s="16">
        <v>121</v>
      </c>
      <c r="B135" t="s">
        <v>272</v>
      </c>
      <c r="C135" t="s">
        <v>1005</v>
      </c>
      <c r="D135" s="18"/>
      <c r="E135" s="324">
        <v>265</v>
      </c>
      <c r="F135" s="324">
        <v>0</v>
      </c>
      <c r="G135" s="324">
        <v>0</v>
      </c>
      <c r="H135" s="324">
        <f t="shared" si="11"/>
        <v>265</v>
      </c>
      <c r="I135" s="324">
        <v>0</v>
      </c>
      <c r="J135" s="324">
        <f t="shared" si="12"/>
        <v>265</v>
      </c>
      <c r="K135" s="159">
        <v>1</v>
      </c>
      <c r="L135" s="324">
        <f t="shared" si="13"/>
        <v>265</v>
      </c>
      <c r="M135" s="324"/>
      <c r="N135" s="324"/>
      <c r="O135" s="324">
        <v>58.350000000000001</v>
      </c>
      <c r="P135" s="324">
        <v>0</v>
      </c>
      <c r="Q135" s="324">
        <v>0</v>
      </c>
      <c r="R135" s="324">
        <f t="shared" si="14"/>
        <v>58.350000000000001</v>
      </c>
      <c r="S135" s="324">
        <v>160.99000000000001</v>
      </c>
      <c r="T135" s="324">
        <v>0</v>
      </c>
      <c r="U135" s="324">
        <f t="shared" si="15"/>
        <v>160.99000000000001</v>
      </c>
      <c r="V135" s="324">
        <v>43.880000000000003</v>
      </c>
      <c r="W135" s="324">
        <v>1.78</v>
      </c>
      <c r="X135" s="324">
        <f t="shared" si="16"/>
        <v>265</v>
      </c>
      <c r="Y135" s="249" t="b">
        <f t="shared" si="17"/>
        <v>1</v>
      </c>
    </row>
    <row r="136" spans="1:25" s="8" customFormat="1" ht="12.75">
      <c r="A136" s="16">
        <v>122</v>
      </c>
      <c r="B136" t="s">
        <v>274</v>
      </c>
      <c r="C136" t="s">
        <v>942</v>
      </c>
      <c r="D136" s="18"/>
      <c r="E136" s="324">
        <v>145</v>
      </c>
      <c r="F136" s="324">
        <v>0</v>
      </c>
      <c r="G136" s="324">
        <v>0</v>
      </c>
      <c r="H136" s="324">
        <f t="shared" si="11"/>
        <v>145</v>
      </c>
      <c r="I136" s="324">
        <v>0</v>
      </c>
      <c r="J136" s="324">
        <f t="shared" si="12"/>
        <v>145</v>
      </c>
      <c r="K136" s="159">
        <v>1</v>
      </c>
      <c r="L136" s="324">
        <f t="shared" si="13"/>
        <v>145</v>
      </c>
      <c r="M136" s="324"/>
      <c r="N136" s="324"/>
      <c r="O136" s="324">
        <v>31.93</v>
      </c>
      <c r="P136" s="324">
        <v>0</v>
      </c>
      <c r="Q136" s="324">
        <v>0</v>
      </c>
      <c r="R136" s="324">
        <f t="shared" si="14"/>
        <v>31.93</v>
      </c>
      <c r="S136" s="324">
        <v>88.090000000000003</v>
      </c>
      <c r="T136" s="324">
        <v>0</v>
      </c>
      <c r="U136" s="324">
        <f t="shared" si="15"/>
        <v>88.090000000000003</v>
      </c>
      <c r="V136" s="324">
        <v>24.010000000000002</v>
      </c>
      <c r="W136" s="324">
        <v>0.96999999999999997</v>
      </c>
      <c r="X136" s="324">
        <f t="shared" si="16"/>
        <v>145</v>
      </c>
      <c r="Y136" s="249" t="b">
        <f t="shared" si="17"/>
        <v>1</v>
      </c>
    </row>
    <row r="137" spans="1:25" s="8" customFormat="1" ht="12.75">
      <c r="A137" s="16">
        <v>123</v>
      </c>
      <c r="B137" t="s">
        <v>290</v>
      </c>
      <c r="C137" t="s">
        <v>496</v>
      </c>
      <c r="D137" s="18"/>
      <c r="E137" s="324">
        <v>15000</v>
      </c>
      <c r="F137" s="324">
        <v>0</v>
      </c>
      <c r="G137" s="324">
        <v>0</v>
      </c>
      <c r="H137" s="324">
        <f t="shared" si="18" ref="H137:H143">+E137+F137+G137</f>
        <v>15000</v>
      </c>
      <c r="I137" s="324">
        <v>0</v>
      </c>
      <c r="J137" s="324">
        <f t="shared" si="19" ref="J137:J143">+H137+I137</f>
        <v>15000</v>
      </c>
      <c r="K137" s="159">
        <v>1</v>
      </c>
      <c r="L137" s="324">
        <f t="shared" si="20" ref="L137:L143">+J137*K137</f>
        <v>15000</v>
      </c>
      <c r="M137" s="324"/>
      <c r="N137" s="324"/>
      <c r="O137" s="324">
        <v>3303</v>
      </c>
      <c r="P137" s="324">
        <v>0</v>
      </c>
      <c r="Q137" s="324">
        <v>0</v>
      </c>
      <c r="R137" s="324">
        <f t="shared" si="21" ref="R137:R143">SUM(O137:Q137)</f>
        <v>3303</v>
      </c>
      <c r="S137" s="324">
        <v>9112.5</v>
      </c>
      <c r="T137" s="324">
        <v>0</v>
      </c>
      <c r="U137" s="324">
        <f t="shared" si="22" ref="U137:U143">SUM(S137:T137)</f>
        <v>9112.5</v>
      </c>
      <c r="V137" s="324">
        <v>2484</v>
      </c>
      <c r="W137" s="324">
        <v>100.5</v>
      </c>
      <c r="X137" s="324">
        <f t="shared" si="23" ref="X137:X143">+R137+U137+V137+W137</f>
        <v>15000</v>
      </c>
      <c r="Y137" s="249" t="b">
        <f t="shared" si="24" ref="Y137:Y143">+X137=L137</f>
        <v>1</v>
      </c>
    </row>
    <row r="138" spans="1:25" s="8" customFormat="1" ht="12.75">
      <c r="A138" s="16">
        <v>124</v>
      </c>
      <c r="B138" t="s">
        <v>290</v>
      </c>
      <c r="C138" t="s">
        <v>497</v>
      </c>
      <c r="D138" s="18"/>
      <c r="E138" s="324">
        <v>6000</v>
      </c>
      <c r="F138" s="324">
        <v>0</v>
      </c>
      <c r="G138" s="324">
        <v>0</v>
      </c>
      <c r="H138" s="324">
        <f t="shared" si="18"/>
        <v>6000</v>
      </c>
      <c r="I138" s="324">
        <v>0</v>
      </c>
      <c r="J138" s="324">
        <f t="shared" si="19"/>
        <v>6000</v>
      </c>
      <c r="K138" s="159">
        <v>1</v>
      </c>
      <c r="L138" s="324">
        <f t="shared" si="20"/>
        <v>6000</v>
      </c>
      <c r="M138" s="324"/>
      <c r="N138" s="324"/>
      <c r="O138" s="324">
        <v>0</v>
      </c>
      <c r="P138" s="324">
        <v>0</v>
      </c>
      <c r="Q138" s="324">
        <v>0</v>
      </c>
      <c r="R138" s="324">
        <f t="shared" si="21"/>
        <v>0</v>
      </c>
      <c r="S138" s="324">
        <v>0</v>
      </c>
      <c r="T138" s="324">
        <v>0</v>
      </c>
      <c r="U138" s="324">
        <f t="shared" si="22"/>
        <v>0</v>
      </c>
      <c r="V138" s="324">
        <v>0</v>
      </c>
      <c r="W138" s="324">
        <v>6000</v>
      </c>
      <c r="X138" s="324">
        <f t="shared" si="23"/>
        <v>6000</v>
      </c>
      <c r="Y138" s="249" t="b">
        <f t="shared" si="24"/>
        <v>1</v>
      </c>
    </row>
    <row r="139" spans="1:25" s="8" customFormat="1" ht="12.75">
      <c r="A139" s="16">
        <v>125</v>
      </c>
      <c r="B139" t="s">
        <v>290</v>
      </c>
      <c r="C139" t="s">
        <v>452</v>
      </c>
      <c r="D139" s="18"/>
      <c r="E139" s="324">
        <v>484665.82000000001</v>
      </c>
      <c r="F139" s="324">
        <v>0</v>
      </c>
      <c r="G139" s="324">
        <v>0</v>
      </c>
      <c r="H139" s="324">
        <f t="shared" si="25" ref="H139">+E139+F139+G139</f>
        <v>484665.82000000001</v>
      </c>
      <c r="I139" s="324">
        <v>0</v>
      </c>
      <c r="J139" s="324">
        <f t="shared" si="26" ref="J139">+H139+I139</f>
        <v>484665.82000000001</v>
      </c>
      <c r="K139" s="159">
        <v>1</v>
      </c>
      <c r="L139" s="324">
        <f t="shared" si="27" ref="L139">+J139*K139</f>
        <v>484665.82000000001</v>
      </c>
      <c r="M139" s="324"/>
      <c r="N139" s="324"/>
      <c r="O139" s="324">
        <v>106757.73</v>
      </c>
      <c r="P139" s="324">
        <v>0</v>
      </c>
      <c r="Q139" s="324">
        <v>0</v>
      </c>
      <c r="R139" s="324">
        <f t="shared" si="21"/>
        <v>106757.73</v>
      </c>
      <c r="S139" s="324">
        <v>294373.35999999999</v>
      </c>
      <c r="T139" s="324">
        <v>0</v>
      </c>
      <c r="U139" s="324">
        <f t="shared" si="22"/>
        <v>294373.35999999999</v>
      </c>
      <c r="V139" s="324">
        <v>80286.399999999994</v>
      </c>
      <c r="W139" s="324">
        <v>3248.3299999999999</v>
      </c>
      <c r="X139" s="324">
        <f t="shared" si="28" ref="X139">+R139+U139+V139+W139</f>
        <v>484665.82000000001</v>
      </c>
      <c r="Y139" s="249" t="b">
        <f t="shared" si="29" ref="Y139">+X139=L139</f>
        <v>1</v>
      </c>
    </row>
    <row r="140" spans="1:25" s="8" customFormat="1" ht="12.75">
      <c r="A140" s="16">
        <v>126</v>
      </c>
      <c r="B140" t="s">
        <v>290</v>
      </c>
      <c r="C140" t="s">
        <v>942</v>
      </c>
      <c r="D140" s="18"/>
      <c r="E140" s="324">
        <v>70</v>
      </c>
      <c r="F140" s="324">
        <v>0</v>
      </c>
      <c r="G140" s="324">
        <v>0</v>
      </c>
      <c r="H140" s="324">
        <f t="shared" si="18"/>
        <v>70</v>
      </c>
      <c r="I140" s="324">
        <v>0</v>
      </c>
      <c r="J140" s="324">
        <f t="shared" si="19"/>
        <v>70</v>
      </c>
      <c r="K140" s="159">
        <v>1</v>
      </c>
      <c r="L140" s="324">
        <f t="shared" si="20"/>
        <v>70</v>
      </c>
      <c r="M140" s="324"/>
      <c r="N140" s="324"/>
      <c r="O140" s="324">
        <v>15.41</v>
      </c>
      <c r="P140" s="324">
        <v>0</v>
      </c>
      <c r="Q140" s="324">
        <v>0</v>
      </c>
      <c r="R140" s="324">
        <f t="shared" si="21"/>
        <v>15.41</v>
      </c>
      <c r="S140" s="324">
        <v>42.530000000000001</v>
      </c>
      <c r="T140" s="324">
        <v>0</v>
      </c>
      <c r="U140" s="324">
        <f t="shared" si="22"/>
        <v>42.530000000000001</v>
      </c>
      <c r="V140" s="324">
        <v>11.59</v>
      </c>
      <c r="W140" s="324">
        <v>0.46999999999999997</v>
      </c>
      <c r="X140" s="324">
        <f t="shared" si="23"/>
        <v>70</v>
      </c>
      <c r="Y140" s="249" t="b">
        <f t="shared" si="24"/>
        <v>1</v>
      </c>
    </row>
    <row r="141" spans="1:25" s="8" customFormat="1" ht="12.75">
      <c r="A141" s="16">
        <v>127</v>
      </c>
      <c r="B141" t="s">
        <v>290</v>
      </c>
      <c r="C141" t="s">
        <v>951</v>
      </c>
      <c r="D141" s="18"/>
      <c r="E141" s="324">
        <v>15500</v>
      </c>
      <c r="F141" s="324">
        <v>0</v>
      </c>
      <c r="G141" s="324">
        <v>0</v>
      </c>
      <c r="H141" s="324">
        <f t="shared" si="18"/>
        <v>15500</v>
      </c>
      <c r="I141" s="324">
        <v>0</v>
      </c>
      <c r="J141" s="324">
        <f t="shared" si="19"/>
        <v>15500</v>
      </c>
      <c r="K141" s="159">
        <v>1</v>
      </c>
      <c r="L141" s="324">
        <f t="shared" si="20"/>
        <v>15500</v>
      </c>
      <c r="M141" s="324"/>
      <c r="N141" s="324"/>
      <c r="O141" s="324">
        <v>3413.0999999999999</v>
      </c>
      <c r="P141" s="324">
        <v>0</v>
      </c>
      <c r="Q141" s="324">
        <v>0</v>
      </c>
      <c r="R141" s="324">
        <f t="shared" si="21"/>
        <v>3413.0999999999999</v>
      </c>
      <c r="S141" s="324">
        <v>9416.25</v>
      </c>
      <c r="T141" s="324">
        <v>0</v>
      </c>
      <c r="U141" s="324">
        <f t="shared" si="22"/>
        <v>9416.25</v>
      </c>
      <c r="V141" s="324">
        <v>2566.8000000000002</v>
      </c>
      <c r="W141" s="324">
        <v>103.84999999999999</v>
      </c>
      <c r="X141" s="324">
        <f t="shared" si="23"/>
        <v>15500.000000000002</v>
      </c>
      <c r="Y141" s="249" t="b">
        <f t="shared" si="24"/>
        <v>1</v>
      </c>
    </row>
    <row r="142" spans="1:25" s="8" customFormat="1" ht="12.75">
      <c r="A142" s="16">
        <v>128</v>
      </c>
      <c r="B142" t="s">
        <v>290</v>
      </c>
      <c r="C142" t="s">
        <v>567</v>
      </c>
      <c r="D142" s="18"/>
      <c r="E142" s="324">
        <v>15000</v>
      </c>
      <c r="F142" s="324">
        <v>0</v>
      </c>
      <c r="G142" s="324">
        <v>0</v>
      </c>
      <c r="H142" s="324">
        <f t="shared" si="18"/>
        <v>15000</v>
      </c>
      <c r="I142" s="324">
        <v>0</v>
      </c>
      <c r="J142" s="324">
        <f t="shared" si="19"/>
        <v>15000</v>
      </c>
      <c r="K142" s="159">
        <v>1</v>
      </c>
      <c r="L142" s="324">
        <f t="shared" si="20"/>
        <v>15000</v>
      </c>
      <c r="M142" s="324"/>
      <c r="N142" s="324"/>
      <c r="O142" s="324">
        <v>0</v>
      </c>
      <c r="P142" s="324">
        <v>0</v>
      </c>
      <c r="Q142" s="324">
        <v>0</v>
      </c>
      <c r="R142" s="324">
        <f t="shared" si="21"/>
        <v>0</v>
      </c>
      <c r="S142" s="324">
        <v>15000</v>
      </c>
      <c r="T142" s="324">
        <v>0</v>
      </c>
      <c r="U142" s="324">
        <f t="shared" si="22"/>
        <v>15000</v>
      </c>
      <c r="V142" s="324">
        <v>0</v>
      </c>
      <c r="W142" s="324">
        <v>0</v>
      </c>
      <c r="X142" s="324">
        <f t="shared" si="23"/>
        <v>15000</v>
      </c>
      <c r="Y142" s="249" t="b">
        <f t="shared" si="24"/>
        <v>1</v>
      </c>
    </row>
    <row r="143" spans="1:25" s="8" customFormat="1" ht="12.75">
      <c r="A143" s="16">
        <v>129</v>
      </c>
      <c r="B143" t="s">
        <v>290</v>
      </c>
      <c r="C143" t="s">
        <v>1022</v>
      </c>
      <c r="D143" s="18"/>
      <c r="E143" s="324">
        <v>500</v>
      </c>
      <c r="F143" s="324">
        <v>0</v>
      </c>
      <c r="G143" s="324">
        <v>0</v>
      </c>
      <c r="H143" s="324">
        <f t="shared" si="18"/>
        <v>500</v>
      </c>
      <c r="I143" s="324">
        <f>-H143</f>
        <v>-500</v>
      </c>
      <c r="J143" s="324">
        <f t="shared" si="19"/>
        <v>0</v>
      </c>
      <c r="K143" s="159">
        <v>1</v>
      </c>
      <c r="L143" s="324">
        <f t="shared" si="20"/>
        <v>0</v>
      </c>
      <c r="M143" s="324"/>
      <c r="N143" s="324"/>
      <c r="O143" s="324">
        <v>0</v>
      </c>
      <c r="P143" s="324">
        <v>0</v>
      </c>
      <c r="Q143" s="324">
        <v>0</v>
      </c>
      <c r="R143" s="324">
        <f t="shared" si="21"/>
        <v>0</v>
      </c>
      <c r="S143" s="324">
        <v>0</v>
      </c>
      <c r="T143" s="324">
        <v>0</v>
      </c>
      <c r="U143" s="324">
        <f t="shared" si="22"/>
        <v>0</v>
      </c>
      <c r="V143" s="324">
        <v>0</v>
      </c>
      <c r="W143" s="324">
        <v>0</v>
      </c>
      <c r="X143" s="324">
        <f t="shared" si="23"/>
        <v>0</v>
      </c>
      <c r="Y143" s="249" t="b">
        <f t="shared" si="24"/>
        <v>1</v>
      </c>
    </row>
    <row r="144" spans="1:25" s="8" customFormat="1" ht="12.75">
      <c r="A144" s="16">
        <v>130</v>
      </c>
      <c r="B144" s="4"/>
      <c r="C144" s="30"/>
      <c r="D144" s="4"/>
      <c r="E144" s="13"/>
      <c r="F144" s="13"/>
      <c r="G144" s="13"/>
      <c r="H144" s="13"/>
      <c r="I144" s="13"/>
      <c r="J144" s="13"/>
      <c r="K144" s="103"/>
      <c r="L144" s="13"/>
      <c r="M144" s="18"/>
      <c r="N144" s="25"/>
      <c r="O144" s="13"/>
      <c r="P144" s="13"/>
      <c r="Q144" s="13"/>
      <c r="R144" s="13"/>
      <c r="S144" s="13"/>
      <c r="T144" s="13"/>
      <c r="U144" s="13"/>
      <c r="V144" s="13"/>
      <c r="W144" s="13"/>
      <c r="X144" s="13"/>
      <c r="Y144" s="4"/>
    </row>
    <row r="145" spans="1:24" ht="12.75">
      <c r="A145" s="16">
        <v>131</v>
      </c>
      <c r="D145" s="4"/>
      <c r="E145" s="115"/>
      <c r="F145" s="115"/>
      <c r="G145" s="115"/>
      <c r="H145" s="115"/>
      <c r="I145" s="115"/>
      <c r="J145" s="115"/>
      <c r="L145" s="115"/>
      <c r="O145" s="115"/>
      <c r="P145" s="115"/>
      <c r="Q145" s="115"/>
      <c r="R145" s="115"/>
      <c r="S145" s="115"/>
      <c r="T145" s="115"/>
      <c r="U145" s="115"/>
      <c r="V145" s="115"/>
      <c r="W145" s="115"/>
      <c r="X145" s="115"/>
    </row>
    <row r="146" spans="1:25" ht="12.75">
      <c r="A146" s="16">
        <v>132</v>
      </c>
      <c r="B146" s="5" t="str">
        <f>CONCATENATE("Total"," ",+B15)</f>
        <v>Total Professional Dues</v>
      </c>
      <c r="D146" s="3"/>
      <c r="E146" s="142">
        <f t="shared" si="30" ref="E146:J146">SUM(E17:E144)</f>
        <v>849395.94000000018</v>
      </c>
      <c r="F146" s="142">
        <f t="shared" si="30"/>
        <v>0</v>
      </c>
      <c r="G146" s="142">
        <f t="shared" si="30"/>
        <v>0</v>
      </c>
      <c r="H146" s="142">
        <f t="shared" si="30"/>
        <v>849395.94000000018</v>
      </c>
      <c r="I146" s="142">
        <f t="shared" si="30"/>
        <v>-500</v>
      </c>
      <c r="J146" s="142">
        <f t="shared" si="30"/>
        <v>848895.94000000018</v>
      </c>
      <c r="K146" s="142"/>
      <c r="L146" s="142">
        <f>SUM(L17:L144)</f>
        <v>848895.94000000018</v>
      </c>
      <c r="M146" s="142"/>
      <c r="N146" s="142"/>
      <c r="O146" s="142">
        <f t="shared" si="31" ref="O146:X146">SUM(O17:O144)</f>
        <v>368588.53999999998</v>
      </c>
      <c r="P146" s="142">
        <f t="shared" si="31"/>
        <v>0</v>
      </c>
      <c r="Q146" s="142">
        <f t="shared" si="31"/>
        <v>0</v>
      </c>
      <c r="R146" s="142">
        <f t="shared" si="31"/>
        <v>368588.53999999998</v>
      </c>
      <c r="S146" s="142">
        <f t="shared" si="31"/>
        <v>372562.31</v>
      </c>
      <c r="T146" s="142">
        <f t="shared" si="31"/>
        <v>0</v>
      </c>
      <c r="U146" s="142">
        <f t="shared" si="31"/>
        <v>372562.31</v>
      </c>
      <c r="V146" s="142">
        <f t="shared" si="31"/>
        <v>94833.579999999987</v>
      </c>
      <c r="W146" s="142">
        <f t="shared" si="31"/>
        <v>12911.51</v>
      </c>
      <c r="X146" s="142">
        <f t="shared" si="31"/>
        <v>848895.94000000018</v>
      </c>
      <c r="Y146" s="4" t="b">
        <f>+X146=L146</f>
        <v>1</v>
      </c>
    </row>
    <row r="147" spans="4:4" ht="12.75">
      <c r="D147" s="4"/>
    </row>
    <row r="148" spans="4:4" ht="12.75">
      <c r="D148" s="4"/>
    </row>
    <row r="149" spans="4:4" ht="12.75">
      <c r="D149" s="4"/>
    </row>
  </sheetData>
  <printOptions horizontalCentered="1"/>
  <pageMargins left="0.5" right="0.5" top="3" bottom="0.5" header="1.5" footer="0.5"/>
  <pageSetup fitToHeight="2" fitToWidth="2" orientation="landscape" pageOrder="overThenDown" scale="59" r:id="rId1"/>
  <headerFooter alignWithMargins="0">
    <oddHeader>&amp;C&amp;B
2022 RATE CASE
ONCOR ELECTRIC DELIVERY COMPANY LLC
II-D-2.6c  SUMMARY OF PROFESSIONAL DUES
TEST YEAR ENDING DECEMBER 31, 2021
SPONSOR: W. ALAN LEDBETTER&amp;R&amp;"Arial,Bold"Schedule &amp;A
Page &amp;P of &amp;N</oddHeader>
  </headerFooter>
  <colBreaks count="1" manualBreakCount="1">
    <brk id="12" min="14" max="156" man="1"/>
  </colBreak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tabColor rgb="FFFF0000"/>
    <pageSetUpPr fitToPage="1"/>
  </sheetPr>
  <dimension ref="A1:W12"/>
  <sheetViews>
    <sheetView zoomScale="85" zoomScaleNormal="85" workbookViewId="0" topLeftCell="A1">
      <selection pane="topLeft" activeCell="I36" sqref="I36"/>
    </sheetView>
  </sheetViews>
  <sheetFormatPr defaultRowHeight="12.75"/>
  <sheetData>
    <row r="1" spans="1:6" ht="12.75">
      <c r="A1" s="5" t="str">
        <f>+'[3]Input Data'!$A$9</f>
        <v>2022 RATE CASE</v>
      </c>
      <c r="C1" s="95"/>
      <c r="D1" s="1"/>
      <c r="F1" s="1"/>
    </row>
    <row r="2" spans="1:23" s="33" customFormat="1" ht="12.75">
      <c r="A2" s="8" t="str">
        <f>+'[3]Input Data'!$A$2</f>
        <v>ONCOR ELECTRIC DELIVERY COMPANY LLC</v>
      </c>
      <c r="B2" s="31"/>
      <c r="C2" s="113"/>
      <c r="D2" s="32"/>
      <c r="E2" s="31"/>
      <c r="F2" s="32"/>
      <c r="G2" s="31"/>
      <c r="H2" s="31"/>
      <c r="I2" s="32"/>
      <c r="J2" s="32"/>
      <c r="K2" s="32"/>
      <c r="L2" s="32"/>
      <c r="M2" s="32"/>
      <c r="N2" s="4"/>
      <c r="O2" s="4"/>
      <c r="P2" s="4"/>
      <c r="Q2" s="4"/>
      <c r="R2" s="31"/>
      <c r="S2" s="31"/>
      <c r="T2" s="31"/>
      <c r="U2" s="31"/>
      <c r="V2" s="31"/>
      <c r="W2" s="31"/>
    </row>
    <row r="3" spans="1:23" s="33" customFormat="1" ht="12.75">
      <c r="A3" s="7" t="str">
        <f>CONCATENATE('[3]Schedule Sponsors'!$A$65,'[3]Schedule Sponsors'!$B$65)</f>
        <v>II-D-2.7  OUTSIDE SERVICES EMPLOYED-FERC 900 SERIES EXPENSES</v>
      </c>
      <c r="B3" s="4"/>
      <c r="C3" s="114"/>
      <c r="D3" s="32"/>
      <c r="E3" s="31"/>
      <c r="F3" s="32"/>
      <c r="G3" s="31"/>
      <c r="H3" s="31"/>
      <c r="I3" s="32"/>
      <c r="J3" s="32"/>
      <c r="K3" s="32"/>
      <c r="L3" s="32"/>
      <c r="M3" s="32"/>
      <c r="N3" s="28"/>
      <c r="O3" s="28"/>
      <c r="P3" s="28"/>
      <c r="Q3" s="28"/>
      <c r="R3" s="31"/>
      <c r="S3" s="31"/>
      <c r="T3" s="31"/>
      <c r="U3" s="31"/>
      <c r="V3" s="31"/>
      <c r="W3" s="31"/>
    </row>
    <row r="4" spans="1:23" s="33" customFormat="1" ht="12.75">
      <c r="A4" s="63" t="str">
        <f>+'[3]Input Data'!$A$4</f>
        <v>TEST YEAR ENDING DECEMBER 31, 2021</v>
      </c>
      <c r="B4" s="4"/>
      <c r="C4" s="114"/>
      <c r="D4" s="32"/>
      <c r="E4" s="31"/>
      <c r="F4" s="32"/>
      <c r="G4" s="31"/>
      <c r="H4" s="31"/>
      <c r="I4" s="32"/>
      <c r="J4" s="32"/>
      <c r="K4" s="32"/>
      <c r="L4" s="32"/>
      <c r="M4" s="32"/>
      <c r="N4" s="28"/>
      <c r="O4" s="28"/>
      <c r="P4" s="28"/>
      <c r="Q4" s="28"/>
      <c r="R4" s="31"/>
      <c r="S4" s="31"/>
      <c r="T4" s="31"/>
      <c r="U4" s="31"/>
      <c r="V4" s="31"/>
      <c r="W4" s="31"/>
    </row>
    <row r="5" spans="1:23" s="33" customFormat="1" ht="12.75">
      <c r="A5" s="7" t="str">
        <f>CONCATENATE("SPONSOR: ",'[3]Schedule Sponsors'!$D$65)</f>
        <v>SPONSOR: W. ALAN LEDBETTER</v>
      </c>
      <c r="B5" s="4"/>
      <c r="C5" s="114"/>
      <c r="D5" s="32"/>
      <c r="E5" s="31"/>
      <c r="F5" s="32"/>
      <c r="G5" s="31"/>
      <c r="H5" s="31"/>
      <c r="I5" s="32"/>
      <c r="J5" s="32"/>
      <c r="K5" s="32"/>
      <c r="L5" s="32"/>
      <c r="M5" s="32"/>
      <c r="N5" s="31"/>
      <c r="O5" s="31"/>
      <c r="P5" s="31"/>
      <c r="Q5" s="31"/>
      <c r="R5" s="31"/>
      <c r="S5" s="31"/>
      <c r="T5" s="31"/>
      <c r="U5" s="31"/>
      <c r="V5" s="31"/>
      <c r="W5" s="31"/>
    </row>
    <row r="10" spans="1:1" ht="14.25">
      <c r="A10" s="275" t="s">
        <v>1061</v>
      </c>
    </row>
    <row r="11" spans="1:1" ht="14.25">
      <c r="A11" s="275" t="s">
        <v>710</v>
      </c>
    </row>
    <row r="12" spans="1:1" ht="14.25">
      <c r="A12" s="275" t="s">
        <v>711</v>
      </c>
    </row>
  </sheetData>
  <pageMargins left="0.5" right="0.5" top="3" bottom="0.5" header="1.25" footer="0.3"/>
  <pageSetup fitToHeight="0" orientation="landscape" scale="94" r:id="rId1"/>
  <headerFooter>
    <oddHeader>&amp;C&amp;B
2022 RATE CASE
ONCOR ELECTRIC DELIVERY COMPANY LLC
II-D-2.7  OUTSIDE SERVICES EMPLOYED-FERC 900 SERIES EXPENSES
TEST YEAR ENDING DECEMBER 31, 2021
SPONSOR: W. ALAN LEDBETTER&amp;R&amp;"Arial,Bold"Schedule II-D-2.7
Page &amp;P of &amp;N</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8">
    <tabColor rgb="FFFF0000"/>
  </sheetPr>
  <dimension ref="A1:A10"/>
  <sheetViews>
    <sheetView workbookViewId="0" topLeftCell="A1">
      <selection pane="topLeft" activeCell="N17" sqref="N17"/>
    </sheetView>
  </sheetViews>
  <sheetFormatPr defaultRowHeight="12.75"/>
  <sheetData>
    <row r="1" spans="1:1" ht="12.75">
      <c r="A1" s="5" t="str">
        <f>+'[3]Input Data'!$A$9</f>
        <v>2022 RATE CASE</v>
      </c>
    </row>
    <row r="2" spans="1:1" ht="12.75">
      <c r="A2" s="8" t="str">
        <f>+'[3]Input Data'!$A$2</f>
        <v>ONCOR ELECTRIC DELIVERY COMPANY LLC</v>
      </c>
    </row>
    <row r="3" spans="1:1" ht="12.75">
      <c r="A3" s="7" t="str">
        <f>CONCATENATE('[3]Schedule Sponsors'!$A$66,'[3]Schedule Sponsors'!$B$66)</f>
        <v>II-D-2.8  FACTORING OR SALE OF ACCOUNTS RECEIVABLE EXPENSE</v>
      </c>
    </row>
    <row r="4" spans="1:1" ht="12.75">
      <c r="A4" s="63" t="str">
        <f>+'[3]Input Data'!$A$4</f>
        <v>TEST YEAR ENDING DECEMBER 31, 2021</v>
      </c>
    </row>
    <row r="5" spans="1:1" ht="12.75">
      <c r="A5" s="7" t="str">
        <f>CONCATENATE("SPONSOR: ",'[3]Schedule Sponsors'!$D$66)</f>
        <v>SPONSOR: W. ALAN LEDBETTER</v>
      </c>
    </row>
    <row r="10" spans="1:1" ht="12.75">
      <c r="A10" s="183" t="s">
        <v>703</v>
      </c>
    </row>
  </sheetData>
  <printOptions horizontalCentered="1"/>
  <pageMargins left="0.5" right="0.5" top="3.5" bottom="0.5" header="1.5" footer="0.5"/>
  <pageSetup orientation="landscape" r:id="rId1"/>
  <headerFooter alignWithMargins="0">
    <oddHeader>&amp;C&amp;B
2022 RATE CASE
ONCOR ELECTRIC DELIVERY COMPANY LLC
II-D-2.8  FACTORING OR SALE OF ACCOUNTS RECEIVABLE EXPENSE
TEST YEAR ENDING DECEMBER 31, 2021
SPONSOR: W. ALAN LEDBETTER&amp;R&amp;"Arial,Bold"Schedule &amp;A
Page &amp;P of &amp;N</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9">
    <tabColor rgb="FFFF0000"/>
  </sheetPr>
  <dimension ref="A1:AC83"/>
  <sheetViews>
    <sheetView zoomScale="85" zoomScaleNormal="85" workbookViewId="0" topLeftCell="A1">
      <pane xSplit="3" ySplit="12" topLeftCell="D13" activePane="bottomRight" state="frozen"/>
      <selection pane="topLeft" activeCell="C50" sqref="C50"/>
      <selection pane="bottomLeft" activeCell="C50" sqref="C50"/>
      <selection pane="topRight" activeCell="C50" sqref="C50"/>
      <selection pane="bottomRight" activeCell="F30" sqref="F30"/>
    </sheetView>
  </sheetViews>
  <sheetFormatPr defaultRowHeight="12.75"/>
  <cols>
    <col min="1" max="1" width="6.28571428571429" customWidth="1"/>
    <col min="2" max="2" width="9.57142857142857" customWidth="1"/>
    <col min="3" max="3" width="42.5714285714286" bestFit="1" customWidth="1"/>
    <col min="4" max="4" width="11.5714285714286" style="66" bestFit="1" customWidth="1"/>
    <col min="5" max="5" width="15.2857142857143" style="66" bestFit="1" customWidth="1"/>
    <col min="6" max="6" width="14.7142857142857" style="66" bestFit="1" customWidth="1"/>
    <col min="7" max="7" width="13.7142857142857" style="66" bestFit="1" customWidth="1"/>
    <col min="8" max="8" width="13.5714285714286" style="66" bestFit="1" customWidth="1"/>
    <col min="9" max="9" width="14.7142857142857" style="66" bestFit="1" customWidth="1"/>
    <col min="10" max="14" width="14.5714285714286" style="66" bestFit="1" customWidth="1"/>
    <col min="15" max="15" width="14.5714285714286" style="14" bestFit="1" customWidth="1"/>
    <col min="16" max="16" width="15.7142857142857" style="66" bestFit="1" customWidth="1"/>
    <col min="17" max="17" width="2.71428571428571" style="66" customWidth="1"/>
    <col min="18" max="18" width="12.7142857142857" style="66" bestFit="1" customWidth="1"/>
    <col min="19" max="20" width="11.5714285714286" style="66" customWidth="1"/>
    <col min="21" max="22" width="12.7142857142857" style="66" bestFit="1" customWidth="1"/>
    <col min="23" max="24" width="12.5714285714286" style="66" customWidth="1"/>
    <col min="25" max="25" width="12.5714285714286" style="66" bestFit="1" customWidth="1"/>
    <col min="26" max="26" width="12.5714285714286" style="66" customWidth="1"/>
    <col min="27" max="27" width="12.7142857142857" bestFit="1" customWidth="1"/>
    <col min="28" max="28" width="10.4285714285714" bestFit="1" customWidth="1"/>
  </cols>
  <sheetData>
    <row r="1" spans="1:26" ht="12.75">
      <c r="A1" s="5" t="str">
        <f>+'[3]Input Data'!$A$9</f>
        <v>2022 RATE CASE</v>
      </c>
      <c r="Q1"/>
      <c r="R1"/>
      <c r="S1"/>
      <c r="T1"/>
      <c r="U1"/>
      <c r="V1"/>
      <c r="W1"/>
      <c r="X1"/>
      <c r="Y1"/>
      <c r="Z1"/>
    </row>
    <row r="2" spans="1:26" ht="12.75">
      <c r="A2" s="8" t="str">
        <f>+'[3]Input Data'!$A$2</f>
        <v>ONCOR ELECTRIC DELIVERY COMPANY LLC</v>
      </c>
      <c r="Q2"/>
      <c r="R2"/>
      <c r="S2"/>
      <c r="T2"/>
      <c r="U2"/>
      <c r="V2"/>
      <c r="W2"/>
      <c r="X2"/>
      <c r="Y2"/>
      <c r="Z2"/>
    </row>
    <row r="3" spans="1:26" ht="12.75">
      <c r="A3" s="7" t="str">
        <f>CONCATENATE('[3]Schedule Sponsors'!$A$67,'[3]Schedule Sponsors'!$B$67," - MONTHLY LEASE AMOUNT AND PAYMENT - 2021")</f>
        <v>II-D-2.9  RENTS AND LEASES - MONTHLY LEASE AMOUNT AND PAYMENT - 2021</v>
      </c>
      <c r="Q3"/>
      <c r="R3"/>
      <c r="S3"/>
      <c r="T3"/>
      <c r="U3"/>
      <c r="V3"/>
      <c r="W3"/>
      <c r="X3"/>
      <c r="Y3"/>
      <c r="Z3"/>
    </row>
    <row r="4" spans="1:26" ht="12.75">
      <c r="A4" s="63" t="str">
        <f>+'[3]Input Data'!$A$4</f>
        <v>TEST YEAR ENDING DECEMBER 31, 2021</v>
      </c>
      <c r="Q4"/>
      <c r="R4"/>
      <c r="S4"/>
      <c r="T4"/>
      <c r="U4"/>
      <c r="V4"/>
      <c r="W4"/>
      <c r="X4"/>
      <c r="Y4"/>
      <c r="Z4"/>
    </row>
    <row r="5" spans="1:26" ht="12.75">
      <c r="A5" s="7" t="str">
        <f>CONCATENATE("SPONSOR: ",'[3]Schedule Sponsors'!$D$67)</f>
        <v>SPONSOR: W. ALAN LEDBETTER</v>
      </c>
      <c r="Q5"/>
      <c r="R5"/>
      <c r="S5"/>
      <c r="T5"/>
      <c r="U5"/>
      <c r="V5"/>
      <c r="W5"/>
      <c r="X5"/>
      <c r="Y5"/>
      <c r="Z5"/>
    </row>
    <row r="6" spans="17:26" ht="12.75">
      <c r="Q6"/>
      <c r="R6"/>
      <c r="S6"/>
      <c r="T6"/>
      <c r="U6"/>
      <c r="V6"/>
      <c r="W6"/>
      <c r="X6"/>
      <c r="Y6"/>
      <c r="Z6"/>
    </row>
    <row r="7" spans="17:26" ht="12.75">
      <c r="Q7"/>
      <c r="R7"/>
      <c r="S7"/>
      <c r="T7"/>
      <c r="U7"/>
      <c r="V7"/>
      <c r="W7"/>
      <c r="X7"/>
      <c r="Y7"/>
      <c r="Z7"/>
    </row>
    <row r="8" spans="17:26" ht="12.75">
      <c r="Q8"/>
      <c r="R8"/>
      <c r="S8"/>
      <c r="T8"/>
      <c r="U8"/>
      <c r="V8"/>
      <c r="W8"/>
      <c r="X8"/>
      <c r="Y8"/>
      <c r="Z8"/>
    </row>
    <row r="9" spans="17:26" ht="12.75">
      <c r="Q9"/>
      <c r="R9"/>
      <c r="S9"/>
      <c r="T9"/>
      <c r="U9"/>
      <c r="V9"/>
      <c r="W9"/>
      <c r="X9"/>
      <c r="Y9"/>
      <c r="Z9"/>
    </row>
    <row r="10" spans="1:27" s="138" customFormat="1" ht="12.75">
      <c r="A10" s="287" t="s">
        <v>87</v>
      </c>
      <c r="C10" s="230" t="s">
        <v>690</v>
      </c>
      <c r="D10" s="150"/>
      <c r="E10" s="150"/>
      <c r="F10" s="150"/>
      <c r="G10" s="150"/>
      <c r="H10" s="150"/>
      <c r="I10" s="150"/>
      <c r="J10" s="150"/>
      <c r="K10" s="150"/>
      <c r="L10" s="150"/>
      <c r="M10" s="150"/>
      <c r="N10" s="150"/>
      <c r="O10" s="289"/>
      <c r="P10" s="150"/>
      <c r="R10" s="230"/>
      <c r="S10" s="230" t="s">
        <v>716</v>
      </c>
      <c r="T10" s="230" t="s">
        <v>722</v>
      </c>
      <c r="U10" s="230" t="s">
        <v>717</v>
      </c>
      <c r="V10" s="230"/>
      <c r="W10" s="230" t="s">
        <v>716</v>
      </c>
      <c r="X10" s="230" t="s">
        <v>717</v>
      </c>
      <c r="Y10" s="230"/>
      <c r="Z10" s="230"/>
      <c r="AA10" s="230"/>
    </row>
    <row r="11" spans="1:27" s="287" customFormat="1" ht="12.75">
      <c r="A11" s="287" t="s">
        <v>121</v>
      </c>
      <c r="B11" s="287" t="s">
        <v>213</v>
      </c>
      <c r="C11" s="287" t="s">
        <v>209</v>
      </c>
      <c r="D11" s="290" t="s">
        <v>99</v>
      </c>
      <c r="E11" s="290" t="s">
        <v>100</v>
      </c>
      <c r="F11" s="290" t="s">
        <v>101</v>
      </c>
      <c r="G11" s="290" t="s">
        <v>102</v>
      </c>
      <c r="H11" s="290" t="s">
        <v>20</v>
      </c>
      <c r="I11" s="290" t="s">
        <v>103</v>
      </c>
      <c r="J11" s="290" t="s">
        <v>104</v>
      </c>
      <c r="K11" s="290" t="s">
        <v>105</v>
      </c>
      <c r="L11" s="290" t="s">
        <v>106</v>
      </c>
      <c r="M11" s="290" t="s">
        <v>107</v>
      </c>
      <c r="N11" s="290" t="s">
        <v>108</v>
      </c>
      <c r="O11" s="290" t="s">
        <v>109</v>
      </c>
      <c r="P11" s="291" t="s">
        <v>328</v>
      </c>
      <c r="R11" s="145" t="s">
        <v>294</v>
      </c>
      <c r="S11" s="145" t="s">
        <v>294</v>
      </c>
      <c r="T11" s="145" t="s">
        <v>723</v>
      </c>
      <c r="U11" s="145" t="s">
        <v>294</v>
      </c>
      <c r="V11" s="145" t="s">
        <v>295</v>
      </c>
      <c r="W11" s="145" t="s">
        <v>295</v>
      </c>
      <c r="X11" s="145" t="s">
        <v>295</v>
      </c>
      <c r="Y11" s="145" t="s">
        <v>283</v>
      </c>
      <c r="Z11" s="145" t="s">
        <v>126</v>
      </c>
      <c r="AA11" s="145" t="s">
        <v>216</v>
      </c>
    </row>
    <row r="12" spans="1:27" s="287" customFormat="1" ht="12.75">
      <c r="A12" s="292"/>
      <c r="B12" s="292" t="s">
        <v>44</v>
      </c>
      <c r="C12" s="292" t="s">
        <v>45</v>
      </c>
      <c r="D12" s="293" t="s">
        <v>74</v>
      </c>
      <c r="E12" s="293" t="s">
        <v>75</v>
      </c>
      <c r="F12" s="293" t="s">
        <v>76</v>
      </c>
      <c r="G12" s="293" t="s">
        <v>77</v>
      </c>
      <c r="H12" s="294" t="s">
        <v>78</v>
      </c>
      <c r="I12" s="294" t="s">
        <v>79</v>
      </c>
      <c r="J12" s="294" t="s">
        <v>80</v>
      </c>
      <c r="K12" s="294" t="s">
        <v>81</v>
      </c>
      <c r="L12" s="294" t="s">
        <v>82</v>
      </c>
      <c r="M12" s="294" t="s">
        <v>83</v>
      </c>
      <c r="N12" s="294" t="s">
        <v>84</v>
      </c>
      <c r="O12" s="294" t="s">
        <v>85</v>
      </c>
      <c r="P12" s="294" t="s">
        <v>86</v>
      </c>
      <c r="Q12" s="292"/>
      <c r="R12" s="295" t="s">
        <v>255</v>
      </c>
      <c r="S12" s="295" t="s">
        <v>128</v>
      </c>
      <c r="T12" s="295" t="s">
        <v>23</v>
      </c>
      <c r="U12" s="295" t="s">
        <v>24</v>
      </c>
      <c r="V12" s="295" t="s">
        <v>136</v>
      </c>
      <c r="W12" s="295" t="s">
        <v>68</v>
      </c>
      <c r="X12" s="295" t="s">
        <v>718</v>
      </c>
      <c r="Y12" s="295" t="s">
        <v>719</v>
      </c>
      <c r="Z12" s="295" t="s">
        <v>720</v>
      </c>
      <c r="AA12" s="295" t="s">
        <v>721</v>
      </c>
    </row>
    <row r="13" spans="4:27" s="287" customFormat="1" ht="12.75">
      <c r="D13" s="291"/>
      <c r="E13" s="291"/>
      <c r="F13" s="291"/>
      <c r="G13" s="291"/>
      <c r="H13" s="291"/>
      <c r="I13" s="291"/>
      <c r="J13" s="291"/>
      <c r="K13" s="291"/>
      <c r="L13" s="291"/>
      <c r="M13" s="291"/>
      <c r="N13" s="291"/>
      <c r="O13" s="291"/>
      <c r="P13" s="291"/>
      <c r="R13" s="291"/>
      <c r="S13" s="291"/>
      <c r="T13" s="291"/>
      <c r="U13" s="291"/>
      <c r="V13" s="291"/>
      <c r="W13" s="291"/>
      <c r="X13" s="291"/>
      <c r="Y13" s="291"/>
      <c r="Z13" s="291"/>
      <c r="AA13" s="291"/>
    </row>
    <row r="14" spans="1:29" s="106" customFormat="1" ht="12.75">
      <c r="A14" s="191">
        <v>1</v>
      </c>
      <c r="B14" t="s">
        <v>231</v>
      </c>
      <c r="C14" t="s">
        <v>862</v>
      </c>
      <c r="D14" s="250">
        <v>6185.3699999999999</v>
      </c>
      <c r="E14" s="250">
        <v>4764.8099999999995</v>
      </c>
      <c r="F14" s="250">
        <v>3942.9900000000002</v>
      </c>
      <c r="G14" s="250">
        <v>4833.6800000000003</v>
      </c>
      <c r="H14" s="250">
        <v>4439.3899999999994</v>
      </c>
      <c r="I14" s="250">
        <v>4439.1400000000003</v>
      </c>
      <c r="J14" s="250">
        <v>4270.4700000000003</v>
      </c>
      <c r="K14" s="250">
        <v>4276.7399999999998</v>
      </c>
      <c r="L14" s="250">
        <v>4550.3000000000002</v>
      </c>
      <c r="M14" s="250">
        <v>3692.1600000000003</v>
      </c>
      <c r="N14" s="250">
        <v>2762.1599999999999</v>
      </c>
      <c r="O14" s="250">
        <v>6360.7800000000007</v>
      </c>
      <c r="P14" s="252">
        <f>SUM(D14:O14)</f>
        <v>54517.990000000005</v>
      </c>
      <c r="Q14" s="250"/>
      <c r="R14" s="250">
        <v>52588.499999999993</v>
      </c>
      <c r="S14" s="250">
        <v>0</v>
      </c>
      <c r="T14" s="250">
        <v>0</v>
      </c>
      <c r="U14" s="252">
        <f>SUM(R14:T14)</f>
        <v>52588.499999999993</v>
      </c>
      <c r="V14" s="250">
        <v>0</v>
      </c>
      <c r="W14" s="250">
        <v>0</v>
      </c>
      <c r="X14" s="252">
        <f>SUM(V14:W14)</f>
        <v>0</v>
      </c>
      <c r="Y14" s="250">
        <v>1929.49</v>
      </c>
      <c r="Z14" s="250">
        <v>0</v>
      </c>
      <c r="AA14" s="252">
        <f>+Z14+Y14+X14+U14</f>
        <v>54517.989999999991</v>
      </c>
      <c r="AB14" t="b">
        <f>ROUND(+P14,2)=ROUND(AA14,2)</f>
        <v>1</v>
      </c>
      <c r="AC14"/>
    </row>
    <row r="15" spans="1:29" s="106" customFormat="1" ht="12.75">
      <c r="A15" s="191">
        <v>2</v>
      </c>
      <c r="B15" t="s">
        <v>232</v>
      </c>
      <c r="C15" t="s">
        <v>862</v>
      </c>
      <c r="D15" s="223">
        <v>2194.5</v>
      </c>
      <c r="E15" s="223">
        <v>1828.6300000000001</v>
      </c>
      <c r="F15" s="223">
        <v>1914.8299999999999</v>
      </c>
      <c r="G15" s="223">
        <v>2446.73</v>
      </c>
      <c r="H15" s="223">
        <v>2155.4499999999998</v>
      </c>
      <c r="I15" s="223">
        <v>1879.8299999999999</v>
      </c>
      <c r="J15" s="223">
        <v>1978.1599999999999</v>
      </c>
      <c r="K15" s="223">
        <v>2373.2800000000002</v>
      </c>
      <c r="L15" s="223">
        <v>1867.48</v>
      </c>
      <c r="M15" s="223">
        <v>2019.73</v>
      </c>
      <c r="N15" s="223">
        <v>1820.6399999999999</v>
      </c>
      <c r="O15" s="223">
        <v>1902.73</v>
      </c>
      <c r="P15" s="274">
        <f>SUM(D15:O15)</f>
        <v>24381.989999999998</v>
      </c>
      <c r="Q15" s="250"/>
      <c r="R15" s="251">
        <v>24381.989999999994</v>
      </c>
      <c r="S15" s="251">
        <v>0</v>
      </c>
      <c r="T15" s="251">
        <v>0</v>
      </c>
      <c r="U15" s="274">
        <f t="shared" si="0" ref="U15:U46">SUM(R15:T15)</f>
        <v>24381.989999999994</v>
      </c>
      <c r="V15" s="251">
        <v>0</v>
      </c>
      <c r="W15" s="251">
        <v>0</v>
      </c>
      <c r="X15" s="274">
        <f t="shared" si="1" ref="X15:X46">SUM(V15:W15)</f>
        <v>0</v>
      </c>
      <c r="Y15" s="251">
        <v>0</v>
      </c>
      <c r="Z15" s="251">
        <v>0</v>
      </c>
      <c r="AA15" s="274">
        <f t="shared" si="2" ref="AA15:AA46">+Z15+Y15+X15+U15</f>
        <v>24381.989999999994</v>
      </c>
      <c r="AB15" t="b">
        <f t="shared" si="3" ref="AB15:AB46">ROUND(+P15,2)=ROUND(AA15,2)</f>
        <v>1</v>
      </c>
      <c r="AC15"/>
    </row>
    <row r="16" spans="1:29" s="106" customFormat="1" ht="12.75">
      <c r="A16" s="191">
        <v>3</v>
      </c>
      <c r="B16" t="s">
        <v>233</v>
      </c>
      <c r="C16" t="s">
        <v>862</v>
      </c>
      <c r="D16" s="223">
        <v>25757.010000000006</v>
      </c>
      <c r="E16" s="223">
        <v>27953.560000000005</v>
      </c>
      <c r="F16" s="223">
        <v>32299.919999999998</v>
      </c>
      <c r="G16" s="223">
        <v>37456.900000000001</v>
      </c>
      <c r="H16" s="223">
        <v>30896.769999999993</v>
      </c>
      <c r="I16" s="223">
        <v>37839.209999999999</v>
      </c>
      <c r="J16" s="223">
        <v>27339.879999999994</v>
      </c>
      <c r="K16" s="223">
        <v>38269.160000000003</v>
      </c>
      <c r="L16" s="223">
        <v>34457.619999999995</v>
      </c>
      <c r="M16" s="223">
        <v>50727.019999999997</v>
      </c>
      <c r="N16" s="223">
        <v>30807.109999999997</v>
      </c>
      <c r="O16" s="223">
        <v>50937.329999999994</v>
      </c>
      <c r="P16" s="274">
        <f t="shared" si="4" ref="P16:P46">SUM(D16:O16)</f>
        <v>424741.49000000005</v>
      </c>
      <c r="Q16" s="250"/>
      <c r="R16" s="251">
        <v>364191.40000000002</v>
      </c>
      <c r="S16" s="251">
        <v>0</v>
      </c>
      <c r="T16" s="251">
        <v>0</v>
      </c>
      <c r="U16" s="274">
        <f t="shared" si="0"/>
        <v>364191.40000000002</v>
      </c>
      <c r="V16" s="251">
        <v>60550.090000000026</v>
      </c>
      <c r="W16" s="251">
        <v>0</v>
      </c>
      <c r="X16" s="274">
        <f t="shared" si="1"/>
        <v>60550.090000000026</v>
      </c>
      <c r="Y16" s="251">
        <v>0</v>
      </c>
      <c r="Z16" s="251">
        <v>0</v>
      </c>
      <c r="AA16" s="274">
        <f t="shared" si="2"/>
        <v>424741.49000000005</v>
      </c>
      <c r="AB16" t="b">
        <f t="shared" si="3"/>
        <v>1</v>
      </c>
      <c r="AC16"/>
    </row>
    <row r="17" spans="1:29" s="106" customFormat="1" ht="12.75">
      <c r="A17" s="191">
        <v>4</v>
      </c>
      <c r="B17" t="s">
        <v>234</v>
      </c>
      <c r="C17" t="s">
        <v>862</v>
      </c>
      <c r="D17" s="223">
        <v>8325.2200000000012</v>
      </c>
      <c r="E17" s="223">
        <v>14437.750000000006</v>
      </c>
      <c r="F17" s="223">
        <v>14890.489999999996</v>
      </c>
      <c r="G17" s="223">
        <v>14084.570000000002</v>
      </c>
      <c r="H17" s="223">
        <v>15017.569999999998</v>
      </c>
      <c r="I17" s="223">
        <v>20848.200000000001</v>
      </c>
      <c r="J17" s="223">
        <v>17346.640000000003</v>
      </c>
      <c r="K17" s="223">
        <v>34246.880000000005</v>
      </c>
      <c r="L17" s="223">
        <v>23792.109999999993</v>
      </c>
      <c r="M17" s="223">
        <v>12009.199999999999</v>
      </c>
      <c r="N17" s="223">
        <v>5892.119999999999</v>
      </c>
      <c r="O17" s="223">
        <v>16969.749999999996</v>
      </c>
      <c r="P17" s="274">
        <f t="shared" si="4"/>
        <v>197860.5</v>
      </c>
      <c r="Q17" s="250"/>
      <c r="R17" s="251">
        <v>197860.49999999985</v>
      </c>
      <c r="S17" s="251">
        <v>0</v>
      </c>
      <c r="T17" s="251">
        <v>0</v>
      </c>
      <c r="U17" s="274">
        <f t="shared" si="0"/>
        <v>197860.49999999985</v>
      </c>
      <c r="V17" s="251">
        <v>0</v>
      </c>
      <c r="W17" s="251">
        <v>0</v>
      </c>
      <c r="X17" s="274">
        <f t="shared" si="1"/>
        <v>0</v>
      </c>
      <c r="Y17" s="251">
        <v>0</v>
      </c>
      <c r="Z17" s="251">
        <v>0</v>
      </c>
      <c r="AA17" s="274">
        <f t="shared" si="2"/>
        <v>197860.49999999985</v>
      </c>
      <c r="AB17" t="b">
        <f t="shared" si="3"/>
        <v>1</v>
      </c>
      <c r="AC17"/>
    </row>
    <row r="18" spans="1:29" s="106" customFormat="1" ht="12.75">
      <c r="A18" s="191">
        <v>5</v>
      </c>
      <c r="B18" t="s">
        <v>236</v>
      </c>
      <c r="C18" t="s">
        <v>862</v>
      </c>
      <c r="D18" s="223">
        <v>174657.29000000001</v>
      </c>
      <c r="E18" s="223">
        <v>147733.57999999999</v>
      </c>
      <c r="F18" s="223">
        <v>134379.66</v>
      </c>
      <c r="G18" s="223">
        <v>182692.93999999994</v>
      </c>
      <c r="H18" s="223">
        <v>152683.41999999993</v>
      </c>
      <c r="I18" s="223">
        <v>214839.68999999997</v>
      </c>
      <c r="J18" s="223">
        <v>187700.99999999997</v>
      </c>
      <c r="K18" s="223">
        <v>173457.89000000001</v>
      </c>
      <c r="L18" s="223">
        <v>177917.12</v>
      </c>
      <c r="M18" s="223">
        <v>226491.19000000006</v>
      </c>
      <c r="N18" s="223">
        <v>141059.72000000003</v>
      </c>
      <c r="O18" s="223">
        <v>214671.56999999998</v>
      </c>
      <c r="P18" s="274">
        <f t="shared" si="4"/>
        <v>2128285.0699999998</v>
      </c>
      <c r="Q18" s="250"/>
      <c r="R18" s="251">
        <v>2107921.4200000013</v>
      </c>
      <c r="S18" s="251">
        <v>0</v>
      </c>
      <c r="T18" s="251">
        <v>0</v>
      </c>
      <c r="U18" s="274">
        <f t="shared" si="0"/>
        <v>2107921.4200000013</v>
      </c>
      <c r="V18" s="251">
        <v>20363.649999999998</v>
      </c>
      <c r="W18" s="251">
        <v>0</v>
      </c>
      <c r="X18" s="274">
        <f t="shared" si="1"/>
        <v>20363.649999999998</v>
      </c>
      <c r="Y18" s="251">
        <v>0</v>
      </c>
      <c r="Z18" s="251">
        <v>0</v>
      </c>
      <c r="AA18" s="274">
        <f t="shared" si="2"/>
        <v>2128285.0700000012</v>
      </c>
      <c r="AB18" t="b">
        <f t="shared" si="3"/>
        <v>1</v>
      </c>
      <c r="AC18"/>
    </row>
    <row r="19" spans="1:29" s="106" customFormat="1" ht="12.75">
      <c r="A19" s="191">
        <v>6</v>
      </c>
      <c r="B19" t="s">
        <v>238</v>
      </c>
      <c r="C19" t="s">
        <v>862</v>
      </c>
      <c r="D19" s="223">
        <v>1942.1500000000001</v>
      </c>
      <c r="E19" s="223">
        <v>2109.6399999999999</v>
      </c>
      <c r="F19" s="223">
        <v>2248.4299999999998</v>
      </c>
      <c r="G19" s="223">
        <v>2318.0600000000004</v>
      </c>
      <c r="H19" s="223">
        <v>2398.2200000000003</v>
      </c>
      <c r="I19" s="223">
        <v>2115.71</v>
      </c>
      <c r="J19" s="223">
        <v>2612.1900000000001</v>
      </c>
      <c r="K19" s="223">
        <v>2891.2599999999998</v>
      </c>
      <c r="L19" s="223">
        <v>3130.8800000000001</v>
      </c>
      <c r="M19" s="223">
        <v>2716.2200000000003</v>
      </c>
      <c r="N19" s="223">
        <v>737.09000000000026</v>
      </c>
      <c r="O19" s="223">
        <v>2991.3200000000002</v>
      </c>
      <c r="P19" s="274">
        <f t="shared" si="4"/>
        <v>28211.170000000002</v>
      </c>
      <c r="Q19" s="250"/>
      <c r="R19" s="251">
        <v>28211.170000000002</v>
      </c>
      <c r="S19" s="251">
        <v>0</v>
      </c>
      <c r="T19" s="251">
        <v>0</v>
      </c>
      <c r="U19" s="274">
        <f t="shared" si="0"/>
        <v>28211.170000000002</v>
      </c>
      <c r="V19" s="251">
        <v>0</v>
      </c>
      <c r="W19" s="251">
        <v>0</v>
      </c>
      <c r="X19" s="274">
        <f t="shared" si="1"/>
        <v>0</v>
      </c>
      <c r="Y19" s="251">
        <v>0</v>
      </c>
      <c r="Z19" s="251">
        <v>0</v>
      </c>
      <c r="AA19" s="274">
        <f t="shared" si="2"/>
        <v>28211.170000000002</v>
      </c>
      <c r="AB19" t="b">
        <f t="shared" si="3"/>
        <v>1</v>
      </c>
      <c r="AC19"/>
    </row>
    <row r="20" spans="1:29" s="106" customFormat="1" ht="12.75">
      <c r="A20" s="191">
        <v>7</v>
      </c>
      <c r="B20" t="s">
        <v>239</v>
      </c>
      <c r="C20" t="s">
        <v>862</v>
      </c>
      <c r="D20" s="223">
        <v>445.31999999999999</v>
      </c>
      <c r="E20" s="223">
        <v>386.06</v>
      </c>
      <c r="F20" s="223">
        <v>292.06</v>
      </c>
      <c r="G20" s="223">
        <v>362.13000000000005</v>
      </c>
      <c r="H20" s="223">
        <v>327.05000000000001</v>
      </c>
      <c r="I20" s="223">
        <v>507.24000000000001</v>
      </c>
      <c r="J20" s="223">
        <v>496.17000000000002</v>
      </c>
      <c r="K20" s="223">
        <v>340.79000000000002</v>
      </c>
      <c r="L20" s="223">
        <v>267</v>
      </c>
      <c r="M20" s="223">
        <v>322.98000000000002</v>
      </c>
      <c r="N20" s="223">
        <v>366.02999999999997</v>
      </c>
      <c r="O20" s="223">
        <v>439.28000000000003</v>
      </c>
      <c r="P20" s="274">
        <f t="shared" si="4"/>
        <v>4552.1099999999997</v>
      </c>
      <c r="Q20" s="250"/>
      <c r="R20" s="251">
        <v>4552.1099999999979</v>
      </c>
      <c r="S20" s="251">
        <v>0</v>
      </c>
      <c r="T20" s="251">
        <v>0</v>
      </c>
      <c r="U20" s="274">
        <f t="shared" si="0"/>
        <v>4552.1099999999979</v>
      </c>
      <c r="V20" s="251">
        <v>0</v>
      </c>
      <c r="W20" s="251">
        <v>0</v>
      </c>
      <c r="X20" s="274">
        <f t="shared" si="1"/>
        <v>0</v>
      </c>
      <c r="Y20" s="251">
        <v>0</v>
      </c>
      <c r="Z20" s="251">
        <v>0</v>
      </c>
      <c r="AA20" s="274">
        <f t="shared" si="2"/>
        <v>4552.1099999999979</v>
      </c>
      <c r="AB20" t="b">
        <f t="shared" si="3"/>
        <v>1</v>
      </c>
      <c r="AC20"/>
    </row>
    <row r="21" spans="1:29" s="106" customFormat="1" ht="12.75">
      <c r="A21" s="191">
        <v>8</v>
      </c>
      <c r="B21" t="s">
        <v>240</v>
      </c>
      <c r="C21" t="s">
        <v>862</v>
      </c>
      <c r="D21" s="223">
        <v>65555.000000000029</v>
      </c>
      <c r="E21" s="223">
        <v>76967.989999999962</v>
      </c>
      <c r="F21" s="223">
        <v>77019.210000000036</v>
      </c>
      <c r="G21" s="223">
        <v>12323.850000000022</v>
      </c>
      <c r="H21" s="223">
        <v>84493.020000000019</v>
      </c>
      <c r="I21" s="223">
        <v>86808.610000000001</v>
      </c>
      <c r="J21" s="223">
        <v>85863.380000000034</v>
      </c>
      <c r="K21" s="223">
        <v>100014.38999999999</v>
      </c>
      <c r="L21" s="223">
        <v>84469.070000000007</v>
      </c>
      <c r="M21" s="223">
        <v>97099.440000000046</v>
      </c>
      <c r="N21" s="223">
        <v>76530.179999999978</v>
      </c>
      <c r="O21" s="223">
        <v>108604.71999999997</v>
      </c>
      <c r="P21" s="274">
        <f t="shared" si="4"/>
        <v>955748.85999999999</v>
      </c>
      <c r="Q21" s="250"/>
      <c r="R21" s="251">
        <v>879986.53000000049</v>
      </c>
      <c r="S21" s="251">
        <v>0</v>
      </c>
      <c r="T21" s="251">
        <v>0</v>
      </c>
      <c r="U21" s="274">
        <f t="shared" si="0"/>
        <v>879986.53000000049</v>
      </c>
      <c r="V21" s="251">
        <v>75762.330000000045</v>
      </c>
      <c r="W21" s="251">
        <v>0</v>
      </c>
      <c r="X21" s="274">
        <f t="shared" si="1"/>
        <v>75762.330000000045</v>
      </c>
      <c r="Y21" s="251">
        <v>0</v>
      </c>
      <c r="Z21" s="251">
        <v>0</v>
      </c>
      <c r="AA21" s="274">
        <f t="shared" si="2"/>
        <v>955748.86000000057</v>
      </c>
      <c r="AB21" t="b">
        <f t="shared" si="3"/>
        <v>1</v>
      </c>
      <c r="AC21"/>
    </row>
    <row r="22" spans="1:28" ht="12.75">
      <c r="A22" s="191">
        <v>9</v>
      </c>
      <c r="B22" t="s">
        <v>241</v>
      </c>
      <c r="C22" t="s">
        <v>862</v>
      </c>
      <c r="D22" s="223">
        <v>115698.24000000002</v>
      </c>
      <c r="E22" s="223">
        <v>82047.319999999992</v>
      </c>
      <c r="F22" s="223">
        <v>74696.25</v>
      </c>
      <c r="G22" s="223">
        <v>107546.86000000002</v>
      </c>
      <c r="H22" s="223">
        <v>91285.100000000035</v>
      </c>
      <c r="I22" s="223">
        <v>85374.339999999997</v>
      </c>
      <c r="J22" s="223">
        <v>106974.97000000006</v>
      </c>
      <c r="K22" s="223">
        <v>134862.41999999996</v>
      </c>
      <c r="L22" s="223">
        <v>88713.169999999984</v>
      </c>
      <c r="M22" s="223">
        <v>122021.02999999998</v>
      </c>
      <c r="N22" s="223">
        <v>75594.469999999972</v>
      </c>
      <c r="O22" s="223">
        <v>127482.67000000007</v>
      </c>
      <c r="P22" s="274">
        <f t="shared" si="4"/>
        <v>1212296.8400000003</v>
      </c>
      <c r="Q22" s="250"/>
      <c r="R22" s="251">
        <v>1211936.2599999965</v>
      </c>
      <c r="S22" s="251">
        <v>0</v>
      </c>
      <c r="T22" s="251">
        <v>0</v>
      </c>
      <c r="U22" s="274">
        <f t="shared" si="0"/>
        <v>1211936.2599999965</v>
      </c>
      <c r="V22" s="251">
        <v>360.57999999999998</v>
      </c>
      <c r="W22" s="251">
        <v>0</v>
      </c>
      <c r="X22" s="274">
        <f t="shared" si="1"/>
        <v>360.57999999999998</v>
      </c>
      <c r="Y22" s="251">
        <v>0</v>
      </c>
      <c r="Z22" s="251">
        <v>0</v>
      </c>
      <c r="AA22" s="274">
        <f t="shared" si="2"/>
        <v>1212296.8399999966</v>
      </c>
      <c r="AB22" t="b">
        <f t="shared" si="3"/>
        <v>1</v>
      </c>
    </row>
    <row r="23" spans="1:28" ht="12.75">
      <c r="A23" s="191">
        <v>10</v>
      </c>
      <c r="B23" t="s">
        <v>243</v>
      </c>
      <c r="C23" t="s">
        <v>862</v>
      </c>
      <c r="D23" s="223">
        <v>47700.340000000004</v>
      </c>
      <c r="E23" s="223">
        <v>33655.57</v>
      </c>
      <c r="F23" s="223">
        <v>32439.770000000004</v>
      </c>
      <c r="G23" s="223">
        <v>44944.560000000005</v>
      </c>
      <c r="H23" s="223">
        <v>67398.999999999985</v>
      </c>
      <c r="I23" s="223">
        <v>34940.439999999995</v>
      </c>
      <c r="J23" s="223">
        <v>45543.660000000003</v>
      </c>
      <c r="K23" s="223">
        <v>54664.450000000004</v>
      </c>
      <c r="L23" s="223">
        <v>48103.809999999998</v>
      </c>
      <c r="M23" s="223">
        <v>33545.149999999994</v>
      </c>
      <c r="N23" s="223">
        <v>41806.470000000008</v>
      </c>
      <c r="O23" s="223">
        <v>42289.349999999999</v>
      </c>
      <c r="P23" s="274">
        <f t="shared" si="4"/>
        <v>527032.57000000007</v>
      </c>
      <c r="Q23"/>
      <c r="R23" s="251">
        <v>526657.0500000004</v>
      </c>
      <c r="S23" s="251">
        <v>0</v>
      </c>
      <c r="T23" s="251">
        <v>0</v>
      </c>
      <c r="U23" s="274">
        <f t="shared" si="0"/>
        <v>526657.0500000004</v>
      </c>
      <c r="V23" s="251">
        <v>375.51999999999998</v>
      </c>
      <c r="W23" s="251">
        <v>0</v>
      </c>
      <c r="X23" s="274">
        <f t="shared" si="1"/>
        <v>375.51999999999998</v>
      </c>
      <c r="Y23" s="251">
        <v>0</v>
      </c>
      <c r="Z23" s="251">
        <v>0</v>
      </c>
      <c r="AA23" s="274">
        <f t="shared" si="2"/>
        <v>527032.57000000041</v>
      </c>
      <c r="AB23" t="b">
        <f t="shared" si="3"/>
        <v>1</v>
      </c>
    </row>
    <row r="24" spans="1:28" ht="12.75">
      <c r="A24" s="191">
        <v>11</v>
      </c>
      <c r="B24" t="s">
        <v>250</v>
      </c>
      <c r="C24" t="s">
        <v>862</v>
      </c>
      <c r="D24" s="223">
        <v>9266.1299999999974</v>
      </c>
      <c r="E24" s="223">
        <v>11891.360000000001</v>
      </c>
      <c r="F24" s="223">
        <v>12705.710000000001</v>
      </c>
      <c r="G24" s="223">
        <v>10596.690000000001</v>
      </c>
      <c r="H24" s="223">
        <v>14350.520000000002</v>
      </c>
      <c r="I24" s="223">
        <v>12972.429999999999</v>
      </c>
      <c r="J24" s="223">
        <v>2871.2099999999973</v>
      </c>
      <c r="K24" s="223">
        <v>12198.100000000002</v>
      </c>
      <c r="L24" s="223">
        <v>15904.06</v>
      </c>
      <c r="M24" s="223">
        <v>11102.469999999994</v>
      </c>
      <c r="N24" s="223">
        <v>18698.349999999999</v>
      </c>
      <c r="O24" s="223">
        <v>18064.669999999998</v>
      </c>
      <c r="P24" s="274">
        <f t="shared" si="4"/>
        <v>150621.70000000001</v>
      </c>
      <c r="R24" s="251">
        <v>372.69999999999999</v>
      </c>
      <c r="S24" s="251">
        <v>0</v>
      </c>
      <c r="T24" s="251">
        <v>0</v>
      </c>
      <c r="U24" s="274">
        <f t="shared" si="0"/>
        <v>372.69999999999999</v>
      </c>
      <c r="V24" s="251">
        <v>134537.36000000004</v>
      </c>
      <c r="W24" s="251">
        <v>0</v>
      </c>
      <c r="X24" s="274">
        <f t="shared" si="1"/>
        <v>134537.36000000004</v>
      </c>
      <c r="Y24" s="251">
        <v>15711.640000000003</v>
      </c>
      <c r="Z24" s="251">
        <v>0</v>
      </c>
      <c r="AA24" s="274">
        <f t="shared" si="2"/>
        <v>150621.70000000007</v>
      </c>
      <c r="AB24" t="b">
        <f t="shared" si="3"/>
        <v>1</v>
      </c>
    </row>
    <row r="25" spans="1:28" ht="12.75">
      <c r="A25" s="191">
        <v>12</v>
      </c>
      <c r="B25" t="s">
        <v>244</v>
      </c>
      <c r="C25" t="s">
        <v>862</v>
      </c>
      <c r="D25" s="223">
        <v>233.80000000000001</v>
      </c>
      <c r="E25" s="223">
        <v>0</v>
      </c>
      <c r="F25" s="223">
        <v>2025.25</v>
      </c>
      <c r="G25" s="223">
        <v>0</v>
      </c>
      <c r="H25" s="223">
        <v>546.71000000000004</v>
      </c>
      <c r="I25" s="223">
        <v>0</v>
      </c>
      <c r="J25" s="223">
        <v>1443.47</v>
      </c>
      <c r="K25" s="223">
        <v>408.31</v>
      </c>
      <c r="L25" s="223">
        <v>0</v>
      </c>
      <c r="M25" s="223">
        <v>0</v>
      </c>
      <c r="N25" s="223">
        <v>277.24000000000001</v>
      </c>
      <c r="O25" s="223">
        <v>0</v>
      </c>
      <c r="P25" s="274">
        <f t="shared" si="4"/>
        <v>4934.7800000000007</v>
      </c>
      <c r="R25" s="251">
        <v>0</v>
      </c>
      <c r="S25" s="251">
        <v>0</v>
      </c>
      <c r="T25" s="251">
        <v>0</v>
      </c>
      <c r="U25" s="274">
        <f t="shared" si="0"/>
        <v>0</v>
      </c>
      <c r="V25" s="251">
        <v>4934.7799999999997</v>
      </c>
      <c r="W25" s="251">
        <v>0</v>
      </c>
      <c r="X25" s="274">
        <f t="shared" si="1"/>
        <v>4934.7799999999997</v>
      </c>
      <c r="Y25" s="251">
        <v>0</v>
      </c>
      <c r="Z25" s="251">
        <v>0</v>
      </c>
      <c r="AA25" s="274">
        <f t="shared" si="2"/>
        <v>4934.7799999999997</v>
      </c>
      <c r="AB25" t="b">
        <f t="shared" si="3"/>
        <v>1</v>
      </c>
    </row>
    <row r="26" spans="1:28" ht="12.75">
      <c r="A26" s="191">
        <v>13</v>
      </c>
      <c r="B26" t="s">
        <v>245</v>
      </c>
      <c r="C26" t="s">
        <v>862</v>
      </c>
      <c r="D26" s="223">
        <v>48923.200000000012</v>
      </c>
      <c r="E26" s="223">
        <v>51845.590000000004</v>
      </c>
      <c r="F26" s="223">
        <v>61864.639999999985</v>
      </c>
      <c r="G26" s="223">
        <v>67407.139999999999</v>
      </c>
      <c r="H26" s="223">
        <v>52629.44000000001</v>
      </c>
      <c r="I26" s="223">
        <v>78495.079999999987</v>
      </c>
      <c r="J26" s="223">
        <v>65509.869999999995</v>
      </c>
      <c r="K26" s="223">
        <v>50700.69999999999</v>
      </c>
      <c r="L26" s="223">
        <v>55906.610000000015</v>
      </c>
      <c r="M26" s="223">
        <v>84290.470000000001</v>
      </c>
      <c r="N26" s="223">
        <v>44455.279999999977</v>
      </c>
      <c r="O26" s="223">
        <v>78088.160000000003</v>
      </c>
      <c r="P26" s="274">
        <f t="shared" si="4"/>
        <v>740116.18000000005</v>
      </c>
      <c r="R26" s="251">
        <v>22185.670000000006</v>
      </c>
      <c r="S26" s="251">
        <v>0</v>
      </c>
      <c r="T26" s="251">
        <v>0</v>
      </c>
      <c r="U26" s="274">
        <f t="shared" si="0"/>
        <v>22185.670000000006</v>
      </c>
      <c r="V26" s="251">
        <v>717930.51000000001</v>
      </c>
      <c r="W26" s="251">
        <v>0</v>
      </c>
      <c r="X26" s="274">
        <f t="shared" si="1"/>
        <v>717930.51000000001</v>
      </c>
      <c r="Y26" s="251">
        <v>0</v>
      </c>
      <c r="Z26" s="251">
        <v>0</v>
      </c>
      <c r="AA26" s="274">
        <f t="shared" si="2"/>
        <v>740116.18000000005</v>
      </c>
      <c r="AB26" t="b">
        <f t="shared" si="3"/>
        <v>1</v>
      </c>
    </row>
    <row r="27" spans="1:28" ht="12.75">
      <c r="A27" s="191">
        <v>14</v>
      </c>
      <c r="B27" t="s">
        <v>155</v>
      </c>
      <c r="C27" t="s">
        <v>862</v>
      </c>
      <c r="D27" s="223">
        <v>458363.90000000008</v>
      </c>
      <c r="E27" s="223">
        <v>182157.44999999995</v>
      </c>
      <c r="F27" s="223">
        <v>235839.67000000022</v>
      </c>
      <c r="G27" s="223">
        <v>271391.55999999994</v>
      </c>
      <c r="H27" s="223">
        <v>246809.28999999986</v>
      </c>
      <c r="I27" s="223">
        <v>216456.25000000015</v>
      </c>
      <c r="J27" s="223">
        <v>272992.52000000025</v>
      </c>
      <c r="K27" s="223">
        <v>271398.90999999992</v>
      </c>
      <c r="L27" s="223">
        <v>323626.12000000023</v>
      </c>
      <c r="M27" s="223">
        <v>292937.45000000019</v>
      </c>
      <c r="N27" s="223">
        <v>295119.27000000008</v>
      </c>
      <c r="O27" s="223">
        <v>447170.84999999992</v>
      </c>
      <c r="P27" s="274">
        <f t="shared" si="4"/>
        <v>3514263.2400000007</v>
      </c>
      <c r="R27" s="251">
        <v>200.75</v>
      </c>
      <c r="S27" s="251">
        <v>0</v>
      </c>
      <c r="T27" s="251">
        <v>0</v>
      </c>
      <c r="U27" s="274">
        <f t="shared" si="0"/>
        <v>200.75</v>
      </c>
      <c r="V27" s="251">
        <v>3513231.8299999922</v>
      </c>
      <c r="W27" s="251">
        <v>0</v>
      </c>
      <c r="X27" s="274">
        <f t="shared" si="1"/>
        <v>3513231.8299999922</v>
      </c>
      <c r="Y27" s="251">
        <v>830.66000000000008</v>
      </c>
      <c r="Z27" s="251">
        <v>0</v>
      </c>
      <c r="AA27" s="274">
        <f t="shared" si="2"/>
        <v>3514263.2399999923</v>
      </c>
      <c r="AB27" t="b">
        <f t="shared" si="3"/>
        <v>1</v>
      </c>
    </row>
    <row r="28" spans="1:28" ht="12.75">
      <c r="A28" s="191">
        <v>15</v>
      </c>
      <c r="B28" t="s">
        <v>246</v>
      </c>
      <c r="C28" t="s">
        <v>862</v>
      </c>
      <c r="D28" s="223">
        <v>58865.020000000011</v>
      </c>
      <c r="E28" s="223">
        <v>54624.409999999982</v>
      </c>
      <c r="F28" s="223">
        <v>88385.580000000016</v>
      </c>
      <c r="G28" s="223">
        <v>69685.109999999986</v>
      </c>
      <c r="H28" s="223">
        <v>31657.140000000007</v>
      </c>
      <c r="I28" s="223">
        <v>64700.059999999998</v>
      </c>
      <c r="J28" s="223">
        <v>61555.260000000024</v>
      </c>
      <c r="K28" s="223">
        <v>71656.430000000037</v>
      </c>
      <c r="L28" s="223">
        <v>80138.210000000021</v>
      </c>
      <c r="M28" s="223">
        <v>72861.970000000016</v>
      </c>
      <c r="N28" s="223">
        <v>54967.700000000004</v>
      </c>
      <c r="O28" s="223">
        <v>125755.97</v>
      </c>
      <c r="P28" s="274">
        <f t="shared" si="4"/>
        <v>834852.85999999999</v>
      </c>
      <c r="R28" s="251">
        <v>0</v>
      </c>
      <c r="S28" s="251">
        <v>0</v>
      </c>
      <c r="T28" s="251">
        <v>0</v>
      </c>
      <c r="U28" s="274">
        <f t="shared" si="0"/>
        <v>0</v>
      </c>
      <c r="V28" s="251">
        <v>834415.66000000143</v>
      </c>
      <c r="W28" s="251">
        <v>0</v>
      </c>
      <c r="X28" s="274">
        <f t="shared" si="1"/>
        <v>834415.66000000143</v>
      </c>
      <c r="Y28" s="251">
        <v>437.19999999999999</v>
      </c>
      <c r="Z28" s="251">
        <v>0</v>
      </c>
      <c r="AA28" s="274">
        <f t="shared" si="2"/>
        <v>834852.86000000138</v>
      </c>
      <c r="AB28" t="b">
        <f t="shared" si="3"/>
        <v>1</v>
      </c>
    </row>
    <row r="29" spans="1:28" ht="12.75">
      <c r="A29" s="191">
        <v>16</v>
      </c>
      <c r="B29" t="s">
        <v>247</v>
      </c>
      <c r="C29" t="s">
        <v>862</v>
      </c>
      <c r="D29" s="223">
        <v>215553.18000000002</v>
      </c>
      <c r="E29" s="223">
        <v>213037.80999999991</v>
      </c>
      <c r="F29" s="223">
        <v>216116.10000000006</v>
      </c>
      <c r="G29" s="223">
        <v>246311.52999999994</v>
      </c>
      <c r="H29" s="223">
        <v>274641.01000000001</v>
      </c>
      <c r="I29" s="223">
        <v>183419.04999999996</v>
      </c>
      <c r="J29" s="223">
        <v>276988.14000000007</v>
      </c>
      <c r="K29" s="223">
        <v>252781.85000000001</v>
      </c>
      <c r="L29" s="223">
        <v>308168.64999999979</v>
      </c>
      <c r="M29" s="223">
        <v>275202.52000000002</v>
      </c>
      <c r="N29" s="223">
        <v>290167.0799999999</v>
      </c>
      <c r="O29" s="223">
        <v>311001.21999999974</v>
      </c>
      <c r="P29" s="274">
        <f t="shared" si="4"/>
        <v>3063388.1399999997</v>
      </c>
      <c r="R29" s="251">
        <v>0</v>
      </c>
      <c r="S29" s="251">
        <v>0</v>
      </c>
      <c r="T29" s="251">
        <v>0</v>
      </c>
      <c r="U29" s="274">
        <f t="shared" si="0"/>
        <v>0</v>
      </c>
      <c r="V29" s="251">
        <v>0</v>
      </c>
      <c r="W29" s="251">
        <v>0</v>
      </c>
      <c r="X29" s="274">
        <f t="shared" si="1"/>
        <v>0</v>
      </c>
      <c r="Y29" s="251">
        <v>3063388.1399999973</v>
      </c>
      <c r="Z29" s="251">
        <v>0</v>
      </c>
      <c r="AA29" s="274">
        <f t="shared" si="2"/>
        <v>3063388.1399999973</v>
      </c>
      <c r="AB29" t="b">
        <f t="shared" si="3"/>
        <v>1</v>
      </c>
    </row>
    <row r="30" spans="1:28" ht="12.75">
      <c r="A30" s="191">
        <v>17</v>
      </c>
      <c r="B30" t="s">
        <v>248</v>
      </c>
      <c r="C30" t="s">
        <v>862</v>
      </c>
      <c r="D30" s="223">
        <v>19461.939999999999</v>
      </c>
      <c r="E30" s="223">
        <v>10776.950000000001</v>
      </c>
      <c r="F30" s="223">
        <v>25195.939999999999</v>
      </c>
      <c r="G30" s="223">
        <v>26926.910000000003</v>
      </c>
      <c r="H30" s="223">
        <v>25012.540000000005</v>
      </c>
      <c r="I30" s="223">
        <v>38930.879999999983</v>
      </c>
      <c r="J30" s="223">
        <v>35518.500000000007</v>
      </c>
      <c r="K30" s="223">
        <v>35244.369999999995</v>
      </c>
      <c r="L30" s="223">
        <v>48745.870000000003</v>
      </c>
      <c r="M30" s="223">
        <v>30876.399999999994</v>
      </c>
      <c r="N30" s="223">
        <v>35967.449999999997</v>
      </c>
      <c r="O30" s="223">
        <v>37635.999999999985</v>
      </c>
      <c r="P30" s="274">
        <f t="shared" si="4"/>
        <v>370293.75000000006</v>
      </c>
      <c r="R30" s="251">
        <v>0</v>
      </c>
      <c r="S30" s="251">
        <v>0</v>
      </c>
      <c r="T30" s="251">
        <v>0</v>
      </c>
      <c r="U30" s="274">
        <f t="shared" si="0"/>
        <v>0</v>
      </c>
      <c r="V30" s="251">
        <v>370262.69000000006</v>
      </c>
      <c r="W30" s="251">
        <v>0</v>
      </c>
      <c r="X30" s="274">
        <f t="shared" si="1"/>
        <v>370262.69000000006</v>
      </c>
      <c r="Y30" s="251">
        <v>31.059999999999999</v>
      </c>
      <c r="Z30" s="251">
        <v>0</v>
      </c>
      <c r="AA30" s="274">
        <f t="shared" si="2"/>
        <v>370293.75000000006</v>
      </c>
      <c r="AB30" t="b">
        <f t="shared" si="3"/>
        <v>1</v>
      </c>
    </row>
    <row r="31" spans="1:28" ht="12.75">
      <c r="A31" s="191">
        <v>18</v>
      </c>
      <c r="B31" t="s">
        <v>251</v>
      </c>
      <c r="C31" t="s">
        <v>862</v>
      </c>
      <c r="D31" s="223">
        <v>277908.52999999997</v>
      </c>
      <c r="E31" s="223">
        <v>260063.16000000021</v>
      </c>
      <c r="F31" s="223">
        <v>331326.34999999992</v>
      </c>
      <c r="G31" s="223">
        <v>365131.57000000007</v>
      </c>
      <c r="H31" s="223">
        <v>319343.09000000008</v>
      </c>
      <c r="I31" s="223">
        <v>286882.4200000001</v>
      </c>
      <c r="J31" s="223">
        <v>349959.4800000001</v>
      </c>
      <c r="K31" s="223">
        <v>397958.79999999987</v>
      </c>
      <c r="L31" s="223">
        <v>428713.64000000013</v>
      </c>
      <c r="M31" s="223">
        <v>394147.05999999994</v>
      </c>
      <c r="N31" s="223">
        <v>374976.5799999999</v>
      </c>
      <c r="O31" s="223">
        <v>532474.99999999965</v>
      </c>
      <c r="P31" s="274">
        <f t="shared" si="4"/>
        <v>4318885.6800000006</v>
      </c>
      <c r="R31" s="251">
        <v>60548.170000000013</v>
      </c>
      <c r="S31" s="251">
        <v>0</v>
      </c>
      <c r="T31" s="251">
        <v>0</v>
      </c>
      <c r="U31" s="274">
        <f t="shared" si="0"/>
        <v>60548.170000000013</v>
      </c>
      <c r="V31" s="251">
        <v>3234376.530000004</v>
      </c>
      <c r="W31" s="251">
        <v>0</v>
      </c>
      <c r="X31" s="274">
        <f t="shared" si="1"/>
        <v>3234376.530000004</v>
      </c>
      <c r="Y31" s="251">
        <v>1018503.1699999998</v>
      </c>
      <c r="Z31" s="251">
        <v>5457.8099999999995</v>
      </c>
      <c r="AA31" s="274">
        <f t="shared" si="2"/>
        <v>4318885.6800000034</v>
      </c>
      <c r="AB31" t="b">
        <f t="shared" si="3"/>
        <v>1</v>
      </c>
    </row>
    <row r="32" spans="1:28" ht="12.75">
      <c r="A32" s="191">
        <v>19</v>
      </c>
      <c r="B32" t="s">
        <v>257</v>
      </c>
      <c r="C32" t="s">
        <v>862</v>
      </c>
      <c r="D32" s="223">
        <v>2012.3499999999999</v>
      </c>
      <c r="E32" s="223">
        <v>3321.2899999999995</v>
      </c>
      <c r="F32" s="223">
        <v>2599.0300000000002</v>
      </c>
      <c r="G32" s="223">
        <v>5482.9899999999998</v>
      </c>
      <c r="H32" s="223">
        <v>3730.1499999999996</v>
      </c>
      <c r="I32" s="223">
        <v>4076.0999999999995</v>
      </c>
      <c r="J32" s="223">
        <v>6027.8799999999992</v>
      </c>
      <c r="K32" s="223">
        <v>4236.3500000000004</v>
      </c>
      <c r="L32" s="223">
        <v>2353.6299999999992</v>
      </c>
      <c r="M32" s="223">
        <v>3808.190000000001</v>
      </c>
      <c r="N32" s="223">
        <v>4860.21</v>
      </c>
      <c r="O32" s="223">
        <v>12250.5</v>
      </c>
      <c r="P32" s="274">
        <f t="shared" si="4"/>
        <v>54758.669999999991</v>
      </c>
      <c r="R32" s="251">
        <v>9416.7299999999996</v>
      </c>
      <c r="S32" s="251">
        <v>0</v>
      </c>
      <c r="T32" s="251">
        <v>0</v>
      </c>
      <c r="U32" s="274">
        <f t="shared" si="0"/>
        <v>9416.7299999999996</v>
      </c>
      <c r="V32" s="251">
        <v>33908.07999999998</v>
      </c>
      <c r="W32" s="251">
        <v>0</v>
      </c>
      <c r="X32" s="274">
        <f t="shared" si="1"/>
        <v>33908.07999999998</v>
      </c>
      <c r="Y32" s="251">
        <v>11433.859999999997</v>
      </c>
      <c r="Z32" s="251">
        <v>0</v>
      </c>
      <c r="AA32" s="274">
        <f t="shared" si="2"/>
        <v>54758.669999999969</v>
      </c>
      <c r="AB32" t="b">
        <f t="shared" si="3"/>
        <v>1</v>
      </c>
    </row>
    <row r="33" spans="1:28" ht="12.75">
      <c r="A33" s="191">
        <v>20</v>
      </c>
      <c r="B33" t="s">
        <v>252</v>
      </c>
      <c r="C33" t="s">
        <v>862</v>
      </c>
      <c r="D33" s="223">
        <v>43.280000000000001</v>
      </c>
      <c r="E33" s="223">
        <v>41.93</v>
      </c>
      <c r="F33" s="223">
        <v>39.640000000000001</v>
      </c>
      <c r="G33" s="223">
        <v>65.939999999999998</v>
      </c>
      <c r="H33" s="223">
        <v>49.609999999999999</v>
      </c>
      <c r="I33" s="223">
        <v>44.18</v>
      </c>
      <c r="J33" s="223">
        <v>76.840000000000003</v>
      </c>
      <c r="K33" s="223">
        <v>42.619999999999997</v>
      </c>
      <c r="L33" s="223">
        <v>41.439999999999998</v>
      </c>
      <c r="M33" s="223">
        <v>45.269999999999996</v>
      </c>
      <c r="N33" s="223">
        <v>50.170000000000002</v>
      </c>
      <c r="O33" s="223">
        <v>69.609999999999999</v>
      </c>
      <c r="P33" s="274">
        <f t="shared" si="4"/>
        <v>610.53000000000009</v>
      </c>
      <c r="R33" s="251">
        <v>37.359999999999992</v>
      </c>
      <c r="S33" s="251">
        <v>0</v>
      </c>
      <c r="T33" s="251">
        <v>0</v>
      </c>
      <c r="U33" s="274">
        <f t="shared" si="0"/>
        <v>37.359999999999992</v>
      </c>
      <c r="V33" s="251">
        <v>573.16999999999996</v>
      </c>
      <c r="W33" s="251">
        <v>0</v>
      </c>
      <c r="X33" s="274">
        <f t="shared" si="1"/>
        <v>573.16999999999996</v>
      </c>
      <c r="Y33" s="251">
        <v>0</v>
      </c>
      <c r="Z33" s="251">
        <v>0</v>
      </c>
      <c r="AA33" s="274">
        <f t="shared" si="2"/>
        <v>610.52999999999997</v>
      </c>
      <c r="AB33" t="b">
        <f t="shared" si="3"/>
        <v>1</v>
      </c>
    </row>
    <row r="34" spans="1:28" ht="12.75">
      <c r="A34" s="191">
        <v>21</v>
      </c>
      <c r="B34" t="s">
        <v>253</v>
      </c>
      <c r="C34" t="s">
        <v>862</v>
      </c>
      <c r="D34" s="223">
        <v>88190.680000000037</v>
      </c>
      <c r="E34" s="223">
        <v>87236.470000000059</v>
      </c>
      <c r="F34" s="223">
        <v>62519.23000000001</v>
      </c>
      <c r="G34" s="223">
        <v>51682.549999999974</v>
      </c>
      <c r="H34" s="223">
        <v>97998.300000000032</v>
      </c>
      <c r="I34" s="223">
        <v>133275.03000000003</v>
      </c>
      <c r="J34" s="223">
        <v>123131.28999999996</v>
      </c>
      <c r="K34" s="223">
        <v>99877.100000000006</v>
      </c>
      <c r="L34" s="223">
        <v>77028.880000000019</v>
      </c>
      <c r="M34" s="223">
        <v>113432.37999999998</v>
      </c>
      <c r="N34" s="223">
        <v>87967.859999999971</v>
      </c>
      <c r="O34" s="223">
        <v>108164.94000000002</v>
      </c>
      <c r="P34" s="274">
        <f t="shared" si="4"/>
        <v>1130504.71</v>
      </c>
      <c r="R34" s="251">
        <v>164954.26000000007</v>
      </c>
      <c r="S34" s="251">
        <v>0</v>
      </c>
      <c r="T34" s="251">
        <v>0</v>
      </c>
      <c r="U34" s="274">
        <f t="shared" si="0"/>
        <v>164954.26000000007</v>
      </c>
      <c r="V34" s="251">
        <v>965550.44999999879</v>
      </c>
      <c r="W34" s="251">
        <v>0</v>
      </c>
      <c r="X34" s="274">
        <f t="shared" si="1"/>
        <v>965550.44999999879</v>
      </c>
      <c r="Y34" s="251">
        <v>0</v>
      </c>
      <c r="Z34" s="251">
        <v>0</v>
      </c>
      <c r="AA34" s="274">
        <f t="shared" si="2"/>
        <v>1130504.7099999988</v>
      </c>
      <c r="AB34" t="b">
        <f t="shared" si="3"/>
        <v>1</v>
      </c>
    </row>
    <row r="35" spans="1:28" ht="12.75">
      <c r="A35" s="191">
        <v>22</v>
      </c>
      <c r="B35" t="s">
        <v>147</v>
      </c>
      <c r="C35" t="s">
        <v>862</v>
      </c>
      <c r="D35" s="223">
        <v>554276.05999999936</v>
      </c>
      <c r="E35" s="223">
        <v>450485.80000000069</v>
      </c>
      <c r="F35" s="223">
        <v>825705.76000000082</v>
      </c>
      <c r="G35" s="223">
        <v>1024643.0199999998</v>
      </c>
      <c r="H35" s="223">
        <v>801877.48000000115</v>
      </c>
      <c r="I35" s="223">
        <v>908102.07000000041</v>
      </c>
      <c r="J35" s="223">
        <v>978497.4099999998</v>
      </c>
      <c r="K35" s="223">
        <v>1060762.4499999993</v>
      </c>
      <c r="L35" s="223">
        <v>1138029.0200000014</v>
      </c>
      <c r="M35" s="223">
        <v>974728.45000000112</v>
      </c>
      <c r="N35" s="223">
        <v>998111.6300000007</v>
      </c>
      <c r="O35" s="223">
        <v>1234481.5000000012</v>
      </c>
      <c r="P35" s="274">
        <f t="shared" si="4"/>
        <v>10949700.650000006</v>
      </c>
      <c r="R35" s="251">
        <v>2.2648549702353193E-14</v>
      </c>
      <c r="S35" s="251">
        <v>0</v>
      </c>
      <c r="T35" s="251">
        <v>0</v>
      </c>
      <c r="U35" s="274">
        <f t="shared" si="0"/>
        <v>2.2648549702353193E-14</v>
      </c>
      <c r="V35" s="251">
        <v>10895561.009999977</v>
      </c>
      <c r="W35" s="251">
        <v>0</v>
      </c>
      <c r="X35" s="274">
        <f t="shared" si="1"/>
        <v>10895561.009999977</v>
      </c>
      <c r="Y35" s="251">
        <v>54139.639999999963</v>
      </c>
      <c r="Z35" s="251">
        <v>0</v>
      </c>
      <c r="AA35" s="274">
        <f t="shared" si="2"/>
        <v>10949700.649999978</v>
      </c>
      <c r="AB35" t="b">
        <f t="shared" si="3"/>
        <v>1</v>
      </c>
    </row>
    <row r="36" spans="1:28" ht="12.75">
      <c r="A36" s="191">
        <v>23</v>
      </c>
      <c r="B36" t="s">
        <v>148</v>
      </c>
      <c r="C36" t="s">
        <v>862</v>
      </c>
      <c r="D36" s="223">
        <v>179825.51000000007</v>
      </c>
      <c r="E36" s="223">
        <v>142004.47</v>
      </c>
      <c r="F36" s="223">
        <v>195536.76000000001</v>
      </c>
      <c r="G36" s="223">
        <v>259260.28999999995</v>
      </c>
      <c r="H36" s="223">
        <v>201987.74999999994</v>
      </c>
      <c r="I36" s="223">
        <v>229715.93999999989</v>
      </c>
      <c r="J36" s="223">
        <v>231352.06000000006</v>
      </c>
      <c r="K36" s="223">
        <v>225448.43999999997</v>
      </c>
      <c r="L36" s="223">
        <v>259490.52999999997</v>
      </c>
      <c r="M36" s="223">
        <v>251262.36000000013</v>
      </c>
      <c r="N36" s="223">
        <v>273453.49999999977</v>
      </c>
      <c r="O36" s="223">
        <v>340047.06999999977</v>
      </c>
      <c r="P36" s="274">
        <f t="shared" si="4"/>
        <v>2789384.6800000002</v>
      </c>
      <c r="R36" s="251">
        <v>0</v>
      </c>
      <c r="S36" s="251">
        <v>0</v>
      </c>
      <c r="T36" s="251">
        <v>0</v>
      </c>
      <c r="U36" s="274">
        <f t="shared" si="0"/>
        <v>0</v>
      </c>
      <c r="V36" s="251">
        <v>2765166.1200000062</v>
      </c>
      <c r="W36" s="251">
        <v>0</v>
      </c>
      <c r="X36" s="274">
        <f t="shared" si="1"/>
        <v>2765166.1200000062</v>
      </c>
      <c r="Y36" s="251">
        <v>24218.559999999994</v>
      </c>
      <c r="Z36" s="251">
        <v>0</v>
      </c>
      <c r="AA36" s="274">
        <f t="shared" si="2"/>
        <v>2789384.6800000062</v>
      </c>
      <c r="AB36" t="b">
        <f t="shared" si="3"/>
        <v>1</v>
      </c>
    </row>
    <row r="37" spans="1:28" ht="12.75">
      <c r="A37" s="191">
        <v>24</v>
      </c>
      <c r="B37" t="s">
        <v>254</v>
      </c>
      <c r="C37" t="s">
        <v>862</v>
      </c>
      <c r="D37" s="223">
        <v>44097.210000000014</v>
      </c>
      <c r="E37" s="223">
        <v>44546.319999999978</v>
      </c>
      <c r="F37" s="223">
        <v>69430.640000000043</v>
      </c>
      <c r="G37" s="223">
        <v>85117.490000000034</v>
      </c>
      <c r="H37" s="223">
        <v>65648.760000000009</v>
      </c>
      <c r="I37" s="223">
        <v>88016.259999999995</v>
      </c>
      <c r="J37" s="223">
        <v>83698.840000000011</v>
      </c>
      <c r="K37" s="223">
        <v>81848.919999999998</v>
      </c>
      <c r="L37" s="223">
        <v>74662.840000000026</v>
      </c>
      <c r="M37" s="223">
        <v>59006.51999999996</v>
      </c>
      <c r="N37" s="223">
        <v>69183.269999999975</v>
      </c>
      <c r="O37" s="223">
        <v>71165.679999999978</v>
      </c>
      <c r="P37" s="274">
        <f t="shared" si="4"/>
        <v>836422.75000000023</v>
      </c>
      <c r="R37" s="251">
        <v>0</v>
      </c>
      <c r="S37" s="251">
        <v>0</v>
      </c>
      <c r="T37" s="251">
        <v>0</v>
      </c>
      <c r="U37" s="274">
        <f t="shared" si="0"/>
        <v>0</v>
      </c>
      <c r="V37" s="251">
        <v>836419.86999999953</v>
      </c>
      <c r="W37" s="251">
        <v>0</v>
      </c>
      <c r="X37" s="274">
        <f t="shared" si="1"/>
        <v>836419.86999999953</v>
      </c>
      <c r="Y37" s="251">
        <v>2.8799999999999999</v>
      </c>
      <c r="Z37" s="251">
        <v>0</v>
      </c>
      <c r="AA37" s="274">
        <f t="shared" si="2"/>
        <v>836422.74999999953</v>
      </c>
      <c r="AB37" t="b">
        <f t="shared" si="3"/>
        <v>1</v>
      </c>
    </row>
    <row r="38" spans="1:28" ht="12.75">
      <c r="A38" s="191">
        <v>25</v>
      </c>
      <c r="B38" t="s">
        <v>282</v>
      </c>
      <c r="C38" t="s">
        <v>862</v>
      </c>
      <c r="D38" s="223">
        <v>4344.4800000000005</v>
      </c>
      <c r="E38" s="223">
        <v>3623.2300000000009</v>
      </c>
      <c r="F38" s="223">
        <v>5861.8700000000008</v>
      </c>
      <c r="G38" s="223">
        <v>5431.7200000000021</v>
      </c>
      <c r="H38" s="223">
        <v>5128.7799999999988</v>
      </c>
      <c r="I38" s="223">
        <v>5187.4799999999996</v>
      </c>
      <c r="J38" s="223">
        <v>5554.7700000000004</v>
      </c>
      <c r="K38" s="223">
        <v>4685.7100000000019</v>
      </c>
      <c r="L38" s="223">
        <v>6359.9199999999973</v>
      </c>
      <c r="M38" s="223">
        <v>4611.5200000000004</v>
      </c>
      <c r="N38" s="223">
        <v>4855.8999999999987</v>
      </c>
      <c r="O38" s="223">
        <v>6921.7499999999982</v>
      </c>
      <c r="P38" s="274">
        <f t="shared" si="4"/>
        <v>62567.129999999997</v>
      </c>
      <c r="R38" s="251">
        <v>0</v>
      </c>
      <c r="S38" s="251">
        <v>0</v>
      </c>
      <c r="T38" s="251">
        <v>0</v>
      </c>
      <c r="U38" s="274">
        <f t="shared" si="0"/>
        <v>0</v>
      </c>
      <c r="V38" s="251">
        <v>46944.929999999891</v>
      </c>
      <c r="W38" s="251">
        <v>0</v>
      </c>
      <c r="X38" s="274">
        <f t="shared" si="1"/>
        <v>46944.929999999891</v>
      </c>
      <c r="Y38" s="251">
        <v>15622.199999999997</v>
      </c>
      <c r="Z38" s="251">
        <v>0</v>
      </c>
      <c r="AA38" s="274">
        <f t="shared" si="2"/>
        <v>62567.129999999888</v>
      </c>
      <c r="AB38" t="b">
        <f t="shared" si="3"/>
        <v>1</v>
      </c>
    </row>
    <row r="39" spans="1:28" ht="12.75">
      <c r="A39" s="191">
        <v>26</v>
      </c>
      <c r="B39" t="s">
        <v>256</v>
      </c>
      <c r="C39" t="s">
        <v>862</v>
      </c>
      <c r="D39" s="223">
        <v>81945.639999999999</v>
      </c>
      <c r="E39" s="223">
        <v>82274.179999999993</v>
      </c>
      <c r="F39" s="223">
        <v>89511.25</v>
      </c>
      <c r="G39" s="223">
        <v>93686.399999999994</v>
      </c>
      <c r="H39" s="223">
        <v>95442.960000000006</v>
      </c>
      <c r="I39" s="223">
        <v>93634.070000000007</v>
      </c>
      <c r="J39" s="223">
        <v>91018.899999999994</v>
      </c>
      <c r="K39" s="223">
        <v>92157.690000000002</v>
      </c>
      <c r="L39" s="223">
        <v>97260.859999999986</v>
      </c>
      <c r="M39" s="223">
        <v>86906.210000000006</v>
      </c>
      <c r="N39" s="223">
        <v>104787.04000000001</v>
      </c>
      <c r="O39" s="223">
        <v>99883.310000000027</v>
      </c>
      <c r="P39" s="274">
        <f t="shared" si="4"/>
        <v>1108508.51</v>
      </c>
      <c r="R39" s="251">
        <v>0</v>
      </c>
      <c r="S39" s="251">
        <v>0</v>
      </c>
      <c r="T39" s="251">
        <v>0</v>
      </c>
      <c r="U39" s="274">
        <f t="shared" si="0"/>
        <v>0</v>
      </c>
      <c r="V39" s="251">
        <v>0</v>
      </c>
      <c r="W39" s="251">
        <v>0</v>
      </c>
      <c r="X39" s="274">
        <f t="shared" si="1"/>
        <v>0</v>
      </c>
      <c r="Y39" s="251">
        <v>1108508.5100000005</v>
      </c>
      <c r="Z39" s="251">
        <v>0</v>
      </c>
      <c r="AA39" s="274">
        <f t="shared" si="2"/>
        <v>1108508.5100000005</v>
      </c>
      <c r="AB39" t="b">
        <f t="shared" si="3"/>
        <v>1</v>
      </c>
    </row>
    <row r="40" spans="1:28" ht="12.75">
      <c r="A40" s="191">
        <v>27</v>
      </c>
      <c r="B40" t="s">
        <v>285</v>
      </c>
      <c r="C40" t="s">
        <v>862</v>
      </c>
      <c r="D40" s="223">
        <v>17428.429999999993</v>
      </c>
      <c r="E40" s="223">
        <v>10869.16</v>
      </c>
      <c r="F40" s="223">
        <v>476.2600000000009</v>
      </c>
      <c r="G40" s="223">
        <v>21378.380000000001</v>
      </c>
      <c r="H40" s="223">
        <v>16020.110000000004</v>
      </c>
      <c r="I40" s="223">
        <v>5901.5299999999997</v>
      </c>
      <c r="J40" s="223">
        <v>14100.559999999998</v>
      </c>
      <c r="K40" s="223">
        <v>15174.860000000001</v>
      </c>
      <c r="L40" s="223">
        <v>36307.649999999994</v>
      </c>
      <c r="M40" s="223">
        <v>7171.9099999999971</v>
      </c>
      <c r="N40" s="223">
        <v>19050.220000000001</v>
      </c>
      <c r="O40" s="223">
        <v>29622.290000000005</v>
      </c>
      <c r="P40" s="274">
        <f t="shared" si="4"/>
        <v>193501.36000000002</v>
      </c>
      <c r="R40" s="251">
        <v>0</v>
      </c>
      <c r="S40" s="251">
        <v>0</v>
      </c>
      <c r="T40" s="251">
        <v>0</v>
      </c>
      <c r="U40" s="274">
        <f t="shared" si="0"/>
        <v>0</v>
      </c>
      <c r="V40" s="251">
        <v>193501.30999999991</v>
      </c>
      <c r="W40" s="251">
        <v>0</v>
      </c>
      <c r="X40" s="274">
        <f t="shared" si="1"/>
        <v>193501.30999999991</v>
      </c>
      <c r="Y40" s="251">
        <v>0.050000000000000003</v>
      </c>
      <c r="Z40" s="251">
        <v>0</v>
      </c>
      <c r="AA40" s="274">
        <f t="shared" si="2"/>
        <v>193501.3599999999</v>
      </c>
      <c r="AB40" t="b">
        <f t="shared" si="3"/>
        <v>1</v>
      </c>
    </row>
    <row r="41" spans="1:28" ht="12.75">
      <c r="A41" s="191">
        <v>28</v>
      </c>
      <c r="B41" t="s">
        <v>259</v>
      </c>
      <c r="C41" t="s">
        <v>862</v>
      </c>
      <c r="D41" s="223">
        <v>3353.21</v>
      </c>
      <c r="E41" s="223">
        <v>6461.4200000000001</v>
      </c>
      <c r="F41" s="223">
        <v>3396.6199999999999</v>
      </c>
      <c r="G41" s="223">
        <v>2838.1499999999996</v>
      </c>
      <c r="H41" s="223">
        <v>4412.7700000000004</v>
      </c>
      <c r="I41" s="223">
        <v>4733.9499999999998</v>
      </c>
      <c r="J41" s="223">
        <v>3238.4300000000003</v>
      </c>
      <c r="K41" s="223">
        <v>7068.8199999999997</v>
      </c>
      <c r="L41" s="223">
        <v>3616.5299999999997</v>
      </c>
      <c r="M41" s="223">
        <v>3065.3500000000004</v>
      </c>
      <c r="N41" s="223">
        <v>3049.8499999999999</v>
      </c>
      <c r="O41" s="223">
        <v>6601.2799999999997</v>
      </c>
      <c r="P41" s="274">
        <f t="shared" si="4"/>
        <v>51836.37999999999</v>
      </c>
      <c r="R41" s="251">
        <v>0</v>
      </c>
      <c r="S41" s="251">
        <v>0</v>
      </c>
      <c r="T41" s="251">
        <v>0</v>
      </c>
      <c r="U41" s="274">
        <f t="shared" si="0"/>
        <v>0</v>
      </c>
      <c r="V41" s="251">
        <v>0</v>
      </c>
      <c r="W41" s="251">
        <v>0</v>
      </c>
      <c r="X41" s="274">
        <f t="shared" si="1"/>
        <v>0</v>
      </c>
      <c r="Y41" s="251">
        <v>51836.37999999999</v>
      </c>
      <c r="Z41" s="251">
        <v>0</v>
      </c>
      <c r="AA41" s="274">
        <f t="shared" si="2"/>
        <v>51836.37999999999</v>
      </c>
      <c r="AB41" t="b">
        <f t="shared" si="3"/>
        <v>1</v>
      </c>
    </row>
    <row r="42" spans="1:28" ht="12.75">
      <c r="A42" s="191">
        <v>29</v>
      </c>
      <c r="B42" t="s">
        <v>331</v>
      </c>
      <c r="C42" t="s">
        <v>862</v>
      </c>
      <c r="D42" s="223">
        <v>959.13999999999999</v>
      </c>
      <c r="E42" s="223">
        <v>1396.0500000000002</v>
      </c>
      <c r="F42" s="223">
        <v>850</v>
      </c>
      <c r="G42" s="223">
        <v>849.09000000000003</v>
      </c>
      <c r="H42" s="223">
        <v>1400.8999999999999</v>
      </c>
      <c r="I42" s="223">
        <v>885.63000000000011</v>
      </c>
      <c r="J42" s="223">
        <v>1010.6</v>
      </c>
      <c r="K42" s="223">
        <v>-8637.5100000000002</v>
      </c>
      <c r="L42" s="223">
        <v>2324</v>
      </c>
      <c r="M42" s="223">
        <v>678.84000000000003</v>
      </c>
      <c r="N42" s="223">
        <v>1038.3299999999999</v>
      </c>
      <c r="O42" s="223">
        <v>1050.8499999999999</v>
      </c>
      <c r="P42" s="274">
        <f t="shared" si="4"/>
        <v>3805.9200000000005</v>
      </c>
      <c r="R42" s="251">
        <v>0</v>
      </c>
      <c r="S42" s="251">
        <v>0</v>
      </c>
      <c r="T42" s="251">
        <v>0</v>
      </c>
      <c r="U42" s="274">
        <f t="shared" si="0"/>
        <v>0</v>
      </c>
      <c r="V42" s="251">
        <v>0</v>
      </c>
      <c r="W42" s="251">
        <v>0</v>
      </c>
      <c r="X42" s="274">
        <f t="shared" si="1"/>
        <v>0</v>
      </c>
      <c r="Y42" s="251">
        <v>0</v>
      </c>
      <c r="Z42" s="251">
        <v>3805.9200000000019</v>
      </c>
      <c r="AA42" s="274">
        <f t="shared" si="2"/>
        <v>3805.9200000000019</v>
      </c>
      <c r="AB42" t="b">
        <f t="shared" si="3"/>
        <v>1</v>
      </c>
    </row>
    <row r="43" spans="1:28" ht="12.75">
      <c r="A43" s="191">
        <v>30</v>
      </c>
      <c r="B43" t="s">
        <v>272</v>
      </c>
      <c r="C43" t="s">
        <v>862</v>
      </c>
      <c r="D43" s="223">
        <v>41074.389999999992</v>
      </c>
      <c r="E43" s="223">
        <v>39173.330000000002</v>
      </c>
      <c r="F43" s="223">
        <v>46249.239999999991</v>
      </c>
      <c r="G43" s="223">
        <v>44729.359999999993</v>
      </c>
      <c r="H43" s="223">
        <v>84331.820000000007</v>
      </c>
      <c r="I43" s="223">
        <v>9760.4899999999961</v>
      </c>
      <c r="J43" s="223">
        <v>52124.149999999994</v>
      </c>
      <c r="K43" s="223">
        <v>43414.199999999997</v>
      </c>
      <c r="L43" s="223">
        <v>33041.809999999998</v>
      </c>
      <c r="M43" s="223">
        <v>14342.820000000003</v>
      </c>
      <c r="N43" s="223">
        <v>37586.019999999997</v>
      </c>
      <c r="O43" s="223">
        <v>29843.279999999999</v>
      </c>
      <c r="P43" s="274">
        <f t="shared" si="4"/>
        <v>475670.91000000003</v>
      </c>
      <c r="R43" s="251">
        <v>161414.21000000002</v>
      </c>
      <c r="S43" s="251">
        <v>0</v>
      </c>
      <c r="T43" s="251">
        <v>0</v>
      </c>
      <c r="U43" s="274">
        <f t="shared" si="0"/>
        <v>161414.21000000002</v>
      </c>
      <c r="V43" s="251">
        <v>237914.01000000007</v>
      </c>
      <c r="W43" s="251">
        <v>0</v>
      </c>
      <c r="X43" s="274">
        <f t="shared" si="1"/>
        <v>237914.01000000007</v>
      </c>
      <c r="Y43" s="251">
        <v>48946.889999999978</v>
      </c>
      <c r="Z43" s="251">
        <v>27395.799999999988</v>
      </c>
      <c r="AA43" s="274">
        <f t="shared" si="2"/>
        <v>475670.91000000009</v>
      </c>
      <c r="AB43" t="b">
        <f t="shared" si="3"/>
        <v>1</v>
      </c>
    </row>
    <row r="44" spans="1:28" ht="12.75">
      <c r="A44" s="191">
        <v>31</v>
      </c>
      <c r="B44" t="s">
        <v>861</v>
      </c>
      <c r="C44" t="s">
        <v>862</v>
      </c>
      <c r="D44" s="223">
        <v>470.31</v>
      </c>
      <c r="E44" s="223">
        <v>536.85000000000002</v>
      </c>
      <c r="F44" s="223">
        <v>940.76999999999998</v>
      </c>
      <c r="G44" s="223">
        <v>527.63</v>
      </c>
      <c r="H44" s="223">
        <v>818.82000000000005</v>
      </c>
      <c r="I44" s="223">
        <v>424.71999999999997</v>
      </c>
      <c r="J44" s="223">
        <v>541.24000000000001</v>
      </c>
      <c r="K44" s="223">
        <v>645.96000000000004</v>
      </c>
      <c r="L44" s="223">
        <v>4180.21</v>
      </c>
      <c r="M44" s="223">
        <v>249.19999999999999</v>
      </c>
      <c r="N44" s="223">
        <v>455.31</v>
      </c>
      <c r="O44" s="223">
        <v>144.72</v>
      </c>
      <c r="P44" s="274">
        <f t="shared" si="4"/>
        <v>9935.7399999999998</v>
      </c>
      <c r="R44" s="251">
        <v>3022.1900000000001</v>
      </c>
      <c r="S44" s="251">
        <v>0</v>
      </c>
      <c r="T44" s="251">
        <v>0</v>
      </c>
      <c r="U44" s="274">
        <f t="shared" si="0"/>
        <v>3022.1900000000001</v>
      </c>
      <c r="V44" s="251">
        <v>5455.0799999999999</v>
      </c>
      <c r="W44" s="251">
        <v>0</v>
      </c>
      <c r="X44" s="274">
        <f t="shared" si="1"/>
        <v>5455.0799999999999</v>
      </c>
      <c r="Y44" s="251">
        <v>1401.75</v>
      </c>
      <c r="Z44" s="251">
        <v>56.719999999999956</v>
      </c>
      <c r="AA44" s="274">
        <f t="shared" si="2"/>
        <v>9935.7399999999998</v>
      </c>
      <c r="AB44" t="b">
        <f t="shared" si="3"/>
        <v>1</v>
      </c>
    </row>
    <row r="45" spans="1:28" ht="12.75">
      <c r="A45" s="191">
        <v>32</v>
      </c>
      <c r="B45" t="s">
        <v>26</v>
      </c>
      <c r="C45" t="s">
        <v>862</v>
      </c>
      <c r="D45" s="223">
        <v>4.9800000000000004</v>
      </c>
      <c r="E45" s="223">
        <v>200.47</v>
      </c>
      <c r="F45" s="223">
        <v>199.51999999999998</v>
      </c>
      <c r="G45" s="223">
        <v>169.87000000000003</v>
      </c>
      <c r="H45" s="223">
        <v>0.02</v>
      </c>
      <c r="I45" s="223">
        <v>123.77</v>
      </c>
      <c r="J45" s="223">
        <v>2.3800000000000003</v>
      </c>
      <c r="K45" s="223">
        <v>1.21</v>
      </c>
      <c r="L45" s="223">
        <v>8.8900000000000006</v>
      </c>
      <c r="M45" s="223">
        <v>120.83000000000001</v>
      </c>
      <c r="N45" s="223">
        <v>75.539999999999992</v>
      </c>
      <c r="O45" s="223">
        <v>270.53000000000003</v>
      </c>
      <c r="P45" s="274">
        <f t="shared" si="4"/>
        <v>1178.01</v>
      </c>
      <c r="R45" s="251">
        <v>0</v>
      </c>
      <c r="S45" s="251">
        <v>0</v>
      </c>
      <c r="T45" s="251">
        <v>0</v>
      </c>
      <c r="U45" s="274">
        <f t="shared" si="0"/>
        <v>0</v>
      </c>
      <c r="V45" s="251">
        <v>1171.24</v>
      </c>
      <c r="W45" s="251">
        <v>0</v>
      </c>
      <c r="X45" s="274">
        <f t="shared" si="1"/>
        <v>1171.24</v>
      </c>
      <c r="Y45" s="251">
        <v>6.7699999999999987</v>
      </c>
      <c r="Z45" s="251">
        <v>0</v>
      </c>
      <c r="AA45" s="274">
        <f t="shared" si="2"/>
        <v>1178.01</v>
      </c>
      <c r="AB45" t="b">
        <f t="shared" si="3"/>
        <v>1</v>
      </c>
    </row>
    <row r="46" spans="1:28" ht="12.75">
      <c r="A46" s="191">
        <v>33</v>
      </c>
      <c r="B46" t="s">
        <v>280</v>
      </c>
      <c r="C46" t="s">
        <v>862</v>
      </c>
      <c r="D46" s="223">
        <v>11133.5</v>
      </c>
      <c r="E46" s="223">
        <v>8583.5399999999991</v>
      </c>
      <c r="F46" s="223">
        <v>6481.6300000000001</v>
      </c>
      <c r="G46" s="223">
        <v>-2836.3299999999999</v>
      </c>
      <c r="H46" s="223">
        <v>14570.219999999999</v>
      </c>
      <c r="I46" s="223">
        <v>4033.1999999999998</v>
      </c>
      <c r="J46" s="223">
        <v>12081.66</v>
      </c>
      <c r="K46" s="223">
        <v>9582.5100000000002</v>
      </c>
      <c r="L46" s="223">
        <v>16496.950000000001</v>
      </c>
      <c r="M46" s="223">
        <v>25903.029999999999</v>
      </c>
      <c r="N46" s="223">
        <v>15760.49</v>
      </c>
      <c r="O46" s="223">
        <v>18444.009999999998</v>
      </c>
      <c r="P46" s="274">
        <f t="shared" si="4"/>
        <v>140234.41</v>
      </c>
      <c r="R46" s="251">
        <v>133.13</v>
      </c>
      <c r="S46" s="251">
        <v>0</v>
      </c>
      <c r="T46" s="251">
        <v>0</v>
      </c>
      <c r="U46" s="274">
        <f t="shared" si="0"/>
        <v>133.13</v>
      </c>
      <c r="V46" s="251">
        <v>140089.84999999998</v>
      </c>
      <c r="W46" s="251">
        <v>0</v>
      </c>
      <c r="X46" s="274">
        <f t="shared" si="1"/>
        <v>140089.84999999998</v>
      </c>
      <c r="Y46" s="251">
        <v>11.43</v>
      </c>
      <c r="Z46" s="251">
        <v>0</v>
      </c>
      <c r="AA46" s="274">
        <f t="shared" si="2"/>
        <v>140234.40999999997</v>
      </c>
      <c r="AB46" t="b">
        <f t="shared" si="3"/>
        <v>1</v>
      </c>
    </row>
    <row r="47" spans="1:27" ht="13.5" thickBot="1">
      <c r="A47" s="191">
        <v>34</v>
      </c>
      <c r="C47" s="206" t="s">
        <v>1045</v>
      </c>
      <c r="D47" s="317">
        <f>SUM(D14:D46)</f>
        <v>2566195.3100000005</v>
      </c>
      <c r="E47" s="317">
        <f t="shared" si="5" ref="E47:R47">SUM(E14:E46)</f>
        <v>2057036.1500000008</v>
      </c>
      <c r="F47" s="317">
        <f t="shared" si="5"/>
        <v>2657381.0700000012</v>
      </c>
      <c r="G47" s="317">
        <f t="shared" si="5"/>
        <v>3059487.3399999994</v>
      </c>
      <c r="H47" s="317">
        <f t="shared" si="5"/>
        <v>2809503.1800000006</v>
      </c>
      <c r="I47" s="317">
        <f t="shared" si="5"/>
        <v>2859363.0000000005</v>
      </c>
      <c r="J47" s="317">
        <f t="shared" si="5"/>
        <v>3149421.9800000009</v>
      </c>
      <c r="K47" s="317">
        <f t="shared" si="5"/>
        <v>3274054.0599999987</v>
      </c>
      <c r="L47" s="317">
        <f t="shared" si="5"/>
        <v>3479674.8800000008</v>
      </c>
      <c r="M47" s="317">
        <f t="shared" si="5"/>
        <v>3257395.3400000012</v>
      </c>
      <c r="N47" s="317">
        <f t="shared" si="5"/>
        <v>3112290.2800000003</v>
      </c>
      <c r="O47" s="317">
        <f t="shared" si="5"/>
        <v>4081802.6899999995</v>
      </c>
      <c r="P47" s="317">
        <f t="shared" si="5"/>
        <v>36363605.280000009</v>
      </c>
      <c r="R47" s="317">
        <f t="shared" si="5"/>
        <v>5820572.1000000006</v>
      </c>
      <c r="S47" s="317">
        <f t="shared" si="6" ref="S47">SUM(S14:S46)</f>
        <v>0</v>
      </c>
      <c r="T47" s="317">
        <f t="shared" si="7" ref="T47">SUM(T14:T46)</f>
        <v>0</v>
      </c>
      <c r="U47" s="317">
        <f t="shared" si="8" ref="U47">SUM(U14:U46)</f>
        <v>5820572.1000000006</v>
      </c>
      <c r="V47" s="317">
        <f t="shared" si="9" ref="V47">SUM(V14:V46)</f>
        <v>25089356.649999976</v>
      </c>
      <c r="W47" s="317">
        <f t="shared" si="10" ref="W47">SUM(W14:W46)</f>
        <v>0</v>
      </c>
      <c r="X47" s="317">
        <f t="shared" si="11" ref="X47">SUM(X14:X46)</f>
        <v>25089356.649999976</v>
      </c>
      <c r="Y47" s="317">
        <f t="shared" si="12" ref="Y47">SUM(Y14:Y46)</f>
        <v>5416960.2799999965</v>
      </c>
      <c r="Z47" s="317">
        <f t="shared" si="13" ref="Z47">SUM(Z14:Z46)</f>
        <v>36716.249999999993</v>
      </c>
      <c r="AA47" s="317">
        <f t="shared" si="14" ref="AA47">SUM(AA14:AA46)</f>
        <v>36363605.279999979</v>
      </c>
    </row>
    <row r="48" spans="1:27" ht="13.5" thickTop="1">
      <c r="A48" s="191">
        <v>35</v>
      </c>
      <c r="AA48" s="206"/>
    </row>
    <row r="49" spans="1:27" ht="12.75">
      <c r="A49" s="191">
        <v>36</v>
      </c>
      <c r="AA49" s="206"/>
    </row>
    <row r="50" spans="1:28" ht="12.75">
      <c r="A50" s="191">
        <v>37</v>
      </c>
      <c r="B50" t="s">
        <v>232</v>
      </c>
      <c r="C50" t="s">
        <v>1025</v>
      </c>
      <c r="D50" s="282">
        <v>2547.5</v>
      </c>
      <c r="E50" s="282">
        <v>2547.5</v>
      </c>
      <c r="F50" s="282">
        <v>2547.5</v>
      </c>
      <c r="G50" s="282">
        <v>2547.5</v>
      </c>
      <c r="H50" s="282">
        <v>2674.8800000000001</v>
      </c>
      <c r="I50" s="282">
        <v>3959.3800000000001</v>
      </c>
      <c r="J50" s="282">
        <v>2611.1900000000001</v>
      </c>
      <c r="K50" s="282">
        <v>2611.1900000000001</v>
      </c>
      <c r="L50" s="282">
        <v>2611.1900000000001</v>
      </c>
      <c r="M50" s="282">
        <v>3874.1900000000001</v>
      </c>
      <c r="N50" s="282">
        <v>2611.1900000000001</v>
      </c>
      <c r="O50" s="347">
        <v>2611.1900000000001</v>
      </c>
      <c r="P50" s="348">
        <f>SUM(D50:O50)</f>
        <v>33754.399999999994</v>
      </c>
      <c r="Q50" s="282"/>
      <c r="R50" s="282">
        <v>33754.399999999994</v>
      </c>
      <c r="S50" s="282">
        <v>0</v>
      </c>
      <c r="T50" s="282">
        <v>0</v>
      </c>
      <c r="U50" s="348">
        <f>SUM(R50:T50)</f>
        <v>33754.399999999994</v>
      </c>
      <c r="V50" s="282">
        <v>0</v>
      </c>
      <c r="W50" s="282">
        <v>0</v>
      </c>
      <c r="X50" s="348">
        <f>SUM(V50:W50)</f>
        <v>0</v>
      </c>
      <c r="Y50" s="282">
        <v>0</v>
      </c>
      <c r="Z50" s="282">
        <v>0</v>
      </c>
      <c r="AA50" s="252">
        <f>+U50+X50+Y50+Z50</f>
        <v>33754.399999999994</v>
      </c>
      <c r="AB50" t="b">
        <f t="shared" si="15" ref="AB50:AB82">ROUND(+P50,2)=ROUND(AA50,2)</f>
        <v>1</v>
      </c>
    </row>
    <row r="51" spans="1:28" ht="12.75">
      <c r="A51" s="191">
        <v>38</v>
      </c>
      <c r="B51" t="s">
        <v>279</v>
      </c>
      <c r="C51" t="s">
        <v>1026</v>
      </c>
      <c r="D51" s="251">
        <v>21996.290000000001</v>
      </c>
      <c r="E51" s="251">
        <v>28024.669999999995</v>
      </c>
      <c r="F51" s="251">
        <v>26246.290000000001</v>
      </c>
      <c r="G51" s="251">
        <v>28791.149999999998</v>
      </c>
      <c r="H51" s="251">
        <v>30013.23</v>
      </c>
      <c r="I51" s="251">
        <v>29153.610000000001</v>
      </c>
      <c r="J51" s="251">
        <v>29153.609999999997</v>
      </c>
      <c r="K51" s="251">
        <v>24155.75</v>
      </c>
      <c r="L51" s="251">
        <v>29568.850000000002</v>
      </c>
      <c r="M51" s="251">
        <v>29568.849999999999</v>
      </c>
      <c r="N51" s="251">
        <v>29568.849999999999</v>
      </c>
      <c r="O51" s="321">
        <v>29568.849999999999</v>
      </c>
      <c r="P51" s="253">
        <f t="shared" si="16" ref="P51:P82">SUM(D51:O51)</f>
        <v>335809.99999999994</v>
      </c>
      <c r="Q51" s="251"/>
      <c r="R51" s="251">
        <v>73945.329999999987</v>
      </c>
      <c r="S51" s="251">
        <v>0</v>
      </c>
      <c r="T51" s="251">
        <v>0</v>
      </c>
      <c r="U51" s="253">
        <f t="shared" si="17" ref="U51:U82">SUM(R51:T51)</f>
        <v>73945.329999999987</v>
      </c>
      <c r="V51" s="251">
        <v>204004.5100000001</v>
      </c>
      <c r="W51" s="251">
        <v>0</v>
      </c>
      <c r="X51" s="253">
        <f t="shared" si="18" ref="X51:X82">SUM(V51:W51)</f>
        <v>204004.5100000001</v>
      </c>
      <c r="Y51" s="251">
        <v>55610.120000000024</v>
      </c>
      <c r="Z51" s="251">
        <v>2250.0399999999963</v>
      </c>
      <c r="AA51" s="274">
        <f t="shared" si="19" ref="AA51:AA82">+U51+X51+Y51+Z51</f>
        <v>335810.00000000006</v>
      </c>
      <c r="AB51" t="b">
        <f t="shared" si="15"/>
        <v>1</v>
      </c>
    </row>
    <row r="52" spans="1:28" ht="12.75">
      <c r="A52" s="191">
        <v>39</v>
      </c>
      <c r="B52" t="s">
        <v>236</v>
      </c>
      <c r="C52" t="s">
        <v>1027</v>
      </c>
      <c r="D52" s="251">
        <v>5462.1999999999998</v>
      </c>
      <c r="E52" s="251">
        <v>1320</v>
      </c>
      <c r="F52" s="251">
        <v>1320</v>
      </c>
      <c r="G52" s="251">
        <v>2640</v>
      </c>
      <c r="H52" s="251">
        <v>1320</v>
      </c>
      <c r="I52" s="251">
        <v>1320</v>
      </c>
      <c r="J52" s="251">
        <v>1320</v>
      </c>
      <c r="K52" s="251">
        <v>0</v>
      </c>
      <c r="L52" s="251">
        <v>1320</v>
      </c>
      <c r="M52" s="251">
        <v>1320</v>
      </c>
      <c r="N52" s="251">
        <v>1320</v>
      </c>
      <c r="O52" s="321">
        <v>1722.3499999999999</v>
      </c>
      <c r="P52" s="253">
        <f t="shared" si="16"/>
        <v>20384.549999999999</v>
      </c>
      <c r="Q52" s="251"/>
      <c r="R52" s="251">
        <v>20384.549999999999</v>
      </c>
      <c r="S52" s="251">
        <v>0</v>
      </c>
      <c r="T52" s="251">
        <v>0</v>
      </c>
      <c r="U52" s="253">
        <f t="shared" si="17"/>
        <v>20384.549999999999</v>
      </c>
      <c r="V52" s="251">
        <v>0</v>
      </c>
      <c r="W52" s="251">
        <v>0</v>
      </c>
      <c r="X52" s="253">
        <f t="shared" si="18"/>
        <v>0</v>
      </c>
      <c r="Y52" s="251">
        <v>0</v>
      </c>
      <c r="Z52" s="251">
        <v>0</v>
      </c>
      <c r="AA52" s="274">
        <f t="shared" si="19"/>
        <v>20384.549999999999</v>
      </c>
      <c r="AB52" t="b">
        <f t="shared" si="15"/>
        <v>1</v>
      </c>
    </row>
    <row r="53" spans="1:28" ht="12.75">
      <c r="A53" s="191">
        <v>40</v>
      </c>
      <c r="B53" t="s">
        <v>236</v>
      </c>
      <c r="C53" t="s">
        <v>1028</v>
      </c>
      <c r="D53" s="251">
        <v>22279.130000000001</v>
      </c>
      <c r="E53" s="251">
        <v>11139.56</v>
      </c>
      <c r="F53" s="251">
        <v>11139.56</v>
      </c>
      <c r="G53" s="251">
        <v>11139.56</v>
      </c>
      <c r="H53" s="251">
        <v>11139.56</v>
      </c>
      <c r="I53" s="251">
        <v>11139.56</v>
      </c>
      <c r="J53" s="251">
        <v>12810.49</v>
      </c>
      <c r="K53" s="251">
        <v>11807.940000000001</v>
      </c>
      <c r="L53" s="251">
        <v>11473.75</v>
      </c>
      <c r="M53" s="251">
        <v>11473.75</v>
      </c>
      <c r="N53" s="251">
        <v>11473.75</v>
      </c>
      <c r="O53" s="321">
        <v>12293.299999999999</v>
      </c>
      <c r="P53" s="253">
        <f t="shared" si="16"/>
        <v>149309.90999999997</v>
      </c>
      <c r="Q53" s="251"/>
      <c r="R53" s="251">
        <v>149309.90999999997</v>
      </c>
      <c r="S53" s="251">
        <v>0</v>
      </c>
      <c r="T53" s="251">
        <v>0</v>
      </c>
      <c r="U53" s="253">
        <f t="shared" si="17"/>
        <v>149309.90999999997</v>
      </c>
      <c r="V53" s="251">
        <v>0</v>
      </c>
      <c r="W53" s="251">
        <v>0</v>
      </c>
      <c r="X53" s="253">
        <f t="shared" si="18"/>
        <v>0</v>
      </c>
      <c r="Y53" s="251">
        <v>0</v>
      </c>
      <c r="Z53" s="251">
        <v>0</v>
      </c>
      <c r="AA53" s="274">
        <f t="shared" si="19"/>
        <v>149309.90999999997</v>
      </c>
      <c r="AB53" t="b">
        <f t="shared" si="15"/>
        <v>1</v>
      </c>
    </row>
    <row r="54" spans="1:28" ht="12.75">
      <c r="A54" s="191">
        <v>41</v>
      </c>
      <c r="B54" t="s">
        <v>236</v>
      </c>
      <c r="C54" t="s">
        <v>1029</v>
      </c>
      <c r="D54" s="251">
        <v>16490.23</v>
      </c>
      <c r="E54" s="251">
        <v>3927.3000000000002</v>
      </c>
      <c r="F54" s="251">
        <v>3927.3000000000002</v>
      </c>
      <c r="G54" s="251">
        <v>3927.3000000000002</v>
      </c>
      <c r="H54" s="251">
        <v>3927.3000000000002</v>
      </c>
      <c r="I54" s="251">
        <v>3927.3000000000002</v>
      </c>
      <c r="J54" s="251">
        <v>3927.3000000000002</v>
      </c>
      <c r="K54" s="251">
        <v>3927.3000000000002</v>
      </c>
      <c r="L54" s="251">
        <v>3927.52</v>
      </c>
      <c r="M54" s="251">
        <v>3927.3000000000002</v>
      </c>
      <c r="N54" s="251">
        <v>3927.3000000000002</v>
      </c>
      <c r="O54" s="321">
        <v>4384.9400000000005</v>
      </c>
      <c r="P54" s="253">
        <f t="shared" si="16"/>
        <v>60148.390000000007</v>
      </c>
      <c r="Q54" s="251"/>
      <c r="R54" s="251">
        <v>60148.390000000014</v>
      </c>
      <c r="S54" s="251">
        <v>0</v>
      </c>
      <c r="T54" s="251">
        <v>0</v>
      </c>
      <c r="U54" s="253">
        <f t="shared" si="17"/>
        <v>60148.390000000014</v>
      </c>
      <c r="V54" s="251">
        <v>0</v>
      </c>
      <c r="W54" s="251">
        <v>0</v>
      </c>
      <c r="X54" s="253">
        <f t="shared" si="18"/>
        <v>0</v>
      </c>
      <c r="Y54" s="251">
        <v>0</v>
      </c>
      <c r="Z54" s="251">
        <v>0</v>
      </c>
      <c r="AA54" s="274">
        <f t="shared" si="19"/>
        <v>60148.390000000014</v>
      </c>
      <c r="AB54" t="b">
        <f t="shared" si="15"/>
        <v>1</v>
      </c>
    </row>
    <row r="55" spans="1:28" ht="12.75">
      <c r="A55" s="191">
        <v>42</v>
      </c>
      <c r="B55" t="s">
        <v>236</v>
      </c>
      <c r="C55" t="s">
        <v>1030</v>
      </c>
      <c r="D55" s="251">
        <v>52802.279999999999</v>
      </c>
      <c r="E55" s="251">
        <v>61831.419999999998</v>
      </c>
      <c r="F55" s="251">
        <v>57407.690000000002</v>
      </c>
      <c r="G55" s="251">
        <v>54108.760000000002</v>
      </c>
      <c r="H55" s="251">
        <v>55674.07</v>
      </c>
      <c r="I55" s="251">
        <v>55150.019999999997</v>
      </c>
      <c r="J55" s="251">
        <v>55242.009999999995</v>
      </c>
      <c r="K55" s="251">
        <v>52533.699999999997</v>
      </c>
      <c r="L55" s="251">
        <v>59394.420000000006</v>
      </c>
      <c r="M55" s="251">
        <v>55297.880000000005</v>
      </c>
      <c r="N55" s="251">
        <v>106537.13000000001</v>
      </c>
      <c r="O55" s="321">
        <v>721.7100000000064</v>
      </c>
      <c r="P55" s="253">
        <f t="shared" si="16"/>
        <v>666701.08999999997</v>
      </c>
      <c r="Q55" s="251"/>
      <c r="R55" s="251">
        <v>666701.08999999997</v>
      </c>
      <c r="S55" s="251">
        <v>0</v>
      </c>
      <c r="T55" s="251">
        <v>0</v>
      </c>
      <c r="U55" s="253">
        <f t="shared" si="17"/>
        <v>666701.08999999997</v>
      </c>
      <c r="V55" s="251">
        <v>0</v>
      </c>
      <c r="W55" s="251">
        <v>0</v>
      </c>
      <c r="X55" s="253">
        <f t="shared" si="18"/>
        <v>0</v>
      </c>
      <c r="Y55" s="251">
        <v>0</v>
      </c>
      <c r="Z55" s="251">
        <v>0</v>
      </c>
      <c r="AA55" s="274">
        <f t="shared" si="19"/>
        <v>666701.08999999997</v>
      </c>
      <c r="AB55" t="b">
        <f t="shared" si="15"/>
        <v>1</v>
      </c>
    </row>
    <row r="56" spans="1:28" ht="12.75">
      <c r="A56" s="191">
        <v>43</v>
      </c>
      <c r="B56" t="s">
        <v>251</v>
      </c>
      <c r="C56" t="s">
        <v>1030</v>
      </c>
      <c r="D56" s="251">
        <v>43201.870000000003</v>
      </c>
      <c r="E56" s="251">
        <v>50589.349999999999</v>
      </c>
      <c r="F56" s="251">
        <v>46969.919999999998</v>
      </c>
      <c r="G56" s="251">
        <v>44270.800000000003</v>
      </c>
      <c r="H56" s="251">
        <v>45551.519999999997</v>
      </c>
      <c r="I56" s="251">
        <v>45122.730000000003</v>
      </c>
      <c r="J56" s="251">
        <v>45198</v>
      </c>
      <c r="K56" s="251">
        <v>42982.120000000003</v>
      </c>
      <c r="L56" s="251">
        <v>48595.439999999995</v>
      </c>
      <c r="M56" s="251">
        <v>45243.720000000001</v>
      </c>
      <c r="N56" s="251">
        <v>87166.739999999991</v>
      </c>
      <c r="O56" s="321">
        <v>590.48999999999967</v>
      </c>
      <c r="P56" s="253">
        <f t="shared" si="16"/>
        <v>545482.69999999995</v>
      </c>
      <c r="Q56" s="251"/>
      <c r="R56" s="251">
        <v>0</v>
      </c>
      <c r="S56" s="251">
        <v>0</v>
      </c>
      <c r="T56" s="251">
        <v>0</v>
      </c>
      <c r="U56" s="253">
        <f t="shared" si="17"/>
        <v>0</v>
      </c>
      <c r="V56" s="251">
        <v>545482.70000000007</v>
      </c>
      <c r="W56" s="251">
        <v>0</v>
      </c>
      <c r="X56" s="253">
        <f t="shared" si="18"/>
        <v>545482.70000000007</v>
      </c>
      <c r="Y56" s="251">
        <v>0</v>
      </c>
      <c r="Z56" s="251">
        <v>0</v>
      </c>
      <c r="AA56" s="274">
        <f t="shared" si="19"/>
        <v>545482.70000000007</v>
      </c>
      <c r="AB56" t="b">
        <f t="shared" si="15"/>
        <v>1</v>
      </c>
    </row>
    <row r="57" spans="1:28" ht="12.75">
      <c r="A57" s="191">
        <v>44</v>
      </c>
      <c r="B57" t="s">
        <v>290</v>
      </c>
      <c r="C57" t="s">
        <v>1030</v>
      </c>
      <c r="D57" s="251">
        <v>24001.040000000001</v>
      </c>
      <c r="E57" s="251">
        <v>28105.200000000001</v>
      </c>
      <c r="F57" s="251">
        <v>26094.41</v>
      </c>
      <c r="G57" s="251">
        <v>24594.889999999999</v>
      </c>
      <c r="H57" s="251">
        <v>25306.400000000001</v>
      </c>
      <c r="I57" s="251">
        <v>25068.189999999999</v>
      </c>
      <c r="J57" s="251">
        <v>25110</v>
      </c>
      <c r="K57" s="251">
        <v>23878.959999999999</v>
      </c>
      <c r="L57" s="251">
        <v>26997.470000000001</v>
      </c>
      <c r="M57" s="251">
        <v>25135.400000000001</v>
      </c>
      <c r="N57" s="251">
        <v>48425.970000000001</v>
      </c>
      <c r="O57" s="321">
        <v>328.04000000000087</v>
      </c>
      <c r="P57" s="253">
        <f t="shared" si="16"/>
        <v>303045.96999999997</v>
      </c>
      <c r="Q57" s="251"/>
      <c r="R57" s="251">
        <v>0</v>
      </c>
      <c r="S57" s="251">
        <v>0</v>
      </c>
      <c r="T57" s="251">
        <v>0</v>
      </c>
      <c r="U57" s="253">
        <f t="shared" si="17"/>
        <v>0</v>
      </c>
      <c r="V57" s="251">
        <v>239377.39000000001</v>
      </c>
      <c r="W57" s="251">
        <v>0</v>
      </c>
      <c r="X57" s="253">
        <f t="shared" si="18"/>
        <v>239377.39000000001</v>
      </c>
      <c r="Y57" s="251">
        <v>60121.330000000002</v>
      </c>
      <c r="Z57" s="251">
        <v>3547.25</v>
      </c>
      <c r="AA57" s="274">
        <f t="shared" si="19"/>
        <v>303045.97000000003</v>
      </c>
      <c r="AB57" t="b">
        <f t="shared" si="15"/>
        <v>1</v>
      </c>
    </row>
    <row r="58" spans="1:28" ht="12.75">
      <c r="A58" s="191">
        <v>45</v>
      </c>
      <c r="B58" t="s">
        <v>247</v>
      </c>
      <c r="C58" t="s">
        <v>1031</v>
      </c>
      <c r="D58" s="251">
        <v>0</v>
      </c>
      <c r="E58" s="251">
        <v>0</v>
      </c>
      <c r="F58" s="251">
        <v>0</v>
      </c>
      <c r="G58" s="251">
        <v>0</v>
      </c>
      <c r="H58" s="251">
        <v>0</v>
      </c>
      <c r="I58" s="251">
        <v>0</v>
      </c>
      <c r="J58" s="251">
        <v>0</v>
      </c>
      <c r="K58" s="251">
        <v>0</v>
      </c>
      <c r="L58" s="251">
        <v>0</v>
      </c>
      <c r="M58" s="251">
        <v>0</v>
      </c>
      <c r="N58" s="251">
        <v>1536.46</v>
      </c>
      <c r="O58" s="321">
        <v>1536.46</v>
      </c>
      <c r="P58" s="253">
        <f t="shared" si="16"/>
        <v>3072.9200000000001</v>
      </c>
      <c r="Q58" s="251"/>
      <c r="R58" s="251">
        <v>0</v>
      </c>
      <c r="S58" s="251">
        <v>0</v>
      </c>
      <c r="T58" s="251">
        <v>0</v>
      </c>
      <c r="U58" s="253">
        <f t="shared" si="17"/>
        <v>0</v>
      </c>
      <c r="V58" s="251">
        <v>0</v>
      </c>
      <c r="W58" s="251">
        <v>0</v>
      </c>
      <c r="X58" s="253">
        <f t="shared" si="18"/>
        <v>0</v>
      </c>
      <c r="Y58" s="251">
        <v>3072.9200000000001</v>
      </c>
      <c r="Z58" s="251">
        <v>0</v>
      </c>
      <c r="AA58" s="274">
        <f t="shared" si="19"/>
        <v>3072.9200000000001</v>
      </c>
      <c r="AB58" t="b">
        <f t="shared" si="15"/>
        <v>1</v>
      </c>
    </row>
    <row r="59" spans="1:28" ht="12.75">
      <c r="A59" s="191">
        <v>46</v>
      </c>
      <c r="B59" t="s">
        <v>259</v>
      </c>
      <c r="C59" t="s">
        <v>1031</v>
      </c>
      <c r="D59" s="251">
        <v>0</v>
      </c>
      <c r="E59" s="251">
        <v>10974.700000000001</v>
      </c>
      <c r="F59" s="251">
        <v>21949.400000000001</v>
      </c>
      <c r="G59" s="251">
        <v>10974.700000000001</v>
      </c>
      <c r="H59" s="251">
        <v>10974.700000000001</v>
      </c>
      <c r="I59" s="251">
        <v>10974.700000000001</v>
      </c>
      <c r="J59" s="251">
        <v>10974.700000000001</v>
      </c>
      <c r="K59" s="251">
        <v>10974.700000000001</v>
      </c>
      <c r="L59" s="251">
        <v>10974.700000000001</v>
      </c>
      <c r="M59" s="251">
        <v>10974.700000000001</v>
      </c>
      <c r="N59" s="251">
        <v>10974.700000000001</v>
      </c>
      <c r="O59" s="321">
        <v>0</v>
      </c>
      <c r="P59" s="253">
        <f t="shared" si="16"/>
        <v>120721.69999999998</v>
      </c>
      <c r="Q59" s="251"/>
      <c r="R59" s="251">
        <v>0</v>
      </c>
      <c r="S59" s="251">
        <v>0</v>
      </c>
      <c r="T59" s="251">
        <v>0</v>
      </c>
      <c r="U59" s="253">
        <f t="shared" si="17"/>
        <v>0</v>
      </c>
      <c r="V59" s="251">
        <v>0</v>
      </c>
      <c r="W59" s="251">
        <v>0</v>
      </c>
      <c r="X59" s="253">
        <f t="shared" si="18"/>
        <v>0</v>
      </c>
      <c r="Y59" s="251">
        <v>120721.69999999998</v>
      </c>
      <c r="Z59" s="251">
        <v>0</v>
      </c>
      <c r="AA59" s="274">
        <f t="shared" si="19"/>
        <v>120721.69999999998</v>
      </c>
      <c r="AB59" t="b">
        <f t="shared" si="15"/>
        <v>1</v>
      </c>
    </row>
    <row r="60" spans="1:28" ht="12.75">
      <c r="A60" s="191">
        <v>47</v>
      </c>
      <c r="B60" t="s">
        <v>279</v>
      </c>
      <c r="C60" t="s">
        <v>1031</v>
      </c>
      <c r="D60" s="251">
        <v>22388.810000000001</v>
      </c>
      <c r="E60" s="251">
        <v>0</v>
      </c>
      <c r="F60" s="251">
        <v>0</v>
      </c>
      <c r="G60" s="251">
        <v>0</v>
      </c>
      <c r="H60" s="251">
        <v>0</v>
      </c>
      <c r="I60" s="251">
        <v>0</v>
      </c>
      <c r="J60" s="251">
        <v>0</v>
      </c>
      <c r="K60" s="251">
        <v>0</v>
      </c>
      <c r="L60" s="251">
        <v>0.01</v>
      </c>
      <c r="M60" s="251">
        <v>0</v>
      </c>
      <c r="N60" s="251">
        <v>0</v>
      </c>
      <c r="O60" s="321">
        <v>-450.52999999999997</v>
      </c>
      <c r="P60" s="253">
        <f t="shared" si="16"/>
        <v>21938.290000000001</v>
      </c>
      <c r="Q60" s="251"/>
      <c r="R60" s="251">
        <v>1504.9399999999998</v>
      </c>
      <c r="S60" s="251">
        <v>0</v>
      </c>
      <c r="T60" s="251">
        <v>0</v>
      </c>
      <c r="U60" s="253">
        <f t="shared" si="17"/>
        <v>1504.9399999999998</v>
      </c>
      <c r="V60" s="251">
        <v>19229.669999999998</v>
      </c>
      <c r="W60" s="251">
        <v>0</v>
      </c>
      <c r="X60" s="253">
        <f t="shared" si="18"/>
        <v>19229.669999999998</v>
      </c>
      <c r="Y60" s="251">
        <v>1122.4400000000001</v>
      </c>
      <c r="Z60" s="251">
        <v>81.240000000001444</v>
      </c>
      <c r="AA60" s="274">
        <f t="shared" si="19"/>
        <v>21938.289999999997</v>
      </c>
      <c r="AB60" t="b">
        <f t="shared" si="15"/>
        <v>1</v>
      </c>
    </row>
    <row r="61" spans="1:28" ht="12.75">
      <c r="A61" s="191">
        <v>48</v>
      </c>
      <c r="B61" t="s">
        <v>251</v>
      </c>
      <c r="C61" t="s">
        <v>1032</v>
      </c>
      <c r="D61" s="251">
        <v>8345.8999999999996</v>
      </c>
      <c r="E61" s="251">
        <v>2510.4099999999999</v>
      </c>
      <c r="F61" s="251">
        <v>2510.4099999999999</v>
      </c>
      <c r="G61" s="251">
        <v>2510.4099999999999</v>
      </c>
      <c r="H61" s="251">
        <v>2510.4099999999999</v>
      </c>
      <c r="I61" s="251">
        <v>2510.4099999999999</v>
      </c>
      <c r="J61" s="251">
        <v>2510.4099999999999</v>
      </c>
      <c r="K61" s="251">
        <v>2510.4099999999999</v>
      </c>
      <c r="L61" s="251">
        <v>2510.4099999999999</v>
      </c>
      <c r="M61" s="251">
        <v>0</v>
      </c>
      <c r="N61" s="251">
        <v>6049.5</v>
      </c>
      <c r="O61" s="321">
        <v>-101.16</v>
      </c>
      <c r="P61" s="253">
        <f t="shared" si="16"/>
        <v>34377.519999999997</v>
      </c>
      <c r="Q61" s="251"/>
      <c r="R61" s="251">
        <v>0</v>
      </c>
      <c r="S61" s="251">
        <v>0</v>
      </c>
      <c r="T61" s="251">
        <v>0</v>
      </c>
      <c r="U61" s="253">
        <f t="shared" si="17"/>
        <v>0</v>
      </c>
      <c r="V61" s="251">
        <v>34377.519999999997</v>
      </c>
      <c r="W61" s="251">
        <v>0</v>
      </c>
      <c r="X61" s="253">
        <f t="shared" si="18"/>
        <v>34377.519999999997</v>
      </c>
      <c r="Y61" s="251">
        <v>0</v>
      </c>
      <c r="Z61" s="251">
        <v>0</v>
      </c>
      <c r="AA61" s="274">
        <f t="shared" si="19"/>
        <v>34377.519999999997</v>
      </c>
      <c r="AB61" t="b">
        <f t="shared" si="15"/>
        <v>1</v>
      </c>
    </row>
    <row r="62" spans="1:28" ht="12.75">
      <c r="A62" s="191">
        <v>49</v>
      </c>
      <c r="B62" t="s">
        <v>256</v>
      </c>
      <c r="C62" t="s">
        <v>1032</v>
      </c>
      <c r="D62" s="251">
        <v>3074.8099999999999</v>
      </c>
      <c r="E62" s="251">
        <v>924.88999999999999</v>
      </c>
      <c r="F62" s="251">
        <v>924.88999999999999</v>
      </c>
      <c r="G62" s="251">
        <v>924.88999999999999</v>
      </c>
      <c r="H62" s="251">
        <v>924.88999999999999</v>
      </c>
      <c r="I62" s="251">
        <v>924.88999999999999</v>
      </c>
      <c r="J62" s="251">
        <v>924.88999999999999</v>
      </c>
      <c r="K62" s="251">
        <v>924.88999999999999</v>
      </c>
      <c r="L62" s="251">
        <v>924.88999999999999</v>
      </c>
      <c r="M62" s="251">
        <v>0</v>
      </c>
      <c r="N62" s="251">
        <v>2646.6599999999999</v>
      </c>
      <c r="O62" s="321">
        <v>-44.259999999999998</v>
      </c>
      <c r="P62" s="253">
        <f t="shared" si="16"/>
        <v>13076.33</v>
      </c>
      <c r="Q62" s="251"/>
      <c r="R62" s="251">
        <v>0</v>
      </c>
      <c r="S62" s="251">
        <v>0</v>
      </c>
      <c r="T62" s="251">
        <v>0</v>
      </c>
      <c r="U62" s="253">
        <f t="shared" si="17"/>
        <v>0</v>
      </c>
      <c r="V62" s="251">
        <v>0</v>
      </c>
      <c r="W62" s="251">
        <v>0</v>
      </c>
      <c r="X62" s="253">
        <f t="shared" si="18"/>
        <v>0</v>
      </c>
      <c r="Y62" s="251">
        <v>13076.33</v>
      </c>
      <c r="Z62" s="251">
        <v>0</v>
      </c>
      <c r="AA62" s="274">
        <f t="shared" si="19"/>
        <v>13076.33</v>
      </c>
      <c r="AB62" t="b">
        <f t="shared" si="15"/>
        <v>1</v>
      </c>
    </row>
    <row r="63" spans="1:28" ht="12.75">
      <c r="A63" s="191">
        <v>50</v>
      </c>
      <c r="B63" t="s">
        <v>236</v>
      </c>
      <c r="C63" t="s">
        <v>1033</v>
      </c>
      <c r="D63" s="251">
        <v>67354.220000000001</v>
      </c>
      <c r="E63" s="251">
        <v>67354.220000000001</v>
      </c>
      <c r="F63" s="251">
        <v>67354.220000000001</v>
      </c>
      <c r="G63" s="251">
        <v>67354.220000000001</v>
      </c>
      <c r="H63" s="251">
        <v>67354.220000000001</v>
      </c>
      <c r="I63" s="251">
        <v>67354.220000000001</v>
      </c>
      <c r="J63" s="251">
        <v>67397.960000000006</v>
      </c>
      <c r="K63" s="251">
        <v>67354.220000000001</v>
      </c>
      <c r="L63" s="251">
        <v>67354.220000000001</v>
      </c>
      <c r="M63" s="251">
        <v>67354.220000000001</v>
      </c>
      <c r="N63" s="251">
        <v>3090.6300000000001</v>
      </c>
      <c r="O63" s="321">
        <v>35483.029999999999</v>
      </c>
      <c r="P63" s="253">
        <f t="shared" si="16"/>
        <v>712159.59999999998</v>
      </c>
      <c r="Q63" s="251"/>
      <c r="R63" s="251">
        <v>712159.59999999998</v>
      </c>
      <c r="S63" s="251">
        <v>0</v>
      </c>
      <c r="T63" s="251">
        <v>0</v>
      </c>
      <c r="U63" s="253">
        <f t="shared" si="17"/>
        <v>712159.59999999998</v>
      </c>
      <c r="V63" s="251">
        <v>0</v>
      </c>
      <c r="W63" s="251">
        <v>0</v>
      </c>
      <c r="X63" s="253">
        <f t="shared" si="18"/>
        <v>0</v>
      </c>
      <c r="Y63" s="251">
        <v>0</v>
      </c>
      <c r="Z63" s="251">
        <v>0</v>
      </c>
      <c r="AA63" s="274">
        <f t="shared" si="19"/>
        <v>712159.59999999998</v>
      </c>
      <c r="AB63" t="b">
        <f t="shared" si="15"/>
        <v>1</v>
      </c>
    </row>
    <row r="64" spans="1:28" ht="12.75">
      <c r="A64" s="191">
        <v>51</v>
      </c>
      <c r="B64" t="s">
        <v>251</v>
      </c>
      <c r="C64" t="s">
        <v>1033</v>
      </c>
      <c r="D64" s="251">
        <v>29442.450000000001</v>
      </c>
      <c r="E64" s="251">
        <v>29442.450000000001</v>
      </c>
      <c r="F64" s="251">
        <v>29442.450000000001</v>
      </c>
      <c r="G64" s="251">
        <v>29442.450000000001</v>
      </c>
      <c r="H64" s="251">
        <v>29442.450000000001</v>
      </c>
      <c r="I64" s="251">
        <v>29442.450000000001</v>
      </c>
      <c r="J64" s="251">
        <v>29461.57</v>
      </c>
      <c r="K64" s="251">
        <v>29442.450000000001</v>
      </c>
      <c r="L64" s="251">
        <v>29442.450000000001</v>
      </c>
      <c r="M64" s="251">
        <v>29442.450000000001</v>
      </c>
      <c r="N64" s="251">
        <v>1351</v>
      </c>
      <c r="O64" s="321">
        <v>15510.65</v>
      </c>
      <c r="P64" s="253">
        <f t="shared" si="16"/>
        <v>311305.27000000008</v>
      </c>
      <c r="Q64" s="251"/>
      <c r="R64" s="251">
        <v>0</v>
      </c>
      <c r="S64" s="251">
        <v>0</v>
      </c>
      <c r="T64" s="251">
        <v>0</v>
      </c>
      <c r="U64" s="253">
        <f t="shared" si="17"/>
        <v>0</v>
      </c>
      <c r="V64" s="251">
        <v>311305.27000000008</v>
      </c>
      <c r="W64" s="251">
        <v>0</v>
      </c>
      <c r="X64" s="253">
        <f t="shared" si="18"/>
        <v>311305.27000000008</v>
      </c>
      <c r="Y64" s="251">
        <v>0</v>
      </c>
      <c r="Z64" s="251">
        <v>0</v>
      </c>
      <c r="AA64" s="274">
        <f t="shared" si="19"/>
        <v>311305.27000000008</v>
      </c>
      <c r="AB64" t="b">
        <f t="shared" si="15"/>
        <v>1</v>
      </c>
    </row>
    <row r="65" spans="1:28" ht="12.75">
      <c r="A65" s="191">
        <v>52</v>
      </c>
      <c r="B65" t="s">
        <v>290</v>
      </c>
      <c r="C65" t="s">
        <v>1033</v>
      </c>
      <c r="D65" s="251">
        <v>40283.18</v>
      </c>
      <c r="E65" s="251">
        <v>40283.18</v>
      </c>
      <c r="F65" s="251">
        <v>40283.18</v>
      </c>
      <c r="G65" s="251">
        <v>40283.18</v>
      </c>
      <c r="H65" s="251">
        <v>40283.18</v>
      </c>
      <c r="I65" s="251">
        <v>40283.18</v>
      </c>
      <c r="J65" s="251">
        <v>40309.339999999997</v>
      </c>
      <c r="K65" s="251">
        <v>40283.18</v>
      </c>
      <c r="L65" s="251">
        <v>40283.18</v>
      </c>
      <c r="M65" s="251">
        <v>40283.18</v>
      </c>
      <c r="N65" s="251">
        <v>1848.4400000000001</v>
      </c>
      <c r="O65" s="321">
        <v>21221.68</v>
      </c>
      <c r="P65" s="253">
        <f t="shared" si="16"/>
        <v>425928.07999999996</v>
      </c>
      <c r="Q65" s="251"/>
      <c r="R65" s="251">
        <v>0</v>
      </c>
      <c r="S65" s="251">
        <v>0</v>
      </c>
      <c r="T65" s="251">
        <v>0</v>
      </c>
      <c r="U65" s="253">
        <f t="shared" si="17"/>
        <v>0</v>
      </c>
      <c r="V65" s="251">
        <v>336442.46000000002</v>
      </c>
      <c r="W65" s="251">
        <v>0</v>
      </c>
      <c r="X65" s="253">
        <f t="shared" si="18"/>
        <v>336442.46000000002</v>
      </c>
      <c r="Y65" s="251">
        <v>84499.970000000001</v>
      </c>
      <c r="Z65" s="251">
        <v>4985.6499999999996</v>
      </c>
      <c r="AA65" s="274">
        <f t="shared" si="19"/>
        <v>425928.08000000007</v>
      </c>
      <c r="AB65" t="b">
        <f t="shared" si="15"/>
        <v>1</v>
      </c>
    </row>
    <row r="66" spans="1:28" ht="12.75">
      <c r="A66" s="191">
        <v>53</v>
      </c>
      <c r="B66" t="s">
        <v>247</v>
      </c>
      <c r="C66" t="s">
        <v>1034</v>
      </c>
      <c r="D66" s="251">
        <v>10442.52</v>
      </c>
      <c r="E66" s="251">
        <v>2394.8499999999999</v>
      </c>
      <c r="F66" s="251">
        <v>2394.8499999999999</v>
      </c>
      <c r="G66" s="251">
        <v>2394.8499999999999</v>
      </c>
      <c r="H66" s="251">
        <v>2394.8499999999999</v>
      </c>
      <c r="I66" s="251">
        <v>2394.8499999999999</v>
      </c>
      <c r="J66" s="251">
        <v>2394.8499999999999</v>
      </c>
      <c r="K66" s="251">
        <v>2394.8499999999999</v>
      </c>
      <c r="L66" s="251">
        <v>2418.8499999999999</v>
      </c>
      <c r="M66" s="251">
        <v>2454.7199999999998</v>
      </c>
      <c r="N66" s="251">
        <v>2630.0599999999999</v>
      </c>
      <c r="O66" s="321">
        <v>2492.8899999999999</v>
      </c>
      <c r="P66" s="253">
        <f t="shared" si="16"/>
        <v>37202.989999999991</v>
      </c>
      <c r="Q66" s="251"/>
      <c r="R66" s="251">
        <v>0</v>
      </c>
      <c r="S66" s="251">
        <v>0</v>
      </c>
      <c r="T66" s="251">
        <v>0</v>
      </c>
      <c r="U66" s="253">
        <f t="shared" si="17"/>
        <v>0</v>
      </c>
      <c r="V66" s="251">
        <v>0</v>
      </c>
      <c r="W66" s="251">
        <v>0</v>
      </c>
      <c r="X66" s="253">
        <f t="shared" si="18"/>
        <v>0</v>
      </c>
      <c r="Y66" s="251">
        <v>37202.989999999991</v>
      </c>
      <c r="Z66" s="251">
        <v>0</v>
      </c>
      <c r="AA66" s="274">
        <f t="shared" si="19"/>
        <v>37202.989999999991</v>
      </c>
      <c r="AB66" t="b">
        <f t="shared" si="15"/>
        <v>1</v>
      </c>
    </row>
    <row r="67" spans="1:28" ht="12.75">
      <c r="A67" s="191">
        <v>54</v>
      </c>
      <c r="B67" t="s">
        <v>251</v>
      </c>
      <c r="C67" t="s">
        <v>1034</v>
      </c>
      <c r="D67" s="251">
        <v>14172</v>
      </c>
      <c r="E67" s="251">
        <v>3250.1599999999999</v>
      </c>
      <c r="F67" s="251">
        <v>3250.1599999999999</v>
      </c>
      <c r="G67" s="251">
        <v>3250.1599999999999</v>
      </c>
      <c r="H67" s="251">
        <v>3250.1599999999999</v>
      </c>
      <c r="I67" s="251">
        <v>3250.1599999999999</v>
      </c>
      <c r="J67" s="251">
        <v>3250.1599999999999</v>
      </c>
      <c r="K67" s="251">
        <v>3250.1599999999999</v>
      </c>
      <c r="L67" s="251">
        <v>3282.73</v>
      </c>
      <c r="M67" s="251">
        <v>3331.4099999999999</v>
      </c>
      <c r="N67" s="251">
        <v>3857.4200000000001</v>
      </c>
      <c r="O67" s="321">
        <v>3656.2399999999998</v>
      </c>
      <c r="P67" s="253">
        <f t="shared" si="16"/>
        <v>51050.919999999991</v>
      </c>
      <c r="Q67" s="251"/>
      <c r="R67" s="251">
        <v>0</v>
      </c>
      <c r="S67" s="251">
        <v>0</v>
      </c>
      <c r="T67" s="251">
        <v>0</v>
      </c>
      <c r="U67" s="253">
        <f t="shared" si="17"/>
        <v>0</v>
      </c>
      <c r="V67" s="251">
        <v>51050.919999999991</v>
      </c>
      <c r="W67" s="251">
        <v>0</v>
      </c>
      <c r="X67" s="253">
        <f t="shared" si="18"/>
        <v>51050.919999999991</v>
      </c>
      <c r="Y67" s="251">
        <v>0</v>
      </c>
      <c r="Z67" s="251">
        <v>0</v>
      </c>
      <c r="AA67" s="274">
        <f t="shared" si="19"/>
        <v>51050.919999999991</v>
      </c>
      <c r="AB67" t="b">
        <f t="shared" si="15"/>
        <v>1</v>
      </c>
    </row>
    <row r="68" spans="1:28" ht="12.75">
      <c r="A68" s="191">
        <v>55</v>
      </c>
      <c r="B68" t="s">
        <v>290</v>
      </c>
      <c r="C68" t="s">
        <v>1034</v>
      </c>
      <c r="D68" s="251">
        <v>9696.6299999999992</v>
      </c>
      <c r="E68" s="251">
        <v>2223.79</v>
      </c>
      <c r="F68" s="251">
        <v>2223.79</v>
      </c>
      <c r="G68" s="251">
        <v>2223.79</v>
      </c>
      <c r="H68" s="251">
        <v>2223.79</v>
      </c>
      <c r="I68" s="251">
        <v>2223.79</v>
      </c>
      <c r="J68" s="251">
        <v>2223.79</v>
      </c>
      <c r="K68" s="251">
        <v>2223.79</v>
      </c>
      <c r="L68" s="251">
        <v>2246.0799999999999</v>
      </c>
      <c r="M68" s="251">
        <v>2279.3899999999999</v>
      </c>
      <c r="N68" s="251">
        <v>2279.3899999999999</v>
      </c>
      <c r="O68" s="321">
        <v>2160.5100000000002</v>
      </c>
      <c r="P68" s="253">
        <f t="shared" si="16"/>
        <v>34228.530000000006</v>
      </c>
      <c r="Q68" s="251"/>
      <c r="R68" s="251">
        <v>0</v>
      </c>
      <c r="S68" s="251">
        <v>0</v>
      </c>
      <c r="T68" s="251">
        <v>0</v>
      </c>
      <c r="U68" s="253">
        <f t="shared" si="17"/>
        <v>0</v>
      </c>
      <c r="V68" s="251">
        <v>34228.530000000006</v>
      </c>
      <c r="W68" s="251">
        <v>0</v>
      </c>
      <c r="X68" s="253">
        <f t="shared" si="18"/>
        <v>34228.530000000006</v>
      </c>
      <c r="Y68" s="251">
        <v>0</v>
      </c>
      <c r="Z68" s="251">
        <v>0</v>
      </c>
      <c r="AA68" s="274">
        <f t="shared" si="19"/>
        <v>34228.530000000006</v>
      </c>
      <c r="AB68" t="b">
        <f t="shared" si="15"/>
        <v>1</v>
      </c>
    </row>
    <row r="69" spans="1:28" ht="12.75">
      <c r="A69" s="191">
        <v>56</v>
      </c>
      <c r="B69" t="s">
        <v>250</v>
      </c>
      <c r="C69" t="s">
        <v>1035</v>
      </c>
      <c r="D69" s="251">
        <v>0</v>
      </c>
      <c r="E69" s="251">
        <v>0</v>
      </c>
      <c r="F69" s="251">
        <v>0</v>
      </c>
      <c r="G69" s="251">
        <v>0</v>
      </c>
      <c r="H69" s="251">
        <v>0</v>
      </c>
      <c r="I69" s="251">
        <v>0</v>
      </c>
      <c r="J69" s="251">
        <v>0</v>
      </c>
      <c r="K69" s="251">
        <v>0</v>
      </c>
      <c r="L69" s="251">
        <v>0</v>
      </c>
      <c r="M69" s="251">
        <v>0</v>
      </c>
      <c r="N69" s="251">
        <v>0</v>
      </c>
      <c r="O69" s="321">
        <v>1200</v>
      </c>
      <c r="P69" s="253">
        <f t="shared" si="16"/>
        <v>1200</v>
      </c>
      <c r="Q69" s="251"/>
      <c r="R69" s="251">
        <v>0</v>
      </c>
      <c r="S69" s="251">
        <v>0</v>
      </c>
      <c r="T69" s="251">
        <v>0</v>
      </c>
      <c r="U69" s="253">
        <f t="shared" si="17"/>
        <v>0</v>
      </c>
      <c r="V69" s="251">
        <v>1200</v>
      </c>
      <c r="W69" s="251">
        <v>0</v>
      </c>
      <c r="X69" s="253">
        <f t="shared" si="18"/>
        <v>1200</v>
      </c>
      <c r="Y69" s="251">
        <v>0</v>
      </c>
      <c r="Z69" s="251">
        <v>0</v>
      </c>
      <c r="AA69" s="274">
        <f t="shared" si="19"/>
        <v>1200</v>
      </c>
      <c r="AB69" t="b">
        <f t="shared" si="15"/>
        <v>1</v>
      </c>
    </row>
    <row r="70" spans="1:28" ht="12.75">
      <c r="A70" s="191">
        <v>57</v>
      </c>
      <c r="B70" t="s">
        <v>251</v>
      </c>
      <c r="C70" t="s">
        <v>1036</v>
      </c>
      <c r="D70" s="251">
        <v>1129.9500000000001</v>
      </c>
      <c r="E70" s="251">
        <v>1129.9500000000001</v>
      </c>
      <c r="F70" s="251">
        <v>1129.9500000000001</v>
      </c>
      <c r="G70" s="251">
        <v>1129.9500000000001</v>
      </c>
      <c r="H70" s="251">
        <v>1210.8299999999999</v>
      </c>
      <c r="I70" s="251">
        <v>1129.9500000000001</v>
      </c>
      <c r="J70" s="251">
        <v>1350</v>
      </c>
      <c r="K70" s="251">
        <v>0</v>
      </c>
      <c r="L70" s="251">
        <v>3367.98</v>
      </c>
      <c r="M70" s="251">
        <v>1603.8</v>
      </c>
      <c r="N70" s="251">
        <v>1603.8</v>
      </c>
      <c r="O70" s="321">
        <v>0</v>
      </c>
      <c r="P70" s="253">
        <f t="shared" si="16"/>
        <v>14786.159999999998</v>
      </c>
      <c r="Q70" s="251"/>
      <c r="R70" s="251">
        <v>0</v>
      </c>
      <c r="S70" s="251">
        <v>0</v>
      </c>
      <c r="T70" s="251">
        <v>0</v>
      </c>
      <c r="U70" s="253">
        <f t="shared" si="17"/>
        <v>0</v>
      </c>
      <c r="V70" s="251">
        <v>14786.159999999998</v>
      </c>
      <c r="W70" s="251">
        <v>0</v>
      </c>
      <c r="X70" s="253">
        <f t="shared" si="18"/>
        <v>14786.159999999998</v>
      </c>
      <c r="Y70" s="251">
        <v>0</v>
      </c>
      <c r="Z70" s="251">
        <v>0</v>
      </c>
      <c r="AA70" s="274">
        <f t="shared" si="19"/>
        <v>14786.159999999998</v>
      </c>
      <c r="AB70" t="b">
        <f t="shared" si="15"/>
        <v>1</v>
      </c>
    </row>
    <row r="71" spans="1:28" ht="12.75">
      <c r="A71" s="191">
        <v>58</v>
      </c>
      <c r="B71" t="s">
        <v>251</v>
      </c>
      <c r="C71" t="s">
        <v>1037</v>
      </c>
      <c r="D71" s="251">
        <v>6936.3800000000001</v>
      </c>
      <c r="E71" s="251">
        <v>5610</v>
      </c>
      <c r="F71" s="251">
        <v>11220</v>
      </c>
      <c r="G71" s="251">
        <v>5610</v>
      </c>
      <c r="H71" s="251">
        <v>0</v>
      </c>
      <c r="I71" s="251">
        <v>11220</v>
      </c>
      <c r="J71" s="251">
        <v>0</v>
      </c>
      <c r="K71" s="251">
        <v>11220</v>
      </c>
      <c r="L71" s="251">
        <v>5707.5299999999997</v>
      </c>
      <c r="M71" s="251">
        <v>0</v>
      </c>
      <c r="N71" s="251">
        <v>11550</v>
      </c>
      <c r="O71" s="321">
        <v>39.159999999999997</v>
      </c>
      <c r="P71" s="253">
        <f t="shared" si="16"/>
        <v>69113.070000000007</v>
      </c>
      <c r="Q71" s="251"/>
      <c r="R71" s="251">
        <v>0</v>
      </c>
      <c r="S71" s="251">
        <v>0</v>
      </c>
      <c r="T71" s="251">
        <v>0</v>
      </c>
      <c r="U71" s="253">
        <f t="shared" si="17"/>
        <v>0</v>
      </c>
      <c r="V71" s="251">
        <v>69113.070000000007</v>
      </c>
      <c r="W71" s="251">
        <v>0</v>
      </c>
      <c r="X71" s="253">
        <f t="shared" si="18"/>
        <v>69113.070000000007</v>
      </c>
      <c r="Y71" s="251">
        <v>0</v>
      </c>
      <c r="Z71" s="251">
        <v>0</v>
      </c>
      <c r="AA71" s="274">
        <f t="shared" si="19"/>
        <v>69113.070000000007</v>
      </c>
      <c r="AB71" t="b">
        <f t="shared" si="15"/>
        <v>1</v>
      </c>
    </row>
    <row r="72" spans="1:28" ht="12.75">
      <c r="A72" s="191">
        <v>59</v>
      </c>
      <c r="B72" t="s">
        <v>290</v>
      </c>
      <c r="C72" t="s">
        <v>1037</v>
      </c>
      <c r="D72" s="251">
        <v>816.04999999999995</v>
      </c>
      <c r="E72" s="251">
        <v>660</v>
      </c>
      <c r="F72" s="251">
        <v>1320</v>
      </c>
      <c r="G72" s="251">
        <v>660</v>
      </c>
      <c r="H72" s="251">
        <v>0</v>
      </c>
      <c r="I72" s="251">
        <v>1320</v>
      </c>
      <c r="J72" s="251">
        <v>0</v>
      </c>
      <c r="K72" s="251">
        <v>1320</v>
      </c>
      <c r="L72" s="251">
        <v>671.47000000000003</v>
      </c>
      <c r="M72" s="251">
        <v>0</v>
      </c>
      <c r="N72" s="251">
        <v>1320</v>
      </c>
      <c r="O72" s="321">
        <v>4.4800000000000004</v>
      </c>
      <c r="P72" s="253">
        <f t="shared" si="16"/>
        <v>8092</v>
      </c>
      <c r="Q72" s="251"/>
      <c r="R72" s="251">
        <v>0</v>
      </c>
      <c r="S72" s="251">
        <v>0</v>
      </c>
      <c r="T72" s="251">
        <v>0</v>
      </c>
      <c r="U72" s="253">
        <f t="shared" si="17"/>
        <v>0</v>
      </c>
      <c r="V72" s="251">
        <v>8092</v>
      </c>
      <c r="W72" s="251">
        <v>0</v>
      </c>
      <c r="X72" s="253">
        <f t="shared" si="18"/>
        <v>8092</v>
      </c>
      <c r="Y72" s="251">
        <v>0</v>
      </c>
      <c r="Z72" s="251">
        <v>0</v>
      </c>
      <c r="AA72" s="274">
        <f t="shared" si="19"/>
        <v>8092</v>
      </c>
      <c r="AB72" t="b">
        <f t="shared" si="15"/>
        <v>1</v>
      </c>
    </row>
    <row r="73" spans="1:28" ht="12.75">
      <c r="A73" s="191">
        <v>60</v>
      </c>
      <c r="B73" t="s">
        <v>236</v>
      </c>
      <c r="C73" t="s">
        <v>1038</v>
      </c>
      <c r="D73" s="251">
        <v>13625.959999999999</v>
      </c>
      <c r="E73" s="251">
        <v>3327.0300000000002</v>
      </c>
      <c r="F73" s="251">
        <v>3327.0300000000002</v>
      </c>
      <c r="G73" s="251">
        <v>3327.0300000000002</v>
      </c>
      <c r="H73" s="251">
        <v>3327.0300000000002</v>
      </c>
      <c r="I73" s="251">
        <v>3327.0300000000002</v>
      </c>
      <c r="J73" s="251">
        <v>3327.0300000000002</v>
      </c>
      <c r="K73" s="251">
        <v>3327.0300000000002</v>
      </c>
      <c r="L73" s="251">
        <v>-2563.7600000000002</v>
      </c>
      <c r="M73" s="251">
        <v>8750.7999999999993</v>
      </c>
      <c r="N73" s="251">
        <v>0</v>
      </c>
      <c r="O73" s="321">
        <v>11060.85</v>
      </c>
      <c r="P73" s="253">
        <f t="shared" si="16"/>
        <v>54163.05999999999</v>
      </c>
      <c r="Q73" s="251"/>
      <c r="R73" s="251">
        <v>54163.05999999999</v>
      </c>
      <c r="S73" s="251">
        <v>0</v>
      </c>
      <c r="T73" s="251">
        <v>0</v>
      </c>
      <c r="U73" s="253">
        <f t="shared" si="17"/>
        <v>54163.05999999999</v>
      </c>
      <c r="V73" s="251">
        <v>0</v>
      </c>
      <c r="W73" s="251">
        <v>0</v>
      </c>
      <c r="X73" s="253">
        <f t="shared" si="18"/>
        <v>0</v>
      </c>
      <c r="Y73" s="251">
        <v>0</v>
      </c>
      <c r="Z73" s="251">
        <v>0</v>
      </c>
      <c r="AA73" s="274">
        <f t="shared" si="19"/>
        <v>54163.05999999999</v>
      </c>
      <c r="AB73" t="b">
        <f t="shared" si="15"/>
        <v>1</v>
      </c>
    </row>
    <row r="74" spans="1:28" ht="12.75">
      <c r="A74" s="191">
        <v>61</v>
      </c>
      <c r="B74" t="s">
        <v>251</v>
      </c>
      <c r="C74" t="s">
        <v>1039</v>
      </c>
      <c r="D74" s="251">
        <v>19186.41</v>
      </c>
      <c r="E74" s="251">
        <v>2310</v>
      </c>
      <c r="F74" s="251">
        <v>2310</v>
      </c>
      <c r="G74" s="251">
        <v>2392.4499999999998</v>
      </c>
      <c r="H74" s="251">
        <v>2310</v>
      </c>
      <c r="I74" s="251">
        <v>2310</v>
      </c>
      <c r="J74" s="251">
        <v>2310</v>
      </c>
      <c r="K74" s="251">
        <v>2310</v>
      </c>
      <c r="L74" s="251">
        <v>4180.4300000000003</v>
      </c>
      <c r="M74" s="251">
        <v>2310</v>
      </c>
      <c r="N74" s="251">
        <v>0</v>
      </c>
      <c r="O74" s="321">
        <v>-7426.0900000000001</v>
      </c>
      <c r="P74" s="253">
        <f t="shared" si="16"/>
        <v>34503.199999999997</v>
      </c>
      <c r="Q74" s="251"/>
      <c r="R74" s="251">
        <v>0</v>
      </c>
      <c r="S74" s="251">
        <v>0</v>
      </c>
      <c r="T74" s="251">
        <v>0</v>
      </c>
      <c r="U74" s="253">
        <f t="shared" si="17"/>
        <v>0</v>
      </c>
      <c r="V74" s="251">
        <v>34503.200000000004</v>
      </c>
      <c r="W74" s="251">
        <v>0</v>
      </c>
      <c r="X74" s="253">
        <f t="shared" si="18"/>
        <v>34503.200000000004</v>
      </c>
      <c r="Y74" s="251">
        <v>0</v>
      </c>
      <c r="Z74" s="251">
        <v>0</v>
      </c>
      <c r="AA74" s="274">
        <f t="shared" si="19"/>
        <v>34503.200000000004</v>
      </c>
      <c r="AB74" t="b">
        <f t="shared" si="15"/>
        <v>1</v>
      </c>
    </row>
    <row r="75" spans="1:28" ht="12.75">
      <c r="A75" s="191">
        <v>62</v>
      </c>
      <c r="B75" t="s">
        <v>290</v>
      </c>
      <c r="C75" t="s">
        <v>1039</v>
      </c>
      <c r="D75" s="251">
        <v>2740.9200000000001</v>
      </c>
      <c r="E75" s="251">
        <v>330</v>
      </c>
      <c r="F75" s="251">
        <v>330</v>
      </c>
      <c r="G75" s="251">
        <v>341.77999999999997</v>
      </c>
      <c r="H75" s="251">
        <v>330</v>
      </c>
      <c r="I75" s="251">
        <v>330</v>
      </c>
      <c r="J75" s="251">
        <v>330</v>
      </c>
      <c r="K75" s="251">
        <v>330</v>
      </c>
      <c r="L75" s="251">
        <v>597.20000000000005</v>
      </c>
      <c r="M75" s="251">
        <v>330</v>
      </c>
      <c r="N75" s="251">
        <v>0</v>
      </c>
      <c r="O75" s="321">
        <v>-891.13</v>
      </c>
      <c r="P75" s="253">
        <f t="shared" si="16"/>
        <v>5098.7699999999995</v>
      </c>
      <c r="Q75" s="251"/>
      <c r="R75" s="251">
        <v>0</v>
      </c>
      <c r="S75" s="251">
        <v>0</v>
      </c>
      <c r="T75" s="251">
        <v>0</v>
      </c>
      <c r="U75" s="253">
        <f t="shared" si="17"/>
        <v>0</v>
      </c>
      <c r="V75" s="251">
        <v>5093.9399999999996</v>
      </c>
      <c r="W75" s="251">
        <v>0</v>
      </c>
      <c r="X75" s="253">
        <f t="shared" si="18"/>
        <v>5093.9399999999996</v>
      </c>
      <c r="Y75" s="251">
        <v>4.8300000000000001</v>
      </c>
      <c r="Z75" s="251">
        <v>0</v>
      </c>
      <c r="AA75" s="274">
        <f t="shared" si="19"/>
        <v>5098.7699999999995</v>
      </c>
      <c r="AB75" t="b">
        <f t="shared" si="15"/>
        <v>1</v>
      </c>
    </row>
    <row r="76" spans="1:28" ht="12.75">
      <c r="A76" s="191">
        <v>63</v>
      </c>
      <c r="B76" t="s">
        <v>247</v>
      </c>
      <c r="C76" t="s">
        <v>1040</v>
      </c>
      <c r="D76" s="251">
        <v>1395.02</v>
      </c>
      <c r="E76" s="251">
        <v>522</v>
      </c>
      <c r="F76" s="251">
        <v>522</v>
      </c>
      <c r="G76" s="251">
        <v>522</v>
      </c>
      <c r="H76" s="251">
        <v>522</v>
      </c>
      <c r="I76" s="251">
        <v>522</v>
      </c>
      <c r="J76" s="251">
        <v>522</v>
      </c>
      <c r="K76" s="251">
        <v>522</v>
      </c>
      <c r="L76" s="251">
        <v>522.08000000000004</v>
      </c>
      <c r="M76" s="251">
        <v>522</v>
      </c>
      <c r="N76" s="251">
        <v>522</v>
      </c>
      <c r="O76" s="321">
        <v>500.41000000000002</v>
      </c>
      <c r="P76" s="253">
        <f t="shared" si="16"/>
        <v>7115.5100000000002</v>
      </c>
      <c r="Q76" s="251"/>
      <c r="R76" s="251">
        <v>0</v>
      </c>
      <c r="S76" s="251">
        <v>0</v>
      </c>
      <c r="T76" s="251">
        <v>0</v>
      </c>
      <c r="U76" s="253">
        <f t="shared" si="17"/>
        <v>0</v>
      </c>
      <c r="V76" s="251">
        <v>0</v>
      </c>
      <c r="W76" s="251">
        <v>0</v>
      </c>
      <c r="X76" s="253">
        <f t="shared" si="18"/>
        <v>0</v>
      </c>
      <c r="Y76" s="251">
        <v>7115.5100000000002</v>
      </c>
      <c r="Z76" s="251">
        <v>0</v>
      </c>
      <c r="AA76" s="274">
        <f t="shared" si="19"/>
        <v>7115.5100000000002</v>
      </c>
      <c r="AB76" t="b">
        <f t="shared" si="15"/>
        <v>1</v>
      </c>
    </row>
    <row r="77" spans="1:28" ht="12.75">
      <c r="A77" s="191">
        <v>64</v>
      </c>
      <c r="B77" t="s">
        <v>251</v>
      </c>
      <c r="C77" t="s">
        <v>1040</v>
      </c>
      <c r="D77" s="251">
        <v>5115.0699999999997</v>
      </c>
      <c r="E77" s="251">
        <v>1914</v>
      </c>
      <c r="F77" s="251">
        <v>1914</v>
      </c>
      <c r="G77" s="251">
        <v>1914</v>
      </c>
      <c r="H77" s="251">
        <v>1914</v>
      </c>
      <c r="I77" s="251">
        <v>1914</v>
      </c>
      <c r="J77" s="251">
        <v>1914</v>
      </c>
      <c r="K77" s="251">
        <v>1914</v>
      </c>
      <c r="L77" s="251">
        <v>1914.31</v>
      </c>
      <c r="M77" s="251">
        <v>1914</v>
      </c>
      <c r="N77" s="251">
        <v>1682</v>
      </c>
      <c r="O77" s="321">
        <v>1612.4200000000001</v>
      </c>
      <c r="P77" s="253">
        <f t="shared" si="16"/>
        <v>25635.800000000003</v>
      </c>
      <c r="Q77" s="251"/>
      <c r="R77" s="251">
        <v>0</v>
      </c>
      <c r="S77" s="251">
        <v>0</v>
      </c>
      <c r="T77" s="251">
        <v>0</v>
      </c>
      <c r="U77" s="253">
        <f t="shared" si="17"/>
        <v>0</v>
      </c>
      <c r="V77" s="251">
        <v>25635.800000000003</v>
      </c>
      <c r="W77" s="251">
        <v>0</v>
      </c>
      <c r="X77" s="253">
        <f t="shared" si="18"/>
        <v>25635.800000000003</v>
      </c>
      <c r="Y77" s="251">
        <v>0</v>
      </c>
      <c r="Z77" s="251">
        <v>0</v>
      </c>
      <c r="AA77" s="274">
        <f t="shared" si="19"/>
        <v>25635.800000000003</v>
      </c>
      <c r="AB77" t="b">
        <f t="shared" si="15"/>
        <v>1</v>
      </c>
    </row>
    <row r="78" spans="1:28" ht="12.75">
      <c r="A78" s="191">
        <v>65</v>
      </c>
      <c r="B78" t="s">
        <v>237</v>
      </c>
      <c r="C78" t="s">
        <v>1041</v>
      </c>
      <c r="D78" s="251">
        <v>4500</v>
      </c>
      <c r="E78" s="251">
        <v>4500</v>
      </c>
      <c r="F78" s="251">
        <v>4500</v>
      </c>
      <c r="G78" s="251">
        <v>4500</v>
      </c>
      <c r="H78" s="251">
        <v>4500</v>
      </c>
      <c r="I78" s="251">
        <v>4500</v>
      </c>
      <c r="J78" s="251">
        <v>4500</v>
      </c>
      <c r="K78" s="251">
        <v>4500</v>
      </c>
      <c r="L78" s="251">
        <v>4500</v>
      </c>
      <c r="M78" s="251">
        <v>4500</v>
      </c>
      <c r="N78" s="251">
        <v>4500</v>
      </c>
      <c r="O78" s="321">
        <v>4410</v>
      </c>
      <c r="P78" s="253">
        <f t="shared" si="16"/>
        <v>53910</v>
      </c>
      <c r="Q78" s="251"/>
      <c r="R78" s="251">
        <v>53910</v>
      </c>
      <c r="S78" s="251">
        <v>0</v>
      </c>
      <c r="T78" s="251">
        <v>0</v>
      </c>
      <c r="U78" s="253">
        <f t="shared" si="17"/>
        <v>53910</v>
      </c>
      <c r="V78" s="251">
        <v>0</v>
      </c>
      <c r="W78" s="251">
        <v>0</v>
      </c>
      <c r="X78" s="253">
        <f t="shared" si="18"/>
        <v>0</v>
      </c>
      <c r="Y78" s="251">
        <v>0</v>
      </c>
      <c r="Z78" s="251">
        <v>0</v>
      </c>
      <c r="AA78" s="274">
        <f t="shared" si="19"/>
        <v>53910</v>
      </c>
      <c r="AB78" t="b">
        <f t="shared" si="15"/>
        <v>1</v>
      </c>
    </row>
    <row r="79" spans="1:28" ht="12.75">
      <c r="A79" s="191">
        <v>66</v>
      </c>
      <c r="B79" t="s">
        <v>236</v>
      </c>
      <c r="C79" t="s">
        <v>1042</v>
      </c>
      <c r="D79" s="251">
        <v>8392.7999999999993</v>
      </c>
      <c r="E79" s="251">
        <v>2678.0500000000002</v>
      </c>
      <c r="F79" s="251">
        <v>2678.0500000000002</v>
      </c>
      <c r="G79" s="251">
        <v>2678.0500000000002</v>
      </c>
      <c r="H79" s="251">
        <v>2678.0500000000002</v>
      </c>
      <c r="I79" s="251">
        <v>2678.0500000000002</v>
      </c>
      <c r="J79" s="251">
        <v>2678.0500000000002</v>
      </c>
      <c r="K79" s="251">
        <v>2678.0500000000002</v>
      </c>
      <c r="L79" s="251">
        <v>2439.9400000000001</v>
      </c>
      <c r="M79" s="251">
        <v>2678.0500000000002</v>
      </c>
      <c r="N79" s="251">
        <v>2678.0500000000002</v>
      </c>
      <c r="O79" s="321">
        <v>2987.3600000000001</v>
      </c>
      <c r="P79" s="253">
        <f t="shared" si="16"/>
        <v>37922.549999999996</v>
      </c>
      <c r="Q79" s="251"/>
      <c r="R79" s="251">
        <v>37922.549999999996</v>
      </c>
      <c r="S79" s="251">
        <v>0</v>
      </c>
      <c r="T79" s="251">
        <v>0</v>
      </c>
      <c r="U79" s="253">
        <f t="shared" si="17"/>
        <v>37922.549999999996</v>
      </c>
      <c r="V79" s="251">
        <v>0</v>
      </c>
      <c r="W79" s="251">
        <v>0</v>
      </c>
      <c r="X79" s="253">
        <f t="shared" si="18"/>
        <v>0</v>
      </c>
      <c r="Y79" s="251">
        <v>0</v>
      </c>
      <c r="Z79" s="251">
        <v>0</v>
      </c>
      <c r="AA79" s="274">
        <f t="shared" si="19"/>
        <v>37922.549999999996</v>
      </c>
      <c r="AB79" t="b">
        <f t="shared" si="15"/>
        <v>1</v>
      </c>
    </row>
    <row r="80" spans="1:28" ht="12.75">
      <c r="A80" s="191">
        <v>67</v>
      </c>
      <c r="B80" t="s">
        <v>286</v>
      </c>
      <c r="C80" t="s">
        <v>1043</v>
      </c>
      <c r="D80" s="251">
        <v>903.11000000000001</v>
      </c>
      <c r="E80" s="251">
        <v>830.53999999999996</v>
      </c>
      <c r="F80" s="251">
        <v>830.53999999999996</v>
      </c>
      <c r="G80" s="251">
        <v>830.53999999999996</v>
      </c>
      <c r="H80" s="251">
        <v>830.53999999999996</v>
      </c>
      <c r="I80" s="251">
        <v>830.53999999999996</v>
      </c>
      <c r="J80" s="251">
        <v>830.53999999999996</v>
      </c>
      <c r="K80" s="251">
        <v>830.53999999999996</v>
      </c>
      <c r="L80" s="251">
        <v>855.46000000000004</v>
      </c>
      <c r="M80" s="251">
        <v>855.46000000000004</v>
      </c>
      <c r="N80" s="251">
        <v>855.46000000000004</v>
      </c>
      <c r="O80" s="321">
        <v>0</v>
      </c>
      <c r="P80" s="253">
        <f t="shared" si="16"/>
        <v>9283.2700000000004</v>
      </c>
      <c r="Q80" s="251"/>
      <c r="R80" s="251">
        <v>0</v>
      </c>
      <c r="S80" s="251">
        <v>0</v>
      </c>
      <c r="T80" s="251">
        <v>0</v>
      </c>
      <c r="U80" s="253">
        <f t="shared" si="17"/>
        <v>0</v>
      </c>
      <c r="V80" s="251">
        <v>0</v>
      </c>
      <c r="W80" s="251">
        <v>0</v>
      </c>
      <c r="X80" s="253">
        <f t="shared" si="18"/>
        <v>0</v>
      </c>
      <c r="Y80" s="251">
        <v>0</v>
      </c>
      <c r="Z80" s="251">
        <v>9283.2700000000004</v>
      </c>
      <c r="AA80" s="274">
        <f t="shared" si="19"/>
        <v>9283.2700000000004</v>
      </c>
      <c r="AB80" t="b">
        <f t="shared" si="15"/>
        <v>1</v>
      </c>
    </row>
    <row r="81" spans="1:28" ht="12.75">
      <c r="A81" s="191">
        <v>68</v>
      </c>
      <c r="B81" t="s">
        <v>250</v>
      </c>
      <c r="C81" t="s">
        <v>1044</v>
      </c>
      <c r="D81" s="251">
        <v>16544.27</v>
      </c>
      <c r="E81" s="251">
        <v>6560</v>
      </c>
      <c r="F81" s="251">
        <v>6560</v>
      </c>
      <c r="G81" s="251">
        <v>6560</v>
      </c>
      <c r="H81" s="251">
        <v>6560</v>
      </c>
      <c r="I81" s="251">
        <v>6560</v>
      </c>
      <c r="J81" s="251">
        <v>6560</v>
      </c>
      <c r="K81" s="251">
        <v>6560</v>
      </c>
      <c r="L81" s="251">
        <v>7051.8199999999997</v>
      </c>
      <c r="M81" s="251">
        <v>6560</v>
      </c>
      <c r="N81" s="251">
        <v>10240</v>
      </c>
      <c r="O81" s="321">
        <v>-489.27999999999997</v>
      </c>
      <c r="P81" s="253">
        <f t="shared" si="16"/>
        <v>85826.809999999998</v>
      </c>
      <c r="Q81" s="251"/>
      <c r="R81" s="251">
        <v>0</v>
      </c>
      <c r="S81" s="251">
        <v>0</v>
      </c>
      <c r="T81" s="251">
        <v>0</v>
      </c>
      <c r="U81" s="253">
        <f t="shared" si="17"/>
        <v>0</v>
      </c>
      <c r="V81" s="251">
        <v>85826.809999999998</v>
      </c>
      <c r="W81" s="251">
        <v>0</v>
      </c>
      <c r="X81" s="253">
        <f t="shared" si="18"/>
        <v>85826.809999999998</v>
      </c>
      <c r="Y81" s="251">
        <v>0</v>
      </c>
      <c r="Z81" s="251">
        <v>0</v>
      </c>
      <c r="AA81" s="274">
        <f t="shared" si="19"/>
        <v>85826.809999999998</v>
      </c>
      <c r="AB81" t="b">
        <f t="shared" si="15"/>
        <v>1</v>
      </c>
    </row>
    <row r="82" spans="1:28" ht="12.75">
      <c r="A82" s="191">
        <v>69</v>
      </c>
      <c r="B82" t="s">
        <v>290</v>
      </c>
      <c r="C82" t="s">
        <v>1044</v>
      </c>
      <c r="D82" s="251">
        <v>2017.5899999999999</v>
      </c>
      <c r="E82" s="251">
        <v>800</v>
      </c>
      <c r="F82" s="251">
        <v>800</v>
      </c>
      <c r="G82" s="251">
        <v>800</v>
      </c>
      <c r="H82" s="251">
        <v>800</v>
      </c>
      <c r="I82" s="251">
        <v>800</v>
      </c>
      <c r="J82" s="251">
        <v>800</v>
      </c>
      <c r="K82" s="251">
        <v>800</v>
      </c>
      <c r="L82" s="251">
        <v>859.98000000000002</v>
      </c>
      <c r="M82" s="251">
        <v>800</v>
      </c>
      <c r="N82" s="251">
        <v>1600</v>
      </c>
      <c r="O82" s="321">
        <v>-76.450000000000003</v>
      </c>
      <c r="P82" s="253">
        <f t="shared" si="16"/>
        <v>10801.119999999999</v>
      </c>
      <c r="Q82" s="251"/>
      <c r="R82" s="251">
        <v>0</v>
      </c>
      <c r="S82" s="251">
        <v>0</v>
      </c>
      <c r="T82" s="251">
        <v>0</v>
      </c>
      <c r="U82" s="253">
        <f t="shared" si="17"/>
        <v>0</v>
      </c>
      <c r="V82" s="251">
        <v>10801.119999999999</v>
      </c>
      <c r="W82" s="251">
        <v>0</v>
      </c>
      <c r="X82" s="253">
        <f t="shared" si="18"/>
        <v>10801.119999999999</v>
      </c>
      <c r="Y82" s="251">
        <v>0</v>
      </c>
      <c r="Z82" s="251">
        <v>0</v>
      </c>
      <c r="AA82" s="274">
        <f t="shared" si="19"/>
        <v>10801.119999999999</v>
      </c>
      <c r="AB82" t="b">
        <f t="shared" si="15"/>
        <v>1</v>
      </c>
    </row>
    <row r="83" spans="3:27" ht="13.5" thickBot="1">
      <c r="C83" s="206" t="s">
        <v>1046</v>
      </c>
      <c r="D83" s="317">
        <f>SUM(D50:D82)</f>
        <v>477284.59000000008</v>
      </c>
      <c r="E83" s="317">
        <f t="shared" si="20" ref="E83:P83">SUM(E50:E82)</f>
        <v>378015.21999999997</v>
      </c>
      <c r="F83" s="317">
        <f t="shared" si="20"/>
        <v>383427.58999999997</v>
      </c>
      <c r="G83" s="317">
        <f t="shared" si="20"/>
        <v>362644.41000000003</v>
      </c>
      <c r="H83" s="317">
        <f t="shared" si="20"/>
        <v>359948.05999999994</v>
      </c>
      <c r="I83" s="317">
        <f t="shared" si="20"/>
        <v>371641.00999999995</v>
      </c>
      <c r="J83" s="317">
        <f t="shared" si="20"/>
        <v>359941.8899999999</v>
      </c>
      <c r="K83" s="317">
        <f t="shared" si="20"/>
        <v>357567.22999999992</v>
      </c>
      <c r="L83" s="317">
        <f t="shared" si="20"/>
        <v>373430.60000000003</v>
      </c>
      <c r="M83" s="317">
        <f t="shared" si="20"/>
        <v>362785.26999999996</v>
      </c>
      <c r="N83" s="317">
        <f t="shared" si="20"/>
        <v>363846.5</v>
      </c>
      <c r="O83" s="317">
        <f t="shared" si="20"/>
        <v>146618.11000000002</v>
      </c>
      <c r="P83" s="317">
        <f t="shared" si="20"/>
        <v>4297150.4799999986</v>
      </c>
      <c r="R83" s="317">
        <f t="shared" si="21" ref="R83:AA83">SUM(R50:R82)</f>
        <v>1863903.8200000001</v>
      </c>
      <c r="S83" s="317">
        <f t="shared" si="21"/>
        <v>0</v>
      </c>
      <c r="T83" s="317">
        <f t="shared" si="21"/>
        <v>0</v>
      </c>
      <c r="U83" s="317">
        <f t="shared" si="21"/>
        <v>1863903.8200000001</v>
      </c>
      <c r="V83" s="317">
        <f t="shared" si="21"/>
        <v>2030551.0700000003</v>
      </c>
      <c r="W83" s="317">
        <f t="shared" si="21"/>
        <v>0</v>
      </c>
      <c r="X83" s="317">
        <f t="shared" si="21"/>
        <v>2030551.0700000003</v>
      </c>
      <c r="Y83" s="317">
        <f t="shared" si="21"/>
        <v>382548.14000000001</v>
      </c>
      <c r="Z83" s="317">
        <f t="shared" si="21"/>
        <v>20147.449999999997</v>
      </c>
      <c r="AA83" s="317">
        <f t="shared" si="21"/>
        <v>4297150.4799999995</v>
      </c>
    </row>
    <row r="84" ht="13.5" thickTop="1"/>
  </sheetData>
  <printOptions horizontalCentered="1"/>
  <pageMargins left="0.5" right="0.5" top="2.25" bottom="0.5" header="1.5" footer="0.5"/>
  <pageSetup fitToHeight="0" fitToWidth="2" orientation="landscape" pageOrder="overThenDown" scale="53" r:id="rId1"/>
  <headerFooter alignWithMargins="0">
    <oddHeader>&amp;C&amp;B
2022 RATE CASE
ONCOR ELECTRIC DELIVERY COMPANY LLC
II-D-2.9  RENTS AND LEASES - MONTHLY LEASE AMOUNT AND PAYMENT - 2021
TEST YEAR ENDING DECEMBER 31, 2021
SPONSOR: W. ALAN LEDBETTER&amp;R&amp;"Arial,Bold"Schedule II-D-2.9
Page &amp;P of &amp;N</oddHeader>
  </headerFooter>
  <rowBreaks count="1" manualBreakCount="1">
    <brk id="48" min="3" max="26" man="1"/>
  </rowBreaks>
  <colBreaks count="1" manualBreakCount="1">
    <brk id="16" min="13" max="82" man="1"/>
  </colBreak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0">
    <tabColor rgb="FFFF0000"/>
  </sheetPr>
  <dimension ref="A1:AD87"/>
  <sheetViews>
    <sheetView zoomScale="85" zoomScaleNormal="85" workbookViewId="0" topLeftCell="A1">
      <pane xSplit="3" ySplit="12" topLeftCell="I42" activePane="bottomRight" state="frozen"/>
      <selection pane="topLeft" activeCell="C50" sqref="C50"/>
      <selection pane="bottomLeft" activeCell="C50" sqref="C50"/>
      <selection pane="topRight" activeCell="C50" sqref="C50"/>
      <selection pane="bottomRight" activeCell="Z83" sqref="Z83"/>
    </sheetView>
  </sheetViews>
  <sheetFormatPr defaultRowHeight="12.75"/>
  <cols>
    <col min="1" max="1" width="6.28571428571429" customWidth="1"/>
    <col min="2" max="2" width="9.57142857142857" customWidth="1"/>
    <col min="3" max="3" width="42.5714285714286" bestFit="1" customWidth="1"/>
    <col min="4" max="4" width="13" style="66" bestFit="1" customWidth="1"/>
    <col min="5" max="5" width="15.1428571428571" style="66" bestFit="1" customWidth="1"/>
    <col min="6" max="6" width="14.5714285714286" style="66" bestFit="1" customWidth="1"/>
    <col min="7" max="7" width="13.5714285714286" style="66" bestFit="1" customWidth="1"/>
    <col min="8" max="8" width="13.4285714285714" style="66" bestFit="1" customWidth="1"/>
    <col min="9" max="9" width="14.5714285714286" style="66" bestFit="1" customWidth="1"/>
    <col min="10" max="14" width="14.4285714285714" style="66" bestFit="1" customWidth="1"/>
    <col min="15" max="15" width="14.4285714285714" style="14" bestFit="1" customWidth="1"/>
    <col min="16" max="16" width="15.5714285714286" style="66" bestFit="1" customWidth="1"/>
    <col min="17" max="17" width="2.71428571428571" style="66" customWidth="1"/>
    <col min="18" max="18" width="11.5714285714286" style="66" bestFit="1" customWidth="1"/>
    <col min="19" max="21" width="11.5714285714286" style="66" customWidth="1"/>
    <col min="22" max="22" width="12.5714285714286" style="66" bestFit="1" customWidth="1"/>
    <col min="23" max="24" width="12.5714285714286" style="66" customWidth="1"/>
    <col min="25" max="25" width="11.5714285714286" style="66" bestFit="1" customWidth="1"/>
    <col min="26" max="26" width="12.5714285714286" style="66" customWidth="1"/>
    <col min="27" max="27" width="12.5714285714286" bestFit="1" customWidth="1"/>
    <col min="28" max="28" width="10.2857142857143" bestFit="1" customWidth="1"/>
  </cols>
  <sheetData>
    <row r="1" spans="1:26" ht="12.75">
      <c r="A1" s="5" t="str">
        <f>+'[3]Input Data'!$A$9</f>
        <v>2022 RATE CASE</v>
      </c>
      <c r="Q1"/>
      <c r="R1"/>
      <c r="S1"/>
      <c r="T1"/>
      <c r="U1"/>
      <c r="V1"/>
      <c r="W1"/>
      <c r="X1"/>
      <c r="Y1"/>
      <c r="Z1"/>
    </row>
    <row r="2" spans="1:26" ht="12.75">
      <c r="A2" s="8" t="str">
        <f>+'[3]Input Data'!$A$2</f>
        <v>ONCOR ELECTRIC DELIVERY COMPANY LLC</v>
      </c>
      <c r="Q2"/>
      <c r="R2"/>
      <c r="S2"/>
      <c r="T2"/>
      <c r="U2"/>
      <c r="V2"/>
      <c r="W2"/>
      <c r="X2"/>
      <c r="Y2"/>
      <c r="Z2"/>
    </row>
    <row r="3" spans="1:26" ht="12.75">
      <c r="A3" s="7" t="str">
        <f>CONCATENATE('[3]Schedule Sponsors'!$A$67,'[3]Schedule Sponsors'!$B$67," - MONTHLY LEASE AMOUNT AND PAYMENT - 2020")</f>
        <v>II-D-2.9  RENTS AND LEASES - MONTHLY LEASE AMOUNT AND PAYMENT - 2020</v>
      </c>
      <c r="Q3"/>
      <c r="R3"/>
      <c r="S3"/>
      <c r="T3"/>
      <c r="U3"/>
      <c r="V3"/>
      <c r="W3"/>
      <c r="X3"/>
      <c r="Y3"/>
      <c r="Z3"/>
    </row>
    <row r="4" spans="1:26" ht="12.75">
      <c r="A4" s="63" t="str">
        <f>+'[3]Input Data'!$A$4</f>
        <v>TEST YEAR ENDING DECEMBER 31, 2021</v>
      </c>
      <c r="Q4"/>
      <c r="R4"/>
      <c r="S4"/>
      <c r="T4"/>
      <c r="U4"/>
      <c r="V4"/>
      <c r="W4"/>
      <c r="X4"/>
      <c r="Y4"/>
      <c r="Z4"/>
    </row>
    <row r="5" spans="1:26" ht="12.75">
      <c r="A5" s="7" t="str">
        <f>CONCATENATE("SPONSOR: ",'[3]Schedule Sponsors'!$D$67)</f>
        <v>SPONSOR: W. ALAN LEDBETTER</v>
      </c>
      <c r="Q5"/>
      <c r="R5"/>
      <c r="S5"/>
      <c r="T5"/>
      <c r="U5"/>
      <c r="V5"/>
      <c r="W5"/>
      <c r="X5"/>
      <c r="Y5"/>
      <c r="Z5"/>
    </row>
    <row r="6" spans="17:26" ht="12.75">
      <c r="Q6"/>
      <c r="R6"/>
      <c r="S6"/>
      <c r="T6"/>
      <c r="U6"/>
      <c r="V6"/>
      <c r="W6"/>
      <c r="X6"/>
      <c r="Y6"/>
      <c r="Z6"/>
    </row>
    <row r="7" spans="17:26" ht="12.75">
      <c r="Q7"/>
      <c r="R7"/>
      <c r="S7"/>
      <c r="T7"/>
      <c r="U7"/>
      <c r="V7"/>
      <c r="W7"/>
      <c r="X7"/>
      <c r="Y7"/>
      <c r="Z7"/>
    </row>
    <row r="8" spans="17:26" ht="12.75">
      <c r="Q8"/>
      <c r="R8"/>
      <c r="S8"/>
      <c r="T8"/>
      <c r="U8"/>
      <c r="V8"/>
      <c r="W8"/>
      <c r="X8"/>
      <c r="Y8"/>
      <c r="Z8"/>
    </row>
    <row r="9" spans="17:26" ht="12.75">
      <c r="Q9"/>
      <c r="R9"/>
      <c r="S9"/>
      <c r="T9"/>
      <c r="U9"/>
      <c r="V9"/>
      <c r="W9"/>
      <c r="X9"/>
      <c r="Y9"/>
      <c r="Z9"/>
    </row>
    <row r="10" spans="1:27" s="138" customFormat="1" ht="12.75">
      <c r="A10" s="287" t="s">
        <v>87</v>
      </c>
      <c r="C10" s="230" t="s">
        <v>690</v>
      </c>
      <c r="D10" s="150"/>
      <c r="E10" s="150"/>
      <c r="F10" s="150"/>
      <c r="G10" s="150"/>
      <c r="H10" s="150"/>
      <c r="I10" s="150"/>
      <c r="J10" s="150"/>
      <c r="K10" s="150"/>
      <c r="L10" s="150"/>
      <c r="M10" s="150"/>
      <c r="N10" s="150"/>
      <c r="O10" s="289"/>
      <c r="P10" s="150"/>
      <c r="R10" s="230"/>
      <c r="S10" s="230" t="s">
        <v>716</v>
      </c>
      <c r="T10" s="230" t="s">
        <v>722</v>
      </c>
      <c r="U10" s="230" t="s">
        <v>717</v>
      </c>
      <c r="V10" s="230"/>
      <c r="W10" s="230" t="s">
        <v>716</v>
      </c>
      <c r="X10" s="230" t="s">
        <v>717</v>
      </c>
      <c r="Y10" s="230"/>
      <c r="Z10" s="230"/>
      <c r="AA10" s="230"/>
    </row>
    <row r="11" spans="1:27" s="287" customFormat="1" ht="12.75">
      <c r="A11" s="287" t="s">
        <v>121</v>
      </c>
      <c r="B11" s="287" t="s">
        <v>213</v>
      </c>
      <c r="C11" s="287" t="s">
        <v>209</v>
      </c>
      <c r="D11" s="290" t="s">
        <v>99</v>
      </c>
      <c r="E11" s="290" t="s">
        <v>100</v>
      </c>
      <c r="F11" s="290" t="s">
        <v>101</v>
      </c>
      <c r="G11" s="290" t="s">
        <v>102</v>
      </c>
      <c r="H11" s="290" t="s">
        <v>20</v>
      </c>
      <c r="I11" s="290" t="s">
        <v>103</v>
      </c>
      <c r="J11" s="290" t="s">
        <v>104</v>
      </c>
      <c r="K11" s="290" t="s">
        <v>105</v>
      </c>
      <c r="L11" s="290" t="s">
        <v>106</v>
      </c>
      <c r="M11" s="290" t="s">
        <v>107</v>
      </c>
      <c r="N11" s="290" t="s">
        <v>108</v>
      </c>
      <c r="O11" s="290" t="s">
        <v>109</v>
      </c>
      <c r="P11" s="291" t="s">
        <v>328</v>
      </c>
      <c r="R11" s="145" t="s">
        <v>294</v>
      </c>
      <c r="S11" s="145" t="s">
        <v>294</v>
      </c>
      <c r="T11" s="145" t="s">
        <v>723</v>
      </c>
      <c r="U11" s="145" t="s">
        <v>294</v>
      </c>
      <c r="V11" s="145" t="s">
        <v>295</v>
      </c>
      <c r="W11" s="145" t="s">
        <v>295</v>
      </c>
      <c r="X11" s="145" t="s">
        <v>295</v>
      </c>
      <c r="Y11" s="145" t="s">
        <v>283</v>
      </c>
      <c r="Z11" s="145" t="s">
        <v>126</v>
      </c>
      <c r="AA11" s="145" t="s">
        <v>216</v>
      </c>
    </row>
    <row r="12" spans="1:27" s="287" customFormat="1" ht="12.75">
      <c r="A12" s="292"/>
      <c r="B12" s="292" t="s">
        <v>44</v>
      </c>
      <c r="C12" s="292" t="s">
        <v>45</v>
      </c>
      <c r="D12" s="293" t="s">
        <v>74</v>
      </c>
      <c r="E12" s="293" t="s">
        <v>75</v>
      </c>
      <c r="F12" s="293" t="s">
        <v>76</v>
      </c>
      <c r="G12" s="293" t="s">
        <v>77</v>
      </c>
      <c r="H12" s="294" t="s">
        <v>78</v>
      </c>
      <c r="I12" s="294" t="s">
        <v>79</v>
      </c>
      <c r="J12" s="294" t="s">
        <v>80</v>
      </c>
      <c r="K12" s="294" t="s">
        <v>81</v>
      </c>
      <c r="L12" s="294" t="s">
        <v>82</v>
      </c>
      <c r="M12" s="294" t="s">
        <v>83</v>
      </c>
      <c r="N12" s="294" t="s">
        <v>84</v>
      </c>
      <c r="O12" s="294" t="s">
        <v>85</v>
      </c>
      <c r="P12" s="294" t="s">
        <v>86</v>
      </c>
      <c r="Q12" s="292"/>
      <c r="R12" s="295" t="s">
        <v>255</v>
      </c>
      <c r="S12" s="295" t="s">
        <v>128</v>
      </c>
      <c r="T12" s="295" t="s">
        <v>23</v>
      </c>
      <c r="U12" s="295" t="s">
        <v>24</v>
      </c>
      <c r="V12" s="295" t="s">
        <v>136</v>
      </c>
      <c r="W12" s="295" t="s">
        <v>68</v>
      </c>
      <c r="X12" s="295" t="s">
        <v>718</v>
      </c>
      <c r="Y12" s="295" t="s">
        <v>719</v>
      </c>
      <c r="Z12" s="295" t="s">
        <v>720</v>
      </c>
      <c r="AA12" s="295" t="s">
        <v>721</v>
      </c>
    </row>
    <row r="13" spans="4:27" s="287" customFormat="1" ht="12.75">
      <c r="D13" s="291"/>
      <c r="E13" s="291"/>
      <c r="F13" s="291"/>
      <c r="G13" s="291"/>
      <c r="H13" s="291"/>
      <c r="I13" s="291"/>
      <c r="J13" s="291"/>
      <c r="K13" s="291"/>
      <c r="L13" s="291"/>
      <c r="M13" s="291"/>
      <c r="N13" s="291"/>
      <c r="O13" s="291"/>
      <c r="P13" s="291"/>
      <c r="R13" s="291"/>
      <c r="S13" s="291"/>
      <c r="T13" s="291"/>
      <c r="U13" s="291"/>
      <c r="V13" s="291"/>
      <c r="W13" s="291"/>
      <c r="X13" s="291"/>
      <c r="Y13" s="291"/>
      <c r="Z13" s="291"/>
      <c r="AA13" s="291"/>
    </row>
    <row r="14" spans="1:30" s="106" customFormat="1" ht="12.75">
      <c r="A14" s="191">
        <v>1</v>
      </c>
      <c r="B14" t="s">
        <v>231</v>
      </c>
      <c r="C14" t="s">
        <v>862</v>
      </c>
      <c r="D14" s="250">
        <v>4865.7700000000004</v>
      </c>
      <c r="E14" s="250">
        <v>4805.1700000000001</v>
      </c>
      <c r="F14" s="250">
        <v>61.190000000000055</v>
      </c>
      <c r="G14" s="250">
        <v>3526.52</v>
      </c>
      <c r="H14" s="250">
        <v>3154.4199999999996</v>
      </c>
      <c r="I14" s="250">
        <v>3645.1399999999999</v>
      </c>
      <c r="J14" s="250">
        <v>3315.9699999999998</v>
      </c>
      <c r="K14" s="250">
        <v>3273.1100000000001</v>
      </c>
      <c r="L14" s="250">
        <v>4268.5399999999991</v>
      </c>
      <c r="M14" s="250">
        <v>6821.0999999999995</v>
      </c>
      <c r="N14" s="250">
        <v>3575.3300000000004</v>
      </c>
      <c r="O14" s="250">
        <v>4048.3099999999995</v>
      </c>
      <c r="P14" s="252">
        <f>SUM(D14:O14)</f>
        <v>45360.57</v>
      </c>
      <c r="Q14" s="250"/>
      <c r="R14" s="250">
        <v>35516.239999999998</v>
      </c>
      <c r="S14" s="250">
        <v>0</v>
      </c>
      <c r="T14" s="250">
        <v>0</v>
      </c>
      <c r="U14" s="252">
        <f>SUM(R14:T14)</f>
        <v>35516.239999999998</v>
      </c>
      <c r="V14" s="250">
        <v>6408.7099999999982</v>
      </c>
      <c r="W14" s="250">
        <v>0</v>
      </c>
      <c r="X14" s="252">
        <f>SUM(V14:W14)</f>
        <v>6408.7099999999982</v>
      </c>
      <c r="Y14" s="250">
        <v>3435.6199999999999</v>
      </c>
      <c r="Z14" s="250">
        <v>0</v>
      </c>
      <c r="AA14" s="252">
        <f>+Z14+Y14+X14+U14</f>
        <v>45360.569999999992</v>
      </c>
      <c r="AB14" s="106" t="b">
        <f>ROUND(+AA14,2)=ROUND(P14,2)</f>
        <v>1</v>
      </c>
      <c r="AC14"/>
      <c r="AD14"/>
    </row>
    <row r="15" spans="1:30" s="106" customFormat="1" ht="12.75">
      <c r="A15" s="191">
        <v>2</v>
      </c>
      <c r="B15" t="s">
        <v>232</v>
      </c>
      <c r="C15" t="s">
        <v>862</v>
      </c>
      <c r="D15" s="223">
        <v>2542.6700000000001</v>
      </c>
      <c r="E15" s="223">
        <v>2840.5500000000002</v>
      </c>
      <c r="F15" s="223">
        <v>4624.3800000000001</v>
      </c>
      <c r="G15" s="223">
        <v>2344.6800000000003</v>
      </c>
      <c r="H15" s="223">
        <v>2344.0099999999998</v>
      </c>
      <c r="I15" s="223">
        <v>2468.1500000000001</v>
      </c>
      <c r="J15" s="223">
        <v>1849.1200000000001</v>
      </c>
      <c r="K15" s="223">
        <v>1874.6900000000001</v>
      </c>
      <c r="L15" s="223">
        <v>1916.1100000000001</v>
      </c>
      <c r="M15" s="223">
        <v>1834.75</v>
      </c>
      <c r="N15" s="223">
        <v>1904.75</v>
      </c>
      <c r="O15" s="223">
        <v>2986.27</v>
      </c>
      <c r="P15" s="274">
        <f t="shared" si="0" ref="P15:P47">SUM(D15:O15)</f>
        <v>29530.130000000001</v>
      </c>
      <c r="Q15" s="250"/>
      <c r="R15" s="223">
        <v>23813.160000000007</v>
      </c>
      <c r="S15" s="223">
        <v>0</v>
      </c>
      <c r="T15" s="223">
        <v>5549.3900000000003</v>
      </c>
      <c r="U15" s="274">
        <f t="shared" si="1" ref="U15:U47">SUM(R15:T15)</f>
        <v>29362.550000000007</v>
      </c>
      <c r="V15" s="223">
        <v>167.57999999999998</v>
      </c>
      <c r="W15" s="223">
        <v>0</v>
      </c>
      <c r="X15" s="274">
        <f t="shared" si="2" ref="X15:X47">SUM(V15:W15)</f>
        <v>167.57999999999998</v>
      </c>
      <c r="Y15" s="223">
        <v>0</v>
      </c>
      <c r="Z15" s="223">
        <v>0</v>
      </c>
      <c r="AA15" s="274">
        <f t="shared" si="3" ref="AA15:AA47">+Z15+Y15+X15+U15</f>
        <v>29530.130000000008</v>
      </c>
      <c r="AB15" s="106" t="b">
        <f t="shared" si="4" ref="AB15:AB47">ROUND(+AA15,2)=ROUND(P15,2)</f>
        <v>1</v>
      </c>
      <c r="AC15"/>
      <c r="AD15"/>
    </row>
    <row r="16" spans="1:30" s="106" customFormat="1" ht="12.75">
      <c r="A16" s="191">
        <v>3</v>
      </c>
      <c r="B16" t="s">
        <v>233</v>
      </c>
      <c r="C16" t="s">
        <v>862</v>
      </c>
      <c r="D16" s="223">
        <v>41497.790000000008</v>
      </c>
      <c r="E16" s="223">
        <v>33310.339999999997</v>
      </c>
      <c r="F16" s="223">
        <v>37259.620000000003</v>
      </c>
      <c r="G16" s="223">
        <v>28625.149999999998</v>
      </c>
      <c r="H16" s="223">
        <v>27874.709999999999</v>
      </c>
      <c r="I16" s="223">
        <v>26589.860000000004</v>
      </c>
      <c r="J16" s="223">
        <v>28750.389999999996</v>
      </c>
      <c r="K16" s="223">
        <v>19482.84</v>
      </c>
      <c r="L16" s="223">
        <v>24468.469999999998</v>
      </c>
      <c r="M16" s="223">
        <v>25159.73</v>
      </c>
      <c r="N16" s="223">
        <v>27031.309999999994</v>
      </c>
      <c r="O16" s="223">
        <v>31395.100000000006</v>
      </c>
      <c r="P16" s="274">
        <f t="shared" si="0"/>
        <v>351445.30999999994</v>
      </c>
      <c r="Q16" s="250"/>
      <c r="R16" s="223">
        <v>287874.06999999977</v>
      </c>
      <c r="S16" s="223">
        <v>0</v>
      </c>
      <c r="T16" s="223">
        <v>0</v>
      </c>
      <c r="U16" s="274">
        <f t="shared" si="1"/>
        <v>287874.06999999977</v>
      </c>
      <c r="V16" s="223">
        <v>63571.009999999995</v>
      </c>
      <c r="W16" s="223">
        <v>0</v>
      </c>
      <c r="X16" s="274">
        <f t="shared" si="2"/>
        <v>63571.009999999995</v>
      </c>
      <c r="Y16" s="223">
        <v>0.21999999999996589</v>
      </c>
      <c r="Z16" s="223">
        <v>0.01</v>
      </c>
      <c r="AA16" s="274">
        <f t="shared" si="3"/>
        <v>351445.30999999976</v>
      </c>
      <c r="AB16" s="106" t="b">
        <f t="shared" si="4"/>
        <v>1</v>
      </c>
      <c r="AC16"/>
      <c r="AD16"/>
    </row>
    <row r="17" spans="1:30" s="106" customFormat="1" ht="12.75">
      <c r="A17" s="191">
        <v>4</v>
      </c>
      <c r="B17" t="s">
        <v>234</v>
      </c>
      <c r="C17" t="s">
        <v>862</v>
      </c>
      <c r="D17" s="223">
        <v>11696.09</v>
      </c>
      <c r="E17" s="223">
        <v>16799.470000000005</v>
      </c>
      <c r="F17" s="223">
        <v>11583.779999999997</v>
      </c>
      <c r="G17" s="223">
        <v>11382.75</v>
      </c>
      <c r="H17" s="223">
        <v>14275.020000000006</v>
      </c>
      <c r="I17" s="223">
        <v>18638.09</v>
      </c>
      <c r="J17" s="223">
        <v>20692.760000000002</v>
      </c>
      <c r="K17" s="223">
        <v>3932.1499999999992</v>
      </c>
      <c r="L17" s="223">
        <v>10087.439999999999</v>
      </c>
      <c r="M17" s="223">
        <v>7319.21</v>
      </c>
      <c r="N17" s="223">
        <v>6616.3800000000001</v>
      </c>
      <c r="O17" s="223">
        <v>10010.849999999999</v>
      </c>
      <c r="P17" s="274">
        <f t="shared" si="0"/>
        <v>143033.99000000002</v>
      </c>
      <c r="Q17" s="250"/>
      <c r="R17" s="223">
        <v>118261.90000000011</v>
      </c>
      <c r="S17" s="223">
        <v>0</v>
      </c>
      <c r="T17" s="223">
        <v>0</v>
      </c>
      <c r="U17" s="274">
        <f t="shared" si="1"/>
        <v>118261.90000000011</v>
      </c>
      <c r="V17" s="223">
        <v>24772.090000000015</v>
      </c>
      <c r="W17" s="223">
        <v>0</v>
      </c>
      <c r="X17" s="274">
        <f t="shared" si="2"/>
        <v>24772.090000000015</v>
      </c>
      <c r="Y17" s="223">
        <v>0</v>
      </c>
      <c r="Z17" s="223">
        <v>0</v>
      </c>
      <c r="AA17" s="274">
        <f t="shared" si="3"/>
        <v>143033.99000000014</v>
      </c>
      <c r="AB17" s="106" t="b">
        <f t="shared" si="4"/>
        <v>1</v>
      </c>
      <c r="AC17"/>
      <c r="AD17"/>
    </row>
    <row r="18" spans="1:30" s="106" customFormat="1" ht="12.75">
      <c r="A18" s="191">
        <v>5</v>
      </c>
      <c r="B18" t="s">
        <v>236</v>
      </c>
      <c r="C18" t="s">
        <v>862</v>
      </c>
      <c r="D18" s="223">
        <v>165311.98000000001</v>
      </c>
      <c r="E18" s="223">
        <v>150673.29999999996</v>
      </c>
      <c r="F18" s="223">
        <v>158267.11000000002</v>
      </c>
      <c r="G18" s="223">
        <v>123653.52000000002</v>
      </c>
      <c r="H18" s="223">
        <v>134960.28000000003</v>
      </c>
      <c r="I18" s="223">
        <v>122134.95999999995</v>
      </c>
      <c r="J18" s="223">
        <v>136033.47999999998</v>
      </c>
      <c r="K18" s="223">
        <v>130596.68000000001</v>
      </c>
      <c r="L18" s="223">
        <v>168202.68999999994</v>
      </c>
      <c r="M18" s="223">
        <v>108146.58999999997</v>
      </c>
      <c r="N18" s="223">
        <v>139556.73999999996</v>
      </c>
      <c r="O18" s="223">
        <v>168645.28</v>
      </c>
      <c r="P18" s="274">
        <f t="shared" si="0"/>
        <v>1706182.6099999999</v>
      </c>
      <c r="Q18" s="250"/>
      <c r="R18" s="223">
        <v>1384880.1500000008</v>
      </c>
      <c r="S18" s="223">
        <v>0</v>
      </c>
      <c r="T18" s="223">
        <v>0</v>
      </c>
      <c r="U18" s="274">
        <f t="shared" si="1"/>
        <v>1384880.1500000008</v>
      </c>
      <c r="V18" s="223">
        <v>323511.02000000019</v>
      </c>
      <c r="W18" s="223">
        <v>0</v>
      </c>
      <c r="X18" s="274">
        <f t="shared" si="2"/>
        <v>323511.02000000019</v>
      </c>
      <c r="Y18" s="223">
        <v>-2208.5599999999999</v>
      </c>
      <c r="Z18" s="223">
        <v>0</v>
      </c>
      <c r="AA18" s="274">
        <f t="shared" si="3"/>
        <v>1706182.610000001</v>
      </c>
      <c r="AB18" s="106" t="b">
        <f t="shared" si="4"/>
        <v>1</v>
      </c>
      <c r="AC18"/>
      <c r="AD18"/>
    </row>
    <row r="19" spans="1:30" s="106" customFormat="1" ht="12.75">
      <c r="A19" s="191">
        <v>6</v>
      </c>
      <c r="B19" t="s">
        <v>238</v>
      </c>
      <c r="C19" t="s">
        <v>862</v>
      </c>
      <c r="D19" s="223">
        <v>1809.31</v>
      </c>
      <c r="E19" s="223">
        <v>2193.8299999999995</v>
      </c>
      <c r="F19" s="223">
        <v>2158.2799999999997</v>
      </c>
      <c r="G19" s="223">
        <v>2288.6599999999999</v>
      </c>
      <c r="H19" s="223">
        <v>1978.96</v>
      </c>
      <c r="I19" s="223">
        <v>2152.79</v>
      </c>
      <c r="J19" s="223">
        <v>2261.9500000000003</v>
      </c>
      <c r="K19" s="223">
        <v>1906.0600000000002</v>
      </c>
      <c r="L19" s="223">
        <v>2828.0900000000001</v>
      </c>
      <c r="M19" s="223">
        <v>4015.2300000000005</v>
      </c>
      <c r="N19" s="223">
        <v>1781.8199999999999</v>
      </c>
      <c r="O19" s="223">
        <v>2265.2000000000003</v>
      </c>
      <c r="P19" s="274">
        <f t="shared" si="0"/>
        <v>27640.18</v>
      </c>
      <c r="Q19" s="223"/>
      <c r="R19" s="223">
        <v>23529.190000000002</v>
      </c>
      <c r="S19" s="223">
        <v>0</v>
      </c>
      <c r="T19" s="223">
        <v>0</v>
      </c>
      <c r="U19" s="274">
        <f t="shared" si="1"/>
        <v>23529.190000000002</v>
      </c>
      <c r="V19" s="223">
        <v>4110.9899999999989</v>
      </c>
      <c r="W19" s="223">
        <v>0</v>
      </c>
      <c r="X19" s="274">
        <f t="shared" si="2"/>
        <v>4110.9899999999989</v>
      </c>
      <c r="Y19" s="223">
        <v>0</v>
      </c>
      <c r="Z19" s="223">
        <v>0</v>
      </c>
      <c r="AA19" s="274">
        <f t="shared" si="3"/>
        <v>27640.18</v>
      </c>
      <c r="AB19" s="106" t="b">
        <f t="shared" si="4"/>
        <v>1</v>
      </c>
      <c r="AC19"/>
      <c r="AD19"/>
    </row>
    <row r="20" spans="1:30" s="106" customFormat="1" ht="12.75">
      <c r="A20" s="191">
        <v>7</v>
      </c>
      <c r="B20" t="s">
        <v>239</v>
      </c>
      <c r="C20" t="s">
        <v>862</v>
      </c>
      <c r="D20" s="223">
        <v>263.25</v>
      </c>
      <c r="E20" s="223">
        <v>362.09000000000003</v>
      </c>
      <c r="F20" s="223">
        <v>379.72000000000003</v>
      </c>
      <c r="G20" s="223">
        <v>377.55000000000001</v>
      </c>
      <c r="H20" s="223">
        <v>288.43000000000001</v>
      </c>
      <c r="I20" s="223">
        <v>281.63</v>
      </c>
      <c r="J20" s="223">
        <v>354.58999999999997</v>
      </c>
      <c r="K20" s="223">
        <v>311.33999999999997</v>
      </c>
      <c r="L20" s="223">
        <v>337.56</v>
      </c>
      <c r="M20" s="223">
        <v>256.72999999999996</v>
      </c>
      <c r="N20" s="223">
        <v>284.77000000000004</v>
      </c>
      <c r="O20" s="223">
        <v>445.34000000000003</v>
      </c>
      <c r="P20" s="274">
        <f t="shared" si="0"/>
        <v>3943.0000000000005</v>
      </c>
      <c r="Q20" s="223"/>
      <c r="R20" s="223">
        <v>2911.4700000000007</v>
      </c>
      <c r="S20" s="223">
        <v>0</v>
      </c>
      <c r="T20" s="223">
        <v>0</v>
      </c>
      <c r="U20" s="274">
        <f t="shared" si="1"/>
        <v>2911.4700000000007</v>
      </c>
      <c r="V20" s="223">
        <v>1031.5299999999998</v>
      </c>
      <c r="W20" s="223">
        <v>0</v>
      </c>
      <c r="X20" s="274">
        <f t="shared" si="2"/>
        <v>1031.5299999999998</v>
      </c>
      <c r="Y20" s="223">
        <v>0</v>
      </c>
      <c r="Z20" s="223">
        <v>0</v>
      </c>
      <c r="AA20" s="274">
        <f t="shared" si="3"/>
        <v>3943.0000000000005</v>
      </c>
      <c r="AB20" s="106" t="b">
        <f t="shared" si="4"/>
        <v>1</v>
      </c>
      <c r="AC20"/>
      <c r="AD20"/>
    </row>
    <row r="21" spans="1:28" ht="12.75">
      <c r="A21" s="191">
        <v>8</v>
      </c>
      <c r="B21" t="s">
        <v>240</v>
      </c>
      <c r="C21" t="s">
        <v>862</v>
      </c>
      <c r="D21" s="223">
        <v>88645.169999999984</v>
      </c>
      <c r="E21" s="223">
        <v>87605.690000000002</v>
      </c>
      <c r="F21" s="223">
        <v>93881.860000000001</v>
      </c>
      <c r="G21" s="223">
        <v>97320.34000000004</v>
      </c>
      <c r="H21" s="223">
        <v>82352.090000000055</v>
      </c>
      <c r="I21" s="223">
        <v>78665.690000000031</v>
      </c>
      <c r="J21" s="223">
        <v>71376.420000000027</v>
      </c>
      <c r="K21" s="223">
        <v>93626.40999999996</v>
      </c>
      <c r="L21" s="223">
        <v>64698.959999999992</v>
      </c>
      <c r="M21" s="223">
        <v>81470.839999999953</v>
      </c>
      <c r="N21" s="223">
        <v>83633.87000000001</v>
      </c>
      <c r="O21" s="223">
        <v>85067.059999999998</v>
      </c>
      <c r="P21" s="274">
        <f t="shared" si="0"/>
        <v>1008344.3999999999</v>
      </c>
      <c r="Q21" s="250"/>
      <c r="R21" s="223">
        <v>840869.89000000129</v>
      </c>
      <c r="S21" s="223">
        <v>0</v>
      </c>
      <c r="T21" s="223">
        <v>0</v>
      </c>
      <c r="U21" s="274">
        <f t="shared" si="1"/>
        <v>840869.89000000129</v>
      </c>
      <c r="V21" s="223">
        <v>168404.75000000032</v>
      </c>
      <c r="W21" s="223">
        <v>0</v>
      </c>
      <c r="X21" s="274">
        <f t="shared" si="2"/>
        <v>168404.75000000032</v>
      </c>
      <c r="Y21" s="223">
        <v>-929.92999999999995</v>
      </c>
      <c r="Z21" s="223">
        <v>-0.3100000000000111</v>
      </c>
      <c r="AA21" s="274">
        <f t="shared" si="3"/>
        <v>1008344.4000000017</v>
      </c>
      <c r="AB21" s="106" t="b">
        <f t="shared" si="4"/>
        <v>1</v>
      </c>
    </row>
    <row r="22" spans="1:28" ht="12.75">
      <c r="A22" s="191">
        <v>9</v>
      </c>
      <c r="B22" t="s">
        <v>241</v>
      </c>
      <c r="C22" t="s">
        <v>862</v>
      </c>
      <c r="D22" s="223">
        <v>91518.290000000008</v>
      </c>
      <c r="E22" s="223">
        <v>101242.26999999996</v>
      </c>
      <c r="F22" s="223">
        <v>118513.68999999997</v>
      </c>
      <c r="G22" s="223">
        <v>96192.580000000002</v>
      </c>
      <c r="H22" s="223">
        <v>82027.870000000024</v>
      </c>
      <c r="I22" s="223">
        <v>100730.59999999996</v>
      </c>
      <c r="J22" s="223">
        <v>84796.229999999981</v>
      </c>
      <c r="K22" s="223">
        <v>67793.159999999974</v>
      </c>
      <c r="L22" s="223">
        <v>101926.00999999997</v>
      </c>
      <c r="M22" s="223">
        <v>99326.319999999963</v>
      </c>
      <c r="N22" s="223">
        <v>86863.049999999959</v>
      </c>
      <c r="O22" s="223">
        <v>91772.059999999939</v>
      </c>
      <c r="P22" s="274">
        <f t="shared" si="0"/>
        <v>1122702.1299999999</v>
      </c>
      <c r="Q22" s="250"/>
      <c r="R22" s="223">
        <v>912153.9399999989</v>
      </c>
      <c r="S22" s="223">
        <v>0</v>
      </c>
      <c r="T22" s="223">
        <v>0</v>
      </c>
      <c r="U22" s="274">
        <f t="shared" si="1"/>
        <v>912153.9399999989</v>
      </c>
      <c r="V22" s="223">
        <v>210548.15000000002</v>
      </c>
      <c r="W22" s="223">
        <v>0</v>
      </c>
      <c r="X22" s="274">
        <f t="shared" si="2"/>
        <v>210548.15000000002</v>
      </c>
      <c r="Y22" s="223">
        <v>0.039999999999992042</v>
      </c>
      <c r="Z22" s="223">
        <v>0</v>
      </c>
      <c r="AA22" s="274">
        <f t="shared" si="3"/>
        <v>1122702.129999999</v>
      </c>
      <c r="AB22" s="106" t="b">
        <f t="shared" si="4"/>
        <v>1</v>
      </c>
    </row>
    <row r="23" spans="1:28" ht="12.75">
      <c r="A23" s="191">
        <v>10</v>
      </c>
      <c r="B23" t="s">
        <v>243</v>
      </c>
      <c r="C23" t="s">
        <v>862</v>
      </c>
      <c r="D23" s="251">
        <v>57159.959999999999</v>
      </c>
      <c r="E23" s="251">
        <v>62306.959999999992</v>
      </c>
      <c r="F23" s="251">
        <v>58553.549999999996</v>
      </c>
      <c r="G23" s="251">
        <v>45695.5</v>
      </c>
      <c r="H23" s="251">
        <v>44635.87000000001</v>
      </c>
      <c r="I23" s="251">
        <v>44651.040000000008</v>
      </c>
      <c r="J23" s="251">
        <v>56771.75</v>
      </c>
      <c r="K23" s="251">
        <v>27645.810000000001</v>
      </c>
      <c r="L23" s="251">
        <v>58905.43</v>
      </c>
      <c r="M23" s="251">
        <v>30816.680000000004</v>
      </c>
      <c r="N23" s="251">
        <v>34674.57</v>
      </c>
      <c r="O23" s="258">
        <v>46329.970000000016</v>
      </c>
      <c r="P23" s="274">
        <f t="shared" si="0"/>
        <v>568147.08999999997</v>
      </c>
      <c r="R23" s="251">
        <v>492820.17000000016</v>
      </c>
      <c r="S23" s="251">
        <v>0</v>
      </c>
      <c r="T23" s="251">
        <v>0</v>
      </c>
      <c r="U23" s="274">
        <f t="shared" si="1"/>
        <v>492820.17000000016</v>
      </c>
      <c r="V23" s="251">
        <v>75326.919999999969</v>
      </c>
      <c r="W23" s="251">
        <v>0</v>
      </c>
      <c r="X23" s="274">
        <f t="shared" si="2"/>
        <v>75326.919999999969</v>
      </c>
      <c r="Y23" s="251">
        <v>0</v>
      </c>
      <c r="Z23" s="251">
        <v>0</v>
      </c>
      <c r="AA23" s="274">
        <f t="shared" si="3"/>
        <v>568147.09000000008</v>
      </c>
      <c r="AB23" s="106" t="b">
        <f t="shared" si="4"/>
        <v>1</v>
      </c>
    </row>
    <row r="24" spans="1:28" ht="12.75">
      <c r="A24" s="191">
        <v>11</v>
      </c>
      <c r="B24" t="s">
        <v>250</v>
      </c>
      <c r="C24" t="s">
        <v>862</v>
      </c>
      <c r="D24" s="251">
        <v>14556.220000000003</v>
      </c>
      <c r="E24" s="251">
        <v>13841.25</v>
      </c>
      <c r="F24" s="251">
        <v>6673.0799999999981</v>
      </c>
      <c r="G24" s="251">
        <v>12093.990000000003</v>
      </c>
      <c r="H24" s="251">
        <v>11802.420000000004</v>
      </c>
      <c r="I24" s="251">
        <v>12782.239999999996</v>
      </c>
      <c r="J24" s="251">
        <v>17996.360000000004</v>
      </c>
      <c r="K24" s="251">
        <v>14789.75</v>
      </c>
      <c r="L24" s="251">
        <v>8608.0699999999997</v>
      </c>
      <c r="M24" s="251">
        <v>-2667.8500000000004</v>
      </c>
      <c r="N24" s="251">
        <v>14139.710000000003</v>
      </c>
      <c r="O24" s="258">
        <v>10934.889999999999</v>
      </c>
      <c r="P24" s="274">
        <f t="shared" si="0"/>
        <v>135550.13000000001</v>
      </c>
      <c r="R24" s="251">
        <v>2555.9100000000003</v>
      </c>
      <c r="S24" s="251">
        <v>0</v>
      </c>
      <c r="T24" s="251">
        <v>0</v>
      </c>
      <c r="U24" s="274">
        <f t="shared" si="1"/>
        <v>2555.9100000000003</v>
      </c>
      <c r="V24" s="251">
        <v>116172.59</v>
      </c>
      <c r="W24" s="251">
        <v>0</v>
      </c>
      <c r="X24" s="274">
        <f t="shared" si="2"/>
        <v>116172.59</v>
      </c>
      <c r="Y24" s="251">
        <v>16802.740000000013</v>
      </c>
      <c r="Z24" s="251">
        <v>18.890000000000065</v>
      </c>
      <c r="AA24" s="274">
        <f t="shared" si="3"/>
        <v>135550.13000000001</v>
      </c>
      <c r="AB24" s="106" t="b">
        <f t="shared" si="4"/>
        <v>1</v>
      </c>
    </row>
    <row r="25" spans="1:28" ht="12.75">
      <c r="A25" s="191">
        <v>12</v>
      </c>
      <c r="B25" t="s">
        <v>244</v>
      </c>
      <c r="C25" t="s">
        <v>862</v>
      </c>
      <c r="D25" s="251">
        <v>4</v>
      </c>
      <c r="E25" s="251">
        <v>3.6299999999999999</v>
      </c>
      <c r="F25" s="251">
        <v>174.05000000000001</v>
      </c>
      <c r="G25" s="251">
        <v>2.0499999999999998</v>
      </c>
      <c r="H25" s="251">
        <v>79.320000000000007</v>
      </c>
      <c r="I25" s="251">
        <v>131.40000000000001</v>
      </c>
      <c r="J25" s="251">
        <v>3.6099999999999999</v>
      </c>
      <c r="K25" s="251">
        <v>0</v>
      </c>
      <c r="L25" s="251">
        <v>3.0600000000000001</v>
      </c>
      <c r="M25" s="251">
        <v>33.700000000000003</v>
      </c>
      <c r="N25" s="251">
        <v>0</v>
      </c>
      <c r="O25" s="258">
        <v>0</v>
      </c>
      <c r="P25" s="274">
        <f t="shared" si="0"/>
        <v>434.82000000000005</v>
      </c>
      <c r="R25" s="251">
        <v>0</v>
      </c>
      <c r="S25" s="251">
        <v>0</v>
      </c>
      <c r="T25" s="251">
        <v>0</v>
      </c>
      <c r="U25" s="274">
        <f t="shared" si="1"/>
        <v>0</v>
      </c>
      <c r="V25" s="251">
        <v>434.80000000000007</v>
      </c>
      <c r="W25" s="251">
        <v>0</v>
      </c>
      <c r="X25" s="274">
        <f t="shared" si="2"/>
        <v>434.80000000000007</v>
      </c>
      <c r="Y25" s="251">
        <v>0.02</v>
      </c>
      <c r="Z25" s="251">
        <v>0</v>
      </c>
      <c r="AA25" s="274">
        <f t="shared" si="3"/>
        <v>434.82000000000005</v>
      </c>
      <c r="AB25" s="106" t="b">
        <f t="shared" si="4"/>
        <v>1</v>
      </c>
    </row>
    <row r="26" spans="1:28" ht="12.75">
      <c r="A26" s="191">
        <v>13</v>
      </c>
      <c r="B26" t="s">
        <v>245</v>
      </c>
      <c r="C26" t="s">
        <v>862</v>
      </c>
      <c r="D26" s="251">
        <v>54785.089999999989</v>
      </c>
      <c r="E26" s="251">
        <v>54962.62999999999</v>
      </c>
      <c r="F26" s="251">
        <v>53882.520000000004</v>
      </c>
      <c r="G26" s="251">
        <v>44461.62000000001</v>
      </c>
      <c r="H26" s="251">
        <v>44411.880000000012</v>
      </c>
      <c r="I26" s="251">
        <v>48232.120000000003</v>
      </c>
      <c r="J26" s="251">
        <v>54057.569999999992</v>
      </c>
      <c r="K26" s="251">
        <v>57721.430000000008</v>
      </c>
      <c r="L26" s="251">
        <v>44731.989999999998</v>
      </c>
      <c r="M26" s="251">
        <v>42247.290000000001</v>
      </c>
      <c r="N26" s="251">
        <v>44607.360000000015</v>
      </c>
      <c r="O26" s="258">
        <v>43455.979999999996</v>
      </c>
      <c r="P26" s="274">
        <f t="shared" si="0"/>
        <v>587557.47999999998</v>
      </c>
      <c r="R26" s="251">
        <v>468076.44000000029</v>
      </c>
      <c r="S26" s="251">
        <v>0</v>
      </c>
      <c r="T26" s="251">
        <v>0</v>
      </c>
      <c r="U26" s="274">
        <f t="shared" si="1"/>
        <v>468076.44000000029</v>
      </c>
      <c r="V26" s="251">
        <v>119481.04000000002</v>
      </c>
      <c r="W26" s="251">
        <v>0</v>
      </c>
      <c r="X26" s="274">
        <f t="shared" si="2"/>
        <v>119481.04000000002</v>
      </c>
      <c r="Y26" s="251">
        <v>0</v>
      </c>
      <c r="Z26" s="251">
        <v>0</v>
      </c>
      <c r="AA26" s="274">
        <f t="shared" si="3"/>
        <v>587557.48000000033</v>
      </c>
      <c r="AB26" s="106" t="b">
        <f t="shared" si="4"/>
        <v>1</v>
      </c>
    </row>
    <row r="27" spans="1:28" ht="12.75">
      <c r="A27" s="191">
        <v>14</v>
      </c>
      <c r="B27" t="s">
        <v>155</v>
      </c>
      <c r="C27" t="s">
        <v>862</v>
      </c>
      <c r="D27" s="251">
        <v>501091.26000000007</v>
      </c>
      <c r="E27" s="251">
        <v>424817.45000000007</v>
      </c>
      <c r="F27" s="251">
        <v>433315.47000000079</v>
      </c>
      <c r="G27" s="251">
        <v>352145.20000000001</v>
      </c>
      <c r="H27" s="251">
        <v>398741.64999999979</v>
      </c>
      <c r="I27" s="251">
        <v>522983.07999999973</v>
      </c>
      <c r="J27" s="251">
        <v>574343.16000000073</v>
      </c>
      <c r="K27" s="251">
        <v>412152.58999999985</v>
      </c>
      <c r="L27" s="251">
        <v>474478.52999999985</v>
      </c>
      <c r="M27" s="251">
        <v>419992.71000000002</v>
      </c>
      <c r="N27" s="251">
        <v>419258.76000000013</v>
      </c>
      <c r="O27" s="258">
        <v>416085.14999999997</v>
      </c>
      <c r="P27" s="274">
        <f t="shared" si="0"/>
        <v>5349405.0100000007</v>
      </c>
      <c r="R27" s="251">
        <v>1114.3899999999978</v>
      </c>
      <c r="S27" s="251">
        <v>0</v>
      </c>
      <c r="T27" s="251">
        <v>0</v>
      </c>
      <c r="U27" s="274">
        <f t="shared" si="1"/>
        <v>1114.3899999999978</v>
      </c>
      <c r="V27" s="251">
        <v>5296668.9200000064</v>
      </c>
      <c r="W27" s="251">
        <v>0</v>
      </c>
      <c r="X27" s="274">
        <f t="shared" si="2"/>
        <v>5296668.9200000064</v>
      </c>
      <c r="Y27" s="251">
        <v>49338.76999999999</v>
      </c>
      <c r="Z27" s="251">
        <v>2282.9299999999967</v>
      </c>
      <c r="AA27" s="274">
        <f t="shared" si="3"/>
        <v>5349405.0100000063</v>
      </c>
      <c r="AB27" s="106" t="b">
        <f t="shared" si="4"/>
        <v>1</v>
      </c>
    </row>
    <row r="28" spans="1:28" ht="12.75">
      <c r="A28" s="191">
        <v>15</v>
      </c>
      <c r="B28" t="s">
        <v>246</v>
      </c>
      <c r="C28" t="s">
        <v>862</v>
      </c>
      <c r="D28" s="251">
        <v>41450.989999999983</v>
      </c>
      <c r="E28" s="251">
        <v>80175.669999999969</v>
      </c>
      <c r="F28" s="251">
        <v>96887.150000000009</v>
      </c>
      <c r="G28" s="251">
        <v>30630.380000000008</v>
      </c>
      <c r="H28" s="251">
        <v>72053.589999999997</v>
      </c>
      <c r="I28" s="251">
        <v>116513.24999999997</v>
      </c>
      <c r="J28" s="251">
        <v>99602.639999999985</v>
      </c>
      <c r="K28" s="251">
        <v>101958.59000000004</v>
      </c>
      <c r="L28" s="251">
        <v>59613.739999999991</v>
      </c>
      <c r="M28" s="251">
        <v>49843.679999999949</v>
      </c>
      <c r="N28" s="251">
        <v>62525.700000000019</v>
      </c>
      <c r="O28" s="258">
        <v>46294.169999999998</v>
      </c>
      <c r="P28" s="274">
        <f t="shared" si="0"/>
        <v>857549.55000000005</v>
      </c>
      <c r="R28" s="251">
        <v>8.3699999999999957</v>
      </c>
      <c r="S28" s="251">
        <v>0</v>
      </c>
      <c r="T28" s="251">
        <v>0</v>
      </c>
      <c r="U28" s="274">
        <f t="shared" si="1"/>
        <v>8.3699999999999957</v>
      </c>
      <c r="V28" s="251">
        <v>852968.65999999957</v>
      </c>
      <c r="W28" s="251">
        <v>0</v>
      </c>
      <c r="X28" s="274">
        <f t="shared" si="2"/>
        <v>852968.65999999957</v>
      </c>
      <c r="Y28" s="251">
        <v>4522.1200000000408</v>
      </c>
      <c r="Z28" s="251">
        <v>50.400000000000411</v>
      </c>
      <c r="AA28" s="274">
        <f t="shared" si="3"/>
        <v>857549.54999999958</v>
      </c>
      <c r="AB28" s="106" t="b">
        <f t="shared" si="4"/>
        <v>1</v>
      </c>
    </row>
    <row r="29" spans="1:28" ht="12.75">
      <c r="A29" s="191">
        <v>16</v>
      </c>
      <c r="B29" t="s">
        <v>247</v>
      </c>
      <c r="C29" t="s">
        <v>862</v>
      </c>
      <c r="D29" s="251">
        <v>368367.63999999996</v>
      </c>
      <c r="E29" s="251">
        <v>336926.98000000004</v>
      </c>
      <c r="F29" s="251">
        <v>279747.88</v>
      </c>
      <c r="G29" s="251">
        <v>202177.23999999999</v>
      </c>
      <c r="H29" s="251">
        <v>248597.28</v>
      </c>
      <c r="I29" s="251">
        <v>237860.61000000004</v>
      </c>
      <c r="J29" s="251">
        <v>237772.97000000003</v>
      </c>
      <c r="K29" s="251">
        <v>246967.07999999999</v>
      </c>
      <c r="L29" s="251">
        <v>309921.48000000004</v>
      </c>
      <c r="M29" s="251">
        <v>286432.65000000014</v>
      </c>
      <c r="N29" s="251">
        <v>260683.25000000006</v>
      </c>
      <c r="O29" s="258">
        <v>241089.22000000006</v>
      </c>
      <c r="P29" s="274">
        <f t="shared" si="0"/>
        <v>3256544.2800000007</v>
      </c>
      <c r="R29" s="251">
        <v>149.93000000000006</v>
      </c>
      <c r="S29" s="251">
        <v>0</v>
      </c>
      <c r="T29" s="251">
        <v>0</v>
      </c>
      <c r="U29" s="274">
        <f t="shared" si="1"/>
        <v>149.93000000000006</v>
      </c>
      <c r="V29" s="251">
        <v>88086.599999999962</v>
      </c>
      <c r="W29" s="251">
        <v>0</v>
      </c>
      <c r="X29" s="274">
        <f t="shared" si="2"/>
        <v>88086.599999999962</v>
      </c>
      <c r="Y29" s="251">
        <v>3168257.7699999986</v>
      </c>
      <c r="Z29" s="251">
        <v>49.979999999999897</v>
      </c>
      <c r="AA29" s="274">
        <f t="shared" si="3"/>
        <v>3256544.2799999989</v>
      </c>
      <c r="AB29" s="106" t="b">
        <f t="shared" si="4"/>
        <v>1</v>
      </c>
    </row>
    <row r="30" spans="1:28" ht="12.75">
      <c r="A30" s="191">
        <v>17</v>
      </c>
      <c r="B30" t="s">
        <v>248</v>
      </c>
      <c r="C30" t="s">
        <v>862</v>
      </c>
      <c r="D30" s="251">
        <v>24346.209999999995</v>
      </c>
      <c r="E30" s="251">
        <v>21443.899999999998</v>
      </c>
      <c r="F30" s="251">
        <v>22786.689999999995</v>
      </c>
      <c r="G30" s="251">
        <v>18435.310000000001</v>
      </c>
      <c r="H30" s="251">
        <v>17972.139999999999</v>
      </c>
      <c r="I30" s="251">
        <v>25027.450000000008</v>
      </c>
      <c r="J30" s="251">
        <v>19832.989999999998</v>
      </c>
      <c r="K30" s="251">
        <v>20859.290000000005</v>
      </c>
      <c r="L30" s="251">
        <v>19414.149999999998</v>
      </c>
      <c r="M30" s="251">
        <v>21168.530000000002</v>
      </c>
      <c r="N30" s="251">
        <v>18406.609999999997</v>
      </c>
      <c r="O30" s="258">
        <v>17588.329999999998</v>
      </c>
      <c r="P30" s="274">
        <f t="shared" si="0"/>
        <v>247281.59999999998</v>
      </c>
      <c r="R30" s="251">
        <v>52.04000000000002</v>
      </c>
      <c r="S30" s="251">
        <v>0</v>
      </c>
      <c r="T30" s="251">
        <v>0</v>
      </c>
      <c r="U30" s="274">
        <f t="shared" si="1"/>
        <v>52.04000000000002</v>
      </c>
      <c r="V30" s="251">
        <v>245809.10000000012</v>
      </c>
      <c r="W30" s="251">
        <v>0</v>
      </c>
      <c r="X30" s="274">
        <f t="shared" si="2"/>
        <v>245809.10000000012</v>
      </c>
      <c r="Y30" s="251">
        <v>1394.8699999999985</v>
      </c>
      <c r="Z30" s="251">
        <v>25.590000000000046</v>
      </c>
      <c r="AA30" s="274">
        <f t="shared" si="3"/>
        <v>247281.60000000012</v>
      </c>
      <c r="AB30" s="106" t="b">
        <f t="shared" si="4"/>
        <v>1</v>
      </c>
    </row>
    <row r="31" spans="1:28" ht="12.75">
      <c r="A31" s="191">
        <v>18</v>
      </c>
      <c r="B31" t="s">
        <v>251</v>
      </c>
      <c r="C31" t="s">
        <v>862</v>
      </c>
      <c r="D31" s="251">
        <v>315868.72000000015</v>
      </c>
      <c r="E31" s="251">
        <v>1079678.6899999999</v>
      </c>
      <c r="F31" s="251">
        <v>-411103.8399999995</v>
      </c>
      <c r="G31" s="251">
        <v>105749.95000000011</v>
      </c>
      <c r="H31" s="251">
        <v>285265.97999999992</v>
      </c>
      <c r="I31" s="251">
        <v>415446.31000000006</v>
      </c>
      <c r="J31" s="251">
        <v>932399.72999999998</v>
      </c>
      <c r="K31" s="251">
        <v>272206.07000000007</v>
      </c>
      <c r="L31" s="251">
        <v>268030.49000000022</v>
      </c>
      <c r="M31" s="251">
        <v>292215.73999999999</v>
      </c>
      <c r="N31" s="251">
        <v>339954.59000000003</v>
      </c>
      <c r="O31" s="258">
        <v>274015.83999999997</v>
      </c>
      <c r="P31" s="274">
        <f t="shared" si="0"/>
        <v>4169728.2700000014</v>
      </c>
      <c r="R31" s="251">
        <v>88793.729999999996</v>
      </c>
      <c r="S31" s="251">
        <v>0</v>
      </c>
      <c r="T31" s="251">
        <v>0</v>
      </c>
      <c r="U31" s="274">
        <f t="shared" si="1"/>
        <v>88793.729999999996</v>
      </c>
      <c r="V31" s="251">
        <v>2416071.5699999989</v>
      </c>
      <c r="W31" s="251">
        <v>0</v>
      </c>
      <c r="X31" s="274">
        <f t="shared" si="2"/>
        <v>2416071.5699999989</v>
      </c>
      <c r="Y31" s="251">
        <v>1657316.8400000047</v>
      </c>
      <c r="Z31" s="251">
        <v>7546.1299999999865</v>
      </c>
      <c r="AA31" s="274">
        <f t="shared" si="3"/>
        <v>4169728.2700000037</v>
      </c>
      <c r="AB31" s="106" t="b">
        <f t="shared" si="4"/>
        <v>1</v>
      </c>
    </row>
    <row r="32" spans="1:28" ht="12.75">
      <c r="A32" s="191">
        <v>19</v>
      </c>
      <c r="B32" t="s">
        <v>257</v>
      </c>
      <c r="C32" t="s">
        <v>862</v>
      </c>
      <c r="D32" s="251">
        <v>3049.71</v>
      </c>
      <c r="E32" s="251">
        <v>3583.6100000000006</v>
      </c>
      <c r="F32" s="251">
        <v>4017.0999999999999</v>
      </c>
      <c r="G32" s="251">
        <v>3346.2100000000005</v>
      </c>
      <c r="H32" s="251">
        <v>2535.5099999999993</v>
      </c>
      <c r="I32" s="251">
        <v>3436.9099999999999</v>
      </c>
      <c r="J32" s="251">
        <v>5565.6099999999997</v>
      </c>
      <c r="K32" s="251">
        <v>4198.5500000000002</v>
      </c>
      <c r="L32" s="251">
        <v>3433.3099999999999</v>
      </c>
      <c r="M32" s="251">
        <v>-1794.9299999999992</v>
      </c>
      <c r="N32" s="251">
        <v>3190.8899999999999</v>
      </c>
      <c r="O32" s="258">
        <v>3358.73</v>
      </c>
      <c r="P32" s="274">
        <f t="shared" si="0"/>
        <v>37921.209999999999</v>
      </c>
      <c r="R32" s="251">
        <v>8072.6299999999983</v>
      </c>
      <c r="S32" s="251">
        <v>0</v>
      </c>
      <c r="T32" s="251">
        <v>0</v>
      </c>
      <c r="U32" s="274">
        <f t="shared" si="1"/>
        <v>8072.6299999999983</v>
      </c>
      <c r="V32" s="251">
        <v>17624.069999999996</v>
      </c>
      <c r="W32" s="251">
        <v>0</v>
      </c>
      <c r="X32" s="274">
        <f t="shared" si="2"/>
        <v>17624.069999999996</v>
      </c>
      <c r="Y32" s="251">
        <v>12218.100000000002</v>
      </c>
      <c r="Z32" s="251">
        <v>6.4099999999999948</v>
      </c>
      <c r="AA32" s="274">
        <f t="shared" si="3"/>
        <v>37921.209999999999</v>
      </c>
      <c r="AB32" s="106" t="b">
        <f t="shared" si="4"/>
        <v>1</v>
      </c>
    </row>
    <row r="33" spans="1:28" ht="12.75">
      <c r="A33" s="191">
        <v>20</v>
      </c>
      <c r="B33" t="s">
        <v>252</v>
      </c>
      <c r="C33" t="s">
        <v>862</v>
      </c>
      <c r="D33" s="251">
        <v>41.979999999999997</v>
      </c>
      <c r="E33" s="251">
        <v>95.960000000000008</v>
      </c>
      <c r="F33" s="251">
        <v>56.530000000000001</v>
      </c>
      <c r="G33" s="251">
        <v>78.240000000000009</v>
      </c>
      <c r="H33" s="251">
        <v>42.839999999999996</v>
      </c>
      <c r="I33" s="251">
        <v>52.129999999999995</v>
      </c>
      <c r="J33" s="251">
        <v>53.149999999999999</v>
      </c>
      <c r="K33" s="251">
        <v>43.559999999999995</v>
      </c>
      <c r="L33" s="251">
        <v>45.149999999999999</v>
      </c>
      <c r="M33" s="251">
        <v>50.019999999999996</v>
      </c>
      <c r="N33" s="251">
        <v>57.529999999999994</v>
      </c>
      <c r="O33" s="258">
        <v>38.259999999999998</v>
      </c>
      <c r="P33" s="274">
        <f t="shared" si="0"/>
        <v>655.34999999999991</v>
      </c>
      <c r="R33" s="251">
        <v>569.75000000000011</v>
      </c>
      <c r="S33" s="251">
        <v>0</v>
      </c>
      <c r="T33" s="251">
        <v>0</v>
      </c>
      <c r="U33" s="274">
        <f t="shared" si="1"/>
        <v>569.75000000000011</v>
      </c>
      <c r="V33" s="251">
        <v>85.590000000000003</v>
      </c>
      <c r="W33" s="251">
        <v>0</v>
      </c>
      <c r="X33" s="274">
        <f t="shared" si="2"/>
        <v>85.590000000000003</v>
      </c>
      <c r="Y33" s="251">
        <v>0.01</v>
      </c>
      <c r="Z33" s="251">
        <v>0</v>
      </c>
      <c r="AA33" s="274">
        <f t="shared" si="3"/>
        <v>655.35000000000014</v>
      </c>
      <c r="AB33" s="106" t="b">
        <f t="shared" si="4"/>
        <v>1</v>
      </c>
    </row>
    <row r="34" spans="1:28" ht="12.75">
      <c r="A34" s="191">
        <v>21</v>
      </c>
      <c r="B34" t="s">
        <v>253</v>
      </c>
      <c r="C34" t="s">
        <v>862</v>
      </c>
      <c r="D34" s="251">
        <v>118642.79000000005</v>
      </c>
      <c r="E34" s="251">
        <v>102047.61000000002</v>
      </c>
      <c r="F34" s="251">
        <v>106932.13000000002</v>
      </c>
      <c r="G34" s="251">
        <v>109700.13999999999</v>
      </c>
      <c r="H34" s="251">
        <v>86947.630000000034</v>
      </c>
      <c r="I34" s="251">
        <v>93115.999999999942</v>
      </c>
      <c r="J34" s="251">
        <v>126667.73999999992</v>
      </c>
      <c r="K34" s="251">
        <v>107000.06999999996</v>
      </c>
      <c r="L34" s="251">
        <v>102084.07000000002</v>
      </c>
      <c r="M34" s="251">
        <v>77995.309999999954</v>
      </c>
      <c r="N34" s="251">
        <v>89999.829999999987</v>
      </c>
      <c r="O34" s="258">
        <v>96701.650000000038</v>
      </c>
      <c r="P34" s="274">
        <f t="shared" si="0"/>
        <v>1217834.97</v>
      </c>
      <c r="R34" s="251">
        <v>983143.97999999905</v>
      </c>
      <c r="S34" s="251">
        <v>0</v>
      </c>
      <c r="T34" s="251">
        <v>0</v>
      </c>
      <c r="U34" s="274">
        <f t="shared" si="1"/>
        <v>983143.97999999905</v>
      </c>
      <c r="V34" s="251">
        <v>234690.99000000005</v>
      </c>
      <c r="W34" s="251">
        <v>0</v>
      </c>
      <c r="X34" s="274">
        <f t="shared" si="2"/>
        <v>234690.99000000005</v>
      </c>
      <c r="Y34" s="251">
        <v>0</v>
      </c>
      <c r="Z34" s="251">
        <v>0</v>
      </c>
      <c r="AA34" s="274">
        <f t="shared" si="3"/>
        <v>1217834.969999999</v>
      </c>
      <c r="AB34" s="106" t="b">
        <f t="shared" si="4"/>
        <v>1</v>
      </c>
    </row>
    <row r="35" spans="1:28" ht="12.75">
      <c r="A35" s="191">
        <v>22</v>
      </c>
      <c r="B35" t="s">
        <v>147</v>
      </c>
      <c r="C35" t="s">
        <v>862</v>
      </c>
      <c r="D35" s="251">
        <v>1009681.7699999996</v>
      </c>
      <c r="E35" s="251">
        <v>800589.00000000023</v>
      </c>
      <c r="F35" s="251">
        <v>656103.46999999951</v>
      </c>
      <c r="G35" s="251">
        <v>473968.20999999985</v>
      </c>
      <c r="H35" s="251">
        <v>619216.83000000054</v>
      </c>
      <c r="I35" s="251">
        <v>701118.80000000051</v>
      </c>
      <c r="J35" s="251">
        <v>698787.54999999888</v>
      </c>
      <c r="K35" s="251">
        <v>615077.14000000001</v>
      </c>
      <c r="L35" s="251">
        <v>631758.86999999953</v>
      </c>
      <c r="M35" s="251">
        <v>772436.37000000116</v>
      </c>
      <c r="N35" s="251">
        <v>776431.9999999993</v>
      </c>
      <c r="O35" s="258">
        <v>595533.179999999</v>
      </c>
      <c r="P35" s="274">
        <f t="shared" si="0"/>
        <v>8350703.1899999967</v>
      </c>
      <c r="R35" s="251">
        <v>2716.5300000000079</v>
      </c>
      <c r="S35" s="251">
        <v>0</v>
      </c>
      <c r="T35" s="251">
        <v>0</v>
      </c>
      <c r="U35" s="274">
        <f t="shared" si="1"/>
        <v>2716.5300000000079</v>
      </c>
      <c r="V35" s="251">
        <v>8238462.3399999999</v>
      </c>
      <c r="W35" s="251">
        <v>0</v>
      </c>
      <c r="X35" s="274">
        <f t="shared" si="2"/>
        <v>8238462.3399999999</v>
      </c>
      <c r="Y35" s="251">
        <v>104989.34999999957</v>
      </c>
      <c r="Z35" s="251">
        <v>4534.9700000000084</v>
      </c>
      <c r="AA35" s="274">
        <f t="shared" si="3"/>
        <v>8350703.1899999995</v>
      </c>
      <c r="AB35" s="106" t="b">
        <f t="shared" si="4"/>
        <v>1</v>
      </c>
    </row>
    <row r="36" spans="1:28" ht="12.75">
      <c r="A36" s="191">
        <v>23</v>
      </c>
      <c r="B36" t="s">
        <v>148</v>
      </c>
      <c r="C36" t="s">
        <v>862</v>
      </c>
      <c r="D36" s="251">
        <v>268775.98000000016</v>
      </c>
      <c r="E36" s="251">
        <v>231163.37</v>
      </c>
      <c r="F36" s="251">
        <v>199907.85000000006</v>
      </c>
      <c r="G36" s="251">
        <v>159626.78999999992</v>
      </c>
      <c r="H36" s="251">
        <v>169195.0800000001</v>
      </c>
      <c r="I36" s="251">
        <v>189481.17999999991</v>
      </c>
      <c r="J36" s="251">
        <v>211648.26999999993</v>
      </c>
      <c r="K36" s="251">
        <v>188252.71000000014</v>
      </c>
      <c r="L36" s="251">
        <v>176796.81</v>
      </c>
      <c r="M36" s="251">
        <v>229742.59000000003</v>
      </c>
      <c r="N36" s="251">
        <v>240195.66000000009</v>
      </c>
      <c r="O36" s="258">
        <v>239956.18000000011</v>
      </c>
      <c r="P36" s="274">
        <f t="shared" si="0"/>
        <v>2504742.4700000007</v>
      </c>
      <c r="R36" s="251">
        <v>67.890000000000029</v>
      </c>
      <c r="S36" s="251">
        <v>0</v>
      </c>
      <c r="T36" s="251">
        <v>0</v>
      </c>
      <c r="U36" s="274">
        <f t="shared" si="1"/>
        <v>67.890000000000029</v>
      </c>
      <c r="V36" s="251">
        <v>2470227.8500000001</v>
      </c>
      <c r="W36" s="251">
        <v>0</v>
      </c>
      <c r="X36" s="274">
        <f t="shared" si="2"/>
        <v>2470227.8500000001</v>
      </c>
      <c r="Y36" s="251">
        <v>34352.559999999816</v>
      </c>
      <c r="Z36" s="251">
        <v>94.170000000000158</v>
      </c>
      <c r="AA36" s="274">
        <f t="shared" si="3"/>
        <v>2504742.4700000002</v>
      </c>
      <c r="AB36" s="106" t="b">
        <f t="shared" si="4"/>
        <v>1</v>
      </c>
    </row>
    <row r="37" spans="1:28" ht="12.75">
      <c r="A37" s="191">
        <v>24</v>
      </c>
      <c r="B37" t="s">
        <v>254</v>
      </c>
      <c r="C37" t="s">
        <v>862</v>
      </c>
      <c r="D37" s="251">
        <v>71743.829999999973</v>
      </c>
      <c r="E37" s="251">
        <v>59181.849999999991</v>
      </c>
      <c r="F37" s="251">
        <v>48640.530000000021</v>
      </c>
      <c r="G37" s="251">
        <v>48857.550000000003</v>
      </c>
      <c r="H37" s="251">
        <v>50119.930000000008</v>
      </c>
      <c r="I37" s="251">
        <v>51172.899999999987</v>
      </c>
      <c r="J37" s="251">
        <v>55700.25</v>
      </c>
      <c r="K37" s="251">
        <v>50984.790000000023</v>
      </c>
      <c r="L37" s="251">
        <v>53612.739999999991</v>
      </c>
      <c r="M37" s="251">
        <v>50870.919999999991</v>
      </c>
      <c r="N37" s="251">
        <v>48843.620000000003</v>
      </c>
      <c r="O37" s="258">
        <v>48245.970000000016</v>
      </c>
      <c r="P37" s="274">
        <f t="shared" si="0"/>
        <v>637974.88</v>
      </c>
      <c r="R37" s="251">
        <v>77.750000000000057</v>
      </c>
      <c r="S37" s="251">
        <v>0</v>
      </c>
      <c r="T37" s="251">
        <v>0</v>
      </c>
      <c r="U37" s="274">
        <f t="shared" si="1"/>
        <v>77.750000000000057</v>
      </c>
      <c r="V37" s="251">
        <v>631170.45000000065</v>
      </c>
      <c r="W37" s="251">
        <v>0</v>
      </c>
      <c r="X37" s="274">
        <f t="shared" si="2"/>
        <v>631170.45000000065</v>
      </c>
      <c r="Y37" s="251">
        <v>6567.1700000000437</v>
      </c>
      <c r="Z37" s="251">
        <v>159.50999999999971</v>
      </c>
      <c r="AA37" s="274">
        <f t="shared" si="3"/>
        <v>637974.8800000007</v>
      </c>
      <c r="AB37" s="106" t="b">
        <f t="shared" si="4"/>
        <v>1</v>
      </c>
    </row>
    <row r="38" spans="1:28" ht="12.75">
      <c r="A38" s="191">
        <v>25</v>
      </c>
      <c r="B38" t="s">
        <v>282</v>
      </c>
      <c r="C38" t="s">
        <v>862</v>
      </c>
      <c r="D38" s="251">
        <v>4353.6000000000013</v>
      </c>
      <c r="E38" s="251">
        <v>4952.8800000000001</v>
      </c>
      <c r="F38" s="251">
        <v>3998.4700000000003</v>
      </c>
      <c r="G38" s="251">
        <v>4255.5599999999995</v>
      </c>
      <c r="H38" s="251">
        <v>3613.3099999999995</v>
      </c>
      <c r="I38" s="251">
        <v>4152.5499999999993</v>
      </c>
      <c r="J38" s="251">
        <v>4246.7800000000007</v>
      </c>
      <c r="K38" s="251">
        <v>3571.4599999999996</v>
      </c>
      <c r="L38" s="251">
        <v>4020.2900000000004</v>
      </c>
      <c r="M38" s="251">
        <v>374.24000000000001</v>
      </c>
      <c r="N38" s="251">
        <v>4722.4900000000016</v>
      </c>
      <c r="O38" s="258">
        <v>4548.3600000000006</v>
      </c>
      <c r="P38" s="274">
        <f t="shared" si="0"/>
        <v>46809.990000000005</v>
      </c>
      <c r="R38" s="251">
        <v>4.9699999999999989</v>
      </c>
      <c r="S38" s="251">
        <v>0</v>
      </c>
      <c r="T38" s="251">
        <v>0</v>
      </c>
      <c r="U38" s="274">
        <f t="shared" si="1"/>
        <v>4.9699999999999989</v>
      </c>
      <c r="V38" s="251">
        <v>33363.910000000011</v>
      </c>
      <c r="W38" s="251">
        <v>0</v>
      </c>
      <c r="X38" s="274">
        <f t="shared" si="2"/>
        <v>33363.910000000011</v>
      </c>
      <c r="Y38" s="251">
        <v>13433.730000000051</v>
      </c>
      <c r="Z38" s="251">
        <v>7.3800000000000088</v>
      </c>
      <c r="AA38" s="274">
        <f t="shared" si="3"/>
        <v>46809.990000000063</v>
      </c>
      <c r="AB38" s="106" t="b">
        <f t="shared" si="4"/>
        <v>1</v>
      </c>
    </row>
    <row r="39" spans="1:28" ht="12.75">
      <c r="A39" s="191">
        <v>26</v>
      </c>
      <c r="B39" t="s">
        <v>256</v>
      </c>
      <c r="C39" t="s">
        <v>862</v>
      </c>
      <c r="D39" s="251">
        <v>104003.78999999999</v>
      </c>
      <c r="E39" s="251">
        <v>94986.75999999998</v>
      </c>
      <c r="F39" s="251">
        <v>102769.58000000002</v>
      </c>
      <c r="G39" s="251">
        <v>98726.560000000012</v>
      </c>
      <c r="H39" s="251">
        <v>91943.889999999999</v>
      </c>
      <c r="I39" s="251">
        <v>98483.959999999992</v>
      </c>
      <c r="J39" s="251">
        <v>94708.320000000007</v>
      </c>
      <c r="K39" s="251">
        <v>82521.430000000008</v>
      </c>
      <c r="L39" s="251">
        <v>84089.779999999984</v>
      </c>
      <c r="M39" s="251">
        <v>98583.319999999992</v>
      </c>
      <c r="N39" s="251">
        <v>102081.56000000001</v>
      </c>
      <c r="O39" s="258">
        <v>81712.349999999991</v>
      </c>
      <c r="P39" s="274">
        <f t="shared" si="0"/>
        <v>1134611.3000000003</v>
      </c>
      <c r="R39" s="251">
        <v>567.90000000000009</v>
      </c>
      <c r="S39" s="251">
        <v>0</v>
      </c>
      <c r="T39" s="251">
        <v>0</v>
      </c>
      <c r="U39" s="274">
        <f t="shared" si="1"/>
        <v>567.90000000000009</v>
      </c>
      <c r="V39" s="251">
        <v>1745.9700000000007</v>
      </c>
      <c r="W39" s="251">
        <v>0</v>
      </c>
      <c r="X39" s="274">
        <f t="shared" si="2"/>
        <v>1745.9700000000007</v>
      </c>
      <c r="Y39" s="251">
        <v>1132275.1300000008</v>
      </c>
      <c r="Z39" s="251">
        <v>22.29999999999994</v>
      </c>
      <c r="AA39" s="274">
        <f t="shared" si="3"/>
        <v>1134611.3000000008</v>
      </c>
      <c r="AB39" s="106" t="b">
        <f t="shared" si="4"/>
        <v>1</v>
      </c>
    </row>
    <row r="40" spans="1:28" ht="12.75">
      <c r="A40" s="191">
        <v>27</v>
      </c>
      <c r="B40" t="s">
        <v>285</v>
      </c>
      <c r="C40" t="s">
        <v>862</v>
      </c>
      <c r="D40" s="251">
        <v>13162.330000000005</v>
      </c>
      <c r="E40" s="251">
        <v>9555.0100000000002</v>
      </c>
      <c r="F40" s="251">
        <v>6481.7000000000016</v>
      </c>
      <c r="G40" s="251">
        <v>4073.9999999999995</v>
      </c>
      <c r="H40" s="251">
        <v>5276.6599999999999</v>
      </c>
      <c r="I40" s="251">
        <v>7700.71</v>
      </c>
      <c r="J40" s="251">
        <v>4576.6599999999999</v>
      </c>
      <c r="K40" s="251">
        <v>5388.8400000000001</v>
      </c>
      <c r="L40" s="251">
        <v>3749.5200000000009</v>
      </c>
      <c r="M40" s="251">
        <v>11472.100000000002</v>
      </c>
      <c r="N40" s="251">
        <v>17961.599999999999</v>
      </c>
      <c r="O40" s="258">
        <v>21137.690000000006</v>
      </c>
      <c r="P40" s="274">
        <f t="shared" si="0"/>
        <v>110536.82000000001</v>
      </c>
      <c r="R40" s="251">
        <v>830.29999999999995</v>
      </c>
      <c r="S40" s="251">
        <v>0</v>
      </c>
      <c r="T40" s="251">
        <v>0</v>
      </c>
      <c r="U40" s="274">
        <f t="shared" si="1"/>
        <v>830.29999999999995</v>
      </c>
      <c r="V40" s="251">
        <v>109112.70999999986</v>
      </c>
      <c r="W40" s="251">
        <v>0</v>
      </c>
      <c r="X40" s="274">
        <f t="shared" si="2"/>
        <v>109112.70999999986</v>
      </c>
      <c r="Y40" s="251">
        <v>575.88999999999953</v>
      </c>
      <c r="Z40" s="251">
        <v>17.920000000000005</v>
      </c>
      <c r="AA40" s="274">
        <f t="shared" si="3"/>
        <v>110536.81999999986</v>
      </c>
      <c r="AB40" s="106" t="b">
        <f t="shared" si="4"/>
        <v>1</v>
      </c>
    </row>
    <row r="41" spans="1:28" ht="12.75">
      <c r="A41" s="191">
        <v>28</v>
      </c>
      <c r="B41" t="s">
        <v>259</v>
      </c>
      <c r="C41" t="s">
        <v>862</v>
      </c>
      <c r="D41" s="251">
        <v>4424.8999999999996</v>
      </c>
      <c r="E41" s="251">
        <v>6000.4400000000005</v>
      </c>
      <c r="F41" s="251">
        <v>4322.2399999999998</v>
      </c>
      <c r="G41" s="251">
        <v>1579.4300000000001</v>
      </c>
      <c r="H41" s="251">
        <v>3659.5599999999999</v>
      </c>
      <c r="I41" s="251">
        <v>2513.1800000000003</v>
      </c>
      <c r="J41" s="251">
        <v>3218.1499999999996</v>
      </c>
      <c r="K41" s="251">
        <v>4232.9300000000003</v>
      </c>
      <c r="L41" s="251">
        <v>2896.5299999999997</v>
      </c>
      <c r="M41" s="251">
        <v>3077.8000000000002</v>
      </c>
      <c r="N41" s="251">
        <v>2643.9700000000003</v>
      </c>
      <c r="O41" s="258">
        <v>4104.0900000000001</v>
      </c>
      <c r="P41" s="274">
        <f t="shared" si="0"/>
        <v>42673.220000000001</v>
      </c>
      <c r="R41" s="251">
        <v>0</v>
      </c>
      <c r="S41" s="251">
        <v>0</v>
      </c>
      <c r="T41" s="251">
        <v>0</v>
      </c>
      <c r="U41" s="274">
        <f t="shared" si="1"/>
        <v>0</v>
      </c>
      <c r="V41" s="251">
        <v>0</v>
      </c>
      <c r="W41" s="251">
        <v>0</v>
      </c>
      <c r="X41" s="274">
        <f t="shared" si="2"/>
        <v>0</v>
      </c>
      <c r="Y41" s="251">
        <v>42673.220000000008</v>
      </c>
      <c r="Z41" s="251">
        <v>0</v>
      </c>
      <c r="AA41" s="274">
        <f t="shared" si="3"/>
        <v>42673.220000000008</v>
      </c>
      <c r="AB41" s="106" t="b">
        <f t="shared" si="4"/>
        <v>1</v>
      </c>
    </row>
    <row r="42" spans="1:28" ht="12.75">
      <c r="A42" s="191">
        <v>29</v>
      </c>
      <c r="B42" t="s">
        <v>286</v>
      </c>
      <c r="C42" t="s">
        <v>862</v>
      </c>
      <c r="D42" s="251">
        <v>76.109999999999999</v>
      </c>
      <c r="E42" s="251">
        <v>0</v>
      </c>
      <c r="F42" s="251">
        <v>0</v>
      </c>
      <c r="G42" s="251">
        <v>0</v>
      </c>
      <c r="H42" s="251">
        <v>0</v>
      </c>
      <c r="I42" s="251">
        <v>0</v>
      </c>
      <c r="J42" s="251">
        <v>0</v>
      </c>
      <c r="K42" s="251">
        <v>0</v>
      </c>
      <c r="L42" s="251">
        <v>0</v>
      </c>
      <c r="M42" s="251">
        <v>0</v>
      </c>
      <c r="N42" s="251">
        <v>0</v>
      </c>
      <c r="O42" s="258">
        <v>0</v>
      </c>
      <c r="P42" s="274">
        <f t="shared" si="0"/>
        <v>76.109999999999999</v>
      </c>
      <c r="R42" s="251">
        <v>0</v>
      </c>
      <c r="S42" s="251">
        <v>0</v>
      </c>
      <c r="T42" s="251">
        <v>0</v>
      </c>
      <c r="U42" s="274">
        <f t="shared" si="1"/>
        <v>0</v>
      </c>
      <c r="V42" s="251">
        <v>0</v>
      </c>
      <c r="W42" s="251">
        <v>0</v>
      </c>
      <c r="X42" s="274">
        <f t="shared" si="2"/>
        <v>0</v>
      </c>
      <c r="Y42" s="251">
        <v>76.109999999999999</v>
      </c>
      <c r="Z42" s="251">
        <v>0</v>
      </c>
      <c r="AA42" s="274">
        <f t="shared" si="3"/>
        <v>76.109999999999999</v>
      </c>
      <c r="AB42" s="106" t="b">
        <f t="shared" si="4"/>
        <v>1</v>
      </c>
    </row>
    <row r="43" spans="1:28" ht="12.75">
      <c r="A43" s="191">
        <v>30</v>
      </c>
      <c r="B43" t="s">
        <v>331</v>
      </c>
      <c r="C43" t="s">
        <v>862</v>
      </c>
      <c r="D43" s="251">
        <v>1061.8600000000001</v>
      </c>
      <c r="E43" s="251">
        <v>2023.73</v>
      </c>
      <c r="F43" s="251">
        <v>1076.56</v>
      </c>
      <c r="G43" s="251">
        <v>867.23000000000002</v>
      </c>
      <c r="H43" s="251">
        <v>884.61999999999989</v>
      </c>
      <c r="I43" s="251">
        <v>984.84999999999991</v>
      </c>
      <c r="J43" s="251">
        <v>884.1400000000001</v>
      </c>
      <c r="K43" s="251">
        <v>1023.8299999999999</v>
      </c>
      <c r="L43" s="251">
        <v>956.07999999999993</v>
      </c>
      <c r="M43" s="251">
        <v>1015.8700000000001</v>
      </c>
      <c r="N43" s="251">
        <v>1202.1699999999999</v>
      </c>
      <c r="O43" s="258">
        <v>832.25</v>
      </c>
      <c r="P43" s="274">
        <f t="shared" si="0"/>
        <v>12813.190000000001</v>
      </c>
      <c r="R43" s="251">
        <v>0</v>
      </c>
      <c r="S43" s="251">
        <v>0</v>
      </c>
      <c r="T43" s="251">
        <v>0</v>
      </c>
      <c r="U43" s="274">
        <f t="shared" si="1"/>
        <v>0</v>
      </c>
      <c r="V43" s="251">
        <v>144.55000000000001</v>
      </c>
      <c r="W43" s="251">
        <v>0</v>
      </c>
      <c r="X43" s="274">
        <f t="shared" si="2"/>
        <v>144.55000000000001</v>
      </c>
      <c r="Y43" s="251">
        <v>0.28000000000000003</v>
      </c>
      <c r="Z43" s="251">
        <v>12668.359999999999</v>
      </c>
      <c r="AA43" s="274">
        <f t="shared" si="3"/>
        <v>12813.189999999999</v>
      </c>
      <c r="AB43" s="106" t="b">
        <f t="shared" si="4"/>
        <v>1</v>
      </c>
    </row>
    <row r="44" spans="1:28" ht="12.75">
      <c r="A44" s="191">
        <v>31</v>
      </c>
      <c r="B44" t="s">
        <v>272</v>
      </c>
      <c r="C44" t="s">
        <v>862</v>
      </c>
      <c r="D44" s="251">
        <v>40503.669999999998</v>
      </c>
      <c r="E44" s="251">
        <v>44343.510000000009</v>
      </c>
      <c r="F44" s="251">
        <v>46179.32</v>
      </c>
      <c r="G44" s="251">
        <v>40812.160000000003</v>
      </c>
      <c r="H44" s="251">
        <v>48368.689999999995</v>
      </c>
      <c r="I44" s="251">
        <v>37697.760000000002</v>
      </c>
      <c r="J44" s="251">
        <v>41303.659999999996</v>
      </c>
      <c r="K44" s="251">
        <v>31720.609999999993</v>
      </c>
      <c r="L44" s="251">
        <v>29092.739999999998</v>
      </c>
      <c r="M44" s="251">
        <v>38076.940000000002</v>
      </c>
      <c r="N44" s="251">
        <v>52080.299999999988</v>
      </c>
      <c r="O44" s="258">
        <v>51064.029999999999</v>
      </c>
      <c r="P44" s="274">
        <f t="shared" si="0"/>
        <v>501243.39000000001</v>
      </c>
      <c r="R44" s="251">
        <v>159234.83000000002</v>
      </c>
      <c r="S44" s="251">
        <v>0</v>
      </c>
      <c r="T44" s="251">
        <v>0</v>
      </c>
      <c r="U44" s="274">
        <f t="shared" si="1"/>
        <v>159234.83000000002</v>
      </c>
      <c r="V44" s="251">
        <v>240588.66</v>
      </c>
      <c r="W44" s="251">
        <v>0</v>
      </c>
      <c r="X44" s="274">
        <f t="shared" si="2"/>
        <v>240588.66</v>
      </c>
      <c r="Y44" s="251">
        <v>57543.320000000007</v>
      </c>
      <c r="Z44" s="251">
        <v>43876.580000000024</v>
      </c>
      <c r="AA44" s="274">
        <f t="shared" si="3"/>
        <v>501243.39000000007</v>
      </c>
      <c r="AB44" s="106" t="b">
        <f t="shared" si="4"/>
        <v>1</v>
      </c>
    </row>
    <row r="45" spans="1:28" ht="12.75">
      <c r="A45" s="191">
        <v>32</v>
      </c>
      <c r="B45" t="s">
        <v>861</v>
      </c>
      <c r="C45" t="s">
        <v>862</v>
      </c>
      <c r="D45" s="251">
        <v>2189.3299999999999</v>
      </c>
      <c r="E45" s="251">
        <v>1363.29</v>
      </c>
      <c r="F45" s="251">
        <v>1208.51</v>
      </c>
      <c r="G45" s="251">
        <v>670.8900000000001</v>
      </c>
      <c r="H45" s="251">
        <v>622.16999999999996</v>
      </c>
      <c r="I45" s="251">
        <v>661.9799999999999</v>
      </c>
      <c r="J45" s="251">
        <v>732.46000000000004</v>
      </c>
      <c r="K45" s="251">
        <v>691.44000000000005</v>
      </c>
      <c r="L45" s="251">
        <v>949.99000000000001</v>
      </c>
      <c r="M45" s="251">
        <v>-2744.04</v>
      </c>
      <c r="N45" s="251">
        <v>783.80000000000007</v>
      </c>
      <c r="O45" s="258">
        <v>182.56999999999999</v>
      </c>
      <c r="P45" s="274">
        <f t="shared" si="0"/>
        <v>7312.3899999999994</v>
      </c>
      <c r="R45" s="251">
        <v>2360.6799999999994</v>
      </c>
      <c r="S45" s="251">
        <v>0</v>
      </c>
      <c r="T45" s="251">
        <v>0</v>
      </c>
      <c r="U45" s="274">
        <f t="shared" si="1"/>
        <v>2360.6799999999994</v>
      </c>
      <c r="V45" s="251">
        <v>3818.2999999999988</v>
      </c>
      <c r="W45" s="251">
        <v>0</v>
      </c>
      <c r="X45" s="274">
        <f t="shared" si="2"/>
        <v>3818.2999999999988</v>
      </c>
      <c r="Y45" s="251">
        <v>1089.3600000000001</v>
      </c>
      <c r="Z45" s="251">
        <v>44.050000000000132</v>
      </c>
      <c r="AA45" s="274">
        <f t="shared" si="3"/>
        <v>7312.3899999999985</v>
      </c>
      <c r="AB45" s="106" t="b">
        <f t="shared" si="4"/>
        <v>1</v>
      </c>
    </row>
    <row r="46" spans="1:28" ht="12.75">
      <c r="A46" s="191">
        <v>33</v>
      </c>
      <c r="B46" t="s">
        <v>26</v>
      </c>
      <c r="C46" t="s">
        <v>862</v>
      </c>
      <c r="D46" s="251">
        <v>137.17000000000002</v>
      </c>
      <c r="E46" s="251">
        <v>157.03</v>
      </c>
      <c r="F46" s="251">
        <v>0</v>
      </c>
      <c r="G46" s="251">
        <v>147.16999999999999</v>
      </c>
      <c r="H46" s="251">
        <v>11.15</v>
      </c>
      <c r="I46" s="251">
        <v>-2.23</v>
      </c>
      <c r="J46" s="251">
        <v>0</v>
      </c>
      <c r="K46" s="251">
        <v>3.3700000000000001</v>
      </c>
      <c r="L46" s="251">
        <v>74.409999999999997</v>
      </c>
      <c r="M46" s="251">
        <v>99.580000000000027</v>
      </c>
      <c r="N46" s="251">
        <v>3.2600000000000002</v>
      </c>
      <c r="O46" s="258">
        <v>18.370000000000001</v>
      </c>
      <c r="P46" s="274">
        <f t="shared" si="0"/>
        <v>649.27999999999997</v>
      </c>
      <c r="R46" s="251">
        <v>0.070000000000000007</v>
      </c>
      <c r="S46" s="251">
        <v>0</v>
      </c>
      <c r="T46" s="251">
        <v>0</v>
      </c>
      <c r="U46" s="274">
        <f t="shared" si="1"/>
        <v>0.070000000000000007</v>
      </c>
      <c r="V46" s="251">
        <v>645.63</v>
      </c>
      <c r="W46" s="251">
        <v>0</v>
      </c>
      <c r="X46" s="274">
        <f t="shared" si="2"/>
        <v>645.63</v>
      </c>
      <c r="Y46" s="251">
        <v>3.4999999999999987</v>
      </c>
      <c r="Z46" s="251">
        <v>0.080000000000000002</v>
      </c>
      <c r="AA46" s="274">
        <f t="shared" si="3"/>
        <v>649.28000000000009</v>
      </c>
      <c r="AB46" s="106" t="b">
        <f t="shared" si="4"/>
        <v>1</v>
      </c>
    </row>
    <row r="47" spans="1:28" ht="12.75">
      <c r="A47" s="191">
        <v>34</v>
      </c>
      <c r="B47" t="s">
        <v>280</v>
      </c>
      <c r="C47" t="s">
        <v>862</v>
      </c>
      <c r="D47" s="251">
        <v>23652.09</v>
      </c>
      <c r="E47" s="251">
        <v>9601.6499999999996</v>
      </c>
      <c r="F47" s="251">
        <v>15735.860000000001</v>
      </c>
      <c r="G47" s="251">
        <v>7977.9800000000005</v>
      </c>
      <c r="H47" s="251">
        <v>8935.1399999999994</v>
      </c>
      <c r="I47" s="251">
        <v>10169.960000000001</v>
      </c>
      <c r="J47" s="251">
        <v>9350.2999999999993</v>
      </c>
      <c r="K47" s="251">
        <v>11213.67</v>
      </c>
      <c r="L47" s="251">
        <v>9485.4399999999987</v>
      </c>
      <c r="M47" s="251">
        <v>4864.5500000000002</v>
      </c>
      <c r="N47" s="251">
        <v>9391.1500000000015</v>
      </c>
      <c r="O47" s="258">
        <v>9338.3299999999999</v>
      </c>
      <c r="P47" s="274">
        <f t="shared" si="0"/>
        <v>129716.12000000001</v>
      </c>
      <c r="R47" s="251">
        <v>6904.21</v>
      </c>
      <c r="S47" s="251">
        <v>0</v>
      </c>
      <c r="T47" s="251">
        <v>0</v>
      </c>
      <c r="U47" s="274">
        <f t="shared" si="1"/>
        <v>6904.21</v>
      </c>
      <c r="V47" s="251">
        <v>122496.8</v>
      </c>
      <c r="W47" s="251">
        <v>0</v>
      </c>
      <c r="X47" s="274">
        <f t="shared" si="2"/>
        <v>122496.8</v>
      </c>
      <c r="Y47" s="251">
        <v>302.54000000000002</v>
      </c>
      <c r="Z47" s="251">
        <v>12.570000000000183</v>
      </c>
      <c r="AA47" s="274">
        <f t="shared" si="3"/>
        <v>129716.12000000001</v>
      </c>
      <c r="AB47" s="106" t="b">
        <f t="shared" si="4"/>
        <v>1</v>
      </c>
    </row>
    <row r="48" spans="1:27" ht="13.5" thickBot="1">
      <c r="A48" s="191">
        <v>35</v>
      </c>
      <c r="C48" s="206" t="s">
        <v>1045</v>
      </c>
      <c r="D48" s="317">
        <f>SUM(D14:D47)</f>
        <v>3451281.3199999994</v>
      </c>
      <c r="E48" s="317">
        <f t="shared" si="5" ref="E48:R48">SUM(E14:E47)</f>
        <v>3843635.5699999994</v>
      </c>
      <c r="F48" s="317">
        <f t="shared" si="5"/>
        <v>2165076.0300000003</v>
      </c>
      <c r="G48" s="317">
        <f t="shared" si="5"/>
        <v>2131791.1100000003</v>
      </c>
      <c r="H48" s="317">
        <f t="shared" si="5"/>
        <v>2564188.9300000011</v>
      </c>
      <c r="I48" s="317">
        <f t="shared" si="5"/>
        <v>2979675.0499999993</v>
      </c>
      <c r="J48" s="317">
        <f t="shared" si="5"/>
        <v>3599654.7299999986</v>
      </c>
      <c r="K48" s="317">
        <f t="shared" si="5"/>
        <v>2583021.4500000002</v>
      </c>
      <c r="L48" s="317">
        <f t="shared" si="5"/>
        <v>2725486.54</v>
      </c>
      <c r="M48" s="317">
        <f t="shared" si="5"/>
        <v>2758554.270000001</v>
      </c>
      <c r="N48" s="317">
        <f t="shared" si="5"/>
        <v>2895088.3999999994</v>
      </c>
      <c r="O48" s="317">
        <f t="shared" si="5"/>
        <v>2649201.0299999989</v>
      </c>
      <c r="P48" s="317">
        <f t="shared" si="5"/>
        <v>34346654.429999992</v>
      </c>
      <c r="R48" s="317">
        <f t="shared" si="5"/>
        <v>5847932.4800000014</v>
      </c>
      <c r="S48" s="317">
        <f t="shared" si="6" ref="S48">SUM(S14:S47)</f>
        <v>0</v>
      </c>
      <c r="T48" s="317">
        <f t="shared" si="7" ref="T48">SUM(T14:T47)</f>
        <v>5549.3900000000003</v>
      </c>
      <c r="U48" s="317">
        <f t="shared" si="8" ref="U48">SUM(U14:U47)</f>
        <v>5853481.8700000001</v>
      </c>
      <c r="V48" s="317">
        <f t="shared" si="9" ref="V48">SUM(V14:V47)</f>
        <v>22117723.850000005</v>
      </c>
      <c r="W48" s="317">
        <f t="shared" si="10" ref="W48">SUM(W14:W47)</f>
        <v>0</v>
      </c>
      <c r="X48" s="317">
        <f t="shared" si="11" ref="X48">SUM(X14:X47)</f>
        <v>22117723.850000005</v>
      </c>
      <c r="Y48" s="317">
        <f t="shared" si="12" ref="Y48">SUM(Y14:Y47)</f>
        <v>6304030.7900000038</v>
      </c>
      <c r="Z48" s="317">
        <f t="shared" si="13" ref="Z48">SUM(Z14:Z47)</f>
        <v>71417.920000000027</v>
      </c>
      <c r="AA48" s="317">
        <f t="shared" si="14" ref="AA48">SUM(AA14:AA47)</f>
        <v>34346654.43</v>
      </c>
    </row>
    <row r="49" spans="1:1" ht="13.5" thickTop="1">
      <c r="A49" s="191">
        <v>36</v>
      </c>
    </row>
    <row r="50" spans="1:1" ht="12.75">
      <c r="A50" s="191">
        <v>37</v>
      </c>
    </row>
    <row r="51" spans="1:28" ht="12.75">
      <c r="A51" s="191">
        <v>38</v>
      </c>
      <c r="B51" t="s">
        <v>232</v>
      </c>
      <c r="C51" t="s">
        <v>1025</v>
      </c>
      <c r="D51" s="282">
        <v>2483.8099999999999</v>
      </c>
      <c r="E51" s="282">
        <v>2483.8099999999999</v>
      </c>
      <c r="F51" s="282">
        <v>2483.8099999999999</v>
      </c>
      <c r="G51" s="282">
        <v>3179.6300000000001</v>
      </c>
      <c r="H51" s="282">
        <v>2611.1900000000001</v>
      </c>
      <c r="I51" s="282">
        <v>2547.5</v>
      </c>
      <c r="J51" s="282">
        <v>2547.5</v>
      </c>
      <c r="K51" s="282">
        <v>2547.5</v>
      </c>
      <c r="L51" s="282">
        <v>2547.5</v>
      </c>
      <c r="M51" s="282">
        <v>2547.5</v>
      </c>
      <c r="N51" s="282">
        <v>2547.5</v>
      </c>
      <c r="O51" s="347">
        <v>2547.5</v>
      </c>
      <c r="P51" s="348">
        <f>SUM(D51:O51)</f>
        <v>31074.75</v>
      </c>
      <c r="Q51" s="282"/>
      <c r="R51" s="282">
        <v>31074.75</v>
      </c>
      <c r="S51" s="282">
        <v>0</v>
      </c>
      <c r="T51" s="282">
        <v>0</v>
      </c>
      <c r="U51" s="348">
        <f>SUM(R51:T51)</f>
        <v>31074.75</v>
      </c>
      <c r="V51" s="282">
        <v>0</v>
      </c>
      <c r="W51" s="282">
        <v>0</v>
      </c>
      <c r="X51" s="348">
        <f>SUM(V51:W51)</f>
        <v>0</v>
      </c>
      <c r="Y51" s="282">
        <v>0</v>
      </c>
      <c r="Z51" s="282">
        <v>0</v>
      </c>
      <c r="AA51" s="252">
        <f>+U51+X51+Y51+Z51</f>
        <v>31074.75</v>
      </c>
      <c r="AB51" s="106" t="b">
        <f t="shared" si="15" ref="AB51">ROUND(+AA51,2)=ROUND(P51,2)</f>
        <v>1</v>
      </c>
    </row>
    <row r="52" spans="1:28" ht="12.75">
      <c r="A52" s="191">
        <v>39</v>
      </c>
      <c r="B52" t="s">
        <v>279</v>
      </c>
      <c r="C52" t="s">
        <v>1026</v>
      </c>
      <c r="D52" s="251">
        <v>31025.68</v>
      </c>
      <c r="E52" s="251">
        <v>31025.68</v>
      </c>
      <c r="F52" s="251">
        <v>31025.68</v>
      </c>
      <c r="G52" s="251">
        <v>31025.68</v>
      </c>
      <c r="H52" s="251">
        <v>31025.68</v>
      </c>
      <c r="I52" s="251">
        <v>31025.68</v>
      </c>
      <c r="J52" s="251">
        <v>24581.66</v>
      </c>
      <c r="K52" s="251">
        <v>25987.510000000002</v>
      </c>
      <c r="L52" s="251">
        <v>25987.510000000002</v>
      </c>
      <c r="M52" s="251">
        <v>25987.510000000002</v>
      </c>
      <c r="N52" s="251">
        <v>21737.510000000002</v>
      </c>
      <c r="O52" s="321">
        <v>21996.290000000001</v>
      </c>
      <c r="P52" s="253">
        <f t="shared" si="16" ref="P52:P85">SUM(D52:O52)</f>
        <v>332432.07000000001</v>
      </c>
      <c r="Q52" s="251"/>
      <c r="R52" s="251">
        <v>73201.510000000009</v>
      </c>
      <c r="S52" s="251">
        <v>0</v>
      </c>
      <c r="T52" s="251">
        <v>0</v>
      </c>
      <c r="U52" s="253">
        <f t="shared" si="17" ref="U52:U85">SUM(R52:T52)</f>
        <v>73201.510000000009</v>
      </c>
      <c r="V52" s="251">
        <v>201952.36000000007</v>
      </c>
      <c r="W52" s="251">
        <v>0</v>
      </c>
      <c r="X52" s="253">
        <f t="shared" si="18" ref="X52:X85">SUM(V52:W52)</f>
        <v>201952.36000000007</v>
      </c>
      <c r="Y52" s="251">
        <v>55050.789999999986</v>
      </c>
      <c r="Z52" s="251">
        <v>2227.4100000000021</v>
      </c>
      <c r="AA52" s="274">
        <f t="shared" si="19" ref="AA52:AA85">+U52+X52+Y52+Z52</f>
        <v>332432.07000000007</v>
      </c>
      <c r="AB52" s="106" t="b">
        <f t="shared" si="20" ref="AB52:AB86">ROUND(+AA52,2)=ROUND(P52,2)</f>
        <v>1</v>
      </c>
    </row>
    <row r="53" spans="1:28" ht="12.75">
      <c r="A53" s="191">
        <v>40</v>
      </c>
      <c r="B53" t="s">
        <v>236</v>
      </c>
      <c r="C53" t="s">
        <v>1027</v>
      </c>
      <c r="D53" s="251">
        <v>5548.5600000000004</v>
      </c>
      <c r="E53" s="251">
        <v>1320</v>
      </c>
      <c r="F53" s="251">
        <v>1320</v>
      </c>
      <c r="G53" s="251">
        <v>1320</v>
      </c>
      <c r="H53" s="251">
        <v>1320</v>
      </c>
      <c r="I53" s="251">
        <v>1320</v>
      </c>
      <c r="J53" s="251">
        <v>1320</v>
      </c>
      <c r="K53" s="251">
        <v>1320</v>
      </c>
      <c r="L53" s="251">
        <v>1320</v>
      </c>
      <c r="M53" s="251">
        <v>1320</v>
      </c>
      <c r="N53" s="251">
        <v>1320</v>
      </c>
      <c r="O53" s="321">
        <v>1233.6300000000001</v>
      </c>
      <c r="P53" s="253">
        <f t="shared" si="16"/>
        <v>19982.190000000002</v>
      </c>
      <c r="Q53" s="251"/>
      <c r="R53" s="251">
        <v>19982.190000000002</v>
      </c>
      <c r="S53" s="251">
        <v>0</v>
      </c>
      <c r="T53" s="251">
        <v>0</v>
      </c>
      <c r="U53" s="253">
        <f t="shared" si="17"/>
        <v>19982.190000000002</v>
      </c>
      <c r="V53" s="251">
        <v>0</v>
      </c>
      <c r="W53" s="251">
        <v>0</v>
      </c>
      <c r="X53" s="253">
        <f t="shared" si="18"/>
        <v>0</v>
      </c>
      <c r="Y53" s="251">
        <v>0</v>
      </c>
      <c r="Z53" s="251">
        <v>0</v>
      </c>
      <c r="AA53" s="274">
        <f t="shared" si="19"/>
        <v>19982.190000000002</v>
      </c>
      <c r="AB53" s="106" t="b">
        <f t="shared" si="20"/>
        <v>1</v>
      </c>
    </row>
    <row r="54" spans="1:28" ht="12.75">
      <c r="A54" s="191">
        <v>41</v>
      </c>
      <c r="B54" t="s">
        <v>236</v>
      </c>
      <c r="C54" t="s">
        <v>1028</v>
      </c>
      <c r="D54" s="251">
        <v>11139.56</v>
      </c>
      <c r="E54" s="251">
        <v>11139.56</v>
      </c>
      <c r="F54" s="251">
        <v>11139.56</v>
      </c>
      <c r="G54" s="251">
        <v>11139.56</v>
      </c>
      <c r="H54" s="251">
        <v>11139.56</v>
      </c>
      <c r="I54" s="251">
        <v>11139.56</v>
      </c>
      <c r="J54" s="251">
        <v>11139.56</v>
      </c>
      <c r="K54" s="251">
        <v>11139.56</v>
      </c>
      <c r="L54" s="251">
        <v>11139.56</v>
      </c>
      <c r="M54" s="251">
        <v>11139.56</v>
      </c>
      <c r="N54" s="251">
        <v>11139.56</v>
      </c>
      <c r="O54" s="321">
        <v>0</v>
      </c>
      <c r="P54" s="253">
        <f t="shared" si="16"/>
        <v>122535.15999999999</v>
      </c>
      <c r="Q54" s="251"/>
      <c r="R54" s="251">
        <v>122535.15999999999</v>
      </c>
      <c r="S54" s="251">
        <v>0</v>
      </c>
      <c r="T54" s="251">
        <v>0</v>
      </c>
      <c r="U54" s="253">
        <f t="shared" si="17"/>
        <v>122535.15999999999</v>
      </c>
      <c r="V54" s="251">
        <v>0</v>
      </c>
      <c r="W54" s="251">
        <v>0</v>
      </c>
      <c r="X54" s="253">
        <f t="shared" si="18"/>
        <v>0</v>
      </c>
      <c r="Y54" s="251">
        <v>0</v>
      </c>
      <c r="Z54" s="251">
        <v>0</v>
      </c>
      <c r="AA54" s="274">
        <f t="shared" si="19"/>
        <v>122535.15999999999</v>
      </c>
      <c r="AB54" s="106" t="b">
        <f t="shared" si="20"/>
        <v>1</v>
      </c>
    </row>
    <row r="55" spans="1:28" ht="12.75">
      <c r="A55" s="191">
        <v>42</v>
      </c>
      <c r="B55" t="s">
        <v>236</v>
      </c>
      <c r="C55" t="s">
        <v>1029</v>
      </c>
      <c r="D55" s="251">
        <v>17366.830000000002</v>
      </c>
      <c r="E55" s="251">
        <v>3927.3000000000002</v>
      </c>
      <c r="F55" s="251">
        <v>3927.3000000000002</v>
      </c>
      <c r="G55" s="251">
        <v>3927.3000000000002</v>
      </c>
      <c r="H55" s="251">
        <v>3927.3000000000002</v>
      </c>
      <c r="I55" s="251">
        <v>3927.3000000000002</v>
      </c>
      <c r="J55" s="251">
        <v>3927.3000000000002</v>
      </c>
      <c r="K55" s="251">
        <v>3927.3000000000002</v>
      </c>
      <c r="L55" s="251">
        <v>3966.7399999999998</v>
      </c>
      <c r="M55" s="251">
        <v>3927.3000000000002</v>
      </c>
      <c r="N55" s="251">
        <v>3927.3000000000002</v>
      </c>
      <c r="O55" s="321">
        <v>3011.2600000000002</v>
      </c>
      <c r="P55" s="253">
        <f t="shared" si="16"/>
        <v>59690.530000000013</v>
      </c>
      <c r="Q55" s="251"/>
      <c r="R55" s="251">
        <v>59690.530000000006</v>
      </c>
      <c r="S55" s="251">
        <v>0</v>
      </c>
      <c r="T55" s="251">
        <v>0</v>
      </c>
      <c r="U55" s="253">
        <f t="shared" si="17"/>
        <v>59690.530000000006</v>
      </c>
      <c r="V55" s="251">
        <v>0</v>
      </c>
      <c r="W55" s="251">
        <v>0</v>
      </c>
      <c r="X55" s="253">
        <f t="shared" si="18"/>
        <v>0</v>
      </c>
      <c r="Y55" s="251">
        <v>0</v>
      </c>
      <c r="Z55" s="251">
        <v>0</v>
      </c>
      <c r="AA55" s="274">
        <f t="shared" si="19"/>
        <v>59690.530000000006</v>
      </c>
      <c r="AB55" s="106" t="b">
        <f t="shared" si="20"/>
        <v>1</v>
      </c>
    </row>
    <row r="56" spans="1:28" ht="12.75">
      <c r="A56" s="191">
        <v>43</v>
      </c>
      <c r="B56" t="s">
        <v>236</v>
      </c>
      <c r="C56" t="s">
        <v>1030</v>
      </c>
      <c r="D56" s="251">
        <v>0</v>
      </c>
      <c r="E56" s="251">
        <v>0</v>
      </c>
      <c r="F56" s="251">
        <v>0</v>
      </c>
      <c r="G56" s="251">
        <v>0</v>
      </c>
      <c r="H56" s="251">
        <v>79397.270000000004</v>
      </c>
      <c r="I56" s="251">
        <v>79397.270000000004</v>
      </c>
      <c r="J56" s="251">
        <v>-26834.220000000001</v>
      </c>
      <c r="K56" s="251">
        <v>40461.779999999999</v>
      </c>
      <c r="L56" s="251">
        <v>37962.489999999991</v>
      </c>
      <c r="M56" s="251">
        <v>-37962.5</v>
      </c>
      <c r="N56" s="251">
        <v>113887.50999999998</v>
      </c>
      <c r="O56" s="321">
        <v>40057.160000000003</v>
      </c>
      <c r="P56" s="253">
        <f t="shared" si="16"/>
        <v>326366.76000000001</v>
      </c>
      <c r="Q56" s="251"/>
      <c r="R56" s="251">
        <v>326366.76000000001</v>
      </c>
      <c r="S56" s="251">
        <v>0</v>
      </c>
      <c r="T56" s="251">
        <v>0</v>
      </c>
      <c r="U56" s="253">
        <f t="shared" si="17"/>
        <v>326366.76000000001</v>
      </c>
      <c r="V56" s="251">
        <v>0</v>
      </c>
      <c r="W56" s="251">
        <v>0</v>
      </c>
      <c r="X56" s="253">
        <f t="shared" si="18"/>
        <v>0</v>
      </c>
      <c r="Y56" s="251">
        <v>0</v>
      </c>
      <c r="Z56" s="251">
        <v>0</v>
      </c>
      <c r="AA56" s="274">
        <f t="shared" si="19"/>
        <v>326366.76000000001</v>
      </c>
      <c r="AB56" s="106" t="b">
        <f t="shared" si="20"/>
        <v>1</v>
      </c>
    </row>
    <row r="57" spans="1:28" ht="12.75">
      <c r="A57" s="191">
        <v>44</v>
      </c>
      <c r="B57" t="s">
        <v>251</v>
      </c>
      <c r="C57" t="s">
        <v>1030</v>
      </c>
      <c r="D57" s="251">
        <v>0</v>
      </c>
      <c r="E57" s="251">
        <v>0</v>
      </c>
      <c r="F57" s="251">
        <v>38278.75</v>
      </c>
      <c r="G57" s="251">
        <v>38278.75</v>
      </c>
      <c r="H57" s="251">
        <v>31442.5</v>
      </c>
      <c r="I57" s="251">
        <v>108000</v>
      </c>
      <c r="J57" s="251">
        <v>-36650.320000000007</v>
      </c>
      <c r="K57" s="251">
        <v>54992.330000000016</v>
      </c>
      <c r="L57" s="251">
        <v>51595.52999999997</v>
      </c>
      <c r="M57" s="251">
        <v>-51595.52999999997</v>
      </c>
      <c r="N57" s="251">
        <v>154786.58000000002</v>
      </c>
      <c r="O57" s="321">
        <v>32774.040000000001</v>
      </c>
      <c r="P57" s="253">
        <f t="shared" si="16"/>
        <v>421902.63</v>
      </c>
      <c r="Q57" s="251"/>
      <c r="R57" s="251">
        <v>0</v>
      </c>
      <c r="S57" s="251">
        <v>0</v>
      </c>
      <c r="T57" s="251">
        <v>0</v>
      </c>
      <c r="U57" s="253">
        <f t="shared" si="17"/>
        <v>0</v>
      </c>
      <c r="V57" s="251">
        <v>421902.63000000006</v>
      </c>
      <c r="W57" s="251">
        <v>0</v>
      </c>
      <c r="X57" s="253">
        <f t="shared" si="18"/>
        <v>421902.63000000006</v>
      </c>
      <c r="Y57" s="251">
        <v>0</v>
      </c>
      <c r="Z57" s="251">
        <v>0</v>
      </c>
      <c r="AA57" s="274">
        <f t="shared" si="19"/>
        <v>421902.63000000006</v>
      </c>
      <c r="AB57" s="106" t="b">
        <f t="shared" si="20"/>
        <v>1</v>
      </c>
    </row>
    <row r="58" spans="1:28" ht="12.75">
      <c r="A58" s="191">
        <v>45</v>
      </c>
      <c r="B58" t="s">
        <v>290</v>
      </c>
      <c r="C58" t="s">
        <v>1030</v>
      </c>
      <c r="D58" s="251">
        <v>0</v>
      </c>
      <c r="E58" s="251">
        <v>0</v>
      </c>
      <c r="F58" s="251">
        <v>49367.440000000002</v>
      </c>
      <c r="G58" s="251">
        <v>49367.440000000002</v>
      </c>
      <c r="H58" s="251">
        <v>-76405.610000000001</v>
      </c>
      <c r="I58" s="251">
        <v>26560.469999999998</v>
      </c>
      <c r="J58" s="251">
        <v>-8340.8099999999977</v>
      </c>
      <c r="K58" s="251">
        <v>12433.139999999999</v>
      </c>
      <c r="L58" s="251">
        <v>11665.169999999998</v>
      </c>
      <c r="M58" s="251">
        <v>-11665.169999999998</v>
      </c>
      <c r="N58" s="251">
        <v>34995.489999999998</v>
      </c>
      <c r="O58" s="321">
        <v>18207.799999999999</v>
      </c>
      <c r="P58" s="253">
        <f t="shared" si="16"/>
        <v>106185.36</v>
      </c>
      <c r="Q58" s="251"/>
      <c r="R58" s="251">
        <v>0</v>
      </c>
      <c r="S58" s="251">
        <v>0</v>
      </c>
      <c r="T58" s="251">
        <v>0</v>
      </c>
      <c r="U58" s="253">
        <f t="shared" si="17"/>
        <v>0</v>
      </c>
      <c r="V58" s="251">
        <v>83876.289999999964</v>
      </c>
      <c r="W58" s="251">
        <v>0</v>
      </c>
      <c r="X58" s="253">
        <f t="shared" si="18"/>
        <v>83876.289999999964</v>
      </c>
      <c r="Y58" s="251">
        <v>21066.139999999989</v>
      </c>
      <c r="Z58" s="251">
        <v>1242.9300000000026</v>
      </c>
      <c r="AA58" s="274">
        <f t="shared" si="19"/>
        <v>106185.35999999996</v>
      </c>
      <c r="AB58" s="106" t="b">
        <f t="shared" si="20"/>
        <v>1</v>
      </c>
    </row>
    <row r="59" spans="1:28" ht="12.75">
      <c r="A59" s="191">
        <v>46</v>
      </c>
      <c r="B59" t="s">
        <v>259</v>
      </c>
      <c r="C59" t="s">
        <v>1031</v>
      </c>
      <c r="D59" s="251">
        <v>10974.700000000001</v>
      </c>
      <c r="E59" s="251">
        <v>10974.700000000001</v>
      </c>
      <c r="F59" s="251">
        <v>10974.700000000001</v>
      </c>
      <c r="G59" s="251">
        <v>10974.700000000001</v>
      </c>
      <c r="H59" s="251">
        <v>10974.700000000001</v>
      </c>
      <c r="I59" s="251">
        <v>10974.700000000001</v>
      </c>
      <c r="J59" s="251">
        <v>10974.700000000001</v>
      </c>
      <c r="K59" s="251">
        <v>10974.700000000001</v>
      </c>
      <c r="L59" s="251">
        <v>10974.700000000001</v>
      </c>
      <c r="M59" s="251">
        <v>10974.700000000001</v>
      </c>
      <c r="N59" s="251">
        <v>10974.700000000001</v>
      </c>
      <c r="O59" s="321">
        <v>10974.700000000001</v>
      </c>
      <c r="P59" s="253">
        <f t="shared" si="16"/>
        <v>131696.39999999999</v>
      </c>
      <c r="Q59" s="251"/>
      <c r="R59" s="251">
        <v>0</v>
      </c>
      <c r="S59" s="251">
        <v>0</v>
      </c>
      <c r="T59" s="251">
        <v>0</v>
      </c>
      <c r="U59" s="253">
        <f t="shared" si="17"/>
        <v>0</v>
      </c>
      <c r="V59" s="251">
        <v>0</v>
      </c>
      <c r="W59" s="251">
        <v>0</v>
      </c>
      <c r="X59" s="253">
        <f t="shared" si="18"/>
        <v>0</v>
      </c>
      <c r="Y59" s="251">
        <v>131696.39999999999</v>
      </c>
      <c r="Z59" s="251">
        <v>0</v>
      </c>
      <c r="AA59" s="274">
        <f t="shared" si="19"/>
        <v>131696.39999999999</v>
      </c>
      <c r="AB59" s="106" t="b">
        <f t="shared" si="20"/>
        <v>1</v>
      </c>
    </row>
    <row r="60" spans="1:28" ht="12.75">
      <c r="A60" s="191">
        <v>47</v>
      </c>
      <c r="B60" t="s">
        <v>279</v>
      </c>
      <c r="C60" t="s">
        <v>1031</v>
      </c>
      <c r="D60" s="251">
        <v>18756.610000000001</v>
      </c>
      <c r="E60" s="251">
        <v>0</v>
      </c>
      <c r="F60" s="251">
        <v>0</v>
      </c>
      <c r="G60" s="251">
        <v>0</v>
      </c>
      <c r="H60" s="251">
        <v>0</v>
      </c>
      <c r="I60" s="251">
        <v>0</v>
      </c>
      <c r="J60" s="251">
        <v>0</v>
      </c>
      <c r="K60" s="251">
        <v>0</v>
      </c>
      <c r="L60" s="251">
        <v>2845.4299999999998</v>
      </c>
      <c r="M60" s="251">
        <v>0</v>
      </c>
      <c r="N60" s="251">
        <v>0</v>
      </c>
      <c r="O60" s="321">
        <v>786.76999999999998</v>
      </c>
      <c r="P60" s="253">
        <f t="shared" si="16"/>
        <v>22388.810000000001</v>
      </c>
      <c r="Q60" s="251"/>
      <c r="R60" s="251">
        <v>1535.8500000000001</v>
      </c>
      <c r="S60" s="251">
        <v>0</v>
      </c>
      <c r="T60" s="251">
        <v>0</v>
      </c>
      <c r="U60" s="253">
        <f t="shared" si="17"/>
        <v>1535.8500000000001</v>
      </c>
      <c r="V60" s="251">
        <v>19624.560000000001</v>
      </c>
      <c r="W60" s="251">
        <v>0</v>
      </c>
      <c r="X60" s="253">
        <f t="shared" si="18"/>
        <v>19624.560000000001</v>
      </c>
      <c r="Y60" s="251">
        <v>1145.48</v>
      </c>
      <c r="Z60" s="251">
        <v>82.919999999999959</v>
      </c>
      <c r="AA60" s="274">
        <f t="shared" si="19"/>
        <v>22388.809999999998</v>
      </c>
      <c r="AB60" s="106" t="b">
        <f t="shared" si="20"/>
        <v>1</v>
      </c>
    </row>
    <row r="61" spans="1:28" ht="12.75">
      <c r="A61" s="191">
        <v>48</v>
      </c>
      <c r="B61" t="s">
        <v>251</v>
      </c>
      <c r="C61" t="s">
        <v>1032</v>
      </c>
      <c r="D61" s="251">
        <v>9714.6800000000003</v>
      </c>
      <c r="E61" s="251">
        <v>2906.79</v>
      </c>
      <c r="F61" s="251">
        <v>2906.79</v>
      </c>
      <c r="G61" s="251">
        <v>2906.79</v>
      </c>
      <c r="H61" s="251">
        <v>2906.79</v>
      </c>
      <c r="I61" s="251">
        <v>2906.79</v>
      </c>
      <c r="J61" s="251">
        <v>5193.4200000000001</v>
      </c>
      <c r="K61" s="251">
        <v>2906.79</v>
      </c>
      <c r="L61" s="251">
        <v>2906.79</v>
      </c>
      <c r="M61" s="251">
        <v>2906.79</v>
      </c>
      <c r="N61" s="251">
        <v>2510.4099999999999</v>
      </c>
      <c r="O61" s="321">
        <v>2466.3499999999999</v>
      </c>
      <c r="P61" s="253">
        <f t="shared" si="16"/>
        <v>43139.18</v>
      </c>
      <c r="Q61" s="251"/>
      <c r="R61" s="251">
        <v>0</v>
      </c>
      <c r="S61" s="251">
        <v>0</v>
      </c>
      <c r="T61" s="251">
        <v>0</v>
      </c>
      <c r="U61" s="253">
        <f t="shared" si="17"/>
        <v>0</v>
      </c>
      <c r="V61" s="251">
        <v>43139.180000000008</v>
      </c>
      <c r="W61" s="251">
        <v>0</v>
      </c>
      <c r="X61" s="253">
        <f t="shared" si="18"/>
        <v>43139.180000000008</v>
      </c>
      <c r="Y61" s="251">
        <v>0</v>
      </c>
      <c r="Z61" s="251">
        <v>0</v>
      </c>
      <c r="AA61" s="274">
        <f t="shared" si="19"/>
        <v>43139.180000000008</v>
      </c>
      <c r="AB61" s="106" t="b">
        <f t="shared" si="20"/>
        <v>1</v>
      </c>
    </row>
    <row r="62" spans="1:28" ht="12.75">
      <c r="A62" s="191">
        <v>49</v>
      </c>
      <c r="B62" t="s">
        <v>256</v>
      </c>
      <c r="C62" t="s">
        <v>1032</v>
      </c>
      <c r="D62" s="251">
        <v>3091.04</v>
      </c>
      <c r="E62" s="251">
        <v>924.88999999999999</v>
      </c>
      <c r="F62" s="251">
        <v>924.88999999999999</v>
      </c>
      <c r="G62" s="251">
        <v>924.88999999999999</v>
      </c>
      <c r="H62" s="251">
        <v>924.88999999999999</v>
      </c>
      <c r="I62" s="251">
        <v>924.88999999999999</v>
      </c>
      <c r="J62" s="251">
        <v>1652.4500000000001</v>
      </c>
      <c r="K62" s="251">
        <v>924.88999999999999</v>
      </c>
      <c r="L62" s="251">
        <v>924.88999999999999</v>
      </c>
      <c r="M62" s="251">
        <v>924.88999999999999</v>
      </c>
      <c r="N62" s="251">
        <v>924.88999999999999</v>
      </c>
      <c r="O62" s="321">
        <v>908.65999999999997</v>
      </c>
      <c r="P62" s="253">
        <f t="shared" si="16"/>
        <v>13976.159999999998</v>
      </c>
      <c r="Q62" s="251"/>
      <c r="R62" s="251">
        <v>0</v>
      </c>
      <c r="S62" s="251">
        <v>0</v>
      </c>
      <c r="T62" s="251">
        <v>0</v>
      </c>
      <c r="U62" s="253">
        <f t="shared" si="17"/>
        <v>0</v>
      </c>
      <c r="V62" s="251">
        <v>0</v>
      </c>
      <c r="W62" s="251">
        <v>0</v>
      </c>
      <c r="X62" s="253">
        <f t="shared" si="18"/>
        <v>0</v>
      </c>
      <c r="Y62" s="251">
        <v>13976.16</v>
      </c>
      <c r="Z62" s="251">
        <v>0</v>
      </c>
      <c r="AA62" s="274">
        <f t="shared" si="19"/>
        <v>13976.16</v>
      </c>
      <c r="AB62" s="106" t="b">
        <f t="shared" si="20"/>
        <v>1</v>
      </c>
    </row>
    <row r="63" spans="1:28" ht="12.75">
      <c r="A63" s="191">
        <v>50</v>
      </c>
      <c r="B63" t="s">
        <v>236</v>
      </c>
      <c r="C63" t="s">
        <v>1033</v>
      </c>
      <c r="D63" s="251">
        <v>3064.6799999999998</v>
      </c>
      <c r="E63" s="251">
        <v>137233.45999999999</v>
      </c>
      <c r="F63" s="251">
        <v>69961.550000000003</v>
      </c>
      <c r="G63" s="251">
        <v>98372.820000000007</v>
      </c>
      <c r="H63" s="251">
        <v>69961.610000000001</v>
      </c>
      <c r="I63" s="251">
        <v>69961.770000000004</v>
      </c>
      <c r="J63" s="251">
        <v>69961.589999999997</v>
      </c>
      <c r="K63" s="251">
        <v>69961.779999999999</v>
      </c>
      <c r="L63" s="251">
        <v>69961.630000000005</v>
      </c>
      <c r="M63" s="251">
        <v>69961.710000000006</v>
      </c>
      <c r="N63" s="251">
        <v>69961.600000000006</v>
      </c>
      <c r="O63" s="321">
        <v>69024.970000000001</v>
      </c>
      <c r="P63" s="253">
        <f t="shared" si="16"/>
        <v>867389.16999999993</v>
      </c>
      <c r="Q63" s="251"/>
      <c r="R63" s="251">
        <v>867389.17000000004</v>
      </c>
      <c r="S63" s="251">
        <v>0</v>
      </c>
      <c r="T63" s="251">
        <v>0</v>
      </c>
      <c r="U63" s="253">
        <f t="shared" si="17"/>
        <v>867389.17000000004</v>
      </c>
      <c r="V63" s="251">
        <v>0</v>
      </c>
      <c r="W63" s="251">
        <v>0</v>
      </c>
      <c r="X63" s="253">
        <f t="shared" si="18"/>
        <v>0</v>
      </c>
      <c r="Y63" s="251">
        <v>0</v>
      </c>
      <c r="Z63" s="251">
        <v>0</v>
      </c>
      <c r="AA63" s="274">
        <f t="shared" si="19"/>
        <v>867389.17000000004</v>
      </c>
      <c r="AB63" s="106" t="b">
        <f t="shared" si="20"/>
        <v>1</v>
      </c>
    </row>
    <row r="64" spans="1:28" ht="12.75">
      <c r="A64" s="191">
        <v>51</v>
      </c>
      <c r="B64" t="s">
        <v>251</v>
      </c>
      <c r="C64" t="s">
        <v>1033</v>
      </c>
      <c r="D64" s="251">
        <v>1339.6600000000001</v>
      </c>
      <c r="E64" s="251">
        <v>59988.650000000001</v>
      </c>
      <c r="F64" s="251">
        <v>30582.189999999999</v>
      </c>
      <c r="G64" s="251">
        <v>43001.559999999998</v>
      </c>
      <c r="H64" s="251">
        <v>30582.209999999999</v>
      </c>
      <c r="I64" s="251">
        <v>30582.279999999999</v>
      </c>
      <c r="J64" s="251">
        <v>30582.200000000001</v>
      </c>
      <c r="K64" s="251">
        <v>30582.290000000001</v>
      </c>
      <c r="L64" s="251">
        <v>30582.220000000001</v>
      </c>
      <c r="M64" s="251">
        <v>30582.25</v>
      </c>
      <c r="N64" s="251">
        <v>30582.209999999999</v>
      </c>
      <c r="O64" s="321">
        <v>30172.779999999999</v>
      </c>
      <c r="P64" s="253">
        <f t="shared" si="16"/>
        <v>379160.5</v>
      </c>
      <c r="Q64" s="251"/>
      <c r="R64" s="251">
        <v>0</v>
      </c>
      <c r="S64" s="251">
        <v>0</v>
      </c>
      <c r="T64" s="251">
        <v>0</v>
      </c>
      <c r="U64" s="253">
        <f t="shared" si="17"/>
        <v>0</v>
      </c>
      <c r="V64" s="251">
        <v>379160.5</v>
      </c>
      <c r="W64" s="251">
        <v>0</v>
      </c>
      <c r="X64" s="253">
        <f t="shared" si="18"/>
        <v>379160.5</v>
      </c>
      <c r="Y64" s="251">
        <v>0</v>
      </c>
      <c r="Z64" s="251">
        <v>0</v>
      </c>
      <c r="AA64" s="274">
        <f t="shared" si="19"/>
        <v>379160.5</v>
      </c>
      <c r="AB64" s="106" t="b">
        <f t="shared" si="20"/>
        <v>1</v>
      </c>
    </row>
    <row r="65" spans="1:28" ht="12.75">
      <c r="A65" s="191">
        <v>52</v>
      </c>
      <c r="B65" t="s">
        <v>290</v>
      </c>
      <c r="C65" t="s">
        <v>1033</v>
      </c>
      <c r="D65" s="251">
        <v>1832.9200000000001</v>
      </c>
      <c r="E65" s="251">
        <v>82076.529999999999</v>
      </c>
      <c r="F65" s="251">
        <v>41842.57</v>
      </c>
      <c r="G65" s="251">
        <v>58834.769999999997</v>
      </c>
      <c r="H65" s="251">
        <v>41842.610000000001</v>
      </c>
      <c r="I65" s="251">
        <v>41842.699999999997</v>
      </c>
      <c r="J65" s="251">
        <v>41842.599999999999</v>
      </c>
      <c r="K65" s="251">
        <v>41842.709999999999</v>
      </c>
      <c r="L65" s="251">
        <v>41842.620000000003</v>
      </c>
      <c r="M65" s="251">
        <v>41842.669999999998</v>
      </c>
      <c r="N65" s="251">
        <v>41842.599999999999</v>
      </c>
      <c r="O65" s="321">
        <v>41282.419999999998</v>
      </c>
      <c r="P65" s="253">
        <f t="shared" si="16"/>
        <v>518767.71999999991</v>
      </c>
      <c r="Q65" s="251"/>
      <c r="R65" s="251">
        <v>0</v>
      </c>
      <c r="S65" s="251">
        <v>0</v>
      </c>
      <c r="T65" s="251">
        <v>0</v>
      </c>
      <c r="U65" s="253">
        <f t="shared" si="17"/>
        <v>0</v>
      </c>
      <c r="V65" s="251">
        <v>409776.95000000001</v>
      </c>
      <c r="W65" s="251">
        <v>0</v>
      </c>
      <c r="X65" s="253">
        <f t="shared" si="18"/>
        <v>409776.95000000001</v>
      </c>
      <c r="Y65" s="251">
        <v>102918.43000000002</v>
      </c>
      <c r="Z65" s="251">
        <v>6072.3400000000011</v>
      </c>
      <c r="AA65" s="274">
        <f t="shared" si="19"/>
        <v>518767.72000000003</v>
      </c>
      <c r="AB65" s="106" t="b">
        <f t="shared" si="20"/>
        <v>1</v>
      </c>
    </row>
    <row r="66" spans="1:28" ht="12.75">
      <c r="A66" s="191">
        <v>53</v>
      </c>
      <c r="B66" t="s">
        <v>247</v>
      </c>
      <c r="C66" t="s">
        <v>1034</v>
      </c>
      <c r="D66" s="251">
        <v>8152.1899999999996</v>
      </c>
      <c r="E66" s="251">
        <v>2336.4400000000001</v>
      </c>
      <c r="F66" s="251">
        <v>2336.4400000000001</v>
      </c>
      <c r="G66" s="251">
        <v>2336.4400000000001</v>
      </c>
      <c r="H66" s="251">
        <v>2336.4400000000001</v>
      </c>
      <c r="I66" s="251">
        <v>2336.4400000000001</v>
      </c>
      <c r="J66" s="251">
        <v>2336.4400000000001</v>
      </c>
      <c r="K66" s="251">
        <v>2336.4400000000001</v>
      </c>
      <c r="L66" s="251">
        <v>2137.7800000000002</v>
      </c>
      <c r="M66" s="251">
        <v>0</v>
      </c>
      <c r="N66" s="251">
        <v>4789.71</v>
      </c>
      <c r="O66" s="321">
        <v>2430.5799999999999</v>
      </c>
      <c r="P66" s="253">
        <f t="shared" si="16"/>
        <v>33865.339999999997</v>
      </c>
      <c r="Q66" s="251"/>
      <c r="R66" s="251">
        <v>0</v>
      </c>
      <c r="S66" s="251">
        <v>0</v>
      </c>
      <c r="T66" s="251">
        <v>0</v>
      </c>
      <c r="U66" s="253">
        <f t="shared" si="17"/>
        <v>0</v>
      </c>
      <c r="V66" s="251">
        <v>0</v>
      </c>
      <c r="W66" s="251">
        <v>0</v>
      </c>
      <c r="X66" s="253">
        <f t="shared" si="18"/>
        <v>0</v>
      </c>
      <c r="Y66" s="251">
        <v>33865.339999999997</v>
      </c>
      <c r="Z66" s="251">
        <v>0</v>
      </c>
      <c r="AA66" s="274">
        <f t="shared" si="19"/>
        <v>33865.339999999997</v>
      </c>
      <c r="AB66" s="106" t="b">
        <f t="shared" si="20"/>
        <v>1</v>
      </c>
    </row>
    <row r="67" spans="1:28" ht="12.75">
      <c r="A67" s="191">
        <v>54</v>
      </c>
      <c r="B67" t="s">
        <v>251</v>
      </c>
      <c r="C67" t="s">
        <v>1034</v>
      </c>
      <c r="D67" s="251">
        <v>11063.690000000001</v>
      </c>
      <c r="E67" s="251">
        <v>3170.8899999999999</v>
      </c>
      <c r="F67" s="251">
        <v>3170.8899999999999</v>
      </c>
      <c r="G67" s="251">
        <v>3170.8899999999999</v>
      </c>
      <c r="H67" s="251">
        <v>3170.8899999999999</v>
      </c>
      <c r="I67" s="251">
        <v>3170.8899999999999</v>
      </c>
      <c r="J67" s="251">
        <v>3170.8899999999999</v>
      </c>
      <c r="K67" s="251">
        <v>3170.8899999999999</v>
      </c>
      <c r="L67" s="251">
        <v>2901.2800000000002</v>
      </c>
      <c r="M67" s="251">
        <v>0</v>
      </c>
      <c r="N67" s="251">
        <v>6500.3100000000004</v>
      </c>
      <c r="O67" s="321">
        <v>3298.6500000000001</v>
      </c>
      <c r="P67" s="253">
        <f t="shared" si="16"/>
        <v>45960.159999999996</v>
      </c>
      <c r="Q67" s="251"/>
      <c r="R67" s="251">
        <v>0</v>
      </c>
      <c r="S67" s="251">
        <v>0</v>
      </c>
      <c r="T67" s="251">
        <v>0</v>
      </c>
      <c r="U67" s="253">
        <f t="shared" si="17"/>
        <v>0</v>
      </c>
      <c r="V67" s="251">
        <v>45960.160000000003</v>
      </c>
      <c r="W67" s="251">
        <v>0</v>
      </c>
      <c r="X67" s="253">
        <f t="shared" si="18"/>
        <v>45960.160000000003</v>
      </c>
      <c r="Y67" s="251">
        <v>0</v>
      </c>
      <c r="Z67" s="251">
        <v>0</v>
      </c>
      <c r="AA67" s="274">
        <f t="shared" si="19"/>
        <v>45960.160000000003</v>
      </c>
      <c r="AB67" s="106" t="b">
        <f t="shared" si="20"/>
        <v>1</v>
      </c>
    </row>
    <row r="68" spans="1:28" ht="12.75">
      <c r="A68" s="191">
        <v>55</v>
      </c>
      <c r="B68" t="s">
        <v>290</v>
      </c>
      <c r="C68" t="s">
        <v>1034</v>
      </c>
      <c r="D68" s="251">
        <v>7569.8900000000003</v>
      </c>
      <c r="E68" s="251">
        <v>2169.5500000000002</v>
      </c>
      <c r="F68" s="251">
        <v>2169.5500000000002</v>
      </c>
      <c r="G68" s="251">
        <v>2169.5500000000002</v>
      </c>
      <c r="H68" s="251">
        <v>2169.5500000000002</v>
      </c>
      <c r="I68" s="251">
        <v>2169.5500000000002</v>
      </c>
      <c r="J68" s="251">
        <v>2169.5500000000002</v>
      </c>
      <c r="K68" s="251">
        <v>2169.5500000000002</v>
      </c>
      <c r="L68" s="251">
        <v>1985.0799999999999</v>
      </c>
      <c r="M68" s="251">
        <v>0</v>
      </c>
      <c r="N68" s="251">
        <v>4447.5799999999999</v>
      </c>
      <c r="O68" s="321">
        <v>2256.9699999999998</v>
      </c>
      <c r="P68" s="253">
        <f t="shared" si="16"/>
        <v>31446.370000000003</v>
      </c>
      <c r="Q68" s="251"/>
      <c r="R68" s="251">
        <v>0</v>
      </c>
      <c r="S68" s="251">
        <v>0</v>
      </c>
      <c r="T68" s="251">
        <v>0</v>
      </c>
      <c r="U68" s="253">
        <f t="shared" si="17"/>
        <v>0</v>
      </c>
      <c r="V68" s="251">
        <v>31446.369999999995</v>
      </c>
      <c r="W68" s="251">
        <v>0</v>
      </c>
      <c r="X68" s="253">
        <f t="shared" si="18"/>
        <v>31446.369999999995</v>
      </c>
      <c r="Y68" s="251">
        <v>0</v>
      </c>
      <c r="Z68" s="251">
        <v>0</v>
      </c>
      <c r="AA68" s="274">
        <f t="shared" si="19"/>
        <v>31446.369999999995</v>
      </c>
      <c r="AB68" s="106" t="b">
        <f t="shared" si="20"/>
        <v>1</v>
      </c>
    </row>
    <row r="69" spans="1:28" ht="12.75">
      <c r="A69" s="191">
        <v>56</v>
      </c>
      <c r="B69" t="s">
        <v>236</v>
      </c>
      <c r="C69" t="s">
        <v>1047</v>
      </c>
      <c r="D69" s="251">
        <v>1840</v>
      </c>
      <c r="E69" s="251">
        <v>1840</v>
      </c>
      <c r="F69" s="251">
        <v>1840</v>
      </c>
      <c r="G69" s="251">
        <v>1840</v>
      </c>
      <c r="H69" s="251">
        <v>1840</v>
      </c>
      <c r="I69" s="251">
        <v>1840</v>
      </c>
      <c r="J69" s="251">
        <v>1840</v>
      </c>
      <c r="K69" s="251">
        <v>1840</v>
      </c>
      <c r="L69" s="251">
        <v>1840</v>
      </c>
      <c r="M69" s="251">
        <v>1840</v>
      </c>
      <c r="N69" s="251">
        <v>1840</v>
      </c>
      <c r="O69" s="321">
        <v>0</v>
      </c>
      <c r="P69" s="253">
        <f t="shared" si="16"/>
        <v>20240</v>
      </c>
      <c r="Q69" s="251"/>
      <c r="R69" s="251">
        <v>20240</v>
      </c>
      <c r="S69" s="251">
        <v>0</v>
      </c>
      <c r="T69" s="251">
        <v>0</v>
      </c>
      <c r="U69" s="253">
        <f t="shared" si="17"/>
        <v>20240</v>
      </c>
      <c r="V69" s="251">
        <v>0</v>
      </c>
      <c r="W69" s="251">
        <v>0</v>
      </c>
      <c r="X69" s="253">
        <f t="shared" si="18"/>
        <v>0</v>
      </c>
      <c r="Y69" s="251">
        <v>0</v>
      </c>
      <c r="Z69" s="251">
        <v>0</v>
      </c>
      <c r="AA69" s="274">
        <f t="shared" si="19"/>
        <v>20240</v>
      </c>
      <c r="AB69" s="106" t="b">
        <f t="shared" si="20"/>
        <v>1</v>
      </c>
    </row>
    <row r="70" spans="1:28" ht="12.75">
      <c r="A70" s="191">
        <v>57</v>
      </c>
      <c r="B70" t="s">
        <v>251</v>
      </c>
      <c r="C70" t="s">
        <v>1036</v>
      </c>
      <c r="D70" s="251">
        <v>1058.4000000000001</v>
      </c>
      <c r="E70" s="251">
        <v>1766.1500000000001</v>
      </c>
      <c r="F70" s="251">
        <v>1272.1099999999999</v>
      </c>
      <c r="G70" s="251">
        <v>1058.4000000000001</v>
      </c>
      <c r="H70" s="251">
        <v>1201.5</v>
      </c>
      <c r="I70" s="251">
        <v>1273.05</v>
      </c>
      <c r="J70" s="251">
        <v>1129.9500000000001</v>
      </c>
      <c r="K70" s="251">
        <v>1129.9500000000001</v>
      </c>
      <c r="L70" s="251">
        <v>1129.9500000000001</v>
      </c>
      <c r="M70" s="251">
        <v>1129.9500000000001</v>
      </c>
      <c r="N70" s="251">
        <v>1129.9500000000001</v>
      </c>
      <c r="O70" s="321">
        <v>1129.9500000000001</v>
      </c>
      <c r="P70" s="253">
        <f t="shared" si="16"/>
        <v>14409.310000000003</v>
      </c>
      <c r="Q70" s="251"/>
      <c r="R70" s="251">
        <v>0</v>
      </c>
      <c r="S70" s="251">
        <v>0</v>
      </c>
      <c r="T70" s="251">
        <v>0</v>
      </c>
      <c r="U70" s="253">
        <f t="shared" si="17"/>
        <v>0</v>
      </c>
      <c r="V70" s="251">
        <v>14409.31</v>
      </c>
      <c r="W70" s="251">
        <v>0</v>
      </c>
      <c r="X70" s="253">
        <f t="shared" si="18"/>
        <v>14409.31</v>
      </c>
      <c r="Y70" s="251">
        <v>0</v>
      </c>
      <c r="Z70" s="251">
        <v>0</v>
      </c>
      <c r="AA70" s="274">
        <f t="shared" si="19"/>
        <v>14409.31</v>
      </c>
      <c r="AB70" s="106" t="b">
        <f t="shared" si="20"/>
        <v>1</v>
      </c>
    </row>
    <row r="71" spans="1:28" ht="12.75">
      <c r="A71" s="191">
        <v>58</v>
      </c>
      <c r="B71" t="s">
        <v>251</v>
      </c>
      <c r="C71" t="s">
        <v>1037</v>
      </c>
      <c r="D71" s="251">
        <v>33718.43</v>
      </c>
      <c r="E71" s="251">
        <v>0</v>
      </c>
      <c r="F71" s="251">
        <v>4950</v>
      </c>
      <c r="G71" s="251">
        <v>4950</v>
      </c>
      <c r="H71" s="251">
        <v>0</v>
      </c>
      <c r="I71" s="251">
        <v>9900</v>
      </c>
      <c r="J71" s="251">
        <v>4950</v>
      </c>
      <c r="K71" s="251">
        <v>4950</v>
      </c>
      <c r="L71" s="251">
        <v>4950</v>
      </c>
      <c r="M71" s="251">
        <v>0</v>
      </c>
      <c r="N71" s="251">
        <v>11220</v>
      </c>
      <c r="O71" s="321">
        <v>5310.1599999999999</v>
      </c>
      <c r="P71" s="253">
        <f t="shared" si="16"/>
        <v>84898.589999999997</v>
      </c>
      <c r="Q71" s="251"/>
      <c r="R71" s="251">
        <v>0</v>
      </c>
      <c r="S71" s="251">
        <v>0</v>
      </c>
      <c r="T71" s="251">
        <v>0</v>
      </c>
      <c r="U71" s="253">
        <f t="shared" si="17"/>
        <v>0</v>
      </c>
      <c r="V71" s="251">
        <v>84898.589999999997</v>
      </c>
      <c r="W71" s="251">
        <v>0</v>
      </c>
      <c r="X71" s="253">
        <f t="shared" si="18"/>
        <v>84898.589999999997</v>
      </c>
      <c r="Y71" s="251">
        <v>0</v>
      </c>
      <c r="Z71" s="251">
        <v>0</v>
      </c>
      <c r="AA71" s="274">
        <f t="shared" si="19"/>
        <v>84898.589999999997</v>
      </c>
      <c r="AB71" s="106" t="b">
        <f t="shared" si="20"/>
        <v>1</v>
      </c>
    </row>
    <row r="72" spans="1:28" ht="12.75">
      <c r="A72" s="191">
        <v>59</v>
      </c>
      <c r="B72" t="s">
        <v>290</v>
      </c>
      <c r="C72" t="s">
        <v>1037</v>
      </c>
      <c r="D72" s="251">
        <v>4495.79</v>
      </c>
      <c r="E72" s="251">
        <v>0</v>
      </c>
      <c r="F72" s="251">
        <v>660</v>
      </c>
      <c r="G72" s="251">
        <v>660</v>
      </c>
      <c r="H72" s="251">
        <v>0</v>
      </c>
      <c r="I72" s="251">
        <v>1320</v>
      </c>
      <c r="J72" s="251">
        <v>660</v>
      </c>
      <c r="K72" s="251">
        <v>660</v>
      </c>
      <c r="L72" s="251">
        <v>660</v>
      </c>
      <c r="M72" s="251">
        <v>0</v>
      </c>
      <c r="N72" s="251">
        <v>1320</v>
      </c>
      <c r="O72" s="321">
        <v>624.73000000000002</v>
      </c>
      <c r="P72" s="253">
        <f t="shared" si="16"/>
        <v>11060.52</v>
      </c>
      <c r="Q72" s="251"/>
      <c r="R72" s="251">
        <v>0</v>
      </c>
      <c r="S72" s="251">
        <v>0</v>
      </c>
      <c r="T72" s="251">
        <v>0</v>
      </c>
      <c r="U72" s="253">
        <f t="shared" si="17"/>
        <v>0</v>
      </c>
      <c r="V72" s="251">
        <v>11060.52</v>
      </c>
      <c r="W72" s="251">
        <v>0</v>
      </c>
      <c r="X72" s="253">
        <f t="shared" si="18"/>
        <v>11060.52</v>
      </c>
      <c r="Y72" s="251">
        <v>0</v>
      </c>
      <c r="Z72" s="251">
        <v>0</v>
      </c>
      <c r="AA72" s="274">
        <f t="shared" si="19"/>
        <v>11060.52</v>
      </c>
      <c r="AB72" s="106" t="b">
        <f t="shared" si="20"/>
        <v>1</v>
      </c>
    </row>
    <row r="73" spans="1:28" ht="12.75">
      <c r="A73" s="191">
        <v>60</v>
      </c>
      <c r="B73" t="s">
        <v>236</v>
      </c>
      <c r="C73" t="s">
        <v>1038</v>
      </c>
      <c r="D73" s="251">
        <v>13236.15</v>
      </c>
      <c r="E73" s="251">
        <v>3327.0300000000002</v>
      </c>
      <c r="F73" s="251">
        <v>3327.0300000000002</v>
      </c>
      <c r="G73" s="251">
        <v>3327.0300000000002</v>
      </c>
      <c r="H73" s="251">
        <v>3327.0300000000002</v>
      </c>
      <c r="I73" s="251">
        <v>3327.0300000000002</v>
      </c>
      <c r="J73" s="251">
        <v>3327.0300000000002</v>
      </c>
      <c r="K73" s="251">
        <v>3327.0300000000002</v>
      </c>
      <c r="L73" s="251">
        <v>3721.6100000000001</v>
      </c>
      <c r="M73" s="251">
        <v>3327.0300000000002</v>
      </c>
      <c r="N73" s="251">
        <v>3327.0300000000002</v>
      </c>
      <c r="O73" s="321">
        <v>3322.2600000000002</v>
      </c>
      <c r="P73" s="253">
        <f t="shared" si="16"/>
        <v>50223.289999999994</v>
      </c>
      <c r="Q73" s="251"/>
      <c r="R73" s="251">
        <v>50223.290000000001</v>
      </c>
      <c r="S73" s="251">
        <v>0</v>
      </c>
      <c r="T73" s="251">
        <v>0</v>
      </c>
      <c r="U73" s="253">
        <f t="shared" si="17"/>
        <v>50223.290000000001</v>
      </c>
      <c r="V73" s="251">
        <v>0</v>
      </c>
      <c r="W73" s="251">
        <v>0</v>
      </c>
      <c r="X73" s="253">
        <f t="shared" si="18"/>
        <v>0</v>
      </c>
      <c r="Y73" s="251">
        <v>0</v>
      </c>
      <c r="Z73" s="251">
        <v>0</v>
      </c>
      <c r="AA73" s="274">
        <f t="shared" si="19"/>
        <v>50223.290000000001</v>
      </c>
      <c r="AB73" s="106" t="b">
        <f t="shared" si="20"/>
        <v>1</v>
      </c>
    </row>
    <row r="74" spans="1:28" ht="12.75">
      <c r="A74" s="191">
        <v>61</v>
      </c>
      <c r="B74" t="s">
        <v>251</v>
      </c>
      <c r="C74" t="s">
        <v>1039</v>
      </c>
      <c r="D74" s="251">
        <v>14342.84</v>
      </c>
      <c r="E74" s="251">
        <v>2200</v>
      </c>
      <c r="F74" s="251">
        <v>2200</v>
      </c>
      <c r="G74" s="251">
        <v>2200</v>
      </c>
      <c r="H74" s="251">
        <v>2200</v>
      </c>
      <c r="I74" s="251">
        <v>2200</v>
      </c>
      <c r="J74" s="251">
        <v>2200</v>
      </c>
      <c r="K74" s="251">
        <v>2200</v>
      </c>
      <c r="L74" s="251">
        <v>2200.0100000000002</v>
      </c>
      <c r="M74" s="251">
        <v>2200</v>
      </c>
      <c r="N74" s="251">
        <v>0</v>
      </c>
      <c r="O74" s="321">
        <v>-493.57999999999998</v>
      </c>
      <c r="P74" s="253">
        <f t="shared" si="16"/>
        <v>33649.269999999997</v>
      </c>
      <c r="Q74" s="251"/>
      <c r="R74" s="251">
        <v>0</v>
      </c>
      <c r="S74" s="251">
        <v>0</v>
      </c>
      <c r="T74" s="251">
        <v>0</v>
      </c>
      <c r="U74" s="253">
        <f t="shared" si="17"/>
        <v>0</v>
      </c>
      <c r="V74" s="251">
        <v>33649.270000000004</v>
      </c>
      <c r="W74" s="251">
        <v>0</v>
      </c>
      <c r="X74" s="253">
        <f t="shared" si="18"/>
        <v>33649.270000000004</v>
      </c>
      <c r="Y74" s="251">
        <v>0</v>
      </c>
      <c r="Z74" s="251">
        <v>0</v>
      </c>
      <c r="AA74" s="274">
        <f t="shared" si="19"/>
        <v>33649.270000000004</v>
      </c>
      <c r="AB74" s="106" t="b">
        <f t="shared" si="20"/>
        <v>1</v>
      </c>
    </row>
    <row r="75" spans="1:28" ht="12.75">
      <c r="A75" s="191">
        <v>62</v>
      </c>
      <c r="B75" t="s">
        <v>256</v>
      </c>
      <c r="C75" t="s">
        <v>1039</v>
      </c>
      <c r="D75" s="251">
        <v>2151.4299999999998</v>
      </c>
      <c r="E75" s="251">
        <v>330</v>
      </c>
      <c r="F75" s="251">
        <v>330</v>
      </c>
      <c r="G75" s="251">
        <v>330</v>
      </c>
      <c r="H75" s="251">
        <v>330</v>
      </c>
      <c r="I75" s="251">
        <v>330</v>
      </c>
      <c r="J75" s="251">
        <v>330</v>
      </c>
      <c r="K75" s="251">
        <v>330</v>
      </c>
      <c r="L75" s="251">
        <v>330</v>
      </c>
      <c r="M75" s="251">
        <v>330</v>
      </c>
      <c r="N75" s="251">
        <v>0</v>
      </c>
      <c r="O75" s="321">
        <v>0</v>
      </c>
      <c r="P75" s="253">
        <f t="shared" si="16"/>
        <v>5121.4300000000003</v>
      </c>
      <c r="Q75" s="251"/>
      <c r="R75" s="251">
        <v>0</v>
      </c>
      <c r="S75" s="251">
        <v>0</v>
      </c>
      <c r="T75" s="251">
        <v>0</v>
      </c>
      <c r="U75" s="253">
        <f t="shared" si="17"/>
        <v>0</v>
      </c>
      <c r="V75" s="251">
        <v>5109.8099999999995</v>
      </c>
      <c r="W75" s="251">
        <v>0</v>
      </c>
      <c r="X75" s="253">
        <f t="shared" si="18"/>
        <v>5109.8099999999995</v>
      </c>
      <c r="Y75" s="251">
        <v>11.620000000000001</v>
      </c>
      <c r="Z75" s="251">
        <v>0</v>
      </c>
      <c r="AA75" s="274">
        <f t="shared" si="19"/>
        <v>5121.4299999999994</v>
      </c>
      <c r="AB75" s="106" t="b">
        <f t="shared" si="20"/>
        <v>1</v>
      </c>
    </row>
    <row r="76" spans="1:28" ht="12.75">
      <c r="A76" s="191">
        <v>63</v>
      </c>
      <c r="B76" t="s">
        <v>290</v>
      </c>
      <c r="C76" t="s">
        <v>1039</v>
      </c>
      <c r="D76" s="251">
        <v>4302.8500000000004</v>
      </c>
      <c r="E76" s="251">
        <v>660</v>
      </c>
      <c r="F76" s="251">
        <v>660</v>
      </c>
      <c r="G76" s="251">
        <v>660</v>
      </c>
      <c r="H76" s="251">
        <v>660</v>
      </c>
      <c r="I76" s="251">
        <v>660</v>
      </c>
      <c r="J76" s="251">
        <v>660</v>
      </c>
      <c r="K76" s="251">
        <v>660</v>
      </c>
      <c r="L76" s="251">
        <v>660</v>
      </c>
      <c r="M76" s="251">
        <v>660</v>
      </c>
      <c r="N76" s="251">
        <v>0</v>
      </c>
      <c r="O76" s="321">
        <v>-70.510000000000005</v>
      </c>
      <c r="P76" s="253">
        <f t="shared" si="16"/>
        <v>10172.34</v>
      </c>
      <c r="Q76" s="251"/>
      <c r="R76" s="251">
        <v>0</v>
      </c>
      <c r="S76" s="251">
        <v>0</v>
      </c>
      <c r="T76" s="251">
        <v>0</v>
      </c>
      <c r="U76" s="253">
        <f t="shared" si="17"/>
        <v>0</v>
      </c>
      <c r="V76" s="251">
        <v>10162.639999999999</v>
      </c>
      <c r="W76" s="251">
        <v>0</v>
      </c>
      <c r="X76" s="253">
        <f t="shared" si="18"/>
        <v>10162.639999999999</v>
      </c>
      <c r="Y76" s="251">
        <v>9.6999999999999993</v>
      </c>
      <c r="Z76" s="251">
        <v>0</v>
      </c>
      <c r="AA76" s="274">
        <f t="shared" si="19"/>
        <v>10172.34</v>
      </c>
      <c r="AB76" s="106" t="b">
        <f t="shared" si="20"/>
        <v>1</v>
      </c>
    </row>
    <row r="77" spans="1:28" ht="12.75">
      <c r="A77" s="191">
        <v>64</v>
      </c>
      <c r="B77" t="s">
        <v>247</v>
      </c>
      <c r="C77" t="s">
        <v>1040</v>
      </c>
      <c r="D77" s="251">
        <v>1423.8299999999999</v>
      </c>
      <c r="E77" s="251">
        <v>522</v>
      </c>
      <c r="F77" s="251">
        <v>522</v>
      </c>
      <c r="G77" s="251">
        <v>522</v>
      </c>
      <c r="H77" s="251">
        <v>522</v>
      </c>
      <c r="I77" s="251">
        <v>0</v>
      </c>
      <c r="J77" s="251">
        <v>522</v>
      </c>
      <c r="K77" s="251">
        <v>522</v>
      </c>
      <c r="L77" s="251">
        <v>524.98000000000002</v>
      </c>
      <c r="M77" s="251">
        <v>1044</v>
      </c>
      <c r="N77" s="251">
        <v>522</v>
      </c>
      <c r="O77" s="321">
        <v>490.19999999999999</v>
      </c>
      <c r="P77" s="253">
        <f t="shared" si="16"/>
        <v>7137.0099999999993</v>
      </c>
      <c r="Q77" s="251"/>
      <c r="R77" s="251">
        <v>0</v>
      </c>
      <c r="S77" s="251">
        <v>0</v>
      </c>
      <c r="T77" s="251">
        <v>0</v>
      </c>
      <c r="U77" s="253">
        <f t="shared" si="17"/>
        <v>0</v>
      </c>
      <c r="V77" s="251">
        <v>0</v>
      </c>
      <c r="W77" s="251">
        <v>0</v>
      </c>
      <c r="X77" s="253">
        <f t="shared" si="18"/>
        <v>0</v>
      </c>
      <c r="Y77" s="251">
        <v>7137.0100000000002</v>
      </c>
      <c r="Z77" s="251">
        <v>0</v>
      </c>
      <c r="AA77" s="274">
        <f t="shared" si="19"/>
        <v>7137.0100000000002</v>
      </c>
      <c r="AB77" s="106" t="b">
        <f t="shared" si="20"/>
        <v>1</v>
      </c>
    </row>
    <row r="78" spans="1:28" ht="12.75">
      <c r="A78" s="191">
        <v>65</v>
      </c>
      <c r="B78" t="s">
        <v>251</v>
      </c>
      <c r="C78" t="s">
        <v>1040</v>
      </c>
      <c r="D78" s="251">
        <v>5537.1300000000001</v>
      </c>
      <c r="E78" s="251">
        <v>2030</v>
      </c>
      <c r="F78" s="251">
        <v>2030</v>
      </c>
      <c r="G78" s="251">
        <v>2030</v>
      </c>
      <c r="H78" s="251">
        <v>2030</v>
      </c>
      <c r="I78" s="251">
        <v>0</v>
      </c>
      <c r="J78" s="251">
        <v>2030</v>
      </c>
      <c r="K78" s="251">
        <v>2030</v>
      </c>
      <c r="L78" s="251">
        <v>2041.5999999999999</v>
      </c>
      <c r="M78" s="251">
        <v>4060</v>
      </c>
      <c r="N78" s="251">
        <v>1914</v>
      </c>
      <c r="O78" s="321">
        <v>1797.4100000000001</v>
      </c>
      <c r="P78" s="253">
        <f t="shared" si="16"/>
        <v>27530.139999999999</v>
      </c>
      <c r="Q78" s="251"/>
      <c r="R78" s="251">
        <v>0</v>
      </c>
      <c r="S78" s="251">
        <v>0</v>
      </c>
      <c r="T78" s="251">
        <v>0</v>
      </c>
      <c r="U78" s="253">
        <f t="shared" si="17"/>
        <v>0</v>
      </c>
      <c r="V78" s="251">
        <v>27530.140000000003</v>
      </c>
      <c r="W78" s="251">
        <v>0</v>
      </c>
      <c r="X78" s="253">
        <f t="shared" si="18"/>
        <v>27530.140000000003</v>
      </c>
      <c r="Y78" s="251">
        <v>0</v>
      </c>
      <c r="Z78" s="251">
        <v>0</v>
      </c>
      <c r="AA78" s="274">
        <f t="shared" si="19"/>
        <v>27530.140000000003</v>
      </c>
      <c r="AB78" s="106" t="b">
        <f t="shared" si="20"/>
        <v>1</v>
      </c>
    </row>
    <row r="79" spans="1:28" ht="12.75">
      <c r="A79" s="191">
        <v>66</v>
      </c>
      <c r="B79" t="s">
        <v>247</v>
      </c>
      <c r="C79" t="s">
        <v>1048</v>
      </c>
      <c r="D79" s="251">
        <v>600</v>
      </c>
      <c r="E79" s="251">
        <v>600</v>
      </c>
      <c r="F79" s="251">
        <v>600</v>
      </c>
      <c r="G79" s="251">
        <v>600</v>
      </c>
      <c r="H79" s="251">
        <v>600</v>
      </c>
      <c r="I79" s="251">
        <v>600</v>
      </c>
      <c r="J79" s="251">
        <v>600</v>
      </c>
      <c r="K79" s="251">
        <v>0</v>
      </c>
      <c r="L79" s="251">
        <v>0</v>
      </c>
      <c r="M79" s="251">
        <v>0</v>
      </c>
      <c r="N79" s="251">
        <v>0</v>
      </c>
      <c r="O79" s="321">
        <v>0</v>
      </c>
      <c r="P79" s="253">
        <f t="shared" si="16"/>
        <v>4200</v>
      </c>
      <c r="Q79" s="251"/>
      <c r="R79" s="251">
        <v>0</v>
      </c>
      <c r="S79" s="251">
        <v>0</v>
      </c>
      <c r="T79" s="251">
        <v>0</v>
      </c>
      <c r="U79" s="253">
        <f t="shared" si="17"/>
        <v>0</v>
      </c>
      <c r="V79" s="251">
        <v>0</v>
      </c>
      <c r="W79" s="251">
        <v>0</v>
      </c>
      <c r="X79" s="253">
        <f t="shared" si="18"/>
        <v>0</v>
      </c>
      <c r="Y79" s="251">
        <v>4200</v>
      </c>
      <c r="Z79" s="251">
        <v>0</v>
      </c>
      <c r="AA79" s="274">
        <f t="shared" si="19"/>
        <v>4200</v>
      </c>
      <c r="AB79" s="106" t="b">
        <f t="shared" si="20"/>
        <v>1</v>
      </c>
    </row>
    <row r="80" spans="1:28" ht="12.75">
      <c r="A80" s="191">
        <v>67</v>
      </c>
      <c r="B80" t="s">
        <v>251</v>
      </c>
      <c r="C80" t="s">
        <v>1048</v>
      </c>
      <c r="D80" s="251">
        <v>0</v>
      </c>
      <c r="E80" s="251">
        <v>0</v>
      </c>
      <c r="F80" s="251">
        <v>0</v>
      </c>
      <c r="G80" s="251">
        <v>0</v>
      </c>
      <c r="H80" s="251">
        <v>0</v>
      </c>
      <c r="I80" s="251">
        <v>0</v>
      </c>
      <c r="J80" s="251">
        <v>0</v>
      </c>
      <c r="K80" s="251">
        <v>0</v>
      </c>
      <c r="L80" s="251">
        <v>0</v>
      </c>
      <c r="M80" s="251">
        <v>3600</v>
      </c>
      <c r="N80" s="251">
        <v>0</v>
      </c>
      <c r="O80" s="321">
        <v>0</v>
      </c>
      <c r="P80" s="253">
        <f t="shared" si="16"/>
        <v>3600</v>
      </c>
      <c r="Q80" s="251"/>
      <c r="R80" s="251">
        <v>0</v>
      </c>
      <c r="S80" s="251">
        <v>0</v>
      </c>
      <c r="T80" s="251">
        <v>0</v>
      </c>
      <c r="U80" s="253">
        <f t="shared" si="17"/>
        <v>0</v>
      </c>
      <c r="V80" s="251">
        <v>3600</v>
      </c>
      <c r="W80" s="251">
        <v>0</v>
      </c>
      <c r="X80" s="253">
        <f t="shared" si="18"/>
        <v>3600</v>
      </c>
      <c r="Y80" s="251">
        <v>0</v>
      </c>
      <c r="Z80" s="251">
        <v>0</v>
      </c>
      <c r="AA80" s="274">
        <f t="shared" si="19"/>
        <v>3600</v>
      </c>
      <c r="AB80" s="106" t="b">
        <f t="shared" si="20"/>
        <v>1</v>
      </c>
    </row>
    <row r="81" spans="1:28" ht="12.75">
      <c r="A81" s="191">
        <v>68</v>
      </c>
      <c r="B81" t="s">
        <v>237</v>
      </c>
      <c r="C81" t="s">
        <v>1041</v>
      </c>
      <c r="D81" s="251">
        <v>3900</v>
      </c>
      <c r="E81" s="251">
        <v>3900</v>
      </c>
      <c r="F81" s="251">
        <v>3900</v>
      </c>
      <c r="G81" s="251">
        <v>3900</v>
      </c>
      <c r="H81" s="251">
        <v>3900</v>
      </c>
      <c r="I81" s="251">
        <v>0</v>
      </c>
      <c r="J81" s="251">
        <v>0</v>
      </c>
      <c r="K81" s="251">
        <v>0</v>
      </c>
      <c r="L81" s="251">
        <v>11400</v>
      </c>
      <c r="M81" s="251">
        <v>4500</v>
      </c>
      <c r="N81" s="251">
        <v>4500</v>
      </c>
      <c r="O81" s="321">
        <v>9000</v>
      </c>
      <c r="P81" s="253">
        <f t="shared" si="16"/>
        <v>48900</v>
      </c>
      <c r="Q81" s="251"/>
      <c r="R81" s="251">
        <v>48900</v>
      </c>
      <c r="S81" s="251">
        <v>0</v>
      </c>
      <c r="T81" s="251">
        <v>0</v>
      </c>
      <c r="U81" s="253">
        <f t="shared" si="17"/>
        <v>48900</v>
      </c>
      <c r="V81" s="251">
        <v>0</v>
      </c>
      <c r="W81" s="251">
        <v>0</v>
      </c>
      <c r="X81" s="253">
        <f t="shared" si="18"/>
        <v>0</v>
      </c>
      <c r="Y81" s="251">
        <v>0</v>
      </c>
      <c r="Z81" s="251">
        <v>0</v>
      </c>
      <c r="AA81" s="274">
        <f t="shared" si="19"/>
        <v>48900</v>
      </c>
      <c r="AB81" s="106" t="b">
        <f t="shared" si="20"/>
        <v>1</v>
      </c>
    </row>
    <row r="82" spans="1:28" ht="12.75">
      <c r="A82" s="191">
        <v>69</v>
      </c>
      <c r="B82" t="s">
        <v>236</v>
      </c>
      <c r="C82" t="s">
        <v>1042</v>
      </c>
      <c r="D82" s="251">
        <v>2909.2399999999998</v>
      </c>
      <c r="E82" s="251">
        <v>2678.0500000000002</v>
      </c>
      <c r="F82" s="251">
        <v>8034.1499999999996</v>
      </c>
      <c r="G82" s="251">
        <v>2678.0500000000002</v>
      </c>
      <c r="H82" s="251">
        <v>2678.0500000000002</v>
      </c>
      <c r="I82" s="251">
        <v>2678.0500000000002</v>
      </c>
      <c r="J82" s="251">
        <v>2678.0500000000002</v>
      </c>
      <c r="K82" s="251">
        <v>2678.0500000000002</v>
      </c>
      <c r="L82" s="251">
        <v>8507.0599999999995</v>
      </c>
      <c r="M82" s="251">
        <v>2678.0500000000002</v>
      </c>
      <c r="N82" s="251">
        <v>2678.0500000000002</v>
      </c>
      <c r="O82" s="321">
        <v>-345.45999999999998</v>
      </c>
      <c r="P82" s="253">
        <f t="shared" si="16"/>
        <v>40529.389999999999</v>
      </c>
      <c r="Q82" s="251"/>
      <c r="R82" s="251">
        <v>40529.389999999999</v>
      </c>
      <c r="S82" s="251">
        <v>0</v>
      </c>
      <c r="T82" s="251">
        <v>0</v>
      </c>
      <c r="U82" s="253">
        <f t="shared" si="17"/>
        <v>40529.389999999999</v>
      </c>
      <c r="V82" s="251">
        <v>0</v>
      </c>
      <c r="W82" s="251">
        <v>0</v>
      </c>
      <c r="X82" s="253">
        <f t="shared" si="18"/>
        <v>0</v>
      </c>
      <c r="Y82" s="251">
        <v>0</v>
      </c>
      <c r="Z82" s="251">
        <v>0</v>
      </c>
      <c r="AA82" s="274">
        <f t="shared" si="19"/>
        <v>40529.389999999999</v>
      </c>
      <c r="AB82" s="106" t="b">
        <f t="shared" si="20"/>
        <v>1</v>
      </c>
    </row>
    <row r="83" spans="1:28" ht="12.75">
      <c r="A83" s="191">
        <v>70</v>
      </c>
      <c r="B83" t="s">
        <v>286</v>
      </c>
      <c r="C83" t="s">
        <v>1043</v>
      </c>
      <c r="D83" s="251">
        <v>806.35000000000002</v>
      </c>
      <c r="E83" s="251">
        <v>806.35000000000002</v>
      </c>
      <c r="F83" s="251">
        <v>806.35000000000002</v>
      </c>
      <c r="G83" s="251">
        <v>806.35000000000002</v>
      </c>
      <c r="H83" s="251">
        <v>806.35000000000002</v>
      </c>
      <c r="I83" s="251">
        <v>806.35000000000002</v>
      </c>
      <c r="J83" s="251">
        <v>806.35000000000002</v>
      </c>
      <c r="K83" s="251">
        <v>806.35000000000002</v>
      </c>
      <c r="L83" s="251">
        <v>806.35000000000002</v>
      </c>
      <c r="M83" s="251">
        <v>806.35000000000002</v>
      </c>
      <c r="N83" s="251">
        <v>806.35000000000002</v>
      </c>
      <c r="O83" s="321">
        <v>0</v>
      </c>
      <c r="P83" s="253">
        <f t="shared" si="16"/>
        <v>8869.8500000000022</v>
      </c>
      <c r="Q83" s="251"/>
      <c r="R83" s="251">
        <v>0</v>
      </c>
      <c r="S83" s="251">
        <v>0</v>
      </c>
      <c r="T83" s="251">
        <v>0</v>
      </c>
      <c r="U83" s="253">
        <f t="shared" si="17"/>
        <v>0</v>
      </c>
      <c r="V83" s="251">
        <v>0</v>
      </c>
      <c r="W83" s="251">
        <v>0</v>
      </c>
      <c r="X83" s="253">
        <f t="shared" si="18"/>
        <v>0</v>
      </c>
      <c r="Y83" s="251">
        <v>0</v>
      </c>
      <c r="Z83" s="251">
        <f>+P83</f>
        <v>8869.8500000000022</v>
      </c>
      <c r="AA83" s="274">
        <f t="shared" si="19"/>
        <v>8869.8500000000022</v>
      </c>
      <c r="AB83" s="106" t="b">
        <f t="shared" si="20"/>
        <v>1</v>
      </c>
    </row>
    <row r="84" spans="1:28" ht="12.75">
      <c r="A84" s="191">
        <v>71</v>
      </c>
      <c r="B84" t="s">
        <v>250</v>
      </c>
      <c r="C84" t="s">
        <v>1044</v>
      </c>
      <c r="D84" s="251">
        <v>16169.67</v>
      </c>
      <c r="E84" s="251">
        <v>6080</v>
      </c>
      <c r="F84" s="251">
        <v>6080</v>
      </c>
      <c r="G84" s="251">
        <v>6080</v>
      </c>
      <c r="H84" s="251">
        <v>6080</v>
      </c>
      <c r="I84" s="251">
        <v>6080</v>
      </c>
      <c r="J84" s="251">
        <v>6080</v>
      </c>
      <c r="K84" s="251">
        <v>6080</v>
      </c>
      <c r="L84" s="251">
        <v>6079.9899999999998</v>
      </c>
      <c r="M84" s="251">
        <v>6080</v>
      </c>
      <c r="N84" s="251">
        <v>6560</v>
      </c>
      <c r="O84" s="321">
        <v>6068.0600000000004</v>
      </c>
      <c r="P84" s="253">
        <f t="shared" si="16"/>
        <v>83517.720000000001</v>
      </c>
      <c r="Q84" s="251"/>
      <c r="R84" s="251">
        <v>0</v>
      </c>
      <c r="S84" s="251">
        <v>0</v>
      </c>
      <c r="T84" s="251">
        <v>0</v>
      </c>
      <c r="U84" s="253">
        <f t="shared" si="17"/>
        <v>0</v>
      </c>
      <c r="V84" s="251">
        <v>83517.720000000001</v>
      </c>
      <c r="W84" s="251">
        <v>0</v>
      </c>
      <c r="X84" s="253">
        <f t="shared" si="18"/>
        <v>83517.720000000001</v>
      </c>
      <c r="Y84" s="251">
        <v>0</v>
      </c>
      <c r="Z84" s="251">
        <v>0</v>
      </c>
      <c r="AA84" s="274">
        <f t="shared" si="19"/>
        <v>83517.720000000001</v>
      </c>
      <c r="AB84" s="106" t="b">
        <f t="shared" si="20"/>
        <v>1</v>
      </c>
    </row>
    <row r="85" spans="1:28" ht="12.75">
      <c r="A85" s="191">
        <v>72</v>
      </c>
      <c r="B85" t="s">
        <v>290</v>
      </c>
      <c r="C85" t="s">
        <v>1044</v>
      </c>
      <c r="D85" s="251">
        <v>2127.5900000000001</v>
      </c>
      <c r="E85" s="251">
        <v>800</v>
      </c>
      <c r="F85" s="251">
        <v>800</v>
      </c>
      <c r="G85" s="251">
        <v>800</v>
      </c>
      <c r="H85" s="251">
        <v>800</v>
      </c>
      <c r="I85" s="251">
        <v>800</v>
      </c>
      <c r="J85" s="251">
        <v>800</v>
      </c>
      <c r="K85" s="251">
        <v>800</v>
      </c>
      <c r="L85" s="251">
        <v>800</v>
      </c>
      <c r="M85" s="251">
        <v>800</v>
      </c>
      <c r="N85" s="251">
        <v>800</v>
      </c>
      <c r="O85" s="321">
        <v>740.00999999999999</v>
      </c>
      <c r="P85" s="253">
        <f t="shared" si="16"/>
        <v>10867.6</v>
      </c>
      <c r="Q85" s="251"/>
      <c r="R85" s="251">
        <v>0</v>
      </c>
      <c r="S85" s="251">
        <v>0</v>
      </c>
      <c r="T85" s="251">
        <v>0</v>
      </c>
      <c r="U85" s="253">
        <f t="shared" si="17"/>
        <v>0</v>
      </c>
      <c r="V85" s="251">
        <v>10867.6</v>
      </c>
      <c r="W85" s="251">
        <v>0</v>
      </c>
      <c r="X85" s="253">
        <f t="shared" si="18"/>
        <v>10867.6</v>
      </c>
      <c r="Y85" s="251">
        <v>0</v>
      </c>
      <c r="Z85" s="251">
        <v>0</v>
      </c>
      <c r="AA85" s="274">
        <f t="shared" si="19"/>
        <v>10867.6</v>
      </c>
      <c r="AB85" s="106" t="b">
        <f t="shared" si="20"/>
        <v>1</v>
      </c>
    </row>
    <row r="86" spans="1:28" ht="13.5" thickBot="1">
      <c r="A86" s="191">
        <v>73</v>
      </c>
      <c r="C86" s="206" t="s">
        <v>1046</v>
      </c>
      <c r="D86" s="317">
        <f>SUM(D51:D85)</f>
        <v>251744.19999999998</v>
      </c>
      <c r="E86" s="317">
        <f t="shared" si="21" ref="E86:P86">SUM(E51:E85)</f>
        <v>379217.83000000002</v>
      </c>
      <c r="F86" s="317">
        <f t="shared" si="21"/>
        <v>340423.75000000006</v>
      </c>
      <c r="G86" s="317">
        <f t="shared" si="21"/>
        <v>393372.60000000003</v>
      </c>
      <c r="H86" s="317">
        <f t="shared" si="21"/>
        <v>276302.50999999995</v>
      </c>
      <c r="I86" s="317">
        <f t="shared" si="21"/>
        <v>460602.26999999996</v>
      </c>
      <c r="J86" s="317">
        <f t="shared" si="21"/>
        <v>168187.89000000001</v>
      </c>
      <c r="K86" s="317">
        <f t="shared" si="21"/>
        <v>345692.54000000004</v>
      </c>
      <c r="L86" s="317">
        <f t="shared" si="21"/>
        <v>358898.46999999997</v>
      </c>
      <c r="M86" s="317">
        <f t="shared" si="21"/>
        <v>133947.06000000006</v>
      </c>
      <c r="N86" s="317">
        <f t="shared" si="21"/>
        <v>553492.83999999997</v>
      </c>
      <c r="O86" s="317">
        <f t="shared" si="21"/>
        <v>311003.75999999995</v>
      </c>
      <c r="P86" s="317">
        <f t="shared" si="21"/>
        <v>3972885.7200000002</v>
      </c>
      <c r="R86" s="317">
        <f t="shared" si="22" ref="R86">SUM(R51:R85)</f>
        <v>1661668.5999999999</v>
      </c>
      <c r="S86" s="317">
        <f t="shared" si="23" ref="S86">SUM(S51:S85)</f>
        <v>0</v>
      </c>
      <c r="T86" s="317">
        <f t="shared" si="24" ref="T86">SUM(T51:T85)</f>
        <v>0</v>
      </c>
      <c r="U86" s="317">
        <f t="shared" si="25" ref="U86">SUM(U51:U85)</f>
        <v>1661668.5999999999</v>
      </c>
      <c r="V86" s="317">
        <f t="shared" si="26" ref="V86">SUM(V51:V85)</f>
        <v>1921644.6000000001</v>
      </c>
      <c r="W86" s="317">
        <f t="shared" si="27" ref="W86">SUM(W51:W85)</f>
        <v>0</v>
      </c>
      <c r="X86" s="317">
        <f t="shared" si="28" ref="X86">SUM(X51:X85)</f>
        <v>1921644.6000000001</v>
      </c>
      <c r="Y86" s="317">
        <f t="shared" si="29" ref="Y86">SUM(Y51:Y85)</f>
        <v>371077.07000000001</v>
      </c>
      <c r="Z86" s="317">
        <f t="shared" si="30" ref="Z86">SUM(Z51:Z85)</f>
        <v>18495.450000000008</v>
      </c>
      <c r="AA86" s="317">
        <f t="shared" si="31" ref="AA86">SUM(AA51:AA85)</f>
        <v>3972885.7200000007</v>
      </c>
      <c r="AB86" s="106" t="b">
        <f t="shared" si="20"/>
        <v>1</v>
      </c>
    </row>
    <row r="87" spans="1:1" ht="13.5" thickTop="1">
      <c r="A87" s="191">
        <v>74</v>
      </c>
    </row>
  </sheetData>
  <printOptions horizontalCentered="1"/>
  <pageMargins left="0.5" right="0.5" top="2.25" bottom="0.5" header="1.5" footer="0.5"/>
  <pageSetup fitToHeight="0" fitToWidth="2" orientation="landscape" pageOrder="overThenDown" scale="53" r:id="rId1"/>
  <headerFooter alignWithMargins="0">
    <oddHeader>&amp;C&amp;B
2022 RATE CASE
ONCOR ELECTRIC DELIVERY COMPANY LLC
II-D-2.9  RENTS AND LEASES - MONTHLY LEASE AMOUNT AND PAYMENT - 2020
TEST YEAR ENDING DECEMBER 31, 2021
SPONSOR: W. ALAN LEDBETTER&amp;R&amp;"Arial,Bold"Schedule &amp;A
Page &amp;P of &amp;N</oddHeader>
  </headerFooter>
  <rowBreaks count="1" manualBreakCount="1">
    <brk id="49" min="3" max="26" man="1"/>
  </rowBreaks>
  <colBreaks count="1" manualBreakCount="1">
    <brk id="16" min="13" max="85" man="1"/>
  </colBreak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1">
    <tabColor rgb="FFFF0000"/>
  </sheetPr>
  <dimension ref="A1:AC90"/>
  <sheetViews>
    <sheetView zoomScale="85" zoomScaleNormal="85" workbookViewId="0" topLeftCell="A1">
      <pane xSplit="3" ySplit="12" topLeftCell="D53" activePane="bottomRight" state="frozen"/>
      <selection pane="topLeft" activeCell="C50" sqref="C50"/>
      <selection pane="bottomLeft" activeCell="C50" sqref="C50"/>
      <selection pane="topRight" activeCell="C50" sqref="C50"/>
      <selection pane="bottomRight" activeCell="S94" sqref="S94"/>
    </sheetView>
  </sheetViews>
  <sheetFormatPr defaultRowHeight="12.75"/>
  <cols>
    <col min="1" max="1" width="6.28571428571429" customWidth="1"/>
    <col min="2" max="2" width="9.57142857142857" customWidth="1"/>
    <col min="3" max="3" width="40.2857142857143" bestFit="1" customWidth="1"/>
    <col min="4" max="4" width="13" style="66" bestFit="1" customWidth="1"/>
    <col min="5" max="5" width="15.1428571428571" style="66" bestFit="1" customWidth="1"/>
    <col min="6" max="6" width="14.5714285714286" style="66" bestFit="1" customWidth="1"/>
    <col min="7" max="7" width="13.5714285714286" style="66" bestFit="1" customWidth="1"/>
    <col min="8" max="8" width="13.4285714285714" style="66" bestFit="1" customWidth="1"/>
    <col min="9" max="9" width="14.5714285714286" style="66" bestFit="1" customWidth="1"/>
    <col min="10" max="14" width="14.4285714285714" style="66" bestFit="1" customWidth="1"/>
    <col min="15" max="15" width="14.4285714285714" style="14" bestFit="1" customWidth="1"/>
    <col min="16" max="16" width="15.5714285714286" style="66" bestFit="1" customWidth="1"/>
    <col min="17" max="17" width="2.71428571428571" style="66" customWidth="1"/>
    <col min="18" max="18" width="11.5714285714286" style="66" bestFit="1" customWidth="1"/>
    <col min="19" max="21" width="11.5714285714286" style="66" customWidth="1"/>
    <col min="22" max="22" width="12.5714285714286" style="66" bestFit="1" customWidth="1"/>
    <col min="23" max="24" width="12.5714285714286" style="66" customWidth="1"/>
    <col min="25" max="25" width="11.5714285714286" style="66" bestFit="1" customWidth="1"/>
    <col min="26" max="26" width="12.5714285714286" style="66" customWidth="1"/>
    <col min="27" max="27" width="12.5714285714286" bestFit="1" customWidth="1"/>
    <col min="28" max="28" width="10.2857142857143" bestFit="1" customWidth="1"/>
  </cols>
  <sheetData>
    <row r="1" spans="1:26" ht="12.75">
      <c r="A1" s="5" t="str">
        <f>+'[3]Input Data'!$A$9</f>
        <v>2022 RATE CASE</v>
      </c>
      <c r="Q1"/>
      <c r="R1"/>
      <c r="S1"/>
      <c r="T1"/>
      <c r="U1"/>
      <c r="V1"/>
      <c r="W1"/>
      <c r="X1"/>
      <c r="Y1"/>
      <c r="Z1"/>
    </row>
    <row r="2" spans="1:26" ht="12.75">
      <c r="A2" s="8" t="str">
        <f>+'[3]Input Data'!$A$2</f>
        <v>ONCOR ELECTRIC DELIVERY COMPANY LLC</v>
      </c>
      <c r="Q2"/>
      <c r="R2"/>
      <c r="S2"/>
      <c r="T2"/>
      <c r="U2"/>
      <c r="V2"/>
      <c r="W2"/>
      <c r="X2"/>
      <c r="Y2"/>
      <c r="Z2"/>
    </row>
    <row r="3" spans="1:26" ht="12.75">
      <c r="A3" s="7" t="str">
        <f>CONCATENATE('[3]Schedule Sponsors'!$A$67,'[3]Schedule Sponsors'!$B$67," - MONTHLY LEASE AMOUNT AND PAYMENT - 2019")</f>
        <v>II-D-2.9  RENTS AND LEASES - MONTHLY LEASE AMOUNT AND PAYMENT - 2019</v>
      </c>
      <c r="Q3"/>
      <c r="R3"/>
      <c r="S3"/>
      <c r="T3"/>
      <c r="U3"/>
      <c r="V3"/>
      <c r="W3"/>
      <c r="X3"/>
      <c r="Y3"/>
      <c r="Z3"/>
    </row>
    <row r="4" spans="1:26" ht="12.75">
      <c r="A4" s="63" t="str">
        <f>+'[3]Input Data'!$A$4</f>
        <v>TEST YEAR ENDING DECEMBER 31, 2021</v>
      </c>
      <c r="Q4"/>
      <c r="R4"/>
      <c r="S4"/>
      <c r="T4"/>
      <c r="U4"/>
      <c r="V4"/>
      <c r="W4"/>
      <c r="X4"/>
      <c r="Y4"/>
      <c r="Z4"/>
    </row>
    <row r="5" spans="1:26" ht="12.75">
      <c r="A5" s="7" t="str">
        <f>CONCATENATE("SPONSOR: ",'[3]Schedule Sponsors'!$D$67)</f>
        <v>SPONSOR: W. ALAN LEDBETTER</v>
      </c>
      <c r="Q5"/>
      <c r="R5"/>
      <c r="S5"/>
      <c r="T5"/>
      <c r="U5"/>
      <c r="V5"/>
      <c r="W5"/>
      <c r="X5"/>
      <c r="Y5"/>
      <c r="Z5"/>
    </row>
    <row r="6" spans="17:26" ht="12.75">
      <c r="Q6"/>
      <c r="R6"/>
      <c r="S6"/>
      <c r="T6"/>
      <c r="U6"/>
      <c r="V6"/>
      <c r="W6"/>
      <c r="X6"/>
      <c r="Y6"/>
      <c r="Z6"/>
    </row>
    <row r="7" spans="17:26" ht="12.75">
      <c r="Q7"/>
      <c r="R7"/>
      <c r="S7"/>
      <c r="T7"/>
      <c r="U7"/>
      <c r="V7"/>
      <c r="W7"/>
      <c r="X7"/>
      <c r="Y7"/>
      <c r="Z7"/>
    </row>
    <row r="8" spans="17:26" ht="12.75">
      <c r="Q8"/>
      <c r="R8"/>
      <c r="S8"/>
      <c r="T8"/>
      <c r="U8"/>
      <c r="V8"/>
      <c r="W8"/>
      <c r="X8"/>
      <c r="Y8"/>
      <c r="Z8"/>
    </row>
    <row r="9" spans="17:26" ht="12.75">
      <c r="Q9"/>
      <c r="R9"/>
      <c r="S9"/>
      <c r="T9"/>
      <c r="U9"/>
      <c r="V9"/>
      <c r="W9"/>
      <c r="X9"/>
      <c r="Y9"/>
      <c r="Z9"/>
    </row>
    <row r="10" spans="1:27" s="138" customFormat="1" ht="12.75">
      <c r="A10" s="287" t="s">
        <v>87</v>
      </c>
      <c r="C10" s="230" t="s">
        <v>690</v>
      </c>
      <c r="D10" s="150"/>
      <c r="E10" s="150"/>
      <c r="F10" s="150"/>
      <c r="G10" s="150"/>
      <c r="H10" s="150"/>
      <c r="I10" s="150"/>
      <c r="J10" s="150"/>
      <c r="K10" s="150"/>
      <c r="L10" s="150"/>
      <c r="M10" s="150"/>
      <c r="N10" s="150"/>
      <c r="O10" s="289"/>
      <c r="P10" s="150"/>
      <c r="R10" s="230"/>
      <c r="S10" s="230" t="s">
        <v>716</v>
      </c>
      <c r="T10" s="230" t="s">
        <v>722</v>
      </c>
      <c r="U10" s="230" t="s">
        <v>717</v>
      </c>
      <c r="V10" s="230"/>
      <c r="W10" s="230" t="s">
        <v>716</v>
      </c>
      <c r="X10" s="230" t="s">
        <v>717</v>
      </c>
      <c r="Y10" s="230"/>
      <c r="Z10" s="230"/>
      <c r="AA10" s="230"/>
    </row>
    <row r="11" spans="1:27" s="287" customFormat="1" ht="12.75">
      <c r="A11" s="287" t="s">
        <v>121</v>
      </c>
      <c r="B11" s="287" t="s">
        <v>213</v>
      </c>
      <c r="C11" s="287" t="s">
        <v>209</v>
      </c>
      <c r="D11" s="290" t="s">
        <v>99</v>
      </c>
      <c r="E11" s="290" t="s">
        <v>100</v>
      </c>
      <c r="F11" s="290" t="s">
        <v>101</v>
      </c>
      <c r="G11" s="290" t="s">
        <v>102</v>
      </c>
      <c r="H11" s="290" t="s">
        <v>20</v>
      </c>
      <c r="I11" s="290" t="s">
        <v>103</v>
      </c>
      <c r="J11" s="290" t="s">
        <v>104</v>
      </c>
      <c r="K11" s="290" t="s">
        <v>105</v>
      </c>
      <c r="L11" s="290" t="s">
        <v>106</v>
      </c>
      <c r="M11" s="290" t="s">
        <v>107</v>
      </c>
      <c r="N11" s="290" t="s">
        <v>108</v>
      </c>
      <c r="O11" s="290" t="s">
        <v>109</v>
      </c>
      <c r="P11" s="291" t="s">
        <v>328</v>
      </c>
      <c r="R11" s="145" t="s">
        <v>294</v>
      </c>
      <c r="S11" s="145" t="s">
        <v>294</v>
      </c>
      <c r="T11" s="145" t="s">
        <v>723</v>
      </c>
      <c r="U11" s="145" t="s">
        <v>294</v>
      </c>
      <c r="V11" s="145" t="s">
        <v>295</v>
      </c>
      <c r="W11" s="145" t="s">
        <v>295</v>
      </c>
      <c r="X11" s="145" t="s">
        <v>295</v>
      </c>
      <c r="Y11" s="145" t="s">
        <v>283</v>
      </c>
      <c r="Z11" s="145" t="s">
        <v>126</v>
      </c>
      <c r="AA11" s="145" t="s">
        <v>216</v>
      </c>
    </row>
    <row r="12" spans="1:27" s="287" customFormat="1" ht="12.75">
      <c r="A12" s="292"/>
      <c r="B12" s="292" t="s">
        <v>44</v>
      </c>
      <c r="C12" s="292" t="s">
        <v>45</v>
      </c>
      <c r="D12" s="293" t="s">
        <v>74</v>
      </c>
      <c r="E12" s="293" t="s">
        <v>75</v>
      </c>
      <c r="F12" s="293" t="s">
        <v>76</v>
      </c>
      <c r="G12" s="293" t="s">
        <v>77</v>
      </c>
      <c r="H12" s="294" t="s">
        <v>78</v>
      </c>
      <c r="I12" s="294" t="s">
        <v>79</v>
      </c>
      <c r="J12" s="294" t="s">
        <v>80</v>
      </c>
      <c r="K12" s="294" t="s">
        <v>81</v>
      </c>
      <c r="L12" s="294" t="s">
        <v>82</v>
      </c>
      <c r="M12" s="294" t="s">
        <v>83</v>
      </c>
      <c r="N12" s="294" t="s">
        <v>84</v>
      </c>
      <c r="O12" s="294" t="s">
        <v>85</v>
      </c>
      <c r="P12" s="294" t="s">
        <v>86</v>
      </c>
      <c r="Q12" s="292"/>
      <c r="R12" s="295" t="s">
        <v>255</v>
      </c>
      <c r="S12" s="295" t="s">
        <v>128</v>
      </c>
      <c r="T12" s="295" t="s">
        <v>23</v>
      </c>
      <c r="U12" s="295" t="s">
        <v>24</v>
      </c>
      <c r="V12" s="295" t="s">
        <v>136</v>
      </c>
      <c r="W12" s="295" t="s">
        <v>68</v>
      </c>
      <c r="X12" s="295" t="s">
        <v>718</v>
      </c>
      <c r="Y12" s="295" t="s">
        <v>719</v>
      </c>
      <c r="Z12" s="295" t="s">
        <v>720</v>
      </c>
      <c r="AA12" s="295" t="s">
        <v>721</v>
      </c>
    </row>
    <row r="13" spans="4:27" s="287" customFormat="1" ht="12.75">
      <c r="D13" s="291"/>
      <c r="E13" s="291"/>
      <c r="F13" s="291"/>
      <c r="G13" s="291"/>
      <c r="H13" s="291"/>
      <c r="I13" s="291"/>
      <c r="J13" s="291"/>
      <c r="K13" s="291"/>
      <c r="L13" s="291"/>
      <c r="M13" s="291"/>
      <c r="N13" s="291"/>
      <c r="O13" s="291"/>
      <c r="P13" s="291"/>
      <c r="R13" s="291"/>
      <c r="S13" s="291"/>
      <c r="T13" s="291"/>
      <c r="U13" s="291"/>
      <c r="V13" s="291"/>
      <c r="W13" s="291"/>
      <c r="X13" s="291"/>
      <c r="Y13" s="291"/>
      <c r="Z13" s="291"/>
      <c r="AA13" s="291"/>
    </row>
    <row r="14" spans="1:29" s="106" customFormat="1" ht="15">
      <c r="A14" s="191">
        <v>1</v>
      </c>
      <c r="B14" t="s">
        <v>231</v>
      </c>
      <c r="C14" s="183" t="s">
        <v>862</v>
      </c>
      <c r="D14" s="304">
        <v>6052.9099999999999</v>
      </c>
      <c r="E14" s="304">
        <v>3953.2799999999997</v>
      </c>
      <c r="F14" s="304">
        <v>3629.2600000000002</v>
      </c>
      <c r="G14" s="304">
        <v>6256.4699999999993</v>
      </c>
      <c r="H14" s="304">
        <v>4005.4599999999996</v>
      </c>
      <c r="I14" s="304">
        <v>-16589.329999999998</v>
      </c>
      <c r="J14" s="304">
        <v>1161.74</v>
      </c>
      <c r="K14" s="304">
        <v>31288.270000000004</v>
      </c>
      <c r="L14" s="304">
        <v>4067.79</v>
      </c>
      <c r="M14" s="304">
        <v>4043.5900000000006</v>
      </c>
      <c r="N14" s="304">
        <v>4492.3499999999995</v>
      </c>
      <c r="O14" s="304">
        <v>4620.6400000000003</v>
      </c>
      <c r="P14" s="305">
        <f>SUM(D14:O14)</f>
        <v>56982.430000000008</v>
      </c>
      <c r="Q14" s="250"/>
      <c r="R14" s="250">
        <v>37222.669999999984</v>
      </c>
      <c r="S14" s="250">
        <v>0</v>
      </c>
      <c r="T14" s="250">
        <v>0</v>
      </c>
      <c r="U14" s="252">
        <f>SUM(R14:T14)</f>
        <v>37222.669999999984</v>
      </c>
      <c r="V14" s="250">
        <v>5954.1499999999996</v>
      </c>
      <c r="W14" s="250">
        <v>0</v>
      </c>
      <c r="X14" s="252">
        <f>SUM(V14:W14)</f>
        <v>5954.1499999999996</v>
      </c>
      <c r="Y14" s="250">
        <v>13805.610000000001</v>
      </c>
      <c r="Z14" s="250">
        <v>0</v>
      </c>
      <c r="AA14" s="305">
        <f>+Z14+Y14+X14+U14</f>
        <v>56982.429999999986</v>
      </c>
      <c r="AB14" t="b">
        <f>ROUND(+P14,2)=ROUND(AA14,2)</f>
        <v>1</v>
      </c>
      <c r="AC14"/>
    </row>
    <row r="15" spans="1:29" s="106" customFormat="1" ht="15">
      <c r="A15" s="191">
        <v>2</v>
      </c>
      <c r="B15" t="s">
        <v>232</v>
      </c>
      <c r="C15" s="183" t="s">
        <v>862</v>
      </c>
      <c r="D15" s="318">
        <v>2845.3699999999999</v>
      </c>
      <c r="E15" s="223">
        <v>1681.54</v>
      </c>
      <c r="F15" s="223">
        <v>-868.25999999999999</v>
      </c>
      <c r="G15" s="223">
        <v>2141.9000000000001</v>
      </c>
      <c r="H15" s="223">
        <v>1920.6199999999999</v>
      </c>
      <c r="I15" s="223">
        <v>-10041.170000000002</v>
      </c>
      <c r="J15" s="223">
        <v>-4.5474735088646412E-13</v>
      </c>
      <c r="K15" s="223">
        <v>4272.3599999999997</v>
      </c>
      <c r="L15" s="223">
        <v>2749.79</v>
      </c>
      <c r="M15" s="223">
        <v>3662.7200000000003</v>
      </c>
      <c r="N15" s="223">
        <v>2591.96</v>
      </c>
      <c r="O15" s="320">
        <v>2459.7399999999998</v>
      </c>
      <c r="P15" s="319">
        <f t="shared" si="0" ref="P15:P49">SUM(D15:O15)</f>
        <v>13416.569999999994</v>
      </c>
      <c r="Q15" s="223"/>
      <c r="R15" s="223">
        <v>9415.3699999999953</v>
      </c>
      <c r="S15" s="223">
        <v>0</v>
      </c>
      <c r="T15" s="223">
        <v>4080.1900000000001</v>
      </c>
      <c r="U15" s="274">
        <f t="shared" si="1" ref="U15:U49">SUM(R15:T15)</f>
        <v>13495.559999999996</v>
      </c>
      <c r="V15" s="223">
        <v>-78.990000000000009</v>
      </c>
      <c r="W15" s="223">
        <v>0</v>
      </c>
      <c r="X15" s="274">
        <f t="shared" si="2" ref="X15:X49">SUM(V15:W15)</f>
        <v>-78.990000000000009</v>
      </c>
      <c r="Y15" s="223">
        <v>0</v>
      </c>
      <c r="Z15" s="223">
        <v>0</v>
      </c>
      <c r="AA15" s="319">
        <f t="shared" si="3" ref="AA15:AA49">+Z15+Y15+X15+U15</f>
        <v>13416.569999999996</v>
      </c>
      <c r="AB15" t="b">
        <f t="shared" si="4" ref="AB15:AB49">ROUND(+P15,2)=ROUND(AA15,2)</f>
        <v>1</v>
      </c>
      <c r="AC15"/>
    </row>
    <row r="16" spans="1:28" ht="12.75">
      <c r="A16" s="191">
        <v>3</v>
      </c>
      <c r="B16" t="s">
        <v>233</v>
      </c>
      <c r="C16" s="183" t="s">
        <v>862</v>
      </c>
      <c r="D16" s="251">
        <v>30992.399999999998</v>
      </c>
      <c r="E16" s="251">
        <v>24020.329999999998</v>
      </c>
      <c r="F16" s="251">
        <v>26466.970000000001</v>
      </c>
      <c r="G16" s="251">
        <v>32980.759999999995</v>
      </c>
      <c r="H16" s="251">
        <v>30798.879999999997</v>
      </c>
      <c r="I16" s="251">
        <v>-136924.77999999994</v>
      </c>
      <c r="J16" s="251">
        <v>811.1499999999927</v>
      </c>
      <c r="K16" s="251">
        <v>230694.55000000005</v>
      </c>
      <c r="L16" s="251">
        <v>29448.59</v>
      </c>
      <c r="M16" s="251">
        <v>22861.55000000001</v>
      </c>
      <c r="N16" s="251">
        <v>25604.700000000001</v>
      </c>
      <c r="O16" s="321">
        <v>30967.390000000003</v>
      </c>
      <c r="P16" s="253">
        <f t="shared" si="0"/>
        <v>348722.49000000011</v>
      </c>
      <c r="Q16" s="251"/>
      <c r="R16" s="251">
        <v>284920.39999999997</v>
      </c>
      <c r="S16" s="251">
        <v>0</v>
      </c>
      <c r="T16" s="251">
        <v>0</v>
      </c>
      <c r="U16" s="253">
        <f t="shared" si="1"/>
        <v>284920.39999999997</v>
      </c>
      <c r="V16" s="251">
        <v>63801.739999999947</v>
      </c>
      <c r="W16" s="251">
        <v>0</v>
      </c>
      <c r="X16" s="253">
        <f t="shared" si="2"/>
        <v>63801.739999999947</v>
      </c>
      <c r="Y16" s="251">
        <v>0.35000000000000003</v>
      </c>
      <c r="Z16" s="251">
        <v>0</v>
      </c>
      <c r="AA16" s="274">
        <f t="shared" si="3"/>
        <v>348722.48999999993</v>
      </c>
      <c r="AB16" t="b">
        <f t="shared" si="4"/>
        <v>1</v>
      </c>
    </row>
    <row r="17" spans="1:28" ht="12.75">
      <c r="A17" s="191">
        <v>4</v>
      </c>
      <c r="B17" t="s">
        <v>234</v>
      </c>
      <c r="C17" s="183" t="s">
        <v>862</v>
      </c>
      <c r="D17" s="251">
        <v>10715.069999999998</v>
      </c>
      <c r="E17" s="251">
        <v>8775.9900000000016</v>
      </c>
      <c r="F17" s="251">
        <v>9817.1600000000017</v>
      </c>
      <c r="G17" s="251">
        <v>8502.4000000000015</v>
      </c>
      <c r="H17" s="251">
        <v>10384.820000000003</v>
      </c>
      <c r="I17" s="251">
        <v>-45233.69000000001</v>
      </c>
      <c r="J17" s="251">
        <v>1213.7499999999986</v>
      </c>
      <c r="K17" s="251">
        <v>110993.61000000003</v>
      </c>
      <c r="L17" s="251">
        <v>19049.329999999998</v>
      </c>
      <c r="M17" s="251">
        <v>15495.939999999999</v>
      </c>
      <c r="N17" s="251">
        <v>12937.449999999999</v>
      </c>
      <c r="O17" s="321">
        <v>17151.790000000008</v>
      </c>
      <c r="P17" s="253">
        <f t="shared" si="0"/>
        <v>179803.62000000002</v>
      </c>
      <c r="Q17" s="251"/>
      <c r="R17" s="251">
        <v>149597.21999999986</v>
      </c>
      <c r="S17" s="251">
        <v>0</v>
      </c>
      <c r="T17" s="251">
        <v>0</v>
      </c>
      <c r="U17" s="253">
        <f t="shared" si="1"/>
        <v>149597.21999999986</v>
      </c>
      <c r="V17" s="251">
        <v>30206.400000000001</v>
      </c>
      <c r="W17" s="251">
        <v>0</v>
      </c>
      <c r="X17" s="253">
        <f t="shared" si="2"/>
        <v>30206.400000000001</v>
      </c>
      <c r="Y17" s="251">
        <v>0</v>
      </c>
      <c r="Z17" s="251">
        <v>0</v>
      </c>
      <c r="AA17" s="274">
        <f t="shared" si="3"/>
        <v>179803.61999999985</v>
      </c>
      <c r="AB17" t="b">
        <f t="shared" si="4"/>
        <v>1</v>
      </c>
    </row>
    <row r="18" spans="1:28" ht="12.75">
      <c r="A18" s="191">
        <v>5</v>
      </c>
      <c r="B18" t="s">
        <v>236</v>
      </c>
      <c r="C18" s="183" t="s">
        <v>862</v>
      </c>
      <c r="D18" s="251">
        <v>194050.48000000001</v>
      </c>
      <c r="E18" s="251">
        <v>121138.79000000001</v>
      </c>
      <c r="F18" s="251">
        <v>130127.94000000003</v>
      </c>
      <c r="G18" s="251">
        <v>114655.40999999999</v>
      </c>
      <c r="H18" s="251">
        <v>77712.059999999998</v>
      </c>
      <c r="I18" s="251">
        <v>-603231.32999999984</v>
      </c>
      <c r="J18" s="251">
        <v>14669.699999999959</v>
      </c>
      <c r="K18" s="251">
        <v>1137770.3900000001</v>
      </c>
      <c r="L18" s="251">
        <v>167477.69000000003</v>
      </c>
      <c r="M18" s="251">
        <v>157076.62</v>
      </c>
      <c r="N18" s="251">
        <v>130587.66999999998</v>
      </c>
      <c r="O18" s="321">
        <v>124753.27000000002</v>
      </c>
      <c r="P18" s="253">
        <f t="shared" si="0"/>
        <v>1766788.6900000004</v>
      </c>
      <c r="Q18" s="251"/>
      <c r="R18" s="251">
        <v>1445452.300000001</v>
      </c>
      <c r="S18" s="251">
        <v>0</v>
      </c>
      <c r="T18" s="251">
        <v>0</v>
      </c>
      <c r="U18" s="253">
        <f t="shared" si="1"/>
        <v>1445452.300000001</v>
      </c>
      <c r="V18" s="251">
        <v>321571.06999999995</v>
      </c>
      <c r="W18" s="251">
        <v>0</v>
      </c>
      <c r="X18" s="253">
        <f t="shared" si="2"/>
        <v>321571.06999999995</v>
      </c>
      <c r="Y18" s="251">
        <v>-234.68000000000001</v>
      </c>
      <c r="Z18" s="251">
        <v>0</v>
      </c>
      <c r="AA18" s="274">
        <f t="shared" si="3"/>
        <v>1766788.6900000009</v>
      </c>
      <c r="AB18" t="b">
        <f t="shared" si="4"/>
        <v>1</v>
      </c>
    </row>
    <row r="19" spans="1:28" ht="12.75">
      <c r="A19" s="191">
        <v>6</v>
      </c>
      <c r="B19" t="s">
        <v>238</v>
      </c>
      <c r="C19" s="183" t="s">
        <v>862</v>
      </c>
      <c r="D19" s="251">
        <v>3041.3400000000001</v>
      </c>
      <c r="E19" s="251">
        <v>238.44999999999982</v>
      </c>
      <c r="F19" s="251">
        <v>1683.9900000000002</v>
      </c>
      <c r="G19" s="251">
        <v>3051.0700000000002</v>
      </c>
      <c r="H19" s="251">
        <v>1515.1300000000001</v>
      </c>
      <c r="I19" s="251">
        <v>-9197.630000000001</v>
      </c>
      <c r="J19" s="251">
        <v>74.159999999999968</v>
      </c>
      <c r="K19" s="251">
        <v>12494.110000000001</v>
      </c>
      <c r="L19" s="251">
        <v>2058.4200000000001</v>
      </c>
      <c r="M19" s="251">
        <v>1707.3800000000001</v>
      </c>
      <c r="N19" s="251">
        <v>2302.9499999999998</v>
      </c>
      <c r="O19" s="321">
        <v>1795.7700000000002</v>
      </c>
      <c r="P19" s="253">
        <f t="shared" si="0"/>
        <v>20765.139999999999</v>
      </c>
      <c r="Q19" s="251"/>
      <c r="R19" s="251">
        <v>17956.680000000004</v>
      </c>
      <c r="S19" s="251">
        <v>0</v>
      </c>
      <c r="T19" s="251">
        <v>0</v>
      </c>
      <c r="U19" s="253">
        <f t="shared" si="1"/>
        <v>17956.680000000004</v>
      </c>
      <c r="V19" s="251">
        <v>2808.4599999999996</v>
      </c>
      <c r="W19" s="251">
        <v>0</v>
      </c>
      <c r="X19" s="253">
        <f t="shared" si="2"/>
        <v>2808.4599999999996</v>
      </c>
      <c r="Y19" s="251">
        <v>0</v>
      </c>
      <c r="Z19" s="251">
        <v>0</v>
      </c>
      <c r="AA19" s="274">
        <f t="shared" si="3"/>
        <v>20765.140000000003</v>
      </c>
      <c r="AB19" t="b">
        <f t="shared" si="4"/>
        <v>1</v>
      </c>
    </row>
    <row r="20" spans="1:28" ht="12.75">
      <c r="A20" s="191">
        <v>7</v>
      </c>
      <c r="B20" t="s">
        <v>239</v>
      </c>
      <c r="C20" s="183" t="s">
        <v>862</v>
      </c>
      <c r="D20" s="251">
        <v>575.45000000000005</v>
      </c>
      <c r="E20" s="251">
        <v>314.5</v>
      </c>
      <c r="F20" s="251">
        <v>197.06</v>
      </c>
      <c r="G20" s="251">
        <v>142.06</v>
      </c>
      <c r="H20" s="251">
        <v>-387.85000000000002</v>
      </c>
      <c r="I20" s="251">
        <v>-824.33999999999992</v>
      </c>
      <c r="J20" s="251">
        <v>0.359999999999987</v>
      </c>
      <c r="K20" s="251">
        <v>1141.1200000000001</v>
      </c>
      <c r="L20" s="251">
        <v>160.15000000000001</v>
      </c>
      <c r="M20" s="251">
        <v>130.03999999999999</v>
      </c>
      <c r="N20" s="251">
        <v>391.32999999999998</v>
      </c>
      <c r="O20" s="321">
        <v>289.22000000000003</v>
      </c>
      <c r="P20" s="253">
        <f t="shared" si="0"/>
        <v>2129.1000000000004</v>
      </c>
      <c r="Q20" s="251"/>
      <c r="R20" s="251">
        <v>1610.7500000000005</v>
      </c>
      <c r="S20" s="251">
        <v>0</v>
      </c>
      <c r="T20" s="251">
        <v>0</v>
      </c>
      <c r="U20" s="253">
        <f t="shared" si="1"/>
        <v>1610.7500000000005</v>
      </c>
      <c r="V20" s="251">
        <v>518.35000000000014</v>
      </c>
      <c r="W20" s="251">
        <v>0</v>
      </c>
      <c r="X20" s="253">
        <f t="shared" si="2"/>
        <v>518.35000000000014</v>
      </c>
      <c r="Y20" s="251">
        <v>0</v>
      </c>
      <c r="Z20" s="251">
        <v>0</v>
      </c>
      <c r="AA20" s="274">
        <f t="shared" si="3"/>
        <v>2129.1000000000004</v>
      </c>
      <c r="AB20" t="b">
        <f t="shared" si="4"/>
        <v>1</v>
      </c>
    </row>
    <row r="21" spans="1:28" ht="12.75">
      <c r="A21" s="191">
        <v>8</v>
      </c>
      <c r="B21" t="s">
        <v>240</v>
      </c>
      <c r="C21" s="183" t="s">
        <v>862</v>
      </c>
      <c r="D21" s="251">
        <v>90186.150000000023</v>
      </c>
      <c r="E21" s="251">
        <v>68260.660000000062</v>
      </c>
      <c r="F21" s="251">
        <v>67903.659999999974</v>
      </c>
      <c r="G21" s="251">
        <v>51310.030000000006</v>
      </c>
      <c r="H21" s="251">
        <v>56541.029999999992</v>
      </c>
      <c r="I21" s="251">
        <v>-317189.4099999998</v>
      </c>
      <c r="J21" s="251">
        <v>4347.8000000000102</v>
      </c>
      <c r="K21" s="251">
        <v>513870.64000000007</v>
      </c>
      <c r="L21" s="251">
        <v>72000.610000000015</v>
      </c>
      <c r="M21" s="251">
        <v>46720.669999999998</v>
      </c>
      <c r="N21" s="251">
        <v>75007.400000000023</v>
      </c>
      <c r="O21" s="321">
        <v>55222.460000000036</v>
      </c>
      <c r="P21" s="253">
        <f t="shared" si="0"/>
        <v>784181.70000000042</v>
      </c>
      <c r="Q21" s="251"/>
      <c r="R21" s="251">
        <v>643146.62000000163</v>
      </c>
      <c r="S21" s="251">
        <v>0</v>
      </c>
      <c r="T21" s="251">
        <v>0</v>
      </c>
      <c r="U21" s="253">
        <f t="shared" si="1"/>
        <v>643146.62000000163</v>
      </c>
      <c r="V21" s="251">
        <v>140899.43000000005</v>
      </c>
      <c r="W21" s="251">
        <v>0</v>
      </c>
      <c r="X21" s="253">
        <f t="shared" si="2"/>
        <v>140899.43000000005</v>
      </c>
      <c r="Y21" s="251">
        <v>135.59999999999999</v>
      </c>
      <c r="Z21" s="251">
        <v>0.050000000000000003</v>
      </c>
      <c r="AA21" s="274">
        <f t="shared" si="3"/>
        <v>784181.7000000017</v>
      </c>
      <c r="AB21" t="b">
        <f t="shared" si="4"/>
        <v>1</v>
      </c>
    </row>
    <row r="22" spans="1:28" ht="12.75">
      <c r="A22" s="191">
        <v>9</v>
      </c>
      <c r="B22" t="s">
        <v>241</v>
      </c>
      <c r="C22" s="183" t="s">
        <v>862</v>
      </c>
      <c r="D22" s="251">
        <v>98938.249999999971</v>
      </c>
      <c r="E22" s="251">
        <v>108370.51999999992</v>
      </c>
      <c r="F22" s="251">
        <v>77974.290000000008</v>
      </c>
      <c r="G22" s="251">
        <v>86444.369999999937</v>
      </c>
      <c r="H22" s="251">
        <v>69504.470000000001</v>
      </c>
      <c r="I22" s="251">
        <v>-436343.87999999995</v>
      </c>
      <c r="J22" s="251">
        <v>2619.0399999999945</v>
      </c>
      <c r="K22" s="251">
        <v>645619.95000000019</v>
      </c>
      <c r="L22" s="251">
        <v>77012.030000000013</v>
      </c>
      <c r="M22" s="251">
        <v>78053.419999999984</v>
      </c>
      <c r="N22" s="251">
        <v>78708.789999999979</v>
      </c>
      <c r="O22" s="321">
        <v>68540.149999999965</v>
      </c>
      <c r="P22" s="253">
        <f t="shared" si="0"/>
        <v>955441.40000000014</v>
      </c>
      <c r="Q22" s="251"/>
      <c r="R22" s="251">
        <v>783773.30000000005</v>
      </c>
      <c r="S22" s="251">
        <v>0</v>
      </c>
      <c r="T22" s="251">
        <v>0</v>
      </c>
      <c r="U22" s="253">
        <f t="shared" si="1"/>
        <v>783773.30000000005</v>
      </c>
      <c r="V22" s="251">
        <v>171667.67000000001</v>
      </c>
      <c r="W22" s="251">
        <v>0</v>
      </c>
      <c r="X22" s="253">
        <f t="shared" si="2"/>
        <v>171667.67000000001</v>
      </c>
      <c r="Y22" s="251">
        <v>0.40999999999998693</v>
      </c>
      <c r="Z22" s="251">
        <v>0.01999999999999999</v>
      </c>
      <c r="AA22" s="274">
        <f t="shared" si="3"/>
        <v>955441.40000000002</v>
      </c>
      <c r="AB22" t="b">
        <f t="shared" si="4"/>
        <v>1</v>
      </c>
    </row>
    <row r="23" spans="1:28" ht="12.75">
      <c r="A23" s="191">
        <v>10</v>
      </c>
      <c r="B23" t="s">
        <v>243</v>
      </c>
      <c r="C23" s="183" t="s">
        <v>862</v>
      </c>
      <c r="D23" s="251">
        <v>41873.840000000004</v>
      </c>
      <c r="E23" s="251">
        <v>40349.359999999993</v>
      </c>
      <c r="F23" s="251">
        <v>24633.269999999997</v>
      </c>
      <c r="G23" s="251">
        <v>39986.150000000009</v>
      </c>
      <c r="H23" s="251">
        <v>46847.860000000008</v>
      </c>
      <c r="I23" s="251">
        <v>-173784.19</v>
      </c>
      <c r="J23" s="251">
        <v>3509.4400000000032</v>
      </c>
      <c r="K23" s="251">
        <v>332189.40999999997</v>
      </c>
      <c r="L23" s="251">
        <v>31551.439999999999</v>
      </c>
      <c r="M23" s="251">
        <v>26203.480000000003</v>
      </c>
      <c r="N23" s="251">
        <v>40091.600000000006</v>
      </c>
      <c r="O23" s="321">
        <v>73863.490000000005</v>
      </c>
      <c r="P23" s="253">
        <f t="shared" si="0"/>
        <v>527315.15000000002</v>
      </c>
      <c r="Q23" s="251"/>
      <c r="R23" s="251">
        <v>454922.95000000001</v>
      </c>
      <c r="S23" s="251">
        <v>0</v>
      </c>
      <c r="T23" s="251">
        <v>0</v>
      </c>
      <c r="U23" s="253">
        <f t="shared" si="1"/>
        <v>454922.95000000001</v>
      </c>
      <c r="V23" s="251">
        <v>72392.199999999953</v>
      </c>
      <c r="W23" s="251">
        <v>0</v>
      </c>
      <c r="X23" s="253">
        <f t="shared" si="2"/>
        <v>72392.199999999953</v>
      </c>
      <c r="Y23" s="251">
        <v>0</v>
      </c>
      <c r="Z23" s="251">
        <v>0</v>
      </c>
      <c r="AA23" s="274">
        <f t="shared" si="3"/>
        <v>527315.14999999991</v>
      </c>
      <c r="AB23" t="b">
        <f t="shared" si="4"/>
        <v>1</v>
      </c>
    </row>
    <row r="24" spans="1:28" ht="12.75">
      <c r="A24" s="191">
        <v>11</v>
      </c>
      <c r="B24" t="s">
        <v>250</v>
      </c>
      <c r="C24" s="183" t="s">
        <v>862</v>
      </c>
      <c r="D24" s="251">
        <v>16319.420000000004</v>
      </c>
      <c r="E24" s="251">
        <v>18802.169999999998</v>
      </c>
      <c r="F24" s="251">
        <v>17501.220000000001</v>
      </c>
      <c r="G24" s="251">
        <v>12394.639999999999</v>
      </c>
      <c r="H24" s="251">
        <v>21754.029999999999</v>
      </c>
      <c r="I24" s="251">
        <v>19442.640000000003</v>
      </c>
      <c r="J24" s="251">
        <v>20566.199999999997</v>
      </c>
      <c r="K24" s="251">
        <v>23539.590000000015</v>
      </c>
      <c r="L24" s="251">
        <v>21797.470000000001</v>
      </c>
      <c r="M24" s="251">
        <v>20693.970000000001</v>
      </c>
      <c r="N24" s="251">
        <v>22212.779999999995</v>
      </c>
      <c r="O24" s="321">
        <v>14604.820000000003</v>
      </c>
      <c r="P24" s="253">
        <f t="shared" si="0"/>
        <v>229628.95000000004</v>
      </c>
      <c r="Q24" s="251"/>
      <c r="R24" s="251">
        <v>2530.7600000000007</v>
      </c>
      <c r="S24" s="251">
        <v>0</v>
      </c>
      <c r="T24" s="251">
        <v>0</v>
      </c>
      <c r="U24" s="253">
        <f t="shared" si="1"/>
        <v>2530.7600000000007</v>
      </c>
      <c r="V24" s="251">
        <v>196842.78</v>
      </c>
      <c r="W24" s="251">
        <v>0</v>
      </c>
      <c r="X24" s="253">
        <f t="shared" si="2"/>
        <v>196842.78</v>
      </c>
      <c r="Y24" s="251">
        <v>30230.130000000008</v>
      </c>
      <c r="Z24" s="251">
        <v>25.279999999999976</v>
      </c>
      <c r="AA24" s="274">
        <f t="shared" si="3"/>
        <v>229628.95000000001</v>
      </c>
      <c r="AB24" t="b">
        <f t="shared" si="4"/>
        <v>1</v>
      </c>
    </row>
    <row r="25" spans="1:28" ht="12.75">
      <c r="A25" s="191">
        <v>12</v>
      </c>
      <c r="B25" t="s">
        <v>244</v>
      </c>
      <c r="C25" s="183" t="s">
        <v>862</v>
      </c>
      <c r="D25" s="251">
        <v>0</v>
      </c>
      <c r="E25" s="251">
        <v>0</v>
      </c>
      <c r="F25" s="251">
        <v>0</v>
      </c>
      <c r="G25" s="251">
        <v>0</v>
      </c>
      <c r="H25" s="251">
        <v>374.63</v>
      </c>
      <c r="I25" s="251">
        <v>1536.99</v>
      </c>
      <c r="J25" s="251">
        <v>976.16999999999996</v>
      </c>
      <c r="K25" s="251">
        <v>3944.25</v>
      </c>
      <c r="L25" s="251">
        <v>966.88</v>
      </c>
      <c r="M25" s="251">
        <v>1246.3</v>
      </c>
      <c r="N25" s="251">
        <v>213.02000000000001</v>
      </c>
      <c r="O25" s="321">
        <v>1424.0899999999999</v>
      </c>
      <c r="P25" s="253">
        <f t="shared" si="0"/>
        <v>10682.33</v>
      </c>
      <c r="Q25" s="251"/>
      <c r="R25" s="251">
        <v>0</v>
      </c>
      <c r="S25" s="251">
        <v>0</v>
      </c>
      <c r="T25" s="251">
        <v>0</v>
      </c>
      <c r="U25" s="253">
        <f t="shared" si="1"/>
        <v>0</v>
      </c>
      <c r="V25" s="251">
        <v>10630.920000000002</v>
      </c>
      <c r="W25" s="251">
        <v>0</v>
      </c>
      <c r="X25" s="253">
        <f t="shared" si="2"/>
        <v>10630.920000000002</v>
      </c>
      <c r="Y25" s="251">
        <v>42.089999999999996</v>
      </c>
      <c r="Z25" s="251">
        <v>9.3200000000000092</v>
      </c>
      <c r="AA25" s="274">
        <f t="shared" si="3"/>
        <v>10682.330000000002</v>
      </c>
      <c r="AB25" t="b">
        <f t="shared" si="4"/>
        <v>1</v>
      </c>
    </row>
    <row r="26" spans="1:28" ht="12.75">
      <c r="A26" s="191">
        <v>13</v>
      </c>
      <c r="B26" t="s">
        <v>245</v>
      </c>
      <c r="C26" s="183" t="s">
        <v>862</v>
      </c>
      <c r="D26" s="251">
        <v>64227.399999999987</v>
      </c>
      <c r="E26" s="251">
        <v>43567.519999999997</v>
      </c>
      <c r="F26" s="251">
        <v>47851.980000000003</v>
      </c>
      <c r="G26" s="251">
        <v>55827.930000000022</v>
      </c>
      <c r="H26" s="251">
        <v>50906.960000000006</v>
      </c>
      <c r="I26" s="251">
        <v>-249522.18999999994</v>
      </c>
      <c r="J26" s="251">
        <v>1885.4099999999976</v>
      </c>
      <c r="K26" s="251">
        <v>415303.18000000005</v>
      </c>
      <c r="L26" s="251">
        <v>45554.969999999994</v>
      </c>
      <c r="M26" s="251">
        <v>51132.990000000005</v>
      </c>
      <c r="N26" s="251">
        <v>54875.250000000007</v>
      </c>
      <c r="O26" s="321">
        <v>51100.32</v>
      </c>
      <c r="P26" s="253">
        <f t="shared" si="0"/>
        <v>632711.72000000009</v>
      </c>
      <c r="Q26" s="251"/>
      <c r="R26" s="251">
        <v>505418.62000000011</v>
      </c>
      <c r="S26" s="251">
        <v>0</v>
      </c>
      <c r="T26" s="251">
        <v>0</v>
      </c>
      <c r="U26" s="253">
        <f t="shared" si="1"/>
        <v>505418.62000000011</v>
      </c>
      <c r="V26" s="251">
        <v>127293.10000000004</v>
      </c>
      <c r="W26" s="251">
        <v>0</v>
      </c>
      <c r="X26" s="253">
        <f t="shared" si="2"/>
        <v>127293.10000000004</v>
      </c>
      <c r="Y26" s="251">
        <v>0</v>
      </c>
      <c r="Z26" s="251">
        <v>0</v>
      </c>
      <c r="AA26" s="274">
        <f t="shared" si="3"/>
        <v>632711.7200000002</v>
      </c>
      <c r="AB26" t="b">
        <f t="shared" si="4"/>
        <v>1</v>
      </c>
    </row>
    <row r="27" spans="1:28" ht="12.75">
      <c r="A27" s="191">
        <v>14</v>
      </c>
      <c r="B27" t="s">
        <v>155</v>
      </c>
      <c r="C27" s="183" t="s">
        <v>862</v>
      </c>
      <c r="D27" s="251">
        <v>729576.99000000057</v>
      </c>
      <c r="E27" s="251">
        <v>552813.5699999996</v>
      </c>
      <c r="F27" s="251">
        <v>467165.1799999997</v>
      </c>
      <c r="G27" s="251">
        <v>548763.07999999938</v>
      </c>
      <c r="H27" s="251">
        <v>368895.46000000014</v>
      </c>
      <c r="I27" s="251">
        <v>304059.05000000016</v>
      </c>
      <c r="J27" s="251">
        <v>446713.63999999996</v>
      </c>
      <c r="K27" s="251">
        <v>511579.3700000004</v>
      </c>
      <c r="L27" s="251">
        <v>523183.61999999976</v>
      </c>
      <c r="M27" s="251">
        <v>373707.85000000003</v>
      </c>
      <c r="N27" s="251">
        <v>406033.28999999992</v>
      </c>
      <c r="O27" s="321">
        <v>680936.65999999875</v>
      </c>
      <c r="P27" s="253">
        <f t="shared" si="0"/>
        <v>5913427.7599999979</v>
      </c>
      <c r="Q27" s="251"/>
      <c r="R27" s="251">
        <v>1893.7199999999973</v>
      </c>
      <c r="S27" s="251">
        <v>0</v>
      </c>
      <c r="T27" s="251">
        <v>0</v>
      </c>
      <c r="U27" s="253">
        <f t="shared" si="1"/>
        <v>1893.7199999999973</v>
      </c>
      <c r="V27" s="251">
        <v>5863076.9499999853</v>
      </c>
      <c r="W27" s="251">
        <v>0</v>
      </c>
      <c r="X27" s="253">
        <f t="shared" si="2"/>
        <v>5863076.9499999853</v>
      </c>
      <c r="Y27" s="251">
        <v>45841.419999999824</v>
      </c>
      <c r="Z27" s="251">
        <v>2615.670000000006</v>
      </c>
      <c r="AA27" s="274">
        <f t="shared" si="3"/>
        <v>5913427.7599999849</v>
      </c>
      <c r="AB27" t="b">
        <f t="shared" si="4"/>
        <v>1</v>
      </c>
    </row>
    <row r="28" spans="1:28" ht="12.75">
      <c r="A28" s="191">
        <v>15</v>
      </c>
      <c r="B28" t="s">
        <v>246</v>
      </c>
      <c r="C28" s="183" t="s">
        <v>862</v>
      </c>
      <c r="D28" s="251">
        <v>235791.73000000007</v>
      </c>
      <c r="E28" s="251">
        <v>156401.78000000009</v>
      </c>
      <c r="F28" s="251">
        <v>125674.43000000001</v>
      </c>
      <c r="G28" s="251">
        <v>155341.77999999985</v>
      </c>
      <c r="H28" s="251">
        <v>44770.22000000003</v>
      </c>
      <c r="I28" s="251">
        <v>33837.389999999992</v>
      </c>
      <c r="J28" s="251">
        <v>69249.420000000042</v>
      </c>
      <c r="K28" s="251">
        <v>114320.1699999999</v>
      </c>
      <c r="L28" s="251">
        <v>98029.689999999973</v>
      </c>
      <c r="M28" s="251">
        <v>66787.169999999984</v>
      </c>
      <c r="N28" s="251">
        <v>79670.739999999991</v>
      </c>
      <c r="O28" s="321">
        <v>198085.90999999968</v>
      </c>
      <c r="P28" s="253">
        <f t="shared" si="0"/>
        <v>1377960.4299999995</v>
      </c>
      <c r="Q28" s="251"/>
      <c r="R28" s="251">
        <v>47.900000000000013</v>
      </c>
      <c r="S28" s="251">
        <v>0</v>
      </c>
      <c r="T28" s="251">
        <v>0</v>
      </c>
      <c r="U28" s="253">
        <f t="shared" si="1"/>
        <v>47.900000000000013</v>
      </c>
      <c r="V28" s="251">
        <v>1372400.7400000019</v>
      </c>
      <c r="W28" s="251">
        <v>0</v>
      </c>
      <c r="X28" s="253">
        <f t="shared" si="2"/>
        <v>1372400.7400000019</v>
      </c>
      <c r="Y28" s="251">
        <v>5419.7000000000626</v>
      </c>
      <c r="Z28" s="251">
        <v>92.089999999999378</v>
      </c>
      <c r="AA28" s="274">
        <f t="shared" si="3"/>
        <v>1377960.4300000018</v>
      </c>
      <c r="AB28" t="b">
        <f t="shared" si="4"/>
        <v>1</v>
      </c>
    </row>
    <row r="29" spans="1:28" ht="12.75">
      <c r="A29" s="191">
        <v>16</v>
      </c>
      <c r="B29" t="s">
        <v>281</v>
      </c>
      <c r="C29" s="183" t="s">
        <v>862</v>
      </c>
      <c r="D29" s="251">
        <v>0</v>
      </c>
      <c r="E29" s="251">
        <v>0</v>
      </c>
      <c r="F29" s="251">
        <v>88.230000000000004</v>
      </c>
      <c r="G29" s="251">
        <v>0</v>
      </c>
      <c r="H29" s="251">
        <v>0</v>
      </c>
      <c r="I29" s="251">
        <v>0</v>
      </c>
      <c r="J29" s="251">
        <v>0</v>
      </c>
      <c r="K29" s="251">
        <v>0</v>
      </c>
      <c r="L29" s="251">
        <v>0</v>
      </c>
      <c r="M29" s="251">
        <v>0</v>
      </c>
      <c r="N29" s="251">
        <v>0</v>
      </c>
      <c r="O29" s="321">
        <v>0</v>
      </c>
      <c r="P29" s="253">
        <f t="shared" si="0"/>
        <v>88.230000000000004</v>
      </c>
      <c r="Q29" s="251"/>
      <c r="R29" s="251">
        <v>0</v>
      </c>
      <c r="S29" s="251">
        <v>0</v>
      </c>
      <c r="T29" s="251">
        <v>0</v>
      </c>
      <c r="U29" s="253">
        <f t="shared" si="1"/>
        <v>0</v>
      </c>
      <c r="V29" s="251">
        <v>87.840000000000003</v>
      </c>
      <c r="W29" s="251">
        <v>0</v>
      </c>
      <c r="X29" s="253">
        <f t="shared" si="2"/>
        <v>87.840000000000003</v>
      </c>
      <c r="Y29" s="251">
        <v>0.39000000000000001</v>
      </c>
      <c r="Z29" s="251">
        <v>0</v>
      </c>
      <c r="AA29" s="274">
        <f t="shared" si="3"/>
        <v>88.230000000000004</v>
      </c>
      <c r="AB29" t="b">
        <f t="shared" si="4"/>
        <v>1</v>
      </c>
    </row>
    <row r="30" spans="1:28" ht="12.75">
      <c r="A30" s="191">
        <v>17</v>
      </c>
      <c r="B30" t="s">
        <v>247</v>
      </c>
      <c r="C30" s="183" t="s">
        <v>862</v>
      </c>
      <c r="D30" s="251">
        <v>465401.80000000016</v>
      </c>
      <c r="E30" s="251">
        <v>316340.04999999993</v>
      </c>
      <c r="F30" s="251">
        <v>292312.65999999992</v>
      </c>
      <c r="G30" s="251">
        <v>376616.60999999987</v>
      </c>
      <c r="H30" s="251">
        <v>382633.63999999996</v>
      </c>
      <c r="I30" s="251">
        <v>303547.35000000009</v>
      </c>
      <c r="J30" s="251">
        <v>355849.72999999998</v>
      </c>
      <c r="K30" s="251">
        <v>370870.09999999986</v>
      </c>
      <c r="L30" s="251">
        <v>385675.85999999987</v>
      </c>
      <c r="M30" s="251">
        <v>407978.51000000013</v>
      </c>
      <c r="N30" s="251">
        <v>333562.16999999993</v>
      </c>
      <c r="O30" s="321">
        <v>476032.55999999976</v>
      </c>
      <c r="P30" s="253">
        <f t="shared" si="0"/>
        <v>4466821.0399999991</v>
      </c>
      <c r="Q30" s="251"/>
      <c r="R30" s="251">
        <v>28.199999999999999</v>
      </c>
      <c r="S30" s="251">
        <v>0</v>
      </c>
      <c r="T30" s="251">
        <v>0</v>
      </c>
      <c r="U30" s="253">
        <f t="shared" si="1"/>
        <v>28.199999999999999</v>
      </c>
      <c r="V30" s="251">
        <v>101236.17000000001</v>
      </c>
      <c r="W30" s="251">
        <v>0</v>
      </c>
      <c r="X30" s="253">
        <f t="shared" si="2"/>
        <v>101236.17000000001</v>
      </c>
      <c r="Y30" s="251">
        <v>4365532.1399999838</v>
      </c>
      <c r="Z30" s="251">
        <v>24.530000000000015</v>
      </c>
      <c r="AA30" s="274">
        <f t="shared" si="3"/>
        <v>4466821.0399999842</v>
      </c>
      <c r="AB30" t="b">
        <f t="shared" si="4"/>
        <v>1</v>
      </c>
    </row>
    <row r="31" spans="1:28" ht="12.75">
      <c r="A31" s="191">
        <v>18</v>
      </c>
      <c r="B31" t="s">
        <v>248</v>
      </c>
      <c r="C31" s="183" t="s">
        <v>862</v>
      </c>
      <c r="D31" s="251">
        <v>3402</v>
      </c>
      <c r="E31" s="251">
        <v>5417.96</v>
      </c>
      <c r="F31" s="251">
        <v>3734.3700000000008</v>
      </c>
      <c r="G31" s="251">
        <v>4272.8900000000003</v>
      </c>
      <c r="H31" s="251">
        <v>23052.739999999991</v>
      </c>
      <c r="I31" s="251">
        <v>22233.879999999997</v>
      </c>
      <c r="J31" s="251">
        <v>31284.149999999998</v>
      </c>
      <c r="K31" s="251">
        <v>36716.159999999996</v>
      </c>
      <c r="L31" s="251">
        <v>30782.160000000003</v>
      </c>
      <c r="M31" s="251">
        <v>35536.720000000001</v>
      </c>
      <c r="N31" s="251">
        <v>25358.329999999998</v>
      </c>
      <c r="O31" s="321">
        <v>45777.739999999998</v>
      </c>
      <c r="P31" s="253">
        <f t="shared" si="0"/>
        <v>267569.09999999998</v>
      </c>
      <c r="Q31" s="251"/>
      <c r="R31" s="251">
        <v>109.38000000000002</v>
      </c>
      <c r="S31" s="251">
        <v>0</v>
      </c>
      <c r="T31" s="251">
        <v>0</v>
      </c>
      <c r="U31" s="253">
        <f t="shared" si="1"/>
        <v>109.38000000000002</v>
      </c>
      <c r="V31" s="251">
        <v>265819.97000000003</v>
      </c>
      <c r="W31" s="251">
        <v>0</v>
      </c>
      <c r="X31" s="253">
        <f t="shared" si="2"/>
        <v>265819.97000000003</v>
      </c>
      <c r="Y31" s="251">
        <v>1493.6599999999987</v>
      </c>
      <c r="Z31" s="251">
        <v>146.0900000000002</v>
      </c>
      <c r="AA31" s="274">
        <f t="shared" si="3"/>
        <v>267569.10000000003</v>
      </c>
      <c r="AB31" t="b">
        <f t="shared" si="4"/>
        <v>1</v>
      </c>
    </row>
    <row r="32" spans="1:28" ht="12.75">
      <c r="A32" s="191">
        <v>19</v>
      </c>
      <c r="B32" t="s">
        <v>251</v>
      </c>
      <c r="C32" s="183" t="s">
        <v>862</v>
      </c>
      <c r="D32" s="251">
        <v>226649.03000000014</v>
      </c>
      <c r="E32" s="251">
        <v>206000.36999999997</v>
      </c>
      <c r="F32" s="251">
        <v>165086.27000000005</v>
      </c>
      <c r="G32" s="251">
        <v>180717.90000000002</v>
      </c>
      <c r="H32" s="251">
        <v>140096.01000000001</v>
      </c>
      <c r="I32" s="251">
        <v>167183.34000000008</v>
      </c>
      <c r="J32" s="251">
        <v>161558.58999999997</v>
      </c>
      <c r="K32" s="251">
        <v>241762.66999999996</v>
      </c>
      <c r="L32" s="251">
        <v>236990.71000000011</v>
      </c>
      <c r="M32" s="251">
        <v>189867.13999999993</v>
      </c>
      <c r="N32" s="251">
        <v>216734.22999999998</v>
      </c>
      <c r="O32" s="321">
        <v>-617652.98999999987</v>
      </c>
      <c r="P32" s="253">
        <f t="shared" si="0"/>
        <v>1514993.2700000005</v>
      </c>
      <c r="Q32" s="251"/>
      <c r="R32" s="251">
        <v>57008.620000000024</v>
      </c>
      <c r="S32" s="251">
        <v>0</v>
      </c>
      <c r="T32" s="251">
        <v>0</v>
      </c>
      <c r="U32" s="253">
        <f t="shared" si="1"/>
        <v>57008.620000000024</v>
      </c>
      <c r="V32" s="251">
        <v>2066620.850000002</v>
      </c>
      <c r="W32" s="251">
        <v>0</v>
      </c>
      <c r="X32" s="253">
        <f t="shared" si="2"/>
        <v>2066620.850000002</v>
      </c>
      <c r="Y32" s="251">
        <v>-617316.0399999998</v>
      </c>
      <c r="Z32" s="251">
        <v>8679.8399999999983</v>
      </c>
      <c r="AA32" s="274">
        <f t="shared" si="3"/>
        <v>1514993.2700000024</v>
      </c>
      <c r="AB32" t="b">
        <f t="shared" si="4"/>
        <v>1</v>
      </c>
    </row>
    <row r="33" spans="1:28" ht="12.75">
      <c r="A33" s="191">
        <v>20</v>
      </c>
      <c r="B33" t="s">
        <v>257</v>
      </c>
      <c r="C33" s="183" t="s">
        <v>862</v>
      </c>
      <c r="D33" s="251">
        <v>-2012.2100000000005</v>
      </c>
      <c r="E33" s="251">
        <v>3799.2200000000003</v>
      </c>
      <c r="F33" s="251">
        <v>3682.0599999999995</v>
      </c>
      <c r="G33" s="251">
        <v>3977.6799999999998</v>
      </c>
      <c r="H33" s="251">
        <v>3908.77</v>
      </c>
      <c r="I33" s="251">
        <v>-356.02000000000032</v>
      </c>
      <c r="J33" s="251">
        <v>2765.79</v>
      </c>
      <c r="K33" s="251">
        <v>9839.1999999999989</v>
      </c>
      <c r="L33" s="251">
        <v>3560.9999999999995</v>
      </c>
      <c r="M33" s="251">
        <v>4533.9500000000007</v>
      </c>
      <c r="N33" s="251">
        <v>3324.7800000000002</v>
      </c>
      <c r="O33" s="321">
        <v>7139.7400000000007</v>
      </c>
      <c r="P33" s="253">
        <f t="shared" si="0"/>
        <v>44163.959999999999</v>
      </c>
      <c r="Q33" s="251"/>
      <c r="R33" s="251">
        <v>10637.91</v>
      </c>
      <c r="S33" s="251">
        <v>0</v>
      </c>
      <c r="T33" s="251">
        <v>0</v>
      </c>
      <c r="U33" s="253">
        <f t="shared" si="1"/>
        <v>10637.91</v>
      </c>
      <c r="V33" s="251">
        <v>19769.020000000008</v>
      </c>
      <c r="W33" s="251">
        <v>0</v>
      </c>
      <c r="X33" s="253">
        <f t="shared" si="2"/>
        <v>19769.020000000008</v>
      </c>
      <c r="Y33" s="251">
        <v>13750.050000000008</v>
      </c>
      <c r="Z33" s="251">
        <v>6.979999999999988</v>
      </c>
      <c r="AA33" s="274">
        <f t="shared" si="3"/>
        <v>44163.960000000021</v>
      </c>
      <c r="AB33" t="b">
        <f t="shared" si="4"/>
        <v>1</v>
      </c>
    </row>
    <row r="34" spans="1:28" ht="12.75">
      <c r="A34" s="191">
        <v>21</v>
      </c>
      <c r="B34" t="s">
        <v>252</v>
      </c>
      <c r="C34" s="183" t="s">
        <v>862</v>
      </c>
      <c r="D34" s="251">
        <v>253.63</v>
      </c>
      <c r="E34" s="251">
        <v>66.870000000000005</v>
      </c>
      <c r="F34" s="251">
        <v>49.760000000000005</v>
      </c>
      <c r="G34" s="251">
        <v>80.420000000000002</v>
      </c>
      <c r="H34" s="251">
        <v>50.32</v>
      </c>
      <c r="I34" s="251">
        <v>-467.74000000000001</v>
      </c>
      <c r="J34" s="251">
        <v>0.37999999999999678</v>
      </c>
      <c r="K34" s="251">
        <v>668.82000000000005</v>
      </c>
      <c r="L34" s="251">
        <v>55.259999999999998</v>
      </c>
      <c r="M34" s="251">
        <v>38.57</v>
      </c>
      <c r="N34" s="251">
        <v>52.039999999999999</v>
      </c>
      <c r="O34" s="321">
        <v>52.539999999999999</v>
      </c>
      <c r="P34" s="253">
        <f t="shared" si="0"/>
        <v>900.87</v>
      </c>
      <c r="Q34" s="251"/>
      <c r="R34" s="251">
        <v>809.46000000000015</v>
      </c>
      <c r="S34" s="251">
        <v>0</v>
      </c>
      <c r="T34" s="251">
        <v>0</v>
      </c>
      <c r="U34" s="253">
        <f t="shared" si="1"/>
        <v>809.46000000000015</v>
      </c>
      <c r="V34" s="251">
        <v>91.40999999999984</v>
      </c>
      <c r="W34" s="251">
        <v>0</v>
      </c>
      <c r="X34" s="253">
        <f t="shared" si="2"/>
        <v>91.40999999999984</v>
      </c>
      <c r="Y34" s="251">
        <v>0</v>
      </c>
      <c r="Z34" s="251">
        <v>0</v>
      </c>
      <c r="AA34" s="274">
        <f t="shared" si="3"/>
        <v>900.87</v>
      </c>
      <c r="AB34" t="b">
        <f t="shared" si="4"/>
        <v>1</v>
      </c>
    </row>
    <row r="35" spans="1:28" ht="12.75">
      <c r="A35" s="191">
        <v>22</v>
      </c>
      <c r="B35" t="s">
        <v>253</v>
      </c>
      <c r="C35" s="183" t="s">
        <v>862</v>
      </c>
      <c r="D35" s="251">
        <v>130063.44000000005</v>
      </c>
      <c r="E35" s="251">
        <v>82990.089999999953</v>
      </c>
      <c r="F35" s="251">
        <v>72327.499999999956</v>
      </c>
      <c r="G35" s="251">
        <v>88526.190000000002</v>
      </c>
      <c r="H35" s="251">
        <v>78160.100000000049</v>
      </c>
      <c r="I35" s="251">
        <v>-429677.78999999992</v>
      </c>
      <c r="J35" s="251">
        <v>-924.27000000002022</v>
      </c>
      <c r="K35" s="251">
        <v>682027.78000000084</v>
      </c>
      <c r="L35" s="251">
        <v>88653.309999999969</v>
      </c>
      <c r="M35" s="251">
        <v>59825.660000000003</v>
      </c>
      <c r="N35" s="251">
        <v>96002.339999999982</v>
      </c>
      <c r="O35" s="321">
        <v>103250.86999999997</v>
      </c>
      <c r="P35" s="253">
        <f t="shared" si="0"/>
        <v>1051225.2200000009</v>
      </c>
      <c r="Q35" s="251"/>
      <c r="R35" s="251">
        <v>849078.32999999844</v>
      </c>
      <c r="S35" s="251">
        <v>0</v>
      </c>
      <c r="T35" s="251">
        <v>0</v>
      </c>
      <c r="U35" s="253">
        <f t="shared" si="1"/>
        <v>849078.32999999844</v>
      </c>
      <c r="V35" s="251">
        <v>202146.88999999929</v>
      </c>
      <c r="W35" s="251">
        <v>0</v>
      </c>
      <c r="X35" s="253">
        <f t="shared" si="2"/>
        <v>202146.88999999929</v>
      </c>
      <c r="Y35" s="251">
        <v>0</v>
      </c>
      <c r="Z35" s="251">
        <v>0</v>
      </c>
      <c r="AA35" s="274">
        <f t="shared" si="3"/>
        <v>1051225.2199999976</v>
      </c>
      <c r="AB35" t="b">
        <f t="shared" si="4"/>
        <v>1</v>
      </c>
    </row>
    <row r="36" spans="1:28" ht="12.75">
      <c r="A36" s="191">
        <v>23</v>
      </c>
      <c r="B36" t="s">
        <v>147</v>
      </c>
      <c r="C36" s="183" t="s">
        <v>862</v>
      </c>
      <c r="D36" s="251">
        <v>505651.51000000036</v>
      </c>
      <c r="E36" s="251">
        <v>473278.04000000044</v>
      </c>
      <c r="F36" s="251">
        <v>375942.22999999998</v>
      </c>
      <c r="G36" s="251">
        <v>396735.83999999962</v>
      </c>
      <c r="H36" s="251">
        <v>644135.97999999998</v>
      </c>
      <c r="I36" s="251">
        <v>328817.4600000002</v>
      </c>
      <c r="J36" s="251">
        <v>586524.00000000023</v>
      </c>
      <c r="K36" s="251">
        <v>769974.64000000013</v>
      </c>
      <c r="L36" s="251">
        <v>625622.30000000051</v>
      </c>
      <c r="M36" s="251">
        <v>741598.64999999967</v>
      </c>
      <c r="N36" s="251">
        <v>619888.5900000002</v>
      </c>
      <c r="O36" s="321">
        <v>1454270.53</v>
      </c>
      <c r="P36" s="253">
        <f t="shared" si="0"/>
        <v>7522439.7700000005</v>
      </c>
      <c r="Q36" s="251"/>
      <c r="R36" s="251">
        <v>5672.6800000000076</v>
      </c>
      <c r="S36" s="251">
        <v>0</v>
      </c>
      <c r="T36" s="251">
        <v>0</v>
      </c>
      <c r="U36" s="253">
        <f t="shared" si="1"/>
        <v>5672.6800000000076</v>
      </c>
      <c r="V36" s="251">
        <v>7385869.0299999993</v>
      </c>
      <c r="W36" s="251">
        <v>0</v>
      </c>
      <c r="X36" s="253">
        <f t="shared" si="2"/>
        <v>7385869.0299999993</v>
      </c>
      <c r="Y36" s="251">
        <v>127790.29999999907</v>
      </c>
      <c r="Z36" s="251">
        <v>3107.7600000000125</v>
      </c>
      <c r="AA36" s="274">
        <f t="shared" si="3"/>
        <v>7522439.7699999977</v>
      </c>
      <c r="AB36" t="b">
        <f t="shared" si="4"/>
        <v>1</v>
      </c>
    </row>
    <row r="37" spans="1:28" ht="12.75">
      <c r="A37" s="191">
        <v>24</v>
      </c>
      <c r="B37" t="s">
        <v>148</v>
      </c>
      <c r="C37" s="183" t="s">
        <v>862</v>
      </c>
      <c r="D37" s="251">
        <v>155192.77999999985</v>
      </c>
      <c r="E37" s="251">
        <v>100740.53999999995</v>
      </c>
      <c r="F37" s="251">
        <v>102674.30000000003</v>
      </c>
      <c r="G37" s="251">
        <v>69816.660000000018</v>
      </c>
      <c r="H37" s="251">
        <v>137550.42999999996</v>
      </c>
      <c r="I37" s="251">
        <v>137118.29000000004</v>
      </c>
      <c r="J37" s="251">
        <v>192999.56999999998</v>
      </c>
      <c r="K37" s="251">
        <v>248278.06999999998</v>
      </c>
      <c r="L37" s="251">
        <v>248656.74000000002</v>
      </c>
      <c r="M37" s="251">
        <v>240356.64000000001</v>
      </c>
      <c r="N37" s="251">
        <v>186864.06000000003</v>
      </c>
      <c r="O37" s="321">
        <v>349524.16999999998</v>
      </c>
      <c r="P37" s="253">
        <f t="shared" si="0"/>
        <v>2169772.25</v>
      </c>
      <c r="Q37" s="251"/>
      <c r="R37" s="251">
        <v>81.92000000000003</v>
      </c>
      <c r="S37" s="251">
        <v>0</v>
      </c>
      <c r="T37" s="251">
        <v>0</v>
      </c>
      <c r="U37" s="253">
        <f t="shared" si="1"/>
        <v>81.92000000000003</v>
      </c>
      <c r="V37" s="251">
        <v>2110544.0100000077</v>
      </c>
      <c r="W37" s="251">
        <v>0</v>
      </c>
      <c r="X37" s="253">
        <f t="shared" si="2"/>
        <v>2110544.0100000077</v>
      </c>
      <c r="Y37" s="251">
        <v>59060.419999999773</v>
      </c>
      <c r="Z37" s="251">
        <v>85.899999999998869</v>
      </c>
      <c r="AA37" s="274">
        <f t="shared" si="3"/>
        <v>2169772.2500000075</v>
      </c>
      <c r="AB37" t="b">
        <f t="shared" si="4"/>
        <v>1</v>
      </c>
    </row>
    <row r="38" spans="1:28" ht="12.75">
      <c r="A38" s="191">
        <v>25</v>
      </c>
      <c r="B38" t="s">
        <v>254</v>
      </c>
      <c r="C38" s="183" t="s">
        <v>862</v>
      </c>
      <c r="D38" s="251">
        <v>39363.789999999994</v>
      </c>
      <c r="E38" s="251">
        <v>56792.17000000002</v>
      </c>
      <c r="F38" s="251">
        <v>29911.600000000006</v>
      </c>
      <c r="G38" s="251">
        <v>38313.400000000009</v>
      </c>
      <c r="H38" s="251">
        <v>42636.210000000028</v>
      </c>
      <c r="I38" s="251">
        <v>47464.540000000001</v>
      </c>
      <c r="J38" s="251">
        <v>46181.599999999999</v>
      </c>
      <c r="K38" s="251">
        <v>87722.069999999949</v>
      </c>
      <c r="L38" s="251">
        <v>65722.999999999985</v>
      </c>
      <c r="M38" s="251">
        <v>57378.939999999988</v>
      </c>
      <c r="N38" s="251">
        <v>53369.320000000007</v>
      </c>
      <c r="O38" s="321">
        <v>65926.710000000021</v>
      </c>
      <c r="P38" s="253">
        <f t="shared" si="0"/>
        <v>630783.35000000009</v>
      </c>
      <c r="Q38" s="251"/>
      <c r="R38" s="251">
        <v>78.060000000000059</v>
      </c>
      <c r="S38" s="251">
        <v>0</v>
      </c>
      <c r="T38" s="251">
        <v>0</v>
      </c>
      <c r="U38" s="253">
        <f t="shared" si="1"/>
        <v>78.060000000000059</v>
      </c>
      <c r="V38" s="251">
        <v>625971.31000000064</v>
      </c>
      <c r="W38" s="251">
        <v>0</v>
      </c>
      <c r="X38" s="253">
        <f t="shared" si="2"/>
        <v>625971.31000000064</v>
      </c>
      <c r="Y38" s="251">
        <v>4510.6800000000248</v>
      </c>
      <c r="Z38" s="251">
        <v>223.30000000000015</v>
      </c>
      <c r="AA38" s="274">
        <f t="shared" si="3"/>
        <v>630783.35000000068</v>
      </c>
      <c r="AB38" t="b">
        <f t="shared" si="4"/>
        <v>1</v>
      </c>
    </row>
    <row r="39" spans="1:28" ht="12.75">
      <c r="A39" s="191">
        <v>26</v>
      </c>
      <c r="B39" t="s">
        <v>282</v>
      </c>
      <c r="C39" s="183" t="s">
        <v>862</v>
      </c>
      <c r="D39" s="251">
        <v>5945.7199999999984</v>
      </c>
      <c r="E39" s="251">
        <v>6267.1999999999989</v>
      </c>
      <c r="F39" s="251">
        <v>5108.0200000000013</v>
      </c>
      <c r="G39" s="251">
        <v>7851.8900000000031</v>
      </c>
      <c r="H39" s="251">
        <v>5827.7900000000027</v>
      </c>
      <c r="I39" s="251">
        <v>4739.2400000000007</v>
      </c>
      <c r="J39" s="251">
        <v>8896.3799999999974</v>
      </c>
      <c r="K39" s="251">
        <v>5233.7499999999982</v>
      </c>
      <c r="L39" s="251">
        <v>6933.6000000000004</v>
      </c>
      <c r="M39" s="251">
        <v>7191.1100000000024</v>
      </c>
      <c r="N39" s="251">
        <v>3997.2300000000005</v>
      </c>
      <c r="O39" s="321">
        <v>4447.2400000000007</v>
      </c>
      <c r="P39" s="253">
        <f t="shared" si="0"/>
        <v>72439.169999999998</v>
      </c>
      <c r="Q39" s="251"/>
      <c r="R39" s="251">
        <v>13.359999999999996</v>
      </c>
      <c r="S39" s="251">
        <v>0</v>
      </c>
      <c r="T39" s="251">
        <v>0</v>
      </c>
      <c r="U39" s="253">
        <f t="shared" si="1"/>
        <v>13.359999999999996</v>
      </c>
      <c r="V39" s="251">
        <v>43971.689999999959</v>
      </c>
      <c r="W39" s="251">
        <v>0</v>
      </c>
      <c r="X39" s="253">
        <f t="shared" si="2"/>
        <v>43971.689999999959</v>
      </c>
      <c r="Y39" s="251">
        <v>28445.779999999959</v>
      </c>
      <c r="Z39" s="251">
        <v>8.3400000000000141</v>
      </c>
      <c r="AA39" s="274">
        <f t="shared" si="3"/>
        <v>72439.169999999911</v>
      </c>
      <c r="AB39" t="b">
        <f t="shared" si="4"/>
        <v>1</v>
      </c>
    </row>
    <row r="40" spans="1:28" ht="12.75">
      <c r="A40" s="191">
        <v>27</v>
      </c>
      <c r="B40" t="s">
        <v>256</v>
      </c>
      <c r="C40" s="183" t="s">
        <v>862</v>
      </c>
      <c r="D40" s="251">
        <v>113552.21000000001</v>
      </c>
      <c r="E40" s="251">
        <v>95631.530000000028</v>
      </c>
      <c r="F40" s="251">
        <v>75012.800000000003</v>
      </c>
      <c r="G40" s="251">
        <v>103030.26</v>
      </c>
      <c r="H40" s="251">
        <v>99999.540000000008</v>
      </c>
      <c r="I40" s="251">
        <v>115465.45999999999</v>
      </c>
      <c r="J40" s="251">
        <v>113521.32000000001</v>
      </c>
      <c r="K40" s="251">
        <v>109075.73000000001</v>
      </c>
      <c r="L40" s="251">
        <v>121446.69999999998</v>
      </c>
      <c r="M40" s="251">
        <v>118858.65000000001</v>
      </c>
      <c r="N40" s="251">
        <v>108759.82000000001</v>
      </c>
      <c r="O40" s="321">
        <v>111507.77999999997</v>
      </c>
      <c r="P40" s="253">
        <f t="shared" si="0"/>
        <v>1285861.8000000001</v>
      </c>
      <c r="Q40" s="251"/>
      <c r="R40" s="251">
        <v>45.150000000000006</v>
      </c>
      <c r="S40" s="251">
        <v>0</v>
      </c>
      <c r="T40" s="251">
        <v>0</v>
      </c>
      <c r="U40" s="253">
        <f t="shared" si="1"/>
        <v>45.150000000000006</v>
      </c>
      <c r="V40" s="251">
        <v>21508.229999999985</v>
      </c>
      <c r="W40" s="251">
        <v>0</v>
      </c>
      <c r="X40" s="253">
        <f t="shared" si="2"/>
        <v>21508.229999999985</v>
      </c>
      <c r="Y40" s="251">
        <v>1264298.1400000001</v>
      </c>
      <c r="Z40" s="251">
        <v>10.280000000000015</v>
      </c>
      <c r="AA40" s="274">
        <f t="shared" si="3"/>
        <v>1285861.8000000001</v>
      </c>
      <c r="AB40" t="b">
        <f t="shared" si="4"/>
        <v>1</v>
      </c>
    </row>
    <row r="41" spans="1:28" ht="12.75">
      <c r="A41" s="191">
        <v>28</v>
      </c>
      <c r="B41" t="s">
        <v>285</v>
      </c>
      <c r="C41" s="183" t="s">
        <v>862</v>
      </c>
      <c r="D41" s="251">
        <v>20582.479999999992</v>
      </c>
      <c r="E41" s="251">
        <v>15247.940000000006</v>
      </c>
      <c r="F41" s="251">
        <v>14323.549999999996</v>
      </c>
      <c r="G41" s="251">
        <v>12127.24</v>
      </c>
      <c r="H41" s="251">
        <v>10590.069999999998</v>
      </c>
      <c r="I41" s="251">
        <v>8430.4699999999975</v>
      </c>
      <c r="J41" s="251">
        <v>14237.129999999997</v>
      </c>
      <c r="K41" s="251">
        <v>15392.140000000005</v>
      </c>
      <c r="L41" s="251">
        <v>13302.92</v>
      </c>
      <c r="M41" s="251">
        <v>15612.509999999998</v>
      </c>
      <c r="N41" s="251">
        <v>16742.249999999996</v>
      </c>
      <c r="O41" s="321">
        <v>27049.359999999993</v>
      </c>
      <c r="P41" s="253">
        <f t="shared" si="0"/>
        <v>183638.05999999997</v>
      </c>
      <c r="Q41" s="251"/>
      <c r="R41" s="251">
        <v>1099.7700000000002</v>
      </c>
      <c r="S41" s="251">
        <v>0</v>
      </c>
      <c r="T41" s="251">
        <v>0</v>
      </c>
      <c r="U41" s="253">
        <f t="shared" si="1"/>
        <v>1099.7700000000002</v>
      </c>
      <c r="V41" s="251">
        <v>181045.98000000016</v>
      </c>
      <c r="W41" s="251">
        <v>0</v>
      </c>
      <c r="X41" s="253">
        <f t="shared" si="2"/>
        <v>181045.98000000016</v>
      </c>
      <c r="Y41" s="251">
        <v>1422.9999999999957</v>
      </c>
      <c r="Z41" s="251">
        <v>69.310000000000386</v>
      </c>
      <c r="AA41" s="274">
        <f t="shared" si="3"/>
        <v>183638.06000000014</v>
      </c>
      <c r="AB41" t="b">
        <f t="shared" si="4"/>
        <v>1</v>
      </c>
    </row>
    <row r="42" spans="1:28" ht="12.75">
      <c r="A42" s="191">
        <v>29</v>
      </c>
      <c r="B42" t="s">
        <v>259</v>
      </c>
      <c r="C42" s="183" t="s">
        <v>862</v>
      </c>
      <c r="D42" s="251">
        <v>9501.3999999999996</v>
      </c>
      <c r="E42" s="251">
        <v>7151.79</v>
      </c>
      <c r="F42" s="251">
        <v>5644.8299999999999</v>
      </c>
      <c r="G42" s="251">
        <v>6753.2600000000002</v>
      </c>
      <c r="H42" s="251">
        <v>6451.1100000000006</v>
      </c>
      <c r="I42" s="251">
        <v>5629.4500000000007</v>
      </c>
      <c r="J42" s="251">
        <v>6222.6499999999996</v>
      </c>
      <c r="K42" s="251">
        <v>7449</v>
      </c>
      <c r="L42" s="251">
        <v>5536.3899999999994</v>
      </c>
      <c r="M42" s="251">
        <v>6339.4200000000001</v>
      </c>
      <c r="N42" s="251">
        <v>6931.3900000000003</v>
      </c>
      <c r="O42" s="321">
        <v>5328.3299999999999</v>
      </c>
      <c r="P42" s="253">
        <f t="shared" si="0"/>
        <v>78939.020000000004</v>
      </c>
      <c r="Q42" s="251"/>
      <c r="R42" s="251">
        <v>0</v>
      </c>
      <c r="S42" s="251">
        <v>0</v>
      </c>
      <c r="T42" s="251">
        <v>0</v>
      </c>
      <c r="U42" s="253">
        <f t="shared" si="1"/>
        <v>0</v>
      </c>
      <c r="V42" s="251">
        <v>0</v>
      </c>
      <c r="W42" s="251">
        <v>0</v>
      </c>
      <c r="X42" s="253">
        <f t="shared" si="2"/>
        <v>0</v>
      </c>
      <c r="Y42" s="251">
        <v>78939.020000000004</v>
      </c>
      <c r="Z42" s="251">
        <v>0</v>
      </c>
      <c r="AA42" s="274">
        <f t="shared" si="3"/>
        <v>78939.020000000004</v>
      </c>
      <c r="AB42" t="b">
        <f t="shared" si="4"/>
        <v>1</v>
      </c>
    </row>
    <row r="43" spans="1:28" ht="12.75">
      <c r="A43" s="191">
        <v>30</v>
      </c>
      <c r="B43" t="s">
        <v>286</v>
      </c>
      <c r="C43" s="183" t="s">
        <v>862</v>
      </c>
      <c r="D43" s="251">
        <v>0</v>
      </c>
      <c r="E43" s="251">
        <v>0</v>
      </c>
      <c r="F43" s="251">
        <v>0</v>
      </c>
      <c r="G43" s="251">
        <v>0</v>
      </c>
      <c r="H43" s="251">
        <v>0</v>
      </c>
      <c r="I43" s="251">
        <v>0</v>
      </c>
      <c r="J43" s="251">
        <v>0</v>
      </c>
      <c r="K43" s="251">
        <v>0</v>
      </c>
      <c r="L43" s="251">
        <v>0</v>
      </c>
      <c r="M43" s="251">
        <v>0</v>
      </c>
      <c r="N43" s="251">
        <v>0</v>
      </c>
      <c r="O43" s="321">
        <v>4804.5600000000004</v>
      </c>
      <c r="P43" s="253">
        <f t="shared" si="0"/>
        <v>4804.5600000000004</v>
      </c>
      <c r="Q43" s="251"/>
      <c r="R43" s="251">
        <v>0</v>
      </c>
      <c r="S43" s="251">
        <v>0</v>
      </c>
      <c r="T43" s="251">
        <v>0</v>
      </c>
      <c r="U43" s="253">
        <f t="shared" si="1"/>
        <v>0</v>
      </c>
      <c r="V43" s="251">
        <v>0</v>
      </c>
      <c r="W43" s="251">
        <v>0</v>
      </c>
      <c r="X43" s="253">
        <f t="shared" si="2"/>
        <v>0</v>
      </c>
      <c r="Y43" s="251">
        <v>4804.5600000000004</v>
      </c>
      <c r="Z43" s="251">
        <v>0</v>
      </c>
      <c r="AA43" s="274">
        <f t="shared" si="3"/>
        <v>4804.5600000000004</v>
      </c>
      <c r="AB43" t="b">
        <f t="shared" si="4"/>
        <v>1</v>
      </c>
    </row>
    <row r="44" spans="1:28" ht="12.75">
      <c r="A44" s="191">
        <v>31</v>
      </c>
      <c r="B44" t="s">
        <v>331</v>
      </c>
      <c r="C44" s="183" t="s">
        <v>862</v>
      </c>
      <c r="D44" s="251">
        <v>2891.5100000000002</v>
      </c>
      <c r="E44" s="251">
        <v>2426.6799999999998</v>
      </c>
      <c r="F44" s="251">
        <v>2566.21</v>
      </c>
      <c r="G44" s="251">
        <v>3018.7799999999997</v>
      </c>
      <c r="H44" s="251">
        <v>2810.4200000000001</v>
      </c>
      <c r="I44" s="251">
        <v>1854.3899999999999</v>
      </c>
      <c r="J44" s="251">
        <v>1159.3399999999999</v>
      </c>
      <c r="K44" s="251">
        <v>1504.6700000000001</v>
      </c>
      <c r="L44" s="251">
        <v>1593.23</v>
      </c>
      <c r="M44" s="251">
        <v>2789.6800000000003</v>
      </c>
      <c r="N44" s="251">
        <v>1159.3</v>
      </c>
      <c r="O44" s="321">
        <v>1184.1399999999999</v>
      </c>
      <c r="P44" s="253">
        <f t="shared" si="0"/>
        <v>24958.349999999999</v>
      </c>
      <c r="Q44" s="251"/>
      <c r="R44" s="251">
        <v>0</v>
      </c>
      <c r="S44" s="251">
        <v>0</v>
      </c>
      <c r="T44" s="251">
        <v>0</v>
      </c>
      <c r="U44" s="253">
        <f t="shared" si="1"/>
        <v>0</v>
      </c>
      <c r="V44" s="251">
        <v>4891.5400000000009</v>
      </c>
      <c r="W44" s="251">
        <v>0</v>
      </c>
      <c r="X44" s="253">
        <f t="shared" si="2"/>
        <v>4891.5400000000009</v>
      </c>
      <c r="Y44" s="251">
        <v>15.139999999999999</v>
      </c>
      <c r="Z44" s="251">
        <v>20051.669999999998</v>
      </c>
      <c r="AA44" s="274">
        <f t="shared" si="3"/>
        <v>24958.349999999999</v>
      </c>
      <c r="AB44" t="b">
        <f t="shared" si="4"/>
        <v>1</v>
      </c>
    </row>
    <row r="45" spans="1:28" ht="12.75">
      <c r="A45" s="191">
        <v>32</v>
      </c>
      <c r="B45" t="s">
        <v>272</v>
      </c>
      <c r="C45" s="183" t="s">
        <v>862</v>
      </c>
      <c r="D45" s="251">
        <v>49455.110000000001</v>
      </c>
      <c r="E45" s="251">
        <v>31859.059999999998</v>
      </c>
      <c r="F45" s="251">
        <v>36046.779999999999</v>
      </c>
      <c r="G45" s="251">
        <v>45727.650000000009</v>
      </c>
      <c r="H45" s="251">
        <v>44604.220000000001</v>
      </c>
      <c r="I45" s="251">
        <v>109505.91</v>
      </c>
      <c r="J45" s="251">
        <v>38752.010000000009</v>
      </c>
      <c r="K45" s="251">
        <v>-19051.919999999998</v>
      </c>
      <c r="L45" s="251">
        <v>41774.250000000007</v>
      </c>
      <c r="M45" s="251">
        <v>44325.389999999992</v>
      </c>
      <c r="N45" s="251">
        <v>43344.93</v>
      </c>
      <c r="O45" s="321">
        <v>53294.219999999994</v>
      </c>
      <c r="P45" s="253">
        <f t="shared" si="0"/>
        <v>519637.60999999999</v>
      </c>
      <c r="Q45" s="251"/>
      <c r="R45" s="251">
        <v>154716.41000000003</v>
      </c>
      <c r="S45" s="251">
        <v>0</v>
      </c>
      <c r="T45" s="251">
        <v>0</v>
      </c>
      <c r="U45" s="253">
        <f t="shared" si="1"/>
        <v>154716.41000000003</v>
      </c>
      <c r="V45" s="251">
        <v>239026.18999999986</v>
      </c>
      <c r="W45" s="251">
        <v>0</v>
      </c>
      <c r="X45" s="253">
        <f t="shared" si="2"/>
        <v>239026.18999999986</v>
      </c>
      <c r="Y45" s="251">
        <v>56105.570000000007</v>
      </c>
      <c r="Z45" s="251">
        <v>69789.440000000031</v>
      </c>
      <c r="AA45" s="274">
        <f t="shared" si="3"/>
        <v>519637.60999999993</v>
      </c>
      <c r="AB45" t="b">
        <f t="shared" si="4"/>
        <v>1</v>
      </c>
    </row>
    <row r="46" spans="1:28" ht="12.75">
      <c r="A46" s="191">
        <v>33</v>
      </c>
      <c r="B46" t="s">
        <v>274</v>
      </c>
      <c r="C46" s="183" t="s">
        <v>862</v>
      </c>
      <c r="D46" s="251">
        <v>0</v>
      </c>
      <c r="E46" s="251">
        <v>0</v>
      </c>
      <c r="F46" s="251">
        <v>0</v>
      </c>
      <c r="G46" s="251">
        <v>0</v>
      </c>
      <c r="H46" s="251">
        <v>0</v>
      </c>
      <c r="I46" s="251">
        <v>0</v>
      </c>
      <c r="J46" s="251">
        <v>0</v>
      </c>
      <c r="K46" s="251">
        <v>0</v>
      </c>
      <c r="L46" s="251">
        <v>0</v>
      </c>
      <c r="M46" s="251">
        <v>2200</v>
      </c>
      <c r="N46" s="251">
        <v>0</v>
      </c>
      <c r="O46" s="321">
        <v>0</v>
      </c>
      <c r="P46" s="253">
        <f t="shared" si="0"/>
        <v>2200</v>
      </c>
      <c r="Q46" s="251"/>
      <c r="R46" s="251">
        <v>0</v>
      </c>
      <c r="S46" s="251">
        <v>0</v>
      </c>
      <c r="T46" s="251">
        <v>0</v>
      </c>
      <c r="U46" s="253">
        <f t="shared" si="1"/>
        <v>0</v>
      </c>
      <c r="V46" s="251">
        <v>2200</v>
      </c>
      <c r="W46" s="251">
        <v>0</v>
      </c>
      <c r="X46" s="253">
        <f t="shared" si="2"/>
        <v>2200</v>
      </c>
      <c r="Y46" s="251">
        <v>0</v>
      </c>
      <c r="Z46" s="251">
        <v>0</v>
      </c>
      <c r="AA46" s="274">
        <f t="shared" si="3"/>
        <v>2200</v>
      </c>
      <c r="AB46" t="b">
        <f t="shared" si="4"/>
        <v>1</v>
      </c>
    </row>
    <row r="47" spans="1:28" ht="12.75">
      <c r="A47" s="191">
        <v>34</v>
      </c>
      <c r="B47" t="s">
        <v>861</v>
      </c>
      <c r="C47" s="183" t="s">
        <v>862</v>
      </c>
      <c r="D47" s="251">
        <v>2203.4400000000001</v>
      </c>
      <c r="E47" s="251">
        <v>1799.3199999999999</v>
      </c>
      <c r="F47" s="251">
        <v>1236.47</v>
      </c>
      <c r="G47" s="251">
        <v>2883.1900000000001</v>
      </c>
      <c r="H47" s="251">
        <v>2060.2000000000003</v>
      </c>
      <c r="I47" s="251">
        <v>3244.1400000000003</v>
      </c>
      <c r="J47" s="251">
        <v>1704.29</v>
      </c>
      <c r="K47" s="251">
        <v>516.07999999999993</v>
      </c>
      <c r="L47" s="251">
        <v>1641.1300000000001</v>
      </c>
      <c r="M47" s="251">
        <v>1153.7199999999998</v>
      </c>
      <c r="N47" s="251">
        <v>1206.49</v>
      </c>
      <c r="O47" s="321">
        <v>1216.98</v>
      </c>
      <c r="P47" s="253">
        <f t="shared" si="0"/>
        <v>20865.450000000004</v>
      </c>
      <c r="Q47" s="251"/>
      <c r="R47" s="251">
        <v>5614.4199999999992</v>
      </c>
      <c r="S47" s="251">
        <v>0</v>
      </c>
      <c r="T47" s="251">
        <v>0</v>
      </c>
      <c r="U47" s="253">
        <f t="shared" si="1"/>
        <v>5614.4199999999992</v>
      </c>
      <c r="V47" s="251">
        <v>12915.660000000002</v>
      </c>
      <c r="W47" s="251">
        <v>0</v>
      </c>
      <c r="X47" s="253">
        <f t="shared" si="2"/>
        <v>12915.660000000002</v>
      </c>
      <c r="Y47" s="251">
        <v>2244.5499999999997</v>
      </c>
      <c r="Z47" s="251">
        <v>90.819999999999879</v>
      </c>
      <c r="AA47" s="274">
        <f t="shared" si="3"/>
        <v>20865.450000000001</v>
      </c>
      <c r="AB47" t="b">
        <f t="shared" si="4"/>
        <v>1</v>
      </c>
    </row>
    <row r="48" spans="1:28" ht="12.75">
      <c r="A48" s="191">
        <v>35</v>
      </c>
      <c r="B48" t="s">
        <v>26</v>
      </c>
      <c r="C48" s="183" t="s">
        <v>862</v>
      </c>
      <c r="D48" s="251">
        <v>295.53999999999996</v>
      </c>
      <c r="E48" s="251">
        <v>361.30000000000001</v>
      </c>
      <c r="F48" s="251">
        <v>237.51000000000002</v>
      </c>
      <c r="G48" s="251">
        <v>124.44</v>
      </c>
      <c r="H48" s="251">
        <v>39.810000000000002</v>
      </c>
      <c r="I48" s="251">
        <v>83.820000000000007</v>
      </c>
      <c r="J48" s="251">
        <v>248.34999999999997</v>
      </c>
      <c r="K48" s="251">
        <v>148.70999999999998</v>
      </c>
      <c r="L48" s="251">
        <v>191.87000000000001</v>
      </c>
      <c r="M48" s="251">
        <v>86.799999999999997</v>
      </c>
      <c r="N48" s="251">
        <v>186.12000000000001</v>
      </c>
      <c r="O48" s="321">
        <v>147.61000000000001</v>
      </c>
      <c r="P48" s="253">
        <f t="shared" si="0"/>
        <v>2151.8800000000001</v>
      </c>
      <c r="Q48" s="251"/>
      <c r="R48" s="251">
        <v>1.0700000000000001</v>
      </c>
      <c r="S48" s="251">
        <v>0</v>
      </c>
      <c r="T48" s="251">
        <v>0</v>
      </c>
      <c r="U48" s="253">
        <f t="shared" si="1"/>
        <v>1.0700000000000001</v>
      </c>
      <c r="V48" s="251">
        <v>2143.4699999999998</v>
      </c>
      <c r="W48" s="251">
        <v>0</v>
      </c>
      <c r="X48" s="253">
        <f t="shared" si="2"/>
        <v>2143.4699999999998</v>
      </c>
      <c r="Y48" s="251">
        <v>6.7499999999999956</v>
      </c>
      <c r="Z48" s="251">
        <v>0.58999999999999952</v>
      </c>
      <c r="AA48" s="274">
        <f t="shared" si="3"/>
        <v>2151.8800000000001</v>
      </c>
      <c r="AB48" t="b">
        <f t="shared" si="4"/>
        <v>1</v>
      </c>
    </row>
    <row r="49" spans="1:28" ht="12.75">
      <c r="A49" s="191">
        <v>36</v>
      </c>
      <c r="B49" t="s">
        <v>280</v>
      </c>
      <c r="C49" s="183" t="s">
        <v>862</v>
      </c>
      <c r="D49" s="251">
        <v>21203.059999999998</v>
      </c>
      <c r="E49" s="251">
        <v>15958.619999999999</v>
      </c>
      <c r="F49" s="251">
        <v>19223.509999999998</v>
      </c>
      <c r="G49" s="251">
        <v>16634.93</v>
      </c>
      <c r="H49" s="251">
        <v>18243.229999999996</v>
      </c>
      <c r="I49" s="251">
        <v>21331.68</v>
      </c>
      <c r="J49" s="251">
        <v>19152.77</v>
      </c>
      <c r="K49" s="251">
        <v>24820.27</v>
      </c>
      <c r="L49" s="251">
        <v>22301.759999999998</v>
      </c>
      <c r="M49" s="251">
        <v>20881.48</v>
      </c>
      <c r="N49" s="251">
        <v>24020.41</v>
      </c>
      <c r="O49" s="321">
        <v>17380.619999999999</v>
      </c>
      <c r="P49" s="253">
        <f t="shared" si="0"/>
        <v>241152.34</v>
      </c>
      <c r="Q49" s="251"/>
      <c r="R49" s="251">
        <v>35968.669999999998</v>
      </c>
      <c r="S49" s="251">
        <v>0</v>
      </c>
      <c r="T49" s="251">
        <v>0</v>
      </c>
      <c r="U49" s="253">
        <f t="shared" si="1"/>
        <v>35968.669999999998</v>
      </c>
      <c r="V49" s="251">
        <v>205089.03</v>
      </c>
      <c r="W49" s="251">
        <v>0</v>
      </c>
      <c r="X49" s="253">
        <f t="shared" si="2"/>
        <v>205089.03</v>
      </c>
      <c r="Y49" s="251">
        <v>90.800000000000011</v>
      </c>
      <c r="Z49" s="251">
        <v>3.8400000000000727</v>
      </c>
      <c r="AA49" s="274">
        <f t="shared" si="3"/>
        <v>241152.34000000003</v>
      </c>
      <c r="AB49" t="b">
        <f t="shared" si="4"/>
        <v>1</v>
      </c>
    </row>
    <row r="50" spans="1:27" ht="13.5" thickBot="1">
      <c r="A50" s="191">
        <v>37</v>
      </c>
      <c r="C50" s="206" t="s">
        <v>1045</v>
      </c>
      <c r="D50" s="317">
        <f>SUM(D14:D49)</f>
        <v>3274783.040000001</v>
      </c>
      <c r="E50" s="317">
        <f t="shared" si="5" ref="E50:P50">SUM(E14:E49)</f>
        <v>2570817.21</v>
      </c>
      <c r="F50" s="317">
        <f t="shared" si="5"/>
        <v>2204966.8099999991</v>
      </c>
      <c r="G50" s="317">
        <f t="shared" si="5"/>
        <v>2475007.2799999979</v>
      </c>
      <c r="H50" s="317">
        <f t="shared" si="5"/>
        <v>2428394.3700000006</v>
      </c>
      <c r="I50" s="317">
        <f t="shared" si="5"/>
        <v>-793857.99999999895</v>
      </c>
      <c r="J50" s="317">
        <f t="shared" si="5"/>
        <v>2147931.7600000002</v>
      </c>
      <c r="K50" s="317">
        <f t="shared" si="5"/>
        <v>6681968.9100000039</v>
      </c>
      <c r="L50" s="317">
        <f t="shared" si="5"/>
        <v>2995550.6600000006</v>
      </c>
      <c r="M50" s="317">
        <f t="shared" si="5"/>
        <v>2826077.2299999995</v>
      </c>
      <c r="N50" s="317">
        <f t="shared" si="5"/>
        <v>2677225.0800000005</v>
      </c>
      <c r="O50" s="317">
        <f t="shared" si="5"/>
        <v>3436498.4299999983</v>
      </c>
      <c r="P50" s="317">
        <f t="shared" si="5"/>
        <v>32925362.780000005</v>
      </c>
      <c r="R50" s="317">
        <f t="shared" si="6" ref="R50">SUM(R14:R49)</f>
        <v>5458872.6700000009</v>
      </c>
      <c r="S50" s="317">
        <f t="shared" si="7" ref="S50">SUM(S14:S49)</f>
        <v>0</v>
      </c>
      <c r="T50" s="317">
        <f t="shared" si="8" ref="T50">SUM(T14:T49)</f>
        <v>4080.1900000000001</v>
      </c>
      <c r="U50" s="317">
        <f t="shared" si="9" ref="U50">SUM(U14:U49)</f>
        <v>5462952.8600000013</v>
      </c>
      <c r="V50" s="317">
        <f t="shared" si="10" ref="V50">SUM(V14:V49)</f>
        <v>21870933.260000002</v>
      </c>
      <c r="W50" s="317">
        <f t="shared" si="11" ref="W50">SUM(W14:W49)</f>
        <v>0</v>
      </c>
      <c r="X50" s="317">
        <f t="shared" si="12" ref="X50">SUM(X14:X49)</f>
        <v>21870933.260000002</v>
      </c>
      <c r="Y50" s="317">
        <f t="shared" si="13" ref="Y50">SUM(Y14:Y49)</f>
        <v>5486435.5399999805</v>
      </c>
      <c r="Z50" s="317">
        <f t="shared" si="14" ref="Z50">SUM(Z14:Z49)</f>
        <v>105041.12000000005</v>
      </c>
      <c r="AA50" s="317">
        <f t="shared" si="15" ref="AA50">SUM(AA14:AA49)</f>
        <v>32925362.779999979</v>
      </c>
    </row>
    <row r="51" spans="1:1" ht="13.5" thickTop="1">
      <c r="A51" s="191">
        <v>38</v>
      </c>
    </row>
    <row r="52" spans="1:1" ht="12.75">
      <c r="A52" s="191">
        <v>39</v>
      </c>
    </row>
    <row r="53" spans="1:28" ht="12.75">
      <c r="A53" s="191">
        <v>40</v>
      </c>
      <c r="B53" t="s">
        <v>232</v>
      </c>
      <c r="C53" t="s">
        <v>1025</v>
      </c>
      <c r="D53" s="282">
        <v>0</v>
      </c>
      <c r="E53" s="282">
        <v>0</v>
      </c>
      <c r="F53" s="282">
        <v>0</v>
      </c>
      <c r="G53" s="282">
        <v>0</v>
      </c>
      <c r="H53" s="282">
        <v>0</v>
      </c>
      <c r="I53" s="282">
        <v>0</v>
      </c>
      <c r="J53" s="282">
        <v>4967.6199999999999</v>
      </c>
      <c r="K53" s="282">
        <v>0</v>
      </c>
      <c r="L53" s="282">
        <v>10451.43</v>
      </c>
      <c r="M53" s="282">
        <v>3080.5699999999997</v>
      </c>
      <c r="N53" s="282">
        <v>2483.8099999999999</v>
      </c>
      <c r="O53" s="347">
        <v>2483.8099999999999</v>
      </c>
      <c r="P53" s="348">
        <f>SUM(D53:O53)</f>
        <v>23467.240000000002</v>
      </c>
      <c r="Q53" s="282"/>
      <c r="R53" s="282">
        <v>23467.240000000002</v>
      </c>
      <c r="S53" s="282">
        <v>0</v>
      </c>
      <c r="T53" s="282">
        <v>0</v>
      </c>
      <c r="U53" s="348">
        <f>SUM(R53:T53)</f>
        <v>23467.240000000002</v>
      </c>
      <c r="V53" s="282">
        <v>0</v>
      </c>
      <c r="W53" s="282">
        <v>0</v>
      </c>
      <c r="X53" s="348">
        <f>SUM(V53:W53)</f>
        <v>0</v>
      </c>
      <c r="Y53" s="282">
        <v>0</v>
      </c>
      <c r="Z53" s="282">
        <v>0</v>
      </c>
      <c r="AA53" s="252">
        <f>+U53+X53+Y53+Z53</f>
        <v>23467.240000000002</v>
      </c>
      <c r="AB53" t="b">
        <f t="shared" si="16" ref="AB53">ROUND(+P53,2)=ROUND(AA53,2)</f>
        <v>1</v>
      </c>
    </row>
    <row r="54" spans="1:28" ht="12.75">
      <c r="A54" s="191">
        <v>41</v>
      </c>
      <c r="B54" t="s">
        <v>279</v>
      </c>
      <c r="C54" t="s">
        <v>1026</v>
      </c>
      <c r="D54" s="251">
        <v>51950.300000000003</v>
      </c>
      <c r="E54" s="251">
        <v>28942.389999999999</v>
      </c>
      <c r="F54" s="251">
        <v>25256.540000000001</v>
      </c>
      <c r="G54" s="251">
        <v>4250</v>
      </c>
      <c r="H54" s="251">
        <v>54763.079999999994</v>
      </c>
      <c r="I54" s="251">
        <v>29506.540000000001</v>
      </c>
      <c r="J54" s="251">
        <v>33165.389999999999</v>
      </c>
      <c r="K54" s="251">
        <v>34749.490000000005</v>
      </c>
      <c r="L54" s="251">
        <v>26775.68</v>
      </c>
      <c r="M54" s="251">
        <v>31025.68</v>
      </c>
      <c r="N54" s="251">
        <v>31025.68</v>
      </c>
      <c r="O54" s="321">
        <v>31025.68</v>
      </c>
      <c r="P54" s="253">
        <f t="shared" si="17" ref="P54:P88">SUM(D54:O54)</f>
        <v>382436.44999999995</v>
      </c>
      <c r="Q54" s="251"/>
      <c r="R54" s="251">
        <v>84212.510000000068</v>
      </c>
      <c r="S54" s="251">
        <v>0</v>
      </c>
      <c r="T54" s="251">
        <v>0</v>
      </c>
      <c r="U54" s="253">
        <f t="shared" si="18" ref="U54:U88">SUM(R54:T54)</f>
        <v>84212.510000000068</v>
      </c>
      <c r="V54" s="251">
        <v>232330.09</v>
      </c>
      <c r="W54" s="251">
        <v>0</v>
      </c>
      <c r="X54" s="253">
        <f t="shared" si="19" ref="X54:X88">SUM(V54:W54)</f>
        <v>232330.09</v>
      </c>
      <c r="Y54" s="251">
        <v>63331.490000000013</v>
      </c>
      <c r="Z54" s="251">
        <v>2562.3600000000038</v>
      </c>
      <c r="AA54" s="274">
        <f t="shared" si="20" ref="AA54:AA88">+U54+X54+Y54+Z54</f>
        <v>382436.45000000007</v>
      </c>
      <c r="AB54" t="b">
        <f t="shared" si="21" ref="AB54:AB89">ROUND(+P54,2)=ROUND(AA54,2)</f>
        <v>1</v>
      </c>
    </row>
    <row r="55" spans="1:28" ht="12.75">
      <c r="A55" s="191">
        <v>42</v>
      </c>
      <c r="B55" t="s">
        <v>236</v>
      </c>
      <c r="C55" t="s">
        <v>1027</v>
      </c>
      <c r="D55" s="251">
        <v>5696.1099999999997</v>
      </c>
      <c r="E55" s="251">
        <v>1320</v>
      </c>
      <c r="F55" s="251">
        <v>1320</v>
      </c>
      <c r="G55" s="251">
        <v>1320</v>
      </c>
      <c r="H55" s="251">
        <v>1320</v>
      </c>
      <c r="I55" s="251">
        <v>1320</v>
      </c>
      <c r="J55" s="251">
        <v>1320</v>
      </c>
      <c r="K55" s="251">
        <v>1320</v>
      </c>
      <c r="L55" s="251">
        <v>1122.1900000000001</v>
      </c>
      <c r="M55" s="251">
        <v>1320</v>
      </c>
      <c r="N55" s="251">
        <v>1320</v>
      </c>
      <c r="O55" s="321">
        <v>1370.25</v>
      </c>
      <c r="P55" s="253">
        <f t="shared" si="17"/>
        <v>20068.550000000003</v>
      </c>
      <c r="Q55" s="251"/>
      <c r="R55" s="251">
        <v>20068.549999999999</v>
      </c>
      <c r="S55" s="251">
        <v>0</v>
      </c>
      <c r="T55" s="251">
        <v>0</v>
      </c>
      <c r="U55" s="253">
        <f t="shared" si="18"/>
        <v>20068.549999999999</v>
      </c>
      <c r="V55" s="251">
        <v>0</v>
      </c>
      <c r="W55" s="251">
        <v>0</v>
      </c>
      <c r="X55" s="253">
        <f t="shared" si="19"/>
        <v>0</v>
      </c>
      <c r="Y55" s="251">
        <v>0</v>
      </c>
      <c r="Z55" s="251">
        <v>0</v>
      </c>
      <c r="AA55" s="274">
        <f t="shared" si="20"/>
        <v>20068.549999999999</v>
      </c>
      <c r="AB55" t="b">
        <f t="shared" si="21"/>
        <v>1</v>
      </c>
    </row>
    <row r="56" spans="1:28" ht="12.75">
      <c r="A56" s="191">
        <v>43</v>
      </c>
      <c r="B56" t="s">
        <v>279</v>
      </c>
      <c r="C56" t="s">
        <v>1049</v>
      </c>
      <c r="D56" s="251">
        <v>1735.6400000000001</v>
      </c>
      <c r="E56" s="251">
        <v>0</v>
      </c>
      <c r="F56" s="251">
        <v>0</v>
      </c>
      <c r="G56" s="251">
        <v>0</v>
      </c>
      <c r="H56" s="251">
        <v>0</v>
      </c>
      <c r="I56" s="251">
        <v>0</v>
      </c>
      <c r="J56" s="251">
        <v>0</v>
      </c>
      <c r="K56" s="251">
        <v>0</v>
      </c>
      <c r="L56" s="251">
        <v>0</v>
      </c>
      <c r="M56" s="251">
        <v>0</v>
      </c>
      <c r="N56" s="251">
        <v>0</v>
      </c>
      <c r="O56" s="321">
        <v>0</v>
      </c>
      <c r="P56" s="253">
        <f t="shared" si="17"/>
        <v>1735.6400000000001</v>
      </c>
      <c r="Q56" s="251"/>
      <c r="R56" s="251">
        <v>382.19</v>
      </c>
      <c r="S56" s="251">
        <v>0</v>
      </c>
      <c r="T56" s="251">
        <v>0</v>
      </c>
      <c r="U56" s="253">
        <f t="shared" si="18"/>
        <v>382.19</v>
      </c>
      <c r="V56" s="251">
        <v>1054.4000000000001</v>
      </c>
      <c r="W56" s="251">
        <v>0</v>
      </c>
      <c r="X56" s="253">
        <f t="shared" si="19"/>
        <v>1054.4000000000001</v>
      </c>
      <c r="Y56" s="251">
        <v>287.42000000000002</v>
      </c>
      <c r="Z56" s="251">
        <v>11.630000000000001</v>
      </c>
      <c r="AA56" s="274">
        <f t="shared" si="20"/>
        <v>1735.6400000000003</v>
      </c>
      <c r="AB56" t="b">
        <f t="shared" si="21"/>
        <v>1</v>
      </c>
    </row>
    <row r="57" spans="1:28" ht="12.75">
      <c r="A57" s="191">
        <v>44</v>
      </c>
      <c r="B57" t="s">
        <v>236</v>
      </c>
      <c r="C57" t="s">
        <v>1028</v>
      </c>
      <c r="D57" s="251">
        <v>0</v>
      </c>
      <c r="E57" s="251">
        <v>11139.56</v>
      </c>
      <c r="F57" s="251">
        <v>11139.56</v>
      </c>
      <c r="G57" s="251">
        <v>11139.56</v>
      </c>
      <c r="H57" s="251">
        <v>11139.56</v>
      </c>
      <c r="I57" s="251">
        <v>11139.56</v>
      </c>
      <c r="J57" s="251">
        <v>11139.56</v>
      </c>
      <c r="K57" s="251">
        <v>11139.56</v>
      </c>
      <c r="L57" s="251">
        <v>11139.56</v>
      </c>
      <c r="M57" s="251">
        <v>11139.56</v>
      </c>
      <c r="N57" s="251">
        <v>11139.56</v>
      </c>
      <c r="O57" s="321">
        <v>11139.56</v>
      </c>
      <c r="P57" s="253">
        <f t="shared" si="17"/>
        <v>122535.15999999999</v>
      </c>
      <c r="Q57" s="251"/>
      <c r="R57" s="251">
        <v>122535.15999999999</v>
      </c>
      <c r="S57" s="251">
        <v>0</v>
      </c>
      <c r="T57" s="251">
        <v>0</v>
      </c>
      <c r="U57" s="253">
        <f t="shared" si="18"/>
        <v>122535.15999999999</v>
      </c>
      <c r="V57" s="251">
        <v>0</v>
      </c>
      <c r="W57" s="251">
        <v>0</v>
      </c>
      <c r="X57" s="253">
        <f t="shared" si="19"/>
        <v>0</v>
      </c>
      <c r="Y57" s="251">
        <v>0</v>
      </c>
      <c r="Z57" s="251">
        <v>0</v>
      </c>
      <c r="AA57" s="274">
        <f t="shared" si="20"/>
        <v>122535.15999999999</v>
      </c>
      <c r="AB57" t="b">
        <f t="shared" si="21"/>
        <v>1</v>
      </c>
    </row>
    <row r="58" spans="1:28" ht="12.75">
      <c r="A58" s="191">
        <v>45</v>
      </c>
      <c r="B58" t="s">
        <v>240</v>
      </c>
      <c r="C58" t="s">
        <v>1028</v>
      </c>
      <c r="D58" s="251">
        <f>-5824.76+21098.65+21098.65</f>
        <v>36372.540000000001</v>
      </c>
      <c r="E58" s="251">
        <v>0</v>
      </c>
      <c r="F58" s="251">
        <v>0</v>
      </c>
      <c r="G58" s="251">
        <v>0</v>
      </c>
      <c r="H58" s="251">
        <v>0</v>
      </c>
      <c r="I58" s="251">
        <v>0</v>
      </c>
      <c r="J58" s="251">
        <v>0</v>
      </c>
      <c r="K58" s="251">
        <v>0</v>
      </c>
      <c r="L58" s="251">
        <v>0</v>
      </c>
      <c r="M58" s="251">
        <v>0</v>
      </c>
      <c r="N58" s="251">
        <v>0</v>
      </c>
      <c r="O58" s="321">
        <v>0</v>
      </c>
      <c r="P58" s="253">
        <f t="shared" si="17"/>
        <v>36372.540000000001</v>
      </c>
      <c r="Q58" s="251"/>
      <c r="R58" s="251">
        <f>-5792.21+20980.74+20980.74</f>
        <v>36169.270000000004</v>
      </c>
      <c r="S58" s="251">
        <v>0</v>
      </c>
      <c r="T58" s="251">
        <v>0</v>
      </c>
      <c r="U58" s="253">
        <f t="shared" si="18"/>
        <v>36169.270000000004</v>
      </c>
      <c r="V58" s="251">
        <f>-32.55+117.91+117.91</f>
        <v>203.26999999999998</v>
      </c>
      <c r="W58" s="251">
        <v>0</v>
      </c>
      <c r="X58" s="253">
        <f t="shared" si="19"/>
        <v>203.26999999999998</v>
      </c>
      <c r="Y58" s="251">
        <v>0</v>
      </c>
      <c r="Z58" s="251">
        <v>0</v>
      </c>
      <c r="AA58" s="274">
        <f t="shared" si="20"/>
        <v>36372.540000000001</v>
      </c>
      <c r="AB58" t="b">
        <f t="shared" si="21"/>
        <v>1</v>
      </c>
    </row>
    <row r="59" spans="1:28" ht="12.75">
      <c r="A59" s="191">
        <v>46</v>
      </c>
      <c r="B59" t="s">
        <v>236</v>
      </c>
      <c r="C59" t="s">
        <v>1029</v>
      </c>
      <c r="D59" s="251">
        <v>11917.41</v>
      </c>
      <c r="E59" s="251">
        <v>3927.3000000000002</v>
      </c>
      <c r="F59" s="251">
        <v>3927.3000000000002</v>
      </c>
      <c r="G59" s="251">
        <v>3927.3000000000002</v>
      </c>
      <c r="H59" s="251">
        <v>3927.3000000000002</v>
      </c>
      <c r="I59" s="251">
        <v>3927.3000000000002</v>
      </c>
      <c r="J59" s="251">
        <v>3927.3000000000002</v>
      </c>
      <c r="K59" s="251">
        <v>3927.3000000000002</v>
      </c>
      <c r="L59" s="251">
        <v>9558.7700000000004</v>
      </c>
      <c r="M59" s="251">
        <v>3927.3000000000002</v>
      </c>
      <c r="N59" s="251">
        <v>3927.3000000000002</v>
      </c>
      <c r="O59" s="321">
        <v>3745.25</v>
      </c>
      <c r="P59" s="253">
        <f t="shared" si="17"/>
        <v>60567.130000000005</v>
      </c>
      <c r="Q59" s="251"/>
      <c r="R59" s="251">
        <v>60567.130000000019</v>
      </c>
      <c r="S59" s="251">
        <v>0</v>
      </c>
      <c r="T59" s="251">
        <v>0</v>
      </c>
      <c r="U59" s="253">
        <f t="shared" si="18"/>
        <v>60567.130000000019</v>
      </c>
      <c r="V59" s="251">
        <v>0</v>
      </c>
      <c r="W59" s="251">
        <v>0</v>
      </c>
      <c r="X59" s="253">
        <f t="shared" si="19"/>
        <v>0</v>
      </c>
      <c r="Y59" s="251">
        <v>0</v>
      </c>
      <c r="Z59" s="251">
        <v>0</v>
      </c>
      <c r="AA59" s="274">
        <f t="shared" si="20"/>
        <v>60567.130000000019</v>
      </c>
      <c r="AB59" t="b">
        <f t="shared" si="21"/>
        <v>1</v>
      </c>
    </row>
    <row r="60" spans="1:28" ht="12.75">
      <c r="A60" s="191">
        <v>47</v>
      </c>
      <c r="B60" t="s">
        <v>259</v>
      </c>
      <c r="C60" t="s">
        <v>1031</v>
      </c>
      <c r="D60" s="251">
        <v>10921</v>
      </c>
      <c r="E60" s="251">
        <v>10921</v>
      </c>
      <c r="F60" s="251">
        <v>10738.450000000001</v>
      </c>
      <c r="G60" s="251">
        <v>10738.450000000001</v>
      </c>
      <c r="H60" s="251">
        <v>22529.300000000003</v>
      </c>
      <c r="I60" s="251">
        <v>10974.700000000001</v>
      </c>
      <c r="J60" s="251">
        <v>10974.700000000001</v>
      </c>
      <c r="K60" s="251">
        <v>10974.700000000001</v>
      </c>
      <c r="L60" s="251">
        <v>10974.700000000001</v>
      </c>
      <c r="M60" s="251">
        <v>10974.700000000001</v>
      </c>
      <c r="N60" s="251">
        <v>10974.700000000001</v>
      </c>
      <c r="O60" s="321">
        <v>10974.700000000001</v>
      </c>
      <c r="P60" s="253">
        <f t="shared" si="17"/>
        <v>142671.10000000001</v>
      </c>
      <c r="Q60" s="251"/>
      <c r="R60" s="251">
        <v>0</v>
      </c>
      <c r="S60" s="251">
        <v>0</v>
      </c>
      <c r="T60" s="251">
        <v>0</v>
      </c>
      <c r="U60" s="253">
        <f t="shared" si="18"/>
        <v>0</v>
      </c>
      <c r="V60" s="251">
        <v>0</v>
      </c>
      <c r="W60" s="251">
        <v>0</v>
      </c>
      <c r="X60" s="253">
        <f t="shared" si="19"/>
        <v>0</v>
      </c>
      <c r="Y60" s="251">
        <v>142671.10000000001</v>
      </c>
      <c r="Z60" s="251">
        <v>0</v>
      </c>
      <c r="AA60" s="274">
        <f t="shared" si="20"/>
        <v>142671.10000000001</v>
      </c>
      <c r="AB60" t="b">
        <f t="shared" si="21"/>
        <v>1</v>
      </c>
    </row>
    <row r="61" spans="1:28" ht="12.75">
      <c r="A61" s="191">
        <v>48</v>
      </c>
      <c r="B61" t="s">
        <v>279</v>
      </c>
      <c r="C61" t="s">
        <v>1031</v>
      </c>
      <c r="D61" s="251">
        <v>14158.68</v>
      </c>
      <c r="E61" s="251">
        <v>0</v>
      </c>
      <c r="F61" s="251">
        <v>0</v>
      </c>
      <c r="G61" s="251">
        <v>0</v>
      </c>
      <c r="H61" s="251">
        <v>0</v>
      </c>
      <c r="I61" s="251">
        <v>0</v>
      </c>
      <c r="J61" s="251">
        <v>0</v>
      </c>
      <c r="K61" s="251">
        <v>0</v>
      </c>
      <c r="L61" s="251">
        <v>4423.3199999999997</v>
      </c>
      <c r="M61" s="251">
        <v>0</v>
      </c>
      <c r="N61" s="251">
        <v>0</v>
      </c>
      <c r="O61" s="321">
        <v>174.61000000000001</v>
      </c>
      <c r="P61" s="253">
        <f t="shared" si="17"/>
        <v>18756.610000000001</v>
      </c>
      <c r="Q61" s="251"/>
      <c r="R61" s="251">
        <v>1286.6900000000001</v>
      </c>
      <c r="S61" s="251">
        <v>0</v>
      </c>
      <c r="T61" s="251">
        <v>0</v>
      </c>
      <c r="U61" s="253">
        <f t="shared" si="18"/>
        <v>1286.6900000000001</v>
      </c>
      <c r="V61" s="251">
        <v>16440.810000000001</v>
      </c>
      <c r="W61" s="251">
        <v>0</v>
      </c>
      <c r="X61" s="253">
        <f t="shared" si="19"/>
        <v>16440.810000000001</v>
      </c>
      <c r="Y61" s="251">
        <v>959.64999999999998</v>
      </c>
      <c r="Z61" s="251">
        <v>69.460000000000178</v>
      </c>
      <c r="AA61" s="274">
        <f t="shared" si="20"/>
        <v>18756.610000000001</v>
      </c>
      <c r="AB61" t="b">
        <f t="shared" si="21"/>
        <v>1</v>
      </c>
    </row>
    <row r="62" spans="1:28" ht="12.75">
      <c r="A62" s="191">
        <v>49</v>
      </c>
      <c r="B62" t="s">
        <v>251</v>
      </c>
      <c r="C62" t="s">
        <v>1032</v>
      </c>
      <c r="D62" s="251">
        <v>6940.3800000000001</v>
      </c>
      <c r="E62" s="251">
        <v>0</v>
      </c>
      <c r="F62" s="251">
        <v>8720.3600000000006</v>
      </c>
      <c r="G62" s="251">
        <v>2906.79</v>
      </c>
      <c r="H62" s="251">
        <v>2906.79</v>
      </c>
      <c r="I62" s="251">
        <v>2906.79</v>
      </c>
      <c r="J62" s="251">
        <v>2906.79</v>
      </c>
      <c r="K62" s="251">
        <v>2906.79</v>
      </c>
      <c r="L62" s="251">
        <v>2158.79</v>
      </c>
      <c r="M62" s="251">
        <v>2906.79</v>
      </c>
      <c r="N62" s="251">
        <v>2906.79</v>
      </c>
      <c r="O62" s="321">
        <v>3522.3099999999999</v>
      </c>
      <c r="P62" s="253">
        <f t="shared" si="17"/>
        <v>41689.370000000003</v>
      </c>
      <c r="Q62" s="251"/>
      <c r="R62" s="251">
        <v>0</v>
      </c>
      <c r="S62" s="251">
        <v>0</v>
      </c>
      <c r="T62" s="251">
        <v>0</v>
      </c>
      <c r="U62" s="253">
        <f t="shared" si="18"/>
        <v>0</v>
      </c>
      <c r="V62" s="251">
        <v>41689.370000000003</v>
      </c>
      <c r="W62" s="251">
        <v>0</v>
      </c>
      <c r="X62" s="253">
        <f t="shared" si="19"/>
        <v>41689.370000000003</v>
      </c>
      <c r="Y62" s="251">
        <v>0</v>
      </c>
      <c r="Z62" s="251">
        <v>0</v>
      </c>
      <c r="AA62" s="274">
        <f t="shared" si="20"/>
        <v>41689.370000000003</v>
      </c>
      <c r="AB62" t="b">
        <f t="shared" si="21"/>
        <v>1</v>
      </c>
    </row>
    <row r="63" spans="1:28" ht="12.75">
      <c r="A63" s="191">
        <v>50</v>
      </c>
      <c r="B63" t="s">
        <v>256</v>
      </c>
      <c r="C63" t="s">
        <v>1032</v>
      </c>
      <c r="D63" s="251">
        <v>2208.3000000000002</v>
      </c>
      <c r="E63" s="251">
        <v>0</v>
      </c>
      <c r="F63" s="251">
        <v>2774.6599999999999</v>
      </c>
      <c r="G63" s="251">
        <v>924.88999999999999</v>
      </c>
      <c r="H63" s="251">
        <v>924.88999999999999</v>
      </c>
      <c r="I63" s="251">
        <v>924.88999999999999</v>
      </c>
      <c r="J63" s="251">
        <v>924.88999999999999</v>
      </c>
      <c r="K63" s="251">
        <v>924.88999999999999</v>
      </c>
      <c r="L63" s="251">
        <v>686.88999999999999</v>
      </c>
      <c r="M63" s="251">
        <v>924.88999999999999</v>
      </c>
      <c r="N63" s="251">
        <v>924.88999999999999</v>
      </c>
      <c r="O63" s="321">
        <v>1120.73</v>
      </c>
      <c r="P63" s="253">
        <f t="shared" si="17"/>
        <v>13264.809999999998</v>
      </c>
      <c r="Q63" s="251"/>
      <c r="R63" s="251">
        <v>0</v>
      </c>
      <c r="S63" s="251">
        <v>0</v>
      </c>
      <c r="T63" s="251">
        <v>0</v>
      </c>
      <c r="U63" s="253">
        <f t="shared" si="18"/>
        <v>0</v>
      </c>
      <c r="V63" s="251">
        <v>0</v>
      </c>
      <c r="W63" s="251">
        <v>0</v>
      </c>
      <c r="X63" s="253">
        <f t="shared" si="19"/>
        <v>0</v>
      </c>
      <c r="Y63" s="251">
        <v>13264.810000000001</v>
      </c>
      <c r="Z63" s="251">
        <v>0</v>
      </c>
      <c r="AA63" s="274">
        <f t="shared" si="20"/>
        <v>13264.810000000001</v>
      </c>
      <c r="AB63" t="b">
        <f t="shared" si="21"/>
        <v>1</v>
      </c>
    </row>
    <row r="64" spans="1:28" ht="12.75">
      <c r="A64" s="191">
        <v>51</v>
      </c>
      <c r="B64" t="s">
        <v>236</v>
      </c>
      <c r="C64" t="s">
        <v>1033</v>
      </c>
      <c r="D64" s="251">
        <v>119814.46000000001</v>
      </c>
      <c r="E64" s="251">
        <v>69199.320000000007</v>
      </c>
      <c r="F64" s="251">
        <v>92901.550000000003</v>
      </c>
      <c r="G64" s="251">
        <v>66104.259999999995</v>
      </c>
      <c r="H64" s="251">
        <v>66398.940000000002</v>
      </c>
      <c r="I64" s="251">
        <v>66207.889999999999</v>
      </c>
      <c r="J64" s="251">
        <v>66104.110000000001</v>
      </c>
      <c r="K64" s="251">
        <v>66104.070000000007</v>
      </c>
      <c r="L64" s="251">
        <v>66104.149999999994</v>
      </c>
      <c r="M64" s="251">
        <v>66104.220000000001</v>
      </c>
      <c r="N64" s="251">
        <v>66309.020000000004</v>
      </c>
      <c r="O64" s="321">
        <v>66104.240000000005</v>
      </c>
      <c r="P64" s="253">
        <f t="shared" si="17"/>
        <v>877456.2300000001</v>
      </c>
      <c r="Q64" s="251"/>
      <c r="R64" s="251">
        <v>877456.22999999998</v>
      </c>
      <c r="S64" s="251">
        <v>0</v>
      </c>
      <c r="T64" s="251">
        <v>0</v>
      </c>
      <c r="U64" s="253">
        <f t="shared" si="18"/>
        <v>877456.22999999998</v>
      </c>
      <c r="V64" s="251">
        <v>0</v>
      </c>
      <c r="W64" s="251">
        <v>0</v>
      </c>
      <c r="X64" s="253">
        <f t="shared" si="19"/>
        <v>0</v>
      </c>
      <c r="Y64" s="251">
        <v>0</v>
      </c>
      <c r="Z64" s="251">
        <v>0</v>
      </c>
      <c r="AA64" s="274">
        <f t="shared" si="20"/>
        <v>877456.22999999998</v>
      </c>
      <c r="AB64" t="b">
        <f t="shared" si="21"/>
        <v>1</v>
      </c>
    </row>
    <row r="65" spans="1:28" ht="12.75">
      <c r="A65" s="191">
        <v>52</v>
      </c>
      <c r="B65" t="s">
        <v>251</v>
      </c>
      <c r="C65" t="s">
        <v>1033</v>
      </c>
      <c r="D65" s="251">
        <v>52374.309999999998</v>
      </c>
      <c r="E65" s="251">
        <v>30248.990000000002</v>
      </c>
      <c r="F65" s="251">
        <v>40609.910000000003</v>
      </c>
      <c r="G65" s="251">
        <v>28896.060000000001</v>
      </c>
      <c r="H65" s="251">
        <v>29024.869999999999</v>
      </c>
      <c r="I65" s="251">
        <v>28941.349999999999</v>
      </c>
      <c r="J65" s="251">
        <v>28895.990000000002</v>
      </c>
      <c r="K65" s="251">
        <v>28895.970000000001</v>
      </c>
      <c r="L65" s="251">
        <v>28896.009999999998</v>
      </c>
      <c r="M65" s="251">
        <v>28896.040000000001</v>
      </c>
      <c r="N65" s="251">
        <v>28985.559999999998</v>
      </c>
      <c r="O65" s="321">
        <v>28896.040000000001</v>
      </c>
      <c r="P65" s="253">
        <f t="shared" si="17"/>
        <v>383561.09999999998</v>
      </c>
      <c r="Q65" s="251"/>
      <c r="R65" s="251">
        <v>0</v>
      </c>
      <c r="S65" s="251">
        <v>0</v>
      </c>
      <c r="T65" s="251">
        <v>0</v>
      </c>
      <c r="U65" s="253">
        <f t="shared" si="18"/>
        <v>0</v>
      </c>
      <c r="V65" s="251">
        <v>383561.09999999998</v>
      </c>
      <c r="W65" s="251">
        <v>0</v>
      </c>
      <c r="X65" s="253">
        <f t="shared" si="19"/>
        <v>383561.09999999998</v>
      </c>
      <c r="Y65" s="251">
        <v>0</v>
      </c>
      <c r="Z65" s="251">
        <v>0</v>
      </c>
      <c r="AA65" s="274">
        <f t="shared" si="20"/>
        <v>383561.09999999998</v>
      </c>
      <c r="AB65" t="b">
        <f t="shared" si="21"/>
        <v>1</v>
      </c>
    </row>
    <row r="66" spans="1:28" ht="12.75">
      <c r="A66" s="191">
        <v>53</v>
      </c>
      <c r="B66" t="s">
        <v>290</v>
      </c>
      <c r="C66" t="s">
        <v>1033</v>
      </c>
      <c r="D66" s="251">
        <v>71658.580000000002</v>
      </c>
      <c r="E66" s="251">
        <v>41386.699999999997</v>
      </c>
      <c r="F66" s="251">
        <v>55562.519999999997</v>
      </c>
      <c r="G66" s="251">
        <v>39535.610000000001</v>
      </c>
      <c r="H66" s="251">
        <v>39711.849999999999</v>
      </c>
      <c r="I66" s="251">
        <v>39597.580000000002</v>
      </c>
      <c r="J66" s="251">
        <v>39535.519999999997</v>
      </c>
      <c r="K66" s="251">
        <v>39535.5</v>
      </c>
      <c r="L66" s="251">
        <v>39535.540000000001</v>
      </c>
      <c r="M66" s="251">
        <v>39535.580000000002</v>
      </c>
      <c r="N66" s="251">
        <v>39658.070000000007</v>
      </c>
      <c r="O66" s="321">
        <v>39535.589999999997</v>
      </c>
      <c r="P66" s="253">
        <f t="shared" si="17"/>
        <v>524788.64000000001</v>
      </c>
      <c r="Q66" s="251"/>
      <c r="R66" s="251">
        <v>0</v>
      </c>
      <c r="S66" s="251">
        <v>0</v>
      </c>
      <c r="T66" s="251">
        <v>0</v>
      </c>
      <c r="U66" s="253">
        <f t="shared" si="18"/>
        <v>0</v>
      </c>
      <c r="V66" s="251">
        <v>414532.89000000001</v>
      </c>
      <c r="W66" s="251">
        <v>0</v>
      </c>
      <c r="X66" s="253">
        <f t="shared" si="19"/>
        <v>414532.89000000001</v>
      </c>
      <c r="Y66" s="251">
        <v>104112.92</v>
      </c>
      <c r="Z66" s="251">
        <v>6142.8300000000045</v>
      </c>
      <c r="AA66" s="274">
        <f t="shared" si="20"/>
        <v>524788.64000000001</v>
      </c>
      <c r="AB66" t="b">
        <f t="shared" si="21"/>
        <v>1</v>
      </c>
    </row>
    <row r="67" spans="1:28" ht="12.75">
      <c r="A67" s="191">
        <v>54</v>
      </c>
      <c r="B67" t="s">
        <v>279</v>
      </c>
      <c r="C67" t="s">
        <v>1050</v>
      </c>
      <c r="D67" s="251">
        <v>700</v>
      </c>
      <c r="E67" s="251">
        <v>700</v>
      </c>
      <c r="F67" s="251">
        <v>1400</v>
      </c>
      <c r="G67" s="251">
        <v>700</v>
      </c>
      <c r="H67" s="251">
        <v>0</v>
      </c>
      <c r="I67" s="251">
        <v>0</v>
      </c>
      <c r="J67" s="251">
        <v>0</v>
      </c>
      <c r="K67" s="251">
        <v>2416.1300000000001</v>
      </c>
      <c r="L67" s="251">
        <v>0</v>
      </c>
      <c r="M67" s="251">
        <v>0</v>
      </c>
      <c r="N67" s="251">
        <v>0</v>
      </c>
      <c r="O67" s="321">
        <v>0</v>
      </c>
      <c r="P67" s="253">
        <f t="shared" si="17"/>
        <v>5916.1300000000001</v>
      </c>
      <c r="Q67" s="251"/>
      <c r="R67" s="251">
        <v>0</v>
      </c>
      <c r="S67" s="251">
        <v>0</v>
      </c>
      <c r="T67" s="251">
        <v>0</v>
      </c>
      <c r="U67" s="253">
        <f t="shared" si="18"/>
        <v>0</v>
      </c>
      <c r="V67" s="251">
        <v>0</v>
      </c>
      <c r="W67" s="251">
        <v>0</v>
      </c>
      <c r="X67" s="253">
        <f t="shared" si="19"/>
        <v>0</v>
      </c>
      <c r="Y67" s="251">
        <v>0</v>
      </c>
      <c r="Z67" s="251">
        <v>5916.1300000000001</v>
      </c>
      <c r="AA67" s="274">
        <f t="shared" si="20"/>
        <v>5916.1300000000001</v>
      </c>
      <c r="AB67" t="b">
        <f t="shared" si="21"/>
        <v>1</v>
      </c>
    </row>
    <row r="68" spans="1:28" ht="12.75">
      <c r="A68" s="191">
        <v>55</v>
      </c>
      <c r="B68" t="s">
        <v>247</v>
      </c>
      <c r="C68" t="s">
        <v>1034</v>
      </c>
      <c r="D68" s="251">
        <v>3923.8299999999999</v>
      </c>
      <c r="E68" s="251">
        <v>6838.3699999999999</v>
      </c>
      <c r="F68" s="251">
        <v>2279.46</v>
      </c>
      <c r="G68" s="251">
        <v>2279.46</v>
      </c>
      <c r="H68" s="251">
        <v>2279.46</v>
      </c>
      <c r="I68" s="251">
        <v>2279.46</v>
      </c>
      <c r="J68" s="251">
        <v>2279.46</v>
      </c>
      <c r="K68" s="251">
        <v>2279.46</v>
      </c>
      <c r="L68" s="251">
        <v>2597.1399999999999</v>
      </c>
      <c r="M68" s="251">
        <v>2279.46</v>
      </c>
      <c r="N68" s="251">
        <v>2279.46</v>
      </c>
      <c r="O68" s="321">
        <v>1745.1900000000001</v>
      </c>
      <c r="P68" s="253">
        <f t="shared" si="17"/>
        <v>33340.209999999992</v>
      </c>
      <c r="Q68" s="251"/>
      <c r="R68" s="251">
        <v>0</v>
      </c>
      <c r="S68" s="251">
        <v>0</v>
      </c>
      <c r="T68" s="251">
        <v>0</v>
      </c>
      <c r="U68" s="253">
        <f t="shared" si="18"/>
        <v>0</v>
      </c>
      <c r="V68" s="251">
        <v>0</v>
      </c>
      <c r="W68" s="251">
        <v>0</v>
      </c>
      <c r="X68" s="253">
        <f t="shared" si="19"/>
        <v>0</v>
      </c>
      <c r="Y68" s="251">
        <v>33340.209999999992</v>
      </c>
      <c r="Z68" s="251">
        <v>0</v>
      </c>
      <c r="AA68" s="274">
        <f t="shared" si="20"/>
        <v>33340.209999999992</v>
      </c>
      <c r="AB68" t="b">
        <f t="shared" si="21"/>
        <v>1</v>
      </c>
    </row>
    <row r="69" spans="1:28" ht="12.75">
      <c r="A69" s="191">
        <v>56</v>
      </c>
      <c r="B69" t="s">
        <v>251</v>
      </c>
      <c r="C69" t="s">
        <v>1034</v>
      </c>
      <c r="D69" s="251">
        <v>5325.1999999999998</v>
      </c>
      <c r="E69" s="251">
        <v>9280.6399999999994</v>
      </c>
      <c r="F69" s="251">
        <v>3093.5500000000002</v>
      </c>
      <c r="G69" s="251">
        <v>3093.5500000000002</v>
      </c>
      <c r="H69" s="251">
        <v>3093.5500000000002</v>
      </c>
      <c r="I69" s="251">
        <v>3093.5500000000002</v>
      </c>
      <c r="J69" s="251">
        <v>3093.5500000000002</v>
      </c>
      <c r="K69" s="251">
        <v>3093.5500000000002</v>
      </c>
      <c r="L69" s="251">
        <v>3524.6999999999998</v>
      </c>
      <c r="M69" s="251">
        <v>3093.5500000000002</v>
      </c>
      <c r="N69" s="251">
        <v>3093.5500000000002</v>
      </c>
      <c r="O69" s="321">
        <v>2368.4699999999998</v>
      </c>
      <c r="P69" s="253">
        <f t="shared" si="17"/>
        <v>45247.410000000003</v>
      </c>
      <c r="Q69" s="251"/>
      <c r="R69" s="251">
        <v>0</v>
      </c>
      <c r="S69" s="251">
        <v>0</v>
      </c>
      <c r="T69" s="251">
        <v>0</v>
      </c>
      <c r="U69" s="253">
        <f t="shared" si="18"/>
        <v>0</v>
      </c>
      <c r="V69" s="251">
        <v>45247.409999999989</v>
      </c>
      <c r="W69" s="251">
        <v>0</v>
      </c>
      <c r="X69" s="253">
        <f t="shared" si="19"/>
        <v>45247.409999999989</v>
      </c>
      <c r="Y69" s="251">
        <v>0</v>
      </c>
      <c r="Z69" s="251">
        <v>0</v>
      </c>
      <c r="AA69" s="274">
        <f t="shared" si="20"/>
        <v>45247.409999999989</v>
      </c>
      <c r="AB69" t="b">
        <f t="shared" si="21"/>
        <v>1</v>
      </c>
    </row>
    <row r="70" spans="1:28" ht="12.75">
      <c r="A70" s="191">
        <v>57</v>
      </c>
      <c r="B70" t="s">
        <v>290</v>
      </c>
      <c r="C70" t="s">
        <v>1034</v>
      </c>
      <c r="D70" s="251">
        <v>3643.5599999999999</v>
      </c>
      <c r="E70" s="251">
        <v>6349.9099999999999</v>
      </c>
      <c r="F70" s="251">
        <v>2116.6399999999999</v>
      </c>
      <c r="G70" s="251">
        <v>2116.6399999999999</v>
      </c>
      <c r="H70" s="251">
        <v>2116.6399999999999</v>
      </c>
      <c r="I70" s="251">
        <v>2116.6399999999999</v>
      </c>
      <c r="J70" s="251">
        <v>2116.6399999999999</v>
      </c>
      <c r="K70" s="251">
        <v>2116.6399999999999</v>
      </c>
      <c r="L70" s="251">
        <v>2411.6300000000001</v>
      </c>
      <c r="M70" s="251">
        <v>2116.6399999999999</v>
      </c>
      <c r="N70" s="251">
        <v>2116.6399999999999</v>
      </c>
      <c r="O70" s="321">
        <v>1620.53</v>
      </c>
      <c r="P70" s="253">
        <f t="shared" si="17"/>
        <v>30958.749999999996</v>
      </c>
      <c r="Q70" s="251"/>
      <c r="R70" s="251">
        <v>0</v>
      </c>
      <c r="S70" s="251">
        <v>0</v>
      </c>
      <c r="T70" s="251">
        <v>0</v>
      </c>
      <c r="U70" s="253">
        <f t="shared" si="18"/>
        <v>0</v>
      </c>
      <c r="V70" s="251">
        <v>30958.749999999996</v>
      </c>
      <c r="W70" s="251">
        <v>0</v>
      </c>
      <c r="X70" s="253">
        <f t="shared" si="19"/>
        <v>30958.749999999996</v>
      </c>
      <c r="Y70" s="251">
        <v>0</v>
      </c>
      <c r="Z70" s="251">
        <v>0</v>
      </c>
      <c r="AA70" s="274">
        <f t="shared" si="20"/>
        <v>30958.749999999996</v>
      </c>
      <c r="AB70" t="b">
        <f t="shared" si="21"/>
        <v>1</v>
      </c>
    </row>
    <row r="71" spans="1:28" ht="12.75">
      <c r="A71" s="191">
        <v>58</v>
      </c>
      <c r="B71" t="s">
        <v>236</v>
      </c>
      <c r="C71" t="s">
        <v>1047</v>
      </c>
      <c r="D71" s="251">
        <v>1840</v>
      </c>
      <c r="E71" s="251">
        <v>1840</v>
      </c>
      <c r="F71" s="251">
        <v>1840</v>
      </c>
      <c r="G71" s="251">
        <v>0</v>
      </c>
      <c r="H71" s="251">
        <v>0</v>
      </c>
      <c r="I71" s="251">
        <v>0</v>
      </c>
      <c r="J71" s="251">
        <v>7360</v>
      </c>
      <c r="K71" s="251">
        <v>1840</v>
      </c>
      <c r="L71" s="251">
        <v>1840</v>
      </c>
      <c r="M71" s="251">
        <v>1840</v>
      </c>
      <c r="N71" s="251">
        <v>1840</v>
      </c>
      <c r="O71" s="321">
        <v>1840</v>
      </c>
      <c r="P71" s="253">
        <f t="shared" si="17"/>
        <v>22080</v>
      </c>
      <c r="Q71" s="251"/>
      <c r="R71" s="251">
        <v>22080</v>
      </c>
      <c r="S71" s="251">
        <v>0</v>
      </c>
      <c r="T71" s="251">
        <v>0</v>
      </c>
      <c r="U71" s="253">
        <f t="shared" si="18"/>
        <v>22080</v>
      </c>
      <c r="V71" s="251">
        <v>0</v>
      </c>
      <c r="W71" s="251">
        <v>0</v>
      </c>
      <c r="X71" s="253">
        <f t="shared" si="19"/>
        <v>0</v>
      </c>
      <c r="Y71" s="251">
        <v>0</v>
      </c>
      <c r="Z71" s="251">
        <v>0</v>
      </c>
      <c r="AA71" s="274">
        <f t="shared" si="20"/>
        <v>22080</v>
      </c>
      <c r="AB71" t="b">
        <f t="shared" si="21"/>
        <v>1</v>
      </c>
    </row>
    <row r="72" spans="1:28" ht="12.75">
      <c r="A72" s="191">
        <v>59</v>
      </c>
      <c r="B72" t="s">
        <v>251</v>
      </c>
      <c r="C72" t="s">
        <v>1036</v>
      </c>
      <c r="D72" s="251">
        <v>1317.6900000000001</v>
      </c>
      <c r="E72" s="251">
        <v>1058.4000000000001</v>
      </c>
      <c r="F72" s="251">
        <v>1058.4000000000001</v>
      </c>
      <c r="G72" s="251">
        <v>1058.4000000000001</v>
      </c>
      <c r="H72" s="251">
        <v>1433.99</v>
      </c>
      <c r="I72" s="251">
        <v>1058.4000000000001</v>
      </c>
      <c r="J72" s="251">
        <v>1058.4000000000001</v>
      </c>
      <c r="K72" s="251">
        <v>1227.3199999999999</v>
      </c>
      <c r="L72" s="251">
        <v>1058.4000000000001</v>
      </c>
      <c r="M72" s="251">
        <v>1218.6500000000001</v>
      </c>
      <c r="N72" s="251">
        <v>1058.4000000000001</v>
      </c>
      <c r="O72" s="321">
        <v>1058.4000000000001</v>
      </c>
      <c r="P72" s="253">
        <f t="shared" si="17"/>
        <v>13664.849999999999</v>
      </c>
      <c r="Q72" s="251"/>
      <c r="R72" s="251">
        <v>0</v>
      </c>
      <c r="S72" s="251">
        <v>0</v>
      </c>
      <c r="T72" s="251">
        <v>0</v>
      </c>
      <c r="U72" s="253">
        <f t="shared" si="18"/>
        <v>0</v>
      </c>
      <c r="V72" s="251">
        <v>13664.849999999999</v>
      </c>
      <c r="W72" s="251">
        <v>0</v>
      </c>
      <c r="X72" s="253">
        <f t="shared" si="19"/>
        <v>13664.849999999999</v>
      </c>
      <c r="Y72" s="251">
        <v>0</v>
      </c>
      <c r="Z72" s="251">
        <v>0</v>
      </c>
      <c r="AA72" s="274">
        <f t="shared" si="20"/>
        <v>13664.849999999999</v>
      </c>
      <c r="AB72" t="b">
        <f t="shared" si="21"/>
        <v>1</v>
      </c>
    </row>
    <row r="73" spans="1:28" ht="12.75">
      <c r="A73" s="191">
        <v>60</v>
      </c>
      <c r="B73" t="s">
        <v>251</v>
      </c>
      <c r="C73" t="s">
        <v>1037</v>
      </c>
      <c r="D73" s="251">
        <v>2084.4000000000001</v>
      </c>
      <c r="E73" s="251">
        <v>7311.2600000000002</v>
      </c>
      <c r="F73" s="251">
        <v>2084.4000000000001</v>
      </c>
      <c r="G73" s="251">
        <v>2084.4000000000001</v>
      </c>
      <c r="H73" s="251">
        <v>2084.4000000000001</v>
      </c>
      <c r="I73" s="251">
        <v>2084.4000000000001</v>
      </c>
      <c r="J73" s="251">
        <v>2084.4000000000001</v>
      </c>
      <c r="K73" s="251">
        <v>2084.4000000000001</v>
      </c>
      <c r="L73" s="251">
        <v>2084.4000000000001</v>
      </c>
      <c r="M73" s="251">
        <v>2084.4000000000001</v>
      </c>
      <c r="N73" s="251">
        <v>0</v>
      </c>
      <c r="O73" s="321">
        <v>4950</v>
      </c>
      <c r="P73" s="253">
        <f t="shared" si="17"/>
        <v>31020.860000000004</v>
      </c>
      <c r="Q73" s="251"/>
      <c r="R73" s="251">
        <v>0</v>
      </c>
      <c r="S73" s="251">
        <v>0</v>
      </c>
      <c r="T73" s="251">
        <v>0</v>
      </c>
      <c r="U73" s="253">
        <f t="shared" si="18"/>
        <v>0</v>
      </c>
      <c r="V73" s="251">
        <v>31020.860000000001</v>
      </c>
      <c r="W73" s="251">
        <v>0</v>
      </c>
      <c r="X73" s="253">
        <f t="shared" si="19"/>
        <v>31020.860000000001</v>
      </c>
      <c r="Y73" s="251">
        <v>0</v>
      </c>
      <c r="Z73" s="251">
        <v>0</v>
      </c>
      <c r="AA73" s="274">
        <f t="shared" si="20"/>
        <v>31020.860000000001</v>
      </c>
      <c r="AB73" t="b">
        <f t="shared" si="21"/>
        <v>1</v>
      </c>
    </row>
    <row r="74" spans="1:28" ht="12.75">
      <c r="A74" s="191">
        <v>61</v>
      </c>
      <c r="B74" t="s">
        <v>290</v>
      </c>
      <c r="C74" t="s">
        <v>1037</v>
      </c>
      <c r="D74" s="251">
        <v>277.92000000000002</v>
      </c>
      <c r="E74" s="251">
        <v>974.83000000000004</v>
      </c>
      <c r="F74" s="251">
        <v>277.92000000000002</v>
      </c>
      <c r="G74" s="251">
        <v>277.92000000000002</v>
      </c>
      <c r="H74" s="251">
        <v>277.92000000000002</v>
      </c>
      <c r="I74" s="251">
        <v>277.92000000000002</v>
      </c>
      <c r="J74" s="251">
        <v>277.92000000000002</v>
      </c>
      <c r="K74" s="251">
        <v>277.92000000000002</v>
      </c>
      <c r="L74" s="251">
        <v>277.92000000000002</v>
      </c>
      <c r="M74" s="251">
        <v>277.92000000000002</v>
      </c>
      <c r="N74" s="251">
        <v>0</v>
      </c>
      <c r="O74" s="321">
        <v>660</v>
      </c>
      <c r="P74" s="253">
        <f t="shared" si="17"/>
        <v>4136.1100000000006</v>
      </c>
      <c r="Q74" s="251"/>
      <c r="R74" s="251">
        <v>0</v>
      </c>
      <c r="S74" s="251">
        <v>0</v>
      </c>
      <c r="T74" s="251">
        <v>0</v>
      </c>
      <c r="U74" s="253">
        <f t="shared" si="18"/>
        <v>0</v>
      </c>
      <c r="V74" s="251">
        <v>4136.1100000000006</v>
      </c>
      <c r="W74" s="251">
        <v>0</v>
      </c>
      <c r="X74" s="253">
        <f t="shared" si="19"/>
        <v>4136.1100000000006</v>
      </c>
      <c r="Y74" s="251">
        <v>0</v>
      </c>
      <c r="Z74" s="251">
        <v>0</v>
      </c>
      <c r="AA74" s="274">
        <f t="shared" si="20"/>
        <v>4136.1100000000006</v>
      </c>
      <c r="AB74" t="b">
        <f t="shared" si="21"/>
        <v>1</v>
      </c>
    </row>
    <row r="75" spans="1:28" ht="12.75">
      <c r="A75" s="191">
        <v>62</v>
      </c>
      <c r="B75" t="s">
        <v>236</v>
      </c>
      <c r="C75" t="s">
        <v>1038</v>
      </c>
      <c r="D75" s="251">
        <v>13726.379999999999</v>
      </c>
      <c r="E75" s="251">
        <v>3327.0300000000002</v>
      </c>
      <c r="F75" s="251">
        <v>3327.0300000000002</v>
      </c>
      <c r="G75" s="251">
        <v>3327.0300000000002</v>
      </c>
      <c r="H75" s="251">
        <v>3327.0300000000002</v>
      </c>
      <c r="I75" s="251">
        <v>3327.0300000000002</v>
      </c>
      <c r="J75" s="251">
        <v>3327.0300000000002</v>
      </c>
      <c r="K75" s="251">
        <v>3327.0300000000002</v>
      </c>
      <c r="L75" s="251">
        <v>3982.6700000000001</v>
      </c>
      <c r="M75" s="251">
        <v>3327.0300000000002</v>
      </c>
      <c r="N75" s="251">
        <v>3327.0300000000002</v>
      </c>
      <c r="O75" s="321">
        <v>2181.1500000000001</v>
      </c>
      <c r="P75" s="253">
        <f t="shared" si="17"/>
        <v>49833.469999999994</v>
      </c>
      <c r="Q75" s="251"/>
      <c r="R75" s="251">
        <v>49833.469999999994</v>
      </c>
      <c r="S75" s="251">
        <v>0</v>
      </c>
      <c r="T75" s="251">
        <v>0</v>
      </c>
      <c r="U75" s="253">
        <f t="shared" si="18"/>
        <v>49833.469999999994</v>
      </c>
      <c r="V75" s="251">
        <v>0</v>
      </c>
      <c r="W75" s="251">
        <v>0</v>
      </c>
      <c r="X75" s="253">
        <f t="shared" si="19"/>
        <v>0</v>
      </c>
      <c r="Y75" s="251">
        <v>0</v>
      </c>
      <c r="Z75" s="251">
        <v>0</v>
      </c>
      <c r="AA75" s="274">
        <f t="shared" si="20"/>
        <v>49833.469999999994</v>
      </c>
      <c r="AB75" t="b">
        <f t="shared" si="21"/>
        <v>1</v>
      </c>
    </row>
    <row r="76" spans="1:28" ht="12.75">
      <c r="A76" s="191">
        <v>63</v>
      </c>
      <c r="B76" t="s">
        <v>251</v>
      </c>
      <c r="C76" t="s">
        <v>1039</v>
      </c>
      <c r="D76" s="251">
        <v>14072.889999999999</v>
      </c>
      <c r="E76" s="251">
        <v>2054.46</v>
      </c>
      <c r="F76" s="251">
        <v>5304.3999999999996</v>
      </c>
      <c r="G76" s="251">
        <v>1768.1300000000001</v>
      </c>
      <c r="H76" s="251">
        <v>1768.1300000000001</v>
      </c>
      <c r="I76" s="251">
        <v>1768.1300000000001</v>
      </c>
      <c r="J76" s="251">
        <v>1768.1300000000001</v>
      </c>
      <c r="K76" s="251">
        <v>1768.1300000000001</v>
      </c>
      <c r="L76" s="251">
        <v>4019.8899999999999</v>
      </c>
      <c r="M76" s="251">
        <v>1295.5999999999999</v>
      </c>
      <c r="N76" s="251">
        <v>6600</v>
      </c>
      <c r="O76" s="321">
        <v>218.19</v>
      </c>
      <c r="P76" s="253">
        <f t="shared" si="17"/>
        <v>42406.080000000009</v>
      </c>
      <c r="Q76" s="251"/>
      <c r="R76" s="251">
        <v>0</v>
      </c>
      <c r="S76" s="251">
        <v>0</v>
      </c>
      <c r="T76" s="251">
        <v>0</v>
      </c>
      <c r="U76" s="253">
        <f t="shared" si="18"/>
        <v>0</v>
      </c>
      <c r="V76" s="251">
        <v>42406.080000000002</v>
      </c>
      <c r="W76" s="251">
        <v>0</v>
      </c>
      <c r="X76" s="253">
        <f t="shared" si="19"/>
        <v>42406.080000000002</v>
      </c>
      <c r="Y76" s="251">
        <v>0</v>
      </c>
      <c r="Z76" s="251">
        <v>0</v>
      </c>
      <c r="AA76" s="274">
        <f t="shared" si="20"/>
        <v>42406.080000000002</v>
      </c>
      <c r="AB76" t="b">
        <f t="shared" si="21"/>
        <v>1</v>
      </c>
    </row>
    <row r="77" spans="1:28" ht="12.75">
      <c r="A77" s="191">
        <v>64</v>
      </c>
      <c r="B77" t="s">
        <v>256</v>
      </c>
      <c r="C77" t="s">
        <v>1039</v>
      </c>
      <c r="D77" s="251">
        <v>2110.9299999999998</v>
      </c>
      <c r="E77" s="251">
        <v>308.17000000000002</v>
      </c>
      <c r="F77" s="251">
        <v>795.65999999999997</v>
      </c>
      <c r="G77" s="251">
        <v>265.22000000000003</v>
      </c>
      <c r="H77" s="251">
        <v>265.22000000000003</v>
      </c>
      <c r="I77" s="251">
        <v>265.22000000000003</v>
      </c>
      <c r="J77" s="251">
        <v>265.22000000000003</v>
      </c>
      <c r="K77" s="251">
        <v>265.22000000000003</v>
      </c>
      <c r="L77" s="251">
        <v>602.98000000000002</v>
      </c>
      <c r="M77" s="251">
        <v>194.34</v>
      </c>
      <c r="N77" s="251">
        <v>990</v>
      </c>
      <c r="O77" s="321">
        <v>32.729999999999997</v>
      </c>
      <c r="P77" s="253">
        <f t="shared" si="17"/>
        <v>6360.9099999999999</v>
      </c>
      <c r="Q77" s="251"/>
      <c r="R77" s="251">
        <v>0</v>
      </c>
      <c r="S77" s="251">
        <v>0</v>
      </c>
      <c r="T77" s="251">
        <v>0</v>
      </c>
      <c r="U77" s="253">
        <f t="shared" si="18"/>
        <v>0</v>
      </c>
      <c r="V77" s="251">
        <v>6346.5100000000002</v>
      </c>
      <c r="W77" s="251">
        <v>0</v>
      </c>
      <c r="X77" s="253">
        <f t="shared" si="19"/>
        <v>6346.5100000000002</v>
      </c>
      <c r="Y77" s="251">
        <v>14.399999999999999</v>
      </c>
      <c r="Z77" s="251">
        <v>0</v>
      </c>
      <c r="AA77" s="274">
        <f t="shared" si="20"/>
        <v>6360.9099999999999</v>
      </c>
      <c r="AB77" t="b">
        <f t="shared" si="21"/>
        <v>1</v>
      </c>
    </row>
    <row r="78" spans="1:28" ht="12.75">
      <c r="A78" s="191">
        <v>65</v>
      </c>
      <c r="B78" t="s">
        <v>290</v>
      </c>
      <c r="C78" t="s">
        <v>1039</v>
      </c>
      <c r="D78" s="251">
        <v>4221.8699999999999</v>
      </c>
      <c r="E78" s="251">
        <v>616.34000000000003</v>
      </c>
      <c r="F78" s="251">
        <v>1591.3199999999999</v>
      </c>
      <c r="G78" s="251">
        <v>530.44000000000005</v>
      </c>
      <c r="H78" s="251">
        <v>530.44000000000005</v>
      </c>
      <c r="I78" s="251">
        <v>530.44000000000005</v>
      </c>
      <c r="J78" s="251">
        <v>530.44000000000005</v>
      </c>
      <c r="K78" s="251">
        <v>530.44000000000005</v>
      </c>
      <c r="L78" s="251">
        <v>1205.97</v>
      </c>
      <c r="M78" s="251">
        <v>388.68000000000001</v>
      </c>
      <c r="N78" s="251">
        <v>1980</v>
      </c>
      <c r="O78" s="321">
        <v>65.459999999999994</v>
      </c>
      <c r="P78" s="253">
        <f t="shared" si="17"/>
        <v>12721.84</v>
      </c>
      <c r="Q78" s="251"/>
      <c r="R78" s="251">
        <v>0</v>
      </c>
      <c r="S78" s="251">
        <v>0</v>
      </c>
      <c r="T78" s="251">
        <v>0</v>
      </c>
      <c r="U78" s="253">
        <f t="shared" si="18"/>
        <v>0</v>
      </c>
      <c r="V78" s="251">
        <v>12709.690000000002</v>
      </c>
      <c r="W78" s="251">
        <v>0</v>
      </c>
      <c r="X78" s="253">
        <f t="shared" si="19"/>
        <v>12709.690000000002</v>
      </c>
      <c r="Y78" s="251">
        <v>12.149999999999999</v>
      </c>
      <c r="Z78" s="251">
        <v>0</v>
      </c>
      <c r="AA78" s="274">
        <f t="shared" si="20"/>
        <v>12721.840000000002</v>
      </c>
      <c r="AB78" t="b">
        <f t="shared" si="21"/>
        <v>1</v>
      </c>
    </row>
    <row r="79" spans="1:28" ht="12.75">
      <c r="A79" s="191">
        <v>66</v>
      </c>
      <c r="B79" t="s">
        <v>236</v>
      </c>
      <c r="C79" t="s">
        <v>1051</v>
      </c>
      <c r="D79" s="251">
        <v>0</v>
      </c>
      <c r="E79" s="251">
        <v>0</v>
      </c>
      <c r="F79" s="251">
        <v>0</v>
      </c>
      <c r="G79" s="251">
        <v>0</v>
      </c>
      <c r="H79" s="251">
        <v>0</v>
      </c>
      <c r="I79" s="251">
        <v>18790</v>
      </c>
      <c r="J79" s="251">
        <v>18790</v>
      </c>
      <c r="K79" s="251">
        <v>18790</v>
      </c>
      <c r="L79" s="251">
        <v>37580</v>
      </c>
      <c r="M79" s="251">
        <v>0</v>
      </c>
      <c r="N79" s="251">
        <v>0</v>
      </c>
      <c r="O79" s="321">
        <v>0</v>
      </c>
      <c r="P79" s="253">
        <f t="shared" si="17"/>
        <v>93950</v>
      </c>
      <c r="Q79" s="251"/>
      <c r="R79" s="251">
        <v>93912.700000000012</v>
      </c>
      <c r="S79" s="251">
        <v>0</v>
      </c>
      <c r="T79" s="251">
        <v>0</v>
      </c>
      <c r="U79" s="253">
        <f t="shared" si="18"/>
        <v>93912.700000000012</v>
      </c>
      <c r="V79" s="251">
        <v>37.299999999999997</v>
      </c>
      <c r="W79" s="251">
        <v>0</v>
      </c>
      <c r="X79" s="253">
        <f t="shared" si="19"/>
        <v>37.299999999999997</v>
      </c>
      <c r="Y79" s="251">
        <v>0</v>
      </c>
      <c r="Z79" s="251">
        <v>0</v>
      </c>
      <c r="AA79" s="274">
        <f t="shared" si="20"/>
        <v>93950.000000000015</v>
      </c>
      <c r="AB79" t="b">
        <f t="shared" si="21"/>
        <v>1</v>
      </c>
    </row>
    <row r="80" spans="1:28" ht="12.75">
      <c r="A80" s="191">
        <v>67</v>
      </c>
      <c r="B80" t="s">
        <v>247</v>
      </c>
      <c r="C80" t="s">
        <v>1040</v>
      </c>
      <c r="D80" s="251">
        <v>1377.5</v>
      </c>
      <c r="E80" s="251">
        <v>522</v>
      </c>
      <c r="F80" s="251">
        <v>522</v>
      </c>
      <c r="G80" s="251">
        <v>522</v>
      </c>
      <c r="H80" s="251">
        <v>522</v>
      </c>
      <c r="I80" s="251">
        <v>522</v>
      </c>
      <c r="J80" s="251">
        <v>522</v>
      </c>
      <c r="K80" s="251">
        <v>522</v>
      </c>
      <c r="L80" s="251">
        <v>737.35000000000002</v>
      </c>
      <c r="M80" s="251">
        <v>522</v>
      </c>
      <c r="N80" s="251">
        <v>522</v>
      </c>
      <c r="O80" s="321">
        <v>352.99000000000001</v>
      </c>
      <c r="P80" s="253">
        <f t="shared" si="17"/>
        <v>7165.8400000000001</v>
      </c>
      <c r="Q80" s="251"/>
      <c r="R80" s="251">
        <v>0</v>
      </c>
      <c r="S80" s="251">
        <v>0</v>
      </c>
      <c r="T80" s="251">
        <v>0</v>
      </c>
      <c r="U80" s="253">
        <f t="shared" si="18"/>
        <v>0</v>
      </c>
      <c r="V80" s="251">
        <v>0</v>
      </c>
      <c r="W80" s="251">
        <v>0</v>
      </c>
      <c r="X80" s="253">
        <f t="shared" si="19"/>
        <v>0</v>
      </c>
      <c r="Y80" s="251">
        <v>7165.8400000000001</v>
      </c>
      <c r="Z80" s="251">
        <v>0</v>
      </c>
      <c r="AA80" s="274">
        <f t="shared" si="20"/>
        <v>7165.8400000000001</v>
      </c>
      <c r="AB80" t="b">
        <f t="shared" si="21"/>
        <v>1</v>
      </c>
    </row>
    <row r="81" spans="1:28" ht="12.75">
      <c r="A81" s="191">
        <v>68</v>
      </c>
      <c r="B81" t="s">
        <v>251</v>
      </c>
      <c r="C81" t="s">
        <v>1040</v>
      </c>
      <c r="D81" s="251">
        <v>5356.9399999999996</v>
      </c>
      <c r="E81" s="251">
        <v>2030</v>
      </c>
      <c r="F81" s="251">
        <v>2030</v>
      </c>
      <c r="G81" s="251">
        <v>2030</v>
      </c>
      <c r="H81" s="251">
        <v>2030</v>
      </c>
      <c r="I81" s="251">
        <v>2030</v>
      </c>
      <c r="J81" s="251">
        <v>2030</v>
      </c>
      <c r="K81" s="251">
        <v>2030</v>
      </c>
      <c r="L81" s="251">
        <v>2867.4699999999998</v>
      </c>
      <c r="M81" s="251">
        <v>2030</v>
      </c>
      <c r="N81" s="251">
        <v>2030</v>
      </c>
      <c r="O81" s="321">
        <v>1372.72</v>
      </c>
      <c r="P81" s="253">
        <f t="shared" si="17"/>
        <v>27867.130000000001</v>
      </c>
      <c r="Q81" s="251"/>
      <c r="R81" s="251">
        <v>0</v>
      </c>
      <c r="S81" s="251">
        <v>0</v>
      </c>
      <c r="T81" s="251">
        <v>0</v>
      </c>
      <c r="U81" s="253">
        <f t="shared" si="18"/>
        <v>0</v>
      </c>
      <c r="V81" s="251">
        <v>27867.130000000001</v>
      </c>
      <c r="W81" s="251">
        <v>0</v>
      </c>
      <c r="X81" s="253">
        <f t="shared" si="19"/>
        <v>27867.130000000001</v>
      </c>
      <c r="Y81" s="251">
        <v>0</v>
      </c>
      <c r="Z81" s="251">
        <v>0</v>
      </c>
      <c r="AA81" s="274">
        <f t="shared" si="20"/>
        <v>27867.130000000001</v>
      </c>
      <c r="AB81" t="b">
        <f t="shared" si="21"/>
        <v>1</v>
      </c>
    </row>
    <row r="82" spans="1:28" ht="12.75">
      <c r="A82" s="191">
        <v>69</v>
      </c>
      <c r="B82" t="s">
        <v>247</v>
      </c>
      <c r="C82" t="s">
        <v>1048</v>
      </c>
      <c r="D82" s="251">
        <v>0</v>
      </c>
      <c r="E82" s="251">
        <v>1800</v>
      </c>
      <c r="F82" s="251">
        <v>0</v>
      </c>
      <c r="G82" s="251">
        <v>0</v>
      </c>
      <c r="H82" s="251">
        <v>0</v>
      </c>
      <c r="I82" s="251">
        <v>0</v>
      </c>
      <c r="J82" s="251">
        <v>3000</v>
      </c>
      <c r="K82" s="251">
        <v>600</v>
      </c>
      <c r="L82" s="251">
        <v>600</v>
      </c>
      <c r="M82" s="251">
        <v>600</v>
      </c>
      <c r="N82" s="251">
        <v>600</v>
      </c>
      <c r="O82" s="321">
        <v>600</v>
      </c>
      <c r="P82" s="253">
        <f t="shared" si="17"/>
        <v>7800</v>
      </c>
      <c r="Q82" s="251"/>
      <c r="R82" s="251">
        <v>0</v>
      </c>
      <c r="S82" s="251">
        <v>0</v>
      </c>
      <c r="T82" s="251">
        <v>0</v>
      </c>
      <c r="U82" s="253">
        <f t="shared" si="18"/>
        <v>0</v>
      </c>
      <c r="V82" s="251">
        <v>0</v>
      </c>
      <c r="W82" s="251">
        <v>0</v>
      </c>
      <c r="X82" s="253">
        <f t="shared" si="19"/>
        <v>0</v>
      </c>
      <c r="Y82" s="251">
        <v>7800</v>
      </c>
      <c r="Z82" s="251">
        <v>0</v>
      </c>
      <c r="AA82" s="274">
        <f t="shared" si="20"/>
        <v>7800</v>
      </c>
      <c r="AB82" t="b">
        <f t="shared" si="21"/>
        <v>1</v>
      </c>
    </row>
    <row r="83" spans="1:28" ht="12.75">
      <c r="A83" s="191">
        <v>70</v>
      </c>
      <c r="B83" t="s">
        <v>251</v>
      </c>
      <c r="C83" t="s">
        <v>1048</v>
      </c>
      <c r="D83" s="251">
        <v>0</v>
      </c>
      <c r="E83" s="251">
        <v>354.19999999999999</v>
      </c>
      <c r="F83" s="251">
        <v>0</v>
      </c>
      <c r="G83" s="251">
        <v>0</v>
      </c>
      <c r="H83" s="251">
        <v>0</v>
      </c>
      <c r="I83" s="251">
        <v>0</v>
      </c>
      <c r="J83" s="251">
        <v>0</v>
      </c>
      <c r="K83" s="251">
        <v>0</v>
      </c>
      <c r="L83" s="251">
        <v>0</v>
      </c>
      <c r="M83" s="251">
        <v>0</v>
      </c>
      <c r="N83" s="251">
        <v>0</v>
      </c>
      <c r="O83" s="321">
        <v>0</v>
      </c>
      <c r="P83" s="253">
        <f t="shared" si="17"/>
        <v>354.19999999999999</v>
      </c>
      <c r="Q83" s="251"/>
      <c r="R83" s="251">
        <v>0</v>
      </c>
      <c r="S83" s="251">
        <v>0</v>
      </c>
      <c r="T83" s="251">
        <v>0</v>
      </c>
      <c r="U83" s="253">
        <f t="shared" si="18"/>
        <v>0</v>
      </c>
      <c r="V83" s="251">
        <v>354.19999999999999</v>
      </c>
      <c r="W83" s="251">
        <v>0</v>
      </c>
      <c r="X83" s="253">
        <f t="shared" si="19"/>
        <v>354.19999999999999</v>
      </c>
      <c r="Y83" s="251">
        <v>0</v>
      </c>
      <c r="Z83" s="251">
        <v>0</v>
      </c>
      <c r="AA83" s="274">
        <f t="shared" si="20"/>
        <v>354.19999999999999</v>
      </c>
      <c r="AB83" t="b">
        <f t="shared" si="21"/>
        <v>1</v>
      </c>
    </row>
    <row r="84" spans="1:28" ht="12.75">
      <c r="A84" s="191">
        <v>71</v>
      </c>
      <c r="B84" t="s">
        <v>237</v>
      </c>
      <c r="C84" t="s">
        <v>1041</v>
      </c>
      <c r="D84" s="251">
        <v>3900</v>
      </c>
      <c r="E84" s="251">
        <v>3900</v>
      </c>
      <c r="F84" s="251">
        <v>3900</v>
      </c>
      <c r="G84" s="251">
        <v>3900</v>
      </c>
      <c r="H84" s="251">
        <v>3900</v>
      </c>
      <c r="I84" s="251">
        <v>3900</v>
      </c>
      <c r="J84" s="251">
        <v>3900</v>
      </c>
      <c r="K84" s="251">
        <v>3900</v>
      </c>
      <c r="L84" s="251">
        <v>3900</v>
      </c>
      <c r="M84" s="251">
        <v>3900</v>
      </c>
      <c r="N84" s="251">
        <v>3900</v>
      </c>
      <c r="O84" s="321">
        <v>3900</v>
      </c>
      <c r="P84" s="253">
        <f t="shared" si="17"/>
        <v>46800</v>
      </c>
      <c r="Q84" s="251"/>
      <c r="R84" s="251">
        <v>46800</v>
      </c>
      <c r="S84" s="251">
        <v>0</v>
      </c>
      <c r="T84" s="251">
        <v>0</v>
      </c>
      <c r="U84" s="253">
        <f t="shared" si="18"/>
        <v>46800</v>
      </c>
      <c r="V84" s="251">
        <v>0</v>
      </c>
      <c r="W84" s="251">
        <v>0</v>
      </c>
      <c r="X84" s="253">
        <f t="shared" si="19"/>
        <v>0</v>
      </c>
      <c r="Y84" s="251">
        <v>0</v>
      </c>
      <c r="Z84" s="251">
        <v>0</v>
      </c>
      <c r="AA84" s="274">
        <f t="shared" si="20"/>
        <v>46800</v>
      </c>
      <c r="AB84" t="b">
        <f t="shared" si="21"/>
        <v>1</v>
      </c>
    </row>
    <row r="85" spans="1:28" ht="12.75">
      <c r="A85" s="191">
        <v>72</v>
      </c>
      <c r="B85" t="s">
        <v>236</v>
      </c>
      <c r="C85" t="s">
        <v>1042</v>
      </c>
      <c r="D85" s="251">
        <v>5594.6999999999998</v>
      </c>
      <c r="E85" s="251">
        <v>2606.8000000000002</v>
      </c>
      <c r="F85" s="251">
        <v>2606.8000000000002</v>
      </c>
      <c r="G85" s="251">
        <v>2606.8000000000002</v>
      </c>
      <c r="H85" s="251">
        <v>2606.8000000000002</v>
      </c>
      <c r="I85" s="251">
        <v>2606.8000000000002</v>
      </c>
      <c r="J85" s="251">
        <v>2606.8000000000002</v>
      </c>
      <c r="K85" s="251">
        <v>2606.8000000000002</v>
      </c>
      <c r="L85" s="251">
        <v>2525.5599999999999</v>
      </c>
      <c r="M85" s="251">
        <v>2606.8000000000002</v>
      </c>
      <c r="N85" s="251">
        <v>2606.8000000000002</v>
      </c>
      <c r="O85" s="321">
        <v>2609.3800000000001</v>
      </c>
      <c r="P85" s="253">
        <f t="shared" si="17"/>
        <v>34190.839999999997</v>
      </c>
      <c r="Q85" s="251"/>
      <c r="R85" s="251">
        <v>34190.839999999997</v>
      </c>
      <c r="S85" s="251">
        <v>0</v>
      </c>
      <c r="T85" s="251">
        <v>0</v>
      </c>
      <c r="U85" s="253">
        <f t="shared" si="18"/>
        <v>34190.839999999997</v>
      </c>
      <c r="V85" s="251">
        <v>0</v>
      </c>
      <c r="W85" s="251">
        <v>0</v>
      </c>
      <c r="X85" s="253">
        <f t="shared" si="19"/>
        <v>0</v>
      </c>
      <c r="Y85" s="251">
        <v>0</v>
      </c>
      <c r="Z85" s="251">
        <v>0</v>
      </c>
      <c r="AA85" s="274">
        <f t="shared" si="20"/>
        <v>34190.839999999997</v>
      </c>
      <c r="AB85" t="b">
        <f t="shared" si="21"/>
        <v>1</v>
      </c>
    </row>
    <row r="86" spans="1:28" ht="12.75">
      <c r="A86" s="191">
        <v>73</v>
      </c>
      <c r="B86" t="s">
        <v>286</v>
      </c>
      <c r="C86" t="s">
        <v>1043</v>
      </c>
      <c r="D86" s="251">
        <v>655.63999999999999</v>
      </c>
      <c r="E86" s="251">
        <v>655.63999999999999</v>
      </c>
      <c r="F86" s="251">
        <v>655.63999999999999</v>
      </c>
      <c r="G86" s="251">
        <v>655.63999999999999</v>
      </c>
      <c r="H86" s="251">
        <v>655.63999999999999</v>
      </c>
      <c r="I86" s="251">
        <v>655.63999999999999</v>
      </c>
      <c r="J86" s="251">
        <v>655.63999999999999</v>
      </c>
      <c r="K86" s="251">
        <v>655.63999999999999</v>
      </c>
      <c r="L86" s="251">
        <v>655.63999999999999</v>
      </c>
      <c r="M86" s="251">
        <v>655.63999999999999</v>
      </c>
      <c r="N86" s="251">
        <v>5607.7700000000004</v>
      </c>
      <c r="O86" s="321">
        <v>806.35000000000002</v>
      </c>
      <c r="P86" s="253">
        <f t="shared" si="17"/>
        <v>12970.520000000002</v>
      </c>
      <c r="Q86" s="251"/>
      <c r="R86" s="251">
        <v>0</v>
      </c>
      <c r="S86" s="251">
        <v>0</v>
      </c>
      <c r="T86" s="251">
        <v>0</v>
      </c>
      <c r="U86" s="253">
        <f t="shared" si="18"/>
        <v>0</v>
      </c>
      <c r="V86" s="251">
        <v>0</v>
      </c>
      <c r="W86" s="251">
        <v>0</v>
      </c>
      <c r="X86" s="253">
        <f t="shared" si="19"/>
        <v>0</v>
      </c>
      <c r="Y86" s="251">
        <v>0</v>
      </c>
      <c r="Z86" s="251">
        <f>+P86</f>
        <v>12970.520000000002</v>
      </c>
      <c r="AA86" s="274">
        <f t="shared" si="20"/>
        <v>12970.520000000002</v>
      </c>
      <c r="AB86" t="b">
        <f t="shared" si="21"/>
        <v>1</v>
      </c>
    </row>
    <row r="87" spans="1:28" ht="12.75">
      <c r="A87" s="191">
        <v>74</v>
      </c>
      <c r="B87" t="s">
        <v>250</v>
      </c>
      <c r="C87" t="s">
        <v>1044</v>
      </c>
      <c r="D87" s="251">
        <v>14717.610000000001</v>
      </c>
      <c r="E87" s="251">
        <v>5700</v>
      </c>
      <c r="F87" s="251">
        <v>5700</v>
      </c>
      <c r="G87" s="251">
        <v>5700</v>
      </c>
      <c r="H87" s="251">
        <v>5700</v>
      </c>
      <c r="I87" s="251">
        <v>5700</v>
      </c>
      <c r="J87" s="251">
        <v>5700</v>
      </c>
      <c r="K87" s="251">
        <v>5700</v>
      </c>
      <c r="L87" s="251">
        <v>6896.1899999999996</v>
      </c>
      <c r="M87" s="251">
        <v>5700</v>
      </c>
      <c r="N87" s="251">
        <v>5700</v>
      </c>
      <c r="O87" s="321">
        <v>5195.8699999999999</v>
      </c>
      <c r="P87" s="253">
        <f t="shared" si="17"/>
        <v>78109.669999999998</v>
      </c>
      <c r="Q87" s="251"/>
      <c r="R87" s="251">
        <v>0</v>
      </c>
      <c r="S87" s="251">
        <v>0</v>
      </c>
      <c r="T87" s="251">
        <v>0</v>
      </c>
      <c r="U87" s="253">
        <f t="shared" si="18"/>
        <v>0</v>
      </c>
      <c r="V87" s="251">
        <v>78109.669999999998</v>
      </c>
      <c r="W87" s="251">
        <v>0</v>
      </c>
      <c r="X87" s="253">
        <f t="shared" si="19"/>
        <v>78109.669999999998</v>
      </c>
      <c r="Y87" s="251">
        <v>0</v>
      </c>
      <c r="Z87" s="251">
        <v>0</v>
      </c>
      <c r="AA87" s="274">
        <f t="shared" si="20"/>
        <v>78109.669999999998</v>
      </c>
      <c r="AB87" t="b">
        <f t="shared" si="21"/>
        <v>1</v>
      </c>
    </row>
    <row r="88" spans="1:28" ht="12.75">
      <c r="A88" s="191">
        <v>75</v>
      </c>
      <c r="B88" t="s">
        <v>290</v>
      </c>
      <c r="C88" t="s">
        <v>1044</v>
      </c>
      <c r="D88" s="251">
        <v>1936.53</v>
      </c>
      <c r="E88" s="251">
        <v>750</v>
      </c>
      <c r="F88" s="251">
        <v>750</v>
      </c>
      <c r="G88" s="251">
        <v>750</v>
      </c>
      <c r="H88" s="251">
        <v>750</v>
      </c>
      <c r="I88" s="251">
        <v>750</v>
      </c>
      <c r="J88" s="251">
        <v>750</v>
      </c>
      <c r="K88" s="251">
        <v>750</v>
      </c>
      <c r="L88" s="251">
        <v>907.38999999999999</v>
      </c>
      <c r="M88" s="251">
        <v>750</v>
      </c>
      <c r="N88" s="251">
        <v>750</v>
      </c>
      <c r="O88" s="321">
        <v>683.66999999999996</v>
      </c>
      <c r="P88" s="253">
        <f t="shared" si="17"/>
        <v>10277.59</v>
      </c>
      <c r="Q88" s="251"/>
      <c r="R88" s="251">
        <v>0</v>
      </c>
      <c r="S88" s="251">
        <v>0</v>
      </c>
      <c r="T88" s="251">
        <v>0</v>
      </c>
      <c r="U88" s="253">
        <f t="shared" si="18"/>
        <v>0</v>
      </c>
      <c r="V88" s="251">
        <v>10277.59</v>
      </c>
      <c r="W88" s="251">
        <v>0</v>
      </c>
      <c r="X88" s="253">
        <f t="shared" si="19"/>
        <v>10277.59</v>
      </c>
      <c r="Y88" s="251">
        <v>0</v>
      </c>
      <c r="Z88" s="251">
        <v>0</v>
      </c>
      <c r="AA88" s="274">
        <f t="shared" si="20"/>
        <v>10277.59</v>
      </c>
      <c r="AB88" t="b">
        <f t="shared" si="21"/>
        <v>1</v>
      </c>
    </row>
    <row r="89" spans="1:28" ht="13.5" thickBot="1">
      <c r="A89" s="191">
        <v>76</v>
      </c>
      <c r="C89" s="206" t="s">
        <v>1046</v>
      </c>
      <c r="D89" s="317">
        <f>SUM(D53:D88)</f>
        <v>472531.3000000001</v>
      </c>
      <c r="E89" s="317">
        <f t="shared" si="22" ref="E89:P89">SUM(E53:E88)</f>
        <v>256063.31000000003</v>
      </c>
      <c r="F89" s="317">
        <f t="shared" si="22"/>
        <v>294284.07000000007</v>
      </c>
      <c r="G89" s="317">
        <f t="shared" si="22"/>
        <v>203408.54999999999</v>
      </c>
      <c r="H89" s="317">
        <f t="shared" si="22"/>
        <v>265987.79999999999</v>
      </c>
      <c r="I89" s="317">
        <f t="shared" si="22"/>
        <v>247202.23000000004</v>
      </c>
      <c r="J89" s="317">
        <f t="shared" si="22"/>
        <v>265977.5</v>
      </c>
      <c r="K89" s="317">
        <f t="shared" si="22"/>
        <v>257258.95000000004</v>
      </c>
      <c r="L89" s="317">
        <f t="shared" si="22"/>
        <v>292102.33000000007</v>
      </c>
      <c r="M89" s="317">
        <f t="shared" si="22"/>
        <v>234716.04000000001</v>
      </c>
      <c r="N89" s="317">
        <f t="shared" si="22"/>
        <v>244657.02999999997</v>
      </c>
      <c r="O89" s="317">
        <f t="shared" si="22"/>
        <v>232353.87000000002</v>
      </c>
      <c r="P89" s="317">
        <f t="shared" si="22"/>
        <v>3266542.98</v>
      </c>
      <c r="R89" s="317">
        <f t="shared" si="23" ref="R89:AA89">SUM(R53:R88)</f>
        <v>1472961.9800000002</v>
      </c>
      <c r="S89" s="317">
        <f t="shared" si="23"/>
        <v>0</v>
      </c>
      <c r="T89" s="317">
        <f t="shared" si="23"/>
        <v>0</v>
      </c>
      <c r="U89" s="317">
        <f t="shared" si="23"/>
        <v>1472961.9800000002</v>
      </c>
      <c r="V89" s="317">
        <f t="shared" si="23"/>
        <v>1392948.0800000003</v>
      </c>
      <c r="W89" s="317">
        <f t="shared" si="23"/>
        <v>0</v>
      </c>
      <c r="X89" s="317">
        <f t="shared" si="23"/>
        <v>1392948.0800000003</v>
      </c>
      <c r="Y89" s="317">
        <f t="shared" si="23"/>
        <v>372959.99000000005</v>
      </c>
      <c r="Z89" s="317">
        <f t="shared" si="23"/>
        <v>27672.930000000008</v>
      </c>
      <c r="AA89" s="317">
        <f t="shared" si="23"/>
        <v>3266542.98</v>
      </c>
      <c r="AB89" t="b">
        <f t="shared" si="21"/>
        <v>1</v>
      </c>
    </row>
    <row r="90" spans="1:1" ht="13.5" thickTop="1">
      <c r="A90" s="191">
        <v>77</v>
      </c>
    </row>
  </sheetData>
  <printOptions horizontalCentered="1"/>
  <pageMargins left="0.5" right="0.5" top="2.25" bottom="0.5" header="1.5" footer="0.5"/>
  <pageSetup fitToHeight="0" fitToWidth="2" orientation="landscape" pageOrder="overThenDown" scale="53" r:id="rId1"/>
  <headerFooter alignWithMargins="0">
    <oddHeader>&amp;C&amp;B
2022 RATE CASE
ONCOR ELECTRIC DELIVERY COMPANY LLC
II-D-2.9  RENTS AND LEASES - MONTHLY LEASE AMOUNT AND PAYMENT - 2019
TEST YEAR ENDING DECEMBER 31, 2021
SPONSOR: W. ALAN LEDBETTER&amp;R&amp;"Arial,Bold"Schedule &amp;A
Page &amp;P of &amp;N</oddHeader>
  </headerFooter>
  <rowBreaks count="1" manualBreakCount="1">
    <brk id="51" min="3" max="26" man="1"/>
  </rowBreaks>
  <colBreaks count="1" manualBreakCount="1">
    <brk id="16" min="13" max="90" man="1"/>
  </colBreak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2">
    <tabColor rgb="FFFF0000"/>
  </sheetPr>
  <dimension ref="A1:AC85"/>
  <sheetViews>
    <sheetView zoomScale="85" zoomScaleNormal="85" workbookViewId="0" topLeftCell="A1">
      <pane xSplit="3" ySplit="12" topLeftCell="D18" activePane="bottomRight" state="frozen"/>
      <selection pane="topLeft" activeCell="C50" sqref="C50"/>
      <selection pane="bottomLeft" activeCell="C50" sqref="C50"/>
      <selection pane="topRight" activeCell="C50" sqref="C50"/>
      <selection pane="bottomRight" activeCell="I59" sqref="I59"/>
    </sheetView>
  </sheetViews>
  <sheetFormatPr defaultRowHeight="12.75"/>
  <cols>
    <col min="1" max="1" width="6.28571428571429" customWidth="1"/>
    <col min="2" max="2" width="9.57142857142857" customWidth="1"/>
    <col min="3" max="3" width="45.5714285714286" bestFit="1" customWidth="1"/>
    <col min="4" max="14" width="14.7142857142857" style="66" customWidth="1"/>
    <col min="15" max="15" width="14.7142857142857" style="14" customWidth="1"/>
    <col min="16" max="16" width="14.7142857142857" style="66" customWidth="1"/>
    <col min="17" max="17" width="2.71428571428571" style="66" customWidth="1"/>
    <col min="18" max="18" width="11.5714285714286" style="66" bestFit="1" customWidth="1"/>
    <col min="19" max="21" width="11.5714285714286" style="66" customWidth="1"/>
    <col min="22" max="22" width="12.5714285714286" style="66" bestFit="1" customWidth="1"/>
    <col min="23" max="24" width="12.5714285714286" style="66" customWidth="1"/>
    <col min="25" max="25" width="11.5714285714286" style="66" bestFit="1" customWidth="1"/>
    <col min="26" max="26" width="12.5714285714286" style="66" customWidth="1"/>
    <col min="27" max="27" width="12.5714285714286" bestFit="1" customWidth="1"/>
    <col min="28" max="28" width="10.2857142857143" style="206" bestFit="1" customWidth="1"/>
  </cols>
  <sheetData>
    <row r="1" spans="1:26" ht="12.75">
      <c r="A1" s="5" t="str">
        <f>+'[3]Input Data'!$A$9</f>
        <v>2022 RATE CASE</v>
      </c>
      <c r="Q1"/>
      <c r="R1"/>
      <c r="S1"/>
      <c r="T1"/>
      <c r="U1"/>
      <c r="V1"/>
      <c r="W1"/>
      <c r="X1"/>
      <c r="Y1"/>
      <c r="Z1"/>
    </row>
    <row r="2" spans="1:26" ht="12.75">
      <c r="A2" s="8" t="str">
        <f>+'[3]Input Data'!$A$2</f>
        <v>ONCOR ELECTRIC DELIVERY COMPANY LLC</v>
      </c>
      <c r="Q2"/>
      <c r="R2"/>
      <c r="S2"/>
      <c r="T2"/>
      <c r="U2"/>
      <c r="V2"/>
      <c r="W2"/>
      <c r="X2"/>
      <c r="Y2"/>
      <c r="Z2"/>
    </row>
    <row r="3" spans="1:26" ht="12.75">
      <c r="A3" s="7" t="str">
        <f>CONCATENATE('[3]Schedule Sponsors'!$A$67,'[3]Schedule Sponsors'!$B$67," - MONTHLY LEASE AMOUNT AND PAYMENT - 2018")</f>
        <v>II-D-2.9  RENTS AND LEASES - MONTHLY LEASE AMOUNT AND PAYMENT - 2018</v>
      </c>
      <c r="Q3"/>
      <c r="R3"/>
      <c r="S3"/>
      <c r="T3"/>
      <c r="U3"/>
      <c r="V3"/>
      <c r="W3"/>
      <c r="X3"/>
      <c r="Y3"/>
      <c r="Z3"/>
    </row>
    <row r="4" spans="1:26" ht="12.75">
      <c r="A4" s="63" t="str">
        <f>+'[3]Input Data'!$A$4</f>
        <v>TEST YEAR ENDING DECEMBER 31, 2021</v>
      </c>
      <c r="Q4"/>
      <c r="R4"/>
      <c r="S4"/>
      <c r="T4"/>
      <c r="U4"/>
      <c r="V4"/>
      <c r="W4"/>
      <c r="X4"/>
      <c r="Y4"/>
      <c r="Z4"/>
    </row>
    <row r="5" spans="1:26" ht="12.75">
      <c r="A5" s="7" t="str">
        <f>CONCATENATE("SPONSOR: ",'[3]Schedule Sponsors'!$D$67)</f>
        <v>SPONSOR: W. ALAN LEDBETTER</v>
      </c>
      <c r="Q5"/>
      <c r="R5"/>
      <c r="S5"/>
      <c r="T5"/>
      <c r="U5"/>
      <c r="V5"/>
      <c r="W5"/>
      <c r="X5"/>
      <c r="Y5"/>
      <c r="Z5"/>
    </row>
    <row r="6" spans="17:26" ht="12.75">
      <c r="Q6"/>
      <c r="R6"/>
      <c r="S6"/>
      <c r="T6"/>
      <c r="U6"/>
      <c r="V6"/>
      <c r="W6"/>
      <c r="X6"/>
      <c r="Y6"/>
      <c r="Z6"/>
    </row>
    <row r="7" spans="17:26" ht="12.75">
      <c r="Q7"/>
      <c r="R7"/>
      <c r="S7"/>
      <c r="T7"/>
      <c r="U7"/>
      <c r="V7"/>
      <c r="W7"/>
      <c r="X7"/>
      <c r="Y7"/>
      <c r="Z7"/>
    </row>
    <row r="8" spans="17:26" ht="12.75">
      <c r="Q8"/>
      <c r="R8"/>
      <c r="S8"/>
      <c r="T8"/>
      <c r="U8"/>
      <c r="V8"/>
      <c r="W8"/>
      <c r="X8"/>
      <c r="Y8"/>
      <c r="Z8"/>
    </row>
    <row r="9" spans="17:26" ht="12.75">
      <c r="Q9"/>
      <c r="R9"/>
      <c r="S9"/>
      <c r="T9"/>
      <c r="U9"/>
      <c r="V9"/>
      <c r="W9"/>
      <c r="X9"/>
      <c r="Y9"/>
      <c r="Z9"/>
    </row>
    <row r="10" spans="1:28" s="138" customFormat="1" ht="12.75">
      <c r="A10" s="287" t="s">
        <v>87</v>
      </c>
      <c r="C10" s="230" t="s">
        <v>690</v>
      </c>
      <c r="D10" s="150"/>
      <c r="E10" s="150"/>
      <c r="F10" s="150"/>
      <c r="G10" s="150"/>
      <c r="H10" s="150"/>
      <c r="I10" s="150"/>
      <c r="J10" s="150"/>
      <c r="K10" s="150"/>
      <c r="L10" s="150"/>
      <c r="M10" s="150"/>
      <c r="N10" s="150"/>
      <c r="O10" s="289"/>
      <c r="P10" s="150"/>
      <c r="R10" s="230"/>
      <c r="S10" s="230" t="s">
        <v>716</v>
      </c>
      <c r="T10" s="230" t="s">
        <v>722</v>
      </c>
      <c r="U10" s="230" t="s">
        <v>717</v>
      </c>
      <c r="V10" s="230"/>
      <c r="W10" s="230" t="s">
        <v>716</v>
      </c>
      <c r="X10" s="230" t="s">
        <v>717</v>
      </c>
      <c r="Y10" s="230"/>
      <c r="Z10" s="230"/>
      <c r="AA10" s="230"/>
      <c r="AB10" s="212"/>
    </row>
    <row r="11" spans="1:28" s="287" customFormat="1" ht="12.75">
      <c r="A11" s="287" t="s">
        <v>121</v>
      </c>
      <c r="B11" s="287" t="s">
        <v>213</v>
      </c>
      <c r="C11" s="287" t="s">
        <v>209</v>
      </c>
      <c r="D11" s="290" t="s">
        <v>99</v>
      </c>
      <c r="E11" s="290" t="s">
        <v>100</v>
      </c>
      <c r="F11" s="290" t="s">
        <v>101</v>
      </c>
      <c r="G11" s="290" t="s">
        <v>102</v>
      </c>
      <c r="H11" s="290" t="s">
        <v>20</v>
      </c>
      <c r="I11" s="290" t="s">
        <v>103</v>
      </c>
      <c r="J11" s="290" t="s">
        <v>104</v>
      </c>
      <c r="K11" s="290" t="s">
        <v>105</v>
      </c>
      <c r="L11" s="290" t="s">
        <v>106</v>
      </c>
      <c r="M11" s="290" t="s">
        <v>107</v>
      </c>
      <c r="N11" s="290" t="s">
        <v>108</v>
      </c>
      <c r="O11" s="290" t="s">
        <v>109</v>
      </c>
      <c r="P11" s="291" t="s">
        <v>328</v>
      </c>
      <c r="R11" s="145" t="s">
        <v>294</v>
      </c>
      <c r="S11" s="145" t="s">
        <v>294</v>
      </c>
      <c r="T11" s="145" t="s">
        <v>723</v>
      </c>
      <c r="U11" s="145" t="s">
        <v>294</v>
      </c>
      <c r="V11" s="145" t="s">
        <v>295</v>
      </c>
      <c r="W11" s="145" t="s">
        <v>295</v>
      </c>
      <c r="X11" s="145" t="s">
        <v>295</v>
      </c>
      <c r="Y11" s="145" t="s">
        <v>283</v>
      </c>
      <c r="Z11" s="145" t="s">
        <v>126</v>
      </c>
      <c r="AA11" s="145" t="s">
        <v>216</v>
      </c>
      <c r="AB11" s="230"/>
    </row>
    <row r="12" spans="1:28" s="287" customFormat="1" ht="12.75">
      <c r="A12" s="292"/>
      <c r="B12" s="292" t="s">
        <v>44</v>
      </c>
      <c r="C12" s="292" t="s">
        <v>45</v>
      </c>
      <c r="D12" s="293" t="s">
        <v>74</v>
      </c>
      <c r="E12" s="293" t="s">
        <v>75</v>
      </c>
      <c r="F12" s="293" t="s">
        <v>76</v>
      </c>
      <c r="G12" s="293" t="s">
        <v>77</v>
      </c>
      <c r="H12" s="294" t="s">
        <v>78</v>
      </c>
      <c r="I12" s="294" t="s">
        <v>79</v>
      </c>
      <c r="J12" s="294" t="s">
        <v>80</v>
      </c>
      <c r="K12" s="294" t="s">
        <v>81</v>
      </c>
      <c r="L12" s="294" t="s">
        <v>82</v>
      </c>
      <c r="M12" s="294" t="s">
        <v>83</v>
      </c>
      <c r="N12" s="294" t="s">
        <v>84</v>
      </c>
      <c r="O12" s="294" t="s">
        <v>85</v>
      </c>
      <c r="P12" s="294" t="s">
        <v>86</v>
      </c>
      <c r="Q12" s="292"/>
      <c r="R12" s="295" t="s">
        <v>255</v>
      </c>
      <c r="S12" s="295" t="s">
        <v>128</v>
      </c>
      <c r="T12" s="295" t="s">
        <v>23</v>
      </c>
      <c r="U12" s="295" t="s">
        <v>24</v>
      </c>
      <c r="V12" s="295" t="s">
        <v>136</v>
      </c>
      <c r="W12" s="295" t="s">
        <v>68</v>
      </c>
      <c r="X12" s="295" t="s">
        <v>718</v>
      </c>
      <c r="Y12" s="295" t="s">
        <v>719</v>
      </c>
      <c r="Z12" s="295" t="s">
        <v>720</v>
      </c>
      <c r="AA12" s="295" t="s">
        <v>721</v>
      </c>
      <c r="AB12" s="230"/>
    </row>
    <row r="13" spans="4:28" s="287" customFormat="1" ht="12.75">
      <c r="D13" s="291"/>
      <c r="E13" s="291"/>
      <c r="F13" s="291"/>
      <c r="G13" s="291"/>
      <c r="H13" s="291"/>
      <c r="I13" s="291"/>
      <c r="J13" s="291"/>
      <c r="K13" s="291"/>
      <c r="L13" s="291"/>
      <c r="M13" s="291"/>
      <c r="N13" s="291"/>
      <c r="O13" s="291"/>
      <c r="P13" s="291"/>
      <c r="R13" s="291"/>
      <c r="S13" s="291"/>
      <c r="T13" s="291"/>
      <c r="U13" s="291"/>
      <c r="V13" s="291"/>
      <c r="W13" s="291"/>
      <c r="X13" s="291"/>
      <c r="Y13" s="291"/>
      <c r="Z13" s="291"/>
      <c r="AA13" s="291"/>
      <c r="AB13" s="230"/>
    </row>
    <row r="14" spans="1:29" s="106" customFormat="1" ht="12.75">
      <c r="A14" s="191">
        <v>1</v>
      </c>
      <c r="B14" t="s">
        <v>231</v>
      </c>
      <c r="C14" s="183" t="s">
        <v>862</v>
      </c>
      <c r="D14" s="250">
        <v>2900.5299999999997</v>
      </c>
      <c r="E14" s="250">
        <v>3190.0799999999995</v>
      </c>
      <c r="F14" s="250">
        <v>3294.21</v>
      </c>
      <c r="G14" s="250">
        <v>3047.0900000000001</v>
      </c>
      <c r="H14" s="250">
        <v>3163.1599999999999</v>
      </c>
      <c r="I14" s="250">
        <v>3392.46</v>
      </c>
      <c r="J14" s="250">
        <v>3143.3400000000001</v>
      </c>
      <c r="K14" s="250">
        <v>4126.3199999999997</v>
      </c>
      <c r="L14" s="250">
        <v>2438.7200000000003</v>
      </c>
      <c r="M14" s="250">
        <v>4689.8700000000008</v>
      </c>
      <c r="N14" s="250">
        <v>4157.2299999999996</v>
      </c>
      <c r="O14" s="250">
        <v>2339.4200000000001</v>
      </c>
      <c r="P14" s="252">
        <f>SUM(D14:O14)</f>
        <v>39882.429999999993</v>
      </c>
      <c r="Q14" s="250"/>
      <c r="R14" s="250">
        <v>22304.470000000005</v>
      </c>
      <c r="S14" s="250">
        <v>0</v>
      </c>
      <c r="T14" s="250">
        <v>0</v>
      </c>
      <c r="U14" s="252">
        <f>SUM(R14:T14)</f>
        <v>22304.470000000005</v>
      </c>
      <c r="V14" s="250">
        <v>3799.0399999999991</v>
      </c>
      <c r="W14" s="250">
        <v>0</v>
      </c>
      <c r="X14" s="252">
        <f>SUM(V14:W14)</f>
        <v>3799.0399999999991</v>
      </c>
      <c r="Y14" s="250">
        <v>13778.92</v>
      </c>
      <c r="Z14" s="250">
        <v>0</v>
      </c>
      <c r="AA14" s="252">
        <f>+Z14+Y14+X14+U14</f>
        <v>39882.430000000008</v>
      </c>
      <c r="AB14" s="206" t="b">
        <f>ROUND(+P14,2)=ROUND(AA14,2)</f>
        <v>1</v>
      </c>
      <c r="AC14"/>
    </row>
    <row r="15" spans="1:29" s="106" customFormat="1" ht="12.75">
      <c r="A15" s="191">
        <v>2</v>
      </c>
      <c r="B15" t="s">
        <v>232</v>
      </c>
      <c r="C15" s="183" t="s">
        <v>862</v>
      </c>
      <c r="D15" s="223">
        <v>1266.3699999999999</v>
      </c>
      <c r="E15" s="223">
        <v>1666.77</v>
      </c>
      <c r="F15" s="223">
        <v>1830.5900000000002</v>
      </c>
      <c r="G15" s="223">
        <v>1429.6100000000001</v>
      </c>
      <c r="H15" s="223">
        <v>2630.3599999999997</v>
      </c>
      <c r="I15" s="223">
        <v>1591.25</v>
      </c>
      <c r="J15" s="223">
        <v>2374.1500000000001</v>
      </c>
      <c r="K15" s="223">
        <v>1169.5700000000002</v>
      </c>
      <c r="L15" s="223">
        <v>1751.25</v>
      </c>
      <c r="M15" s="223">
        <v>1750.24</v>
      </c>
      <c r="N15" s="223">
        <v>1655.9200000000001</v>
      </c>
      <c r="O15" s="320">
        <v>1151.8999999999999</v>
      </c>
      <c r="P15" s="274">
        <f t="shared" si="0" ref="P15:P46">SUM(D15:O15)</f>
        <v>20267.980000000003</v>
      </c>
      <c r="Q15" s="223"/>
      <c r="R15" s="223">
        <v>16263.949999999999</v>
      </c>
      <c r="S15" s="223">
        <v>0</v>
      </c>
      <c r="T15" s="223">
        <v>3897.869999999999</v>
      </c>
      <c r="U15" s="274">
        <f t="shared" si="1" ref="U15:U46">SUM(R15:T15)</f>
        <v>20161.82</v>
      </c>
      <c r="V15" s="223">
        <v>106.16</v>
      </c>
      <c r="W15" s="223">
        <v>0</v>
      </c>
      <c r="X15" s="274">
        <f t="shared" si="2" ref="X15:X46">SUM(V15:W15)</f>
        <v>106.16</v>
      </c>
      <c r="Y15" s="223">
        <v>0</v>
      </c>
      <c r="Z15" s="223">
        <v>0</v>
      </c>
      <c r="AA15" s="274">
        <f t="shared" si="3" ref="AA15:AA46">+Z15+Y15+X15+U15</f>
        <v>20267.98</v>
      </c>
      <c r="AB15" t="b">
        <f t="shared" si="4" ref="AB15:AB46">ROUND(+P15,2)=ROUND(AA15,2)</f>
        <v>1</v>
      </c>
      <c r="AC15"/>
    </row>
    <row r="16" spans="1:28" ht="12.75">
      <c r="A16" s="191">
        <v>3</v>
      </c>
      <c r="B16" t="s">
        <v>233</v>
      </c>
      <c r="C16" s="183" t="s">
        <v>862</v>
      </c>
      <c r="D16" s="251">
        <v>26727.340000000004</v>
      </c>
      <c r="E16" s="251">
        <v>24201.87000000001</v>
      </c>
      <c r="F16" s="251">
        <v>26437.5</v>
      </c>
      <c r="G16" s="251">
        <v>23705.259999999998</v>
      </c>
      <c r="H16" s="251">
        <v>22041.529999999995</v>
      </c>
      <c r="I16" s="251">
        <v>23878.55999999999</v>
      </c>
      <c r="J16" s="251">
        <v>28199.369999999995</v>
      </c>
      <c r="K16" s="251">
        <v>31033.719999999998</v>
      </c>
      <c r="L16" s="251">
        <v>27187.240000000002</v>
      </c>
      <c r="M16" s="251">
        <v>28746.919999999998</v>
      </c>
      <c r="N16" s="251">
        <v>24513.32</v>
      </c>
      <c r="O16" s="321">
        <v>16052.580000000004</v>
      </c>
      <c r="P16" s="274">
        <f t="shared" si="0"/>
        <v>302725.21000000002</v>
      </c>
      <c r="Q16" s="251"/>
      <c r="R16" s="251">
        <v>246505.00999999995</v>
      </c>
      <c r="S16" s="251">
        <v>0</v>
      </c>
      <c r="T16" s="251">
        <v>0</v>
      </c>
      <c r="U16" s="253">
        <f t="shared" si="1"/>
        <v>246505.00999999995</v>
      </c>
      <c r="V16" s="251">
        <v>56219.749999999985</v>
      </c>
      <c r="W16" s="251">
        <v>0</v>
      </c>
      <c r="X16" s="253">
        <f t="shared" si="2"/>
        <v>56219.749999999985</v>
      </c>
      <c r="Y16" s="251">
        <v>0.45000000000001339</v>
      </c>
      <c r="Z16" s="251">
        <v>-2.273181642920008E-14</v>
      </c>
      <c r="AA16" s="274">
        <f t="shared" si="3"/>
        <v>302725.20999999996</v>
      </c>
      <c r="AB16" s="206" t="b">
        <f t="shared" si="4"/>
        <v>1</v>
      </c>
    </row>
    <row r="17" spans="1:28" ht="12.75">
      <c r="A17" s="191">
        <v>4</v>
      </c>
      <c r="B17" t="s">
        <v>234</v>
      </c>
      <c r="C17" s="183" t="s">
        <v>862</v>
      </c>
      <c r="D17" s="251">
        <v>8514.4499999999971</v>
      </c>
      <c r="E17" s="251">
        <v>7562.9299999999967</v>
      </c>
      <c r="F17" s="251">
        <v>5026.75</v>
      </c>
      <c r="G17" s="251">
        <v>8230.1399999999994</v>
      </c>
      <c r="H17" s="251">
        <v>8449.9599999999991</v>
      </c>
      <c r="I17" s="251">
        <v>10181.350000000004</v>
      </c>
      <c r="J17" s="251">
        <v>13940.439999999997</v>
      </c>
      <c r="K17" s="251">
        <v>12550.139999999999</v>
      </c>
      <c r="L17" s="251">
        <v>10258.889999999998</v>
      </c>
      <c r="M17" s="251">
        <v>6622.1300000000001</v>
      </c>
      <c r="N17" s="251">
        <v>5378.4899999999989</v>
      </c>
      <c r="O17" s="321">
        <v>4605.8999999999987</v>
      </c>
      <c r="P17" s="274">
        <f t="shared" si="0"/>
        <v>101321.57000000001</v>
      </c>
      <c r="Q17" s="251"/>
      <c r="R17" s="251">
        <v>82779.779999999926</v>
      </c>
      <c r="S17" s="251">
        <v>0</v>
      </c>
      <c r="T17" s="251">
        <v>0</v>
      </c>
      <c r="U17" s="253">
        <f t="shared" si="1"/>
        <v>82779.779999999926</v>
      </c>
      <c r="V17" s="251">
        <v>18541.790000000008</v>
      </c>
      <c r="W17" s="251">
        <v>0</v>
      </c>
      <c r="X17" s="253">
        <f t="shared" si="2"/>
        <v>18541.790000000008</v>
      </c>
      <c r="Y17" s="251">
        <v>0</v>
      </c>
      <c r="Z17" s="251">
        <v>0</v>
      </c>
      <c r="AA17" s="274">
        <f t="shared" si="3"/>
        <v>101321.56999999993</v>
      </c>
      <c r="AB17" s="206" t="b">
        <f t="shared" si="4"/>
        <v>1</v>
      </c>
    </row>
    <row r="18" spans="1:28" ht="12.75">
      <c r="A18" s="191">
        <v>5</v>
      </c>
      <c r="B18" t="s">
        <v>236</v>
      </c>
      <c r="C18" s="183" t="s">
        <v>862</v>
      </c>
      <c r="D18" s="251">
        <v>143566.08000000002</v>
      </c>
      <c r="E18" s="251">
        <v>119579.66999999998</v>
      </c>
      <c r="F18" s="251">
        <v>122884.49000000003</v>
      </c>
      <c r="G18" s="251">
        <v>131752.57000000001</v>
      </c>
      <c r="H18" s="251">
        <v>112366.22</v>
      </c>
      <c r="I18" s="251">
        <v>127807.99000000001</v>
      </c>
      <c r="J18" s="251">
        <v>178291.07999999993</v>
      </c>
      <c r="K18" s="251">
        <v>123107.91999999998</v>
      </c>
      <c r="L18" s="251">
        <v>120376.24000000002</v>
      </c>
      <c r="M18" s="251">
        <v>137625.34999999998</v>
      </c>
      <c r="N18" s="251">
        <v>96490.549999999988</v>
      </c>
      <c r="O18" s="321">
        <v>115350.14</v>
      </c>
      <c r="P18" s="274">
        <f t="shared" si="0"/>
        <v>1529198.2999999998</v>
      </c>
      <c r="Q18" s="251"/>
      <c r="R18" s="251">
        <v>1239267.5200000012</v>
      </c>
      <c r="S18" s="251">
        <v>0</v>
      </c>
      <c r="T18" s="251">
        <v>5.4400000000000004</v>
      </c>
      <c r="U18" s="253">
        <f t="shared" si="1"/>
        <v>1239272.9600000011</v>
      </c>
      <c r="V18" s="251">
        <v>289925.34000000032</v>
      </c>
      <c r="W18" s="251">
        <v>0</v>
      </c>
      <c r="X18" s="253">
        <f t="shared" si="2"/>
        <v>289925.34000000032</v>
      </c>
      <c r="Y18" s="251">
        <v>0</v>
      </c>
      <c r="Z18" s="251">
        <v>0</v>
      </c>
      <c r="AA18" s="274">
        <f t="shared" si="3"/>
        <v>1529198.3000000014</v>
      </c>
      <c r="AB18" s="206" t="b">
        <f t="shared" si="4"/>
        <v>1</v>
      </c>
    </row>
    <row r="19" spans="1:28" ht="12.75">
      <c r="A19" s="191">
        <v>6</v>
      </c>
      <c r="B19" t="s">
        <v>238</v>
      </c>
      <c r="C19" s="183" t="s">
        <v>862</v>
      </c>
      <c r="D19" s="251">
        <v>1147.51</v>
      </c>
      <c r="E19" s="251">
        <v>1271.8300000000002</v>
      </c>
      <c r="F19" s="251">
        <v>1435.29</v>
      </c>
      <c r="G19" s="251">
        <v>1345.73</v>
      </c>
      <c r="H19" s="251">
        <v>1161.01</v>
      </c>
      <c r="I19" s="251">
        <v>1347.1699999999999</v>
      </c>
      <c r="J19" s="251">
        <v>1205.97</v>
      </c>
      <c r="K19" s="251">
        <v>1894.3100000000002</v>
      </c>
      <c r="L19" s="251">
        <v>-6.269999999999925</v>
      </c>
      <c r="M19" s="251">
        <v>1943.9900000000002</v>
      </c>
      <c r="N19" s="251">
        <v>2221.1400000000003</v>
      </c>
      <c r="O19" s="321">
        <v>1313.4300000000001</v>
      </c>
      <c r="P19" s="274">
        <f t="shared" si="0"/>
        <v>16281.110000000001</v>
      </c>
      <c r="Q19" s="251"/>
      <c r="R19" s="251">
        <v>14211.930000000004</v>
      </c>
      <c r="S19" s="251">
        <v>0</v>
      </c>
      <c r="T19" s="251">
        <v>0</v>
      </c>
      <c r="U19" s="253">
        <f t="shared" si="1"/>
        <v>14211.930000000004</v>
      </c>
      <c r="V19" s="251">
        <v>2069.1800000000003</v>
      </c>
      <c r="W19" s="251">
        <v>0</v>
      </c>
      <c r="X19" s="253">
        <f t="shared" si="2"/>
        <v>2069.1800000000003</v>
      </c>
      <c r="Y19" s="251">
        <v>0</v>
      </c>
      <c r="Z19" s="251">
        <v>0</v>
      </c>
      <c r="AA19" s="274">
        <f t="shared" si="3"/>
        <v>16281.110000000004</v>
      </c>
      <c r="AB19" s="206" t="b">
        <f t="shared" si="4"/>
        <v>1</v>
      </c>
    </row>
    <row r="20" spans="1:28" ht="12.75">
      <c r="A20" s="191">
        <v>7</v>
      </c>
      <c r="B20" t="s">
        <v>239</v>
      </c>
      <c r="C20" s="183" t="s">
        <v>862</v>
      </c>
      <c r="D20" s="251">
        <v>69.75</v>
      </c>
      <c r="E20" s="251">
        <v>72.980000000000004</v>
      </c>
      <c r="F20" s="251">
        <v>82.629999999999995</v>
      </c>
      <c r="G20" s="251">
        <v>65.400000000000006</v>
      </c>
      <c r="H20" s="251">
        <v>36.740000000000002</v>
      </c>
      <c r="I20" s="251">
        <v>88.539999999999992</v>
      </c>
      <c r="J20" s="251">
        <v>47.669999999999995</v>
      </c>
      <c r="K20" s="251">
        <v>88.469999999999999</v>
      </c>
      <c r="L20" s="251">
        <v>79.419999999999987</v>
      </c>
      <c r="M20" s="251">
        <v>131.23000000000002</v>
      </c>
      <c r="N20" s="251">
        <v>65.530000000000001</v>
      </c>
      <c r="O20" s="321">
        <v>172.28999999999999</v>
      </c>
      <c r="P20" s="274">
        <f t="shared" si="0"/>
        <v>1000.6499999999999</v>
      </c>
      <c r="Q20" s="251"/>
      <c r="R20" s="251">
        <v>789.38999999999976</v>
      </c>
      <c r="S20" s="251">
        <v>0</v>
      </c>
      <c r="T20" s="251">
        <v>0</v>
      </c>
      <c r="U20" s="253">
        <f t="shared" si="1"/>
        <v>789.38999999999976</v>
      </c>
      <c r="V20" s="251">
        <v>211.26000000000008</v>
      </c>
      <c r="W20" s="251">
        <v>0</v>
      </c>
      <c r="X20" s="253">
        <f t="shared" si="2"/>
        <v>211.26000000000008</v>
      </c>
      <c r="Y20" s="251">
        <v>0</v>
      </c>
      <c r="Z20" s="251">
        <v>0</v>
      </c>
      <c r="AA20" s="274">
        <f t="shared" si="3"/>
        <v>1000.6499999999999</v>
      </c>
      <c r="AB20" s="206" t="b">
        <f t="shared" si="4"/>
        <v>1</v>
      </c>
    </row>
    <row r="21" spans="1:28" ht="12.75">
      <c r="A21" s="191">
        <v>8</v>
      </c>
      <c r="B21" t="s">
        <v>240</v>
      </c>
      <c r="C21" s="183" t="s">
        <v>862</v>
      </c>
      <c r="D21" s="251">
        <v>83737.879999999961</v>
      </c>
      <c r="E21" s="251">
        <v>82371.099999999962</v>
      </c>
      <c r="F21" s="251">
        <v>79368.489999999991</v>
      </c>
      <c r="G21" s="251">
        <v>65817.670000000027</v>
      </c>
      <c r="H21" s="251">
        <v>60999.440000000046</v>
      </c>
      <c r="I21" s="251">
        <v>62392.270000000011</v>
      </c>
      <c r="J21" s="251">
        <v>79792.290000000023</v>
      </c>
      <c r="K21" s="251">
        <v>63934.650000000038</v>
      </c>
      <c r="L21" s="251">
        <v>64324.600000000006</v>
      </c>
      <c r="M21" s="251">
        <v>51783.68</v>
      </c>
      <c r="N21" s="251">
        <v>69873.279999999984</v>
      </c>
      <c r="O21" s="321">
        <v>59623.179999999986</v>
      </c>
      <c r="P21" s="274">
        <f t="shared" si="0"/>
        <v>824018.53000000014</v>
      </c>
      <c r="Q21" s="251"/>
      <c r="R21" s="251">
        <v>679663.40999999933</v>
      </c>
      <c r="S21" s="251">
        <v>0</v>
      </c>
      <c r="T21" s="251">
        <v>0</v>
      </c>
      <c r="U21" s="253">
        <f t="shared" si="1"/>
        <v>679663.40999999933</v>
      </c>
      <c r="V21" s="251">
        <v>144355.12000000023</v>
      </c>
      <c r="W21" s="251">
        <v>0</v>
      </c>
      <c r="X21" s="253">
        <f t="shared" si="2"/>
        <v>144355.12000000023</v>
      </c>
      <c r="Y21" s="251">
        <v>0</v>
      </c>
      <c r="Z21" s="251">
        <v>0</v>
      </c>
      <c r="AA21" s="274">
        <f t="shared" si="3"/>
        <v>824018.52999999956</v>
      </c>
      <c r="AB21" s="206" t="b">
        <f t="shared" si="4"/>
        <v>1</v>
      </c>
    </row>
    <row r="22" spans="1:28" ht="12.75">
      <c r="A22" s="191">
        <v>9</v>
      </c>
      <c r="B22" t="s">
        <v>241</v>
      </c>
      <c r="C22" s="183" t="s">
        <v>862</v>
      </c>
      <c r="D22" s="251">
        <v>63796.109999999993</v>
      </c>
      <c r="E22" s="251">
        <v>74240.799999999945</v>
      </c>
      <c r="F22" s="251">
        <v>14456.800000000005</v>
      </c>
      <c r="G22" s="251">
        <v>73490.249999999985</v>
      </c>
      <c r="H22" s="251">
        <v>56882.639999999992</v>
      </c>
      <c r="I22" s="251">
        <v>76562.739999999976</v>
      </c>
      <c r="J22" s="251">
        <v>73253.84000000004</v>
      </c>
      <c r="K22" s="251">
        <v>52881.239999999991</v>
      </c>
      <c r="L22" s="251">
        <v>74630.139999999999</v>
      </c>
      <c r="M22" s="251">
        <v>57915.819999999978</v>
      </c>
      <c r="N22" s="251">
        <v>56755.489999999983</v>
      </c>
      <c r="O22" s="321">
        <v>55011.599999999999</v>
      </c>
      <c r="P22" s="274">
        <f t="shared" si="0"/>
        <v>729877.46999999986</v>
      </c>
      <c r="Q22" s="251"/>
      <c r="R22" s="251">
        <v>602545.11000000092</v>
      </c>
      <c r="S22" s="251">
        <v>0</v>
      </c>
      <c r="T22" s="251">
        <v>0</v>
      </c>
      <c r="U22" s="253">
        <f t="shared" si="1"/>
        <v>602545.11000000092</v>
      </c>
      <c r="V22" s="251">
        <v>127332.20000000008</v>
      </c>
      <c r="W22" s="251">
        <v>0</v>
      </c>
      <c r="X22" s="253">
        <f t="shared" si="2"/>
        <v>127332.20000000008</v>
      </c>
      <c r="Y22" s="251">
        <v>0.15999999999999942</v>
      </c>
      <c r="Z22" s="251">
        <v>0</v>
      </c>
      <c r="AA22" s="274">
        <f t="shared" si="3"/>
        <v>729877.47000000102</v>
      </c>
      <c r="AB22" s="206" t="b">
        <f t="shared" si="4"/>
        <v>1</v>
      </c>
    </row>
    <row r="23" spans="1:28" ht="12.75">
      <c r="A23" s="191">
        <v>10</v>
      </c>
      <c r="B23" t="s">
        <v>243</v>
      </c>
      <c r="C23" s="183" t="s">
        <v>862</v>
      </c>
      <c r="D23" s="251">
        <v>31172.240000000002</v>
      </c>
      <c r="E23" s="251">
        <v>26036.190000000002</v>
      </c>
      <c r="F23" s="251">
        <v>33452.470000000001</v>
      </c>
      <c r="G23" s="251">
        <v>28875.119999999999</v>
      </c>
      <c r="H23" s="251">
        <v>24085.449999999997</v>
      </c>
      <c r="I23" s="251">
        <v>33938.449999999997</v>
      </c>
      <c r="J23" s="251">
        <v>37769.559999999998</v>
      </c>
      <c r="K23" s="251">
        <v>-1698.4800000000043</v>
      </c>
      <c r="L23" s="251">
        <v>37324.610000000008</v>
      </c>
      <c r="M23" s="251">
        <v>25387.800000000003</v>
      </c>
      <c r="N23" s="251">
        <v>47688.379999999997</v>
      </c>
      <c r="O23" s="321">
        <v>23529.630000000001</v>
      </c>
      <c r="P23" s="274">
        <f t="shared" si="0"/>
        <v>347561.41999999998</v>
      </c>
      <c r="Q23" s="251"/>
      <c r="R23" s="251">
        <v>294279.54000000015</v>
      </c>
      <c r="S23" s="251">
        <v>0</v>
      </c>
      <c r="T23" s="251">
        <v>0</v>
      </c>
      <c r="U23" s="253">
        <f t="shared" si="1"/>
        <v>294279.54000000015</v>
      </c>
      <c r="V23" s="251">
        <v>53281.879999999976</v>
      </c>
      <c r="W23" s="251">
        <v>0</v>
      </c>
      <c r="X23" s="253">
        <f t="shared" si="2"/>
        <v>53281.879999999976</v>
      </c>
      <c r="Y23" s="251">
        <v>0</v>
      </c>
      <c r="Z23" s="251">
        <v>0</v>
      </c>
      <c r="AA23" s="274">
        <f t="shared" si="3"/>
        <v>347561.42000000016</v>
      </c>
      <c r="AB23" s="206" t="b">
        <f t="shared" si="4"/>
        <v>1</v>
      </c>
    </row>
    <row r="24" spans="1:28" ht="12.75">
      <c r="A24" s="191">
        <v>11</v>
      </c>
      <c r="B24" t="s">
        <v>250</v>
      </c>
      <c r="C24" s="183" t="s">
        <v>862</v>
      </c>
      <c r="D24" s="251">
        <v>18893.52</v>
      </c>
      <c r="E24" s="251">
        <v>17655.110000000001</v>
      </c>
      <c r="F24" s="251">
        <v>17202.370000000003</v>
      </c>
      <c r="G24" s="251">
        <v>20613.450000000008</v>
      </c>
      <c r="H24" s="251">
        <v>19644.66</v>
      </c>
      <c r="I24" s="251">
        <v>22473.170000000006</v>
      </c>
      <c r="J24" s="251">
        <v>21698.280000000006</v>
      </c>
      <c r="K24" s="251">
        <v>23606.10999999999</v>
      </c>
      <c r="L24" s="251">
        <v>19292.989999999994</v>
      </c>
      <c r="M24" s="251">
        <v>19156.720000000001</v>
      </c>
      <c r="N24" s="251">
        <v>14441.459999999999</v>
      </c>
      <c r="O24" s="321">
        <v>12459.99</v>
      </c>
      <c r="P24" s="274">
        <f t="shared" si="0"/>
        <v>227137.82999999999</v>
      </c>
      <c r="Q24" s="251"/>
      <c r="R24" s="251">
        <v>2387.9899999999993</v>
      </c>
      <c r="S24" s="251">
        <v>0</v>
      </c>
      <c r="T24" s="251">
        <v>0</v>
      </c>
      <c r="U24" s="253">
        <f t="shared" si="1"/>
        <v>2387.9899999999993</v>
      </c>
      <c r="V24" s="251">
        <v>199258.82999999999</v>
      </c>
      <c r="W24" s="251">
        <v>0</v>
      </c>
      <c r="X24" s="253">
        <f t="shared" si="2"/>
        <v>199258.82999999999</v>
      </c>
      <c r="Y24" s="251">
        <v>25481.489999999983</v>
      </c>
      <c r="Z24" s="251">
        <v>9.5199999999999747</v>
      </c>
      <c r="AA24" s="274">
        <f t="shared" si="3"/>
        <v>227137.82999999996</v>
      </c>
      <c r="AB24" s="206" t="b">
        <f t="shared" si="4"/>
        <v>1</v>
      </c>
    </row>
    <row r="25" spans="1:28" ht="12.75">
      <c r="A25" s="191">
        <v>12</v>
      </c>
      <c r="B25" t="s">
        <v>245</v>
      </c>
      <c r="C25" s="183" t="s">
        <v>862</v>
      </c>
      <c r="D25" s="251">
        <v>51197.880000000012</v>
      </c>
      <c r="E25" s="251">
        <v>47712.389999999999</v>
      </c>
      <c r="F25" s="251">
        <v>55750.079999999994</v>
      </c>
      <c r="G25" s="251">
        <v>54173.629999999997</v>
      </c>
      <c r="H25" s="251">
        <v>52947.839999999989</v>
      </c>
      <c r="I25" s="251">
        <v>51217.82</v>
      </c>
      <c r="J25" s="251">
        <v>57691.25</v>
      </c>
      <c r="K25" s="251">
        <v>40346.07</v>
      </c>
      <c r="L25" s="251">
        <v>52273.679999999993</v>
      </c>
      <c r="M25" s="251">
        <v>53998.830000000016</v>
      </c>
      <c r="N25" s="251">
        <v>44623.519999999997</v>
      </c>
      <c r="O25" s="321">
        <v>37469.210000000014</v>
      </c>
      <c r="P25" s="274">
        <f t="shared" si="0"/>
        <v>599402.19999999995</v>
      </c>
      <c r="Q25" s="251"/>
      <c r="R25" s="251">
        <v>478992.81000000011</v>
      </c>
      <c r="S25" s="251">
        <v>0</v>
      </c>
      <c r="T25" s="251">
        <v>0</v>
      </c>
      <c r="U25" s="253">
        <f t="shared" si="1"/>
        <v>478992.81000000011</v>
      </c>
      <c r="V25" s="251">
        <v>120409.3899999999</v>
      </c>
      <c r="W25" s="251">
        <v>0</v>
      </c>
      <c r="X25" s="253">
        <f t="shared" si="2"/>
        <v>120409.3899999999</v>
      </c>
      <c r="Y25" s="251">
        <v>0</v>
      </c>
      <c r="Z25" s="251">
        <v>0</v>
      </c>
      <c r="AA25" s="274">
        <f t="shared" si="3"/>
        <v>599402.19999999995</v>
      </c>
      <c r="AB25" s="206" t="b">
        <f t="shared" si="4"/>
        <v>1</v>
      </c>
    </row>
    <row r="26" spans="1:28" ht="12.75">
      <c r="A26" s="191">
        <v>13</v>
      </c>
      <c r="B26" t="s">
        <v>155</v>
      </c>
      <c r="C26" s="183" t="s">
        <v>862</v>
      </c>
      <c r="D26" s="251">
        <v>724235.28000000003</v>
      </c>
      <c r="E26" s="251">
        <v>469558.05999999982</v>
      </c>
      <c r="F26" s="251">
        <v>672646.14999999921</v>
      </c>
      <c r="G26" s="251">
        <v>622794.49999999953</v>
      </c>
      <c r="H26" s="251">
        <v>616103.01999999885</v>
      </c>
      <c r="I26" s="251">
        <v>637715.38000000035</v>
      </c>
      <c r="J26" s="251">
        <v>582531.86999999965</v>
      </c>
      <c r="K26" s="251">
        <v>563533.02999999945</v>
      </c>
      <c r="L26" s="251">
        <v>575254.42000000016</v>
      </c>
      <c r="M26" s="251">
        <v>606831.30000000005</v>
      </c>
      <c r="N26" s="251">
        <v>711405.86999999976</v>
      </c>
      <c r="O26" s="321">
        <v>651356.6300000007</v>
      </c>
      <c r="P26" s="274">
        <f t="shared" si="0"/>
        <v>7433965.509999997</v>
      </c>
      <c r="Q26" s="251"/>
      <c r="R26" s="251">
        <v>2907.6200000000017</v>
      </c>
      <c r="S26" s="251">
        <v>0</v>
      </c>
      <c r="T26" s="251">
        <v>0</v>
      </c>
      <c r="U26" s="253">
        <f t="shared" si="1"/>
        <v>2907.6200000000017</v>
      </c>
      <c r="V26" s="251">
        <v>7366185.0899999933</v>
      </c>
      <c r="W26" s="251">
        <v>0</v>
      </c>
      <c r="X26" s="253">
        <f t="shared" si="2"/>
        <v>7366185.0899999933</v>
      </c>
      <c r="Y26" s="251">
        <v>61409.309999999998</v>
      </c>
      <c r="Z26" s="251">
        <v>3463.4899999999971</v>
      </c>
      <c r="AA26" s="274">
        <f t="shared" si="3"/>
        <v>7433965.5099999933</v>
      </c>
      <c r="AB26" s="206" t="b">
        <f t="shared" si="4"/>
        <v>1</v>
      </c>
    </row>
    <row r="27" spans="1:28" ht="12.75">
      <c r="A27" s="191">
        <v>14</v>
      </c>
      <c r="B27" t="s">
        <v>246</v>
      </c>
      <c r="C27" s="183" t="s">
        <v>862</v>
      </c>
      <c r="D27" s="251">
        <v>197765.24999999985</v>
      </c>
      <c r="E27" s="251">
        <v>165236.20999999993</v>
      </c>
      <c r="F27" s="251">
        <v>247114.93999999997</v>
      </c>
      <c r="G27" s="251">
        <v>171197.75000000018</v>
      </c>
      <c r="H27" s="251">
        <v>224047.84999999995</v>
      </c>
      <c r="I27" s="251">
        <v>222215.67999999999</v>
      </c>
      <c r="J27" s="251">
        <v>231411.55000000013</v>
      </c>
      <c r="K27" s="251">
        <v>191826.79999999996</v>
      </c>
      <c r="L27" s="251">
        <v>157583.16</v>
      </c>
      <c r="M27" s="251">
        <v>215061.02000000002</v>
      </c>
      <c r="N27" s="251">
        <v>199687.72999999995</v>
      </c>
      <c r="O27" s="321">
        <v>191468.07000000018</v>
      </c>
      <c r="P27" s="274">
        <f t="shared" si="0"/>
        <v>2414616.0100000002</v>
      </c>
      <c r="Q27" s="251"/>
      <c r="R27" s="251">
        <v>179.17000000000002</v>
      </c>
      <c r="S27" s="251">
        <v>0</v>
      </c>
      <c r="T27" s="251">
        <v>0</v>
      </c>
      <c r="U27" s="253">
        <f t="shared" si="1"/>
        <v>179.17000000000002</v>
      </c>
      <c r="V27" s="251">
        <v>2407656.7100000014</v>
      </c>
      <c r="W27" s="251">
        <v>0</v>
      </c>
      <c r="X27" s="253">
        <f t="shared" si="2"/>
        <v>2407656.7100000014</v>
      </c>
      <c r="Y27" s="251">
        <v>6712.6800000000158</v>
      </c>
      <c r="Z27" s="251">
        <v>67.449999999999889</v>
      </c>
      <c r="AA27" s="274">
        <f t="shared" si="3"/>
        <v>2414616.0100000012</v>
      </c>
      <c r="AB27" s="206" t="b">
        <f t="shared" si="4"/>
        <v>1</v>
      </c>
    </row>
    <row r="28" spans="1:28" ht="12.75">
      <c r="A28" s="191">
        <v>15</v>
      </c>
      <c r="B28" t="s">
        <v>247</v>
      </c>
      <c r="C28" s="183" t="s">
        <v>862</v>
      </c>
      <c r="D28" s="251">
        <v>299855.14999999985</v>
      </c>
      <c r="E28" s="251">
        <v>304452.58999999997</v>
      </c>
      <c r="F28" s="251">
        <v>323206.89999999997</v>
      </c>
      <c r="G28" s="251">
        <v>299774.09999999992</v>
      </c>
      <c r="H28" s="251">
        <v>350190.19</v>
      </c>
      <c r="I28" s="251">
        <v>334829.95999999996</v>
      </c>
      <c r="J28" s="251">
        <v>334443.30000000005</v>
      </c>
      <c r="K28" s="251">
        <v>352057.36999999976</v>
      </c>
      <c r="L28" s="251">
        <v>338606.08000000002</v>
      </c>
      <c r="M28" s="251">
        <v>378061.69999999978</v>
      </c>
      <c r="N28" s="251">
        <v>330306.65000000002</v>
      </c>
      <c r="O28" s="321">
        <v>253791.31999999986</v>
      </c>
      <c r="P28" s="274">
        <f t="shared" si="0"/>
        <v>3899575.3099999987</v>
      </c>
      <c r="Q28" s="251"/>
      <c r="R28" s="251">
        <v>3.0099999999999993</v>
      </c>
      <c r="S28" s="251">
        <v>0</v>
      </c>
      <c r="T28" s="251">
        <v>0</v>
      </c>
      <c r="U28" s="253">
        <f t="shared" si="1"/>
        <v>3.0099999999999993</v>
      </c>
      <c r="V28" s="251">
        <v>103203.23000000011</v>
      </c>
      <c r="W28" s="251">
        <v>0</v>
      </c>
      <c r="X28" s="253">
        <f t="shared" si="2"/>
        <v>103203.23000000011</v>
      </c>
      <c r="Y28" s="251">
        <v>3796309.25999999</v>
      </c>
      <c r="Z28" s="251">
        <v>59.810000000000038</v>
      </c>
      <c r="AA28" s="274">
        <f t="shared" si="3"/>
        <v>3899575.3099999898</v>
      </c>
      <c r="AB28" s="206" t="b">
        <f t="shared" si="4"/>
        <v>1</v>
      </c>
    </row>
    <row r="29" spans="1:28" ht="12.75">
      <c r="A29" s="191">
        <v>16</v>
      </c>
      <c r="B29" t="s">
        <v>248</v>
      </c>
      <c r="C29" s="183" t="s">
        <v>862</v>
      </c>
      <c r="D29" s="251">
        <v>4307.9099999999989</v>
      </c>
      <c r="E29" s="251">
        <v>3111.5799999999999</v>
      </c>
      <c r="F29" s="251">
        <v>3973.5699999999997</v>
      </c>
      <c r="G29" s="251">
        <v>2650.04</v>
      </c>
      <c r="H29" s="251">
        <v>1544.2699999999998</v>
      </c>
      <c r="I29" s="251">
        <v>3271.1100000000006</v>
      </c>
      <c r="J29" s="251">
        <v>1939.6900000000001</v>
      </c>
      <c r="K29" s="251">
        <v>1923.78</v>
      </c>
      <c r="L29" s="251">
        <v>1722.8499999999999</v>
      </c>
      <c r="M29" s="251">
        <v>2371.1499999999996</v>
      </c>
      <c r="N29" s="251">
        <v>3717.8000000000006</v>
      </c>
      <c r="O29" s="321">
        <v>3870.98</v>
      </c>
      <c r="P29" s="274">
        <f t="shared" si="0"/>
        <v>34404.729999999996</v>
      </c>
      <c r="Q29" s="251"/>
      <c r="R29" s="251">
        <v>4.5499999999999998</v>
      </c>
      <c r="S29" s="251">
        <v>0</v>
      </c>
      <c r="T29" s="251">
        <v>0</v>
      </c>
      <c r="U29" s="253">
        <f t="shared" si="1"/>
        <v>4.5499999999999998</v>
      </c>
      <c r="V29" s="251">
        <v>34212.5</v>
      </c>
      <c r="W29" s="251">
        <v>0</v>
      </c>
      <c r="X29" s="253">
        <f t="shared" si="2"/>
        <v>34212.5</v>
      </c>
      <c r="Y29" s="251">
        <v>185.43000000000004</v>
      </c>
      <c r="Z29" s="251">
        <v>2.2500000000000147</v>
      </c>
      <c r="AA29" s="274">
        <f t="shared" si="3"/>
        <v>34404.730000000003</v>
      </c>
      <c r="AB29" s="206" t="b">
        <f t="shared" si="4"/>
        <v>1</v>
      </c>
    </row>
    <row r="30" spans="1:28" ht="12.75">
      <c r="A30" s="191">
        <v>17</v>
      </c>
      <c r="B30" t="s">
        <v>251</v>
      </c>
      <c r="C30" s="183" t="s">
        <v>862</v>
      </c>
      <c r="D30" s="251">
        <v>184091.83000000013</v>
      </c>
      <c r="E30" s="251">
        <v>218892.36999999991</v>
      </c>
      <c r="F30" s="251">
        <v>234431.71000000008</v>
      </c>
      <c r="G30" s="251">
        <v>140524.24999999997</v>
      </c>
      <c r="H30" s="251">
        <v>198136.88999999999</v>
      </c>
      <c r="I30" s="251">
        <v>191137.1400000001</v>
      </c>
      <c r="J30" s="251">
        <v>183459.07999999978</v>
      </c>
      <c r="K30" s="251">
        <v>163488.82999999996</v>
      </c>
      <c r="L30" s="251">
        <v>190454.94999999992</v>
      </c>
      <c r="M30" s="251">
        <v>216717.81000000006</v>
      </c>
      <c r="N30" s="251">
        <v>224992.74000000002</v>
      </c>
      <c r="O30" s="321">
        <v>200414.6100000001</v>
      </c>
      <c r="P30" s="274">
        <f t="shared" si="0"/>
        <v>2346742.21</v>
      </c>
      <c r="Q30" s="251"/>
      <c r="R30" s="251">
        <v>81017.679999999877</v>
      </c>
      <c r="S30" s="251">
        <v>0</v>
      </c>
      <c r="T30" s="251">
        <v>0</v>
      </c>
      <c r="U30" s="253">
        <f t="shared" si="1"/>
        <v>81017.679999999877</v>
      </c>
      <c r="V30" s="251">
        <v>2211652.5300000035</v>
      </c>
      <c r="W30" s="251">
        <v>0</v>
      </c>
      <c r="X30" s="253">
        <f t="shared" si="2"/>
        <v>2211652.5300000035</v>
      </c>
      <c r="Y30" s="251">
        <v>47031.999999999927</v>
      </c>
      <c r="Z30" s="251">
        <v>7040.0000000000009</v>
      </c>
      <c r="AA30" s="274">
        <f t="shared" si="3"/>
        <v>2346742.2100000032</v>
      </c>
      <c r="AB30" s="206" t="b">
        <f t="shared" si="4"/>
        <v>1</v>
      </c>
    </row>
    <row r="31" spans="1:28" ht="12.75">
      <c r="A31" s="191">
        <v>18</v>
      </c>
      <c r="B31" t="s">
        <v>257</v>
      </c>
      <c r="C31" s="183" t="s">
        <v>862</v>
      </c>
      <c r="D31" s="251">
        <v>3433.2099999999996</v>
      </c>
      <c r="E31" s="251">
        <v>2802.6900000000001</v>
      </c>
      <c r="F31" s="251">
        <v>2547.3100000000004</v>
      </c>
      <c r="G31" s="251">
        <v>2548.9800000000005</v>
      </c>
      <c r="H31" s="251">
        <v>3503.2800000000002</v>
      </c>
      <c r="I31" s="251">
        <v>3213.0799999999999</v>
      </c>
      <c r="J31" s="251">
        <v>3142.0399999999995</v>
      </c>
      <c r="K31" s="251">
        <v>3183.0300000000002</v>
      </c>
      <c r="L31" s="251">
        <v>2365.52</v>
      </c>
      <c r="M31" s="251">
        <v>2850.1600000000003</v>
      </c>
      <c r="N31" s="251">
        <v>3132.8200000000002</v>
      </c>
      <c r="O31" s="321">
        <v>2136.2300000000005</v>
      </c>
      <c r="P31" s="274">
        <f t="shared" si="0"/>
        <v>34858.349999999999</v>
      </c>
      <c r="Q31" s="251"/>
      <c r="R31" s="251">
        <v>6309.3900000000021</v>
      </c>
      <c r="S31" s="251">
        <v>0</v>
      </c>
      <c r="T31" s="251">
        <v>0</v>
      </c>
      <c r="U31" s="253">
        <f t="shared" si="1"/>
        <v>6309.3900000000021</v>
      </c>
      <c r="V31" s="251">
        <v>15337.760000000002</v>
      </c>
      <c r="W31" s="251">
        <v>0</v>
      </c>
      <c r="X31" s="253">
        <f t="shared" si="2"/>
        <v>15337.760000000002</v>
      </c>
      <c r="Y31" s="251">
        <v>13211.08</v>
      </c>
      <c r="Z31" s="251">
        <v>0.11999999999997044</v>
      </c>
      <c r="AA31" s="274">
        <f t="shared" si="3"/>
        <v>34858.350000000006</v>
      </c>
      <c r="AB31" s="206" t="b">
        <f t="shared" si="4"/>
        <v>1</v>
      </c>
    </row>
    <row r="32" spans="1:28" ht="12.75">
      <c r="A32" s="191">
        <v>19</v>
      </c>
      <c r="B32" t="s">
        <v>252</v>
      </c>
      <c r="C32" s="183" t="s">
        <v>862</v>
      </c>
      <c r="D32" s="251">
        <v>57.299999999999997</v>
      </c>
      <c r="E32" s="251">
        <v>54.510000000000005</v>
      </c>
      <c r="F32" s="251">
        <v>47.600000000000001</v>
      </c>
      <c r="G32" s="251">
        <v>83.780000000000001</v>
      </c>
      <c r="H32" s="251">
        <v>51.219999999999999</v>
      </c>
      <c r="I32" s="251">
        <v>47</v>
      </c>
      <c r="J32" s="251">
        <v>55.639999999999993</v>
      </c>
      <c r="K32" s="251">
        <v>97</v>
      </c>
      <c r="L32" s="251">
        <v>131.16</v>
      </c>
      <c r="M32" s="251">
        <v>148.69999999999999</v>
      </c>
      <c r="N32" s="251">
        <v>91.679999999999993</v>
      </c>
      <c r="O32" s="321">
        <v>88.359999999999999</v>
      </c>
      <c r="P32" s="274">
        <f t="shared" si="0"/>
        <v>953.94999999999982</v>
      </c>
      <c r="Q32" s="251"/>
      <c r="R32" s="251">
        <v>840.25999999999999</v>
      </c>
      <c r="S32" s="251">
        <v>0</v>
      </c>
      <c r="T32" s="251">
        <v>0</v>
      </c>
      <c r="U32" s="253">
        <f t="shared" si="1"/>
        <v>840.25999999999999</v>
      </c>
      <c r="V32" s="251">
        <v>113.68999999999997</v>
      </c>
      <c r="W32" s="251">
        <v>0</v>
      </c>
      <c r="X32" s="253">
        <f t="shared" si="2"/>
        <v>113.68999999999997</v>
      </c>
      <c r="Y32" s="251">
        <v>0</v>
      </c>
      <c r="Z32" s="251">
        <v>0</v>
      </c>
      <c r="AA32" s="274">
        <f t="shared" si="3"/>
        <v>953.94999999999993</v>
      </c>
      <c r="AB32" s="206" t="b">
        <f t="shared" si="4"/>
        <v>1</v>
      </c>
    </row>
    <row r="33" spans="1:28" ht="12.75">
      <c r="A33" s="191">
        <v>20</v>
      </c>
      <c r="B33" t="s">
        <v>253</v>
      </c>
      <c r="C33" s="183" t="s">
        <v>862</v>
      </c>
      <c r="D33" s="251">
        <v>85194.189999999959</v>
      </c>
      <c r="E33" s="251">
        <v>100575.50999999995</v>
      </c>
      <c r="F33" s="251">
        <v>86685.110000000015</v>
      </c>
      <c r="G33" s="251">
        <v>74577.080000000031</v>
      </c>
      <c r="H33" s="251">
        <v>63535.100000000013</v>
      </c>
      <c r="I33" s="251">
        <v>89572.85000000002</v>
      </c>
      <c r="J33" s="251">
        <v>97829.229999999996</v>
      </c>
      <c r="K33" s="251">
        <v>73729.289999999994</v>
      </c>
      <c r="L33" s="251">
        <v>91458.010000000053</v>
      </c>
      <c r="M33" s="251">
        <v>66966.570000000007</v>
      </c>
      <c r="N33" s="251">
        <v>79503.560000000012</v>
      </c>
      <c r="O33" s="321">
        <v>75374.689999999973</v>
      </c>
      <c r="P33" s="274">
        <f t="shared" si="0"/>
        <v>985001.19000000018</v>
      </c>
      <c r="Q33" s="251"/>
      <c r="R33" s="251">
        <v>797655.9099999991</v>
      </c>
      <c r="S33" s="251">
        <v>0</v>
      </c>
      <c r="T33" s="251">
        <v>0</v>
      </c>
      <c r="U33" s="253">
        <f t="shared" si="1"/>
        <v>797655.9099999991</v>
      </c>
      <c r="V33" s="251">
        <v>187345.27999999994</v>
      </c>
      <c r="W33" s="251">
        <v>0</v>
      </c>
      <c r="X33" s="253">
        <f t="shared" si="2"/>
        <v>187345.27999999994</v>
      </c>
      <c r="Y33" s="251">
        <v>0</v>
      </c>
      <c r="Z33" s="251">
        <v>0</v>
      </c>
      <c r="AA33" s="274">
        <f t="shared" si="3"/>
        <v>985001.18999999901</v>
      </c>
      <c r="AB33" s="206" t="b">
        <f t="shared" si="4"/>
        <v>1</v>
      </c>
    </row>
    <row r="34" spans="1:28" ht="12.75">
      <c r="A34" s="191">
        <v>21</v>
      </c>
      <c r="B34" t="s">
        <v>147</v>
      </c>
      <c r="C34" s="183" t="s">
        <v>862</v>
      </c>
      <c r="D34" s="251">
        <v>380077.99999999977</v>
      </c>
      <c r="E34" s="251">
        <v>382043.33000000002</v>
      </c>
      <c r="F34" s="251">
        <v>233891.53999999975</v>
      </c>
      <c r="G34" s="251">
        <v>360444.42999999982</v>
      </c>
      <c r="H34" s="251">
        <v>302462.76999999996</v>
      </c>
      <c r="I34" s="251">
        <v>413998.99999999977</v>
      </c>
      <c r="J34" s="251">
        <v>551682.56999999972</v>
      </c>
      <c r="K34" s="251">
        <v>355472.06999999983</v>
      </c>
      <c r="L34" s="251">
        <v>192134.47000000003</v>
      </c>
      <c r="M34" s="251">
        <v>412346.42999999953</v>
      </c>
      <c r="N34" s="251">
        <v>383537.30000000022</v>
      </c>
      <c r="O34" s="321">
        <v>504700.43000000046</v>
      </c>
      <c r="P34" s="274">
        <f t="shared" si="0"/>
        <v>4472792.3399999989</v>
      </c>
      <c r="Q34" s="251"/>
      <c r="R34" s="251">
        <v>1202.8199999999979</v>
      </c>
      <c r="S34" s="251">
        <v>0</v>
      </c>
      <c r="T34" s="251">
        <v>0</v>
      </c>
      <c r="U34" s="253">
        <f t="shared" si="1"/>
        <v>1202.8199999999979</v>
      </c>
      <c r="V34" s="251">
        <v>4364563.8499999773</v>
      </c>
      <c r="W34" s="251">
        <v>0</v>
      </c>
      <c r="X34" s="253">
        <f t="shared" si="2"/>
        <v>4364563.8499999773</v>
      </c>
      <c r="Y34" s="251">
        <v>105035.35999999948</v>
      </c>
      <c r="Z34" s="251">
        <v>1990.3099999999988</v>
      </c>
      <c r="AA34" s="274">
        <f t="shared" si="3"/>
        <v>4472792.3399999775</v>
      </c>
      <c r="AB34" s="206" t="b">
        <f t="shared" si="4"/>
        <v>1</v>
      </c>
    </row>
    <row r="35" spans="1:28" ht="12.75">
      <c r="A35" s="191">
        <v>22</v>
      </c>
      <c r="B35" t="s">
        <v>148</v>
      </c>
      <c r="C35" s="183" t="s">
        <v>862</v>
      </c>
      <c r="D35" s="251">
        <v>95762.579999999973</v>
      </c>
      <c r="E35" s="251">
        <v>108954.61999999998</v>
      </c>
      <c r="F35" s="251">
        <v>114198.44000000009</v>
      </c>
      <c r="G35" s="251">
        <v>75911.12999999999</v>
      </c>
      <c r="H35" s="251">
        <v>86721.920000000027</v>
      </c>
      <c r="I35" s="251">
        <v>107574.05000000005</v>
      </c>
      <c r="J35" s="251">
        <v>93269.649999999936</v>
      </c>
      <c r="K35" s="251">
        <v>89320.200000000026</v>
      </c>
      <c r="L35" s="251">
        <v>118527.38999999999</v>
      </c>
      <c r="M35" s="251">
        <v>114199.14</v>
      </c>
      <c r="N35" s="251">
        <v>114749.21999999996</v>
      </c>
      <c r="O35" s="321">
        <v>130370.87999999995</v>
      </c>
      <c r="P35" s="274">
        <f t="shared" si="0"/>
        <v>1249559.22</v>
      </c>
      <c r="Q35" s="251"/>
      <c r="R35" s="251">
        <v>97.510000000000048</v>
      </c>
      <c r="S35" s="251">
        <v>0</v>
      </c>
      <c r="T35" s="251">
        <v>0</v>
      </c>
      <c r="U35" s="253">
        <f t="shared" si="1"/>
        <v>97.510000000000048</v>
      </c>
      <c r="V35" s="251">
        <v>1194809.6600000039</v>
      </c>
      <c r="W35" s="251">
        <v>0</v>
      </c>
      <c r="X35" s="253">
        <f t="shared" si="2"/>
        <v>1194809.6600000039</v>
      </c>
      <c r="Y35" s="251">
        <v>54602.509999999842</v>
      </c>
      <c r="Z35" s="251">
        <v>49.540000000000646</v>
      </c>
      <c r="AA35" s="274">
        <f t="shared" si="3"/>
        <v>1249559.2200000037</v>
      </c>
      <c r="AB35" s="206" t="b">
        <f t="shared" si="4"/>
        <v>1</v>
      </c>
    </row>
    <row r="36" spans="1:28" ht="12.75">
      <c r="A36" s="191">
        <v>23</v>
      </c>
      <c r="B36" t="s">
        <v>254</v>
      </c>
      <c r="C36" s="183" t="s">
        <v>862</v>
      </c>
      <c r="D36" s="251">
        <v>27414.309999999994</v>
      </c>
      <c r="E36" s="251">
        <v>34588.14999999998</v>
      </c>
      <c r="F36" s="251">
        <v>29529.150000000001</v>
      </c>
      <c r="G36" s="251">
        <v>36407.600000000006</v>
      </c>
      <c r="H36" s="251">
        <v>51971.260000000009</v>
      </c>
      <c r="I36" s="251">
        <v>23829.900000000005</v>
      </c>
      <c r="J36" s="251">
        <v>45279.250000000022</v>
      </c>
      <c r="K36" s="251">
        <v>19793.039999999997</v>
      </c>
      <c r="L36" s="251">
        <v>35834.000000000007</v>
      </c>
      <c r="M36" s="251">
        <v>41886.790000000015</v>
      </c>
      <c r="N36" s="251">
        <v>36734.230000000025</v>
      </c>
      <c r="O36" s="321">
        <v>21838.349999999995</v>
      </c>
      <c r="P36" s="274">
        <f t="shared" si="0"/>
        <v>405106.03000000009</v>
      </c>
      <c r="Q36" s="251"/>
      <c r="R36" s="251">
        <v>48.689999999999998</v>
      </c>
      <c r="S36" s="251">
        <v>0</v>
      </c>
      <c r="T36" s="251">
        <v>0</v>
      </c>
      <c r="U36" s="253">
        <f t="shared" si="1"/>
        <v>48.689999999999998</v>
      </c>
      <c r="V36" s="251">
        <v>401685.74000000005</v>
      </c>
      <c r="W36" s="251">
        <v>0</v>
      </c>
      <c r="X36" s="253">
        <f t="shared" si="2"/>
        <v>401685.74000000005</v>
      </c>
      <c r="Y36" s="251">
        <v>3264.6100000000174</v>
      </c>
      <c r="Z36" s="251">
        <v>106.98999999999995</v>
      </c>
      <c r="AA36" s="274">
        <f t="shared" si="3"/>
        <v>405106.03000000009</v>
      </c>
      <c r="AB36" s="206" t="b">
        <f t="shared" si="4"/>
        <v>1</v>
      </c>
    </row>
    <row r="37" spans="1:28" ht="12.75">
      <c r="A37" s="191">
        <v>24</v>
      </c>
      <c r="B37" t="s">
        <v>282</v>
      </c>
      <c r="C37" s="183" t="s">
        <v>862</v>
      </c>
      <c r="D37" s="251">
        <v>4766.4500000000007</v>
      </c>
      <c r="E37" s="251">
        <v>5996.1300000000028</v>
      </c>
      <c r="F37" s="251">
        <v>6528.8899999999949</v>
      </c>
      <c r="G37" s="251">
        <v>7040.8299999999999</v>
      </c>
      <c r="H37" s="251">
        <v>5554.6700000000001</v>
      </c>
      <c r="I37" s="251">
        <v>5092.8200000000024</v>
      </c>
      <c r="J37" s="251">
        <v>5149.7800000000025</v>
      </c>
      <c r="K37" s="251">
        <v>6264.8700000000017</v>
      </c>
      <c r="L37" s="251">
        <v>7024.6500000000015</v>
      </c>
      <c r="M37" s="251">
        <v>8169.4599999999982</v>
      </c>
      <c r="N37" s="251">
        <v>6574.9399999999996</v>
      </c>
      <c r="O37" s="321">
        <v>5130.6100000000006</v>
      </c>
      <c r="P37" s="274">
        <f t="shared" si="0"/>
        <v>73294.099999999991</v>
      </c>
      <c r="Q37" s="251"/>
      <c r="R37" s="251">
        <v>6.2399999999999975</v>
      </c>
      <c r="S37" s="251">
        <v>0</v>
      </c>
      <c r="T37" s="251">
        <v>0</v>
      </c>
      <c r="U37" s="253">
        <f t="shared" si="1"/>
        <v>6.2399999999999975</v>
      </c>
      <c r="V37" s="251">
        <v>45842.629999999976</v>
      </c>
      <c r="W37" s="251">
        <v>0</v>
      </c>
      <c r="X37" s="253">
        <f t="shared" si="2"/>
        <v>45842.629999999976</v>
      </c>
      <c r="Y37" s="251">
        <v>27438.089999999967</v>
      </c>
      <c r="Z37" s="251">
        <v>7.1399999999999961</v>
      </c>
      <c r="AA37" s="274">
        <f t="shared" si="3"/>
        <v>73294.099999999948</v>
      </c>
      <c r="AB37" s="206" t="b">
        <f t="shared" si="4"/>
        <v>1</v>
      </c>
    </row>
    <row r="38" spans="1:28" ht="12.75">
      <c r="A38" s="191">
        <v>25</v>
      </c>
      <c r="B38" t="s">
        <v>256</v>
      </c>
      <c r="C38" s="183" t="s">
        <v>862</v>
      </c>
      <c r="D38" s="251">
        <v>89003.810000000012</v>
      </c>
      <c r="E38" s="251">
        <v>98351.459999999992</v>
      </c>
      <c r="F38" s="251">
        <v>91287.860000000001</v>
      </c>
      <c r="G38" s="251">
        <v>101337.84999999999</v>
      </c>
      <c r="H38" s="251">
        <v>101574.83000000002</v>
      </c>
      <c r="I38" s="251">
        <v>99988.60000000002</v>
      </c>
      <c r="J38" s="251">
        <v>104048.43000000001</v>
      </c>
      <c r="K38" s="251">
        <v>111636.34999999999</v>
      </c>
      <c r="L38" s="251">
        <v>108619.39</v>
      </c>
      <c r="M38" s="251">
        <v>103059.94999999998</v>
      </c>
      <c r="N38" s="251">
        <v>99744.929999999993</v>
      </c>
      <c r="O38" s="321">
        <v>76255.449999999997</v>
      </c>
      <c r="P38" s="274">
        <f t="shared" si="0"/>
        <v>1184908.9099999999</v>
      </c>
      <c r="Q38" s="251"/>
      <c r="R38" s="251">
        <v>0</v>
      </c>
      <c r="S38" s="251">
        <v>0</v>
      </c>
      <c r="T38" s="251">
        <v>0</v>
      </c>
      <c r="U38" s="253">
        <f t="shared" si="1"/>
        <v>0</v>
      </c>
      <c r="V38" s="251">
        <v>12796.840000000004</v>
      </c>
      <c r="W38" s="251">
        <v>0</v>
      </c>
      <c r="X38" s="253">
        <f t="shared" si="2"/>
        <v>12796.840000000004</v>
      </c>
      <c r="Y38" s="251">
        <v>1172078.6299999999</v>
      </c>
      <c r="Z38" s="251">
        <v>33.439999999999984</v>
      </c>
      <c r="AA38" s="274">
        <f t="shared" si="3"/>
        <v>1184908.9099999999</v>
      </c>
      <c r="AB38" s="206" t="b">
        <f t="shared" si="4"/>
        <v>1</v>
      </c>
    </row>
    <row r="39" spans="1:28" ht="12.75">
      <c r="A39" s="191">
        <v>26</v>
      </c>
      <c r="B39" t="s">
        <v>285</v>
      </c>
      <c r="C39" s="183" t="s">
        <v>862</v>
      </c>
      <c r="D39" s="251">
        <v>11804.520000000002</v>
      </c>
      <c r="E39" s="251">
        <v>12266.119999999999</v>
      </c>
      <c r="F39" s="251">
        <v>10377.02</v>
      </c>
      <c r="G39" s="251">
        <v>12451.859999999999</v>
      </c>
      <c r="H39" s="251">
        <v>13325.309999999998</v>
      </c>
      <c r="I39" s="251">
        <v>9572.7299999999977</v>
      </c>
      <c r="J39" s="251">
        <v>11361.339999999998</v>
      </c>
      <c r="K39" s="251">
        <v>11315.520000000002</v>
      </c>
      <c r="L39" s="251">
        <v>12017.630000000001</v>
      </c>
      <c r="M39" s="251">
        <v>14724.02</v>
      </c>
      <c r="N39" s="251">
        <v>12830.26</v>
      </c>
      <c r="O39" s="321">
        <v>11583.91</v>
      </c>
      <c r="P39" s="274">
        <f t="shared" si="0"/>
        <v>143630.24000000002</v>
      </c>
      <c r="Q39" s="251"/>
      <c r="R39" s="251">
        <v>-300.67000000000036</v>
      </c>
      <c r="S39" s="251">
        <v>0</v>
      </c>
      <c r="T39" s="251">
        <v>0</v>
      </c>
      <c r="U39" s="253">
        <f t="shared" si="1"/>
        <v>-300.67000000000036</v>
      </c>
      <c r="V39" s="251">
        <v>142717.15999999997</v>
      </c>
      <c r="W39" s="251">
        <v>0</v>
      </c>
      <c r="X39" s="253">
        <f t="shared" si="2"/>
        <v>142717.15999999997</v>
      </c>
      <c r="Y39" s="251">
        <v>1175.2999999999975</v>
      </c>
      <c r="Z39" s="251">
        <v>38.450000000000053</v>
      </c>
      <c r="AA39" s="274">
        <f t="shared" si="3"/>
        <v>143630.23999999996</v>
      </c>
      <c r="AB39" s="206" t="b">
        <f t="shared" si="4"/>
        <v>1</v>
      </c>
    </row>
    <row r="40" spans="1:28" ht="12.75">
      <c r="A40" s="191">
        <v>27</v>
      </c>
      <c r="B40" t="s">
        <v>259</v>
      </c>
      <c r="C40" s="183" t="s">
        <v>862</v>
      </c>
      <c r="D40" s="251">
        <v>6393.0400000000009</v>
      </c>
      <c r="E40" s="251">
        <v>6165.5100000000002</v>
      </c>
      <c r="F40" s="251">
        <v>6301.1900000000005</v>
      </c>
      <c r="G40" s="251">
        <v>7885.2199999999993</v>
      </c>
      <c r="H40" s="251">
        <v>5564.29</v>
      </c>
      <c r="I40" s="251">
        <v>5377.0699999999997</v>
      </c>
      <c r="J40" s="251">
        <v>5825.8999999999996</v>
      </c>
      <c r="K40" s="251">
        <v>5730.1100000000006</v>
      </c>
      <c r="L40" s="251">
        <v>6338.71</v>
      </c>
      <c r="M40" s="251">
        <v>7275.3000000000002</v>
      </c>
      <c r="N40" s="251">
        <v>5529</v>
      </c>
      <c r="O40" s="321">
        <v>4328.0300000000007</v>
      </c>
      <c r="P40" s="274">
        <f t="shared" si="0"/>
        <v>72713.369999999995</v>
      </c>
      <c r="Q40" s="251"/>
      <c r="R40" s="251">
        <v>0</v>
      </c>
      <c r="S40" s="251">
        <v>0</v>
      </c>
      <c r="T40" s="251">
        <v>0</v>
      </c>
      <c r="U40" s="253">
        <f t="shared" si="1"/>
        <v>0</v>
      </c>
      <c r="V40" s="251">
        <v>43.670000000000002</v>
      </c>
      <c r="W40" s="251">
        <v>0</v>
      </c>
      <c r="X40" s="253">
        <f t="shared" si="2"/>
        <v>43.670000000000002</v>
      </c>
      <c r="Y40" s="251">
        <v>72669.700000000012</v>
      </c>
      <c r="Z40" s="251">
        <v>0</v>
      </c>
      <c r="AA40" s="274">
        <f t="shared" si="3"/>
        <v>72713.37000000001</v>
      </c>
      <c r="AB40" s="206" t="b">
        <f t="shared" si="4"/>
        <v>1</v>
      </c>
    </row>
    <row r="41" spans="1:28" ht="12.75">
      <c r="A41" s="191">
        <v>28</v>
      </c>
      <c r="B41" t="s">
        <v>331</v>
      </c>
      <c r="C41" s="183" t="s">
        <v>862</v>
      </c>
      <c r="D41" s="251">
        <v>3079.79</v>
      </c>
      <c r="E41" s="251">
        <v>2205.4299999999998</v>
      </c>
      <c r="F41" s="251">
        <v>2824.5299999999997</v>
      </c>
      <c r="G41" s="251">
        <v>2955.9400000000001</v>
      </c>
      <c r="H41" s="251">
        <v>4371.2299999999996</v>
      </c>
      <c r="I41" s="251">
        <v>2207.9500000000003</v>
      </c>
      <c r="J41" s="251">
        <v>1541.4300000000001</v>
      </c>
      <c r="K41" s="251">
        <v>1666.3700000000001</v>
      </c>
      <c r="L41" s="251">
        <v>3155.04</v>
      </c>
      <c r="M41" s="251">
        <v>1990.52</v>
      </c>
      <c r="N41" s="251">
        <v>2047.4200000000005</v>
      </c>
      <c r="O41" s="321">
        <v>1529.23</v>
      </c>
      <c r="P41" s="274">
        <f t="shared" si="0"/>
        <v>29574.880000000001</v>
      </c>
      <c r="Q41" s="251"/>
      <c r="R41" s="251">
        <v>1.9100000000000001</v>
      </c>
      <c r="S41" s="251">
        <v>0</v>
      </c>
      <c r="T41" s="251">
        <v>0</v>
      </c>
      <c r="U41" s="253">
        <f t="shared" si="1"/>
        <v>1.9100000000000001</v>
      </c>
      <c r="V41" s="251">
        <v>10128.389999999999</v>
      </c>
      <c r="W41" s="251">
        <v>0</v>
      </c>
      <c r="X41" s="253">
        <f t="shared" si="2"/>
        <v>10128.389999999999</v>
      </c>
      <c r="Y41" s="251">
        <v>141.38</v>
      </c>
      <c r="Z41" s="251">
        <v>19303.200000000001</v>
      </c>
      <c r="AA41" s="274">
        <f t="shared" si="3"/>
        <v>29574.880000000001</v>
      </c>
      <c r="AB41" s="206" t="b">
        <f t="shared" si="4"/>
        <v>1</v>
      </c>
    </row>
    <row r="42" spans="1:28" ht="12.75">
      <c r="A42" s="191">
        <v>29</v>
      </c>
      <c r="B42" t="s">
        <v>272</v>
      </c>
      <c r="C42" s="183" t="s">
        <v>862</v>
      </c>
      <c r="D42" s="251">
        <v>46824.489999999998</v>
      </c>
      <c r="E42" s="251">
        <v>34590.220000000001</v>
      </c>
      <c r="F42" s="251">
        <v>33345.869999999995</v>
      </c>
      <c r="G42" s="251">
        <v>34703.230000000003</v>
      </c>
      <c r="H42" s="251">
        <v>46242.450000000012</v>
      </c>
      <c r="I42" s="251">
        <v>33117.199999999997</v>
      </c>
      <c r="J42" s="251">
        <v>37649.329999999994</v>
      </c>
      <c r="K42" s="251">
        <v>47057.279999999999</v>
      </c>
      <c r="L42" s="251">
        <v>42427.330000000002</v>
      </c>
      <c r="M42" s="251">
        <v>38890.690000000002</v>
      </c>
      <c r="N42" s="251">
        <v>33230.520000000004</v>
      </c>
      <c r="O42" s="321">
        <v>33025.710000000006</v>
      </c>
      <c r="P42" s="274">
        <f t="shared" si="0"/>
        <v>461104.32000000012</v>
      </c>
      <c r="Q42" s="251"/>
      <c r="R42" s="251">
        <v>134905.99000000002</v>
      </c>
      <c r="S42" s="251">
        <v>0</v>
      </c>
      <c r="T42" s="251">
        <v>0</v>
      </c>
      <c r="U42" s="253">
        <f t="shared" si="1"/>
        <v>134905.99000000002</v>
      </c>
      <c r="V42" s="251">
        <v>194148.50999999998</v>
      </c>
      <c r="W42" s="251">
        <v>0</v>
      </c>
      <c r="X42" s="253">
        <f t="shared" si="2"/>
        <v>194148.50999999998</v>
      </c>
      <c r="Y42" s="251">
        <v>47548.270000000011</v>
      </c>
      <c r="Z42" s="251">
        <v>84501.550000000003</v>
      </c>
      <c r="AA42" s="274">
        <f t="shared" si="3"/>
        <v>461104.31999999995</v>
      </c>
      <c r="AB42" s="206" t="b">
        <f t="shared" si="4"/>
        <v>1</v>
      </c>
    </row>
    <row r="43" spans="1:28" ht="12.75">
      <c r="A43" s="191">
        <v>30</v>
      </c>
      <c r="B43" t="s">
        <v>274</v>
      </c>
      <c r="C43" s="183" t="s">
        <v>862</v>
      </c>
      <c r="D43" s="251">
        <v>726.51999999999998</v>
      </c>
      <c r="E43" s="251">
        <v>330.89999999999998</v>
      </c>
      <c r="F43" s="251">
        <v>0</v>
      </c>
      <c r="G43" s="251">
        <v>126.92</v>
      </c>
      <c r="H43" s="251">
        <v>0</v>
      </c>
      <c r="I43" s="251">
        <v>0</v>
      </c>
      <c r="J43" s="251">
        <v>0</v>
      </c>
      <c r="K43" s="251">
        <v>0</v>
      </c>
      <c r="L43" s="251">
        <v>0</v>
      </c>
      <c r="M43" s="251">
        <v>0</v>
      </c>
      <c r="N43" s="251">
        <v>0</v>
      </c>
      <c r="O43" s="321">
        <v>0</v>
      </c>
      <c r="P43" s="274">
        <f t="shared" si="0"/>
        <v>1184.3400000000002</v>
      </c>
      <c r="Q43" s="251"/>
      <c r="R43" s="251">
        <v>0.22000000000000003</v>
      </c>
      <c r="S43" s="251">
        <v>0</v>
      </c>
      <c r="T43" s="251">
        <v>0</v>
      </c>
      <c r="U43" s="253">
        <f t="shared" si="1"/>
        <v>0.22000000000000003</v>
      </c>
      <c r="V43" s="251">
        <v>1183.4599999999998</v>
      </c>
      <c r="W43" s="251">
        <v>0</v>
      </c>
      <c r="X43" s="253">
        <f t="shared" si="2"/>
        <v>1183.4599999999998</v>
      </c>
      <c r="Y43" s="251">
        <v>0.64000000000001656</v>
      </c>
      <c r="Z43" s="251">
        <v>0.02</v>
      </c>
      <c r="AA43" s="274">
        <f t="shared" si="3"/>
        <v>1184.3399999999999</v>
      </c>
      <c r="AB43" s="206" t="b">
        <f t="shared" si="4"/>
        <v>1</v>
      </c>
    </row>
    <row r="44" spans="1:28" ht="12.75">
      <c r="A44" s="191">
        <v>31</v>
      </c>
      <c r="B44" t="s">
        <v>861</v>
      </c>
      <c r="C44" s="183" t="s">
        <v>862</v>
      </c>
      <c r="D44" s="251">
        <v>1064.5999999999999</v>
      </c>
      <c r="E44" s="251">
        <v>1058.5</v>
      </c>
      <c r="F44" s="251">
        <v>1060.21</v>
      </c>
      <c r="G44" s="251">
        <v>883.76999999999998</v>
      </c>
      <c r="H44" s="251">
        <v>1210.6099999999999</v>
      </c>
      <c r="I44" s="251">
        <v>1169.4100000000001</v>
      </c>
      <c r="J44" s="251">
        <v>1055.75</v>
      </c>
      <c r="K44" s="251">
        <v>1067.01</v>
      </c>
      <c r="L44" s="251">
        <v>1052.03</v>
      </c>
      <c r="M44" s="251">
        <v>1863.4399999999998</v>
      </c>
      <c r="N44" s="251">
        <v>1055.75</v>
      </c>
      <c r="O44" s="321">
        <v>1566.4300000000001</v>
      </c>
      <c r="P44" s="274">
        <f t="shared" si="0"/>
        <v>14107.51</v>
      </c>
      <c r="Q44" s="251"/>
      <c r="R44" s="251">
        <v>3956.6700000000001</v>
      </c>
      <c r="S44" s="251">
        <v>0</v>
      </c>
      <c r="T44" s="251">
        <v>0</v>
      </c>
      <c r="U44" s="253">
        <f t="shared" si="1"/>
        <v>3956.6700000000001</v>
      </c>
      <c r="V44" s="251">
        <v>8457.8799999999992</v>
      </c>
      <c r="W44" s="251">
        <v>0</v>
      </c>
      <c r="X44" s="253">
        <f t="shared" si="2"/>
        <v>8457.8799999999992</v>
      </c>
      <c r="Y44" s="251">
        <v>1627.1500000000001</v>
      </c>
      <c r="Z44" s="251">
        <v>65.810000000000088</v>
      </c>
      <c r="AA44" s="274">
        <f t="shared" si="3"/>
        <v>14107.51</v>
      </c>
      <c r="AB44" s="206" t="b">
        <f t="shared" si="4"/>
        <v>1</v>
      </c>
    </row>
    <row r="45" spans="1:28" ht="12.75">
      <c r="A45" s="191">
        <v>32</v>
      </c>
      <c r="B45" t="s">
        <v>26</v>
      </c>
      <c r="C45" s="183" t="s">
        <v>862</v>
      </c>
      <c r="D45" s="251">
        <v>8.4900000000000002</v>
      </c>
      <c r="E45" s="251">
        <v>85.069999999999993</v>
      </c>
      <c r="F45" s="251">
        <v>164.19</v>
      </c>
      <c r="G45" s="251">
        <v>148.58999999999998</v>
      </c>
      <c r="H45" s="251">
        <v>206.53</v>
      </c>
      <c r="I45" s="251">
        <v>291.75000000000006</v>
      </c>
      <c r="J45" s="251">
        <v>1143.8300000000002</v>
      </c>
      <c r="K45" s="251">
        <v>521.35000000000002</v>
      </c>
      <c r="L45" s="251">
        <v>502.33000000000004</v>
      </c>
      <c r="M45" s="251">
        <v>334.35000000000002</v>
      </c>
      <c r="N45" s="251">
        <v>357.21000000000004</v>
      </c>
      <c r="O45" s="321">
        <v>276.08999999999997</v>
      </c>
      <c r="P45" s="274">
        <f t="shared" si="0"/>
        <v>4039.7800000000002</v>
      </c>
      <c r="Q45" s="251"/>
      <c r="R45" s="251">
        <v>0.070000000000000007</v>
      </c>
      <c r="S45" s="251">
        <v>0</v>
      </c>
      <c r="T45" s="251">
        <v>0</v>
      </c>
      <c r="U45" s="253">
        <f t="shared" si="1"/>
        <v>0.070000000000000007</v>
      </c>
      <c r="V45" s="251">
        <v>4021.670000000001</v>
      </c>
      <c r="W45" s="251">
        <v>0</v>
      </c>
      <c r="X45" s="253">
        <f t="shared" si="2"/>
        <v>4021.670000000001</v>
      </c>
      <c r="Y45" s="251">
        <v>13.349999999999982</v>
      </c>
      <c r="Z45" s="251">
        <v>4.6900000000000066</v>
      </c>
      <c r="AA45" s="274">
        <f t="shared" si="3"/>
        <v>4039.7800000000011</v>
      </c>
      <c r="AB45" s="206" t="b">
        <f t="shared" si="4"/>
        <v>1</v>
      </c>
    </row>
    <row r="46" spans="1:28" ht="12.75">
      <c r="A46" s="191">
        <v>33</v>
      </c>
      <c r="B46" t="s">
        <v>280</v>
      </c>
      <c r="C46" s="183" t="s">
        <v>862</v>
      </c>
      <c r="D46" s="251">
        <v>13509.26</v>
      </c>
      <c r="E46" s="251">
        <v>12587.800000000001</v>
      </c>
      <c r="F46" s="251">
        <v>16959.259999999998</v>
      </c>
      <c r="G46" s="251">
        <v>13269.969999999999</v>
      </c>
      <c r="H46" s="251">
        <v>20877.77</v>
      </c>
      <c r="I46" s="251">
        <v>14484.779999999999</v>
      </c>
      <c r="J46" s="251">
        <v>13122.759999999998</v>
      </c>
      <c r="K46" s="251">
        <v>19998.630000000001</v>
      </c>
      <c r="L46" s="251">
        <v>11440.639999999999</v>
      </c>
      <c r="M46" s="251">
        <v>22388.809999999998</v>
      </c>
      <c r="N46" s="251">
        <v>-1913.74</v>
      </c>
      <c r="O46" s="321">
        <v>13563.810000000001</v>
      </c>
      <c r="P46" s="274">
        <f t="shared" si="0"/>
        <v>170289.75</v>
      </c>
      <c r="Q46" s="251"/>
      <c r="R46" s="251">
        <v>29883.139999999989</v>
      </c>
      <c r="S46" s="251">
        <v>0</v>
      </c>
      <c r="T46" s="251">
        <v>0</v>
      </c>
      <c r="U46" s="253">
        <f t="shared" si="1"/>
        <v>29883.139999999989</v>
      </c>
      <c r="V46" s="251">
        <v>140360</v>
      </c>
      <c r="W46" s="251">
        <v>0</v>
      </c>
      <c r="X46" s="253">
        <f t="shared" si="2"/>
        <v>140360</v>
      </c>
      <c r="Y46" s="251">
        <v>44.41999999999998</v>
      </c>
      <c r="Z46" s="251">
        <v>2.1899999999989084</v>
      </c>
      <c r="AA46" s="274">
        <f t="shared" si="3"/>
        <v>170289.74999999997</v>
      </c>
      <c r="AB46" s="206" t="b">
        <f t="shared" si="4"/>
        <v>1</v>
      </c>
    </row>
    <row r="47" spans="1:27" ht="13.5" thickBot="1">
      <c r="A47" s="191">
        <v>34</v>
      </c>
      <c r="D47" s="317">
        <f>SUM(D14:D46)</f>
        <v>2612365.6400000001</v>
      </c>
      <c r="E47" s="317">
        <f t="shared" si="5" ref="E47:P47">SUM(E14:E46)</f>
        <v>2369468.479999999</v>
      </c>
      <c r="F47" s="317">
        <f t="shared" si="5"/>
        <v>2478343.1099999989</v>
      </c>
      <c r="G47" s="317">
        <f t="shared" si="5"/>
        <v>2380263.7399999998</v>
      </c>
      <c r="H47" s="317">
        <f t="shared" si="5"/>
        <v>2461604.4699999983</v>
      </c>
      <c r="I47" s="317">
        <f t="shared" si="5"/>
        <v>2613579.2300000004</v>
      </c>
      <c r="J47" s="317">
        <f t="shared" si="5"/>
        <v>2803349.6599999988</v>
      </c>
      <c r="K47" s="317">
        <f t="shared" si="5"/>
        <v>2372721.9699999988</v>
      </c>
      <c r="L47" s="317">
        <f t="shared" si="5"/>
        <v>2306581.27</v>
      </c>
      <c r="M47" s="317">
        <f t="shared" si="5"/>
        <v>2645889.8899999997</v>
      </c>
      <c r="N47" s="317">
        <f t="shared" si="5"/>
        <v>2615180.1999999993</v>
      </c>
      <c r="O47" s="317">
        <f t="shared" si="5"/>
        <v>2511749.0900000012</v>
      </c>
      <c r="P47" s="317">
        <f t="shared" si="5"/>
        <v>30171096.75</v>
      </c>
      <c r="R47" s="317">
        <f t="shared" si="6" ref="R47">SUM(R14:R46)</f>
        <v>4738711.0899999999</v>
      </c>
      <c r="S47" s="317">
        <f t="shared" si="7" ref="S47">SUM(S14:S46)</f>
        <v>0</v>
      </c>
      <c r="T47" s="317">
        <f t="shared" si="8" ref="T47">SUM(T14:T46)</f>
        <v>3903.309999999999</v>
      </c>
      <c r="U47" s="317">
        <f t="shared" si="9" ref="U47">SUM(U14:U46)</f>
        <v>4742614.4000000004</v>
      </c>
      <c r="V47" s="317">
        <f t="shared" si="10" ref="V47">SUM(V14:V46)</f>
        <v>19861976.189999983</v>
      </c>
      <c r="W47" s="317">
        <f t="shared" si="11" ref="W47">SUM(W14:W46)</f>
        <v>0</v>
      </c>
      <c r="X47" s="317">
        <f t="shared" si="12" ref="X47">SUM(X14:X46)</f>
        <v>19861976.189999983</v>
      </c>
      <c r="Y47" s="317">
        <f t="shared" si="13" ref="Y47">SUM(Y14:Y46)</f>
        <v>5449760.1899999883</v>
      </c>
      <c r="Z47" s="317">
        <f t="shared" si="14" ref="Z47">SUM(Z14:Z46)</f>
        <v>116745.97000000002</v>
      </c>
      <c r="AA47" s="317">
        <f t="shared" si="15" ref="AA47">SUM(AA14:AA46)</f>
        <v>30171096.749999978</v>
      </c>
    </row>
    <row r="48" spans="1:1" ht="13.5" thickTop="1">
      <c r="A48" s="191">
        <v>35</v>
      </c>
    </row>
    <row r="49" spans="1:1" ht="12.75">
      <c r="A49" s="191">
        <v>36</v>
      </c>
    </row>
    <row r="50" spans="1:28" ht="12.75">
      <c r="A50" s="191">
        <v>37</v>
      </c>
      <c r="B50" t="s">
        <v>279</v>
      </c>
      <c r="C50" t="s">
        <v>1026</v>
      </c>
      <c r="D50" s="282">
        <v>29903.550000000003</v>
      </c>
      <c r="E50" s="282">
        <v>29903.549999999996</v>
      </c>
      <c r="F50" s="282">
        <v>29903.550000000003</v>
      </c>
      <c r="G50" s="282">
        <v>31809.75</v>
      </c>
      <c r="H50" s="282">
        <v>29903.549999999996</v>
      </c>
      <c r="I50" s="282">
        <v>29903.549999999996</v>
      </c>
      <c r="J50" s="282">
        <v>29903.550000000003</v>
      </c>
      <c r="K50" s="282">
        <v>29903.549999999996</v>
      </c>
      <c r="L50" s="282">
        <v>29903.550000000003</v>
      </c>
      <c r="M50" s="282">
        <v>29544.220000000005</v>
      </c>
      <c r="N50" s="282">
        <v>29283.560000000001</v>
      </c>
      <c r="O50" s="347">
        <v>0</v>
      </c>
      <c r="P50" s="348">
        <f>SUM(D50:O50)</f>
        <v>329865.92999999999</v>
      </c>
      <c r="Q50" s="282"/>
      <c r="R50" s="282">
        <v>72636.469999999958</v>
      </c>
      <c r="S50" s="282">
        <v>0</v>
      </c>
      <c r="T50" s="282">
        <v>0</v>
      </c>
      <c r="U50" s="348">
        <f>SUM(R50:T50)</f>
        <v>72636.469999999958</v>
      </c>
      <c r="V50" s="282">
        <v>200393.49999999985</v>
      </c>
      <c r="W50" s="282">
        <v>0</v>
      </c>
      <c r="X50" s="348">
        <f>SUM(V50:W50)</f>
        <v>200393.49999999985</v>
      </c>
      <c r="Y50" s="282">
        <v>54625.819999999978</v>
      </c>
      <c r="Z50" s="282">
        <v>2210.1400000000008</v>
      </c>
      <c r="AA50" s="252">
        <f>+U50+X50+Y50+Z50</f>
        <v>329865.92999999982</v>
      </c>
      <c r="AB50" s="206" t="b">
        <f t="shared" si="16" ref="AB50:AB84">ROUND(+P50,2)=ROUND(AA50,2)</f>
        <v>1</v>
      </c>
    </row>
    <row r="51" spans="1:28" ht="12.75">
      <c r="A51" s="191">
        <v>38</v>
      </c>
      <c r="B51" t="s">
        <v>236</v>
      </c>
      <c r="C51" t="s">
        <v>1027</v>
      </c>
      <c r="D51" s="66">
        <v>5112.1100000000006</v>
      </c>
      <c r="E51" s="66">
        <v>1320</v>
      </c>
      <c r="F51" s="66">
        <v>1320</v>
      </c>
      <c r="G51" s="66">
        <v>1320</v>
      </c>
      <c r="H51" s="66">
        <v>1320</v>
      </c>
      <c r="I51" s="66">
        <v>1320</v>
      </c>
      <c r="J51" s="66">
        <v>1320</v>
      </c>
      <c r="K51" s="66">
        <v>1320</v>
      </c>
      <c r="L51" s="66">
        <v>1320</v>
      </c>
      <c r="M51" s="66">
        <v>1320</v>
      </c>
      <c r="N51" s="66">
        <v>1320</v>
      </c>
      <c r="O51" s="129">
        <v>1904</v>
      </c>
      <c r="P51" s="280">
        <f t="shared" si="17" ref="P51:P83">SUM(D51:O51)</f>
        <v>20216.110000000001</v>
      </c>
      <c r="R51" s="251">
        <v>20216.110000000001</v>
      </c>
      <c r="S51" s="251">
        <v>0</v>
      </c>
      <c r="T51" s="251">
        <v>0</v>
      </c>
      <c r="U51" s="253">
        <f t="shared" si="18" ref="U51:U83">SUM(R51:T51)</f>
        <v>20216.110000000001</v>
      </c>
      <c r="V51" s="251">
        <v>0</v>
      </c>
      <c r="W51" s="251">
        <v>0</v>
      </c>
      <c r="X51" s="253">
        <f t="shared" si="19" ref="X51:X83">SUM(V51:W51)</f>
        <v>0</v>
      </c>
      <c r="Y51" s="251">
        <v>0</v>
      </c>
      <c r="Z51" s="251">
        <v>0</v>
      </c>
      <c r="AA51" s="274">
        <f t="shared" si="20" ref="AA51:AA83">+U51+X51+Y51+Z51</f>
        <v>20216.110000000001</v>
      </c>
      <c r="AB51" s="206" t="b">
        <f t="shared" si="16"/>
        <v>1</v>
      </c>
    </row>
    <row r="52" spans="1:28" ht="12.75">
      <c r="A52" s="191">
        <v>39</v>
      </c>
      <c r="B52" t="s">
        <v>279</v>
      </c>
      <c r="C52" t="s">
        <v>1049</v>
      </c>
      <c r="D52" s="66">
        <v>1603.3599999999999</v>
      </c>
      <c r="E52" s="66">
        <v>0</v>
      </c>
      <c r="F52" s="66">
        <v>1603.3599999999999</v>
      </c>
      <c r="G52" s="66">
        <v>1603.3599999999999</v>
      </c>
      <c r="H52" s="66">
        <v>0</v>
      </c>
      <c r="I52" s="66">
        <v>0</v>
      </c>
      <c r="J52" s="66">
        <v>1603.3599999999999</v>
      </c>
      <c r="K52" s="66">
        <v>3206.7199999999998</v>
      </c>
      <c r="L52" s="66">
        <v>1735.6400000000001</v>
      </c>
      <c r="M52" s="66">
        <v>1735.6400000000001</v>
      </c>
      <c r="N52" s="66">
        <v>1735.6400000000001</v>
      </c>
      <c r="O52" s="129">
        <v>1735.6400000000001</v>
      </c>
      <c r="P52" s="280">
        <f t="shared" si="17"/>
        <v>16562.719999999998</v>
      </c>
      <c r="R52" s="251">
        <v>3647.1200000000003</v>
      </c>
      <c r="S52" s="251">
        <v>0</v>
      </c>
      <c r="T52" s="251">
        <v>0</v>
      </c>
      <c r="U52" s="253">
        <f t="shared" si="18"/>
        <v>3647.1200000000003</v>
      </c>
      <c r="V52" s="251">
        <v>10061.839999999998</v>
      </c>
      <c r="W52" s="251">
        <v>0</v>
      </c>
      <c r="X52" s="253">
        <f t="shared" si="19"/>
        <v>10061.839999999998</v>
      </c>
      <c r="Y52" s="251">
        <v>2742.8000000000002</v>
      </c>
      <c r="Z52" s="251">
        <v>110.95999999999998</v>
      </c>
      <c r="AA52" s="274">
        <f t="shared" si="20"/>
        <v>16562.719999999998</v>
      </c>
      <c r="AB52" s="206" t="b">
        <f t="shared" si="16"/>
        <v>1</v>
      </c>
    </row>
    <row r="53" spans="1:28" ht="12.75">
      <c r="A53" s="191">
        <v>40</v>
      </c>
      <c r="B53" t="s">
        <v>236</v>
      </c>
      <c r="C53" t="s">
        <v>1028</v>
      </c>
      <c r="D53" s="66">
        <v>0</v>
      </c>
      <c r="E53" s="66">
        <v>0</v>
      </c>
      <c r="F53" s="66">
        <v>0</v>
      </c>
      <c r="G53" s="66">
        <v>0</v>
      </c>
      <c r="H53" s="66">
        <v>0</v>
      </c>
      <c r="I53" s="66">
        <v>0</v>
      </c>
      <c r="J53" s="66">
        <v>0</v>
      </c>
      <c r="K53" s="66">
        <v>0</v>
      </c>
      <c r="L53" s="66">
        <v>0</v>
      </c>
      <c r="M53" s="66">
        <v>22839.290000000001</v>
      </c>
      <c r="N53" s="66">
        <v>0</v>
      </c>
      <c r="O53" s="129">
        <v>0</v>
      </c>
      <c r="P53" s="280">
        <f t="shared" si="17"/>
        <v>22839.290000000001</v>
      </c>
      <c r="R53" s="251">
        <v>22839.290000000001</v>
      </c>
      <c r="S53" s="251">
        <v>0</v>
      </c>
      <c r="T53" s="251">
        <v>0</v>
      </c>
      <c r="U53" s="253">
        <f t="shared" si="18"/>
        <v>22839.290000000001</v>
      </c>
      <c r="V53" s="251">
        <v>0</v>
      </c>
      <c r="W53" s="251">
        <v>0</v>
      </c>
      <c r="X53" s="253">
        <f t="shared" si="19"/>
        <v>0</v>
      </c>
      <c r="Y53" s="251">
        <v>0</v>
      </c>
      <c r="Z53" s="251">
        <v>0</v>
      </c>
      <c r="AA53" s="274">
        <f t="shared" si="20"/>
        <v>22839.290000000001</v>
      </c>
      <c r="AB53" s="206" t="b">
        <f t="shared" si="16"/>
        <v>1</v>
      </c>
    </row>
    <row r="54" spans="1:28" ht="12.75">
      <c r="A54" s="191">
        <v>41</v>
      </c>
      <c r="B54" t="s">
        <v>240</v>
      </c>
      <c r="C54" t="s">
        <v>1028</v>
      </c>
      <c r="D54" s="66">
        <v>-5.1699999999999999</v>
      </c>
      <c r="E54" s="66">
        <v>0</v>
      </c>
      <c r="F54" s="66">
        <v>16673</v>
      </c>
      <c r="G54" s="66">
        <v>-5.1699999999982538</v>
      </c>
      <c r="H54" s="66">
        <v>0</v>
      </c>
      <c r="I54" s="66">
        <v>16673</v>
      </c>
      <c r="J54" s="66">
        <v>-5.1699999999982538</v>
      </c>
      <c r="K54" s="66">
        <v>0</v>
      </c>
      <c r="L54" s="66">
        <v>31231.480000000003</v>
      </c>
      <c r="M54" s="66">
        <v>-16673</v>
      </c>
      <c r="N54" s="66">
        <v>11604</v>
      </c>
      <c r="O54" s="129">
        <v>58870.300000000003</v>
      </c>
      <c r="P54" s="280">
        <f t="shared" si="17"/>
        <v>118363.27000000002</v>
      </c>
      <c r="R54" s="251">
        <v>159663.26999999999</v>
      </c>
      <c r="S54" s="251">
        <v>0</v>
      </c>
      <c r="T54" s="251">
        <v>0</v>
      </c>
      <c r="U54" s="253">
        <f t="shared" si="18"/>
        <v>159663.26999999999</v>
      </c>
      <c r="V54" s="251">
        <v>897.29999999999984</v>
      </c>
      <c r="W54" s="251">
        <v>0</v>
      </c>
      <c r="X54" s="253">
        <f t="shared" si="19"/>
        <v>897.29999999999984</v>
      </c>
      <c r="Y54" s="251">
        <v>0</v>
      </c>
      <c r="Z54" s="251">
        <v>0</v>
      </c>
      <c r="AA54" s="274">
        <f t="shared" si="20"/>
        <v>160560.56999999998</v>
      </c>
      <c r="AB54" s="206" t="b">
        <f t="shared" si="16"/>
        <v>0</v>
      </c>
    </row>
    <row r="55" spans="1:28" ht="12.75">
      <c r="A55" s="191">
        <v>42</v>
      </c>
      <c r="B55" t="s">
        <v>236</v>
      </c>
      <c r="C55" t="s">
        <v>1029</v>
      </c>
      <c r="D55" s="66">
        <v>11917.41</v>
      </c>
      <c r="E55" s="66">
        <v>3927.3000000000002</v>
      </c>
      <c r="F55" s="66">
        <v>3927.3000000000002</v>
      </c>
      <c r="G55" s="66">
        <v>3927.3000000000002</v>
      </c>
      <c r="H55" s="66">
        <v>3927.3000000000002</v>
      </c>
      <c r="I55" s="66">
        <v>3927.3000000000002</v>
      </c>
      <c r="J55" s="66">
        <v>3927.3000000000002</v>
      </c>
      <c r="K55" s="66">
        <v>3927.3000000000002</v>
      </c>
      <c r="L55" s="66">
        <v>3927.3000000000002</v>
      </c>
      <c r="M55" s="66">
        <v>3927.3000000000002</v>
      </c>
      <c r="N55" s="66">
        <v>3927.3000000000002</v>
      </c>
      <c r="O55" s="129">
        <v>3927.3000000000002</v>
      </c>
      <c r="P55" s="280">
        <f t="shared" si="17"/>
        <v>55117.710000000014</v>
      </c>
      <c r="R55" s="251">
        <v>55117.710000000006</v>
      </c>
      <c r="S55" s="251">
        <v>0</v>
      </c>
      <c r="T55" s="251">
        <v>0</v>
      </c>
      <c r="U55" s="253">
        <f t="shared" si="18"/>
        <v>55117.710000000006</v>
      </c>
      <c r="V55" s="251">
        <v>0</v>
      </c>
      <c r="W55" s="251">
        <v>0</v>
      </c>
      <c r="X55" s="253">
        <f t="shared" si="19"/>
        <v>0</v>
      </c>
      <c r="Y55" s="251">
        <v>0</v>
      </c>
      <c r="Z55" s="251">
        <v>0</v>
      </c>
      <c r="AA55" s="274">
        <f t="shared" si="20"/>
        <v>55117.710000000006</v>
      </c>
      <c r="AB55" s="206" t="b">
        <f t="shared" si="16"/>
        <v>1</v>
      </c>
    </row>
    <row r="56" spans="1:28" ht="12.75">
      <c r="A56" s="191">
        <v>43</v>
      </c>
      <c r="B56" t="s">
        <v>259</v>
      </c>
      <c r="C56" t="s">
        <v>1031</v>
      </c>
      <c r="D56" s="66">
        <v>10727.91</v>
      </c>
      <c r="E56" s="66">
        <v>10738.450000000001</v>
      </c>
      <c r="F56" s="66">
        <v>10738.450000000001</v>
      </c>
      <c r="G56" s="66">
        <v>10738.450000000001</v>
      </c>
      <c r="H56" s="66">
        <v>10738.450000000001</v>
      </c>
      <c r="I56" s="66">
        <v>10738.450000000001</v>
      </c>
      <c r="J56" s="66">
        <v>10738.450000000001</v>
      </c>
      <c r="K56" s="66">
        <v>10738.450000000001</v>
      </c>
      <c r="L56" s="66">
        <v>10738.450000000001</v>
      </c>
      <c r="M56" s="66">
        <v>10738.450000000001</v>
      </c>
      <c r="N56" s="66">
        <v>10738.450000000001</v>
      </c>
      <c r="O56" s="129">
        <v>0</v>
      </c>
      <c r="P56" s="280">
        <f t="shared" si="17"/>
        <v>118112.40999999999</v>
      </c>
      <c r="R56" s="251">
        <v>0</v>
      </c>
      <c r="S56" s="251">
        <v>0</v>
      </c>
      <c r="T56" s="251">
        <v>0</v>
      </c>
      <c r="U56" s="253">
        <f t="shared" si="18"/>
        <v>0</v>
      </c>
      <c r="V56" s="251">
        <v>0</v>
      </c>
      <c r="W56" s="251">
        <v>0</v>
      </c>
      <c r="X56" s="253">
        <f t="shared" si="19"/>
        <v>0</v>
      </c>
      <c r="Y56" s="251">
        <v>118112.40999999999</v>
      </c>
      <c r="Z56" s="251">
        <v>0</v>
      </c>
      <c r="AA56" s="274">
        <f t="shared" si="20"/>
        <v>118112.40999999999</v>
      </c>
      <c r="AB56" s="206" t="b">
        <f t="shared" si="16"/>
        <v>1</v>
      </c>
    </row>
    <row r="57" spans="1:28" ht="12.75">
      <c r="A57" s="191">
        <v>44</v>
      </c>
      <c r="B57" t="s">
        <v>279</v>
      </c>
      <c r="C57" t="s">
        <v>1031</v>
      </c>
      <c r="D57" s="66">
        <v>13746.81</v>
      </c>
      <c r="E57" s="66">
        <v>0</v>
      </c>
      <c r="F57" s="66">
        <v>0</v>
      </c>
      <c r="G57" s="66">
        <v>0</v>
      </c>
      <c r="H57" s="66">
        <v>0</v>
      </c>
      <c r="I57" s="66">
        <v>0</v>
      </c>
      <c r="J57" s="66">
        <v>0</v>
      </c>
      <c r="K57" s="66">
        <v>0</v>
      </c>
      <c r="L57" s="66">
        <v>0</v>
      </c>
      <c r="M57" s="66">
        <v>0</v>
      </c>
      <c r="N57" s="66">
        <v>0</v>
      </c>
      <c r="O57" s="129">
        <v>411.87</v>
      </c>
      <c r="P57" s="280">
        <f t="shared" si="17"/>
        <v>14158.68</v>
      </c>
      <c r="R57" s="251">
        <v>971.26999999999998</v>
      </c>
      <c r="S57" s="251">
        <v>0</v>
      </c>
      <c r="T57" s="251">
        <v>0</v>
      </c>
      <c r="U57" s="253">
        <f t="shared" si="18"/>
        <v>971.26999999999998</v>
      </c>
      <c r="V57" s="251">
        <v>12410.57</v>
      </c>
      <c r="W57" s="251">
        <v>0</v>
      </c>
      <c r="X57" s="253">
        <f t="shared" si="19"/>
        <v>12410.57</v>
      </c>
      <c r="Y57" s="251">
        <v>724.40000000000009</v>
      </c>
      <c r="Z57" s="251">
        <v>52.439999999999998</v>
      </c>
      <c r="AA57" s="274">
        <f t="shared" si="20"/>
        <v>14158.68</v>
      </c>
      <c r="AB57" s="206" t="b">
        <f t="shared" si="16"/>
        <v>1</v>
      </c>
    </row>
    <row r="58" spans="1:28" ht="12.75">
      <c r="A58" s="191">
        <v>45</v>
      </c>
      <c r="B58" t="s">
        <v>251</v>
      </c>
      <c r="C58" t="s">
        <v>1032</v>
      </c>
      <c r="D58" s="66">
        <v>9927.4399999999987</v>
      </c>
      <c r="E58" s="66">
        <v>2906.79</v>
      </c>
      <c r="F58" s="66">
        <v>2906.79</v>
      </c>
      <c r="G58" s="66">
        <v>2906.79</v>
      </c>
      <c r="H58" s="66">
        <v>4050.8299999999999</v>
      </c>
      <c r="I58" s="66">
        <v>2906.79</v>
      </c>
      <c r="J58" s="66">
        <v>2906.79</v>
      </c>
      <c r="K58" s="66">
        <v>2781.02</v>
      </c>
      <c r="L58" s="66">
        <v>2906.79</v>
      </c>
      <c r="M58" s="66">
        <v>0</v>
      </c>
      <c r="N58" s="66">
        <v>0</v>
      </c>
      <c r="O58" s="129">
        <v>8640.0900000000001</v>
      </c>
      <c r="P58" s="280">
        <f t="shared" si="17"/>
        <v>42840.119999999995</v>
      </c>
      <c r="R58" s="251">
        <v>0</v>
      </c>
      <c r="S58" s="251">
        <v>0</v>
      </c>
      <c r="T58" s="251">
        <v>0</v>
      </c>
      <c r="U58" s="253">
        <f t="shared" si="18"/>
        <v>0</v>
      </c>
      <c r="V58" s="251">
        <v>42840.12000000001</v>
      </c>
      <c r="W58" s="251">
        <v>0</v>
      </c>
      <c r="X58" s="253">
        <f t="shared" si="19"/>
        <v>42840.12000000001</v>
      </c>
      <c r="Y58" s="251">
        <v>0</v>
      </c>
      <c r="Z58" s="251">
        <v>0</v>
      </c>
      <c r="AA58" s="274">
        <f t="shared" si="20"/>
        <v>42840.12000000001</v>
      </c>
      <c r="AB58" s="206" t="b">
        <f t="shared" si="16"/>
        <v>1</v>
      </c>
    </row>
    <row r="59" spans="1:28" ht="12.75">
      <c r="A59" s="191">
        <v>46</v>
      </c>
      <c r="B59" t="s">
        <v>256</v>
      </c>
      <c r="C59" t="s">
        <v>1032</v>
      </c>
      <c r="D59" s="66">
        <v>3158.73</v>
      </c>
      <c r="E59" s="66">
        <v>924.88999999999999</v>
      </c>
      <c r="F59" s="66">
        <v>924.88999999999999</v>
      </c>
      <c r="G59" s="66">
        <v>924.88999999999999</v>
      </c>
      <c r="H59" s="66">
        <v>1288.9000000000001</v>
      </c>
      <c r="I59" s="66">
        <v>924.88999999999999</v>
      </c>
      <c r="J59" s="66">
        <v>924.88999999999999</v>
      </c>
      <c r="K59" s="66">
        <v>884.87</v>
      </c>
      <c r="L59" s="66">
        <v>924.88999999999999</v>
      </c>
      <c r="M59" s="66">
        <v>0</v>
      </c>
      <c r="N59" s="66">
        <v>0</v>
      </c>
      <c r="O59" s="129">
        <v>2749.1199999999999</v>
      </c>
      <c r="P59" s="280">
        <f t="shared" si="17"/>
        <v>13630.960000000003</v>
      </c>
      <c r="R59" s="251">
        <v>0</v>
      </c>
      <c r="S59" s="251">
        <v>0</v>
      </c>
      <c r="T59" s="251">
        <v>0</v>
      </c>
      <c r="U59" s="253">
        <f t="shared" si="18"/>
        <v>0</v>
      </c>
      <c r="V59" s="251">
        <v>0</v>
      </c>
      <c r="W59" s="251">
        <v>0</v>
      </c>
      <c r="X59" s="253">
        <f t="shared" si="19"/>
        <v>0</v>
      </c>
      <c r="Y59" s="251">
        <v>13630.959999999999</v>
      </c>
      <c r="Z59" s="251">
        <v>0</v>
      </c>
      <c r="AA59" s="274">
        <f t="shared" si="20"/>
        <v>13630.959999999999</v>
      </c>
      <c r="AB59" s="206" t="b">
        <f t="shared" si="16"/>
        <v>1</v>
      </c>
    </row>
    <row r="60" spans="1:28" ht="12.75">
      <c r="A60" s="191">
        <v>47</v>
      </c>
      <c r="B60" t="s">
        <v>236</v>
      </c>
      <c r="C60" t="s">
        <v>1033</v>
      </c>
      <c r="D60" s="66">
        <v>127022.16</v>
      </c>
      <c r="E60" s="66">
        <v>64417.370000000003</v>
      </c>
      <c r="F60" s="66">
        <v>64417.360000000001</v>
      </c>
      <c r="G60" s="66">
        <v>64417.370000000003</v>
      </c>
      <c r="H60" s="66">
        <v>64417.370000000003</v>
      </c>
      <c r="I60" s="66">
        <v>64417.360000000001</v>
      </c>
      <c r="J60" s="66">
        <v>64417.360000000001</v>
      </c>
      <c r="K60" s="66">
        <v>64417.370000000003</v>
      </c>
      <c r="L60" s="66">
        <v>64424.720000000001</v>
      </c>
      <c r="M60" s="66">
        <v>64424.580000000002</v>
      </c>
      <c r="N60" s="66">
        <v>64424.489999999998</v>
      </c>
      <c r="O60" s="129">
        <v>-0.20000000000000001</v>
      </c>
      <c r="P60" s="280">
        <f t="shared" si="17"/>
        <v>771217.30999999994</v>
      </c>
      <c r="R60" s="251">
        <v>771217.31000000006</v>
      </c>
      <c r="S60" s="251">
        <v>0</v>
      </c>
      <c r="T60" s="251">
        <v>0</v>
      </c>
      <c r="U60" s="253">
        <f t="shared" si="18"/>
        <v>771217.31000000006</v>
      </c>
      <c r="V60" s="251">
        <v>0</v>
      </c>
      <c r="W60" s="251">
        <v>0</v>
      </c>
      <c r="X60" s="253">
        <f t="shared" si="19"/>
        <v>0</v>
      </c>
      <c r="Y60" s="251">
        <v>0</v>
      </c>
      <c r="Z60" s="251">
        <v>0</v>
      </c>
      <c r="AA60" s="274">
        <f t="shared" si="20"/>
        <v>771217.31000000006</v>
      </c>
      <c r="AB60" s="206" t="b">
        <f t="shared" si="16"/>
        <v>1</v>
      </c>
    </row>
    <row r="61" spans="1:28" ht="12.75">
      <c r="A61" s="191">
        <v>48</v>
      </c>
      <c r="B61" t="s">
        <v>251</v>
      </c>
      <c r="C61" t="s">
        <v>1033</v>
      </c>
      <c r="D61" s="66">
        <v>55515.150000000001</v>
      </c>
      <c r="E61" s="66">
        <v>28153.669999999998</v>
      </c>
      <c r="F61" s="66">
        <v>28153.669999999998</v>
      </c>
      <c r="G61" s="66">
        <v>28153.669999999998</v>
      </c>
      <c r="H61" s="66">
        <v>28153.669999999998</v>
      </c>
      <c r="I61" s="66">
        <v>28153.66</v>
      </c>
      <c r="J61" s="66">
        <v>28153.66</v>
      </c>
      <c r="K61" s="66">
        <v>28153.669999999998</v>
      </c>
      <c r="L61" s="66">
        <v>28161.880000000001</v>
      </c>
      <c r="M61" s="66">
        <v>28161.82</v>
      </c>
      <c r="N61" s="66">
        <v>28161.779999999999</v>
      </c>
      <c r="O61" s="129">
        <v>-0.089999999999999997</v>
      </c>
      <c r="P61" s="280">
        <f t="shared" si="17"/>
        <v>337076.21000000002</v>
      </c>
      <c r="R61" s="251">
        <v>0</v>
      </c>
      <c r="S61" s="251">
        <v>0</v>
      </c>
      <c r="T61" s="251">
        <v>0</v>
      </c>
      <c r="U61" s="253">
        <f t="shared" si="18"/>
        <v>0</v>
      </c>
      <c r="V61" s="251">
        <v>337076.20999999996</v>
      </c>
      <c r="W61" s="251">
        <v>0</v>
      </c>
      <c r="X61" s="253">
        <f t="shared" si="19"/>
        <v>337076.20999999996</v>
      </c>
      <c r="Y61" s="251">
        <v>0</v>
      </c>
      <c r="Z61" s="251">
        <v>0</v>
      </c>
      <c r="AA61" s="274">
        <f t="shared" si="20"/>
        <v>337076.20999999996</v>
      </c>
      <c r="AB61" s="206" t="b">
        <f t="shared" si="16"/>
        <v>1</v>
      </c>
    </row>
    <row r="62" spans="1:28" ht="12.75">
      <c r="A62" s="191">
        <v>49</v>
      </c>
      <c r="B62" t="s">
        <v>290</v>
      </c>
      <c r="C62" t="s">
        <v>1033</v>
      </c>
      <c r="D62" s="66">
        <v>75968.100000000006</v>
      </c>
      <c r="E62" s="66">
        <v>38526.07</v>
      </c>
      <c r="F62" s="66">
        <v>38526.07</v>
      </c>
      <c r="G62" s="66">
        <v>38526.07</v>
      </c>
      <c r="H62" s="66">
        <v>38526.07</v>
      </c>
      <c r="I62" s="66">
        <v>38526.07</v>
      </c>
      <c r="J62" s="66">
        <v>38526.07</v>
      </c>
      <c r="K62" s="66">
        <v>38526.07</v>
      </c>
      <c r="L62" s="66">
        <v>38531.110000000001</v>
      </c>
      <c r="M62" s="66">
        <v>38531.029999999999</v>
      </c>
      <c r="N62" s="66">
        <v>38530.970000000001</v>
      </c>
      <c r="O62" s="129">
        <v>-0.12</v>
      </c>
      <c r="P62" s="280">
        <f t="shared" si="17"/>
        <v>461243.57999999996</v>
      </c>
      <c r="R62" s="251">
        <v>0</v>
      </c>
      <c r="S62" s="251">
        <v>0</v>
      </c>
      <c r="T62" s="251">
        <v>0</v>
      </c>
      <c r="U62" s="253">
        <f t="shared" si="18"/>
        <v>0</v>
      </c>
      <c r="V62" s="251">
        <v>364338.40999999992</v>
      </c>
      <c r="W62" s="251">
        <v>0</v>
      </c>
      <c r="X62" s="253">
        <f t="shared" si="19"/>
        <v>364338.40999999992</v>
      </c>
      <c r="Y62" s="251">
        <v>91506.170000000013</v>
      </c>
      <c r="Z62" s="251">
        <v>5399</v>
      </c>
      <c r="AA62" s="274">
        <f t="shared" si="20"/>
        <v>461243.57999999996</v>
      </c>
      <c r="AB62" s="206" t="b">
        <f t="shared" si="16"/>
        <v>1</v>
      </c>
    </row>
    <row r="63" spans="1:28" ht="12.75">
      <c r="A63" s="191">
        <v>50</v>
      </c>
      <c r="B63" t="s">
        <v>279</v>
      </c>
      <c r="C63" t="s">
        <v>1050</v>
      </c>
      <c r="D63" s="66">
        <v>700</v>
      </c>
      <c r="E63" s="66">
        <v>700</v>
      </c>
      <c r="F63" s="66">
        <v>700</v>
      </c>
      <c r="G63" s="66">
        <v>700</v>
      </c>
      <c r="H63" s="66">
        <v>700</v>
      </c>
      <c r="I63" s="66">
        <v>700</v>
      </c>
      <c r="J63" s="66">
        <v>700</v>
      </c>
      <c r="K63" s="66">
        <v>700</v>
      </c>
      <c r="L63" s="66">
        <v>700</v>
      </c>
      <c r="M63" s="66">
        <v>700</v>
      </c>
      <c r="N63" s="66">
        <v>700</v>
      </c>
      <c r="O63" s="129">
        <v>700</v>
      </c>
      <c r="P63" s="280">
        <f t="shared" si="17"/>
        <v>8400</v>
      </c>
      <c r="R63" s="251">
        <v>0</v>
      </c>
      <c r="S63" s="251">
        <v>0</v>
      </c>
      <c r="T63" s="251">
        <v>0</v>
      </c>
      <c r="U63" s="253">
        <f t="shared" si="18"/>
        <v>0</v>
      </c>
      <c r="V63" s="251">
        <v>0</v>
      </c>
      <c r="W63" s="251">
        <v>0</v>
      </c>
      <c r="X63" s="253">
        <f t="shared" si="19"/>
        <v>0</v>
      </c>
      <c r="Y63" s="251">
        <v>0</v>
      </c>
      <c r="Z63" s="251">
        <v>8400</v>
      </c>
      <c r="AA63" s="274">
        <f t="shared" si="20"/>
        <v>8400</v>
      </c>
      <c r="AB63" s="206" t="b">
        <f t="shared" si="16"/>
        <v>1</v>
      </c>
    </row>
    <row r="64" spans="1:28" ht="12.75">
      <c r="A64" s="191">
        <v>51</v>
      </c>
      <c r="B64" t="s">
        <v>247</v>
      </c>
      <c r="C64" t="s">
        <v>1034</v>
      </c>
      <c r="D64" s="66">
        <v>8577.7399999999998</v>
      </c>
      <c r="E64" s="66">
        <v>2083.1300000000001</v>
      </c>
      <c r="F64" s="66">
        <v>2083.1300000000001</v>
      </c>
      <c r="G64" s="66">
        <v>2083.1300000000001</v>
      </c>
      <c r="H64" s="66">
        <v>2083.1300000000001</v>
      </c>
      <c r="I64" s="66">
        <v>2083.1300000000001</v>
      </c>
      <c r="J64" s="66">
        <v>2083.1300000000001</v>
      </c>
      <c r="K64" s="66">
        <v>2083.1300000000001</v>
      </c>
      <c r="L64" s="66">
        <v>2083.1300000000001</v>
      </c>
      <c r="M64" s="66">
        <v>2083.1300000000001</v>
      </c>
      <c r="N64" s="66">
        <v>4755.2399999999998</v>
      </c>
      <c r="O64" s="129">
        <v>-95</v>
      </c>
      <c r="P64" s="280">
        <f t="shared" si="17"/>
        <v>31986.150000000009</v>
      </c>
      <c r="R64" s="251">
        <v>0</v>
      </c>
      <c r="S64" s="251">
        <v>0</v>
      </c>
      <c r="T64" s="251">
        <v>0</v>
      </c>
      <c r="U64" s="253">
        <f t="shared" si="18"/>
        <v>0</v>
      </c>
      <c r="V64" s="251">
        <v>0</v>
      </c>
      <c r="W64" s="251">
        <v>0</v>
      </c>
      <c r="X64" s="253">
        <f t="shared" si="19"/>
        <v>0</v>
      </c>
      <c r="Y64" s="251">
        <v>31986.150000000009</v>
      </c>
      <c r="Z64" s="251">
        <v>0</v>
      </c>
      <c r="AA64" s="274">
        <f t="shared" si="20"/>
        <v>31986.150000000009</v>
      </c>
      <c r="AB64" s="206" t="b">
        <f t="shared" si="16"/>
        <v>1</v>
      </c>
    </row>
    <row r="65" spans="1:28" ht="12.75">
      <c r="A65" s="191">
        <v>52</v>
      </c>
      <c r="B65" t="s">
        <v>251</v>
      </c>
      <c r="C65" t="s">
        <v>1034</v>
      </c>
      <c r="D65" s="66">
        <v>11641.209999999999</v>
      </c>
      <c r="E65" s="66">
        <v>2827.0999999999999</v>
      </c>
      <c r="F65" s="66">
        <v>2827.0999999999999</v>
      </c>
      <c r="G65" s="66">
        <v>2827.0999999999999</v>
      </c>
      <c r="H65" s="66">
        <v>2827.0999999999999</v>
      </c>
      <c r="I65" s="66">
        <v>2827.0999999999999</v>
      </c>
      <c r="J65" s="66">
        <v>2827.0999999999999</v>
      </c>
      <c r="K65" s="66">
        <v>2827.0999999999999</v>
      </c>
      <c r="L65" s="66">
        <v>2827.0999999999999</v>
      </c>
      <c r="M65" s="66">
        <v>2827.0999999999999</v>
      </c>
      <c r="N65" s="66">
        <v>6453.54</v>
      </c>
      <c r="O65" s="129">
        <v>-128.91999999999999</v>
      </c>
      <c r="P65" s="280">
        <f t="shared" si="17"/>
        <v>43409.729999999996</v>
      </c>
      <c r="R65" s="251">
        <v>0</v>
      </c>
      <c r="S65" s="251">
        <v>0</v>
      </c>
      <c r="T65" s="251">
        <v>0</v>
      </c>
      <c r="U65" s="253">
        <f t="shared" si="18"/>
        <v>0</v>
      </c>
      <c r="V65" s="251">
        <v>43409.729999999996</v>
      </c>
      <c r="W65" s="251">
        <v>0</v>
      </c>
      <c r="X65" s="253">
        <f t="shared" si="19"/>
        <v>43409.729999999996</v>
      </c>
      <c r="Y65" s="251">
        <v>0</v>
      </c>
      <c r="Z65" s="251">
        <v>0</v>
      </c>
      <c r="AA65" s="274">
        <f t="shared" si="20"/>
        <v>43409.729999999996</v>
      </c>
      <c r="AB65" s="206" t="b">
        <f t="shared" si="16"/>
        <v>1</v>
      </c>
    </row>
    <row r="66" spans="1:28" ht="12.75">
      <c r="A66" s="191">
        <v>53</v>
      </c>
      <c r="B66" t="s">
        <v>290</v>
      </c>
      <c r="C66" t="s">
        <v>1034</v>
      </c>
      <c r="D66" s="66">
        <v>7965.0400000000009</v>
      </c>
      <c r="E66" s="66">
        <v>1934.3299999999999</v>
      </c>
      <c r="F66" s="66">
        <v>1934.3299999999999</v>
      </c>
      <c r="G66" s="66">
        <v>1934.3299999999999</v>
      </c>
      <c r="H66" s="66">
        <v>1934.3299999999999</v>
      </c>
      <c r="I66" s="66">
        <v>1934.3299999999999</v>
      </c>
      <c r="J66" s="66">
        <v>1934.3299999999999</v>
      </c>
      <c r="K66" s="66">
        <v>1934.3299999999999</v>
      </c>
      <c r="L66" s="66">
        <v>1934.3299999999999</v>
      </c>
      <c r="M66" s="66">
        <v>1934.3299999999999</v>
      </c>
      <c r="N66" s="66">
        <v>4415.5799999999999</v>
      </c>
      <c r="O66" s="129">
        <v>-88.209999999999994</v>
      </c>
      <c r="P66" s="280">
        <f t="shared" si="17"/>
        <v>29701.380000000012</v>
      </c>
      <c r="R66" s="251">
        <v>0</v>
      </c>
      <c r="S66" s="251">
        <v>0</v>
      </c>
      <c r="T66" s="251">
        <v>0</v>
      </c>
      <c r="U66" s="253">
        <f t="shared" si="18"/>
        <v>0</v>
      </c>
      <c r="V66" s="251">
        <v>29701.380000000005</v>
      </c>
      <c r="W66" s="251">
        <v>0</v>
      </c>
      <c r="X66" s="253">
        <f t="shared" si="19"/>
        <v>29701.380000000005</v>
      </c>
      <c r="Y66" s="251">
        <v>0</v>
      </c>
      <c r="Z66" s="251">
        <v>0</v>
      </c>
      <c r="AA66" s="274">
        <f t="shared" si="20"/>
        <v>29701.380000000005</v>
      </c>
      <c r="AB66" s="206" t="b">
        <f t="shared" si="16"/>
        <v>1</v>
      </c>
    </row>
    <row r="67" spans="1:28" ht="12.75">
      <c r="A67" s="191">
        <v>54</v>
      </c>
      <c r="B67" t="s">
        <v>236</v>
      </c>
      <c r="C67" t="s">
        <v>1047</v>
      </c>
      <c r="D67" s="66">
        <v>1840</v>
      </c>
      <c r="E67" s="66">
        <v>1840</v>
      </c>
      <c r="F67" s="66">
        <v>1840</v>
      </c>
      <c r="G67" s="66">
        <v>1840</v>
      </c>
      <c r="H67" s="66">
        <v>1840</v>
      </c>
      <c r="I67" s="66">
        <v>1840</v>
      </c>
      <c r="J67" s="66">
        <v>5906.6999999999998</v>
      </c>
      <c r="K67" s="66">
        <v>1840</v>
      </c>
      <c r="L67" s="66">
        <v>1840</v>
      </c>
      <c r="M67" s="66">
        <v>1840</v>
      </c>
      <c r="N67" s="66">
        <v>1840</v>
      </c>
      <c r="O67" s="129">
        <v>-2226.6999999999998</v>
      </c>
      <c r="P67" s="280">
        <f t="shared" si="17"/>
        <v>22080</v>
      </c>
      <c r="R67" s="251">
        <v>22080</v>
      </c>
      <c r="S67" s="251">
        <v>0</v>
      </c>
      <c r="T67" s="251">
        <v>0</v>
      </c>
      <c r="U67" s="253">
        <f t="shared" si="18"/>
        <v>22080</v>
      </c>
      <c r="V67" s="251">
        <v>0</v>
      </c>
      <c r="W67" s="251">
        <v>0</v>
      </c>
      <c r="X67" s="253">
        <f t="shared" si="19"/>
        <v>0</v>
      </c>
      <c r="Y67" s="251">
        <v>0</v>
      </c>
      <c r="Z67" s="251">
        <v>0</v>
      </c>
      <c r="AA67" s="274">
        <f t="shared" si="20"/>
        <v>22080</v>
      </c>
      <c r="AB67" s="206" t="b">
        <f t="shared" si="16"/>
        <v>1</v>
      </c>
    </row>
    <row r="68" spans="1:28" ht="12.75">
      <c r="A68" s="191">
        <v>55</v>
      </c>
      <c r="B68" t="s">
        <v>251</v>
      </c>
      <c r="C68" t="s">
        <v>1036</v>
      </c>
      <c r="D68" s="66">
        <v>839.99000000000001</v>
      </c>
      <c r="E68" s="66">
        <v>749.92999999999995</v>
      </c>
      <c r="F68" s="66">
        <v>749.92999999999995</v>
      </c>
      <c r="G68" s="66">
        <v>785.74000000000001</v>
      </c>
      <c r="H68" s="66">
        <v>1106.8499999999999</v>
      </c>
      <c r="I68" s="66">
        <v>1022.63</v>
      </c>
      <c r="J68" s="66">
        <v>1116.97</v>
      </c>
      <c r="K68" s="66">
        <v>1266.3800000000001</v>
      </c>
      <c r="L68" s="66">
        <v>1103.6600000000001</v>
      </c>
      <c r="M68" s="66">
        <v>1022.63</v>
      </c>
      <c r="N68" s="66">
        <v>1100.4400000000001</v>
      </c>
      <c r="O68" s="129">
        <v>1158.8199999999999</v>
      </c>
      <c r="P68" s="280">
        <f t="shared" si="17"/>
        <v>12023.970000000001</v>
      </c>
      <c r="R68" s="251">
        <v>0</v>
      </c>
      <c r="S68" s="251">
        <v>0</v>
      </c>
      <c r="T68" s="251">
        <v>0</v>
      </c>
      <c r="U68" s="253">
        <f t="shared" si="18"/>
        <v>0</v>
      </c>
      <c r="V68" s="251">
        <v>12023.970000000001</v>
      </c>
      <c r="W68" s="251">
        <v>0</v>
      </c>
      <c r="X68" s="253">
        <f t="shared" si="19"/>
        <v>12023.970000000001</v>
      </c>
      <c r="Y68" s="251">
        <v>0</v>
      </c>
      <c r="Z68" s="251">
        <v>0</v>
      </c>
      <c r="AA68" s="274">
        <f t="shared" si="20"/>
        <v>12023.970000000001</v>
      </c>
      <c r="AB68" s="206" t="b">
        <f t="shared" si="16"/>
        <v>1</v>
      </c>
    </row>
    <row r="69" spans="1:28" ht="12.75">
      <c r="A69" s="191">
        <v>56</v>
      </c>
      <c r="B69" t="s">
        <v>251</v>
      </c>
      <c r="C69" t="s">
        <v>1037</v>
      </c>
      <c r="D69" s="66">
        <v>2084.4000000000001</v>
      </c>
      <c r="E69" s="66">
        <v>2084.4000000000001</v>
      </c>
      <c r="F69" s="66">
        <v>2084.4000000000001</v>
      </c>
      <c r="G69" s="66">
        <v>2084.4000000000001</v>
      </c>
      <c r="H69" s="66">
        <v>2084.4000000000001</v>
      </c>
      <c r="I69" s="66">
        <v>2084.4000000000001</v>
      </c>
      <c r="J69" s="66">
        <v>4168.8000000000002</v>
      </c>
      <c r="K69" s="66">
        <v>6734.6400000000003</v>
      </c>
      <c r="L69" s="66">
        <v>2084.4000000000001</v>
      </c>
      <c r="M69" s="66">
        <v>2084.4000000000001</v>
      </c>
      <c r="N69" s="66">
        <v>2084.4000000000001</v>
      </c>
      <c r="O69" s="129">
        <v>2084.4000000000001</v>
      </c>
      <c r="P69" s="280">
        <f t="shared" si="17"/>
        <v>31747.440000000006</v>
      </c>
      <c r="R69" s="251">
        <v>0</v>
      </c>
      <c r="S69" s="251">
        <v>0</v>
      </c>
      <c r="T69" s="251">
        <v>0</v>
      </c>
      <c r="U69" s="253">
        <f t="shared" si="18"/>
        <v>0</v>
      </c>
      <c r="V69" s="251">
        <v>31747.44000000001</v>
      </c>
      <c r="W69" s="251">
        <v>0</v>
      </c>
      <c r="X69" s="253">
        <f t="shared" si="19"/>
        <v>31747.44000000001</v>
      </c>
      <c r="Y69" s="251">
        <v>0</v>
      </c>
      <c r="Z69" s="251">
        <v>0</v>
      </c>
      <c r="AA69" s="274">
        <f t="shared" si="20"/>
        <v>31747.44000000001</v>
      </c>
      <c r="AB69" s="206" t="b">
        <f t="shared" si="16"/>
        <v>1</v>
      </c>
    </row>
    <row r="70" spans="1:28" ht="12.75">
      <c r="A70" s="191">
        <v>57</v>
      </c>
      <c r="B70" t="s">
        <v>290</v>
      </c>
      <c r="C70" t="s">
        <v>1037</v>
      </c>
      <c r="D70" s="66">
        <v>277.92000000000002</v>
      </c>
      <c r="E70" s="66">
        <v>277.92000000000002</v>
      </c>
      <c r="F70" s="66">
        <v>277.92000000000002</v>
      </c>
      <c r="G70" s="66">
        <v>277.92000000000002</v>
      </c>
      <c r="H70" s="66">
        <v>277.92000000000002</v>
      </c>
      <c r="I70" s="66">
        <v>277.92000000000002</v>
      </c>
      <c r="J70" s="66">
        <v>555.84000000000003</v>
      </c>
      <c r="K70" s="66">
        <v>897.95000000000005</v>
      </c>
      <c r="L70" s="66">
        <v>277.92000000000002</v>
      </c>
      <c r="M70" s="66">
        <v>277.92000000000002</v>
      </c>
      <c r="N70" s="66">
        <v>277.92000000000002</v>
      </c>
      <c r="O70" s="129">
        <v>277.92000000000002</v>
      </c>
      <c r="P70" s="280">
        <f t="shared" si="17"/>
        <v>4232.9900000000007</v>
      </c>
      <c r="R70" s="251">
        <v>0</v>
      </c>
      <c r="S70" s="251">
        <v>0</v>
      </c>
      <c r="T70" s="251">
        <v>0</v>
      </c>
      <c r="U70" s="253">
        <f t="shared" si="18"/>
        <v>0</v>
      </c>
      <c r="V70" s="251">
        <v>4232.9900000000007</v>
      </c>
      <c r="W70" s="251">
        <v>0</v>
      </c>
      <c r="X70" s="253">
        <f t="shared" si="19"/>
        <v>4232.9900000000007</v>
      </c>
      <c r="Y70" s="251">
        <v>0</v>
      </c>
      <c r="Z70" s="251">
        <v>0</v>
      </c>
      <c r="AA70" s="274">
        <f t="shared" si="20"/>
        <v>4232.9900000000007</v>
      </c>
      <c r="AB70" s="206" t="b">
        <f t="shared" si="16"/>
        <v>1</v>
      </c>
    </row>
    <row r="71" spans="1:28" ht="12.75">
      <c r="A71" s="191">
        <v>58</v>
      </c>
      <c r="B71" t="s">
        <v>236</v>
      </c>
      <c r="C71" t="s">
        <v>1038</v>
      </c>
      <c r="D71" s="66">
        <v>13593.400000000002</v>
      </c>
      <c r="E71" s="66">
        <v>3327.0300000000002</v>
      </c>
      <c r="F71" s="66">
        <v>3327.0300000000002</v>
      </c>
      <c r="G71" s="66">
        <v>3327.0300000000002</v>
      </c>
      <c r="H71" s="66">
        <v>3327.0300000000002</v>
      </c>
      <c r="I71" s="66">
        <v>3327.0300000000002</v>
      </c>
      <c r="J71" s="66">
        <v>3327.0300000000002</v>
      </c>
      <c r="K71" s="66">
        <v>3327.0300000000002</v>
      </c>
      <c r="L71" s="66">
        <v>3327.0300000000002</v>
      </c>
      <c r="M71" s="66">
        <v>3327.0300000000002</v>
      </c>
      <c r="N71" s="66">
        <v>3327.0300000000002</v>
      </c>
      <c r="O71" s="129">
        <v>3460.02</v>
      </c>
      <c r="P71" s="280">
        <f t="shared" si="17"/>
        <v>50323.719999999987</v>
      </c>
      <c r="R71" s="251">
        <v>50323.719999999994</v>
      </c>
      <c r="S71" s="251">
        <v>0</v>
      </c>
      <c r="T71" s="251">
        <v>0</v>
      </c>
      <c r="U71" s="253">
        <f t="shared" si="18"/>
        <v>50323.719999999994</v>
      </c>
      <c r="V71" s="251">
        <v>0</v>
      </c>
      <c r="W71" s="251">
        <v>0</v>
      </c>
      <c r="X71" s="253">
        <f t="shared" si="19"/>
        <v>0</v>
      </c>
      <c r="Y71" s="251">
        <v>0</v>
      </c>
      <c r="Z71" s="251">
        <v>0</v>
      </c>
      <c r="AA71" s="274">
        <f t="shared" si="20"/>
        <v>50323.719999999994</v>
      </c>
      <c r="AB71" s="206" t="b">
        <f t="shared" si="16"/>
        <v>1</v>
      </c>
    </row>
    <row r="72" spans="1:28" ht="12.75">
      <c r="A72" s="191">
        <v>59</v>
      </c>
      <c r="B72" t="s">
        <v>251</v>
      </c>
      <c r="C72" t="s">
        <v>1039</v>
      </c>
      <c r="D72" s="66">
        <v>11796.889999999999</v>
      </c>
      <c r="E72" s="66">
        <v>1679.73</v>
      </c>
      <c r="F72" s="66">
        <v>0</v>
      </c>
      <c r="G72" s="66">
        <v>5039.1800000000003</v>
      </c>
      <c r="H72" s="66">
        <v>0</v>
      </c>
      <c r="I72" s="66">
        <v>3359.4499999999998</v>
      </c>
      <c r="J72" s="66">
        <v>0</v>
      </c>
      <c r="K72" s="66">
        <v>1679.73</v>
      </c>
      <c r="L72" s="66">
        <v>0</v>
      </c>
      <c r="M72" s="66">
        <v>3536.2600000000002</v>
      </c>
      <c r="N72" s="66">
        <v>1768.1300000000001</v>
      </c>
      <c r="O72" s="129">
        <v>5191.3800000000001</v>
      </c>
      <c r="P72" s="280">
        <f t="shared" si="17"/>
        <v>34050.75</v>
      </c>
      <c r="R72" s="251">
        <v>0</v>
      </c>
      <c r="S72" s="251">
        <v>0</v>
      </c>
      <c r="T72" s="251">
        <v>0</v>
      </c>
      <c r="U72" s="253">
        <f t="shared" si="18"/>
        <v>0</v>
      </c>
      <c r="V72" s="251">
        <v>34050.75</v>
      </c>
      <c r="W72" s="251">
        <v>0</v>
      </c>
      <c r="X72" s="253">
        <f t="shared" si="19"/>
        <v>34050.75</v>
      </c>
      <c r="Y72" s="251">
        <v>0</v>
      </c>
      <c r="Z72" s="251">
        <v>0</v>
      </c>
      <c r="AA72" s="274">
        <f t="shared" si="20"/>
        <v>34050.75</v>
      </c>
      <c r="AB72" s="206" t="b">
        <f t="shared" si="16"/>
        <v>1</v>
      </c>
    </row>
    <row r="73" spans="1:28" ht="12.75">
      <c r="A73" s="191">
        <v>60</v>
      </c>
      <c r="B73" t="s">
        <v>256</v>
      </c>
      <c r="C73" t="s">
        <v>1039</v>
      </c>
      <c r="D73" s="66">
        <v>1862.6700000000001</v>
      </c>
      <c r="E73" s="66">
        <v>265.20999999999998</v>
      </c>
      <c r="F73" s="66">
        <v>0</v>
      </c>
      <c r="G73" s="66">
        <v>795.64999999999998</v>
      </c>
      <c r="H73" s="66">
        <v>0</v>
      </c>
      <c r="I73" s="66">
        <v>530.44000000000005</v>
      </c>
      <c r="J73" s="66">
        <v>0</v>
      </c>
      <c r="K73" s="66">
        <v>265.20999999999998</v>
      </c>
      <c r="L73" s="66">
        <v>0</v>
      </c>
      <c r="M73" s="66">
        <v>530.44000000000005</v>
      </c>
      <c r="N73" s="66">
        <v>265.22000000000003</v>
      </c>
      <c r="O73" s="129">
        <v>778.71000000000004</v>
      </c>
      <c r="P73" s="280">
        <f t="shared" si="17"/>
        <v>5293.5500000000011</v>
      </c>
      <c r="R73" s="251">
        <v>0</v>
      </c>
      <c r="S73" s="251">
        <v>0</v>
      </c>
      <c r="T73" s="251">
        <v>0</v>
      </c>
      <c r="U73" s="253">
        <f t="shared" si="18"/>
        <v>0</v>
      </c>
      <c r="V73" s="251">
        <v>5281.5699999999997</v>
      </c>
      <c r="W73" s="251">
        <v>0</v>
      </c>
      <c r="X73" s="253">
        <f t="shared" si="19"/>
        <v>5281.5699999999997</v>
      </c>
      <c r="Y73" s="251">
        <v>11.979999999999999</v>
      </c>
      <c r="Z73" s="251">
        <v>0</v>
      </c>
      <c r="AA73" s="274">
        <f t="shared" si="20"/>
        <v>5293.5499999999993</v>
      </c>
      <c r="AB73" s="206" t="b">
        <f t="shared" si="16"/>
        <v>1</v>
      </c>
    </row>
    <row r="74" spans="1:28" ht="12.75">
      <c r="A74" s="191">
        <v>61</v>
      </c>
      <c r="B74" t="s">
        <v>290</v>
      </c>
      <c r="C74" t="s">
        <v>1039</v>
      </c>
      <c r="D74" s="66">
        <v>3725.3299999999999</v>
      </c>
      <c r="E74" s="66">
        <v>530.44000000000005</v>
      </c>
      <c r="F74" s="66">
        <v>0</v>
      </c>
      <c r="G74" s="66">
        <v>1591.3199999999999</v>
      </c>
      <c r="H74" s="66">
        <v>0</v>
      </c>
      <c r="I74" s="66">
        <v>1060.8800000000001</v>
      </c>
      <c r="J74" s="66">
        <v>0</v>
      </c>
      <c r="K74" s="66">
        <v>530.44000000000005</v>
      </c>
      <c r="L74" s="66">
        <v>0</v>
      </c>
      <c r="M74" s="66">
        <v>1060.8800000000001</v>
      </c>
      <c r="N74" s="66">
        <v>530.44000000000005</v>
      </c>
      <c r="O74" s="129">
        <v>1557.4100000000001</v>
      </c>
      <c r="P74" s="280">
        <f t="shared" si="17"/>
        <v>10587.140000000001</v>
      </c>
      <c r="R74" s="251">
        <v>0</v>
      </c>
      <c r="S74" s="251">
        <v>0</v>
      </c>
      <c r="T74" s="251">
        <v>0</v>
      </c>
      <c r="U74" s="253">
        <f t="shared" si="18"/>
        <v>0</v>
      </c>
      <c r="V74" s="251">
        <v>10577.030000000001</v>
      </c>
      <c r="W74" s="251">
        <v>0</v>
      </c>
      <c r="X74" s="253">
        <f t="shared" si="19"/>
        <v>10577.030000000001</v>
      </c>
      <c r="Y74" s="251">
        <v>10.109999999999999</v>
      </c>
      <c r="Z74" s="251">
        <v>0</v>
      </c>
      <c r="AA74" s="274">
        <f t="shared" si="20"/>
        <v>10587.140000000001</v>
      </c>
      <c r="AB74" s="206" t="b">
        <f t="shared" si="16"/>
        <v>1</v>
      </c>
    </row>
    <row r="75" spans="1:28" ht="12.75">
      <c r="A75" s="191">
        <v>62</v>
      </c>
      <c r="B75" t="s">
        <v>247</v>
      </c>
      <c r="C75" t="s">
        <v>1040</v>
      </c>
      <c r="D75" s="66">
        <v>1348.0700000000002</v>
      </c>
      <c r="E75" s="66">
        <v>522</v>
      </c>
      <c r="F75" s="66">
        <v>522</v>
      </c>
      <c r="G75" s="66">
        <v>522</v>
      </c>
      <c r="H75" s="66">
        <v>522</v>
      </c>
      <c r="I75" s="66">
        <v>522</v>
      </c>
      <c r="J75" s="66">
        <v>522</v>
      </c>
      <c r="K75" s="66">
        <v>522</v>
      </c>
      <c r="L75" s="66">
        <v>522</v>
      </c>
      <c r="M75" s="66">
        <v>522</v>
      </c>
      <c r="N75" s="66">
        <v>522</v>
      </c>
      <c r="O75" s="129">
        <v>551.42999999999995</v>
      </c>
      <c r="P75" s="280">
        <f t="shared" si="17"/>
        <v>7119.5</v>
      </c>
      <c r="R75" s="251">
        <v>0</v>
      </c>
      <c r="S75" s="251">
        <v>0</v>
      </c>
      <c r="T75" s="251">
        <v>0</v>
      </c>
      <c r="U75" s="253">
        <f t="shared" si="18"/>
        <v>0</v>
      </c>
      <c r="V75" s="251">
        <v>0</v>
      </c>
      <c r="W75" s="251">
        <v>0</v>
      </c>
      <c r="X75" s="253">
        <f t="shared" si="19"/>
        <v>0</v>
      </c>
      <c r="Y75" s="251">
        <v>7119.5</v>
      </c>
      <c r="Z75" s="251">
        <v>0</v>
      </c>
      <c r="AA75" s="274">
        <f t="shared" si="20"/>
        <v>7119.5</v>
      </c>
      <c r="AB75" s="206" t="b">
        <f t="shared" si="16"/>
        <v>1</v>
      </c>
    </row>
    <row r="76" spans="1:28" ht="12.75">
      <c r="A76" s="191">
        <v>63</v>
      </c>
      <c r="B76" t="s">
        <v>251</v>
      </c>
      <c r="C76" t="s">
        <v>1040</v>
      </c>
      <c r="D76" s="66">
        <v>5542.0699999999997</v>
      </c>
      <c r="E76" s="66">
        <v>2146</v>
      </c>
      <c r="F76" s="66">
        <v>2146</v>
      </c>
      <c r="G76" s="66">
        <v>2146</v>
      </c>
      <c r="H76" s="66">
        <v>2146</v>
      </c>
      <c r="I76" s="66">
        <v>2146</v>
      </c>
      <c r="J76" s="66">
        <v>2146</v>
      </c>
      <c r="K76" s="66">
        <v>2146</v>
      </c>
      <c r="L76" s="66">
        <v>2030</v>
      </c>
      <c r="M76" s="66">
        <v>2030</v>
      </c>
      <c r="N76" s="66">
        <v>2030</v>
      </c>
      <c r="O76" s="129">
        <v>2144.4400000000001</v>
      </c>
      <c r="P76" s="280">
        <f t="shared" si="17"/>
        <v>28798.509999999998</v>
      </c>
      <c r="R76" s="251">
        <v>0</v>
      </c>
      <c r="S76" s="251">
        <v>0</v>
      </c>
      <c r="T76" s="251">
        <v>0</v>
      </c>
      <c r="U76" s="253">
        <f t="shared" si="18"/>
        <v>0</v>
      </c>
      <c r="V76" s="251">
        <v>28798.510000000002</v>
      </c>
      <c r="W76" s="251">
        <v>0</v>
      </c>
      <c r="X76" s="253">
        <f t="shared" si="19"/>
        <v>28798.510000000002</v>
      </c>
      <c r="Y76" s="251">
        <v>0</v>
      </c>
      <c r="Z76" s="251">
        <v>0</v>
      </c>
      <c r="AA76" s="274">
        <f t="shared" si="20"/>
        <v>28798.510000000002</v>
      </c>
      <c r="AB76" s="206" t="b">
        <f t="shared" si="16"/>
        <v>1</v>
      </c>
    </row>
    <row r="77" spans="1:28" ht="12.75">
      <c r="A77" s="191">
        <v>64</v>
      </c>
      <c r="B77" t="s">
        <v>247</v>
      </c>
      <c r="C77" t="s">
        <v>1048</v>
      </c>
      <c r="D77" s="66">
        <v>600</v>
      </c>
      <c r="E77" s="66">
        <v>600</v>
      </c>
      <c r="F77" s="66">
        <v>0</v>
      </c>
      <c r="G77" s="66">
        <v>1200</v>
      </c>
      <c r="H77" s="66">
        <v>0</v>
      </c>
      <c r="I77" s="66">
        <v>600</v>
      </c>
      <c r="J77" s="66">
        <v>600</v>
      </c>
      <c r="K77" s="66">
        <v>0</v>
      </c>
      <c r="L77" s="66">
        <v>0</v>
      </c>
      <c r="M77" s="66">
        <v>0</v>
      </c>
      <c r="N77" s="66">
        <v>3000</v>
      </c>
      <c r="O77" s="129">
        <v>0</v>
      </c>
      <c r="P77" s="280">
        <f t="shared" si="17"/>
        <v>6600</v>
      </c>
      <c r="R77" s="251">
        <v>0</v>
      </c>
      <c r="S77" s="251">
        <v>0</v>
      </c>
      <c r="T77" s="251">
        <v>0</v>
      </c>
      <c r="U77" s="253">
        <f t="shared" si="18"/>
        <v>0</v>
      </c>
      <c r="V77" s="251">
        <v>0</v>
      </c>
      <c r="W77" s="251">
        <v>0</v>
      </c>
      <c r="X77" s="253">
        <f t="shared" si="19"/>
        <v>0</v>
      </c>
      <c r="Y77" s="251">
        <v>6600</v>
      </c>
      <c r="Z77" s="251">
        <v>0</v>
      </c>
      <c r="AA77" s="274">
        <f t="shared" si="20"/>
        <v>6600</v>
      </c>
      <c r="AB77" s="206" t="b">
        <f t="shared" si="16"/>
        <v>1</v>
      </c>
    </row>
    <row r="78" spans="1:28" ht="12.75">
      <c r="A78" s="191">
        <v>65</v>
      </c>
      <c r="B78" t="s">
        <v>251</v>
      </c>
      <c r="C78" t="s">
        <v>1048</v>
      </c>
      <c r="D78" s="66">
        <v>0</v>
      </c>
      <c r="E78" s="66">
        <v>0</v>
      </c>
      <c r="F78" s="66">
        <v>0</v>
      </c>
      <c r="G78" s="66">
        <v>0</v>
      </c>
      <c r="H78" s="66">
        <v>0</v>
      </c>
      <c r="I78" s="66">
        <v>0</v>
      </c>
      <c r="J78" s="66">
        <v>0</v>
      </c>
      <c r="K78" s="66">
        <v>0</v>
      </c>
      <c r="L78" s="66">
        <v>0</v>
      </c>
      <c r="M78" s="66">
        <v>4.5999999999999996</v>
      </c>
      <c r="N78" s="66">
        <v>0</v>
      </c>
      <c r="O78" s="129">
        <v>0</v>
      </c>
      <c r="P78" s="280">
        <f t="shared" si="17"/>
        <v>4.5999999999999996</v>
      </c>
      <c r="R78" s="251">
        <v>0</v>
      </c>
      <c r="S78" s="251">
        <v>0</v>
      </c>
      <c r="T78" s="251">
        <v>0</v>
      </c>
      <c r="U78" s="253">
        <f t="shared" si="18"/>
        <v>0</v>
      </c>
      <c r="V78" s="251">
        <v>4.5999999999999996</v>
      </c>
      <c r="W78" s="251">
        <v>0</v>
      </c>
      <c r="X78" s="253">
        <f t="shared" si="19"/>
        <v>4.5999999999999996</v>
      </c>
      <c r="Y78" s="251">
        <v>0</v>
      </c>
      <c r="Z78" s="251">
        <v>0</v>
      </c>
      <c r="AA78" s="274">
        <f t="shared" si="20"/>
        <v>4.5999999999999996</v>
      </c>
      <c r="AB78" s="206" t="b">
        <f t="shared" si="16"/>
        <v>1</v>
      </c>
    </row>
    <row r="79" spans="1:28" ht="12.75">
      <c r="A79" s="191">
        <v>66</v>
      </c>
      <c r="B79" t="s">
        <v>237</v>
      </c>
      <c r="C79" t="s">
        <v>1041</v>
      </c>
      <c r="D79" s="66">
        <v>3900</v>
      </c>
      <c r="E79" s="66">
        <v>3900</v>
      </c>
      <c r="F79" s="66">
        <v>3900</v>
      </c>
      <c r="G79" s="66">
        <v>3900</v>
      </c>
      <c r="H79" s="66">
        <v>3900</v>
      </c>
      <c r="I79" s="66">
        <v>3900</v>
      </c>
      <c r="J79" s="66">
        <v>7800</v>
      </c>
      <c r="K79" s="66">
        <v>3900</v>
      </c>
      <c r="L79" s="66">
        <v>3900</v>
      </c>
      <c r="M79" s="66">
        <v>3900</v>
      </c>
      <c r="N79" s="66">
        <v>3900</v>
      </c>
      <c r="O79" s="129">
        <v>3900</v>
      </c>
      <c r="P79" s="280">
        <f t="shared" si="17"/>
        <v>50700</v>
      </c>
      <c r="R79" s="251">
        <v>50700</v>
      </c>
      <c r="S79" s="251">
        <v>0</v>
      </c>
      <c r="T79" s="251">
        <v>0</v>
      </c>
      <c r="U79" s="253">
        <f t="shared" si="18"/>
        <v>50700</v>
      </c>
      <c r="V79" s="251">
        <v>0</v>
      </c>
      <c r="W79" s="251">
        <v>0</v>
      </c>
      <c r="X79" s="253">
        <f t="shared" si="19"/>
        <v>0</v>
      </c>
      <c r="Y79" s="251">
        <v>0</v>
      </c>
      <c r="Z79" s="251">
        <v>0</v>
      </c>
      <c r="AA79" s="274">
        <f t="shared" si="20"/>
        <v>50700</v>
      </c>
      <c r="AB79" s="206" t="b">
        <f t="shared" si="16"/>
        <v>1</v>
      </c>
    </row>
    <row r="80" spans="1:28" ht="12.75">
      <c r="A80" s="191">
        <v>67</v>
      </c>
      <c r="B80" t="s">
        <v>236</v>
      </c>
      <c r="C80" t="s">
        <v>1042</v>
      </c>
      <c r="D80" s="66">
        <v>5191.9200000000001</v>
      </c>
      <c r="E80" s="66">
        <v>2606.8000000000002</v>
      </c>
      <c r="F80" s="66">
        <v>2606.8000000000002</v>
      </c>
      <c r="G80" s="66">
        <v>2606.8000000000002</v>
      </c>
      <c r="H80" s="66">
        <v>2606.8000000000002</v>
      </c>
      <c r="I80" s="66">
        <v>2606.8000000000002</v>
      </c>
      <c r="J80" s="66">
        <v>2606.8000000000002</v>
      </c>
      <c r="K80" s="66">
        <v>2606.8000000000002</v>
      </c>
      <c r="L80" s="66">
        <v>2606.8000000000002</v>
      </c>
      <c r="M80" s="66">
        <v>2606.8000000000002</v>
      </c>
      <c r="N80" s="66">
        <v>2606.8000000000002</v>
      </c>
      <c r="O80" s="129">
        <v>3009.5900000000001</v>
      </c>
      <c r="P80" s="280">
        <f t="shared" si="17"/>
        <v>34269.509999999995</v>
      </c>
      <c r="R80" s="251">
        <v>34269.509999999995</v>
      </c>
      <c r="S80" s="251">
        <v>0</v>
      </c>
      <c r="T80" s="251">
        <v>0</v>
      </c>
      <c r="U80" s="253">
        <f t="shared" si="18"/>
        <v>34269.509999999995</v>
      </c>
      <c r="V80" s="251">
        <v>0</v>
      </c>
      <c r="W80" s="251">
        <v>0</v>
      </c>
      <c r="X80" s="253">
        <f t="shared" si="19"/>
        <v>0</v>
      </c>
      <c r="Y80" s="251">
        <v>0</v>
      </c>
      <c r="Z80" s="251">
        <v>0</v>
      </c>
      <c r="AA80" s="274">
        <f t="shared" si="20"/>
        <v>34269.509999999995</v>
      </c>
      <c r="AB80" s="206" t="b">
        <f t="shared" si="16"/>
        <v>1</v>
      </c>
    </row>
    <row r="81" spans="1:28" ht="12.75">
      <c r="A81" s="191">
        <v>68</v>
      </c>
      <c r="B81" t="s">
        <v>286</v>
      </c>
      <c r="C81" t="s">
        <v>1043</v>
      </c>
      <c r="D81" s="66">
        <v>0</v>
      </c>
      <c r="E81" s="66">
        <v>2838.9200000000001</v>
      </c>
      <c r="F81" s="66">
        <v>0</v>
      </c>
      <c r="G81" s="66">
        <v>655.63999999999999</v>
      </c>
      <c r="H81" s="66">
        <v>655.63999999999999</v>
      </c>
      <c r="I81" s="66">
        <v>655.63999999999999</v>
      </c>
      <c r="J81" s="66">
        <v>655.63999999999999</v>
      </c>
      <c r="K81" s="66">
        <v>655.63999999999999</v>
      </c>
      <c r="L81" s="66">
        <v>655.63999999999999</v>
      </c>
      <c r="M81" s="66">
        <v>655.63999999999999</v>
      </c>
      <c r="N81" s="66">
        <v>655.63999999999999</v>
      </c>
      <c r="O81" s="129">
        <v>655.63999999999999</v>
      </c>
      <c r="P81" s="280">
        <f t="shared" si="17"/>
        <v>8739.6800000000021</v>
      </c>
      <c r="R81" s="251">
        <v>0</v>
      </c>
      <c r="S81" s="251">
        <v>0</v>
      </c>
      <c r="T81" s="251">
        <v>0</v>
      </c>
      <c r="U81" s="253">
        <f t="shared" si="18"/>
        <v>0</v>
      </c>
      <c r="V81" s="251">
        <v>0</v>
      </c>
      <c r="W81" s="251">
        <v>0</v>
      </c>
      <c r="X81" s="253">
        <f t="shared" si="19"/>
        <v>0</v>
      </c>
      <c r="Y81" s="251">
        <v>0</v>
      </c>
      <c r="Z81" s="251">
        <v>8739.6800000000021</v>
      </c>
      <c r="AA81" s="274">
        <f t="shared" si="20"/>
        <v>8739.6800000000021</v>
      </c>
      <c r="AB81" s="206" t="b">
        <f t="shared" si="16"/>
        <v>1</v>
      </c>
    </row>
    <row r="82" spans="1:28" ht="12.75">
      <c r="A82" s="191">
        <v>69</v>
      </c>
      <c r="B82" t="s">
        <v>250</v>
      </c>
      <c r="C82" t="s">
        <v>1044</v>
      </c>
      <c r="D82" s="66">
        <v>21035.540000000001</v>
      </c>
      <c r="E82" s="66">
        <v>5850</v>
      </c>
      <c r="F82" s="66">
        <v>5850</v>
      </c>
      <c r="G82" s="66">
        <v>5850</v>
      </c>
      <c r="H82" s="66">
        <v>5850</v>
      </c>
      <c r="I82" s="66">
        <v>5850</v>
      </c>
      <c r="J82" s="66">
        <v>5850</v>
      </c>
      <c r="K82" s="66">
        <v>5850</v>
      </c>
      <c r="L82" s="66">
        <v>5700</v>
      </c>
      <c r="M82" s="66">
        <v>5700</v>
      </c>
      <c r="N82" s="66">
        <v>5700</v>
      </c>
      <c r="O82" s="129">
        <v>5621.4499999999998</v>
      </c>
      <c r="P82" s="280">
        <f t="shared" si="17"/>
        <v>84706.990000000005</v>
      </c>
      <c r="R82" s="251">
        <v>0</v>
      </c>
      <c r="S82" s="251">
        <v>0</v>
      </c>
      <c r="T82" s="251">
        <v>0</v>
      </c>
      <c r="U82" s="253">
        <f t="shared" si="18"/>
        <v>0</v>
      </c>
      <c r="V82" s="251">
        <v>84706.989999999991</v>
      </c>
      <c r="W82" s="251">
        <v>0</v>
      </c>
      <c r="X82" s="253">
        <f t="shared" si="19"/>
        <v>84706.989999999991</v>
      </c>
      <c r="Y82" s="251">
        <v>0</v>
      </c>
      <c r="Z82" s="251">
        <v>0</v>
      </c>
      <c r="AA82" s="274">
        <f t="shared" si="20"/>
        <v>84706.989999999991</v>
      </c>
      <c r="AB82" s="206" t="b">
        <f t="shared" si="16"/>
        <v>1</v>
      </c>
    </row>
    <row r="83" spans="1:28" ht="12.75">
      <c r="A83" s="191">
        <v>70</v>
      </c>
      <c r="B83" t="s">
        <v>290</v>
      </c>
      <c r="C83" t="s">
        <v>1044</v>
      </c>
      <c r="D83" s="66">
        <v>2696.8599999999997</v>
      </c>
      <c r="E83" s="66">
        <v>750</v>
      </c>
      <c r="F83" s="66">
        <v>750</v>
      </c>
      <c r="G83" s="66">
        <v>750</v>
      </c>
      <c r="H83" s="66">
        <v>750</v>
      </c>
      <c r="I83" s="66">
        <v>750</v>
      </c>
      <c r="J83" s="66">
        <v>750</v>
      </c>
      <c r="K83" s="66">
        <v>750</v>
      </c>
      <c r="L83" s="66">
        <v>750</v>
      </c>
      <c r="M83" s="66">
        <v>750</v>
      </c>
      <c r="N83" s="66">
        <v>750</v>
      </c>
      <c r="O83" s="129">
        <v>739.65999999999997</v>
      </c>
      <c r="P83" s="280">
        <f t="shared" si="17"/>
        <v>10936.52</v>
      </c>
      <c r="R83" s="251">
        <v>0</v>
      </c>
      <c r="S83" s="251">
        <v>0</v>
      </c>
      <c r="T83" s="251">
        <v>0</v>
      </c>
      <c r="U83" s="253">
        <f t="shared" si="18"/>
        <v>0</v>
      </c>
      <c r="V83" s="251">
        <v>10936.52</v>
      </c>
      <c r="W83" s="251">
        <v>0</v>
      </c>
      <c r="X83" s="253">
        <f t="shared" si="19"/>
        <v>10936.52</v>
      </c>
      <c r="Y83" s="251">
        <v>0</v>
      </c>
      <c r="Z83" s="251">
        <v>0</v>
      </c>
      <c r="AA83" s="274">
        <f t="shared" si="20"/>
        <v>10936.52</v>
      </c>
      <c r="AB83" s="206" t="b">
        <f t="shared" si="16"/>
        <v>1</v>
      </c>
    </row>
    <row r="84" spans="1:28" ht="13.5" thickBot="1">
      <c r="A84" s="191">
        <v>73</v>
      </c>
      <c r="D84" s="317">
        <f t="shared" si="21" ref="D84:P84">SUM(D50:D83)</f>
        <v>449816.61000000004</v>
      </c>
      <c r="E84" s="317">
        <f t="shared" si="21"/>
        <v>218331.03000000003</v>
      </c>
      <c r="F84" s="317">
        <f t="shared" si="21"/>
        <v>230693.07999999999</v>
      </c>
      <c r="G84" s="317">
        <f t="shared" si="21"/>
        <v>225238.72</v>
      </c>
      <c r="H84" s="317">
        <f t="shared" si="21"/>
        <v>214937.34000000003</v>
      </c>
      <c r="I84" s="317">
        <f t="shared" si="21"/>
        <v>235568.82000000004</v>
      </c>
      <c r="J84" s="317">
        <f t="shared" si="21"/>
        <v>225966.60000000001</v>
      </c>
      <c r="K84" s="317">
        <f t="shared" si="21"/>
        <v>224375.40000000005</v>
      </c>
      <c r="L84" s="317">
        <f t="shared" si="21"/>
        <v>246147.82000000001</v>
      </c>
      <c r="M84" s="317">
        <f t="shared" si="21"/>
        <v>221942.49000000005</v>
      </c>
      <c r="N84" s="317">
        <f t="shared" si="21"/>
        <v>236408.57000000001</v>
      </c>
      <c r="O84" s="317">
        <f t="shared" si="21"/>
        <v>107529.95000000001</v>
      </c>
      <c r="P84" s="317">
        <f t="shared" si="21"/>
        <v>2836956.4300000002</v>
      </c>
      <c r="R84" s="317">
        <f t="shared" si="22" ref="R84:AA84">SUM(R50:R83)</f>
        <v>1263681.78</v>
      </c>
      <c r="S84" s="317">
        <f t="shared" si="22"/>
        <v>0</v>
      </c>
      <c r="T84" s="317">
        <f t="shared" si="22"/>
        <v>0</v>
      </c>
      <c r="U84" s="317">
        <f t="shared" si="22"/>
        <v>1263681.78</v>
      </c>
      <c r="V84" s="317">
        <f t="shared" si="22"/>
        <v>1263489.4299999999</v>
      </c>
      <c r="W84" s="317">
        <f t="shared" si="22"/>
        <v>0</v>
      </c>
      <c r="X84" s="317">
        <f t="shared" si="22"/>
        <v>1263489.4299999999</v>
      </c>
      <c r="Y84" s="317">
        <f t="shared" si="22"/>
        <v>327070.29999999993</v>
      </c>
      <c r="Z84" s="317">
        <f t="shared" si="22"/>
        <v>24912.220000000001</v>
      </c>
      <c r="AA84" s="317">
        <f t="shared" si="22"/>
        <v>2879153.73</v>
      </c>
      <c r="AB84" s="206" t="b">
        <f t="shared" si="16"/>
        <v>0</v>
      </c>
    </row>
    <row r="85" spans="1:1" ht="13.5" thickTop="1">
      <c r="A85" s="191">
        <v>74</v>
      </c>
    </row>
  </sheetData>
  <printOptions horizontalCentered="1"/>
  <pageMargins left="0.5" right="0.5" top="2.25" bottom="0.5" header="1.5" footer="0.5"/>
  <pageSetup fitToHeight="0" fitToWidth="2" orientation="landscape" pageOrder="overThenDown" scale="51" r:id="rId1"/>
  <headerFooter alignWithMargins="0">
    <oddHeader>&amp;C&amp;B
2022 RATE CASE
ONCOR ELECTRIC DELIVERY COMPANY LLC
II-D-2.9  RENTS AND LEASES - MONTHLY LEASE AMOUNT AND PAYMENT - 2018
TEST YEAR ENDING DECEMBER 31, 2021
SPONSOR: W. ALAN LEDBETTER&amp;R&amp;"Arial,Bold"Schedule &amp;A
Page &amp;P of &amp;N</oddHeader>
  </headerFooter>
  <rowBreaks count="1" manualBreakCount="1">
    <brk id="48" min="3" max="26" man="1"/>
  </rowBreaks>
  <colBreaks count="1" manualBreakCount="1">
    <brk id="16" min="13" max="86" man="1"/>
  </colBreak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6">
    <tabColor rgb="FFFF0000"/>
    <pageSetUpPr fitToPage="1"/>
  </sheetPr>
  <dimension ref="A1:A18"/>
  <sheetViews>
    <sheetView workbookViewId="0" topLeftCell="A1">
      <pane ySplit="6" topLeftCell="A7" activePane="bottomLeft" state="frozen"/>
      <selection pane="topLeft" activeCell="A1" sqref="A1"/>
      <selection pane="bottomLeft" activeCell="R35" sqref="R35"/>
    </sheetView>
  </sheetViews>
  <sheetFormatPr defaultRowHeight="12.75"/>
  <sheetData>
    <row r="1" spans="1:1" ht="12.75">
      <c r="A1" s="5" t="str">
        <f>+'[3]Input Data'!$A$9</f>
        <v>2022 RATE CASE</v>
      </c>
    </row>
    <row r="2" spans="1:1" ht="12.75">
      <c r="A2" s="8" t="str">
        <f>+'[3]Input Data'!$A$2</f>
        <v>ONCOR ELECTRIC DELIVERY COMPANY LLC</v>
      </c>
    </row>
    <row r="3" spans="1:1" ht="12.75">
      <c r="A3" s="7" t="str">
        <f>CONCATENATE('[3]Schedule Sponsors'!$A$67,'[3]Schedule Sponsors'!$B$67)</f>
        <v>II-D-2.9  RENTS AND LEASES</v>
      </c>
    </row>
    <row r="4" spans="1:1" ht="12.75">
      <c r="A4" s="63" t="str">
        <f>+'[3]Input Data'!$A$4</f>
        <v>TEST YEAR ENDING DECEMBER 31, 2021</v>
      </c>
    </row>
    <row r="5" spans="1:1" ht="12.75">
      <c r="A5" s="7" t="str">
        <f>CONCATENATE("SPONSOR: ",'[3]Schedule Sponsors'!$D$67)</f>
        <v>SPONSOR: W. ALAN LEDBETTER</v>
      </c>
    </row>
    <row r="10" spans="1:1" ht="15">
      <c r="A10" s="276" t="s">
        <v>324</v>
      </c>
    </row>
    <row r="11" spans="1:1" ht="15">
      <c r="A11" s="276" t="s">
        <v>325</v>
      </c>
    </row>
    <row r="12" spans="1:1" ht="15">
      <c r="A12" s="276" t="s">
        <v>708</v>
      </c>
    </row>
    <row r="13" spans="1:1" ht="15">
      <c r="A13" s="276" t="s">
        <v>702</v>
      </c>
    </row>
    <row r="14" spans="1:1" ht="15">
      <c r="A14" s="276"/>
    </row>
    <row r="15" spans="1:1" ht="15">
      <c r="A15" s="276"/>
    </row>
    <row r="16" spans="1:1" ht="14.25">
      <c r="A16" s="275" t="s">
        <v>709</v>
      </c>
    </row>
    <row r="17" spans="1:1" ht="14.25">
      <c r="A17" s="275" t="s">
        <v>710</v>
      </c>
    </row>
    <row r="18" spans="1:1" ht="14.25">
      <c r="A18" s="275" t="s">
        <v>711</v>
      </c>
    </row>
  </sheetData>
  <printOptions horizontalCentered="1"/>
  <pageMargins left="0.5" right="0.5" top="2.5" bottom="0.2" header="1.25" footer="0.5"/>
  <pageSetup fitToHeight="0" orientation="landscape" scale="94" r:id="rId1"/>
  <headerFooter alignWithMargins="0">
    <oddHeader>&amp;C&amp;B
2022 RATE CASE
ONCOR ELECTRIC DELIVERY COMPANY LLC
II-D-2.9  RENTS AND LEASES
TEST YEAR ENDING DECEMBER 31, 2021
SPONSOR: W. ALAN LEDBETTER&amp;R&amp;"Arial,Bold"Schedule &amp;A
Page &amp;P of &amp;N</oddHead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
    <tabColor rgb="FFFF0000"/>
  </sheetPr>
  <dimension ref="A1:AA155"/>
  <sheetViews>
    <sheetView zoomScale="85" zoomScaleNormal="85" workbookViewId="0" topLeftCell="A1">
      <pane xSplit="4" ySplit="13" topLeftCell="E89" activePane="bottomRight" state="frozen"/>
      <selection pane="topLeft" activeCell="Q42" sqref="Q42"/>
      <selection pane="bottomLeft" activeCell="Q42" sqref="Q42"/>
      <selection pane="topRight" activeCell="Q42" sqref="Q42"/>
      <selection pane="bottomRight" activeCell="B122" sqref="B122"/>
    </sheetView>
  </sheetViews>
  <sheetFormatPr defaultColWidth="9.14428571428571" defaultRowHeight="12.75"/>
  <cols>
    <col min="1" max="1" width="5.71428571428571" style="4" customWidth="1"/>
    <col min="2" max="2" width="8.71428571428571" style="6" customWidth="1"/>
    <col min="3" max="3" width="52.8571428571429" style="6" bestFit="1" customWidth="1"/>
    <col min="4" max="4" width="10.4285714285714" style="90" customWidth="1"/>
    <col min="5" max="5" width="17.5714285714286" style="6" bestFit="1" customWidth="1"/>
    <col min="6" max="6" width="12.7142857142857" style="6" customWidth="1"/>
    <col min="7" max="7" width="17.5714285714286" style="6" bestFit="1" customWidth="1"/>
    <col min="8" max="8" width="13.7142857142857" style="6" bestFit="1" customWidth="1"/>
    <col min="9" max="9" width="12.7142857142857" style="6" customWidth="1"/>
    <col min="10" max="10" width="13.7142857142857" style="6" bestFit="1" customWidth="1"/>
    <col min="11" max="11" width="10.2857142857143" style="6" bestFit="1" customWidth="1"/>
    <col min="12" max="12" width="13.7142857142857" style="90" bestFit="1" customWidth="1"/>
    <col min="13" max="13" width="4.71428571428571" style="6" customWidth="1"/>
    <col min="14" max="14" width="6.85714285714286" style="90" bestFit="1" customWidth="1"/>
    <col min="15" max="15" width="13.7142857142857" style="6" bestFit="1" customWidth="1"/>
    <col min="16" max="18" width="13.7142857142857" style="6" customWidth="1"/>
    <col min="19" max="19" width="15.2857142857143" style="6" bestFit="1" customWidth="1"/>
    <col min="20" max="21" width="15.2857142857143" style="6" customWidth="1"/>
    <col min="22" max="22" width="12.5714285714286" style="6" bestFit="1" customWidth="1"/>
    <col min="23" max="23" width="12.5714285714286" style="6" customWidth="1"/>
    <col min="24" max="24" width="15.2857142857143" style="6" bestFit="1" customWidth="1"/>
    <col min="25" max="25" width="9.14285714285714" style="6"/>
    <col min="26" max="26" width="16.1428571428571" style="6" bestFit="1" customWidth="1"/>
    <col min="27" max="27" width="20.8571428571429" style="6" bestFit="1" customWidth="1"/>
    <col min="28" max="16384" width="9.14285714285714" style="6"/>
  </cols>
  <sheetData>
    <row r="1" spans="1:1" ht="12.75">
      <c r="A1" s="8" t="str">
        <f>+'[3]Input Data'!$A$9</f>
        <v>2022 RATE CASE</v>
      </c>
    </row>
    <row r="2" spans="1:24" ht="12.75">
      <c r="A2" s="8" t="str">
        <f>+'[3]Input Data'!$A$2</f>
        <v>ONCOR ELECTRIC DELIVERY COMPANY LLC</v>
      </c>
      <c r="B2" s="4"/>
      <c r="C2" s="4"/>
      <c r="D2" s="16"/>
      <c r="E2" s="4"/>
      <c r="F2" s="4"/>
      <c r="G2" s="83"/>
      <c r="H2" s="4"/>
      <c r="I2" s="4"/>
      <c r="J2" s="4"/>
      <c r="K2" s="4"/>
      <c r="L2" s="16"/>
      <c r="M2" s="4"/>
      <c r="N2" s="16"/>
      <c r="O2" s="4"/>
      <c r="P2" s="4"/>
      <c r="Q2" s="4"/>
      <c r="R2" s="4"/>
      <c r="S2" s="4"/>
      <c r="T2" s="4"/>
      <c r="U2" s="4"/>
      <c r="V2" s="4"/>
      <c r="W2" s="4"/>
      <c r="X2" s="4"/>
    </row>
    <row r="3" spans="1:24" ht="12.75">
      <c r="A3" s="7" t="str">
        <f>CONCATENATE('[3]Schedule Sponsors'!$A$68,'[3]Schedule Sponsors'!$B$68)</f>
        <v>II-D-3   PAYROLL EXPENSE DISTRIBUTION</v>
      </c>
      <c r="B3" s="4"/>
      <c r="D3" s="16"/>
      <c r="E3" s="4"/>
      <c r="F3" s="4"/>
      <c r="G3" s="84"/>
      <c r="H3" s="4"/>
      <c r="I3" s="4"/>
      <c r="J3" s="4"/>
      <c r="K3" s="4"/>
      <c r="L3" s="16"/>
      <c r="M3" s="4"/>
      <c r="N3" s="16"/>
      <c r="O3" s="28"/>
      <c r="P3" s="28"/>
      <c r="Q3" s="28"/>
      <c r="R3" s="28"/>
      <c r="S3" s="4"/>
      <c r="T3" s="4"/>
      <c r="U3" s="4"/>
      <c r="V3" s="4"/>
      <c r="W3" s="4"/>
      <c r="X3" s="4"/>
    </row>
    <row r="4" spans="1:24" ht="12.75">
      <c r="A4" s="63" t="str">
        <f>+'[3]Input Data'!$A$4</f>
        <v>TEST YEAR ENDING DECEMBER 31, 2021</v>
      </c>
      <c r="B4" s="4"/>
      <c r="D4" s="16"/>
      <c r="E4" s="4"/>
      <c r="F4" s="4"/>
      <c r="G4" s="84"/>
      <c r="H4" s="4"/>
      <c r="I4" s="4"/>
      <c r="J4" s="4"/>
      <c r="K4" s="4"/>
      <c r="L4" s="16"/>
      <c r="M4" s="4"/>
      <c r="N4" s="16"/>
      <c r="O4" s="28"/>
      <c r="P4" s="28"/>
      <c r="Q4" s="28"/>
      <c r="R4" s="28"/>
      <c r="S4" s="4"/>
      <c r="T4" s="4"/>
      <c r="U4" s="4"/>
      <c r="V4" s="4"/>
      <c r="W4" s="4"/>
      <c r="X4" s="4"/>
    </row>
    <row r="5" spans="1:24" ht="12.75">
      <c r="A5" s="7" t="str">
        <f>CONCATENATE("SPONSOR: ",'[3]Schedule Sponsors'!$D$68)</f>
        <v>SPONSOR: W. ALAN LEDBETTER</v>
      </c>
      <c r="B5" s="4"/>
      <c r="D5" s="16"/>
      <c r="E5" s="4"/>
      <c r="F5" s="4"/>
      <c r="G5" s="4"/>
      <c r="H5" s="4"/>
      <c r="I5" s="4"/>
      <c r="J5" s="4"/>
      <c r="K5" s="4"/>
      <c r="L5" s="16"/>
      <c r="M5" s="4"/>
      <c r="N5" s="16"/>
      <c r="O5" s="4"/>
      <c r="P5" s="4"/>
      <c r="Q5" s="4"/>
      <c r="R5" s="4"/>
      <c r="S5" s="4"/>
      <c r="T5" s="4"/>
      <c r="U5" s="4"/>
      <c r="V5" s="4"/>
      <c r="W5" s="4"/>
      <c r="X5" s="4"/>
    </row>
    <row r="6" spans="2:24" ht="12.75">
      <c r="B6" s="4"/>
      <c r="D6" s="16"/>
      <c r="E6" s="4"/>
      <c r="F6" s="4"/>
      <c r="G6" s="4"/>
      <c r="H6" s="4"/>
      <c r="I6" s="4"/>
      <c r="J6" s="4"/>
      <c r="K6" s="4"/>
      <c r="L6" s="16"/>
      <c r="M6" s="4"/>
      <c r="N6" s="16"/>
      <c r="O6" s="4"/>
      <c r="P6" s="4"/>
      <c r="Q6" s="4"/>
      <c r="R6" s="4"/>
      <c r="S6" s="4"/>
      <c r="T6" s="4"/>
      <c r="U6" s="4"/>
      <c r="V6" s="4"/>
      <c r="W6" s="4"/>
      <c r="X6" s="4"/>
    </row>
    <row r="7" spans="2:24" ht="12.75">
      <c r="B7" s="4"/>
      <c r="D7" s="16"/>
      <c r="E7" s="4"/>
      <c r="F7" s="4"/>
      <c r="G7" s="4"/>
      <c r="H7" s="4"/>
      <c r="I7" s="4"/>
      <c r="J7" s="4"/>
      <c r="K7" s="4"/>
      <c r="L7" s="16"/>
      <c r="M7" s="4"/>
      <c r="N7" s="16"/>
      <c r="O7" s="4"/>
      <c r="P7" s="4"/>
      <c r="Q7" s="4"/>
      <c r="R7" s="4"/>
      <c r="S7" s="4"/>
      <c r="T7" s="4"/>
      <c r="U7" s="4"/>
      <c r="V7" s="4"/>
      <c r="W7" s="4"/>
      <c r="X7" s="4"/>
    </row>
    <row r="8" spans="2:24" ht="12.75">
      <c r="B8" s="8"/>
      <c r="C8" s="4"/>
      <c r="D8" s="16"/>
      <c r="E8" s="4"/>
      <c r="F8" s="4"/>
      <c r="G8" s="4"/>
      <c r="H8" s="4"/>
      <c r="I8" s="4"/>
      <c r="J8" s="4"/>
      <c r="K8" s="4"/>
      <c r="L8" s="16"/>
      <c r="M8" s="4"/>
      <c r="N8" s="16"/>
      <c r="O8" s="4"/>
      <c r="P8" s="4"/>
      <c r="Q8" s="4"/>
      <c r="R8" s="4"/>
      <c r="S8" s="4"/>
      <c r="T8" s="4"/>
      <c r="U8" s="4"/>
      <c r="V8" s="4"/>
      <c r="W8" s="4"/>
      <c r="X8" s="4"/>
    </row>
    <row r="9" spans="2:24" ht="13.5" thickBot="1">
      <c r="B9" s="4" t="s">
        <v>211</v>
      </c>
      <c r="C9" s="4"/>
      <c r="D9" s="16"/>
      <c r="E9" s="24"/>
      <c r="F9" s="24"/>
      <c r="G9" s="24"/>
      <c r="H9" s="24"/>
      <c r="I9" s="24"/>
      <c r="J9" s="24"/>
      <c r="K9" s="24"/>
      <c r="L9" s="24"/>
      <c r="M9" s="24"/>
      <c r="N9" s="24"/>
      <c r="O9" s="24"/>
      <c r="P9" s="24"/>
      <c r="Q9" s="24"/>
      <c r="R9" s="24"/>
      <c r="S9" s="24"/>
      <c r="T9" s="24"/>
      <c r="U9" s="24"/>
      <c r="V9" s="24"/>
      <c r="W9" s="24"/>
      <c r="X9" s="24"/>
    </row>
    <row r="10" spans="1:24" s="8" customFormat="1" ht="12.75">
      <c r="A10" s="9"/>
      <c r="B10" s="9"/>
      <c r="C10" s="9"/>
      <c r="D10" s="9"/>
      <c r="E10" s="9"/>
      <c r="F10" s="9"/>
      <c r="G10" s="9"/>
      <c r="H10" s="10" t="s">
        <v>321</v>
      </c>
      <c r="I10" s="10" t="s">
        <v>184</v>
      </c>
      <c r="J10" s="10" t="s">
        <v>322</v>
      </c>
      <c r="K10" s="10" t="s">
        <v>224</v>
      </c>
      <c r="L10" s="10" t="s">
        <v>53</v>
      </c>
      <c r="M10" s="9"/>
      <c r="N10" s="10" t="s">
        <v>220</v>
      </c>
      <c r="O10" s="196"/>
      <c r="P10" s="196"/>
      <c r="Q10" s="196"/>
      <c r="R10" s="196"/>
      <c r="S10" s="196"/>
      <c r="T10" s="196"/>
      <c r="U10" s="196"/>
      <c r="V10" s="196"/>
      <c r="W10" s="196"/>
      <c r="X10" s="196"/>
    </row>
    <row r="11" spans="1:24" s="8" customFormat="1" ht="12.75">
      <c r="A11" s="11" t="s">
        <v>87</v>
      </c>
      <c r="B11" s="11" t="s">
        <v>213</v>
      </c>
      <c r="C11" s="11"/>
      <c r="D11" s="11" t="s">
        <v>210</v>
      </c>
      <c r="E11" s="27" t="s">
        <v>214</v>
      </c>
      <c r="F11" s="11"/>
      <c r="G11" s="11" t="s">
        <v>215</v>
      </c>
      <c r="H11" s="11" t="s">
        <v>323</v>
      </c>
      <c r="I11" s="11" t="s">
        <v>185</v>
      </c>
      <c r="J11" s="11" t="s">
        <v>321</v>
      </c>
      <c r="K11" s="11" t="s">
        <v>53</v>
      </c>
      <c r="L11" s="11" t="s">
        <v>221</v>
      </c>
      <c r="M11" s="11" t="s">
        <v>217</v>
      </c>
      <c r="N11" s="11" t="s">
        <v>218</v>
      </c>
      <c r="O11" s="195"/>
      <c r="P11" s="195" t="s">
        <v>716</v>
      </c>
      <c r="Q11" s="195" t="s">
        <v>722</v>
      </c>
      <c r="R11" s="195" t="s">
        <v>717</v>
      </c>
      <c r="S11" s="195"/>
      <c r="T11" s="195" t="s">
        <v>716</v>
      </c>
      <c r="U11" s="195" t="s">
        <v>717</v>
      </c>
      <c r="V11" s="195"/>
      <c r="W11" s="195"/>
      <c r="X11" s="195"/>
    </row>
    <row r="12" spans="1:24" s="8" customFormat="1" ht="12.75">
      <c r="A12" s="11" t="s">
        <v>89</v>
      </c>
      <c r="B12" s="11" t="s">
        <v>296</v>
      </c>
      <c r="C12" s="11" t="s">
        <v>209</v>
      </c>
      <c r="D12" s="11" t="s">
        <v>212</v>
      </c>
      <c r="E12" s="27" t="s">
        <v>219</v>
      </c>
      <c r="F12" s="11" t="s">
        <v>320</v>
      </c>
      <c r="G12" s="11" t="s">
        <v>222</v>
      </c>
      <c r="H12" s="11" t="s">
        <v>223</v>
      </c>
      <c r="I12" s="11" t="s">
        <v>61</v>
      </c>
      <c r="J12" s="11" t="s">
        <v>323</v>
      </c>
      <c r="K12" s="11" t="s">
        <v>218</v>
      </c>
      <c r="L12" s="11" t="s">
        <v>224</v>
      </c>
      <c r="M12" s="11" t="s">
        <v>225</v>
      </c>
      <c r="N12" s="11" t="s">
        <v>226</v>
      </c>
      <c r="O12" s="195" t="s">
        <v>294</v>
      </c>
      <c r="P12" s="195" t="s">
        <v>294</v>
      </c>
      <c r="Q12" s="195" t="s">
        <v>723</v>
      </c>
      <c r="R12" s="195" t="s">
        <v>294</v>
      </c>
      <c r="S12" s="195" t="s">
        <v>295</v>
      </c>
      <c r="T12" s="195" t="s">
        <v>295</v>
      </c>
      <c r="U12" s="195" t="s">
        <v>295</v>
      </c>
      <c r="V12" s="195" t="s">
        <v>283</v>
      </c>
      <c r="W12" s="195" t="s">
        <v>126</v>
      </c>
      <c r="X12" s="195" t="s">
        <v>216</v>
      </c>
    </row>
    <row r="13" spans="1:24" s="8"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c r="X13" s="229" t="s">
        <v>719</v>
      </c>
    </row>
    <row r="14" spans="1:24" s="4" customFormat="1" ht="12.75">
      <c r="A14" s="86"/>
      <c r="B14" s="86"/>
      <c r="C14" s="86"/>
      <c r="D14" s="87"/>
      <c r="E14" s="88"/>
      <c r="F14" s="88"/>
      <c r="G14" s="88"/>
      <c r="H14" s="88"/>
      <c r="I14" s="88"/>
      <c r="J14" s="88"/>
      <c r="K14" s="88"/>
      <c r="L14" s="87"/>
      <c r="M14" s="88"/>
      <c r="N14" s="87"/>
      <c r="O14" s="88"/>
      <c r="P14" s="88"/>
      <c r="Q14" s="88"/>
      <c r="R14" s="88"/>
      <c r="S14" s="88"/>
      <c r="T14" s="88"/>
      <c r="U14" s="88"/>
      <c r="V14" s="88"/>
      <c r="W14" s="88"/>
      <c r="X14" s="89"/>
    </row>
    <row r="15" spans="1:23" s="4" customFormat="1" ht="15" customHeight="1">
      <c r="A15" s="16">
        <v>1</v>
      </c>
      <c r="B15" s="8" t="s">
        <v>230</v>
      </c>
      <c r="C15" s="8"/>
      <c r="D15" s="18"/>
      <c r="E15" s="13"/>
      <c r="F15" s="13"/>
      <c r="G15" s="13"/>
      <c r="H15" s="13"/>
      <c r="I15" s="13"/>
      <c r="J15" s="13"/>
      <c r="K15" s="13"/>
      <c r="L15" s="16"/>
      <c r="M15" s="13"/>
      <c r="N15" s="16"/>
      <c r="O15" s="13"/>
      <c r="P15" s="13"/>
      <c r="Q15" s="13"/>
      <c r="R15" s="13"/>
      <c r="S15" s="13"/>
      <c r="T15" s="13"/>
      <c r="U15" s="13"/>
      <c r="V15" s="13"/>
      <c r="W15" s="13"/>
    </row>
    <row r="16" spans="1:24" s="4" customFormat="1" ht="15" customHeight="1">
      <c r="A16" s="16">
        <v>2</v>
      </c>
      <c r="B16" s="8"/>
      <c r="C16" s="15" t="s">
        <v>227</v>
      </c>
      <c r="D16" s="18" t="s">
        <v>307</v>
      </c>
      <c r="E16" s="13"/>
      <c r="F16" s="13"/>
      <c r="G16" s="13"/>
      <c r="H16" s="13"/>
      <c r="I16" s="13"/>
      <c r="J16" s="13"/>
      <c r="K16" s="13"/>
      <c r="L16" s="16"/>
      <c r="M16" s="13"/>
      <c r="N16" s="16"/>
      <c r="O16" s="13"/>
      <c r="P16" s="13"/>
      <c r="Q16" s="13"/>
      <c r="R16" s="13"/>
      <c r="S16" s="20"/>
      <c r="T16" s="20"/>
      <c r="U16" s="20"/>
      <c r="V16" s="20"/>
      <c r="W16" s="20"/>
      <c r="X16" s="20"/>
    </row>
    <row r="17" spans="1:26" s="4" customFormat="1" ht="15" customHeight="1">
      <c r="A17" s="16">
        <v>3</v>
      </c>
      <c r="B17" s="4" t="s">
        <v>231</v>
      </c>
      <c r="C17" s="4" t="s">
        <v>373</v>
      </c>
      <c r="D17" s="16"/>
      <c r="E17" s="156">
        <v>3938877.4999999995</v>
      </c>
      <c r="F17" s="156">
        <v>0</v>
      </c>
      <c r="G17" s="156">
        <v>0</v>
      </c>
      <c r="H17" s="156">
        <f>+E17-F17+G17</f>
        <v>3938877.4999999995</v>
      </c>
      <c r="I17" s="156">
        <f>+'[2]Labor Summary'!N3</f>
        <v>0</v>
      </c>
      <c r="J17" s="156">
        <f>+H17+I17</f>
        <v>3938877.4999999995</v>
      </c>
      <c r="K17" s="159">
        <v>1</v>
      </c>
      <c r="L17" s="156">
        <f>+J17*K17</f>
        <v>3938877.4999999995</v>
      </c>
      <c r="M17" s="13"/>
      <c r="N17" s="16"/>
      <c r="O17" s="156">
        <f>ROUND('[1]Total Labor Summary'!C2,2)+ROUND('[2]Labor Summary'!D3,2)</f>
        <v>3890104.77</v>
      </c>
      <c r="P17" s="156">
        <f>ROUND('[1]Total Labor Summary'!D2,2)+ROUND('[2]Labor Summary'!E3,2)</f>
        <v>0</v>
      </c>
      <c r="Q17" s="156">
        <f>ROUND('[1]Total Labor Summary'!E2,2)+ROUND('[2]Labor Summary'!F3,2)</f>
        <v>0</v>
      </c>
      <c r="R17" s="156">
        <f>SUM(O17:Q17)</f>
        <v>3890104.77</v>
      </c>
      <c r="S17" s="156">
        <f>ROUND('[1]Total Labor Summary'!G2,2)+ROUND('[2]Labor Summary'!H3,2)</f>
        <v>48772.730000000003</v>
      </c>
      <c r="T17" s="156">
        <f>ROUND('[1]Total Labor Summary'!H2,2)+ROUND('[2]Labor Summary'!I3,2)</f>
        <v>0</v>
      </c>
      <c r="U17" s="156">
        <f>SUM(S17:T17)</f>
        <v>48772.730000000003</v>
      </c>
      <c r="V17" s="156">
        <f>ROUND('[1]Total Labor Summary'!J2,2)+ROUND('[2]Labor Summary'!K3,2)</f>
        <v>0</v>
      </c>
      <c r="W17" s="156">
        <f>ROUND('[1]Total Labor Summary'!K2,2)+ROUND('[2]Labor Summary'!L3,2)</f>
        <v>0</v>
      </c>
      <c r="X17" s="156">
        <f>+R17+U17+V17+W17</f>
        <v>3938877.5</v>
      </c>
      <c r="Y17" s="4" t="b">
        <f>ROUND(X17,2)=ROUND(L17,2)</f>
        <v>1</v>
      </c>
      <c r="Z17" s="181">
        <f>+L17-X17</f>
        <v>0</v>
      </c>
    </row>
    <row r="18" spans="1:26" s="4" customFormat="1" ht="15" customHeight="1">
      <c r="A18" s="16">
        <v>4</v>
      </c>
      <c r="B18" s="4" t="s">
        <v>232</v>
      </c>
      <c r="C18" s="4" t="s">
        <v>292</v>
      </c>
      <c r="D18" s="16"/>
      <c r="E18" s="13">
        <v>11421317.99</v>
      </c>
      <c r="F18" s="13">
        <v>0</v>
      </c>
      <c r="G18" s="13">
        <v>0</v>
      </c>
      <c r="H18" s="13">
        <f t="shared" si="0" ref="H18:H24">+E18-F18+G18</f>
        <v>11421317.99</v>
      </c>
      <c r="I18" s="13">
        <f>+'[2]Labor Summary'!N4</f>
        <v>0</v>
      </c>
      <c r="J18" s="13">
        <f t="shared" si="1" ref="J18:J24">+H18+I18</f>
        <v>11421317.99</v>
      </c>
      <c r="K18" s="159">
        <v>1</v>
      </c>
      <c r="L18" s="104">
        <f t="shared" si="2" ref="L18:L24">+J18*K18</f>
        <v>11421317.99</v>
      </c>
      <c r="M18" s="13"/>
      <c r="N18" s="16"/>
      <c r="O18" s="13">
        <f>ROUND('[1]Total Labor Summary'!C3,2)+ROUND('[2]Labor Summary'!D4,2)</f>
        <v>11421317.99</v>
      </c>
      <c r="P18" s="13">
        <f>ROUND('[1]Total Labor Summary'!D3,2)+ROUND('[2]Labor Summary'!E4,2)</f>
        <v>0</v>
      </c>
      <c r="Q18" s="13">
        <f>ROUND('[1]Total Labor Summary'!E3,2)+ROUND('[2]Labor Summary'!F4,2)</f>
        <v>0</v>
      </c>
      <c r="R18" s="13">
        <f t="shared" si="3" ref="R18:R24">SUM(O18:Q18)</f>
        <v>11421317.99</v>
      </c>
      <c r="S18" s="13">
        <f>ROUND('[1]Total Labor Summary'!G3,2)+ROUND('[2]Labor Summary'!H4,2)</f>
        <v>0</v>
      </c>
      <c r="T18" s="13">
        <f>ROUND('[1]Total Labor Summary'!H3,2)+ROUND('[2]Labor Summary'!I4,2)</f>
        <v>0</v>
      </c>
      <c r="U18" s="13">
        <f t="shared" si="4" ref="U18:U24">SUM(S18:T18)</f>
        <v>0</v>
      </c>
      <c r="V18" s="13">
        <f>ROUND('[1]Total Labor Summary'!J3,2)+ROUND('[2]Labor Summary'!K4,2)</f>
        <v>0</v>
      </c>
      <c r="W18" s="13">
        <f>ROUND('[1]Total Labor Summary'!K3,2)+ROUND('[2]Labor Summary'!L4,2)</f>
        <v>0</v>
      </c>
      <c r="X18" s="20">
        <f t="shared" si="5" ref="X18:X24">+R18+U18+V18+W18</f>
        <v>11421317.99</v>
      </c>
      <c r="Y18" s="4" t="b">
        <f t="shared" si="6" ref="Y18:Y24">ROUND(X18,2)=ROUND(L18,2)</f>
        <v>1</v>
      </c>
      <c r="Z18" s="181">
        <f t="shared" si="7" ref="Z18:Z24">+L18-X18</f>
        <v>0</v>
      </c>
    </row>
    <row r="19" spans="1:26" s="4" customFormat="1" ht="15" customHeight="1">
      <c r="A19" s="16">
        <v>5</v>
      </c>
      <c r="B19" s="4" t="s">
        <v>233</v>
      </c>
      <c r="C19" s="4" t="s">
        <v>374</v>
      </c>
      <c r="D19" s="16"/>
      <c r="E19" s="13">
        <v>1800579.3599999999</v>
      </c>
      <c r="F19" s="13">
        <v>0</v>
      </c>
      <c r="G19" s="13">
        <v>0</v>
      </c>
      <c r="H19" s="13">
        <f t="shared" si="0"/>
        <v>1800579.3599999999</v>
      </c>
      <c r="I19" s="13">
        <f>+'[2]Labor Summary'!N5</f>
        <v>0</v>
      </c>
      <c r="J19" s="13">
        <f t="shared" si="1"/>
        <v>1800579.3599999999</v>
      </c>
      <c r="K19" s="159">
        <v>1</v>
      </c>
      <c r="L19" s="104">
        <f t="shared" si="2"/>
        <v>1800579.3599999999</v>
      </c>
      <c r="M19" s="13"/>
      <c r="N19" s="16"/>
      <c r="O19" s="13">
        <f>ROUND('[1]Total Labor Summary'!C4,2)+ROUND('[2]Labor Summary'!D5,2)</f>
        <v>1371647.5800000001</v>
      </c>
      <c r="P19" s="13">
        <f>ROUND('[1]Total Labor Summary'!D4,2)+ROUND('[2]Labor Summary'!E5,2)</f>
        <v>0</v>
      </c>
      <c r="Q19" s="13">
        <f>ROUND('[1]Total Labor Summary'!E4,2)+ROUND('[2]Labor Summary'!F5,2)</f>
        <v>0</v>
      </c>
      <c r="R19" s="13">
        <f t="shared" si="3"/>
        <v>1371647.5800000001</v>
      </c>
      <c r="S19" s="13">
        <f>ROUND('[1]Total Labor Summary'!G4,2)+ROUND('[2]Labor Summary'!H5,2)</f>
        <v>428931.78000000003</v>
      </c>
      <c r="T19" s="13">
        <f>ROUND('[1]Total Labor Summary'!H4,2)+ROUND('[2]Labor Summary'!I5,2)</f>
        <v>0</v>
      </c>
      <c r="U19" s="13">
        <f t="shared" si="4"/>
        <v>428931.78000000003</v>
      </c>
      <c r="V19" s="13">
        <f>ROUND('[1]Total Labor Summary'!J4,2)+ROUND('[2]Labor Summary'!K5,2)</f>
        <v>0</v>
      </c>
      <c r="W19" s="13">
        <f>ROUND('[1]Total Labor Summary'!K4,2)+ROUND('[2]Labor Summary'!L5,2)</f>
        <v>0</v>
      </c>
      <c r="X19" s="20">
        <f t="shared" si="5"/>
        <v>1800579.3600000001</v>
      </c>
      <c r="Y19" s="4" t="b">
        <f t="shared" si="6"/>
        <v>1</v>
      </c>
      <c r="Z19" s="181">
        <f t="shared" si="7"/>
        <v>0</v>
      </c>
    </row>
    <row r="20" spans="1:26" s="4" customFormat="1" ht="15" customHeight="1">
      <c r="A20" s="16">
        <v>6</v>
      </c>
      <c r="B20" s="4" t="s">
        <v>234</v>
      </c>
      <c r="C20" s="4" t="s">
        <v>375</v>
      </c>
      <c r="D20" s="16"/>
      <c r="E20" s="13">
        <v>772667.79000000027</v>
      </c>
      <c r="F20" s="13">
        <v>0</v>
      </c>
      <c r="G20" s="13">
        <v>0</v>
      </c>
      <c r="H20" s="13">
        <f t="shared" si="0"/>
        <v>772667.79000000027</v>
      </c>
      <c r="I20" s="13">
        <f>+'[2]Labor Summary'!N6</f>
        <v>0</v>
      </c>
      <c r="J20" s="13">
        <f t="shared" si="1"/>
        <v>772667.79000000027</v>
      </c>
      <c r="K20" s="159">
        <v>1</v>
      </c>
      <c r="L20" s="104">
        <f t="shared" si="2"/>
        <v>772667.79000000027</v>
      </c>
      <c r="M20" s="13"/>
      <c r="N20" s="16"/>
      <c r="O20" s="13">
        <f>ROUND('[1]Total Labor Summary'!C5,2)+ROUND('[2]Labor Summary'!D6,2)</f>
        <v>772667.79000000004</v>
      </c>
      <c r="P20" s="13">
        <f>ROUND('[1]Total Labor Summary'!D5,2)+ROUND('[2]Labor Summary'!E6,2)</f>
        <v>0</v>
      </c>
      <c r="Q20" s="13">
        <f>ROUND('[1]Total Labor Summary'!E5,2)+ROUND('[2]Labor Summary'!F6,2)</f>
        <v>0</v>
      </c>
      <c r="R20" s="13">
        <f t="shared" si="3"/>
        <v>772667.79000000004</v>
      </c>
      <c r="S20" s="13">
        <f>ROUND('[1]Total Labor Summary'!G5,2)+ROUND('[2]Labor Summary'!H6,2)</f>
        <v>0</v>
      </c>
      <c r="T20" s="13">
        <f>ROUND('[1]Total Labor Summary'!H5,2)+ROUND('[2]Labor Summary'!I6,2)</f>
        <v>0</v>
      </c>
      <c r="U20" s="13">
        <f t="shared" si="4"/>
        <v>0</v>
      </c>
      <c r="V20" s="13">
        <f>ROUND('[1]Total Labor Summary'!J5,2)+ROUND('[2]Labor Summary'!K6,2)</f>
        <v>0</v>
      </c>
      <c r="W20" s="13">
        <f>ROUND('[1]Total Labor Summary'!K5,2)+ROUND('[2]Labor Summary'!L6,2)</f>
        <v>0</v>
      </c>
      <c r="X20" s="20">
        <f t="shared" si="5"/>
        <v>772667.79000000004</v>
      </c>
      <c r="Y20" s="4" t="b">
        <f t="shared" si="6"/>
        <v>1</v>
      </c>
      <c r="Z20" s="181">
        <f t="shared" si="7"/>
        <v>0</v>
      </c>
    </row>
    <row r="21" spans="1:26" s="4" customFormat="1" ht="15" customHeight="1">
      <c r="A21" s="16">
        <v>7</v>
      </c>
      <c r="B21" s="4" t="s">
        <v>235</v>
      </c>
      <c r="C21" s="4" t="s">
        <v>376</v>
      </c>
      <c r="D21" s="16"/>
      <c r="E21" s="13">
        <v>0</v>
      </c>
      <c r="F21" s="13">
        <v>0</v>
      </c>
      <c r="G21" s="13">
        <v>0</v>
      </c>
      <c r="H21" s="13">
        <f t="shared" si="0"/>
        <v>0</v>
      </c>
      <c r="I21" s="13">
        <f>+'[2]Labor Summary'!N7</f>
        <v>0</v>
      </c>
      <c r="J21" s="13">
        <f t="shared" si="1"/>
        <v>0</v>
      </c>
      <c r="K21" s="159">
        <v>1</v>
      </c>
      <c r="L21" s="104">
        <f t="shared" si="2"/>
        <v>0</v>
      </c>
      <c r="M21" s="13"/>
      <c r="N21" s="16"/>
      <c r="O21" s="13">
        <f>ROUND('[1]Total Labor Summary'!C6,2)+ROUND('[2]Labor Summary'!D7,2)</f>
        <v>0</v>
      </c>
      <c r="P21" s="13">
        <f>ROUND('[1]Total Labor Summary'!D6,2)+ROUND('[2]Labor Summary'!E7,2)</f>
        <v>0</v>
      </c>
      <c r="Q21" s="13">
        <f>ROUND('[1]Total Labor Summary'!E6,2)+ROUND('[2]Labor Summary'!F7,2)</f>
        <v>0</v>
      </c>
      <c r="R21" s="13">
        <f t="shared" si="3"/>
        <v>0</v>
      </c>
      <c r="S21" s="13">
        <f>ROUND('[1]Total Labor Summary'!G6,2)+ROUND('[2]Labor Summary'!H7,2)</f>
        <v>0</v>
      </c>
      <c r="T21" s="13">
        <f>ROUND('[1]Total Labor Summary'!H6,2)+ROUND('[2]Labor Summary'!I7,2)</f>
        <v>0</v>
      </c>
      <c r="U21" s="13">
        <f t="shared" si="4"/>
        <v>0</v>
      </c>
      <c r="V21" s="13">
        <f>ROUND('[1]Total Labor Summary'!J6,2)+ROUND('[2]Labor Summary'!K7,2)</f>
        <v>0</v>
      </c>
      <c r="W21" s="13">
        <f>ROUND('[1]Total Labor Summary'!K6,2)+ROUND('[2]Labor Summary'!L7,2)</f>
        <v>0</v>
      </c>
      <c r="X21" s="20">
        <f t="shared" si="5"/>
        <v>0</v>
      </c>
      <c r="Y21" s="4" t="b">
        <f t="shared" si="6"/>
        <v>1</v>
      </c>
      <c r="Z21" s="181">
        <f t="shared" si="7"/>
        <v>0</v>
      </c>
    </row>
    <row r="22" spans="1:26" s="4" customFormat="1" ht="15" customHeight="1">
      <c r="A22" s="16">
        <v>8</v>
      </c>
      <c r="B22" s="4" t="s">
        <v>284</v>
      </c>
      <c r="C22" s="4" t="s">
        <v>377</v>
      </c>
      <c r="D22" s="16"/>
      <c r="E22" s="13">
        <v>0</v>
      </c>
      <c r="F22" s="13">
        <v>0</v>
      </c>
      <c r="G22" s="13">
        <v>0</v>
      </c>
      <c r="H22" s="13">
        <f t="shared" si="0"/>
        <v>0</v>
      </c>
      <c r="I22" s="13">
        <f>+'[2]Labor Summary'!N8</f>
        <v>0</v>
      </c>
      <c r="J22" s="13">
        <f t="shared" si="1"/>
        <v>0</v>
      </c>
      <c r="K22" s="159">
        <v>1</v>
      </c>
      <c r="L22" s="104">
        <f t="shared" si="2"/>
        <v>0</v>
      </c>
      <c r="M22" s="13"/>
      <c r="N22" s="16"/>
      <c r="O22" s="13">
        <f>ROUND('[1]Total Labor Summary'!C7,2)+ROUND('[2]Labor Summary'!D8,2)</f>
        <v>0</v>
      </c>
      <c r="P22" s="13">
        <f>ROUND('[1]Total Labor Summary'!D7,2)+ROUND('[2]Labor Summary'!E8,2)</f>
        <v>0</v>
      </c>
      <c r="Q22" s="13">
        <f>ROUND('[1]Total Labor Summary'!E7,2)+ROUND('[2]Labor Summary'!F8,2)</f>
        <v>0</v>
      </c>
      <c r="R22" s="13">
        <f t="shared" si="3"/>
        <v>0</v>
      </c>
      <c r="S22" s="13">
        <f>ROUND('[1]Total Labor Summary'!G7,2)+ROUND('[2]Labor Summary'!H8,2)</f>
        <v>0</v>
      </c>
      <c r="T22" s="13">
        <f>ROUND('[1]Total Labor Summary'!H7,2)+ROUND('[2]Labor Summary'!I8,2)</f>
        <v>0</v>
      </c>
      <c r="U22" s="13">
        <f t="shared" si="4"/>
        <v>0</v>
      </c>
      <c r="V22" s="13">
        <f>ROUND('[1]Total Labor Summary'!J7,2)+ROUND('[2]Labor Summary'!K8,2)</f>
        <v>0</v>
      </c>
      <c r="W22" s="13">
        <f>ROUND('[1]Total Labor Summary'!K7,2)+ROUND('[2]Labor Summary'!L8,2)</f>
        <v>0</v>
      </c>
      <c r="X22" s="20">
        <f t="shared" si="5"/>
        <v>0</v>
      </c>
      <c r="Y22" s="4" t="b">
        <f t="shared" si="6"/>
        <v>1</v>
      </c>
      <c r="Z22" s="181">
        <f t="shared" si="7"/>
        <v>0</v>
      </c>
    </row>
    <row r="23" spans="1:26" s="4" customFormat="1" ht="15" customHeight="1">
      <c r="A23" s="16">
        <v>9</v>
      </c>
      <c r="B23" s="4" t="s">
        <v>236</v>
      </c>
      <c r="C23" s="4" t="s">
        <v>138</v>
      </c>
      <c r="D23" s="16"/>
      <c r="E23" s="13">
        <v>17496738.010000002</v>
      </c>
      <c r="F23" s="13">
        <v>0</v>
      </c>
      <c r="G23" s="13">
        <v>0</v>
      </c>
      <c r="H23" s="13">
        <f t="shared" si="0"/>
        <v>17496738.010000002</v>
      </c>
      <c r="I23" s="13">
        <f>+'[2]Labor Summary'!N9</f>
        <v>3245434.0700000003</v>
      </c>
      <c r="J23" s="13">
        <f t="shared" si="1"/>
        <v>20742172.080000002</v>
      </c>
      <c r="K23" s="159">
        <v>1</v>
      </c>
      <c r="L23" s="104">
        <f t="shared" si="2"/>
        <v>20742172.080000002</v>
      </c>
      <c r="M23" s="13"/>
      <c r="N23" s="16"/>
      <c r="O23" s="13">
        <f>ROUND('[1]Total Labor Summary'!C8,2)+ROUND('[2]Labor Summary'!D9,2)</f>
        <v>20589564.760000002</v>
      </c>
      <c r="P23" s="13">
        <f>ROUND('[1]Total Labor Summary'!D8,2)+ROUND('[2]Labor Summary'!E9,2)</f>
        <v>0</v>
      </c>
      <c r="Q23" s="13">
        <f>ROUND('[1]Total Labor Summary'!E8,2)+ROUND('[2]Labor Summary'!F9,2)</f>
        <v>0</v>
      </c>
      <c r="R23" s="13">
        <f t="shared" si="3"/>
        <v>20589564.760000002</v>
      </c>
      <c r="S23" s="13">
        <f>ROUND('[1]Total Labor Summary'!G8,2)+ROUND('[2]Labor Summary'!H9,2)</f>
        <v>152607.32000000001</v>
      </c>
      <c r="T23" s="13">
        <f>ROUND('[1]Total Labor Summary'!H8,2)+ROUND('[2]Labor Summary'!I9,2)</f>
        <v>0</v>
      </c>
      <c r="U23" s="13">
        <f t="shared" si="4"/>
        <v>152607.32000000001</v>
      </c>
      <c r="V23" s="13">
        <f>ROUND('[1]Total Labor Summary'!J8,2)+ROUND('[2]Labor Summary'!K9,2)</f>
        <v>0</v>
      </c>
      <c r="W23" s="13">
        <f>ROUND('[1]Total Labor Summary'!K8,2)+ROUND('[2]Labor Summary'!L9,2)</f>
        <v>0</v>
      </c>
      <c r="X23" s="20">
        <f t="shared" si="5"/>
        <v>20742172.080000002</v>
      </c>
      <c r="Y23" s="4" t="b">
        <f t="shared" si="6"/>
        <v>1</v>
      </c>
      <c r="Z23" s="181">
        <f t="shared" si="7"/>
        <v>0</v>
      </c>
    </row>
    <row r="24" spans="1:26" s="4" customFormat="1" ht="15" customHeight="1">
      <c r="A24" s="16">
        <v>10</v>
      </c>
      <c r="B24" s="4" t="s">
        <v>237</v>
      </c>
      <c r="C24" s="4" t="s">
        <v>293</v>
      </c>
      <c r="D24" s="16"/>
      <c r="E24" s="13">
        <v>0</v>
      </c>
      <c r="F24" s="13">
        <v>0</v>
      </c>
      <c r="G24" s="13">
        <v>0</v>
      </c>
      <c r="H24" s="13">
        <f t="shared" si="0"/>
        <v>0</v>
      </c>
      <c r="I24" s="13">
        <f>+'[2]Labor Summary'!N10</f>
        <v>0</v>
      </c>
      <c r="J24" s="13">
        <f t="shared" si="1"/>
        <v>0</v>
      </c>
      <c r="K24" s="159">
        <v>1</v>
      </c>
      <c r="L24" s="104">
        <f t="shared" si="2"/>
        <v>0</v>
      </c>
      <c r="M24" s="13"/>
      <c r="N24" s="16"/>
      <c r="O24" s="13">
        <f>ROUND('[1]Total Labor Summary'!C9,2)+ROUND('[2]Labor Summary'!D10,2)</f>
        <v>0</v>
      </c>
      <c r="P24" s="13">
        <f>ROUND('[1]Total Labor Summary'!D9,2)+ROUND('[2]Labor Summary'!E10,2)</f>
        <v>0</v>
      </c>
      <c r="Q24" s="13">
        <f>ROUND('[1]Total Labor Summary'!E9,2)+ROUND('[2]Labor Summary'!F10,2)</f>
        <v>0</v>
      </c>
      <c r="R24" s="13">
        <f t="shared" si="3"/>
        <v>0</v>
      </c>
      <c r="S24" s="13">
        <f>ROUND('[1]Total Labor Summary'!G9,2)+ROUND('[2]Labor Summary'!H10,2)</f>
        <v>0</v>
      </c>
      <c r="T24" s="13">
        <f>ROUND('[1]Total Labor Summary'!H9,2)+ROUND('[2]Labor Summary'!I10,2)</f>
        <v>0</v>
      </c>
      <c r="U24" s="13">
        <f t="shared" si="4"/>
        <v>0</v>
      </c>
      <c r="V24" s="13">
        <f>ROUND('[1]Total Labor Summary'!J9,2)+ROUND('[2]Labor Summary'!K10,2)</f>
        <v>0</v>
      </c>
      <c r="W24" s="13">
        <f>ROUND('[1]Total Labor Summary'!K9,2)+ROUND('[2]Labor Summary'!L10,2)</f>
        <v>0</v>
      </c>
      <c r="X24" s="20">
        <f t="shared" si="5"/>
        <v>0</v>
      </c>
      <c r="Y24" s="4" t="b">
        <f t="shared" si="6"/>
        <v>1</v>
      </c>
      <c r="Z24" s="181">
        <f t="shared" si="7"/>
        <v>0</v>
      </c>
    </row>
    <row r="25" spans="1:24" s="4" customFormat="1" ht="15" customHeight="1">
      <c r="A25" s="16">
        <v>11</v>
      </c>
      <c r="B25" s="8"/>
      <c r="C25" s="8"/>
      <c r="D25" s="18"/>
      <c r="E25" s="124"/>
      <c r="F25" s="124"/>
      <c r="G25" s="124"/>
      <c r="H25" s="124"/>
      <c r="I25" s="124"/>
      <c r="J25" s="124"/>
      <c r="K25" s="159"/>
      <c r="L25" s="124"/>
      <c r="M25" s="13"/>
      <c r="N25" s="16"/>
      <c r="O25" s="124"/>
      <c r="P25" s="124"/>
      <c r="Q25" s="124"/>
      <c r="R25" s="124"/>
      <c r="S25" s="126"/>
      <c r="T25" s="126"/>
      <c r="U25" s="126"/>
      <c r="V25" s="126"/>
      <c r="W25" s="126">
        <v>0</v>
      </c>
      <c r="X25" s="126"/>
    </row>
    <row r="26" spans="1:26" s="8" customFormat="1" ht="15" customHeight="1">
      <c r="A26" s="16">
        <v>12</v>
      </c>
      <c r="B26" s="4"/>
      <c r="C26" s="22" t="s">
        <v>54</v>
      </c>
      <c r="D26" s="16"/>
      <c r="E26" s="188">
        <f t="shared" si="8" ref="E26:J26">SUM(E17:E24)</f>
        <v>35430180.650000006</v>
      </c>
      <c r="F26" s="188">
        <f t="shared" si="8"/>
        <v>0</v>
      </c>
      <c r="G26" s="188">
        <f t="shared" si="8"/>
        <v>0</v>
      </c>
      <c r="H26" s="188">
        <f t="shared" si="8"/>
        <v>35430180.650000006</v>
      </c>
      <c r="I26" s="188">
        <f>SUM(I17:I24)</f>
        <v>3245434.0700000003</v>
      </c>
      <c r="J26" s="188">
        <f t="shared" si="8"/>
        <v>38675614.719999999</v>
      </c>
      <c r="K26" s="188"/>
      <c r="L26" s="188">
        <f>SUM(L17:L24)</f>
        <v>38675614.719999999</v>
      </c>
      <c r="M26" s="188"/>
      <c r="N26" s="188"/>
      <c r="O26" s="188">
        <f t="shared" si="9" ref="O26:X26">SUM(O17:O24)</f>
        <v>38045302.890000001</v>
      </c>
      <c r="P26" s="188">
        <f t="shared" si="9"/>
        <v>0</v>
      </c>
      <c r="Q26" s="188">
        <f t="shared" si="9"/>
        <v>0</v>
      </c>
      <c r="R26" s="188">
        <f t="shared" si="9"/>
        <v>38045302.890000001</v>
      </c>
      <c r="S26" s="188">
        <f t="shared" si="9"/>
        <v>630311.83000000007</v>
      </c>
      <c r="T26" s="188">
        <f t="shared" si="9"/>
        <v>0</v>
      </c>
      <c r="U26" s="188">
        <f t="shared" si="9"/>
        <v>630311.83000000007</v>
      </c>
      <c r="V26" s="188">
        <f t="shared" si="9"/>
        <v>0</v>
      </c>
      <c r="W26" s="188">
        <f t="shared" si="9"/>
        <v>0</v>
      </c>
      <c r="X26" s="188">
        <f t="shared" si="9"/>
        <v>38675614.719999999</v>
      </c>
      <c r="Y26" s="4" t="b">
        <f>ROUND(X26,2)=ROUND(L26,2)</f>
        <v>1</v>
      </c>
      <c r="Z26" s="181">
        <f>+L26-X26</f>
        <v>0</v>
      </c>
    </row>
    <row r="27" spans="1:23" s="4" customFormat="1" ht="15" customHeight="1">
      <c r="A27" s="16">
        <v>13</v>
      </c>
      <c r="B27" s="8"/>
      <c r="C27" s="18"/>
      <c r="D27" s="18"/>
      <c r="E27" s="13"/>
      <c r="F27" s="13"/>
      <c r="G27" s="13"/>
      <c r="H27" s="13"/>
      <c r="I27" s="13"/>
      <c r="J27" s="13"/>
      <c r="K27" s="159"/>
      <c r="L27" s="16"/>
      <c r="M27" s="13"/>
      <c r="N27" s="16"/>
      <c r="O27" s="13"/>
      <c r="P27" s="13"/>
      <c r="Q27" s="13"/>
      <c r="R27" s="13"/>
      <c r="S27" s="13"/>
      <c r="T27" s="13"/>
      <c r="U27" s="13"/>
      <c r="V27" s="13"/>
      <c r="W27" s="13">
        <v>0</v>
      </c>
    </row>
    <row r="28" spans="1:23" s="8" customFormat="1" ht="15" customHeight="1">
      <c r="A28" s="16">
        <v>14</v>
      </c>
      <c r="C28" s="15" t="s">
        <v>229</v>
      </c>
      <c r="D28" s="18" t="s">
        <v>307</v>
      </c>
      <c r="E28" s="19"/>
      <c r="F28" s="19"/>
      <c r="G28" s="19"/>
      <c r="H28" s="19"/>
      <c r="I28" s="19"/>
      <c r="J28" s="19"/>
      <c r="K28" s="160"/>
      <c r="L28" s="18"/>
      <c r="M28" s="19"/>
      <c r="N28" s="58"/>
      <c r="O28" s="19"/>
      <c r="P28" s="19"/>
      <c r="Q28" s="19"/>
      <c r="R28" s="19"/>
      <c r="S28" s="19"/>
      <c r="T28" s="19"/>
      <c r="U28" s="19"/>
      <c r="V28" s="19"/>
      <c r="W28" s="19">
        <v>0</v>
      </c>
    </row>
    <row r="29" spans="1:26" s="4" customFormat="1" ht="15" customHeight="1">
      <c r="A29" s="16">
        <v>15</v>
      </c>
      <c r="B29" s="4" t="s">
        <v>238</v>
      </c>
      <c r="C29" s="4" t="s">
        <v>139</v>
      </c>
      <c r="D29" s="16"/>
      <c r="E29" s="156">
        <v>554439.06000000006</v>
      </c>
      <c r="F29" s="156">
        <v>0</v>
      </c>
      <c r="G29" s="156">
        <v>0</v>
      </c>
      <c r="H29" s="156">
        <f t="shared" si="10" ref="H29:H34">+E29-F29+G29</f>
        <v>554439.06000000006</v>
      </c>
      <c r="I29" s="156">
        <f>+'[2]Labor Summary'!N15</f>
        <v>0</v>
      </c>
      <c r="J29" s="156">
        <f t="shared" si="11" ref="J29:J34">+H29+I29</f>
        <v>554439.06000000006</v>
      </c>
      <c r="K29" s="159">
        <v>1</v>
      </c>
      <c r="L29" s="156">
        <f t="shared" si="12" ref="L29:L34">+J29*K29</f>
        <v>554439.06000000006</v>
      </c>
      <c r="M29" s="13"/>
      <c r="N29" s="16"/>
      <c r="O29" s="156">
        <f>ROUND('[1]Total Labor Summary'!C12,2)+ROUND('[2]Labor Summary'!D13,2)</f>
        <v>468645.34000000003</v>
      </c>
      <c r="P29" s="156">
        <f>ROUND('[1]Total Labor Summary'!D12,2)+ROUND('[2]Labor Summary'!E13,2)</f>
        <v>0</v>
      </c>
      <c r="Q29" s="156">
        <f>ROUND('[1]Total Labor Summary'!E12,2)+ROUND('[2]Labor Summary'!F13,2)</f>
        <v>0</v>
      </c>
      <c r="R29" s="156">
        <f t="shared" si="13" ref="R29">SUM(O29:Q29)</f>
        <v>468645.34000000003</v>
      </c>
      <c r="S29" s="156">
        <f>ROUND('[1]Total Labor Summary'!G12,2)+ROUND('[2]Labor Summary'!H13,2)</f>
        <v>85793.720000000001</v>
      </c>
      <c r="T29" s="156">
        <f>ROUND('[1]Total Labor Summary'!H12,2)+ROUND('[2]Labor Summary'!I13,2)</f>
        <v>0</v>
      </c>
      <c r="U29" s="156">
        <f t="shared" si="14" ref="U29">SUM(S29:T29)</f>
        <v>85793.720000000001</v>
      </c>
      <c r="V29" s="156">
        <f>ROUND('[1]Total Labor Summary'!J12,2)+ROUND('[2]Labor Summary'!K13,2)</f>
        <v>0</v>
      </c>
      <c r="W29" s="156">
        <f>ROUND('[1]Total Labor Summary'!K12,2)+ROUND('[2]Labor Summary'!L13,2)</f>
        <v>0</v>
      </c>
      <c r="X29" s="156">
        <f t="shared" si="15" ref="X29:X34">+R29+U29+V29+W29</f>
        <v>554439.06000000006</v>
      </c>
      <c r="Y29" s="4" t="b">
        <f t="shared" si="16" ref="Y29:Y34">ROUND(X29,2)=ROUND(L29,2)</f>
        <v>1</v>
      </c>
      <c r="Z29" s="181">
        <f t="shared" si="17" ref="Z29:Z34">+L29-X29</f>
        <v>0</v>
      </c>
    </row>
    <row r="30" spans="1:26" s="4" customFormat="1" ht="15" customHeight="1">
      <c r="A30" s="16">
        <v>16</v>
      </c>
      <c r="B30" s="4" t="s">
        <v>239</v>
      </c>
      <c r="C30" s="4" t="s">
        <v>140</v>
      </c>
      <c r="D30" s="16"/>
      <c r="E30" s="13">
        <v>0</v>
      </c>
      <c r="F30" s="13">
        <v>0</v>
      </c>
      <c r="G30" s="13">
        <v>0</v>
      </c>
      <c r="H30" s="13">
        <f t="shared" si="10"/>
        <v>0</v>
      </c>
      <c r="I30" s="13">
        <f>+'[2]Labor Summary'!N16</f>
        <v>0</v>
      </c>
      <c r="J30" s="13">
        <f t="shared" si="11"/>
        <v>0</v>
      </c>
      <c r="K30" s="159">
        <v>1</v>
      </c>
      <c r="L30" s="104">
        <f t="shared" si="12"/>
        <v>0</v>
      </c>
      <c r="M30" s="13"/>
      <c r="N30" s="16"/>
      <c r="O30" s="13">
        <f>ROUND('[1]Total Labor Summary'!C13,2)+ROUND('[2]Labor Summary'!D14,2)</f>
        <v>0</v>
      </c>
      <c r="P30" s="13">
        <f>ROUND('[1]Total Labor Summary'!D13,2)+ROUND('[2]Labor Summary'!E14,2)</f>
        <v>0</v>
      </c>
      <c r="Q30" s="13">
        <f>ROUND('[1]Total Labor Summary'!E13,2)+ROUND('[2]Labor Summary'!F14,2)</f>
        <v>0</v>
      </c>
      <c r="R30" s="13">
        <f t="shared" si="18" ref="R30:R34">SUM(O30:Q30)</f>
        <v>0</v>
      </c>
      <c r="S30" s="13">
        <f>ROUND('[1]Total Labor Summary'!G13,2)+ROUND('[2]Labor Summary'!H14,2)</f>
        <v>0</v>
      </c>
      <c r="T30" s="13">
        <f>ROUND('[1]Total Labor Summary'!H13,2)+ROUND('[2]Labor Summary'!I14,2)</f>
        <v>0</v>
      </c>
      <c r="U30" s="13">
        <f t="shared" si="19" ref="U30:U34">SUM(S30:T30)</f>
        <v>0</v>
      </c>
      <c r="V30" s="13">
        <f>ROUND('[1]Total Labor Summary'!J13,2)+ROUND('[2]Labor Summary'!K14,2)</f>
        <v>0</v>
      </c>
      <c r="W30" s="13">
        <f>ROUND('[1]Total Labor Summary'!K13,2)+ROUND('[2]Labor Summary'!L14,2)</f>
        <v>0</v>
      </c>
      <c r="X30" s="20">
        <f t="shared" si="15"/>
        <v>0</v>
      </c>
      <c r="Y30" s="4" t="b">
        <f t="shared" si="16"/>
        <v>1</v>
      </c>
      <c r="Z30" s="181">
        <f t="shared" si="17"/>
        <v>0</v>
      </c>
    </row>
    <row r="31" spans="1:26" s="4" customFormat="1" ht="15" customHeight="1">
      <c r="A31" s="16">
        <v>17</v>
      </c>
      <c r="B31" s="4" t="s">
        <v>240</v>
      </c>
      <c r="C31" s="4" t="s">
        <v>381</v>
      </c>
      <c r="D31" s="16"/>
      <c r="E31" s="13">
        <v>3150191.4500000016</v>
      </c>
      <c r="F31" s="13">
        <v>0</v>
      </c>
      <c r="G31" s="13">
        <v>0</v>
      </c>
      <c r="H31" s="13">
        <f t="shared" si="10"/>
        <v>3150191.4500000016</v>
      </c>
      <c r="I31" s="13">
        <f>+'[2]Labor Summary'!N17</f>
        <v>0</v>
      </c>
      <c r="J31" s="13">
        <f t="shared" si="11"/>
        <v>3150191.4500000016</v>
      </c>
      <c r="K31" s="159">
        <v>1</v>
      </c>
      <c r="L31" s="104">
        <f t="shared" si="12"/>
        <v>3150191.4500000016</v>
      </c>
      <c r="M31" s="13"/>
      <c r="N31" s="16"/>
      <c r="O31" s="13">
        <f>ROUND('[1]Total Labor Summary'!C14,2)+ROUND('[2]Labor Summary'!D15,2)</f>
        <v>3079542.52</v>
      </c>
      <c r="P31" s="13">
        <f>ROUND('[1]Total Labor Summary'!D14,2)+ROUND('[2]Labor Summary'!E15,2)</f>
        <v>0</v>
      </c>
      <c r="Q31" s="13">
        <f>ROUND('[1]Total Labor Summary'!E14,2)+ROUND('[2]Labor Summary'!F15,2)</f>
        <v>0</v>
      </c>
      <c r="R31" s="13">
        <f t="shared" si="18"/>
        <v>3079542.52</v>
      </c>
      <c r="S31" s="13">
        <f>ROUND('[1]Total Labor Summary'!G14,2)+ROUND('[2]Labor Summary'!H15,2)</f>
        <v>70648.929999999993</v>
      </c>
      <c r="T31" s="13">
        <f>ROUND('[1]Total Labor Summary'!H14,2)+ROUND('[2]Labor Summary'!I15,2)</f>
        <v>0</v>
      </c>
      <c r="U31" s="13">
        <f t="shared" si="19"/>
        <v>70648.929999999993</v>
      </c>
      <c r="V31" s="13">
        <f>ROUND('[1]Total Labor Summary'!J14,2)+ROUND('[2]Labor Summary'!K15,2)</f>
        <v>0</v>
      </c>
      <c r="W31" s="13">
        <f>ROUND('[1]Total Labor Summary'!K14,2)+ROUND('[2]Labor Summary'!L15,2)</f>
        <v>0</v>
      </c>
      <c r="X31" s="20">
        <f t="shared" si="15"/>
        <v>3150191.4500000002</v>
      </c>
      <c r="Y31" s="4" t="b">
        <f t="shared" si="16"/>
        <v>1</v>
      </c>
      <c r="Z31" s="181">
        <f t="shared" si="17"/>
        <v>0</v>
      </c>
    </row>
    <row r="32" spans="1:26" s="4" customFormat="1" ht="15" customHeight="1">
      <c r="A32" s="16">
        <v>18</v>
      </c>
      <c r="B32" s="4" t="s">
        <v>241</v>
      </c>
      <c r="C32" s="4" t="s">
        <v>382</v>
      </c>
      <c r="D32" s="16"/>
      <c r="E32" s="13">
        <v>2767213.0400000038</v>
      </c>
      <c r="F32" s="13">
        <v>0</v>
      </c>
      <c r="G32" s="13">
        <v>0</v>
      </c>
      <c r="H32" s="13">
        <f t="shared" si="10"/>
        <v>2767213.0400000038</v>
      </c>
      <c r="I32" s="13">
        <f>+'[2]Labor Summary'!N18</f>
        <v>0</v>
      </c>
      <c r="J32" s="13">
        <f t="shared" si="11"/>
        <v>2767213.0400000038</v>
      </c>
      <c r="K32" s="159">
        <v>1</v>
      </c>
      <c r="L32" s="104">
        <f t="shared" si="12"/>
        <v>2767213.0400000038</v>
      </c>
      <c r="M32" s="13"/>
      <c r="N32" s="16"/>
      <c r="O32" s="13">
        <f>ROUND('[1]Total Labor Summary'!C15,2)+ROUND('[2]Labor Summary'!D16,2)</f>
        <v>2762976.1299999999</v>
      </c>
      <c r="P32" s="13">
        <f>ROUND('[1]Total Labor Summary'!D15,2)+ROUND('[2]Labor Summary'!E16,2)</f>
        <v>0</v>
      </c>
      <c r="Q32" s="13">
        <f>ROUND('[1]Total Labor Summary'!E15,2)+ROUND('[2]Labor Summary'!F16,2)</f>
        <v>0</v>
      </c>
      <c r="R32" s="13">
        <f t="shared" si="18"/>
        <v>2762976.1299999999</v>
      </c>
      <c r="S32" s="13">
        <f>ROUND('[1]Total Labor Summary'!G15,2)+ROUND('[2]Labor Summary'!H16,2)</f>
        <v>4236.9099999999999</v>
      </c>
      <c r="T32" s="13">
        <f>ROUND('[1]Total Labor Summary'!H15,2)+ROUND('[2]Labor Summary'!I16,2)</f>
        <v>0</v>
      </c>
      <c r="U32" s="13">
        <f t="shared" si="19"/>
        <v>4236.9099999999999</v>
      </c>
      <c r="V32" s="13">
        <f>ROUND('[1]Total Labor Summary'!J15,2)+ROUND('[2]Labor Summary'!K16,2)</f>
        <v>0</v>
      </c>
      <c r="W32" s="13">
        <f>ROUND('[1]Total Labor Summary'!K15,2)+ROUND('[2]Labor Summary'!L16,2)</f>
        <v>0</v>
      </c>
      <c r="X32" s="20">
        <f t="shared" si="15"/>
        <v>2767213.04</v>
      </c>
      <c r="Y32" s="4" t="b">
        <f t="shared" si="16"/>
        <v>1</v>
      </c>
      <c r="Z32" s="181">
        <f t="shared" si="17"/>
        <v>3.7252902984619141E-09</v>
      </c>
    </row>
    <row r="33" spans="1:26" s="4" customFormat="1" ht="15" customHeight="1">
      <c r="A33" s="16">
        <v>19</v>
      </c>
      <c r="B33" s="4" t="s">
        <v>242</v>
      </c>
      <c r="C33" s="4" t="s">
        <v>383</v>
      </c>
      <c r="D33" s="16"/>
      <c r="E33" s="13">
        <v>0</v>
      </c>
      <c r="F33" s="13">
        <v>0</v>
      </c>
      <c r="G33" s="13">
        <v>0</v>
      </c>
      <c r="H33" s="13">
        <f t="shared" si="10"/>
        <v>0</v>
      </c>
      <c r="I33" s="13">
        <f>+'[2]Labor Summary'!N19</f>
        <v>0</v>
      </c>
      <c r="J33" s="13">
        <f t="shared" si="11"/>
        <v>0</v>
      </c>
      <c r="K33" s="159">
        <v>1</v>
      </c>
      <c r="L33" s="104">
        <f t="shared" si="12"/>
        <v>0</v>
      </c>
      <c r="M33" s="13"/>
      <c r="N33" s="16"/>
      <c r="O33" s="13">
        <f>ROUND('[1]Total Labor Summary'!C16,2)+ROUND('[2]Labor Summary'!D17,2)</f>
        <v>0</v>
      </c>
      <c r="P33" s="13">
        <f>ROUND('[1]Total Labor Summary'!D16,2)+ROUND('[2]Labor Summary'!E17,2)</f>
        <v>0</v>
      </c>
      <c r="Q33" s="13">
        <f>ROUND('[1]Total Labor Summary'!E16,2)+ROUND('[2]Labor Summary'!F17,2)</f>
        <v>0</v>
      </c>
      <c r="R33" s="13">
        <f t="shared" si="18"/>
        <v>0</v>
      </c>
      <c r="S33" s="13">
        <f>ROUND('[1]Total Labor Summary'!G16,2)+ROUND('[2]Labor Summary'!H17,2)</f>
        <v>0</v>
      </c>
      <c r="T33" s="13">
        <f>ROUND('[1]Total Labor Summary'!H16,2)+ROUND('[2]Labor Summary'!I17,2)</f>
        <v>0</v>
      </c>
      <c r="U33" s="13">
        <f t="shared" si="19"/>
        <v>0</v>
      </c>
      <c r="V33" s="13">
        <f>ROUND('[1]Total Labor Summary'!J16,2)+ROUND('[2]Labor Summary'!K17,2)</f>
        <v>0</v>
      </c>
      <c r="W33" s="13">
        <f>ROUND('[1]Total Labor Summary'!K16,2)+ROUND('[2]Labor Summary'!L17,2)</f>
        <v>0</v>
      </c>
      <c r="X33" s="20">
        <f t="shared" si="15"/>
        <v>0</v>
      </c>
      <c r="Y33" s="4" t="b">
        <f t="shared" si="16"/>
        <v>1</v>
      </c>
      <c r="Z33" s="181">
        <f t="shared" si="17"/>
        <v>0</v>
      </c>
    </row>
    <row r="34" spans="1:26" s="4" customFormat="1" ht="15" customHeight="1">
      <c r="A34" s="16">
        <v>20</v>
      </c>
      <c r="B34" s="4" t="s">
        <v>243</v>
      </c>
      <c r="C34" s="4" t="s">
        <v>141</v>
      </c>
      <c r="D34" s="16"/>
      <c r="E34" s="13">
        <v>18773.200000000001</v>
      </c>
      <c r="F34" s="13">
        <v>0</v>
      </c>
      <c r="G34" s="13">
        <v>0</v>
      </c>
      <c r="H34" s="13">
        <f t="shared" si="10"/>
        <v>18773.200000000001</v>
      </c>
      <c r="I34" s="13">
        <f>+'[2]Labor Summary'!N20</f>
        <v>0</v>
      </c>
      <c r="J34" s="13">
        <f t="shared" si="11"/>
        <v>18773.200000000001</v>
      </c>
      <c r="K34" s="159">
        <v>1</v>
      </c>
      <c r="L34" s="104">
        <f t="shared" si="12"/>
        <v>18773.200000000001</v>
      </c>
      <c r="M34" s="13"/>
      <c r="N34" s="16"/>
      <c r="O34" s="13">
        <f>ROUND('[1]Total Labor Summary'!C17,2)+ROUND('[2]Labor Summary'!D18,2)</f>
        <v>17473.259999999998</v>
      </c>
      <c r="P34" s="13">
        <f>ROUND('[1]Total Labor Summary'!D17,2)+ROUND('[2]Labor Summary'!E18,2)</f>
        <v>0</v>
      </c>
      <c r="Q34" s="13">
        <f>ROUND('[1]Total Labor Summary'!E17,2)+ROUND('[2]Labor Summary'!F18,2)</f>
        <v>0</v>
      </c>
      <c r="R34" s="13">
        <f t="shared" si="18"/>
        <v>17473.259999999998</v>
      </c>
      <c r="S34" s="13">
        <f>ROUND('[1]Total Labor Summary'!G17,2)+ROUND('[2]Labor Summary'!H18,2)</f>
        <v>1299.9400000000001</v>
      </c>
      <c r="T34" s="13">
        <f>ROUND('[1]Total Labor Summary'!H17,2)+ROUND('[2]Labor Summary'!I18,2)</f>
        <v>0</v>
      </c>
      <c r="U34" s="13">
        <f t="shared" si="19"/>
        <v>1299.9400000000001</v>
      </c>
      <c r="V34" s="13">
        <f>ROUND('[1]Total Labor Summary'!J17,2)+ROUND('[2]Labor Summary'!K18,2)</f>
        <v>0</v>
      </c>
      <c r="W34" s="13">
        <f>ROUND('[1]Total Labor Summary'!K17,2)+ROUND('[2]Labor Summary'!L18,2)</f>
        <v>0</v>
      </c>
      <c r="X34" s="20">
        <f t="shared" si="15"/>
        <v>18773.199999999997</v>
      </c>
      <c r="Y34" s="4" t="b">
        <f t="shared" si="16"/>
        <v>1</v>
      </c>
      <c r="Z34" s="181">
        <f t="shared" si="17"/>
        <v>0</v>
      </c>
    </row>
    <row r="35" spans="1:24" s="4" customFormat="1" ht="15" customHeight="1">
      <c r="A35" s="16">
        <v>21</v>
      </c>
      <c r="D35" s="16"/>
      <c r="E35" s="124"/>
      <c r="F35" s="124"/>
      <c r="G35" s="124"/>
      <c r="H35" s="124"/>
      <c r="I35" s="124"/>
      <c r="J35" s="124"/>
      <c r="K35" s="159"/>
      <c r="L35" s="124"/>
      <c r="M35" s="13"/>
      <c r="N35" s="16"/>
      <c r="O35" s="124"/>
      <c r="P35" s="124"/>
      <c r="Q35" s="124"/>
      <c r="R35" s="124"/>
      <c r="S35" s="126"/>
      <c r="T35" s="126"/>
      <c r="U35" s="126"/>
      <c r="V35" s="126"/>
      <c r="W35" s="126">
        <v>0</v>
      </c>
      <c r="X35" s="126"/>
    </row>
    <row r="36" spans="1:26" s="8" customFormat="1" ht="15" customHeight="1">
      <c r="A36" s="16">
        <v>22</v>
      </c>
      <c r="B36" s="4"/>
      <c r="C36" s="22" t="s">
        <v>55</v>
      </c>
      <c r="D36" s="16"/>
      <c r="E36" s="188">
        <f t="shared" si="20" ref="E36:J36">SUM(E29:E34)</f>
        <v>6490616.7500000056</v>
      </c>
      <c r="F36" s="188">
        <f t="shared" si="20"/>
        <v>0</v>
      </c>
      <c r="G36" s="188">
        <f t="shared" si="20"/>
        <v>0</v>
      </c>
      <c r="H36" s="188">
        <f t="shared" si="20"/>
        <v>6490616.7500000056</v>
      </c>
      <c r="I36" s="188">
        <f t="shared" si="20"/>
        <v>0</v>
      </c>
      <c r="J36" s="188">
        <f t="shared" si="20"/>
        <v>6490616.7500000056</v>
      </c>
      <c r="K36" s="188"/>
      <c r="L36" s="188">
        <f>SUM(L29:L34)</f>
        <v>6490616.7500000056</v>
      </c>
      <c r="M36" s="188"/>
      <c r="N36" s="188"/>
      <c r="O36" s="188">
        <f t="shared" si="21" ref="O36">SUM(O29:O34)</f>
        <v>6328637.25</v>
      </c>
      <c r="P36" s="188">
        <f t="shared" si="22" ref="P36:X36">SUM(P29:P34)</f>
        <v>0</v>
      </c>
      <c r="Q36" s="188">
        <f t="shared" si="22"/>
        <v>0</v>
      </c>
      <c r="R36" s="188">
        <f t="shared" si="22"/>
        <v>6328637.25</v>
      </c>
      <c r="S36" s="188">
        <f t="shared" si="22"/>
        <v>161979.5</v>
      </c>
      <c r="T36" s="188">
        <f t="shared" si="22"/>
        <v>0</v>
      </c>
      <c r="U36" s="188">
        <f t="shared" si="22"/>
        <v>161979.5</v>
      </c>
      <c r="V36" s="188">
        <f t="shared" si="22"/>
        <v>0</v>
      </c>
      <c r="W36" s="188">
        <f t="shared" si="22"/>
        <v>0</v>
      </c>
      <c r="X36" s="188">
        <f t="shared" si="22"/>
        <v>6490616.7500000009</v>
      </c>
      <c r="Y36" s="4" t="b">
        <f>ROUND(X36,2)=ROUND(L36,2)</f>
        <v>1</v>
      </c>
      <c r="Z36" s="181">
        <f>+L36-X36</f>
        <v>0</v>
      </c>
    </row>
    <row r="37" spans="1:24" s="4" customFormat="1" ht="15" customHeight="1">
      <c r="A37" s="16">
        <v>23</v>
      </c>
      <c r="B37" s="8"/>
      <c r="C37" s="22"/>
      <c r="D37" s="18"/>
      <c r="E37" s="13"/>
      <c r="F37" s="13"/>
      <c r="G37" s="13"/>
      <c r="H37" s="13"/>
      <c r="I37" s="13"/>
      <c r="J37" s="13"/>
      <c r="K37" s="159"/>
      <c r="L37" s="16"/>
      <c r="M37" s="13"/>
      <c r="N37" s="16"/>
      <c r="O37" s="13"/>
      <c r="P37" s="13"/>
      <c r="Q37" s="13"/>
      <c r="R37" s="13"/>
      <c r="S37" s="13"/>
      <c r="T37" s="13"/>
      <c r="U37" s="13"/>
      <c r="V37" s="13"/>
      <c r="W37" s="13"/>
      <c r="X37" s="13"/>
    </row>
    <row r="38" spans="1:27" s="8" customFormat="1" ht="15" customHeight="1">
      <c r="A38" s="16">
        <v>24</v>
      </c>
      <c r="B38" s="8" t="s">
        <v>123</v>
      </c>
      <c r="D38" s="18" t="s">
        <v>307</v>
      </c>
      <c r="E38" s="188">
        <f t="shared" si="23" ref="E38:J38">+E26+E36</f>
        <v>41920797.400000013</v>
      </c>
      <c r="F38" s="188">
        <f t="shared" si="23"/>
        <v>0</v>
      </c>
      <c r="G38" s="188">
        <f t="shared" si="23"/>
        <v>0</v>
      </c>
      <c r="H38" s="188">
        <f t="shared" si="23"/>
        <v>41920797.400000013</v>
      </c>
      <c r="I38" s="188">
        <f t="shared" si="23"/>
        <v>3245434.0700000003</v>
      </c>
      <c r="J38" s="188">
        <f t="shared" si="23"/>
        <v>45166231.470000006</v>
      </c>
      <c r="K38" s="188"/>
      <c r="L38" s="188">
        <f>+L26+L36</f>
        <v>45166231.470000006</v>
      </c>
      <c r="M38" s="188"/>
      <c r="N38" s="188"/>
      <c r="O38" s="188">
        <f t="shared" si="24" ref="O38">+O26+O36</f>
        <v>44373940.140000001</v>
      </c>
      <c r="P38" s="188">
        <f t="shared" si="25" ref="P38:X38">+P26+P36</f>
        <v>0</v>
      </c>
      <c r="Q38" s="188">
        <f t="shared" si="25"/>
        <v>0</v>
      </c>
      <c r="R38" s="188">
        <f t="shared" si="25"/>
        <v>44373940.140000001</v>
      </c>
      <c r="S38" s="188">
        <f t="shared" si="25"/>
        <v>792291.33000000007</v>
      </c>
      <c r="T38" s="188">
        <f t="shared" si="25"/>
        <v>0</v>
      </c>
      <c r="U38" s="188">
        <f t="shared" si="25"/>
        <v>792291.33000000007</v>
      </c>
      <c r="V38" s="188">
        <f t="shared" si="25"/>
        <v>0</v>
      </c>
      <c r="W38" s="188">
        <f t="shared" si="25"/>
        <v>0</v>
      </c>
      <c r="X38" s="188">
        <f t="shared" si="25"/>
        <v>45166231.469999999</v>
      </c>
      <c r="Y38" s="4" t="b">
        <f>ROUND(X38,2)=ROUND(L38,2)</f>
        <v>1</v>
      </c>
      <c r="Z38" s="181">
        <f>+L38-X38</f>
        <v>0</v>
      </c>
      <c r="AA38" s="322">
        <v>0.14909926157742481</v>
      </c>
    </row>
    <row r="39" spans="1:23" s="4" customFormat="1" ht="15" customHeight="1">
      <c r="A39" s="16">
        <v>25</v>
      </c>
      <c r="B39" s="8"/>
      <c r="C39" s="8"/>
      <c r="D39" s="18"/>
      <c r="E39" s="13"/>
      <c r="F39" s="13"/>
      <c r="G39" s="13"/>
      <c r="H39" s="13"/>
      <c r="I39" s="13"/>
      <c r="J39" s="13"/>
      <c r="K39" s="159"/>
      <c r="L39" s="16"/>
      <c r="M39" s="13"/>
      <c r="N39" s="16"/>
      <c r="O39" s="13"/>
      <c r="P39" s="13"/>
      <c r="Q39" s="13"/>
      <c r="R39" s="13"/>
      <c r="S39" s="13"/>
      <c r="T39" s="13"/>
      <c r="U39" s="13"/>
      <c r="V39" s="13"/>
      <c r="W39" s="13">
        <v>0</v>
      </c>
    </row>
    <row r="40" spans="1:23" s="8" customFormat="1" ht="15" customHeight="1">
      <c r="A40" s="16">
        <v>26</v>
      </c>
      <c r="D40" s="18"/>
      <c r="E40" s="19"/>
      <c r="F40" s="19"/>
      <c r="G40" s="19"/>
      <c r="H40" s="19"/>
      <c r="I40" s="19"/>
      <c r="J40" s="19"/>
      <c r="K40" s="160"/>
      <c r="L40" s="25"/>
      <c r="M40" s="19"/>
      <c r="N40" s="18"/>
      <c r="O40" s="19"/>
      <c r="P40" s="19"/>
      <c r="Q40" s="19"/>
      <c r="R40" s="19"/>
      <c r="S40" s="19"/>
      <c r="T40" s="19"/>
      <c r="U40" s="19"/>
      <c r="V40" s="19"/>
      <c r="W40" s="19">
        <v>0</v>
      </c>
    </row>
    <row r="41" spans="1:23" s="8" customFormat="1" ht="15" customHeight="1">
      <c r="A41" s="16">
        <v>27</v>
      </c>
      <c r="B41" s="8" t="s">
        <v>35</v>
      </c>
      <c r="D41" s="18"/>
      <c r="E41" s="19"/>
      <c r="F41" s="19"/>
      <c r="G41" s="19"/>
      <c r="H41" s="19"/>
      <c r="I41" s="19"/>
      <c r="J41" s="19"/>
      <c r="K41" s="160"/>
      <c r="L41" s="25"/>
      <c r="M41" s="19"/>
      <c r="N41" s="58"/>
      <c r="O41" s="19"/>
      <c r="P41" s="19"/>
      <c r="Q41" s="19"/>
      <c r="R41" s="19"/>
      <c r="S41" s="19"/>
      <c r="T41" s="19"/>
      <c r="U41" s="19"/>
      <c r="V41" s="19"/>
      <c r="W41" s="19">
        <v>0</v>
      </c>
    </row>
    <row r="42" spans="1:24" s="4" customFormat="1" ht="15" customHeight="1">
      <c r="A42" s="16">
        <v>28</v>
      </c>
      <c r="B42" s="8"/>
      <c r="C42" s="15" t="s">
        <v>227</v>
      </c>
      <c r="D42" s="18" t="s">
        <v>307</v>
      </c>
      <c r="E42" s="13"/>
      <c r="F42" s="13"/>
      <c r="G42" s="13"/>
      <c r="H42" s="13"/>
      <c r="I42" s="13"/>
      <c r="J42" s="13"/>
      <c r="K42" s="159"/>
      <c r="L42" s="16"/>
      <c r="M42" s="13"/>
      <c r="N42" s="24"/>
      <c r="O42" s="13"/>
      <c r="P42" s="13"/>
      <c r="Q42" s="13"/>
      <c r="R42" s="13"/>
      <c r="S42" s="20"/>
      <c r="T42" s="20"/>
      <c r="U42" s="20"/>
      <c r="V42" s="20"/>
      <c r="W42" s="20">
        <v>0</v>
      </c>
      <c r="X42" s="20"/>
    </row>
    <row r="43" spans="1:26" s="4" customFormat="1" ht="15" customHeight="1">
      <c r="A43" s="16">
        <v>29</v>
      </c>
      <c r="B43" s="4" t="s">
        <v>250</v>
      </c>
      <c r="C43" s="4" t="s">
        <v>373</v>
      </c>
      <c r="D43" s="16"/>
      <c r="E43" s="156">
        <v>6034997.8799999971</v>
      </c>
      <c r="F43" s="156">
        <v>0</v>
      </c>
      <c r="G43" s="156">
        <v>0</v>
      </c>
      <c r="H43" s="156">
        <f t="shared" si="26" ref="H43:H52">+E43-F43+G43</f>
        <v>6034997.8799999971</v>
      </c>
      <c r="I43" s="156">
        <f>+'[2]Labor Summary'!N21</f>
        <v>0</v>
      </c>
      <c r="J43" s="156">
        <f t="shared" si="27" ref="J43:J52">+H43+I43</f>
        <v>6034997.8799999971</v>
      </c>
      <c r="K43" s="159">
        <v>1</v>
      </c>
      <c r="L43" s="156">
        <f t="shared" si="28" ref="L43:L52">+J43*K43</f>
        <v>6034997.8799999971</v>
      </c>
      <c r="M43" s="13"/>
      <c r="N43" s="16"/>
      <c r="O43" s="156">
        <f>ROUND('[1]Total Labor Summary'!C20,2)+ROUND('[2]Labor Summary'!D21,2)</f>
        <v>-2756</v>
      </c>
      <c r="P43" s="156">
        <f>ROUND('[1]Total Labor Summary'!D20,2)+ROUND('[2]Labor Summary'!E21,2)</f>
        <v>0</v>
      </c>
      <c r="Q43" s="156">
        <f>ROUND('[1]Total Labor Summary'!E20,2)+ROUND('[2]Labor Summary'!F21,2)</f>
        <v>0</v>
      </c>
      <c r="R43" s="156">
        <f t="shared" si="29" ref="R43">SUM(O43:Q43)</f>
        <v>-2756</v>
      </c>
      <c r="S43" s="156">
        <f>ROUND('[1]Total Labor Summary'!G20,2)+ROUND('[2]Labor Summary'!H21,2)</f>
        <v>5493450.9500000002</v>
      </c>
      <c r="T43" s="156">
        <f>ROUND('[1]Total Labor Summary'!H20,2)+ROUND('[2]Labor Summary'!I21,2)</f>
        <v>0</v>
      </c>
      <c r="U43" s="156">
        <f t="shared" si="30" ref="U43">SUM(S43:T43)</f>
        <v>5493450.9500000002</v>
      </c>
      <c r="V43" s="156">
        <f>ROUND('[1]Total Labor Summary'!J20,2)+ROUND('[2]Labor Summary'!K21,2)</f>
        <v>544302.93000000005</v>
      </c>
      <c r="W43" s="156">
        <f>ROUND('[1]Total Labor Summary'!K20,2)+ROUND('[2]Labor Summary'!L21,2)</f>
        <v>0</v>
      </c>
      <c r="X43" s="156">
        <f t="shared" si="31" ref="X43:X52">+R43+U43+V43+W43</f>
        <v>6034997.8799999999</v>
      </c>
      <c r="Y43" s="4" t="b">
        <f t="shared" si="32" ref="Y43:Y52">ROUND(X43,2)=ROUND(L43,2)</f>
        <v>1</v>
      </c>
      <c r="Z43" s="181">
        <f t="shared" si="33" ref="Z43:Z52">+L43-X43</f>
        <v>0</v>
      </c>
    </row>
    <row r="44" spans="1:26" s="4" customFormat="1" ht="15" customHeight="1">
      <c r="A44" s="16">
        <v>30</v>
      </c>
      <c r="B44" s="4" t="s">
        <v>244</v>
      </c>
      <c r="C44" s="4" t="s">
        <v>145</v>
      </c>
      <c r="D44" s="16"/>
      <c r="E44" s="13">
        <v>9544431.3299999982</v>
      </c>
      <c r="F44" s="13">
        <v>0</v>
      </c>
      <c r="G44" s="13">
        <v>0</v>
      </c>
      <c r="H44" s="13">
        <f t="shared" si="26"/>
        <v>9544431.3299999982</v>
      </c>
      <c r="I44" s="13">
        <f>+'[2]Labor Summary'!N22</f>
        <v>0</v>
      </c>
      <c r="J44" s="13">
        <f t="shared" si="27"/>
        <v>9544431.3299999982</v>
      </c>
      <c r="K44" s="159">
        <v>1</v>
      </c>
      <c r="L44" s="104">
        <f t="shared" si="28"/>
        <v>9544431.3299999982</v>
      </c>
      <c r="M44" s="13"/>
      <c r="N44" s="16"/>
      <c r="O44" s="13">
        <f>ROUND('[1]Total Labor Summary'!C21,2)+ROUND('[2]Labor Summary'!D22,2)</f>
        <v>0</v>
      </c>
      <c r="P44" s="13">
        <f>ROUND('[1]Total Labor Summary'!D21,2)+ROUND('[2]Labor Summary'!E22,2)</f>
        <v>0</v>
      </c>
      <c r="Q44" s="13">
        <f>ROUND('[1]Total Labor Summary'!E21,2)+ROUND('[2]Labor Summary'!F22,2)</f>
        <v>0</v>
      </c>
      <c r="R44" s="13">
        <f t="shared" si="34" ref="R44:R52">SUM(O44:Q44)</f>
        <v>0</v>
      </c>
      <c r="S44" s="13">
        <f>ROUND('[1]Total Labor Summary'!G21,2)+ROUND('[2]Labor Summary'!H22,2)</f>
        <v>9544431.3300000001</v>
      </c>
      <c r="T44" s="13">
        <f>ROUND('[1]Total Labor Summary'!H21,2)+ROUND('[2]Labor Summary'!I22,2)</f>
        <v>0</v>
      </c>
      <c r="U44" s="13">
        <f t="shared" si="35" ref="U44:U52">SUM(S44:T44)</f>
        <v>9544431.3300000001</v>
      </c>
      <c r="V44" s="13">
        <f>ROUND('[1]Total Labor Summary'!J21,2)+ROUND('[2]Labor Summary'!K22,2)</f>
        <v>0</v>
      </c>
      <c r="W44" s="13">
        <f>ROUND('[1]Total Labor Summary'!K21,2)+ROUND('[2]Labor Summary'!L22,2)</f>
        <v>0</v>
      </c>
      <c r="X44" s="20">
        <f t="shared" si="31"/>
        <v>9544431.3300000001</v>
      </c>
      <c r="Y44" s="4" t="b">
        <f t="shared" si="32"/>
        <v>1</v>
      </c>
      <c r="Z44" s="181">
        <f t="shared" si="33"/>
        <v>0</v>
      </c>
    </row>
    <row r="45" spans="1:26" s="4" customFormat="1" ht="15" customHeight="1">
      <c r="A45" s="16">
        <v>31</v>
      </c>
      <c r="B45" s="4" t="s">
        <v>245</v>
      </c>
      <c r="C45" s="4" t="s">
        <v>374</v>
      </c>
      <c r="D45" s="16"/>
      <c r="E45" s="13">
        <v>2875449.0900000012</v>
      </c>
      <c r="F45" s="13">
        <v>0</v>
      </c>
      <c r="G45" s="13">
        <v>0</v>
      </c>
      <c r="H45" s="13">
        <f t="shared" si="26"/>
        <v>2875449.0900000012</v>
      </c>
      <c r="I45" s="13">
        <f>+'[2]Labor Summary'!N23</f>
        <v>0</v>
      </c>
      <c r="J45" s="13">
        <f t="shared" si="27"/>
        <v>2875449.0900000012</v>
      </c>
      <c r="K45" s="159">
        <v>1</v>
      </c>
      <c r="L45" s="104">
        <f t="shared" si="28"/>
        <v>2875449.0900000012</v>
      </c>
      <c r="M45" s="13"/>
      <c r="N45" s="16"/>
      <c r="O45" s="13">
        <f>ROUND('[1]Total Labor Summary'!C22,2)+ROUND('[2]Labor Summary'!D23,2)</f>
        <v>61035.139999999999</v>
      </c>
      <c r="P45" s="13">
        <f>ROUND('[1]Total Labor Summary'!D22,2)+ROUND('[2]Labor Summary'!E23,2)</f>
        <v>0</v>
      </c>
      <c r="Q45" s="13">
        <f>ROUND('[1]Total Labor Summary'!E22,2)+ROUND('[2]Labor Summary'!F23,2)</f>
        <v>0</v>
      </c>
      <c r="R45" s="13">
        <f t="shared" si="34"/>
        <v>61035.139999999999</v>
      </c>
      <c r="S45" s="13">
        <f>ROUND('[1]Total Labor Summary'!G22,2)+ROUND('[2]Labor Summary'!H23,2)</f>
        <v>2814413.9500000002</v>
      </c>
      <c r="T45" s="13">
        <f>ROUND('[1]Total Labor Summary'!H22,2)+ROUND('[2]Labor Summary'!I23,2)</f>
        <v>0</v>
      </c>
      <c r="U45" s="13">
        <f t="shared" si="35"/>
        <v>2814413.9500000002</v>
      </c>
      <c r="V45" s="13">
        <f>ROUND('[1]Total Labor Summary'!J22,2)+ROUND('[2]Labor Summary'!K23,2)</f>
        <v>0</v>
      </c>
      <c r="W45" s="13">
        <f>ROUND('[1]Total Labor Summary'!K22,2)+ROUND('[2]Labor Summary'!L23,2)</f>
        <v>0</v>
      </c>
      <c r="X45" s="20">
        <f t="shared" si="31"/>
        <v>2875449.0900000003</v>
      </c>
      <c r="Y45" s="4" t="b">
        <f t="shared" si="32"/>
        <v>1</v>
      </c>
      <c r="Z45" s="181">
        <f t="shared" si="33"/>
        <v>0</v>
      </c>
    </row>
    <row r="46" spans="1:26" s="4" customFormat="1" ht="15" customHeight="1">
      <c r="A46" s="16">
        <v>32</v>
      </c>
      <c r="B46" s="4" t="s">
        <v>155</v>
      </c>
      <c r="C46" s="4" t="s">
        <v>375</v>
      </c>
      <c r="D46" s="16"/>
      <c r="E46" s="13">
        <v>1858780.6699999915</v>
      </c>
      <c r="F46" s="13">
        <v>0</v>
      </c>
      <c r="G46" s="13">
        <v>0</v>
      </c>
      <c r="H46" s="13">
        <f t="shared" si="26"/>
        <v>1858780.6699999915</v>
      </c>
      <c r="I46" s="13">
        <f>+'[2]Labor Summary'!N24</f>
        <v>0</v>
      </c>
      <c r="J46" s="13">
        <f t="shared" si="27"/>
        <v>1858780.6699999915</v>
      </c>
      <c r="K46" s="159">
        <v>1</v>
      </c>
      <c r="L46" s="104">
        <f t="shared" si="28"/>
        <v>1858780.6699999915</v>
      </c>
      <c r="M46" s="13"/>
      <c r="N46" s="16"/>
      <c r="O46" s="13">
        <f>ROUND('[1]Total Labor Summary'!C23,2)+ROUND('[2]Labor Summary'!D24,2)</f>
        <v>0</v>
      </c>
      <c r="P46" s="13">
        <f>ROUND('[1]Total Labor Summary'!D23,2)+ROUND('[2]Labor Summary'!E24,2)</f>
        <v>0</v>
      </c>
      <c r="Q46" s="13">
        <f>ROUND('[1]Total Labor Summary'!E23,2)+ROUND('[2]Labor Summary'!F24,2)</f>
        <v>0</v>
      </c>
      <c r="R46" s="13">
        <f t="shared" si="34"/>
        <v>0</v>
      </c>
      <c r="S46" s="13">
        <f>ROUND('[1]Total Labor Summary'!G23,2)+ROUND('[2]Labor Summary'!H24,2)</f>
        <v>1767468.3000000001</v>
      </c>
      <c r="T46" s="13">
        <f>ROUND('[1]Total Labor Summary'!H23,2)+ROUND('[2]Labor Summary'!I24,2)</f>
        <v>0</v>
      </c>
      <c r="U46" s="13">
        <f t="shared" si="35"/>
        <v>1767468.3000000001</v>
      </c>
      <c r="V46" s="13">
        <f>ROUND('[1]Total Labor Summary'!J23,2)+ROUND('[2]Labor Summary'!K24,2)</f>
        <v>91312.369999999995</v>
      </c>
      <c r="W46" s="13">
        <f>ROUND('[1]Total Labor Summary'!K23,2)+ROUND('[2]Labor Summary'!L24,2)</f>
        <v>0</v>
      </c>
      <c r="X46" s="20">
        <f t="shared" si="31"/>
        <v>1858780.6699999999</v>
      </c>
      <c r="Y46" s="4" t="b">
        <f t="shared" si="32"/>
        <v>1</v>
      </c>
      <c r="Z46" s="181">
        <f t="shared" si="33"/>
        <v>-8.3819031715393066E-09</v>
      </c>
    </row>
    <row r="47" spans="1:26" s="4" customFormat="1" ht="15" customHeight="1">
      <c r="A47" s="16">
        <v>33</v>
      </c>
      <c r="B47" s="4" t="s">
        <v>246</v>
      </c>
      <c r="C47" s="4" t="s">
        <v>376</v>
      </c>
      <c r="D47" s="16"/>
      <c r="E47" s="13">
        <v>2324067.6000000094</v>
      </c>
      <c r="F47" s="13">
        <v>0</v>
      </c>
      <c r="G47" s="13">
        <v>0</v>
      </c>
      <c r="H47" s="13">
        <f t="shared" si="26"/>
        <v>2324067.6000000094</v>
      </c>
      <c r="I47" s="13">
        <f>+'[2]Labor Summary'!N25</f>
        <v>0</v>
      </c>
      <c r="J47" s="13">
        <f t="shared" si="27"/>
        <v>2324067.6000000094</v>
      </c>
      <c r="K47" s="159">
        <v>1</v>
      </c>
      <c r="L47" s="104">
        <f t="shared" si="28"/>
        <v>2324067.6000000094</v>
      </c>
      <c r="M47" s="13"/>
      <c r="N47" s="16"/>
      <c r="O47" s="13">
        <f>ROUND('[1]Total Labor Summary'!C24,2)+ROUND('[2]Labor Summary'!D25,2)</f>
        <v>0</v>
      </c>
      <c r="P47" s="13">
        <f>ROUND('[1]Total Labor Summary'!D24,2)+ROUND('[2]Labor Summary'!E25,2)</f>
        <v>0</v>
      </c>
      <c r="Q47" s="13">
        <f>ROUND('[1]Total Labor Summary'!E24,2)+ROUND('[2]Labor Summary'!F25,2)</f>
        <v>0</v>
      </c>
      <c r="R47" s="13">
        <f t="shared" si="34"/>
        <v>0</v>
      </c>
      <c r="S47" s="13">
        <f>ROUND('[1]Total Labor Summary'!G24,2)+ROUND('[2]Labor Summary'!H25,2)</f>
        <v>2316833.3399999999</v>
      </c>
      <c r="T47" s="13">
        <f>ROUND('[1]Total Labor Summary'!H24,2)+ROUND('[2]Labor Summary'!I25,2)</f>
        <v>0</v>
      </c>
      <c r="U47" s="13">
        <f t="shared" si="35"/>
        <v>2316833.3399999999</v>
      </c>
      <c r="V47" s="13">
        <f>ROUND('[1]Total Labor Summary'!J24,2)+ROUND('[2]Labor Summary'!K25,2)</f>
        <v>7234.2600000000002</v>
      </c>
      <c r="W47" s="13">
        <f>ROUND('[1]Total Labor Summary'!K24,2)+ROUND('[2]Labor Summary'!L25,2)</f>
        <v>0</v>
      </c>
      <c r="X47" s="20">
        <f t="shared" si="31"/>
        <v>2324067.5999999996</v>
      </c>
      <c r="Y47" s="4" t="b">
        <f t="shared" si="32"/>
        <v>1</v>
      </c>
      <c r="Z47" s="181">
        <f t="shared" si="33"/>
        <v>9.7788870334625244E-09</v>
      </c>
    </row>
    <row r="48" spans="1:26" s="4" customFormat="1" ht="15" customHeight="1">
      <c r="A48" s="16">
        <v>34</v>
      </c>
      <c r="B48" s="4" t="s">
        <v>281</v>
      </c>
      <c r="C48" s="4" t="s">
        <v>142</v>
      </c>
      <c r="D48" s="16"/>
      <c r="E48" s="13">
        <v>0</v>
      </c>
      <c r="F48" s="13">
        <v>0</v>
      </c>
      <c r="G48" s="13">
        <v>0</v>
      </c>
      <c r="H48" s="13">
        <f t="shared" si="26"/>
        <v>0</v>
      </c>
      <c r="I48" s="13">
        <f>+'[2]Labor Summary'!N26</f>
        <v>0</v>
      </c>
      <c r="J48" s="13">
        <f t="shared" si="27"/>
        <v>0</v>
      </c>
      <c r="K48" s="159">
        <v>1</v>
      </c>
      <c r="L48" s="104">
        <f t="shared" si="28"/>
        <v>0</v>
      </c>
      <c r="M48" s="13"/>
      <c r="N48" s="16"/>
      <c r="O48" s="13">
        <f>ROUND('[1]Total Labor Summary'!C25,2)+ROUND('[2]Labor Summary'!D26,2)</f>
        <v>0</v>
      </c>
      <c r="P48" s="13">
        <f>ROUND('[1]Total Labor Summary'!D25,2)+ROUND('[2]Labor Summary'!E26,2)</f>
        <v>0</v>
      </c>
      <c r="Q48" s="13">
        <f>ROUND('[1]Total Labor Summary'!E25,2)+ROUND('[2]Labor Summary'!F26,2)</f>
        <v>0</v>
      </c>
      <c r="R48" s="13">
        <f t="shared" si="34"/>
        <v>0</v>
      </c>
      <c r="S48" s="13">
        <f>ROUND('[1]Total Labor Summary'!G25,2)+ROUND('[2]Labor Summary'!H26,2)</f>
        <v>0</v>
      </c>
      <c r="T48" s="13">
        <f>ROUND('[1]Total Labor Summary'!H25,2)+ROUND('[2]Labor Summary'!I26,2)</f>
        <v>0</v>
      </c>
      <c r="U48" s="13">
        <f t="shared" si="35"/>
        <v>0</v>
      </c>
      <c r="V48" s="13">
        <f>ROUND('[1]Total Labor Summary'!J25,2)+ROUND('[2]Labor Summary'!K26,2)</f>
        <v>0</v>
      </c>
      <c r="W48" s="13">
        <f>ROUND('[1]Total Labor Summary'!K25,2)+ROUND('[2]Labor Summary'!L26,2)</f>
        <v>0</v>
      </c>
      <c r="X48" s="20">
        <f t="shared" si="31"/>
        <v>0</v>
      </c>
      <c r="Y48" s="4" t="b">
        <f t="shared" si="32"/>
        <v>1</v>
      </c>
      <c r="Z48" s="181">
        <f t="shared" si="33"/>
        <v>0</v>
      </c>
    </row>
    <row r="49" spans="1:26" s="4" customFormat="1" ht="15" customHeight="1">
      <c r="A49" s="16">
        <v>35</v>
      </c>
      <c r="B49" s="4" t="s">
        <v>247</v>
      </c>
      <c r="C49" s="4" t="s">
        <v>144</v>
      </c>
      <c r="D49" s="16"/>
      <c r="E49" s="13">
        <v>7470971.8799999924</v>
      </c>
      <c r="F49" s="13">
        <v>0</v>
      </c>
      <c r="G49" s="13">
        <v>0</v>
      </c>
      <c r="H49" s="13">
        <f t="shared" si="26"/>
        <v>7470971.8799999924</v>
      </c>
      <c r="I49" s="13">
        <f>+'[2]Labor Summary'!N27</f>
        <v>0</v>
      </c>
      <c r="J49" s="13">
        <f t="shared" si="27"/>
        <v>7470971.8799999924</v>
      </c>
      <c r="K49" s="159">
        <v>1</v>
      </c>
      <c r="L49" s="104">
        <f t="shared" si="28"/>
        <v>7470971.8799999924</v>
      </c>
      <c r="M49" s="13"/>
      <c r="N49" s="16"/>
      <c r="O49" s="13">
        <f>ROUND('[1]Total Labor Summary'!C26,2)+ROUND('[2]Labor Summary'!D27,2)</f>
        <v>0</v>
      </c>
      <c r="P49" s="13">
        <f>ROUND('[1]Total Labor Summary'!D26,2)+ROUND('[2]Labor Summary'!E27,2)</f>
        <v>0</v>
      </c>
      <c r="Q49" s="13">
        <f>ROUND('[1]Total Labor Summary'!E26,2)+ROUND('[2]Labor Summary'!F27,2)</f>
        <v>0</v>
      </c>
      <c r="R49" s="13">
        <f t="shared" si="34"/>
        <v>0</v>
      </c>
      <c r="S49" s="13">
        <f>ROUND('[1]Total Labor Summary'!G26,2)+ROUND('[2]Labor Summary'!H27,2)</f>
        <v>0</v>
      </c>
      <c r="T49" s="13">
        <f>ROUND('[1]Total Labor Summary'!H26,2)+ROUND('[2]Labor Summary'!I27,2)</f>
        <v>0</v>
      </c>
      <c r="U49" s="13">
        <f t="shared" si="35"/>
        <v>0</v>
      </c>
      <c r="V49" s="13">
        <f>ROUND('[1]Total Labor Summary'!J26,2)+ROUND('[2]Labor Summary'!K27,2)</f>
        <v>7470971.8799999999</v>
      </c>
      <c r="W49" s="13">
        <f>ROUND('[1]Total Labor Summary'!K26,2)+ROUND('[2]Labor Summary'!L27,2)</f>
        <v>0</v>
      </c>
      <c r="X49" s="20">
        <f t="shared" si="31"/>
        <v>7470971.8799999999</v>
      </c>
      <c r="Y49" s="4" t="b">
        <f t="shared" si="32"/>
        <v>1</v>
      </c>
      <c r="Z49" s="181">
        <f t="shared" si="33"/>
        <v>-7.4505805969238281E-09</v>
      </c>
    </row>
    <row r="50" spans="1:26" s="4" customFormat="1" ht="15" customHeight="1">
      <c r="A50" s="16">
        <v>36</v>
      </c>
      <c r="B50" s="4" t="s">
        <v>248</v>
      </c>
      <c r="C50" s="4" t="s">
        <v>143</v>
      </c>
      <c r="D50" s="16"/>
      <c r="E50" s="13">
        <v>1273256.5399999998</v>
      </c>
      <c r="F50" s="13">
        <v>0</v>
      </c>
      <c r="G50" s="13">
        <v>0</v>
      </c>
      <c r="H50" s="13">
        <f t="shared" si="26"/>
        <v>1273256.5399999998</v>
      </c>
      <c r="I50" s="13">
        <f>+'[2]Labor Summary'!N28</f>
        <v>0</v>
      </c>
      <c r="J50" s="13">
        <f t="shared" si="27"/>
        <v>1273256.5399999998</v>
      </c>
      <c r="K50" s="159">
        <v>1</v>
      </c>
      <c r="L50" s="104">
        <f t="shared" si="28"/>
        <v>1273256.5399999998</v>
      </c>
      <c r="M50" s="13"/>
      <c r="N50" s="16"/>
      <c r="O50" s="13">
        <f>ROUND('[1]Total Labor Summary'!C27,2)+ROUND('[2]Labor Summary'!D28,2)</f>
        <v>0</v>
      </c>
      <c r="P50" s="13">
        <f>ROUND('[1]Total Labor Summary'!D27,2)+ROUND('[2]Labor Summary'!E28,2)</f>
        <v>0</v>
      </c>
      <c r="Q50" s="13">
        <f>ROUND('[1]Total Labor Summary'!E27,2)+ROUND('[2]Labor Summary'!F28,2)</f>
        <v>0</v>
      </c>
      <c r="R50" s="13">
        <f t="shared" si="34"/>
        <v>0</v>
      </c>
      <c r="S50" s="13">
        <f>ROUND('[1]Total Labor Summary'!G27,2)+ROUND('[2]Labor Summary'!H28,2)</f>
        <v>1272046.1499999999</v>
      </c>
      <c r="T50" s="13">
        <f>ROUND('[1]Total Labor Summary'!H27,2)+ROUND('[2]Labor Summary'!I28,2)</f>
        <v>0</v>
      </c>
      <c r="U50" s="13">
        <f t="shared" si="35"/>
        <v>1272046.1499999999</v>
      </c>
      <c r="V50" s="13">
        <f>ROUND('[1]Total Labor Summary'!J27,2)+ROUND('[2]Labor Summary'!K28,2)</f>
        <v>1210.3900000000001</v>
      </c>
      <c r="W50" s="13">
        <f>ROUND('[1]Total Labor Summary'!K27,2)+ROUND('[2]Labor Summary'!L28,2)</f>
        <v>0</v>
      </c>
      <c r="X50" s="20">
        <f t="shared" si="31"/>
        <v>1273256.5399999998</v>
      </c>
      <c r="Y50" s="4" t="b">
        <f t="shared" si="32"/>
        <v>1</v>
      </c>
      <c r="Z50" s="181">
        <f t="shared" si="33"/>
        <v>0</v>
      </c>
    </row>
    <row r="51" spans="1:26" s="8" customFormat="1" ht="15" customHeight="1">
      <c r="A51" s="16">
        <v>37</v>
      </c>
      <c r="B51" s="4" t="s">
        <v>251</v>
      </c>
      <c r="C51" s="4" t="s">
        <v>146</v>
      </c>
      <c r="D51" s="16"/>
      <c r="E51" s="13">
        <v>35501989.030000001</v>
      </c>
      <c r="F51" s="13">
        <v>0</v>
      </c>
      <c r="G51" s="13">
        <v>0</v>
      </c>
      <c r="H51" s="13">
        <f t="shared" si="26"/>
        <v>35501989.030000001</v>
      </c>
      <c r="I51" s="13">
        <f>+'[2]Labor Summary'!N29</f>
        <v>8021923.71</v>
      </c>
      <c r="J51" s="13">
        <f t="shared" si="27"/>
        <v>43523912.740000002</v>
      </c>
      <c r="K51" s="159">
        <v>1</v>
      </c>
      <c r="L51" s="104">
        <f t="shared" si="28"/>
        <v>43523912.740000002</v>
      </c>
      <c r="M51" s="19"/>
      <c r="N51" s="16"/>
      <c r="O51" s="13">
        <f>ROUND('[1]Total Labor Summary'!C28,2)+ROUND('[2]Labor Summary'!D29,2)</f>
        <v>0</v>
      </c>
      <c r="P51" s="13">
        <f>ROUND('[1]Total Labor Summary'!D28,2)+ROUND('[2]Labor Summary'!E29,2)</f>
        <v>0</v>
      </c>
      <c r="Q51" s="13">
        <f>ROUND('[1]Total Labor Summary'!E28,2)+ROUND('[2]Labor Summary'!F29,2)</f>
        <v>0</v>
      </c>
      <c r="R51" s="13">
        <f t="shared" si="34"/>
        <v>0</v>
      </c>
      <c r="S51" s="13">
        <f>ROUND('[1]Total Labor Summary'!G28,2)+ROUND('[2]Labor Summary'!H29,2)</f>
        <v>42023721.539999999</v>
      </c>
      <c r="T51" s="13">
        <f>ROUND('[1]Total Labor Summary'!H28,2)+ROUND('[2]Labor Summary'!I29,2)</f>
        <v>0</v>
      </c>
      <c r="U51" s="13">
        <f t="shared" si="35"/>
        <v>42023721.539999999</v>
      </c>
      <c r="V51" s="13">
        <f>ROUND('[1]Total Labor Summary'!J28,2)+ROUND('[2]Labor Summary'!K29,2)</f>
        <v>1499427.6499999999</v>
      </c>
      <c r="W51" s="13">
        <f>ROUND('[1]Total Labor Summary'!K28,2)+ROUND('[2]Labor Summary'!L29,2)</f>
        <v>763.54999999999995</v>
      </c>
      <c r="X51" s="20">
        <f t="shared" si="31"/>
        <v>43523912.739999995</v>
      </c>
      <c r="Y51" s="4" t="b">
        <f t="shared" si="32"/>
        <v>1</v>
      </c>
      <c r="Z51" s="181">
        <f t="shared" si="33"/>
        <v>0</v>
      </c>
    </row>
    <row r="52" spans="1:26" s="4" customFormat="1" ht="15" customHeight="1">
      <c r="A52" s="16">
        <v>38</v>
      </c>
      <c r="B52" s="4" t="s">
        <v>249</v>
      </c>
      <c r="C52" s="4" t="s">
        <v>228</v>
      </c>
      <c r="D52" s="16"/>
      <c r="E52" s="13">
        <v>0</v>
      </c>
      <c r="F52" s="13">
        <v>0</v>
      </c>
      <c r="G52" s="13">
        <v>0</v>
      </c>
      <c r="H52" s="13">
        <f t="shared" si="26"/>
        <v>0</v>
      </c>
      <c r="I52" s="13">
        <f>+'[2]Labor Summary'!N30</f>
        <v>0</v>
      </c>
      <c r="J52" s="13">
        <f t="shared" si="27"/>
        <v>0</v>
      </c>
      <c r="K52" s="159">
        <v>1</v>
      </c>
      <c r="L52" s="104">
        <f t="shared" si="28"/>
        <v>0</v>
      </c>
      <c r="M52" s="13"/>
      <c r="N52" s="16"/>
      <c r="O52" s="13">
        <f>ROUND('[1]Total Labor Summary'!C29,2)+ROUND('[2]Labor Summary'!D30,2)</f>
        <v>0</v>
      </c>
      <c r="P52" s="13">
        <f>ROUND('[1]Total Labor Summary'!D29,2)+ROUND('[2]Labor Summary'!E30,2)</f>
        <v>0</v>
      </c>
      <c r="Q52" s="13">
        <f>ROUND('[1]Total Labor Summary'!E29,2)+ROUND('[2]Labor Summary'!F30,2)</f>
        <v>0</v>
      </c>
      <c r="R52" s="13">
        <f t="shared" si="34"/>
        <v>0</v>
      </c>
      <c r="S52" s="13">
        <f>ROUND('[1]Total Labor Summary'!G29,2)+ROUND('[2]Labor Summary'!H30,2)</f>
        <v>0</v>
      </c>
      <c r="T52" s="13">
        <f>ROUND('[1]Total Labor Summary'!H29,2)+ROUND('[2]Labor Summary'!I30,2)</f>
        <v>0</v>
      </c>
      <c r="U52" s="13">
        <f t="shared" si="35"/>
        <v>0</v>
      </c>
      <c r="V52" s="13">
        <f>ROUND('[1]Total Labor Summary'!J29,2)+ROUND('[2]Labor Summary'!K30,2)</f>
        <v>0</v>
      </c>
      <c r="W52" s="13">
        <f>ROUND('[1]Total Labor Summary'!K29,2)+ROUND('[2]Labor Summary'!L30,2)</f>
        <v>0</v>
      </c>
      <c r="X52" s="20">
        <f t="shared" si="31"/>
        <v>0</v>
      </c>
      <c r="Y52" s="4" t="b">
        <f t="shared" si="32"/>
        <v>1</v>
      </c>
      <c r="Z52" s="181">
        <f t="shared" si="33"/>
        <v>0</v>
      </c>
    </row>
    <row r="53" spans="1:24" s="4" customFormat="1" ht="15" customHeight="1">
      <c r="A53" s="16">
        <v>39</v>
      </c>
      <c r="D53" s="13"/>
      <c r="E53" s="124"/>
      <c r="F53" s="124"/>
      <c r="G53" s="124"/>
      <c r="H53" s="124"/>
      <c r="I53" s="124"/>
      <c r="J53" s="124"/>
      <c r="K53" s="159"/>
      <c r="L53" s="124"/>
      <c r="M53" s="13"/>
      <c r="N53" s="24"/>
      <c r="O53" s="124"/>
      <c r="P53" s="124"/>
      <c r="Q53" s="124"/>
      <c r="R53" s="124"/>
      <c r="S53" s="124"/>
      <c r="T53" s="124"/>
      <c r="U53" s="124"/>
      <c r="V53" s="124"/>
      <c r="W53" s="124">
        <v>0</v>
      </c>
      <c r="X53" s="124"/>
    </row>
    <row r="54" spans="1:26" s="8" customFormat="1" ht="15" customHeight="1">
      <c r="A54" s="16">
        <v>40</v>
      </c>
      <c r="B54" s="4"/>
      <c r="C54" s="22" t="s">
        <v>56</v>
      </c>
      <c r="D54" s="16"/>
      <c r="E54" s="188">
        <f t="shared" si="36" ref="E54:J54">SUM(E43:E52)</f>
        <v>66883944.019999988</v>
      </c>
      <c r="F54" s="188">
        <f t="shared" si="36"/>
        <v>0</v>
      </c>
      <c r="G54" s="188">
        <f t="shared" si="36"/>
        <v>0</v>
      </c>
      <c r="H54" s="188">
        <f t="shared" si="36"/>
        <v>66883944.019999988</v>
      </c>
      <c r="I54" s="188">
        <f>SUM(I43:I52)</f>
        <v>8021923.71</v>
      </c>
      <c r="J54" s="188">
        <f t="shared" si="36"/>
        <v>74905867.729999989</v>
      </c>
      <c r="K54" s="188"/>
      <c r="L54" s="188">
        <f>SUM(L43:L52)</f>
        <v>74905867.729999989</v>
      </c>
      <c r="M54" s="188"/>
      <c r="N54" s="188"/>
      <c r="O54" s="188">
        <f t="shared" si="37" ref="O54:X54">SUM(O43:O52)</f>
        <v>58279.139999999999</v>
      </c>
      <c r="P54" s="188">
        <f t="shared" si="37"/>
        <v>0</v>
      </c>
      <c r="Q54" s="188">
        <f t="shared" si="37"/>
        <v>0</v>
      </c>
      <c r="R54" s="188">
        <f t="shared" si="37"/>
        <v>58279.139999999999</v>
      </c>
      <c r="S54" s="188">
        <f t="shared" si="37"/>
        <v>65232365.560000002</v>
      </c>
      <c r="T54" s="188">
        <f t="shared" si="37"/>
        <v>0</v>
      </c>
      <c r="U54" s="188">
        <f t="shared" si="37"/>
        <v>65232365.560000002</v>
      </c>
      <c r="V54" s="188">
        <f t="shared" si="37"/>
        <v>9614459.4799999986</v>
      </c>
      <c r="W54" s="188">
        <f t="shared" si="37"/>
        <v>763.54999999999995</v>
      </c>
      <c r="X54" s="188">
        <f t="shared" si="37"/>
        <v>74905867.729999989</v>
      </c>
      <c r="Y54" s="4" t="b">
        <f>ROUND(X54,2)=ROUND(L54,2)</f>
        <v>1</v>
      </c>
      <c r="Z54" s="181">
        <f>+L54-X54</f>
        <v>0</v>
      </c>
    </row>
    <row r="55" spans="1:24" s="4" customFormat="1" ht="15" customHeight="1">
      <c r="A55" s="16">
        <v>41</v>
      </c>
      <c r="B55" s="15"/>
      <c r="C55" s="8"/>
      <c r="D55" s="18"/>
      <c r="E55" s="13"/>
      <c r="F55" s="13"/>
      <c r="G55" s="13"/>
      <c r="H55" s="13"/>
      <c r="I55" s="13"/>
      <c r="J55" s="13"/>
      <c r="K55" s="159"/>
      <c r="L55" s="13"/>
      <c r="M55" s="13"/>
      <c r="N55" s="24"/>
      <c r="O55" s="13"/>
      <c r="P55" s="13"/>
      <c r="Q55" s="13"/>
      <c r="R55" s="13"/>
      <c r="S55" s="13"/>
      <c r="T55" s="13"/>
      <c r="U55" s="13"/>
      <c r="V55" s="13"/>
      <c r="W55" s="13">
        <v>0</v>
      </c>
      <c r="X55" s="13"/>
    </row>
    <row r="56" spans="1:24" s="8" customFormat="1" ht="15" customHeight="1">
      <c r="A56" s="16">
        <v>42</v>
      </c>
      <c r="C56" s="15" t="s">
        <v>229</v>
      </c>
      <c r="D56" s="18" t="s">
        <v>307</v>
      </c>
      <c r="E56" s="19"/>
      <c r="F56" s="19"/>
      <c r="G56" s="19"/>
      <c r="H56" s="19"/>
      <c r="I56" s="19"/>
      <c r="J56" s="19"/>
      <c r="K56" s="160"/>
      <c r="L56" s="19"/>
      <c r="M56" s="19"/>
      <c r="N56" s="25"/>
      <c r="O56" s="19"/>
      <c r="P56" s="19"/>
      <c r="Q56" s="19"/>
      <c r="R56" s="19"/>
      <c r="S56" s="19"/>
      <c r="T56" s="19"/>
      <c r="U56" s="19"/>
      <c r="V56" s="19"/>
      <c r="W56" s="19">
        <v>0</v>
      </c>
      <c r="X56" s="19"/>
    </row>
    <row r="57" spans="1:26" s="4" customFormat="1" ht="15" customHeight="1">
      <c r="A57" s="16">
        <v>43</v>
      </c>
      <c r="B57" s="4" t="s">
        <v>257</v>
      </c>
      <c r="C57" s="4" t="s">
        <v>139</v>
      </c>
      <c r="D57" s="16"/>
      <c r="E57" s="156">
        <v>2630121.9499999993</v>
      </c>
      <c r="F57" s="156">
        <v>0</v>
      </c>
      <c r="G57" s="156">
        <v>0</v>
      </c>
      <c r="H57" s="156">
        <f t="shared" si="38" ref="H57:H65">+E57-F57+G57</f>
        <v>2630121.9499999993</v>
      </c>
      <c r="I57" s="156">
        <f>+'[2]Labor Summary'!N33</f>
        <v>0</v>
      </c>
      <c r="J57" s="156">
        <f t="shared" si="39" ref="J57:J65">+H57+I57</f>
        <v>2630121.9499999993</v>
      </c>
      <c r="K57" s="159">
        <v>1</v>
      </c>
      <c r="L57" s="156">
        <f t="shared" si="40" ref="L57:L65">+J57*K57</f>
        <v>2630121.9499999993</v>
      </c>
      <c r="M57" s="13"/>
      <c r="N57" s="16"/>
      <c r="O57" s="156">
        <f>ROUND('[1]Total Labor Summary'!C32,2)+ROUND('[2]Labor Summary'!D33,2)</f>
        <v>4375</v>
      </c>
      <c r="P57" s="156">
        <f>ROUND('[1]Total Labor Summary'!D32,2)+ROUND('[2]Labor Summary'!E33,2)</f>
        <v>0</v>
      </c>
      <c r="Q57" s="156">
        <f>ROUND('[1]Total Labor Summary'!E32,2)+ROUND('[2]Labor Summary'!F33,2)</f>
        <v>0</v>
      </c>
      <c r="R57" s="156">
        <f t="shared" si="41" ref="R57">SUM(O57:Q57)</f>
        <v>4375</v>
      </c>
      <c r="S57" s="156">
        <f>ROUND('[1]Total Labor Summary'!G32,2)+ROUND('[2]Labor Summary'!H33,2)</f>
        <v>1921339.4399999999</v>
      </c>
      <c r="T57" s="156">
        <f>ROUND('[1]Total Labor Summary'!H32,2)+ROUND('[2]Labor Summary'!I33,2)</f>
        <v>0</v>
      </c>
      <c r="U57" s="156">
        <f t="shared" si="42" ref="U57">SUM(S57:T57)</f>
        <v>1921339.4399999999</v>
      </c>
      <c r="V57" s="156">
        <f>ROUND('[1]Total Labor Summary'!J32,2)+ROUND('[2]Labor Summary'!K33,2)</f>
        <v>704407.51000000001</v>
      </c>
      <c r="W57" s="156">
        <f>ROUND('[1]Total Labor Summary'!K32,2)+ROUND('[2]Labor Summary'!L33,2)</f>
        <v>0</v>
      </c>
      <c r="X57" s="156">
        <f t="shared" si="43" ref="X57:X65">+R57+U57+V57+W57</f>
        <v>2630121.9500000002</v>
      </c>
      <c r="Y57" s="4" t="b">
        <f t="shared" si="44" ref="Y57:Y65">ROUND(X57,2)=ROUND(L57,2)</f>
        <v>1</v>
      </c>
      <c r="Z57" s="181">
        <f t="shared" si="45" ref="Z57:Z65">+L57-X57</f>
        <v>0</v>
      </c>
    </row>
    <row r="58" spans="1:26" s="8" customFormat="1" ht="15" customHeight="1">
      <c r="A58" s="16">
        <v>44</v>
      </c>
      <c r="B58" s="4" t="s">
        <v>252</v>
      </c>
      <c r="C58" s="4" t="s">
        <v>140</v>
      </c>
      <c r="D58" s="16"/>
      <c r="E58" s="13">
        <v>0</v>
      </c>
      <c r="F58" s="13">
        <v>0</v>
      </c>
      <c r="G58" s="13">
        <v>0</v>
      </c>
      <c r="H58" s="13">
        <f t="shared" si="38"/>
        <v>0</v>
      </c>
      <c r="I58" s="13">
        <f>+'[2]Labor Summary'!N34</f>
        <v>0</v>
      </c>
      <c r="J58" s="13">
        <f t="shared" si="39"/>
        <v>0</v>
      </c>
      <c r="K58" s="159">
        <v>1</v>
      </c>
      <c r="L58" s="104">
        <f t="shared" si="40"/>
        <v>0</v>
      </c>
      <c r="M58" s="19"/>
      <c r="N58" s="16"/>
      <c r="O58" s="13">
        <f>ROUND('[1]Total Labor Summary'!C33,2)+ROUND('[2]Labor Summary'!D34,2)</f>
        <v>0</v>
      </c>
      <c r="P58" s="13">
        <f>ROUND('[1]Total Labor Summary'!D33,2)+ROUND('[2]Labor Summary'!E34,2)</f>
        <v>0</v>
      </c>
      <c r="Q58" s="13">
        <f>ROUND('[1]Total Labor Summary'!E33,2)+ROUND('[2]Labor Summary'!F34,2)</f>
        <v>0</v>
      </c>
      <c r="R58" s="13">
        <f t="shared" si="46" ref="R58:R65">SUM(O58:Q58)</f>
        <v>0</v>
      </c>
      <c r="S58" s="13">
        <f>ROUND('[1]Total Labor Summary'!G33,2)+ROUND('[2]Labor Summary'!H34,2)</f>
        <v>0</v>
      </c>
      <c r="T58" s="13">
        <f>ROUND('[1]Total Labor Summary'!H33,2)+ROUND('[2]Labor Summary'!I34,2)</f>
        <v>0</v>
      </c>
      <c r="U58" s="13">
        <f t="shared" si="47" ref="U58:U65">SUM(S58:T58)</f>
        <v>0</v>
      </c>
      <c r="V58" s="13">
        <f>ROUND('[1]Total Labor Summary'!J33,2)+ROUND('[2]Labor Summary'!K34,2)</f>
        <v>0</v>
      </c>
      <c r="W58" s="13">
        <f>ROUND('[1]Total Labor Summary'!K33,2)+ROUND('[2]Labor Summary'!L34,2)</f>
        <v>0</v>
      </c>
      <c r="X58" s="20">
        <f t="shared" si="43"/>
        <v>0</v>
      </c>
      <c r="Y58" s="4" t="b">
        <f t="shared" si="44"/>
        <v>1</v>
      </c>
      <c r="Z58" s="181">
        <f t="shared" si="45"/>
        <v>0</v>
      </c>
    </row>
    <row r="59" spans="1:26" s="4" customFormat="1" ht="15" customHeight="1">
      <c r="A59" s="16">
        <v>45</v>
      </c>
      <c r="B59" s="4" t="s">
        <v>253</v>
      </c>
      <c r="C59" s="4" t="s">
        <v>381</v>
      </c>
      <c r="D59" s="16"/>
      <c r="E59" s="13">
        <v>6282560.8900000015</v>
      </c>
      <c r="F59" s="13">
        <v>0</v>
      </c>
      <c r="G59" s="13">
        <v>0</v>
      </c>
      <c r="H59" s="13">
        <f t="shared" si="38"/>
        <v>6282560.8900000015</v>
      </c>
      <c r="I59" s="13">
        <f>+'[2]Labor Summary'!N35</f>
        <v>0</v>
      </c>
      <c r="J59" s="13">
        <f t="shared" si="39"/>
        <v>6282560.8900000015</v>
      </c>
      <c r="K59" s="159">
        <v>1</v>
      </c>
      <c r="L59" s="104">
        <f t="shared" si="40"/>
        <v>6282560.8900000015</v>
      </c>
      <c r="M59" s="13"/>
      <c r="N59" s="16"/>
      <c r="O59" s="13">
        <f>ROUND('[1]Total Labor Summary'!C34,2)+ROUND('[2]Labor Summary'!D35,2)</f>
        <v>134899.70999999999</v>
      </c>
      <c r="P59" s="13">
        <f>ROUND('[1]Total Labor Summary'!D34,2)+ROUND('[2]Labor Summary'!E35,2)</f>
        <v>0</v>
      </c>
      <c r="Q59" s="13">
        <f>ROUND('[1]Total Labor Summary'!E34,2)+ROUND('[2]Labor Summary'!F35,2)</f>
        <v>0</v>
      </c>
      <c r="R59" s="13">
        <f t="shared" si="46"/>
        <v>134899.70999999999</v>
      </c>
      <c r="S59" s="13">
        <f>ROUND('[1]Total Labor Summary'!G34,2)+ROUND('[2]Labor Summary'!H35,2)</f>
        <v>6147661.1799999997</v>
      </c>
      <c r="T59" s="13">
        <f>ROUND('[1]Total Labor Summary'!H34,2)+ROUND('[2]Labor Summary'!I35,2)</f>
        <v>0</v>
      </c>
      <c r="U59" s="13">
        <f t="shared" si="47"/>
        <v>6147661.1799999997</v>
      </c>
      <c r="V59" s="13">
        <f>ROUND('[1]Total Labor Summary'!J34,2)+ROUND('[2]Labor Summary'!K35,2)</f>
        <v>0</v>
      </c>
      <c r="W59" s="13">
        <f>ROUND('[1]Total Labor Summary'!K34,2)+ROUND('[2]Labor Summary'!L35,2)</f>
        <v>0</v>
      </c>
      <c r="X59" s="20">
        <f t="shared" si="43"/>
        <v>6282560.8899999997</v>
      </c>
      <c r="Y59" s="4" t="b">
        <f t="shared" si="44"/>
        <v>1</v>
      </c>
      <c r="Z59" s="181">
        <f t="shared" si="45"/>
        <v>0</v>
      </c>
    </row>
    <row r="60" spans="1:26" s="8" customFormat="1" ht="15" customHeight="1">
      <c r="A60" s="16">
        <v>46</v>
      </c>
      <c r="B60" s="4" t="s">
        <v>147</v>
      </c>
      <c r="C60" s="4" t="s">
        <v>382</v>
      </c>
      <c r="D60" s="16"/>
      <c r="E60" s="13">
        <v>36244876.170000002</v>
      </c>
      <c r="F60" s="13">
        <v>0</v>
      </c>
      <c r="G60" s="13">
        <v>0</v>
      </c>
      <c r="H60" s="13">
        <f t="shared" si="38"/>
        <v>36244876.170000002</v>
      </c>
      <c r="I60" s="13">
        <f>+'[2]Labor Summary'!N36</f>
        <v>-16078.24</v>
      </c>
      <c r="J60" s="13">
        <f t="shared" si="39"/>
        <v>36228797.93</v>
      </c>
      <c r="K60" s="159">
        <v>1</v>
      </c>
      <c r="L60" s="104">
        <f t="shared" si="40"/>
        <v>36228797.93</v>
      </c>
      <c r="M60" s="19"/>
      <c r="N60" s="16"/>
      <c r="O60" s="13">
        <f>ROUND('[1]Total Labor Summary'!C35,2)+ROUND('[2]Labor Summary'!D36,2)</f>
        <v>349.74000000000001</v>
      </c>
      <c r="P60" s="13">
        <f>ROUND('[1]Total Labor Summary'!D35,2)+ROUND('[2]Labor Summary'!E36,2)</f>
        <v>0</v>
      </c>
      <c r="Q60" s="13">
        <f>ROUND('[1]Total Labor Summary'!E35,2)+ROUND('[2]Labor Summary'!F36,2)</f>
        <v>0</v>
      </c>
      <c r="R60" s="13">
        <f t="shared" si="46"/>
        <v>349.74000000000001</v>
      </c>
      <c r="S60" s="13">
        <f>ROUND('[1]Total Labor Summary'!G35,2)+ROUND('[2]Labor Summary'!H36,2)</f>
        <v>36169907.530000001</v>
      </c>
      <c r="T60" s="13">
        <f>ROUND('[1]Total Labor Summary'!H35,2)+ROUND('[2]Labor Summary'!I36,2)</f>
        <v>0</v>
      </c>
      <c r="U60" s="13">
        <f t="shared" si="47"/>
        <v>36169907.530000001</v>
      </c>
      <c r="V60" s="13">
        <f>ROUND('[1]Total Labor Summary'!J35,2)+ROUND('[2]Labor Summary'!K36,2)</f>
        <v>58540.660000000003</v>
      </c>
      <c r="W60" s="13">
        <f>ROUND('[1]Total Labor Summary'!K35,2)+ROUND('[2]Labor Summary'!L36,2)</f>
        <v>0</v>
      </c>
      <c r="X60" s="20">
        <f t="shared" si="43"/>
        <v>36228797.93</v>
      </c>
      <c r="Y60" s="4" t="b">
        <f t="shared" si="44"/>
        <v>1</v>
      </c>
      <c r="Z60" s="181">
        <f t="shared" si="45"/>
        <v>0</v>
      </c>
    </row>
    <row r="61" spans="1:26" s="4" customFormat="1" ht="15" customHeight="1">
      <c r="A61" s="16">
        <v>47</v>
      </c>
      <c r="B61" s="4" t="s">
        <v>148</v>
      </c>
      <c r="C61" s="4" t="s">
        <v>383</v>
      </c>
      <c r="D61" s="16"/>
      <c r="E61" s="13">
        <v>9243035.189999992</v>
      </c>
      <c r="F61" s="13">
        <v>0</v>
      </c>
      <c r="G61" s="13">
        <v>0</v>
      </c>
      <c r="H61" s="13">
        <f t="shared" si="38"/>
        <v>9243035.189999992</v>
      </c>
      <c r="I61" s="13">
        <f>+'[2]Labor Summary'!N37</f>
        <v>0</v>
      </c>
      <c r="J61" s="13">
        <f t="shared" si="39"/>
        <v>9243035.189999992</v>
      </c>
      <c r="K61" s="159">
        <v>1</v>
      </c>
      <c r="L61" s="104">
        <f t="shared" si="40"/>
        <v>9243035.189999992</v>
      </c>
      <c r="M61" s="13"/>
      <c r="N61" s="16"/>
      <c r="O61" s="13">
        <f>ROUND('[1]Total Labor Summary'!C36,2)+ROUND('[2]Labor Summary'!D37,2)</f>
        <v>0</v>
      </c>
      <c r="P61" s="13">
        <f>ROUND('[1]Total Labor Summary'!D36,2)+ROUND('[2]Labor Summary'!E37,2)</f>
        <v>0</v>
      </c>
      <c r="Q61" s="13">
        <f>ROUND('[1]Total Labor Summary'!E36,2)+ROUND('[2]Labor Summary'!F37,2)</f>
        <v>0</v>
      </c>
      <c r="R61" s="13">
        <f t="shared" si="46"/>
        <v>0</v>
      </c>
      <c r="S61" s="13">
        <f>ROUND('[1]Total Labor Summary'!G36,2)+ROUND('[2]Labor Summary'!H37,2)</f>
        <v>9233426.6799999997</v>
      </c>
      <c r="T61" s="13">
        <f>ROUND('[1]Total Labor Summary'!H36,2)+ROUND('[2]Labor Summary'!I37,2)</f>
        <v>0</v>
      </c>
      <c r="U61" s="13">
        <f t="shared" si="47"/>
        <v>9233426.6799999997</v>
      </c>
      <c r="V61" s="13">
        <f>ROUND('[1]Total Labor Summary'!J36,2)+ROUND('[2]Labor Summary'!K37,2)</f>
        <v>9608.5100000000002</v>
      </c>
      <c r="W61" s="13">
        <f>ROUND('[1]Total Labor Summary'!K36,2)+ROUND('[2]Labor Summary'!L37,2)</f>
        <v>0</v>
      </c>
      <c r="X61" s="20">
        <f t="shared" si="43"/>
        <v>9243035.1899999995</v>
      </c>
      <c r="Y61" s="4" t="b">
        <f t="shared" si="44"/>
        <v>1</v>
      </c>
      <c r="Z61" s="181">
        <f t="shared" si="45"/>
        <v>0</v>
      </c>
    </row>
    <row r="62" spans="1:26" s="4" customFormat="1" ht="15" customHeight="1">
      <c r="A62" s="16">
        <v>48</v>
      </c>
      <c r="B62" s="4" t="s">
        <v>254</v>
      </c>
      <c r="C62" s="4" t="s">
        <v>149</v>
      </c>
      <c r="D62" s="16"/>
      <c r="E62" s="13">
        <v>2162902.4199999995</v>
      </c>
      <c r="F62" s="13">
        <v>0</v>
      </c>
      <c r="G62" s="13">
        <v>0</v>
      </c>
      <c r="H62" s="13">
        <f t="shared" si="38"/>
        <v>2162902.4199999995</v>
      </c>
      <c r="I62" s="13">
        <f>+'[2]Labor Summary'!N38</f>
        <v>0</v>
      </c>
      <c r="J62" s="13">
        <f t="shared" si="39"/>
        <v>2162902.4199999995</v>
      </c>
      <c r="K62" s="159">
        <v>1</v>
      </c>
      <c r="L62" s="104">
        <f t="shared" si="40"/>
        <v>2162902.4199999995</v>
      </c>
      <c r="M62" s="13"/>
      <c r="N62" s="16"/>
      <c r="O62" s="13">
        <f>ROUND('[1]Total Labor Summary'!C37,2)+ROUND('[2]Labor Summary'!D38,2)</f>
        <v>0</v>
      </c>
      <c r="P62" s="13">
        <f>ROUND('[1]Total Labor Summary'!D37,2)+ROUND('[2]Labor Summary'!E38,2)</f>
        <v>0</v>
      </c>
      <c r="Q62" s="13">
        <f>ROUND('[1]Total Labor Summary'!E37,2)+ROUND('[2]Labor Summary'!F38,2)</f>
        <v>0</v>
      </c>
      <c r="R62" s="13">
        <f t="shared" si="46"/>
        <v>0</v>
      </c>
      <c r="S62" s="13">
        <f>ROUND('[1]Total Labor Summary'!G37,2)+ROUND('[2]Labor Summary'!H38,2)</f>
        <v>2162694.46</v>
      </c>
      <c r="T62" s="13">
        <f>ROUND('[1]Total Labor Summary'!H37,2)+ROUND('[2]Labor Summary'!I38,2)</f>
        <v>0</v>
      </c>
      <c r="U62" s="13">
        <f t="shared" si="47"/>
        <v>2162694.46</v>
      </c>
      <c r="V62" s="13">
        <f>ROUND('[1]Total Labor Summary'!J37,2)+ROUND('[2]Labor Summary'!K38,2)</f>
        <v>207.96000000000001</v>
      </c>
      <c r="W62" s="13">
        <f>ROUND('[1]Total Labor Summary'!K37,2)+ROUND('[2]Labor Summary'!L38,2)</f>
        <v>0</v>
      </c>
      <c r="X62" s="20">
        <f t="shared" si="43"/>
        <v>2162902.4199999999</v>
      </c>
      <c r="Y62" s="4" t="b">
        <f t="shared" si="44"/>
        <v>1</v>
      </c>
      <c r="Z62" s="181">
        <f t="shared" si="45"/>
        <v>0</v>
      </c>
    </row>
    <row r="63" spans="1:26" s="4" customFormat="1" ht="15" customHeight="1">
      <c r="A63" s="16">
        <v>49</v>
      </c>
      <c r="B63" s="4" t="s">
        <v>282</v>
      </c>
      <c r="C63" s="4" t="s">
        <v>150</v>
      </c>
      <c r="D63" s="16"/>
      <c r="E63" s="13">
        <v>260035.49000000008</v>
      </c>
      <c r="F63" s="13">
        <v>0</v>
      </c>
      <c r="G63" s="13">
        <v>0</v>
      </c>
      <c r="H63" s="13">
        <f t="shared" si="38"/>
        <v>260035.49000000008</v>
      </c>
      <c r="I63" s="13">
        <f>+'[2]Labor Summary'!N39</f>
        <v>0</v>
      </c>
      <c r="J63" s="13">
        <f t="shared" si="39"/>
        <v>260035.49000000008</v>
      </c>
      <c r="K63" s="159">
        <v>1</v>
      </c>
      <c r="L63" s="104">
        <f t="shared" si="40"/>
        <v>260035.49000000008</v>
      </c>
      <c r="M63" s="13"/>
      <c r="N63" s="16"/>
      <c r="O63" s="13">
        <f>ROUND('[1]Total Labor Summary'!C38,2)+ROUND('[2]Labor Summary'!D39,2)</f>
        <v>0</v>
      </c>
      <c r="P63" s="13">
        <f>ROUND('[1]Total Labor Summary'!D38,2)+ROUND('[2]Labor Summary'!E39,2)</f>
        <v>0</v>
      </c>
      <c r="Q63" s="13">
        <f>ROUND('[1]Total Labor Summary'!E38,2)+ROUND('[2]Labor Summary'!F39,2)</f>
        <v>0</v>
      </c>
      <c r="R63" s="13">
        <f t="shared" si="46"/>
        <v>0</v>
      </c>
      <c r="S63" s="13">
        <f>ROUND('[1]Total Labor Summary'!G38,2)+ROUND('[2]Labor Summary'!H39,2)</f>
        <v>260031.48000000001</v>
      </c>
      <c r="T63" s="13">
        <f>ROUND('[1]Total Labor Summary'!H38,2)+ROUND('[2]Labor Summary'!I39,2)</f>
        <v>0</v>
      </c>
      <c r="U63" s="13">
        <f t="shared" si="47"/>
        <v>260031.48000000001</v>
      </c>
      <c r="V63" s="13">
        <f>ROUND('[1]Total Labor Summary'!J38,2)+ROUND('[2]Labor Summary'!K39,2)</f>
        <v>4.0099999999999998</v>
      </c>
      <c r="W63" s="13">
        <f>ROUND('[1]Total Labor Summary'!K38,2)+ROUND('[2]Labor Summary'!L39,2)</f>
        <v>0</v>
      </c>
      <c r="X63" s="20">
        <f t="shared" si="43"/>
        <v>260035.49000000002</v>
      </c>
      <c r="Y63" s="4" t="b">
        <f t="shared" si="44"/>
        <v>1</v>
      </c>
      <c r="Z63" s="181">
        <f t="shared" si="45"/>
        <v>0</v>
      </c>
    </row>
    <row r="64" spans="1:26" s="4" customFormat="1" ht="15" customHeight="1">
      <c r="A64" s="16">
        <v>50</v>
      </c>
      <c r="B64" s="4" t="s">
        <v>256</v>
      </c>
      <c r="C64" s="4" t="s">
        <v>151</v>
      </c>
      <c r="D64" s="16"/>
      <c r="E64" s="13">
        <v>12685192.529999998</v>
      </c>
      <c r="F64" s="13">
        <v>0</v>
      </c>
      <c r="G64" s="13">
        <v>0</v>
      </c>
      <c r="H64" s="13">
        <f t="shared" si="38"/>
        <v>12685192.529999998</v>
      </c>
      <c r="I64" s="13">
        <f>+'[2]Labor Summary'!N40</f>
        <v>0</v>
      </c>
      <c r="J64" s="13">
        <f t="shared" si="39"/>
        <v>12685192.529999998</v>
      </c>
      <c r="K64" s="159">
        <v>1</v>
      </c>
      <c r="L64" s="104">
        <f t="shared" si="40"/>
        <v>12685192.529999998</v>
      </c>
      <c r="M64" s="13"/>
      <c r="N64" s="16"/>
      <c r="O64" s="13">
        <f>ROUND('[1]Total Labor Summary'!C39,2)+ROUND('[2]Labor Summary'!D40,2)</f>
        <v>0</v>
      </c>
      <c r="P64" s="13">
        <f>ROUND('[1]Total Labor Summary'!D39,2)+ROUND('[2]Labor Summary'!E40,2)</f>
        <v>0</v>
      </c>
      <c r="Q64" s="13">
        <f>ROUND('[1]Total Labor Summary'!E39,2)+ROUND('[2]Labor Summary'!F40,2)</f>
        <v>0</v>
      </c>
      <c r="R64" s="13">
        <f t="shared" si="46"/>
        <v>0</v>
      </c>
      <c r="S64" s="13">
        <f>ROUND('[1]Total Labor Summary'!G39,2)+ROUND('[2]Labor Summary'!H40,2)</f>
        <v>0</v>
      </c>
      <c r="T64" s="13">
        <f>ROUND('[1]Total Labor Summary'!H39,2)+ROUND('[2]Labor Summary'!I40,2)</f>
        <v>0</v>
      </c>
      <c r="U64" s="13">
        <f t="shared" si="47"/>
        <v>0</v>
      </c>
      <c r="V64" s="13">
        <f>ROUND('[1]Total Labor Summary'!J39,2)+ROUND('[2]Labor Summary'!K40,2)</f>
        <v>12685192.529999999</v>
      </c>
      <c r="W64" s="13">
        <f>ROUND('[1]Total Labor Summary'!K39,2)+ROUND('[2]Labor Summary'!L40,2)</f>
        <v>0</v>
      </c>
      <c r="X64" s="20">
        <f t="shared" si="43"/>
        <v>12685192.529999999</v>
      </c>
      <c r="Y64" s="4" t="b">
        <f t="shared" si="44"/>
        <v>1</v>
      </c>
      <c r="Z64" s="181">
        <f t="shared" si="45"/>
        <v>0</v>
      </c>
    </row>
    <row r="65" spans="1:26" s="4" customFormat="1" ht="15" customHeight="1">
      <c r="A65" s="16">
        <v>51</v>
      </c>
      <c r="B65" s="4" t="s">
        <v>285</v>
      </c>
      <c r="C65" s="4" t="s">
        <v>152</v>
      </c>
      <c r="D65" s="16"/>
      <c r="E65" s="13">
        <v>87974.830000000031</v>
      </c>
      <c r="F65" s="13">
        <v>0</v>
      </c>
      <c r="G65" s="13">
        <v>0</v>
      </c>
      <c r="H65" s="13">
        <f t="shared" si="38"/>
        <v>87974.830000000031</v>
      </c>
      <c r="I65" s="13">
        <f>+'[2]Labor Summary'!N41</f>
        <v>0</v>
      </c>
      <c r="J65" s="13">
        <f t="shared" si="39"/>
        <v>87974.830000000031</v>
      </c>
      <c r="K65" s="159">
        <v>1</v>
      </c>
      <c r="L65" s="104">
        <f t="shared" si="40"/>
        <v>87974.830000000031</v>
      </c>
      <c r="M65" s="13"/>
      <c r="N65" s="16"/>
      <c r="O65" s="13">
        <f>ROUND('[1]Total Labor Summary'!C40,2)+ROUND('[2]Labor Summary'!D41,2)</f>
        <v>0</v>
      </c>
      <c r="P65" s="13">
        <f>ROUND('[1]Total Labor Summary'!D40,2)+ROUND('[2]Labor Summary'!E41,2)</f>
        <v>0</v>
      </c>
      <c r="Q65" s="13">
        <f>ROUND('[1]Total Labor Summary'!E40,2)+ROUND('[2]Labor Summary'!F41,2)</f>
        <v>0</v>
      </c>
      <c r="R65" s="13">
        <f t="shared" si="46"/>
        <v>0</v>
      </c>
      <c r="S65" s="13">
        <f>ROUND('[1]Total Labor Summary'!G40,2)+ROUND('[2]Labor Summary'!H41,2)</f>
        <v>87974.259999999995</v>
      </c>
      <c r="T65" s="13">
        <f>ROUND('[1]Total Labor Summary'!H40,2)+ROUND('[2]Labor Summary'!I41,2)</f>
        <v>0</v>
      </c>
      <c r="U65" s="13">
        <f t="shared" si="47"/>
        <v>87974.259999999995</v>
      </c>
      <c r="V65" s="13">
        <f>ROUND('[1]Total Labor Summary'!J40,2)+ROUND('[2]Labor Summary'!K41,2)</f>
        <v>0.56999999999999995</v>
      </c>
      <c r="W65" s="13">
        <f>ROUND('[1]Total Labor Summary'!K40,2)+ROUND('[2]Labor Summary'!L41,2)</f>
        <v>0</v>
      </c>
      <c r="X65" s="20">
        <f t="shared" si="43"/>
        <v>87974.830000000002</v>
      </c>
      <c r="Y65" s="4" t="b">
        <f t="shared" si="44"/>
        <v>1</v>
      </c>
      <c r="Z65" s="181">
        <f t="shared" si="45"/>
        <v>0</v>
      </c>
    </row>
    <row r="66" spans="1:24" s="4" customFormat="1" ht="15" customHeight="1">
      <c r="A66" s="16">
        <v>52</v>
      </c>
      <c r="D66" s="16"/>
      <c r="E66" s="124"/>
      <c r="F66" s="124"/>
      <c r="G66" s="124"/>
      <c r="H66" s="124"/>
      <c r="I66" s="124"/>
      <c r="J66" s="124"/>
      <c r="K66" s="159"/>
      <c r="L66" s="124"/>
      <c r="M66" s="13"/>
      <c r="N66" s="16"/>
      <c r="O66" s="124"/>
      <c r="P66" s="124"/>
      <c r="Q66" s="124"/>
      <c r="R66" s="124"/>
      <c r="S66" s="124"/>
      <c r="T66" s="124"/>
      <c r="U66" s="124"/>
      <c r="V66" s="124"/>
      <c r="W66" s="124">
        <v>0</v>
      </c>
      <c r="X66" s="124"/>
    </row>
    <row r="67" spans="1:26" s="8" customFormat="1" ht="15" customHeight="1">
      <c r="A67" s="16">
        <v>53</v>
      </c>
      <c r="B67" s="4"/>
      <c r="C67" s="22" t="s">
        <v>57</v>
      </c>
      <c r="D67" s="16"/>
      <c r="E67" s="188">
        <f t="shared" si="48" ref="E67:J67">SUM(E57:E65)</f>
        <v>69596699.469999999</v>
      </c>
      <c r="F67" s="188">
        <f t="shared" si="48"/>
        <v>0</v>
      </c>
      <c r="G67" s="188">
        <f t="shared" si="48"/>
        <v>0</v>
      </c>
      <c r="H67" s="188">
        <f t="shared" si="48"/>
        <v>69596699.469999999</v>
      </c>
      <c r="I67" s="188">
        <f t="shared" si="48"/>
        <v>-16078.24</v>
      </c>
      <c r="J67" s="188">
        <f t="shared" si="48"/>
        <v>69580621.229999989</v>
      </c>
      <c r="K67" s="188"/>
      <c r="L67" s="188">
        <f>SUM(L57:L65)</f>
        <v>69580621.229999989</v>
      </c>
      <c r="M67" s="188"/>
      <c r="N67" s="188"/>
      <c r="O67" s="188">
        <f t="shared" si="49" ref="O67">SUM(O57:O65)</f>
        <v>139624.44999999998</v>
      </c>
      <c r="P67" s="188">
        <f t="shared" si="50" ref="P67:X67">SUM(P57:P65)</f>
        <v>0</v>
      </c>
      <c r="Q67" s="188">
        <f t="shared" si="50"/>
        <v>0</v>
      </c>
      <c r="R67" s="188">
        <f t="shared" si="50"/>
        <v>139624.44999999998</v>
      </c>
      <c r="S67" s="188">
        <f t="shared" si="50"/>
        <v>55983035.029999994</v>
      </c>
      <c r="T67" s="188">
        <f t="shared" si="50"/>
        <v>0</v>
      </c>
      <c r="U67" s="188">
        <f t="shared" si="50"/>
        <v>55983035.029999994</v>
      </c>
      <c r="V67" s="188">
        <f t="shared" si="50"/>
        <v>13457961.75</v>
      </c>
      <c r="W67" s="188">
        <f t="shared" si="50"/>
        <v>0</v>
      </c>
      <c r="X67" s="188">
        <f t="shared" si="50"/>
        <v>69580621.229999989</v>
      </c>
      <c r="Y67" s="4" t="b">
        <f>ROUND(X67,2)=ROUND(L67,2)</f>
        <v>1</v>
      </c>
      <c r="Z67" s="181">
        <f>+L67-X67</f>
        <v>0</v>
      </c>
    </row>
    <row r="68" spans="1:24" s="8" customFormat="1" ht="15" customHeight="1">
      <c r="A68" s="16">
        <v>54</v>
      </c>
      <c r="B68" s="4"/>
      <c r="C68" s="4"/>
      <c r="D68" s="16"/>
      <c r="E68" s="19"/>
      <c r="F68" s="19"/>
      <c r="G68" s="19"/>
      <c r="H68" s="19"/>
      <c r="I68" s="19"/>
      <c r="J68" s="19"/>
      <c r="K68" s="160"/>
      <c r="L68" s="19"/>
      <c r="M68" s="19"/>
      <c r="N68" s="25"/>
      <c r="O68" s="19"/>
      <c r="P68" s="19"/>
      <c r="Q68" s="19"/>
      <c r="R68" s="19"/>
      <c r="S68" s="19"/>
      <c r="T68" s="19"/>
      <c r="U68" s="19"/>
      <c r="V68" s="19"/>
      <c r="W68" s="19"/>
      <c r="X68" s="19"/>
    </row>
    <row r="69" spans="1:27" s="8" customFormat="1" ht="15" customHeight="1">
      <c r="A69" s="16">
        <v>55</v>
      </c>
      <c r="B69" s="8" t="s">
        <v>124</v>
      </c>
      <c r="D69" s="18" t="s">
        <v>307</v>
      </c>
      <c r="E69" s="188">
        <f t="shared" si="51" ref="E69:J69">+E54+E67</f>
        <v>136480643.48999998</v>
      </c>
      <c r="F69" s="188">
        <f t="shared" si="51"/>
        <v>0</v>
      </c>
      <c r="G69" s="188">
        <f t="shared" si="51"/>
        <v>0</v>
      </c>
      <c r="H69" s="188">
        <f t="shared" si="51"/>
        <v>136480643.48999998</v>
      </c>
      <c r="I69" s="188">
        <f t="shared" si="51"/>
        <v>8005845.4699999997</v>
      </c>
      <c r="J69" s="188">
        <f t="shared" si="51"/>
        <v>144486488.95999998</v>
      </c>
      <c r="K69" s="188"/>
      <c r="L69" s="188">
        <f>+L54+L67</f>
        <v>144486488.95999998</v>
      </c>
      <c r="M69" s="188"/>
      <c r="N69" s="188"/>
      <c r="O69" s="188">
        <f t="shared" si="52" ref="O69">+O54+O67</f>
        <v>197903.58999999997</v>
      </c>
      <c r="P69" s="188">
        <f t="shared" si="53" ref="P69:X69">+P54+P67</f>
        <v>0</v>
      </c>
      <c r="Q69" s="188">
        <f t="shared" si="53"/>
        <v>0</v>
      </c>
      <c r="R69" s="188">
        <f t="shared" si="53"/>
        <v>197903.58999999997</v>
      </c>
      <c r="S69" s="188">
        <f t="shared" si="53"/>
        <v>121215400.59</v>
      </c>
      <c r="T69" s="188">
        <f t="shared" si="53"/>
        <v>0</v>
      </c>
      <c r="U69" s="188">
        <f t="shared" si="53"/>
        <v>121215400.59</v>
      </c>
      <c r="V69" s="188">
        <f t="shared" si="53"/>
        <v>23072421.229999997</v>
      </c>
      <c r="W69" s="188">
        <f t="shared" si="53"/>
        <v>763.54999999999995</v>
      </c>
      <c r="X69" s="188">
        <f t="shared" si="53"/>
        <v>144486488.95999998</v>
      </c>
      <c r="Y69" s="4" t="b">
        <f>ROUND(X69,2)=ROUND(L69,2)</f>
        <v>1</v>
      </c>
      <c r="Z69" s="181">
        <f>+L69-X69</f>
        <v>0</v>
      </c>
      <c r="AA69" s="322">
        <v>0.48536209166334454</v>
      </c>
    </row>
    <row r="70" spans="1:24" s="4" customFormat="1" ht="15" customHeight="1">
      <c r="A70" s="16">
        <v>56</v>
      </c>
      <c r="B70" s="8"/>
      <c r="C70" s="8"/>
      <c r="D70" s="18"/>
      <c r="E70" s="13"/>
      <c r="F70" s="13"/>
      <c r="G70" s="13"/>
      <c r="H70" s="13"/>
      <c r="I70" s="13"/>
      <c r="J70" s="13"/>
      <c r="K70" s="159"/>
      <c r="L70" s="16"/>
      <c r="M70" s="13"/>
      <c r="N70" s="16"/>
      <c r="O70" s="13"/>
      <c r="P70" s="13"/>
      <c r="Q70" s="13"/>
      <c r="R70" s="13"/>
      <c r="S70" s="20"/>
      <c r="T70" s="20"/>
      <c r="U70" s="20"/>
      <c r="V70" s="20"/>
      <c r="W70" s="20">
        <v>0</v>
      </c>
      <c r="X70" s="20"/>
    </row>
    <row r="71" spans="1:24" s="8" customFormat="1" ht="15" customHeight="1">
      <c r="A71" s="16">
        <v>57</v>
      </c>
      <c r="B71" s="4"/>
      <c r="D71" s="18"/>
      <c r="E71" s="19"/>
      <c r="F71" s="19"/>
      <c r="G71" s="19"/>
      <c r="H71" s="19"/>
      <c r="I71" s="19"/>
      <c r="J71" s="19"/>
      <c r="K71" s="160"/>
      <c r="L71" s="25"/>
      <c r="M71" s="19"/>
      <c r="N71" s="25"/>
      <c r="O71" s="19"/>
      <c r="P71" s="19"/>
      <c r="Q71" s="19"/>
      <c r="R71" s="19"/>
      <c r="S71" s="19"/>
      <c r="T71" s="19"/>
      <c r="U71" s="19"/>
      <c r="V71" s="19"/>
      <c r="W71" s="19">
        <v>0</v>
      </c>
      <c r="X71" s="19"/>
    </row>
    <row r="72" spans="1:24" s="4" customFormat="1" ht="15" customHeight="1">
      <c r="A72" s="16">
        <v>58</v>
      </c>
      <c r="B72" s="8"/>
      <c r="C72" s="15" t="s">
        <v>118</v>
      </c>
      <c r="D72" s="18" t="s">
        <v>307</v>
      </c>
      <c r="E72" s="13"/>
      <c r="F72" s="13"/>
      <c r="G72" s="13"/>
      <c r="H72" s="13"/>
      <c r="I72" s="13"/>
      <c r="J72" s="13"/>
      <c r="K72" s="159"/>
      <c r="L72" s="24"/>
      <c r="M72" s="13"/>
      <c r="N72" s="25"/>
      <c r="O72" s="13"/>
      <c r="P72" s="13"/>
      <c r="Q72" s="13"/>
      <c r="R72" s="13"/>
      <c r="S72" s="13"/>
      <c r="T72" s="13"/>
      <c r="U72" s="13"/>
      <c r="V72" s="13"/>
      <c r="W72" s="13">
        <v>0</v>
      </c>
      <c r="X72" s="13"/>
    </row>
    <row r="73" spans="1:26" s="4" customFormat="1" ht="15" customHeight="1">
      <c r="A73" s="16">
        <v>59</v>
      </c>
      <c r="B73" s="4" t="s">
        <v>260</v>
      </c>
      <c r="C73" s="4" t="s">
        <v>261</v>
      </c>
      <c r="D73" s="16"/>
      <c r="E73" s="156">
        <v>11429.000000000002</v>
      </c>
      <c r="F73" s="156">
        <v>0</v>
      </c>
      <c r="G73" s="156">
        <v>0</v>
      </c>
      <c r="H73" s="156">
        <f>+E73-F73+G73</f>
        <v>11429.000000000002</v>
      </c>
      <c r="I73" s="156">
        <f>+'[2]Labor Summary'!N44</f>
        <v>0</v>
      </c>
      <c r="J73" s="156">
        <f>+H73+I73</f>
        <v>11429.000000000002</v>
      </c>
      <c r="K73" s="159">
        <v>1</v>
      </c>
      <c r="L73" s="156">
        <f>+J73*K73</f>
        <v>11429.000000000002</v>
      </c>
      <c r="M73" s="13"/>
      <c r="N73" s="16"/>
      <c r="O73" s="156">
        <f>ROUND('[1]Total Labor Summary'!C43,2)+ROUND('[2]Labor Summary'!D44,2)</f>
        <v>0</v>
      </c>
      <c r="P73" s="156">
        <f>ROUND('[1]Total Labor Summary'!D43,2)+ROUND('[2]Labor Summary'!E44,2)</f>
        <v>0</v>
      </c>
      <c r="Q73" s="156">
        <f>ROUND('[1]Total Labor Summary'!E43,2)+ROUND('[2]Labor Summary'!F44,2)</f>
        <v>0</v>
      </c>
      <c r="R73" s="156">
        <f t="shared" si="54" ref="R73">SUM(O73:Q73)</f>
        <v>0</v>
      </c>
      <c r="S73" s="156">
        <f>ROUND('[1]Total Labor Summary'!G43,2)+ROUND('[2]Labor Summary'!H44,2)</f>
        <v>114.29000000000001</v>
      </c>
      <c r="T73" s="156">
        <f>ROUND('[1]Total Labor Summary'!H43,2)+ROUND('[2]Labor Summary'!I44,2)</f>
        <v>0</v>
      </c>
      <c r="U73" s="156">
        <f t="shared" si="55" ref="U73">SUM(S73:T73)</f>
        <v>114.29000000000001</v>
      </c>
      <c r="V73" s="156">
        <f>ROUND('[1]Total Labor Summary'!J43,2)+ROUND('[2]Labor Summary'!K44,2)</f>
        <v>9828.9400000000005</v>
      </c>
      <c r="W73" s="156">
        <f>ROUND('[1]Total Labor Summary'!K43,2)+ROUND('[2]Labor Summary'!L44,2)</f>
        <v>1485.77</v>
      </c>
      <c r="X73" s="156">
        <f t="shared" si="56" ref="X73:X77">+R73+U73+V73+W73</f>
        <v>11429.000000000002</v>
      </c>
      <c r="Y73" s="4" t="b">
        <f>ROUND(X73,2)=ROUND(L73,2)</f>
        <v>1</v>
      </c>
      <c r="Z73" s="181">
        <f>+L73-X73</f>
        <v>0</v>
      </c>
    </row>
    <row r="74" spans="1:26" s="4" customFormat="1" ht="15" customHeight="1">
      <c r="A74" s="16">
        <v>60</v>
      </c>
      <c r="B74" s="4" t="s">
        <v>259</v>
      </c>
      <c r="C74" s="4" t="s">
        <v>166</v>
      </c>
      <c r="D74" s="16"/>
      <c r="E74" s="13">
        <v>0</v>
      </c>
      <c r="F74" s="13">
        <v>0</v>
      </c>
      <c r="G74" s="13">
        <v>0</v>
      </c>
      <c r="H74" s="13">
        <f>+E74-F74+G74</f>
        <v>0</v>
      </c>
      <c r="I74" s="13">
        <f>+'[2]Labor Summary'!N45</f>
        <v>0</v>
      </c>
      <c r="J74" s="13">
        <f>+H74+I74</f>
        <v>0</v>
      </c>
      <c r="K74" s="159">
        <v>1</v>
      </c>
      <c r="L74" s="104">
        <f>+J74*K74</f>
        <v>0</v>
      </c>
      <c r="M74" s="13"/>
      <c r="N74" s="16"/>
      <c r="O74" s="13">
        <f>ROUND('[1]Total Labor Summary'!C44,2)+ROUND('[2]Labor Summary'!D45,2)</f>
        <v>0</v>
      </c>
      <c r="P74" s="13">
        <f>ROUND('[1]Total Labor Summary'!D44,2)+ROUND('[2]Labor Summary'!E45,2)</f>
        <v>0</v>
      </c>
      <c r="Q74" s="13">
        <f>ROUND('[1]Total Labor Summary'!E44,2)+ROUND('[2]Labor Summary'!F45,2)</f>
        <v>0</v>
      </c>
      <c r="R74" s="13">
        <f t="shared" si="57" ref="R74:R77">SUM(O74:Q74)</f>
        <v>0</v>
      </c>
      <c r="S74" s="13">
        <f>ROUND('[1]Total Labor Summary'!G44,2)+ROUND('[2]Labor Summary'!H45,2)</f>
        <v>0</v>
      </c>
      <c r="T74" s="13">
        <f>ROUND('[1]Total Labor Summary'!H44,2)+ROUND('[2]Labor Summary'!I45,2)</f>
        <v>0</v>
      </c>
      <c r="U74" s="13">
        <f t="shared" si="58" ref="U74:U77">SUM(S74:T74)</f>
        <v>0</v>
      </c>
      <c r="V74" s="13">
        <f>ROUND('[1]Total Labor Summary'!J44,2)+ROUND('[2]Labor Summary'!K45,2)</f>
        <v>0</v>
      </c>
      <c r="W74" s="13">
        <f>ROUND('[1]Total Labor Summary'!K44,2)+ROUND('[2]Labor Summary'!L45,2)</f>
        <v>0</v>
      </c>
      <c r="X74" s="20">
        <f t="shared" si="56"/>
        <v>0</v>
      </c>
      <c r="Y74" s="4" t="b">
        <f>ROUND(X74,2)=ROUND(L74,2)</f>
        <v>1</v>
      </c>
      <c r="Z74" s="181">
        <f>+L74-X74</f>
        <v>0</v>
      </c>
    </row>
    <row r="75" spans="1:26" s="8" customFormat="1" ht="15" customHeight="1">
      <c r="A75" s="16">
        <v>61</v>
      </c>
      <c r="B75" s="4" t="s">
        <v>286</v>
      </c>
      <c r="C75" s="4" t="s">
        <v>396</v>
      </c>
      <c r="D75" s="16"/>
      <c r="E75" s="13">
        <v>9262498.2999999989</v>
      </c>
      <c r="F75" s="13">
        <v>0</v>
      </c>
      <c r="G75" s="13">
        <v>0</v>
      </c>
      <c r="H75" s="13">
        <f>+E75-F75+G75</f>
        <v>9262498.2999999989</v>
      </c>
      <c r="I75" s="13">
        <f>+'[2]Labor Summary'!N46</f>
        <v>0</v>
      </c>
      <c r="J75" s="13">
        <f>+H75+I75</f>
        <v>9262498.2999999989</v>
      </c>
      <c r="K75" s="159">
        <v>1</v>
      </c>
      <c r="L75" s="104">
        <f>+J75*K75</f>
        <v>9262498.2999999989</v>
      </c>
      <c r="M75" s="19"/>
      <c r="N75" s="16"/>
      <c r="O75" s="13">
        <f>ROUND('[1]Total Labor Summary'!C45,2)+ROUND('[2]Labor Summary'!D46,2)</f>
        <v>0</v>
      </c>
      <c r="P75" s="13">
        <f>ROUND('[1]Total Labor Summary'!D45,2)+ROUND('[2]Labor Summary'!E46,2)</f>
        <v>0</v>
      </c>
      <c r="Q75" s="13">
        <f>ROUND('[1]Total Labor Summary'!E45,2)+ROUND('[2]Labor Summary'!F46,2)</f>
        <v>0</v>
      </c>
      <c r="R75" s="13">
        <f t="shared" si="57"/>
        <v>0</v>
      </c>
      <c r="S75" s="13">
        <f>ROUND('[1]Total Labor Summary'!G45,2)+ROUND('[2]Labor Summary'!H46,2)</f>
        <v>10733.690000000001</v>
      </c>
      <c r="T75" s="13">
        <f>ROUND('[1]Total Labor Summary'!H45,2)+ROUND('[2]Labor Summary'!I46,2)</f>
        <v>0</v>
      </c>
      <c r="U75" s="13">
        <f t="shared" si="58"/>
        <v>10733.690000000001</v>
      </c>
      <c r="V75" s="13">
        <f>ROUND('[1]Total Labor Summary'!J45,2)+ROUND('[2]Labor Summary'!K46,2)</f>
        <v>8003098.5999999996</v>
      </c>
      <c r="W75" s="13">
        <f>ROUND('[1]Total Labor Summary'!K45,2)+ROUND('[2]Labor Summary'!L46,2)</f>
        <v>1248666.01</v>
      </c>
      <c r="X75" s="20">
        <f t="shared" si="56"/>
        <v>9262498.3000000007</v>
      </c>
      <c r="Y75" s="4" t="b">
        <f>ROUND(X75,2)=ROUND(L75,2)</f>
        <v>1</v>
      </c>
      <c r="Z75" s="181">
        <f>+L75-X75</f>
        <v>0</v>
      </c>
    </row>
    <row r="76" spans="1:26" s="8" customFormat="1" ht="15" customHeight="1">
      <c r="A76" s="16">
        <v>62</v>
      </c>
      <c r="B76" s="4" t="s">
        <v>262</v>
      </c>
      <c r="C76" s="4" t="s">
        <v>263</v>
      </c>
      <c r="D76" s="16"/>
      <c r="E76" s="13">
        <v>0</v>
      </c>
      <c r="F76" s="13">
        <v>0</v>
      </c>
      <c r="G76" s="13">
        <v>0</v>
      </c>
      <c r="H76" s="13">
        <f>+E76-F76+G76</f>
        <v>0</v>
      </c>
      <c r="I76" s="13">
        <f>+'[2]Labor Summary'!N47</f>
        <v>0</v>
      </c>
      <c r="J76" s="13">
        <f>+H76+I76</f>
        <v>0</v>
      </c>
      <c r="K76" s="159">
        <v>1</v>
      </c>
      <c r="L76" s="104">
        <f>+J76*K76</f>
        <v>0</v>
      </c>
      <c r="M76" s="19"/>
      <c r="N76" s="16"/>
      <c r="O76" s="13">
        <f>ROUND('[1]Total Labor Summary'!C46,2)+ROUND('[2]Labor Summary'!D47,2)</f>
        <v>0</v>
      </c>
      <c r="P76" s="13">
        <f>ROUND('[1]Total Labor Summary'!D46,2)+ROUND('[2]Labor Summary'!E47,2)</f>
        <v>0</v>
      </c>
      <c r="Q76" s="13">
        <f>ROUND('[1]Total Labor Summary'!E46,2)+ROUND('[2]Labor Summary'!F47,2)</f>
        <v>0</v>
      </c>
      <c r="R76" s="13">
        <f t="shared" si="57"/>
        <v>0</v>
      </c>
      <c r="S76" s="13">
        <f>ROUND('[1]Total Labor Summary'!G46,2)+ROUND('[2]Labor Summary'!H47,2)</f>
        <v>0</v>
      </c>
      <c r="T76" s="13">
        <f>ROUND('[1]Total Labor Summary'!H46,2)+ROUND('[2]Labor Summary'!I47,2)</f>
        <v>0</v>
      </c>
      <c r="U76" s="13">
        <f t="shared" si="58"/>
        <v>0</v>
      </c>
      <c r="V76" s="13">
        <f>ROUND('[1]Total Labor Summary'!J46,2)+ROUND('[2]Labor Summary'!K47,2)</f>
        <v>0</v>
      </c>
      <c r="W76" s="13">
        <f>ROUND('[1]Total Labor Summary'!K46,2)+ROUND('[2]Labor Summary'!L47,2)</f>
        <v>0</v>
      </c>
      <c r="X76" s="20">
        <f t="shared" si="56"/>
        <v>0</v>
      </c>
      <c r="Y76" s="4" t="b">
        <f>ROUND(X76,2)=ROUND(L76,2)</f>
        <v>1</v>
      </c>
      <c r="Z76" s="181">
        <f>+L76-X76</f>
        <v>0</v>
      </c>
    </row>
    <row r="77" spans="1:26" s="4" customFormat="1" ht="15" customHeight="1">
      <c r="A77" s="16">
        <v>63</v>
      </c>
      <c r="B77" s="4" t="s">
        <v>264</v>
      </c>
      <c r="C77" s="4" t="s">
        <v>397</v>
      </c>
      <c r="D77" s="16"/>
      <c r="E77" s="13">
        <v>0</v>
      </c>
      <c r="F77" s="13">
        <v>0</v>
      </c>
      <c r="G77" s="13">
        <v>0</v>
      </c>
      <c r="H77" s="13">
        <f>+E77-F77+G77</f>
        <v>0</v>
      </c>
      <c r="I77" s="13">
        <f>+'[2]Labor Summary'!N63</f>
        <v>0</v>
      </c>
      <c r="J77" s="13">
        <f>+H77+I77</f>
        <v>0</v>
      </c>
      <c r="K77" s="159">
        <v>1</v>
      </c>
      <c r="L77" s="104">
        <f>+J77*K77</f>
        <v>0</v>
      </c>
      <c r="M77" s="13"/>
      <c r="N77" s="16"/>
      <c r="O77" s="13">
        <f>ROUND('[1]Total Labor Summary'!C47,2)+ROUND('[2]Labor Summary'!D48,2)</f>
        <v>0</v>
      </c>
      <c r="P77" s="13">
        <f>ROUND('[1]Total Labor Summary'!D47,2)+ROUND('[2]Labor Summary'!E48,2)</f>
        <v>0</v>
      </c>
      <c r="Q77" s="13">
        <f>ROUND('[1]Total Labor Summary'!E47,2)+ROUND('[2]Labor Summary'!F48,2)</f>
        <v>0</v>
      </c>
      <c r="R77" s="13">
        <f t="shared" si="57"/>
        <v>0</v>
      </c>
      <c r="S77" s="13">
        <f>ROUND('[1]Total Labor Summary'!G47,2)+ROUND('[2]Labor Summary'!H48,2)</f>
        <v>0</v>
      </c>
      <c r="T77" s="13">
        <f>ROUND('[1]Total Labor Summary'!H47,2)+ROUND('[2]Labor Summary'!I48,2)</f>
        <v>0</v>
      </c>
      <c r="U77" s="13">
        <f t="shared" si="58"/>
        <v>0</v>
      </c>
      <c r="V77" s="13">
        <f>ROUND('[1]Total Labor Summary'!J47,2)+ROUND('[2]Labor Summary'!K48,2)</f>
        <v>0</v>
      </c>
      <c r="W77" s="13">
        <f>ROUND('[1]Total Labor Summary'!K47,2)+ROUND('[2]Labor Summary'!L48,2)</f>
        <v>0</v>
      </c>
      <c r="X77" s="20">
        <f t="shared" si="56"/>
        <v>0</v>
      </c>
      <c r="Y77" s="4" t="b">
        <f>ROUND(X77,2)=ROUND(L77,2)</f>
        <v>1</v>
      </c>
      <c r="Z77" s="181">
        <f>+L77-X77</f>
        <v>0</v>
      </c>
    </row>
    <row r="78" spans="1:24" s="8" customFormat="1" ht="15" customHeight="1">
      <c r="A78" s="16">
        <v>64</v>
      </c>
      <c r="B78" s="4"/>
      <c r="C78" s="4"/>
      <c r="D78" s="16"/>
      <c r="E78" s="125"/>
      <c r="F78" s="125"/>
      <c r="G78" s="125"/>
      <c r="H78" s="125"/>
      <c r="I78" s="125"/>
      <c r="J78" s="125"/>
      <c r="K78" s="160"/>
      <c r="L78" s="125"/>
      <c r="M78" s="19"/>
      <c r="N78" s="58"/>
      <c r="O78" s="125"/>
      <c r="P78" s="125"/>
      <c r="Q78" s="125"/>
      <c r="R78" s="125"/>
      <c r="S78" s="125"/>
      <c r="T78" s="125"/>
      <c r="U78" s="125"/>
      <c r="V78" s="125"/>
      <c r="W78" s="125">
        <v>0</v>
      </c>
      <c r="X78" s="128"/>
    </row>
    <row r="79" spans="1:26" s="8" customFormat="1" ht="15" customHeight="1">
      <c r="A79" s="16">
        <v>65</v>
      </c>
      <c r="B79" s="8" t="s">
        <v>94</v>
      </c>
      <c r="D79" s="18" t="s">
        <v>307</v>
      </c>
      <c r="E79" s="188">
        <f t="shared" si="59" ref="E79:J79">SUM(E73:E77)</f>
        <v>9273927.2999999989</v>
      </c>
      <c r="F79" s="188">
        <f t="shared" si="59"/>
        <v>0</v>
      </c>
      <c r="G79" s="188">
        <f t="shared" si="59"/>
        <v>0</v>
      </c>
      <c r="H79" s="188">
        <f t="shared" si="59"/>
        <v>9273927.2999999989</v>
      </c>
      <c r="I79" s="188">
        <f>SUM(I73:I77)</f>
        <v>0</v>
      </c>
      <c r="J79" s="188">
        <f t="shared" si="59"/>
        <v>9273927.2999999989</v>
      </c>
      <c r="K79" s="188"/>
      <c r="L79" s="188">
        <f>SUM(L73:L77)</f>
        <v>9273927.2999999989</v>
      </c>
      <c r="M79" s="188"/>
      <c r="N79" s="188"/>
      <c r="O79" s="188">
        <f t="shared" si="60" ref="O79:X79">SUM(O73:O77)</f>
        <v>0</v>
      </c>
      <c r="P79" s="188">
        <f t="shared" si="60"/>
        <v>0</v>
      </c>
      <c r="Q79" s="188">
        <f t="shared" si="60"/>
        <v>0</v>
      </c>
      <c r="R79" s="188">
        <f t="shared" si="60"/>
        <v>0</v>
      </c>
      <c r="S79" s="188">
        <f t="shared" si="60"/>
        <v>10847.980000000001</v>
      </c>
      <c r="T79" s="188">
        <f t="shared" si="60"/>
        <v>0</v>
      </c>
      <c r="U79" s="188">
        <f t="shared" si="60"/>
        <v>10847.980000000001</v>
      </c>
      <c r="V79" s="188">
        <f t="shared" si="60"/>
        <v>8012927.54</v>
      </c>
      <c r="W79" s="188">
        <f t="shared" si="60"/>
        <v>1250151.78</v>
      </c>
      <c r="X79" s="188">
        <f t="shared" si="60"/>
        <v>9273927.3000000007</v>
      </c>
      <c r="Y79" s="4" t="b">
        <f>ROUND(X79,2)=ROUND(L79,2)</f>
        <v>1</v>
      </c>
      <c r="Z79" s="181">
        <f>+L79-X79</f>
        <v>0</v>
      </c>
    </row>
    <row r="80" spans="1:24" s="4" customFormat="1" ht="15" customHeight="1">
      <c r="A80" s="16">
        <v>66</v>
      </c>
      <c r="B80" s="8"/>
      <c r="C80" s="8"/>
      <c r="D80" s="18"/>
      <c r="E80" s="13"/>
      <c r="F80" s="13"/>
      <c r="G80" s="13"/>
      <c r="H80" s="13"/>
      <c r="I80" s="13"/>
      <c r="J80" s="13"/>
      <c r="K80" s="159"/>
      <c r="L80" s="16"/>
      <c r="M80" s="13"/>
      <c r="N80" s="16"/>
      <c r="O80" s="13"/>
      <c r="P80" s="13"/>
      <c r="Q80" s="13"/>
      <c r="R80" s="13"/>
      <c r="S80" s="20"/>
      <c r="T80" s="20"/>
      <c r="U80" s="20"/>
      <c r="V80" s="20"/>
      <c r="W80" s="20">
        <v>0</v>
      </c>
      <c r="X80" s="20"/>
    </row>
    <row r="81" spans="1:24" s="8" customFormat="1" ht="15" customHeight="1">
      <c r="A81" s="16">
        <v>67</v>
      </c>
      <c r="B81" s="4"/>
      <c r="C81" s="4"/>
      <c r="D81" s="16"/>
      <c r="E81" s="19"/>
      <c r="F81" s="19"/>
      <c r="G81" s="19"/>
      <c r="H81" s="19"/>
      <c r="I81" s="19"/>
      <c r="J81" s="19"/>
      <c r="K81" s="160"/>
      <c r="L81" s="18"/>
      <c r="M81" s="19"/>
      <c r="N81" s="18"/>
      <c r="O81" s="19"/>
      <c r="P81" s="19"/>
      <c r="Q81" s="19"/>
      <c r="R81" s="19"/>
      <c r="S81" s="19"/>
      <c r="T81" s="19"/>
      <c r="U81" s="19"/>
      <c r="V81" s="19"/>
      <c r="W81" s="19">
        <v>0</v>
      </c>
      <c r="X81" s="19"/>
    </row>
    <row r="82" spans="1:23" s="4" customFormat="1" ht="15" customHeight="1">
      <c r="A82" s="16">
        <v>68</v>
      </c>
      <c r="B82" s="8"/>
      <c r="C82" s="15" t="s">
        <v>60</v>
      </c>
      <c r="D82" s="18" t="s">
        <v>307</v>
      </c>
      <c r="E82" s="13"/>
      <c r="F82" s="13"/>
      <c r="G82" s="13"/>
      <c r="H82" s="13"/>
      <c r="I82" s="13"/>
      <c r="J82" s="13"/>
      <c r="K82" s="159"/>
      <c r="L82" s="16"/>
      <c r="M82" s="13"/>
      <c r="N82" s="16"/>
      <c r="O82" s="13"/>
      <c r="P82" s="13"/>
      <c r="Q82" s="13"/>
      <c r="R82" s="13"/>
      <c r="S82" s="13"/>
      <c r="T82" s="13"/>
      <c r="U82" s="13"/>
      <c r="V82" s="13"/>
      <c r="W82" s="13">
        <v>0</v>
      </c>
    </row>
    <row r="83" spans="1:26" s="4" customFormat="1" ht="15" customHeight="1">
      <c r="A83" s="16">
        <v>69</v>
      </c>
      <c r="B83" s="4" t="s">
        <v>167</v>
      </c>
      <c r="C83" s="4" t="s">
        <v>329</v>
      </c>
      <c r="D83" s="16"/>
      <c r="E83" s="156">
        <v>0</v>
      </c>
      <c r="F83" s="156">
        <v>0</v>
      </c>
      <c r="G83" s="156">
        <v>0</v>
      </c>
      <c r="H83" s="156">
        <f>+E83-F83+G83</f>
        <v>0</v>
      </c>
      <c r="I83" s="156">
        <f>+'[2]Labor Summary'!$N$53</f>
        <v>0</v>
      </c>
      <c r="J83" s="156">
        <f>+H83+I83</f>
        <v>0</v>
      </c>
      <c r="K83" s="159">
        <v>1</v>
      </c>
      <c r="L83" s="156">
        <f>+J83*K83</f>
        <v>0</v>
      </c>
      <c r="M83" s="13"/>
      <c r="N83" s="16"/>
      <c r="O83" s="156">
        <f>ROUND('[1]Total Labor Summary'!C50,2)+ROUND('[2]Labor Summary'!D51,2)</f>
        <v>0</v>
      </c>
      <c r="P83" s="156">
        <f>ROUND('[1]Total Labor Summary'!D50,2)+ROUND('[2]Labor Summary'!E51,2)</f>
        <v>0</v>
      </c>
      <c r="Q83" s="156">
        <f>ROUND('[1]Total Labor Summary'!E50,2)+ROUND('[2]Labor Summary'!F51,2)</f>
        <v>0</v>
      </c>
      <c r="R83" s="156">
        <f t="shared" si="61" ref="R83">SUM(O83:Q83)</f>
        <v>0</v>
      </c>
      <c r="S83" s="156">
        <f>ROUND('[1]Total Labor Summary'!G50,2)+ROUND('[2]Labor Summary'!H51,2)</f>
        <v>0</v>
      </c>
      <c r="T83" s="156">
        <f>ROUND('[1]Total Labor Summary'!H50,2)+ROUND('[2]Labor Summary'!I51,2)</f>
        <v>0</v>
      </c>
      <c r="U83" s="156">
        <f t="shared" si="62" ref="U83">SUM(S83:T83)</f>
        <v>0</v>
      </c>
      <c r="V83" s="156">
        <f>ROUND('[1]Total Labor Summary'!J50,2)+ROUND('[2]Labor Summary'!K51,2)</f>
        <v>0</v>
      </c>
      <c r="W83" s="156">
        <f>ROUND('[1]Total Labor Summary'!K50,2)+ROUND('[2]Labor Summary'!L51,2)</f>
        <v>0</v>
      </c>
      <c r="X83" s="156">
        <f t="shared" si="63" ref="X83:X87">+R83+U83+V83+W83</f>
        <v>0</v>
      </c>
      <c r="Y83" s="4" t="b">
        <f>ROUND(X83,2)=ROUND(L83,2)</f>
        <v>1</v>
      </c>
      <c r="Z83" s="181">
        <f>+L83-X83</f>
        <v>0</v>
      </c>
    </row>
    <row r="84" spans="1:26" s="4" customFormat="1" ht="15" customHeight="1">
      <c r="A84" s="16">
        <v>70</v>
      </c>
      <c r="B84" s="4" t="s">
        <v>265</v>
      </c>
      <c r="C84" s="4" t="s">
        <v>261</v>
      </c>
      <c r="D84" s="16"/>
      <c r="E84" s="13">
        <v>0</v>
      </c>
      <c r="F84" s="13">
        <v>0</v>
      </c>
      <c r="G84" s="13">
        <v>0</v>
      </c>
      <c r="H84" s="13">
        <f>+E84-F84+G84</f>
        <v>0</v>
      </c>
      <c r="I84" s="13">
        <f>+'[2]Labor Summary'!$N$53</f>
        <v>0</v>
      </c>
      <c r="J84" s="13">
        <f>+H84+I84</f>
        <v>0</v>
      </c>
      <c r="K84" s="159">
        <v>1</v>
      </c>
      <c r="L84" s="104">
        <f>+J84*K84</f>
        <v>0</v>
      </c>
      <c r="M84" s="13"/>
      <c r="N84" s="16"/>
      <c r="O84" s="13">
        <f>ROUND('[1]Total Labor Summary'!C51,2)+ROUND('[2]Labor Summary'!D52,2)</f>
        <v>0</v>
      </c>
      <c r="P84" s="13">
        <f>ROUND('[1]Total Labor Summary'!D51,2)+ROUND('[2]Labor Summary'!E52,2)</f>
        <v>0</v>
      </c>
      <c r="Q84" s="13">
        <f>ROUND('[1]Total Labor Summary'!E51,2)+ROUND('[2]Labor Summary'!F52,2)</f>
        <v>0</v>
      </c>
      <c r="R84" s="13">
        <f t="shared" si="64" ref="R84:R87">SUM(O84:Q84)</f>
        <v>0</v>
      </c>
      <c r="S84" s="13">
        <f>ROUND('[1]Total Labor Summary'!G51,2)+ROUND('[2]Labor Summary'!H52,2)</f>
        <v>0</v>
      </c>
      <c r="T84" s="13">
        <f>ROUND('[1]Total Labor Summary'!H51,2)+ROUND('[2]Labor Summary'!I52,2)</f>
        <v>0</v>
      </c>
      <c r="U84" s="13">
        <f t="shared" si="65" ref="U84:U87">SUM(S84:T84)</f>
        <v>0</v>
      </c>
      <c r="V84" s="13">
        <f>ROUND('[1]Total Labor Summary'!J51,2)+ROUND('[2]Labor Summary'!K52,2)</f>
        <v>0</v>
      </c>
      <c r="W84" s="13">
        <f>ROUND('[1]Total Labor Summary'!K51,2)+ROUND('[2]Labor Summary'!L52,2)</f>
        <v>0</v>
      </c>
      <c r="X84" s="20">
        <f t="shared" si="63"/>
        <v>0</v>
      </c>
      <c r="Y84" s="4" t="b">
        <f>ROUND(X84,2)=ROUND(L84,2)</f>
        <v>1</v>
      </c>
      <c r="Z84" s="181">
        <f>+L84-X84</f>
        <v>0</v>
      </c>
    </row>
    <row r="85" spans="1:26" s="4" customFormat="1" ht="15" customHeight="1">
      <c r="A85" s="16">
        <v>71</v>
      </c>
      <c r="B85" s="4" t="s">
        <v>331</v>
      </c>
      <c r="C85" s="4" t="s">
        <v>330</v>
      </c>
      <c r="D85" s="16"/>
      <c r="E85" s="13">
        <v>0</v>
      </c>
      <c r="F85" s="13">
        <v>0</v>
      </c>
      <c r="G85" s="13">
        <v>0</v>
      </c>
      <c r="H85" s="13">
        <f>+E85-F85+G85</f>
        <v>0</v>
      </c>
      <c r="I85" s="13">
        <f>+'[2]Labor Summary'!$N$53</f>
        <v>0</v>
      </c>
      <c r="J85" s="13">
        <f>+H85+I85</f>
        <v>0</v>
      </c>
      <c r="K85" s="159">
        <v>1</v>
      </c>
      <c r="L85" s="104">
        <f>+J85*K85</f>
        <v>0</v>
      </c>
      <c r="M85" s="13"/>
      <c r="N85" s="16"/>
      <c r="O85" s="13">
        <f>ROUND('[1]Total Labor Summary'!C52,2)+ROUND('[2]Labor Summary'!D53,2)</f>
        <v>0</v>
      </c>
      <c r="P85" s="13">
        <f>ROUND('[1]Total Labor Summary'!D52,2)+ROUND('[2]Labor Summary'!E53,2)</f>
        <v>0</v>
      </c>
      <c r="Q85" s="13">
        <f>ROUND('[1]Total Labor Summary'!E52,2)+ROUND('[2]Labor Summary'!F53,2)</f>
        <v>0</v>
      </c>
      <c r="R85" s="13">
        <f t="shared" si="64"/>
        <v>0</v>
      </c>
      <c r="S85" s="13">
        <f>ROUND('[1]Total Labor Summary'!G52,2)+ROUND('[2]Labor Summary'!H53,2)</f>
        <v>0</v>
      </c>
      <c r="T85" s="13">
        <f>ROUND('[1]Total Labor Summary'!H52,2)+ROUND('[2]Labor Summary'!I53,2)</f>
        <v>0</v>
      </c>
      <c r="U85" s="13">
        <f t="shared" si="65"/>
        <v>0</v>
      </c>
      <c r="V85" s="13">
        <f>ROUND('[1]Total Labor Summary'!J52,2)+ROUND('[2]Labor Summary'!K53,2)</f>
        <v>0</v>
      </c>
      <c r="W85" s="13">
        <f>ROUND('[1]Total Labor Summary'!K52,2)+ROUND('[2]Labor Summary'!L53,2)</f>
        <v>0</v>
      </c>
      <c r="X85" s="20">
        <f t="shared" si="63"/>
        <v>0</v>
      </c>
      <c r="Y85" s="4" t="b">
        <f>ROUND(X85,2)=ROUND(L85,2)</f>
        <v>1</v>
      </c>
      <c r="Z85" s="181">
        <f>+L85-X85</f>
        <v>0</v>
      </c>
    </row>
    <row r="86" spans="1:26" s="8" customFormat="1" ht="15" customHeight="1">
      <c r="A86" s="16">
        <v>72</v>
      </c>
      <c r="B86" s="4" t="s">
        <v>332</v>
      </c>
      <c r="C86" s="4" t="s">
        <v>333</v>
      </c>
      <c r="D86" s="16"/>
      <c r="E86" s="13">
        <v>0</v>
      </c>
      <c r="F86" s="13">
        <v>0</v>
      </c>
      <c r="G86" s="13">
        <v>0</v>
      </c>
      <c r="H86" s="13">
        <f>+E86-F86+G86</f>
        <v>0</v>
      </c>
      <c r="I86" s="13">
        <f>+'[2]Labor Summary'!$N$53</f>
        <v>0</v>
      </c>
      <c r="J86" s="13">
        <f>+H86+I86</f>
        <v>0</v>
      </c>
      <c r="K86" s="159">
        <v>1</v>
      </c>
      <c r="L86" s="104">
        <f>+J86*K86</f>
        <v>0</v>
      </c>
      <c r="M86" s="19"/>
      <c r="N86" s="16"/>
      <c r="O86" s="13">
        <f>ROUND('[1]Total Labor Summary'!C53,2)+ROUND('[2]Labor Summary'!D54,2)</f>
        <v>0</v>
      </c>
      <c r="P86" s="13">
        <f>ROUND('[1]Total Labor Summary'!D53,2)+ROUND('[2]Labor Summary'!E54,2)</f>
        <v>0</v>
      </c>
      <c r="Q86" s="13">
        <f>ROUND('[1]Total Labor Summary'!E53,2)+ROUND('[2]Labor Summary'!F54,2)</f>
        <v>0</v>
      </c>
      <c r="R86" s="13">
        <f t="shared" si="64"/>
        <v>0</v>
      </c>
      <c r="S86" s="13">
        <f>ROUND('[1]Total Labor Summary'!G53,2)+ROUND('[2]Labor Summary'!H54,2)</f>
        <v>0</v>
      </c>
      <c r="T86" s="13">
        <f>ROUND('[1]Total Labor Summary'!H53,2)+ROUND('[2]Labor Summary'!I54,2)</f>
        <v>0</v>
      </c>
      <c r="U86" s="13">
        <f t="shared" si="65"/>
        <v>0</v>
      </c>
      <c r="V86" s="13">
        <f>ROUND('[1]Total Labor Summary'!J53,2)+ROUND('[2]Labor Summary'!K54,2)</f>
        <v>0</v>
      </c>
      <c r="W86" s="13">
        <f>ROUND('[1]Total Labor Summary'!K53,2)+ROUND('[2]Labor Summary'!L54,2)</f>
        <v>0</v>
      </c>
      <c r="X86" s="20">
        <f t="shared" si="63"/>
        <v>0</v>
      </c>
      <c r="Y86" s="4" t="b">
        <f>ROUND(X86,2)=ROUND(L86,2)</f>
        <v>1</v>
      </c>
      <c r="Z86" s="181">
        <f>+L86-X86</f>
        <v>0</v>
      </c>
    </row>
    <row r="87" spans="1:26" s="4" customFormat="1" ht="15" customHeight="1">
      <c r="A87" s="16">
        <v>73</v>
      </c>
      <c r="B87" s="4" t="s">
        <v>266</v>
      </c>
      <c r="C87" s="4" t="s">
        <v>334</v>
      </c>
      <c r="D87" s="16"/>
      <c r="E87" s="13">
        <v>0</v>
      </c>
      <c r="F87" s="13">
        <v>0</v>
      </c>
      <c r="G87" s="13">
        <v>0</v>
      </c>
      <c r="H87" s="13">
        <f>+E87-F87+G87</f>
        <v>0</v>
      </c>
      <c r="I87" s="13">
        <f>+'[2]Labor Summary'!$N$53</f>
        <v>0</v>
      </c>
      <c r="J87" s="13">
        <f>+H87+I87</f>
        <v>0</v>
      </c>
      <c r="K87" s="159">
        <v>1</v>
      </c>
      <c r="L87" s="104">
        <f>+J87*K87</f>
        <v>0</v>
      </c>
      <c r="M87" s="13"/>
      <c r="N87" s="16"/>
      <c r="O87" s="13">
        <f>ROUND('[1]Total Labor Summary'!C54,2)+ROUND('[2]Labor Summary'!D55,2)</f>
        <v>0</v>
      </c>
      <c r="P87" s="13">
        <f>ROUND('[1]Total Labor Summary'!D54,2)+ROUND('[2]Labor Summary'!E55,2)</f>
        <v>0</v>
      </c>
      <c r="Q87" s="13">
        <f>ROUND('[1]Total Labor Summary'!E54,2)+ROUND('[2]Labor Summary'!F55,2)</f>
        <v>0</v>
      </c>
      <c r="R87" s="13">
        <f t="shared" si="64"/>
        <v>0</v>
      </c>
      <c r="S87" s="13">
        <f>ROUND('[1]Total Labor Summary'!G54,2)+ROUND('[2]Labor Summary'!H55,2)</f>
        <v>0</v>
      </c>
      <c r="T87" s="13">
        <f>ROUND('[1]Total Labor Summary'!H54,2)+ROUND('[2]Labor Summary'!I55,2)</f>
        <v>0</v>
      </c>
      <c r="U87" s="13">
        <f t="shared" si="65"/>
        <v>0</v>
      </c>
      <c r="V87" s="13">
        <f>ROUND('[1]Total Labor Summary'!J54,2)+ROUND('[2]Labor Summary'!K55,2)</f>
        <v>0</v>
      </c>
      <c r="W87" s="13">
        <f>ROUND('[1]Total Labor Summary'!K54,2)+ROUND('[2]Labor Summary'!L55,2)</f>
        <v>0</v>
      </c>
      <c r="X87" s="20">
        <f t="shared" si="63"/>
        <v>0</v>
      </c>
      <c r="Y87" s="4" t="b">
        <f>ROUND(X87,2)=ROUND(L87,2)</f>
        <v>1</v>
      </c>
      <c r="Z87" s="181">
        <f>+L87-X87</f>
        <v>0</v>
      </c>
    </row>
    <row r="88" spans="1:24" s="8" customFormat="1" ht="15" customHeight="1">
      <c r="A88" s="16">
        <v>74</v>
      </c>
      <c r="B88" s="4"/>
      <c r="C88" s="4"/>
      <c r="D88" s="16"/>
      <c r="E88" s="125"/>
      <c r="F88" s="125"/>
      <c r="G88" s="125"/>
      <c r="H88" s="125"/>
      <c r="I88" s="125"/>
      <c r="J88" s="125"/>
      <c r="K88" s="160"/>
      <c r="L88" s="125"/>
      <c r="M88" s="19"/>
      <c r="N88" s="58"/>
      <c r="O88" s="125"/>
      <c r="P88" s="125"/>
      <c r="Q88" s="125"/>
      <c r="R88" s="125"/>
      <c r="S88" s="125"/>
      <c r="T88" s="125"/>
      <c r="U88" s="125"/>
      <c r="V88" s="125"/>
      <c r="W88" s="125">
        <v>0</v>
      </c>
      <c r="X88" s="128"/>
    </row>
    <row r="89" spans="1:26" s="8" customFormat="1" ht="15" customHeight="1">
      <c r="A89" s="16">
        <v>75</v>
      </c>
      <c r="B89" s="8" t="s">
        <v>59</v>
      </c>
      <c r="D89" s="18" t="s">
        <v>307</v>
      </c>
      <c r="E89" s="188">
        <f t="shared" si="66" ref="E89:J89">SUM(E83:E87)</f>
        <v>0</v>
      </c>
      <c r="F89" s="188">
        <f t="shared" si="66"/>
        <v>0</v>
      </c>
      <c r="G89" s="188">
        <f t="shared" si="66"/>
        <v>0</v>
      </c>
      <c r="H89" s="188">
        <f t="shared" si="66"/>
        <v>0</v>
      </c>
      <c r="I89" s="188">
        <f t="shared" si="66"/>
        <v>0</v>
      </c>
      <c r="J89" s="188">
        <f t="shared" si="66"/>
        <v>0</v>
      </c>
      <c r="K89" s="188"/>
      <c r="L89" s="188">
        <f>SUM(L83:L87)</f>
        <v>0</v>
      </c>
      <c r="M89" s="188"/>
      <c r="N89" s="188"/>
      <c r="O89" s="188">
        <f t="shared" si="67" ref="O89:X89">SUM(O83:O87)</f>
        <v>0</v>
      </c>
      <c r="P89" s="188">
        <f t="shared" si="67"/>
        <v>0</v>
      </c>
      <c r="Q89" s="188">
        <f t="shared" si="67"/>
        <v>0</v>
      </c>
      <c r="R89" s="188">
        <f t="shared" si="67"/>
        <v>0</v>
      </c>
      <c r="S89" s="188">
        <f t="shared" si="67"/>
        <v>0</v>
      </c>
      <c r="T89" s="188">
        <f t="shared" si="67"/>
        <v>0</v>
      </c>
      <c r="U89" s="188">
        <f t="shared" si="67"/>
        <v>0</v>
      </c>
      <c r="V89" s="188">
        <f t="shared" si="67"/>
        <v>0</v>
      </c>
      <c r="W89" s="188">
        <f t="shared" si="67"/>
        <v>0</v>
      </c>
      <c r="X89" s="188">
        <f t="shared" si="67"/>
        <v>0</v>
      </c>
      <c r="Y89" s="4" t="b">
        <f>ROUND(X89,2)=ROUND(L89,2)</f>
        <v>1</v>
      </c>
      <c r="Z89" s="181">
        <f>+L89-X89</f>
        <v>0</v>
      </c>
    </row>
    <row r="90" spans="1:24" s="4" customFormat="1" ht="15" customHeight="1">
      <c r="A90" s="16">
        <v>76</v>
      </c>
      <c r="B90" s="8"/>
      <c r="C90" s="22"/>
      <c r="D90" s="18"/>
      <c r="E90" s="13"/>
      <c r="F90" s="13"/>
      <c r="G90" s="13"/>
      <c r="H90" s="13"/>
      <c r="I90" s="13"/>
      <c r="J90" s="13"/>
      <c r="K90" s="159"/>
      <c r="L90" s="16"/>
      <c r="M90" s="13"/>
      <c r="N90" s="16"/>
      <c r="O90" s="13"/>
      <c r="P90" s="13"/>
      <c r="Q90" s="13"/>
      <c r="R90" s="13"/>
      <c r="S90" s="20"/>
      <c r="T90" s="20"/>
      <c r="U90" s="20"/>
      <c r="V90" s="20"/>
      <c r="W90" s="20">
        <v>0</v>
      </c>
      <c r="X90" s="20"/>
    </row>
    <row r="91" spans="1:24" s="4" customFormat="1" ht="15" customHeight="1">
      <c r="A91" s="16">
        <v>77</v>
      </c>
      <c r="D91" s="16"/>
      <c r="E91" s="13"/>
      <c r="F91" s="13"/>
      <c r="G91" s="13"/>
      <c r="H91" s="13"/>
      <c r="I91" s="13"/>
      <c r="J91" s="13"/>
      <c r="K91" s="159"/>
      <c r="L91" s="16"/>
      <c r="M91" s="13"/>
      <c r="N91" s="24"/>
      <c r="O91" s="13"/>
      <c r="P91" s="13"/>
      <c r="Q91" s="13"/>
      <c r="R91" s="13"/>
      <c r="S91" s="20"/>
      <c r="T91" s="20"/>
      <c r="U91" s="20"/>
      <c r="V91" s="20"/>
      <c r="W91" s="20">
        <v>0</v>
      </c>
      <c r="X91" s="20"/>
    </row>
    <row r="92" spans="1:24" s="4" customFormat="1" ht="15" customHeight="1">
      <c r="A92" s="16">
        <v>78</v>
      </c>
      <c r="B92" s="8"/>
      <c r="C92" s="59" t="s">
        <v>267</v>
      </c>
      <c r="D92" s="18" t="s">
        <v>307</v>
      </c>
      <c r="E92" s="13"/>
      <c r="F92" s="13"/>
      <c r="G92" s="13"/>
      <c r="H92" s="13"/>
      <c r="I92" s="13"/>
      <c r="J92" s="13"/>
      <c r="K92" s="159"/>
      <c r="L92" s="16"/>
      <c r="M92" s="13"/>
      <c r="N92" s="16"/>
      <c r="O92" s="13"/>
      <c r="P92" s="13"/>
      <c r="Q92" s="13"/>
      <c r="R92" s="13"/>
      <c r="S92" s="20"/>
      <c r="T92" s="20"/>
      <c r="U92" s="20"/>
      <c r="V92" s="20"/>
      <c r="W92" s="20">
        <v>0</v>
      </c>
      <c r="X92" s="20"/>
    </row>
    <row r="93" spans="1:26" s="4" customFormat="1" ht="15" customHeight="1">
      <c r="A93" s="16">
        <v>79</v>
      </c>
      <c r="B93" s="4" t="s">
        <v>268</v>
      </c>
      <c r="C93" s="4" t="s">
        <v>261</v>
      </c>
      <c r="D93" s="16"/>
      <c r="E93" s="156">
        <v>0</v>
      </c>
      <c r="F93" s="156">
        <v>0</v>
      </c>
      <c r="G93" s="156">
        <v>0</v>
      </c>
      <c r="H93" s="156">
        <f>+E93-F93+G93</f>
        <v>0</v>
      </c>
      <c r="I93" s="156">
        <f>+'[2]Labor Summary'!N58</f>
        <v>0</v>
      </c>
      <c r="J93" s="156">
        <f>+H93+I93</f>
        <v>0</v>
      </c>
      <c r="K93" s="159">
        <v>1</v>
      </c>
      <c r="L93" s="156">
        <f>+J93*K93</f>
        <v>0</v>
      </c>
      <c r="M93" s="13"/>
      <c r="N93" s="16"/>
      <c r="O93" s="156">
        <f>ROUND('[1]Total Labor Summary'!C57,2)+ROUND('[2]Labor Summary'!D58,2)</f>
        <v>0</v>
      </c>
      <c r="P93" s="156">
        <f>ROUND('[1]Total Labor Summary'!D57,2)+ROUND('[2]Labor Summary'!E58,2)</f>
        <v>0</v>
      </c>
      <c r="Q93" s="156">
        <f>ROUND('[1]Total Labor Summary'!E57,2)+ROUND('[2]Labor Summary'!F58,2)</f>
        <v>0</v>
      </c>
      <c r="R93" s="156">
        <f t="shared" si="68" ref="R93">SUM(O93:Q93)</f>
        <v>0</v>
      </c>
      <c r="S93" s="156">
        <f>ROUND('[1]Total Labor Summary'!G57,2)+ROUND('[2]Labor Summary'!H58,2)</f>
        <v>0</v>
      </c>
      <c r="T93" s="156">
        <f>ROUND('[1]Total Labor Summary'!H57,2)+ROUND('[2]Labor Summary'!I58,2)</f>
        <v>0</v>
      </c>
      <c r="U93" s="156">
        <f t="shared" si="69" ref="U93">SUM(S93:T93)</f>
        <v>0</v>
      </c>
      <c r="V93" s="156">
        <f>ROUND('[1]Total Labor Summary'!J57,2)+ROUND('[2]Labor Summary'!K58,2)</f>
        <v>0</v>
      </c>
      <c r="W93" s="156">
        <f>ROUND('[1]Total Labor Summary'!K57,2)+ROUND('[2]Labor Summary'!L58,2)</f>
        <v>0</v>
      </c>
      <c r="X93" s="156">
        <f t="shared" si="70" ref="X93:X97">+R93+U93+V93+W93</f>
        <v>0</v>
      </c>
      <c r="Y93" s="4" t="b">
        <f>ROUND(X93,2)=ROUND(L93,2)</f>
        <v>1</v>
      </c>
      <c r="Z93" s="181">
        <f>+L93-X93</f>
        <v>0</v>
      </c>
    </row>
    <row r="94" spans="1:26" s="4" customFormat="1" ht="15" customHeight="1">
      <c r="A94" s="16">
        <v>80</v>
      </c>
      <c r="B94" s="4" t="s">
        <v>287</v>
      </c>
      <c r="C94" s="4" t="s">
        <v>335</v>
      </c>
      <c r="D94" s="16"/>
      <c r="E94" s="13">
        <v>0</v>
      </c>
      <c r="F94" s="13">
        <v>0</v>
      </c>
      <c r="G94" s="13">
        <v>0</v>
      </c>
      <c r="H94" s="13">
        <f>+E94-F94+G94</f>
        <v>0</v>
      </c>
      <c r="I94" s="13">
        <f>+'[2]Labor Summary'!N59</f>
        <v>0</v>
      </c>
      <c r="J94" s="13">
        <f>+H94+I94</f>
        <v>0</v>
      </c>
      <c r="K94" s="159">
        <v>1</v>
      </c>
      <c r="L94" s="104">
        <f>+J94*K94</f>
        <v>0</v>
      </c>
      <c r="M94" s="13"/>
      <c r="N94" s="16"/>
      <c r="O94" s="13">
        <f>ROUND('[1]Total Labor Summary'!C58,2)+ROUND('[2]Labor Summary'!D59,2)</f>
        <v>0</v>
      </c>
      <c r="P94" s="13">
        <f>ROUND('[1]Total Labor Summary'!D58,2)+ROUND('[2]Labor Summary'!E59,2)</f>
        <v>0</v>
      </c>
      <c r="Q94" s="13">
        <f>ROUND('[1]Total Labor Summary'!E58,2)+ROUND('[2]Labor Summary'!F59,2)</f>
        <v>0</v>
      </c>
      <c r="R94" s="13">
        <f t="shared" si="71" ref="R94:R97">SUM(O94:Q94)</f>
        <v>0</v>
      </c>
      <c r="S94" s="13">
        <f>ROUND('[1]Total Labor Summary'!G58,2)+ROUND('[2]Labor Summary'!H59,2)</f>
        <v>0</v>
      </c>
      <c r="T94" s="13">
        <f>ROUND('[1]Total Labor Summary'!H58,2)+ROUND('[2]Labor Summary'!I59,2)</f>
        <v>0</v>
      </c>
      <c r="U94" s="13">
        <f t="shared" si="72" ref="U94:U97">SUM(S94:T94)</f>
        <v>0</v>
      </c>
      <c r="V94" s="13">
        <f>ROUND('[1]Total Labor Summary'!J58,2)+ROUND('[2]Labor Summary'!K59,2)</f>
        <v>0</v>
      </c>
      <c r="W94" s="13">
        <f>ROUND('[1]Total Labor Summary'!K58,2)+ROUND('[2]Labor Summary'!L59,2)</f>
        <v>0</v>
      </c>
      <c r="X94" s="20">
        <f t="shared" si="70"/>
        <v>0</v>
      </c>
      <c r="Y94" s="4" t="b">
        <f>ROUND(X94,2)=ROUND(L94,2)</f>
        <v>1</v>
      </c>
      <c r="Z94" s="181">
        <f>+L94-X94</f>
        <v>0</v>
      </c>
    </row>
    <row r="95" spans="1:26" s="4" customFormat="1" ht="15" customHeight="1">
      <c r="A95" s="16">
        <v>81</v>
      </c>
      <c r="B95" s="4" t="s">
        <v>288</v>
      </c>
      <c r="C95" s="4" t="s">
        <v>336</v>
      </c>
      <c r="D95" s="16"/>
      <c r="E95" s="13">
        <v>0</v>
      </c>
      <c r="F95" s="13">
        <v>0</v>
      </c>
      <c r="G95" s="13">
        <v>0</v>
      </c>
      <c r="H95" s="13">
        <f>+E95-F95+G95</f>
        <v>0</v>
      </c>
      <c r="I95" s="13">
        <f>+'[2]Labor Summary'!N60</f>
        <v>0</v>
      </c>
      <c r="J95" s="13">
        <f>+H95+I95</f>
        <v>0</v>
      </c>
      <c r="K95" s="159">
        <v>1</v>
      </c>
      <c r="L95" s="104">
        <f>+J95*K95</f>
        <v>0</v>
      </c>
      <c r="M95" s="13"/>
      <c r="N95" s="16"/>
      <c r="O95" s="13">
        <f>ROUND('[1]Total Labor Summary'!C59,2)+ROUND('[2]Labor Summary'!D60,2)</f>
        <v>0</v>
      </c>
      <c r="P95" s="13">
        <f>ROUND('[1]Total Labor Summary'!D59,2)+ROUND('[2]Labor Summary'!E60,2)</f>
        <v>0</v>
      </c>
      <c r="Q95" s="13">
        <f>ROUND('[1]Total Labor Summary'!E59,2)+ROUND('[2]Labor Summary'!F60,2)</f>
        <v>0</v>
      </c>
      <c r="R95" s="13">
        <f t="shared" si="71"/>
        <v>0</v>
      </c>
      <c r="S95" s="13">
        <f>ROUND('[1]Total Labor Summary'!G59,2)+ROUND('[2]Labor Summary'!H60,2)</f>
        <v>0</v>
      </c>
      <c r="T95" s="13">
        <f>ROUND('[1]Total Labor Summary'!H59,2)+ROUND('[2]Labor Summary'!I60,2)</f>
        <v>0</v>
      </c>
      <c r="U95" s="13">
        <f t="shared" si="72"/>
        <v>0</v>
      </c>
      <c r="V95" s="13">
        <f>ROUND('[1]Total Labor Summary'!J59,2)+ROUND('[2]Labor Summary'!K60,2)</f>
        <v>0</v>
      </c>
      <c r="W95" s="13">
        <f>ROUND('[1]Total Labor Summary'!K59,2)+ROUND('[2]Labor Summary'!L60,2)</f>
        <v>0</v>
      </c>
      <c r="X95" s="20">
        <f t="shared" si="70"/>
        <v>0</v>
      </c>
      <c r="Y95" s="4" t="b">
        <f>ROUND(X95,2)=ROUND(L95,2)</f>
        <v>1</v>
      </c>
      <c r="Z95" s="181">
        <f>+L95-X95</f>
        <v>0</v>
      </c>
    </row>
    <row r="96" spans="1:26" s="4" customFormat="1" ht="15" customHeight="1">
      <c r="A96" s="16">
        <v>82</v>
      </c>
      <c r="B96" s="4" t="s">
        <v>269</v>
      </c>
      <c r="C96" s="4" t="s">
        <v>337</v>
      </c>
      <c r="D96" s="16"/>
      <c r="E96" s="13">
        <v>0</v>
      </c>
      <c r="F96" s="13">
        <v>0</v>
      </c>
      <c r="G96" s="13">
        <v>0</v>
      </c>
      <c r="H96" s="13">
        <f>+E96-F96+G96</f>
        <v>0</v>
      </c>
      <c r="I96" s="13">
        <f>+'[2]Labor Summary'!N61</f>
        <v>0</v>
      </c>
      <c r="J96" s="13">
        <f>+H96+I96</f>
        <v>0</v>
      </c>
      <c r="K96" s="159">
        <v>1</v>
      </c>
      <c r="L96" s="104">
        <f>+J96*K96</f>
        <v>0</v>
      </c>
      <c r="M96" s="13"/>
      <c r="N96" s="16"/>
      <c r="O96" s="13">
        <f>ROUND('[1]Total Labor Summary'!C60,2)+ROUND('[2]Labor Summary'!D61,2)</f>
        <v>0</v>
      </c>
      <c r="P96" s="13">
        <f>ROUND('[1]Total Labor Summary'!D60,2)+ROUND('[2]Labor Summary'!E61,2)</f>
        <v>0</v>
      </c>
      <c r="Q96" s="13">
        <f>ROUND('[1]Total Labor Summary'!E60,2)+ROUND('[2]Labor Summary'!F61,2)</f>
        <v>0</v>
      </c>
      <c r="R96" s="13">
        <f t="shared" si="71"/>
        <v>0</v>
      </c>
      <c r="S96" s="13">
        <f>ROUND('[1]Total Labor Summary'!G60,2)+ROUND('[2]Labor Summary'!H61,2)</f>
        <v>0</v>
      </c>
      <c r="T96" s="13">
        <f>ROUND('[1]Total Labor Summary'!H60,2)+ROUND('[2]Labor Summary'!I61,2)</f>
        <v>0</v>
      </c>
      <c r="U96" s="13">
        <f t="shared" si="72"/>
        <v>0</v>
      </c>
      <c r="V96" s="13">
        <f>ROUND('[1]Total Labor Summary'!J60,2)+ROUND('[2]Labor Summary'!K61,2)</f>
        <v>0</v>
      </c>
      <c r="W96" s="13">
        <f>ROUND('[1]Total Labor Summary'!K60,2)+ROUND('[2]Labor Summary'!L61,2)</f>
        <v>0</v>
      </c>
      <c r="X96" s="20">
        <f t="shared" si="70"/>
        <v>0</v>
      </c>
      <c r="Y96" s="4" t="b">
        <f>ROUND(X96,2)=ROUND(L96,2)</f>
        <v>1</v>
      </c>
      <c r="Z96" s="181">
        <f>+L96-X96</f>
        <v>0</v>
      </c>
    </row>
    <row r="97" spans="1:26" s="8" customFormat="1" ht="15" customHeight="1">
      <c r="A97" s="16">
        <v>83</v>
      </c>
      <c r="B97" s="4" t="s">
        <v>289</v>
      </c>
      <c r="C97" s="4" t="s">
        <v>338</v>
      </c>
      <c r="D97" s="16"/>
      <c r="E97" s="13">
        <v>0</v>
      </c>
      <c r="F97" s="13">
        <v>0</v>
      </c>
      <c r="G97" s="13">
        <v>0</v>
      </c>
      <c r="H97" s="13">
        <f>+E97-F97+G97</f>
        <v>0</v>
      </c>
      <c r="I97" s="13">
        <v>0</v>
      </c>
      <c r="J97" s="13">
        <f>+H97+I97</f>
        <v>0</v>
      </c>
      <c r="K97" s="159">
        <v>1</v>
      </c>
      <c r="L97" s="104">
        <f>+J97*K97</f>
        <v>0</v>
      </c>
      <c r="M97" s="19"/>
      <c r="N97" s="16"/>
      <c r="O97" s="13">
        <f>ROUND('[1]Total Labor Summary'!C61,2)+ROUND('[2]Labor Summary'!D62,2)</f>
        <v>0</v>
      </c>
      <c r="P97" s="13">
        <f>ROUND('[1]Total Labor Summary'!D61,2)+ROUND('[2]Labor Summary'!E62,2)</f>
        <v>0</v>
      </c>
      <c r="Q97" s="13">
        <f>ROUND('[1]Total Labor Summary'!E61,2)+ROUND('[2]Labor Summary'!F62,2)</f>
        <v>0</v>
      </c>
      <c r="R97" s="13">
        <f t="shared" si="71"/>
        <v>0</v>
      </c>
      <c r="S97" s="13">
        <f>ROUND('[1]Total Labor Summary'!G61,2)+ROUND('[2]Labor Summary'!H62,2)</f>
        <v>0</v>
      </c>
      <c r="T97" s="13">
        <f>ROUND('[1]Total Labor Summary'!H61,2)+ROUND('[2]Labor Summary'!I62,2)</f>
        <v>0</v>
      </c>
      <c r="U97" s="13">
        <f t="shared" si="72"/>
        <v>0</v>
      </c>
      <c r="V97" s="13">
        <f>ROUND('[1]Total Labor Summary'!J61,2)+ROUND('[2]Labor Summary'!K62,2)</f>
        <v>0</v>
      </c>
      <c r="W97" s="13">
        <f>ROUND('[1]Total Labor Summary'!K61,2)+ROUND('[2]Labor Summary'!L62,2)</f>
        <v>0</v>
      </c>
      <c r="X97" s="20">
        <f t="shared" si="70"/>
        <v>0</v>
      </c>
      <c r="Y97" s="4" t="b">
        <f>ROUND(X97,2)=ROUND(L97,2)</f>
        <v>1</v>
      </c>
      <c r="Z97" s="181">
        <f>+L97-X97</f>
        <v>0</v>
      </c>
    </row>
    <row r="98" spans="1:24" s="4" customFormat="1" ht="15" customHeight="1">
      <c r="A98" s="16">
        <v>84</v>
      </c>
      <c r="C98" s="22"/>
      <c r="D98" s="16"/>
      <c r="E98" s="124"/>
      <c r="F98" s="124"/>
      <c r="G98" s="124"/>
      <c r="H98" s="124"/>
      <c r="I98" s="124"/>
      <c r="J98" s="124"/>
      <c r="K98" s="159"/>
      <c r="L98" s="124"/>
      <c r="M98" s="13"/>
      <c r="N98" s="18"/>
      <c r="O98" s="124"/>
      <c r="P98" s="124"/>
      <c r="Q98" s="124"/>
      <c r="R98" s="124"/>
      <c r="S98" s="124"/>
      <c r="T98" s="124"/>
      <c r="U98" s="124"/>
      <c r="V98" s="124"/>
      <c r="W98" s="124">
        <v>0</v>
      </c>
      <c r="X98" s="124"/>
    </row>
    <row r="99" spans="1:26" s="8" customFormat="1" ht="15" customHeight="1">
      <c r="A99" s="16">
        <v>85</v>
      </c>
      <c r="B99" s="8" t="s">
        <v>36</v>
      </c>
      <c r="D99" s="18" t="s">
        <v>307</v>
      </c>
      <c r="E99" s="188">
        <f t="shared" si="73" ref="E99:J99">SUM(E93:E97)</f>
        <v>0</v>
      </c>
      <c r="F99" s="188">
        <f t="shared" si="73"/>
        <v>0</v>
      </c>
      <c r="G99" s="188">
        <f t="shared" si="73"/>
        <v>0</v>
      </c>
      <c r="H99" s="188">
        <f t="shared" si="73"/>
        <v>0</v>
      </c>
      <c r="I99" s="188">
        <f>SUM(I93:I97)</f>
        <v>0</v>
      </c>
      <c r="J99" s="188">
        <f t="shared" si="73"/>
        <v>0</v>
      </c>
      <c r="K99" s="188"/>
      <c r="L99" s="188">
        <f>SUM(L93:L97)</f>
        <v>0</v>
      </c>
      <c r="M99" s="188"/>
      <c r="N99" s="188"/>
      <c r="O99" s="188">
        <f t="shared" si="74" ref="O99">SUM(O93:O97)</f>
        <v>0</v>
      </c>
      <c r="P99" s="188">
        <f t="shared" si="75" ref="P99:X99">SUM(P93:P97)</f>
        <v>0</v>
      </c>
      <c r="Q99" s="188">
        <f t="shared" si="75"/>
        <v>0</v>
      </c>
      <c r="R99" s="188">
        <f t="shared" si="75"/>
        <v>0</v>
      </c>
      <c r="S99" s="188">
        <f t="shared" si="75"/>
        <v>0</v>
      </c>
      <c r="T99" s="188">
        <f t="shared" si="75"/>
        <v>0</v>
      </c>
      <c r="U99" s="188">
        <f t="shared" si="75"/>
        <v>0</v>
      </c>
      <c r="V99" s="188">
        <f t="shared" si="75"/>
        <v>0</v>
      </c>
      <c r="W99" s="188">
        <f t="shared" si="75"/>
        <v>0</v>
      </c>
      <c r="X99" s="188">
        <f t="shared" si="75"/>
        <v>0</v>
      </c>
      <c r="Y99" s="4" t="b">
        <f>ROUND(X99,2)=ROUND(L99,2)</f>
        <v>1</v>
      </c>
      <c r="Z99" s="181">
        <f>+L99-X99</f>
        <v>0</v>
      </c>
    </row>
    <row r="100" spans="1:24" s="4" customFormat="1" ht="15" customHeight="1">
      <c r="A100" s="16">
        <v>86</v>
      </c>
      <c r="C100" s="60"/>
      <c r="D100" s="16"/>
      <c r="E100" s="13"/>
      <c r="F100" s="13"/>
      <c r="G100" s="13"/>
      <c r="H100" s="13"/>
      <c r="I100" s="13"/>
      <c r="J100" s="13"/>
      <c r="K100" s="159"/>
      <c r="L100" s="24"/>
      <c r="M100" s="13"/>
      <c r="N100" s="16"/>
      <c r="O100" s="13"/>
      <c r="P100" s="13"/>
      <c r="Q100" s="13"/>
      <c r="R100" s="13"/>
      <c r="S100" s="13"/>
      <c r="T100" s="13"/>
      <c r="U100" s="13"/>
      <c r="V100" s="13"/>
      <c r="W100" s="13"/>
      <c r="X100" s="13"/>
    </row>
    <row r="101" spans="1:24" s="8" customFormat="1" ht="15" customHeight="1">
      <c r="A101" s="16">
        <v>87</v>
      </c>
      <c r="C101" s="61"/>
      <c r="D101" s="18"/>
      <c r="E101" s="19"/>
      <c r="F101" s="19"/>
      <c r="G101" s="19"/>
      <c r="H101" s="19"/>
      <c r="I101" s="19"/>
      <c r="J101" s="19"/>
      <c r="K101" s="160"/>
      <c r="L101" s="25"/>
      <c r="M101" s="19"/>
      <c r="N101" s="58"/>
      <c r="O101" s="19"/>
      <c r="P101" s="19"/>
      <c r="Q101" s="19"/>
      <c r="R101" s="19"/>
      <c r="S101" s="19"/>
      <c r="T101" s="19"/>
      <c r="U101" s="19"/>
      <c r="V101" s="19"/>
      <c r="W101" s="19"/>
      <c r="X101" s="19"/>
    </row>
    <row r="102" spans="1:26" s="8" customFormat="1" ht="15" customHeight="1">
      <c r="A102" s="16">
        <v>88</v>
      </c>
      <c r="B102" s="8" t="s">
        <v>125</v>
      </c>
      <c r="D102" s="18" t="s">
        <v>307</v>
      </c>
      <c r="E102" s="188">
        <f t="shared" si="76" ref="E102:J102">+E99+E89+E79+E69+E38</f>
        <v>187675368.19</v>
      </c>
      <c r="F102" s="188">
        <f t="shared" si="76"/>
        <v>0</v>
      </c>
      <c r="G102" s="188">
        <f t="shared" si="76"/>
        <v>0</v>
      </c>
      <c r="H102" s="188">
        <f t="shared" si="76"/>
        <v>187675368.19</v>
      </c>
      <c r="I102" s="188">
        <f>+I99+I89+I79+I69+I38</f>
        <v>11251279.539999999</v>
      </c>
      <c r="J102" s="188">
        <f t="shared" si="76"/>
        <v>198926647.72999999</v>
      </c>
      <c r="K102" s="188"/>
      <c r="L102" s="188">
        <f>+L99+L89+L79+L69+L38</f>
        <v>198926647.72999999</v>
      </c>
      <c r="M102" s="188"/>
      <c r="N102" s="188"/>
      <c r="O102" s="188">
        <f t="shared" si="77" ref="O102">+O99+O89+O79+O69+O38</f>
        <v>44571843.730000004</v>
      </c>
      <c r="P102" s="188">
        <f t="shared" si="78" ref="P102:X102">+P99+P89+P79+P69+P38</f>
        <v>0</v>
      </c>
      <c r="Q102" s="188">
        <f t="shared" si="78"/>
        <v>0</v>
      </c>
      <c r="R102" s="188">
        <f t="shared" si="78"/>
        <v>44571843.730000004</v>
      </c>
      <c r="S102" s="188">
        <f t="shared" si="78"/>
        <v>122018539.90000001</v>
      </c>
      <c r="T102" s="188">
        <f t="shared" si="78"/>
        <v>0</v>
      </c>
      <c r="U102" s="188">
        <f t="shared" si="78"/>
        <v>122018539.90000001</v>
      </c>
      <c r="V102" s="188">
        <f t="shared" si="78"/>
        <v>31085348.769999996</v>
      </c>
      <c r="W102" s="188">
        <f t="shared" si="78"/>
        <v>1250915.3300000001</v>
      </c>
      <c r="X102" s="188">
        <f t="shared" si="78"/>
        <v>198926647.72999999</v>
      </c>
      <c r="Y102" s="4" t="b">
        <f>ROUND(X102,2)=ROUND(L102,2)</f>
        <v>1</v>
      </c>
      <c r="Z102" s="181">
        <f>+L102-X102</f>
        <v>0</v>
      </c>
    </row>
    <row r="103" spans="1:23" s="4" customFormat="1" ht="15" customHeight="1">
      <c r="A103" s="16">
        <v>89</v>
      </c>
      <c r="C103" s="8"/>
      <c r="D103" s="13"/>
      <c r="E103" s="13"/>
      <c r="F103" s="13"/>
      <c r="G103" s="13"/>
      <c r="H103" s="13"/>
      <c r="I103" s="13"/>
      <c r="J103" s="13"/>
      <c r="K103" s="159"/>
      <c r="L103" s="24"/>
      <c r="M103" s="13"/>
      <c r="N103" s="18"/>
      <c r="O103" s="13"/>
      <c r="P103" s="13"/>
      <c r="Q103" s="13"/>
      <c r="R103" s="13"/>
      <c r="S103" s="13"/>
      <c r="T103" s="13"/>
      <c r="U103" s="13"/>
      <c r="V103" s="13"/>
      <c r="W103" s="13">
        <v>0</v>
      </c>
    </row>
    <row r="104" spans="1:23" s="4" customFormat="1" ht="15" customHeight="1">
      <c r="A104" s="16">
        <v>90</v>
      </c>
      <c r="B104" s="8" t="s">
        <v>188</v>
      </c>
      <c r="C104" s="8"/>
      <c r="D104" s="18" t="s">
        <v>307</v>
      </c>
      <c r="E104" s="13"/>
      <c r="F104" s="13"/>
      <c r="G104" s="13"/>
      <c r="H104" s="13"/>
      <c r="I104" s="13"/>
      <c r="J104" s="13"/>
      <c r="K104" s="159"/>
      <c r="L104" s="24"/>
      <c r="M104" s="13"/>
      <c r="N104" s="18"/>
      <c r="O104" s="13"/>
      <c r="P104" s="13"/>
      <c r="Q104" s="13"/>
      <c r="R104" s="13"/>
      <c r="S104" s="13"/>
      <c r="T104" s="13"/>
      <c r="U104" s="13"/>
      <c r="V104" s="13"/>
      <c r="W104" s="13"/>
    </row>
    <row r="105" spans="1:27" s="4" customFormat="1" ht="15" customHeight="1">
      <c r="A105" s="16">
        <v>91</v>
      </c>
      <c r="B105" s="4" t="s">
        <v>271</v>
      </c>
      <c r="C105" s="4" t="s">
        <v>339</v>
      </c>
      <c r="D105" s="16"/>
      <c r="E105" s="156">
        <v>91185269.629999995</v>
      </c>
      <c r="F105" s="156">
        <v>0</v>
      </c>
      <c r="G105" s="156">
        <v>0</v>
      </c>
      <c r="H105" s="156">
        <f t="shared" si="79" ref="H105:H117">+E105-F105+G105</f>
        <v>91185269.629999995</v>
      </c>
      <c r="I105" s="156">
        <f>+'[2]Labor Summary'!N65</f>
        <v>7671757.9399999995</v>
      </c>
      <c r="J105" s="156">
        <f t="shared" si="80" ref="J105:J117">+H105+I105</f>
        <v>98857027.569999993</v>
      </c>
      <c r="K105" s="159">
        <v>1</v>
      </c>
      <c r="L105" s="156">
        <f t="shared" si="81" ref="L105:L117">+J105*K105</f>
        <v>98857027.569999993</v>
      </c>
      <c r="M105" s="13"/>
      <c r="N105" s="16"/>
      <c r="O105" s="156">
        <f>ROUND('[1]Total Labor Summary'!C64,2)+ROUND('[2]Labor Summary'!D65,2)</f>
        <v>19675692</v>
      </c>
      <c r="P105" s="156">
        <f>ROUND('[1]Total Labor Summary'!D64,2)+ROUND('[2]Labor Summary'!E65,2)</f>
        <v>0</v>
      </c>
      <c r="Q105" s="156">
        <f>ROUND('[1]Total Labor Summary'!E64,2)+ROUND('[2]Labor Summary'!F65,2)</f>
        <v>0</v>
      </c>
      <c r="R105" s="156">
        <f t="shared" si="82" ref="R105">SUM(O105:Q105)</f>
        <v>19675692</v>
      </c>
      <c r="S105" s="156">
        <f>ROUND('[1]Total Labor Summary'!G64,2)+ROUND('[2]Labor Summary'!H65,2)</f>
        <v>48295262.43</v>
      </c>
      <c r="T105" s="156">
        <f>ROUND('[1]Total Labor Summary'!H64,2)+ROUND('[2]Labor Summary'!I65,2)</f>
        <v>0</v>
      </c>
      <c r="U105" s="156">
        <f t="shared" si="83" ref="U105">SUM(S105:T105)</f>
        <v>48295262.43</v>
      </c>
      <c r="V105" s="156">
        <f>ROUND('[1]Total Labor Summary'!J64,2)+ROUND('[2]Labor Summary'!K65,2)</f>
        <v>13067163.640000001</v>
      </c>
      <c r="W105" s="156">
        <f>ROUND('[1]Total Labor Summary'!K64,2)+ROUND('[2]Labor Summary'!L65,2)</f>
        <v>17818909.5</v>
      </c>
      <c r="X105" s="156">
        <f t="shared" si="84" ref="X105:X117">+R105+U105+V105+W105</f>
        <v>98857027.570000008</v>
      </c>
      <c r="Y105" s="4" t="b">
        <f t="shared" si="85" ref="Y105:Y117">ROUND(X105,2)=ROUND(L105,2)</f>
        <v>1</v>
      </c>
      <c r="Z105" s="181">
        <f t="shared" si="86" ref="Z105:Z117">+L105-X105</f>
        <v>0</v>
      </c>
      <c r="AA105" s="323"/>
    </row>
    <row r="106" spans="1:26" s="4" customFormat="1" ht="15" customHeight="1">
      <c r="A106" s="16">
        <v>92</v>
      </c>
      <c r="B106" s="4" t="s">
        <v>272</v>
      </c>
      <c r="C106" s="4" t="s">
        <v>340</v>
      </c>
      <c r="D106" s="16"/>
      <c r="E106" s="13">
        <v>0</v>
      </c>
      <c r="F106" s="13">
        <v>0</v>
      </c>
      <c r="G106" s="13">
        <v>0</v>
      </c>
      <c r="H106" s="13">
        <f t="shared" si="79"/>
        <v>0</v>
      </c>
      <c r="I106" s="13">
        <f>+'[2]Labor Summary'!N66</f>
        <v>0</v>
      </c>
      <c r="J106" s="13">
        <f t="shared" si="80"/>
        <v>0</v>
      </c>
      <c r="K106" s="159">
        <v>1</v>
      </c>
      <c r="L106" s="104">
        <f t="shared" si="81"/>
        <v>0</v>
      </c>
      <c r="M106" s="13"/>
      <c r="N106" s="16"/>
      <c r="O106" s="13">
        <f>ROUND('[1]Total Labor Summary'!C65,2)+ROUND('[2]Labor Summary'!D66,2)</f>
        <v>0</v>
      </c>
      <c r="P106" s="13">
        <f>ROUND('[1]Total Labor Summary'!D65,2)+ROUND('[2]Labor Summary'!E66,2)</f>
        <v>0</v>
      </c>
      <c r="Q106" s="13">
        <f>ROUND('[1]Total Labor Summary'!E65,2)+ROUND('[2]Labor Summary'!F66,2)</f>
        <v>0</v>
      </c>
      <c r="R106" s="13">
        <f t="shared" si="87" ref="R106:R117">SUM(O106:Q106)</f>
        <v>0</v>
      </c>
      <c r="S106" s="13">
        <f>ROUND('[1]Total Labor Summary'!G65,2)+ROUND('[2]Labor Summary'!H66,2)</f>
        <v>0</v>
      </c>
      <c r="T106" s="13">
        <f>ROUND('[1]Total Labor Summary'!H65,2)+ROUND('[2]Labor Summary'!I66,2)</f>
        <v>0</v>
      </c>
      <c r="U106" s="13">
        <f t="shared" si="88" ref="U106:U117">SUM(S106:T106)</f>
        <v>0</v>
      </c>
      <c r="V106" s="13">
        <f>ROUND('[1]Total Labor Summary'!J65,2)+ROUND('[2]Labor Summary'!K66,2)</f>
        <v>0</v>
      </c>
      <c r="W106" s="13">
        <f>ROUND('[1]Total Labor Summary'!K65,2)+ROUND('[2]Labor Summary'!L66,2)</f>
        <v>0</v>
      </c>
      <c r="X106" s="20">
        <f t="shared" si="84"/>
        <v>0</v>
      </c>
      <c r="Y106" s="4" t="b">
        <f t="shared" si="85"/>
        <v>1</v>
      </c>
      <c r="Z106" s="181">
        <f t="shared" si="86"/>
        <v>0</v>
      </c>
    </row>
    <row r="107" spans="1:26" s="4" customFormat="1" ht="15" customHeight="1">
      <c r="A107" s="16">
        <v>93</v>
      </c>
      <c r="B107" s="4" t="s">
        <v>273</v>
      </c>
      <c r="C107" s="4" t="s">
        <v>341</v>
      </c>
      <c r="D107" s="16"/>
      <c r="E107" s="13">
        <v>0</v>
      </c>
      <c r="F107" s="13">
        <v>0</v>
      </c>
      <c r="G107" s="13">
        <v>0</v>
      </c>
      <c r="H107" s="13">
        <f t="shared" si="79"/>
        <v>0</v>
      </c>
      <c r="I107" s="13">
        <f>+'[2]Labor Summary'!N67</f>
        <v>0</v>
      </c>
      <c r="J107" s="13">
        <f t="shared" si="80"/>
        <v>0</v>
      </c>
      <c r="K107" s="159">
        <v>1</v>
      </c>
      <c r="L107" s="104">
        <f t="shared" si="81"/>
        <v>0</v>
      </c>
      <c r="M107" s="13"/>
      <c r="N107" s="16"/>
      <c r="O107" s="13">
        <f>ROUND('[1]Total Labor Summary'!C66,2)+ROUND('[2]Labor Summary'!D67,2)</f>
        <v>0</v>
      </c>
      <c r="P107" s="13">
        <f>ROUND('[1]Total Labor Summary'!D66,2)+ROUND('[2]Labor Summary'!E67,2)</f>
        <v>0</v>
      </c>
      <c r="Q107" s="13">
        <f>ROUND('[1]Total Labor Summary'!E66,2)+ROUND('[2]Labor Summary'!F67,2)</f>
        <v>0</v>
      </c>
      <c r="R107" s="13">
        <f t="shared" si="87"/>
        <v>0</v>
      </c>
      <c r="S107" s="13">
        <f>ROUND('[1]Total Labor Summary'!G66,2)+ROUND('[2]Labor Summary'!H67,2)</f>
        <v>0</v>
      </c>
      <c r="T107" s="13">
        <f>ROUND('[1]Total Labor Summary'!H66,2)+ROUND('[2]Labor Summary'!I67,2)</f>
        <v>0</v>
      </c>
      <c r="U107" s="13">
        <f t="shared" si="88"/>
        <v>0</v>
      </c>
      <c r="V107" s="13">
        <f>ROUND('[1]Total Labor Summary'!J66,2)+ROUND('[2]Labor Summary'!K67,2)</f>
        <v>0</v>
      </c>
      <c r="W107" s="13">
        <f>ROUND('[1]Total Labor Summary'!K66,2)+ROUND('[2]Labor Summary'!L67,2)</f>
        <v>0</v>
      </c>
      <c r="X107" s="20">
        <f t="shared" si="84"/>
        <v>0</v>
      </c>
      <c r="Y107" s="4" t="b">
        <f t="shared" si="85"/>
        <v>1</v>
      </c>
      <c r="Z107" s="181">
        <f t="shared" si="86"/>
        <v>0</v>
      </c>
    </row>
    <row r="108" spans="1:26" s="4" customFormat="1" ht="15" customHeight="1">
      <c r="A108" s="16">
        <v>94</v>
      </c>
      <c r="B108" s="4" t="s">
        <v>274</v>
      </c>
      <c r="C108" s="4" t="s">
        <v>342</v>
      </c>
      <c r="D108" s="16"/>
      <c r="E108" s="13">
        <v>0</v>
      </c>
      <c r="F108" s="13">
        <v>0</v>
      </c>
      <c r="G108" s="13">
        <v>0</v>
      </c>
      <c r="H108" s="13">
        <f t="shared" si="79"/>
        <v>0</v>
      </c>
      <c r="I108" s="13">
        <f>+'[2]Labor Summary'!N68</f>
        <v>0</v>
      </c>
      <c r="J108" s="13">
        <f t="shared" si="80"/>
        <v>0</v>
      </c>
      <c r="K108" s="159">
        <v>1</v>
      </c>
      <c r="L108" s="104">
        <f t="shared" si="81"/>
        <v>0</v>
      </c>
      <c r="M108" s="13"/>
      <c r="N108" s="16"/>
      <c r="O108" s="13">
        <f>ROUND('[1]Total Labor Summary'!C67,2)+ROUND('[2]Labor Summary'!D68,2)</f>
        <v>0</v>
      </c>
      <c r="P108" s="13">
        <f>ROUND('[1]Total Labor Summary'!D67,2)+ROUND('[2]Labor Summary'!E68,2)</f>
        <v>0</v>
      </c>
      <c r="Q108" s="13">
        <f>ROUND('[1]Total Labor Summary'!E67,2)+ROUND('[2]Labor Summary'!F68,2)</f>
        <v>0</v>
      </c>
      <c r="R108" s="13">
        <f t="shared" si="87"/>
        <v>0</v>
      </c>
      <c r="S108" s="13">
        <f>ROUND('[1]Total Labor Summary'!G67,2)+ROUND('[2]Labor Summary'!H68,2)</f>
        <v>0</v>
      </c>
      <c r="T108" s="13">
        <f>ROUND('[1]Total Labor Summary'!H67,2)+ROUND('[2]Labor Summary'!I68,2)</f>
        <v>0</v>
      </c>
      <c r="U108" s="13">
        <f t="shared" si="88"/>
        <v>0</v>
      </c>
      <c r="V108" s="13">
        <f>ROUND('[1]Total Labor Summary'!J67,2)+ROUND('[2]Labor Summary'!K68,2)</f>
        <v>0</v>
      </c>
      <c r="W108" s="13">
        <f>ROUND('[1]Total Labor Summary'!K67,2)+ROUND('[2]Labor Summary'!L68,2)</f>
        <v>0</v>
      </c>
      <c r="X108" s="20">
        <f t="shared" si="84"/>
        <v>0</v>
      </c>
      <c r="Y108" s="4" t="b">
        <f t="shared" si="85"/>
        <v>1</v>
      </c>
      <c r="Z108" s="181">
        <f t="shared" si="86"/>
        <v>0</v>
      </c>
    </row>
    <row r="109" spans="1:26" s="4" customFormat="1" ht="15" customHeight="1">
      <c r="A109" s="16">
        <v>95</v>
      </c>
      <c r="B109" s="4" t="s">
        <v>275</v>
      </c>
      <c r="C109" s="4" t="s">
        <v>343</v>
      </c>
      <c r="D109" s="16"/>
      <c r="E109" s="13">
        <v>0</v>
      </c>
      <c r="F109" s="13">
        <v>0</v>
      </c>
      <c r="G109" s="13">
        <v>0</v>
      </c>
      <c r="H109" s="13">
        <f t="shared" si="79"/>
        <v>0</v>
      </c>
      <c r="I109" s="13">
        <f>+'[2]Labor Summary'!N69</f>
        <v>0</v>
      </c>
      <c r="J109" s="13">
        <f t="shared" si="80"/>
        <v>0</v>
      </c>
      <c r="K109" s="159">
        <v>1</v>
      </c>
      <c r="L109" s="104">
        <f t="shared" si="81"/>
        <v>0</v>
      </c>
      <c r="M109" s="13"/>
      <c r="N109" s="16"/>
      <c r="O109" s="13">
        <f>ROUND('[1]Total Labor Summary'!C68,2)+ROUND('[2]Labor Summary'!D69,2)</f>
        <v>0</v>
      </c>
      <c r="P109" s="13">
        <f>ROUND('[1]Total Labor Summary'!D68,2)+ROUND('[2]Labor Summary'!E69,2)</f>
        <v>0</v>
      </c>
      <c r="Q109" s="13">
        <f>ROUND('[1]Total Labor Summary'!E68,2)+ROUND('[2]Labor Summary'!F69,2)</f>
        <v>0</v>
      </c>
      <c r="R109" s="13">
        <f t="shared" si="87"/>
        <v>0</v>
      </c>
      <c r="S109" s="13">
        <f>ROUND('[1]Total Labor Summary'!G68,2)+ROUND('[2]Labor Summary'!H69,2)</f>
        <v>0</v>
      </c>
      <c r="T109" s="13">
        <f>ROUND('[1]Total Labor Summary'!H68,2)+ROUND('[2]Labor Summary'!I69,2)</f>
        <v>0</v>
      </c>
      <c r="U109" s="13">
        <f t="shared" si="88"/>
        <v>0</v>
      </c>
      <c r="V109" s="13">
        <f>ROUND('[1]Total Labor Summary'!J68,2)+ROUND('[2]Labor Summary'!K69,2)</f>
        <v>0</v>
      </c>
      <c r="W109" s="13">
        <f>ROUND('[1]Total Labor Summary'!K68,2)+ROUND('[2]Labor Summary'!L69,2)</f>
        <v>0</v>
      </c>
      <c r="X109" s="20">
        <f t="shared" si="84"/>
        <v>0</v>
      </c>
      <c r="Y109" s="4" t="b">
        <f t="shared" si="85"/>
        <v>1</v>
      </c>
      <c r="Z109" s="181">
        <f t="shared" si="86"/>
        <v>0</v>
      </c>
    </row>
    <row r="110" spans="1:26" s="4" customFormat="1" ht="15" customHeight="1">
      <c r="A110" s="16">
        <v>96</v>
      </c>
      <c r="B110" s="4" t="s">
        <v>276</v>
      </c>
      <c r="C110" s="4" t="s">
        <v>160</v>
      </c>
      <c r="D110" s="16"/>
      <c r="E110" s="13">
        <v>0</v>
      </c>
      <c r="F110" s="13">
        <v>0</v>
      </c>
      <c r="G110" s="13">
        <v>0</v>
      </c>
      <c r="H110" s="13">
        <f t="shared" si="79"/>
        <v>0</v>
      </c>
      <c r="I110" s="13">
        <f>+'[2]Labor Summary'!N70</f>
        <v>0</v>
      </c>
      <c r="J110" s="13">
        <f t="shared" si="80"/>
        <v>0</v>
      </c>
      <c r="K110" s="159">
        <v>1</v>
      </c>
      <c r="L110" s="104">
        <f t="shared" si="81"/>
        <v>0</v>
      </c>
      <c r="M110" s="13"/>
      <c r="N110" s="16"/>
      <c r="O110" s="13">
        <f>ROUND('[1]Total Labor Summary'!C69,2)+ROUND('[2]Labor Summary'!D70,2)</f>
        <v>0</v>
      </c>
      <c r="P110" s="13">
        <f>ROUND('[1]Total Labor Summary'!D69,2)+ROUND('[2]Labor Summary'!E70,2)</f>
        <v>0</v>
      </c>
      <c r="Q110" s="13">
        <f>ROUND('[1]Total Labor Summary'!E69,2)+ROUND('[2]Labor Summary'!F70,2)</f>
        <v>0</v>
      </c>
      <c r="R110" s="13">
        <f t="shared" si="87"/>
        <v>0</v>
      </c>
      <c r="S110" s="13">
        <f>ROUND('[1]Total Labor Summary'!G69,2)+ROUND('[2]Labor Summary'!H70,2)</f>
        <v>0</v>
      </c>
      <c r="T110" s="13">
        <f>ROUND('[1]Total Labor Summary'!H69,2)+ROUND('[2]Labor Summary'!I70,2)</f>
        <v>0</v>
      </c>
      <c r="U110" s="13">
        <f t="shared" si="88"/>
        <v>0</v>
      </c>
      <c r="V110" s="13">
        <f>ROUND('[1]Total Labor Summary'!J69,2)+ROUND('[2]Labor Summary'!K70,2)</f>
        <v>0</v>
      </c>
      <c r="W110" s="13">
        <f>ROUND('[1]Total Labor Summary'!K69,2)+ROUND('[2]Labor Summary'!L70,2)</f>
        <v>0</v>
      </c>
      <c r="X110" s="20">
        <f t="shared" si="84"/>
        <v>0</v>
      </c>
      <c r="Y110" s="4" t="b">
        <f t="shared" si="85"/>
        <v>1</v>
      </c>
      <c r="Z110" s="181">
        <f t="shared" si="86"/>
        <v>0</v>
      </c>
    </row>
    <row r="111" spans="1:26" s="4" customFormat="1" ht="15" customHeight="1">
      <c r="A111" s="16">
        <v>97</v>
      </c>
      <c r="B111" s="4" t="s">
        <v>277</v>
      </c>
      <c r="C111" s="4" t="s">
        <v>28</v>
      </c>
      <c r="D111" s="16"/>
      <c r="E111" s="13">
        <v>0</v>
      </c>
      <c r="F111" s="13">
        <v>0</v>
      </c>
      <c r="G111" s="13">
        <v>0</v>
      </c>
      <c r="H111" s="13">
        <f t="shared" si="79"/>
        <v>0</v>
      </c>
      <c r="I111" s="13">
        <f>+'[2]Labor Summary'!N71</f>
        <v>0</v>
      </c>
      <c r="J111" s="13">
        <f t="shared" si="80"/>
        <v>0</v>
      </c>
      <c r="K111" s="159">
        <v>1</v>
      </c>
      <c r="L111" s="104">
        <f t="shared" si="81"/>
        <v>0</v>
      </c>
      <c r="M111" s="13"/>
      <c r="N111" s="16"/>
      <c r="O111" s="13">
        <f>ROUND('[1]Total Labor Summary'!C70,2)+ROUND('[2]Labor Summary'!D71,2)</f>
        <v>0</v>
      </c>
      <c r="P111" s="13">
        <f>ROUND('[1]Total Labor Summary'!D70,2)+ROUND('[2]Labor Summary'!E71,2)</f>
        <v>0</v>
      </c>
      <c r="Q111" s="13">
        <f>ROUND('[1]Total Labor Summary'!E70,2)+ROUND('[2]Labor Summary'!F71,2)</f>
        <v>0</v>
      </c>
      <c r="R111" s="13">
        <f t="shared" si="87"/>
        <v>0</v>
      </c>
      <c r="S111" s="13">
        <f>ROUND('[1]Total Labor Summary'!G70,2)+ROUND('[2]Labor Summary'!H71,2)</f>
        <v>0</v>
      </c>
      <c r="T111" s="13">
        <f>ROUND('[1]Total Labor Summary'!H70,2)+ROUND('[2]Labor Summary'!I71,2)</f>
        <v>0</v>
      </c>
      <c r="U111" s="13">
        <f t="shared" si="88"/>
        <v>0</v>
      </c>
      <c r="V111" s="13">
        <f>ROUND('[1]Total Labor Summary'!J70,2)+ROUND('[2]Labor Summary'!K71,2)</f>
        <v>0</v>
      </c>
      <c r="W111" s="13">
        <f>ROUND('[1]Total Labor Summary'!K70,2)+ROUND('[2]Labor Summary'!L71,2)</f>
        <v>0</v>
      </c>
      <c r="X111" s="20">
        <f t="shared" si="84"/>
        <v>0</v>
      </c>
      <c r="Y111" s="4" t="b">
        <f t="shared" si="85"/>
        <v>1</v>
      </c>
      <c r="Z111" s="181">
        <f t="shared" si="86"/>
        <v>0</v>
      </c>
    </row>
    <row r="112" spans="1:26" s="4" customFormat="1" ht="15" customHeight="1">
      <c r="A112" s="16">
        <v>98</v>
      </c>
      <c r="B112" s="4" t="s">
        <v>278</v>
      </c>
      <c r="C112" s="4" t="s">
        <v>127</v>
      </c>
      <c r="D112" s="16"/>
      <c r="E112" s="13">
        <v>0</v>
      </c>
      <c r="F112" s="13">
        <v>0</v>
      </c>
      <c r="G112" s="13">
        <v>0</v>
      </c>
      <c r="H112" s="13">
        <f t="shared" si="79"/>
        <v>0</v>
      </c>
      <c r="I112" s="13">
        <f>+'[2]Labor Summary'!N72</f>
        <v>0</v>
      </c>
      <c r="J112" s="13">
        <f t="shared" si="80"/>
        <v>0</v>
      </c>
      <c r="K112" s="159">
        <v>1</v>
      </c>
      <c r="L112" s="104">
        <f t="shared" si="81"/>
        <v>0</v>
      </c>
      <c r="M112" s="13"/>
      <c r="N112" s="16"/>
      <c r="O112" s="13">
        <f>ROUND('[1]Total Labor Summary'!C71,2)+ROUND('[2]Labor Summary'!D72,2)</f>
        <v>0</v>
      </c>
      <c r="P112" s="13">
        <f>ROUND('[1]Total Labor Summary'!D71,2)+ROUND('[2]Labor Summary'!E72,2)</f>
        <v>0</v>
      </c>
      <c r="Q112" s="13">
        <f>ROUND('[1]Total Labor Summary'!E71,2)+ROUND('[2]Labor Summary'!F72,2)</f>
        <v>0</v>
      </c>
      <c r="R112" s="13">
        <f t="shared" si="87"/>
        <v>0</v>
      </c>
      <c r="S112" s="13">
        <f>ROUND('[1]Total Labor Summary'!G71,2)+ROUND('[2]Labor Summary'!H72,2)</f>
        <v>0</v>
      </c>
      <c r="T112" s="13">
        <f>ROUND('[1]Total Labor Summary'!H71,2)+ROUND('[2]Labor Summary'!I72,2)</f>
        <v>0</v>
      </c>
      <c r="U112" s="13">
        <f t="shared" si="88"/>
        <v>0</v>
      </c>
      <c r="V112" s="13">
        <f>ROUND('[1]Total Labor Summary'!J71,2)+ROUND('[2]Labor Summary'!K72,2)</f>
        <v>0</v>
      </c>
      <c r="W112" s="13">
        <f>ROUND('[1]Total Labor Summary'!K71,2)+ROUND('[2]Labor Summary'!L72,2)</f>
        <v>0</v>
      </c>
      <c r="X112" s="20">
        <f t="shared" si="84"/>
        <v>0</v>
      </c>
      <c r="Y112" s="4" t="b">
        <f t="shared" si="85"/>
        <v>1</v>
      </c>
      <c r="Z112" s="181">
        <f t="shared" si="86"/>
        <v>0</v>
      </c>
    </row>
    <row r="113" spans="1:26" s="4" customFormat="1" ht="15" customHeight="1">
      <c r="A113" s="16">
        <v>99</v>
      </c>
      <c r="B113" s="30" t="s">
        <v>291</v>
      </c>
      <c r="C113" s="4" t="s">
        <v>29</v>
      </c>
      <c r="D113" s="16"/>
      <c r="E113" s="13">
        <v>0</v>
      </c>
      <c r="F113" s="13">
        <v>0</v>
      </c>
      <c r="G113" s="13">
        <v>0</v>
      </c>
      <c r="H113" s="13">
        <f t="shared" si="79"/>
        <v>0</v>
      </c>
      <c r="I113" s="13">
        <f>+'[2]Labor Summary'!N73</f>
        <v>0</v>
      </c>
      <c r="J113" s="13">
        <f t="shared" si="80"/>
        <v>0</v>
      </c>
      <c r="K113" s="159">
        <v>1</v>
      </c>
      <c r="L113" s="104">
        <f t="shared" si="81"/>
        <v>0</v>
      </c>
      <c r="M113" s="13"/>
      <c r="N113" s="16"/>
      <c r="O113" s="13">
        <f>ROUND('[1]Total Labor Summary'!C72,2)+ROUND('[2]Labor Summary'!D73,2)</f>
        <v>0</v>
      </c>
      <c r="P113" s="13">
        <f>ROUND('[1]Total Labor Summary'!D72,2)+ROUND('[2]Labor Summary'!E73,2)</f>
        <v>0</v>
      </c>
      <c r="Q113" s="13">
        <f>ROUND('[1]Total Labor Summary'!E72,2)+ROUND('[2]Labor Summary'!F73,2)</f>
        <v>0</v>
      </c>
      <c r="R113" s="13">
        <f t="shared" si="87"/>
        <v>0</v>
      </c>
      <c r="S113" s="13">
        <f>ROUND('[1]Total Labor Summary'!G72,2)+ROUND('[2]Labor Summary'!H73,2)</f>
        <v>0</v>
      </c>
      <c r="T113" s="13">
        <f>ROUND('[1]Total Labor Summary'!H72,2)+ROUND('[2]Labor Summary'!I73,2)</f>
        <v>0</v>
      </c>
      <c r="U113" s="13">
        <f t="shared" si="88"/>
        <v>0</v>
      </c>
      <c r="V113" s="13">
        <f>ROUND('[1]Total Labor Summary'!J72,2)+ROUND('[2]Labor Summary'!K73,2)</f>
        <v>0</v>
      </c>
      <c r="W113" s="13">
        <f>ROUND('[1]Total Labor Summary'!K72,2)+ROUND('[2]Labor Summary'!L73,2)</f>
        <v>0</v>
      </c>
      <c r="X113" s="20">
        <f t="shared" si="84"/>
        <v>0</v>
      </c>
      <c r="Y113" s="4" t="b">
        <f t="shared" si="85"/>
        <v>1</v>
      </c>
      <c r="Z113" s="181">
        <f t="shared" si="86"/>
        <v>0</v>
      </c>
    </row>
    <row r="114" spans="1:26" s="8" customFormat="1" ht="15" customHeight="1">
      <c r="A114" s="16">
        <v>100</v>
      </c>
      <c r="B114" s="30" t="s">
        <v>290</v>
      </c>
      <c r="C114" s="4" t="s">
        <v>153</v>
      </c>
      <c r="D114" s="16"/>
      <c r="E114" s="13">
        <v>0</v>
      </c>
      <c r="F114" s="13">
        <v>0</v>
      </c>
      <c r="G114" s="13">
        <v>0</v>
      </c>
      <c r="H114" s="13">
        <f t="shared" si="79"/>
        <v>0</v>
      </c>
      <c r="I114" s="13">
        <f>+'[2]Labor Summary'!N74</f>
        <v>0</v>
      </c>
      <c r="J114" s="13">
        <f t="shared" si="80"/>
        <v>0</v>
      </c>
      <c r="K114" s="159">
        <v>1</v>
      </c>
      <c r="L114" s="104">
        <f t="shared" si="81"/>
        <v>0</v>
      </c>
      <c r="M114" s="19"/>
      <c r="N114" s="16"/>
      <c r="O114" s="13">
        <f>ROUND('[1]Total Labor Summary'!C73,2)+ROUND('[2]Labor Summary'!D74,2)</f>
        <v>0</v>
      </c>
      <c r="P114" s="13">
        <f>ROUND('[1]Total Labor Summary'!D73,2)+ROUND('[2]Labor Summary'!E74,2)</f>
        <v>0</v>
      </c>
      <c r="Q114" s="13">
        <f>ROUND('[1]Total Labor Summary'!E73,2)+ROUND('[2]Labor Summary'!F74,2)</f>
        <v>0</v>
      </c>
      <c r="R114" s="13">
        <f t="shared" si="87"/>
        <v>0</v>
      </c>
      <c r="S114" s="13">
        <f>ROUND('[1]Total Labor Summary'!G73,2)+ROUND('[2]Labor Summary'!H74,2)</f>
        <v>0</v>
      </c>
      <c r="T114" s="13">
        <f>ROUND('[1]Total Labor Summary'!H73,2)+ROUND('[2]Labor Summary'!I74,2)</f>
        <v>0</v>
      </c>
      <c r="U114" s="13">
        <f t="shared" si="88"/>
        <v>0</v>
      </c>
      <c r="V114" s="13">
        <f>ROUND('[1]Total Labor Summary'!J73,2)+ROUND('[2]Labor Summary'!K74,2)</f>
        <v>0</v>
      </c>
      <c r="W114" s="13">
        <f>ROUND('[1]Total Labor Summary'!K73,2)+ROUND('[2]Labor Summary'!L74,2)</f>
        <v>0</v>
      </c>
      <c r="X114" s="20">
        <f t="shared" si="84"/>
        <v>0</v>
      </c>
      <c r="Y114" s="4" t="b">
        <f t="shared" si="85"/>
        <v>1</v>
      </c>
      <c r="Z114" s="181">
        <f t="shared" si="86"/>
        <v>0</v>
      </c>
    </row>
    <row r="115" spans="1:26" s="4" customFormat="1" ht="15" customHeight="1">
      <c r="A115" s="16">
        <v>101</v>
      </c>
      <c r="B115" s="4" t="s">
        <v>279</v>
      </c>
      <c r="C115" s="4" t="s">
        <v>228</v>
      </c>
      <c r="D115" s="16"/>
      <c r="E115" s="13">
        <v>0</v>
      </c>
      <c r="F115" s="13">
        <v>0</v>
      </c>
      <c r="G115" s="13">
        <v>0</v>
      </c>
      <c r="H115" s="13">
        <f t="shared" si="79"/>
        <v>0</v>
      </c>
      <c r="I115" s="13">
        <f>+'[2]Labor Summary'!N75</f>
        <v>0</v>
      </c>
      <c r="J115" s="13">
        <f t="shared" si="80"/>
        <v>0</v>
      </c>
      <c r="K115" s="159">
        <v>1</v>
      </c>
      <c r="L115" s="104">
        <f t="shared" si="81"/>
        <v>0</v>
      </c>
      <c r="M115" s="13"/>
      <c r="N115" s="16"/>
      <c r="O115" s="13">
        <f>ROUND('[1]Total Labor Summary'!C74,2)+ROUND('[2]Labor Summary'!D75,2)</f>
        <v>0</v>
      </c>
      <c r="P115" s="13">
        <f>ROUND('[1]Total Labor Summary'!D74,2)+ROUND('[2]Labor Summary'!E75,2)</f>
        <v>0</v>
      </c>
      <c r="Q115" s="13">
        <f>ROUND('[1]Total Labor Summary'!E74,2)+ROUND('[2]Labor Summary'!F75,2)</f>
        <v>0</v>
      </c>
      <c r="R115" s="13">
        <f t="shared" si="87"/>
        <v>0</v>
      </c>
      <c r="S115" s="13">
        <f>ROUND('[1]Total Labor Summary'!G74,2)+ROUND('[2]Labor Summary'!H75,2)</f>
        <v>0</v>
      </c>
      <c r="T115" s="13">
        <f>ROUND('[1]Total Labor Summary'!H74,2)+ROUND('[2]Labor Summary'!I75,2)</f>
        <v>0</v>
      </c>
      <c r="U115" s="13">
        <f t="shared" si="88"/>
        <v>0</v>
      </c>
      <c r="V115" s="13">
        <f>ROUND('[1]Total Labor Summary'!J74,2)+ROUND('[2]Labor Summary'!K75,2)</f>
        <v>0</v>
      </c>
      <c r="W115" s="13">
        <f>ROUND('[1]Total Labor Summary'!K74,2)+ROUND('[2]Labor Summary'!L75,2)</f>
        <v>0</v>
      </c>
      <c r="X115" s="20">
        <f t="shared" si="84"/>
        <v>0</v>
      </c>
      <c r="Y115" s="4" t="b">
        <f t="shared" si="85"/>
        <v>1</v>
      </c>
      <c r="Z115" s="181">
        <f t="shared" si="86"/>
        <v>0</v>
      </c>
    </row>
    <row r="116" spans="1:26" s="4" customFormat="1" ht="15" customHeight="1">
      <c r="A116" s="16">
        <v>102</v>
      </c>
      <c r="B116" s="4" t="s">
        <v>26</v>
      </c>
      <c r="C116" s="4" t="s">
        <v>154</v>
      </c>
      <c r="D116" s="16"/>
      <c r="E116" s="13">
        <v>3134.8099999999999</v>
      </c>
      <c r="F116" s="13">
        <v>0</v>
      </c>
      <c r="G116" s="13">
        <v>0</v>
      </c>
      <c r="H116" s="13">
        <f>+E116-F116+G116</f>
        <v>3134.8099999999999</v>
      </c>
      <c r="I116" s="13">
        <f>+'[2]Labor Summary'!N76</f>
        <v>0</v>
      </c>
      <c r="J116" s="13">
        <f>+H116+I116</f>
        <v>3134.8099999999999</v>
      </c>
      <c r="K116" s="159">
        <v>1</v>
      </c>
      <c r="L116" s="104">
        <f>+J116*K116</f>
        <v>3134.8099999999999</v>
      </c>
      <c r="M116" s="13"/>
      <c r="N116" s="16"/>
      <c r="O116" s="13">
        <f>ROUND('[1]Total Labor Summary'!C75,2)+ROUND('[2]Labor Summary'!D76,2)</f>
        <v>0</v>
      </c>
      <c r="P116" s="13">
        <f>ROUND('[1]Total Labor Summary'!D75,2)+ROUND('[2]Labor Summary'!E76,2)</f>
        <v>0</v>
      </c>
      <c r="Q116" s="13">
        <f>ROUND('[1]Total Labor Summary'!E75,2)+ROUND('[2]Labor Summary'!F76,2)</f>
        <v>0</v>
      </c>
      <c r="R116" s="13">
        <f t="shared" si="87"/>
        <v>0</v>
      </c>
      <c r="S116" s="13">
        <f>ROUND('[1]Total Labor Summary'!G75,2)+ROUND('[2]Labor Summary'!H76,2)</f>
        <v>3118.1799999999998</v>
      </c>
      <c r="T116" s="13">
        <f>ROUND('[1]Total Labor Summary'!H75,2)+ROUND('[2]Labor Summary'!I76,2)</f>
        <v>0</v>
      </c>
      <c r="U116" s="13">
        <f t="shared" si="88"/>
        <v>3118.1799999999998</v>
      </c>
      <c r="V116" s="13">
        <f>ROUND('[1]Total Labor Summary'!J75,2)+ROUND('[2]Labor Summary'!K76,2)</f>
        <v>16.629999999999999</v>
      </c>
      <c r="W116" s="13">
        <f>ROUND('[1]Total Labor Summary'!K75,2)+ROUND('[2]Labor Summary'!L76,2)</f>
        <v>0</v>
      </c>
      <c r="X116" s="20">
        <f t="shared" si="84"/>
        <v>3134.8099999999999</v>
      </c>
      <c r="Y116" s="4" t="b">
        <f t="shared" si="85"/>
        <v>1</v>
      </c>
      <c r="Z116" s="111">
        <f t="shared" si="86"/>
        <v>0</v>
      </c>
    </row>
    <row r="117" spans="1:26" s="4" customFormat="1" ht="15" customHeight="1">
      <c r="A117" s="16">
        <v>103</v>
      </c>
      <c r="B117" s="4" t="s">
        <v>280</v>
      </c>
      <c r="C117" s="4" t="s">
        <v>154</v>
      </c>
      <c r="D117" s="16"/>
      <c r="E117" s="13">
        <v>1992874.8899999999</v>
      </c>
      <c r="F117" s="13">
        <v>0</v>
      </c>
      <c r="G117" s="13">
        <v>0</v>
      </c>
      <c r="H117" s="13">
        <f t="shared" si="79"/>
        <v>1992874.8899999999</v>
      </c>
      <c r="I117" s="13">
        <f>+'[2]Labor Summary'!N77</f>
        <v>0</v>
      </c>
      <c r="J117" s="13">
        <f t="shared" si="80"/>
        <v>1992874.8899999999</v>
      </c>
      <c r="K117" s="159">
        <v>1</v>
      </c>
      <c r="L117" s="104">
        <f t="shared" si="81"/>
        <v>1992874.8899999999</v>
      </c>
      <c r="M117" s="13"/>
      <c r="N117" s="16"/>
      <c r="O117" s="13">
        <f>ROUND('[1]Total Labor Summary'!C76,2)+ROUND('[2]Labor Summary'!D77,2)</f>
        <v>718782.63</v>
      </c>
      <c r="P117" s="13">
        <f>ROUND('[1]Total Labor Summary'!D76,2)+ROUND('[2]Labor Summary'!E77,2)</f>
        <v>0</v>
      </c>
      <c r="Q117" s="13">
        <f>ROUND('[1]Total Labor Summary'!E76,2)+ROUND('[2]Labor Summary'!F77,2)</f>
        <v>0</v>
      </c>
      <c r="R117" s="13">
        <f t="shared" si="87"/>
        <v>718782.63</v>
      </c>
      <c r="S117" s="13">
        <f>ROUND('[1]Total Labor Summary'!G76,2)+ROUND('[2]Labor Summary'!H77,2)</f>
        <v>1273875.04</v>
      </c>
      <c r="T117" s="13">
        <f>ROUND('[1]Total Labor Summary'!H76,2)+ROUND('[2]Labor Summary'!I77,2)</f>
        <v>0</v>
      </c>
      <c r="U117" s="13">
        <f t="shared" si="88"/>
        <v>1273875.04</v>
      </c>
      <c r="V117" s="13">
        <f>ROUND('[1]Total Labor Summary'!J76,2)+ROUND('[2]Labor Summary'!K77,2)</f>
        <v>212.81</v>
      </c>
      <c r="W117" s="13">
        <f>ROUND('[1]Total Labor Summary'!K76,2)+ROUND('[2]Labor Summary'!L77,2)</f>
        <v>4.4100000000000001</v>
      </c>
      <c r="X117" s="20">
        <f t="shared" si="84"/>
        <v>1992874.8899999999</v>
      </c>
      <c r="Y117" s="4" t="b">
        <f t="shared" si="85"/>
        <v>1</v>
      </c>
      <c r="Z117" s="181">
        <f t="shared" si="86"/>
        <v>0</v>
      </c>
    </row>
    <row r="118" spans="1:24" s="4" customFormat="1" ht="15" customHeight="1">
      <c r="A118" s="16">
        <v>104</v>
      </c>
      <c r="B118" s="23"/>
      <c r="D118" s="13"/>
      <c r="E118" s="124"/>
      <c r="F118" s="124"/>
      <c r="G118" s="124"/>
      <c r="H118" s="124"/>
      <c r="I118" s="124"/>
      <c r="J118" s="124"/>
      <c r="K118" s="159"/>
      <c r="L118" s="124"/>
      <c r="M118" s="13"/>
      <c r="N118" s="16"/>
      <c r="O118" s="124"/>
      <c r="P118" s="124"/>
      <c r="Q118" s="124"/>
      <c r="R118" s="124"/>
      <c r="S118" s="126"/>
      <c r="T118" s="126"/>
      <c r="U118" s="126"/>
      <c r="V118" s="126"/>
      <c r="W118" s="126"/>
      <c r="X118" s="126"/>
    </row>
    <row r="119" spans="1:27" s="8" customFormat="1" ht="15" customHeight="1">
      <c r="A119" s="16">
        <v>105</v>
      </c>
      <c r="B119" s="8" t="s">
        <v>71</v>
      </c>
      <c r="D119" s="18"/>
      <c r="E119" s="188">
        <f t="shared" si="89" ref="E119:J119">SUM(E105:E117)</f>
        <v>93181279.329999998</v>
      </c>
      <c r="F119" s="188">
        <f t="shared" si="89"/>
        <v>0</v>
      </c>
      <c r="G119" s="188">
        <f t="shared" si="89"/>
        <v>0</v>
      </c>
      <c r="H119" s="188">
        <f t="shared" si="89"/>
        <v>93181279.329999998</v>
      </c>
      <c r="I119" s="188">
        <f t="shared" si="89"/>
        <v>7671757.9399999995</v>
      </c>
      <c r="J119" s="188">
        <f t="shared" si="89"/>
        <v>100853037.27</v>
      </c>
      <c r="K119" s="188"/>
      <c r="L119" s="188">
        <f>SUM(L105:L117)</f>
        <v>100853037.27</v>
      </c>
      <c r="M119" s="188"/>
      <c r="N119" s="188"/>
      <c r="O119" s="188">
        <f t="shared" si="90" ref="O119">SUM(O105:O117)</f>
        <v>20394474.629999999</v>
      </c>
      <c r="P119" s="188">
        <f t="shared" si="91" ref="P119:X119">SUM(P105:P117)</f>
        <v>0</v>
      </c>
      <c r="Q119" s="188">
        <f t="shared" si="91"/>
        <v>0</v>
      </c>
      <c r="R119" s="188">
        <f t="shared" si="91"/>
        <v>20394474.629999999</v>
      </c>
      <c r="S119" s="188">
        <f t="shared" si="91"/>
        <v>49572255.649999999</v>
      </c>
      <c r="T119" s="188">
        <f t="shared" si="91"/>
        <v>0</v>
      </c>
      <c r="U119" s="188">
        <f t="shared" si="91"/>
        <v>49572255.649999999</v>
      </c>
      <c r="V119" s="188">
        <f t="shared" si="91"/>
        <v>13067393.080000002</v>
      </c>
      <c r="W119" s="188">
        <f t="shared" si="91"/>
        <v>17818913.91</v>
      </c>
      <c r="X119" s="188">
        <f t="shared" si="91"/>
        <v>100853037.27000001</v>
      </c>
      <c r="Y119" s="4" t="b">
        <f>ROUND(X119,2)=ROUND(L119,2)</f>
        <v>1</v>
      </c>
      <c r="Z119" s="181">
        <f>+L119-X119</f>
        <v>0</v>
      </c>
      <c r="AA119" s="322">
        <v>0.36553864675923053</v>
      </c>
    </row>
    <row r="120" spans="1:24" s="4" customFormat="1" ht="15" customHeight="1">
      <c r="A120" s="16">
        <v>106</v>
      </c>
      <c r="D120" s="13"/>
      <c r="E120" s="13"/>
      <c r="F120" s="13"/>
      <c r="G120" s="13"/>
      <c r="H120" s="13"/>
      <c r="I120" s="13"/>
      <c r="J120" s="13"/>
      <c r="K120" s="159"/>
      <c r="L120" s="13"/>
      <c r="M120" s="13"/>
      <c r="N120" s="16"/>
      <c r="O120" s="13"/>
      <c r="P120" s="13"/>
      <c r="Q120" s="13"/>
      <c r="R120" s="13"/>
      <c r="S120" s="13"/>
      <c r="T120" s="13"/>
      <c r="U120" s="13"/>
      <c r="V120" s="13"/>
      <c r="W120" s="13"/>
      <c r="X120" s="13"/>
    </row>
    <row r="121" spans="1:26" s="8" customFormat="1" ht="15" customHeight="1">
      <c r="A121" s="16">
        <v>107</v>
      </c>
      <c r="B121" s="353" t="s">
        <v>1070</v>
      </c>
      <c r="D121" s="18" t="s">
        <v>307</v>
      </c>
      <c r="E121" s="188">
        <f t="shared" si="92" ref="E121:J121">+E119+E102</f>
        <v>280856647.51999998</v>
      </c>
      <c r="F121" s="188">
        <f t="shared" si="92"/>
        <v>0</v>
      </c>
      <c r="G121" s="188">
        <f t="shared" si="92"/>
        <v>0</v>
      </c>
      <c r="H121" s="188">
        <f t="shared" si="92"/>
        <v>280856647.51999998</v>
      </c>
      <c r="I121" s="188">
        <f t="shared" si="92"/>
        <v>18923037.479999997</v>
      </c>
      <c r="J121" s="188">
        <f t="shared" si="92"/>
        <v>299779685</v>
      </c>
      <c r="K121" s="188"/>
      <c r="L121" s="188">
        <f>+L119+L102</f>
        <v>299779685</v>
      </c>
      <c r="M121" s="188"/>
      <c r="N121" s="188"/>
      <c r="O121" s="188">
        <f t="shared" si="93" ref="O121">+O119+O102</f>
        <v>64966318.359999999</v>
      </c>
      <c r="P121" s="188">
        <f t="shared" si="94" ref="P121:X121">+P119+P102</f>
        <v>0</v>
      </c>
      <c r="Q121" s="188">
        <f t="shared" si="94"/>
        <v>0</v>
      </c>
      <c r="R121" s="188">
        <f t="shared" si="94"/>
        <v>64966318.359999999</v>
      </c>
      <c r="S121" s="188">
        <f t="shared" si="94"/>
        <v>171590795.55000001</v>
      </c>
      <c r="T121" s="188">
        <f t="shared" si="94"/>
        <v>0</v>
      </c>
      <c r="U121" s="188">
        <f t="shared" si="94"/>
        <v>171590795.55000001</v>
      </c>
      <c r="V121" s="188">
        <f t="shared" si="94"/>
        <v>44152741.849999994</v>
      </c>
      <c r="W121" s="188">
        <f t="shared" si="94"/>
        <v>19069829.240000002</v>
      </c>
      <c r="X121" s="188">
        <f t="shared" si="94"/>
        <v>299779685</v>
      </c>
      <c r="Y121" s="4" t="b">
        <f>ROUND(X121,2)=ROUND(L121,2)</f>
        <v>1</v>
      </c>
      <c r="Z121" s="181">
        <f>+L121-X121</f>
        <v>0</v>
      </c>
    </row>
    <row r="122" spans="4:23" s="4" customFormat="1" ht="12.75">
      <c r="D122" s="13"/>
      <c r="E122" s="13"/>
      <c r="F122" s="13"/>
      <c r="G122" s="13"/>
      <c r="H122" s="13"/>
      <c r="I122" s="13"/>
      <c r="J122" s="13"/>
      <c r="K122" s="159"/>
      <c r="L122" s="24"/>
      <c r="M122" s="13"/>
      <c r="N122" s="16"/>
      <c r="O122" s="13"/>
      <c r="P122" s="13"/>
      <c r="Q122" s="13"/>
      <c r="R122" s="13"/>
      <c r="S122" s="13"/>
      <c r="T122" s="13"/>
      <c r="U122" s="13"/>
      <c r="V122" s="13"/>
      <c r="W122" s="13"/>
    </row>
    <row r="123" spans="4:24" s="8" customFormat="1" ht="12.75">
      <c r="D123" s="18"/>
      <c r="E123" s="19"/>
      <c r="F123" s="19"/>
      <c r="G123" s="19"/>
      <c r="H123" s="19"/>
      <c r="I123" s="19"/>
      <c r="J123" s="19"/>
      <c r="K123" s="160"/>
      <c r="L123" s="18"/>
      <c r="M123" s="19"/>
      <c r="N123" s="18"/>
      <c r="O123" s="19"/>
      <c r="P123" s="19"/>
      <c r="Q123" s="19"/>
      <c r="R123" s="19"/>
      <c r="S123" s="19"/>
      <c r="T123" s="19"/>
      <c r="U123" s="19"/>
      <c r="V123" s="19"/>
      <c r="W123" s="19"/>
      <c r="X123" s="19"/>
    </row>
    <row r="124" spans="4:14" s="4" customFormat="1" ht="12.75">
      <c r="D124" s="16"/>
      <c r="K124" s="159"/>
      <c r="L124" s="24"/>
      <c r="N124" s="16"/>
    </row>
    <row r="125" spans="4:14" s="4" customFormat="1" ht="12.75">
      <c r="D125" s="16"/>
      <c r="K125" s="159"/>
      <c r="L125" s="24"/>
      <c r="N125" s="16"/>
    </row>
    <row r="126" spans="4:14" s="4" customFormat="1" ht="12.75">
      <c r="D126" s="16"/>
      <c r="K126" s="159"/>
      <c r="L126" s="24"/>
      <c r="N126" s="16"/>
    </row>
    <row r="127" spans="4:14" s="4" customFormat="1" ht="12.75">
      <c r="D127" s="16"/>
      <c r="K127" s="159"/>
      <c r="L127" s="24"/>
      <c r="N127" s="16"/>
    </row>
    <row r="128" spans="4:14" s="4" customFormat="1" ht="12.75">
      <c r="D128" s="16"/>
      <c r="K128" s="159"/>
      <c r="L128" s="24"/>
      <c r="N128" s="16"/>
    </row>
    <row r="129" spans="4:14" s="4" customFormat="1" ht="12.75">
      <c r="D129" s="16"/>
      <c r="L129" s="24"/>
      <c r="N129" s="16"/>
    </row>
    <row r="130" spans="4:14" s="4" customFormat="1" ht="12.75">
      <c r="D130" s="16"/>
      <c r="L130" s="24"/>
      <c r="N130" s="16"/>
    </row>
    <row r="131" spans="4:14" s="4" customFormat="1" ht="12.75">
      <c r="D131" s="16"/>
      <c r="L131" s="24"/>
      <c r="N131" s="16"/>
    </row>
    <row r="132" spans="4:14" s="4" customFormat="1" ht="12.75">
      <c r="D132" s="16"/>
      <c r="L132" s="24"/>
      <c r="N132" s="16"/>
    </row>
    <row r="133" spans="4:14" s="4" customFormat="1" ht="12.75">
      <c r="D133" s="16"/>
      <c r="L133" s="24"/>
      <c r="N133" s="16"/>
    </row>
    <row r="134" spans="4:14" s="4" customFormat="1" ht="12.75">
      <c r="D134" s="16"/>
      <c r="L134" s="24"/>
      <c r="N134" s="16"/>
    </row>
    <row r="135" spans="4:14" s="4" customFormat="1" ht="12.75">
      <c r="D135" s="16"/>
      <c r="L135" s="24"/>
      <c r="N135" s="16"/>
    </row>
    <row r="136" spans="4:14" s="4" customFormat="1" ht="12.75">
      <c r="D136" s="16"/>
      <c r="L136" s="24"/>
      <c r="N136" s="16"/>
    </row>
    <row r="137" spans="4:14" s="4" customFormat="1" ht="12.75">
      <c r="D137" s="16"/>
      <c r="L137" s="24"/>
      <c r="N137" s="16"/>
    </row>
    <row r="138" spans="4:14" s="4" customFormat="1" ht="12.75">
      <c r="D138" s="16"/>
      <c r="L138" s="24"/>
      <c r="N138" s="16"/>
    </row>
    <row r="139" spans="4:14" s="4" customFormat="1" ht="12.75">
      <c r="D139" s="16"/>
      <c r="L139" s="24"/>
      <c r="N139" s="16"/>
    </row>
    <row r="140" spans="4:14" s="4" customFormat="1" ht="12.75">
      <c r="D140" s="16"/>
      <c r="L140" s="16"/>
      <c r="N140" s="16"/>
    </row>
    <row r="141" spans="4:14" s="4" customFormat="1" ht="12.75">
      <c r="D141" s="16"/>
      <c r="L141" s="16"/>
      <c r="N141" s="16"/>
    </row>
    <row r="142" spans="4:14" s="4" customFormat="1" ht="12.75">
      <c r="D142" s="16"/>
      <c r="L142" s="16"/>
      <c r="N142" s="16"/>
    </row>
    <row r="143" spans="4:14" s="4" customFormat="1" ht="12.75">
      <c r="D143" s="16"/>
      <c r="L143" s="16"/>
      <c r="N143" s="16"/>
    </row>
    <row r="144" spans="4:14" s="4" customFormat="1" ht="12.75">
      <c r="D144" s="16"/>
      <c r="L144" s="16"/>
      <c r="N144" s="16"/>
    </row>
    <row r="145" spans="4:14" s="4" customFormat="1" ht="12.75">
      <c r="D145" s="16"/>
      <c r="L145" s="16"/>
      <c r="N145" s="16"/>
    </row>
    <row r="146" spans="4:14" s="4" customFormat="1" ht="12.75">
      <c r="D146" s="16"/>
      <c r="L146" s="16"/>
      <c r="N146" s="16"/>
    </row>
    <row r="147" spans="2:24" ht="12.75">
      <c r="B147" s="4"/>
      <c r="C147" s="4"/>
      <c r="D147" s="16"/>
      <c r="E147" s="4"/>
      <c r="F147" s="4"/>
      <c r="G147" s="4"/>
      <c r="H147" s="4"/>
      <c r="I147" s="4"/>
      <c r="J147" s="4"/>
      <c r="K147" s="4"/>
      <c r="L147" s="16"/>
      <c r="M147" s="4"/>
      <c r="N147" s="16"/>
      <c r="O147" s="4"/>
      <c r="P147" s="4"/>
      <c r="Q147" s="4"/>
      <c r="R147" s="4"/>
      <c r="S147" s="4"/>
      <c r="T147" s="4"/>
      <c r="U147" s="4"/>
      <c r="V147" s="4"/>
      <c r="W147" s="4"/>
      <c r="X147" s="4"/>
    </row>
    <row r="148" spans="2:24" ht="12.75">
      <c r="B148" s="4"/>
      <c r="C148" s="4"/>
      <c r="D148" s="16"/>
      <c r="E148" s="4"/>
      <c r="F148" s="4"/>
      <c r="G148" s="4"/>
      <c r="H148" s="4"/>
      <c r="I148" s="4"/>
      <c r="J148" s="4"/>
      <c r="K148" s="4"/>
      <c r="L148" s="16"/>
      <c r="M148" s="4"/>
      <c r="N148" s="16"/>
      <c r="O148" s="4"/>
      <c r="P148" s="4"/>
      <c r="Q148" s="4"/>
      <c r="R148" s="4"/>
      <c r="S148" s="4"/>
      <c r="T148" s="4"/>
      <c r="U148" s="4"/>
      <c r="V148" s="4"/>
      <c r="W148" s="4"/>
      <c r="X148" s="4"/>
    </row>
    <row r="149" spans="2:24" ht="12.75">
      <c r="B149" s="4"/>
      <c r="C149" s="4"/>
      <c r="D149" s="16"/>
      <c r="E149" s="4"/>
      <c r="F149" s="4"/>
      <c r="G149" s="4"/>
      <c r="H149" s="4"/>
      <c r="I149" s="4"/>
      <c r="J149" s="4"/>
      <c r="K149" s="4"/>
      <c r="L149" s="16"/>
      <c r="M149" s="4"/>
      <c r="N149" s="16"/>
      <c r="O149" s="4"/>
      <c r="P149" s="4"/>
      <c r="Q149" s="4"/>
      <c r="R149" s="4"/>
      <c r="S149" s="4"/>
      <c r="T149" s="4"/>
      <c r="U149" s="4"/>
      <c r="V149" s="4"/>
      <c r="W149" s="4"/>
      <c r="X149" s="4"/>
    </row>
    <row r="150" spans="2:24" ht="12.75">
      <c r="B150" s="4"/>
      <c r="C150" s="4"/>
      <c r="D150" s="16"/>
      <c r="E150" s="4"/>
      <c r="F150" s="4"/>
      <c r="G150" s="4"/>
      <c r="H150" s="4"/>
      <c r="I150" s="4"/>
      <c r="J150" s="4"/>
      <c r="K150" s="4"/>
      <c r="L150" s="16"/>
      <c r="M150" s="4"/>
      <c r="N150" s="16"/>
      <c r="O150" s="4"/>
      <c r="P150" s="4"/>
      <c r="Q150" s="4"/>
      <c r="R150" s="4"/>
      <c r="S150" s="4"/>
      <c r="T150" s="4"/>
      <c r="U150" s="4"/>
      <c r="V150" s="4"/>
      <c r="W150" s="4"/>
      <c r="X150" s="4"/>
    </row>
    <row r="151" spans="2:24" ht="12.75">
      <c r="B151" s="4"/>
      <c r="C151" s="4"/>
      <c r="D151" s="16"/>
      <c r="E151" s="4"/>
      <c r="F151" s="4"/>
      <c r="G151" s="4"/>
      <c r="H151" s="4"/>
      <c r="I151" s="4"/>
      <c r="J151" s="4"/>
      <c r="K151" s="4"/>
      <c r="L151" s="16"/>
      <c r="M151" s="4"/>
      <c r="N151" s="16"/>
      <c r="O151" s="4"/>
      <c r="P151" s="4"/>
      <c r="Q151" s="4"/>
      <c r="R151" s="4"/>
      <c r="S151" s="4"/>
      <c r="T151" s="4"/>
      <c r="U151" s="4"/>
      <c r="V151" s="4"/>
      <c r="W151" s="4"/>
      <c r="X151" s="4"/>
    </row>
    <row r="152" spans="2:24" ht="12.75">
      <c r="B152" s="4"/>
      <c r="C152" s="4"/>
      <c r="D152" s="16"/>
      <c r="E152" s="4"/>
      <c r="F152" s="4"/>
      <c r="G152" s="4"/>
      <c r="H152" s="4"/>
      <c r="I152" s="4"/>
      <c r="J152" s="4"/>
      <c r="K152" s="4"/>
      <c r="L152" s="16"/>
      <c r="M152" s="4"/>
      <c r="N152" s="16"/>
      <c r="O152" s="4"/>
      <c r="P152" s="4"/>
      <c r="Q152" s="4"/>
      <c r="R152" s="4"/>
      <c r="S152" s="4"/>
      <c r="T152" s="4"/>
      <c r="U152" s="4"/>
      <c r="V152" s="4"/>
      <c r="W152" s="4"/>
      <c r="X152" s="4"/>
    </row>
    <row r="153" spans="2:24" ht="12.75">
      <c r="B153" s="4"/>
      <c r="C153" s="4"/>
      <c r="D153" s="16"/>
      <c r="E153" s="4"/>
      <c r="F153" s="4"/>
      <c r="G153" s="4"/>
      <c r="H153" s="4"/>
      <c r="I153" s="4"/>
      <c r="J153" s="4"/>
      <c r="K153" s="4"/>
      <c r="L153" s="16"/>
      <c r="M153" s="4"/>
      <c r="N153" s="16"/>
      <c r="O153" s="4"/>
      <c r="P153" s="4"/>
      <c r="Q153" s="4"/>
      <c r="R153" s="4"/>
      <c r="S153" s="4"/>
      <c r="T153" s="4"/>
      <c r="U153" s="4"/>
      <c r="V153" s="4"/>
      <c r="W153" s="4"/>
      <c r="X153" s="4"/>
    </row>
    <row r="154" spans="2:24" ht="12.75">
      <c r="B154" s="4"/>
      <c r="C154" s="4"/>
      <c r="D154" s="16"/>
      <c r="E154" s="4"/>
      <c r="F154" s="4"/>
      <c r="G154" s="4"/>
      <c r="H154" s="4"/>
      <c r="I154" s="4"/>
      <c r="J154" s="4"/>
      <c r="K154" s="4"/>
      <c r="L154" s="16"/>
      <c r="M154" s="4"/>
      <c r="N154" s="16"/>
      <c r="O154" s="4"/>
      <c r="P154" s="4"/>
      <c r="Q154" s="4"/>
      <c r="R154" s="4"/>
      <c r="S154" s="4"/>
      <c r="T154" s="4"/>
      <c r="U154" s="4"/>
      <c r="V154" s="4"/>
      <c r="W154" s="4"/>
      <c r="X154" s="4"/>
    </row>
    <row r="155" spans="2:24" ht="12.75">
      <c r="B155" s="4"/>
      <c r="C155" s="4"/>
      <c r="D155" s="16"/>
      <c r="E155" s="4"/>
      <c r="F155" s="4"/>
      <c r="G155" s="4"/>
      <c r="H155" s="4"/>
      <c r="I155" s="4"/>
      <c r="J155" s="4"/>
      <c r="K155" s="4"/>
      <c r="L155" s="16"/>
      <c r="M155" s="4"/>
      <c r="N155" s="16"/>
      <c r="O155" s="4"/>
      <c r="P155" s="4"/>
      <c r="Q155" s="4"/>
      <c r="R155" s="4"/>
      <c r="S155" s="4"/>
      <c r="T155" s="4"/>
      <c r="U155" s="4"/>
      <c r="V155" s="4"/>
      <c r="W155" s="4"/>
      <c r="X155" s="4"/>
    </row>
  </sheetData>
  <printOptions horizontalCentered="1"/>
  <pageMargins left="0.5" right="0.5" top="3" bottom="0.5" header="1.5" footer="0.25"/>
  <pageSetup fitToHeight="0" fitToWidth="2" orientation="landscape" pageOrder="overThenDown" scale="53" r:id="rId1"/>
  <headerFooter alignWithMargins="0">
    <oddHeader>&amp;C&amp;B
2022 RATE CASE
ONCOR ELECTRIC DELIVERY COMPANY LLC
II-D-3   PAYROLL EXPENSE DISTRIBUTION
TEST YEAR ENDING DECEMBER 31, 2021
SPONSOR: W. ALAN LEDBETTER&amp;R&amp;"Arial,Bold"Schedule &amp;A
Page &amp;P of &amp;N</oddHeader>
  </headerFooter>
  <rowBreaks count="3" manualBreakCount="3">
    <brk id="39" max="20" man="1"/>
    <brk id="70" max="20" man="1"/>
    <brk id="103" max="23" man="1"/>
  </rowBreaks>
  <colBreaks count="1" manualBreakCount="1">
    <brk id="11" min="14" max="120" man="1"/>
  </colBreak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0">
    <tabColor rgb="FFFF0000"/>
    <pageSetUpPr fitToPage="1"/>
  </sheetPr>
  <dimension ref="A1:A39"/>
  <sheetViews>
    <sheetView workbookViewId="0" topLeftCell="A1">
      <pane ySplit="6" topLeftCell="A7" activePane="bottomLeft" state="frozen"/>
      <selection pane="topLeft" activeCell="A1" sqref="A1"/>
      <selection pane="bottomLeft" activeCell="K21" sqref="K21"/>
    </sheetView>
  </sheetViews>
  <sheetFormatPr defaultRowHeight="12.75"/>
  <sheetData>
    <row r="1" spans="1:1" ht="12.75">
      <c r="A1" s="5" t="str">
        <f>+'[3]Input Data'!$A$9</f>
        <v>2022 RATE CASE</v>
      </c>
    </row>
    <row r="2" spans="1:1" ht="12.75">
      <c r="A2" s="8" t="str">
        <f>+'[3]Input Data'!$A$2</f>
        <v>ONCOR ELECTRIC DELIVERY COMPANY LLC</v>
      </c>
    </row>
    <row r="3" spans="1:1" ht="12.75">
      <c r="A3" s="7" t="str">
        <f>CONCATENATE('[3]Schedule Sponsors'!$A$69,'[3]Schedule Sponsors'!$B$69)</f>
        <v>II-D-3.1  PAYROLL INFORMATION</v>
      </c>
    </row>
    <row r="4" spans="1:1" ht="12.75">
      <c r="A4" s="63" t="str">
        <f>+'[3]Input Data'!$A$4</f>
        <v>TEST YEAR ENDING DECEMBER 31, 2021</v>
      </c>
    </row>
    <row r="5" spans="1:1" ht="12.75">
      <c r="A5" s="7" t="str">
        <f>CONCATENATE("SPONSOR: ",'[3]Schedule Sponsors'!$D$69)</f>
        <v>SPONSOR: A. GUILLORY</v>
      </c>
    </row>
    <row r="10" spans="1:1" ht="15.75">
      <c r="A10" s="118" t="s">
        <v>97</v>
      </c>
    </row>
    <row r="12" spans="1:1" ht="12.75">
      <c r="A12" t="s">
        <v>186</v>
      </c>
    </row>
    <row r="13" spans="1:1" ht="12.75">
      <c r="A13" t="s">
        <v>1052</v>
      </c>
    </row>
    <row r="14" spans="1:1" ht="12.75">
      <c r="A14" t="s">
        <v>1053</v>
      </c>
    </row>
    <row r="16" spans="1:1" ht="15.75">
      <c r="A16" s="118" t="s">
        <v>112</v>
      </c>
    </row>
    <row r="18" spans="1:1" ht="12.75">
      <c r="A18" s="116" t="s">
        <v>165</v>
      </c>
    </row>
    <row r="19" spans="1:1" ht="12.75">
      <c r="A19" s="116" t="s">
        <v>299</v>
      </c>
    </row>
    <row r="20" spans="1:1" ht="12.75">
      <c r="A20" s="116" t="s">
        <v>1054</v>
      </c>
    </row>
    <row r="21" spans="1:1" ht="12.75">
      <c r="A21" s="116"/>
    </row>
    <row r="22" spans="1:1" ht="15.75">
      <c r="A22" s="118" t="s">
        <v>113</v>
      </c>
    </row>
    <row r="24" spans="1:1" ht="12.75">
      <c r="A24" s="183" t="s">
        <v>691</v>
      </c>
    </row>
    <row r="25" spans="1:1" ht="12.75">
      <c r="A25" t="s">
        <v>187</v>
      </c>
    </row>
    <row r="27" spans="1:1" ht="15.75">
      <c r="A27" s="118" t="s">
        <v>114</v>
      </c>
    </row>
    <row r="29" spans="1:1" ht="12.75">
      <c r="A29" t="s">
        <v>98</v>
      </c>
    </row>
    <row r="30" spans="1:1" ht="12.75">
      <c r="A30" t="s">
        <v>189</v>
      </c>
    </row>
    <row r="32" spans="1:1" ht="15.75">
      <c r="A32" s="118" t="s">
        <v>115</v>
      </c>
    </row>
    <row r="34" spans="1:1" ht="12.75">
      <c r="A34" s="183" t="s">
        <v>843</v>
      </c>
    </row>
    <row r="35" spans="1:1" ht="12.75">
      <c r="A35" s="183" t="s">
        <v>844</v>
      </c>
    </row>
    <row r="37" spans="1:1" ht="15.75">
      <c r="A37" s="118" t="s">
        <v>116</v>
      </c>
    </row>
    <row r="39" spans="1:1" ht="12.75">
      <c r="A39" s="183" t="s">
        <v>692</v>
      </c>
    </row>
  </sheetData>
  <printOptions horizontalCentered="1"/>
  <pageMargins left="0.5" right="0.5" top="3" bottom="0.75" header="1.5" footer="0.5"/>
  <pageSetup orientation="landscape" scale="84" r:id="rId1"/>
  <headerFooter alignWithMargins="0">
    <oddHeader>&amp;C&amp;B
2022 RATE CASE
ONCOR ELECTRIC DELIVERY COMPANY LLC
II-D-3.1  PAYROLL INFORMATION
TEST YEAR ENDING DECEMBER 31, 2021
SPONSOR: A. GUILLORY&amp;R&amp;"Arial,Bold"Schedule &amp;A
Page &amp;P of &amp;N</oddHead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1">
    <tabColor rgb="FFFF0000"/>
    <pageSetUpPr fitToPage="1"/>
  </sheetPr>
  <dimension ref="A1:Z162"/>
  <sheetViews>
    <sheetView workbookViewId="0" topLeftCell="A1">
      <pane xSplit="2" ySplit="14" topLeftCell="I60" activePane="bottomRight" state="frozen"/>
      <selection pane="topLeft" activeCell="K68" sqref="K68"/>
      <selection pane="bottomLeft" activeCell="K68" sqref="K68"/>
      <selection pane="topRight" activeCell="K68" sqref="K68"/>
      <selection pane="bottomRight" activeCell="S1" sqref="S1:T1048576"/>
    </sheetView>
  </sheetViews>
  <sheetFormatPr defaultRowHeight="12.75"/>
  <cols>
    <col min="1" max="1" width="6.14285714285714" bestFit="1" customWidth="1"/>
    <col min="2" max="2" width="20.4285714285714" bestFit="1" customWidth="1"/>
    <col min="3" max="3" width="2.71428571428571" customWidth="1"/>
    <col min="4" max="4" width="17" bestFit="1" customWidth="1"/>
    <col min="5" max="5" width="15.2857142857143" bestFit="1" customWidth="1"/>
    <col min="6" max="6" width="10.7142857142857" customWidth="1"/>
    <col min="7" max="7" width="15.7142857142857" bestFit="1" customWidth="1"/>
    <col min="8" max="8" width="17.4285714285714" bestFit="1" customWidth="1"/>
    <col min="9" max="9" width="2.71428571428571" customWidth="1"/>
    <col min="10" max="10" width="8.14285714285714" bestFit="1" customWidth="1"/>
    <col min="11" max="11" width="9.28571428571429" bestFit="1" customWidth="1"/>
    <col min="12" max="12" width="9.71428571428571" customWidth="1"/>
    <col min="13" max="13" width="11.7142857142857" customWidth="1"/>
    <col min="14" max="14" width="12.7142857142857" customWidth="1"/>
    <col min="15" max="15" width="2.71428571428571" customWidth="1"/>
    <col min="16" max="17" width="13.7142857142857" customWidth="1"/>
    <col min="18" max="18" width="8.57142857142857" bestFit="1" customWidth="1"/>
    <col min="19" max="20" width="13.7142857142857" customWidth="1"/>
    <col min="21" max="21" width="2.71428571428571" customWidth="1"/>
    <col min="22" max="23" width="13.7142857142857" customWidth="1"/>
    <col min="24" max="24" width="9.71428571428571" customWidth="1"/>
    <col min="25" max="26" width="13.7142857142857" customWidth="1"/>
  </cols>
  <sheetData>
    <row r="1" spans="1:1" ht="12.75">
      <c r="A1" s="5" t="str">
        <f>+'[3]Input Data'!$A$9</f>
        <v>2022 RATE CASE</v>
      </c>
    </row>
    <row r="2" spans="1:1" ht="12.75">
      <c r="A2" s="8" t="str">
        <f>+'[3]Input Data'!$A$2</f>
        <v>ONCOR ELECTRIC DELIVERY COMPANY LLC</v>
      </c>
    </row>
    <row r="3" spans="1:1" ht="12.75">
      <c r="A3" s="7" t="str">
        <f>CONCATENATE('[3]Schedule Sponsors'!$A$70,'[3]Schedule Sponsors'!$B$70)</f>
        <v>II-D-3.2  REGULAR AND OVERTIME PAYROLL BY FUNCTION</v>
      </c>
    </row>
    <row r="4" spans="1:1" ht="12.75">
      <c r="A4" s="63" t="str">
        <f>+'[3]Input Data'!$A$4</f>
        <v>TEST YEAR ENDING DECEMBER 31, 2021</v>
      </c>
    </row>
    <row r="5" spans="1:1" ht="12.75">
      <c r="A5" s="7" t="str">
        <f>CONCATENATE("SPONSOR: ",'[3]Schedule Sponsors'!$D$70)</f>
        <v>SPONSOR: W. ALAN LEDBETTER</v>
      </c>
    </row>
    <row r="10" spans="1:8" s="2" customFormat="1" ht="13.5" thickBot="1">
      <c r="A10" s="8"/>
      <c r="B10" s="18"/>
      <c r="C10" s="8"/>
      <c r="D10" s="362" t="s">
        <v>216</v>
      </c>
      <c r="E10" s="362"/>
      <c r="F10" s="362"/>
      <c r="G10" s="362"/>
      <c r="H10" s="362"/>
    </row>
    <row r="11" spans="1:8" s="2" customFormat="1" ht="12.75">
      <c r="A11" s="18" t="s">
        <v>87</v>
      </c>
      <c r="B11" s="18"/>
      <c r="C11" s="18"/>
      <c r="D11" s="18"/>
      <c r="E11" s="25"/>
      <c r="F11" s="201" t="s">
        <v>402</v>
      </c>
      <c r="G11" s="18"/>
      <c r="H11" s="91"/>
    </row>
    <row r="12" spans="1:8" s="2" customFormat="1" ht="12.75">
      <c r="A12" s="92" t="s">
        <v>89</v>
      </c>
      <c r="B12" s="92" t="s">
        <v>64</v>
      </c>
      <c r="C12" s="18"/>
      <c r="D12" s="92" t="s">
        <v>65</v>
      </c>
      <c r="E12" s="92" t="s">
        <v>66</v>
      </c>
      <c r="F12" s="202" t="s">
        <v>403</v>
      </c>
      <c r="G12" s="92" t="s">
        <v>63</v>
      </c>
      <c r="H12" s="92" t="s">
        <v>216</v>
      </c>
    </row>
    <row r="13" spans="1:8" s="2" customFormat="1" ht="12.75">
      <c r="A13" s="18"/>
      <c r="B13" s="16" t="s">
        <v>44</v>
      </c>
      <c r="C13" s="16"/>
      <c r="D13" s="16" t="s">
        <v>45</v>
      </c>
      <c r="E13" s="16" t="s">
        <v>74</v>
      </c>
      <c r="F13" s="16" t="s">
        <v>75</v>
      </c>
      <c r="G13" s="16" t="s">
        <v>76</v>
      </c>
      <c r="H13" s="16" t="s">
        <v>77</v>
      </c>
    </row>
    <row r="15" spans="1:13" ht="12.75">
      <c r="A15" s="1">
        <v>1</v>
      </c>
      <c r="B15" s="199" t="s">
        <v>847</v>
      </c>
      <c r="D15" s="140">
        <f>+V46+P77+D108+D139</f>
        <v>36013566.099999994</v>
      </c>
      <c r="E15" s="140">
        <f t="shared" si="0" ref="E15:G15">+W46+Q77+E108+E139</f>
        <v>6660720.3000000007</v>
      </c>
      <c r="F15" s="140">
        <f t="shared" si="0"/>
        <v>0</v>
      </c>
      <c r="G15" s="140">
        <f t="shared" si="0"/>
        <v>5884512.0999999996</v>
      </c>
      <c r="H15" s="140">
        <f t="shared" si="1" ref="H15:H26">SUM(D15:G15)</f>
        <v>48558798.499999993</v>
      </c>
      <c r="I15" s="155"/>
      <c r="J15" s="155"/>
      <c r="K15" s="155"/>
      <c r="L15" s="155"/>
      <c r="M15" s="155"/>
    </row>
    <row r="16" spans="1:8" ht="12.75">
      <c r="A16" s="1">
        <v>2</v>
      </c>
      <c r="B16" s="200" t="s">
        <v>848</v>
      </c>
      <c r="D16" s="66">
        <f t="shared" si="2" ref="D16:G16">+V47+P78+D109+D140</f>
        <v>35178779.82</v>
      </c>
      <c r="E16" s="66">
        <f t="shared" si="2"/>
        <v>11077123.810000002</v>
      </c>
      <c r="F16" s="66">
        <f t="shared" si="2"/>
        <v>0</v>
      </c>
      <c r="G16" s="66">
        <f t="shared" si="2"/>
        <v>4222440.4099999992</v>
      </c>
      <c r="H16" s="93">
        <f t="shared" si="1"/>
        <v>50478344.039999999</v>
      </c>
    </row>
    <row r="17" spans="1:8" ht="12.75">
      <c r="A17" s="1">
        <v>3</v>
      </c>
      <c r="B17" s="200" t="s">
        <v>849</v>
      </c>
      <c r="D17" s="66">
        <f t="shared" si="3" ref="D17:G17">+V48+P79+D110+D141</f>
        <v>36361405.18</v>
      </c>
      <c r="E17" s="66">
        <f t="shared" si="3"/>
        <v>9546264.2100000009</v>
      </c>
      <c r="F17" s="66">
        <f t="shared" si="3"/>
        <v>0</v>
      </c>
      <c r="G17" s="66">
        <f t="shared" si="3"/>
        <v>7198113.9799999995</v>
      </c>
      <c r="H17" s="93">
        <f t="shared" si="1"/>
        <v>53105783.369999997</v>
      </c>
    </row>
    <row r="18" spans="1:8" ht="12.75">
      <c r="A18" s="1">
        <v>4</v>
      </c>
      <c r="B18" s="200" t="s">
        <v>850</v>
      </c>
      <c r="D18" s="66">
        <f t="shared" si="4" ref="D18:G18">+V49+P80+D111+D142</f>
        <v>36145500.089999996</v>
      </c>
      <c r="E18" s="66">
        <f t="shared" si="4"/>
        <v>5816583.3499999996</v>
      </c>
      <c r="F18" s="66">
        <f t="shared" si="4"/>
        <v>0</v>
      </c>
      <c r="G18" s="66">
        <f t="shared" si="4"/>
        <v>5746490.25</v>
      </c>
      <c r="H18" s="93">
        <f t="shared" si="1"/>
        <v>47708573.689999998</v>
      </c>
    </row>
    <row r="19" spans="1:8" ht="12.75">
      <c r="A19" s="1">
        <v>5</v>
      </c>
      <c r="B19" s="200" t="s">
        <v>851</v>
      </c>
      <c r="D19" s="66">
        <f t="shared" si="5" ref="D19:G19">+V50+P81+D112+D143</f>
        <v>36292203.410000004</v>
      </c>
      <c r="E19" s="66">
        <f t="shared" si="5"/>
        <v>8051222.8699999992</v>
      </c>
      <c r="F19" s="66">
        <f t="shared" si="5"/>
        <v>0</v>
      </c>
      <c r="G19" s="66">
        <f t="shared" si="5"/>
        <v>7151576.7400000002</v>
      </c>
      <c r="H19" s="93">
        <f t="shared" si="1"/>
        <v>51495003.020000003</v>
      </c>
    </row>
    <row r="20" spans="1:8" ht="12.75">
      <c r="A20" s="1">
        <v>6</v>
      </c>
      <c r="B20" s="200" t="s">
        <v>852</v>
      </c>
      <c r="D20" s="66">
        <f t="shared" si="6" ref="D20:G20">+V51+P82+D113+D144</f>
        <v>36565101.450000003</v>
      </c>
      <c r="E20" s="66">
        <f t="shared" si="6"/>
        <v>7749646.21</v>
      </c>
      <c r="F20" s="66">
        <f t="shared" si="6"/>
        <v>0</v>
      </c>
      <c r="G20" s="66">
        <f t="shared" si="6"/>
        <v>10412289.039999999</v>
      </c>
      <c r="H20" s="93">
        <f t="shared" si="1"/>
        <v>54727036.700000003</v>
      </c>
    </row>
    <row r="21" spans="1:8" ht="12.75">
      <c r="A21" s="1">
        <v>7</v>
      </c>
      <c r="B21" s="199" t="s">
        <v>853</v>
      </c>
      <c r="D21" s="66">
        <f t="shared" si="7" ref="D21:G21">+V52+P83+D114+D145</f>
        <v>36710805.299999997</v>
      </c>
      <c r="E21" s="66">
        <f t="shared" si="7"/>
        <v>6465139.7200000007</v>
      </c>
      <c r="F21" s="66">
        <f t="shared" si="7"/>
        <v>0</v>
      </c>
      <c r="G21" s="66">
        <f t="shared" si="7"/>
        <v>6531431.8099999996</v>
      </c>
      <c r="H21" s="93">
        <f t="shared" si="1"/>
        <v>49707376.829999998</v>
      </c>
    </row>
    <row r="22" spans="1:8" ht="12.75">
      <c r="A22" s="1">
        <v>8</v>
      </c>
      <c r="B22" s="200" t="s">
        <v>854</v>
      </c>
      <c r="D22" s="66">
        <f t="shared" si="8" ref="D22:G22">+V53+P84+D115+D146</f>
        <v>36722159.109999999</v>
      </c>
      <c r="E22" s="66">
        <f t="shared" si="8"/>
        <v>7686602.5300000003</v>
      </c>
      <c r="F22" s="66">
        <f t="shared" si="8"/>
        <v>0</v>
      </c>
      <c r="G22" s="66">
        <f t="shared" si="8"/>
        <v>6255020.0599999996</v>
      </c>
      <c r="H22" s="93">
        <f t="shared" si="1"/>
        <v>50663781.700000003</v>
      </c>
    </row>
    <row r="23" spans="1:8" ht="12.75">
      <c r="A23" s="1">
        <v>9</v>
      </c>
      <c r="B23" s="200" t="s">
        <v>855</v>
      </c>
      <c r="D23" s="66">
        <f t="shared" si="9" ref="D23:G23">+V54+P85+D116+D147</f>
        <v>36373682.899999999</v>
      </c>
      <c r="E23" s="66">
        <f t="shared" si="9"/>
        <v>5387985.0700000003</v>
      </c>
      <c r="F23" s="66">
        <f t="shared" si="9"/>
        <v>0</v>
      </c>
      <c r="G23" s="66">
        <f t="shared" si="9"/>
        <v>4576412.21</v>
      </c>
      <c r="H23" s="93">
        <f t="shared" si="1"/>
        <v>46338080.18</v>
      </c>
    </row>
    <row r="24" spans="1:8" ht="12.75">
      <c r="A24" s="1">
        <v>10</v>
      </c>
      <c r="B24" s="200" t="s">
        <v>856</v>
      </c>
      <c r="D24" s="66">
        <f t="shared" si="10" ref="D24:G24">+V55+P86+D117+D148</f>
        <v>36796877.589999996</v>
      </c>
      <c r="E24" s="66">
        <f t="shared" si="10"/>
        <v>7865170.0800000001</v>
      </c>
      <c r="F24" s="66">
        <f t="shared" si="10"/>
        <v>0</v>
      </c>
      <c r="G24" s="66">
        <f t="shared" si="10"/>
        <v>3843054.54</v>
      </c>
      <c r="H24" s="93">
        <f t="shared" si="1"/>
        <v>48505102.209999993</v>
      </c>
    </row>
    <row r="25" spans="1:8" ht="12.75">
      <c r="A25" s="1">
        <v>11</v>
      </c>
      <c r="B25" s="200" t="s">
        <v>857</v>
      </c>
      <c r="D25" s="66">
        <f t="shared" si="11" ref="D25:G25">+V56+P87+D118+D149</f>
        <v>36909783.720000006</v>
      </c>
      <c r="E25" s="66">
        <f t="shared" si="11"/>
        <v>7184903.6400000006</v>
      </c>
      <c r="F25" s="66">
        <f t="shared" si="11"/>
        <v>0</v>
      </c>
      <c r="G25" s="66">
        <f t="shared" si="11"/>
        <v>8349320.8200000003</v>
      </c>
      <c r="H25" s="93">
        <f t="shared" si="1"/>
        <v>52444008.180000007</v>
      </c>
    </row>
    <row r="26" spans="1:8" ht="12.75">
      <c r="A26" s="1">
        <v>12</v>
      </c>
      <c r="B26" s="200" t="s">
        <v>858</v>
      </c>
      <c r="D26" s="66">
        <f t="shared" si="12" ref="D26:G26">+V57+P88+D119+D150</f>
        <v>37602994.490000002</v>
      </c>
      <c r="E26" s="66">
        <f t="shared" si="12"/>
        <v>6114936.9799999995</v>
      </c>
      <c r="F26" s="66">
        <f t="shared" si="12"/>
        <v>0</v>
      </c>
      <c r="G26" s="66">
        <f t="shared" si="12"/>
        <v>5675690.9200000009</v>
      </c>
      <c r="H26" s="93">
        <f t="shared" si="1"/>
        <v>49393622.390000001</v>
      </c>
    </row>
    <row r="27" spans="1:8" ht="12.75">
      <c r="A27" s="1">
        <v>13</v>
      </c>
      <c r="D27" s="115"/>
      <c r="E27" s="115"/>
      <c r="F27" s="115"/>
      <c r="G27" s="115"/>
      <c r="H27" s="115"/>
    </row>
    <row r="28" spans="1:8" ht="12.75">
      <c r="A28" s="1">
        <v>14</v>
      </c>
      <c r="B28" s="94" t="s">
        <v>69</v>
      </c>
      <c r="D28" s="142">
        <f>SUM(D15:D26)</f>
        <v>437672859.16000003</v>
      </c>
      <c r="E28" s="142">
        <f t="shared" si="13" ref="E28:H28">SUM(E15:E26)</f>
        <v>89606298.769999996</v>
      </c>
      <c r="F28" s="142">
        <f t="shared" si="14" ref="F28">SUM(F15:F26)</f>
        <v>0</v>
      </c>
      <c r="G28" s="142">
        <f t="shared" si="13"/>
        <v>75846352.88000001</v>
      </c>
      <c r="H28" s="142">
        <f t="shared" si="13"/>
        <v>603125510.80999994</v>
      </c>
    </row>
    <row r="29" spans="1:1" ht="12.75">
      <c r="A29" s="1">
        <v>15</v>
      </c>
    </row>
    <row r="30" spans="1:1" ht="12.75">
      <c r="A30" s="1">
        <v>16</v>
      </c>
    </row>
    <row r="31" spans="1:13" ht="12.75">
      <c r="A31" s="1">
        <v>17</v>
      </c>
      <c r="B31" t="s">
        <v>158</v>
      </c>
      <c r="D31" s="140">
        <f t="shared" si="15" ref="D31:G31">+V62+P93+D124+D155</f>
        <v>0</v>
      </c>
      <c r="E31" s="140">
        <f t="shared" si="15"/>
        <v>0</v>
      </c>
      <c r="F31" s="140">
        <f t="shared" si="15"/>
        <v>0</v>
      </c>
      <c r="G31" s="140">
        <f t="shared" si="15"/>
        <v>0</v>
      </c>
      <c r="H31" s="140">
        <f>SUM(D31:G31)</f>
        <v>0</v>
      </c>
      <c r="I31" s="155"/>
      <c r="J31" s="155"/>
      <c r="K31" s="155"/>
      <c r="L31" s="155"/>
      <c r="M31" s="155"/>
    </row>
    <row r="32" spans="1:8" ht="12.75">
      <c r="A32" s="1">
        <v>18</v>
      </c>
      <c r="B32" t="s">
        <v>159</v>
      </c>
      <c r="D32" s="66">
        <f t="shared" si="16" ref="D32:G32">+V63+P94+D125+D156</f>
        <v>0</v>
      </c>
      <c r="E32" s="66">
        <f t="shared" si="16"/>
        <v>0</v>
      </c>
      <c r="F32" s="66">
        <f t="shared" si="16"/>
        <v>0</v>
      </c>
      <c r="G32" s="66">
        <f t="shared" si="16"/>
        <v>0</v>
      </c>
      <c r="H32" s="93">
        <f>SUM(D32:G32)</f>
        <v>0</v>
      </c>
    </row>
    <row r="33" spans="1:8" ht="12.75">
      <c r="A33" s="1">
        <v>19</v>
      </c>
      <c r="B33" t="s">
        <v>46</v>
      </c>
      <c r="D33" s="66">
        <f t="shared" si="17" ref="D33:G33">+V64+P95+D126+D157</f>
        <v>0</v>
      </c>
      <c r="E33" s="66">
        <f t="shared" si="17"/>
        <v>0</v>
      </c>
      <c r="F33" s="66">
        <f t="shared" si="17"/>
        <v>0</v>
      </c>
      <c r="G33" s="66">
        <f t="shared" si="17"/>
        <v>0</v>
      </c>
      <c r="H33" s="93">
        <f>SUM(D33:G33)</f>
        <v>0</v>
      </c>
    </row>
    <row r="34" spans="1:7" ht="12.75">
      <c r="A34" s="1">
        <v>20</v>
      </c>
      <c r="D34" s="66"/>
      <c r="E34" s="66"/>
      <c r="F34" s="66"/>
      <c r="G34" s="66"/>
    </row>
    <row r="35" spans="1:7" ht="12.75">
      <c r="A35" s="1">
        <v>21</v>
      </c>
      <c r="D35" s="66"/>
      <c r="E35" s="66"/>
      <c r="F35" s="66"/>
      <c r="G35" s="66"/>
    </row>
    <row r="36" spans="1:13" ht="12.75">
      <c r="A36" s="1">
        <v>22</v>
      </c>
      <c r="B36" s="182" t="s">
        <v>732</v>
      </c>
      <c r="D36" s="140">
        <f t="shared" si="18" ref="D36:G36">+V67+P98+D129+D160</f>
        <v>360024091.85000002</v>
      </c>
      <c r="E36" s="140">
        <f t="shared" si="18"/>
        <v>72914089.019999996</v>
      </c>
      <c r="F36" s="140">
        <f t="shared" si="18"/>
        <v>0</v>
      </c>
      <c r="G36" s="140">
        <f t="shared" si="18"/>
        <v>76544303.349999994</v>
      </c>
      <c r="H36" s="140">
        <f>SUM(D36:G36)</f>
        <v>509482484.22000003</v>
      </c>
      <c r="I36" s="155"/>
      <c r="J36" s="155"/>
      <c r="K36" s="155"/>
      <c r="L36" s="155"/>
      <c r="M36" s="155"/>
    </row>
    <row r="37" spans="1:8" ht="12.75">
      <c r="A37" s="1">
        <v>23</v>
      </c>
      <c r="B37" s="182" t="s">
        <v>731</v>
      </c>
      <c r="D37" s="66">
        <f t="shared" si="19" ref="D37:G37">+V68+P99+D130+D161</f>
        <v>376281713.29000002</v>
      </c>
      <c r="E37" s="66">
        <f t="shared" si="19"/>
        <v>87550871.340000004</v>
      </c>
      <c r="F37" s="66">
        <f t="shared" si="19"/>
        <v>0</v>
      </c>
      <c r="G37" s="66">
        <f t="shared" si="19"/>
        <v>65818175.149999999</v>
      </c>
      <c r="H37" s="66">
        <f>SUM(D37:G37)</f>
        <v>529650759.77999997</v>
      </c>
    </row>
    <row r="38" spans="1:8" ht="12.75">
      <c r="A38" s="1">
        <v>24</v>
      </c>
      <c r="B38" s="182" t="s">
        <v>859</v>
      </c>
      <c r="D38" s="66">
        <f t="shared" si="20" ref="D38:G38">+V69+P100+D131+D162</f>
        <v>411323310.57999998</v>
      </c>
      <c r="E38" s="66">
        <f t="shared" si="20"/>
        <v>76767835.260000005</v>
      </c>
      <c r="F38" s="66">
        <f t="shared" si="20"/>
        <v>0</v>
      </c>
      <c r="G38" s="66">
        <f t="shared" si="20"/>
        <v>86299848.219999999</v>
      </c>
      <c r="H38" s="66">
        <f>SUM(D38:G38)</f>
        <v>574390994.05999994</v>
      </c>
    </row>
    <row r="39" spans="1:6" ht="12.75">
      <c r="A39" s="2"/>
      <c r="D39" s="66"/>
      <c r="E39" s="66"/>
      <c r="F39" s="66"/>
    </row>
    <row r="40" spans="4:4" ht="12.75">
      <c r="D40" s="66"/>
    </row>
    <row r="41" spans="4:26" ht="13.5" thickBot="1">
      <c r="D41" s="362" t="s">
        <v>294</v>
      </c>
      <c r="E41" s="362"/>
      <c r="F41" s="362"/>
      <c r="G41" s="362"/>
      <c r="H41" s="362"/>
      <c r="J41" s="363" t="s">
        <v>724</v>
      </c>
      <c r="K41" s="362"/>
      <c r="L41" s="362"/>
      <c r="M41" s="362"/>
      <c r="N41" s="362"/>
      <c r="P41" s="363" t="s">
        <v>725</v>
      </c>
      <c r="Q41" s="362"/>
      <c r="R41" s="362"/>
      <c r="S41" s="362"/>
      <c r="T41" s="362"/>
      <c r="V41" s="363" t="s">
        <v>726</v>
      </c>
      <c r="W41" s="362"/>
      <c r="X41" s="362"/>
      <c r="Y41" s="362"/>
      <c r="Z41" s="362"/>
    </row>
    <row r="42" spans="1:26" ht="12.75">
      <c r="A42" s="18" t="s">
        <v>87</v>
      </c>
      <c r="B42" s="18"/>
      <c r="D42" s="18"/>
      <c r="E42" s="25"/>
      <c r="F42" s="201" t="s">
        <v>402</v>
      </c>
      <c r="G42" s="18"/>
      <c r="H42" s="2"/>
      <c r="J42" s="18"/>
      <c r="K42" s="25"/>
      <c r="L42" s="201" t="s">
        <v>402</v>
      </c>
      <c r="M42" s="18"/>
      <c r="N42" s="2"/>
      <c r="P42" s="18"/>
      <c r="Q42" s="25"/>
      <c r="R42" s="201" t="s">
        <v>402</v>
      </c>
      <c r="S42" s="18"/>
      <c r="T42" s="2"/>
      <c r="V42" s="18"/>
      <c r="W42" s="25"/>
      <c r="X42" s="201" t="s">
        <v>402</v>
      </c>
      <c r="Y42" s="18"/>
      <c r="Z42" s="2"/>
    </row>
    <row r="43" spans="1:26" ht="12.75">
      <c r="A43" s="208" t="s">
        <v>89</v>
      </c>
      <c r="B43" s="208" t="s">
        <v>64</v>
      </c>
      <c r="D43" s="208" t="s">
        <v>65</v>
      </c>
      <c r="E43" s="208" t="s">
        <v>66</v>
      </c>
      <c r="F43" s="202" t="s">
        <v>403</v>
      </c>
      <c r="G43" s="208" t="s">
        <v>63</v>
      </c>
      <c r="H43" s="208" t="s">
        <v>216</v>
      </c>
      <c r="J43" s="208" t="s">
        <v>65</v>
      </c>
      <c r="K43" s="208" t="s">
        <v>66</v>
      </c>
      <c r="L43" s="202" t="s">
        <v>403</v>
      </c>
      <c r="M43" s="208" t="s">
        <v>63</v>
      </c>
      <c r="N43" s="208" t="s">
        <v>216</v>
      </c>
      <c r="P43" s="208" t="s">
        <v>65</v>
      </c>
      <c r="Q43" s="208" t="s">
        <v>66</v>
      </c>
      <c r="R43" s="202" t="s">
        <v>403</v>
      </c>
      <c r="S43" s="208" t="s">
        <v>63</v>
      </c>
      <c r="T43" s="208" t="s">
        <v>216</v>
      </c>
      <c r="V43" s="208" t="s">
        <v>65</v>
      </c>
      <c r="W43" s="208" t="s">
        <v>66</v>
      </c>
      <c r="X43" s="202" t="s">
        <v>403</v>
      </c>
      <c r="Y43" s="208" t="s">
        <v>63</v>
      </c>
      <c r="Z43" s="208" t="s">
        <v>216</v>
      </c>
    </row>
    <row r="44" spans="1:26" ht="12.75">
      <c r="A44" s="18"/>
      <c r="B44" s="16" t="s">
        <v>44</v>
      </c>
      <c r="D44" s="16" t="s">
        <v>45</v>
      </c>
      <c r="E44" s="16" t="s">
        <v>74</v>
      </c>
      <c r="F44" s="16" t="s">
        <v>75</v>
      </c>
      <c r="G44" s="16" t="s">
        <v>76</v>
      </c>
      <c r="H44" s="16" t="s">
        <v>77</v>
      </c>
      <c r="J44" s="203" t="s">
        <v>78</v>
      </c>
      <c r="K44" s="203" t="s">
        <v>79</v>
      </c>
      <c r="L44" s="203" t="s">
        <v>80</v>
      </c>
      <c r="M44" s="203" t="s">
        <v>81</v>
      </c>
      <c r="N44" s="203" t="s">
        <v>82</v>
      </c>
      <c r="P44" s="203" t="s">
        <v>83</v>
      </c>
      <c r="Q44" s="203" t="s">
        <v>84</v>
      </c>
      <c r="R44" s="203" t="s">
        <v>85</v>
      </c>
      <c r="S44" s="203" t="s">
        <v>86</v>
      </c>
      <c r="T44" s="203" t="s">
        <v>255</v>
      </c>
      <c r="V44" s="203" t="s">
        <v>128</v>
      </c>
      <c r="W44" s="203" t="s">
        <v>23</v>
      </c>
      <c r="X44" s="203" t="s">
        <v>24</v>
      </c>
      <c r="Y44" s="203" t="s">
        <v>136</v>
      </c>
      <c r="Z44" s="203" t="s">
        <v>68</v>
      </c>
    </row>
    <row r="46" spans="1:26" ht="12.75">
      <c r="A46" s="1">
        <v>25</v>
      </c>
      <c r="B46" s="199" t="str">
        <f>+B15</f>
        <v>January 2021</v>
      </c>
      <c r="D46" s="140">
        <v>8326942.4199999999</v>
      </c>
      <c r="E46" s="140">
        <v>244011.39000000001</v>
      </c>
      <c r="F46" s="140">
        <v>0</v>
      </c>
      <c r="G46" s="140">
        <v>1971404.6000000001</v>
      </c>
      <c r="H46" s="140">
        <f t="shared" si="21" ref="H46:H57">SUM(D46:G46)</f>
        <v>10542358.41</v>
      </c>
      <c r="J46" s="140">
        <v>0</v>
      </c>
      <c r="K46" s="140">
        <v>0</v>
      </c>
      <c r="L46" s="140">
        <v>0</v>
      </c>
      <c r="M46" s="140">
        <v>0</v>
      </c>
      <c r="N46" s="140">
        <f t="shared" si="22" ref="N46:N57">SUM(J46:M46)</f>
        <v>0</v>
      </c>
      <c r="P46" s="140">
        <v>0</v>
      </c>
      <c r="Q46" s="140">
        <v>0</v>
      </c>
      <c r="R46" s="140">
        <v>0</v>
      </c>
      <c r="S46" s="140">
        <v>0</v>
      </c>
      <c r="T46" s="140">
        <f t="shared" si="23" ref="T46:T57">SUM(P46:S46)</f>
        <v>0</v>
      </c>
      <c r="V46" s="140">
        <f>+D46+J46+P46</f>
        <v>8326942.4199999999</v>
      </c>
      <c r="W46" s="140">
        <f t="shared" si="24" ref="W46:W57">+E46+K46+Q46</f>
        <v>244011.39000000001</v>
      </c>
      <c r="X46" s="140">
        <f t="shared" si="25" ref="X46:X57">+F46+L46+R46</f>
        <v>0</v>
      </c>
      <c r="Y46" s="140">
        <f t="shared" si="26" ref="Y46:Y57">+G46+M46+S46</f>
        <v>1971404.6000000001</v>
      </c>
      <c r="Z46" s="140">
        <f t="shared" si="27" ref="Z46:Z57">SUM(V46:Y46)</f>
        <v>10542358.41</v>
      </c>
    </row>
    <row r="47" spans="1:26" ht="12.75">
      <c r="A47" s="1">
        <v>26</v>
      </c>
      <c r="B47" s="199" t="str">
        <f t="shared" si="28" ref="B47:B57">+B16</f>
        <v>February 2021</v>
      </c>
      <c r="D47" s="66">
        <v>8101461.3499999996</v>
      </c>
      <c r="E47" s="66">
        <v>1160809.8300000001</v>
      </c>
      <c r="F47" s="66">
        <v>0</v>
      </c>
      <c r="G47" s="66">
        <v>1346086.8400000001</v>
      </c>
      <c r="H47" s="93">
        <f t="shared" si="21"/>
        <v>10608358.02</v>
      </c>
      <c r="J47" s="66">
        <v>0</v>
      </c>
      <c r="K47" s="66">
        <v>0</v>
      </c>
      <c r="L47" s="66">
        <v>0</v>
      </c>
      <c r="M47" s="66">
        <v>0</v>
      </c>
      <c r="N47" s="93">
        <f t="shared" si="22"/>
        <v>0</v>
      </c>
      <c r="P47" s="66">
        <v>0</v>
      </c>
      <c r="Q47" s="66">
        <v>0</v>
      </c>
      <c r="R47" s="66">
        <v>0</v>
      </c>
      <c r="S47" s="66">
        <v>0</v>
      </c>
      <c r="T47" s="93">
        <f t="shared" si="23"/>
        <v>0</v>
      </c>
      <c r="V47" s="66">
        <f t="shared" si="29" ref="V47:V57">+D47+J47+P47</f>
        <v>8101461.3499999996</v>
      </c>
      <c r="W47" s="66">
        <f t="shared" si="24"/>
        <v>1160809.8300000001</v>
      </c>
      <c r="X47" s="66">
        <f t="shared" si="25"/>
        <v>0</v>
      </c>
      <c r="Y47" s="66">
        <f t="shared" si="26"/>
        <v>1346086.8400000001</v>
      </c>
      <c r="Z47" s="93">
        <f t="shared" si="27"/>
        <v>10608358.02</v>
      </c>
    </row>
    <row r="48" spans="1:26" ht="12.75">
      <c r="A48" s="1">
        <v>27</v>
      </c>
      <c r="B48" s="199" t="str">
        <f t="shared" si="28"/>
        <v>March 2021</v>
      </c>
      <c r="D48" s="66">
        <v>8016332.9000000004</v>
      </c>
      <c r="E48" s="66">
        <v>1967746.46</v>
      </c>
      <c r="F48" s="66">
        <v>0</v>
      </c>
      <c r="G48" s="66">
        <v>1563496.9199999999</v>
      </c>
      <c r="H48" s="93">
        <f t="shared" si="21"/>
        <v>11547576.279999999</v>
      </c>
      <c r="J48" s="66">
        <v>0</v>
      </c>
      <c r="K48" s="66">
        <v>0</v>
      </c>
      <c r="L48" s="66">
        <v>0</v>
      </c>
      <c r="M48" s="66">
        <v>0</v>
      </c>
      <c r="N48" s="93">
        <f t="shared" si="22"/>
        <v>0</v>
      </c>
      <c r="P48" s="66">
        <v>0</v>
      </c>
      <c r="Q48" s="66">
        <v>0</v>
      </c>
      <c r="R48" s="66">
        <v>0</v>
      </c>
      <c r="S48" s="66">
        <v>0</v>
      </c>
      <c r="T48" s="93">
        <f t="shared" si="23"/>
        <v>0</v>
      </c>
      <c r="V48" s="66">
        <f t="shared" si="29"/>
        <v>8016332.9000000004</v>
      </c>
      <c r="W48" s="66">
        <f t="shared" si="24"/>
        <v>1967746.46</v>
      </c>
      <c r="X48" s="66">
        <f t="shared" si="25"/>
        <v>0</v>
      </c>
      <c r="Y48" s="66">
        <f t="shared" si="26"/>
        <v>1563496.9199999999</v>
      </c>
      <c r="Z48" s="93">
        <f t="shared" si="27"/>
        <v>11547576.279999999</v>
      </c>
    </row>
    <row r="49" spans="1:26" ht="12.75">
      <c r="A49" s="1">
        <v>28</v>
      </c>
      <c r="B49" s="199" t="str">
        <f t="shared" si="28"/>
        <v>April 2021</v>
      </c>
      <c r="D49" s="66">
        <v>8332450.9800000004</v>
      </c>
      <c r="E49" s="66">
        <v>1099246.51</v>
      </c>
      <c r="F49" s="66">
        <v>0</v>
      </c>
      <c r="G49" s="66">
        <v>1903422.8799999999</v>
      </c>
      <c r="H49" s="93">
        <f t="shared" si="21"/>
        <v>11335120.370000001</v>
      </c>
      <c r="J49" s="66">
        <v>0</v>
      </c>
      <c r="K49" s="66">
        <v>0</v>
      </c>
      <c r="L49" s="66">
        <v>0</v>
      </c>
      <c r="M49" s="66">
        <v>0</v>
      </c>
      <c r="N49" s="93">
        <f t="shared" si="22"/>
        <v>0</v>
      </c>
      <c r="P49" s="66">
        <v>0</v>
      </c>
      <c r="Q49" s="66">
        <v>0</v>
      </c>
      <c r="R49" s="66">
        <v>0</v>
      </c>
      <c r="S49" s="66">
        <v>0</v>
      </c>
      <c r="T49" s="93">
        <f t="shared" si="23"/>
        <v>0</v>
      </c>
      <c r="V49" s="66">
        <f t="shared" si="29"/>
        <v>8332450.9800000004</v>
      </c>
      <c r="W49" s="66">
        <f t="shared" si="24"/>
        <v>1099246.51</v>
      </c>
      <c r="X49" s="66">
        <f t="shared" si="25"/>
        <v>0</v>
      </c>
      <c r="Y49" s="66">
        <f t="shared" si="26"/>
        <v>1903422.8799999999</v>
      </c>
      <c r="Z49" s="93">
        <f t="shared" si="27"/>
        <v>11335120.370000001</v>
      </c>
    </row>
    <row r="50" spans="1:26" ht="12.75">
      <c r="A50" s="1">
        <v>29</v>
      </c>
      <c r="B50" s="199" t="str">
        <f t="shared" si="28"/>
        <v>May 2021</v>
      </c>
      <c r="D50" s="66">
        <v>8010228.71</v>
      </c>
      <c r="E50" s="66">
        <v>1277897.96</v>
      </c>
      <c r="F50" s="66">
        <v>0</v>
      </c>
      <c r="G50" s="66">
        <v>2461810.1699999999</v>
      </c>
      <c r="H50" s="93">
        <f t="shared" si="21"/>
        <v>11749936.84</v>
      </c>
      <c r="J50" s="66">
        <v>0</v>
      </c>
      <c r="K50" s="66">
        <v>0</v>
      </c>
      <c r="L50" s="66">
        <v>0</v>
      </c>
      <c r="M50" s="66">
        <v>0</v>
      </c>
      <c r="N50" s="93">
        <f t="shared" si="22"/>
        <v>0</v>
      </c>
      <c r="P50" s="66">
        <v>0</v>
      </c>
      <c r="Q50" s="66">
        <v>0</v>
      </c>
      <c r="R50" s="66">
        <v>0</v>
      </c>
      <c r="S50" s="66">
        <v>0</v>
      </c>
      <c r="T50" s="93">
        <f t="shared" si="23"/>
        <v>0</v>
      </c>
      <c r="V50" s="66">
        <f t="shared" si="29"/>
        <v>8010228.71</v>
      </c>
      <c r="W50" s="66">
        <f t="shared" si="24"/>
        <v>1277897.96</v>
      </c>
      <c r="X50" s="66">
        <f t="shared" si="25"/>
        <v>0</v>
      </c>
      <c r="Y50" s="66">
        <f t="shared" si="26"/>
        <v>2461810.1699999999</v>
      </c>
      <c r="Z50" s="93">
        <f t="shared" si="27"/>
        <v>11749936.84</v>
      </c>
    </row>
    <row r="51" spans="1:26" ht="12.75">
      <c r="A51" s="1">
        <v>30</v>
      </c>
      <c r="B51" s="199" t="str">
        <f t="shared" si="28"/>
        <v>June 2021</v>
      </c>
      <c r="D51" s="66">
        <v>8398740.4700000007</v>
      </c>
      <c r="E51" s="66">
        <v>915487.75</v>
      </c>
      <c r="F51" s="66">
        <v>0</v>
      </c>
      <c r="G51" s="66">
        <v>3469153.2400000002</v>
      </c>
      <c r="H51" s="93">
        <f t="shared" si="21"/>
        <v>12783381.460000001</v>
      </c>
      <c r="J51" s="66">
        <v>0</v>
      </c>
      <c r="K51" s="66">
        <v>0</v>
      </c>
      <c r="L51" s="66">
        <v>0</v>
      </c>
      <c r="M51" s="66">
        <v>0</v>
      </c>
      <c r="N51" s="93">
        <f t="shared" si="22"/>
        <v>0</v>
      </c>
      <c r="P51" s="66">
        <v>0</v>
      </c>
      <c r="Q51" s="66">
        <v>0</v>
      </c>
      <c r="R51" s="66">
        <v>0</v>
      </c>
      <c r="S51" s="66">
        <v>0</v>
      </c>
      <c r="T51" s="93">
        <f t="shared" si="23"/>
        <v>0</v>
      </c>
      <c r="V51" s="66">
        <f t="shared" si="29"/>
        <v>8398740.4700000007</v>
      </c>
      <c r="W51" s="66">
        <f t="shared" si="24"/>
        <v>915487.75</v>
      </c>
      <c r="X51" s="66">
        <f t="shared" si="25"/>
        <v>0</v>
      </c>
      <c r="Y51" s="66">
        <f t="shared" si="26"/>
        <v>3469153.2400000002</v>
      </c>
      <c r="Z51" s="93">
        <f t="shared" si="27"/>
        <v>12783381.460000001</v>
      </c>
    </row>
    <row r="52" spans="1:26" ht="12.75">
      <c r="A52" s="1">
        <v>31</v>
      </c>
      <c r="B52" s="199" t="str">
        <f t="shared" si="28"/>
        <v>July 2021</v>
      </c>
      <c r="D52" s="66">
        <v>8132049.6799999997</v>
      </c>
      <c r="E52" s="66">
        <v>631720.93999999994</v>
      </c>
      <c r="F52" s="66">
        <v>0</v>
      </c>
      <c r="G52" s="66">
        <v>2215367.73</v>
      </c>
      <c r="H52" s="93">
        <f t="shared" si="21"/>
        <v>10979138.35</v>
      </c>
      <c r="J52" s="66">
        <v>0</v>
      </c>
      <c r="K52" s="66">
        <v>0</v>
      </c>
      <c r="L52" s="66">
        <v>0</v>
      </c>
      <c r="M52" s="66">
        <v>0</v>
      </c>
      <c r="N52" s="93">
        <f t="shared" si="22"/>
        <v>0</v>
      </c>
      <c r="P52" s="66">
        <v>0</v>
      </c>
      <c r="Q52" s="66">
        <v>0</v>
      </c>
      <c r="R52" s="66">
        <v>0</v>
      </c>
      <c r="S52" s="66">
        <v>0</v>
      </c>
      <c r="T52" s="93">
        <f t="shared" si="23"/>
        <v>0</v>
      </c>
      <c r="V52" s="66">
        <f t="shared" si="29"/>
        <v>8132049.6799999997</v>
      </c>
      <c r="W52" s="66">
        <f t="shared" si="24"/>
        <v>631720.93999999994</v>
      </c>
      <c r="X52" s="66">
        <f t="shared" si="25"/>
        <v>0</v>
      </c>
      <c r="Y52" s="66">
        <f t="shared" si="26"/>
        <v>2215367.73</v>
      </c>
      <c r="Z52" s="93">
        <f t="shared" si="27"/>
        <v>10979138.35</v>
      </c>
    </row>
    <row r="53" spans="1:26" ht="12.75">
      <c r="A53" s="1">
        <v>32</v>
      </c>
      <c r="B53" s="199" t="str">
        <f t="shared" si="28"/>
        <v>August 2021</v>
      </c>
      <c r="D53" s="66">
        <v>8322374.9100000001</v>
      </c>
      <c r="E53" s="66">
        <v>944277.69999999995</v>
      </c>
      <c r="F53" s="66">
        <v>0</v>
      </c>
      <c r="G53" s="66">
        <v>2060796.22</v>
      </c>
      <c r="H53" s="93">
        <f t="shared" si="21"/>
        <v>11327448.83</v>
      </c>
      <c r="J53" s="66">
        <v>0</v>
      </c>
      <c r="K53" s="66">
        <v>0</v>
      </c>
      <c r="L53" s="66">
        <v>0</v>
      </c>
      <c r="M53" s="66">
        <v>0</v>
      </c>
      <c r="N53" s="93">
        <f t="shared" si="22"/>
        <v>0</v>
      </c>
      <c r="P53" s="66">
        <v>0</v>
      </c>
      <c r="Q53" s="66">
        <v>0</v>
      </c>
      <c r="R53" s="66">
        <v>0</v>
      </c>
      <c r="S53" s="66">
        <v>0</v>
      </c>
      <c r="T53" s="93">
        <f t="shared" si="23"/>
        <v>0</v>
      </c>
      <c r="V53" s="66">
        <f t="shared" si="29"/>
        <v>8322374.9100000001</v>
      </c>
      <c r="W53" s="66">
        <f t="shared" si="24"/>
        <v>944277.69999999995</v>
      </c>
      <c r="X53" s="66">
        <f t="shared" si="25"/>
        <v>0</v>
      </c>
      <c r="Y53" s="66">
        <f t="shared" si="26"/>
        <v>2060796.22</v>
      </c>
      <c r="Z53" s="93">
        <f t="shared" si="27"/>
        <v>11327448.83</v>
      </c>
    </row>
    <row r="54" spans="1:26" ht="12.75">
      <c r="A54" s="1">
        <v>33</v>
      </c>
      <c r="B54" s="199" t="str">
        <f t="shared" si="28"/>
        <v>September 2021</v>
      </c>
      <c r="D54" s="66">
        <v>8333340.3099999996</v>
      </c>
      <c r="E54" s="66">
        <v>813184.06000000006</v>
      </c>
      <c r="F54" s="66">
        <v>0</v>
      </c>
      <c r="G54" s="66">
        <v>1574136.47</v>
      </c>
      <c r="H54" s="93">
        <f t="shared" si="21"/>
        <v>10720660.84</v>
      </c>
      <c r="J54" s="66">
        <v>0</v>
      </c>
      <c r="K54" s="66">
        <v>0</v>
      </c>
      <c r="L54" s="66">
        <v>0</v>
      </c>
      <c r="M54" s="66">
        <v>0</v>
      </c>
      <c r="N54" s="93">
        <f t="shared" si="22"/>
        <v>0</v>
      </c>
      <c r="P54" s="66">
        <v>0</v>
      </c>
      <c r="Q54" s="66">
        <v>0</v>
      </c>
      <c r="R54" s="66">
        <v>0</v>
      </c>
      <c r="S54" s="66">
        <v>0</v>
      </c>
      <c r="T54" s="93">
        <f t="shared" si="23"/>
        <v>0</v>
      </c>
      <c r="V54" s="66">
        <f t="shared" si="29"/>
        <v>8333340.3099999996</v>
      </c>
      <c r="W54" s="66">
        <f t="shared" si="24"/>
        <v>813184.06000000006</v>
      </c>
      <c r="X54" s="66">
        <f t="shared" si="25"/>
        <v>0</v>
      </c>
      <c r="Y54" s="66">
        <f t="shared" si="26"/>
        <v>1574136.47</v>
      </c>
      <c r="Z54" s="93">
        <f t="shared" si="27"/>
        <v>10720660.84</v>
      </c>
    </row>
    <row r="55" spans="1:26" ht="12.75">
      <c r="A55" s="1">
        <v>34</v>
      </c>
      <c r="B55" s="199" t="str">
        <f t="shared" si="28"/>
        <v>October 2021</v>
      </c>
      <c r="D55" s="66">
        <v>8302095.6900000004</v>
      </c>
      <c r="E55" s="66">
        <v>1393967.28</v>
      </c>
      <c r="F55" s="66">
        <v>0</v>
      </c>
      <c r="G55" s="66">
        <v>1085986.98</v>
      </c>
      <c r="H55" s="93">
        <f t="shared" si="21"/>
        <v>10782049.950000001</v>
      </c>
      <c r="J55" s="66">
        <v>0</v>
      </c>
      <c r="K55" s="66">
        <v>0</v>
      </c>
      <c r="L55" s="66">
        <v>0</v>
      </c>
      <c r="M55" s="66">
        <v>0</v>
      </c>
      <c r="N55" s="93">
        <f t="shared" si="22"/>
        <v>0</v>
      </c>
      <c r="P55" s="66">
        <v>0</v>
      </c>
      <c r="Q55" s="66">
        <v>0</v>
      </c>
      <c r="R55" s="66">
        <v>0</v>
      </c>
      <c r="S55" s="66">
        <v>0</v>
      </c>
      <c r="T55" s="93">
        <f t="shared" si="23"/>
        <v>0</v>
      </c>
      <c r="V55" s="66">
        <f t="shared" si="29"/>
        <v>8302095.6900000004</v>
      </c>
      <c r="W55" s="66">
        <f t="shared" si="24"/>
        <v>1393967.28</v>
      </c>
      <c r="X55" s="66">
        <f t="shared" si="25"/>
        <v>0</v>
      </c>
      <c r="Y55" s="66">
        <f t="shared" si="26"/>
        <v>1085986.98</v>
      </c>
      <c r="Z55" s="93">
        <f t="shared" si="27"/>
        <v>10782049.950000001</v>
      </c>
    </row>
    <row r="56" spans="1:26" ht="12.75">
      <c r="A56" s="1">
        <v>35</v>
      </c>
      <c r="B56" s="199" t="str">
        <f t="shared" si="28"/>
        <v>November 2021</v>
      </c>
      <c r="D56" s="66">
        <v>8204617.8799999999</v>
      </c>
      <c r="E56" s="66">
        <v>1554596.5500000001</v>
      </c>
      <c r="F56" s="66">
        <v>0</v>
      </c>
      <c r="G56" s="66">
        <v>2769714.73</v>
      </c>
      <c r="H56" s="93">
        <f t="shared" si="21"/>
        <v>12528929.16</v>
      </c>
      <c r="J56" s="66">
        <v>0</v>
      </c>
      <c r="K56" s="66">
        <v>0</v>
      </c>
      <c r="L56" s="66">
        <v>0</v>
      </c>
      <c r="M56" s="66">
        <v>0</v>
      </c>
      <c r="N56" s="93">
        <f t="shared" si="22"/>
        <v>0</v>
      </c>
      <c r="P56" s="66">
        <v>0</v>
      </c>
      <c r="Q56" s="66">
        <v>0</v>
      </c>
      <c r="R56" s="66">
        <v>0</v>
      </c>
      <c r="S56" s="66">
        <v>0</v>
      </c>
      <c r="T56" s="93">
        <f t="shared" si="23"/>
        <v>0</v>
      </c>
      <c r="V56" s="66">
        <f t="shared" si="29"/>
        <v>8204617.8799999999</v>
      </c>
      <c r="W56" s="66">
        <f t="shared" si="24"/>
        <v>1554596.5500000001</v>
      </c>
      <c r="X56" s="66">
        <f t="shared" si="25"/>
        <v>0</v>
      </c>
      <c r="Y56" s="66">
        <f t="shared" si="26"/>
        <v>2769714.73</v>
      </c>
      <c r="Z56" s="93">
        <f t="shared" si="27"/>
        <v>12528929.16</v>
      </c>
    </row>
    <row r="57" spans="1:26" ht="12.75">
      <c r="A57" s="1">
        <v>36</v>
      </c>
      <c r="B57" s="199" t="str">
        <f t="shared" si="28"/>
        <v>December 2021</v>
      </c>
      <c r="D57" s="66">
        <v>8343793.5700000003</v>
      </c>
      <c r="E57" s="66">
        <v>1072331.51</v>
      </c>
      <c r="F57" s="66">
        <v>0</v>
      </c>
      <c r="G57" s="66">
        <v>1521433.23</v>
      </c>
      <c r="H57" s="93">
        <f t="shared" si="21"/>
        <v>10937558.310000001</v>
      </c>
      <c r="J57" s="66">
        <v>0</v>
      </c>
      <c r="K57" s="66">
        <v>0</v>
      </c>
      <c r="L57" s="66">
        <v>0</v>
      </c>
      <c r="M57" s="66">
        <v>0</v>
      </c>
      <c r="N57" s="93">
        <f t="shared" si="22"/>
        <v>0</v>
      </c>
      <c r="P57" s="66">
        <v>0</v>
      </c>
      <c r="Q57" s="66">
        <v>0</v>
      </c>
      <c r="R57" s="66">
        <v>0</v>
      </c>
      <c r="S57" s="66">
        <v>0</v>
      </c>
      <c r="T57" s="93">
        <f t="shared" si="23"/>
        <v>0</v>
      </c>
      <c r="V57" s="66">
        <f t="shared" si="29"/>
        <v>8343793.5700000003</v>
      </c>
      <c r="W57" s="66">
        <f t="shared" si="24"/>
        <v>1072331.51</v>
      </c>
      <c r="X57" s="66">
        <f t="shared" si="25"/>
        <v>0</v>
      </c>
      <c r="Y57" s="66">
        <f t="shared" si="26"/>
        <v>1521433.23</v>
      </c>
      <c r="Z57" s="93">
        <f t="shared" si="27"/>
        <v>10937558.310000001</v>
      </c>
    </row>
    <row r="58" spans="1:26" ht="12.75">
      <c r="A58" s="1">
        <v>37</v>
      </c>
      <c r="D58" s="115"/>
      <c r="E58" s="115"/>
      <c r="F58" s="115"/>
      <c r="G58" s="115"/>
      <c r="H58" s="115"/>
      <c r="J58" s="115"/>
      <c r="K58" s="115"/>
      <c r="L58" s="115"/>
      <c r="M58" s="115"/>
      <c r="N58" s="115"/>
      <c r="P58" s="115"/>
      <c r="Q58" s="115"/>
      <c r="R58" s="115"/>
      <c r="S58" s="115"/>
      <c r="T58" s="115"/>
      <c r="V58" s="115"/>
      <c r="W58" s="115"/>
      <c r="X58" s="115"/>
      <c r="Y58" s="115"/>
      <c r="Z58" s="115"/>
    </row>
    <row r="59" spans="1:26" ht="12.75">
      <c r="A59" s="1">
        <v>38</v>
      </c>
      <c r="B59" s="94" t="s">
        <v>69</v>
      </c>
      <c r="D59" s="142">
        <f t="shared" si="30" ref="D59:H59">SUM(D46:D57)</f>
        <v>98824428.870000005</v>
      </c>
      <c r="E59" s="142">
        <f t="shared" si="30"/>
        <v>13075277.94</v>
      </c>
      <c r="F59" s="142">
        <f t="shared" si="30"/>
        <v>0</v>
      </c>
      <c r="G59" s="142">
        <f t="shared" si="30"/>
        <v>23942810.010000002</v>
      </c>
      <c r="H59" s="142">
        <f t="shared" si="30"/>
        <v>135842516.81999999</v>
      </c>
      <c r="J59" s="142">
        <f t="shared" si="31" ref="J59:N59">SUM(J46:J57)</f>
        <v>0</v>
      </c>
      <c r="K59" s="142">
        <f t="shared" si="31"/>
        <v>0</v>
      </c>
      <c r="L59" s="142">
        <f t="shared" si="31"/>
        <v>0</v>
      </c>
      <c r="M59" s="142">
        <f t="shared" si="31"/>
        <v>0</v>
      </c>
      <c r="N59" s="142">
        <f t="shared" si="31"/>
        <v>0</v>
      </c>
      <c r="P59" s="142">
        <f t="shared" si="32" ref="P59:T59">SUM(P46:P57)</f>
        <v>0</v>
      </c>
      <c r="Q59" s="142">
        <f t="shared" si="32"/>
        <v>0</v>
      </c>
      <c r="R59" s="142">
        <f t="shared" si="32"/>
        <v>0</v>
      </c>
      <c r="S59" s="142">
        <f t="shared" si="32"/>
        <v>0</v>
      </c>
      <c r="T59" s="142">
        <f t="shared" si="32"/>
        <v>0</v>
      </c>
      <c r="V59" s="142">
        <f t="shared" si="33" ref="V59:Z59">SUM(V46:V57)</f>
        <v>98824428.870000005</v>
      </c>
      <c r="W59" s="142">
        <f t="shared" si="33"/>
        <v>13075277.94</v>
      </c>
      <c r="X59" s="142">
        <f t="shared" si="33"/>
        <v>0</v>
      </c>
      <c r="Y59" s="142">
        <f t="shared" si="33"/>
        <v>23942810.010000002</v>
      </c>
      <c r="Z59" s="142">
        <f t="shared" si="33"/>
        <v>135842516.81999999</v>
      </c>
    </row>
    <row r="60" spans="1:1" ht="12.75">
      <c r="A60" s="1">
        <v>39</v>
      </c>
    </row>
    <row r="61" spans="1:1" ht="12.75">
      <c r="A61" s="1">
        <v>40</v>
      </c>
    </row>
    <row r="62" spans="1:26" ht="12.75">
      <c r="A62" s="1">
        <v>41</v>
      </c>
      <c r="B62" t="s">
        <v>158</v>
      </c>
      <c r="D62" s="140">
        <v>0</v>
      </c>
      <c r="E62" s="140">
        <v>0</v>
      </c>
      <c r="F62" s="140">
        <v>0</v>
      </c>
      <c r="G62" s="140">
        <v>0</v>
      </c>
      <c r="H62" s="140">
        <f>SUM(D62:G62)</f>
        <v>0</v>
      </c>
      <c r="J62" s="140">
        <v>0</v>
      </c>
      <c r="K62" s="140">
        <v>0</v>
      </c>
      <c r="L62" s="140">
        <v>0</v>
      </c>
      <c r="M62" s="140">
        <v>0</v>
      </c>
      <c r="N62" s="140">
        <f>SUM(J62:M62)</f>
        <v>0</v>
      </c>
      <c r="P62" s="140">
        <v>0</v>
      </c>
      <c r="Q62" s="140">
        <v>0</v>
      </c>
      <c r="R62" s="140">
        <v>0</v>
      </c>
      <c r="S62" s="140">
        <v>0</v>
      </c>
      <c r="T62" s="140">
        <f>SUM(P62:S62)</f>
        <v>0</v>
      </c>
      <c r="V62" s="140">
        <f t="shared" si="34" ref="V62:V64">+D62+J62+P62</f>
        <v>0</v>
      </c>
      <c r="W62" s="140">
        <f t="shared" si="35" ref="W62:W64">+E62+K62+Q62</f>
        <v>0</v>
      </c>
      <c r="X62" s="140">
        <f t="shared" si="36" ref="X62:X64">+F62+L62+R62</f>
        <v>0</v>
      </c>
      <c r="Y62" s="140">
        <f t="shared" si="37" ref="Y62:Y64">+G62+M62+S62</f>
        <v>0</v>
      </c>
      <c r="Z62" s="140">
        <f>SUM(V62:Y62)</f>
        <v>0</v>
      </c>
    </row>
    <row r="63" spans="1:26" ht="12.75">
      <c r="A63" s="1">
        <v>42</v>
      </c>
      <c r="B63" t="s">
        <v>159</v>
      </c>
      <c r="D63" s="66">
        <v>0</v>
      </c>
      <c r="E63" s="66">
        <v>0</v>
      </c>
      <c r="F63" s="66">
        <v>0</v>
      </c>
      <c r="G63" s="66">
        <v>0</v>
      </c>
      <c r="H63" s="93">
        <f>SUM(D63:G63)</f>
        <v>0</v>
      </c>
      <c r="J63" s="66">
        <v>0</v>
      </c>
      <c r="K63" s="66">
        <v>0</v>
      </c>
      <c r="L63" s="66">
        <v>0</v>
      </c>
      <c r="M63" s="66">
        <v>0</v>
      </c>
      <c r="N63" s="93">
        <f>SUM(J63:M63)</f>
        <v>0</v>
      </c>
      <c r="P63" s="66">
        <v>0</v>
      </c>
      <c r="Q63" s="66">
        <v>0</v>
      </c>
      <c r="R63" s="66">
        <v>0</v>
      </c>
      <c r="S63" s="66">
        <v>0</v>
      </c>
      <c r="T63" s="93">
        <f>SUM(P63:S63)</f>
        <v>0</v>
      </c>
      <c r="V63" s="66">
        <f t="shared" si="34"/>
        <v>0</v>
      </c>
      <c r="W63" s="66">
        <f t="shared" si="35"/>
        <v>0</v>
      </c>
      <c r="X63" s="66">
        <f t="shared" si="36"/>
        <v>0</v>
      </c>
      <c r="Y63" s="66">
        <f t="shared" si="37"/>
        <v>0</v>
      </c>
      <c r="Z63" s="93">
        <f>SUM(V63:Y63)</f>
        <v>0</v>
      </c>
    </row>
    <row r="64" spans="1:26" ht="12.75">
      <c r="A64" s="1">
        <v>43</v>
      </c>
      <c r="B64" t="s">
        <v>46</v>
      </c>
      <c r="D64" s="66">
        <v>0</v>
      </c>
      <c r="E64" s="66">
        <v>0</v>
      </c>
      <c r="F64" s="66">
        <v>0</v>
      </c>
      <c r="G64" s="66">
        <v>0</v>
      </c>
      <c r="H64" s="93">
        <f>SUM(D64:G64)</f>
        <v>0</v>
      </c>
      <c r="J64" s="66">
        <v>0</v>
      </c>
      <c r="K64" s="66">
        <v>0</v>
      </c>
      <c r="L64" s="66">
        <v>0</v>
      </c>
      <c r="M64" s="66">
        <v>0</v>
      </c>
      <c r="N64" s="93">
        <f>SUM(J64:M64)</f>
        <v>0</v>
      </c>
      <c r="P64" s="66">
        <v>0</v>
      </c>
      <c r="Q64" s="66">
        <v>0</v>
      </c>
      <c r="R64" s="66">
        <v>0</v>
      </c>
      <c r="S64" s="66">
        <v>0</v>
      </c>
      <c r="T64" s="93">
        <f>SUM(P64:S64)</f>
        <v>0</v>
      </c>
      <c r="V64" s="66">
        <f t="shared" si="34"/>
        <v>0</v>
      </c>
      <c r="W64" s="66">
        <f t="shared" si="35"/>
        <v>0</v>
      </c>
      <c r="X64" s="66">
        <f t="shared" si="36"/>
        <v>0</v>
      </c>
      <c r="Y64" s="66">
        <f t="shared" si="37"/>
        <v>0</v>
      </c>
      <c r="Z64" s="93">
        <f>SUM(V64:Y64)</f>
        <v>0</v>
      </c>
    </row>
    <row r="65" spans="1:1" ht="12.75">
      <c r="A65" s="1">
        <v>44</v>
      </c>
    </row>
    <row r="66" spans="1:1" ht="12.75">
      <c r="A66" s="1">
        <v>45</v>
      </c>
    </row>
    <row r="67" spans="1:26" ht="12.75">
      <c r="A67" s="1">
        <v>46</v>
      </c>
      <c r="B67" s="182" t="str">
        <f>+B36</f>
        <v>TME 2018</v>
      </c>
      <c r="D67" s="140">
        <v>73905825.730000004</v>
      </c>
      <c r="E67" s="140">
        <v>9950449.8499999996</v>
      </c>
      <c r="F67" s="140">
        <v>0</v>
      </c>
      <c r="G67" s="140">
        <v>21482172.66</v>
      </c>
      <c r="H67" s="140">
        <f>SUM(D67:G67)</f>
        <v>105338448.24</v>
      </c>
      <c r="J67" s="140">
        <v>0</v>
      </c>
      <c r="K67" s="140">
        <v>0</v>
      </c>
      <c r="L67" s="140">
        <v>0</v>
      </c>
      <c r="M67" s="140">
        <v>0</v>
      </c>
      <c r="N67" s="140">
        <f>SUM(J67:M67)</f>
        <v>0</v>
      </c>
      <c r="P67" s="140">
        <v>0</v>
      </c>
      <c r="Q67" s="140">
        <v>0</v>
      </c>
      <c r="R67" s="140">
        <v>0</v>
      </c>
      <c r="S67" s="140">
        <v>0</v>
      </c>
      <c r="T67" s="140">
        <f>SUM(P67:S67)</f>
        <v>0</v>
      </c>
      <c r="V67" s="140">
        <f t="shared" si="38" ref="V67:V69">+D67+J67+P67</f>
        <v>73905825.730000004</v>
      </c>
      <c r="W67" s="140">
        <f t="shared" si="39" ref="W67:W69">+E67+K67+Q67</f>
        <v>9950449.8499999996</v>
      </c>
      <c r="X67" s="140">
        <f t="shared" si="40" ref="X67:X69">+F67+L67+R67</f>
        <v>0</v>
      </c>
      <c r="Y67" s="140">
        <f t="shared" si="41" ref="Y67:Y69">+G67+M67+S67</f>
        <v>21482172.66</v>
      </c>
      <c r="Z67" s="140">
        <f>SUM(V67:Y67)</f>
        <v>105338448.24</v>
      </c>
    </row>
    <row r="68" spans="1:26" ht="12.75">
      <c r="A68" s="1">
        <v>47</v>
      </c>
      <c r="B68" s="182" t="str">
        <f t="shared" si="42" ref="B68:B69">+B37</f>
        <v>TME 2019</v>
      </c>
      <c r="D68" s="66">
        <v>79281226.849999994</v>
      </c>
      <c r="E68" s="66">
        <v>10662314.720000001</v>
      </c>
      <c r="F68" s="66">
        <v>0</v>
      </c>
      <c r="G68" s="66">
        <v>19058633.050000001</v>
      </c>
      <c r="H68" s="66">
        <f>SUM(D68:G68)</f>
        <v>109002174.61999999</v>
      </c>
      <c r="J68" s="66">
        <v>0</v>
      </c>
      <c r="K68" s="66">
        <v>0</v>
      </c>
      <c r="L68" s="66">
        <v>0</v>
      </c>
      <c r="M68" s="66">
        <v>0</v>
      </c>
      <c r="N68" s="66">
        <f>SUM(J68:M68)</f>
        <v>0</v>
      </c>
      <c r="P68" s="66">
        <v>0</v>
      </c>
      <c r="Q68" s="66">
        <v>0</v>
      </c>
      <c r="R68" s="66">
        <v>0</v>
      </c>
      <c r="S68" s="66">
        <v>0</v>
      </c>
      <c r="T68" s="66">
        <f>SUM(P68:S68)</f>
        <v>0</v>
      </c>
      <c r="V68" s="66">
        <f t="shared" si="38"/>
        <v>79281226.849999994</v>
      </c>
      <c r="W68" s="66">
        <f t="shared" si="39"/>
        <v>10662314.720000001</v>
      </c>
      <c r="X68" s="66">
        <f t="shared" si="40"/>
        <v>0</v>
      </c>
      <c r="Y68" s="66">
        <f t="shared" si="41"/>
        <v>19058633.050000001</v>
      </c>
      <c r="Z68" s="66">
        <f>SUM(V68:Y68)</f>
        <v>109002174.61999999</v>
      </c>
    </row>
    <row r="69" spans="1:26" ht="12.75">
      <c r="A69" s="1">
        <v>48</v>
      </c>
      <c r="B69" s="182" t="str">
        <f t="shared" si="42"/>
        <v>TME 2020</v>
      </c>
      <c r="D69" s="66">
        <v>88397410.489999995</v>
      </c>
      <c r="E69" s="66">
        <v>11989432.460000001</v>
      </c>
      <c r="F69" s="66">
        <v>0</v>
      </c>
      <c r="G69" s="66">
        <v>28178531.489999998</v>
      </c>
      <c r="H69" s="66">
        <f>SUM(D69:G69)</f>
        <v>128565374.43999998</v>
      </c>
      <c r="J69" s="66">
        <v>0</v>
      </c>
      <c r="K69" s="66">
        <v>0</v>
      </c>
      <c r="L69" s="66">
        <v>0</v>
      </c>
      <c r="M69" s="66">
        <v>0</v>
      </c>
      <c r="N69" s="66">
        <f>SUM(J69:M69)</f>
        <v>0</v>
      </c>
      <c r="P69" s="66">
        <v>0</v>
      </c>
      <c r="Q69" s="66">
        <v>0</v>
      </c>
      <c r="R69" s="66">
        <v>0</v>
      </c>
      <c r="S69" s="66">
        <v>0</v>
      </c>
      <c r="T69" s="66">
        <f>SUM(P69:S69)</f>
        <v>0</v>
      </c>
      <c r="V69" s="66">
        <f t="shared" si="38"/>
        <v>88397410.489999995</v>
      </c>
      <c r="W69" s="66">
        <f t="shared" si="39"/>
        <v>11989432.460000001</v>
      </c>
      <c r="X69" s="66">
        <f t="shared" si="40"/>
        <v>0</v>
      </c>
      <c r="Y69" s="66">
        <f t="shared" si="41"/>
        <v>28178531.489999998</v>
      </c>
      <c r="Z69" s="66">
        <f>SUM(V69:Y69)</f>
        <v>128565374.43999998</v>
      </c>
    </row>
    <row r="72" spans="4:20" ht="13.5" thickBot="1">
      <c r="D72" s="362" t="s">
        <v>295</v>
      </c>
      <c r="E72" s="362"/>
      <c r="F72" s="362"/>
      <c r="G72" s="362"/>
      <c r="H72" s="362"/>
      <c r="J72" s="363" t="s">
        <v>727</v>
      </c>
      <c r="K72" s="362"/>
      <c r="L72" s="362"/>
      <c r="M72" s="362"/>
      <c r="N72" s="362"/>
      <c r="P72" s="363" t="s">
        <v>728</v>
      </c>
      <c r="Q72" s="362"/>
      <c r="R72" s="362"/>
      <c r="S72" s="362"/>
      <c r="T72" s="362"/>
    </row>
    <row r="73" spans="1:20" ht="12.75">
      <c r="A73" s="18" t="s">
        <v>87</v>
      </c>
      <c r="B73" s="18"/>
      <c r="D73" s="18"/>
      <c r="E73" s="25"/>
      <c r="F73" s="201" t="s">
        <v>402</v>
      </c>
      <c r="G73" s="18"/>
      <c r="H73" s="2"/>
      <c r="J73" s="18"/>
      <c r="K73" s="25"/>
      <c r="L73" s="201" t="s">
        <v>402</v>
      </c>
      <c r="M73" s="18"/>
      <c r="N73" s="2"/>
      <c r="P73" s="18"/>
      <c r="Q73" s="25"/>
      <c r="R73" s="201" t="s">
        <v>402</v>
      </c>
      <c r="S73" s="18"/>
      <c r="T73" s="2"/>
    </row>
    <row r="74" spans="1:20" ht="12.75">
      <c r="A74" s="208" t="s">
        <v>89</v>
      </c>
      <c r="B74" s="208" t="s">
        <v>64</v>
      </c>
      <c r="D74" s="208" t="s">
        <v>65</v>
      </c>
      <c r="E74" s="208" t="s">
        <v>66</v>
      </c>
      <c r="F74" s="202" t="s">
        <v>403</v>
      </c>
      <c r="G74" s="208" t="s">
        <v>63</v>
      </c>
      <c r="H74" s="208" t="s">
        <v>216</v>
      </c>
      <c r="J74" s="208" t="s">
        <v>65</v>
      </c>
      <c r="K74" s="208" t="s">
        <v>66</v>
      </c>
      <c r="L74" s="202" t="s">
        <v>403</v>
      </c>
      <c r="M74" s="208" t="s">
        <v>63</v>
      </c>
      <c r="N74" s="208" t="s">
        <v>216</v>
      </c>
      <c r="P74" s="208" t="s">
        <v>65</v>
      </c>
      <c r="Q74" s="208" t="s">
        <v>66</v>
      </c>
      <c r="R74" s="202" t="s">
        <v>403</v>
      </c>
      <c r="S74" s="208" t="s">
        <v>63</v>
      </c>
      <c r="T74" s="208" t="s">
        <v>216</v>
      </c>
    </row>
    <row r="75" spans="1:20" ht="12.75">
      <c r="A75" s="18"/>
      <c r="B75" s="16" t="s">
        <v>44</v>
      </c>
      <c r="D75" s="16" t="s">
        <v>45</v>
      </c>
      <c r="E75" s="16" t="s">
        <v>74</v>
      </c>
      <c r="F75" s="16" t="s">
        <v>75</v>
      </c>
      <c r="G75" s="16" t="s">
        <v>76</v>
      </c>
      <c r="H75" s="16" t="s">
        <v>77</v>
      </c>
      <c r="J75" s="203" t="s">
        <v>78</v>
      </c>
      <c r="K75" s="203" t="s">
        <v>79</v>
      </c>
      <c r="L75" s="203" t="s">
        <v>80</v>
      </c>
      <c r="M75" s="203" t="s">
        <v>81</v>
      </c>
      <c r="N75" s="203" t="s">
        <v>82</v>
      </c>
      <c r="P75" s="203" t="s">
        <v>83</v>
      </c>
      <c r="Q75" s="203" t="s">
        <v>84</v>
      </c>
      <c r="R75" s="203" t="s">
        <v>85</v>
      </c>
      <c r="S75" s="203" t="s">
        <v>86</v>
      </c>
      <c r="T75" s="203" t="s">
        <v>255</v>
      </c>
    </row>
    <row r="77" spans="1:20" ht="12.75">
      <c r="A77" s="1">
        <v>49</v>
      </c>
      <c r="B77" s="199" t="str">
        <f>+B46</f>
        <v>January 2021</v>
      </c>
      <c r="D77" s="140">
        <v>23234378.649999999</v>
      </c>
      <c r="E77" s="140">
        <v>6051581.2300000004</v>
      </c>
      <c r="F77" s="140">
        <v>0</v>
      </c>
      <c r="G77" s="140">
        <v>3136754.1400000001</v>
      </c>
      <c r="H77" s="140">
        <f t="shared" si="43" ref="H77:H88">SUM(D77:G77)</f>
        <v>32422714.02</v>
      </c>
      <c r="J77" s="140">
        <v>0</v>
      </c>
      <c r="K77" s="140">
        <v>0</v>
      </c>
      <c r="L77" s="140">
        <v>0</v>
      </c>
      <c r="M77" s="140">
        <v>0</v>
      </c>
      <c r="N77" s="140">
        <f t="shared" si="44" ref="N77:N88">SUM(J77:M77)</f>
        <v>0</v>
      </c>
      <c r="P77" s="140">
        <f>+D77+J77</f>
        <v>23234378.649999999</v>
      </c>
      <c r="Q77" s="140">
        <f t="shared" si="45" ref="Q77:Q88">+E77+K77</f>
        <v>6051581.2300000004</v>
      </c>
      <c r="R77" s="140">
        <f t="shared" si="46" ref="R77:R88">+F77+L77</f>
        <v>0</v>
      </c>
      <c r="S77" s="140">
        <f t="shared" si="47" ref="S77:S88">+G77+M77</f>
        <v>3136754.1400000001</v>
      </c>
      <c r="T77" s="140">
        <f t="shared" si="48" ref="T77:T88">SUM(P77:S77)</f>
        <v>32422714.02</v>
      </c>
    </row>
    <row r="78" spans="1:20" ht="12.75">
      <c r="A78" s="1">
        <v>50</v>
      </c>
      <c r="B78" s="199" t="str">
        <f t="shared" si="49" ref="B78:B88">+B47</f>
        <v>February 2021</v>
      </c>
      <c r="D78" s="66">
        <v>21781790.07</v>
      </c>
      <c r="E78" s="66">
        <v>9389333.4600000009</v>
      </c>
      <c r="F78" s="66">
        <v>0</v>
      </c>
      <c r="G78" s="66">
        <v>2342071.5899999999</v>
      </c>
      <c r="H78" s="93">
        <f t="shared" si="43"/>
        <v>33513195.120000001</v>
      </c>
      <c r="J78" s="66">
        <v>0</v>
      </c>
      <c r="K78" s="66">
        <v>0</v>
      </c>
      <c r="L78" s="66">
        <v>0</v>
      </c>
      <c r="M78" s="66">
        <v>0</v>
      </c>
      <c r="N78" s="93">
        <f t="shared" si="44"/>
        <v>0</v>
      </c>
      <c r="P78" s="66">
        <f t="shared" si="50" ref="P78:P88">+D78+J78</f>
        <v>21781790.07</v>
      </c>
      <c r="Q78" s="66">
        <f t="shared" si="45"/>
        <v>9389333.4600000009</v>
      </c>
      <c r="R78" s="66">
        <f t="shared" si="46"/>
        <v>0</v>
      </c>
      <c r="S78" s="66">
        <f t="shared" si="47"/>
        <v>2342071.5899999999</v>
      </c>
      <c r="T78" s="93">
        <f t="shared" si="48"/>
        <v>33513195.120000001</v>
      </c>
    </row>
    <row r="79" spans="1:20" ht="12.75">
      <c r="A79" s="1">
        <v>51</v>
      </c>
      <c r="B79" s="199" t="str">
        <f t="shared" si="49"/>
        <v>March 2021</v>
      </c>
      <c r="D79" s="66">
        <v>22840808.190000001</v>
      </c>
      <c r="E79" s="66">
        <v>7331104.3099999996</v>
      </c>
      <c r="F79" s="66">
        <v>0</v>
      </c>
      <c r="G79" s="66">
        <v>4537221.6699999999</v>
      </c>
      <c r="H79" s="93">
        <f t="shared" si="43"/>
        <v>34709134.170000002</v>
      </c>
      <c r="J79" s="66">
        <v>0</v>
      </c>
      <c r="K79" s="66">
        <v>0</v>
      </c>
      <c r="L79" s="66">
        <v>0</v>
      </c>
      <c r="M79" s="66">
        <v>0</v>
      </c>
      <c r="N79" s="93">
        <f t="shared" si="44"/>
        <v>0</v>
      </c>
      <c r="P79" s="66">
        <f t="shared" si="50"/>
        <v>22840808.190000001</v>
      </c>
      <c r="Q79" s="66">
        <f t="shared" si="45"/>
        <v>7331104.3099999996</v>
      </c>
      <c r="R79" s="66">
        <f t="shared" si="46"/>
        <v>0</v>
      </c>
      <c r="S79" s="66">
        <f t="shared" si="47"/>
        <v>4537221.6699999999</v>
      </c>
      <c r="T79" s="93">
        <f t="shared" si="48"/>
        <v>34709134.170000002</v>
      </c>
    </row>
    <row r="80" spans="1:20" ht="12.75">
      <c r="A80" s="1">
        <v>52</v>
      </c>
      <c r="B80" s="199" t="str">
        <f t="shared" si="49"/>
        <v>April 2021</v>
      </c>
      <c r="D80" s="66">
        <v>22312405.52</v>
      </c>
      <c r="E80" s="66">
        <v>4545209.6399999997</v>
      </c>
      <c r="F80" s="66">
        <v>0</v>
      </c>
      <c r="G80" s="66">
        <v>2990025.3599999999</v>
      </c>
      <c r="H80" s="93">
        <f t="shared" si="43"/>
        <v>29847640.52</v>
      </c>
      <c r="J80" s="66">
        <v>0</v>
      </c>
      <c r="K80" s="66">
        <v>0</v>
      </c>
      <c r="L80" s="66">
        <v>0</v>
      </c>
      <c r="M80" s="66">
        <v>0</v>
      </c>
      <c r="N80" s="93">
        <f t="shared" si="44"/>
        <v>0</v>
      </c>
      <c r="P80" s="66">
        <f t="shared" si="50"/>
        <v>22312405.52</v>
      </c>
      <c r="Q80" s="66">
        <f t="shared" si="45"/>
        <v>4545209.6399999997</v>
      </c>
      <c r="R80" s="66">
        <f t="shared" si="46"/>
        <v>0</v>
      </c>
      <c r="S80" s="66">
        <f t="shared" si="47"/>
        <v>2990025.3599999999</v>
      </c>
      <c r="T80" s="93">
        <f t="shared" si="48"/>
        <v>29847640.52</v>
      </c>
    </row>
    <row r="81" spans="1:20" ht="12.75">
      <c r="A81" s="1">
        <v>53</v>
      </c>
      <c r="B81" s="199" t="str">
        <f t="shared" si="49"/>
        <v>May 2021</v>
      </c>
      <c r="D81" s="66">
        <v>22777659.010000002</v>
      </c>
      <c r="E81" s="66">
        <v>6399849.9699999997</v>
      </c>
      <c r="F81" s="66">
        <v>0</v>
      </c>
      <c r="G81" s="66">
        <v>3748950.1299999999</v>
      </c>
      <c r="H81" s="93">
        <f t="shared" si="43"/>
        <v>32926459.109999999</v>
      </c>
      <c r="J81" s="66">
        <v>0</v>
      </c>
      <c r="K81" s="66">
        <v>0</v>
      </c>
      <c r="L81" s="66">
        <v>0</v>
      </c>
      <c r="M81" s="66">
        <v>0</v>
      </c>
      <c r="N81" s="93">
        <f t="shared" si="44"/>
        <v>0</v>
      </c>
      <c r="P81" s="66">
        <f t="shared" si="50"/>
        <v>22777659.010000002</v>
      </c>
      <c r="Q81" s="66">
        <f t="shared" si="45"/>
        <v>6399849.9699999997</v>
      </c>
      <c r="R81" s="66">
        <f t="shared" si="46"/>
        <v>0</v>
      </c>
      <c r="S81" s="66">
        <f t="shared" si="47"/>
        <v>3748950.1299999999</v>
      </c>
      <c r="T81" s="93">
        <f t="shared" si="48"/>
        <v>32926459.109999999</v>
      </c>
    </row>
    <row r="82" spans="1:20" ht="12.75">
      <c r="A82" s="1">
        <v>54</v>
      </c>
      <c r="B82" s="199" t="str">
        <f t="shared" si="49"/>
        <v>June 2021</v>
      </c>
      <c r="D82" s="66">
        <v>22742888.170000002</v>
      </c>
      <c r="E82" s="66">
        <v>6550739.29</v>
      </c>
      <c r="F82" s="66">
        <v>0</v>
      </c>
      <c r="G82" s="66">
        <v>5612223.0899999999</v>
      </c>
      <c r="H82" s="93">
        <f t="shared" si="43"/>
        <v>34905850.549999997</v>
      </c>
      <c r="J82" s="66">
        <v>0</v>
      </c>
      <c r="K82" s="66">
        <v>0</v>
      </c>
      <c r="L82" s="66">
        <v>0</v>
      </c>
      <c r="M82" s="66">
        <v>0</v>
      </c>
      <c r="N82" s="93">
        <f t="shared" si="44"/>
        <v>0</v>
      </c>
      <c r="P82" s="66">
        <f t="shared" si="50"/>
        <v>22742888.170000002</v>
      </c>
      <c r="Q82" s="66">
        <f t="shared" si="45"/>
        <v>6550739.29</v>
      </c>
      <c r="R82" s="66">
        <f t="shared" si="46"/>
        <v>0</v>
      </c>
      <c r="S82" s="66">
        <f t="shared" si="47"/>
        <v>5612223.0899999999</v>
      </c>
      <c r="T82" s="93">
        <f t="shared" si="48"/>
        <v>34905850.549999997</v>
      </c>
    </row>
    <row r="83" spans="1:20" ht="12.75">
      <c r="A83" s="1">
        <v>55</v>
      </c>
      <c r="B83" s="199" t="str">
        <f t="shared" si="49"/>
        <v>July 2021</v>
      </c>
      <c r="D83" s="66">
        <v>23447068.289999999</v>
      </c>
      <c r="E83" s="66">
        <v>5850358.8700000001</v>
      </c>
      <c r="F83" s="66">
        <v>0</v>
      </c>
      <c r="G83" s="66">
        <v>3453339.21</v>
      </c>
      <c r="H83" s="93">
        <f t="shared" si="43"/>
        <v>32750766.370000001</v>
      </c>
      <c r="J83" s="66">
        <v>0</v>
      </c>
      <c r="K83" s="66">
        <v>0</v>
      </c>
      <c r="L83" s="66">
        <v>0</v>
      </c>
      <c r="M83" s="66">
        <v>0</v>
      </c>
      <c r="N83" s="93">
        <f t="shared" si="44"/>
        <v>0</v>
      </c>
      <c r="P83" s="66">
        <f t="shared" si="50"/>
        <v>23447068.289999999</v>
      </c>
      <c r="Q83" s="66">
        <f t="shared" si="45"/>
        <v>5850358.8700000001</v>
      </c>
      <c r="R83" s="66">
        <f t="shared" si="46"/>
        <v>0</v>
      </c>
      <c r="S83" s="66">
        <f t="shared" si="47"/>
        <v>3453339.21</v>
      </c>
      <c r="T83" s="93">
        <f t="shared" si="48"/>
        <v>32750766.370000001</v>
      </c>
    </row>
    <row r="84" spans="1:20" ht="12.75">
      <c r="A84" s="1">
        <v>56</v>
      </c>
      <c r="B84" s="199" t="str">
        <f t="shared" si="49"/>
        <v>August 2021</v>
      </c>
      <c r="D84" s="66">
        <v>22887599.739999998</v>
      </c>
      <c r="E84" s="66">
        <v>6364618.96</v>
      </c>
      <c r="F84" s="66">
        <v>0</v>
      </c>
      <c r="G84" s="66">
        <v>3378446.5499999998</v>
      </c>
      <c r="H84" s="93">
        <f t="shared" si="43"/>
        <v>32630665.25</v>
      </c>
      <c r="J84" s="66">
        <v>0</v>
      </c>
      <c r="K84" s="66">
        <v>0</v>
      </c>
      <c r="L84" s="66">
        <v>0</v>
      </c>
      <c r="M84" s="66">
        <v>0</v>
      </c>
      <c r="N84" s="93">
        <f t="shared" si="44"/>
        <v>0</v>
      </c>
      <c r="P84" s="66">
        <f t="shared" si="50"/>
        <v>22887599.739999998</v>
      </c>
      <c r="Q84" s="66">
        <f t="shared" si="45"/>
        <v>6364618.96</v>
      </c>
      <c r="R84" s="66">
        <f t="shared" si="46"/>
        <v>0</v>
      </c>
      <c r="S84" s="66">
        <f t="shared" si="47"/>
        <v>3378446.5499999998</v>
      </c>
      <c r="T84" s="93">
        <f t="shared" si="48"/>
        <v>32630665.25</v>
      </c>
    </row>
    <row r="85" spans="1:20" ht="12.75">
      <c r="A85" s="1">
        <v>57</v>
      </c>
      <c r="B85" s="199" t="str">
        <f t="shared" si="49"/>
        <v>September 2021</v>
      </c>
      <c r="D85" s="66">
        <v>22550884.5</v>
      </c>
      <c r="E85" s="66">
        <v>4385199.0700000003</v>
      </c>
      <c r="F85" s="66">
        <v>0</v>
      </c>
      <c r="G85" s="66">
        <v>2359624.29</v>
      </c>
      <c r="H85" s="93">
        <f t="shared" si="43"/>
        <v>29295707.859999999</v>
      </c>
      <c r="J85" s="66">
        <v>0</v>
      </c>
      <c r="K85" s="66">
        <v>0</v>
      </c>
      <c r="L85" s="66">
        <v>0</v>
      </c>
      <c r="M85" s="66">
        <v>0</v>
      </c>
      <c r="N85" s="93">
        <f t="shared" si="44"/>
        <v>0</v>
      </c>
      <c r="P85" s="66">
        <f t="shared" si="50"/>
        <v>22550884.5</v>
      </c>
      <c r="Q85" s="66">
        <f t="shared" si="45"/>
        <v>4385199.0700000003</v>
      </c>
      <c r="R85" s="66">
        <f t="shared" si="46"/>
        <v>0</v>
      </c>
      <c r="S85" s="66">
        <f t="shared" si="47"/>
        <v>2359624.29</v>
      </c>
      <c r="T85" s="93">
        <f t="shared" si="48"/>
        <v>29295707.859999999</v>
      </c>
    </row>
    <row r="86" spans="1:20" ht="12.75">
      <c r="A86" s="1">
        <v>58</v>
      </c>
      <c r="B86" s="199" t="str">
        <f t="shared" si="49"/>
        <v>October 2021</v>
      </c>
      <c r="D86" s="66">
        <v>22960119.989999998</v>
      </c>
      <c r="E86" s="66">
        <v>6123838.21</v>
      </c>
      <c r="F86" s="66">
        <v>0</v>
      </c>
      <c r="G86" s="66">
        <v>2238791.5600000001</v>
      </c>
      <c r="H86" s="93">
        <f t="shared" si="43"/>
        <v>31322749.759999998</v>
      </c>
      <c r="J86" s="66">
        <v>0</v>
      </c>
      <c r="K86" s="66">
        <v>0</v>
      </c>
      <c r="L86" s="66">
        <v>0</v>
      </c>
      <c r="M86" s="66">
        <v>0</v>
      </c>
      <c r="N86" s="93">
        <f t="shared" si="44"/>
        <v>0</v>
      </c>
      <c r="P86" s="66">
        <f t="shared" si="50"/>
        <v>22960119.989999998</v>
      </c>
      <c r="Q86" s="66">
        <f t="shared" si="45"/>
        <v>6123838.21</v>
      </c>
      <c r="R86" s="66">
        <f t="shared" si="46"/>
        <v>0</v>
      </c>
      <c r="S86" s="66">
        <f t="shared" si="47"/>
        <v>2238791.5600000001</v>
      </c>
      <c r="T86" s="93">
        <f t="shared" si="48"/>
        <v>31322749.759999998</v>
      </c>
    </row>
    <row r="87" spans="1:20" ht="12.75">
      <c r="A87" s="1">
        <v>59</v>
      </c>
      <c r="B87" s="199" t="str">
        <f t="shared" si="49"/>
        <v>November 2021</v>
      </c>
      <c r="D87" s="66">
        <v>23336055.510000002</v>
      </c>
      <c r="E87" s="66">
        <v>5520032.04</v>
      </c>
      <c r="F87" s="66">
        <v>0</v>
      </c>
      <c r="G87" s="66">
        <v>4469216.2400000002</v>
      </c>
      <c r="H87" s="93">
        <f t="shared" si="43"/>
        <v>33325303.789999999</v>
      </c>
      <c r="J87" s="66">
        <v>0</v>
      </c>
      <c r="K87" s="66">
        <v>0</v>
      </c>
      <c r="L87" s="66">
        <v>0</v>
      </c>
      <c r="M87" s="66">
        <v>0</v>
      </c>
      <c r="N87" s="93">
        <f t="shared" si="44"/>
        <v>0</v>
      </c>
      <c r="P87" s="66">
        <f t="shared" si="50"/>
        <v>23336055.510000002</v>
      </c>
      <c r="Q87" s="66">
        <f t="shared" si="45"/>
        <v>5520032.04</v>
      </c>
      <c r="R87" s="66">
        <f t="shared" si="46"/>
        <v>0</v>
      </c>
      <c r="S87" s="66">
        <f t="shared" si="47"/>
        <v>4469216.2400000002</v>
      </c>
      <c r="T87" s="93">
        <f t="shared" si="48"/>
        <v>33325303.789999999</v>
      </c>
    </row>
    <row r="88" spans="1:20" ht="12.75">
      <c r="A88" s="1">
        <v>60</v>
      </c>
      <c r="B88" s="199" t="str">
        <f t="shared" si="49"/>
        <v>December 2021</v>
      </c>
      <c r="D88" s="66">
        <v>23909824.379999999</v>
      </c>
      <c r="E88" s="66">
        <v>5001070.71</v>
      </c>
      <c r="F88" s="66">
        <v>0</v>
      </c>
      <c r="G88" s="66">
        <v>3371521.4900000002</v>
      </c>
      <c r="H88" s="93">
        <f t="shared" si="43"/>
        <v>32282416.579999998</v>
      </c>
      <c r="J88" s="66">
        <v>0</v>
      </c>
      <c r="K88" s="66">
        <v>0</v>
      </c>
      <c r="L88" s="66">
        <v>0</v>
      </c>
      <c r="M88" s="66">
        <v>0</v>
      </c>
      <c r="N88" s="93">
        <f t="shared" si="44"/>
        <v>0</v>
      </c>
      <c r="P88" s="66">
        <f t="shared" si="50"/>
        <v>23909824.379999999</v>
      </c>
      <c r="Q88" s="66">
        <f t="shared" si="45"/>
        <v>5001070.71</v>
      </c>
      <c r="R88" s="66">
        <f t="shared" si="46"/>
        <v>0</v>
      </c>
      <c r="S88" s="66">
        <f t="shared" si="47"/>
        <v>3371521.4900000002</v>
      </c>
      <c r="T88" s="93">
        <f t="shared" si="48"/>
        <v>32282416.579999998</v>
      </c>
    </row>
    <row r="89" spans="1:20" ht="12.75">
      <c r="A89" s="1">
        <v>61</v>
      </c>
      <c r="D89" s="115"/>
      <c r="E89" s="115"/>
      <c r="F89" s="115"/>
      <c r="G89" s="115"/>
      <c r="H89" s="115"/>
      <c r="J89" s="115"/>
      <c r="K89" s="115"/>
      <c r="L89" s="115"/>
      <c r="M89" s="115"/>
      <c r="N89" s="115"/>
      <c r="P89" s="115"/>
      <c r="Q89" s="115"/>
      <c r="R89" s="115"/>
      <c r="S89" s="115"/>
      <c r="T89" s="115"/>
    </row>
    <row r="90" spans="1:20" ht="12.75">
      <c r="A90" s="1">
        <v>62</v>
      </c>
      <c r="B90" s="94" t="s">
        <v>69</v>
      </c>
      <c r="D90" s="142">
        <f t="shared" si="51" ref="D90:E90">SUM(D77:D88)</f>
        <v>274781482.02000004</v>
      </c>
      <c r="E90" s="142">
        <f t="shared" si="51"/>
        <v>73512935.75999999</v>
      </c>
      <c r="F90" s="142"/>
      <c r="G90" s="142">
        <f t="shared" si="52" ref="G90:H90">SUM(G77:G88)</f>
        <v>41638185.320000008</v>
      </c>
      <c r="H90" s="142">
        <f t="shared" si="52"/>
        <v>389932603.10000002</v>
      </c>
      <c r="J90" s="142">
        <f t="shared" si="53" ref="J90:K90">SUM(J77:J88)</f>
        <v>0</v>
      </c>
      <c r="K90" s="142">
        <f t="shared" si="53"/>
        <v>0</v>
      </c>
      <c r="L90" s="142"/>
      <c r="M90" s="142">
        <f t="shared" si="54" ref="M90:N90">SUM(M77:M88)</f>
        <v>0</v>
      </c>
      <c r="N90" s="142">
        <f t="shared" si="54"/>
        <v>0</v>
      </c>
      <c r="P90" s="142">
        <f t="shared" si="55" ref="P90:Q90">SUM(P77:P88)</f>
        <v>274781482.02000004</v>
      </c>
      <c r="Q90" s="142">
        <f t="shared" si="55"/>
        <v>73512935.75999999</v>
      </c>
      <c r="R90" s="142"/>
      <c r="S90" s="142">
        <f t="shared" si="56" ref="S90:T90">SUM(S77:S88)</f>
        <v>41638185.320000008</v>
      </c>
      <c r="T90" s="142">
        <f t="shared" si="56"/>
        <v>389932603.10000002</v>
      </c>
    </row>
    <row r="91" spans="1:1" ht="12.75">
      <c r="A91" s="1">
        <v>63</v>
      </c>
    </row>
    <row r="92" spans="1:1" ht="12.75">
      <c r="A92" s="1">
        <v>64</v>
      </c>
    </row>
    <row r="93" spans="1:20" ht="12.75">
      <c r="A93" s="1">
        <v>65</v>
      </c>
      <c r="B93" t="s">
        <v>158</v>
      </c>
      <c r="D93" s="140">
        <v>0</v>
      </c>
      <c r="E93" s="140">
        <v>0</v>
      </c>
      <c r="F93" s="140">
        <v>0</v>
      </c>
      <c r="G93" s="140">
        <v>0</v>
      </c>
      <c r="H93" s="140">
        <f>SUM(D93:G93)</f>
        <v>0</v>
      </c>
      <c r="J93" s="140">
        <v>0</v>
      </c>
      <c r="K93" s="140">
        <v>0</v>
      </c>
      <c r="L93" s="140">
        <v>0</v>
      </c>
      <c r="M93" s="140">
        <v>0</v>
      </c>
      <c r="N93" s="140">
        <f>SUM(J93:M93)</f>
        <v>0</v>
      </c>
      <c r="P93" s="140">
        <f t="shared" si="57" ref="P93:P95">+D93+J93</f>
        <v>0</v>
      </c>
      <c r="Q93" s="140">
        <f t="shared" si="58" ref="Q93:Q95">+E93+K93</f>
        <v>0</v>
      </c>
      <c r="R93" s="140">
        <f t="shared" si="59" ref="R93:R95">+F93+L93</f>
        <v>0</v>
      </c>
      <c r="S93" s="140">
        <f t="shared" si="60" ref="S93:S95">+G93+M93</f>
        <v>0</v>
      </c>
      <c r="T93" s="140">
        <f>SUM(P93:S93)</f>
        <v>0</v>
      </c>
    </row>
    <row r="94" spans="1:20" ht="12.75">
      <c r="A94" s="1">
        <v>66</v>
      </c>
      <c r="B94" t="s">
        <v>159</v>
      </c>
      <c r="D94" s="66">
        <v>0</v>
      </c>
      <c r="E94" s="66">
        <v>0</v>
      </c>
      <c r="F94" s="66">
        <v>0</v>
      </c>
      <c r="G94" s="66">
        <v>0</v>
      </c>
      <c r="H94" s="93">
        <f>SUM(D94:G94)</f>
        <v>0</v>
      </c>
      <c r="J94" s="66">
        <v>0</v>
      </c>
      <c r="K94" s="66">
        <v>0</v>
      </c>
      <c r="L94" s="66">
        <v>0</v>
      </c>
      <c r="M94" s="66">
        <v>0</v>
      </c>
      <c r="N94" s="93">
        <f>SUM(J94:M94)</f>
        <v>0</v>
      </c>
      <c r="P94" s="66">
        <f t="shared" si="57"/>
        <v>0</v>
      </c>
      <c r="Q94" s="66">
        <f t="shared" si="58"/>
        <v>0</v>
      </c>
      <c r="R94" s="66">
        <f t="shared" si="59"/>
        <v>0</v>
      </c>
      <c r="S94" s="66">
        <f t="shared" si="60"/>
        <v>0</v>
      </c>
      <c r="T94" s="93">
        <f>SUM(P94:S94)</f>
        <v>0</v>
      </c>
    </row>
    <row r="95" spans="1:20" ht="12.75">
      <c r="A95" s="1">
        <v>67</v>
      </c>
      <c r="B95" t="s">
        <v>46</v>
      </c>
      <c r="D95" s="66">
        <v>0</v>
      </c>
      <c r="E95" s="66">
        <v>0</v>
      </c>
      <c r="F95" s="66">
        <v>0</v>
      </c>
      <c r="G95" s="66">
        <v>0</v>
      </c>
      <c r="H95" s="93">
        <f>SUM(D95:G95)</f>
        <v>0</v>
      </c>
      <c r="J95" s="66">
        <v>0</v>
      </c>
      <c r="K95" s="66">
        <v>0</v>
      </c>
      <c r="L95" s="66">
        <v>0</v>
      </c>
      <c r="M95" s="66">
        <v>0</v>
      </c>
      <c r="N95" s="93">
        <f>SUM(J95:M95)</f>
        <v>0</v>
      </c>
      <c r="P95" s="66">
        <f t="shared" si="57"/>
        <v>0</v>
      </c>
      <c r="Q95" s="66">
        <f t="shared" si="58"/>
        <v>0</v>
      </c>
      <c r="R95" s="66">
        <f t="shared" si="59"/>
        <v>0</v>
      </c>
      <c r="S95" s="66">
        <f t="shared" si="60"/>
        <v>0</v>
      </c>
      <c r="T95" s="93">
        <f>SUM(P95:S95)</f>
        <v>0</v>
      </c>
    </row>
    <row r="96" spans="1:1" ht="12.75">
      <c r="A96" s="1">
        <v>68</v>
      </c>
    </row>
    <row r="97" spans="1:1" ht="12.75">
      <c r="A97" s="1">
        <v>69</v>
      </c>
    </row>
    <row r="98" spans="1:20" ht="12.75">
      <c r="A98" s="1">
        <v>70</v>
      </c>
      <c r="B98" s="182" t="str">
        <f>+B67</f>
        <v>TME 2018</v>
      </c>
      <c r="D98" s="140">
        <v>228539818.38999999</v>
      </c>
      <c r="E98" s="140">
        <v>58826822.359999999</v>
      </c>
      <c r="F98" s="140">
        <v>0</v>
      </c>
      <c r="G98" s="140">
        <v>44098638.189999998</v>
      </c>
      <c r="H98" s="140">
        <f>SUM(D98:G98)</f>
        <v>331465278.94</v>
      </c>
      <c r="J98" s="140">
        <v>0</v>
      </c>
      <c r="K98" s="140">
        <v>0</v>
      </c>
      <c r="L98" s="140">
        <v>0</v>
      </c>
      <c r="M98" s="140">
        <v>0</v>
      </c>
      <c r="N98" s="140">
        <f>SUM(J98:M98)</f>
        <v>0</v>
      </c>
      <c r="P98" s="140">
        <f t="shared" si="61" ref="P98:P100">+D98+J98</f>
        <v>228539818.38999999</v>
      </c>
      <c r="Q98" s="140">
        <f t="shared" si="62" ref="Q98:Q100">+E98+K98</f>
        <v>58826822.359999999</v>
      </c>
      <c r="R98" s="140">
        <f t="shared" si="63" ref="R98:R100">+F98+L98</f>
        <v>0</v>
      </c>
      <c r="S98" s="140">
        <f t="shared" si="64" ref="S98:S100">+G98+M98</f>
        <v>44098638.189999998</v>
      </c>
      <c r="T98" s="140">
        <f>SUM(P98:S98)</f>
        <v>331465278.94</v>
      </c>
    </row>
    <row r="99" spans="1:20" ht="12.75">
      <c r="A99" s="1">
        <v>71</v>
      </c>
      <c r="B99" s="182" t="str">
        <f t="shared" si="65" ref="B99:B100">+B68</f>
        <v>TME 2019</v>
      </c>
      <c r="D99" s="66">
        <v>238715288.62000001</v>
      </c>
      <c r="E99" s="66">
        <v>72930008.010000005</v>
      </c>
      <c r="F99" s="66">
        <v>0</v>
      </c>
      <c r="G99" s="66">
        <v>37865494.829999998</v>
      </c>
      <c r="H99" s="66">
        <f>SUM(D99:G99)</f>
        <v>349510791.45999998</v>
      </c>
      <c r="J99" s="66">
        <v>0</v>
      </c>
      <c r="K99" s="66">
        <v>0</v>
      </c>
      <c r="L99" s="66">
        <v>0</v>
      </c>
      <c r="M99" s="66">
        <v>0</v>
      </c>
      <c r="N99" s="66">
        <f>SUM(J99:M99)</f>
        <v>0</v>
      </c>
      <c r="P99" s="66">
        <f t="shared" si="61"/>
        <v>238715288.62000001</v>
      </c>
      <c r="Q99" s="66">
        <f t="shared" si="62"/>
        <v>72930008.010000005</v>
      </c>
      <c r="R99" s="66">
        <f t="shared" si="63"/>
        <v>0</v>
      </c>
      <c r="S99" s="66">
        <f t="shared" si="64"/>
        <v>37865494.829999998</v>
      </c>
      <c r="T99" s="66">
        <f>SUM(P99:S99)</f>
        <v>349510791.45999998</v>
      </c>
    </row>
    <row r="100" spans="1:20" ht="12.75">
      <c r="A100" s="1">
        <v>72</v>
      </c>
      <c r="B100" s="182" t="str">
        <f t="shared" si="65"/>
        <v>TME 2020</v>
      </c>
      <c r="D100" s="66">
        <v>259953161.65000001</v>
      </c>
      <c r="E100" s="66">
        <v>61779462.990000002</v>
      </c>
      <c r="F100" s="66">
        <v>0</v>
      </c>
      <c r="G100" s="66">
        <v>46862897.170000002</v>
      </c>
      <c r="H100" s="66">
        <f>SUM(D100:G100)</f>
        <v>368595521.81</v>
      </c>
      <c r="J100" s="66">
        <v>0</v>
      </c>
      <c r="K100" s="66">
        <v>0</v>
      </c>
      <c r="L100" s="66">
        <v>0</v>
      </c>
      <c r="M100" s="66">
        <v>0</v>
      </c>
      <c r="N100" s="66">
        <f>SUM(J100:M100)</f>
        <v>0</v>
      </c>
      <c r="P100" s="66">
        <f t="shared" si="61"/>
        <v>259953161.65000001</v>
      </c>
      <c r="Q100" s="66">
        <f t="shared" si="62"/>
        <v>61779462.990000002</v>
      </c>
      <c r="R100" s="66">
        <f t="shared" si="63"/>
        <v>0</v>
      </c>
      <c r="S100" s="66">
        <f t="shared" si="64"/>
        <v>46862897.170000002</v>
      </c>
      <c r="T100" s="66">
        <f>SUM(P100:S100)</f>
        <v>368595521.81</v>
      </c>
    </row>
    <row r="103" spans="4:8" ht="13.5" thickBot="1">
      <c r="D103" s="362" t="s">
        <v>283</v>
      </c>
      <c r="E103" s="362"/>
      <c r="F103" s="362"/>
      <c r="G103" s="362"/>
      <c r="H103" s="362"/>
    </row>
    <row r="104" spans="1:8" ht="12.75">
      <c r="A104" s="18" t="s">
        <v>87</v>
      </c>
      <c r="B104" s="18"/>
      <c r="D104" s="18"/>
      <c r="E104" s="25"/>
      <c r="F104" s="201" t="s">
        <v>402</v>
      </c>
      <c r="G104" s="18"/>
      <c r="H104" s="2"/>
    </row>
    <row r="105" spans="1:8" ht="12.75">
      <c r="A105" s="208" t="s">
        <v>89</v>
      </c>
      <c r="B105" s="208" t="s">
        <v>64</v>
      </c>
      <c r="D105" s="208" t="s">
        <v>65</v>
      </c>
      <c r="E105" s="208" t="s">
        <v>66</v>
      </c>
      <c r="F105" s="202" t="s">
        <v>403</v>
      </c>
      <c r="G105" s="208" t="s">
        <v>63</v>
      </c>
      <c r="H105" s="208" t="s">
        <v>216</v>
      </c>
    </row>
    <row r="106" spans="1:8" ht="12.75">
      <c r="A106" s="18"/>
      <c r="B106" s="16" t="s">
        <v>44</v>
      </c>
      <c r="D106" s="16" t="s">
        <v>45</v>
      </c>
      <c r="E106" s="16" t="s">
        <v>74</v>
      </c>
      <c r="F106" s="16" t="s">
        <v>75</v>
      </c>
      <c r="G106" s="16" t="s">
        <v>76</v>
      </c>
      <c r="H106" s="16" t="s">
        <v>77</v>
      </c>
    </row>
    <row r="108" spans="1:8" ht="12.75">
      <c r="A108" s="1">
        <v>73</v>
      </c>
      <c r="B108" s="199" t="str">
        <f>+B77</f>
        <v>January 2021</v>
      </c>
      <c r="D108" s="140">
        <v>2702962.7999999998</v>
      </c>
      <c r="E108" s="140">
        <v>364146.95000000001</v>
      </c>
      <c r="F108" s="140">
        <v>0</v>
      </c>
      <c r="G108" s="140">
        <v>753294.39000000001</v>
      </c>
      <c r="H108" s="140">
        <f t="shared" si="66" ref="H108:H119">SUM(D108:G108)</f>
        <v>3820404.1400000001</v>
      </c>
    </row>
    <row r="109" spans="1:8" ht="12.75">
      <c r="A109" s="1">
        <v>74</v>
      </c>
      <c r="B109" s="199" t="str">
        <f t="shared" si="67" ref="B109:B119">+B78</f>
        <v>February 2021</v>
      </c>
      <c r="D109" s="66">
        <v>3556682.1200000001</v>
      </c>
      <c r="E109" s="66">
        <v>527255.64000000001</v>
      </c>
      <c r="F109" s="66">
        <v>0</v>
      </c>
      <c r="G109" s="66">
        <v>511418.46999999997</v>
      </c>
      <c r="H109" s="93">
        <f t="shared" si="66"/>
        <v>4595356.2300000004</v>
      </c>
    </row>
    <row r="110" spans="1:8" ht="12.75">
      <c r="A110" s="1">
        <v>75</v>
      </c>
      <c r="B110" s="199" t="str">
        <f t="shared" si="67"/>
        <v>March 2021</v>
      </c>
      <c r="D110" s="66">
        <v>3729758.9300000002</v>
      </c>
      <c r="E110" s="66">
        <v>242881.79999999999</v>
      </c>
      <c r="F110" s="66">
        <v>0</v>
      </c>
      <c r="G110" s="66">
        <v>776704.80000000005</v>
      </c>
      <c r="H110" s="93">
        <f t="shared" si="66"/>
        <v>4749345.5300000003</v>
      </c>
    </row>
    <row r="111" spans="1:8" ht="12.75">
      <c r="A111" s="1">
        <v>76</v>
      </c>
      <c r="B111" s="199" t="str">
        <f t="shared" si="67"/>
        <v>April 2021</v>
      </c>
      <c r="D111" s="66">
        <v>3756806.2599999998</v>
      </c>
      <c r="E111" s="66">
        <v>171445.78</v>
      </c>
      <c r="F111" s="66">
        <v>0</v>
      </c>
      <c r="G111" s="66">
        <v>822241.52000000002</v>
      </c>
      <c r="H111" s="93">
        <f t="shared" si="66"/>
        <v>4750493.5599999996</v>
      </c>
    </row>
    <row r="112" spans="1:8" ht="12.75">
      <c r="A112" s="1">
        <v>77</v>
      </c>
      <c r="B112" s="199" t="str">
        <f t="shared" si="67"/>
        <v>May 2021</v>
      </c>
      <c r="D112" s="66">
        <v>3748366.5800000001</v>
      </c>
      <c r="E112" s="66">
        <v>371949.54999999999</v>
      </c>
      <c r="F112" s="66">
        <v>0</v>
      </c>
      <c r="G112" s="66">
        <v>911237.18999999994</v>
      </c>
      <c r="H112" s="93">
        <f t="shared" si="66"/>
        <v>5031553.3200000003</v>
      </c>
    </row>
    <row r="113" spans="1:8" ht="12.75">
      <c r="A113" s="1">
        <v>78</v>
      </c>
      <c r="B113" s="199" t="str">
        <f t="shared" si="67"/>
        <v>June 2021</v>
      </c>
      <c r="D113" s="66">
        <v>3638800.7200000002</v>
      </c>
      <c r="E113" s="66">
        <v>281561.91999999998</v>
      </c>
      <c r="F113" s="66">
        <v>0</v>
      </c>
      <c r="G113" s="66">
        <v>1266319.27</v>
      </c>
      <c r="H113" s="93">
        <f t="shared" si="66"/>
        <v>5186681.9100000001</v>
      </c>
    </row>
    <row r="114" spans="1:8" ht="12.75">
      <c r="A114" s="1">
        <v>79</v>
      </c>
      <c r="B114" s="199" t="str">
        <f t="shared" si="67"/>
        <v>July 2021</v>
      </c>
      <c r="D114" s="66">
        <v>3353861.8500000001</v>
      </c>
      <c r="E114" s="66">
        <v>-16971.77</v>
      </c>
      <c r="F114" s="66">
        <v>0</v>
      </c>
      <c r="G114" s="66">
        <v>836503.92000000004</v>
      </c>
      <c r="H114" s="93">
        <f t="shared" si="66"/>
        <v>4173394</v>
      </c>
    </row>
    <row r="115" spans="1:8" ht="12.75">
      <c r="A115" s="1">
        <v>80</v>
      </c>
      <c r="B115" s="199" t="str">
        <f t="shared" si="67"/>
        <v>August 2021</v>
      </c>
      <c r="D115" s="66">
        <v>3739697.6200000001</v>
      </c>
      <c r="E115" s="66">
        <v>376901.20000000001</v>
      </c>
      <c r="F115" s="66">
        <v>0</v>
      </c>
      <c r="G115" s="66">
        <v>788295.93000000005</v>
      </c>
      <c r="H115" s="93">
        <f t="shared" si="66"/>
        <v>4904894.75</v>
      </c>
    </row>
    <row r="116" spans="1:8" ht="12.75">
      <c r="A116" s="1">
        <v>81</v>
      </c>
      <c r="B116" s="199" t="str">
        <f t="shared" si="67"/>
        <v>September 2021</v>
      </c>
      <c r="D116" s="66">
        <v>3736698.3500000001</v>
      </c>
      <c r="E116" s="66">
        <v>189249.79999999999</v>
      </c>
      <c r="F116" s="66">
        <v>0</v>
      </c>
      <c r="G116" s="66">
        <v>611307.98999999999</v>
      </c>
      <c r="H116" s="93">
        <f t="shared" si="66"/>
        <v>4537256.1399999997</v>
      </c>
    </row>
    <row r="117" spans="1:8" ht="12.75">
      <c r="A117" s="1">
        <v>82</v>
      </c>
      <c r="B117" s="199" t="str">
        <f t="shared" si="67"/>
        <v>October 2021</v>
      </c>
      <c r="D117" s="66">
        <v>3767469.7200000002</v>
      </c>
      <c r="E117" s="66">
        <v>346897.95000000001</v>
      </c>
      <c r="F117" s="66">
        <v>0</v>
      </c>
      <c r="G117" s="66">
        <v>503065.41999999998</v>
      </c>
      <c r="H117" s="93">
        <f t="shared" si="66"/>
        <v>4617433.0900000008</v>
      </c>
    </row>
    <row r="118" spans="1:8" ht="12.75">
      <c r="A118" s="1">
        <v>83</v>
      </c>
      <c r="B118" s="199" t="str">
        <f t="shared" si="67"/>
        <v>November 2021</v>
      </c>
      <c r="D118" s="66">
        <v>3629442.2000000002</v>
      </c>
      <c r="E118" s="66">
        <v>107715.82000000001</v>
      </c>
      <c r="F118" s="66">
        <v>0</v>
      </c>
      <c r="G118" s="66">
        <v>1070249.6399999999</v>
      </c>
      <c r="H118" s="93">
        <f t="shared" si="66"/>
        <v>4807407.6600000001</v>
      </c>
    </row>
    <row r="119" spans="1:8" ht="12.75">
      <c r="A119" s="1">
        <v>84</v>
      </c>
      <c r="B119" s="199" t="str">
        <f t="shared" si="67"/>
        <v>December 2021</v>
      </c>
      <c r="D119" s="66">
        <v>3608039.5899999999</v>
      </c>
      <c r="E119" s="66">
        <v>41104.559999999998</v>
      </c>
      <c r="F119" s="66">
        <v>0</v>
      </c>
      <c r="G119" s="66">
        <v>718428.40000000002</v>
      </c>
      <c r="H119" s="93">
        <f t="shared" si="66"/>
        <v>4367572.5499999998</v>
      </c>
    </row>
    <row r="120" spans="1:8" ht="12.75">
      <c r="A120" s="1">
        <v>85</v>
      </c>
      <c r="D120" s="115"/>
      <c r="E120" s="115"/>
      <c r="F120" s="115"/>
      <c r="G120" s="115"/>
      <c r="H120" s="115"/>
    </row>
    <row r="121" spans="1:8" ht="12.75">
      <c r="A121" s="1">
        <v>86</v>
      </c>
      <c r="B121" s="94" t="s">
        <v>69</v>
      </c>
      <c r="D121" s="142">
        <f t="shared" si="68" ref="D121:E121">SUM(D108:D119)</f>
        <v>42968586.74000001</v>
      </c>
      <c r="E121" s="142">
        <f t="shared" si="68"/>
        <v>3004139.2000000002</v>
      </c>
      <c r="F121" s="142"/>
      <c r="G121" s="142">
        <f t="shared" si="69" ref="G121:H121">SUM(G108:G119)</f>
        <v>9569066.9399999995</v>
      </c>
      <c r="H121" s="142">
        <f t="shared" si="69"/>
        <v>55541792.879999995</v>
      </c>
    </row>
    <row r="122" spans="1:1" ht="12.75">
      <c r="A122" s="1">
        <v>87</v>
      </c>
    </row>
    <row r="123" spans="1:1" ht="12.75">
      <c r="A123" s="1">
        <v>88</v>
      </c>
    </row>
    <row r="124" spans="1:8" ht="12.75">
      <c r="A124" s="1">
        <v>89</v>
      </c>
      <c r="B124" t="s">
        <v>158</v>
      </c>
      <c r="D124" s="140">
        <v>0</v>
      </c>
      <c r="E124" s="140">
        <v>0</v>
      </c>
      <c r="F124" s="140">
        <v>0</v>
      </c>
      <c r="G124" s="140">
        <v>0</v>
      </c>
      <c r="H124" s="140">
        <f>SUM(D124:G124)</f>
        <v>0</v>
      </c>
    </row>
    <row r="125" spans="1:8" ht="12.75">
      <c r="A125" s="1">
        <v>90</v>
      </c>
      <c r="B125" t="s">
        <v>159</v>
      </c>
      <c r="D125" s="66">
        <v>0</v>
      </c>
      <c r="E125" s="66">
        <v>0</v>
      </c>
      <c r="F125" s="66">
        <v>0</v>
      </c>
      <c r="G125" s="66">
        <v>0</v>
      </c>
      <c r="H125" s="93">
        <f>SUM(D125:G125)</f>
        <v>0</v>
      </c>
    </row>
    <row r="126" spans="1:8" ht="12.75">
      <c r="A126" s="1">
        <v>91</v>
      </c>
      <c r="B126" t="s">
        <v>46</v>
      </c>
      <c r="D126" s="66">
        <v>0</v>
      </c>
      <c r="E126" s="66">
        <v>0</v>
      </c>
      <c r="F126" s="66">
        <v>0</v>
      </c>
      <c r="G126" s="66">
        <v>0</v>
      </c>
      <c r="H126" s="93">
        <f>SUM(D126:G126)</f>
        <v>0</v>
      </c>
    </row>
    <row r="127" spans="1:8" ht="12.75">
      <c r="A127" s="1">
        <v>92</v>
      </c>
      <c r="D127" s="66"/>
      <c r="E127" s="66"/>
      <c r="F127" s="66"/>
      <c r="G127" s="66"/>
      <c r="H127" s="66"/>
    </row>
    <row r="128" spans="1:8" ht="12.75">
      <c r="A128" s="1">
        <v>93</v>
      </c>
      <c r="D128" s="66"/>
      <c r="E128" s="66"/>
      <c r="F128" s="66"/>
      <c r="G128" s="66"/>
      <c r="H128" s="66"/>
    </row>
    <row r="129" spans="1:8" ht="12.75">
      <c r="A129" s="1">
        <v>94</v>
      </c>
      <c r="B129" s="182" t="str">
        <f>+B98</f>
        <v>TME 2018</v>
      </c>
      <c r="D129" s="140">
        <v>37980902.600000001</v>
      </c>
      <c r="E129" s="140">
        <v>4109800.3900000001</v>
      </c>
      <c r="F129" s="140">
        <v>0</v>
      </c>
      <c r="G129" s="140">
        <v>10505566.93</v>
      </c>
      <c r="H129" s="140">
        <f>SUM(D129:G129)</f>
        <v>52596269.920000002</v>
      </c>
    </row>
    <row r="130" spans="1:8" ht="12.75">
      <c r="A130" s="1">
        <v>95</v>
      </c>
      <c r="B130" s="182" t="str">
        <f t="shared" si="70" ref="B130:B131">+B99</f>
        <v>TME 2019</v>
      </c>
      <c r="D130" s="66">
        <v>38961709.479999997</v>
      </c>
      <c r="E130" s="66">
        <v>3949526.46</v>
      </c>
      <c r="F130" s="66">
        <v>0</v>
      </c>
      <c r="G130" s="66">
        <v>8262062.0700000003</v>
      </c>
      <c r="H130" s="93">
        <f>SUM(D130:G130)</f>
        <v>51173298.009999998</v>
      </c>
    </row>
    <row r="131" spans="1:8" ht="12.75">
      <c r="A131" s="1">
        <v>96</v>
      </c>
      <c r="B131" s="182" t="str">
        <f t="shared" si="70"/>
        <v>TME 2020</v>
      </c>
      <c r="D131" s="66">
        <v>42197993.950000003</v>
      </c>
      <c r="E131" s="66">
        <v>2994701.6899999999</v>
      </c>
      <c r="F131" s="66">
        <v>0</v>
      </c>
      <c r="G131" s="66">
        <v>10792863.810000001</v>
      </c>
      <c r="H131" s="93">
        <f>SUM(D131:G131)</f>
        <v>55985559.450000003</v>
      </c>
    </row>
    <row r="132" spans="2:2" ht="12.75">
      <c r="B132" s="94"/>
    </row>
    <row r="134" spans="4:8" ht="13.5" thickBot="1">
      <c r="D134" s="362" t="s">
        <v>126</v>
      </c>
      <c r="E134" s="362"/>
      <c r="F134" s="362"/>
      <c r="G134" s="362"/>
      <c r="H134" s="362"/>
    </row>
    <row r="135" spans="1:8" ht="12.75">
      <c r="A135" s="18" t="s">
        <v>87</v>
      </c>
      <c r="B135" s="18"/>
      <c r="D135" s="18"/>
      <c r="E135" s="25"/>
      <c r="F135" s="201" t="s">
        <v>402</v>
      </c>
      <c r="G135" s="18"/>
      <c r="H135" s="2"/>
    </row>
    <row r="136" spans="1:8" ht="12.75">
      <c r="A136" s="208" t="s">
        <v>89</v>
      </c>
      <c r="B136" s="208" t="s">
        <v>64</v>
      </c>
      <c r="D136" s="208" t="s">
        <v>65</v>
      </c>
      <c r="E136" s="208" t="s">
        <v>66</v>
      </c>
      <c r="F136" s="202" t="s">
        <v>403</v>
      </c>
      <c r="G136" s="208" t="s">
        <v>63</v>
      </c>
      <c r="H136" s="208" t="s">
        <v>216</v>
      </c>
    </row>
    <row r="137" spans="1:8" ht="12.75">
      <c r="A137" s="18"/>
      <c r="B137" s="16" t="s">
        <v>44</v>
      </c>
      <c r="D137" s="16" t="s">
        <v>45</v>
      </c>
      <c r="E137" s="16" t="s">
        <v>74</v>
      </c>
      <c r="F137" s="16" t="s">
        <v>75</v>
      </c>
      <c r="G137" s="16" t="s">
        <v>76</v>
      </c>
      <c r="H137" s="16" t="s">
        <v>77</v>
      </c>
    </row>
    <row r="139" spans="1:13" ht="12.75">
      <c r="A139" s="1">
        <v>97</v>
      </c>
      <c r="B139" s="199" t="str">
        <f>+B108</f>
        <v>January 2021</v>
      </c>
      <c r="D139" s="140">
        <v>1749282.23</v>
      </c>
      <c r="E139" s="140">
        <v>980.73000000000002</v>
      </c>
      <c r="F139" s="140">
        <v>0</v>
      </c>
      <c r="G139" s="140">
        <v>23058.970000000001</v>
      </c>
      <c r="H139" s="140">
        <f t="shared" si="71" ref="H139:H150">SUM(D139:G139)</f>
        <v>1773321.9299999999</v>
      </c>
      <c r="J139" s="220"/>
      <c r="K139" s="220"/>
      <c r="L139" s="220"/>
      <c r="M139" s="220"/>
    </row>
    <row r="140" spans="1:13" ht="12.75">
      <c r="A140" s="1">
        <v>98</v>
      </c>
      <c r="B140" s="199" t="str">
        <f t="shared" si="72" ref="B140:B150">+B109</f>
        <v>February 2021</v>
      </c>
      <c r="D140" s="66">
        <v>1738846.28</v>
      </c>
      <c r="E140" s="66">
        <v>-275.12</v>
      </c>
      <c r="F140" s="66">
        <v>0</v>
      </c>
      <c r="G140" s="66">
        <v>22863.509999999998</v>
      </c>
      <c r="H140" s="93">
        <f t="shared" si="71"/>
        <v>1761434.6699999999</v>
      </c>
      <c r="J140" s="220"/>
      <c r="K140" s="220"/>
      <c r="L140" s="220"/>
      <c r="M140" s="220"/>
    </row>
    <row r="141" spans="1:13" ht="12.75">
      <c r="A141" s="1">
        <v>99</v>
      </c>
      <c r="B141" s="199" t="str">
        <f t="shared" si="72"/>
        <v>March 2021</v>
      </c>
      <c r="D141" s="66">
        <v>1774505.1599999999</v>
      </c>
      <c r="E141" s="66">
        <v>4531.6400000000003</v>
      </c>
      <c r="F141" s="66">
        <v>0</v>
      </c>
      <c r="G141" s="66">
        <v>320690.59000000003</v>
      </c>
      <c r="H141" s="93">
        <f t="shared" si="71"/>
        <v>2099727.3899999997</v>
      </c>
      <c r="J141" s="220"/>
      <c r="K141" s="220"/>
      <c r="L141" s="220"/>
      <c r="M141" s="220"/>
    </row>
    <row r="142" spans="1:13" ht="12.75">
      <c r="A142" s="1">
        <v>100</v>
      </c>
      <c r="B142" s="199" t="str">
        <f t="shared" si="72"/>
        <v>April 2021</v>
      </c>
      <c r="D142" s="66">
        <v>1743837.3300000001</v>
      </c>
      <c r="E142" s="66">
        <v>681.41999999999996</v>
      </c>
      <c r="F142" s="66">
        <v>0</v>
      </c>
      <c r="G142" s="66">
        <v>30800.490000000002</v>
      </c>
      <c r="H142" s="93">
        <f t="shared" si="71"/>
        <v>1775319.24</v>
      </c>
      <c r="J142" s="220"/>
      <c r="K142" s="220"/>
      <c r="L142" s="220"/>
      <c r="M142" s="220"/>
    </row>
    <row r="143" spans="1:13" ht="12.75">
      <c r="A143" s="1">
        <v>101</v>
      </c>
      <c r="B143" s="199" t="str">
        <f t="shared" si="72"/>
        <v>May 2021</v>
      </c>
      <c r="D143" s="66">
        <v>1755949.1100000001</v>
      </c>
      <c r="E143" s="66">
        <v>1525.3900000000001</v>
      </c>
      <c r="F143" s="66">
        <v>0</v>
      </c>
      <c r="G143" s="66">
        <v>29579.25</v>
      </c>
      <c r="H143" s="93">
        <f t="shared" si="71"/>
        <v>1787053.75</v>
      </c>
      <c r="J143" s="220"/>
      <c r="K143" s="220"/>
      <c r="L143" s="220"/>
      <c r="M143" s="220"/>
    </row>
    <row r="144" spans="1:13" ht="12.75">
      <c r="A144" s="1">
        <v>102</v>
      </c>
      <c r="B144" s="199" t="str">
        <f t="shared" si="72"/>
        <v>June 2021</v>
      </c>
      <c r="D144" s="66">
        <v>1784672.0900000001</v>
      </c>
      <c r="E144" s="66">
        <v>1857.25</v>
      </c>
      <c r="F144" s="66">
        <v>0</v>
      </c>
      <c r="G144" s="66">
        <v>64593.440000000002</v>
      </c>
      <c r="H144" s="93">
        <f t="shared" si="71"/>
        <v>1851122.78</v>
      </c>
      <c r="J144" s="220"/>
      <c r="K144" s="220"/>
      <c r="L144" s="220"/>
      <c r="M144" s="220"/>
    </row>
    <row r="145" spans="1:13" ht="12.75">
      <c r="A145" s="1">
        <v>103</v>
      </c>
      <c r="B145" s="199" t="str">
        <f t="shared" si="72"/>
        <v>July 2021</v>
      </c>
      <c r="D145" s="66">
        <v>1777825.48</v>
      </c>
      <c r="E145" s="66">
        <v>31.68</v>
      </c>
      <c r="F145" s="66">
        <v>0</v>
      </c>
      <c r="G145" s="66">
        <v>26220.950000000001</v>
      </c>
      <c r="H145" s="93">
        <f t="shared" si="71"/>
        <v>1804078.1099999999</v>
      </c>
      <c r="J145" s="220"/>
      <c r="K145" s="220"/>
      <c r="L145" s="220"/>
      <c r="M145" s="220"/>
    </row>
    <row r="146" spans="1:13" ht="12.75">
      <c r="A146" s="1">
        <v>104</v>
      </c>
      <c r="B146" s="199" t="str">
        <f t="shared" si="72"/>
        <v>August 2021</v>
      </c>
      <c r="D146" s="66">
        <v>1772486.8400000001</v>
      </c>
      <c r="E146" s="66">
        <v>804.66999999999996</v>
      </c>
      <c r="F146" s="66">
        <v>0</v>
      </c>
      <c r="G146" s="66">
        <v>27481.360000000001</v>
      </c>
      <c r="H146" s="93">
        <f t="shared" si="71"/>
        <v>1800772.8700000001</v>
      </c>
      <c r="J146" s="220"/>
      <c r="K146" s="220"/>
      <c r="L146" s="220"/>
      <c r="M146" s="220"/>
    </row>
    <row r="147" spans="1:13" ht="12.75">
      <c r="A147" s="1">
        <v>105</v>
      </c>
      <c r="B147" s="199" t="str">
        <f t="shared" si="72"/>
        <v>September 2021</v>
      </c>
      <c r="D147" s="66">
        <v>1752759.74</v>
      </c>
      <c r="E147" s="66">
        <v>352.13999999999999</v>
      </c>
      <c r="F147" s="66">
        <v>0</v>
      </c>
      <c r="G147" s="66">
        <v>31343.459999999999</v>
      </c>
      <c r="H147" s="93">
        <f t="shared" si="71"/>
        <v>1784455.3399999999</v>
      </c>
      <c r="J147" s="220"/>
      <c r="K147" s="220"/>
      <c r="L147" s="220"/>
      <c r="M147" s="220"/>
    </row>
    <row r="148" spans="1:13" ht="12.75">
      <c r="A148" s="1">
        <v>106</v>
      </c>
      <c r="B148" s="199" t="str">
        <f t="shared" si="72"/>
        <v>October 2021</v>
      </c>
      <c r="D148" s="66">
        <v>1767192.1899999999</v>
      </c>
      <c r="E148" s="66">
        <v>466.63999999999999</v>
      </c>
      <c r="F148" s="66">
        <v>0</v>
      </c>
      <c r="G148" s="66">
        <v>15210.58</v>
      </c>
      <c r="H148" s="93">
        <f t="shared" si="71"/>
        <v>1782869.4099999999</v>
      </c>
      <c r="J148" s="220"/>
      <c r="K148" s="220"/>
      <c r="L148" s="220"/>
      <c r="M148" s="220"/>
    </row>
    <row r="149" spans="1:13" ht="12.75">
      <c r="A149" s="1">
        <v>107</v>
      </c>
      <c r="B149" s="199" t="str">
        <f t="shared" si="72"/>
        <v>November 2021</v>
      </c>
      <c r="D149" s="66">
        <v>1739668.1299999999</v>
      </c>
      <c r="E149" s="66">
        <v>2559.23</v>
      </c>
      <c r="F149" s="66">
        <v>0</v>
      </c>
      <c r="G149" s="66">
        <v>40140.209999999999</v>
      </c>
      <c r="H149" s="93">
        <f t="shared" si="71"/>
        <v>1782367.5699999998</v>
      </c>
      <c r="J149" s="220"/>
      <c r="K149" s="220"/>
      <c r="L149" s="220"/>
      <c r="M149" s="220"/>
    </row>
    <row r="150" spans="1:13" ht="12.75">
      <c r="A150" s="1">
        <v>108</v>
      </c>
      <c r="B150" s="199" t="str">
        <f t="shared" si="72"/>
        <v>December 2021</v>
      </c>
      <c r="D150" s="66">
        <v>1741336.95</v>
      </c>
      <c r="E150" s="66">
        <v>430.19999999999999</v>
      </c>
      <c r="F150" s="66">
        <v>0</v>
      </c>
      <c r="G150" s="66">
        <v>64307.800000000003</v>
      </c>
      <c r="H150" s="93">
        <f t="shared" si="71"/>
        <v>1806074.95</v>
      </c>
      <c r="J150" s="220"/>
      <c r="K150" s="220"/>
      <c r="L150" s="220"/>
      <c r="M150" s="220"/>
    </row>
    <row r="151" spans="1:8" ht="12.75">
      <c r="A151" s="1">
        <v>109</v>
      </c>
      <c r="D151" s="115"/>
      <c r="E151" s="115"/>
      <c r="F151" s="115"/>
      <c r="G151" s="115"/>
      <c r="H151" s="115"/>
    </row>
    <row r="152" spans="1:8" ht="12.75">
      <c r="A152" s="1">
        <v>110</v>
      </c>
      <c r="B152" s="94" t="s">
        <v>69</v>
      </c>
      <c r="D152" s="142">
        <f t="shared" si="73" ref="D152:E152">SUM(D139:D150)</f>
        <v>21098361.529999997</v>
      </c>
      <c r="E152" s="142">
        <f t="shared" si="73"/>
        <v>13945.870000000001</v>
      </c>
      <c r="F152" s="142"/>
      <c r="G152" s="142">
        <f t="shared" si="74" ref="G152:H152">SUM(G139:G150)</f>
        <v>696290.60999999999</v>
      </c>
      <c r="H152" s="142">
        <f t="shared" si="74"/>
        <v>21808598.009999998</v>
      </c>
    </row>
    <row r="153" spans="1:1" ht="12.75">
      <c r="A153" s="1">
        <v>111</v>
      </c>
    </row>
    <row r="154" spans="1:4" ht="12.75">
      <c r="A154" s="1">
        <v>112</v>
      </c>
      <c r="D154" s="66"/>
    </row>
    <row r="155" spans="1:13" ht="12.75">
      <c r="A155" s="1">
        <v>113</v>
      </c>
      <c r="B155" t="s">
        <v>158</v>
      </c>
      <c r="D155" s="140">
        <v>0</v>
      </c>
      <c r="E155" s="140">
        <v>0</v>
      </c>
      <c r="F155" s="140">
        <v>0</v>
      </c>
      <c r="G155" s="140">
        <v>0</v>
      </c>
      <c r="H155" s="140">
        <f>SUM(D155:G155)</f>
        <v>0</v>
      </c>
      <c r="J155" s="220"/>
      <c r="K155" s="220"/>
      <c r="L155" s="220"/>
      <c r="M155" s="220"/>
    </row>
    <row r="156" spans="1:13" ht="12.75">
      <c r="A156" s="1">
        <v>114</v>
      </c>
      <c r="B156" t="s">
        <v>159</v>
      </c>
      <c r="D156" s="66">
        <v>0</v>
      </c>
      <c r="E156" s="66">
        <v>0</v>
      </c>
      <c r="F156" s="66">
        <v>0</v>
      </c>
      <c r="G156" s="66">
        <v>0</v>
      </c>
      <c r="H156" s="93">
        <f>SUM(D156:G156)</f>
        <v>0</v>
      </c>
      <c r="J156" s="220"/>
      <c r="K156" s="220"/>
      <c r="L156" s="220"/>
      <c r="M156" s="220"/>
    </row>
    <row r="157" spans="1:13" ht="12.75">
      <c r="A157" s="1">
        <v>115</v>
      </c>
      <c r="B157" t="s">
        <v>46</v>
      </c>
      <c r="D157" s="66">
        <v>0</v>
      </c>
      <c r="E157" s="66">
        <v>0</v>
      </c>
      <c r="F157" s="66">
        <v>0</v>
      </c>
      <c r="G157" s="66">
        <v>0</v>
      </c>
      <c r="H157" s="93">
        <f>SUM(D157:G157)</f>
        <v>0</v>
      </c>
      <c r="J157" s="220"/>
      <c r="K157" s="220"/>
      <c r="L157" s="220"/>
      <c r="M157" s="220"/>
    </row>
    <row r="158" spans="1:13" ht="12.75">
      <c r="A158" s="1">
        <v>116</v>
      </c>
      <c r="J158" s="220"/>
      <c r="K158" s="220"/>
      <c r="L158" s="220"/>
      <c r="M158" s="220"/>
    </row>
    <row r="159" spans="1:7" ht="12.75">
      <c r="A159" s="1">
        <v>117</v>
      </c>
      <c r="G159" s="66"/>
    </row>
    <row r="160" spans="1:13" ht="12.75">
      <c r="A160" s="1">
        <v>118</v>
      </c>
      <c r="B160" s="182" t="str">
        <f>+B129</f>
        <v>TME 2018</v>
      </c>
      <c r="D160" s="140">
        <v>19597545.129999999</v>
      </c>
      <c r="E160" s="140">
        <v>27016.419999999998</v>
      </c>
      <c r="F160" s="140">
        <v>0</v>
      </c>
      <c r="G160" s="140">
        <v>457925.57000000001</v>
      </c>
      <c r="H160" s="140">
        <f>SUM(D160:G160)</f>
        <v>20082487.120000001</v>
      </c>
      <c r="J160" s="220"/>
      <c r="K160" s="220"/>
      <c r="L160" s="220"/>
      <c r="M160" s="220"/>
    </row>
    <row r="161" spans="1:13" ht="12.75">
      <c r="A161" s="1">
        <v>119</v>
      </c>
      <c r="B161" s="182" t="str">
        <f t="shared" si="75" ref="B161:B162">+B130</f>
        <v>TME 2019</v>
      </c>
      <c r="D161" s="66">
        <v>19323488.34</v>
      </c>
      <c r="E161" s="66">
        <v>9022.1499999999996</v>
      </c>
      <c r="F161" s="66">
        <v>0</v>
      </c>
      <c r="G161" s="66">
        <v>631985.19999999995</v>
      </c>
      <c r="H161" s="66">
        <f>SUM(D161:G161)</f>
        <v>19964495.689999998</v>
      </c>
      <c r="J161" s="220"/>
      <c r="K161" s="220"/>
      <c r="L161" s="220"/>
      <c r="M161" s="220"/>
    </row>
    <row r="162" spans="1:13" ht="12.75">
      <c r="A162" s="1">
        <v>120</v>
      </c>
      <c r="B162" s="182" t="str">
        <f t="shared" si="75"/>
        <v>TME 2020</v>
      </c>
      <c r="D162" s="66">
        <v>20774744.489999998</v>
      </c>
      <c r="E162" s="66">
        <v>4238.1199999999999</v>
      </c>
      <c r="F162" s="66">
        <v>0</v>
      </c>
      <c r="G162" s="66">
        <v>465555.75</v>
      </c>
      <c r="H162" s="66">
        <f>SUM(D162:G162)</f>
        <v>21244538.359999999</v>
      </c>
      <c r="J162" s="220"/>
      <c r="K162" s="220"/>
      <c r="L162" s="220"/>
      <c r="M162" s="220"/>
    </row>
  </sheetData>
  <mergeCells count="10">
    <mergeCell ref="J41:N41"/>
    <mergeCell ref="P41:T41"/>
    <mergeCell ref="V41:Z41"/>
    <mergeCell ref="J72:N72"/>
    <mergeCell ref="P72:T72"/>
    <mergeCell ref="D134:H134"/>
    <mergeCell ref="D10:H10"/>
    <mergeCell ref="D41:H41"/>
    <mergeCell ref="D72:H72"/>
    <mergeCell ref="D103:H103"/>
  </mergeCells>
  <printOptions horizontalCentered="1"/>
  <pageMargins left="0.5" right="0.5" top="3" bottom="0.5" header="1.5" footer="0.5"/>
  <pageSetup fitToHeight="0" orientation="landscape" scale="44" r:id="rId1"/>
  <headerFooter alignWithMargins="0">
    <oddHeader>&amp;C&amp;B
2022 RATE CASE
ONCOR ELECTRIC DELIVERY COMPANY LLC
II-D-3.2  REGULAR AND OVERTIME PAYROLL BY FUNCTION
TEST YEAR ENDING DECEMBER 31, 2021
SPONSOR: W. ALAN LEDBETTER&amp;R&amp;"Arial,Bold"Schedule &amp;A
Page &amp;P of &amp;N</oddHeader>
  </headerFooter>
  <rowBreaks count="4" manualBreakCount="4">
    <brk id="39" max="7" man="1"/>
    <brk id="70" max="7" man="1"/>
    <brk id="101" max="7" man="1"/>
    <brk id="132" max="7" man="1"/>
  </rowBreak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2">
    <tabColor rgb="FFFF0000"/>
    <pageSetUpPr fitToPage="1"/>
  </sheetPr>
  <dimension ref="A1:W162"/>
  <sheetViews>
    <sheetView workbookViewId="0" topLeftCell="A1">
      <pane xSplit="2" ySplit="14" topLeftCell="C15" activePane="bottomRight" state="frozen"/>
      <selection pane="topLeft" activeCell="K68" sqref="K68"/>
      <selection pane="bottomLeft" activeCell="K68" sqref="K68"/>
      <selection pane="topRight" activeCell="K68" sqref="K68"/>
      <selection pane="bottomRight" activeCell="E48" sqref="E48"/>
    </sheetView>
  </sheetViews>
  <sheetFormatPr defaultRowHeight="12.75"/>
  <cols>
    <col min="1" max="1" width="5.71428571428571" customWidth="1"/>
    <col min="2" max="2" width="20.4285714285714" bestFit="1" customWidth="1"/>
    <col min="3" max="3" width="2.71428571428571" customWidth="1"/>
    <col min="4" max="4" width="13.7142857142857" customWidth="1"/>
    <col min="5" max="6" width="16" bestFit="1" customWidth="1"/>
    <col min="7" max="7" width="2.71428571428571" customWidth="1"/>
    <col min="8" max="8" width="6.28571428571429" bestFit="1" customWidth="1"/>
    <col min="9" max="9" width="10.4285714285714" bestFit="1" customWidth="1"/>
    <col min="10" max="10" width="5.71428571428571" bestFit="1" customWidth="1"/>
    <col min="11" max="11" width="2.71428571428571" customWidth="1"/>
    <col min="12" max="12" width="12.2857142857143" bestFit="1" customWidth="1"/>
    <col min="13" max="14" width="13.4285714285714" bestFit="1" customWidth="1"/>
    <col min="15" max="15" width="2.71428571428571" customWidth="1"/>
    <col min="16" max="16" width="11.2857142857143" bestFit="1" customWidth="1"/>
    <col min="17" max="18" width="12.2857142857143" bestFit="1" customWidth="1"/>
    <col min="19" max="19" width="2.71428571428571" customWidth="1"/>
    <col min="20" max="20" width="7.71428571428571" bestFit="1" customWidth="1"/>
    <col min="21" max="21" width="14.4285714285714" bestFit="1" customWidth="1"/>
    <col min="22" max="22" width="14.7142857142857" bestFit="1" customWidth="1"/>
    <col min="23" max="23" width="2.71428571428571" customWidth="1"/>
    <col min="24" max="24" width="10.2857142857143" bestFit="1" customWidth="1"/>
    <col min="25" max="26" width="12.2857142857143" bestFit="1" customWidth="1"/>
  </cols>
  <sheetData>
    <row r="1" spans="1:1" ht="12.75">
      <c r="A1" s="5" t="str">
        <f>+'[3]Input Data'!$A$9</f>
        <v>2022 RATE CASE</v>
      </c>
    </row>
    <row r="2" spans="1:1" ht="12.75">
      <c r="A2" s="8" t="str">
        <f>+'[3]Input Data'!$A$2</f>
        <v>ONCOR ELECTRIC DELIVERY COMPANY LLC</v>
      </c>
    </row>
    <row r="3" spans="1:1" ht="12.75">
      <c r="A3" s="7" t="str">
        <f>CONCATENATE('[3]Schedule Sponsors'!$A$71,'[3]Schedule Sponsors'!$B$71)</f>
        <v>II-D-3.3  FUNCTIONALIZED REGULAR PAYROLL BY CATEGORY</v>
      </c>
    </row>
    <row r="4" spans="1:1" ht="12.75">
      <c r="A4" s="63" t="str">
        <f>+'[3]Input Data'!$A$4</f>
        <v>TEST YEAR ENDING DECEMBER 31, 2021</v>
      </c>
    </row>
    <row r="5" spans="1:1" ht="12.75">
      <c r="A5" s="7" t="str">
        <f>CONCATENATE("SPONSOR: ",'[3]Schedule Sponsors'!$D$71)</f>
        <v>SPONSOR: W. ALAN LEDBETTER</v>
      </c>
    </row>
    <row r="10" spans="1:6" s="2" customFormat="1" ht="13.5" thickBot="1">
      <c r="A10" s="8"/>
      <c r="B10" s="18"/>
      <c r="C10" s="8"/>
      <c r="D10" s="362" t="s">
        <v>216</v>
      </c>
      <c r="E10" s="362"/>
      <c r="F10" s="362"/>
    </row>
    <row r="11" spans="1:6" s="2" customFormat="1" ht="12.75">
      <c r="A11" s="18" t="s">
        <v>87</v>
      </c>
      <c r="B11" s="18"/>
      <c r="C11" s="18"/>
      <c r="D11" s="18"/>
      <c r="E11" s="25"/>
      <c r="F11" s="91"/>
    </row>
    <row r="12" spans="1:6" s="2" customFormat="1" ht="12.75">
      <c r="A12" s="92" t="s">
        <v>89</v>
      </c>
      <c r="B12" s="92" t="s">
        <v>64</v>
      </c>
      <c r="C12" s="18"/>
      <c r="D12" s="92" t="s">
        <v>70</v>
      </c>
      <c r="E12" s="92" t="s">
        <v>168</v>
      </c>
      <c r="F12" s="92" t="s">
        <v>216</v>
      </c>
    </row>
    <row r="13" spans="1:6" s="2" customFormat="1" ht="12.75">
      <c r="A13" s="18"/>
      <c r="B13" s="16" t="s">
        <v>44</v>
      </c>
      <c r="C13" s="16"/>
      <c r="D13" s="16" t="s">
        <v>45</v>
      </c>
      <c r="E13" s="16" t="s">
        <v>74</v>
      </c>
      <c r="F13" s="16" t="s">
        <v>75</v>
      </c>
    </row>
    <row r="15" spans="1:23" ht="12.75">
      <c r="A15" s="1">
        <f>+'II-D-3.2'!A15</f>
        <v>1</v>
      </c>
      <c r="B15" s="133" t="str">
        <f>+'II-D-3.2'!B15</f>
        <v>January 2021</v>
      </c>
      <c r="D15" s="192">
        <f>+P46+L77+D108+D139</f>
        <v>4731519.8999999948</v>
      </c>
      <c r="E15" s="192">
        <f>+F15-D15</f>
        <v>31282046.199999999</v>
      </c>
      <c r="F15" s="192">
        <f>+'II-D-3.2'!D15</f>
        <v>36013566.099999994</v>
      </c>
      <c r="G15" s="192"/>
      <c r="K15" s="192"/>
      <c r="O15" s="192"/>
      <c r="S15" s="192"/>
      <c r="W15" s="192"/>
    </row>
    <row r="16" spans="1:19" ht="12.75">
      <c r="A16" s="1">
        <f>+'II-D-3.2'!A16</f>
        <v>2</v>
      </c>
      <c r="B16" s="133" t="str">
        <f>+'II-D-3.2'!B16</f>
        <v>February 2021</v>
      </c>
      <c r="D16" s="66">
        <f t="shared" si="0" ref="D16:D26">+P47+L78+D109+D140</f>
        <v>4663410.5299999928</v>
      </c>
      <c r="E16" s="66">
        <f t="shared" si="1" ref="E16:E26">+F16-D16</f>
        <v>30515369.290000007</v>
      </c>
      <c r="F16" s="93">
        <f>+'II-D-3.2'!D16</f>
        <v>35178779.82</v>
      </c>
      <c r="S16" s="66"/>
    </row>
    <row r="17" spans="1:19" ht="12.75">
      <c r="A17" s="1">
        <f>+'II-D-3.2'!A17</f>
        <v>3</v>
      </c>
      <c r="B17" s="133" t="str">
        <f>+'II-D-3.2'!B17</f>
        <v>March 2021</v>
      </c>
      <c r="D17" s="66">
        <f t="shared" si="0"/>
        <v>4628013.8500000006</v>
      </c>
      <c r="E17" s="66">
        <f t="shared" si="1"/>
        <v>31733391.329999998</v>
      </c>
      <c r="F17" s="93">
        <f>+'II-D-3.2'!D17</f>
        <v>36361405.18</v>
      </c>
      <c r="S17" s="66"/>
    </row>
    <row r="18" spans="1:19" ht="12.75">
      <c r="A18" s="1">
        <f>+'II-D-3.2'!A18</f>
        <v>4</v>
      </c>
      <c r="B18" s="133" t="str">
        <f>+'II-D-3.2'!B18</f>
        <v>April 2021</v>
      </c>
      <c r="D18" s="66">
        <f t="shared" si="0"/>
        <v>4663896.2200000007</v>
      </c>
      <c r="E18" s="66">
        <f t="shared" si="1"/>
        <v>31481603.869999997</v>
      </c>
      <c r="F18" s="93">
        <f>+'II-D-3.2'!D18</f>
        <v>36145500.089999996</v>
      </c>
      <c r="S18" s="66"/>
    </row>
    <row r="19" spans="1:19" ht="12.75">
      <c r="A19" s="1">
        <f>+'II-D-3.2'!A19</f>
        <v>5</v>
      </c>
      <c r="B19" s="133" t="str">
        <f>+'II-D-3.2'!B19</f>
        <v>May 2021</v>
      </c>
      <c r="D19" s="66">
        <f t="shared" si="0"/>
        <v>4615390.46</v>
      </c>
      <c r="E19" s="66">
        <f t="shared" si="1"/>
        <v>31676812.950000003</v>
      </c>
      <c r="F19" s="93">
        <f>+'II-D-3.2'!D19</f>
        <v>36292203.410000004</v>
      </c>
      <c r="S19" s="66"/>
    </row>
    <row r="20" spans="1:19" ht="12.75">
      <c r="A20" s="1">
        <f>+'II-D-3.2'!A20</f>
        <v>6</v>
      </c>
      <c r="B20" s="133" t="str">
        <f>+'II-D-3.2'!B20</f>
        <v>June 2021</v>
      </c>
      <c r="D20" s="66">
        <f t="shared" si="0"/>
        <v>4655437.1100000069</v>
      </c>
      <c r="E20" s="66">
        <f t="shared" si="1"/>
        <v>31909664.339999996</v>
      </c>
      <c r="F20" s="93">
        <f>+'II-D-3.2'!D20</f>
        <v>36565101.450000003</v>
      </c>
      <c r="S20" s="66"/>
    </row>
    <row r="21" spans="1:19" ht="12.75">
      <c r="A21" s="1">
        <f>+'II-D-3.2'!A21</f>
        <v>7</v>
      </c>
      <c r="B21" s="133" t="str">
        <f>+'II-D-3.2'!B21</f>
        <v>July 2021</v>
      </c>
      <c r="D21" s="66">
        <f t="shared" si="0"/>
        <v>6991151.6000000006</v>
      </c>
      <c r="E21" s="66">
        <f t="shared" si="1"/>
        <v>29719653.699999996</v>
      </c>
      <c r="F21" s="93">
        <f>+'II-D-3.2'!D21</f>
        <v>36710805.299999997</v>
      </c>
      <c r="S21" s="66"/>
    </row>
    <row r="22" spans="1:19" ht="12.75">
      <c r="A22" s="1">
        <f>+'II-D-3.2'!A22</f>
        <v>8</v>
      </c>
      <c r="B22" s="133" t="str">
        <f>+'II-D-3.2'!B22</f>
        <v>August 2021</v>
      </c>
      <c r="D22" s="66">
        <f t="shared" si="0"/>
        <v>4617496.9399999948</v>
      </c>
      <c r="E22" s="66">
        <f t="shared" si="1"/>
        <v>32104662.170000006</v>
      </c>
      <c r="F22" s="93">
        <f>+'II-D-3.2'!D22</f>
        <v>36722159.109999999</v>
      </c>
      <c r="S22" s="66"/>
    </row>
    <row r="23" spans="1:19" ht="12.75">
      <c r="A23" s="1">
        <f>+'II-D-3.2'!A23</f>
        <v>9</v>
      </c>
      <c r="B23" s="133" t="str">
        <f>+'II-D-3.2'!B23</f>
        <v>September 2021</v>
      </c>
      <c r="D23" s="66">
        <f t="shared" si="0"/>
        <v>4645906.2300000051</v>
      </c>
      <c r="E23" s="66">
        <f t="shared" si="1"/>
        <v>31727776.669999994</v>
      </c>
      <c r="F23" s="93">
        <f>+'II-D-3.2'!D23</f>
        <v>36373682.899999999</v>
      </c>
      <c r="S23" s="66"/>
    </row>
    <row r="24" spans="1:19" ht="12.75">
      <c r="A24" s="1">
        <f>+'II-D-3.2'!A24</f>
        <v>10</v>
      </c>
      <c r="B24" s="133" t="str">
        <f>+'II-D-3.2'!B24</f>
        <v>October 2021</v>
      </c>
      <c r="D24" s="66">
        <f t="shared" si="0"/>
        <v>4626965.3399999952</v>
      </c>
      <c r="E24" s="66">
        <f t="shared" si="1"/>
        <v>32169912.25</v>
      </c>
      <c r="F24" s="93">
        <f>+'II-D-3.2'!D24</f>
        <v>36796877.589999996</v>
      </c>
      <c r="S24" s="66"/>
    </row>
    <row r="25" spans="1:19" ht="12.75">
      <c r="A25" s="1">
        <f>+'II-D-3.2'!A25</f>
        <v>11</v>
      </c>
      <c r="B25" s="133" t="str">
        <f>+'II-D-3.2'!B25</f>
        <v>November 2021</v>
      </c>
      <c r="D25" s="66">
        <f t="shared" si="0"/>
        <v>4752957.870000001</v>
      </c>
      <c r="E25" s="66">
        <f t="shared" si="1"/>
        <v>32156825.850000005</v>
      </c>
      <c r="F25" s="93">
        <f>+'II-D-3.2'!D25</f>
        <v>36909783.720000006</v>
      </c>
      <c r="S25" s="66"/>
    </row>
    <row r="26" spans="1:19" ht="12.75">
      <c r="A26" s="1">
        <f>+'II-D-3.2'!A26</f>
        <v>12</v>
      </c>
      <c r="B26" s="133" t="str">
        <f>+'II-D-3.2'!B26</f>
        <v>December 2021</v>
      </c>
      <c r="D26" s="66">
        <f t="shared" si="0"/>
        <v>7296495.4399999902</v>
      </c>
      <c r="E26" s="66">
        <f t="shared" si="1"/>
        <v>30306499.050000012</v>
      </c>
      <c r="F26" s="93">
        <f>+'II-D-3.2'!D26</f>
        <v>37602994.490000002</v>
      </c>
      <c r="S26" s="66"/>
    </row>
    <row r="27" spans="1:19" ht="12.75">
      <c r="A27" s="1">
        <f>+'II-D-3.2'!A27</f>
        <v>13</v>
      </c>
      <c r="D27" s="115"/>
      <c r="E27" s="115"/>
      <c r="F27" s="115"/>
      <c r="S27" s="66"/>
    </row>
    <row r="28" spans="1:23" ht="12.75">
      <c r="A28" s="1">
        <f>+'II-D-3.2'!A28</f>
        <v>14</v>
      </c>
      <c r="B28" s="94" t="s">
        <v>69</v>
      </c>
      <c r="D28" s="142">
        <f>SUM(D15:D26)</f>
        <v>60888641.489999987</v>
      </c>
      <c r="E28" s="142">
        <f>SUM(E15:E26)</f>
        <v>376784217.67000002</v>
      </c>
      <c r="F28" s="142">
        <f t="shared" si="2" ref="F28">SUM(F15:F26)</f>
        <v>437672859.16000003</v>
      </c>
      <c r="G28" s="142"/>
      <c r="K28" s="142"/>
      <c r="O28" s="142"/>
      <c r="S28" s="142"/>
      <c r="W28" s="142"/>
    </row>
    <row r="29" spans="1:19" ht="12.75">
      <c r="A29" s="1">
        <f>+'II-D-3.2'!A29</f>
        <v>15</v>
      </c>
      <c r="S29" s="66"/>
    </row>
    <row r="30" spans="1:19" ht="12.75">
      <c r="A30" s="1">
        <f>+'II-D-3.2'!A30</f>
        <v>16</v>
      </c>
      <c r="S30" s="66"/>
    </row>
    <row r="31" spans="1:23" ht="12.75">
      <c r="A31" s="1">
        <f>+'II-D-3.2'!A31</f>
        <v>17</v>
      </c>
      <c r="B31" t="s">
        <v>158</v>
      </c>
      <c r="D31" s="192">
        <f t="shared" si="3" ref="D31:D33">+P62+L93+D124+D155</f>
        <v>0</v>
      </c>
      <c r="E31" s="192">
        <f t="shared" si="4" ref="E31:E33">+F31-D31</f>
        <v>0</v>
      </c>
      <c r="F31" s="192">
        <f>+'II-D-3.2'!D31</f>
        <v>0</v>
      </c>
      <c r="G31" s="192"/>
      <c r="K31" s="192"/>
      <c r="O31" s="192"/>
      <c r="S31" s="192"/>
      <c r="W31" s="192"/>
    </row>
    <row r="32" spans="1:23" ht="12.75">
      <c r="A32" s="1">
        <f>+'II-D-3.2'!A32</f>
        <v>18</v>
      </c>
      <c r="B32" t="s">
        <v>159</v>
      </c>
      <c r="D32" s="66">
        <f t="shared" si="3"/>
        <v>0</v>
      </c>
      <c r="E32" s="66">
        <f t="shared" si="4"/>
        <v>0</v>
      </c>
      <c r="F32" s="66">
        <f>+'II-D-3.2'!D32</f>
        <v>0</v>
      </c>
      <c r="G32" s="66"/>
      <c r="K32" s="66"/>
      <c r="O32" s="66"/>
      <c r="S32" s="66"/>
      <c r="W32" s="66"/>
    </row>
    <row r="33" spans="1:23" ht="12.75">
      <c r="A33" s="1">
        <f>+'II-D-3.2'!A33</f>
        <v>19</v>
      </c>
      <c r="B33" t="s">
        <v>46</v>
      </c>
      <c r="D33" s="66">
        <f t="shared" si="3"/>
        <v>0</v>
      </c>
      <c r="E33" s="66">
        <f t="shared" si="4"/>
        <v>0</v>
      </c>
      <c r="F33" s="66">
        <f>+'II-D-3.2'!D33</f>
        <v>0</v>
      </c>
      <c r="G33" s="66"/>
      <c r="K33" s="66"/>
      <c r="O33" s="66"/>
      <c r="S33" s="66"/>
      <c r="W33" s="66"/>
    </row>
    <row r="34" spans="1:19" ht="12.75">
      <c r="A34" s="1">
        <f>+'II-D-3.2'!A34</f>
        <v>20</v>
      </c>
      <c r="S34" s="66"/>
    </row>
    <row r="35" spans="1:19" ht="12.75">
      <c r="A35" s="1">
        <f>+'II-D-3.2'!A35</f>
        <v>21</v>
      </c>
      <c r="D35" s="95"/>
      <c r="E35" s="95"/>
      <c r="F35" s="95"/>
      <c r="G35" s="95"/>
      <c r="S35" s="66"/>
    </row>
    <row r="36" spans="1:23" ht="12.75">
      <c r="A36" s="1">
        <f>+'II-D-3.2'!A36</f>
        <v>22</v>
      </c>
      <c r="B36" s="94" t="str">
        <f>+'II-D-3.2'!B36</f>
        <v>TME 2018</v>
      </c>
      <c r="D36" s="192">
        <f t="shared" si="5" ref="D36:D38">+P67+L98+D129+D160</f>
        <v>53065328.069999941</v>
      </c>
      <c r="E36" s="192">
        <f t="shared" si="6" ref="E36:E38">+F36-D36</f>
        <v>306958763.78000009</v>
      </c>
      <c r="F36" s="192">
        <f>+'II-D-3.2'!D36</f>
        <v>360024091.85000002</v>
      </c>
      <c r="G36" s="192"/>
      <c r="K36" s="192"/>
      <c r="O36" s="192"/>
      <c r="S36" s="192"/>
      <c r="W36" s="192"/>
    </row>
    <row r="37" spans="1:19" ht="12.75">
      <c r="A37" s="1">
        <f>+'II-D-3.2'!A37</f>
        <v>23</v>
      </c>
      <c r="B37" s="94" t="str">
        <f>+'II-D-3.2'!B37</f>
        <v>TME 2019</v>
      </c>
      <c r="D37" s="66">
        <f t="shared" si="5"/>
        <v>55001158.80999992</v>
      </c>
      <c r="E37" s="66">
        <f t="shared" si="6"/>
        <v>321280554.48000008</v>
      </c>
      <c r="F37" s="108">
        <f>+'II-D-3.2'!D37</f>
        <v>376281713.29000002</v>
      </c>
      <c r="G37" s="108"/>
      <c r="K37" s="108"/>
      <c r="S37" s="66"/>
    </row>
    <row r="38" spans="1:19" ht="12.75">
      <c r="A38" s="1">
        <f>+'II-D-3.2'!A38</f>
        <v>24</v>
      </c>
      <c r="B38" s="94" t="str">
        <f>+'II-D-3.2'!B38</f>
        <v>TME 2020</v>
      </c>
      <c r="D38" s="66">
        <f t="shared" si="5"/>
        <v>61395859.840000004</v>
      </c>
      <c r="E38" s="66">
        <f t="shared" si="6"/>
        <v>349927450.74000001</v>
      </c>
      <c r="F38" s="108">
        <f>+'II-D-3.2'!D38</f>
        <v>411323310.57999998</v>
      </c>
      <c r="S38" s="66"/>
    </row>
    <row r="41" spans="4:18" ht="13.5" thickBot="1">
      <c r="D41" s="362" t="s">
        <v>294</v>
      </c>
      <c r="E41" s="362"/>
      <c r="F41" s="362"/>
      <c r="H41" s="363" t="s">
        <v>724</v>
      </c>
      <c r="I41" s="362"/>
      <c r="J41" s="362"/>
      <c r="L41" s="363" t="s">
        <v>725</v>
      </c>
      <c r="M41" s="362"/>
      <c r="N41" s="362"/>
      <c r="P41" s="363" t="s">
        <v>726</v>
      </c>
      <c r="Q41" s="362"/>
      <c r="R41" s="362"/>
    </row>
    <row r="42" spans="1:18" ht="12.75">
      <c r="A42" s="18" t="s">
        <v>87</v>
      </c>
      <c r="B42" s="18"/>
      <c r="C42" s="95"/>
      <c r="D42" s="18"/>
      <c r="E42" s="25"/>
      <c r="F42" s="2"/>
      <c r="H42" s="18"/>
      <c r="I42" s="25"/>
      <c r="J42" s="2"/>
      <c r="L42" s="18"/>
      <c r="M42" s="25"/>
      <c r="N42" s="2"/>
      <c r="P42" s="18"/>
      <c r="Q42" s="25"/>
      <c r="R42" s="2"/>
    </row>
    <row r="43" spans="1:18" ht="12.75">
      <c r="A43" s="208" t="s">
        <v>89</v>
      </c>
      <c r="B43" s="208" t="s">
        <v>64</v>
      </c>
      <c r="D43" s="92" t="s">
        <v>70</v>
      </c>
      <c r="E43" s="92" t="s">
        <v>168</v>
      </c>
      <c r="F43" s="92" t="s">
        <v>216</v>
      </c>
      <c r="H43" s="208" t="s">
        <v>70</v>
      </c>
      <c r="I43" s="208" t="s">
        <v>168</v>
      </c>
      <c r="J43" s="208" t="s">
        <v>216</v>
      </c>
      <c r="L43" s="208" t="s">
        <v>70</v>
      </c>
      <c r="M43" s="208" t="s">
        <v>168</v>
      </c>
      <c r="N43" s="208" t="s">
        <v>216</v>
      </c>
      <c r="P43" s="208" t="s">
        <v>70</v>
      </c>
      <c r="Q43" s="208" t="s">
        <v>168</v>
      </c>
      <c r="R43" s="208" t="s">
        <v>216</v>
      </c>
    </row>
    <row r="44" spans="1:18" ht="12.75">
      <c r="A44" s="18"/>
      <c r="B44" s="16" t="s">
        <v>44</v>
      </c>
      <c r="D44" s="16" t="s">
        <v>45</v>
      </c>
      <c r="E44" s="16" t="s">
        <v>74</v>
      </c>
      <c r="F44" s="16" t="s">
        <v>75</v>
      </c>
      <c r="H44" s="203" t="s">
        <v>76</v>
      </c>
      <c r="I44" s="203" t="s">
        <v>77</v>
      </c>
      <c r="J44" s="203" t="s">
        <v>78</v>
      </c>
      <c r="L44" s="203" t="s">
        <v>79</v>
      </c>
      <c r="M44" s="203" t="s">
        <v>80</v>
      </c>
      <c r="N44" s="203" t="s">
        <v>81</v>
      </c>
      <c r="P44" s="203" t="s">
        <v>82</v>
      </c>
      <c r="Q44" s="203" t="s">
        <v>83</v>
      </c>
      <c r="R44" s="203" t="s">
        <v>84</v>
      </c>
    </row>
    <row r="46" spans="1:18" ht="12.75">
      <c r="A46" s="1">
        <f>+'II-D-3.2'!A46</f>
        <v>25</v>
      </c>
      <c r="B46" s="133" t="str">
        <f t="shared" si="7" ref="B46:B57">+B15</f>
        <v>January 2021</v>
      </c>
      <c r="D46" s="192">
        <v>-17172.060000000001</v>
      </c>
      <c r="E46" s="192">
        <f>+F46-D46</f>
        <v>8344114.4799999995</v>
      </c>
      <c r="F46" s="192">
        <f>+'II-D-3.2'!D46</f>
        <v>8326942.4199999999</v>
      </c>
      <c r="H46" s="192">
        <v>0</v>
      </c>
      <c r="I46" s="192">
        <f t="shared" si="8" ref="I46:I57">+J46-H46</f>
        <v>0</v>
      </c>
      <c r="J46" s="192">
        <f>+'II-D-3.2'!J46</f>
        <v>0</v>
      </c>
      <c r="L46" s="192">
        <v>0</v>
      </c>
      <c r="M46" s="192">
        <f t="shared" si="9" ref="M46:M57">+N46-L46</f>
        <v>0</v>
      </c>
      <c r="N46" s="192">
        <f>+'II-D-3.2'!P46</f>
        <v>0</v>
      </c>
      <c r="P46" s="192">
        <f>+D46+H46+L46</f>
        <v>-17172.060000000001</v>
      </c>
      <c r="Q46" s="192">
        <f t="shared" si="10" ref="Q46:Q57">+E46+I46+M46</f>
        <v>8344114.4799999995</v>
      </c>
      <c r="R46" s="192">
        <f t="shared" si="11" ref="R46:R57">+F46+J46+N46</f>
        <v>8326942.4199999999</v>
      </c>
    </row>
    <row r="47" spans="1:18" ht="12.75">
      <c r="A47" s="1">
        <f>+'II-D-3.2'!A47</f>
        <v>26</v>
      </c>
      <c r="B47" s="133" t="str">
        <f t="shared" si="7"/>
        <v>February 2021</v>
      </c>
      <c r="D47" s="66">
        <v>-17381.540000000001</v>
      </c>
      <c r="E47" s="66">
        <f t="shared" si="12" ref="E47:E57">+F47-D47</f>
        <v>8118842.8899999997</v>
      </c>
      <c r="F47" s="93">
        <f>+'II-D-3.2'!D47</f>
        <v>8101461.3499999996</v>
      </c>
      <c r="H47" s="66">
        <v>0</v>
      </c>
      <c r="I47" s="66">
        <f t="shared" si="8"/>
        <v>0</v>
      </c>
      <c r="J47" s="93">
        <f>+'II-D-3.2'!J47</f>
        <v>0</v>
      </c>
      <c r="L47" s="66">
        <v>0</v>
      </c>
      <c r="M47" s="66">
        <f t="shared" si="9"/>
        <v>0</v>
      </c>
      <c r="N47" s="93">
        <f>+'II-D-3.2'!P47</f>
        <v>0</v>
      </c>
      <c r="P47" s="66">
        <f t="shared" si="13" ref="P47:P57">+D47+H47+L47</f>
        <v>-17381.540000000001</v>
      </c>
      <c r="Q47" s="66">
        <f t="shared" si="10"/>
        <v>8118842.8899999997</v>
      </c>
      <c r="R47" s="93">
        <f t="shared" si="11"/>
        <v>8101461.3499999996</v>
      </c>
    </row>
    <row r="48" spans="1:18" ht="12.75">
      <c r="A48" s="1">
        <f>+'II-D-3.2'!A48</f>
        <v>27</v>
      </c>
      <c r="B48" s="133" t="str">
        <f t="shared" si="7"/>
        <v>March 2021</v>
      </c>
      <c r="D48" s="66">
        <v>-17109.349999999999</v>
      </c>
      <c r="E48" s="66">
        <f t="shared" si="12"/>
        <v>8033442.25</v>
      </c>
      <c r="F48" s="93">
        <f>+'II-D-3.2'!D48</f>
        <v>8016332.9000000004</v>
      </c>
      <c r="H48" s="66">
        <v>0</v>
      </c>
      <c r="I48" s="66">
        <f t="shared" si="8"/>
        <v>0</v>
      </c>
      <c r="J48" s="93">
        <f>+'II-D-3.2'!J48</f>
        <v>0</v>
      </c>
      <c r="L48" s="66">
        <v>0</v>
      </c>
      <c r="M48" s="66">
        <f t="shared" si="9"/>
        <v>0</v>
      </c>
      <c r="N48" s="93">
        <f>+'II-D-3.2'!P48</f>
        <v>0</v>
      </c>
      <c r="P48" s="66">
        <f t="shared" si="13"/>
        <v>-17109.349999999999</v>
      </c>
      <c r="Q48" s="66">
        <f t="shared" si="10"/>
        <v>8033442.25</v>
      </c>
      <c r="R48" s="93">
        <f t="shared" si="11"/>
        <v>8016332.9000000004</v>
      </c>
    </row>
    <row r="49" spans="1:18" ht="12.75">
      <c r="A49" s="1">
        <f>+'II-D-3.2'!A49</f>
        <v>28</v>
      </c>
      <c r="B49" s="133" t="str">
        <f t="shared" si="7"/>
        <v>April 2021</v>
      </c>
      <c r="D49" s="66">
        <v>-17726.509999999998</v>
      </c>
      <c r="E49" s="66">
        <f t="shared" si="12"/>
        <v>8350177.4900000002</v>
      </c>
      <c r="F49" s="93">
        <f>+'II-D-3.2'!D49</f>
        <v>8332450.9800000004</v>
      </c>
      <c r="H49" s="66">
        <v>0</v>
      </c>
      <c r="I49" s="66">
        <f t="shared" si="8"/>
        <v>0</v>
      </c>
      <c r="J49" s="93">
        <f>+'II-D-3.2'!J49</f>
        <v>0</v>
      </c>
      <c r="L49" s="66">
        <v>0</v>
      </c>
      <c r="M49" s="66">
        <f t="shared" si="9"/>
        <v>0</v>
      </c>
      <c r="N49" s="93">
        <f>+'II-D-3.2'!P49</f>
        <v>0</v>
      </c>
      <c r="P49" s="66">
        <f t="shared" si="13"/>
        <v>-17726.509999999998</v>
      </c>
      <c r="Q49" s="66">
        <f t="shared" si="10"/>
        <v>8350177.4900000002</v>
      </c>
      <c r="R49" s="93">
        <f t="shared" si="11"/>
        <v>8332450.9800000004</v>
      </c>
    </row>
    <row r="50" spans="1:18" ht="12.75">
      <c r="A50" s="1">
        <f>+'II-D-3.2'!A50</f>
        <v>29</v>
      </c>
      <c r="B50" s="133" t="str">
        <f t="shared" si="7"/>
        <v>May 2021</v>
      </c>
      <c r="D50" s="66">
        <v>-16555.529999999999</v>
      </c>
      <c r="E50" s="66">
        <f t="shared" si="12"/>
        <v>8026784.2400000002</v>
      </c>
      <c r="F50" s="93">
        <f>+'II-D-3.2'!D50</f>
        <v>8010228.71</v>
      </c>
      <c r="H50" s="66">
        <v>0</v>
      </c>
      <c r="I50" s="66">
        <f t="shared" si="8"/>
        <v>0</v>
      </c>
      <c r="J50" s="93">
        <f>+'II-D-3.2'!J50</f>
        <v>0</v>
      </c>
      <c r="L50" s="66">
        <v>0</v>
      </c>
      <c r="M50" s="66">
        <f t="shared" si="9"/>
        <v>0</v>
      </c>
      <c r="N50" s="93">
        <f>+'II-D-3.2'!P50</f>
        <v>0</v>
      </c>
      <c r="P50" s="66">
        <f t="shared" si="13"/>
        <v>-16555.529999999999</v>
      </c>
      <c r="Q50" s="66">
        <f t="shared" si="10"/>
        <v>8026784.2400000002</v>
      </c>
      <c r="R50" s="93">
        <f t="shared" si="11"/>
        <v>8010228.71</v>
      </c>
    </row>
    <row r="51" spans="1:18" ht="12.75">
      <c r="A51" s="1">
        <f>+'II-D-3.2'!A51</f>
        <v>30</v>
      </c>
      <c r="B51" s="133" t="str">
        <f t="shared" si="7"/>
        <v>June 2021</v>
      </c>
      <c r="D51" s="66">
        <v>-16970.279999999999</v>
      </c>
      <c r="E51" s="66">
        <f t="shared" si="12"/>
        <v>8415710.75</v>
      </c>
      <c r="F51" s="93">
        <f>+'II-D-3.2'!D51</f>
        <v>8398740.4700000007</v>
      </c>
      <c r="H51" s="66">
        <v>0</v>
      </c>
      <c r="I51" s="66">
        <f t="shared" si="8"/>
        <v>0</v>
      </c>
      <c r="J51" s="93">
        <f>+'II-D-3.2'!J51</f>
        <v>0</v>
      </c>
      <c r="L51" s="66">
        <v>0</v>
      </c>
      <c r="M51" s="66">
        <f t="shared" si="9"/>
        <v>0</v>
      </c>
      <c r="N51" s="93">
        <f>+'II-D-3.2'!P51</f>
        <v>0</v>
      </c>
      <c r="P51" s="66">
        <f t="shared" si="13"/>
        <v>-16970.279999999999</v>
      </c>
      <c r="Q51" s="66">
        <f t="shared" si="10"/>
        <v>8415710.75</v>
      </c>
      <c r="R51" s="93">
        <f t="shared" si="11"/>
        <v>8398740.4700000007</v>
      </c>
    </row>
    <row r="52" spans="1:18" ht="12.75">
      <c r="A52" s="1">
        <f>+'II-D-3.2'!A52</f>
        <v>31</v>
      </c>
      <c r="B52" s="133" t="str">
        <f t="shared" si="7"/>
        <v>July 2021</v>
      </c>
      <c r="D52" s="66">
        <v>-16863.330000000002</v>
      </c>
      <c r="E52" s="66">
        <f t="shared" si="12"/>
        <v>8148913.0099999998</v>
      </c>
      <c r="F52" s="93">
        <f>+'II-D-3.2'!D52</f>
        <v>8132049.6799999997</v>
      </c>
      <c r="H52" s="66">
        <v>0</v>
      </c>
      <c r="I52" s="66">
        <f t="shared" si="8"/>
        <v>0</v>
      </c>
      <c r="J52" s="93">
        <f>+'II-D-3.2'!J52</f>
        <v>0</v>
      </c>
      <c r="L52" s="66">
        <v>0</v>
      </c>
      <c r="M52" s="66">
        <f t="shared" si="9"/>
        <v>0</v>
      </c>
      <c r="N52" s="93">
        <f>+'II-D-3.2'!P52</f>
        <v>0</v>
      </c>
      <c r="P52" s="66">
        <f t="shared" si="13"/>
        <v>-16863.330000000002</v>
      </c>
      <c r="Q52" s="66">
        <f t="shared" si="10"/>
        <v>8148913.0099999998</v>
      </c>
      <c r="R52" s="93">
        <f t="shared" si="11"/>
        <v>8132049.6799999997</v>
      </c>
    </row>
    <row r="53" spans="1:18" ht="12.75">
      <c r="A53" s="1">
        <f>+'II-D-3.2'!A53</f>
        <v>32</v>
      </c>
      <c r="B53" s="133" t="str">
        <f t="shared" si="7"/>
        <v>August 2021</v>
      </c>
      <c r="D53" s="66">
        <v>-16420.619999999999</v>
      </c>
      <c r="E53" s="66">
        <f t="shared" si="12"/>
        <v>8338795.5300000003</v>
      </c>
      <c r="F53" s="93">
        <f>+'II-D-3.2'!D53</f>
        <v>8322374.9100000001</v>
      </c>
      <c r="H53" s="66">
        <v>0</v>
      </c>
      <c r="I53" s="66">
        <f t="shared" si="8"/>
        <v>0</v>
      </c>
      <c r="J53" s="93">
        <f>+'II-D-3.2'!J53</f>
        <v>0</v>
      </c>
      <c r="L53" s="66">
        <v>0</v>
      </c>
      <c r="M53" s="66">
        <f t="shared" si="9"/>
        <v>0</v>
      </c>
      <c r="N53" s="93">
        <f>+'II-D-3.2'!P53</f>
        <v>0</v>
      </c>
      <c r="P53" s="66">
        <f t="shared" si="13"/>
        <v>-16420.619999999999</v>
      </c>
      <c r="Q53" s="66">
        <f t="shared" si="10"/>
        <v>8338795.5300000003</v>
      </c>
      <c r="R53" s="93">
        <f t="shared" si="11"/>
        <v>8322374.9100000001</v>
      </c>
    </row>
    <row r="54" spans="1:18" ht="12.75">
      <c r="A54" s="1">
        <f>+'II-D-3.2'!A54</f>
        <v>33</v>
      </c>
      <c r="B54" s="133" t="str">
        <f t="shared" si="7"/>
        <v>September 2021</v>
      </c>
      <c r="D54" s="66">
        <v>-16573.880000000001</v>
      </c>
      <c r="E54" s="66">
        <f t="shared" si="12"/>
        <v>8349914.1899999995</v>
      </c>
      <c r="F54" s="93">
        <f>+'II-D-3.2'!D54</f>
        <v>8333340.3099999996</v>
      </c>
      <c r="H54" s="66">
        <v>0</v>
      </c>
      <c r="I54" s="66">
        <f t="shared" si="8"/>
        <v>0</v>
      </c>
      <c r="J54" s="93">
        <f>+'II-D-3.2'!J54</f>
        <v>0</v>
      </c>
      <c r="L54" s="66">
        <v>0</v>
      </c>
      <c r="M54" s="66">
        <f t="shared" si="9"/>
        <v>0</v>
      </c>
      <c r="N54" s="93">
        <f>+'II-D-3.2'!P54</f>
        <v>0</v>
      </c>
      <c r="P54" s="66">
        <f t="shared" si="13"/>
        <v>-16573.880000000001</v>
      </c>
      <c r="Q54" s="66">
        <f t="shared" si="10"/>
        <v>8349914.1899999995</v>
      </c>
      <c r="R54" s="93">
        <f t="shared" si="11"/>
        <v>8333340.3099999996</v>
      </c>
    </row>
    <row r="55" spans="1:18" ht="12.75">
      <c r="A55" s="1">
        <f>+'II-D-3.2'!A55</f>
        <v>34</v>
      </c>
      <c r="B55" s="133" t="str">
        <f t="shared" si="7"/>
        <v>October 2021</v>
      </c>
      <c r="D55" s="66">
        <v>-15757.879999999999</v>
      </c>
      <c r="E55" s="66">
        <f t="shared" si="12"/>
        <v>8317853.5700000003</v>
      </c>
      <c r="F55" s="93">
        <f>+'II-D-3.2'!D55</f>
        <v>8302095.6900000004</v>
      </c>
      <c r="H55" s="66">
        <v>0</v>
      </c>
      <c r="I55" s="66">
        <f t="shared" si="8"/>
        <v>0</v>
      </c>
      <c r="J55" s="93">
        <f>+'II-D-3.2'!J55</f>
        <v>0</v>
      </c>
      <c r="L55" s="66">
        <v>0</v>
      </c>
      <c r="M55" s="66">
        <f t="shared" si="9"/>
        <v>0</v>
      </c>
      <c r="N55" s="93">
        <f>+'II-D-3.2'!P55</f>
        <v>0</v>
      </c>
      <c r="P55" s="66">
        <f t="shared" si="13"/>
        <v>-15757.879999999999</v>
      </c>
      <c r="Q55" s="66">
        <f t="shared" si="10"/>
        <v>8317853.5700000003</v>
      </c>
      <c r="R55" s="93">
        <f t="shared" si="11"/>
        <v>8302095.6900000004</v>
      </c>
    </row>
    <row r="56" spans="1:18" ht="12.75">
      <c r="A56" s="1">
        <f>+'II-D-3.2'!A56</f>
        <v>35</v>
      </c>
      <c r="B56" s="133" t="str">
        <f t="shared" si="7"/>
        <v>November 2021</v>
      </c>
      <c r="D56" s="66">
        <v>-15536.51</v>
      </c>
      <c r="E56" s="66">
        <f t="shared" si="12"/>
        <v>8220154.3899999997</v>
      </c>
      <c r="F56" s="93">
        <f>+'II-D-3.2'!D56</f>
        <v>8204617.8799999999</v>
      </c>
      <c r="H56" s="66">
        <v>0</v>
      </c>
      <c r="I56" s="66">
        <f t="shared" si="8"/>
        <v>0</v>
      </c>
      <c r="J56" s="93">
        <f>+'II-D-3.2'!J56</f>
        <v>0</v>
      </c>
      <c r="L56" s="66">
        <v>0</v>
      </c>
      <c r="M56" s="66">
        <f t="shared" si="9"/>
        <v>0</v>
      </c>
      <c r="N56" s="93">
        <f>+'II-D-3.2'!P56</f>
        <v>0</v>
      </c>
      <c r="P56" s="66">
        <f t="shared" si="13"/>
        <v>-15536.51</v>
      </c>
      <c r="Q56" s="66">
        <f t="shared" si="10"/>
        <v>8220154.3899999997</v>
      </c>
      <c r="R56" s="93">
        <f t="shared" si="11"/>
        <v>8204617.8799999999</v>
      </c>
    </row>
    <row r="57" spans="1:18" ht="12.75">
      <c r="A57" s="1">
        <f>+'II-D-3.2'!A57</f>
        <v>36</v>
      </c>
      <c r="B57" s="133" t="str">
        <f t="shared" si="7"/>
        <v>December 2021</v>
      </c>
      <c r="D57" s="66">
        <v>-15331.049999999999</v>
      </c>
      <c r="E57" s="66">
        <f t="shared" si="12"/>
        <v>8359124.6200000001</v>
      </c>
      <c r="F57" s="93">
        <f>+'II-D-3.2'!D57</f>
        <v>8343793.5700000003</v>
      </c>
      <c r="H57" s="66">
        <v>0</v>
      </c>
      <c r="I57" s="66">
        <f t="shared" si="8"/>
        <v>0</v>
      </c>
      <c r="J57" s="93">
        <f>+'II-D-3.2'!J57</f>
        <v>0</v>
      </c>
      <c r="L57" s="66">
        <v>0</v>
      </c>
      <c r="M57" s="66">
        <f t="shared" si="9"/>
        <v>0</v>
      </c>
      <c r="N57" s="93">
        <f>+'II-D-3.2'!P57</f>
        <v>0</v>
      </c>
      <c r="P57" s="66">
        <f t="shared" si="13"/>
        <v>-15331.049999999999</v>
      </c>
      <c r="Q57" s="66">
        <f t="shared" si="10"/>
        <v>8359124.6200000001</v>
      </c>
      <c r="R57" s="93">
        <f t="shared" si="11"/>
        <v>8343793.5700000003</v>
      </c>
    </row>
    <row r="58" spans="1:18" ht="12.75">
      <c r="A58" s="1">
        <f>+'II-D-3.2'!A58</f>
        <v>37</v>
      </c>
      <c r="D58" s="115"/>
      <c r="E58" s="115"/>
      <c r="F58" s="115"/>
      <c r="H58" s="115"/>
      <c r="I58" s="115"/>
      <c r="J58" s="115"/>
      <c r="L58" s="115"/>
      <c r="M58" s="115"/>
      <c r="N58" s="115"/>
      <c r="P58" s="115"/>
      <c r="Q58" s="115"/>
      <c r="R58" s="115"/>
    </row>
    <row r="59" spans="1:18" ht="12.75">
      <c r="A59" s="1">
        <f>+'II-D-3.2'!A59</f>
        <v>38</v>
      </c>
      <c r="B59" s="94" t="s">
        <v>69</v>
      </c>
      <c r="D59" s="142">
        <f>SUM(D46:D57)</f>
        <v>-199398.54000000001</v>
      </c>
      <c r="E59" s="142">
        <f>SUM(E46:E57)</f>
        <v>99023827.410000011</v>
      </c>
      <c r="F59" s="142">
        <f>SUM(F46:F57)</f>
        <v>98824428.870000005</v>
      </c>
      <c r="H59" s="142">
        <f>SUM(H46:H57)</f>
        <v>0</v>
      </c>
      <c r="I59" s="142">
        <f>SUM(I46:I57)</f>
        <v>0</v>
      </c>
      <c r="J59" s="142">
        <f>SUM(J46:J57)</f>
        <v>0</v>
      </c>
      <c r="L59" s="142">
        <f>SUM(L46:L57)</f>
        <v>0</v>
      </c>
      <c r="M59" s="142">
        <f>SUM(M46:M57)</f>
        <v>0</v>
      </c>
      <c r="N59" s="142">
        <f>SUM(N46:N57)</f>
        <v>0</v>
      </c>
      <c r="P59" s="142">
        <f>SUM(P46:P57)</f>
        <v>-199398.54000000001</v>
      </c>
      <c r="Q59" s="142">
        <f>SUM(Q46:Q57)</f>
        <v>99023827.410000011</v>
      </c>
      <c r="R59" s="142">
        <f>SUM(R46:R57)</f>
        <v>98824428.870000005</v>
      </c>
    </row>
    <row r="60" spans="1:1" ht="12.75">
      <c r="A60" s="1">
        <f>+'II-D-3.2'!A60</f>
        <v>39</v>
      </c>
    </row>
    <row r="61" spans="1:1" ht="12.75">
      <c r="A61" s="1">
        <f>+'II-D-3.2'!A61</f>
        <v>40</v>
      </c>
    </row>
    <row r="62" spans="1:18" ht="12.75">
      <c r="A62" s="1">
        <f>+'II-D-3.2'!A62</f>
        <v>41</v>
      </c>
      <c r="B62" t="s">
        <v>158</v>
      </c>
      <c r="D62" s="192">
        <v>0</v>
      </c>
      <c r="E62" s="192">
        <v>0</v>
      </c>
      <c r="F62" s="192">
        <f>+'II-D-3.2'!D62</f>
        <v>0</v>
      </c>
      <c r="H62" s="192">
        <v>0</v>
      </c>
      <c r="I62" s="192">
        <v>0</v>
      </c>
      <c r="J62" s="192">
        <f>+'II-D-3.2'!J62</f>
        <v>0</v>
      </c>
      <c r="L62" s="192">
        <v>0</v>
      </c>
      <c r="M62" s="192">
        <v>0</v>
      </c>
      <c r="N62" s="192">
        <f>+'II-D-3.2'!P62</f>
        <v>0</v>
      </c>
      <c r="P62" s="192">
        <f t="shared" si="14" ref="P62:P64">+D62+H62+L62</f>
        <v>0</v>
      </c>
      <c r="Q62" s="192">
        <f t="shared" si="15" ref="Q62:Q64">+E62+I62+M62</f>
        <v>0</v>
      </c>
      <c r="R62" s="192">
        <f t="shared" si="16" ref="R62:R64">+F62+J62+N62</f>
        <v>0</v>
      </c>
    </row>
    <row r="63" spans="1:18" ht="12.75">
      <c r="A63" s="1">
        <f>+'II-D-3.2'!A63</f>
        <v>42</v>
      </c>
      <c r="B63" t="s">
        <v>159</v>
      </c>
      <c r="D63" s="66">
        <v>0</v>
      </c>
      <c r="E63" s="66">
        <v>0</v>
      </c>
      <c r="F63" s="93">
        <f>+'II-D-3.2'!D63</f>
        <v>0</v>
      </c>
      <c r="H63" s="66">
        <v>0</v>
      </c>
      <c r="I63" s="66">
        <v>0</v>
      </c>
      <c r="J63" s="93">
        <f>+'II-D-3.2'!J63</f>
        <v>0</v>
      </c>
      <c r="L63" s="66">
        <v>0</v>
      </c>
      <c r="M63" s="66">
        <v>0</v>
      </c>
      <c r="N63" s="93">
        <f>+'II-D-3.2'!P63</f>
        <v>0</v>
      </c>
      <c r="P63" s="66">
        <f t="shared" si="14"/>
        <v>0</v>
      </c>
      <c r="Q63" s="66">
        <f t="shared" si="15"/>
        <v>0</v>
      </c>
      <c r="R63" s="93">
        <f t="shared" si="16"/>
        <v>0</v>
      </c>
    </row>
    <row r="64" spans="1:18" ht="12.75">
      <c r="A64" s="1">
        <f>+'II-D-3.2'!A64</f>
        <v>43</v>
      </c>
      <c r="B64" t="s">
        <v>46</v>
      </c>
      <c r="D64" s="66">
        <v>0</v>
      </c>
      <c r="E64" s="66">
        <v>0</v>
      </c>
      <c r="F64" s="93">
        <f>+'II-D-3.2'!D64</f>
        <v>0</v>
      </c>
      <c r="H64" s="66">
        <v>0</v>
      </c>
      <c r="I64" s="66">
        <v>0</v>
      </c>
      <c r="J64" s="93">
        <f>+'II-D-3.2'!J64</f>
        <v>0</v>
      </c>
      <c r="L64" s="66">
        <v>0</v>
      </c>
      <c r="M64" s="66">
        <v>0</v>
      </c>
      <c r="N64" s="93">
        <f>+'II-D-3.2'!P64</f>
        <v>0</v>
      </c>
      <c r="P64" s="66">
        <f t="shared" si="14"/>
        <v>0</v>
      </c>
      <c r="Q64" s="66">
        <f t="shared" si="15"/>
        <v>0</v>
      </c>
      <c r="R64" s="93">
        <f t="shared" si="16"/>
        <v>0</v>
      </c>
    </row>
    <row r="65" spans="1:1" ht="12.75">
      <c r="A65" s="1">
        <f>+'II-D-3.2'!A65</f>
        <v>44</v>
      </c>
    </row>
    <row r="66" spans="1:17" ht="12.75">
      <c r="A66" s="1">
        <f>+'II-D-3.2'!A66</f>
        <v>45</v>
      </c>
      <c r="D66" s="136"/>
      <c r="E66" s="95"/>
      <c r="H66" s="136"/>
      <c r="I66" s="95"/>
      <c r="L66" s="136"/>
      <c r="M66" s="95"/>
      <c r="P66" s="136"/>
      <c r="Q66" s="95"/>
    </row>
    <row r="67" spans="1:18" ht="12.75">
      <c r="A67" s="1">
        <f>+'II-D-3.2'!A67</f>
        <v>46</v>
      </c>
      <c r="B67" s="94" t="str">
        <f>+B36</f>
        <v>TME 2018</v>
      </c>
      <c r="D67" s="192">
        <v>-115586.46000000001</v>
      </c>
      <c r="E67" s="192">
        <f>+F67-D67</f>
        <v>74021412.189999998</v>
      </c>
      <c r="F67" s="192">
        <f>+'II-D-3.2'!D67</f>
        <v>73905825.730000004</v>
      </c>
      <c r="H67" s="192">
        <v>0</v>
      </c>
      <c r="I67" s="192">
        <f>+J67-H67</f>
        <v>0</v>
      </c>
      <c r="J67" s="192">
        <f>+'II-D-3.2'!J67</f>
        <v>0</v>
      </c>
      <c r="L67" s="192">
        <v>0</v>
      </c>
      <c r="M67" s="192">
        <f>+N67-L67</f>
        <v>0</v>
      </c>
      <c r="N67" s="192">
        <f>+'II-D-3.2'!P67</f>
        <v>0</v>
      </c>
      <c r="P67" s="192">
        <f t="shared" si="17" ref="P67:P69">+D67+H67+L67</f>
        <v>-115586.46000000001</v>
      </c>
      <c r="Q67" s="192">
        <f t="shared" si="18" ref="Q67:Q69">+E67+I67+M67</f>
        <v>74021412.189999998</v>
      </c>
      <c r="R67" s="192">
        <f t="shared" si="19" ref="R67:R69">+F67+J67+N67</f>
        <v>73905825.730000004</v>
      </c>
    </row>
    <row r="68" spans="1:18" ht="12.75">
      <c r="A68" s="1">
        <f>+'II-D-3.2'!A68</f>
        <v>47</v>
      </c>
      <c r="B68" s="94" t="str">
        <f>+B37</f>
        <v>TME 2019</v>
      </c>
      <c r="D68" s="66">
        <v>-125039.81</v>
      </c>
      <c r="E68" s="66">
        <f t="shared" si="20" ref="E68:E69">+F68-D68</f>
        <v>79406266.659999996</v>
      </c>
      <c r="F68" s="108">
        <f>+'II-D-3.2'!D68</f>
        <v>79281226.849999994</v>
      </c>
      <c r="H68" s="66">
        <v>0</v>
      </c>
      <c r="I68" s="66">
        <f t="shared" si="21" ref="I68:I69">+J68-H68</f>
        <v>0</v>
      </c>
      <c r="J68" s="108">
        <f>+'II-D-3.2'!J68</f>
        <v>0</v>
      </c>
      <c r="L68" s="66">
        <v>0</v>
      </c>
      <c r="M68" s="66">
        <f t="shared" si="22" ref="M68:M69">+N68-L68</f>
        <v>0</v>
      </c>
      <c r="N68" s="108">
        <f>+'II-D-3.2'!P68</f>
        <v>0</v>
      </c>
      <c r="P68" s="66">
        <f t="shared" si="17"/>
        <v>-125039.81</v>
      </c>
      <c r="Q68" s="66">
        <f t="shared" si="18"/>
        <v>79406266.659999996</v>
      </c>
      <c r="R68" s="108">
        <f t="shared" si="19"/>
        <v>79281226.849999994</v>
      </c>
    </row>
    <row r="69" spans="1:18" ht="12.75">
      <c r="A69" s="1">
        <f>+'II-D-3.2'!A69</f>
        <v>48</v>
      </c>
      <c r="B69" s="94" t="str">
        <f>+B38</f>
        <v>TME 2020</v>
      </c>
      <c r="D69" s="66">
        <v>-124237.58000000002</v>
      </c>
      <c r="E69" s="66">
        <f t="shared" si="20"/>
        <v>88521648.069999993</v>
      </c>
      <c r="F69" s="108">
        <f>+'II-D-3.2'!D69</f>
        <v>88397410.489999995</v>
      </c>
      <c r="H69" s="66">
        <v>0</v>
      </c>
      <c r="I69" s="66">
        <f t="shared" si="21"/>
        <v>0</v>
      </c>
      <c r="J69" s="108">
        <f>+'II-D-3.2'!J69</f>
        <v>0</v>
      </c>
      <c r="L69" s="66">
        <v>0</v>
      </c>
      <c r="M69" s="66">
        <f t="shared" si="22"/>
        <v>0</v>
      </c>
      <c r="N69" s="108">
        <f>+'II-D-3.2'!P69</f>
        <v>0</v>
      </c>
      <c r="P69" s="66">
        <f t="shared" si="17"/>
        <v>-124237.58000000002</v>
      </c>
      <c r="Q69" s="66">
        <f t="shared" si="18"/>
        <v>88521648.069999993</v>
      </c>
      <c r="R69" s="108">
        <f t="shared" si="19"/>
        <v>88397410.489999995</v>
      </c>
    </row>
    <row r="72" spans="4:14" ht="13.5" thickBot="1">
      <c r="D72" s="362" t="s">
        <v>295</v>
      </c>
      <c r="E72" s="362"/>
      <c r="F72" s="362"/>
      <c r="H72" s="363" t="s">
        <v>727</v>
      </c>
      <c r="I72" s="362"/>
      <c r="J72" s="362"/>
      <c r="L72" s="363" t="s">
        <v>728</v>
      </c>
      <c r="M72" s="362"/>
      <c r="N72" s="362"/>
    </row>
    <row r="73" spans="1:14" ht="12.75">
      <c r="A73" s="18" t="s">
        <v>87</v>
      </c>
      <c r="B73" s="18"/>
      <c r="D73" s="18"/>
      <c r="E73" s="25"/>
      <c r="F73" s="2"/>
      <c r="H73" s="18"/>
      <c r="I73" s="25"/>
      <c r="J73" s="2"/>
      <c r="L73" s="18"/>
      <c r="M73" s="25"/>
      <c r="N73" s="2"/>
    </row>
    <row r="74" spans="1:14" ht="12.75">
      <c r="A74" s="208" t="s">
        <v>89</v>
      </c>
      <c r="B74" s="208" t="s">
        <v>64</v>
      </c>
      <c r="D74" s="92" t="s">
        <v>70</v>
      </c>
      <c r="E74" s="92" t="s">
        <v>168</v>
      </c>
      <c r="F74" s="92" t="s">
        <v>216</v>
      </c>
      <c r="H74" s="208" t="s">
        <v>70</v>
      </c>
      <c r="I74" s="208" t="s">
        <v>168</v>
      </c>
      <c r="J74" s="208" t="s">
        <v>216</v>
      </c>
      <c r="L74" s="208" t="s">
        <v>70</v>
      </c>
      <c r="M74" s="208" t="s">
        <v>168</v>
      </c>
      <c r="N74" s="208" t="s">
        <v>216</v>
      </c>
    </row>
    <row r="75" spans="1:14" ht="12.75">
      <c r="A75" s="18"/>
      <c r="B75" s="16" t="s">
        <v>44</v>
      </c>
      <c r="D75" s="16" t="s">
        <v>45</v>
      </c>
      <c r="E75" s="16" t="s">
        <v>74</v>
      </c>
      <c r="F75" s="16" t="s">
        <v>75</v>
      </c>
      <c r="H75" s="203" t="s">
        <v>76</v>
      </c>
      <c r="I75" s="203" t="s">
        <v>77</v>
      </c>
      <c r="J75" s="203" t="s">
        <v>78</v>
      </c>
      <c r="L75" s="203" t="s">
        <v>79</v>
      </c>
      <c r="M75" s="203" t="s">
        <v>80</v>
      </c>
      <c r="N75" s="203" t="s">
        <v>81</v>
      </c>
    </row>
    <row r="77" spans="1:14" ht="12.75">
      <c r="A77" s="1">
        <f>+'II-D-3.2'!A77</f>
        <v>49</v>
      </c>
      <c r="B77" s="133" t="str">
        <f t="shared" si="23" ref="B77:B88">+B46</f>
        <v>January 2021</v>
      </c>
      <c r="D77" s="192">
        <v>4407774.7099999953</v>
      </c>
      <c r="E77" s="192">
        <f>+F77-D77</f>
        <v>18826603.940000005</v>
      </c>
      <c r="F77" s="192">
        <f>+'II-D-3.2'!D77</f>
        <v>23234378.649999999</v>
      </c>
      <c r="H77" s="192">
        <v>0</v>
      </c>
      <c r="I77" s="192">
        <f>+J77-H77</f>
        <v>0</v>
      </c>
      <c r="J77" s="192">
        <f>+'II-D-3.2'!J77</f>
        <v>0</v>
      </c>
      <c r="L77" s="192">
        <f>+D77+H77</f>
        <v>4407774.7099999953</v>
      </c>
      <c r="M77" s="192">
        <f t="shared" si="24" ref="M77:M88">+E77+I77</f>
        <v>18826603.940000005</v>
      </c>
      <c r="N77" s="192">
        <f t="shared" si="25" ref="N77:N88">+F77+J77</f>
        <v>23234378.649999999</v>
      </c>
    </row>
    <row r="78" spans="1:14" ht="12.75">
      <c r="A78" s="1">
        <f>+'II-D-3.2'!A78</f>
        <v>50</v>
      </c>
      <c r="B78" s="133" t="str">
        <f t="shared" si="23"/>
        <v>February 2021</v>
      </c>
      <c r="D78" s="66">
        <v>4339246.8099999931</v>
      </c>
      <c r="E78" s="66">
        <f t="shared" si="26" ref="E78:E88">+F78-D78</f>
        <v>17442543.260000005</v>
      </c>
      <c r="F78" s="93">
        <f>+'II-D-3.2'!D78</f>
        <v>21781790.07</v>
      </c>
      <c r="H78" s="66">
        <v>0</v>
      </c>
      <c r="I78" s="66">
        <f t="shared" si="27" ref="I78:I88">+J78-H78</f>
        <v>0</v>
      </c>
      <c r="J78" s="93">
        <f>+'II-D-3.2'!J78</f>
        <v>0</v>
      </c>
      <c r="L78" s="66">
        <f t="shared" si="28" ref="L78:L88">+D78+H78</f>
        <v>4339246.8099999931</v>
      </c>
      <c r="M78" s="66">
        <f t="shared" si="24"/>
        <v>17442543.260000005</v>
      </c>
      <c r="N78" s="93">
        <f t="shared" si="25"/>
        <v>21781790.07</v>
      </c>
    </row>
    <row r="79" spans="1:14" ht="12.75">
      <c r="A79" s="1">
        <f>+'II-D-3.2'!A79</f>
        <v>51</v>
      </c>
      <c r="B79" s="133" t="str">
        <f t="shared" si="23"/>
        <v>March 2021</v>
      </c>
      <c r="D79" s="66">
        <v>4304628.9100000001</v>
      </c>
      <c r="E79" s="66">
        <f t="shared" si="26"/>
        <v>18536179.280000001</v>
      </c>
      <c r="F79" s="93">
        <f>+'II-D-3.2'!D79</f>
        <v>22840808.190000001</v>
      </c>
      <c r="H79" s="66">
        <v>0</v>
      </c>
      <c r="I79" s="66">
        <f t="shared" si="27"/>
        <v>0</v>
      </c>
      <c r="J79" s="93">
        <f>+'II-D-3.2'!J79</f>
        <v>0</v>
      </c>
      <c r="L79" s="66">
        <f t="shared" si="28"/>
        <v>4304628.9100000001</v>
      </c>
      <c r="M79" s="66">
        <f t="shared" si="24"/>
        <v>18536179.280000001</v>
      </c>
      <c r="N79" s="93">
        <f t="shared" si="25"/>
        <v>22840808.190000001</v>
      </c>
    </row>
    <row r="80" spans="1:14" ht="12.75">
      <c r="A80" s="1">
        <f>+'II-D-3.2'!A80</f>
        <v>52</v>
      </c>
      <c r="B80" s="133" t="str">
        <f t="shared" si="23"/>
        <v>April 2021</v>
      </c>
      <c r="D80" s="66">
        <v>4342139.4400000004</v>
      </c>
      <c r="E80" s="66">
        <f t="shared" si="26"/>
        <v>17970266.079999998</v>
      </c>
      <c r="F80" s="93">
        <f>+'II-D-3.2'!D80</f>
        <v>22312405.52</v>
      </c>
      <c r="H80" s="66">
        <v>0</v>
      </c>
      <c r="I80" s="66">
        <f t="shared" si="27"/>
        <v>0</v>
      </c>
      <c r="J80" s="93">
        <f>+'II-D-3.2'!J80</f>
        <v>0</v>
      </c>
      <c r="L80" s="66">
        <f t="shared" si="28"/>
        <v>4342139.4400000004</v>
      </c>
      <c r="M80" s="66">
        <f t="shared" si="24"/>
        <v>17970266.079999998</v>
      </c>
      <c r="N80" s="93">
        <f t="shared" si="25"/>
        <v>22312405.52</v>
      </c>
    </row>
    <row r="81" spans="1:14" ht="12.75">
      <c r="A81" s="1">
        <f>+'II-D-3.2'!A81</f>
        <v>53</v>
      </c>
      <c r="B81" s="133" t="str">
        <f t="shared" si="23"/>
        <v>May 2021</v>
      </c>
      <c r="D81" s="66">
        <v>4293151.79</v>
      </c>
      <c r="E81" s="66">
        <f t="shared" si="26"/>
        <v>18484507.220000003</v>
      </c>
      <c r="F81" s="93">
        <f>+'II-D-3.2'!D81</f>
        <v>22777659.010000002</v>
      </c>
      <c r="H81" s="66">
        <v>0</v>
      </c>
      <c r="I81" s="66">
        <f t="shared" si="27"/>
        <v>0</v>
      </c>
      <c r="J81" s="93">
        <f>+'II-D-3.2'!J81</f>
        <v>0</v>
      </c>
      <c r="L81" s="66">
        <f t="shared" si="28"/>
        <v>4293151.79</v>
      </c>
      <c r="M81" s="66">
        <f t="shared" si="24"/>
        <v>18484507.220000003</v>
      </c>
      <c r="N81" s="93">
        <f t="shared" si="25"/>
        <v>22777659.010000002</v>
      </c>
    </row>
    <row r="82" spans="1:14" ht="12.75">
      <c r="A82" s="1">
        <f>+'II-D-3.2'!A82</f>
        <v>54</v>
      </c>
      <c r="B82" s="133" t="str">
        <f t="shared" si="23"/>
        <v>June 2021</v>
      </c>
      <c r="D82" s="66">
        <v>4337620.1600000067</v>
      </c>
      <c r="E82" s="66">
        <f t="shared" si="26"/>
        <v>18405268.009999994</v>
      </c>
      <c r="F82" s="93">
        <f>+'II-D-3.2'!D82</f>
        <v>22742888.170000002</v>
      </c>
      <c r="H82" s="66">
        <v>0</v>
      </c>
      <c r="I82" s="66">
        <f t="shared" si="27"/>
        <v>0</v>
      </c>
      <c r="J82" s="93">
        <f>+'II-D-3.2'!J82</f>
        <v>0</v>
      </c>
      <c r="L82" s="66">
        <f t="shared" si="28"/>
        <v>4337620.1600000067</v>
      </c>
      <c r="M82" s="66">
        <f t="shared" si="24"/>
        <v>18405268.009999994</v>
      </c>
      <c r="N82" s="93">
        <f t="shared" si="25"/>
        <v>22742888.170000002</v>
      </c>
    </row>
    <row r="83" spans="1:14" ht="12.75">
      <c r="A83" s="1">
        <f>+'II-D-3.2'!A83</f>
        <v>55</v>
      </c>
      <c r="B83" s="133" t="str">
        <f t="shared" si="23"/>
        <v>July 2021</v>
      </c>
      <c r="D83" s="66">
        <v>6509317.7300000014</v>
      </c>
      <c r="E83" s="66">
        <f t="shared" si="26"/>
        <v>16937750.559999999</v>
      </c>
      <c r="F83" s="93">
        <f>+'II-D-3.2'!D83</f>
        <v>23447068.289999999</v>
      </c>
      <c r="H83" s="66">
        <v>0</v>
      </c>
      <c r="I83" s="66">
        <f t="shared" si="27"/>
        <v>0</v>
      </c>
      <c r="J83" s="93">
        <f>+'II-D-3.2'!J83</f>
        <v>0</v>
      </c>
      <c r="L83" s="66">
        <f t="shared" si="28"/>
        <v>6509317.7300000014</v>
      </c>
      <c r="M83" s="66">
        <f t="shared" si="24"/>
        <v>16937750.559999999</v>
      </c>
      <c r="N83" s="93">
        <f t="shared" si="25"/>
        <v>23447068.289999999</v>
      </c>
    </row>
    <row r="84" spans="1:14" ht="12.75">
      <c r="A84" s="1">
        <f>+'II-D-3.2'!A84</f>
        <v>56</v>
      </c>
      <c r="B84" s="133" t="str">
        <f t="shared" si="23"/>
        <v>August 2021</v>
      </c>
      <c r="D84" s="66">
        <v>4302946.8599999947</v>
      </c>
      <c r="E84" s="66">
        <f t="shared" si="26"/>
        <v>18584652.880000003</v>
      </c>
      <c r="F84" s="93">
        <f>+'II-D-3.2'!D84</f>
        <v>22887599.739999998</v>
      </c>
      <c r="H84" s="66">
        <v>0</v>
      </c>
      <c r="I84" s="66">
        <f t="shared" si="27"/>
        <v>0</v>
      </c>
      <c r="J84" s="93">
        <f>+'II-D-3.2'!J84</f>
        <v>0</v>
      </c>
      <c r="L84" s="66">
        <f t="shared" si="28"/>
        <v>4302946.8599999947</v>
      </c>
      <c r="M84" s="66">
        <f t="shared" si="24"/>
        <v>18584652.880000003</v>
      </c>
      <c r="N84" s="93">
        <f t="shared" si="25"/>
        <v>22887599.739999998</v>
      </c>
    </row>
    <row r="85" spans="1:14" ht="12.75">
      <c r="A85" s="1">
        <f>+'II-D-3.2'!A85</f>
        <v>57</v>
      </c>
      <c r="B85" s="133" t="str">
        <f t="shared" si="23"/>
        <v>September 2021</v>
      </c>
      <c r="D85" s="66">
        <v>4317208.1000000052</v>
      </c>
      <c r="E85" s="66">
        <f t="shared" si="26"/>
        <v>18233676.399999995</v>
      </c>
      <c r="F85" s="93">
        <f>+'II-D-3.2'!D85</f>
        <v>22550884.5</v>
      </c>
      <c r="H85" s="66">
        <v>0</v>
      </c>
      <c r="I85" s="66">
        <f t="shared" si="27"/>
        <v>0</v>
      </c>
      <c r="J85" s="93">
        <f>+'II-D-3.2'!J85</f>
        <v>0</v>
      </c>
      <c r="L85" s="66">
        <f t="shared" si="28"/>
        <v>4317208.1000000052</v>
      </c>
      <c r="M85" s="66">
        <f t="shared" si="24"/>
        <v>18233676.399999995</v>
      </c>
      <c r="N85" s="93">
        <f t="shared" si="25"/>
        <v>22550884.5</v>
      </c>
    </row>
    <row r="86" spans="1:14" ht="12.75">
      <c r="A86" s="1">
        <f>+'II-D-3.2'!A86</f>
        <v>58</v>
      </c>
      <c r="B86" s="133" t="str">
        <f t="shared" si="23"/>
        <v>October 2021</v>
      </c>
      <c r="D86" s="66">
        <v>4321247.2399999946</v>
      </c>
      <c r="E86" s="66">
        <f t="shared" si="26"/>
        <v>18638872.750000004</v>
      </c>
      <c r="F86" s="93">
        <f>+'II-D-3.2'!D86</f>
        <v>22960119.989999998</v>
      </c>
      <c r="H86" s="66">
        <v>0</v>
      </c>
      <c r="I86" s="66">
        <f t="shared" si="27"/>
        <v>0</v>
      </c>
      <c r="J86" s="93">
        <f>+'II-D-3.2'!J86</f>
        <v>0</v>
      </c>
      <c r="L86" s="66">
        <f t="shared" si="28"/>
        <v>4321247.2399999946</v>
      </c>
      <c r="M86" s="66">
        <f t="shared" si="24"/>
        <v>18638872.750000004</v>
      </c>
      <c r="N86" s="93">
        <f t="shared" si="25"/>
        <v>22960119.989999998</v>
      </c>
    </row>
    <row r="87" spans="1:14" ht="12.75">
      <c r="A87" s="1">
        <f>+'II-D-3.2'!A87</f>
        <v>59</v>
      </c>
      <c r="B87" s="133" t="str">
        <f t="shared" si="23"/>
        <v>November 2021</v>
      </c>
      <c r="D87" s="66">
        <v>4438063.0600000015</v>
      </c>
      <c r="E87" s="66">
        <f t="shared" si="26"/>
        <v>18897992.449999999</v>
      </c>
      <c r="F87" s="93">
        <f>+'II-D-3.2'!D87</f>
        <v>23336055.510000002</v>
      </c>
      <c r="H87" s="66">
        <v>0</v>
      </c>
      <c r="I87" s="66">
        <f t="shared" si="27"/>
        <v>0</v>
      </c>
      <c r="J87" s="93">
        <f>+'II-D-3.2'!J87</f>
        <v>0</v>
      </c>
      <c r="L87" s="66">
        <f t="shared" si="28"/>
        <v>4438063.0600000015</v>
      </c>
      <c r="M87" s="66">
        <f t="shared" si="24"/>
        <v>18897992.449999999</v>
      </c>
      <c r="N87" s="93">
        <f t="shared" si="25"/>
        <v>23336055.510000002</v>
      </c>
    </row>
    <row r="88" spans="1:14" ht="12.75">
      <c r="A88" s="1">
        <f>+'II-D-3.2'!A88</f>
        <v>60</v>
      </c>
      <c r="B88" s="133" t="str">
        <f t="shared" si="23"/>
        <v>December 2021</v>
      </c>
      <c r="D88" s="66">
        <v>6801568.4499999909</v>
      </c>
      <c r="E88" s="66">
        <f t="shared" si="26"/>
        <v>17108255.930000007</v>
      </c>
      <c r="F88" s="93">
        <f>+'II-D-3.2'!D88</f>
        <v>23909824.379999999</v>
      </c>
      <c r="H88" s="66">
        <v>0</v>
      </c>
      <c r="I88" s="66">
        <f t="shared" si="27"/>
        <v>0</v>
      </c>
      <c r="J88" s="93">
        <f>+'II-D-3.2'!J88</f>
        <v>0</v>
      </c>
      <c r="L88" s="66">
        <f t="shared" si="28"/>
        <v>6801568.4499999909</v>
      </c>
      <c r="M88" s="66">
        <f t="shared" si="24"/>
        <v>17108255.930000007</v>
      </c>
      <c r="N88" s="93">
        <f t="shared" si="25"/>
        <v>23909824.379999999</v>
      </c>
    </row>
    <row r="89" spans="1:14" ht="12.75">
      <c r="A89" s="1">
        <f>+'II-D-3.2'!A89</f>
        <v>61</v>
      </c>
      <c r="D89" s="115"/>
      <c r="E89" s="115"/>
      <c r="F89" s="115"/>
      <c r="H89" s="115"/>
      <c r="I89" s="115"/>
      <c r="J89" s="115"/>
      <c r="L89" s="115"/>
      <c r="M89" s="115"/>
      <c r="N89" s="115"/>
    </row>
    <row r="90" spans="1:14" ht="12.75">
      <c r="A90" s="1">
        <f>+'II-D-3.2'!A90</f>
        <v>62</v>
      </c>
      <c r="B90" s="94" t="s">
        <v>69</v>
      </c>
      <c r="D90" s="142">
        <f>SUM(D77:D88)</f>
        <v>56714913.259999976</v>
      </c>
      <c r="E90" s="142">
        <f>SUM(E77:E88)</f>
        <v>218066568.75999999</v>
      </c>
      <c r="F90" s="142">
        <f>SUM(F77:F88)</f>
        <v>274781482.02000004</v>
      </c>
      <c r="H90" s="142">
        <f>SUM(H77:H88)</f>
        <v>0</v>
      </c>
      <c r="I90" s="142">
        <f>SUM(I77:I88)</f>
        <v>0</v>
      </c>
      <c r="J90" s="142">
        <f>SUM(J77:J88)</f>
        <v>0</v>
      </c>
      <c r="L90" s="142">
        <f>SUM(L77:L88)</f>
        <v>56714913.259999976</v>
      </c>
      <c r="M90" s="142">
        <f>SUM(M77:M88)</f>
        <v>218066568.75999999</v>
      </c>
      <c r="N90" s="142">
        <f>SUM(N77:N88)</f>
        <v>274781482.02000004</v>
      </c>
    </row>
    <row r="91" spans="1:1" ht="12.75">
      <c r="A91" s="1">
        <f>+'II-D-3.2'!A91</f>
        <v>63</v>
      </c>
    </row>
    <row r="92" spans="1:1" ht="12.75">
      <c r="A92" s="1">
        <f>+'II-D-3.2'!A92</f>
        <v>64</v>
      </c>
    </row>
    <row r="93" spans="1:14" ht="12.75">
      <c r="A93" s="1">
        <f>+'II-D-3.2'!A93</f>
        <v>65</v>
      </c>
      <c r="B93" t="s">
        <v>158</v>
      </c>
      <c r="D93" s="192">
        <v>0</v>
      </c>
      <c r="E93" s="192">
        <v>0</v>
      </c>
      <c r="F93" s="192">
        <f>+'II-D-3.2'!D93</f>
        <v>0</v>
      </c>
      <c r="H93" s="192">
        <v>0</v>
      </c>
      <c r="I93" s="192">
        <v>0</v>
      </c>
      <c r="J93" s="192">
        <f>+'II-D-3.2'!J93</f>
        <v>0</v>
      </c>
      <c r="L93" s="192">
        <f t="shared" si="29" ref="L93:L95">+D93+H93</f>
        <v>0</v>
      </c>
      <c r="M93" s="192">
        <f t="shared" si="30" ref="M93:M95">+E93+I93</f>
        <v>0</v>
      </c>
      <c r="N93" s="192">
        <f t="shared" si="31" ref="N93:N95">+F93+J93</f>
        <v>0</v>
      </c>
    </row>
    <row r="94" spans="1:14" ht="12.75">
      <c r="A94" s="1">
        <f>+'II-D-3.2'!A94</f>
        <v>66</v>
      </c>
      <c r="B94" t="s">
        <v>159</v>
      </c>
      <c r="D94" s="66">
        <v>0</v>
      </c>
      <c r="E94" s="66">
        <v>0</v>
      </c>
      <c r="F94" s="66">
        <f>+'II-D-3.2'!D94</f>
        <v>0</v>
      </c>
      <c r="H94" s="66">
        <v>0</v>
      </c>
      <c r="I94" s="66">
        <v>0</v>
      </c>
      <c r="J94" s="66">
        <f>+'II-D-3.2'!J94</f>
        <v>0</v>
      </c>
      <c r="L94" s="66">
        <f t="shared" si="29"/>
        <v>0</v>
      </c>
      <c r="M94" s="66">
        <f t="shared" si="30"/>
        <v>0</v>
      </c>
      <c r="N94" s="66">
        <f t="shared" si="31"/>
        <v>0</v>
      </c>
    </row>
    <row r="95" spans="1:14" ht="12.75">
      <c r="A95" s="1">
        <f>+'II-D-3.2'!A95</f>
        <v>67</v>
      </c>
      <c r="B95" t="s">
        <v>46</v>
      </c>
      <c r="D95" s="66">
        <v>0</v>
      </c>
      <c r="E95" s="66">
        <v>0</v>
      </c>
      <c r="F95" s="66">
        <f>+'II-D-3.2'!D95</f>
        <v>0</v>
      </c>
      <c r="H95" s="66">
        <v>0</v>
      </c>
      <c r="I95" s="66">
        <v>0</v>
      </c>
      <c r="J95" s="66">
        <f>+'II-D-3.2'!J95</f>
        <v>0</v>
      </c>
      <c r="L95" s="66">
        <f t="shared" si="29"/>
        <v>0</v>
      </c>
      <c r="M95" s="66">
        <f t="shared" si="30"/>
        <v>0</v>
      </c>
      <c r="N95" s="66">
        <f t="shared" si="31"/>
        <v>0</v>
      </c>
    </row>
    <row r="96" spans="1:1" ht="12.75">
      <c r="A96" s="1">
        <f>+'II-D-3.2'!A96</f>
        <v>68</v>
      </c>
    </row>
    <row r="97" spans="1:1" ht="12.75">
      <c r="A97" s="1">
        <f>+'II-D-3.2'!A97</f>
        <v>69</v>
      </c>
    </row>
    <row r="98" spans="1:14" ht="12.75">
      <c r="A98" s="1">
        <f>+'II-D-3.2'!A98</f>
        <v>70</v>
      </c>
      <c r="B98" s="94" t="str">
        <f>+B67</f>
        <v>TME 2018</v>
      </c>
      <c r="D98" s="192">
        <v>49263731.789999932</v>
      </c>
      <c r="E98" s="192">
        <f t="shared" si="32" ref="E98:E100">+F98-D98</f>
        <v>179276086.60000005</v>
      </c>
      <c r="F98" s="192">
        <f>+'II-D-3.2'!D98</f>
        <v>228539818.38999999</v>
      </c>
      <c r="H98" s="192">
        <v>0</v>
      </c>
      <c r="I98" s="192">
        <f t="shared" si="33" ref="I98:I100">+J98-H98</f>
        <v>0</v>
      </c>
      <c r="J98" s="192">
        <f>+'II-D-3.2'!J98</f>
        <v>0</v>
      </c>
      <c r="L98" s="192">
        <f t="shared" si="34" ref="L98:L100">+D98+H98</f>
        <v>49263731.789999932</v>
      </c>
      <c r="M98" s="192">
        <f t="shared" si="35" ref="M98:M100">+E98+I98</f>
        <v>179276086.60000005</v>
      </c>
      <c r="N98" s="192">
        <f t="shared" si="36" ref="N98:N100">+F98+J98</f>
        <v>228539818.38999999</v>
      </c>
    </row>
    <row r="99" spans="1:14" ht="12.75">
      <c r="A99" s="1">
        <f>+'II-D-3.2'!A99</f>
        <v>71</v>
      </c>
      <c r="B99" s="94" t="str">
        <f>+B68</f>
        <v>TME 2019</v>
      </c>
      <c r="D99" s="66">
        <v>51099411.829999924</v>
      </c>
      <c r="E99" s="66">
        <f t="shared" si="32"/>
        <v>187615876.79000008</v>
      </c>
      <c r="F99" s="108">
        <f>+'II-D-3.2'!D99</f>
        <v>238715288.62000001</v>
      </c>
      <c r="H99" s="66">
        <v>0</v>
      </c>
      <c r="I99" s="66">
        <f t="shared" si="33"/>
        <v>0</v>
      </c>
      <c r="J99" s="108">
        <f>+'II-D-3.2'!J99</f>
        <v>0</v>
      </c>
      <c r="L99" s="66">
        <f t="shared" si="34"/>
        <v>51099411.829999924</v>
      </c>
      <c r="M99" s="66">
        <f t="shared" si="35"/>
        <v>187615876.79000008</v>
      </c>
      <c r="N99" s="108">
        <f t="shared" si="36"/>
        <v>238715288.62000001</v>
      </c>
    </row>
    <row r="100" spans="1:14" ht="12.75">
      <c r="A100" s="1">
        <f>+'II-D-3.2'!A100</f>
        <v>72</v>
      </c>
      <c r="B100" s="94" t="str">
        <f>+B69</f>
        <v>TME 2020</v>
      </c>
      <c r="D100" s="66">
        <v>56953743.93</v>
      </c>
      <c r="E100" s="66">
        <f t="shared" si="32"/>
        <v>202999417.72</v>
      </c>
      <c r="F100" s="108">
        <f>+'II-D-3.2'!D100</f>
        <v>259953161.65000001</v>
      </c>
      <c r="H100" s="66">
        <v>0</v>
      </c>
      <c r="I100" s="66">
        <f t="shared" si="33"/>
        <v>0</v>
      </c>
      <c r="J100" s="108">
        <f>+'II-D-3.2'!J100</f>
        <v>0</v>
      </c>
      <c r="L100" s="66">
        <f t="shared" si="34"/>
        <v>56953743.93</v>
      </c>
      <c r="M100" s="66">
        <f t="shared" si="35"/>
        <v>202999417.72</v>
      </c>
      <c r="N100" s="108">
        <f t="shared" si="36"/>
        <v>259953161.65000001</v>
      </c>
    </row>
    <row r="103" spans="4:6" ht="13.5" thickBot="1">
      <c r="D103" s="362" t="s">
        <v>283</v>
      </c>
      <c r="E103" s="362"/>
      <c r="F103" s="362"/>
    </row>
    <row r="104" spans="1:6" ht="12.75">
      <c r="A104" s="18" t="s">
        <v>87</v>
      </c>
      <c r="B104" s="18"/>
      <c r="D104" s="18"/>
      <c r="E104" s="25"/>
      <c r="F104" s="2"/>
    </row>
    <row r="105" spans="1:6" ht="12.75">
      <c r="A105" s="208" t="s">
        <v>89</v>
      </c>
      <c r="B105" s="208" t="s">
        <v>64</v>
      </c>
      <c r="D105" s="92" t="s">
        <v>70</v>
      </c>
      <c r="E105" s="92" t="s">
        <v>168</v>
      </c>
      <c r="F105" s="92" t="s">
        <v>216</v>
      </c>
    </row>
    <row r="106" spans="1:6" ht="12.75">
      <c r="A106" s="18"/>
      <c r="B106" s="16" t="s">
        <v>44</v>
      </c>
      <c r="D106" s="16" t="s">
        <v>45</v>
      </c>
      <c r="E106" s="16" t="s">
        <v>74</v>
      </c>
      <c r="F106" s="16" t="s">
        <v>75</v>
      </c>
    </row>
    <row r="108" spans="1:6" ht="12.75">
      <c r="A108" s="1">
        <f>+'II-D-3.2'!A108</f>
        <v>73</v>
      </c>
      <c r="B108" s="133" t="str">
        <f t="shared" si="37" ref="B108:B119">+B77</f>
        <v>January 2021</v>
      </c>
      <c r="D108" s="192">
        <v>341439.72999999992</v>
      </c>
      <c r="E108" s="192">
        <f t="shared" si="38" ref="E108:E119">+F108-D108</f>
        <v>2361523.0699999998</v>
      </c>
      <c r="F108" s="192">
        <f>+'II-D-3.2'!D108</f>
        <v>2702962.7999999998</v>
      </c>
    </row>
    <row r="109" spans="1:6" ht="12.75">
      <c r="A109" s="1">
        <f>+'II-D-3.2'!A109</f>
        <v>74</v>
      </c>
      <c r="B109" s="133" t="str">
        <f t="shared" si="37"/>
        <v>February 2021</v>
      </c>
      <c r="D109" s="66">
        <v>342074.12</v>
      </c>
      <c r="E109" s="66">
        <f t="shared" si="38"/>
        <v>3214608</v>
      </c>
      <c r="F109" s="93">
        <f>+'II-D-3.2'!D109</f>
        <v>3556682.1200000001</v>
      </c>
    </row>
    <row r="110" spans="1:6" ht="12.75">
      <c r="A110" s="1">
        <f>+'II-D-3.2'!A110</f>
        <v>75</v>
      </c>
      <c r="B110" s="133" t="str">
        <f t="shared" si="37"/>
        <v>March 2021</v>
      </c>
      <c r="D110" s="66">
        <v>341014.87</v>
      </c>
      <c r="E110" s="66">
        <f t="shared" si="38"/>
        <v>3388744.0600000001</v>
      </c>
      <c r="F110" s="93">
        <f>+'II-D-3.2'!D110</f>
        <v>3729758.9300000002</v>
      </c>
    </row>
    <row r="111" spans="1:6" ht="12.75">
      <c r="A111" s="1">
        <f>+'II-D-3.2'!A111</f>
        <v>76</v>
      </c>
      <c r="B111" s="133" t="str">
        <f t="shared" si="37"/>
        <v>April 2021</v>
      </c>
      <c r="D111" s="66">
        <v>340022.65000000002</v>
      </c>
      <c r="E111" s="66">
        <f t="shared" si="38"/>
        <v>3416783.6099999999</v>
      </c>
      <c r="F111" s="93">
        <f>+'II-D-3.2'!D111</f>
        <v>3756806.2599999998</v>
      </c>
    </row>
    <row r="112" spans="1:6" ht="12.75">
      <c r="A112" s="1">
        <f>+'II-D-3.2'!A112</f>
        <v>77</v>
      </c>
      <c r="B112" s="133" t="str">
        <f t="shared" si="37"/>
        <v>May 2021</v>
      </c>
      <c r="D112" s="66">
        <v>339297.94</v>
      </c>
      <c r="E112" s="66">
        <f t="shared" si="38"/>
        <v>3409068.6400000001</v>
      </c>
      <c r="F112" s="93">
        <f>+'II-D-3.2'!D112</f>
        <v>3748366.5800000001</v>
      </c>
    </row>
    <row r="113" spans="1:6" ht="12.75">
      <c r="A113" s="1">
        <f>+'II-D-3.2'!A113</f>
        <v>78</v>
      </c>
      <c r="B113" s="133" t="str">
        <f t="shared" si="37"/>
        <v>June 2021</v>
      </c>
      <c r="D113" s="66">
        <v>335303.57999999996</v>
      </c>
      <c r="E113" s="66">
        <f t="shared" si="38"/>
        <v>3303497.1400000001</v>
      </c>
      <c r="F113" s="93">
        <f>+'II-D-3.2'!D113</f>
        <v>3638800.7200000002</v>
      </c>
    </row>
    <row r="114" spans="1:6" ht="12.75">
      <c r="A114" s="1">
        <f>+'II-D-3.2'!A114</f>
        <v>79</v>
      </c>
      <c r="B114" s="133" t="str">
        <f t="shared" si="37"/>
        <v>July 2021</v>
      </c>
      <c r="D114" s="66">
        <v>499210.30999999994</v>
      </c>
      <c r="E114" s="66">
        <f t="shared" si="38"/>
        <v>2854651.54</v>
      </c>
      <c r="F114" s="93">
        <f>+'II-D-3.2'!D114</f>
        <v>3353861.8500000001</v>
      </c>
    </row>
    <row r="115" spans="1:6" ht="12.75">
      <c r="A115" s="1">
        <f>+'II-D-3.2'!A115</f>
        <v>80</v>
      </c>
      <c r="B115" s="133" t="str">
        <f t="shared" si="37"/>
        <v>August 2021</v>
      </c>
      <c r="D115" s="66">
        <v>331470.33000000002</v>
      </c>
      <c r="E115" s="66">
        <f t="shared" si="38"/>
        <v>3408227.29</v>
      </c>
      <c r="F115" s="93">
        <f>+'II-D-3.2'!D115</f>
        <v>3739697.6200000001</v>
      </c>
    </row>
    <row r="116" spans="1:6" ht="12.75">
      <c r="A116" s="1">
        <f>+'II-D-3.2'!A116</f>
        <v>81</v>
      </c>
      <c r="B116" s="133" t="str">
        <f t="shared" si="37"/>
        <v>September 2021</v>
      </c>
      <c r="D116" s="66">
        <v>345776.29999999999</v>
      </c>
      <c r="E116" s="66">
        <f t="shared" si="38"/>
        <v>3390922.0500000003</v>
      </c>
      <c r="F116" s="93">
        <f>+'II-D-3.2'!D116</f>
        <v>3736698.3500000001</v>
      </c>
    </row>
    <row r="117" spans="1:6" ht="12.75">
      <c r="A117" s="1">
        <f>+'II-D-3.2'!A117</f>
        <v>82</v>
      </c>
      <c r="B117" s="133" t="str">
        <f t="shared" si="37"/>
        <v>October 2021</v>
      </c>
      <c r="D117" s="66">
        <v>321955.44000000006</v>
      </c>
      <c r="E117" s="66">
        <f t="shared" si="38"/>
        <v>3445514.2800000003</v>
      </c>
      <c r="F117" s="93">
        <f>+'II-D-3.2'!D117</f>
        <v>3767469.7200000002</v>
      </c>
    </row>
    <row r="118" spans="1:6" ht="12.75">
      <c r="A118" s="1">
        <f>+'II-D-3.2'!A118</f>
        <v>83</v>
      </c>
      <c r="B118" s="133" t="str">
        <f t="shared" si="37"/>
        <v>November 2021</v>
      </c>
      <c r="D118" s="66">
        <v>330904.04999999999</v>
      </c>
      <c r="E118" s="66">
        <f t="shared" si="38"/>
        <v>3298538.1500000004</v>
      </c>
      <c r="F118" s="93">
        <f>+'II-D-3.2'!D118</f>
        <v>3629442.2000000002</v>
      </c>
    </row>
    <row r="119" spans="1:6" ht="12.75">
      <c r="A119" s="1">
        <f>+'II-D-3.2'!A119</f>
        <v>84</v>
      </c>
      <c r="B119" s="133" t="str">
        <f t="shared" si="37"/>
        <v>December 2021</v>
      </c>
      <c r="D119" s="66">
        <v>510724.51999999996</v>
      </c>
      <c r="E119" s="66">
        <f t="shared" si="38"/>
        <v>3097315.0699999998</v>
      </c>
      <c r="F119" s="93">
        <f>+'II-D-3.2'!D119</f>
        <v>3608039.5899999999</v>
      </c>
    </row>
    <row r="120" spans="1:6" ht="12.75">
      <c r="A120" s="1">
        <f>+'II-D-3.2'!A120</f>
        <v>85</v>
      </c>
      <c r="D120" s="137"/>
      <c r="E120" s="137"/>
      <c r="F120" s="137"/>
    </row>
    <row r="121" spans="1:6" ht="12.75">
      <c r="A121" s="1">
        <f>+'II-D-3.2'!A121</f>
        <v>86</v>
      </c>
      <c r="B121" s="94" t="s">
        <v>69</v>
      </c>
      <c r="D121" s="142">
        <f>SUM(D108:D119)</f>
        <v>4379193.8399999989</v>
      </c>
      <c r="E121" s="142">
        <f>SUM(E108:E119)</f>
        <v>38589392.899999999</v>
      </c>
      <c r="F121" s="142">
        <f>SUM(F108:F119)</f>
        <v>42968586.74000001</v>
      </c>
    </row>
    <row r="122" spans="1:6" ht="12.75">
      <c r="A122" s="1">
        <f>+'II-D-3.2'!A122</f>
        <v>87</v>
      </c>
      <c r="D122" s="66"/>
      <c r="E122" s="66"/>
      <c r="F122" s="66"/>
    </row>
    <row r="123" spans="1:6" ht="12.75">
      <c r="A123" s="1">
        <f>+'II-D-3.2'!A123</f>
        <v>88</v>
      </c>
      <c r="D123" s="66"/>
      <c r="E123" s="66"/>
      <c r="F123" s="66"/>
    </row>
    <row r="124" spans="1:6" ht="12.75">
      <c r="A124" s="1">
        <f>+'II-D-3.2'!A124</f>
        <v>89</v>
      </c>
      <c r="B124" t="s">
        <v>158</v>
      </c>
      <c r="D124" s="192">
        <v>0</v>
      </c>
      <c r="E124" s="192">
        <v>0</v>
      </c>
      <c r="F124" s="192">
        <f>+'II-D-3.2'!D124</f>
        <v>0</v>
      </c>
    </row>
    <row r="125" spans="1:6" ht="12.75">
      <c r="A125" s="1">
        <f>+'II-D-3.2'!A125</f>
        <v>90</v>
      </c>
      <c r="B125" t="s">
        <v>159</v>
      </c>
      <c r="D125" s="66">
        <v>0</v>
      </c>
      <c r="E125" s="66">
        <v>0</v>
      </c>
      <c r="F125" s="66">
        <f>+'II-D-3.2'!D125</f>
        <v>0</v>
      </c>
    </row>
    <row r="126" spans="1:6" ht="12.75">
      <c r="A126" s="1">
        <f>+'II-D-3.2'!A126</f>
        <v>91</v>
      </c>
      <c r="B126" t="s">
        <v>46</v>
      </c>
      <c r="D126" s="66">
        <v>0</v>
      </c>
      <c r="E126" s="66">
        <v>0</v>
      </c>
      <c r="F126" s="66">
        <f>+'II-D-3.2'!D126</f>
        <v>0</v>
      </c>
    </row>
    <row r="127" spans="1:6" ht="12.75">
      <c r="A127" s="1">
        <f>+'II-D-3.2'!A127</f>
        <v>92</v>
      </c>
      <c r="D127" s="66"/>
      <c r="E127" s="66"/>
      <c r="F127" s="66"/>
    </row>
    <row r="128" spans="1:6" ht="12.75">
      <c r="A128" s="1">
        <f>+'II-D-3.2'!A128</f>
        <v>93</v>
      </c>
      <c r="D128" s="66"/>
      <c r="E128" s="66"/>
      <c r="F128" s="66"/>
    </row>
    <row r="129" spans="1:6" ht="12.75">
      <c r="A129" s="1">
        <f>+'II-D-3.2'!A129</f>
        <v>94</v>
      </c>
      <c r="B129" s="94" t="str">
        <f>+B98</f>
        <v>TME 2018</v>
      </c>
      <c r="D129" s="192">
        <v>3920728.9200000064</v>
      </c>
      <c r="E129" s="192">
        <f t="shared" si="39" ref="E129:E131">+F129-D129</f>
        <v>34060173.679999992</v>
      </c>
      <c r="F129" s="192">
        <f>+'II-D-3.2'!D129</f>
        <v>37980902.600000001</v>
      </c>
    </row>
    <row r="130" spans="1:6" ht="12.75">
      <c r="A130" s="1">
        <f>+'II-D-3.2'!A130</f>
        <v>95</v>
      </c>
      <c r="B130" s="94" t="str">
        <f>+B99</f>
        <v>TME 2019</v>
      </c>
      <c r="D130" s="66">
        <v>4030623.0099999974</v>
      </c>
      <c r="E130" s="66">
        <f t="shared" si="39"/>
        <v>34931086.469999999</v>
      </c>
      <c r="F130" s="66">
        <f>+'II-D-3.2'!D130</f>
        <v>38961709.479999997</v>
      </c>
    </row>
    <row r="131" spans="1:6" ht="12.75">
      <c r="A131" s="1">
        <f>+'II-D-3.2'!A131</f>
        <v>96</v>
      </c>
      <c r="B131" s="94" t="str">
        <f>+B100</f>
        <v>TME 2020</v>
      </c>
      <c r="D131" s="66">
        <v>4570165.2500000019</v>
      </c>
      <c r="E131" s="66">
        <f t="shared" si="39"/>
        <v>37627828.700000003</v>
      </c>
      <c r="F131" s="66">
        <f>+'II-D-3.2'!D131</f>
        <v>42197993.950000003</v>
      </c>
    </row>
    <row r="134" spans="4:6" ht="13.5" thickBot="1">
      <c r="D134" s="362" t="s">
        <v>126</v>
      </c>
      <c r="E134" s="362"/>
      <c r="F134" s="362"/>
    </row>
    <row r="135" spans="1:6" ht="12.75">
      <c r="A135" s="18" t="s">
        <v>87</v>
      </c>
      <c r="B135" s="18"/>
      <c r="D135" s="18"/>
      <c r="E135" s="25"/>
      <c r="F135" s="2"/>
    </row>
    <row r="136" spans="1:6" ht="12.75">
      <c r="A136" s="208" t="s">
        <v>89</v>
      </c>
      <c r="B136" s="208" t="s">
        <v>64</v>
      </c>
      <c r="D136" s="92" t="s">
        <v>70</v>
      </c>
      <c r="E136" s="92" t="s">
        <v>168</v>
      </c>
      <c r="F136" s="92" t="s">
        <v>216</v>
      </c>
    </row>
    <row r="137" spans="1:6" ht="12.75">
      <c r="A137" s="18"/>
      <c r="B137" s="16" t="s">
        <v>44</v>
      </c>
      <c r="D137" s="16" t="s">
        <v>45</v>
      </c>
      <c r="E137" s="16" t="s">
        <v>74</v>
      </c>
      <c r="F137" s="16" t="s">
        <v>75</v>
      </c>
    </row>
    <row r="139" spans="1:6" ht="12.75">
      <c r="A139" s="1">
        <f>+'II-D-3.2'!A139</f>
        <v>97</v>
      </c>
      <c r="B139" s="133" t="str">
        <f t="shared" si="40" ref="B139:B150">+B108</f>
        <v>January 2021</v>
      </c>
      <c r="D139" s="192">
        <v>-522.4800000000032</v>
      </c>
      <c r="E139" s="192">
        <f>+F139-D139</f>
        <v>1749804.71</v>
      </c>
      <c r="F139" s="192">
        <f>+'II-D-3.2'!D139</f>
        <v>1749282.23</v>
      </c>
    </row>
    <row r="140" spans="1:6" ht="12.75">
      <c r="A140" s="1">
        <f>+'II-D-3.2'!A140</f>
        <v>98</v>
      </c>
      <c r="B140" s="133" t="str">
        <f t="shared" si="40"/>
        <v>February 2021</v>
      </c>
      <c r="D140" s="66">
        <v>-528.86000000000058</v>
      </c>
      <c r="E140" s="66">
        <f t="shared" si="41" ref="E140:E150">+F140-D140</f>
        <v>1739375.1400000001</v>
      </c>
      <c r="F140" s="93">
        <f>+'II-D-3.2'!D140</f>
        <v>1738846.28</v>
      </c>
    </row>
    <row r="141" spans="1:6" ht="12.75">
      <c r="A141" s="1">
        <f>+'II-D-3.2'!A141</f>
        <v>99</v>
      </c>
      <c r="B141" s="133" t="str">
        <f t="shared" si="40"/>
        <v>March 2021</v>
      </c>
      <c r="D141" s="66">
        <v>-520.58000000000538</v>
      </c>
      <c r="E141" s="66">
        <f t="shared" si="41"/>
        <v>1775025.74</v>
      </c>
      <c r="F141" s="93">
        <f>+'II-D-3.2'!D141</f>
        <v>1774505.1599999999</v>
      </c>
    </row>
    <row r="142" spans="1:6" ht="12.75">
      <c r="A142" s="1">
        <f>+'II-D-3.2'!A142</f>
        <v>100</v>
      </c>
      <c r="B142" s="133" t="str">
        <f t="shared" si="40"/>
        <v>April 2021</v>
      </c>
      <c r="D142" s="66">
        <v>-539.36000000000786</v>
      </c>
      <c r="E142" s="66">
        <f t="shared" si="41"/>
        <v>1744376.6900000002</v>
      </c>
      <c r="F142" s="93">
        <f>+'II-D-3.2'!D142</f>
        <v>1743837.3300000001</v>
      </c>
    </row>
    <row r="143" spans="1:6" ht="12.75">
      <c r="A143" s="1">
        <f>+'II-D-3.2'!A143</f>
        <v>101</v>
      </c>
      <c r="B143" s="133" t="str">
        <f t="shared" si="40"/>
        <v>May 2021</v>
      </c>
      <c r="D143" s="66">
        <v>-503.7400000000016</v>
      </c>
      <c r="E143" s="66">
        <f t="shared" si="41"/>
        <v>1756452.8500000001</v>
      </c>
      <c r="F143" s="93">
        <f>+'II-D-3.2'!D143</f>
        <v>1755949.1100000001</v>
      </c>
    </row>
    <row r="144" spans="1:6" ht="12.75">
      <c r="A144" s="1">
        <f>+'II-D-3.2'!A144</f>
        <v>102</v>
      </c>
      <c r="B144" s="133" t="str">
        <f t="shared" si="40"/>
        <v>June 2021</v>
      </c>
      <c r="D144" s="66">
        <v>-516.34999999999854</v>
      </c>
      <c r="E144" s="66">
        <f t="shared" si="41"/>
        <v>1785188.4400000002</v>
      </c>
      <c r="F144" s="93">
        <f>+'II-D-3.2'!D144</f>
        <v>1784672.0900000001</v>
      </c>
    </row>
    <row r="145" spans="1:6" ht="12.75">
      <c r="A145" s="1">
        <f>+'II-D-3.2'!A145</f>
        <v>103</v>
      </c>
      <c r="B145" s="133" t="str">
        <f t="shared" si="40"/>
        <v>July 2021</v>
      </c>
      <c r="D145" s="66">
        <v>-513.10999999999331</v>
      </c>
      <c r="E145" s="66">
        <f t="shared" si="41"/>
        <v>1778338.5900000001</v>
      </c>
      <c r="F145" s="93">
        <f>+'II-D-3.2'!D145</f>
        <v>1777825.48</v>
      </c>
    </row>
    <row r="146" spans="1:6" ht="12.75">
      <c r="A146" s="1">
        <f>+'II-D-3.2'!A146</f>
        <v>104</v>
      </c>
      <c r="B146" s="133" t="str">
        <f t="shared" si="40"/>
        <v>August 2021</v>
      </c>
      <c r="D146" s="66">
        <v>-499.63000000001011</v>
      </c>
      <c r="E146" s="66">
        <f t="shared" si="41"/>
        <v>1772986.4700000002</v>
      </c>
      <c r="F146" s="93">
        <f>+'II-D-3.2'!D146</f>
        <v>1772486.8400000001</v>
      </c>
    </row>
    <row r="147" spans="1:6" ht="12.75">
      <c r="A147" s="1">
        <f>+'II-D-3.2'!A147</f>
        <v>105</v>
      </c>
      <c r="B147" s="133" t="str">
        <f t="shared" si="40"/>
        <v>September 2021</v>
      </c>
      <c r="D147" s="66">
        <v>-504.28999999999905</v>
      </c>
      <c r="E147" s="66">
        <f t="shared" si="41"/>
        <v>1753264.03</v>
      </c>
      <c r="F147" s="93">
        <f>+'II-D-3.2'!D147</f>
        <v>1752759.74</v>
      </c>
    </row>
    <row r="148" spans="1:6" ht="12.75">
      <c r="A148" s="1">
        <f>+'II-D-3.2'!A148</f>
        <v>106</v>
      </c>
      <c r="B148" s="133" t="str">
        <f t="shared" si="40"/>
        <v>October 2021</v>
      </c>
      <c r="D148" s="66">
        <v>-479.46000000000095</v>
      </c>
      <c r="E148" s="66">
        <f t="shared" si="41"/>
        <v>1767671.6499999999</v>
      </c>
      <c r="F148" s="93">
        <f>+'II-D-3.2'!D148</f>
        <v>1767192.1899999999</v>
      </c>
    </row>
    <row r="149" spans="1:6" ht="12.75">
      <c r="A149" s="1">
        <f>+'II-D-3.2'!A149</f>
        <v>107</v>
      </c>
      <c r="B149" s="133" t="str">
        <f t="shared" si="40"/>
        <v>November 2021</v>
      </c>
      <c r="D149" s="66">
        <v>-472.73000000000138</v>
      </c>
      <c r="E149" s="66">
        <f t="shared" si="41"/>
        <v>1740140.8599999999</v>
      </c>
      <c r="F149" s="93">
        <f>+'II-D-3.2'!D149</f>
        <v>1739668.1299999999</v>
      </c>
    </row>
    <row r="150" spans="1:6" ht="12.75">
      <c r="A150" s="1">
        <f>+'II-D-3.2'!A150</f>
        <v>108</v>
      </c>
      <c r="B150" s="133" t="str">
        <f t="shared" si="40"/>
        <v>December 2021</v>
      </c>
      <c r="D150" s="66">
        <v>-466.47999999999047</v>
      </c>
      <c r="E150" s="66">
        <f t="shared" si="41"/>
        <v>1741803.4299999999</v>
      </c>
      <c r="F150" s="93">
        <f>+'II-D-3.2'!D150</f>
        <v>1741336.95</v>
      </c>
    </row>
    <row r="151" spans="1:6" ht="12.75">
      <c r="A151" s="1">
        <f>+'II-D-3.2'!A151</f>
        <v>109</v>
      </c>
      <c r="D151" s="115"/>
      <c r="E151" s="115"/>
      <c r="F151" s="115"/>
    </row>
    <row r="152" spans="1:6" ht="12.75">
      <c r="A152" s="1">
        <f>+'II-D-3.2'!A152</f>
        <v>110</v>
      </c>
      <c r="B152" s="94" t="s">
        <v>69</v>
      </c>
      <c r="D152" s="142">
        <f>SUM(D139:D150)</f>
        <v>-6067.0700000000124</v>
      </c>
      <c r="E152" s="142">
        <f>SUM(E139:E150)</f>
        <v>21104428.599999998</v>
      </c>
      <c r="F152" s="142">
        <f>SUM(F139:F150)</f>
        <v>21098361.529999997</v>
      </c>
    </row>
    <row r="153" spans="1:1" ht="12.75">
      <c r="A153" s="1">
        <f>+'II-D-3.2'!A153</f>
        <v>111</v>
      </c>
    </row>
    <row r="154" spans="1:1" ht="12.75">
      <c r="A154" s="1">
        <f>+'II-D-3.2'!A154</f>
        <v>112</v>
      </c>
    </row>
    <row r="155" spans="1:6" ht="12.75">
      <c r="A155" s="1">
        <f>+'II-D-3.2'!A155</f>
        <v>113</v>
      </c>
      <c r="B155" t="s">
        <v>158</v>
      </c>
      <c r="D155" s="192">
        <v>0</v>
      </c>
      <c r="E155" s="192">
        <v>0</v>
      </c>
      <c r="F155" s="192">
        <f>+'II-D-3.2'!D155</f>
        <v>0</v>
      </c>
    </row>
    <row r="156" spans="1:6" ht="12.75">
      <c r="A156" s="1">
        <f>+'II-D-3.2'!A156</f>
        <v>114</v>
      </c>
      <c r="B156" t="s">
        <v>159</v>
      </c>
      <c r="D156" s="66">
        <v>0</v>
      </c>
      <c r="E156" s="66">
        <v>0</v>
      </c>
      <c r="F156" s="93">
        <f>+'II-D-3.2'!D156</f>
        <v>0</v>
      </c>
    </row>
    <row r="157" spans="1:6" ht="12.75">
      <c r="A157" s="1">
        <f>+'II-D-3.2'!A157</f>
        <v>115</v>
      </c>
      <c r="B157" t="s">
        <v>46</v>
      </c>
      <c r="D157" s="66">
        <v>0</v>
      </c>
      <c r="E157" s="66">
        <v>0</v>
      </c>
      <c r="F157" s="93">
        <f>+'II-D-3.2'!D157</f>
        <v>0</v>
      </c>
    </row>
    <row r="158" spans="1:1" ht="12.75">
      <c r="A158" s="1">
        <f>+'II-D-3.2'!A158</f>
        <v>116</v>
      </c>
    </row>
    <row r="159" spans="1:1" ht="12.75">
      <c r="A159" s="1">
        <f>+'II-D-3.2'!A159</f>
        <v>117</v>
      </c>
    </row>
    <row r="160" spans="1:6" ht="12.75">
      <c r="A160" s="1">
        <f>+'II-D-3.2'!A160</f>
        <v>118</v>
      </c>
      <c r="B160" s="133" t="str">
        <f t="shared" si="42" ref="B160:B162">+B129</f>
        <v>TME 2018</v>
      </c>
      <c r="D160" s="192">
        <v>-3546.1799999999998</v>
      </c>
      <c r="E160" s="192">
        <f t="shared" si="43" ref="E160:E162">+F160-D160</f>
        <v>19601091.309999999</v>
      </c>
      <c r="F160" s="192">
        <f>+'II-D-3.2'!D160</f>
        <v>19597545.129999999</v>
      </c>
    </row>
    <row r="161" spans="1:6" ht="12.75">
      <c r="A161" s="1">
        <f>+'II-D-3.2'!A161</f>
        <v>119</v>
      </c>
      <c r="B161" s="133" t="str">
        <f t="shared" si="42"/>
        <v>TME 2019</v>
      </c>
      <c r="D161" s="66">
        <v>-3836.220000000103</v>
      </c>
      <c r="E161" s="66">
        <f t="shared" si="43"/>
        <v>19327324.559999999</v>
      </c>
      <c r="F161" s="93">
        <f>+'II-D-3.2'!D161</f>
        <v>19323488.34</v>
      </c>
    </row>
    <row r="162" spans="1:6" ht="12.75">
      <c r="A162" s="1">
        <f>+'II-D-3.2'!A162</f>
        <v>120</v>
      </c>
      <c r="B162" s="133" t="str">
        <f t="shared" si="42"/>
        <v>TME 2020</v>
      </c>
      <c r="D162" s="66">
        <v>-3811.7600000000002</v>
      </c>
      <c r="E162" s="66">
        <f t="shared" si="43"/>
        <v>20778556.25</v>
      </c>
      <c r="F162" s="93">
        <f>+'II-D-3.2'!D162</f>
        <v>20774744.489999998</v>
      </c>
    </row>
  </sheetData>
  <mergeCells count="10">
    <mergeCell ref="H41:J41"/>
    <mergeCell ref="L41:N41"/>
    <mergeCell ref="P41:R41"/>
    <mergeCell ref="H72:J72"/>
    <mergeCell ref="L72:N72"/>
    <mergeCell ref="D134:F134"/>
    <mergeCell ref="D10:F10"/>
    <mergeCell ref="D41:F41"/>
    <mergeCell ref="D72:F72"/>
    <mergeCell ref="D103:F103"/>
  </mergeCells>
  <printOptions horizontalCentered="1"/>
  <pageMargins left="0.5" right="0.5" top="3" bottom="0.5" header="1.5" footer="0.5"/>
  <pageSetup fitToHeight="0" orientation="landscape" scale="72" r:id="rId1"/>
  <headerFooter alignWithMargins="0">
    <oddHeader>&amp;C&amp;B
2022 RATE CASE
ONCOR ELECTRIC DELIVERY COMPANY LLC
II-D-3.3  FUNCTIONALIZED REGULAR PAYROLL BY CATEGORY
TEST YEAR ENDING DECEMBER 31, 2021
SPONSOR: W. ALAN LEDBETTER&amp;R&amp;"Arial,Bold"Schedule &amp;A
Page &amp;P of &amp;N</oddHeader>
  </headerFooter>
  <rowBreaks count="3" manualBreakCount="3">
    <brk id="39" max="5" man="1"/>
    <brk id="101" max="5" man="1"/>
    <brk id="132" max="5" man="1"/>
  </rowBreaks>
  <colBreaks count="3" manualBreakCount="3">
    <brk id="10" min="14" max="37" man="1"/>
    <brk id="18" min="14" max="38" man="1"/>
    <brk id="22" min="14" max="37" man="1"/>
  </colBreak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3">
    <tabColor rgb="FFFF0000"/>
    <pageSetUpPr fitToPage="1"/>
  </sheetPr>
  <dimension ref="A1:V162"/>
  <sheetViews>
    <sheetView workbookViewId="0" topLeftCell="A1">
      <pane xSplit="2" ySplit="14" topLeftCell="C39" activePane="bottomRight" state="frozen"/>
      <selection pane="topLeft" activeCell="K68" sqref="K68"/>
      <selection pane="bottomLeft" activeCell="K68" sqref="K68"/>
      <selection pane="topRight" activeCell="K68" sqref="K68"/>
      <selection pane="bottomRight" activeCell="E46" sqref="E46"/>
    </sheetView>
  </sheetViews>
  <sheetFormatPr defaultRowHeight="12.75"/>
  <cols>
    <col min="1" max="1" width="5.71428571428571" customWidth="1"/>
    <col min="2" max="2" width="20.4285714285714" customWidth="1"/>
    <col min="3" max="3" width="2.71428571428571" customWidth="1"/>
    <col min="4" max="7" width="13.4285714285714" bestFit="1" customWidth="1"/>
    <col min="8" max="8" width="2.71428571428571" customWidth="1"/>
    <col min="9" max="9" width="9.85714285714286" bestFit="1" customWidth="1"/>
    <col min="10" max="10" width="11.2857142857143" bestFit="1" customWidth="1"/>
    <col min="11" max="11" width="6" bestFit="1" customWidth="1"/>
    <col min="12" max="12" width="5.71428571428571" bestFit="1" customWidth="1"/>
    <col min="13" max="13" width="2.71428571428571" customWidth="1"/>
    <col min="14" max="15" width="13.4285714285714" bestFit="1" customWidth="1"/>
    <col min="16" max="16" width="12.2857142857143" bestFit="1" customWidth="1"/>
    <col min="17" max="17" width="13.4285714285714" bestFit="1" customWidth="1"/>
    <col min="18" max="18" width="2.71428571428571" customWidth="1"/>
    <col min="19" max="20" width="12.2857142857143" bestFit="1" customWidth="1"/>
    <col min="21" max="21" width="11.8571428571429" bestFit="1" customWidth="1"/>
    <col min="22" max="22" width="13.4285714285714" bestFit="1" customWidth="1"/>
  </cols>
  <sheetData>
    <row r="1" spans="1:1" s="204" customFormat="1" ht="15">
      <c r="A1" s="8" t="str">
        <f>+'[3]Input Data'!$A$9</f>
        <v>2022 RATE CASE</v>
      </c>
    </row>
    <row r="2" spans="1:1" ht="12.75">
      <c r="A2" s="8" t="str">
        <f>+'[3]Input Data'!$A$2</f>
        <v>ONCOR ELECTRIC DELIVERY COMPANY LLC</v>
      </c>
    </row>
    <row r="3" spans="1:1" ht="12.75">
      <c r="A3" s="7" t="str">
        <f>CONCATENATE('[3]Schedule Sponsors'!$A$72,'[3]Schedule Sponsors'!$B$72)</f>
        <v>II-D-3.4  PAYROLL CAPITALIZED VS. EXPENSED BY FUNCTION</v>
      </c>
    </row>
    <row r="4" spans="1:1" ht="12.75">
      <c r="A4" s="63" t="str">
        <f>+'[3]Input Data'!$A$4</f>
        <v>TEST YEAR ENDING DECEMBER 31, 2021</v>
      </c>
    </row>
    <row r="5" spans="1:1" ht="12.75">
      <c r="A5" s="7" t="str">
        <f>CONCATENATE("SPONSOR: ",'[3]Schedule Sponsors'!$D$72)</f>
        <v>SPONSOR: W. ALAN LEDBETTER</v>
      </c>
    </row>
    <row r="10" spans="1:7" s="2" customFormat="1" ht="13.5" thickBot="1">
      <c r="A10" s="8"/>
      <c r="B10" s="18"/>
      <c r="C10" s="8"/>
      <c r="D10" s="362" t="s">
        <v>216</v>
      </c>
      <c r="E10" s="362"/>
      <c r="F10" s="362"/>
      <c r="G10" s="362"/>
    </row>
    <row r="11" spans="1:7" s="2" customFormat="1" ht="12.75">
      <c r="A11" s="18" t="s">
        <v>87</v>
      </c>
      <c r="B11" s="18"/>
      <c r="C11" s="18"/>
      <c r="D11" s="18"/>
      <c r="E11" s="25"/>
      <c r="F11" s="18"/>
      <c r="G11" s="91"/>
    </row>
    <row r="12" spans="1:7" s="2" customFormat="1" ht="12.75">
      <c r="A12" s="92" t="s">
        <v>89</v>
      </c>
      <c r="B12" s="92" t="s">
        <v>64</v>
      </c>
      <c r="C12" s="18"/>
      <c r="D12" s="92" t="s">
        <v>169</v>
      </c>
      <c r="E12" s="92" t="s">
        <v>170</v>
      </c>
      <c r="F12" s="92" t="s">
        <v>63</v>
      </c>
      <c r="G12" s="92" t="s">
        <v>216</v>
      </c>
    </row>
    <row r="13" spans="1:7" s="2" customFormat="1" ht="12.75">
      <c r="A13" s="18"/>
      <c r="B13" s="16" t="s">
        <v>44</v>
      </c>
      <c r="C13" s="16"/>
      <c r="D13" s="16" t="s">
        <v>45</v>
      </c>
      <c r="E13" s="16" t="s">
        <v>74</v>
      </c>
      <c r="F13" s="16" t="s">
        <v>75</v>
      </c>
      <c r="G13" s="16" t="s">
        <v>76</v>
      </c>
    </row>
    <row r="15" spans="1:7" ht="12.75">
      <c r="A15" s="1">
        <f>+'II-D-3.2'!A15</f>
        <v>1</v>
      </c>
      <c r="B15" s="133" t="str">
        <f>+'II-D-3.2'!B15</f>
        <v>January 2021</v>
      </c>
      <c r="D15" s="140">
        <f>+S46+N77+D108+D139</f>
        <v>21926828.249999993</v>
      </c>
      <c r="E15" s="140">
        <f t="shared" si="0" ref="E15:F26">+T46+O77+E108+E139</f>
        <v>19064251.470000036</v>
      </c>
      <c r="F15" s="140">
        <f t="shared" si="0"/>
        <v>7567718.7800000086</v>
      </c>
      <c r="G15" s="140">
        <f t="shared" si="1" ref="G15:G26">SUM(D15:F15)</f>
        <v>48558798.500000037</v>
      </c>
    </row>
    <row r="16" spans="1:7" ht="12.75">
      <c r="A16" s="1">
        <f>+'II-D-3.2'!A16</f>
        <v>2</v>
      </c>
      <c r="B16" s="133" t="str">
        <f>+'II-D-3.2'!B16</f>
        <v>February 2021</v>
      </c>
      <c r="D16" s="66">
        <f t="shared" si="2" ref="D16:D26">+S47+N78+D109+D140</f>
        <v>22404817.170000035</v>
      </c>
      <c r="E16" s="66">
        <f t="shared" si="0"/>
        <v>19229680.519999996</v>
      </c>
      <c r="F16" s="66">
        <f t="shared" si="0"/>
        <v>8843846.349999994</v>
      </c>
      <c r="G16" s="93">
        <f t="shared" si="1"/>
        <v>50478344.040000021</v>
      </c>
    </row>
    <row r="17" spans="1:7" ht="12.75">
      <c r="A17" s="1">
        <f>+'II-D-3.2'!A17</f>
        <v>3</v>
      </c>
      <c r="B17" s="133" t="str">
        <f>+'II-D-3.2'!B17</f>
        <v>March 2021</v>
      </c>
      <c r="D17" s="66">
        <f t="shared" si="2"/>
        <v>22106722.170000061</v>
      </c>
      <c r="E17" s="66">
        <f t="shared" si="0"/>
        <v>22357774.769999985</v>
      </c>
      <c r="F17" s="66">
        <f t="shared" si="0"/>
        <v>8641286.4300000016</v>
      </c>
      <c r="G17" s="93">
        <f t="shared" si="1"/>
        <v>53105783.370000042</v>
      </c>
    </row>
    <row r="18" spans="1:7" ht="12.75">
      <c r="A18" s="1">
        <f>+'II-D-3.2'!A18</f>
        <v>4</v>
      </c>
      <c r="B18" s="133" t="str">
        <f>+'II-D-3.2'!B18</f>
        <v>April 2021</v>
      </c>
      <c r="D18" s="66">
        <f t="shared" si="2"/>
        <v>23112019.559999973</v>
      </c>
      <c r="E18" s="66">
        <f t="shared" si="0"/>
        <v>22688690.819999948</v>
      </c>
      <c r="F18" s="66">
        <f t="shared" si="0"/>
        <v>1907863.3099999991</v>
      </c>
      <c r="G18" s="93">
        <f t="shared" si="1"/>
        <v>47708573.689999923</v>
      </c>
    </row>
    <row r="19" spans="1:7" ht="12.75">
      <c r="A19" s="1">
        <f>+'II-D-3.2'!A19</f>
        <v>5</v>
      </c>
      <c r="B19" s="133" t="str">
        <f>+'II-D-3.2'!B19</f>
        <v>May 2021</v>
      </c>
      <c r="D19" s="66">
        <f t="shared" si="2"/>
        <v>24942146.119999971</v>
      </c>
      <c r="E19" s="66">
        <f t="shared" si="0"/>
        <v>22081919.809999961</v>
      </c>
      <c r="F19" s="66">
        <f t="shared" si="0"/>
        <v>4470937.0900000036</v>
      </c>
      <c r="G19" s="93">
        <f t="shared" si="1"/>
        <v>51495003.019999936</v>
      </c>
    </row>
    <row r="20" spans="1:7" ht="12.75">
      <c r="A20" s="1">
        <f>+'II-D-3.2'!A20</f>
        <v>6</v>
      </c>
      <c r="B20" s="133" t="str">
        <f>+'II-D-3.2'!B20</f>
        <v>June 2021</v>
      </c>
      <c r="D20" s="66">
        <f t="shared" si="2"/>
        <v>25331693.790000062</v>
      </c>
      <c r="E20" s="66">
        <f t="shared" si="0"/>
        <v>24089059.449999962</v>
      </c>
      <c r="F20" s="66">
        <f t="shared" si="0"/>
        <v>5306283.459999999</v>
      </c>
      <c r="G20" s="93">
        <f t="shared" si="1"/>
        <v>54727036.700000025</v>
      </c>
    </row>
    <row r="21" spans="1:7" ht="12.75">
      <c r="A21" s="1">
        <f>+'II-D-3.2'!A21</f>
        <v>7</v>
      </c>
      <c r="B21" s="133" t="str">
        <f>+'II-D-3.2'!B21</f>
        <v>July 2021</v>
      </c>
      <c r="D21" s="66">
        <f t="shared" si="2"/>
        <v>23921434.210000005</v>
      </c>
      <c r="E21" s="66">
        <f t="shared" si="0"/>
        <v>22104527.300000012</v>
      </c>
      <c r="F21" s="66">
        <f t="shared" si="0"/>
        <v>3681415.319999997</v>
      </c>
      <c r="G21" s="93">
        <f t="shared" si="1"/>
        <v>49707376.830000021</v>
      </c>
    </row>
    <row r="22" spans="1:7" ht="12.75">
      <c r="A22" s="1">
        <f>+'II-D-3.2'!A22</f>
        <v>8</v>
      </c>
      <c r="B22" s="133" t="str">
        <f>+'II-D-3.2'!B22</f>
        <v>August 2021</v>
      </c>
      <c r="D22" s="66">
        <f t="shared" si="2"/>
        <v>24431096.960000023</v>
      </c>
      <c r="E22" s="66">
        <f t="shared" si="0"/>
        <v>22614523.170000006</v>
      </c>
      <c r="F22" s="66">
        <f t="shared" si="0"/>
        <v>3618161.5700000008</v>
      </c>
      <c r="G22" s="93">
        <f t="shared" si="1"/>
        <v>50663781.700000025</v>
      </c>
    </row>
    <row r="23" spans="1:7" ht="12.75">
      <c r="A23" s="1">
        <f>+'II-D-3.2'!A23</f>
        <v>9</v>
      </c>
      <c r="B23" s="133" t="str">
        <f>+'II-D-3.2'!B23</f>
        <v>September 2021</v>
      </c>
      <c r="D23" s="66">
        <f t="shared" si="2"/>
        <v>22947582.609999973</v>
      </c>
      <c r="E23" s="66">
        <f t="shared" si="0"/>
        <v>20388660.339999963</v>
      </c>
      <c r="F23" s="66">
        <f t="shared" si="0"/>
        <v>3001837.2299999958</v>
      </c>
      <c r="G23" s="93">
        <f t="shared" si="1"/>
        <v>46338080.179999933</v>
      </c>
    </row>
    <row r="24" spans="1:7" ht="12.75">
      <c r="A24" s="1">
        <f>+'II-D-3.2'!A24</f>
        <v>10</v>
      </c>
      <c r="B24" s="133" t="str">
        <f>+'II-D-3.2'!B24</f>
        <v>October 2021</v>
      </c>
      <c r="D24" s="66">
        <f t="shared" si="2"/>
        <v>23017063.840000007</v>
      </c>
      <c r="E24" s="66">
        <f t="shared" si="0"/>
        <v>22990974.949999951</v>
      </c>
      <c r="F24" s="66">
        <f t="shared" si="0"/>
        <v>2497063.420000006</v>
      </c>
      <c r="G24" s="93">
        <f t="shared" si="1"/>
        <v>48505102.209999971</v>
      </c>
    </row>
    <row r="25" spans="1:7" ht="12.75">
      <c r="A25" s="1">
        <f>+'II-D-3.2'!A25</f>
        <v>11</v>
      </c>
      <c r="B25" s="133" t="str">
        <f>+'II-D-3.2'!B25</f>
        <v>November 2021</v>
      </c>
      <c r="D25" s="66">
        <f t="shared" si="2"/>
        <v>24345567.969999973</v>
      </c>
      <c r="E25" s="66">
        <f t="shared" si="0"/>
        <v>24736774.589999974</v>
      </c>
      <c r="F25" s="66">
        <f t="shared" si="0"/>
        <v>3361665.6200000015</v>
      </c>
      <c r="G25" s="93">
        <f t="shared" si="1"/>
        <v>52444008.179999948</v>
      </c>
    </row>
    <row r="26" spans="1:7" ht="12.75">
      <c r="A26" s="1">
        <f>+'II-D-3.2'!A26</f>
        <v>12</v>
      </c>
      <c r="B26" s="133" t="str">
        <f>+'II-D-3.2'!B26</f>
        <v>December 2021</v>
      </c>
      <c r="D26" s="66">
        <f t="shared" si="2"/>
        <v>22369674.869999994</v>
      </c>
      <c r="E26" s="66">
        <f t="shared" si="0"/>
        <v>22065662.600000024</v>
      </c>
      <c r="F26" s="66">
        <f t="shared" si="0"/>
        <v>4958284.9200000055</v>
      </c>
      <c r="G26" s="93">
        <f t="shared" si="1"/>
        <v>49393622.390000015</v>
      </c>
    </row>
    <row r="27" spans="1:7" ht="12.75">
      <c r="A27" s="1">
        <f>+'II-D-3.2'!A27</f>
        <v>13</v>
      </c>
      <c r="D27" s="115"/>
      <c r="E27" s="115"/>
      <c r="F27" s="115"/>
      <c r="G27" s="115"/>
    </row>
    <row r="28" spans="1:7" ht="12.75">
      <c r="A28" s="1">
        <f>+'II-D-3.2'!A28</f>
        <v>14</v>
      </c>
      <c r="B28" s="94" t="s">
        <v>69</v>
      </c>
      <c r="D28" s="142">
        <f>SUM(D15:D26)</f>
        <v>280856647.5200001</v>
      </c>
      <c r="E28" s="142">
        <f t="shared" si="3" ref="E28:G28">SUM(E15:E26)</f>
        <v>264412499.78999984</v>
      </c>
      <c r="F28" s="142">
        <f t="shared" si="3"/>
        <v>57856363.500000015</v>
      </c>
      <c r="G28" s="142">
        <f t="shared" si="3"/>
        <v>603125510.80999994</v>
      </c>
    </row>
    <row r="29" spans="1:7" ht="12.75">
      <c r="A29" s="1">
        <f>+'II-D-3.2'!A29</f>
        <v>15</v>
      </c>
      <c r="D29" s="110">
        <f>IF(ISERROR(+D28/$G$28),0,+D28/$G$28)</f>
        <v>0.46566865849001898</v>
      </c>
      <c r="E29" s="110">
        <f t="shared" si="4" ref="E29:F29">IF(ISERROR(+E28/$G$28),0,+E28/$G$28)</f>
        <v>0.4384037734283413</v>
      </c>
      <c r="F29" s="110">
        <f t="shared" si="4"/>
        <v>0.095927568081639741</v>
      </c>
      <c r="G29" s="158"/>
    </row>
    <row r="30" spans="1:1" ht="12.75">
      <c r="A30" s="1">
        <f>+'II-D-3.2'!A30</f>
        <v>16</v>
      </c>
    </row>
    <row r="31" spans="1:7" ht="12.75">
      <c r="A31" s="1">
        <f>+'II-D-3.2'!A31</f>
        <v>17</v>
      </c>
      <c r="B31" s="94" t="s">
        <v>158</v>
      </c>
      <c r="D31" s="140">
        <f t="shared" si="5" ref="D31:D33">+S62+N93+D124+D155</f>
        <v>0</v>
      </c>
      <c r="E31" s="140">
        <f t="shared" si="6" ref="E31:E33">+T62+O93+E124+E155</f>
        <v>0</v>
      </c>
      <c r="F31" s="140">
        <f t="shared" si="7" ref="F31:F33">+U62+P93+F124+F155</f>
        <v>0</v>
      </c>
      <c r="G31" s="140">
        <f>SUM(D31:F31)</f>
        <v>0</v>
      </c>
    </row>
    <row r="32" spans="1:7" ht="12.75">
      <c r="A32" s="1">
        <f>+'II-D-3.2'!A32</f>
        <v>18</v>
      </c>
      <c r="B32" s="94" t="s">
        <v>159</v>
      </c>
      <c r="D32" s="66">
        <f t="shared" si="5"/>
        <v>0</v>
      </c>
      <c r="E32" s="66">
        <f t="shared" si="6"/>
        <v>0</v>
      </c>
      <c r="F32" s="66">
        <f t="shared" si="7"/>
        <v>0</v>
      </c>
      <c r="G32" s="93">
        <f>SUM(D32:F32)</f>
        <v>0</v>
      </c>
    </row>
    <row r="33" spans="1:7" ht="12.75">
      <c r="A33" s="1">
        <f>+'II-D-3.2'!A33</f>
        <v>19</v>
      </c>
      <c r="B33" s="94" t="s">
        <v>46</v>
      </c>
      <c r="D33" s="66">
        <f t="shared" si="5"/>
        <v>0</v>
      </c>
      <c r="E33" s="66">
        <f t="shared" si="6"/>
        <v>0</v>
      </c>
      <c r="F33" s="66">
        <f t="shared" si="7"/>
        <v>0</v>
      </c>
      <c r="G33" s="93">
        <f>SUM(D33:F33)</f>
        <v>0</v>
      </c>
    </row>
    <row r="34" spans="1:1" ht="12.75">
      <c r="A34" s="1">
        <f>+'II-D-3.2'!A34</f>
        <v>20</v>
      </c>
    </row>
    <row r="35" spans="1:1" ht="12.75">
      <c r="A35" s="1">
        <f>+'II-D-3.2'!A35</f>
        <v>21</v>
      </c>
    </row>
    <row r="36" spans="1:7" ht="12.75">
      <c r="A36" s="1">
        <f>+'II-D-3.2'!A36</f>
        <v>22</v>
      </c>
      <c r="B36" s="94" t="str">
        <f>+'II-D-3.2'!B36</f>
        <v>TME 2018</v>
      </c>
      <c r="D36" s="140">
        <f t="shared" si="8" ref="D36:D38">+S67+N98+D129+D160</f>
        <v>239128312.30000007</v>
      </c>
      <c r="E36" s="140">
        <f t="shared" si="9" ref="E36:E38">+T67+O98+E129+E160</f>
        <v>205198235.59000006</v>
      </c>
      <c r="F36" s="140">
        <f t="shared" si="10" ref="F36:F38">+U67+P98+F129+F160</f>
        <v>66071515.31000001</v>
      </c>
      <c r="G36" s="140">
        <f>SUM(D36:F36)</f>
        <v>510398063.20000011</v>
      </c>
    </row>
    <row r="37" spans="1:7" ht="12.75">
      <c r="A37" s="1">
        <f>+'II-D-3.2'!A37</f>
        <v>23</v>
      </c>
      <c r="B37" s="94" t="str">
        <f>+'II-D-3.2'!B37</f>
        <v>TME 2019</v>
      </c>
      <c r="D37" s="66">
        <f t="shared" si="8"/>
        <v>246982905.17999989</v>
      </c>
      <c r="E37" s="66">
        <f t="shared" si="9"/>
        <v>225224850.31</v>
      </c>
      <c r="F37" s="66">
        <f t="shared" si="10"/>
        <v>60934293.520000026</v>
      </c>
      <c r="G37" s="93">
        <f>SUM(D37:F37)</f>
        <v>533142049.00999993</v>
      </c>
    </row>
    <row r="38" spans="1:7" ht="12.75">
      <c r="A38" s="1">
        <f>+'II-D-3.2'!A38</f>
        <v>24</v>
      </c>
      <c r="B38" s="94" t="str">
        <f>+'II-D-3.2'!B38</f>
        <v>TME 2020</v>
      </c>
      <c r="D38" s="66">
        <f t="shared" si="8"/>
        <v>272583813.79000026</v>
      </c>
      <c r="E38" s="66">
        <f t="shared" si="9"/>
        <v>261196619.7099998</v>
      </c>
      <c r="F38" s="66">
        <f t="shared" si="10"/>
        <v>44861984.919999987</v>
      </c>
      <c r="G38" s="93">
        <f>SUM(D38:F38)</f>
        <v>578642418.42000008</v>
      </c>
    </row>
    <row r="41" spans="4:22" ht="13.5" thickBot="1">
      <c r="D41" s="362" t="s">
        <v>294</v>
      </c>
      <c r="E41" s="362"/>
      <c r="F41" s="362"/>
      <c r="G41" s="362"/>
      <c r="I41" s="363" t="s">
        <v>724</v>
      </c>
      <c r="J41" s="362"/>
      <c r="K41" s="362"/>
      <c r="L41" s="362"/>
      <c r="N41" s="363" t="s">
        <v>725</v>
      </c>
      <c r="O41" s="362"/>
      <c r="P41" s="362"/>
      <c r="Q41" s="362"/>
      <c r="S41" s="363" t="s">
        <v>726</v>
      </c>
      <c r="T41" s="362"/>
      <c r="U41" s="362"/>
      <c r="V41" s="362"/>
    </row>
    <row r="42" spans="1:22" ht="12.75">
      <c r="A42" s="18" t="s">
        <v>87</v>
      </c>
      <c r="B42" s="18"/>
      <c r="D42" s="18"/>
      <c r="E42" s="25"/>
      <c r="F42" s="18"/>
      <c r="G42" s="91"/>
      <c r="I42" s="18"/>
      <c r="J42" s="25"/>
      <c r="K42" s="18"/>
      <c r="L42" s="91"/>
      <c r="N42" s="18"/>
      <c r="O42" s="25"/>
      <c r="P42" s="18"/>
      <c r="Q42" s="91"/>
      <c r="S42" s="18"/>
      <c r="T42" s="25"/>
      <c r="U42" s="18"/>
      <c r="V42" s="91"/>
    </row>
    <row r="43" spans="1:22" ht="12.75">
      <c r="A43" s="208" t="s">
        <v>89</v>
      </c>
      <c r="B43" s="208" t="s">
        <v>64</v>
      </c>
      <c r="D43" s="92" t="s">
        <v>169</v>
      </c>
      <c r="E43" s="92" t="s">
        <v>170</v>
      </c>
      <c r="F43" s="92" t="s">
        <v>63</v>
      </c>
      <c r="G43" s="92" t="s">
        <v>216</v>
      </c>
      <c r="I43" s="208" t="s">
        <v>169</v>
      </c>
      <c r="J43" s="208" t="s">
        <v>170</v>
      </c>
      <c r="K43" s="208" t="s">
        <v>63</v>
      </c>
      <c r="L43" s="208" t="s">
        <v>216</v>
      </c>
      <c r="N43" s="208" t="s">
        <v>169</v>
      </c>
      <c r="O43" s="208" t="s">
        <v>170</v>
      </c>
      <c r="P43" s="208" t="s">
        <v>63</v>
      </c>
      <c r="Q43" s="208" t="s">
        <v>216</v>
      </c>
      <c r="S43" s="208" t="s">
        <v>169</v>
      </c>
      <c r="T43" s="208" t="s">
        <v>170</v>
      </c>
      <c r="U43" s="208" t="s">
        <v>63</v>
      </c>
      <c r="V43" s="208" t="s">
        <v>216</v>
      </c>
    </row>
    <row r="44" spans="1:22" ht="12.75">
      <c r="A44" s="18"/>
      <c r="B44" s="16" t="s">
        <v>44</v>
      </c>
      <c r="D44" s="16" t="s">
        <v>45</v>
      </c>
      <c r="E44" s="16" t="s">
        <v>74</v>
      </c>
      <c r="F44" s="16" t="s">
        <v>75</v>
      </c>
      <c r="G44" s="16" t="s">
        <v>76</v>
      </c>
      <c r="I44" s="203" t="s">
        <v>77</v>
      </c>
      <c r="J44" s="203" t="s">
        <v>78</v>
      </c>
      <c r="K44" s="203" t="s">
        <v>79</v>
      </c>
      <c r="L44" s="203" t="s">
        <v>80</v>
      </c>
      <c r="N44" s="203" t="s">
        <v>81</v>
      </c>
      <c r="O44" s="203" t="s">
        <v>82</v>
      </c>
      <c r="P44" s="203" t="s">
        <v>83</v>
      </c>
      <c r="Q44" s="203" t="s">
        <v>84</v>
      </c>
      <c r="S44" s="203" t="s">
        <v>85</v>
      </c>
      <c r="T44" s="203" t="s">
        <v>86</v>
      </c>
      <c r="U44" s="203" t="s">
        <v>255</v>
      </c>
      <c r="V44" s="203" t="s">
        <v>128</v>
      </c>
    </row>
    <row r="46" spans="1:22" ht="12.75">
      <c r="A46" s="1">
        <f>+'II-D-3.2'!A46</f>
        <v>25</v>
      </c>
      <c r="B46" s="133" t="str">
        <f t="shared" si="11" ref="B46:B57">+B15</f>
        <v>January 2021</v>
      </c>
      <c r="D46" s="140">
        <v>5249853.3799999999</v>
      </c>
      <c r="E46" s="140">
        <v>4878283.3699999973</v>
      </c>
      <c r="F46" s="140">
        <v>414221.65999999928</v>
      </c>
      <c r="G46" s="140">
        <f t="shared" si="12" ref="G46:G57">SUM(D46:F46)</f>
        <v>10542358.409999996</v>
      </c>
      <c r="I46" s="140">
        <v>0</v>
      </c>
      <c r="J46" s="140">
        <v>0</v>
      </c>
      <c r="K46" s="140">
        <v>0</v>
      </c>
      <c r="L46" s="140">
        <f t="shared" si="13" ref="L46:L57">SUM(I46:K46)</f>
        <v>0</v>
      </c>
      <c r="N46" s="140">
        <v>0</v>
      </c>
      <c r="O46" s="140">
        <v>0</v>
      </c>
      <c r="P46" s="140">
        <v>0</v>
      </c>
      <c r="Q46" s="140">
        <f t="shared" si="14" ref="Q46:Q57">SUM(N46:P46)</f>
        <v>0</v>
      </c>
      <c r="S46" s="140">
        <f>+D46+I46+N46</f>
        <v>5249853.3799999999</v>
      </c>
      <c r="T46" s="140">
        <f t="shared" si="15" ref="T46:T57">+E46+J46+O46</f>
        <v>4878283.3699999973</v>
      </c>
      <c r="U46" s="140">
        <f t="shared" si="16" ref="U46:U57">+F46+K46+P46</f>
        <v>414221.65999999928</v>
      </c>
      <c r="V46" s="140">
        <f t="shared" si="17" ref="V46:V57">+G46+L46+Q46</f>
        <v>10542358.409999996</v>
      </c>
    </row>
    <row r="47" spans="1:22" ht="12.75">
      <c r="A47" s="1">
        <f>+'II-D-3.2'!A47</f>
        <v>26</v>
      </c>
      <c r="B47" s="133" t="str">
        <f t="shared" si="11"/>
        <v>February 2021</v>
      </c>
      <c r="D47" s="66">
        <v>5220376.25</v>
      </c>
      <c r="E47" s="66">
        <v>5569783.7400000039</v>
      </c>
      <c r="F47" s="66">
        <v>-181801.9699999998</v>
      </c>
      <c r="G47" s="93">
        <f t="shared" si="12"/>
        <v>10608358.020000003</v>
      </c>
      <c r="I47" s="66">
        <v>0</v>
      </c>
      <c r="J47" s="66">
        <v>0</v>
      </c>
      <c r="K47" s="66">
        <v>0</v>
      </c>
      <c r="L47" s="93">
        <f t="shared" si="13"/>
        <v>0</v>
      </c>
      <c r="N47" s="66">
        <v>0</v>
      </c>
      <c r="O47" s="66">
        <v>0</v>
      </c>
      <c r="P47" s="66">
        <v>0</v>
      </c>
      <c r="Q47" s="93">
        <f t="shared" si="14"/>
        <v>0</v>
      </c>
      <c r="S47" s="66">
        <f t="shared" si="18" ref="S47:S57">+D47+I47+N47</f>
        <v>5220376.25</v>
      </c>
      <c r="T47" s="66">
        <f t="shared" si="15"/>
        <v>5569783.7400000039</v>
      </c>
      <c r="U47" s="66">
        <f t="shared" si="16"/>
        <v>-181801.9699999998</v>
      </c>
      <c r="V47" s="93">
        <f t="shared" si="17"/>
        <v>10608358.020000003</v>
      </c>
    </row>
    <row r="48" spans="1:22" ht="12.75">
      <c r="A48" s="1">
        <f>+'II-D-3.2'!A48</f>
        <v>27</v>
      </c>
      <c r="B48" s="133" t="str">
        <f t="shared" si="11"/>
        <v>March 2021</v>
      </c>
      <c r="D48" s="66">
        <v>4427924.9500000002</v>
      </c>
      <c r="E48" s="66">
        <v>6950453.5699999975</v>
      </c>
      <c r="F48" s="66">
        <v>169197.76000000016</v>
      </c>
      <c r="G48" s="93">
        <f t="shared" si="12"/>
        <v>11547576.279999998</v>
      </c>
      <c r="I48" s="66">
        <v>0</v>
      </c>
      <c r="J48" s="66">
        <v>0</v>
      </c>
      <c r="K48" s="66">
        <v>0</v>
      </c>
      <c r="L48" s="93">
        <f t="shared" si="13"/>
        <v>0</v>
      </c>
      <c r="N48" s="66">
        <v>0</v>
      </c>
      <c r="O48" s="66">
        <v>0</v>
      </c>
      <c r="P48" s="66">
        <v>0</v>
      </c>
      <c r="Q48" s="93">
        <f t="shared" si="14"/>
        <v>0</v>
      </c>
      <c r="S48" s="66">
        <f t="shared" si="18"/>
        <v>4427924.9500000002</v>
      </c>
      <c r="T48" s="66">
        <f t="shared" si="15"/>
        <v>6950453.5699999975</v>
      </c>
      <c r="U48" s="66">
        <f t="shared" si="16"/>
        <v>169197.76000000016</v>
      </c>
      <c r="V48" s="93">
        <f t="shared" si="17"/>
        <v>11547576.279999998</v>
      </c>
    </row>
    <row r="49" spans="1:22" ht="12.75">
      <c r="A49" s="1">
        <f>+'II-D-3.2'!A49</f>
        <v>28</v>
      </c>
      <c r="B49" s="133" t="str">
        <f t="shared" si="11"/>
        <v>April 2021</v>
      </c>
      <c r="D49" s="66">
        <v>4804140.4500000002</v>
      </c>
      <c r="E49" s="66">
        <v>6875576.6099999957</v>
      </c>
      <c r="F49" s="66">
        <v>-344596.69000000163</v>
      </c>
      <c r="G49" s="93">
        <f t="shared" si="12"/>
        <v>11335120.369999994</v>
      </c>
      <c r="I49" s="66">
        <v>0</v>
      </c>
      <c r="J49" s="66">
        <v>0</v>
      </c>
      <c r="K49" s="66">
        <v>0</v>
      </c>
      <c r="L49" s="93">
        <f t="shared" si="13"/>
        <v>0</v>
      </c>
      <c r="N49" s="66">
        <v>0</v>
      </c>
      <c r="O49" s="66">
        <v>0</v>
      </c>
      <c r="P49" s="66">
        <v>0</v>
      </c>
      <c r="Q49" s="93">
        <f t="shared" si="14"/>
        <v>0</v>
      </c>
      <c r="S49" s="66">
        <f t="shared" si="18"/>
        <v>4804140.4500000002</v>
      </c>
      <c r="T49" s="66">
        <f t="shared" si="15"/>
        <v>6875576.6099999957</v>
      </c>
      <c r="U49" s="66">
        <f t="shared" si="16"/>
        <v>-344596.69000000163</v>
      </c>
      <c r="V49" s="93">
        <f t="shared" si="17"/>
        <v>11335120.369999994</v>
      </c>
    </row>
    <row r="50" spans="1:22" ht="12.75">
      <c r="A50" s="1">
        <f>+'II-D-3.2'!A50</f>
        <v>29</v>
      </c>
      <c r="B50" s="133" t="str">
        <f t="shared" si="11"/>
        <v>May 2021</v>
      </c>
      <c r="D50" s="66">
        <v>5232706.9299999997</v>
      </c>
      <c r="E50" s="66">
        <v>6975788.0800000001</v>
      </c>
      <c r="F50" s="66">
        <v>-458558.17000000109</v>
      </c>
      <c r="G50" s="93">
        <f t="shared" si="12"/>
        <v>11749936.839999998</v>
      </c>
      <c r="I50" s="66">
        <v>0</v>
      </c>
      <c r="J50" s="66">
        <v>0</v>
      </c>
      <c r="K50" s="66">
        <v>0</v>
      </c>
      <c r="L50" s="93">
        <f t="shared" si="13"/>
        <v>0</v>
      </c>
      <c r="N50" s="66">
        <v>0</v>
      </c>
      <c r="O50" s="66">
        <v>0</v>
      </c>
      <c r="P50" s="66">
        <v>0</v>
      </c>
      <c r="Q50" s="93">
        <f t="shared" si="14"/>
        <v>0</v>
      </c>
      <c r="S50" s="66">
        <f t="shared" si="18"/>
        <v>5232706.9299999997</v>
      </c>
      <c r="T50" s="66">
        <f t="shared" si="15"/>
        <v>6975788.0800000001</v>
      </c>
      <c r="U50" s="66">
        <f t="shared" si="16"/>
        <v>-458558.17000000109</v>
      </c>
      <c r="V50" s="93">
        <f t="shared" si="17"/>
        <v>11749936.839999998</v>
      </c>
    </row>
    <row r="51" spans="1:22" ht="12.75">
      <c r="A51" s="1">
        <f>+'II-D-3.2'!A51</f>
        <v>30</v>
      </c>
      <c r="B51" s="133" t="str">
        <f t="shared" si="11"/>
        <v>June 2021</v>
      </c>
      <c r="D51" s="66">
        <v>5515504.9800000004</v>
      </c>
      <c r="E51" s="66">
        <v>7380072.6000000024</v>
      </c>
      <c r="F51" s="66">
        <v>-112196.12000000033</v>
      </c>
      <c r="G51" s="93">
        <f t="shared" si="12"/>
        <v>12783381.460000001</v>
      </c>
      <c r="I51" s="66">
        <v>0</v>
      </c>
      <c r="J51" s="66">
        <v>0</v>
      </c>
      <c r="K51" s="66">
        <v>0</v>
      </c>
      <c r="L51" s="93">
        <f t="shared" si="13"/>
        <v>0</v>
      </c>
      <c r="N51" s="66">
        <v>0</v>
      </c>
      <c r="O51" s="66">
        <v>0</v>
      </c>
      <c r="P51" s="66">
        <v>0</v>
      </c>
      <c r="Q51" s="93">
        <f t="shared" si="14"/>
        <v>0</v>
      </c>
      <c r="S51" s="66">
        <f t="shared" si="18"/>
        <v>5515504.9800000004</v>
      </c>
      <c r="T51" s="66">
        <f t="shared" si="15"/>
        <v>7380072.6000000024</v>
      </c>
      <c r="U51" s="66">
        <f t="shared" si="16"/>
        <v>-112196.12000000033</v>
      </c>
      <c r="V51" s="93">
        <f t="shared" si="17"/>
        <v>12783381.460000001</v>
      </c>
    </row>
    <row r="52" spans="1:22" ht="12.75">
      <c r="A52" s="1">
        <f>+'II-D-3.2'!A52</f>
        <v>31</v>
      </c>
      <c r="B52" s="133" t="str">
        <f t="shared" si="11"/>
        <v>July 2021</v>
      </c>
      <c r="D52" s="66">
        <v>5280829.9100000001</v>
      </c>
      <c r="E52" s="66">
        <v>6014230.3400000054</v>
      </c>
      <c r="F52" s="66">
        <v>-315921.90000000101</v>
      </c>
      <c r="G52" s="93">
        <f t="shared" si="12"/>
        <v>10979138.350000005</v>
      </c>
      <c r="I52" s="66">
        <v>0</v>
      </c>
      <c r="J52" s="66">
        <v>0</v>
      </c>
      <c r="K52" s="66">
        <v>0</v>
      </c>
      <c r="L52" s="93">
        <f t="shared" si="13"/>
        <v>0</v>
      </c>
      <c r="N52" s="66">
        <v>0</v>
      </c>
      <c r="O52" s="66">
        <v>0</v>
      </c>
      <c r="P52" s="66">
        <v>0</v>
      </c>
      <c r="Q52" s="93">
        <f t="shared" si="14"/>
        <v>0</v>
      </c>
      <c r="S52" s="66">
        <f t="shared" si="18"/>
        <v>5280829.9100000001</v>
      </c>
      <c r="T52" s="66">
        <f t="shared" si="15"/>
        <v>6014230.3400000054</v>
      </c>
      <c r="U52" s="66">
        <f t="shared" si="16"/>
        <v>-315921.90000000101</v>
      </c>
      <c r="V52" s="93">
        <f t="shared" si="17"/>
        <v>10979138.350000005</v>
      </c>
    </row>
    <row r="53" spans="1:22" ht="12.75">
      <c r="A53" s="1">
        <f>+'II-D-3.2'!A53</f>
        <v>32</v>
      </c>
      <c r="B53" s="133" t="str">
        <f t="shared" si="11"/>
        <v>August 2021</v>
      </c>
      <c r="D53" s="66">
        <v>5002867.0999999996</v>
      </c>
      <c r="E53" s="66">
        <v>6567778.2899999963</v>
      </c>
      <c r="F53" s="66">
        <v>-243196.5600000011</v>
      </c>
      <c r="G53" s="93">
        <f t="shared" si="12"/>
        <v>11327448.829999996</v>
      </c>
      <c r="I53" s="66">
        <v>0</v>
      </c>
      <c r="J53" s="66">
        <v>0</v>
      </c>
      <c r="K53" s="66">
        <v>0</v>
      </c>
      <c r="L53" s="93">
        <f t="shared" si="13"/>
        <v>0</v>
      </c>
      <c r="N53" s="66">
        <v>0</v>
      </c>
      <c r="O53" s="66">
        <v>0</v>
      </c>
      <c r="P53" s="66">
        <v>0</v>
      </c>
      <c r="Q53" s="93">
        <f t="shared" si="14"/>
        <v>0</v>
      </c>
      <c r="S53" s="66">
        <f t="shared" si="18"/>
        <v>5002867.0999999996</v>
      </c>
      <c r="T53" s="66">
        <f t="shared" si="15"/>
        <v>6567778.2899999963</v>
      </c>
      <c r="U53" s="66">
        <f t="shared" si="16"/>
        <v>-243196.5600000011</v>
      </c>
      <c r="V53" s="93">
        <f t="shared" si="17"/>
        <v>11327448.829999996</v>
      </c>
    </row>
    <row r="54" spans="1:22" ht="12.75">
      <c r="A54" s="1">
        <f>+'II-D-3.2'!A54</f>
        <v>33</v>
      </c>
      <c r="B54" s="133" t="str">
        <f t="shared" si="11"/>
        <v>September 2021</v>
      </c>
      <c r="D54" s="66">
        <v>5012163.29</v>
      </c>
      <c r="E54" s="66">
        <v>5840310.2199999979</v>
      </c>
      <c r="F54" s="66">
        <v>-131812.67000000057</v>
      </c>
      <c r="G54" s="93">
        <f t="shared" si="12"/>
        <v>10720660.839999998</v>
      </c>
      <c r="I54" s="66">
        <v>0</v>
      </c>
      <c r="J54" s="66">
        <v>0</v>
      </c>
      <c r="K54" s="66">
        <v>0</v>
      </c>
      <c r="L54" s="93">
        <f t="shared" si="13"/>
        <v>0</v>
      </c>
      <c r="N54" s="66">
        <v>0</v>
      </c>
      <c r="O54" s="66">
        <v>0</v>
      </c>
      <c r="P54" s="66">
        <v>0</v>
      </c>
      <c r="Q54" s="93">
        <f t="shared" si="14"/>
        <v>0</v>
      </c>
      <c r="S54" s="66">
        <f t="shared" si="18"/>
        <v>5012163.29</v>
      </c>
      <c r="T54" s="66">
        <f t="shared" si="15"/>
        <v>5840310.2199999979</v>
      </c>
      <c r="U54" s="66">
        <f t="shared" si="16"/>
        <v>-131812.67000000057</v>
      </c>
      <c r="V54" s="93">
        <f t="shared" si="17"/>
        <v>10720660.839999998</v>
      </c>
    </row>
    <row r="55" spans="1:22" ht="12.75">
      <c r="A55" s="1">
        <f>+'II-D-3.2'!A55</f>
        <v>34</v>
      </c>
      <c r="B55" s="133" t="str">
        <f t="shared" si="11"/>
        <v>October 2021</v>
      </c>
      <c r="D55" s="66">
        <v>4873874.0700000003</v>
      </c>
      <c r="E55" s="66">
        <v>6794471.2200000053</v>
      </c>
      <c r="F55" s="66">
        <v>-886295.33999999752</v>
      </c>
      <c r="G55" s="93">
        <f t="shared" si="12"/>
        <v>10782049.950000009</v>
      </c>
      <c r="I55" s="66">
        <v>0</v>
      </c>
      <c r="J55" s="66">
        <v>0</v>
      </c>
      <c r="K55" s="66">
        <v>0</v>
      </c>
      <c r="L55" s="93">
        <f t="shared" si="13"/>
        <v>0</v>
      </c>
      <c r="N55" s="66">
        <v>0</v>
      </c>
      <c r="O55" s="66">
        <v>0</v>
      </c>
      <c r="P55" s="66">
        <v>0</v>
      </c>
      <c r="Q55" s="93">
        <f t="shared" si="14"/>
        <v>0</v>
      </c>
      <c r="S55" s="66">
        <f t="shared" si="18"/>
        <v>4873874.0700000003</v>
      </c>
      <c r="T55" s="66">
        <f t="shared" si="15"/>
        <v>6794471.2200000053</v>
      </c>
      <c r="U55" s="66">
        <f t="shared" si="16"/>
        <v>-886295.33999999752</v>
      </c>
      <c r="V55" s="93">
        <f t="shared" si="17"/>
        <v>10782049.950000009</v>
      </c>
    </row>
    <row r="56" spans="1:22" ht="12.75">
      <c r="A56" s="1">
        <f>+'II-D-3.2'!A56</f>
        <v>35</v>
      </c>
      <c r="B56" s="133" t="str">
        <f t="shared" si="11"/>
        <v>November 2021</v>
      </c>
      <c r="D56" s="66">
        <v>5321198.8899999997</v>
      </c>
      <c r="E56" s="66">
        <v>7978774.8600000069</v>
      </c>
      <c r="F56" s="66">
        <v>-771044.5899999995</v>
      </c>
      <c r="G56" s="93">
        <f t="shared" si="12"/>
        <v>12528929.160000008</v>
      </c>
      <c r="I56" s="66">
        <v>0</v>
      </c>
      <c r="J56" s="66">
        <v>0</v>
      </c>
      <c r="K56" s="66">
        <v>0</v>
      </c>
      <c r="L56" s="93">
        <f t="shared" si="13"/>
        <v>0</v>
      </c>
      <c r="N56" s="66">
        <v>0</v>
      </c>
      <c r="O56" s="66">
        <v>0</v>
      </c>
      <c r="P56" s="66">
        <v>0</v>
      </c>
      <c r="Q56" s="93">
        <f t="shared" si="14"/>
        <v>0</v>
      </c>
      <c r="S56" s="66">
        <f t="shared" si="18"/>
        <v>5321198.8899999997</v>
      </c>
      <c r="T56" s="66">
        <f t="shared" si="15"/>
        <v>7978774.8600000069</v>
      </c>
      <c r="U56" s="66">
        <f t="shared" si="16"/>
        <v>-771044.5899999995</v>
      </c>
      <c r="V56" s="93">
        <f t="shared" si="17"/>
        <v>12528929.160000008</v>
      </c>
    </row>
    <row r="57" spans="1:22" ht="12.75">
      <c r="A57" s="1">
        <f>+'II-D-3.2'!A57</f>
        <v>36</v>
      </c>
      <c r="B57" s="133" t="str">
        <f t="shared" si="11"/>
        <v>December 2021</v>
      </c>
      <c r="D57" s="66">
        <v>4090110.9500000002</v>
      </c>
      <c r="E57" s="66">
        <v>6420686.0600000005</v>
      </c>
      <c r="F57" s="66">
        <v>426761.3000000001</v>
      </c>
      <c r="G57" s="93">
        <f t="shared" si="12"/>
        <v>10937558.310000002</v>
      </c>
      <c r="I57" s="66">
        <v>0</v>
      </c>
      <c r="J57" s="66">
        <v>0</v>
      </c>
      <c r="K57" s="66">
        <v>0</v>
      </c>
      <c r="L57" s="93">
        <f t="shared" si="13"/>
        <v>0</v>
      </c>
      <c r="N57" s="66">
        <v>0</v>
      </c>
      <c r="O57" s="66">
        <v>0</v>
      </c>
      <c r="P57" s="66">
        <v>0</v>
      </c>
      <c r="Q57" s="93">
        <f t="shared" si="14"/>
        <v>0</v>
      </c>
      <c r="S57" s="66">
        <f t="shared" si="18"/>
        <v>4090110.9500000002</v>
      </c>
      <c r="T57" s="66">
        <f t="shared" si="15"/>
        <v>6420686.0600000005</v>
      </c>
      <c r="U57" s="66">
        <f t="shared" si="16"/>
        <v>426761.3000000001</v>
      </c>
      <c r="V57" s="93">
        <f t="shared" si="17"/>
        <v>10937558.310000002</v>
      </c>
    </row>
    <row r="58" spans="1:22" ht="12.75">
      <c r="A58" s="1">
        <f>+'II-D-3.2'!A58</f>
        <v>37</v>
      </c>
      <c r="D58" s="115"/>
      <c r="E58" s="115"/>
      <c r="F58" s="115"/>
      <c r="G58" s="115"/>
      <c r="I58" s="115"/>
      <c r="J58" s="115"/>
      <c r="K58" s="115"/>
      <c r="L58" s="115"/>
      <c r="N58" s="115"/>
      <c r="O58" s="115"/>
      <c r="P58" s="115"/>
      <c r="Q58" s="115"/>
      <c r="S58" s="115"/>
      <c r="T58" s="115"/>
      <c r="U58" s="115"/>
      <c r="V58" s="115"/>
    </row>
    <row r="59" spans="1:22" ht="12.75">
      <c r="A59" s="1">
        <f>+'II-D-3.2'!A59</f>
        <v>38</v>
      </c>
      <c r="B59" s="94" t="s">
        <v>69</v>
      </c>
      <c r="D59" s="142">
        <f>SUM(D46:D57)</f>
        <v>60031551.149999999</v>
      </c>
      <c r="E59" s="142">
        <f>SUM(E46:E57)</f>
        <v>78246208.960000008</v>
      </c>
      <c r="F59" s="142">
        <f>SUM(F46:F57)</f>
        <v>-2435243.2900000028</v>
      </c>
      <c r="G59" s="142">
        <f>SUM(G46:G57)</f>
        <v>135842516.82000002</v>
      </c>
      <c r="I59" s="142">
        <f>SUM(I46:I57)</f>
        <v>0</v>
      </c>
      <c r="J59" s="142">
        <f>SUM(J46:J57)</f>
        <v>0</v>
      </c>
      <c r="K59" s="142">
        <f>SUM(K46:K57)</f>
        <v>0</v>
      </c>
      <c r="L59" s="142">
        <f>SUM(L46:L57)</f>
        <v>0</v>
      </c>
      <c r="N59" s="142">
        <f>SUM(N46:N57)</f>
        <v>0</v>
      </c>
      <c r="O59" s="142">
        <f>SUM(O46:O57)</f>
        <v>0</v>
      </c>
      <c r="P59" s="142">
        <f>SUM(P46:P57)</f>
        <v>0</v>
      </c>
      <c r="Q59" s="142">
        <f>SUM(Q46:Q57)</f>
        <v>0</v>
      </c>
      <c r="S59" s="142">
        <f>SUM(S46:S57)</f>
        <v>60031551.149999999</v>
      </c>
      <c r="T59" s="142">
        <f>SUM(T46:T57)</f>
        <v>78246208.960000008</v>
      </c>
      <c r="U59" s="142">
        <f>SUM(U46:U57)</f>
        <v>-2435243.2900000028</v>
      </c>
      <c r="V59" s="142">
        <f>SUM(V46:V57)</f>
        <v>135842516.82000002</v>
      </c>
    </row>
    <row r="60" spans="1:1" ht="12.75">
      <c r="A60" s="1">
        <f>+'II-D-3.2'!A60</f>
        <v>39</v>
      </c>
    </row>
    <row r="61" spans="1:1" ht="12.75">
      <c r="A61" s="1">
        <f>+'II-D-3.2'!A61</f>
        <v>40</v>
      </c>
    </row>
    <row r="62" spans="1:22" ht="12.75">
      <c r="A62" s="1">
        <f>+'II-D-3.2'!A62</f>
        <v>41</v>
      </c>
      <c r="B62" s="94" t="s">
        <v>158</v>
      </c>
      <c r="D62" s="140">
        <v>0</v>
      </c>
      <c r="E62" s="140">
        <v>0</v>
      </c>
      <c r="F62" s="140">
        <v>0</v>
      </c>
      <c r="G62" s="140">
        <f>SUM(D62:F62)</f>
        <v>0</v>
      </c>
      <c r="I62" s="140">
        <v>0</v>
      </c>
      <c r="J62" s="140">
        <v>0</v>
      </c>
      <c r="K62" s="140">
        <v>0</v>
      </c>
      <c r="L62" s="140">
        <f>SUM(I62:K62)</f>
        <v>0</v>
      </c>
      <c r="N62" s="140">
        <v>0</v>
      </c>
      <c r="O62" s="140">
        <v>0</v>
      </c>
      <c r="P62" s="140">
        <v>0</v>
      </c>
      <c r="Q62" s="140">
        <f>SUM(N62:P62)</f>
        <v>0</v>
      </c>
      <c r="S62" s="140">
        <f t="shared" si="19" ref="S62:S64">+D62+I62+N62</f>
        <v>0</v>
      </c>
      <c r="T62" s="140">
        <f t="shared" si="20" ref="T62:T64">+E62+J62+O62</f>
        <v>0</v>
      </c>
      <c r="U62" s="140">
        <f t="shared" si="21" ref="U62:U64">+F62+K62+P62</f>
        <v>0</v>
      </c>
      <c r="V62" s="140">
        <f t="shared" si="22" ref="V62:V64">+G62+L62+Q62</f>
        <v>0</v>
      </c>
    </row>
    <row r="63" spans="1:22" ht="12.75">
      <c r="A63" s="1">
        <f>+'II-D-3.2'!A63</f>
        <v>42</v>
      </c>
      <c r="B63" s="94" t="s">
        <v>159</v>
      </c>
      <c r="D63" s="66">
        <v>0</v>
      </c>
      <c r="E63" s="66">
        <v>0</v>
      </c>
      <c r="F63" s="66">
        <v>0</v>
      </c>
      <c r="G63" s="93">
        <f>SUM(D63:F63)</f>
        <v>0</v>
      </c>
      <c r="I63" s="66">
        <v>0</v>
      </c>
      <c r="J63" s="66">
        <v>0</v>
      </c>
      <c r="K63" s="66">
        <v>0</v>
      </c>
      <c r="L63" s="93">
        <f>SUM(I63:K63)</f>
        <v>0</v>
      </c>
      <c r="N63" s="66">
        <v>0</v>
      </c>
      <c r="O63" s="66">
        <v>0</v>
      </c>
      <c r="P63" s="66">
        <v>0</v>
      </c>
      <c r="Q63" s="93">
        <f>SUM(N63:P63)</f>
        <v>0</v>
      </c>
      <c r="S63" s="66">
        <f t="shared" si="19"/>
        <v>0</v>
      </c>
      <c r="T63" s="66">
        <f t="shared" si="20"/>
        <v>0</v>
      </c>
      <c r="U63" s="66">
        <f t="shared" si="21"/>
        <v>0</v>
      </c>
      <c r="V63" s="93">
        <f t="shared" si="22"/>
        <v>0</v>
      </c>
    </row>
    <row r="64" spans="1:22" ht="12.75">
      <c r="A64" s="1">
        <f>+'II-D-3.2'!A64</f>
        <v>43</v>
      </c>
      <c r="B64" s="94" t="s">
        <v>46</v>
      </c>
      <c r="D64" s="66">
        <v>0</v>
      </c>
      <c r="E64" s="66">
        <v>0</v>
      </c>
      <c r="F64" s="66">
        <v>0</v>
      </c>
      <c r="G64" s="93">
        <f>SUM(D64:F64)</f>
        <v>0</v>
      </c>
      <c r="I64" s="66">
        <v>0</v>
      </c>
      <c r="J64" s="66">
        <v>0</v>
      </c>
      <c r="K64" s="66">
        <v>0</v>
      </c>
      <c r="L64" s="93">
        <f>SUM(I64:K64)</f>
        <v>0</v>
      </c>
      <c r="N64" s="66">
        <v>0</v>
      </c>
      <c r="O64" s="66">
        <v>0</v>
      </c>
      <c r="P64" s="66">
        <v>0</v>
      </c>
      <c r="Q64" s="93">
        <f>SUM(N64:P64)</f>
        <v>0</v>
      </c>
      <c r="S64" s="66">
        <f t="shared" si="19"/>
        <v>0</v>
      </c>
      <c r="T64" s="66">
        <f t="shared" si="20"/>
        <v>0</v>
      </c>
      <c r="U64" s="66">
        <f t="shared" si="21"/>
        <v>0</v>
      </c>
      <c r="V64" s="93">
        <f t="shared" si="22"/>
        <v>0</v>
      </c>
    </row>
    <row r="65" spans="1:1" ht="12.75">
      <c r="A65" s="1">
        <f>+'II-D-3.2'!A65</f>
        <v>44</v>
      </c>
    </row>
    <row r="66" spans="1:1" ht="12.75">
      <c r="A66" s="1">
        <f>+'II-D-3.2'!A66</f>
        <v>45</v>
      </c>
    </row>
    <row r="67" spans="1:22" ht="12.75">
      <c r="A67" s="1">
        <f>+'II-D-3.2'!A67</f>
        <v>46</v>
      </c>
      <c r="B67" s="94" t="str">
        <f>+B36</f>
        <v>TME 2018</v>
      </c>
      <c r="D67" s="140">
        <v>48963053.920000054</v>
      </c>
      <c r="E67" s="140">
        <v>53678172.379999995</v>
      </c>
      <c r="F67" s="140">
        <v>2697221.9400000051</v>
      </c>
      <c r="G67" s="140">
        <f>SUM(D67:F67)</f>
        <v>105338448.24000004</v>
      </c>
      <c r="I67" s="140">
        <v>0</v>
      </c>
      <c r="J67" s="140">
        <v>0</v>
      </c>
      <c r="K67" s="140">
        <v>0</v>
      </c>
      <c r="L67" s="140">
        <f>SUM(I67:K67)</f>
        <v>0</v>
      </c>
      <c r="N67" s="140">
        <v>0</v>
      </c>
      <c r="O67" s="140">
        <v>0</v>
      </c>
      <c r="P67" s="140">
        <v>0</v>
      </c>
      <c r="Q67" s="140">
        <f>SUM(N67:P67)</f>
        <v>0</v>
      </c>
      <c r="S67" s="140">
        <f t="shared" si="23" ref="S67:S69">+D67+I67+N67</f>
        <v>48963053.920000054</v>
      </c>
      <c r="T67" s="140">
        <f t="shared" si="24" ref="T67:T69">+E67+J67+O67</f>
        <v>53678172.379999995</v>
      </c>
      <c r="U67" s="140">
        <f t="shared" si="25" ref="U67:U69">+F67+K67+P67</f>
        <v>2697221.9400000051</v>
      </c>
      <c r="V67" s="140">
        <f t="shared" si="26" ref="V67:V69">+G67+L67+Q67</f>
        <v>105338448.24000004</v>
      </c>
    </row>
    <row r="68" spans="1:22" ht="12.75">
      <c r="A68" s="1">
        <f>+'II-D-3.2'!A68</f>
        <v>47</v>
      </c>
      <c r="B68" s="94" t="str">
        <f>+B37</f>
        <v>TME 2019</v>
      </c>
      <c r="D68" s="66">
        <v>51366522.060000062</v>
      </c>
      <c r="E68" s="66">
        <v>59496129.140000015</v>
      </c>
      <c r="F68" s="66">
        <v>-1860476.5800000008</v>
      </c>
      <c r="G68" s="93">
        <f>SUM(D68:F68)</f>
        <v>109002174.62000008</v>
      </c>
      <c r="I68" s="66">
        <v>0</v>
      </c>
      <c r="J68" s="66">
        <v>0</v>
      </c>
      <c r="K68" s="66">
        <v>0</v>
      </c>
      <c r="L68" s="93">
        <f>SUM(I68:K68)</f>
        <v>0</v>
      </c>
      <c r="N68" s="66">
        <v>0</v>
      </c>
      <c r="O68" s="66">
        <v>0</v>
      </c>
      <c r="P68" s="66">
        <v>0</v>
      </c>
      <c r="Q68" s="93">
        <f>SUM(N68:P68)</f>
        <v>0</v>
      </c>
      <c r="S68" s="66">
        <f t="shared" si="23"/>
        <v>51366522.060000062</v>
      </c>
      <c r="T68" s="66">
        <f t="shared" si="24"/>
        <v>59496129.140000015</v>
      </c>
      <c r="U68" s="66">
        <f t="shared" si="25"/>
        <v>-1860476.5800000008</v>
      </c>
      <c r="V68" s="93">
        <f t="shared" si="26"/>
        <v>109002174.62000008</v>
      </c>
    </row>
    <row r="69" spans="1:22" ht="12.75">
      <c r="A69" s="1">
        <f>+'II-D-3.2'!A69</f>
        <v>48</v>
      </c>
      <c r="B69" s="94" t="str">
        <f>+B38</f>
        <v>TME 2020</v>
      </c>
      <c r="D69" s="66">
        <v>58198439.079999961</v>
      </c>
      <c r="E69" s="66">
        <v>73236825.000000015</v>
      </c>
      <c r="F69" s="66">
        <v>-2869889.6399999997</v>
      </c>
      <c r="G69" s="93">
        <f>SUM(D69:F69)</f>
        <v>128565374.43999998</v>
      </c>
      <c r="I69" s="66">
        <v>0</v>
      </c>
      <c r="J69" s="66">
        <v>0</v>
      </c>
      <c r="K69" s="66">
        <v>0</v>
      </c>
      <c r="L69" s="93">
        <f>SUM(I69:K69)</f>
        <v>0</v>
      </c>
      <c r="N69" s="66">
        <v>0</v>
      </c>
      <c r="O69" s="66">
        <v>0</v>
      </c>
      <c r="P69" s="66">
        <v>0</v>
      </c>
      <c r="Q69" s="93">
        <f>SUM(N69:P69)</f>
        <v>0</v>
      </c>
      <c r="S69" s="66">
        <f t="shared" si="23"/>
        <v>58198439.079999961</v>
      </c>
      <c r="T69" s="66">
        <f t="shared" si="24"/>
        <v>73236825.000000015</v>
      </c>
      <c r="U69" s="66">
        <f t="shared" si="25"/>
        <v>-2869889.6399999997</v>
      </c>
      <c r="V69" s="93">
        <f t="shared" si="26"/>
        <v>128565374.43999998</v>
      </c>
    </row>
    <row r="72" spans="4:17" ht="13.5" thickBot="1">
      <c r="D72" s="362" t="s">
        <v>295</v>
      </c>
      <c r="E72" s="362"/>
      <c r="F72" s="362"/>
      <c r="G72" s="362"/>
      <c r="I72" s="363" t="s">
        <v>727</v>
      </c>
      <c r="J72" s="362"/>
      <c r="K72" s="362"/>
      <c r="L72" s="362"/>
      <c r="N72" s="363" t="s">
        <v>728</v>
      </c>
      <c r="O72" s="362"/>
      <c r="P72" s="362"/>
      <c r="Q72" s="362"/>
    </row>
    <row r="73" spans="1:17" ht="12.75">
      <c r="A73" s="18" t="s">
        <v>87</v>
      </c>
      <c r="B73" s="18"/>
      <c r="D73" s="18"/>
      <c r="E73" s="25"/>
      <c r="F73" s="18"/>
      <c r="G73" s="91"/>
      <c r="I73" s="18"/>
      <c r="J73" s="25"/>
      <c r="K73" s="18"/>
      <c r="L73" s="91"/>
      <c r="N73" s="18"/>
      <c r="O73" s="25"/>
      <c r="P73" s="18"/>
      <c r="Q73" s="91"/>
    </row>
    <row r="74" spans="1:17" ht="12.75">
      <c r="A74" s="208" t="s">
        <v>89</v>
      </c>
      <c r="B74" s="208" t="s">
        <v>64</v>
      </c>
      <c r="D74" s="92" t="s">
        <v>169</v>
      </c>
      <c r="E74" s="92" t="s">
        <v>170</v>
      </c>
      <c r="F74" s="92" t="s">
        <v>63</v>
      </c>
      <c r="G74" s="92" t="s">
        <v>216</v>
      </c>
      <c r="I74" s="208" t="s">
        <v>169</v>
      </c>
      <c r="J74" s="208" t="s">
        <v>170</v>
      </c>
      <c r="K74" s="208" t="s">
        <v>63</v>
      </c>
      <c r="L74" s="208" t="s">
        <v>216</v>
      </c>
      <c r="N74" s="208" t="s">
        <v>169</v>
      </c>
      <c r="O74" s="208" t="s">
        <v>170</v>
      </c>
      <c r="P74" s="208" t="s">
        <v>63</v>
      </c>
      <c r="Q74" s="208" t="s">
        <v>216</v>
      </c>
    </row>
    <row r="75" spans="1:17" ht="12.75">
      <c r="A75" s="18"/>
      <c r="B75" s="16" t="s">
        <v>44</v>
      </c>
      <c r="D75" s="16" t="s">
        <v>45</v>
      </c>
      <c r="E75" s="16" t="s">
        <v>74</v>
      </c>
      <c r="F75" s="16" t="s">
        <v>75</v>
      </c>
      <c r="G75" s="16" t="s">
        <v>76</v>
      </c>
      <c r="I75" s="203" t="s">
        <v>77</v>
      </c>
      <c r="J75" s="203" t="s">
        <v>78</v>
      </c>
      <c r="K75" s="203" t="s">
        <v>79</v>
      </c>
      <c r="L75" s="203" t="s">
        <v>80</v>
      </c>
      <c r="N75" s="203" t="s">
        <v>81</v>
      </c>
      <c r="O75" s="203" t="s">
        <v>82</v>
      </c>
      <c r="P75" s="203" t="s">
        <v>83</v>
      </c>
      <c r="Q75" s="203" t="s">
        <v>84</v>
      </c>
    </row>
    <row r="77" spans="1:17" ht="12.75">
      <c r="A77" s="1">
        <f>+'II-D-3.2'!A77</f>
        <v>49</v>
      </c>
      <c r="B77" s="133" t="str">
        <f t="shared" si="27" ref="B77:B88">+B46</f>
        <v>January 2021</v>
      </c>
      <c r="D77" s="140">
        <v>12401674.339999994</v>
      </c>
      <c r="E77" s="140">
        <v>12925042.240000026</v>
      </c>
      <c r="F77" s="140">
        <v>7095997.4400000088</v>
      </c>
      <c r="G77" s="140">
        <f t="shared" si="28" ref="G77:G88">SUM(D77:F77)</f>
        <v>32422714.020000029</v>
      </c>
      <c r="I77" s="140">
        <v>0</v>
      </c>
      <c r="J77" s="140">
        <v>0</v>
      </c>
      <c r="K77" s="140">
        <v>0</v>
      </c>
      <c r="L77" s="140">
        <f t="shared" si="29" ref="L77:L88">SUM(I77:K77)</f>
        <v>0</v>
      </c>
      <c r="N77" s="140">
        <f>+D77+I77</f>
        <v>12401674.339999994</v>
      </c>
      <c r="O77" s="140">
        <f t="shared" si="30" ref="O77:O88">+E77+J77</f>
        <v>12925042.240000026</v>
      </c>
      <c r="P77" s="140">
        <f t="shared" si="31" ref="P77:P88">+F77+K77</f>
        <v>7095997.4400000088</v>
      </c>
      <c r="Q77" s="140">
        <f t="shared" si="32" ref="Q77:Q88">+G77+L77</f>
        <v>32422714.020000029</v>
      </c>
    </row>
    <row r="78" spans="1:17" ht="12.75">
      <c r="A78" s="1">
        <f>+'II-D-3.2'!A78</f>
        <v>50</v>
      </c>
      <c r="B78" s="133" t="str">
        <f t="shared" si="27"/>
        <v>February 2021</v>
      </c>
      <c r="D78" s="66">
        <v>11987340.920000032</v>
      </c>
      <c r="E78" s="66">
        <v>12474308.57999998</v>
      </c>
      <c r="F78" s="66">
        <v>9051545.6199999936</v>
      </c>
      <c r="G78" s="93">
        <f t="shared" si="28"/>
        <v>33513195.120000005</v>
      </c>
      <c r="I78" s="66">
        <v>0</v>
      </c>
      <c r="J78" s="66">
        <v>0</v>
      </c>
      <c r="K78" s="66">
        <v>0</v>
      </c>
      <c r="L78" s="93">
        <f t="shared" si="29"/>
        <v>0</v>
      </c>
      <c r="N78" s="66">
        <f t="shared" si="33" ref="N78:N88">+D78+I78</f>
        <v>11987340.920000032</v>
      </c>
      <c r="O78" s="66">
        <f t="shared" si="30"/>
        <v>12474308.57999998</v>
      </c>
      <c r="P78" s="66">
        <f t="shared" si="31"/>
        <v>9051545.6199999936</v>
      </c>
      <c r="Q78" s="93">
        <f t="shared" si="32"/>
        <v>33513195.120000005</v>
      </c>
    </row>
    <row r="79" spans="1:17" ht="12.75">
      <c r="A79" s="1">
        <f>+'II-D-3.2'!A79</f>
        <v>51</v>
      </c>
      <c r="B79" s="133" t="str">
        <f t="shared" si="27"/>
        <v>March 2021</v>
      </c>
      <c r="D79" s="66">
        <v>12847227.510000061</v>
      </c>
      <c r="E79" s="66">
        <v>13924618.919999968</v>
      </c>
      <c r="F79" s="66">
        <v>7937287.7400000021</v>
      </c>
      <c r="G79" s="93">
        <f t="shared" si="28"/>
        <v>34709134.170000032</v>
      </c>
      <c r="I79" s="66">
        <v>0</v>
      </c>
      <c r="J79" s="66">
        <v>0</v>
      </c>
      <c r="K79" s="66">
        <v>0</v>
      </c>
      <c r="L79" s="93">
        <f t="shared" si="29"/>
        <v>0</v>
      </c>
      <c r="N79" s="66">
        <f t="shared" si="33"/>
        <v>12847227.510000061</v>
      </c>
      <c r="O79" s="66">
        <f t="shared" si="30"/>
        <v>13924618.919999968</v>
      </c>
      <c r="P79" s="66">
        <f t="shared" si="31"/>
        <v>7937287.7400000021</v>
      </c>
      <c r="Q79" s="93">
        <f t="shared" si="32"/>
        <v>34709134.170000032</v>
      </c>
    </row>
    <row r="80" spans="1:17" ht="12.75">
      <c r="A80" s="1">
        <f>+'II-D-3.2'!A80</f>
        <v>52</v>
      </c>
      <c r="B80" s="133" t="str">
        <f t="shared" si="27"/>
        <v>April 2021</v>
      </c>
      <c r="D80" s="66">
        <v>12974136.979999969</v>
      </c>
      <c r="E80" s="66">
        <v>14745867.519999944</v>
      </c>
      <c r="F80" s="66">
        <v>2127636.0200000005</v>
      </c>
      <c r="G80" s="93">
        <f t="shared" si="28"/>
        <v>29847640.51999991</v>
      </c>
      <c r="I80" s="66">
        <v>0</v>
      </c>
      <c r="J80" s="66">
        <v>0</v>
      </c>
      <c r="K80" s="66">
        <v>0</v>
      </c>
      <c r="L80" s="93">
        <f t="shared" si="29"/>
        <v>0</v>
      </c>
      <c r="N80" s="66">
        <f t="shared" si="33"/>
        <v>12974136.979999969</v>
      </c>
      <c r="O80" s="66">
        <f t="shared" si="30"/>
        <v>14745867.519999944</v>
      </c>
      <c r="P80" s="66">
        <f t="shared" si="31"/>
        <v>2127636.0200000005</v>
      </c>
      <c r="Q80" s="93">
        <f t="shared" si="32"/>
        <v>29847640.51999991</v>
      </c>
    </row>
    <row r="81" spans="1:17" ht="12.75">
      <c r="A81" s="1">
        <f>+'II-D-3.2'!A81</f>
        <v>53</v>
      </c>
      <c r="B81" s="133" t="str">
        <f t="shared" si="27"/>
        <v>May 2021</v>
      </c>
      <c r="D81" s="66">
        <v>14125497.689999972</v>
      </c>
      <c r="E81" s="66">
        <v>13900730.049999947</v>
      </c>
      <c r="F81" s="66">
        <v>4900231.3700000038</v>
      </c>
      <c r="G81" s="93">
        <f t="shared" si="28"/>
        <v>32926459.109999925</v>
      </c>
      <c r="I81" s="66">
        <v>0</v>
      </c>
      <c r="J81" s="66">
        <v>0</v>
      </c>
      <c r="K81" s="66">
        <v>0</v>
      </c>
      <c r="L81" s="93">
        <f t="shared" si="29"/>
        <v>0</v>
      </c>
      <c r="N81" s="66">
        <f t="shared" si="33"/>
        <v>14125497.689999972</v>
      </c>
      <c r="O81" s="66">
        <f t="shared" si="30"/>
        <v>13900730.049999947</v>
      </c>
      <c r="P81" s="66">
        <f t="shared" si="31"/>
        <v>4900231.3700000038</v>
      </c>
      <c r="Q81" s="93">
        <f t="shared" si="32"/>
        <v>32926459.109999925</v>
      </c>
    </row>
    <row r="82" spans="1:17" ht="12.75">
      <c r="A82" s="1">
        <f>+'II-D-3.2'!A82</f>
        <v>54</v>
      </c>
      <c r="B82" s="133" t="str">
        <f t="shared" si="27"/>
        <v>June 2021</v>
      </c>
      <c r="D82" s="66">
        <v>14735602.920000061</v>
      </c>
      <c r="E82" s="66">
        <v>14855620.779999942</v>
      </c>
      <c r="F82" s="66">
        <v>5314626.8499999987</v>
      </c>
      <c r="G82" s="93">
        <f t="shared" si="28"/>
        <v>34905850.550000004</v>
      </c>
      <c r="I82" s="66">
        <v>0</v>
      </c>
      <c r="J82" s="66">
        <v>0</v>
      </c>
      <c r="K82" s="66">
        <v>0</v>
      </c>
      <c r="L82" s="93">
        <f t="shared" si="29"/>
        <v>0</v>
      </c>
      <c r="N82" s="66">
        <f t="shared" si="33"/>
        <v>14735602.920000061</v>
      </c>
      <c r="O82" s="66">
        <f t="shared" si="30"/>
        <v>14855620.779999942</v>
      </c>
      <c r="P82" s="66">
        <f t="shared" si="31"/>
        <v>5314626.8499999987</v>
      </c>
      <c r="Q82" s="93">
        <f t="shared" si="32"/>
        <v>34905850.550000004</v>
      </c>
    </row>
    <row r="83" spans="1:17" ht="12.75">
      <c r="A83" s="1">
        <f>+'II-D-3.2'!A83</f>
        <v>55</v>
      </c>
      <c r="B83" s="133" t="str">
        <f t="shared" si="27"/>
        <v>July 2021</v>
      </c>
      <c r="D83" s="66">
        <v>13731867.380000003</v>
      </c>
      <c r="E83" s="66">
        <v>14832035.989999993</v>
      </c>
      <c r="F83" s="66">
        <v>4186862.9999999972</v>
      </c>
      <c r="G83" s="93">
        <f t="shared" si="28"/>
        <v>32750766.369999994</v>
      </c>
      <c r="I83" s="66">
        <v>0</v>
      </c>
      <c r="J83" s="66">
        <v>0</v>
      </c>
      <c r="K83" s="66">
        <v>0</v>
      </c>
      <c r="L83" s="93">
        <f t="shared" si="29"/>
        <v>0</v>
      </c>
      <c r="N83" s="66">
        <f t="shared" si="33"/>
        <v>13731867.380000003</v>
      </c>
      <c r="O83" s="66">
        <f t="shared" si="30"/>
        <v>14832035.989999993</v>
      </c>
      <c r="P83" s="66">
        <f t="shared" si="31"/>
        <v>4186862.9999999972</v>
      </c>
      <c r="Q83" s="93">
        <f t="shared" si="32"/>
        <v>32750766.369999994</v>
      </c>
    </row>
    <row r="84" spans="1:17" ht="12.75">
      <c r="A84" s="1">
        <f>+'II-D-3.2'!A84</f>
        <v>56</v>
      </c>
      <c r="B84" s="133" t="str">
        <f t="shared" si="27"/>
        <v>August 2021</v>
      </c>
      <c r="D84" s="66">
        <v>14124492.370000018</v>
      </c>
      <c r="E84" s="66">
        <v>14700569.84999999</v>
      </c>
      <c r="F84" s="66">
        <v>3805603.0300000017</v>
      </c>
      <c r="G84" s="93">
        <f t="shared" si="28"/>
        <v>32630665.250000007</v>
      </c>
      <c r="I84" s="66">
        <v>0</v>
      </c>
      <c r="J84" s="66">
        <v>0</v>
      </c>
      <c r="K84" s="66">
        <v>0</v>
      </c>
      <c r="L84" s="93">
        <f t="shared" si="29"/>
        <v>0</v>
      </c>
      <c r="N84" s="66">
        <f t="shared" si="33"/>
        <v>14124492.370000018</v>
      </c>
      <c r="O84" s="66">
        <f t="shared" si="30"/>
        <v>14700569.84999999</v>
      </c>
      <c r="P84" s="66">
        <f t="shared" si="31"/>
        <v>3805603.0300000017</v>
      </c>
      <c r="Q84" s="93">
        <f t="shared" si="32"/>
        <v>32630665.250000007</v>
      </c>
    </row>
    <row r="85" spans="1:17" ht="12.75">
      <c r="A85" s="1">
        <f>+'II-D-3.2'!A85</f>
        <v>57</v>
      </c>
      <c r="B85" s="133" t="str">
        <f t="shared" si="27"/>
        <v>September 2021</v>
      </c>
      <c r="D85" s="66">
        <v>12724204.539999973</v>
      </c>
      <c r="E85" s="66">
        <v>13494652.369999953</v>
      </c>
      <c r="F85" s="66">
        <v>3076850.9499999965</v>
      </c>
      <c r="G85" s="93">
        <f t="shared" si="28"/>
        <v>29295707.859999921</v>
      </c>
      <c r="I85" s="66">
        <v>0</v>
      </c>
      <c r="J85" s="66">
        <v>0</v>
      </c>
      <c r="K85" s="66">
        <v>0</v>
      </c>
      <c r="L85" s="93">
        <f t="shared" si="29"/>
        <v>0</v>
      </c>
      <c r="N85" s="66">
        <f t="shared" si="33"/>
        <v>12724204.539999973</v>
      </c>
      <c r="O85" s="66">
        <f t="shared" si="30"/>
        <v>13494652.369999953</v>
      </c>
      <c r="P85" s="66">
        <f t="shared" si="31"/>
        <v>3076850.9499999965</v>
      </c>
      <c r="Q85" s="93">
        <f t="shared" si="32"/>
        <v>29295707.859999921</v>
      </c>
    </row>
    <row r="86" spans="1:17" ht="12.75">
      <c r="A86" s="1">
        <f>+'II-D-3.2'!A86</f>
        <v>58</v>
      </c>
      <c r="B86" s="133" t="str">
        <f t="shared" si="27"/>
        <v>October 2021</v>
      </c>
      <c r="D86" s="66">
        <v>12893263.440000009</v>
      </c>
      <c r="E86" s="66">
        <v>14954885.759999927</v>
      </c>
      <c r="F86" s="66">
        <v>3474600.5600000038</v>
      </c>
      <c r="G86" s="93">
        <f t="shared" si="28"/>
        <v>31322749.759999938</v>
      </c>
      <c r="I86" s="66">
        <v>0</v>
      </c>
      <c r="J86" s="66">
        <v>0</v>
      </c>
      <c r="K86" s="66">
        <v>0</v>
      </c>
      <c r="L86" s="93">
        <f t="shared" si="29"/>
        <v>0</v>
      </c>
      <c r="N86" s="66">
        <f t="shared" si="33"/>
        <v>12893263.440000009</v>
      </c>
      <c r="O86" s="66">
        <f t="shared" si="30"/>
        <v>14954885.759999927</v>
      </c>
      <c r="P86" s="66">
        <f t="shared" si="31"/>
        <v>3474600.5600000038</v>
      </c>
      <c r="Q86" s="93">
        <f t="shared" si="32"/>
        <v>31322749.759999938</v>
      </c>
    </row>
    <row r="87" spans="1:17" ht="12.75">
      <c r="A87" s="1">
        <f>+'II-D-3.2'!A87</f>
        <v>59</v>
      </c>
      <c r="B87" s="133" t="str">
        <f t="shared" si="27"/>
        <v>November 2021</v>
      </c>
      <c r="D87" s="66">
        <v>13439017.649999972</v>
      </c>
      <c r="E87" s="66">
        <v>15694926.709999958</v>
      </c>
      <c r="F87" s="66">
        <v>4191359.4299999997</v>
      </c>
      <c r="G87" s="93">
        <f t="shared" si="28"/>
        <v>33325303.789999932</v>
      </c>
      <c r="I87" s="66">
        <v>0</v>
      </c>
      <c r="J87" s="66">
        <v>0</v>
      </c>
      <c r="K87" s="66">
        <v>0</v>
      </c>
      <c r="L87" s="93">
        <f t="shared" si="29"/>
        <v>0</v>
      </c>
      <c r="N87" s="66">
        <f t="shared" si="33"/>
        <v>13439017.649999972</v>
      </c>
      <c r="O87" s="66">
        <f t="shared" si="30"/>
        <v>15694926.709999958</v>
      </c>
      <c r="P87" s="66">
        <f t="shared" si="31"/>
        <v>4191359.4299999997</v>
      </c>
      <c r="Q87" s="93">
        <f t="shared" si="32"/>
        <v>33325303.789999932</v>
      </c>
    </row>
    <row r="88" spans="1:17" ht="12.75">
      <c r="A88" s="1">
        <f>+'II-D-3.2'!A88</f>
        <v>60</v>
      </c>
      <c r="B88" s="133" t="str">
        <f t="shared" si="27"/>
        <v>December 2021</v>
      </c>
      <c r="D88" s="66">
        <v>12940034.659999991</v>
      </c>
      <c r="E88" s="66">
        <v>14901009.550000018</v>
      </c>
      <c r="F88" s="66">
        <v>4441372.3700000057</v>
      </c>
      <c r="G88" s="93">
        <f t="shared" si="28"/>
        <v>32282416.580000013</v>
      </c>
      <c r="I88" s="66">
        <v>0</v>
      </c>
      <c r="J88" s="66">
        <v>0</v>
      </c>
      <c r="K88" s="66">
        <v>0</v>
      </c>
      <c r="L88" s="93">
        <f t="shared" si="29"/>
        <v>0</v>
      </c>
      <c r="N88" s="66">
        <f t="shared" si="33"/>
        <v>12940034.659999991</v>
      </c>
      <c r="O88" s="66">
        <f t="shared" si="30"/>
        <v>14901009.550000018</v>
      </c>
      <c r="P88" s="66">
        <f t="shared" si="31"/>
        <v>4441372.3700000057</v>
      </c>
      <c r="Q88" s="93">
        <f t="shared" si="32"/>
        <v>32282416.580000013</v>
      </c>
    </row>
    <row r="89" spans="1:17" ht="12.75">
      <c r="A89" s="1">
        <f>+'II-D-3.2'!A89</f>
        <v>61</v>
      </c>
      <c r="D89" s="115"/>
      <c r="E89" s="115"/>
      <c r="F89" s="115"/>
      <c r="G89" s="115"/>
      <c r="I89" s="115"/>
      <c r="J89" s="115"/>
      <c r="K89" s="115"/>
      <c r="L89" s="115"/>
      <c r="N89" s="115"/>
      <c r="O89" s="115"/>
      <c r="P89" s="115"/>
      <c r="Q89" s="115"/>
    </row>
    <row r="90" spans="1:17" ht="12.75">
      <c r="A90" s="1">
        <f>+'II-D-3.2'!A90</f>
        <v>62</v>
      </c>
      <c r="B90" s="94" t="s">
        <v>69</v>
      </c>
      <c r="D90" s="142">
        <f>SUM(D77:D88)</f>
        <v>158924360.40000007</v>
      </c>
      <c r="E90" s="142">
        <f>SUM(E77:E88)</f>
        <v>171404268.31999964</v>
      </c>
      <c r="F90" s="142">
        <f>SUM(F77:F88)</f>
        <v>59603974.38000001</v>
      </c>
      <c r="G90" s="142">
        <f>SUM(G77:G88)</f>
        <v>389932603.09999967</v>
      </c>
      <c r="I90" s="142">
        <f>SUM(I77:I88)</f>
        <v>0</v>
      </c>
      <c r="J90" s="142">
        <f>SUM(J77:J88)</f>
        <v>0</v>
      </c>
      <c r="K90" s="142">
        <f>SUM(K77:K88)</f>
        <v>0</v>
      </c>
      <c r="L90" s="142">
        <f>SUM(L77:L88)</f>
        <v>0</v>
      </c>
      <c r="N90" s="142">
        <f>SUM(N77:N88)</f>
        <v>158924360.40000007</v>
      </c>
      <c r="O90" s="142">
        <f>SUM(O77:O88)</f>
        <v>171404268.31999964</v>
      </c>
      <c r="P90" s="142">
        <f>SUM(P77:P88)</f>
        <v>59603974.38000001</v>
      </c>
      <c r="Q90" s="142">
        <f>SUM(Q77:Q88)</f>
        <v>389932603.09999967</v>
      </c>
    </row>
    <row r="91" spans="1:1" ht="12.75">
      <c r="A91" s="1">
        <f>+'II-D-3.2'!A91</f>
        <v>63</v>
      </c>
    </row>
    <row r="92" spans="1:1" ht="12.75">
      <c r="A92" s="1">
        <f>+'II-D-3.2'!A92</f>
        <v>64</v>
      </c>
    </row>
    <row r="93" spans="1:17" ht="12.75">
      <c r="A93" s="1">
        <f>+'II-D-3.2'!A93</f>
        <v>65</v>
      </c>
      <c r="B93" s="94" t="s">
        <v>158</v>
      </c>
      <c r="D93" s="140">
        <v>0</v>
      </c>
      <c r="E93" s="140">
        <v>0</v>
      </c>
      <c r="F93" s="140">
        <v>0</v>
      </c>
      <c r="G93" s="140">
        <f>SUM(D93:F93)</f>
        <v>0</v>
      </c>
      <c r="I93" s="140">
        <v>0</v>
      </c>
      <c r="J93" s="140">
        <v>0</v>
      </c>
      <c r="K93" s="140">
        <v>0</v>
      </c>
      <c r="L93" s="140">
        <f>SUM(I93:K93)</f>
        <v>0</v>
      </c>
      <c r="N93" s="140">
        <f>+D93+I93</f>
        <v>0</v>
      </c>
      <c r="O93" s="140">
        <f t="shared" si="34" ref="O93:O95">+E93+J93</f>
        <v>0</v>
      </c>
      <c r="P93" s="140">
        <f t="shared" si="35" ref="P93:P95">+F93+K93</f>
        <v>0</v>
      </c>
      <c r="Q93" s="140">
        <f t="shared" si="36" ref="Q93:Q95">+G93+L93</f>
        <v>0</v>
      </c>
    </row>
    <row r="94" spans="1:17" ht="12.75">
      <c r="A94" s="1">
        <f>+'II-D-3.2'!A94</f>
        <v>66</v>
      </c>
      <c r="B94" s="94" t="s">
        <v>159</v>
      </c>
      <c r="D94" s="66">
        <v>0</v>
      </c>
      <c r="E94" s="66">
        <v>0</v>
      </c>
      <c r="F94" s="66">
        <v>0</v>
      </c>
      <c r="G94" s="93">
        <f>SUM(D94:F94)</f>
        <v>0</v>
      </c>
      <c r="I94" s="66">
        <v>0</v>
      </c>
      <c r="J94" s="66">
        <v>0</v>
      </c>
      <c r="K94" s="66">
        <v>0</v>
      </c>
      <c r="L94" s="93">
        <f>SUM(I94:K94)</f>
        <v>0</v>
      </c>
      <c r="N94" s="66">
        <f t="shared" si="37" ref="N94:N95">+D94+I94</f>
        <v>0</v>
      </c>
      <c r="O94" s="66">
        <f t="shared" si="34"/>
        <v>0</v>
      </c>
      <c r="P94" s="66">
        <f t="shared" si="35"/>
        <v>0</v>
      </c>
      <c r="Q94" s="93">
        <f t="shared" si="36"/>
        <v>0</v>
      </c>
    </row>
    <row r="95" spans="1:17" ht="12.75">
      <c r="A95" s="1">
        <f>+'II-D-3.2'!A95</f>
        <v>67</v>
      </c>
      <c r="B95" s="94" t="s">
        <v>46</v>
      </c>
      <c r="D95" s="66">
        <v>0</v>
      </c>
      <c r="E95" s="66">
        <v>0</v>
      </c>
      <c r="F95" s="66">
        <v>0</v>
      </c>
      <c r="G95" s="93">
        <f>SUM(D95:F95)</f>
        <v>0</v>
      </c>
      <c r="I95" s="66">
        <v>0</v>
      </c>
      <c r="J95" s="66">
        <v>0</v>
      </c>
      <c r="K95" s="66">
        <v>0</v>
      </c>
      <c r="L95" s="93">
        <f>SUM(I95:K95)</f>
        <v>0</v>
      </c>
      <c r="N95" s="66">
        <f t="shared" si="37"/>
        <v>0</v>
      </c>
      <c r="O95" s="66">
        <f t="shared" si="34"/>
        <v>0</v>
      </c>
      <c r="P95" s="66">
        <f t="shared" si="35"/>
        <v>0</v>
      </c>
      <c r="Q95" s="93">
        <f t="shared" si="36"/>
        <v>0</v>
      </c>
    </row>
    <row r="96" spans="1:1" ht="12.75">
      <c r="A96" s="1">
        <f>+'II-D-3.2'!A96</f>
        <v>68</v>
      </c>
    </row>
    <row r="97" spans="1:1" ht="12.75">
      <c r="A97" s="1">
        <f>+'II-D-3.2'!A97</f>
        <v>69</v>
      </c>
    </row>
    <row r="98" spans="1:17" ht="12.75">
      <c r="A98" s="1">
        <f>+'II-D-3.2'!A98</f>
        <v>70</v>
      </c>
      <c r="B98" s="94" t="str">
        <f>+B67</f>
        <v>TME 2018</v>
      </c>
      <c r="D98" s="140">
        <v>138121705.60000002</v>
      </c>
      <c r="E98" s="140">
        <v>136838640.99000007</v>
      </c>
      <c r="F98" s="140">
        <v>56504932.350000009</v>
      </c>
      <c r="G98" s="140">
        <f>SUM(D98:F98)</f>
        <v>331465278.94000012</v>
      </c>
      <c r="I98" s="140">
        <v>0</v>
      </c>
      <c r="J98" s="140">
        <v>0</v>
      </c>
      <c r="K98" s="140">
        <v>0</v>
      </c>
      <c r="L98" s="140">
        <f>SUM(I98:K98)</f>
        <v>0</v>
      </c>
      <c r="N98" s="140">
        <f>+D98+I98</f>
        <v>138121705.60000002</v>
      </c>
      <c r="O98" s="140">
        <f t="shared" si="38" ref="O98:O100">+E98+J98</f>
        <v>136838640.99000007</v>
      </c>
      <c r="P98" s="140">
        <f t="shared" si="39" ref="P98:P100">+F98+K98</f>
        <v>56504932.350000009</v>
      </c>
      <c r="Q98" s="140">
        <f t="shared" si="40" ref="Q98:Q100">+G98+L98</f>
        <v>331465278.94000012</v>
      </c>
    </row>
    <row r="99" spans="1:17" ht="12.75">
      <c r="A99" s="1">
        <f>+'II-D-3.2'!A99</f>
        <v>71</v>
      </c>
      <c r="B99" s="94" t="str">
        <f>+B68</f>
        <v>TME 2019</v>
      </c>
      <c r="D99" s="66">
        <v>141874151.41999978</v>
      </c>
      <c r="E99" s="66">
        <v>149839779.44</v>
      </c>
      <c r="F99" s="66">
        <v>57796860.600000024</v>
      </c>
      <c r="G99" s="93">
        <f>SUM(D99:F99)</f>
        <v>349510791.4599998</v>
      </c>
      <c r="I99" s="66">
        <v>0</v>
      </c>
      <c r="J99" s="66">
        <v>0</v>
      </c>
      <c r="K99" s="66">
        <v>0</v>
      </c>
      <c r="L99" s="93">
        <f>SUM(I99:K99)</f>
        <v>0</v>
      </c>
      <c r="N99" s="66">
        <f t="shared" si="41" ref="N99:N100">+D99+I99</f>
        <v>141874151.41999978</v>
      </c>
      <c r="O99" s="66">
        <f t="shared" si="38"/>
        <v>149839779.44</v>
      </c>
      <c r="P99" s="66">
        <f t="shared" si="39"/>
        <v>57796860.600000024</v>
      </c>
      <c r="Q99" s="93">
        <f t="shared" si="40"/>
        <v>349510791.4599998</v>
      </c>
    </row>
    <row r="100" spans="1:17" ht="12.75">
      <c r="A100" s="1">
        <f>+'II-D-3.2'!A100</f>
        <v>72</v>
      </c>
      <c r="B100" s="94" t="str">
        <f>+B69</f>
        <v>TME 2020</v>
      </c>
      <c r="D100" s="66">
        <v>155402842.25000036</v>
      </c>
      <c r="E100" s="66">
        <v>170026692.57999978</v>
      </c>
      <c r="F100" s="66">
        <v>43165986.979999989</v>
      </c>
      <c r="G100" s="93">
        <f>SUM(D100:F100)</f>
        <v>368595521.81000018</v>
      </c>
      <c r="I100" s="66">
        <v>0</v>
      </c>
      <c r="J100" s="66">
        <v>0</v>
      </c>
      <c r="K100" s="66">
        <v>0</v>
      </c>
      <c r="L100" s="93">
        <f>SUM(I100:K100)</f>
        <v>0</v>
      </c>
      <c r="N100" s="66">
        <f t="shared" si="41"/>
        <v>155402842.25000036</v>
      </c>
      <c r="O100" s="66">
        <f t="shared" si="38"/>
        <v>170026692.57999978</v>
      </c>
      <c r="P100" s="66">
        <f t="shared" si="39"/>
        <v>43165986.979999989</v>
      </c>
      <c r="Q100" s="93">
        <f t="shared" si="40"/>
        <v>368595521.81000018</v>
      </c>
    </row>
    <row r="103" spans="4:7" ht="13.5" thickBot="1">
      <c r="D103" s="362" t="s">
        <v>283</v>
      </c>
      <c r="E103" s="362"/>
      <c r="F103" s="362"/>
      <c r="G103" s="362"/>
    </row>
    <row r="104" spans="1:7" ht="12.75">
      <c r="A104" s="18" t="s">
        <v>87</v>
      </c>
      <c r="B104" s="18"/>
      <c r="D104" s="18"/>
      <c r="E104" s="25"/>
      <c r="F104" s="18"/>
      <c r="G104" s="91"/>
    </row>
    <row r="105" spans="1:7" ht="12.75">
      <c r="A105" s="208" t="s">
        <v>89</v>
      </c>
      <c r="B105" s="208" t="s">
        <v>64</v>
      </c>
      <c r="D105" s="92" t="s">
        <v>169</v>
      </c>
      <c r="E105" s="92" t="s">
        <v>170</v>
      </c>
      <c r="F105" s="92" t="s">
        <v>63</v>
      </c>
      <c r="G105" s="92" t="s">
        <v>216</v>
      </c>
    </row>
    <row r="106" spans="1:7" ht="12.75">
      <c r="A106" s="18"/>
      <c r="B106" s="16" t="s">
        <v>44</v>
      </c>
      <c r="D106" s="16" t="s">
        <v>45</v>
      </c>
      <c r="E106" s="16" t="s">
        <v>74</v>
      </c>
      <c r="F106" s="16" t="s">
        <v>75</v>
      </c>
      <c r="G106" s="16" t="s">
        <v>76</v>
      </c>
    </row>
    <row r="108" spans="1:7" ht="12.75">
      <c r="A108" s="1">
        <f>+'II-D-3.2'!A108</f>
        <v>73</v>
      </c>
      <c r="B108" s="133" t="str">
        <f t="shared" si="42" ref="B108:B119">+B77</f>
        <v>January 2021</v>
      </c>
      <c r="D108" s="140">
        <v>2708504.2799999984</v>
      </c>
      <c r="E108" s="140">
        <v>1242056.6700000134</v>
      </c>
      <c r="F108" s="140">
        <v>-130156.81</v>
      </c>
      <c r="G108" s="140">
        <f>SUM(D108:F108)</f>
        <v>3820404.1400000118</v>
      </c>
    </row>
    <row r="109" spans="1:7" ht="12.75">
      <c r="A109" s="1">
        <f>+'II-D-3.2'!A109</f>
        <v>74</v>
      </c>
      <c r="B109" s="133" t="str">
        <f t="shared" si="42"/>
        <v>February 2021</v>
      </c>
      <c r="D109" s="66">
        <v>3640203.3500000015</v>
      </c>
      <c r="E109" s="66">
        <v>1168037.140000012</v>
      </c>
      <c r="F109" s="66">
        <v>-212884.25999999989</v>
      </c>
      <c r="G109" s="93">
        <f t="shared" si="43" ref="G109:G119">SUM(D109:F109)</f>
        <v>4595356.2300000135</v>
      </c>
    </row>
    <row r="110" spans="1:7" ht="12.75">
      <c r="A110" s="1">
        <f>+'II-D-3.2'!A110</f>
        <v>75</v>
      </c>
      <c r="B110" s="133" t="str">
        <f t="shared" si="42"/>
        <v>March 2021</v>
      </c>
      <c r="D110" s="66">
        <v>3209183.5900000003</v>
      </c>
      <c r="E110" s="66">
        <v>1463678.1900000204</v>
      </c>
      <c r="F110" s="66">
        <v>76483.750000000015</v>
      </c>
      <c r="G110" s="93">
        <f t="shared" si="43"/>
        <v>4749345.5300000208</v>
      </c>
    </row>
    <row r="111" spans="1:7" ht="12.75">
      <c r="A111" s="1">
        <f>+'II-D-3.2'!A111</f>
        <v>76</v>
      </c>
      <c r="B111" s="133" t="str">
        <f t="shared" si="42"/>
        <v>April 2021</v>
      </c>
      <c r="D111" s="66">
        <v>3766272.5700000003</v>
      </c>
      <c r="E111" s="66">
        <v>1045463.9800000086</v>
      </c>
      <c r="F111" s="66">
        <v>-61242.989999999576</v>
      </c>
      <c r="G111" s="93">
        <f t="shared" si="43"/>
        <v>4750493.5600000098</v>
      </c>
    </row>
    <row r="112" spans="1:7" ht="12.75">
      <c r="A112" s="1">
        <f>+'II-D-3.2'!A112</f>
        <v>77</v>
      </c>
      <c r="B112" s="133" t="str">
        <f t="shared" si="42"/>
        <v>May 2021</v>
      </c>
      <c r="D112" s="66">
        <v>4002216.4399999999</v>
      </c>
      <c r="E112" s="66">
        <v>1186658.1600000137</v>
      </c>
      <c r="F112" s="66">
        <v>-157321.27999999942</v>
      </c>
      <c r="G112" s="93">
        <f t="shared" si="43"/>
        <v>5031553.3200000143</v>
      </c>
    </row>
    <row r="113" spans="1:7" ht="12.75">
      <c r="A113" s="1">
        <f>+'II-D-3.2'!A113</f>
        <v>78</v>
      </c>
      <c r="B113" s="133" t="str">
        <f t="shared" si="42"/>
        <v>June 2021</v>
      </c>
      <c r="D113" s="66">
        <v>3492216.9900000021</v>
      </c>
      <c r="E113" s="66">
        <v>1817499.1700000202</v>
      </c>
      <c r="F113" s="66">
        <v>-123034.25000000016</v>
      </c>
      <c r="G113" s="93">
        <f t="shared" si="43"/>
        <v>5186681.9100000225</v>
      </c>
    </row>
    <row r="114" spans="1:7" ht="12.75">
      <c r="A114" s="1">
        <f>+'II-D-3.2'!A114</f>
        <v>79</v>
      </c>
      <c r="B114" s="133" t="str">
        <f t="shared" si="42"/>
        <v>July 2021</v>
      </c>
      <c r="D114" s="66">
        <v>3308459.4699999997</v>
      </c>
      <c r="E114" s="66">
        <v>1240771.7800000119</v>
      </c>
      <c r="F114" s="66">
        <v>-375837.24999999948</v>
      </c>
      <c r="G114" s="93">
        <f t="shared" si="43"/>
        <v>4173394.0000000116</v>
      </c>
    </row>
    <row r="115" spans="1:7" ht="12.75">
      <c r="A115" s="1">
        <f>+'II-D-3.2'!A115</f>
        <v>80</v>
      </c>
      <c r="B115" s="133" t="str">
        <f t="shared" si="42"/>
        <v>August 2021</v>
      </c>
      <c r="D115" s="66">
        <v>3709849.200000002</v>
      </c>
      <c r="E115" s="66">
        <v>1332518.0500000175</v>
      </c>
      <c r="F115" s="66">
        <v>-137472.49999999991</v>
      </c>
      <c r="G115" s="93">
        <f t="shared" si="43"/>
        <v>4904894.7500000196</v>
      </c>
    </row>
    <row r="116" spans="1:7" ht="12.75">
      <c r="A116" s="1">
        <f>+'II-D-3.2'!A116</f>
        <v>81</v>
      </c>
      <c r="B116" s="133" t="str">
        <f t="shared" si="42"/>
        <v>September 2021</v>
      </c>
      <c r="D116" s="66">
        <v>3624942.0500000007</v>
      </c>
      <c r="E116" s="66">
        <v>1037346.6800000109</v>
      </c>
      <c r="F116" s="66">
        <v>-125032.59000000029</v>
      </c>
      <c r="G116" s="93">
        <f t="shared" si="43"/>
        <v>4537256.1400000118</v>
      </c>
    </row>
    <row r="117" spans="1:7" ht="12.75">
      <c r="A117" s="1">
        <f>+'II-D-3.2'!A117</f>
        <v>82</v>
      </c>
      <c r="B117" s="133" t="str">
        <f t="shared" si="42"/>
        <v>October 2021</v>
      </c>
      <c r="D117" s="66">
        <v>3669000.9599999986</v>
      </c>
      <c r="E117" s="66">
        <v>1221126.9200000174</v>
      </c>
      <c r="F117" s="66">
        <v>-272694.7899999998</v>
      </c>
      <c r="G117" s="93">
        <f t="shared" si="43"/>
        <v>4617433.0900000157</v>
      </c>
    </row>
    <row r="118" spans="1:7" ht="12.75">
      <c r="A118" s="1">
        <f>+'II-D-3.2'!A118</f>
        <v>83</v>
      </c>
      <c r="B118" s="133" t="str">
        <f t="shared" si="42"/>
        <v>November 2021</v>
      </c>
      <c r="D118" s="66">
        <v>4012212.0900000003</v>
      </c>
      <c r="E118" s="66">
        <v>1039452.2900000102</v>
      </c>
      <c r="F118" s="66">
        <v>-244256.71999999875</v>
      </c>
      <c r="G118" s="93">
        <f t="shared" si="43"/>
        <v>4807407.6600000113</v>
      </c>
    </row>
    <row r="119" spans="1:7" ht="12.75">
      <c r="A119" s="1">
        <f>+'II-D-3.2'!A119</f>
        <v>84</v>
      </c>
      <c r="B119" s="133" t="str">
        <f t="shared" si="42"/>
        <v>December 2021</v>
      </c>
      <c r="D119" s="66">
        <v>3738980.1000000006</v>
      </c>
      <c r="E119" s="66">
        <v>722660.00000000675</v>
      </c>
      <c r="F119" s="66">
        <v>-94067.550000000076</v>
      </c>
      <c r="G119" s="93">
        <f t="shared" si="43"/>
        <v>4367572.5500000073</v>
      </c>
    </row>
    <row r="120" spans="1:7" ht="12.75">
      <c r="A120" s="1">
        <f>+'II-D-3.2'!A120</f>
        <v>85</v>
      </c>
      <c r="D120" s="115"/>
      <c r="E120" s="115"/>
      <c r="F120" s="115"/>
      <c r="G120" s="115"/>
    </row>
    <row r="121" spans="1:7" ht="12.75">
      <c r="A121" s="1">
        <f>+'II-D-3.2'!A121</f>
        <v>86</v>
      </c>
      <c r="B121" s="94" t="s">
        <v>69</v>
      </c>
      <c r="D121" s="142">
        <f>SUM(D108:D119)</f>
        <v>42882041.090000011</v>
      </c>
      <c r="E121" s="142">
        <f>SUM(E108:E119)</f>
        <v>14517269.030000163</v>
      </c>
      <c r="F121" s="142">
        <f>SUM(F108:F119)</f>
        <v>-1857517.2399999974</v>
      </c>
      <c r="G121" s="142">
        <f>SUM(G108:G119)</f>
        <v>55541792.880000167</v>
      </c>
    </row>
    <row r="122" spans="1:7" ht="12.75">
      <c r="A122" s="1">
        <f>+'II-D-3.2'!A122</f>
        <v>87</v>
      </c>
      <c r="D122" s="66"/>
      <c r="E122" s="66"/>
      <c r="F122" s="66"/>
      <c r="G122" s="66"/>
    </row>
    <row r="123" spans="1:7" ht="12.75">
      <c r="A123" s="1">
        <f>+'II-D-3.2'!A123</f>
        <v>88</v>
      </c>
      <c r="D123" s="66"/>
      <c r="E123" s="66"/>
      <c r="F123" s="66"/>
      <c r="G123" s="66"/>
    </row>
    <row r="124" spans="1:7" ht="12.75">
      <c r="A124" s="1">
        <f>+'II-D-3.2'!A124</f>
        <v>89</v>
      </c>
      <c r="B124" s="94" t="s">
        <v>158</v>
      </c>
      <c r="D124" s="140">
        <v>0</v>
      </c>
      <c r="E124" s="140">
        <v>0</v>
      </c>
      <c r="F124" s="140">
        <v>0</v>
      </c>
      <c r="G124" s="140">
        <f>SUM(D124:F124)</f>
        <v>0</v>
      </c>
    </row>
    <row r="125" spans="1:7" ht="12.75">
      <c r="A125" s="1">
        <f>+'II-D-3.2'!A125</f>
        <v>90</v>
      </c>
      <c r="B125" s="94" t="s">
        <v>159</v>
      </c>
      <c r="D125" s="66">
        <v>0</v>
      </c>
      <c r="E125" s="66">
        <v>0</v>
      </c>
      <c r="F125" s="66">
        <v>0</v>
      </c>
      <c r="G125" s="93">
        <f>SUM(D125:F125)</f>
        <v>0</v>
      </c>
    </row>
    <row r="126" spans="1:7" ht="12.75">
      <c r="A126" s="1">
        <f>+'II-D-3.2'!A126</f>
        <v>91</v>
      </c>
      <c r="B126" s="94" t="s">
        <v>46</v>
      </c>
      <c r="D126" s="66">
        <v>0</v>
      </c>
      <c r="E126" s="66">
        <v>0</v>
      </c>
      <c r="F126" s="66">
        <v>0</v>
      </c>
      <c r="G126" s="93">
        <f>SUM(D126:F126)</f>
        <v>0</v>
      </c>
    </row>
    <row r="127" spans="1:7" ht="12.75">
      <c r="A127" s="1">
        <f>+'II-D-3.2'!A127</f>
        <v>92</v>
      </c>
      <c r="G127" s="66"/>
    </row>
    <row r="128" spans="1:7" ht="12.75">
      <c r="A128" s="1">
        <f>+'II-D-3.2'!A128</f>
        <v>93</v>
      </c>
      <c r="G128" s="66"/>
    </row>
    <row r="129" spans="1:7" ht="12.75">
      <c r="A129" s="1">
        <f>+'II-D-3.2'!A129</f>
        <v>94</v>
      </c>
      <c r="B129" s="94" t="str">
        <f>+B98</f>
        <v>TME 2018</v>
      </c>
      <c r="D129" s="140">
        <v>35522858.349999987</v>
      </c>
      <c r="E129" s="140">
        <v>14554310.039999984</v>
      </c>
      <c r="F129" s="140">
        <v>3434680.5099999993</v>
      </c>
      <c r="G129" s="140">
        <f>SUM(D129:F129)</f>
        <v>53511848.899999969</v>
      </c>
    </row>
    <row r="130" spans="1:7" ht="12.75">
      <c r="A130" s="1">
        <f>+'II-D-3.2'!A130</f>
        <v>95</v>
      </c>
      <c r="B130" s="94" t="str">
        <f>+B99</f>
        <v>TME 2019</v>
      </c>
      <c r="D130" s="66">
        <v>36423678.450000033</v>
      </c>
      <c r="E130" s="66">
        <v>15741954.039999997</v>
      </c>
      <c r="F130" s="66">
        <v>2498954.7500000009</v>
      </c>
      <c r="G130" s="93">
        <f>SUM(D130:F130)</f>
        <v>54664587.240000032</v>
      </c>
    </row>
    <row r="131" spans="1:7" ht="12.75">
      <c r="A131" s="1">
        <f>+'II-D-3.2'!A131</f>
        <v>96</v>
      </c>
      <c r="B131" s="94" t="str">
        <f>+B100</f>
        <v>TME 2020</v>
      </c>
      <c r="D131" s="66">
        <v>40288427.93999996</v>
      </c>
      <c r="E131" s="66">
        <v>17665612.079999991</v>
      </c>
      <c r="F131" s="66">
        <v>2282943.7900000005</v>
      </c>
      <c r="G131" s="93">
        <f>SUM(D131:F131)</f>
        <v>60236983.80999995</v>
      </c>
    </row>
    <row r="134" spans="4:7" ht="13.5" thickBot="1">
      <c r="D134" s="362" t="s">
        <v>126</v>
      </c>
      <c r="E134" s="362"/>
      <c r="F134" s="362"/>
      <c r="G134" s="362"/>
    </row>
    <row r="135" spans="1:7" ht="12.75">
      <c r="A135" s="18" t="s">
        <v>87</v>
      </c>
      <c r="B135" s="18"/>
      <c r="D135" s="18"/>
      <c r="E135" s="25"/>
      <c r="F135" s="18"/>
      <c r="G135" s="91"/>
    </row>
    <row r="136" spans="1:7" ht="12.75">
      <c r="A136" s="208" t="s">
        <v>89</v>
      </c>
      <c r="B136" s="208" t="s">
        <v>64</v>
      </c>
      <c r="D136" s="92" t="s">
        <v>169</v>
      </c>
      <c r="E136" s="92" t="s">
        <v>170</v>
      </c>
      <c r="F136" s="92" t="s">
        <v>63</v>
      </c>
      <c r="G136" s="92" t="s">
        <v>216</v>
      </c>
    </row>
    <row r="137" spans="1:7" ht="12.75">
      <c r="A137" s="18"/>
      <c r="B137" s="16" t="s">
        <v>44</v>
      </c>
      <c r="D137" s="16" t="s">
        <v>45</v>
      </c>
      <c r="E137" s="16" t="s">
        <v>74</v>
      </c>
      <c r="F137" s="16" t="s">
        <v>75</v>
      </c>
      <c r="G137" s="16" t="s">
        <v>76</v>
      </c>
    </row>
    <row r="139" spans="1:7" ht="12.75">
      <c r="A139" s="1">
        <f>+'II-D-3.2'!A139</f>
        <v>97</v>
      </c>
      <c r="B139" s="133" t="str">
        <f t="shared" si="44" ref="B139:B150">+B108</f>
        <v>January 2021</v>
      </c>
      <c r="D139" s="140">
        <v>1566796.2500000005</v>
      </c>
      <c r="E139" s="140">
        <v>18869.189999999984</v>
      </c>
      <c r="F139" s="140">
        <v>187656.48999999993</v>
      </c>
      <c r="G139" s="140">
        <f t="shared" si="45" ref="G139:G150">SUM(D139:F139)</f>
        <v>1773321.9300000004</v>
      </c>
    </row>
    <row r="140" spans="1:7" ht="12.75">
      <c r="A140" s="1">
        <f>+'II-D-3.2'!A140</f>
        <v>98</v>
      </c>
      <c r="B140" s="133" t="str">
        <f t="shared" si="44"/>
        <v>February 2021</v>
      </c>
      <c r="D140" s="66">
        <v>1556896.6500000008</v>
      </c>
      <c r="E140" s="66">
        <v>17551.059999999954</v>
      </c>
      <c r="F140" s="66">
        <v>186986.95999999996</v>
      </c>
      <c r="G140" s="93">
        <f t="shared" si="45"/>
        <v>1761434.6700000009</v>
      </c>
    </row>
    <row r="141" spans="1:7" ht="12.75">
      <c r="A141" s="1">
        <f>+'II-D-3.2'!A141</f>
        <v>99</v>
      </c>
      <c r="B141" s="133" t="str">
        <f t="shared" si="44"/>
        <v>March 2021</v>
      </c>
      <c r="D141" s="66">
        <v>1622386.1200000003</v>
      </c>
      <c r="E141" s="66">
        <v>19024.089999999986</v>
      </c>
      <c r="F141" s="66">
        <v>458317.18000000005</v>
      </c>
      <c r="G141" s="93">
        <f t="shared" si="45"/>
        <v>2099727.3900000006</v>
      </c>
    </row>
    <row r="142" spans="1:7" ht="12.75">
      <c r="A142" s="1">
        <f>+'II-D-3.2'!A142</f>
        <v>100</v>
      </c>
      <c r="B142" s="133" t="str">
        <f t="shared" si="44"/>
        <v>April 2021</v>
      </c>
      <c r="D142" s="66">
        <v>1567469.5600000008</v>
      </c>
      <c r="E142" s="66">
        <v>21782.709999999974</v>
      </c>
      <c r="F142" s="66">
        <v>186066.9699999998</v>
      </c>
      <c r="G142" s="93">
        <f t="shared" si="45"/>
        <v>1775319.2400000005</v>
      </c>
    </row>
    <row r="143" spans="1:7" ht="12.75">
      <c r="A143" s="1">
        <f>+'II-D-3.2'!A143</f>
        <v>101</v>
      </c>
      <c r="B143" s="133" t="str">
        <f t="shared" si="44"/>
        <v>May 2021</v>
      </c>
      <c r="D143" s="66">
        <v>1581725.0600000001</v>
      </c>
      <c r="E143" s="66">
        <v>18743.519999999986</v>
      </c>
      <c r="F143" s="66">
        <v>186585.1699999999</v>
      </c>
      <c r="G143" s="93">
        <f t="shared" si="45"/>
        <v>1787053.75</v>
      </c>
    </row>
    <row r="144" spans="1:7" ht="12.75">
      <c r="A144" s="1">
        <f>+'II-D-3.2'!A144</f>
        <v>102</v>
      </c>
      <c r="B144" s="133" t="str">
        <f t="shared" si="44"/>
        <v>June 2021</v>
      </c>
      <c r="D144" s="66">
        <v>1588368.8999999997</v>
      </c>
      <c r="E144" s="66">
        <v>35866.900000000009</v>
      </c>
      <c r="F144" s="66">
        <v>226886.97999999998</v>
      </c>
      <c r="G144" s="93">
        <f t="shared" si="45"/>
        <v>1851122.7799999996</v>
      </c>
    </row>
    <row r="145" spans="1:7" ht="12.75">
      <c r="A145" s="1">
        <f>+'II-D-3.2'!A145</f>
        <v>103</v>
      </c>
      <c r="B145" s="133" t="str">
        <f t="shared" si="44"/>
        <v>July 2021</v>
      </c>
      <c r="D145" s="66">
        <v>1600277.4500000014</v>
      </c>
      <c r="E145" s="66">
        <v>17489.190000000006</v>
      </c>
      <c r="F145" s="66">
        <v>186311.47000000003</v>
      </c>
      <c r="G145" s="93">
        <f t="shared" si="45"/>
        <v>1804078.1100000013</v>
      </c>
    </row>
    <row r="146" spans="1:7" ht="12.75">
      <c r="A146" s="1">
        <f>+'II-D-3.2'!A146</f>
        <v>104</v>
      </c>
      <c r="B146" s="133" t="str">
        <f t="shared" si="44"/>
        <v>August 2021</v>
      </c>
      <c r="D146" s="66">
        <v>1593888.2900000012</v>
      </c>
      <c r="E146" s="66">
        <v>13656.980000000014</v>
      </c>
      <c r="F146" s="66">
        <v>193227.59999999998</v>
      </c>
      <c r="G146" s="93">
        <f t="shared" si="45"/>
        <v>1800772.870000001</v>
      </c>
    </row>
    <row r="147" spans="1:7" ht="12.75">
      <c r="A147" s="1">
        <f>+'II-D-3.2'!A147</f>
        <v>105</v>
      </c>
      <c r="B147" s="133" t="str">
        <f t="shared" si="44"/>
        <v>September 2021</v>
      </c>
      <c r="D147" s="66">
        <v>1586272.7300000012</v>
      </c>
      <c r="E147" s="66">
        <v>16351.07</v>
      </c>
      <c r="F147" s="66">
        <v>181831.53999999995</v>
      </c>
      <c r="G147" s="93">
        <f t="shared" si="45"/>
        <v>1784455.3400000013</v>
      </c>
    </row>
    <row r="148" spans="1:7" ht="12.75">
      <c r="A148" s="1">
        <f>+'II-D-3.2'!A148</f>
        <v>106</v>
      </c>
      <c r="B148" s="133" t="str">
        <f t="shared" si="44"/>
        <v>October 2021</v>
      </c>
      <c r="D148" s="66">
        <v>1580925.3700000015</v>
      </c>
      <c r="E148" s="66">
        <v>20491.050000000003</v>
      </c>
      <c r="F148" s="66">
        <v>181452.98999999996</v>
      </c>
      <c r="G148" s="93">
        <f t="shared" si="45"/>
        <v>1782869.4100000016</v>
      </c>
    </row>
    <row r="149" spans="1:7" ht="12.75">
      <c r="A149" s="1">
        <f>+'II-D-3.2'!A149</f>
        <v>107</v>
      </c>
      <c r="B149" s="133" t="str">
        <f t="shared" si="44"/>
        <v>November 2021</v>
      </c>
      <c r="D149" s="66">
        <v>1573139.3400000013</v>
      </c>
      <c r="E149" s="66">
        <v>23620.729999999996</v>
      </c>
      <c r="F149" s="66">
        <v>185607.49999999997</v>
      </c>
      <c r="G149" s="93">
        <f t="shared" si="45"/>
        <v>1782367.5700000012</v>
      </c>
    </row>
    <row r="150" spans="1:7" ht="12.75">
      <c r="A150" s="1">
        <f>+'II-D-3.2'!A150</f>
        <v>108</v>
      </c>
      <c r="B150" s="133" t="str">
        <f t="shared" si="44"/>
        <v>December 2021</v>
      </c>
      <c r="D150" s="66">
        <v>1600549.1600000016</v>
      </c>
      <c r="E150" s="66">
        <v>21306.990000000013</v>
      </c>
      <c r="F150" s="66">
        <v>184218.79999999999</v>
      </c>
      <c r="G150" s="93">
        <f t="shared" si="45"/>
        <v>1806074.9500000016</v>
      </c>
    </row>
    <row r="151" spans="1:7" ht="12.75">
      <c r="A151" s="1">
        <f>+'II-D-3.2'!A151</f>
        <v>109</v>
      </c>
      <c r="D151" s="115"/>
      <c r="E151" s="115"/>
      <c r="F151" s="115"/>
      <c r="G151" s="115"/>
    </row>
    <row r="152" spans="1:7" ht="12.75">
      <c r="A152" s="1">
        <f>+'II-D-3.2'!A152</f>
        <v>110</v>
      </c>
      <c r="B152" s="94" t="s">
        <v>69</v>
      </c>
      <c r="D152" s="142">
        <f>SUM(D139:D150)</f>
        <v>19018694.880000006</v>
      </c>
      <c r="E152" s="142">
        <f>SUM(E139:E150)</f>
        <v>244753.47999999995</v>
      </c>
      <c r="F152" s="142">
        <f>SUM(F139:F150)</f>
        <v>2545149.649999999</v>
      </c>
      <c r="G152" s="142">
        <f>SUM(G139:G150)</f>
        <v>21808598.010000009</v>
      </c>
    </row>
    <row r="153" spans="1:6" ht="12.75">
      <c r="A153" s="1">
        <f>+'II-D-3.2'!A153</f>
        <v>111</v>
      </c>
      <c r="D153" s="158"/>
      <c r="E153" s="158"/>
      <c r="F153" s="158"/>
    </row>
    <row r="154" spans="1:1" ht="12.75">
      <c r="A154" s="1">
        <f>+'II-D-3.2'!A154</f>
        <v>112</v>
      </c>
    </row>
    <row r="155" spans="1:7" ht="12.75">
      <c r="A155" s="1">
        <f>+'II-D-3.2'!A155</f>
        <v>113</v>
      </c>
      <c r="B155" s="94" t="s">
        <v>158</v>
      </c>
      <c r="D155" s="140">
        <v>0</v>
      </c>
      <c r="E155" s="140">
        <v>0</v>
      </c>
      <c r="F155" s="140">
        <v>0</v>
      </c>
      <c r="G155" s="140">
        <f>SUM(D155:F155)</f>
        <v>0</v>
      </c>
    </row>
    <row r="156" spans="1:7" ht="12.75">
      <c r="A156" s="1">
        <f>+'II-D-3.2'!A156</f>
        <v>114</v>
      </c>
      <c r="B156" s="94" t="s">
        <v>159</v>
      </c>
      <c r="D156" s="66">
        <v>0</v>
      </c>
      <c r="E156" s="66">
        <v>0</v>
      </c>
      <c r="F156" s="66">
        <v>0</v>
      </c>
      <c r="G156" s="93">
        <f>SUM(D156:F156)</f>
        <v>0</v>
      </c>
    </row>
    <row r="157" spans="1:7" ht="12.75">
      <c r="A157" s="1">
        <f>+'II-D-3.2'!A157</f>
        <v>115</v>
      </c>
      <c r="B157" s="94" t="s">
        <v>46</v>
      </c>
      <c r="D157" s="66">
        <v>0</v>
      </c>
      <c r="E157" s="66">
        <v>0</v>
      </c>
      <c r="F157" s="66">
        <v>0</v>
      </c>
      <c r="G157" s="93">
        <f>SUM(D157:F157)</f>
        <v>0</v>
      </c>
    </row>
    <row r="158" spans="1:1" ht="12.75">
      <c r="A158" s="1">
        <f>+'II-D-3.2'!A158</f>
        <v>116</v>
      </c>
    </row>
    <row r="159" spans="1:1" ht="12.75">
      <c r="A159" s="1">
        <f>+'II-D-3.2'!A159</f>
        <v>117</v>
      </c>
    </row>
    <row r="160" spans="1:7" ht="12.75">
      <c r="A160" s="1">
        <f>+'II-D-3.2'!A160</f>
        <v>118</v>
      </c>
      <c r="B160" s="94" t="str">
        <f>+B129</f>
        <v>TME 2018</v>
      </c>
      <c r="D160" s="140">
        <v>16520694.429999998</v>
      </c>
      <c r="E160" s="140">
        <v>127112.18000000008</v>
      </c>
      <c r="F160" s="140">
        <v>3434680.5099999993</v>
      </c>
      <c r="G160" s="140">
        <f>SUM(D160:F160)</f>
        <v>20082487.119999997</v>
      </c>
    </row>
    <row r="161" spans="1:7" ht="12.75">
      <c r="A161" s="1">
        <f>+'II-D-3.2'!A161</f>
        <v>119</v>
      </c>
      <c r="B161" s="94" t="str">
        <f t="shared" si="46" ref="B161:B162">+B130</f>
        <v>TME 2019</v>
      </c>
      <c r="D161" s="66">
        <v>17318553.25</v>
      </c>
      <c r="E161" s="66">
        <v>146987.69000000044</v>
      </c>
      <c r="F161" s="66">
        <v>2498954.7500000009</v>
      </c>
      <c r="G161" s="93">
        <f>SUM(D161:F161)</f>
        <v>19964495.690000001</v>
      </c>
    </row>
    <row r="162" spans="1:7" ht="12.75">
      <c r="A162" s="1">
        <f>+'II-D-3.2'!A162</f>
        <v>120</v>
      </c>
      <c r="B162" s="94" t="str">
        <f t="shared" si="46"/>
        <v>TME 2020</v>
      </c>
      <c r="D162" s="66">
        <v>18694104.519999988</v>
      </c>
      <c r="E162" s="66">
        <v>267490.05000000016</v>
      </c>
      <c r="F162" s="66">
        <v>2282943.7900000005</v>
      </c>
      <c r="G162" s="93">
        <f>SUM(D162:F162)</f>
        <v>21244538.359999988</v>
      </c>
    </row>
  </sheetData>
  <mergeCells count="10">
    <mergeCell ref="I41:L41"/>
    <mergeCell ref="N41:Q41"/>
    <mergeCell ref="S41:V41"/>
    <mergeCell ref="I72:L72"/>
    <mergeCell ref="N72:Q72"/>
    <mergeCell ref="D134:G134"/>
    <mergeCell ref="D10:G10"/>
    <mergeCell ref="D41:G41"/>
    <mergeCell ref="D72:G72"/>
    <mergeCell ref="D103:G103"/>
  </mergeCells>
  <printOptions horizontalCentered="1"/>
  <pageMargins left="0.5" right="0.5" top="3" bottom="0.5" header="1.5" footer="0.5"/>
  <pageSetup fitToHeight="0" orientation="landscape" scale="57" r:id="rId1"/>
  <headerFooter alignWithMargins="0">
    <oddHeader>&amp;C&amp;B
2022 RATE CASE
ONCOR ELECTRIC DELIVERY COMPANY LLC
II-D-3.4  PAYROLL CAPITALIZED VS. EXPENSED BY FUNCTION
TEST YEAR ENDING DECEMBER 31, 2021
SPONSOR: W. ALAN LEDBETTER&amp;R&amp;"Arial,Bold"Schedule &amp;A
Page &amp;P of &amp;N</oddHeader>
  </headerFooter>
  <rowBreaks count="2" manualBreakCount="2">
    <brk id="39" max="6" man="1"/>
    <brk id="132" max="6" man="1"/>
  </rowBreak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4">
    <tabColor rgb="FFFF0000"/>
  </sheetPr>
  <dimension ref="A1:J38"/>
  <sheetViews>
    <sheetView workbookViewId="0" topLeftCell="A1">
      <pane xSplit="2" ySplit="14" topLeftCell="C15" activePane="bottomRight" state="frozen"/>
      <selection pane="topLeft" activeCell="Q42" sqref="Q42"/>
      <selection pane="bottomLeft" activeCell="Q42" sqref="Q42"/>
      <selection pane="topRight" activeCell="Q42" sqref="Q42"/>
      <selection pane="bottomRight" activeCell="M33" sqref="M33"/>
    </sheetView>
  </sheetViews>
  <sheetFormatPr defaultRowHeight="12.75"/>
  <cols>
    <col min="1" max="1" width="5.71428571428571" customWidth="1"/>
    <col min="2" max="2" width="20.4285714285714" bestFit="1" customWidth="1"/>
    <col min="3" max="3" width="2.71428571428571" customWidth="1"/>
    <col min="4" max="8" width="14.7142857142857" customWidth="1"/>
  </cols>
  <sheetData>
    <row r="1" spans="1:1" ht="12.75">
      <c r="A1" s="5" t="str">
        <f>+'[3]Input Data'!$A$9</f>
        <v>2022 RATE CASE</v>
      </c>
    </row>
    <row r="2" spans="1:1" ht="12.75">
      <c r="A2" s="8" t="str">
        <f>+'[3]Input Data'!$A$2</f>
        <v>ONCOR ELECTRIC DELIVERY COMPANY LLC</v>
      </c>
    </row>
    <row r="3" spans="1:1" ht="12.75">
      <c r="A3" s="7" t="str">
        <f>CONCATENATE('[3]Schedule Sponsors'!$A$73,'[3]Schedule Sponsors'!$B$73)</f>
        <v>II-D-3.5  NUMBER OF EMPLOYEES</v>
      </c>
    </row>
    <row r="4" spans="1:1" ht="12.75">
      <c r="A4" s="63" t="str">
        <f>+'[3]Input Data'!$A$4</f>
        <v>TEST YEAR ENDING DECEMBER 31, 2021</v>
      </c>
    </row>
    <row r="5" spans="1:1" ht="12.75">
      <c r="A5" s="7" t="str">
        <f>CONCATENATE("SPONSOR: ",'[3]Schedule Sponsors'!$D$73)</f>
        <v>SPONSOR: A. GUILLORY</v>
      </c>
    </row>
    <row r="10" spans="1:8" s="2" customFormat="1" ht="13.5" thickBot="1">
      <c r="A10" s="8"/>
      <c r="B10" s="18"/>
      <c r="C10" s="8"/>
      <c r="D10" s="362" t="s">
        <v>6</v>
      </c>
      <c r="E10" s="362"/>
      <c r="F10" s="362"/>
      <c r="G10" s="362"/>
      <c r="H10" s="362"/>
    </row>
    <row r="11" spans="1:8" s="2" customFormat="1" ht="12.75">
      <c r="A11" s="18" t="s">
        <v>87</v>
      </c>
      <c r="B11" s="18"/>
      <c r="C11" s="18"/>
      <c r="D11" s="18"/>
      <c r="E11" s="25"/>
      <c r="F11" s="25"/>
      <c r="G11" s="18"/>
      <c r="H11" s="91"/>
    </row>
    <row r="12" spans="1:8" s="2" customFormat="1" ht="12.75">
      <c r="A12" s="92" t="s">
        <v>89</v>
      </c>
      <c r="B12" s="92" t="s">
        <v>64</v>
      </c>
      <c r="C12" s="18"/>
      <c r="D12" s="92" t="s">
        <v>171</v>
      </c>
      <c r="E12" s="92" t="s">
        <v>172</v>
      </c>
      <c r="F12" s="92" t="s">
        <v>173</v>
      </c>
      <c r="G12" s="92" t="s">
        <v>174</v>
      </c>
      <c r="H12" s="92" t="s">
        <v>216</v>
      </c>
    </row>
    <row r="13" spans="1:8" s="2" customFormat="1" ht="12.75">
      <c r="A13" s="18"/>
      <c r="B13" s="16" t="s">
        <v>44</v>
      </c>
      <c r="C13" s="16"/>
      <c r="D13" s="16" t="s">
        <v>45</v>
      </c>
      <c r="E13" s="16" t="s">
        <v>74</v>
      </c>
      <c r="F13" s="16" t="s">
        <v>75</v>
      </c>
      <c r="G13" s="16" t="s">
        <v>76</v>
      </c>
      <c r="H13" s="16" t="s">
        <v>77</v>
      </c>
    </row>
    <row r="14" spans="4:6" ht="12.75">
      <c r="D14" s="66"/>
      <c r="E14" s="66"/>
      <c r="F14" s="66"/>
    </row>
    <row r="15" spans="1:8" ht="12.75">
      <c r="A15" s="1">
        <v>1</v>
      </c>
      <c r="B15" s="133" t="str">
        <f>+'II-D-3.4'!B15</f>
        <v>January 2021</v>
      </c>
      <c r="D15" s="66">
        <f>4402+39</f>
        <v>4441</v>
      </c>
      <c r="E15" s="66">
        <f>3+9</f>
        <v>12</v>
      </c>
      <c r="F15" s="66">
        <v>0</v>
      </c>
      <c r="G15" s="66">
        <v>0</v>
      </c>
      <c r="H15" s="66">
        <f t="shared" si="0" ref="H15:H26">SUM(D15:G15)</f>
        <v>4453</v>
      </c>
    </row>
    <row r="16" spans="1:10" ht="12.75">
      <c r="A16" s="1">
        <v>2</v>
      </c>
      <c r="B16" s="133" t="str">
        <f>+'II-D-3.4'!B16</f>
        <v>February 2021</v>
      </c>
      <c r="D16" s="66">
        <f>4391+42</f>
        <v>4433</v>
      </c>
      <c r="E16" s="66">
        <f>3+9</f>
        <v>12</v>
      </c>
      <c r="F16" s="66">
        <v>0</v>
      </c>
      <c r="G16" s="66">
        <v>0</v>
      </c>
      <c r="H16" s="66">
        <f t="shared" si="0"/>
        <v>4445</v>
      </c>
      <c r="I16" s="108"/>
      <c r="J16" s="110"/>
    </row>
    <row r="17" spans="1:10" ht="12.75">
      <c r="A17" s="1">
        <v>3</v>
      </c>
      <c r="B17" s="133" t="str">
        <f>+'II-D-3.4'!B17</f>
        <v>March 2021</v>
      </c>
      <c r="D17" s="66">
        <f>4396+32</f>
        <v>4428</v>
      </c>
      <c r="E17" s="66">
        <f>3+9</f>
        <v>12</v>
      </c>
      <c r="F17" s="66">
        <v>0</v>
      </c>
      <c r="G17" s="66">
        <v>0</v>
      </c>
      <c r="H17" s="66">
        <f t="shared" si="0"/>
        <v>4440</v>
      </c>
      <c r="I17" s="108"/>
      <c r="J17" s="110"/>
    </row>
    <row r="18" spans="1:10" ht="12.75">
      <c r="A18" s="109">
        <v>4</v>
      </c>
      <c r="B18" s="133" t="str">
        <f>+'II-D-3.4'!B18</f>
        <v>April 2021</v>
      </c>
      <c r="D18" s="66">
        <f>4386+31</f>
        <v>4417</v>
      </c>
      <c r="E18" s="66">
        <f>3+9</f>
        <v>12</v>
      </c>
      <c r="F18" s="66">
        <v>0</v>
      </c>
      <c r="G18" s="66">
        <v>0</v>
      </c>
      <c r="H18" s="66">
        <f t="shared" si="0"/>
        <v>4429</v>
      </c>
      <c r="I18" s="108"/>
      <c r="J18" s="110"/>
    </row>
    <row r="19" spans="1:10" ht="12.75">
      <c r="A19" s="109">
        <v>5</v>
      </c>
      <c r="B19" s="133" t="str">
        <f>+'II-D-3.4'!B19</f>
        <v>May 2021</v>
      </c>
      <c r="D19" s="66">
        <f>4401+82</f>
        <v>4483</v>
      </c>
      <c r="E19" s="66">
        <f>4+6</f>
        <v>10</v>
      </c>
      <c r="F19" s="66">
        <v>0</v>
      </c>
      <c r="G19" s="66">
        <v>0</v>
      </c>
      <c r="H19" s="66">
        <f t="shared" si="0"/>
        <v>4493</v>
      </c>
      <c r="I19" s="108"/>
      <c r="J19" s="110"/>
    </row>
    <row r="20" spans="1:10" ht="12.75">
      <c r="A20" s="1">
        <v>6</v>
      </c>
      <c r="B20" s="133" t="str">
        <f>+'II-D-3.4'!B20</f>
        <v>June 2021</v>
      </c>
      <c r="D20" s="66">
        <f>4425+107</f>
        <v>4532</v>
      </c>
      <c r="E20" s="66">
        <f>4+6</f>
        <v>10</v>
      </c>
      <c r="F20" s="66">
        <v>0</v>
      </c>
      <c r="G20" s="66">
        <v>0</v>
      </c>
      <c r="H20" s="66">
        <f t="shared" si="0"/>
        <v>4542</v>
      </c>
      <c r="I20" s="108"/>
      <c r="J20" s="110"/>
    </row>
    <row r="21" spans="1:10" ht="12.75">
      <c r="A21" s="1">
        <v>7</v>
      </c>
      <c r="B21" s="133" t="str">
        <f>+'II-D-3.4'!B21</f>
        <v>July 2021</v>
      </c>
      <c r="D21" s="66">
        <f>4413+106</f>
        <v>4519</v>
      </c>
      <c r="E21" s="66">
        <f>4+5</f>
        <v>9</v>
      </c>
      <c r="F21" s="66">
        <v>0</v>
      </c>
      <c r="G21" s="66">
        <v>0</v>
      </c>
      <c r="H21" s="66">
        <f t="shared" si="0"/>
        <v>4528</v>
      </c>
      <c r="I21" s="108"/>
      <c r="J21" s="110"/>
    </row>
    <row r="22" spans="1:10" ht="12.75">
      <c r="A22" s="1">
        <v>8</v>
      </c>
      <c r="B22" s="133" t="str">
        <f>+'II-D-3.4'!B22</f>
        <v>August 2021</v>
      </c>
      <c r="D22" s="66">
        <f>4418+53</f>
        <v>4471</v>
      </c>
      <c r="E22" s="66">
        <f>4+14</f>
        <v>18</v>
      </c>
      <c r="F22" s="66">
        <v>0</v>
      </c>
      <c r="G22" s="66">
        <v>0</v>
      </c>
      <c r="H22" s="66">
        <f t="shared" si="0"/>
        <v>4489</v>
      </c>
      <c r="I22" s="108"/>
      <c r="J22" s="110"/>
    </row>
    <row r="23" spans="1:10" ht="12.75">
      <c r="A23" s="109">
        <v>9</v>
      </c>
      <c r="B23" s="133" t="str">
        <f>+'II-D-3.4'!B23</f>
        <v>September 2021</v>
      </c>
      <c r="D23" s="66">
        <f>4399+57</f>
        <v>4456</v>
      </c>
      <c r="E23" s="66">
        <f>4+13</f>
        <v>17</v>
      </c>
      <c r="F23" s="66">
        <v>0</v>
      </c>
      <c r="G23" s="66">
        <v>0</v>
      </c>
      <c r="H23" s="66">
        <f t="shared" si="0"/>
        <v>4473</v>
      </c>
      <c r="I23" s="108"/>
      <c r="J23" s="110"/>
    </row>
    <row r="24" spans="1:10" ht="12.75">
      <c r="A24" s="109">
        <v>10</v>
      </c>
      <c r="B24" s="133" t="str">
        <f>+'II-D-3.4'!B24</f>
        <v>October 2021</v>
      </c>
      <c r="D24" s="66">
        <f>4408+60</f>
        <v>4468</v>
      </c>
      <c r="E24" s="66">
        <f>4+12</f>
        <v>16</v>
      </c>
      <c r="F24" s="66">
        <v>0</v>
      </c>
      <c r="G24" s="66">
        <v>0</v>
      </c>
      <c r="H24" s="66">
        <f t="shared" si="0"/>
        <v>4484</v>
      </c>
      <c r="I24" s="108"/>
      <c r="J24" s="110"/>
    </row>
    <row r="25" spans="1:10" ht="12.75">
      <c r="A25" s="1">
        <v>11</v>
      </c>
      <c r="B25" s="133" t="str">
        <f>+'II-D-3.4'!B25</f>
        <v>November 2021</v>
      </c>
      <c r="D25" s="66">
        <f>4452+50</f>
        <v>4502</v>
      </c>
      <c r="E25" s="66">
        <f>3+12</f>
        <v>15</v>
      </c>
      <c r="F25" s="66">
        <v>0</v>
      </c>
      <c r="G25" s="66">
        <v>0</v>
      </c>
      <c r="H25" s="66">
        <f t="shared" si="0"/>
        <v>4517</v>
      </c>
      <c r="I25" s="108"/>
      <c r="J25" s="110"/>
    </row>
    <row r="26" spans="1:10" ht="12.75">
      <c r="A26" s="1">
        <v>12</v>
      </c>
      <c r="B26" s="133" t="str">
        <f>+'II-D-3.4'!B26</f>
        <v>December 2021</v>
      </c>
      <c r="D26" s="66">
        <f>4477+45</f>
        <v>4522</v>
      </c>
      <c r="E26" s="66">
        <f>4+8</f>
        <v>12</v>
      </c>
      <c r="F26" s="66">
        <v>0</v>
      </c>
      <c r="G26" s="66">
        <v>0</v>
      </c>
      <c r="H26" s="66">
        <f t="shared" si="0"/>
        <v>4534</v>
      </c>
      <c r="I26" s="108"/>
      <c r="J26" s="110"/>
    </row>
    <row r="27" spans="1:8" ht="12.75">
      <c r="A27" s="1">
        <v>13</v>
      </c>
      <c r="D27" s="66"/>
      <c r="E27" s="66"/>
      <c r="F27" s="66"/>
      <c r="G27" s="66"/>
      <c r="H27" s="66"/>
    </row>
    <row r="28" spans="1:1" ht="12.75">
      <c r="A28" s="109">
        <v>14</v>
      </c>
    </row>
    <row r="29" spans="1:1" ht="12.75">
      <c r="A29" s="109">
        <v>15</v>
      </c>
    </row>
    <row r="30" spans="1:8" ht="12.75">
      <c r="A30" s="1">
        <v>16</v>
      </c>
      <c r="B30" s="200" t="s">
        <v>1063</v>
      </c>
      <c r="D30" s="66">
        <v>4506</v>
      </c>
      <c r="E30" s="66">
        <v>13</v>
      </c>
      <c r="F30" s="66">
        <v>0</v>
      </c>
      <c r="G30" s="66">
        <v>0</v>
      </c>
      <c r="H30" s="66">
        <f>SUM(D30:G30)</f>
        <v>4519</v>
      </c>
    </row>
    <row r="31" spans="1:8" ht="12.75">
      <c r="A31" s="1">
        <v>17</v>
      </c>
      <c r="B31" s="200" t="s">
        <v>1064</v>
      </c>
      <c r="D31" s="66">
        <v>4532</v>
      </c>
      <c r="E31" s="66">
        <v>13</v>
      </c>
      <c r="F31" s="66">
        <v>0</v>
      </c>
      <c r="G31" s="66">
        <v>0</v>
      </c>
      <c r="H31" s="66">
        <f>SUM(D31:G31)</f>
        <v>4545</v>
      </c>
    </row>
    <row r="32" spans="1:8" ht="12.75">
      <c r="A32" s="1">
        <v>18</v>
      </c>
      <c r="B32" s="200" t="s">
        <v>1065</v>
      </c>
      <c r="D32" s="66">
        <v>4519</v>
      </c>
      <c r="E32" s="66">
        <v>13</v>
      </c>
      <c r="F32" s="66">
        <v>0</v>
      </c>
      <c r="G32" s="66">
        <v>0</v>
      </c>
      <c r="H32" s="66">
        <f>SUM(D32:G32)</f>
        <v>4532</v>
      </c>
    </row>
    <row r="33" spans="1:8" ht="12.75">
      <c r="A33" s="109">
        <v>19</v>
      </c>
      <c r="D33" s="66"/>
      <c r="E33" s="66"/>
      <c r="F33" s="66"/>
      <c r="G33" s="66"/>
      <c r="H33" s="66"/>
    </row>
    <row r="34" spans="1:8" ht="12.75">
      <c r="A34" s="109">
        <v>20</v>
      </c>
      <c r="B34" s="183" t="s">
        <v>734</v>
      </c>
      <c r="D34" s="66">
        <v>4056</v>
      </c>
      <c r="E34" s="66">
        <v>17</v>
      </c>
      <c r="F34" s="66">
        <v>0</v>
      </c>
      <c r="G34" s="66">
        <v>0</v>
      </c>
      <c r="H34" s="66">
        <f>SUM(D34:G34)</f>
        <v>4073</v>
      </c>
    </row>
    <row r="35" spans="1:8" ht="12.75">
      <c r="A35" s="1">
        <v>21</v>
      </c>
      <c r="B35" s="183" t="s">
        <v>733</v>
      </c>
      <c r="D35" s="66">
        <v>4204</v>
      </c>
      <c r="E35" s="66">
        <v>16</v>
      </c>
      <c r="F35" s="66">
        <v>0</v>
      </c>
      <c r="G35" s="66">
        <v>0</v>
      </c>
      <c r="H35" s="66">
        <f>SUM(D35:G35)</f>
        <v>4220</v>
      </c>
    </row>
    <row r="36" spans="1:8" ht="12.75">
      <c r="A36" s="1">
        <v>22</v>
      </c>
      <c r="B36" s="183" t="s">
        <v>860</v>
      </c>
      <c r="D36" s="66">
        <v>4431</v>
      </c>
      <c r="E36" s="66">
        <v>10</v>
      </c>
      <c r="F36" s="66">
        <v>0</v>
      </c>
      <c r="G36" s="66">
        <v>0</v>
      </c>
      <c r="H36" s="66">
        <f>SUM(D36:G36)</f>
        <v>4441</v>
      </c>
    </row>
    <row r="37" spans="1:1" ht="12.75">
      <c r="A37" s="109"/>
    </row>
    <row r="38" spans="1:1" ht="12.75">
      <c r="A38" s="1"/>
    </row>
  </sheetData>
  <mergeCells count="1">
    <mergeCell ref="D10:H10"/>
  </mergeCells>
  <printOptions horizontalCentered="1"/>
  <pageMargins left="0.5" right="0.5" top="3" bottom="0.5" header="1.5" footer="0.5"/>
  <pageSetup fitToWidth="3" orientation="landscape" r:id="rId1"/>
  <headerFooter alignWithMargins="0">
    <oddHeader>&amp;C&amp;B
2022 RATE CASE
ONCOR ELECTRIC DELIVERY COMPANY LLC
II-D-3.5  NUMBER OF EMPLOYEES
TEST YEAR ENDING DECEMBER 31, 2021
SPONSOR: A. GUILLORY&amp;R&amp;"Arial,Bold"Schedule &amp;A
Page &amp;P of &amp;N</oddHead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5">
    <tabColor rgb="FFFF0000"/>
    <pageSetUpPr fitToPage="1"/>
  </sheetPr>
  <dimension ref="A1:V162"/>
  <sheetViews>
    <sheetView workbookViewId="0" topLeftCell="A1">
      <pane xSplit="2" ySplit="14" topLeftCell="G55" activePane="bottomRight" state="frozen"/>
      <selection pane="topLeft" activeCell="C15" sqref="C15"/>
      <selection pane="bottomLeft" activeCell="C15" sqref="C15"/>
      <selection pane="topRight" activeCell="C15" sqref="C15"/>
      <selection pane="bottomRight" activeCell="S1" sqref="S1:V1048576"/>
    </sheetView>
  </sheetViews>
  <sheetFormatPr defaultRowHeight="12.75"/>
  <cols>
    <col min="1" max="1" width="5.71428571428571" customWidth="1"/>
    <col min="2" max="2" width="25" bestFit="1" customWidth="1"/>
    <col min="3" max="3" width="2.71428571428571" customWidth="1"/>
    <col min="4" max="4" width="14.7142857142857" customWidth="1"/>
    <col min="5" max="5" width="12.7142857142857" customWidth="1"/>
    <col min="6" max="6" width="16.5714285714286" bestFit="1" customWidth="1"/>
    <col min="7" max="7" width="17" bestFit="1" customWidth="1"/>
    <col min="8" max="8" width="2.71428571428571" customWidth="1"/>
    <col min="9" max="9" width="14.2857142857143" bestFit="1" customWidth="1"/>
    <col min="10" max="10" width="12.1428571428571" bestFit="1" customWidth="1"/>
    <col min="11" max="11" width="9.85714285714286" bestFit="1" customWidth="1"/>
    <col min="12" max="12" width="11.4285714285714" bestFit="1" customWidth="1"/>
    <col min="13" max="13" width="2.71428571428571" customWidth="1"/>
    <col min="14" max="14" width="17.7142857142857" customWidth="1"/>
    <col min="15" max="15" width="13.7142857142857" customWidth="1"/>
    <col min="16" max="16" width="16.5714285714286" bestFit="1" customWidth="1"/>
    <col min="17" max="17" width="17" bestFit="1" customWidth="1"/>
    <col min="18" max="18" width="2.71428571428571" customWidth="1"/>
    <col min="19" max="22" width="13.7142857142857" customWidth="1"/>
  </cols>
  <sheetData>
    <row r="1" spans="1:1" ht="12.75">
      <c r="A1" s="5" t="str">
        <f>+'[3]Input Data'!$A$9</f>
        <v>2022 RATE CASE</v>
      </c>
    </row>
    <row r="2" spans="1:1" ht="12.75">
      <c r="A2" s="8" t="str">
        <f>+'[3]Input Data'!$A$2</f>
        <v>ONCOR ELECTRIC DELIVERY COMPANY LLC</v>
      </c>
    </row>
    <row r="3" spans="1:1" ht="12.75">
      <c r="A3" s="7" t="str">
        <f>CONCATENATE('[3]Schedule Sponsors'!$A$74,'[3]Schedule Sponsors'!$B$74)</f>
        <v>II-D-3.6  COMPENSATION OTHER THAN STANDARD COMPENSATION BY FUNCTION</v>
      </c>
    </row>
    <row r="4" spans="1:1" ht="12.75">
      <c r="A4" s="63" t="str">
        <f>+'[3]Input Data'!$A$4</f>
        <v>TEST YEAR ENDING DECEMBER 31, 2021</v>
      </c>
    </row>
    <row r="5" spans="1:1" ht="12.75">
      <c r="A5" s="7" t="str">
        <f>CONCATENATE("SPONSORS: ",'[3]Schedule Sponsors'!$D$74)</f>
        <v>SPONSORS: W. ALAN LEDBETTER/ A. GUILLORY</v>
      </c>
    </row>
    <row r="10" spans="1:7" s="96" customFormat="1" ht="13.5" thickBot="1">
      <c r="A10" s="8"/>
      <c r="B10" s="18"/>
      <c r="C10" s="61"/>
      <c r="D10" s="362" t="s">
        <v>216</v>
      </c>
      <c r="E10" s="362"/>
      <c r="F10" s="362"/>
      <c r="G10" s="362"/>
    </row>
    <row r="11" spans="1:7" s="2" customFormat="1" ht="12.75">
      <c r="A11" s="18" t="s">
        <v>87</v>
      </c>
      <c r="B11" s="18"/>
      <c r="C11" s="18"/>
      <c r="D11" s="18" t="s">
        <v>14</v>
      </c>
      <c r="E11" s="18" t="s">
        <v>15</v>
      </c>
      <c r="F11" s="18"/>
      <c r="G11" s="91"/>
    </row>
    <row r="12" spans="1:7" s="2" customFormat="1" ht="12.75">
      <c r="A12" s="208" t="s">
        <v>89</v>
      </c>
      <c r="B12" s="208" t="s">
        <v>64</v>
      </c>
      <c r="C12" s="18"/>
      <c r="D12" s="92" t="s">
        <v>67</v>
      </c>
      <c r="E12" s="92" t="s">
        <v>16</v>
      </c>
      <c r="F12" s="92" t="s">
        <v>63</v>
      </c>
      <c r="G12" s="92" t="s">
        <v>216</v>
      </c>
    </row>
    <row r="13" spans="1:7" s="2" customFormat="1" ht="12.75">
      <c r="A13" s="18"/>
      <c r="B13" s="16" t="s">
        <v>44</v>
      </c>
      <c r="C13" s="16"/>
      <c r="D13" s="16" t="s">
        <v>45</v>
      </c>
      <c r="E13" s="16" t="s">
        <v>74</v>
      </c>
      <c r="F13" s="16" t="s">
        <v>75</v>
      </c>
      <c r="G13" s="16" t="s">
        <v>76</v>
      </c>
    </row>
    <row r="14" spans="1:7" s="97" customFormat="1" ht="12.75">
      <c r="A14"/>
      <c r="B14"/>
      <c r="C14" s="60"/>
      <c r="D14" s="60"/>
      <c r="E14" s="60"/>
      <c r="F14" s="60"/>
      <c r="G14" s="60"/>
    </row>
    <row r="15" spans="1:7" ht="12.75">
      <c r="A15" s="1">
        <f>+'II-D-3.2'!A15</f>
        <v>1</v>
      </c>
      <c r="B15" s="133" t="str">
        <f>+'II-D-3.2'!B15</f>
        <v>January 2021</v>
      </c>
      <c r="D15" s="140">
        <f>+S46+N77+D108+D139</f>
        <v>2343072.9399999999</v>
      </c>
      <c r="E15" s="140">
        <f t="shared" si="0" ref="E15:F15">+T46+O77+E108+E139</f>
        <v>3502687.1600000001</v>
      </c>
      <c r="F15" s="140">
        <f t="shared" si="0"/>
        <v>38752</v>
      </c>
      <c r="G15" s="140">
        <f>SUM(D15:F15)</f>
        <v>5884512.0999999996</v>
      </c>
    </row>
    <row r="16" spans="1:7" ht="12.75">
      <c r="A16" s="1">
        <f>+'II-D-3.2'!A16</f>
        <v>2</v>
      </c>
      <c r="B16" s="133" t="str">
        <f>+'II-D-3.2'!B16</f>
        <v>February 2021</v>
      </c>
      <c r="D16" s="66">
        <f t="shared" si="1" ref="D16:F16">+S47+N78+D109+D140</f>
        <v>547253.71999999997</v>
      </c>
      <c r="E16" s="66">
        <f t="shared" si="1"/>
        <v>3358730.6899999999</v>
      </c>
      <c r="F16" s="66">
        <f t="shared" si="1"/>
        <v>316456</v>
      </c>
      <c r="G16" s="66">
        <f t="shared" si="2" ref="G16:G26">SUM(D16:F16)</f>
        <v>4222440.4100000001</v>
      </c>
    </row>
    <row r="17" spans="1:7" ht="12.75">
      <c r="A17" s="1">
        <f>+'II-D-3.2'!A17</f>
        <v>3</v>
      </c>
      <c r="B17" s="133" t="str">
        <f>+'II-D-3.2'!B17</f>
        <v>March 2021</v>
      </c>
      <c r="D17" s="66">
        <f t="shared" si="3" ref="D17:F17">+S48+N79+D110+D141</f>
        <v>3851342.6299999999</v>
      </c>
      <c r="E17" s="66">
        <f t="shared" si="3"/>
        <v>1194411.3499999999</v>
      </c>
      <c r="F17" s="66">
        <f t="shared" si="3"/>
        <v>2152360.0000000014</v>
      </c>
      <c r="G17" s="66">
        <f t="shared" si="2"/>
        <v>7198113.9800000004</v>
      </c>
    </row>
    <row r="18" spans="1:7" ht="12.75">
      <c r="A18" s="1">
        <f>+'II-D-3.2'!A18</f>
        <v>4</v>
      </c>
      <c r="B18" s="133" t="str">
        <f>+'II-D-3.2'!B18</f>
        <v>April 2021</v>
      </c>
      <c r="D18" s="66">
        <f t="shared" si="4" ref="D18:F18">+S49+N80+D111+D142</f>
        <v>2144747.3299999996</v>
      </c>
      <c r="E18" s="66">
        <f t="shared" si="4"/>
        <v>3488902.9200000004</v>
      </c>
      <c r="F18" s="66">
        <f t="shared" si="4"/>
        <v>112840</v>
      </c>
      <c r="G18" s="66">
        <f t="shared" si="2"/>
        <v>5746490.25</v>
      </c>
    </row>
    <row r="19" spans="1:7" ht="12.75">
      <c r="A19" s="1">
        <f>+'II-D-3.2'!A19</f>
        <v>5</v>
      </c>
      <c r="B19" s="133" t="str">
        <f>+'II-D-3.2'!B19</f>
        <v>May 2021</v>
      </c>
      <c r="D19" s="66">
        <f t="shared" si="5" ref="D19:F19">+S50+N81+D112+D143</f>
        <v>3532066.9599999995</v>
      </c>
      <c r="E19" s="66">
        <f t="shared" si="5"/>
        <v>3562613.7799999998</v>
      </c>
      <c r="F19" s="66">
        <f t="shared" si="5"/>
        <v>56895.999999999993</v>
      </c>
      <c r="G19" s="66">
        <f t="shared" si="2"/>
        <v>7151576.7399999993</v>
      </c>
    </row>
    <row r="20" spans="1:7" ht="12.75">
      <c r="A20" s="1">
        <f>+'II-D-3.2'!A20</f>
        <v>6</v>
      </c>
      <c r="B20" s="133" t="str">
        <f>+'II-D-3.2'!B20</f>
        <v>June 2021</v>
      </c>
      <c r="D20" s="66">
        <f t="shared" si="6" ref="D20:F20">+S51+N82+D113+D144</f>
        <v>1637996.3599999999</v>
      </c>
      <c r="E20" s="66">
        <f t="shared" si="6"/>
        <v>8570172.6799999997</v>
      </c>
      <c r="F20" s="66">
        <f t="shared" si="6"/>
        <v>204120.00000000009</v>
      </c>
      <c r="G20" s="66">
        <f t="shared" si="2"/>
        <v>10412289.039999999</v>
      </c>
    </row>
    <row r="21" spans="1:7" ht="12.75">
      <c r="A21" s="1">
        <f>+'II-D-3.2'!A21</f>
        <v>7</v>
      </c>
      <c r="B21" s="133" t="str">
        <f>+'II-D-3.2'!B21</f>
        <v>July 2021</v>
      </c>
      <c r="D21" s="66">
        <f t="shared" si="7" ref="D21:F21">+S52+N83+D114+D145</f>
        <v>2146393.5299999998</v>
      </c>
      <c r="E21" s="66">
        <f t="shared" si="7"/>
        <v>4381230.2799999993</v>
      </c>
      <c r="F21" s="66">
        <f t="shared" si="7"/>
        <v>3808</v>
      </c>
      <c r="G21" s="66">
        <f t="shared" si="2"/>
        <v>6531431.8099999987</v>
      </c>
    </row>
    <row r="22" spans="1:7" ht="12.75">
      <c r="A22" s="1">
        <f>+'II-D-3.2'!A22</f>
        <v>8</v>
      </c>
      <c r="B22" s="133" t="str">
        <f>+'II-D-3.2'!B22</f>
        <v>August 2021</v>
      </c>
      <c r="D22" s="66">
        <f t="shared" si="8" ref="D22:F22">+S53+N84+D115+D146</f>
        <v>1648393.26</v>
      </c>
      <c r="E22" s="66">
        <f t="shared" si="8"/>
        <v>4393322.7999999989</v>
      </c>
      <c r="F22" s="66">
        <f t="shared" si="8"/>
        <v>213304</v>
      </c>
      <c r="G22" s="66">
        <f t="shared" si="2"/>
        <v>6255020.0599999987</v>
      </c>
    </row>
    <row r="23" spans="1:7" ht="12.75">
      <c r="A23" s="1">
        <f>+'II-D-3.2'!A23</f>
        <v>9</v>
      </c>
      <c r="B23" s="133" t="str">
        <f>+'II-D-3.2'!B23</f>
        <v>September 2021</v>
      </c>
      <c r="D23" s="66">
        <f t="shared" si="9" ref="D23:F23">+S54+N85+D116+D147</f>
        <v>2974709.96</v>
      </c>
      <c r="E23" s="66">
        <f t="shared" si="9"/>
        <v>1428046.25</v>
      </c>
      <c r="F23" s="66">
        <f t="shared" si="9"/>
        <v>173655.99999999994</v>
      </c>
      <c r="G23" s="66">
        <f t="shared" si="2"/>
        <v>4576412.21</v>
      </c>
    </row>
    <row r="24" spans="1:7" ht="12.75">
      <c r="A24" s="1">
        <f>+'II-D-3.2'!A24</f>
        <v>10</v>
      </c>
      <c r="B24" s="133" t="str">
        <f>+'II-D-3.2'!B24</f>
        <v>October 2021</v>
      </c>
      <c r="D24" s="66">
        <f t="shared" si="10" ref="D24:F24">+S55+N86+D117+D148</f>
        <v>-110534.64000000004</v>
      </c>
      <c r="E24" s="66">
        <f t="shared" si="10"/>
        <v>3923125.1800000002</v>
      </c>
      <c r="F24" s="66">
        <f t="shared" si="10"/>
        <v>30463.999999999996</v>
      </c>
      <c r="G24" s="66">
        <f t="shared" si="2"/>
        <v>3843054.54</v>
      </c>
    </row>
    <row r="25" spans="1:7" ht="12.75">
      <c r="A25" s="1">
        <f>+'II-D-3.2'!A25</f>
        <v>11</v>
      </c>
      <c r="B25" s="133" t="str">
        <f>+'II-D-3.2'!B25</f>
        <v>November 2021</v>
      </c>
      <c r="D25" s="66">
        <f t="shared" si="11" ref="D25:F25">+S56+N87+D118+D149</f>
        <v>4205777.6000000006</v>
      </c>
      <c r="E25" s="66">
        <f t="shared" si="11"/>
        <v>3938079.2200000002</v>
      </c>
      <c r="F25" s="66">
        <f t="shared" si="11"/>
        <v>205464.00000000003</v>
      </c>
      <c r="G25" s="66">
        <f t="shared" si="2"/>
        <v>8349320.8200000003</v>
      </c>
    </row>
    <row r="26" spans="1:7" ht="12.75">
      <c r="A26" s="1">
        <f>+'II-D-3.2'!A26</f>
        <v>12</v>
      </c>
      <c r="B26" s="133" t="str">
        <f>+'II-D-3.2'!B26</f>
        <v>December 2021</v>
      </c>
      <c r="D26" s="66">
        <f t="shared" si="12" ref="D26:F26">+S57+N88+D119+D150</f>
        <v>872404.26000000001</v>
      </c>
      <c r="E26" s="66">
        <f t="shared" si="12"/>
        <v>4518414.6600000001</v>
      </c>
      <c r="F26" s="66">
        <f t="shared" si="12"/>
        <v>284871.99999999994</v>
      </c>
      <c r="G26" s="66">
        <f t="shared" si="2"/>
        <v>5675690.9199999999</v>
      </c>
    </row>
    <row r="27" spans="1:7" ht="12.75">
      <c r="A27" s="1">
        <f>+'II-D-3.2'!A27</f>
        <v>13</v>
      </c>
      <c r="D27" s="115"/>
      <c r="E27" s="115"/>
      <c r="F27" s="115"/>
      <c r="G27" s="115"/>
    </row>
    <row r="28" spans="1:7" ht="12.75">
      <c r="A28" s="1">
        <f>+'II-D-3.2'!A28</f>
        <v>14</v>
      </c>
      <c r="B28" s="94" t="s">
        <v>69</v>
      </c>
      <c r="C28" s="5"/>
      <c r="D28" s="142">
        <f>SUM(D15:D26)</f>
        <v>25793623.91</v>
      </c>
      <c r="E28" s="142">
        <f t="shared" si="13" ref="E28:F28">SUM(E15:E26)</f>
        <v>46259736.969999999</v>
      </c>
      <c r="F28" s="142">
        <f t="shared" si="13"/>
        <v>3792992.0000000014</v>
      </c>
      <c r="G28" s="142">
        <f>SUM(G15:G26)</f>
        <v>75846352.88000001</v>
      </c>
    </row>
    <row r="29" spans="1:1" ht="12.75">
      <c r="A29" s="1">
        <f>+'II-D-3.2'!A29</f>
        <v>15</v>
      </c>
    </row>
    <row r="30" spans="1:1" ht="12.75">
      <c r="A30" s="1">
        <f>+'II-D-3.2'!A30</f>
        <v>16</v>
      </c>
    </row>
    <row r="31" spans="1:7" ht="12.75">
      <c r="A31" s="1">
        <f>+'II-D-3.2'!A31</f>
        <v>17</v>
      </c>
      <c r="B31" s="94" t="s">
        <v>158</v>
      </c>
      <c r="D31" s="140">
        <f t="shared" si="14" ref="D31:D33">+S62+N93+D124+D155</f>
        <v>0</v>
      </c>
      <c r="E31" s="140">
        <f t="shared" si="15" ref="E31:E33">+T62+O93+E124+E155</f>
        <v>0</v>
      </c>
      <c r="F31" s="140">
        <f t="shared" si="16" ref="F31:F33">+U62+P93+F124+F155</f>
        <v>0</v>
      </c>
      <c r="G31" s="140">
        <f>SUM(D31:F31)</f>
        <v>0</v>
      </c>
    </row>
    <row r="32" spans="1:7" ht="12.75">
      <c r="A32" s="1">
        <f>+'II-D-3.2'!A32</f>
        <v>18</v>
      </c>
      <c r="B32" s="94" t="s">
        <v>159</v>
      </c>
      <c r="D32" s="66">
        <f t="shared" si="14"/>
        <v>0</v>
      </c>
      <c r="E32" s="66">
        <f t="shared" si="15"/>
        <v>0</v>
      </c>
      <c r="F32" s="66">
        <f t="shared" si="16"/>
        <v>0</v>
      </c>
      <c r="G32" s="66">
        <f>SUM(D32:F32)</f>
        <v>0</v>
      </c>
    </row>
    <row r="33" spans="1:7" ht="12.75">
      <c r="A33" s="1">
        <f>+'II-D-3.2'!A33</f>
        <v>19</v>
      </c>
      <c r="B33" s="94" t="s">
        <v>46</v>
      </c>
      <c r="D33" s="66">
        <f t="shared" si="14"/>
        <v>0</v>
      </c>
      <c r="E33" s="66">
        <f t="shared" si="15"/>
        <v>0</v>
      </c>
      <c r="F33" s="66">
        <f t="shared" si="16"/>
        <v>0</v>
      </c>
      <c r="G33" s="66">
        <f>SUM(D33:F33)</f>
        <v>0</v>
      </c>
    </row>
    <row r="34" spans="1:1" ht="12.75">
      <c r="A34" s="1">
        <f>+'II-D-3.2'!A34</f>
        <v>20</v>
      </c>
    </row>
    <row r="35" spans="1:1" ht="12.75">
      <c r="A35" s="1">
        <f>+'II-D-3.2'!A35</f>
        <v>21</v>
      </c>
    </row>
    <row r="36" spans="1:7" ht="12.75">
      <c r="A36" s="1">
        <f>+'II-D-3.2'!A36</f>
        <v>22</v>
      </c>
      <c r="B36" s="94" t="str">
        <f>+'II-D-3.2'!B36</f>
        <v>TME 2018</v>
      </c>
      <c r="D36" s="140">
        <f t="shared" si="17" ref="D36:D38">+S67+N98+D129+D160</f>
        <v>35520132.959999993</v>
      </c>
      <c r="E36" s="140">
        <f t="shared" si="18" ref="E36:E38">+T67+O98+E129+E160</f>
        <v>34732944.249999993</v>
      </c>
      <c r="F36" s="140">
        <f t="shared" si="19" ref="F36:F38">+U67+P98+F129+F160</f>
        <v>1513455.9999999998</v>
      </c>
      <c r="G36" s="140">
        <f>SUM(D36:F36)</f>
        <v>71766533.209999979</v>
      </c>
    </row>
    <row r="37" spans="1:7" ht="12.75">
      <c r="A37" s="1">
        <f>+'II-D-3.2'!A37</f>
        <v>23</v>
      </c>
      <c r="B37" s="94" t="str">
        <f>+'II-D-3.2'!B37</f>
        <v>TME 2019</v>
      </c>
      <c r="D37" s="66">
        <f t="shared" si="17"/>
        <v>22355515.870000001</v>
      </c>
      <c r="E37" s="66">
        <f t="shared" si="18"/>
        <v>34218436.909999989</v>
      </c>
      <c r="F37" s="66">
        <f t="shared" si="19"/>
        <v>4783470.0000000019</v>
      </c>
      <c r="G37" s="66">
        <f>SUM(D37:F37)</f>
        <v>61357422.779999986</v>
      </c>
    </row>
    <row r="38" spans="1:7" ht="12.75">
      <c r="A38" s="1">
        <f>+'II-D-3.2'!A38</f>
        <v>24</v>
      </c>
      <c r="B38" s="94" t="str">
        <f>+'II-D-3.2'!B38</f>
        <v>TME 2020</v>
      </c>
      <c r="D38" s="66">
        <f t="shared" si="17"/>
        <v>22197238.600000001</v>
      </c>
      <c r="E38" s="66">
        <f t="shared" si="18"/>
        <v>54776574.000000007</v>
      </c>
      <c r="F38" s="66">
        <f t="shared" si="19"/>
        <v>2094904</v>
      </c>
      <c r="G38" s="66">
        <f>SUM(D38:F38)</f>
        <v>79068716.600000009</v>
      </c>
    </row>
    <row r="41" spans="4:22" ht="13.5" thickBot="1">
      <c r="D41" s="362" t="s">
        <v>294</v>
      </c>
      <c r="E41" s="362"/>
      <c r="F41" s="362"/>
      <c r="G41" s="362"/>
      <c r="I41" s="363" t="s">
        <v>724</v>
      </c>
      <c r="J41" s="362"/>
      <c r="K41" s="362"/>
      <c r="L41" s="362"/>
      <c r="N41" s="363" t="s">
        <v>725</v>
      </c>
      <c r="O41" s="362"/>
      <c r="P41" s="362"/>
      <c r="Q41" s="362"/>
      <c r="S41" s="363" t="s">
        <v>726</v>
      </c>
      <c r="T41" s="362"/>
      <c r="U41" s="362"/>
      <c r="V41" s="362"/>
    </row>
    <row r="42" spans="1:22" ht="12.75">
      <c r="A42" s="18" t="s">
        <v>87</v>
      </c>
      <c r="B42" s="18"/>
      <c r="D42" s="18" t="s">
        <v>14</v>
      </c>
      <c r="E42" s="18" t="s">
        <v>15</v>
      </c>
      <c r="F42" s="18"/>
      <c r="G42" s="91"/>
      <c r="I42" s="18" t="s">
        <v>14</v>
      </c>
      <c r="J42" s="18" t="s">
        <v>15</v>
      </c>
      <c r="K42" s="18"/>
      <c r="L42" s="91"/>
      <c r="N42" s="18" t="s">
        <v>14</v>
      </c>
      <c r="O42" s="18" t="s">
        <v>15</v>
      </c>
      <c r="P42" s="18"/>
      <c r="Q42" s="91"/>
      <c r="S42" s="18" t="s">
        <v>14</v>
      </c>
      <c r="T42" s="18" t="s">
        <v>15</v>
      </c>
      <c r="U42" s="18"/>
      <c r="V42" s="91"/>
    </row>
    <row r="43" spans="1:22" ht="12.75">
      <c r="A43" s="208" t="s">
        <v>89</v>
      </c>
      <c r="B43" s="208" t="s">
        <v>64</v>
      </c>
      <c r="D43" s="92" t="s">
        <v>67</v>
      </c>
      <c r="E43" s="92" t="s">
        <v>16</v>
      </c>
      <c r="F43" s="92" t="s">
        <v>63</v>
      </c>
      <c r="G43" s="92" t="s">
        <v>216</v>
      </c>
      <c r="I43" s="208" t="s">
        <v>67</v>
      </c>
      <c r="J43" s="208" t="s">
        <v>16</v>
      </c>
      <c r="K43" s="208" t="s">
        <v>63</v>
      </c>
      <c r="L43" s="208" t="s">
        <v>216</v>
      </c>
      <c r="N43" s="208" t="s">
        <v>67</v>
      </c>
      <c r="O43" s="208" t="s">
        <v>16</v>
      </c>
      <c r="P43" s="208" t="s">
        <v>63</v>
      </c>
      <c r="Q43" s="208" t="s">
        <v>216</v>
      </c>
      <c r="S43" s="208" t="s">
        <v>67</v>
      </c>
      <c r="T43" s="208" t="s">
        <v>16</v>
      </c>
      <c r="U43" s="208" t="s">
        <v>63</v>
      </c>
      <c r="V43" s="208" t="s">
        <v>216</v>
      </c>
    </row>
    <row r="44" spans="1:22" ht="12.75">
      <c r="A44" s="18"/>
      <c r="B44" s="16" t="s">
        <v>44</v>
      </c>
      <c r="D44" s="16" t="s">
        <v>45</v>
      </c>
      <c r="E44" s="16" t="s">
        <v>74</v>
      </c>
      <c r="F44" s="16" t="s">
        <v>75</v>
      </c>
      <c r="G44" s="16" t="s">
        <v>76</v>
      </c>
      <c r="I44" s="203" t="s">
        <v>77</v>
      </c>
      <c r="J44" s="203" t="s">
        <v>78</v>
      </c>
      <c r="K44" s="203" t="s">
        <v>79</v>
      </c>
      <c r="L44" s="203" t="s">
        <v>80</v>
      </c>
      <c r="N44" s="203" t="s">
        <v>81</v>
      </c>
      <c r="O44" s="203" t="s">
        <v>82</v>
      </c>
      <c r="P44" s="203" t="s">
        <v>83</v>
      </c>
      <c r="Q44" s="203" t="s">
        <v>84</v>
      </c>
      <c r="S44" s="203" t="s">
        <v>85</v>
      </c>
      <c r="T44" s="203" t="s">
        <v>86</v>
      </c>
      <c r="U44" s="203" t="s">
        <v>255</v>
      </c>
      <c r="V44" s="203" t="s">
        <v>128</v>
      </c>
    </row>
    <row r="45" spans="4:22" ht="12.75">
      <c r="D45" s="97"/>
      <c r="E45" s="97"/>
      <c r="F45" s="97"/>
      <c r="G45" s="97"/>
      <c r="I45" s="97"/>
      <c r="J45" s="97"/>
      <c r="K45" s="97"/>
      <c r="L45" s="97"/>
      <c r="N45" s="97"/>
      <c r="O45" s="97"/>
      <c r="P45" s="97"/>
      <c r="Q45" s="97"/>
      <c r="S45" s="97"/>
      <c r="T45" s="97"/>
      <c r="U45" s="97"/>
      <c r="V45" s="97"/>
    </row>
    <row r="46" spans="1:22" ht="12.75">
      <c r="A46" s="1">
        <f>+'II-D-3.2'!A46</f>
        <v>25</v>
      </c>
      <c r="B46" s="133" t="str">
        <f t="shared" si="20" ref="B46:B57">+B15</f>
        <v>January 2021</v>
      </c>
      <c r="D46" s="140">
        <v>769220.80999999994</v>
      </c>
      <c r="E46" s="140">
        <v>1197306.1300000001</v>
      </c>
      <c r="F46" s="140">
        <v>4877.6599999999999</v>
      </c>
      <c r="G46" s="140">
        <f>SUM(D46:F46)</f>
        <v>1971404.5999999999</v>
      </c>
      <c r="I46" s="140">
        <v>0</v>
      </c>
      <c r="J46" s="140">
        <v>0</v>
      </c>
      <c r="K46" s="140">
        <v>0</v>
      </c>
      <c r="L46" s="140">
        <f>SUM(I46:K46)</f>
        <v>0</v>
      </c>
      <c r="N46" s="140">
        <v>0</v>
      </c>
      <c r="O46" s="140">
        <v>0</v>
      </c>
      <c r="P46" s="140">
        <v>0</v>
      </c>
      <c r="Q46" s="140">
        <f>SUM(N46:P46)</f>
        <v>0</v>
      </c>
      <c r="S46" s="140">
        <f>+D46+I46+N46</f>
        <v>769220.80999999994</v>
      </c>
      <c r="T46" s="140">
        <f t="shared" si="21" ref="T46:T57">+E46+J46+O46</f>
        <v>1197306.1300000001</v>
      </c>
      <c r="U46" s="140">
        <f t="shared" si="22" ref="U46:U57">+F46+K46+P46</f>
        <v>4877.6599999999999</v>
      </c>
      <c r="V46" s="140">
        <f t="shared" si="23" ref="V46:V57">+G46+L46+Q46</f>
        <v>1971404.5999999999</v>
      </c>
    </row>
    <row r="47" spans="1:22" ht="12.75">
      <c r="A47" s="1">
        <f>+'II-D-3.2'!A47</f>
        <v>26</v>
      </c>
      <c r="B47" s="133" t="str">
        <f t="shared" si="20"/>
        <v>February 2021</v>
      </c>
      <c r="D47" s="66">
        <v>120804.58999999997</v>
      </c>
      <c r="E47" s="66">
        <v>1223922.8400000001</v>
      </c>
      <c r="F47" s="66">
        <v>1359.4099999999999</v>
      </c>
      <c r="G47" s="66">
        <f t="shared" si="24" ref="G47:G57">SUM(D47:F47)</f>
        <v>1346086.8400000001</v>
      </c>
      <c r="I47" s="66">
        <v>0</v>
      </c>
      <c r="J47" s="66">
        <v>0</v>
      </c>
      <c r="K47" s="66">
        <v>0</v>
      </c>
      <c r="L47" s="66">
        <f t="shared" si="25" ref="L47:L57">SUM(I47:K47)</f>
        <v>0</v>
      </c>
      <c r="N47" s="66">
        <v>0</v>
      </c>
      <c r="O47" s="66">
        <v>0</v>
      </c>
      <c r="P47" s="66">
        <v>0</v>
      </c>
      <c r="Q47" s="66">
        <f t="shared" si="26" ref="Q47:Q57">SUM(N47:P47)</f>
        <v>0</v>
      </c>
      <c r="S47" s="66">
        <f t="shared" si="27" ref="S47:S57">+D47+I47+N47</f>
        <v>120804.58999999997</v>
      </c>
      <c r="T47" s="66">
        <f t="shared" si="21"/>
        <v>1223922.8400000001</v>
      </c>
      <c r="U47" s="66">
        <f t="shared" si="22"/>
        <v>1359.4099999999999</v>
      </c>
      <c r="V47" s="66">
        <f t="shared" si="23"/>
        <v>1346086.8400000001</v>
      </c>
    </row>
    <row r="48" spans="1:22" ht="12.75">
      <c r="A48" s="1">
        <f>+'II-D-3.2'!A48</f>
        <v>27</v>
      </c>
      <c r="B48" s="133" t="str">
        <f t="shared" si="20"/>
        <v>March 2021</v>
      </c>
      <c r="D48" s="66">
        <v>1171698.47</v>
      </c>
      <c r="E48" s="66">
        <v>255381.05000000008</v>
      </c>
      <c r="F48" s="66">
        <v>136417.40000000002</v>
      </c>
      <c r="G48" s="66">
        <f t="shared" si="24"/>
        <v>1563496.9199999999</v>
      </c>
      <c r="I48" s="66">
        <v>0</v>
      </c>
      <c r="J48" s="66">
        <v>0</v>
      </c>
      <c r="K48" s="66">
        <v>0</v>
      </c>
      <c r="L48" s="66">
        <f t="shared" si="25"/>
        <v>0</v>
      </c>
      <c r="N48" s="66">
        <v>0</v>
      </c>
      <c r="O48" s="66">
        <v>0</v>
      </c>
      <c r="P48" s="66">
        <v>0</v>
      </c>
      <c r="Q48" s="66">
        <f t="shared" si="26"/>
        <v>0</v>
      </c>
      <c r="S48" s="66">
        <f t="shared" si="27"/>
        <v>1171698.47</v>
      </c>
      <c r="T48" s="66">
        <f t="shared" si="21"/>
        <v>255381.05000000008</v>
      </c>
      <c r="U48" s="66">
        <f t="shared" si="22"/>
        <v>136417.40000000002</v>
      </c>
      <c r="V48" s="66">
        <f t="shared" si="23"/>
        <v>1563496.9199999999</v>
      </c>
    </row>
    <row r="49" spans="1:22" ht="12.75">
      <c r="A49" s="1">
        <f>+'II-D-3.2'!A49</f>
        <v>28</v>
      </c>
      <c r="B49" s="133" t="str">
        <f t="shared" si="20"/>
        <v>April 2021</v>
      </c>
      <c r="D49" s="66">
        <v>664108.02999999991</v>
      </c>
      <c r="E49" s="66">
        <v>1231672.5600000001</v>
      </c>
      <c r="F49" s="66">
        <v>7642.29</v>
      </c>
      <c r="G49" s="66">
        <f t="shared" si="24"/>
        <v>1903422.8799999999</v>
      </c>
      <c r="I49" s="66">
        <v>0</v>
      </c>
      <c r="J49" s="66">
        <v>0</v>
      </c>
      <c r="K49" s="66">
        <v>0</v>
      </c>
      <c r="L49" s="66">
        <f t="shared" si="25"/>
        <v>0</v>
      </c>
      <c r="N49" s="66">
        <v>0</v>
      </c>
      <c r="O49" s="66">
        <v>0</v>
      </c>
      <c r="P49" s="66">
        <v>0</v>
      </c>
      <c r="Q49" s="66">
        <f t="shared" si="26"/>
        <v>0</v>
      </c>
      <c r="S49" s="66">
        <f t="shared" si="27"/>
        <v>664108.02999999991</v>
      </c>
      <c r="T49" s="66">
        <f t="shared" si="21"/>
        <v>1231672.5600000001</v>
      </c>
      <c r="U49" s="66">
        <f t="shared" si="22"/>
        <v>7642.29</v>
      </c>
      <c r="V49" s="66">
        <f t="shared" si="23"/>
        <v>1903422.8799999999</v>
      </c>
    </row>
    <row r="50" spans="1:22" ht="12.75">
      <c r="A50" s="1">
        <f>+'II-D-3.2'!A50</f>
        <v>29</v>
      </c>
      <c r="B50" s="133" t="str">
        <f t="shared" si="20"/>
        <v>May 2021</v>
      </c>
      <c r="D50" s="66">
        <v>1223960.5799999998</v>
      </c>
      <c r="E50" s="66">
        <v>1235929.01</v>
      </c>
      <c r="F50" s="66">
        <v>1920.5800000000002</v>
      </c>
      <c r="G50" s="66">
        <f t="shared" si="24"/>
        <v>2461810.1699999999</v>
      </c>
      <c r="I50" s="66">
        <v>0</v>
      </c>
      <c r="J50" s="66">
        <v>0</v>
      </c>
      <c r="K50" s="66">
        <v>0</v>
      </c>
      <c r="L50" s="66">
        <f t="shared" si="25"/>
        <v>0</v>
      </c>
      <c r="N50" s="66">
        <v>0</v>
      </c>
      <c r="O50" s="66">
        <v>0</v>
      </c>
      <c r="P50" s="66">
        <v>0</v>
      </c>
      <c r="Q50" s="66">
        <f t="shared" si="26"/>
        <v>0</v>
      </c>
      <c r="S50" s="66">
        <f t="shared" si="27"/>
        <v>1223960.5799999998</v>
      </c>
      <c r="T50" s="66">
        <f t="shared" si="21"/>
        <v>1235929.01</v>
      </c>
      <c r="U50" s="66">
        <f t="shared" si="22"/>
        <v>1920.5800000000002</v>
      </c>
      <c r="V50" s="66">
        <f t="shared" si="23"/>
        <v>2461810.1699999999</v>
      </c>
    </row>
    <row r="51" spans="1:22" ht="12.75">
      <c r="A51" s="1">
        <f>+'II-D-3.2'!A51</f>
        <v>30</v>
      </c>
      <c r="B51" s="133" t="str">
        <f t="shared" si="20"/>
        <v>June 2021</v>
      </c>
      <c r="D51" s="66">
        <v>486859.05999999994</v>
      </c>
      <c r="E51" s="66">
        <v>2978011.7799999998</v>
      </c>
      <c r="F51" s="66">
        <v>4282.3999999999996</v>
      </c>
      <c r="G51" s="66">
        <f t="shared" si="24"/>
        <v>3469153.2399999998</v>
      </c>
      <c r="I51" s="66">
        <v>0</v>
      </c>
      <c r="J51" s="66">
        <v>0</v>
      </c>
      <c r="K51" s="66">
        <v>0</v>
      </c>
      <c r="L51" s="66">
        <f t="shared" si="25"/>
        <v>0</v>
      </c>
      <c r="N51" s="66">
        <v>0</v>
      </c>
      <c r="O51" s="66">
        <v>0</v>
      </c>
      <c r="P51" s="66">
        <v>0</v>
      </c>
      <c r="Q51" s="66">
        <f t="shared" si="26"/>
        <v>0</v>
      </c>
      <c r="S51" s="66">
        <f t="shared" si="27"/>
        <v>486859.05999999994</v>
      </c>
      <c r="T51" s="66">
        <f t="shared" si="21"/>
        <v>2978011.7799999998</v>
      </c>
      <c r="U51" s="66">
        <f t="shared" si="22"/>
        <v>4282.3999999999996</v>
      </c>
      <c r="V51" s="66">
        <f t="shared" si="23"/>
        <v>3469153.2399999998</v>
      </c>
    </row>
    <row r="52" spans="1:22" ht="12.75">
      <c r="A52" s="1">
        <f>+'II-D-3.2'!A52</f>
        <v>31</v>
      </c>
      <c r="B52" s="133" t="str">
        <f t="shared" si="20"/>
        <v>July 2021</v>
      </c>
      <c r="D52" s="66">
        <v>667888.71000000008</v>
      </c>
      <c r="E52" s="66">
        <v>1547479.02</v>
      </c>
      <c r="F52" s="66">
        <v>0</v>
      </c>
      <c r="G52" s="66">
        <f t="shared" si="24"/>
        <v>2215367.73</v>
      </c>
      <c r="I52" s="66">
        <v>0</v>
      </c>
      <c r="J52" s="66">
        <v>0</v>
      </c>
      <c r="K52" s="66">
        <v>0</v>
      </c>
      <c r="L52" s="66">
        <f t="shared" si="25"/>
        <v>0</v>
      </c>
      <c r="N52" s="66">
        <v>0</v>
      </c>
      <c r="O52" s="66">
        <v>0</v>
      </c>
      <c r="P52" s="66">
        <v>0</v>
      </c>
      <c r="Q52" s="66">
        <f t="shared" si="26"/>
        <v>0</v>
      </c>
      <c r="S52" s="66">
        <f t="shared" si="27"/>
        <v>667888.71000000008</v>
      </c>
      <c r="T52" s="66">
        <f t="shared" si="21"/>
        <v>1547479.02</v>
      </c>
      <c r="U52" s="66">
        <f t="shared" si="22"/>
        <v>0</v>
      </c>
      <c r="V52" s="66">
        <f t="shared" si="23"/>
        <v>2215367.73</v>
      </c>
    </row>
    <row r="53" spans="1:22" ht="12.75">
      <c r="A53" s="1">
        <f>+'II-D-3.2'!A53</f>
        <v>32</v>
      </c>
      <c r="B53" s="133" t="str">
        <f t="shared" si="20"/>
        <v>August 2021</v>
      </c>
      <c r="D53" s="66">
        <v>505828.86000000004</v>
      </c>
      <c r="E53" s="66">
        <v>1543816.2499999998</v>
      </c>
      <c r="F53" s="66">
        <v>11151.109999999999</v>
      </c>
      <c r="G53" s="66">
        <f t="shared" si="24"/>
        <v>2060796.22</v>
      </c>
      <c r="I53" s="66">
        <v>0</v>
      </c>
      <c r="J53" s="66">
        <v>0</v>
      </c>
      <c r="K53" s="66">
        <v>0</v>
      </c>
      <c r="L53" s="66">
        <f t="shared" si="25"/>
        <v>0</v>
      </c>
      <c r="N53" s="66">
        <v>0</v>
      </c>
      <c r="O53" s="66">
        <v>0</v>
      </c>
      <c r="P53" s="66">
        <v>0</v>
      </c>
      <c r="Q53" s="66">
        <f t="shared" si="26"/>
        <v>0</v>
      </c>
      <c r="S53" s="66">
        <f t="shared" si="27"/>
        <v>505828.86000000004</v>
      </c>
      <c r="T53" s="66">
        <f t="shared" si="21"/>
        <v>1543816.2499999998</v>
      </c>
      <c r="U53" s="66">
        <f t="shared" si="22"/>
        <v>11151.109999999999</v>
      </c>
      <c r="V53" s="66">
        <f t="shared" si="23"/>
        <v>2060796.22</v>
      </c>
    </row>
    <row r="54" spans="1:22" ht="12.75">
      <c r="A54" s="1">
        <f>+'II-D-3.2'!A54</f>
        <v>33</v>
      </c>
      <c r="B54" s="133" t="str">
        <f t="shared" si="20"/>
        <v>September 2021</v>
      </c>
      <c r="D54" s="66">
        <v>934980.07999999996</v>
      </c>
      <c r="E54" s="66">
        <v>589361.34000000008</v>
      </c>
      <c r="F54" s="66">
        <v>49795.050000000003</v>
      </c>
      <c r="G54" s="66">
        <f t="shared" si="24"/>
        <v>1574136.47</v>
      </c>
      <c r="I54" s="66">
        <v>0</v>
      </c>
      <c r="J54" s="66">
        <v>0</v>
      </c>
      <c r="K54" s="66">
        <v>0</v>
      </c>
      <c r="L54" s="66">
        <f t="shared" si="25"/>
        <v>0</v>
      </c>
      <c r="N54" s="66">
        <v>0</v>
      </c>
      <c r="O54" s="66">
        <v>0</v>
      </c>
      <c r="P54" s="66">
        <v>0</v>
      </c>
      <c r="Q54" s="66">
        <f t="shared" si="26"/>
        <v>0</v>
      </c>
      <c r="S54" s="66">
        <f t="shared" si="27"/>
        <v>934980.07999999996</v>
      </c>
      <c r="T54" s="66">
        <f t="shared" si="21"/>
        <v>589361.34000000008</v>
      </c>
      <c r="U54" s="66">
        <f t="shared" si="22"/>
        <v>49795.050000000003</v>
      </c>
      <c r="V54" s="66">
        <f t="shared" si="23"/>
        <v>1574136.47</v>
      </c>
    </row>
    <row r="55" spans="1:22" ht="12.75">
      <c r="A55" s="1">
        <f>+'II-D-3.2'!A55</f>
        <v>34</v>
      </c>
      <c r="B55" s="133" t="str">
        <f t="shared" si="20"/>
        <v>October 2021</v>
      </c>
      <c r="D55" s="66">
        <v>-235759.69000000006</v>
      </c>
      <c r="E55" s="66">
        <v>1345378.6700000002</v>
      </c>
      <c r="F55" s="66">
        <v>-23632</v>
      </c>
      <c r="G55" s="66">
        <f t="shared" si="24"/>
        <v>1085986.98</v>
      </c>
      <c r="I55" s="66">
        <v>0</v>
      </c>
      <c r="J55" s="66">
        <v>0</v>
      </c>
      <c r="K55" s="66">
        <v>0</v>
      </c>
      <c r="L55" s="66">
        <f t="shared" si="25"/>
        <v>0</v>
      </c>
      <c r="N55" s="66">
        <v>0</v>
      </c>
      <c r="O55" s="66">
        <v>0</v>
      </c>
      <c r="P55" s="66">
        <v>0</v>
      </c>
      <c r="Q55" s="66">
        <f t="shared" si="26"/>
        <v>0</v>
      </c>
      <c r="S55" s="66">
        <f t="shared" si="27"/>
        <v>-235759.69000000006</v>
      </c>
      <c r="T55" s="66">
        <f t="shared" si="21"/>
        <v>1345378.6700000002</v>
      </c>
      <c r="U55" s="66">
        <f t="shared" si="22"/>
        <v>-23632</v>
      </c>
      <c r="V55" s="66">
        <f t="shared" si="23"/>
        <v>1085986.98</v>
      </c>
    </row>
    <row r="56" spans="1:22" ht="12.75">
      <c r="A56" s="1">
        <f>+'II-D-3.2'!A56</f>
        <v>35</v>
      </c>
      <c r="B56" s="133" t="str">
        <f t="shared" si="20"/>
        <v>November 2021</v>
      </c>
      <c r="D56" s="66">
        <v>1411186.6199999999</v>
      </c>
      <c r="E56" s="66">
        <v>1355503.77</v>
      </c>
      <c r="F56" s="66">
        <v>3024.3399999999997</v>
      </c>
      <c r="G56" s="66">
        <f t="shared" si="24"/>
        <v>2769714.7299999995</v>
      </c>
      <c r="I56" s="66">
        <v>0</v>
      </c>
      <c r="J56" s="66">
        <v>0</v>
      </c>
      <c r="K56" s="66">
        <v>0</v>
      </c>
      <c r="L56" s="66">
        <f t="shared" si="25"/>
        <v>0</v>
      </c>
      <c r="N56" s="66">
        <v>0</v>
      </c>
      <c r="O56" s="66">
        <v>0</v>
      </c>
      <c r="P56" s="66">
        <v>0</v>
      </c>
      <c r="Q56" s="66">
        <f t="shared" si="26"/>
        <v>0</v>
      </c>
      <c r="S56" s="66">
        <f t="shared" si="27"/>
        <v>1411186.6199999999</v>
      </c>
      <c r="T56" s="66">
        <f t="shared" si="21"/>
        <v>1355503.77</v>
      </c>
      <c r="U56" s="66">
        <f t="shared" si="22"/>
        <v>3024.3399999999997</v>
      </c>
      <c r="V56" s="66">
        <f t="shared" si="23"/>
        <v>2769714.7299999995</v>
      </c>
    </row>
    <row r="57" spans="1:22" ht="12.75">
      <c r="A57" s="1">
        <f>+'II-D-3.2'!A57</f>
        <v>36</v>
      </c>
      <c r="B57" s="133" t="str">
        <f t="shared" si="20"/>
        <v>December 2021</v>
      </c>
      <c r="D57" s="66">
        <v>141282.17999999996</v>
      </c>
      <c r="E57" s="66">
        <v>1378664.7800000005</v>
      </c>
      <c r="F57" s="66">
        <v>1486.2700000000002</v>
      </c>
      <c r="G57" s="66">
        <f t="shared" si="24"/>
        <v>1521433.2300000005</v>
      </c>
      <c r="I57" s="66">
        <v>0</v>
      </c>
      <c r="J57" s="66">
        <v>0</v>
      </c>
      <c r="K57" s="66">
        <v>0</v>
      </c>
      <c r="L57" s="66">
        <f t="shared" si="25"/>
        <v>0</v>
      </c>
      <c r="N57" s="66">
        <v>0</v>
      </c>
      <c r="O57" s="66">
        <v>0</v>
      </c>
      <c r="P57" s="66">
        <v>0</v>
      </c>
      <c r="Q57" s="66">
        <f t="shared" si="26"/>
        <v>0</v>
      </c>
      <c r="S57" s="66">
        <f t="shared" si="27"/>
        <v>141282.17999999996</v>
      </c>
      <c r="T57" s="66">
        <f t="shared" si="21"/>
        <v>1378664.7800000005</v>
      </c>
      <c r="U57" s="66">
        <f t="shared" si="22"/>
        <v>1486.2700000000002</v>
      </c>
      <c r="V57" s="66">
        <f t="shared" si="23"/>
        <v>1521433.2300000005</v>
      </c>
    </row>
    <row r="58" spans="1:22" ht="12.75">
      <c r="A58" s="1">
        <f>+'II-D-3.2'!A58</f>
        <v>37</v>
      </c>
      <c r="D58" s="115"/>
      <c r="E58" s="115"/>
      <c r="F58" s="115"/>
      <c r="G58" s="115"/>
      <c r="I58" s="115"/>
      <c r="J58" s="115"/>
      <c r="K58" s="115"/>
      <c r="L58" s="115"/>
      <c r="N58" s="115"/>
      <c r="O58" s="115"/>
      <c r="P58" s="115"/>
      <c r="Q58" s="115"/>
      <c r="S58" s="115"/>
      <c r="T58" s="115"/>
      <c r="U58" s="115"/>
      <c r="V58" s="115"/>
    </row>
    <row r="59" spans="1:22" ht="12.75">
      <c r="A59" s="1">
        <f>+'II-D-3.2'!A59</f>
        <v>38</v>
      </c>
      <c r="B59" s="94" t="s">
        <v>69</v>
      </c>
      <c r="D59" s="142">
        <f>SUM(D46:D57)</f>
        <v>7862058.2999999989</v>
      </c>
      <c r="E59" s="142">
        <f>SUM(E46:E57)</f>
        <v>15882427.200000001</v>
      </c>
      <c r="F59" s="142">
        <f>SUM(F46:F57)</f>
        <v>198324.51000000001</v>
      </c>
      <c r="G59" s="142">
        <f>SUM(G46:G57)</f>
        <v>23942810.010000002</v>
      </c>
      <c r="I59" s="142">
        <f>SUM(I46:I57)</f>
        <v>0</v>
      </c>
      <c r="J59" s="142">
        <f>SUM(J46:J57)</f>
        <v>0</v>
      </c>
      <c r="K59" s="142">
        <f>SUM(K46:K57)</f>
        <v>0</v>
      </c>
      <c r="L59" s="142">
        <f>SUM(L46:L57)</f>
        <v>0</v>
      </c>
      <c r="N59" s="142">
        <f>SUM(N46:N57)</f>
        <v>0</v>
      </c>
      <c r="O59" s="142">
        <f>SUM(O46:O57)</f>
        <v>0</v>
      </c>
      <c r="P59" s="142">
        <f>SUM(P46:P57)</f>
        <v>0</v>
      </c>
      <c r="Q59" s="142">
        <f>SUM(Q46:Q57)</f>
        <v>0</v>
      </c>
      <c r="S59" s="142">
        <f>SUM(S46:S57)</f>
        <v>7862058.2999999989</v>
      </c>
      <c r="T59" s="142">
        <f>SUM(T46:T57)</f>
        <v>15882427.200000001</v>
      </c>
      <c r="U59" s="142">
        <f>SUM(U46:U57)</f>
        <v>198324.51000000001</v>
      </c>
      <c r="V59" s="142">
        <f>SUM(V46:V57)</f>
        <v>23942810.010000002</v>
      </c>
    </row>
    <row r="60" spans="1:1" ht="12.75">
      <c r="A60" s="1">
        <f>+'II-D-3.2'!A60</f>
        <v>39</v>
      </c>
    </row>
    <row r="61" spans="1:1" ht="12.75">
      <c r="A61" s="1">
        <f>+'II-D-3.2'!A61</f>
        <v>40</v>
      </c>
    </row>
    <row r="62" spans="1:22" ht="12.75">
      <c r="A62" s="1">
        <f>+'II-D-3.2'!A62</f>
        <v>41</v>
      </c>
      <c r="B62" s="94" t="s">
        <v>158</v>
      </c>
      <c r="D62" s="140">
        <v>0</v>
      </c>
      <c r="E62" s="140">
        <v>0</v>
      </c>
      <c r="F62" s="140">
        <v>0</v>
      </c>
      <c r="G62" s="140">
        <f>SUM(D62:F62)</f>
        <v>0</v>
      </c>
      <c r="I62" s="140">
        <v>0</v>
      </c>
      <c r="J62" s="140">
        <v>0</v>
      </c>
      <c r="K62" s="140">
        <v>0</v>
      </c>
      <c r="L62" s="140">
        <f>SUM(I62:K62)</f>
        <v>0</v>
      </c>
      <c r="N62" s="140">
        <v>0</v>
      </c>
      <c r="O62" s="140">
        <v>0</v>
      </c>
      <c r="P62" s="140">
        <v>0</v>
      </c>
      <c r="Q62" s="140">
        <f>SUM(N62:P62)</f>
        <v>0</v>
      </c>
      <c r="S62" s="140">
        <f t="shared" si="28" ref="S62:S64">+D62+I62+N62</f>
        <v>0</v>
      </c>
      <c r="T62" s="140">
        <f t="shared" si="29" ref="T62:T64">+E62+J62+O62</f>
        <v>0</v>
      </c>
      <c r="U62" s="140">
        <f t="shared" si="30" ref="U62:U64">+F62+K62+P62</f>
        <v>0</v>
      </c>
      <c r="V62" s="140">
        <f t="shared" si="31" ref="V62:V64">+G62+L62+Q62</f>
        <v>0</v>
      </c>
    </row>
    <row r="63" spans="1:22" ht="12.75">
      <c r="A63" s="1">
        <f>+'II-D-3.2'!A63</f>
        <v>42</v>
      </c>
      <c r="B63" s="94" t="s">
        <v>159</v>
      </c>
      <c r="D63" s="66">
        <v>0</v>
      </c>
      <c r="E63" s="66">
        <v>0</v>
      </c>
      <c r="F63" s="66">
        <v>0</v>
      </c>
      <c r="G63" s="66">
        <f>SUM(D63:F63)</f>
        <v>0</v>
      </c>
      <c r="I63" s="66">
        <v>0</v>
      </c>
      <c r="J63" s="66">
        <v>0</v>
      </c>
      <c r="K63" s="66">
        <v>0</v>
      </c>
      <c r="L63" s="66">
        <f>SUM(I63:K63)</f>
        <v>0</v>
      </c>
      <c r="N63" s="66">
        <v>0</v>
      </c>
      <c r="O63" s="66">
        <v>0</v>
      </c>
      <c r="P63" s="66">
        <v>0</v>
      </c>
      <c r="Q63" s="66">
        <f>SUM(N63:P63)</f>
        <v>0</v>
      </c>
      <c r="S63" s="66">
        <f t="shared" si="28"/>
        <v>0</v>
      </c>
      <c r="T63" s="66">
        <f t="shared" si="29"/>
        <v>0</v>
      </c>
      <c r="U63" s="66">
        <f t="shared" si="30"/>
        <v>0</v>
      </c>
      <c r="V63" s="66">
        <f t="shared" si="31"/>
        <v>0</v>
      </c>
    </row>
    <row r="64" spans="1:22" ht="12.75">
      <c r="A64" s="1">
        <f>+'II-D-3.2'!A64</f>
        <v>43</v>
      </c>
      <c r="B64" s="94" t="s">
        <v>46</v>
      </c>
      <c r="D64" s="66">
        <v>0</v>
      </c>
      <c r="E64" s="66">
        <v>0</v>
      </c>
      <c r="F64" s="66">
        <v>0</v>
      </c>
      <c r="G64" s="66">
        <f>SUM(D64:F64)</f>
        <v>0</v>
      </c>
      <c r="I64" s="66">
        <v>0</v>
      </c>
      <c r="J64" s="66">
        <v>0</v>
      </c>
      <c r="K64" s="66">
        <v>0</v>
      </c>
      <c r="L64" s="66">
        <f>SUM(I64:K64)</f>
        <v>0</v>
      </c>
      <c r="N64" s="66">
        <v>0</v>
      </c>
      <c r="O64" s="66">
        <v>0</v>
      </c>
      <c r="P64" s="66">
        <v>0</v>
      </c>
      <c r="Q64" s="66">
        <f>SUM(N64:P64)</f>
        <v>0</v>
      </c>
      <c r="S64" s="66">
        <f t="shared" si="28"/>
        <v>0</v>
      </c>
      <c r="T64" s="66">
        <f t="shared" si="29"/>
        <v>0</v>
      </c>
      <c r="U64" s="66">
        <f t="shared" si="30"/>
        <v>0</v>
      </c>
      <c r="V64" s="66">
        <f t="shared" si="31"/>
        <v>0</v>
      </c>
    </row>
    <row r="65" spans="1:1" ht="12.75">
      <c r="A65" s="1">
        <f>+'II-D-3.2'!A65</f>
        <v>44</v>
      </c>
    </row>
    <row r="66" spans="1:1" ht="12.75">
      <c r="A66" s="1">
        <f>+'II-D-3.2'!A66</f>
        <v>45</v>
      </c>
    </row>
    <row r="67" spans="1:22" ht="12.75">
      <c r="A67" s="1">
        <f>+'II-D-3.2'!A67</f>
        <v>46</v>
      </c>
      <c r="B67" s="94" t="str">
        <f>+B36</f>
        <v>TME 2018</v>
      </c>
      <c r="D67" s="140">
        <v>7636179.0499999989</v>
      </c>
      <c r="E67" s="140">
        <v>13773300.389999995</v>
      </c>
      <c r="F67" s="140">
        <v>72693.220000000001</v>
      </c>
      <c r="G67" s="140">
        <f>SUM(D67:F67)</f>
        <v>21482172.659999993</v>
      </c>
      <c r="I67" s="140">
        <v>0</v>
      </c>
      <c r="J67" s="140">
        <v>0</v>
      </c>
      <c r="K67" s="140">
        <v>0</v>
      </c>
      <c r="L67" s="140">
        <f>SUM(I67:K67)</f>
        <v>0</v>
      </c>
      <c r="N67" s="140">
        <v>0</v>
      </c>
      <c r="O67" s="140">
        <v>0</v>
      </c>
      <c r="P67" s="140">
        <v>0</v>
      </c>
      <c r="Q67" s="140">
        <f>SUM(N67:P67)</f>
        <v>0</v>
      </c>
      <c r="S67" s="140">
        <f t="shared" si="32" ref="S67:S69">+D67+I67+N67</f>
        <v>7636179.0499999989</v>
      </c>
      <c r="T67" s="140">
        <f t="shared" si="33" ref="T67:T69">+E67+J67+O67</f>
        <v>13773300.389999995</v>
      </c>
      <c r="U67" s="140">
        <f t="shared" si="34" ref="U67:U69">+F67+K67+P67</f>
        <v>72693.220000000001</v>
      </c>
      <c r="V67" s="140">
        <f t="shared" si="35" ref="V67:V69">+G67+L67+Q67</f>
        <v>21482172.659999993</v>
      </c>
    </row>
    <row r="68" spans="1:22" ht="12.75">
      <c r="A68" s="1">
        <f>+'II-D-3.2'!A68</f>
        <v>47</v>
      </c>
      <c r="B68" s="94" t="str">
        <f>+B37</f>
        <v>TME 2019</v>
      </c>
      <c r="D68" s="66">
        <v>5536722.8500000015</v>
      </c>
      <c r="E68" s="66">
        <v>13395408.359999998</v>
      </c>
      <c r="F68" s="66">
        <v>126501.84000000001</v>
      </c>
      <c r="G68" s="66">
        <f>SUM(D68:F68)</f>
        <v>19058633.050000001</v>
      </c>
      <c r="I68" s="66">
        <v>0</v>
      </c>
      <c r="J68" s="66">
        <v>0</v>
      </c>
      <c r="K68" s="66">
        <v>0</v>
      </c>
      <c r="L68" s="66">
        <f>SUM(I68:K68)</f>
        <v>0</v>
      </c>
      <c r="N68" s="66">
        <v>0</v>
      </c>
      <c r="O68" s="66">
        <v>0</v>
      </c>
      <c r="P68" s="66">
        <v>0</v>
      </c>
      <c r="Q68" s="66">
        <f>SUM(N68:P68)</f>
        <v>0</v>
      </c>
      <c r="S68" s="66">
        <f t="shared" si="32"/>
        <v>5536722.8500000015</v>
      </c>
      <c r="T68" s="66">
        <f t="shared" si="33"/>
        <v>13395408.359999998</v>
      </c>
      <c r="U68" s="66">
        <f t="shared" si="34"/>
        <v>126501.84000000001</v>
      </c>
      <c r="V68" s="66">
        <f t="shared" si="35"/>
        <v>19058633.050000001</v>
      </c>
    </row>
    <row r="69" spans="1:22" ht="12.75">
      <c r="A69" s="1">
        <f>+'II-D-3.2'!A69</f>
        <v>48</v>
      </c>
      <c r="B69" s="94" t="str">
        <f>+B38</f>
        <v>TME 2020</v>
      </c>
      <c r="D69" s="66">
        <v>5654176.4699999988</v>
      </c>
      <c r="E69" s="66">
        <v>22334106.020000007</v>
      </c>
      <c r="F69" s="66">
        <v>190249</v>
      </c>
      <c r="G69" s="66">
        <f>SUM(D69:F69)</f>
        <v>28178531.490000006</v>
      </c>
      <c r="I69" s="66">
        <v>0</v>
      </c>
      <c r="J69" s="66">
        <v>0</v>
      </c>
      <c r="K69" s="66">
        <v>0</v>
      </c>
      <c r="L69" s="66">
        <f>SUM(I69:K69)</f>
        <v>0</v>
      </c>
      <c r="N69" s="66">
        <v>0</v>
      </c>
      <c r="O69" s="66">
        <v>0</v>
      </c>
      <c r="P69" s="66">
        <v>0</v>
      </c>
      <c r="Q69" s="66">
        <f>SUM(N69:P69)</f>
        <v>0</v>
      </c>
      <c r="S69" s="66">
        <f t="shared" si="32"/>
        <v>5654176.4699999988</v>
      </c>
      <c r="T69" s="66">
        <f t="shared" si="33"/>
        <v>22334106.020000007</v>
      </c>
      <c r="U69" s="66">
        <f t="shared" si="34"/>
        <v>190249</v>
      </c>
      <c r="V69" s="66">
        <f t="shared" si="35"/>
        <v>28178531.490000006</v>
      </c>
    </row>
    <row r="72" spans="4:17" ht="13.5" thickBot="1">
      <c r="D72" s="362" t="s">
        <v>295</v>
      </c>
      <c r="E72" s="362"/>
      <c r="F72" s="362"/>
      <c r="G72" s="362"/>
      <c r="I72" s="363" t="s">
        <v>727</v>
      </c>
      <c r="J72" s="362"/>
      <c r="K72" s="362"/>
      <c r="L72" s="362"/>
      <c r="N72" s="363" t="s">
        <v>728</v>
      </c>
      <c r="O72" s="362"/>
      <c r="P72" s="362"/>
      <c r="Q72" s="362"/>
    </row>
    <row r="73" spans="1:17" ht="12.75">
      <c r="A73" s="18" t="s">
        <v>87</v>
      </c>
      <c r="B73" s="18"/>
      <c r="D73" s="18" t="s">
        <v>14</v>
      </c>
      <c r="E73" s="18" t="s">
        <v>15</v>
      </c>
      <c r="F73" s="18"/>
      <c r="G73" s="91"/>
      <c r="I73" s="18" t="s">
        <v>14</v>
      </c>
      <c r="J73" s="18" t="s">
        <v>15</v>
      </c>
      <c r="K73" s="18"/>
      <c r="L73" s="91"/>
      <c r="N73" s="18" t="s">
        <v>14</v>
      </c>
      <c r="O73" s="18" t="s">
        <v>15</v>
      </c>
      <c r="P73" s="18"/>
      <c r="Q73" s="91"/>
    </row>
    <row r="74" spans="1:17" ht="12.75">
      <c r="A74" s="208" t="s">
        <v>89</v>
      </c>
      <c r="B74" s="208" t="s">
        <v>64</v>
      </c>
      <c r="D74" s="92" t="s">
        <v>67</v>
      </c>
      <c r="E74" s="92" t="s">
        <v>16</v>
      </c>
      <c r="F74" s="92" t="s">
        <v>63</v>
      </c>
      <c r="G74" s="92" t="s">
        <v>216</v>
      </c>
      <c r="I74" s="208" t="s">
        <v>67</v>
      </c>
      <c r="J74" s="208" t="s">
        <v>16</v>
      </c>
      <c r="K74" s="208" t="s">
        <v>63</v>
      </c>
      <c r="L74" s="208" t="s">
        <v>216</v>
      </c>
      <c r="N74" s="208" t="s">
        <v>67</v>
      </c>
      <c r="O74" s="208" t="s">
        <v>16</v>
      </c>
      <c r="P74" s="208" t="s">
        <v>63</v>
      </c>
      <c r="Q74" s="208" t="s">
        <v>216</v>
      </c>
    </row>
    <row r="75" spans="1:17" ht="12.75">
      <c r="A75" s="18"/>
      <c r="B75" s="16" t="s">
        <v>44</v>
      </c>
      <c r="D75" s="16" t="s">
        <v>45</v>
      </c>
      <c r="E75" s="16" t="s">
        <v>74</v>
      </c>
      <c r="F75" s="16" t="s">
        <v>75</v>
      </c>
      <c r="G75" s="16" t="s">
        <v>76</v>
      </c>
      <c r="I75" s="203" t="s">
        <v>77</v>
      </c>
      <c r="J75" s="203" t="s">
        <v>78</v>
      </c>
      <c r="K75" s="203" t="s">
        <v>79</v>
      </c>
      <c r="L75" s="203" t="s">
        <v>80</v>
      </c>
      <c r="N75" s="203" t="s">
        <v>81</v>
      </c>
      <c r="O75" s="203" t="s">
        <v>82</v>
      </c>
      <c r="P75" s="203" t="s">
        <v>83</v>
      </c>
      <c r="Q75" s="203" t="s">
        <v>84</v>
      </c>
    </row>
    <row r="76" spans="4:17" ht="12.75">
      <c r="D76" s="97"/>
      <c r="E76" s="97"/>
      <c r="F76" s="97"/>
      <c r="G76" s="97"/>
      <c r="I76" s="97"/>
      <c r="J76" s="97"/>
      <c r="K76" s="97"/>
      <c r="L76" s="97"/>
      <c r="N76" s="97"/>
      <c r="O76" s="97"/>
      <c r="P76" s="97"/>
      <c r="Q76" s="97"/>
    </row>
    <row r="77" spans="1:17" ht="12.75">
      <c r="A77" s="1">
        <f>+'II-D-3.2'!A77</f>
        <v>49</v>
      </c>
      <c r="B77" s="133" t="str">
        <f t="shared" si="36" ref="B77:B88">+B46</f>
        <v>January 2021</v>
      </c>
      <c r="D77" s="140">
        <v>1233301.3999999999</v>
      </c>
      <c r="E77" s="140">
        <v>1870236.73</v>
      </c>
      <c r="F77" s="140">
        <v>33216.010000000002</v>
      </c>
      <c r="G77" s="140">
        <f>SUM(D77:F77)</f>
        <v>3136754.1399999997</v>
      </c>
      <c r="I77" s="140">
        <v>0</v>
      </c>
      <c r="J77" s="140">
        <v>0</v>
      </c>
      <c r="K77" s="140">
        <v>0</v>
      </c>
      <c r="L77" s="140">
        <f>SUM(I77:K77)</f>
        <v>0</v>
      </c>
      <c r="N77" s="140">
        <f>+D77+I77</f>
        <v>1233301.3999999999</v>
      </c>
      <c r="O77" s="140">
        <f t="shared" si="37" ref="O77:O88">+E77+J77</f>
        <v>1870236.73</v>
      </c>
      <c r="P77" s="140">
        <f t="shared" si="38" ref="P77:P88">+F77+K77</f>
        <v>33216.010000000002</v>
      </c>
      <c r="Q77" s="140">
        <f t="shared" si="39" ref="Q77:Q88">+G77+L77</f>
        <v>3136754.1399999997</v>
      </c>
    </row>
    <row r="78" spans="1:17" ht="12.75">
      <c r="A78" s="1">
        <f>+'II-D-3.2'!A78</f>
        <v>50</v>
      </c>
      <c r="B78" s="133" t="str">
        <f t="shared" si="36"/>
        <v>February 2021</v>
      </c>
      <c r="D78" s="66">
        <v>334320.09000000003</v>
      </c>
      <c r="E78" s="66">
        <v>1705897.79</v>
      </c>
      <c r="F78" s="66">
        <v>301853.71000000002</v>
      </c>
      <c r="G78" s="66">
        <f t="shared" si="40" ref="G78:G88">SUM(D78:F78)</f>
        <v>2342071.5900000003</v>
      </c>
      <c r="I78" s="66">
        <v>0</v>
      </c>
      <c r="J78" s="66">
        <v>0</v>
      </c>
      <c r="K78" s="66">
        <v>0</v>
      </c>
      <c r="L78" s="66">
        <f t="shared" si="41" ref="L78:L88">SUM(I78:K78)</f>
        <v>0</v>
      </c>
      <c r="N78" s="66">
        <f t="shared" si="42" ref="N78:N88">+D78+I78</f>
        <v>334320.09000000003</v>
      </c>
      <c r="O78" s="66">
        <f t="shared" si="37"/>
        <v>1705897.79</v>
      </c>
      <c r="P78" s="66">
        <f t="shared" si="38"/>
        <v>301853.71000000002</v>
      </c>
      <c r="Q78" s="66">
        <f t="shared" si="39"/>
        <v>2342071.5900000003</v>
      </c>
    </row>
    <row r="79" spans="1:17" ht="12.75">
      <c r="A79" s="1">
        <f>+'II-D-3.2'!A79</f>
        <v>51</v>
      </c>
      <c r="B79" s="133" t="str">
        <f t="shared" si="36"/>
        <v>March 2021</v>
      </c>
      <c r="D79" s="66">
        <v>2098278.8300000001</v>
      </c>
      <c r="E79" s="66">
        <v>778540.58999999997</v>
      </c>
      <c r="F79" s="66">
        <v>1660402.2500000012</v>
      </c>
      <c r="G79" s="66">
        <f t="shared" si="40"/>
        <v>4537221.6700000009</v>
      </c>
      <c r="I79" s="66">
        <v>0</v>
      </c>
      <c r="J79" s="66">
        <v>0</v>
      </c>
      <c r="K79" s="66">
        <v>0</v>
      </c>
      <c r="L79" s="66">
        <f t="shared" si="41"/>
        <v>0</v>
      </c>
      <c r="N79" s="66">
        <f t="shared" si="42"/>
        <v>2098278.8300000001</v>
      </c>
      <c r="O79" s="66">
        <f t="shared" si="37"/>
        <v>778540.58999999997</v>
      </c>
      <c r="P79" s="66">
        <f t="shared" si="38"/>
        <v>1660402.2500000012</v>
      </c>
      <c r="Q79" s="66">
        <f t="shared" si="39"/>
        <v>4537221.6700000009</v>
      </c>
    </row>
    <row r="80" spans="1:17" ht="12.75">
      <c r="A80" s="1">
        <f>+'II-D-3.2'!A80</f>
        <v>52</v>
      </c>
      <c r="B80" s="133" t="str">
        <f t="shared" si="36"/>
        <v>April 2021</v>
      </c>
      <c r="D80" s="66">
        <v>1159948.04</v>
      </c>
      <c r="E80" s="66">
        <v>1817960.6300000001</v>
      </c>
      <c r="F80" s="66">
        <v>12116.689999999999</v>
      </c>
      <c r="G80" s="66">
        <f t="shared" si="40"/>
        <v>2990025.3599999999</v>
      </c>
      <c r="I80" s="66">
        <v>0</v>
      </c>
      <c r="J80" s="66">
        <v>0</v>
      </c>
      <c r="K80" s="66">
        <v>0</v>
      </c>
      <c r="L80" s="66">
        <f t="shared" si="41"/>
        <v>0</v>
      </c>
      <c r="N80" s="66">
        <f t="shared" si="42"/>
        <v>1159948.04</v>
      </c>
      <c r="O80" s="66">
        <f t="shared" si="37"/>
        <v>1817960.6300000001</v>
      </c>
      <c r="P80" s="66">
        <f t="shared" si="38"/>
        <v>12116.689999999999</v>
      </c>
      <c r="Q80" s="66">
        <f t="shared" si="39"/>
        <v>2990025.3599999999</v>
      </c>
    </row>
    <row r="81" spans="1:17" ht="12.75">
      <c r="A81" s="1">
        <f>+'II-D-3.2'!A81</f>
        <v>53</v>
      </c>
      <c r="B81" s="133" t="str">
        <f t="shared" si="36"/>
        <v>May 2021</v>
      </c>
      <c r="D81" s="66">
        <v>1807862.8800000001</v>
      </c>
      <c r="E81" s="66">
        <v>1887595.8399999999</v>
      </c>
      <c r="F81" s="66">
        <v>53491.409999999989</v>
      </c>
      <c r="G81" s="66">
        <f t="shared" si="40"/>
        <v>3748950.1299999999</v>
      </c>
      <c r="I81" s="66">
        <v>0</v>
      </c>
      <c r="J81" s="66">
        <v>0</v>
      </c>
      <c r="K81" s="66">
        <v>0</v>
      </c>
      <c r="L81" s="66">
        <f t="shared" si="41"/>
        <v>0</v>
      </c>
      <c r="N81" s="66">
        <f t="shared" si="42"/>
        <v>1807862.8800000001</v>
      </c>
      <c r="O81" s="66">
        <f t="shared" si="37"/>
        <v>1887595.8399999999</v>
      </c>
      <c r="P81" s="66">
        <f t="shared" si="38"/>
        <v>53491.409999999989</v>
      </c>
      <c r="Q81" s="66">
        <f t="shared" si="39"/>
        <v>3748950.1299999999</v>
      </c>
    </row>
    <row r="82" spans="1:17" ht="12.75">
      <c r="A82" s="1">
        <f>+'II-D-3.2'!A82</f>
        <v>54</v>
      </c>
      <c r="B82" s="133" t="str">
        <f t="shared" si="36"/>
        <v>June 2021</v>
      </c>
      <c r="D82" s="66">
        <v>901778.95999999996</v>
      </c>
      <c r="E82" s="66">
        <v>4541542.0999999987</v>
      </c>
      <c r="F82" s="66">
        <v>168902.03000000009</v>
      </c>
      <c r="G82" s="66">
        <f t="shared" si="40"/>
        <v>5612223.0899999989</v>
      </c>
      <c r="I82" s="66">
        <v>0</v>
      </c>
      <c r="J82" s="66">
        <v>0</v>
      </c>
      <c r="K82" s="66">
        <v>0</v>
      </c>
      <c r="L82" s="66">
        <f t="shared" si="41"/>
        <v>0</v>
      </c>
      <c r="N82" s="66">
        <f t="shared" si="42"/>
        <v>901778.95999999996</v>
      </c>
      <c r="O82" s="66">
        <f t="shared" si="37"/>
        <v>4541542.0999999987</v>
      </c>
      <c r="P82" s="66">
        <f t="shared" si="38"/>
        <v>168902.03000000009</v>
      </c>
      <c r="Q82" s="66">
        <f t="shared" si="39"/>
        <v>5612223.0899999989</v>
      </c>
    </row>
    <row r="83" spans="1:17" ht="12.75">
      <c r="A83" s="1">
        <f>+'II-D-3.2'!A83</f>
        <v>55</v>
      </c>
      <c r="B83" s="133" t="str">
        <f t="shared" si="36"/>
        <v>July 2021</v>
      </c>
      <c r="D83" s="66">
        <v>1158173.4299999999</v>
      </c>
      <c r="E83" s="66">
        <v>2295165.7799999993</v>
      </c>
      <c r="F83" s="66">
        <v>0</v>
      </c>
      <c r="G83" s="66">
        <f t="shared" si="40"/>
        <v>3453339.209999999</v>
      </c>
      <c r="I83" s="66">
        <v>0</v>
      </c>
      <c r="J83" s="66">
        <v>0</v>
      </c>
      <c r="K83" s="66">
        <v>0</v>
      </c>
      <c r="L83" s="66">
        <f t="shared" si="41"/>
        <v>0</v>
      </c>
      <c r="N83" s="66">
        <f t="shared" si="42"/>
        <v>1158173.4299999999</v>
      </c>
      <c r="O83" s="66">
        <f t="shared" si="37"/>
        <v>2295165.7799999993</v>
      </c>
      <c r="P83" s="66">
        <f t="shared" si="38"/>
        <v>0</v>
      </c>
      <c r="Q83" s="66">
        <f t="shared" si="39"/>
        <v>3453339.209999999</v>
      </c>
    </row>
    <row r="84" spans="1:17" ht="12.75">
      <c r="A84" s="1">
        <f>+'II-D-3.2'!A84</f>
        <v>56</v>
      </c>
      <c r="B84" s="133" t="str">
        <f t="shared" si="36"/>
        <v>August 2021</v>
      </c>
      <c r="D84" s="66">
        <v>895043.48999999999</v>
      </c>
      <c r="E84" s="66">
        <v>2291901.2799999998</v>
      </c>
      <c r="F84" s="66">
        <v>191501.78</v>
      </c>
      <c r="G84" s="66">
        <f t="shared" si="40"/>
        <v>3378446.5499999993</v>
      </c>
      <c r="I84" s="66">
        <v>0</v>
      </c>
      <c r="J84" s="66">
        <v>0</v>
      </c>
      <c r="K84" s="66">
        <v>0</v>
      </c>
      <c r="L84" s="66">
        <f t="shared" si="41"/>
        <v>0</v>
      </c>
      <c r="N84" s="66">
        <f t="shared" si="42"/>
        <v>895043.48999999999</v>
      </c>
      <c r="O84" s="66">
        <f t="shared" si="37"/>
        <v>2291901.2799999998</v>
      </c>
      <c r="P84" s="66">
        <f t="shared" si="38"/>
        <v>191501.78</v>
      </c>
      <c r="Q84" s="66">
        <f t="shared" si="39"/>
        <v>3378446.5499999993</v>
      </c>
    </row>
    <row r="85" spans="1:17" ht="12.75">
      <c r="A85" s="1">
        <f>+'II-D-3.2'!A85</f>
        <v>57</v>
      </c>
      <c r="B85" s="133" t="str">
        <f t="shared" si="36"/>
        <v>September 2021</v>
      </c>
      <c r="D85" s="66">
        <v>1597546.8899999999</v>
      </c>
      <c r="E85" s="66">
        <v>641611.67999999993</v>
      </c>
      <c r="F85" s="66">
        <v>120465.71999999997</v>
      </c>
      <c r="G85" s="66">
        <f t="shared" si="40"/>
        <v>2359624.29</v>
      </c>
      <c r="I85" s="66">
        <v>0</v>
      </c>
      <c r="J85" s="66">
        <v>0</v>
      </c>
      <c r="K85" s="66">
        <v>0</v>
      </c>
      <c r="L85" s="66">
        <f t="shared" si="41"/>
        <v>0</v>
      </c>
      <c r="N85" s="66">
        <f t="shared" si="42"/>
        <v>1597546.8899999999</v>
      </c>
      <c r="O85" s="66">
        <f t="shared" si="37"/>
        <v>641611.67999999993</v>
      </c>
      <c r="P85" s="66">
        <f t="shared" si="38"/>
        <v>120465.71999999997</v>
      </c>
      <c r="Q85" s="66">
        <f t="shared" si="39"/>
        <v>2359624.29</v>
      </c>
    </row>
    <row r="86" spans="1:17" ht="12.75">
      <c r="A86" s="1">
        <f>+'II-D-3.2'!A86</f>
        <v>58</v>
      </c>
      <c r="B86" s="133" t="str">
        <f t="shared" si="36"/>
        <v>October 2021</v>
      </c>
      <c r="D86" s="66">
        <v>97232.510000000009</v>
      </c>
      <c r="E86" s="66">
        <v>2088089.46</v>
      </c>
      <c r="F86" s="66">
        <v>53469.589999999997</v>
      </c>
      <c r="G86" s="66">
        <f t="shared" si="40"/>
        <v>2238791.5599999996</v>
      </c>
      <c r="I86" s="66">
        <v>0</v>
      </c>
      <c r="J86" s="66">
        <v>0</v>
      </c>
      <c r="K86" s="66">
        <v>0</v>
      </c>
      <c r="L86" s="66">
        <f t="shared" si="41"/>
        <v>0</v>
      </c>
      <c r="N86" s="66">
        <f t="shared" si="42"/>
        <v>97232.510000000009</v>
      </c>
      <c r="O86" s="66">
        <f t="shared" si="37"/>
        <v>2088089.46</v>
      </c>
      <c r="P86" s="66">
        <f t="shared" si="38"/>
        <v>53469.589999999997</v>
      </c>
      <c r="Q86" s="66">
        <f t="shared" si="39"/>
        <v>2238791.5599999996</v>
      </c>
    </row>
    <row r="87" spans="1:17" ht="12.75">
      <c r="A87" s="1">
        <f>+'II-D-3.2'!A87</f>
        <v>59</v>
      </c>
      <c r="B87" s="133" t="str">
        <f t="shared" si="36"/>
        <v>November 2021</v>
      </c>
      <c r="D87" s="66">
        <v>2188960.9199999999</v>
      </c>
      <c r="E87" s="66">
        <v>2085278.8099999998</v>
      </c>
      <c r="F87" s="66">
        <v>194976.51000000001</v>
      </c>
      <c r="G87" s="66">
        <f t="shared" si="40"/>
        <v>4469216.2399999993</v>
      </c>
      <c r="I87" s="66">
        <v>0</v>
      </c>
      <c r="J87" s="66">
        <v>0</v>
      </c>
      <c r="K87" s="66">
        <v>0</v>
      </c>
      <c r="L87" s="66">
        <f t="shared" si="41"/>
        <v>0</v>
      </c>
      <c r="N87" s="66">
        <f t="shared" si="42"/>
        <v>2188960.9199999999</v>
      </c>
      <c r="O87" s="66">
        <f t="shared" si="37"/>
        <v>2085278.8099999998</v>
      </c>
      <c r="P87" s="66">
        <f t="shared" si="38"/>
        <v>194976.51000000001</v>
      </c>
      <c r="Q87" s="66">
        <f t="shared" si="39"/>
        <v>4469216.2399999993</v>
      </c>
    </row>
    <row r="88" spans="1:17" ht="12.75">
      <c r="A88" s="1">
        <f>+'II-D-3.2'!A88</f>
        <v>60</v>
      </c>
      <c r="B88" s="133" t="str">
        <f t="shared" si="36"/>
        <v>December 2021</v>
      </c>
      <c r="D88" s="66">
        <v>572180.32999999996</v>
      </c>
      <c r="E88" s="66">
        <v>2533299.2999999993</v>
      </c>
      <c r="F88" s="66">
        <v>266041.85999999993</v>
      </c>
      <c r="G88" s="66">
        <f t="shared" si="40"/>
        <v>3371521.4899999993</v>
      </c>
      <c r="I88" s="66">
        <v>0</v>
      </c>
      <c r="J88" s="66">
        <v>0</v>
      </c>
      <c r="K88" s="66">
        <v>0</v>
      </c>
      <c r="L88" s="66">
        <f t="shared" si="41"/>
        <v>0</v>
      </c>
      <c r="N88" s="66">
        <f t="shared" si="42"/>
        <v>572180.32999999996</v>
      </c>
      <c r="O88" s="66">
        <f t="shared" si="37"/>
        <v>2533299.2999999993</v>
      </c>
      <c r="P88" s="66">
        <f t="shared" si="38"/>
        <v>266041.85999999993</v>
      </c>
      <c r="Q88" s="66">
        <f t="shared" si="39"/>
        <v>3371521.4899999993</v>
      </c>
    </row>
    <row r="89" spans="1:17" ht="12.75">
      <c r="A89" s="1">
        <f>+'II-D-3.2'!A89</f>
        <v>61</v>
      </c>
      <c r="D89" s="115"/>
      <c r="E89" s="115"/>
      <c r="F89" s="115"/>
      <c r="G89" s="115"/>
      <c r="I89" s="115"/>
      <c r="J89" s="115"/>
      <c r="K89" s="115"/>
      <c r="L89" s="115"/>
      <c r="N89" s="115"/>
      <c r="O89" s="115"/>
      <c r="P89" s="115"/>
      <c r="Q89" s="115"/>
    </row>
    <row r="90" spans="1:17" ht="12.75">
      <c r="A90" s="1">
        <f>+'II-D-3.2'!A90</f>
        <v>62</v>
      </c>
      <c r="B90" s="94" t="s">
        <v>69</v>
      </c>
      <c r="D90" s="142">
        <f>SUM(D77:D88)</f>
        <v>14044627.770000001</v>
      </c>
      <c r="E90" s="142">
        <f>SUM(E77:E88)</f>
        <v>24537119.989999998</v>
      </c>
      <c r="F90" s="142">
        <f>SUM(F77:F88)</f>
        <v>3056437.5600000001</v>
      </c>
      <c r="G90" s="142">
        <f>SUM(G77:G88)</f>
        <v>41638185.32</v>
      </c>
      <c r="I90" s="142">
        <f>SUM(I77:I88)</f>
        <v>0</v>
      </c>
      <c r="J90" s="142">
        <f>SUM(J77:J88)</f>
        <v>0</v>
      </c>
      <c r="K90" s="142">
        <f>SUM(K77:K88)</f>
        <v>0</v>
      </c>
      <c r="L90" s="142">
        <f>SUM(L77:L88)</f>
        <v>0</v>
      </c>
      <c r="N90" s="142">
        <f>SUM(N77:N88)</f>
        <v>14044627.770000001</v>
      </c>
      <c r="O90" s="142">
        <f>SUM(O77:O88)</f>
        <v>24537119.989999998</v>
      </c>
      <c r="P90" s="142">
        <f>SUM(P77:P88)</f>
        <v>3056437.5600000001</v>
      </c>
      <c r="Q90" s="142">
        <f>SUM(Q77:Q88)</f>
        <v>41638185.32</v>
      </c>
    </row>
    <row r="91" spans="1:1" ht="12.75">
      <c r="A91" s="1">
        <f>+'II-D-3.2'!A91</f>
        <v>63</v>
      </c>
    </row>
    <row r="92" spans="1:1" ht="12.75">
      <c r="A92" s="1">
        <f>+'II-D-3.2'!A92</f>
        <v>64</v>
      </c>
    </row>
    <row r="93" spans="1:17" ht="12.75">
      <c r="A93" s="1">
        <f>+'II-D-3.2'!A93</f>
        <v>65</v>
      </c>
      <c r="B93" s="94" t="s">
        <v>158</v>
      </c>
      <c r="D93" s="140">
        <v>0</v>
      </c>
      <c r="E93" s="140">
        <v>0</v>
      </c>
      <c r="F93" s="140">
        <v>0</v>
      </c>
      <c r="G93" s="140">
        <f>SUM(D93:F93)</f>
        <v>0</v>
      </c>
      <c r="I93" s="140">
        <v>0</v>
      </c>
      <c r="J93" s="140">
        <v>0</v>
      </c>
      <c r="K93" s="140">
        <v>0</v>
      </c>
      <c r="L93" s="140">
        <f>SUM(I93:K93)</f>
        <v>0</v>
      </c>
      <c r="N93" s="140">
        <f t="shared" si="43" ref="N93:N95">+D93+I93</f>
        <v>0</v>
      </c>
      <c r="O93" s="140">
        <f t="shared" si="44" ref="O93:O95">+E93+J93</f>
        <v>0</v>
      </c>
      <c r="P93" s="140">
        <f t="shared" si="45" ref="P93:P95">+F93+K93</f>
        <v>0</v>
      </c>
      <c r="Q93" s="140">
        <f t="shared" si="46" ref="Q93:Q95">+G93+L93</f>
        <v>0</v>
      </c>
    </row>
    <row r="94" spans="1:17" ht="12.75">
      <c r="A94" s="1">
        <f>+'II-D-3.2'!A94</f>
        <v>66</v>
      </c>
      <c r="B94" s="94" t="s">
        <v>159</v>
      </c>
      <c r="D94" s="66">
        <v>0</v>
      </c>
      <c r="E94" s="66">
        <v>0</v>
      </c>
      <c r="F94" s="66">
        <v>0</v>
      </c>
      <c r="G94" s="66">
        <f>SUM(D94:F94)</f>
        <v>0</v>
      </c>
      <c r="I94" s="66">
        <v>0</v>
      </c>
      <c r="J94" s="66">
        <v>0</v>
      </c>
      <c r="K94" s="66">
        <v>0</v>
      </c>
      <c r="L94" s="66">
        <f>SUM(I94:K94)</f>
        <v>0</v>
      </c>
      <c r="N94" s="66">
        <f t="shared" si="43"/>
        <v>0</v>
      </c>
      <c r="O94" s="66">
        <f t="shared" si="44"/>
        <v>0</v>
      </c>
      <c r="P94" s="66">
        <f t="shared" si="45"/>
        <v>0</v>
      </c>
      <c r="Q94" s="66">
        <f t="shared" si="46"/>
        <v>0</v>
      </c>
    </row>
    <row r="95" spans="1:17" ht="12.75">
      <c r="A95" s="1">
        <f>+'II-D-3.2'!A95</f>
        <v>67</v>
      </c>
      <c r="B95" s="94" t="s">
        <v>46</v>
      </c>
      <c r="D95" s="66">
        <v>0</v>
      </c>
      <c r="E95" s="66">
        <v>0</v>
      </c>
      <c r="F95" s="66">
        <v>0</v>
      </c>
      <c r="G95" s="66">
        <f>SUM(D95:F95)</f>
        <v>0</v>
      </c>
      <c r="I95" s="66">
        <v>0</v>
      </c>
      <c r="J95" s="66">
        <v>0</v>
      </c>
      <c r="K95" s="66">
        <v>0</v>
      </c>
      <c r="L95" s="66">
        <f>SUM(I95:K95)</f>
        <v>0</v>
      </c>
      <c r="N95" s="66">
        <f t="shared" si="43"/>
        <v>0</v>
      </c>
      <c r="O95" s="66">
        <f t="shared" si="44"/>
        <v>0</v>
      </c>
      <c r="P95" s="66">
        <f t="shared" si="45"/>
        <v>0</v>
      </c>
      <c r="Q95" s="66">
        <f t="shared" si="46"/>
        <v>0</v>
      </c>
    </row>
    <row r="96" spans="1:1" ht="12.75">
      <c r="A96" s="1">
        <f>+'II-D-3.2'!A96</f>
        <v>68</v>
      </c>
    </row>
    <row r="97" spans="1:1" ht="12.75">
      <c r="A97" s="1">
        <f>+'II-D-3.2'!A97</f>
        <v>69</v>
      </c>
    </row>
    <row r="98" spans="1:17" ht="12.75">
      <c r="A98" s="1">
        <f>+'II-D-3.2'!A98</f>
        <v>70</v>
      </c>
      <c r="B98" s="94" t="str">
        <f>+B67</f>
        <v>TME 2018</v>
      </c>
      <c r="D98" s="140">
        <v>22138976.859999999</v>
      </c>
      <c r="E98" s="140">
        <v>20574166.659999996</v>
      </c>
      <c r="F98" s="140">
        <v>1385494.6699999997</v>
      </c>
      <c r="G98" s="140">
        <f>SUM(D98:F98)</f>
        <v>44098638.189999998</v>
      </c>
      <c r="I98" s="140">
        <v>0</v>
      </c>
      <c r="J98" s="140">
        <v>0</v>
      </c>
      <c r="K98" s="140">
        <v>0</v>
      </c>
      <c r="L98" s="140">
        <f>SUM(I98:K98)</f>
        <v>0</v>
      </c>
      <c r="N98" s="140">
        <f t="shared" si="47" ref="N98:N100">+D98+I98</f>
        <v>22138976.859999999</v>
      </c>
      <c r="O98" s="140">
        <f t="shared" si="48" ref="O98:O100">+E98+J98</f>
        <v>20574166.659999996</v>
      </c>
      <c r="P98" s="140">
        <f t="shared" si="49" ref="P98:P100">+F98+K98</f>
        <v>1385494.6699999997</v>
      </c>
      <c r="Q98" s="140">
        <f t="shared" si="50" ref="Q98:Q100">+G98+L98</f>
        <v>44098638.189999998</v>
      </c>
    </row>
    <row r="99" spans="1:17" ht="12.75">
      <c r="A99" s="1">
        <f>+'II-D-3.2'!A99</f>
        <v>71</v>
      </c>
      <c r="B99" s="94" t="str">
        <f>+B68</f>
        <v>TME 2019</v>
      </c>
      <c r="D99" s="66">
        <v>13306353.43</v>
      </c>
      <c r="E99" s="66">
        <v>20161018.169999994</v>
      </c>
      <c r="F99" s="66">
        <v>4398123.2300000023</v>
      </c>
      <c r="G99" s="66">
        <f>SUM(D99:F99)</f>
        <v>37865494.829999998</v>
      </c>
      <c r="I99" s="66">
        <v>0</v>
      </c>
      <c r="J99" s="66">
        <v>0</v>
      </c>
      <c r="K99" s="66">
        <v>0</v>
      </c>
      <c r="L99" s="66">
        <f>SUM(I99:K99)</f>
        <v>0</v>
      </c>
      <c r="N99" s="66">
        <f t="shared" si="47"/>
        <v>13306353.43</v>
      </c>
      <c r="O99" s="66">
        <f t="shared" si="48"/>
        <v>20161018.169999994</v>
      </c>
      <c r="P99" s="66">
        <f t="shared" si="49"/>
        <v>4398123.2300000023</v>
      </c>
      <c r="Q99" s="66">
        <f t="shared" si="50"/>
        <v>37865494.829999998</v>
      </c>
    </row>
    <row r="100" spans="1:17" ht="12.75">
      <c r="A100" s="1">
        <f>+'II-D-3.2'!A100</f>
        <v>72</v>
      </c>
      <c r="B100" s="94" t="str">
        <f>+B69</f>
        <v>TME 2020</v>
      </c>
      <c r="D100" s="66">
        <v>13227120.029999999</v>
      </c>
      <c r="E100" s="66">
        <v>31813838.320000004</v>
      </c>
      <c r="F100" s="66">
        <v>1821938.8200000001</v>
      </c>
      <c r="G100" s="66">
        <f>SUM(D100:F100)</f>
        <v>46862897.170000002</v>
      </c>
      <c r="I100" s="66">
        <v>0</v>
      </c>
      <c r="J100" s="66">
        <v>0</v>
      </c>
      <c r="K100" s="66">
        <v>0</v>
      </c>
      <c r="L100" s="66">
        <f>SUM(I100:K100)</f>
        <v>0</v>
      </c>
      <c r="N100" s="66">
        <f t="shared" si="47"/>
        <v>13227120.029999999</v>
      </c>
      <c r="O100" s="66">
        <f t="shared" si="48"/>
        <v>31813838.320000004</v>
      </c>
      <c r="P100" s="66">
        <f t="shared" si="49"/>
        <v>1821938.8200000001</v>
      </c>
      <c r="Q100" s="66">
        <f t="shared" si="50"/>
        <v>46862897.170000002</v>
      </c>
    </row>
    <row r="103" spans="4:7" ht="13.5" thickBot="1">
      <c r="D103" s="362" t="s">
        <v>283</v>
      </c>
      <c r="E103" s="362"/>
      <c r="F103" s="362"/>
      <c r="G103" s="362"/>
    </row>
    <row r="104" spans="1:7" ht="12.75">
      <c r="A104" s="18" t="s">
        <v>87</v>
      </c>
      <c r="B104" s="18"/>
      <c r="D104" s="18" t="s">
        <v>14</v>
      </c>
      <c r="E104" s="18" t="s">
        <v>15</v>
      </c>
      <c r="F104" s="18"/>
      <c r="G104" s="91"/>
    </row>
    <row r="105" spans="1:7" ht="12.75">
      <c r="A105" s="208" t="s">
        <v>89</v>
      </c>
      <c r="B105" s="208" t="s">
        <v>64</v>
      </c>
      <c r="D105" s="92" t="s">
        <v>67</v>
      </c>
      <c r="E105" s="92" t="s">
        <v>16</v>
      </c>
      <c r="F105" s="92" t="s">
        <v>63</v>
      </c>
      <c r="G105" s="92" t="s">
        <v>216</v>
      </c>
    </row>
    <row r="106" spans="1:7" ht="12.75">
      <c r="A106" s="18"/>
      <c r="B106" s="16" t="s">
        <v>44</v>
      </c>
      <c r="D106" s="16" t="s">
        <v>45</v>
      </c>
      <c r="E106" s="16" t="s">
        <v>74</v>
      </c>
      <c r="F106" s="16" t="s">
        <v>75</v>
      </c>
      <c r="G106" s="16" t="s">
        <v>76</v>
      </c>
    </row>
    <row r="107" spans="4:7" ht="12.75">
      <c r="D107" s="97"/>
      <c r="E107" s="97"/>
      <c r="F107" s="97"/>
      <c r="G107" s="97"/>
    </row>
    <row r="108" spans="1:7" ht="12.75">
      <c r="A108" s="1">
        <f>+'II-D-3.2'!A108</f>
        <v>73</v>
      </c>
      <c r="B108" s="133" t="str">
        <f t="shared" si="51" ref="B108:B119">+B77</f>
        <v>January 2021</v>
      </c>
      <c r="D108" s="140">
        <v>327916.65000000002</v>
      </c>
      <c r="E108" s="140">
        <v>425225.27999999997</v>
      </c>
      <c r="F108" s="140">
        <v>152.46000000000001</v>
      </c>
      <c r="G108" s="140">
        <f>SUM(D108:F108)</f>
        <v>753294.3899999999</v>
      </c>
    </row>
    <row r="109" spans="1:7" ht="12.75">
      <c r="A109" s="1">
        <f>+'II-D-3.2'!A109</f>
        <v>74</v>
      </c>
      <c r="B109" s="133" t="str">
        <f t="shared" si="51"/>
        <v>February 2021</v>
      </c>
      <c r="D109" s="66">
        <v>88723.770000000004</v>
      </c>
      <c r="E109" s="66">
        <v>415623.82000000007</v>
      </c>
      <c r="F109" s="66">
        <v>7070.8799999999983</v>
      </c>
      <c r="G109" s="66">
        <f t="shared" si="52" ref="G109:G119">SUM(D109:F109)</f>
        <v>511418.47000000009</v>
      </c>
    </row>
    <row r="110" spans="1:7" ht="12.75">
      <c r="A110" s="1">
        <f>+'II-D-3.2'!A110</f>
        <v>75</v>
      </c>
      <c r="B110" s="133" t="str">
        <f t="shared" si="51"/>
        <v>March 2021</v>
      </c>
      <c r="D110" s="66">
        <v>559664.13</v>
      </c>
      <c r="E110" s="66">
        <v>136446.03999999995</v>
      </c>
      <c r="F110" s="66">
        <v>80594.630000000019</v>
      </c>
      <c r="G110" s="66">
        <f t="shared" si="52"/>
        <v>776704.79999999993</v>
      </c>
    </row>
    <row r="111" spans="1:7" ht="12.75">
      <c r="A111" s="1">
        <f>+'II-D-3.2'!A111</f>
        <v>76</v>
      </c>
      <c r="B111" s="133" t="str">
        <f t="shared" si="51"/>
        <v>April 2021</v>
      </c>
      <c r="D111" s="66">
        <v>308767.19999999995</v>
      </c>
      <c r="E111" s="66">
        <v>421125.54999999999</v>
      </c>
      <c r="F111" s="66">
        <v>92348.770000000004</v>
      </c>
      <c r="G111" s="66">
        <f t="shared" si="52"/>
        <v>822241.52000000002</v>
      </c>
    </row>
    <row r="112" spans="1:7" ht="12.75">
      <c r="A112" s="1">
        <f>+'II-D-3.2'!A112</f>
        <v>77</v>
      </c>
      <c r="B112" s="133" t="str">
        <f t="shared" si="51"/>
        <v>May 2021</v>
      </c>
      <c r="D112" s="66">
        <v>481614.67999999993</v>
      </c>
      <c r="E112" s="66">
        <v>428163.26000000007</v>
      </c>
      <c r="F112" s="66">
        <v>1459.25</v>
      </c>
      <c r="G112" s="66">
        <f t="shared" si="52"/>
        <v>911237.18999999994</v>
      </c>
    </row>
    <row r="113" spans="1:7" ht="12.75">
      <c r="A113" s="1">
        <f>+'II-D-3.2'!A113</f>
        <v>78</v>
      </c>
      <c r="B113" s="133" t="str">
        <f t="shared" si="51"/>
        <v>June 2021</v>
      </c>
      <c r="D113" s="66">
        <v>240083.68000000002</v>
      </c>
      <c r="E113" s="66">
        <v>1023377.3999999999</v>
      </c>
      <c r="F113" s="66">
        <v>2858.1900000000005</v>
      </c>
      <c r="G113" s="66">
        <f t="shared" si="52"/>
        <v>1266319.2699999998</v>
      </c>
    </row>
    <row r="114" spans="1:7" ht="12.75">
      <c r="A114" s="1">
        <f>+'II-D-3.2'!A114</f>
        <v>79</v>
      </c>
      <c r="B114" s="133" t="str">
        <f t="shared" si="51"/>
        <v>July 2021</v>
      </c>
      <c r="D114" s="66">
        <v>308411.88</v>
      </c>
      <c r="E114" s="66">
        <v>524284.03999999992</v>
      </c>
      <c r="F114" s="66">
        <v>3808</v>
      </c>
      <c r="G114" s="66">
        <f t="shared" si="52"/>
        <v>836503.91999999993</v>
      </c>
    </row>
    <row r="115" spans="1:7" ht="12.75">
      <c r="A115" s="1">
        <f>+'II-D-3.2'!A115</f>
        <v>80</v>
      </c>
      <c r="B115" s="133" t="str">
        <f t="shared" si="51"/>
        <v>August 2021</v>
      </c>
      <c r="D115" s="66">
        <v>238312.90000000002</v>
      </c>
      <c r="E115" s="66">
        <v>543660.05999999994</v>
      </c>
      <c r="F115" s="66">
        <v>6322.9699999999993</v>
      </c>
      <c r="G115" s="66">
        <f t="shared" si="52"/>
        <v>788295.92999999993</v>
      </c>
    </row>
    <row r="116" spans="1:7" ht="12.75">
      <c r="A116" s="1">
        <f>+'II-D-3.2'!A116</f>
        <v>81</v>
      </c>
      <c r="B116" s="133" t="str">
        <f t="shared" si="51"/>
        <v>September 2021</v>
      </c>
      <c r="D116" s="66">
        <v>425707.23999999999</v>
      </c>
      <c r="E116" s="66">
        <v>183219.13999999999</v>
      </c>
      <c r="F116" s="66">
        <v>2381.6100000000001</v>
      </c>
      <c r="G116" s="66">
        <f t="shared" si="52"/>
        <v>611307.98999999999</v>
      </c>
    </row>
    <row r="117" spans="1:7" ht="12.75">
      <c r="A117" s="1">
        <f>+'II-D-3.2'!A117</f>
        <v>82</v>
      </c>
      <c r="B117" s="133" t="str">
        <f t="shared" si="51"/>
        <v>October 2021</v>
      </c>
      <c r="D117" s="66">
        <v>26876.680000000022</v>
      </c>
      <c r="E117" s="66">
        <v>475562.32999999996</v>
      </c>
      <c r="F117" s="66">
        <v>626.40999999999997</v>
      </c>
      <c r="G117" s="66">
        <f t="shared" si="52"/>
        <v>503065.41999999998</v>
      </c>
    </row>
    <row r="118" spans="1:7" ht="12.75">
      <c r="A118" s="1">
        <f>+'II-D-3.2'!A118</f>
        <v>83</v>
      </c>
      <c r="B118" s="133" t="str">
        <f t="shared" si="51"/>
        <v>November 2021</v>
      </c>
      <c r="D118" s="66">
        <v>583081.1100000001</v>
      </c>
      <c r="E118" s="66">
        <v>484533.02000000008</v>
      </c>
      <c r="F118" s="66">
        <v>2635.5100000000002</v>
      </c>
      <c r="G118" s="66">
        <f t="shared" si="52"/>
        <v>1070249.6400000001</v>
      </c>
    </row>
    <row r="119" spans="1:7" ht="12.75">
      <c r="A119" s="1">
        <f>+'II-D-3.2'!A119</f>
        <v>84</v>
      </c>
      <c r="B119" s="133" t="str">
        <f t="shared" si="51"/>
        <v>December 2021</v>
      </c>
      <c r="D119" s="66">
        <v>152981.19</v>
      </c>
      <c r="E119" s="66">
        <v>555060.45999999985</v>
      </c>
      <c r="F119" s="66">
        <v>10386.750000000006</v>
      </c>
      <c r="G119" s="66">
        <f t="shared" si="52"/>
        <v>718428.39999999991</v>
      </c>
    </row>
    <row r="120" spans="1:7" ht="12.75">
      <c r="A120" s="1">
        <f>+'II-D-3.2'!A120</f>
        <v>85</v>
      </c>
      <c r="D120" s="115"/>
      <c r="E120" s="115"/>
      <c r="F120" s="115"/>
      <c r="G120" s="115"/>
    </row>
    <row r="121" spans="1:7" ht="12.75">
      <c r="A121" s="1">
        <f>+'II-D-3.2'!A121</f>
        <v>86</v>
      </c>
      <c r="B121" s="94" t="s">
        <v>69</v>
      </c>
      <c r="D121" s="142">
        <f>SUM(D108:D119)</f>
        <v>3742141.1099999999</v>
      </c>
      <c r="E121" s="142">
        <f>SUM(E108:E119)</f>
        <v>5616280.4000000004</v>
      </c>
      <c r="F121" s="142">
        <f>SUM(F108:F119)</f>
        <v>210645.43000000002</v>
      </c>
      <c r="G121" s="142">
        <f>SUM(G108:G119)</f>
        <v>9569066.9399999995</v>
      </c>
    </row>
    <row r="122" spans="1:1" ht="12.75">
      <c r="A122" s="1">
        <f>+'II-D-3.2'!A122</f>
        <v>87</v>
      </c>
    </row>
    <row r="123" spans="1:1" ht="12.75">
      <c r="A123" s="1">
        <f>+'II-D-3.2'!A123</f>
        <v>88</v>
      </c>
    </row>
    <row r="124" spans="1:7" ht="12.75">
      <c r="A124" s="1">
        <f>+'II-D-3.2'!A124</f>
        <v>89</v>
      </c>
      <c r="B124" s="94" t="s">
        <v>158</v>
      </c>
      <c r="D124" s="140">
        <v>0</v>
      </c>
      <c r="E124" s="140">
        <v>0</v>
      </c>
      <c r="F124" s="140">
        <v>0</v>
      </c>
      <c r="G124" s="140">
        <f>SUM(D124:F124)</f>
        <v>0</v>
      </c>
    </row>
    <row r="125" spans="1:7" ht="12.75">
      <c r="A125" s="1">
        <f>+'II-D-3.2'!A125</f>
        <v>90</v>
      </c>
      <c r="B125" s="94" t="s">
        <v>159</v>
      </c>
      <c r="D125" s="66">
        <v>0</v>
      </c>
      <c r="E125" s="66">
        <v>0</v>
      </c>
      <c r="F125" s="66">
        <v>0</v>
      </c>
      <c r="G125" s="66">
        <f>SUM(D125:F125)</f>
        <v>0</v>
      </c>
    </row>
    <row r="126" spans="1:7" ht="12.75">
      <c r="A126" s="1">
        <f>+'II-D-3.2'!A126</f>
        <v>91</v>
      </c>
      <c r="B126" s="94" t="s">
        <v>46</v>
      </c>
      <c r="D126" s="66">
        <v>0</v>
      </c>
      <c r="E126" s="66">
        <v>0</v>
      </c>
      <c r="F126" s="66">
        <v>0</v>
      </c>
      <c r="G126" s="66">
        <f>SUM(D126:F126)</f>
        <v>0</v>
      </c>
    </row>
    <row r="127" spans="1:1" ht="12.75">
      <c r="A127" s="1">
        <f>+'II-D-3.2'!A127</f>
        <v>92</v>
      </c>
    </row>
    <row r="128" spans="1:1" ht="12.75">
      <c r="A128" s="1">
        <f>+'II-D-3.2'!A128</f>
        <v>93</v>
      </c>
    </row>
    <row r="129" spans="1:7" ht="12.75">
      <c r="A129" s="1">
        <f>+'II-D-3.2'!A129</f>
        <v>94</v>
      </c>
      <c r="B129" s="94" t="str">
        <f>+B98</f>
        <v>TME 2018</v>
      </c>
      <c r="D129" s="140">
        <v>5504075.0699999994</v>
      </c>
      <c r="E129" s="140">
        <v>192738.60000000006</v>
      </c>
      <c r="F129" s="140">
        <v>30983.119999999995</v>
      </c>
      <c r="G129" s="140">
        <f>SUM(D129:F129)</f>
        <v>5727796.7899999991</v>
      </c>
    </row>
    <row r="130" spans="1:7" ht="12.75">
      <c r="A130" s="1">
        <f>+'II-D-3.2'!A130</f>
        <v>95</v>
      </c>
      <c r="B130" s="94" t="str">
        <f>+B99</f>
        <v>TME 2019</v>
      </c>
      <c r="D130" s="66">
        <v>3342284.04</v>
      </c>
      <c r="E130" s="66">
        <v>331005.19000000093</v>
      </c>
      <c r="F130" s="66">
        <v>128020.47</v>
      </c>
      <c r="G130" s="66">
        <f>SUM(D130:F130)</f>
        <v>3801309.7000000011</v>
      </c>
    </row>
    <row r="131" spans="1:7" ht="12.75">
      <c r="A131" s="1">
        <f>+'II-D-3.2'!A131</f>
        <v>96</v>
      </c>
      <c r="B131" s="94" t="str">
        <f>+B100</f>
        <v>TME 2020</v>
      </c>
      <c r="D131" s="66">
        <v>3215003.3500000006</v>
      </c>
      <c r="E131" s="66">
        <v>314314.8299999999</v>
      </c>
      <c r="F131" s="66">
        <v>32414.010000000013</v>
      </c>
      <c r="G131" s="66">
        <f>SUM(D131:F131)</f>
        <v>3561732.1900000009</v>
      </c>
    </row>
    <row r="134" spans="4:7" ht="13.5" thickBot="1">
      <c r="D134" s="362" t="s">
        <v>126</v>
      </c>
      <c r="E134" s="362"/>
      <c r="F134" s="362"/>
      <c r="G134" s="362"/>
    </row>
    <row r="135" spans="1:7" ht="12.75">
      <c r="A135" s="18" t="s">
        <v>87</v>
      </c>
      <c r="B135" s="18"/>
      <c r="D135" s="18" t="s">
        <v>14</v>
      </c>
      <c r="E135" s="18" t="s">
        <v>15</v>
      </c>
      <c r="F135" s="18"/>
      <c r="G135" s="91"/>
    </row>
    <row r="136" spans="1:7" ht="12.75">
      <c r="A136" s="208" t="s">
        <v>89</v>
      </c>
      <c r="B136" s="208" t="s">
        <v>64</v>
      </c>
      <c r="D136" s="92" t="s">
        <v>67</v>
      </c>
      <c r="E136" s="92" t="s">
        <v>16</v>
      </c>
      <c r="F136" s="92" t="s">
        <v>63</v>
      </c>
      <c r="G136" s="92" t="s">
        <v>216</v>
      </c>
    </row>
    <row r="137" spans="1:7" ht="12.75">
      <c r="A137" s="18"/>
      <c r="B137" s="16" t="s">
        <v>44</v>
      </c>
      <c r="D137" s="16" t="s">
        <v>45</v>
      </c>
      <c r="E137" s="16" t="s">
        <v>74</v>
      </c>
      <c r="F137" s="16" t="s">
        <v>75</v>
      </c>
      <c r="G137" s="16" t="s">
        <v>76</v>
      </c>
    </row>
    <row r="138" spans="4:7" ht="12.75">
      <c r="D138" s="97"/>
      <c r="E138" s="97"/>
      <c r="F138" s="97"/>
      <c r="G138" s="97"/>
    </row>
    <row r="139" spans="1:7" ht="12.75">
      <c r="A139" s="1">
        <f>+'II-D-3.2'!A139</f>
        <v>97</v>
      </c>
      <c r="B139" s="133" t="str">
        <f t="shared" si="53" ref="B139:B150">+B108</f>
        <v>January 2021</v>
      </c>
      <c r="D139" s="140">
        <v>12634.080000000016</v>
      </c>
      <c r="E139" s="140">
        <v>9919.0200000000659</v>
      </c>
      <c r="F139" s="140">
        <v>505.87</v>
      </c>
      <c r="G139" s="140">
        <f>SUM(D139:F139)</f>
        <v>23058.970000000081</v>
      </c>
    </row>
    <row r="140" spans="1:7" ht="12.75">
      <c r="A140" s="1">
        <f>+'II-D-3.2'!A140</f>
        <v>98</v>
      </c>
      <c r="B140" s="133" t="str">
        <f t="shared" si="53"/>
        <v>February 2021</v>
      </c>
      <c r="D140" s="66">
        <v>3405.2699999999986</v>
      </c>
      <c r="E140" s="66">
        <v>13286.239999999954</v>
      </c>
      <c r="F140" s="66">
        <v>6172</v>
      </c>
      <c r="G140" s="66">
        <f t="shared" si="54" ref="G140:G150">SUM(D140:F140)</f>
        <v>22863.509999999951</v>
      </c>
    </row>
    <row r="141" spans="1:7" ht="12.75">
      <c r="A141" s="1">
        <f>+'II-D-3.2'!A141</f>
        <v>99</v>
      </c>
      <c r="B141" s="133" t="str">
        <f t="shared" si="53"/>
        <v>March 2021</v>
      </c>
      <c r="D141" s="66">
        <v>21701.199999999964</v>
      </c>
      <c r="E141" s="66">
        <v>24043.670000000006</v>
      </c>
      <c r="F141" s="66">
        <v>274945.71999999997</v>
      </c>
      <c r="G141" s="66">
        <f t="shared" si="54"/>
        <v>320690.58999999997</v>
      </c>
    </row>
    <row r="142" spans="1:7" ht="12.75">
      <c r="A142" s="1">
        <f>+'II-D-3.2'!A142</f>
        <v>100</v>
      </c>
      <c r="B142" s="133" t="str">
        <f t="shared" si="53"/>
        <v>April 2021</v>
      </c>
      <c r="D142" s="66">
        <v>11924.060000000016</v>
      </c>
      <c r="E142" s="66">
        <v>18144.179999999964</v>
      </c>
      <c r="F142" s="66">
        <v>732.25</v>
      </c>
      <c r="G142" s="66">
        <f t="shared" si="54"/>
        <v>30800.48999999998</v>
      </c>
    </row>
    <row r="143" spans="1:7" ht="12.75">
      <c r="A143" s="1">
        <f>+'II-D-3.2'!A143</f>
        <v>101</v>
      </c>
      <c r="B143" s="133" t="str">
        <f t="shared" si="53"/>
        <v>May 2021</v>
      </c>
      <c r="D143" s="66">
        <v>18628.819999999971</v>
      </c>
      <c r="E143" s="66">
        <v>10925.669999999987</v>
      </c>
      <c r="F143" s="66">
        <v>24.760000000000005</v>
      </c>
      <c r="G143" s="66">
        <f t="shared" si="54"/>
        <v>29579.249999999956</v>
      </c>
    </row>
    <row r="144" spans="1:7" ht="12.75">
      <c r="A144" s="1">
        <f>+'II-D-3.2'!A144</f>
        <v>102</v>
      </c>
      <c r="B144" s="133" t="str">
        <f t="shared" si="53"/>
        <v>June 2021</v>
      </c>
      <c r="D144" s="66">
        <v>9274.6599999999889</v>
      </c>
      <c r="E144" s="66">
        <v>27241.400000000111</v>
      </c>
      <c r="F144" s="66">
        <v>28077.380000000001</v>
      </c>
      <c r="G144" s="66">
        <f t="shared" si="54"/>
        <v>64593.440000000104</v>
      </c>
    </row>
    <row r="145" spans="1:7" ht="12.75">
      <c r="A145" s="1">
        <f>+'II-D-3.2'!A145</f>
        <v>103</v>
      </c>
      <c r="B145" s="133" t="str">
        <f t="shared" si="53"/>
        <v>July 2021</v>
      </c>
      <c r="D145" s="66">
        <v>11919.509999999995</v>
      </c>
      <c r="E145" s="66">
        <v>14301.440000000001</v>
      </c>
      <c r="F145" s="66">
        <v>0</v>
      </c>
      <c r="G145" s="66">
        <f t="shared" si="54"/>
        <v>26220.949999999997</v>
      </c>
    </row>
    <row r="146" spans="1:7" ht="12.75">
      <c r="A146" s="1">
        <f>+'II-D-3.2'!A146</f>
        <v>104</v>
      </c>
      <c r="B146" s="133" t="str">
        <f t="shared" si="53"/>
        <v>August 2021</v>
      </c>
      <c r="D146" s="66">
        <v>9208.0100000000002</v>
      </c>
      <c r="E146" s="66">
        <v>13945.209999999997</v>
      </c>
      <c r="F146" s="66">
        <v>4328.1400000000003</v>
      </c>
      <c r="G146" s="66">
        <f t="shared" si="54"/>
        <v>27481.359999999997</v>
      </c>
    </row>
    <row r="147" spans="1:7" ht="12.75">
      <c r="A147" s="1">
        <f>+'II-D-3.2'!A147</f>
        <v>105</v>
      </c>
      <c r="B147" s="133" t="str">
        <f t="shared" si="53"/>
        <v>September 2021</v>
      </c>
      <c r="D147" s="66">
        <v>16475.750000000029</v>
      </c>
      <c r="E147" s="66">
        <v>13854.089999999998</v>
      </c>
      <c r="F147" s="66">
        <v>1013.62</v>
      </c>
      <c r="G147" s="66">
        <f t="shared" si="54"/>
        <v>31343.460000000025</v>
      </c>
    </row>
    <row r="148" spans="1:7" ht="12.75">
      <c r="A148" s="1">
        <f>+'II-D-3.2'!A148</f>
        <v>106</v>
      </c>
      <c r="B148" s="133" t="str">
        <f t="shared" si="53"/>
        <v>October 2021</v>
      </c>
      <c r="D148" s="66">
        <v>1115.8599999999924</v>
      </c>
      <c r="E148" s="66">
        <v>14094.720000000081</v>
      </c>
      <c r="F148" s="66">
        <v>0</v>
      </c>
      <c r="G148" s="66">
        <f t="shared" si="54"/>
        <v>15210.580000000075</v>
      </c>
    </row>
    <row r="149" spans="1:7" ht="12.75">
      <c r="A149" s="1">
        <f>+'II-D-3.2'!A149</f>
        <v>107</v>
      </c>
      <c r="B149" s="133" t="str">
        <f t="shared" si="53"/>
        <v>November 2021</v>
      </c>
      <c r="D149" s="66">
        <v>22548.949999999968</v>
      </c>
      <c r="E149" s="66">
        <v>12763.620000000028</v>
      </c>
      <c r="F149" s="66">
        <v>4827.6400000000003</v>
      </c>
      <c r="G149" s="66">
        <f t="shared" si="54"/>
        <v>40140.209999999992</v>
      </c>
    </row>
    <row r="150" spans="1:7" ht="12.75">
      <c r="A150" s="1">
        <f>+'II-D-3.2'!A150</f>
        <v>108</v>
      </c>
      <c r="B150" s="133" t="str">
        <f t="shared" si="53"/>
        <v>December 2021</v>
      </c>
      <c r="D150" s="66">
        <v>5960.5600000000031</v>
      </c>
      <c r="E150" s="66">
        <v>51390.12000000001</v>
      </c>
      <c r="F150" s="66">
        <v>6957.1199999999999</v>
      </c>
      <c r="G150" s="66">
        <f t="shared" si="54"/>
        <v>64307.800000000017</v>
      </c>
    </row>
    <row r="151" spans="1:7" ht="12.75">
      <c r="A151" s="1">
        <f>+'II-D-3.2'!A151</f>
        <v>109</v>
      </c>
      <c r="D151" s="115"/>
      <c r="E151" s="115"/>
      <c r="F151" s="115"/>
      <c r="G151" s="115"/>
    </row>
    <row r="152" spans="1:7" ht="12.75">
      <c r="A152" s="1">
        <f>+'II-D-3.2'!A152</f>
        <v>110</v>
      </c>
      <c r="B152" s="94" t="s">
        <v>69</v>
      </c>
      <c r="D152" s="142">
        <f>SUM(D139:D150)</f>
        <v>144796.72999999992</v>
      </c>
      <c r="E152" s="142">
        <f>SUM(E139:E150)</f>
        <v>223909.38000000018</v>
      </c>
      <c r="F152" s="142">
        <f>SUM(F139:F150)</f>
        <v>327584.5</v>
      </c>
      <c r="G152" s="142">
        <f>SUM(G139:G150)</f>
        <v>696290.61000000022</v>
      </c>
    </row>
    <row r="153" spans="1:1" ht="12.75">
      <c r="A153" s="1">
        <f>+'II-D-3.2'!A153</f>
        <v>111</v>
      </c>
    </row>
    <row r="154" spans="1:1" ht="12.75">
      <c r="A154" s="1">
        <f>+'II-D-3.2'!A154</f>
        <v>112</v>
      </c>
    </row>
    <row r="155" spans="1:7" ht="12.75">
      <c r="A155" s="1">
        <f>+'II-D-3.2'!A155</f>
        <v>113</v>
      </c>
      <c r="B155" s="94" t="s">
        <v>158</v>
      </c>
      <c r="D155" s="140">
        <v>0</v>
      </c>
      <c r="E155" s="140">
        <v>0</v>
      </c>
      <c r="F155" s="140">
        <v>0</v>
      </c>
      <c r="G155" s="140">
        <f>SUM(D155:F155)</f>
        <v>0</v>
      </c>
    </row>
    <row r="156" spans="1:7" ht="12.75">
      <c r="A156" s="1">
        <f>+'II-D-3.2'!A156</f>
        <v>114</v>
      </c>
      <c r="B156" s="94" t="s">
        <v>159</v>
      </c>
      <c r="D156" s="66">
        <v>0</v>
      </c>
      <c r="E156" s="66">
        <v>0</v>
      </c>
      <c r="F156" s="66">
        <v>0</v>
      </c>
      <c r="G156" s="66">
        <f>SUM(D156:F156)</f>
        <v>0</v>
      </c>
    </row>
    <row r="157" spans="1:7" ht="12.75">
      <c r="A157" s="1">
        <f>+'II-D-3.2'!A157</f>
        <v>115</v>
      </c>
      <c r="B157" s="94" t="s">
        <v>46</v>
      </c>
      <c r="D157" s="66">
        <v>0</v>
      </c>
      <c r="E157" s="66">
        <v>0</v>
      </c>
      <c r="F157" s="66">
        <v>0</v>
      </c>
      <c r="G157" s="66">
        <f>SUM(D157:F157)</f>
        <v>0</v>
      </c>
    </row>
    <row r="158" spans="1:1" ht="12.75">
      <c r="A158" s="1">
        <f>+'II-D-3.2'!A158</f>
        <v>116</v>
      </c>
    </row>
    <row r="159" spans="1:1" ht="12.75">
      <c r="A159" s="1">
        <f>+'II-D-3.2'!A159</f>
        <v>117</v>
      </c>
    </row>
    <row r="160" spans="1:7" ht="12.75">
      <c r="A160" s="1">
        <f>+'II-D-3.2'!A160</f>
        <v>118</v>
      </c>
      <c r="B160" s="133" t="str">
        <f t="shared" si="55" ref="B160:B162">+B129</f>
        <v>TME 2018</v>
      </c>
      <c r="D160" s="140">
        <v>240901.9799999996</v>
      </c>
      <c r="E160" s="140">
        <v>192738.60000000006</v>
      </c>
      <c r="F160" s="140">
        <v>24284.990000000002</v>
      </c>
      <c r="G160" s="140">
        <f>SUM(D160:F160)</f>
        <v>457925.56999999966</v>
      </c>
    </row>
    <row r="161" spans="1:7" ht="12.75">
      <c r="A161" s="1">
        <f>+'II-D-3.2'!A161</f>
        <v>119</v>
      </c>
      <c r="B161" s="133" t="str">
        <f t="shared" si="55"/>
        <v>TME 2019</v>
      </c>
      <c r="D161" s="66">
        <v>170155.55000000089</v>
      </c>
      <c r="E161" s="66">
        <v>331005.19000000093</v>
      </c>
      <c r="F161" s="66">
        <v>130824.46000000004</v>
      </c>
      <c r="G161" s="66">
        <f>SUM(D161:F161)</f>
        <v>631985.20000000193</v>
      </c>
    </row>
    <row r="162" spans="1:7" ht="12.75">
      <c r="A162" s="1">
        <f>+'II-D-3.2'!A162</f>
        <v>120</v>
      </c>
      <c r="B162" s="133" t="str">
        <f t="shared" si="55"/>
        <v>TME 2020</v>
      </c>
      <c r="D162" s="66">
        <v>100938.74999999968</v>
      </c>
      <c r="E162" s="66">
        <v>314314.8299999999</v>
      </c>
      <c r="F162" s="66">
        <v>50302.169999999991</v>
      </c>
      <c r="G162" s="66">
        <f>SUM(D162:F162)</f>
        <v>465555.74999999959</v>
      </c>
    </row>
  </sheetData>
  <mergeCells count="10">
    <mergeCell ref="I41:L41"/>
    <mergeCell ref="N41:Q41"/>
    <mergeCell ref="S41:V41"/>
    <mergeCell ref="I72:L72"/>
    <mergeCell ref="N72:Q72"/>
    <mergeCell ref="D134:G134"/>
    <mergeCell ref="D10:G10"/>
    <mergeCell ref="D41:G41"/>
    <mergeCell ref="D72:G72"/>
    <mergeCell ref="D103:G103"/>
  </mergeCells>
  <printOptions horizontalCentered="1"/>
  <pageMargins left="0.5" right="0.5" top="3" bottom="0.5" header="1.5" footer="0.5"/>
  <pageSetup fitToHeight="0" orientation="landscape" scale="48" r:id="rId1"/>
  <headerFooter alignWithMargins="0">
    <oddHeader>&amp;C&amp;B
2022 RATE CASE
ONCOR ELECTRIC DELIVERY COMPANY LLC
II-D-3.6  COMPENSATION OTHER THAN STANDARD COMPENSATION BY FUNCTION
TEST YEAR ENDING DECEMBER 31, 2021
SPONSORS: W. ALAN LEDBETTER/ A. GUILLORY&amp;R&amp;"Arial,Bold"Schedule &amp;A
Page &amp;P of &amp;N</oddHeader>
  </headerFooter>
  <rowBreaks count="2" manualBreakCount="2">
    <brk id="39" max="6" man="1"/>
    <brk id="132" max="21" man="1"/>
  </rowBreak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6">
    <tabColor rgb="FFFF0000"/>
    <pageSetUpPr fitToPage="1"/>
  </sheetPr>
  <dimension ref="A1:O278"/>
  <sheetViews>
    <sheetView workbookViewId="0" topLeftCell="A1">
      <pane ySplit="6" topLeftCell="A7" activePane="bottomLeft" state="frozen"/>
      <selection pane="topLeft" activeCell="A1" sqref="A1"/>
      <selection pane="bottomLeft" activeCell="O15" sqref="O15"/>
    </sheetView>
  </sheetViews>
  <sheetFormatPr defaultRowHeight="12.75"/>
  <cols>
    <col min="1" max="1" width="2.71428571428571" customWidth="1"/>
    <col min="2" max="2" width="10.2857142857143" customWidth="1"/>
    <col min="3" max="3" width="16.7142857142857" customWidth="1"/>
    <col min="4" max="14" width="10.2857142857143" customWidth="1"/>
    <col min="15" max="15" width="9.14285714285714" style="138"/>
  </cols>
  <sheetData>
    <row r="1" spans="1:1" ht="12.75">
      <c r="A1" s="5" t="str">
        <f>+'[3]Input Data'!$A$9</f>
        <v>2022 RATE CASE</v>
      </c>
    </row>
    <row r="2" spans="1:1" ht="12.75">
      <c r="A2" s="8" t="str">
        <f>+'[3]Input Data'!$A$2</f>
        <v>ONCOR ELECTRIC DELIVERY COMPANY LLC</v>
      </c>
    </row>
    <row r="3" spans="1:1" ht="12.75">
      <c r="A3" s="7" t="str">
        <f>CONCATENATE('[3]Schedule Sponsors'!$A$75,'[3]Schedule Sponsors'!$B$75)</f>
        <v>II-D-3.7  GENERAL EMPLOYEE BENEFIT INFORMATION</v>
      </c>
    </row>
    <row r="4" spans="1:1" ht="12.75">
      <c r="A4" s="63" t="str">
        <f>+'[3]Input Data'!$A$4</f>
        <v>TEST YEAR ENDING DECEMBER 31, 2021</v>
      </c>
    </row>
    <row r="5" spans="1:1" ht="12.75">
      <c r="A5" s="7" t="str">
        <f>CONCATENATE("SPONSORS: ",'[3]Schedule Sponsors'!$D$75)</f>
        <v>SPONSORS: W. ALAN LEDBETTER/ A. GUILLORY</v>
      </c>
    </row>
    <row r="7" spans="15:15" s="2" customFormat="1" ht="12.75">
      <c r="O7" s="149"/>
    </row>
    <row r="8" spans="15:15" s="2" customFormat="1" ht="12.75">
      <c r="O8" s="149"/>
    </row>
    <row r="9" spans="1:14" ht="15.75">
      <c r="A9" s="265" t="s">
        <v>795</v>
      </c>
      <c r="B9" s="265"/>
      <c r="C9" s="265"/>
      <c r="D9" s="265"/>
      <c r="E9" s="265"/>
      <c r="F9" s="265"/>
      <c r="G9" s="265"/>
      <c r="H9" s="265"/>
      <c r="I9" s="265"/>
      <c r="J9" s="265"/>
      <c r="K9" s="265"/>
      <c r="L9" s="265"/>
      <c r="M9" s="265"/>
      <c r="N9" s="265"/>
    </row>
    <row r="10" spans="1:14" ht="15">
      <c r="A10" s="271"/>
      <c r="B10" s="271"/>
      <c r="C10" s="271"/>
      <c r="D10" s="271"/>
      <c r="E10" s="271"/>
      <c r="F10" s="271"/>
      <c r="G10" s="271"/>
      <c r="H10" s="271"/>
      <c r="I10" s="271"/>
      <c r="J10" s="271"/>
      <c r="K10" s="271"/>
      <c r="L10" s="271"/>
      <c r="M10" s="271"/>
      <c r="N10" s="271"/>
    </row>
    <row r="11" spans="1:14" ht="12.75">
      <c r="A11" s="260" t="s">
        <v>206</v>
      </c>
      <c r="B11" s="261" t="s">
        <v>796</v>
      </c>
      <c r="C11" s="261"/>
      <c r="D11" s="261"/>
      <c r="E11" s="261"/>
      <c r="F11" s="261"/>
      <c r="G11" s="261"/>
      <c r="H11" s="261"/>
      <c r="I11" s="261"/>
      <c r="J11" s="261"/>
      <c r="K11" s="261"/>
      <c r="L11" s="261"/>
      <c r="M11" s="261"/>
      <c r="N11" s="261"/>
    </row>
    <row r="12" spans="1:14" ht="12.75">
      <c r="A12" s="260"/>
      <c r="B12" s="364" t="s">
        <v>797</v>
      </c>
      <c r="C12" s="364"/>
      <c r="D12" s="364"/>
      <c r="E12" s="364"/>
      <c r="F12" s="364"/>
      <c r="G12" s="364"/>
      <c r="H12" s="364"/>
      <c r="I12" s="364"/>
      <c r="J12" s="364"/>
      <c r="K12" s="364"/>
      <c r="L12" s="364"/>
      <c r="M12" s="364"/>
      <c r="N12" s="364"/>
    </row>
    <row r="13" spans="1:14" ht="12.75">
      <c r="A13" s="263"/>
      <c r="B13" s="364"/>
      <c r="C13" s="364"/>
      <c r="D13" s="364"/>
      <c r="E13" s="364"/>
      <c r="F13" s="364"/>
      <c r="G13" s="364"/>
      <c r="H13" s="364"/>
      <c r="I13" s="364"/>
      <c r="J13" s="364"/>
      <c r="K13" s="364"/>
      <c r="L13" s="364"/>
      <c r="M13" s="364"/>
      <c r="N13" s="364"/>
    </row>
    <row r="14" spans="1:14" ht="12.75">
      <c r="A14" s="263"/>
      <c r="B14" s="364"/>
      <c r="C14" s="364"/>
      <c r="D14" s="364"/>
      <c r="E14" s="364"/>
      <c r="F14" s="364"/>
      <c r="G14" s="364"/>
      <c r="H14" s="364"/>
      <c r="I14" s="364"/>
      <c r="J14" s="364"/>
      <c r="K14" s="364"/>
      <c r="L14" s="364"/>
      <c r="M14" s="364"/>
      <c r="N14" s="364"/>
    </row>
    <row r="15" spans="1:14" ht="12.75">
      <c r="A15" s="263"/>
      <c r="B15" s="364"/>
      <c r="C15" s="364"/>
      <c r="D15" s="364"/>
      <c r="E15" s="364"/>
      <c r="F15" s="364"/>
      <c r="G15" s="364"/>
      <c r="H15" s="364"/>
      <c r="I15" s="364"/>
      <c r="J15" s="364"/>
      <c r="K15" s="364"/>
      <c r="L15" s="364"/>
      <c r="M15" s="364"/>
      <c r="N15" s="364"/>
    </row>
    <row r="16" spans="1:14" ht="12.75">
      <c r="A16" s="263"/>
      <c r="B16" s="364"/>
      <c r="C16" s="364"/>
      <c r="D16" s="364"/>
      <c r="E16" s="364"/>
      <c r="F16" s="364"/>
      <c r="G16" s="364"/>
      <c r="H16" s="364"/>
      <c r="I16" s="364"/>
      <c r="J16" s="364"/>
      <c r="K16" s="364"/>
      <c r="L16" s="364"/>
      <c r="M16" s="364"/>
      <c r="N16" s="364"/>
    </row>
    <row r="17" spans="1:14" ht="12.75">
      <c r="A17" s="263"/>
      <c r="B17" s="364"/>
      <c r="C17" s="364"/>
      <c r="D17" s="364"/>
      <c r="E17" s="364"/>
      <c r="F17" s="364"/>
      <c r="G17" s="364"/>
      <c r="H17" s="364"/>
      <c r="I17" s="364"/>
      <c r="J17" s="364"/>
      <c r="K17" s="364"/>
      <c r="L17" s="364"/>
      <c r="M17" s="364"/>
      <c r="N17" s="364"/>
    </row>
    <row r="18" spans="1:14" ht="12.75">
      <c r="A18" s="263"/>
      <c r="B18" s="262"/>
      <c r="C18" s="262"/>
      <c r="D18" s="262"/>
      <c r="E18" s="262"/>
      <c r="F18" s="262"/>
      <c r="G18" s="262"/>
      <c r="H18" s="262"/>
      <c r="I18" s="262"/>
      <c r="J18" s="262"/>
      <c r="K18" s="262"/>
      <c r="L18" s="262"/>
      <c r="M18" s="262"/>
      <c r="N18" s="262"/>
    </row>
    <row r="19" spans="1:14" ht="12.75">
      <c r="A19" s="260" t="s">
        <v>206</v>
      </c>
      <c r="B19" s="261" t="s">
        <v>798</v>
      </c>
      <c r="C19" s="262"/>
      <c r="D19" s="262"/>
      <c r="E19" s="262"/>
      <c r="F19" s="262"/>
      <c r="G19" s="262"/>
      <c r="H19" s="262"/>
      <c r="I19" s="262"/>
      <c r="J19" s="262"/>
      <c r="K19" s="262"/>
      <c r="L19" s="262"/>
      <c r="M19" s="262"/>
      <c r="N19" s="262"/>
    </row>
    <row r="20" spans="1:14" ht="12.75">
      <c r="A20" s="260"/>
      <c r="B20" s="364" t="s">
        <v>799</v>
      </c>
      <c r="C20" s="364"/>
      <c r="D20" s="364"/>
      <c r="E20" s="364"/>
      <c r="F20" s="364"/>
      <c r="G20" s="364"/>
      <c r="H20" s="364"/>
      <c r="I20" s="364"/>
      <c r="J20" s="364"/>
      <c r="K20" s="364"/>
      <c r="L20" s="364"/>
      <c r="M20" s="364"/>
      <c r="N20" s="364"/>
    </row>
    <row r="21" spans="1:14" ht="12.75">
      <c r="A21" s="263"/>
      <c r="B21" s="364"/>
      <c r="C21" s="364"/>
      <c r="D21" s="364"/>
      <c r="E21" s="364"/>
      <c r="F21" s="364"/>
      <c r="G21" s="364"/>
      <c r="H21" s="364"/>
      <c r="I21" s="364"/>
      <c r="J21" s="364"/>
      <c r="K21" s="364"/>
      <c r="L21" s="364"/>
      <c r="M21" s="364"/>
      <c r="N21" s="364"/>
    </row>
    <row r="22" spans="1:14" ht="12.75">
      <c r="A22" s="263"/>
      <c r="B22" s="364"/>
      <c r="C22" s="364"/>
      <c r="D22" s="364"/>
      <c r="E22" s="364"/>
      <c r="F22" s="364"/>
      <c r="G22" s="364"/>
      <c r="H22" s="364"/>
      <c r="I22" s="364"/>
      <c r="J22" s="364"/>
      <c r="K22" s="364"/>
      <c r="L22" s="364"/>
      <c r="M22" s="364"/>
      <c r="N22" s="364"/>
    </row>
    <row r="23" spans="1:14" ht="12.75">
      <c r="A23" s="263"/>
      <c r="B23" s="364"/>
      <c r="C23" s="364"/>
      <c r="D23" s="364"/>
      <c r="E23" s="364"/>
      <c r="F23" s="364"/>
      <c r="G23" s="364"/>
      <c r="H23" s="364"/>
      <c r="I23" s="364"/>
      <c r="J23" s="364"/>
      <c r="K23" s="364"/>
      <c r="L23" s="364"/>
      <c r="M23" s="364"/>
      <c r="N23" s="364"/>
    </row>
    <row r="24" spans="1:14" ht="12.75">
      <c r="A24" s="263"/>
      <c r="B24" s="364"/>
      <c r="C24" s="364"/>
      <c r="D24" s="364"/>
      <c r="E24" s="364"/>
      <c r="F24" s="364"/>
      <c r="G24" s="364"/>
      <c r="H24" s="364"/>
      <c r="I24" s="364"/>
      <c r="J24" s="364"/>
      <c r="K24" s="364"/>
      <c r="L24" s="364"/>
      <c r="M24" s="364"/>
      <c r="N24" s="364"/>
    </row>
    <row r="25" spans="1:14" ht="12.75">
      <c r="A25" s="263"/>
      <c r="B25" s="364"/>
      <c r="C25" s="364"/>
      <c r="D25" s="364"/>
      <c r="E25" s="364"/>
      <c r="F25" s="364"/>
      <c r="G25" s="364"/>
      <c r="H25" s="364"/>
      <c r="I25" s="364"/>
      <c r="J25" s="364"/>
      <c r="K25" s="364"/>
      <c r="L25" s="364"/>
      <c r="M25" s="364"/>
      <c r="N25" s="364"/>
    </row>
    <row r="26" spans="1:14" ht="12.75">
      <c r="A26" s="263"/>
      <c r="B26" s="262"/>
      <c r="C26" s="262"/>
      <c r="D26" s="262"/>
      <c r="E26" s="262"/>
      <c r="F26" s="262"/>
      <c r="G26" s="262"/>
      <c r="H26" s="262"/>
      <c r="I26" s="262"/>
      <c r="J26" s="262"/>
      <c r="K26" s="262"/>
      <c r="L26" s="262"/>
      <c r="M26" s="262"/>
      <c r="N26" s="262"/>
    </row>
    <row r="27" spans="1:14" ht="12.75">
      <c r="A27" s="260" t="s">
        <v>206</v>
      </c>
      <c r="B27" s="266" t="s">
        <v>358</v>
      </c>
      <c r="C27" s="262"/>
      <c r="D27" s="262"/>
      <c r="E27" s="262"/>
      <c r="F27" s="262"/>
      <c r="G27" s="262"/>
      <c r="H27" s="262"/>
      <c r="I27" s="262"/>
      <c r="J27" s="262"/>
      <c r="K27" s="262"/>
      <c r="L27" s="262"/>
      <c r="M27" s="262"/>
      <c r="N27" s="262"/>
    </row>
    <row r="28" spans="1:14" ht="12.75">
      <c r="A28" s="260"/>
      <c r="B28" s="365" t="s">
        <v>800</v>
      </c>
      <c r="C28" s="365"/>
      <c r="D28" s="365"/>
      <c r="E28" s="365"/>
      <c r="F28" s="365"/>
      <c r="G28" s="365"/>
      <c r="H28" s="365"/>
      <c r="I28" s="365"/>
      <c r="J28" s="365"/>
      <c r="K28" s="365"/>
      <c r="L28" s="365"/>
      <c r="M28" s="365"/>
      <c r="N28" s="365"/>
    </row>
    <row r="29" spans="1:14" ht="12.75">
      <c r="A29" s="260"/>
      <c r="B29" s="365"/>
      <c r="C29" s="365"/>
      <c r="D29" s="365"/>
      <c r="E29" s="365"/>
      <c r="F29" s="365"/>
      <c r="G29" s="365"/>
      <c r="H29" s="365"/>
      <c r="I29" s="365"/>
      <c r="J29" s="365"/>
      <c r="K29" s="365"/>
      <c r="L29" s="365"/>
      <c r="M29" s="365"/>
      <c r="N29" s="365"/>
    </row>
    <row r="30" spans="1:14" ht="12.75">
      <c r="A30" s="260"/>
      <c r="B30" s="365"/>
      <c r="C30" s="365"/>
      <c r="D30" s="365"/>
      <c r="E30" s="365"/>
      <c r="F30" s="365"/>
      <c r="G30" s="365"/>
      <c r="H30" s="365"/>
      <c r="I30" s="365"/>
      <c r="J30" s="365"/>
      <c r="K30" s="365"/>
      <c r="L30" s="365"/>
      <c r="M30" s="365"/>
      <c r="N30" s="365"/>
    </row>
    <row r="31" spans="1:14" ht="12.75">
      <c r="A31" s="263"/>
      <c r="B31" s="365"/>
      <c r="C31" s="365"/>
      <c r="D31" s="365"/>
      <c r="E31" s="365"/>
      <c r="F31" s="365"/>
      <c r="G31" s="365"/>
      <c r="H31" s="365"/>
      <c r="I31" s="365"/>
      <c r="J31" s="365"/>
      <c r="K31" s="365"/>
      <c r="L31" s="365"/>
      <c r="M31" s="365"/>
      <c r="N31" s="365"/>
    </row>
    <row r="32" spans="1:14" ht="12.75">
      <c r="A32" s="263"/>
      <c r="B32" s="262"/>
      <c r="C32" s="262"/>
      <c r="D32" s="262"/>
      <c r="E32" s="262"/>
      <c r="F32" s="262"/>
      <c r="G32" s="262"/>
      <c r="H32" s="262"/>
      <c r="I32" s="262"/>
      <c r="J32" s="262"/>
      <c r="K32" s="262"/>
      <c r="L32" s="262"/>
      <c r="M32" s="262"/>
      <c r="N32" s="262"/>
    </row>
    <row r="33" spans="1:14" ht="12.75">
      <c r="A33" s="260" t="s">
        <v>206</v>
      </c>
      <c r="B33" s="266" t="s">
        <v>595</v>
      </c>
      <c r="C33" s="262"/>
      <c r="D33" s="262"/>
      <c r="E33" s="262"/>
      <c r="F33" s="262"/>
      <c r="G33" s="262"/>
      <c r="H33" s="262"/>
      <c r="I33" s="262"/>
      <c r="J33" s="262"/>
      <c r="K33" s="262"/>
      <c r="L33" s="262"/>
      <c r="M33" s="262"/>
      <c r="N33" s="262"/>
    </row>
    <row r="34" spans="1:14" ht="12.75">
      <c r="A34" s="260"/>
      <c r="B34" s="365" t="s">
        <v>801</v>
      </c>
      <c r="C34" s="365"/>
      <c r="D34" s="365"/>
      <c r="E34" s="365"/>
      <c r="F34" s="365"/>
      <c r="G34" s="365"/>
      <c r="H34" s="365"/>
      <c r="I34" s="365"/>
      <c r="J34" s="365"/>
      <c r="K34" s="365"/>
      <c r="L34" s="365"/>
      <c r="M34" s="365"/>
      <c r="N34" s="365"/>
    </row>
    <row r="35" spans="1:14" ht="12.75">
      <c r="A35" s="263"/>
      <c r="B35" s="365"/>
      <c r="C35" s="365"/>
      <c r="D35" s="365"/>
      <c r="E35" s="365"/>
      <c r="F35" s="365"/>
      <c r="G35" s="365"/>
      <c r="H35" s="365"/>
      <c r="I35" s="365"/>
      <c r="J35" s="365"/>
      <c r="K35" s="365"/>
      <c r="L35" s="365"/>
      <c r="M35" s="365"/>
      <c r="N35" s="365"/>
    </row>
    <row r="36" spans="1:14" ht="12.75">
      <c r="A36" s="263"/>
      <c r="B36" s="365"/>
      <c r="C36" s="365"/>
      <c r="D36" s="365"/>
      <c r="E36" s="365"/>
      <c r="F36" s="365"/>
      <c r="G36" s="365"/>
      <c r="H36" s="365"/>
      <c r="I36" s="365"/>
      <c r="J36" s="365"/>
      <c r="K36" s="365"/>
      <c r="L36" s="365"/>
      <c r="M36" s="365"/>
      <c r="N36" s="365"/>
    </row>
    <row r="37" spans="1:14" ht="12.75">
      <c r="A37" s="263"/>
      <c r="B37" s="365"/>
      <c r="C37" s="365"/>
      <c r="D37" s="365"/>
      <c r="E37" s="365"/>
      <c r="F37" s="365"/>
      <c r="G37" s="365"/>
      <c r="H37" s="365"/>
      <c r="I37" s="365"/>
      <c r="J37" s="365"/>
      <c r="K37" s="365"/>
      <c r="L37" s="365"/>
      <c r="M37" s="365"/>
      <c r="N37" s="365"/>
    </row>
    <row r="38" spans="1:14" ht="12.75">
      <c r="A38" s="263"/>
      <c r="B38" s="365"/>
      <c r="C38" s="365"/>
      <c r="D38" s="365"/>
      <c r="E38" s="365"/>
      <c r="F38" s="365"/>
      <c r="G38" s="365"/>
      <c r="H38" s="365"/>
      <c r="I38" s="365"/>
      <c r="J38" s="365"/>
      <c r="K38" s="365"/>
      <c r="L38" s="365"/>
      <c r="M38" s="365"/>
      <c r="N38" s="365"/>
    </row>
    <row r="39" spans="1:14" ht="12.75">
      <c r="A39" s="263"/>
      <c r="B39" s="262"/>
      <c r="C39" s="262"/>
      <c r="D39" s="262"/>
      <c r="E39" s="262"/>
      <c r="F39" s="262"/>
      <c r="G39" s="262"/>
      <c r="H39" s="262"/>
      <c r="I39" s="262"/>
      <c r="J39" s="262"/>
      <c r="K39" s="262"/>
      <c r="L39" s="262"/>
      <c r="M39" s="262"/>
      <c r="N39" s="262"/>
    </row>
    <row r="40" spans="1:14" ht="12.75">
      <c r="A40" s="260" t="s">
        <v>206</v>
      </c>
      <c r="B40" s="266" t="s">
        <v>596</v>
      </c>
      <c r="C40" s="262"/>
      <c r="D40" s="262"/>
      <c r="E40" s="262"/>
      <c r="F40" s="262"/>
      <c r="G40" s="262"/>
      <c r="H40" s="262"/>
      <c r="I40" s="262"/>
      <c r="J40" s="262"/>
      <c r="K40" s="262"/>
      <c r="L40" s="262"/>
      <c r="M40" s="262"/>
      <c r="N40" s="262"/>
    </row>
    <row r="41" spans="1:14" ht="12.75">
      <c r="A41" s="260"/>
      <c r="B41" s="365" t="s">
        <v>597</v>
      </c>
      <c r="C41" s="365"/>
      <c r="D41" s="365"/>
      <c r="E41" s="365"/>
      <c r="F41" s="365"/>
      <c r="G41" s="365"/>
      <c r="H41" s="365"/>
      <c r="I41" s="365"/>
      <c r="J41" s="365"/>
      <c r="K41" s="365"/>
      <c r="L41" s="365"/>
      <c r="M41" s="365"/>
      <c r="N41" s="365"/>
    </row>
    <row r="42" spans="1:14" ht="12.75">
      <c r="A42" s="260"/>
      <c r="B42" s="365"/>
      <c r="C42" s="365"/>
      <c r="D42" s="365"/>
      <c r="E42" s="365"/>
      <c r="F42" s="365"/>
      <c r="G42" s="365"/>
      <c r="H42" s="365"/>
      <c r="I42" s="365"/>
      <c r="J42" s="365"/>
      <c r="K42" s="365"/>
      <c r="L42" s="365"/>
      <c r="M42" s="365"/>
      <c r="N42" s="365"/>
    </row>
    <row r="43" spans="1:14" ht="12.75">
      <c r="A43" s="263"/>
      <c r="B43" s="365"/>
      <c r="C43" s="365"/>
      <c r="D43" s="365"/>
      <c r="E43" s="365"/>
      <c r="F43" s="365"/>
      <c r="G43" s="365"/>
      <c r="H43" s="365"/>
      <c r="I43" s="365"/>
      <c r="J43" s="365"/>
      <c r="K43" s="365"/>
      <c r="L43" s="365"/>
      <c r="M43" s="365"/>
      <c r="N43" s="365"/>
    </row>
    <row r="44" spans="1:14" ht="12.75">
      <c r="A44" s="263"/>
      <c r="B44" s="262"/>
      <c r="C44" s="262"/>
      <c r="D44" s="262"/>
      <c r="E44" s="262"/>
      <c r="F44" s="262"/>
      <c r="G44" s="262"/>
      <c r="H44" s="262"/>
      <c r="I44" s="262"/>
      <c r="J44" s="262"/>
      <c r="K44" s="262"/>
      <c r="L44" s="262"/>
      <c r="M44" s="262"/>
      <c r="N44" s="262"/>
    </row>
    <row r="45" spans="1:14" ht="12.75">
      <c r="A45" s="260" t="s">
        <v>206</v>
      </c>
      <c r="B45" s="263" t="s">
        <v>802</v>
      </c>
      <c r="C45" s="262"/>
      <c r="D45" s="262"/>
      <c r="E45" s="262"/>
      <c r="F45" s="262"/>
      <c r="G45" s="262"/>
      <c r="H45" s="262"/>
      <c r="I45" s="262"/>
      <c r="J45" s="262"/>
      <c r="K45" s="262"/>
      <c r="L45" s="262"/>
      <c r="M45" s="262"/>
      <c r="N45" s="262"/>
    </row>
    <row r="46" spans="1:14" ht="12.75">
      <c r="A46" s="263"/>
      <c r="B46" s="367" t="s">
        <v>803</v>
      </c>
      <c r="C46" s="367"/>
      <c r="D46" s="367"/>
      <c r="E46" s="367"/>
      <c r="F46" s="367"/>
      <c r="G46" s="367"/>
      <c r="H46" s="367"/>
      <c r="I46" s="367"/>
      <c r="J46" s="367"/>
      <c r="K46" s="367"/>
      <c r="L46" s="367"/>
      <c r="M46" s="367"/>
      <c r="N46" s="367"/>
    </row>
    <row r="47" spans="1:14" ht="12.75">
      <c r="A47" s="263"/>
      <c r="B47" s="367"/>
      <c r="C47" s="367"/>
      <c r="D47" s="367"/>
      <c r="E47" s="367"/>
      <c r="F47" s="367"/>
      <c r="G47" s="367"/>
      <c r="H47" s="367"/>
      <c r="I47" s="367"/>
      <c r="J47" s="367"/>
      <c r="K47" s="367"/>
      <c r="L47" s="367"/>
      <c r="M47" s="367"/>
      <c r="N47" s="367"/>
    </row>
    <row r="48" spans="1:14" ht="12.75">
      <c r="A48" s="263"/>
      <c r="B48" s="367"/>
      <c r="C48" s="367"/>
      <c r="D48" s="367"/>
      <c r="E48" s="367"/>
      <c r="F48" s="367"/>
      <c r="G48" s="367"/>
      <c r="H48" s="367"/>
      <c r="I48" s="367"/>
      <c r="J48" s="367"/>
      <c r="K48" s="367"/>
      <c r="L48" s="367"/>
      <c r="M48" s="367"/>
      <c r="N48" s="367"/>
    </row>
    <row r="49" spans="1:14" ht="12.75">
      <c r="A49" s="263"/>
      <c r="B49" s="367"/>
      <c r="C49" s="367"/>
      <c r="D49" s="367"/>
      <c r="E49" s="367"/>
      <c r="F49" s="367"/>
      <c r="G49" s="367"/>
      <c r="H49" s="367"/>
      <c r="I49" s="367"/>
      <c r="J49" s="367"/>
      <c r="K49" s="367"/>
      <c r="L49" s="367"/>
      <c r="M49" s="367"/>
      <c r="N49" s="367"/>
    </row>
    <row r="50" spans="1:14" ht="12.75">
      <c r="A50" s="263"/>
      <c r="B50" s="367"/>
      <c r="C50" s="367"/>
      <c r="D50" s="367"/>
      <c r="E50" s="367"/>
      <c r="F50" s="367"/>
      <c r="G50" s="367"/>
      <c r="H50" s="367"/>
      <c r="I50" s="367"/>
      <c r="J50" s="367"/>
      <c r="K50" s="367"/>
      <c r="L50" s="367"/>
      <c r="M50" s="367"/>
      <c r="N50" s="367"/>
    </row>
    <row r="51" spans="1:14" ht="12.75">
      <c r="A51" s="263"/>
      <c r="B51" s="262"/>
      <c r="C51" s="262"/>
      <c r="D51" s="262"/>
      <c r="E51" s="262"/>
      <c r="F51" s="262"/>
      <c r="G51" s="262"/>
      <c r="H51" s="262"/>
      <c r="I51" s="262"/>
      <c r="J51" s="262"/>
      <c r="K51" s="262"/>
      <c r="L51" s="262"/>
      <c r="M51" s="262"/>
      <c r="N51" s="262"/>
    </row>
    <row r="52" spans="1:14" ht="12.75">
      <c r="A52" s="309" t="s">
        <v>598</v>
      </c>
      <c r="B52" s="310"/>
      <c r="C52" s="309"/>
      <c r="D52" s="309"/>
      <c r="E52" s="309"/>
      <c r="F52" s="309"/>
      <c r="G52" s="309"/>
      <c r="H52" s="309"/>
      <c r="I52" s="309"/>
      <c r="J52" s="309"/>
      <c r="K52" s="309"/>
      <c r="L52" s="309"/>
      <c r="M52" s="309"/>
      <c r="N52" s="309"/>
    </row>
    <row r="53" spans="1:14" ht="12.75">
      <c r="A53" s="311" t="s">
        <v>206</v>
      </c>
      <c r="B53" s="309" t="s">
        <v>385</v>
      </c>
      <c r="C53" s="309"/>
      <c r="D53" s="309"/>
      <c r="E53" s="309"/>
      <c r="F53" s="309"/>
      <c r="G53" s="309"/>
      <c r="H53" s="309"/>
      <c r="I53" s="309"/>
      <c r="J53" s="309"/>
      <c r="K53" s="309"/>
      <c r="L53" s="309"/>
      <c r="M53" s="309"/>
      <c r="N53" s="309"/>
    </row>
    <row r="54" spans="1:14" ht="12.75">
      <c r="A54" s="311" t="s">
        <v>206</v>
      </c>
      <c r="B54" s="309" t="s">
        <v>386</v>
      </c>
      <c r="C54" s="309"/>
      <c r="D54" s="309"/>
      <c r="E54" s="309"/>
      <c r="F54" s="309"/>
      <c r="G54" s="309"/>
      <c r="H54" s="309"/>
      <c r="I54" s="309"/>
      <c r="J54" s="309"/>
      <c r="K54" s="309"/>
      <c r="L54" s="309"/>
      <c r="M54" s="309"/>
      <c r="N54" s="309"/>
    </row>
    <row r="55" spans="1:14" ht="12.75">
      <c r="A55" s="311" t="s">
        <v>206</v>
      </c>
      <c r="B55" s="309" t="s">
        <v>387</v>
      </c>
      <c r="C55" s="309"/>
      <c r="D55" s="309"/>
      <c r="E55" s="309"/>
      <c r="F55" s="309"/>
      <c r="G55" s="309"/>
      <c r="H55" s="309"/>
      <c r="I55" s="309"/>
      <c r="J55" s="309"/>
      <c r="K55" s="309"/>
      <c r="L55" s="309"/>
      <c r="M55" s="309"/>
      <c r="N55" s="309"/>
    </row>
    <row r="56" spans="1:14" ht="12.75">
      <c r="A56" s="311" t="s">
        <v>206</v>
      </c>
      <c r="B56" s="309" t="s">
        <v>388</v>
      </c>
      <c r="C56" s="309"/>
      <c r="D56" s="309"/>
      <c r="E56" s="309"/>
      <c r="F56" s="309"/>
      <c r="G56" s="309"/>
      <c r="H56" s="309"/>
      <c r="I56" s="309"/>
      <c r="J56" s="309"/>
      <c r="K56" s="309"/>
      <c r="L56" s="309"/>
      <c r="M56" s="309"/>
      <c r="N56" s="309"/>
    </row>
    <row r="57" spans="1:14" ht="12.75">
      <c r="A57" s="309"/>
      <c r="B57" s="309"/>
      <c r="C57" s="309"/>
      <c r="D57" s="309"/>
      <c r="E57" s="309"/>
      <c r="F57" s="309"/>
      <c r="G57" s="309"/>
      <c r="H57" s="309"/>
      <c r="I57" s="309"/>
      <c r="J57" s="309"/>
      <c r="K57" s="309"/>
      <c r="L57" s="309"/>
      <c r="M57" s="309"/>
      <c r="N57" s="309"/>
    </row>
    <row r="58" spans="1:14" ht="12.75">
      <c r="A58" s="367" t="s">
        <v>804</v>
      </c>
      <c r="B58" s="367"/>
      <c r="C58" s="367"/>
      <c r="D58" s="367"/>
      <c r="E58" s="367"/>
      <c r="F58" s="367"/>
      <c r="G58" s="367"/>
      <c r="H58" s="367"/>
      <c r="I58" s="367"/>
      <c r="J58" s="367"/>
      <c r="K58" s="367"/>
      <c r="L58" s="367"/>
      <c r="M58" s="367"/>
      <c r="N58" s="367"/>
    </row>
    <row r="59" spans="1:14" ht="12.75">
      <c r="A59" s="367"/>
      <c r="B59" s="367"/>
      <c r="C59" s="367"/>
      <c r="D59" s="367"/>
      <c r="E59" s="367"/>
      <c r="F59" s="367"/>
      <c r="G59" s="367"/>
      <c r="H59" s="367"/>
      <c r="I59" s="367"/>
      <c r="J59" s="367"/>
      <c r="K59" s="367"/>
      <c r="L59" s="367"/>
      <c r="M59" s="367"/>
      <c r="N59" s="367"/>
    </row>
    <row r="60" spans="1:14" ht="12.75">
      <c r="A60" s="367" t="s">
        <v>805</v>
      </c>
      <c r="B60" s="367"/>
      <c r="C60" s="367"/>
      <c r="D60" s="367"/>
      <c r="E60" s="367"/>
      <c r="F60" s="367"/>
      <c r="G60" s="367"/>
      <c r="H60" s="367"/>
      <c r="I60" s="367"/>
      <c r="J60" s="367"/>
      <c r="K60" s="367"/>
      <c r="L60" s="367"/>
      <c r="M60" s="367"/>
      <c r="N60" s="367"/>
    </row>
    <row r="61" spans="1:14" ht="12.75">
      <c r="A61" s="367"/>
      <c r="B61" s="367"/>
      <c r="C61" s="367"/>
      <c r="D61" s="367"/>
      <c r="E61" s="367"/>
      <c r="F61" s="367"/>
      <c r="G61" s="367"/>
      <c r="H61" s="367"/>
      <c r="I61" s="367"/>
      <c r="J61" s="367"/>
      <c r="K61" s="367"/>
      <c r="L61" s="367"/>
      <c r="M61" s="367"/>
      <c r="N61" s="367"/>
    </row>
    <row r="62" spans="1:14" ht="12.75">
      <c r="A62" s="367" t="s">
        <v>806</v>
      </c>
      <c r="B62" s="367"/>
      <c r="C62" s="367"/>
      <c r="D62" s="367"/>
      <c r="E62" s="367"/>
      <c r="F62" s="367"/>
      <c r="G62" s="367"/>
      <c r="H62" s="367"/>
      <c r="I62" s="367"/>
      <c r="J62" s="367"/>
      <c r="K62" s="367"/>
      <c r="L62" s="367"/>
      <c r="M62" s="367"/>
      <c r="N62" s="367"/>
    </row>
    <row r="63" spans="1:14" ht="12.75">
      <c r="A63" s="367"/>
      <c r="B63" s="367"/>
      <c r="C63" s="367"/>
      <c r="D63" s="367"/>
      <c r="E63" s="367"/>
      <c r="F63" s="367"/>
      <c r="G63" s="367"/>
      <c r="H63" s="367"/>
      <c r="I63" s="367"/>
      <c r="J63" s="367"/>
      <c r="K63" s="367"/>
      <c r="L63" s="367"/>
      <c r="M63" s="367"/>
      <c r="N63" s="367"/>
    </row>
    <row r="64" spans="1:14" ht="12.75">
      <c r="A64" s="367" t="s">
        <v>807</v>
      </c>
      <c r="B64" s="367"/>
      <c r="C64" s="367"/>
      <c r="D64" s="367"/>
      <c r="E64" s="367"/>
      <c r="F64" s="367"/>
      <c r="G64" s="367"/>
      <c r="H64" s="367"/>
      <c r="I64" s="367"/>
      <c r="J64" s="367"/>
      <c r="K64" s="367"/>
      <c r="L64" s="367"/>
      <c r="M64" s="367"/>
      <c r="N64" s="367"/>
    </row>
    <row r="65" spans="1:14" ht="12.75">
      <c r="A65" s="367"/>
      <c r="B65" s="367"/>
      <c r="C65" s="367"/>
      <c r="D65" s="367"/>
      <c r="E65" s="367"/>
      <c r="F65" s="367"/>
      <c r="G65" s="367"/>
      <c r="H65" s="367"/>
      <c r="I65" s="367"/>
      <c r="J65" s="367"/>
      <c r="K65" s="367"/>
      <c r="L65" s="367"/>
      <c r="M65" s="367"/>
      <c r="N65" s="367"/>
    </row>
    <row r="66" spans="1:14" ht="12.75">
      <c r="A66" s="312"/>
      <c r="B66" s="312"/>
      <c r="C66" s="312"/>
      <c r="D66" s="312"/>
      <c r="E66" s="312"/>
      <c r="F66" s="312"/>
      <c r="G66" s="312"/>
      <c r="H66" s="312"/>
      <c r="I66" s="312"/>
      <c r="J66" s="312"/>
      <c r="K66" s="312"/>
      <c r="L66" s="312"/>
      <c r="M66" s="312"/>
      <c r="N66" s="312"/>
    </row>
    <row r="67" spans="1:14" ht="15.75">
      <c r="A67" s="265" t="s">
        <v>389</v>
      </c>
      <c r="B67" s="271"/>
      <c r="C67" s="271"/>
      <c r="D67" s="271"/>
      <c r="E67" s="271"/>
      <c r="F67" s="271"/>
      <c r="G67" s="271"/>
      <c r="H67" s="271"/>
      <c r="I67" s="271"/>
      <c r="J67" s="271"/>
      <c r="K67" s="271"/>
      <c r="L67" s="271"/>
      <c r="M67" s="271"/>
      <c r="N67" s="271"/>
    </row>
    <row r="68" spans="1:14" ht="12.75">
      <c r="A68" s="260" t="s">
        <v>206</v>
      </c>
      <c r="B68" s="266" t="s">
        <v>643</v>
      </c>
      <c r="C68" s="139"/>
      <c r="D68" s="139"/>
      <c r="E68" s="139"/>
      <c r="F68" s="139"/>
      <c r="G68" s="139"/>
      <c r="H68" s="139"/>
      <c r="I68" s="139"/>
      <c r="J68" s="139"/>
      <c r="K68" s="139"/>
      <c r="L68" s="139"/>
      <c r="M68" s="139"/>
      <c r="N68" s="139"/>
    </row>
    <row r="69" spans="1:14" ht="12.75">
      <c r="A69" s="260"/>
      <c r="B69" s="365" t="s">
        <v>599</v>
      </c>
      <c r="C69" s="365"/>
      <c r="D69" s="365"/>
      <c r="E69" s="365"/>
      <c r="F69" s="365"/>
      <c r="G69" s="365"/>
      <c r="H69" s="365"/>
      <c r="I69" s="365"/>
      <c r="J69" s="365"/>
      <c r="K69" s="365"/>
      <c r="L69" s="365"/>
      <c r="M69" s="365"/>
      <c r="N69" s="365"/>
    </row>
    <row r="70" spans="1:14" ht="12.75">
      <c r="A70" s="139"/>
      <c r="B70" s="365"/>
      <c r="C70" s="365"/>
      <c r="D70" s="365"/>
      <c r="E70" s="365"/>
      <c r="F70" s="365"/>
      <c r="G70" s="365"/>
      <c r="H70" s="365"/>
      <c r="I70" s="365"/>
      <c r="J70" s="365"/>
      <c r="K70" s="365"/>
      <c r="L70" s="365"/>
      <c r="M70" s="365"/>
      <c r="N70" s="365"/>
    </row>
    <row r="71" spans="1:14" ht="12.75">
      <c r="A71" s="139"/>
      <c r="B71" s="139"/>
      <c r="C71" s="139"/>
      <c r="D71" s="139"/>
      <c r="E71" s="139"/>
      <c r="F71" s="139"/>
      <c r="G71" s="139"/>
      <c r="H71" s="139"/>
      <c r="I71" s="139"/>
      <c r="J71" s="139"/>
      <c r="K71" s="139"/>
      <c r="L71" s="139"/>
      <c r="M71" s="139"/>
      <c r="N71" s="139"/>
    </row>
    <row r="72" spans="1:14" ht="12.75">
      <c r="A72" s="260" t="s">
        <v>206</v>
      </c>
      <c r="B72" s="266" t="s">
        <v>3</v>
      </c>
      <c r="C72" s="139"/>
      <c r="D72" s="139"/>
      <c r="E72" s="139"/>
      <c r="F72" s="139"/>
      <c r="G72" s="139"/>
      <c r="H72" s="139"/>
      <c r="I72" s="139"/>
      <c r="J72" s="139"/>
      <c r="K72" s="139"/>
      <c r="L72" s="139"/>
      <c r="M72" s="139"/>
      <c r="N72" s="139"/>
    </row>
    <row r="73" spans="1:14" ht="12.75">
      <c r="A73" s="260"/>
      <c r="B73" s="365" t="s">
        <v>600</v>
      </c>
      <c r="C73" s="365"/>
      <c r="D73" s="365"/>
      <c r="E73" s="365"/>
      <c r="F73" s="365"/>
      <c r="G73" s="365"/>
      <c r="H73" s="365"/>
      <c r="I73" s="365"/>
      <c r="J73" s="365"/>
      <c r="K73" s="365"/>
      <c r="L73" s="365"/>
      <c r="M73" s="365"/>
      <c r="N73" s="365"/>
    </row>
    <row r="74" spans="1:14" ht="12.75">
      <c r="A74" s="260"/>
      <c r="B74" s="365"/>
      <c r="C74" s="365"/>
      <c r="D74" s="365"/>
      <c r="E74" s="365"/>
      <c r="F74" s="365"/>
      <c r="G74" s="365"/>
      <c r="H74" s="365"/>
      <c r="I74" s="365"/>
      <c r="J74" s="365"/>
      <c r="K74" s="365"/>
      <c r="L74" s="365"/>
      <c r="M74" s="365"/>
      <c r="N74" s="365"/>
    </row>
    <row r="75" spans="1:14" ht="12.75">
      <c r="A75" s="139"/>
      <c r="B75" s="139"/>
      <c r="C75" s="139"/>
      <c r="D75" s="139"/>
      <c r="E75" s="139"/>
      <c r="F75" s="139"/>
      <c r="G75" s="139"/>
      <c r="H75" s="139"/>
      <c r="I75" s="139"/>
      <c r="J75" s="139"/>
      <c r="K75" s="139"/>
      <c r="L75" s="139"/>
      <c r="M75" s="139"/>
      <c r="N75" s="139"/>
    </row>
    <row r="76" spans="1:14" ht="12.75">
      <c r="A76" s="260" t="s">
        <v>206</v>
      </c>
      <c r="B76" s="261" t="s">
        <v>808</v>
      </c>
      <c r="C76" s="139"/>
      <c r="D76" s="139"/>
      <c r="E76" s="139"/>
      <c r="F76" s="139"/>
      <c r="G76" s="139"/>
      <c r="H76" s="139"/>
      <c r="I76" s="139"/>
      <c r="J76" s="139"/>
      <c r="K76" s="139"/>
      <c r="L76" s="139"/>
      <c r="M76" s="139"/>
      <c r="N76" s="139"/>
    </row>
    <row r="77" spans="1:14" ht="12.75">
      <c r="A77" s="260"/>
      <c r="B77" s="364" t="s">
        <v>809</v>
      </c>
      <c r="C77" s="364"/>
      <c r="D77" s="364"/>
      <c r="E77" s="364"/>
      <c r="F77" s="364"/>
      <c r="G77" s="364"/>
      <c r="H77" s="364"/>
      <c r="I77" s="364"/>
      <c r="J77" s="364"/>
      <c r="K77" s="364"/>
      <c r="L77" s="364"/>
      <c r="M77" s="364"/>
      <c r="N77" s="364"/>
    </row>
    <row r="78" spans="1:14" ht="12.75">
      <c r="A78" s="139"/>
      <c r="B78" s="364"/>
      <c r="C78" s="364"/>
      <c r="D78" s="364"/>
      <c r="E78" s="364"/>
      <c r="F78" s="364"/>
      <c r="G78" s="364"/>
      <c r="H78" s="364"/>
      <c r="I78" s="364"/>
      <c r="J78" s="364"/>
      <c r="K78" s="364"/>
      <c r="L78" s="364"/>
      <c r="M78" s="364"/>
      <c r="N78" s="364"/>
    </row>
    <row r="79" spans="1:14" ht="12.75">
      <c r="A79" s="139"/>
      <c r="B79" s="364"/>
      <c r="C79" s="364"/>
      <c r="D79" s="364"/>
      <c r="E79" s="364"/>
      <c r="F79" s="364"/>
      <c r="G79" s="364"/>
      <c r="H79" s="364"/>
      <c r="I79" s="364"/>
      <c r="J79" s="364"/>
      <c r="K79" s="364"/>
      <c r="L79" s="364"/>
      <c r="M79" s="364"/>
      <c r="N79" s="364"/>
    </row>
    <row r="80" spans="1:14" ht="12.75">
      <c r="A80" s="139"/>
      <c r="B80" s="139"/>
      <c r="C80" s="139"/>
      <c r="D80" s="139"/>
      <c r="E80" s="139"/>
      <c r="F80" s="139"/>
      <c r="G80" s="139"/>
      <c r="H80" s="139"/>
      <c r="I80" s="139"/>
      <c r="J80" s="139"/>
      <c r="K80" s="139"/>
      <c r="L80" s="139"/>
      <c r="M80" s="139"/>
      <c r="N80" s="139"/>
    </row>
    <row r="81" spans="1:14" ht="12.75">
      <c r="A81" s="260" t="s">
        <v>206</v>
      </c>
      <c r="B81" s="261" t="s">
        <v>810</v>
      </c>
      <c r="C81" s="139"/>
      <c r="D81" s="139"/>
      <c r="E81" s="139"/>
      <c r="F81" s="139"/>
      <c r="G81" s="139"/>
      <c r="H81" s="139"/>
      <c r="I81" s="139"/>
      <c r="J81" s="139"/>
      <c r="K81" s="139"/>
      <c r="L81" s="139"/>
      <c r="M81" s="139"/>
      <c r="N81" s="139"/>
    </row>
    <row r="82" spans="1:14" ht="12.75">
      <c r="A82" s="260"/>
      <c r="B82" s="364" t="s">
        <v>811</v>
      </c>
      <c r="C82" s="364"/>
      <c r="D82" s="364"/>
      <c r="E82" s="364"/>
      <c r="F82" s="364"/>
      <c r="G82" s="364"/>
      <c r="H82" s="364"/>
      <c r="I82" s="364"/>
      <c r="J82" s="364"/>
      <c r="K82" s="364"/>
      <c r="L82" s="364"/>
      <c r="M82" s="364"/>
      <c r="N82" s="364"/>
    </row>
    <row r="83" spans="1:14" ht="12.75">
      <c r="A83" s="260"/>
      <c r="B83" s="364"/>
      <c r="C83" s="364"/>
      <c r="D83" s="364"/>
      <c r="E83" s="364"/>
      <c r="F83" s="364"/>
      <c r="G83" s="364"/>
      <c r="H83" s="364"/>
      <c r="I83" s="364"/>
      <c r="J83" s="364"/>
      <c r="K83" s="364"/>
      <c r="L83" s="364"/>
      <c r="M83" s="364"/>
      <c r="N83" s="364"/>
    </row>
    <row r="84" spans="1:14" ht="12.75">
      <c r="A84" s="139"/>
      <c r="B84" s="364"/>
      <c r="C84" s="364"/>
      <c r="D84" s="364"/>
      <c r="E84" s="364"/>
      <c r="F84" s="364"/>
      <c r="G84" s="364"/>
      <c r="H84" s="364"/>
      <c r="I84" s="364"/>
      <c r="J84" s="364"/>
      <c r="K84" s="364"/>
      <c r="L84" s="364"/>
      <c r="M84" s="364"/>
      <c r="N84" s="364"/>
    </row>
    <row r="85" spans="1:14" ht="12.75">
      <c r="A85" s="139"/>
      <c r="B85" s="364"/>
      <c r="C85" s="364"/>
      <c r="D85" s="364"/>
      <c r="E85" s="364"/>
      <c r="F85" s="364"/>
      <c r="G85" s="364"/>
      <c r="H85" s="364"/>
      <c r="I85" s="364"/>
      <c r="J85" s="364"/>
      <c r="K85" s="364"/>
      <c r="L85" s="364"/>
      <c r="M85" s="364"/>
      <c r="N85" s="364"/>
    </row>
    <row r="86" spans="1:14" ht="12.75">
      <c r="A86" s="139"/>
      <c r="B86" s="364"/>
      <c r="C86" s="364"/>
      <c r="D86" s="364"/>
      <c r="E86" s="364"/>
      <c r="F86" s="364"/>
      <c r="G86" s="364"/>
      <c r="H86" s="364"/>
      <c r="I86" s="364"/>
      <c r="J86" s="364"/>
      <c r="K86" s="364"/>
      <c r="L86" s="364"/>
      <c r="M86" s="364"/>
      <c r="N86" s="364"/>
    </row>
    <row r="87" spans="1:14" ht="12.75">
      <c r="A87" s="139"/>
      <c r="B87" s="364"/>
      <c r="C87" s="364"/>
      <c r="D87" s="364"/>
      <c r="E87" s="364"/>
      <c r="F87" s="364"/>
      <c r="G87" s="364"/>
      <c r="H87" s="364"/>
      <c r="I87" s="364"/>
      <c r="J87" s="364"/>
      <c r="K87" s="364"/>
      <c r="L87" s="364"/>
      <c r="M87" s="364"/>
      <c r="N87" s="364"/>
    </row>
    <row r="88" spans="1:14" ht="12.75">
      <c r="A88" s="139"/>
      <c r="B88" s="364"/>
      <c r="C88" s="364"/>
      <c r="D88" s="364"/>
      <c r="E88" s="364"/>
      <c r="F88" s="364"/>
      <c r="G88" s="364"/>
      <c r="H88" s="364"/>
      <c r="I88" s="364"/>
      <c r="J88" s="364"/>
      <c r="K88" s="364"/>
      <c r="L88" s="364"/>
      <c r="M88" s="364"/>
      <c r="N88" s="364"/>
    </row>
    <row r="89" spans="1:14" ht="12.75">
      <c r="A89" s="139"/>
      <c r="B89" s="139"/>
      <c r="C89" s="139"/>
      <c r="D89" s="139"/>
      <c r="E89" s="139"/>
      <c r="F89" s="139"/>
      <c r="G89" s="139"/>
      <c r="H89" s="139"/>
      <c r="I89" s="139"/>
      <c r="J89" s="139"/>
      <c r="K89" s="139"/>
      <c r="L89" s="139"/>
      <c r="M89" s="139"/>
      <c r="N89" s="139"/>
    </row>
    <row r="90" spans="1:14" ht="12.75">
      <c r="A90" s="260" t="s">
        <v>206</v>
      </c>
      <c r="B90" s="266" t="s">
        <v>601</v>
      </c>
      <c r="C90" s="139"/>
      <c r="D90" s="139"/>
      <c r="E90" s="139"/>
      <c r="F90" s="139"/>
      <c r="G90" s="139"/>
      <c r="H90" s="139"/>
      <c r="I90" s="139"/>
      <c r="J90" s="139"/>
      <c r="K90" s="139"/>
      <c r="L90" s="139"/>
      <c r="M90" s="139"/>
      <c r="N90" s="139"/>
    </row>
    <row r="91" spans="1:14" ht="12.75">
      <c r="A91" s="260"/>
      <c r="B91" s="268" t="s">
        <v>812</v>
      </c>
      <c r="C91" s="139"/>
      <c r="D91" s="139"/>
      <c r="E91" s="139"/>
      <c r="F91" s="139"/>
      <c r="G91" s="139"/>
      <c r="H91" s="139"/>
      <c r="I91" s="139"/>
      <c r="J91" s="139"/>
      <c r="K91" s="139"/>
      <c r="L91" s="139"/>
      <c r="M91" s="139"/>
      <c r="N91" s="139"/>
    </row>
    <row r="92" spans="1:14" ht="12.75">
      <c r="A92" s="260"/>
      <c r="B92" s="268" t="s">
        <v>813</v>
      </c>
      <c r="C92" s="139"/>
      <c r="D92" s="139"/>
      <c r="E92" s="139"/>
      <c r="F92" s="139"/>
      <c r="G92" s="139"/>
      <c r="H92" s="139"/>
      <c r="I92" s="139"/>
      <c r="J92" s="139"/>
      <c r="K92" s="139"/>
      <c r="L92" s="139"/>
      <c r="M92" s="139"/>
      <c r="N92" s="139"/>
    </row>
    <row r="93" spans="1:14" ht="12.75">
      <c r="A93" s="139"/>
      <c r="B93" s="139"/>
      <c r="C93" s="139"/>
      <c r="D93" s="139"/>
      <c r="E93" s="139"/>
      <c r="F93" s="139"/>
      <c r="G93" s="139"/>
      <c r="H93" s="139"/>
      <c r="I93" s="139"/>
      <c r="J93" s="139"/>
      <c r="K93" s="139"/>
      <c r="L93" s="139"/>
      <c r="M93" s="139"/>
      <c r="N93" s="139"/>
    </row>
    <row r="94" spans="1:14" ht="12.75">
      <c r="A94" s="260" t="s">
        <v>206</v>
      </c>
      <c r="B94" s="266" t="s">
        <v>602</v>
      </c>
      <c r="C94" s="139"/>
      <c r="D94" s="139"/>
      <c r="E94" s="139"/>
      <c r="F94" s="139"/>
      <c r="G94" s="139"/>
      <c r="H94" s="139"/>
      <c r="I94" s="139"/>
      <c r="J94" s="139"/>
      <c r="K94" s="139"/>
      <c r="L94" s="139"/>
      <c r="M94" s="139"/>
      <c r="N94" s="139"/>
    </row>
    <row r="95" spans="1:14" ht="12.75">
      <c r="A95" s="260"/>
      <c r="B95" s="268" t="s">
        <v>1066</v>
      </c>
      <c r="C95" s="139"/>
      <c r="D95" s="139"/>
      <c r="E95" s="139"/>
      <c r="F95" s="139"/>
      <c r="G95" s="139"/>
      <c r="H95" s="139"/>
      <c r="I95" s="139"/>
      <c r="J95" s="139"/>
      <c r="K95" s="139"/>
      <c r="L95" s="139"/>
      <c r="M95" s="139"/>
      <c r="N95" s="139"/>
    </row>
    <row r="96" spans="1:14" ht="12.75">
      <c r="A96" s="138"/>
      <c r="B96" s="138"/>
      <c r="C96" s="139"/>
      <c r="D96" s="139"/>
      <c r="E96" s="139"/>
      <c r="F96" s="139"/>
      <c r="G96" s="139"/>
      <c r="H96" s="139"/>
      <c r="I96" s="139"/>
      <c r="J96" s="139"/>
      <c r="K96" s="139"/>
      <c r="L96" s="139"/>
      <c r="M96" s="139"/>
      <c r="N96" s="139"/>
    </row>
    <row r="97" spans="1:14" ht="12.75">
      <c r="A97" s="260" t="s">
        <v>206</v>
      </c>
      <c r="B97" s="266" t="s">
        <v>814</v>
      </c>
      <c r="C97" s="139"/>
      <c r="D97" s="139"/>
      <c r="E97" s="139"/>
      <c r="F97" s="139"/>
      <c r="G97" s="139"/>
      <c r="H97" s="139"/>
      <c r="I97" s="139"/>
      <c r="J97" s="139"/>
      <c r="K97" s="139"/>
      <c r="L97" s="139"/>
      <c r="M97" s="139"/>
      <c r="N97" s="139"/>
    </row>
    <row r="98" spans="1:14" ht="12.75">
      <c r="A98" s="139"/>
      <c r="B98" s="368" t="s">
        <v>815</v>
      </c>
      <c r="C98" s="368"/>
      <c r="D98" s="368"/>
      <c r="E98" s="368"/>
      <c r="F98" s="368"/>
      <c r="G98" s="368"/>
      <c r="H98" s="368"/>
      <c r="I98" s="368"/>
      <c r="J98" s="368"/>
      <c r="K98" s="368"/>
      <c r="L98" s="368"/>
      <c r="M98" s="368"/>
      <c r="N98" s="368"/>
    </row>
    <row r="99" spans="1:14" ht="12.75">
      <c r="A99" s="138"/>
      <c r="B99" s="138"/>
      <c r="C99" s="138"/>
      <c r="D99" s="138"/>
      <c r="E99" s="138"/>
      <c r="F99" s="138"/>
      <c r="G99" s="138"/>
      <c r="H99" s="138"/>
      <c r="I99" s="138"/>
      <c r="J99" s="138"/>
      <c r="K99" s="138"/>
      <c r="L99" s="138"/>
      <c r="M99" s="138"/>
      <c r="N99" s="138"/>
    </row>
    <row r="100" spans="1:14" ht="12.75">
      <c r="A100" s="260" t="s">
        <v>206</v>
      </c>
      <c r="B100" s="266" t="s">
        <v>816</v>
      </c>
      <c r="C100" s="139"/>
      <c r="D100" s="139"/>
      <c r="E100" s="139"/>
      <c r="F100" s="139"/>
      <c r="G100" s="139"/>
      <c r="H100" s="139"/>
      <c r="I100" s="139"/>
      <c r="J100" s="139"/>
      <c r="K100" s="139"/>
      <c r="L100" s="139"/>
      <c r="M100" s="139"/>
      <c r="N100" s="139"/>
    </row>
    <row r="101" spans="1:14" ht="12.75">
      <c r="A101" s="139"/>
      <c r="B101" s="365" t="s">
        <v>817</v>
      </c>
      <c r="C101" s="369"/>
      <c r="D101" s="369"/>
      <c r="E101" s="369"/>
      <c r="F101" s="369"/>
      <c r="G101" s="369"/>
      <c r="H101" s="369"/>
      <c r="I101" s="369"/>
      <c r="J101" s="369"/>
      <c r="K101" s="369"/>
      <c r="L101" s="369"/>
      <c r="M101" s="369"/>
      <c r="N101" s="369"/>
    </row>
    <row r="102" spans="1:14" ht="12.75">
      <c r="A102" s="139"/>
      <c r="B102" s="369"/>
      <c r="C102" s="369"/>
      <c r="D102" s="369"/>
      <c r="E102" s="369"/>
      <c r="F102" s="369"/>
      <c r="G102" s="369"/>
      <c r="H102" s="369"/>
      <c r="I102" s="369"/>
      <c r="J102" s="369"/>
      <c r="K102" s="369"/>
      <c r="L102" s="369"/>
      <c r="M102" s="369"/>
      <c r="N102" s="369"/>
    </row>
    <row r="103" spans="1:14" ht="12.75">
      <c r="A103" s="139"/>
      <c r="B103" s="369"/>
      <c r="C103" s="369"/>
      <c r="D103" s="369"/>
      <c r="E103" s="369"/>
      <c r="F103" s="369"/>
      <c r="G103" s="369"/>
      <c r="H103" s="369"/>
      <c r="I103" s="369"/>
      <c r="J103" s="369"/>
      <c r="K103" s="369"/>
      <c r="L103" s="369"/>
      <c r="M103" s="369"/>
      <c r="N103" s="369"/>
    </row>
    <row r="104" spans="1:14" ht="12.75">
      <c r="A104" s="139"/>
      <c r="B104" s="369"/>
      <c r="C104" s="369"/>
      <c r="D104" s="369"/>
      <c r="E104" s="369"/>
      <c r="F104" s="369"/>
      <c r="G104" s="369"/>
      <c r="H104" s="369"/>
      <c r="I104" s="369"/>
      <c r="J104" s="369"/>
      <c r="K104" s="369"/>
      <c r="L104" s="369"/>
      <c r="M104" s="369"/>
      <c r="N104" s="369"/>
    </row>
    <row r="105" spans="1:14" ht="12.75">
      <c r="A105" s="139"/>
      <c r="B105" s="139"/>
      <c r="C105" s="139"/>
      <c r="D105" s="139"/>
      <c r="E105" s="139"/>
      <c r="F105" s="139"/>
      <c r="G105" s="139"/>
      <c r="H105" s="139"/>
      <c r="I105" s="139"/>
      <c r="J105" s="139"/>
      <c r="K105" s="139"/>
      <c r="L105" s="139"/>
      <c r="M105" s="139"/>
      <c r="N105" s="139"/>
    </row>
    <row r="106" spans="1:14" ht="12.75">
      <c r="A106" s="139"/>
      <c r="B106" s="266" t="s">
        <v>350</v>
      </c>
      <c r="C106" s="139"/>
      <c r="D106" s="139"/>
      <c r="E106" s="139"/>
      <c r="F106" s="139"/>
      <c r="G106" s="139"/>
      <c r="H106" s="139"/>
      <c r="I106" s="139"/>
      <c r="J106" s="139"/>
      <c r="K106" s="139"/>
      <c r="L106" s="139"/>
      <c r="M106" s="139"/>
      <c r="N106" s="139"/>
    </row>
    <row r="107" spans="1:14" ht="12.75">
      <c r="A107" s="139"/>
      <c r="B107" s="139"/>
      <c r="C107" s="139"/>
      <c r="D107" s="139"/>
      <c r="E107" s="139"/>
      <c r="F107" s="139"/>
      <c r="G107" s="139"/>
      <c r="H107" s="139"/>
      <c r="I107" s="139"/>
      <c r="J107" s="139"/>
      <c r="K107" s="139"/>
      <c r="L107" s="139"/>
      <c r="M107" s="139"/>
      <c r="N107" s="139"/>
    </row>
    <row r="108" spans="1:14" ht="15" customHeight="1">
      <c r="A108" s="139"/>
      <c r="B108" s="374" t="s">
        <v>351</v>
      </c>
      <c r="C108" s="376"/>
      <c r="D108" s="374" t="s">
        <v>352</v>
      </c>
      <c r="E108" s="375"/>
      <c r="F108" s="375"/>
      <c r="G108" s="376"/>
      <c r="H108" s="377" t="s">
        <v>353</v>
      </c>
      <c r="I108" s="378"/>
      <c r="J108" s="379"/>
      <c r="M108" s="138"/>
      <c r="N108" s="138"/>
    </row>
    <row r="109" spans="1:14" ht="42" customHeight="1">
      <c r="A109" s="139"/>
      <c r="B109" s="370" t="s">
        <v>818</v>
      </c>
      <c r="C109" s="372"/>
      <c r="D109" s="370" t="s">
        <v>819</v>
      </c>
      <c r="E109" s="371"/>
      <c r="F109" s="371"/>
      <c r="G109" s="372"/>
      <c r="H109" s="370" t="s">
        <v>604</v>
      </c>
      <c r="I109" s="371"/>
      <c r="J109" s="372"/>
      <c r="M109" s="138"/>
      <c r="N109" s="138"/>
    </row>
    <row r="110" spans="1:14" ht="42.75" customHeight="1">
      <c r="A110" s="139"/>
      <c r="B110" s="370" t="s">
        <v>820</v>
      </c>
      <c r="C110" s="372"/>
      <c r="D110" s="370" t="s">
        <v>819</v>
      </c>
      <c r="E110" s="371"/>
      <c r="F110" s="371"/>
      <c r="G110" s="372"/>
      <c r="H110" s="370" t="s">
        <v>604</v>
      </c>
      <c r="I110" s="371"/>
      <c r="J110" s="372"/>
      <c r="M110" s="138"/>
      <c r="N110" s="138"/>
    </row>
    <row r="111" spans="1:14" ht="42.75" customHeight="1">
      <c r="A111" s="139"/>
      <c r="B111" s="370" t="s">
        <v>354</v>
      </c>
      <c r="C111" s="372"/>
      <c r="D111" s="370" t="s">
        <v>821</v>
      </c>
      <c r="E111" s="371"/>
      <c r="F111" s="371"/>
      <c r="G111" s="372"/>
      <c r="H111" s="370" t="s">
        <v>644</v>
      </c>
      <c r="I111" s="371"/>
      <c r="J111" s="372"/>
      <c r="M111" s="138"/>
      <c r="N111" s="138"/>
    </row>
    <row r="112" spans="1:14" ht="33" customHeight="1">
      <c r="A112" s="139"/>
      <c r="B112" s="370" t="s">
        <v>1056</v>
      </c>
      <c r="C112" s="372"/>
      <c r="D112" s="370" t="s">
        <v>822</v>
      </c>
      <c r="E112" s="371"/>
      <c r="F112" s="371"/>
      <c r="G112" s="372"/>
      <c r="H112" s="370" t="s">
        <v>645</v>
      </c>
      <c r="I112" s="371"/>
      <c r="J112" s="372"/>
      <c r="M112" s="138"/>
      <c r="N112" s="138"/>
    </row>
    <row r="113" spans="1:14" ht="30.75" customHeight="1">
      <c r="A113" s="139"/>
      <c r="B113" s="370" t="s">
        <v>1057</v>
      </c>
      <c r="C113" s="372"/>
      <c r="D113" s="370" t="s">
        <v>822</v>
      </c>
      <c r="E113" s="371"/>
      <c r="F113" s="371"/>
      <c r="G113" s="372"/>
      <c r="H113" s="370" t="s">
        <v>380</v>
      </c>
      <c r="I113" s="371"/>
      <c r="J113" s="372"/>
      <c r="M113" s="138"/>
      <c r="N113" s="138"/>
    </row>
    <row r="114" spans="1:14" ht="32.25" customHeight="1">
      <c r="A114" s="139"/>
      <c r="B114" s="370" t="s">
        <v>802</v>
      </c>
      <c r="C114" s="372"/>
      <c r="D114" s="370" t="s">
        <v>822</v>
      </c>
      <c r="E114" s="371"/>
      <c r="F114" s="371"/>
      <c r="G114" s="372"/>
      <c r="H114" s="370" t="s">
        <v>380</v>
      </c>
      <c r="I114" s="371"/>
      <c r="J114" s="372"/>
      <c r="M114" s="138"/>
      <c r="N114" s="138"/>
    </row>
    <row r="115" spans="1:14" ht="38.25" customHeight="1">
      <c r="A115" s="139"/>
      <c r="B115" s="370" t="s">
        <v>378</v>
      </c>
      <c r="C115" s="372"/>
      <c r="D115" s="370" t="s">
        <v>1058</v>
      </c>
      <c r="E115" s="371"/>
      <c r="F115" s="371"/>
      <c r="G115" s="372"/>
      <c r="H115" s="370" t="s">
        <v>604</v>
      </c>
      <c r="I115" s="371"/>
      <c r="J115" s="372"/>
      <c r="M115" s="138"/>
      <c r="N115" s="138"/>
    </row>
    <row r="116" spans="1:14" ht="40.5" customHeight="1">
      <c r="A116" s="139"/>
      <c r="B116" s="370" t="s">
        <v>355</v>
      </c>
      <c r="C116" s="372"/>
      <c r="D116" s="370" t="s">
        <v>1058</v>
      </c>
      <c r="E116" s="371"/>
      <c r="F116" s="371"/>
      <c r="G116" s="372"/>
      <c r="H116" s="370" t="s">
        <v>644</v>
      </c>
      <c r="I116" s="371"/>
      <c r="J116" s="372"/>
      <c r="M116" s="138"/>
      <c r="N116" s="138"/>
    </row>
    <row r="117" spans="1:14" ht="53.25" customHeight="1">
      <c r="A117" s="139"/>
      <c r="B117" s="370" t="s">
        <v>356</v>
      </c>
      <c r="C117" s="372"/>
      <c r="D117" s="370" t="s">
        <v>1058</v>
      </c>
      <c r="E117" s="371"/>
      <c r="F117" s="371"/>
      <c r="G117" s="372"/>
      <c r="H117" s="370" t="s">
        <v>823</v>
      </c>
      <c r="I117" s="371"/>
      <c r="J117" s="372"/>
      <c r="M117" s="138"/>
      <c r="N117" s="138"/>
    </row>
    <row r="118" spans="1:14" ht="42.75" customHeight="1">
      <c r="A118" s="139"/>
      <c r="B118" s="370" t="s">
        <v>605</v>
      </c>
      <c r="C118" s="372"/>
      <c r="D118" s="370" t="s">
        <v>606</v>
      </c>
      <c r="E118" s="371"/>
      <c r="F118" s="371"/>
      <c r="G118" s="372"/>
      <c r="H118" s="370" t="s">
        <v>824</v>
      </c>
      <c r="I118" s="371"/>
      <c r="J118" s="372"/>
      <c r="M118" s="138"/>
      <c r="N118" s="138"/>
    </row>
    <row r="119" spans="1:14" ht="33" customHeight="1">
      <c r="A119" s="139"/>
      <c r="B119" s="370" t="s">
        <v>607</v>
      </c>
      <c r="C119" s="372"/>
      <c r="D119" s="370" t="s">
        <v>603</v>
      </c>
      <c r="E119" s="371"/>
      <c r="F119" s="371"/>
      <c r="G119" s="372"/>
      <c r="H119" s="370" t="s">
        <v>825</v>
      </c>
      <c r="I119" s="371"/>
      <c r="J119" s="372"/>
      <c r="M119" s="138"/>
      <c r="N119" s="138"/>
    </row>
    <row r="120" spans="1:14" ht="33" customHeight="1">
      <c r="A120" s="139"/>
      <c r="B120" s="370" t="s">
        <v>743</v>
      </c>
      <c r="C120" s="372"/>
      <c r="D120" s="370" t="s">
        <v>603</v>
      </c>
      <c r="E120" s="371"/>
      <c r="F120" s="371"/>
      <c r="G120" s="372"/>
      <c r="H120" s="370" t="s">
        <v>826</v>
      </c>
      <c r="I120" s="371"/>
      <c r="J120" s="372"/>
      <c r="M120" s="313"/>
      <c r="N120" s="138"/>
    </row>
    <row r="121" spans="1:14" ht="42.75" customHeight="1">
      <c r="A121" s="139"/>
      <c r="B121" s="370" t="s">
        <v>827</v>
      </c>
      <c r="C121" s="372"/>
      <c r="D121" s="370" t="s">
        <v>603</v>
      </c>
      <c r="E121" s="371"/>
      <c r="F121" s="371"/>
      <c r="G121" s="372"/>
      <c r="H121" s="370" t="s">
        <v>2</v>
      </c>
      <c r="I121" s="371"/>
      <c r="J121" s="372"/>
      <c r="M121" s="138"/>
      <c r="N121" s="138"/>
    </row>
    <row r="122" spans="1:14" ht="12.75">
      <c r="A122" s="139"/>
      <c r="B122" s="139"/>
      <c r="C122" s="139"/>
      <c r="D122" s="139"/>
      <c r="E122" s="139"/>
      <c r="F122" s="139"/>
      <c r="G122" s="139"/>
      <c r="H122" s="139"/>
      <c r="I122" s="139"/>
      <c r="J122" s="139"/>
      <c r="K122" s="139"/>
      <c r="L122" s="139"/>
      <c r="M122" s="139"/>
      <c r="N122" s="139"/>
    </row>
    <row r="123" spans="1:14" ht="12.75">
      <c r="A123" s="139"/>
      <c r="B123" s="139"/>
      <c r="C123" s="139"/>
      <c r="D123" s="139"/>
      <c r="E123" s="139"/>
      <c r="F123" s="139"/>
      <c r="G123" s="139"/>
      <c r="H123" s="139"/>
      <c r="I123" s="139"/>
      <c r="J123" s="139"/>
      <c r="K123" s="139"/>
      <c r="L123" s="139"/>
      <c r="M123" s="139"/>
      <c r="N123" s="139"/>
    </row>
    <row r="124" spans="1:14" ht="15.75">
      <c r="A124" s="265" t="s">
        <v>359</v>
      </c>
      <c r="B124" s="139"/>
      <c r="C124" s="139"/>
      <c r="D124" s="139"/>
      <c r="E124" s="139"/>
      <c r="F124" s="139"/>
      <c r="G124" s="139"/>
      <c r="H124" s="139"/>
      <c r="I124" s="139"/>
      <c r="J124" s="139"/>
      <c r="K124" s="139"/>
      <c r="L124" s="139"/>
      <c r="M124" s="139"/>
      <c r="N124" s="139"/>
    </row>
    <row r="125" spans="1:14" ht="12.75">
      <c r="A125" s="364" t="s">
        <v>828</v>
      </c>
      <c r="B125" s="364"/>
      <c r="C125" s="364"/>
      <c r="D125" s="364"/>
      <c r="E125" s="364"/>
      <c r="F125" s="364"/>
      <c r="G125" s="364"/>
      <c r="H125" s="364"/>
      <c r="I125" s="364"/>
      <c r="J125" s="364"/>
      <c r="K125" s="364"/>
      <c r="L125" s="364"/>
      <c r="M125" s="364"/>
      <c r="N125" s="364"/>
    </row>
    <row r="126" spans="1:14" ht="12.75">
      <c r="A126" s="364"/>
      <c r="B126" s="364"/>
      <c r="C126" s="364"/>
      <c r="D126" s="364"/>
      <c r="E126" s="364"/>
      <c r="F126" s="364"/>
      <c r="G126" s="364"/>
      <c r="H126" s="364"/>
      <c r="I126" s="364"/>
      <c r="J126" s="364"/>
      <c r="K126" s="364"/>
      <c r="L126" s="364"/>
      <c r="M126" s="364"/>
      <c r="N126" s="364"/>
    </row>
    <row r="127" spans="1:14" ht="12.75">
      <c r="A127" s="364"/>
      <c r="B127" s="364"/>
      <c r="C127" s="364"/>
      <c r="D127" s="364"/>
      <c r="E127" s="364"/>
      <c r="F127" s="364"/>
      <c r="G127" s="364"/>
      <c r="H127" s="364"/>
      <c r="I127" s="364"/>
      <c r="J127" s="364"/>
      <c r="K127" s="364"/>
      <c r="L127" s="364"/>
      <c r="M127" s="364"/>
      <c r="N127" s="364"/>
    </row>
    <row r="128" spans="1:14" ht="12.75">
      <c r="A128" s="364"/>
      <c r="B128" s="364"/>
      <c r="C128" s="364"/>
      <c r="D128" s="364"/>
      <c r="E128" s="364"/>
      <c r="F128" s="364"/>
      <c r="G128" s="364"/>
      <c r="H128" s="364"/>
      <c r="I128" s="364"/>
      <c r="J128" s="364"/>
      <c r="K128" s="364"/>
      <c r="L128" s="364"/>
      <c r="M128" s="364"/>
      <c r="N128" s="364"/>
    </row>
    <row r="129" spans="1:14" ht="12.75">
      <c r="A129" s="364"/>
      <c r="B129" s="364"/>
      <c r="C129" s="364"/>
      <c r="D129" s="364"/>
      <c r="E129" s="364"/>
      <c r="F129" s="364"/>
      <c r="G129" s="364"/>
      <c r="H129" s="364"/>
      <c r="I129" s="364"/>
      <c r="J129" s="364"/>
      <c r="K129" s="364"/>
      <c r="L129" s="364"/>
      <c r="M129" s="364"/>
      <c r="N129" s="364"/>
    </row>
    <row r="130" spans="1:14" ht="12.75">
      <c r="A130" s="364"/>
      <c r="B130" s="364"/>
      <c r="C130" s="364"/>
      <c r="D130" s="364"/>
      <c r="E130" s="364"/>
      <c r="F130" s="364"/>
      <c r="G130" s="364"/>
      <c r="H130" s="364"/>
      <c r="I130" s="364"/>
      <c r="J130" s="364"/>
      <c r="K130" s="364"/>
      <c r="L130" s="364"/>
      <c r="M130" s="364"/>
      <c r="N130" s="364"/>
    </row>
    <row r="131" spans="1:14" ht="12.75">
      <c r="A131" s="264"/>
      <c r="B131" s="139"/>
      <c r="C131" s="139"/>
      <c r="D131" s="139"/>
      <c r="E131" s="139"/>
      <c r="F131" s="139"/>
      <c r="G131" s="139"/>
      <c r="H131" s="139"/>
      <c r="I131" s="139"/>
      <c r="J131" s="139"/>
      <c r="K131" s="139"/>
      <c r="L131" s="139"/>
      <c r="M131" s="139"/>
      <c r="N131" s="139"/>
    </row>
    <row r="132" spans="1:14" ht="12.75">
      <c r="A132" s="364" t="s">
        <v>1059</v>
      </c>
      <c r="B132" s="373"/>
      <c r="C132" s="373"/>
      <c r="D132" s="373"/>
      <c r="E132" s="373"/>
      <c r="F132" s="373"/>
      <c r="G132" s="373"/>
      <c r="H132" s="373"/>
      <c r="I132" s="373"/>
      <c r="J132" s="373"/>
      <c r="K132" s="373"/>
      <c r="L132" s="373"/>
      <c r="M132" s="373"/>
      <c r="N132" s="373"/>
    </row>
    <row r="133" spans="1:14" ht="12.75">
      <c r="A133" s="373"/>
      <c r="B133" s="373"/>
      <c r="C133" s="373"/>
      <c r="D133" s="373"/>
      <c r="E133" s="373"/>
      <c r="F133" s="373"/>
      <c r="G133" s="373"/>
      <c r="H133" s="373"/>
      <c r="I133" s="373"/>
      <c r="J133" s="373"/>
      <c r="K133" s="373"/>
      <c r="L133" s="373"/>
      <c r="M133" s="373"/>
      <c r="N133" s="373"/>
    </row>
    <row r="134" spans="1:14" ht="12.75">
      <c r="A134" s="373"/>
      <c r="B134" s="373"/>
      <c r="C134" s="373"/>
      <c r="D134" s="373"/>
      <c r="E134" s="373"/>
      <c r="F134" s="373"/>
      <c r="G134" s="373"/>
      <c r="H134" s="373"/>
      <c r="I134" s="373"/>
      <c r="J134" s="373"/>
      <c r="K134" s="373"/>
      <c r="L134" s="373"/>
      <c r="M134" s="373"/>
      <c r="N134" s="373"/>
    </row>
    <row r="135" spans="1:14" ht="12.75">
      <c r="A135" s="373"/>
      <c r="B135" s="373"/>
      <c r="C135" s="373"/>
      <c r="D135" s="373"/>
      <c r="E135" s="373"/>
      <c r="F135" s="373"/>
      <c r="G135" s="373"/>
      <c r="H135" s="373"/>
      <c r="I135" s="373"/>
      <c r="J135" s="373"/>
      <c r="K135" s="373"/>
      <c r="L135" s="373"/>
      <c r="M135" s="373"/>
      <c r="N135" s="373"/>
    </row>
    <row r="136" spans="1:14" ht="12.75">
      <c r="A136" s="373"/>
      <c r="B136" s="373"/>
      <c r="C136" s="373"/>
      <c r="D136" s="373"/>
      <c r="E136" s="373"/>
      <c r="F136" s="373"/>
      <c r="G136" s="373"/>
      <c r="H136" s="373"/>
      <c r="I136" s="373"/>
      <c r="J136" s="373"/>
      <c r="K136" s="373"/>
      <c r="L136" s="373"/>
      <c r="M136" s="373"/>
      <c r="N136" s="373"/>
    </row>
    <row r="137" spans="1:14" ht="12.75">
      <c r="A137" s="264"/>
      <c r="B137" s="139"/>
      <c r="C137" s="139"/>
      <c r="D137" s="139"/>
      <c r="E137" s="139"/>
      <c r="F137" s="139"/>
      <c r="G137" s="139"/>
      <c r="H137" s="139"/>
      <c r="I137" s="139"/>
      <c r="J137" s="139"/>
      <c r="K137" s="139"/>
      <c r="L137" s="139"/>
      <c r="M137" s="139"/>
      <c r="N137" s="139"/>
    </row>
    <row r="138" spans="1:14" ht="12.75">
      <c r="A138" s="364" t="s">
        <v>646</v>
      </c>
      <c r="B138" s="366"/>
      <c r="C138" s="366"/>
      <c r="D138" s="366"/>
      <c r="E138" s="366"/>
      <c r="F138" s="366"/>
      <c r="G138" s="366"/>
      <c r="H138" s="366"/>
      <c r="I138" s="366"/>
      <c r="J138" s="366"/>
      <c r="K138" s="366"/>
      <c r="L138" s="366"/>
      <c r="M138" s="366"/>
      <c r="N138" s="366"/>
    </row>
    <row r="139" spans="1:14" ht="12.75">
      <c r="A139" s="366"/>
      <c r="B139" s="366"/>
      <c r="C139" s="366"/>
      <c r="D139" s="366"/>
      <c r="E139" s="366"/>
      <c r="F139" s="366"/>
      <c r="G139" s="366"/>
      <c r="H139" s="366"/>
      <c r="I139" s="366"/>
      <c r="J139" s="366"/>
      <c r="K139" s="366"/>
      <c r="L139" s="366"/>
      <c r="M139" s="366"/>
      <c r="N139" s="366"/>
    </row>
    <row r="140" spans="1:14" ht="12.75">
      <c r="A140" s="366"/>
      <c r="B140" s="366"/>
      <c r="C140" s="366"/>
      <c r="D140" s="366"/>
      <c r="E140" s="366"/>
      <c r="F140" s="366"/>
      <c r="G140" s="366"/>
      <c r="H140" s="366"/>
      <c r="I140" s="366"/>
      <c r="J140" s="366"/>
      <c r="K140" s="366"/>
      <c r="L140" s="366"/>
      <c r="M140" s="366"/>
      <c r="N140" s="366"/>
    </row>
    <row r="141" spans="1:14" ht="12.75">
      <c r="A141" s="264"/>
      <c r="B141" s="139"/>
      <c r="C141" s="139"/>
      <c r="D141" s="139"/>
      <c r="E141" s="139"/>
      <c r="F141" s="139"/>
      <c r="G141" s="139"/>
      <c r="H141" s="139"/>
      <c r="I141" s="139"/>
      <c r="J141" s="139"/>
      <c r="K141" s="139"/>
      <c r="L141" s="139"/>
      <c r="M141" s="139"/>
      <c r="N141" s="139"/>
    </row>
    <row r="142" spans="1:14" ht="15.75">
      <c r="A142" s="265" t="s">
        <v>297</v>
      </c>
      <c r="B142" s="139"/>
      <c r="C142" s="139"/>
      <c r="D142" s="139"/>
      <c r="E142" s="139"/>
      <c r="F142" s="139"/>
      <c r="G142" s="139"/>
      <c r="H142" s="139"/>
      <c r="I142" s="139"/>
      <c r="J142" s="139"/>
      <c r="K142" s="139"/>
      <c r="L142" s="139"/>
      <c r="M142" s="139"/>
      <c r="N142" s="139"/>
    </row>
    <row r="143" spans="1:14" ht="12.75">
      <c r="A143" s="367" t="s">
        <v>647</v>
      </c>
      <c r="B143" s="367"/>
      <c r="C143" s="367"/>
      <c r="D143" s="367"/>
      <c r="E143" s="367"/>
      <c r="F143" s="367"/>
      <c r="G143" s="367"/>
      <c r="H143" s="367"/>
      <c r="I143" s="367"/>
      <c r="J143" s="367"/>
      <c r="K143" s="367"/>
      <c r="L143" s="367"/>
      <c r="M143" s="367"/>
      <c r="N143" s="367"/>
    </row>
    <row r="144" spans="1:14" ht="12.75">
      <c r="A144" s="367"/>
      <c r="B144" s="367"/>
      <c r="C144" s="367"/>
      <c r="D144" s="367"/>
      <c r="E144" s="367"/>
      <c r="F144" s="367"/>
      <c r="G144" s="367"/>
      <c r="H144" s="367"/>
      <c r="I144" s="367"/>
      <c r="J144" s="367"/>
      <c r="K144" s="367"/>
      <c r="L144" s="367"/>
      <c r="M144" s="367"/>
      <c r="N144" s="367"/>
    </row>
    <row r="145" spans="1:14" ht="12.75">
      <c r="A145" s="367"/>
      <c r="B145" s="367"/>
      <c r="C145" s="367"/>
      <c r="D145" s="367"/>
      <c r="E145" s="367"/>
      <c r="F145" s="367"/>
      <c r="G145" s="367"/>
      <c r="H145" s="367"/>
      <c r="I145" s="367"/>
      <c r="J145" s="367"/>
      <c r="K145" s="367"/>
      <c r="L145" s="367"/>
      <c r="M145" s="367"/>
      <c r="N145" s="367"/>
    </row>
    <row r="146" spans="1:14" ht="12.75">
      <c r="A146" s="367"/>
      <c r="B146" s="367"/>
      <c r="C146" s="367"/>
      <c r="D146" s="367"/>
      <c r="E146" s="367"/>
      <c r="F146" s="367"/>
      <c r="G146" s="367"/>
      <c r="H146" s="367"/>
      <c r="I146" s="367"/>
      <c r="J146" s="367"/>
      <c r="K146" s="367"/>
      <c r="L146" s="367"/>
      <c r="M146" s="367"/>
      <c r="N146" s="367"/>
    </row>
    <row r="147" spans="1:14" ht="12.75">
      <c r="A147" s="367"/>
      <c r="B147" s="367"/>
      <c r="C147" s="367"/>
      <c r="D147" s="367"/>
      <c r="E147" s="367"/>
      <c r="F147" s="367"/>
      <c r="G147" s="367"/>
      <c r="H147" s="367"/>
      <c r="I147" s="367"/>
      <c r="J147" s="367"/>
      <c r="K147" s="367"/>
      <c r="L147" s="367"/>
      <c r="M147" s="367"/>
      <c r="N147" s="367"/>
    </row>
    <row r="148" spans="1:14" ht="12.75">
      <c r="A148" s="312"/>
      <c r="B148" s="312"/>
      <c r="C148" s="312"/>
      <c r="D148" s="312"/>
      <c r="E148" s="312"/>
      <c r="F148" s="312"/>
      <c r="G148" s="312"/>
      <c r="H148" s="312"/>
      <c r="I148" s="312"/>
      <c r="J148" s="312"/>
      <c r="K148" s="312"/>
      <c r="L148" s="312"/>
      <c r="M148" s="312"/>
      <c r="N148" s="312"/>
    </row>
    <row r="149" spans="1:14" ht="15.75">
      <c r="A149" s="265" t="s">
        <v>345</v>
      </c>
      <c r="B149" s="139"/>
      <c r="C149" s="139"/>
      <c r="D149" s="139"/>
      <c r="E149" s="139"/>
      <c r="F149" s="139"/>
      <c r="G149" s="139"/>
      <c r="H149" s="139"/>
      <c r="I149" s="139"/>
      <c r="J149" s="139"/>
      <c r="K149" s="139"/>
      <c r="L149" s="139"/>
      <c r="M149" s="139"/>
      <c r="N149" s="139"/>
    </row>
    <row r="150" spans="1:14" ht="12.75">
      <c r="A150" s="364" t="s">
        <v>829</v>
      </c>
      <c r="B150" s="364"/>
      <c r="C150" s="364"/>
      <c r="D150" s="364"/>
      <c r="E150" s="364"/>
      <c r="F150" s="364"/>
      <c r="G150" s="364"/>
      <c r="H150" s="364"/>
      <c r="I150" s="364"/>
      <c r="J150" s="364"/>
      <c r="K150" s="364"/>
      <c r="L150" s="364"/>
      <c r="M150" s="364"/>
      <c r="N150" s="364"/>
    </row>
    <row r="151" spans="1:14" ht="12.75">
      <c r="A151" s="364"/>
      <c r="B151" s="364"/>
      <c r="C151" s="364"/>
      <c r="D151" s="364"/>
      <c r="E151" s="364"/>
      <c r="F151" s="364"/>
      <c r="G151" s="364"/>
      <c r="H151" s="364"/>
      <c r="I151" s="364"/>
      <c r="J151" s="364"/>
      <c r="K151" s="364"/>
      <c r="L151" s="364"/>
      <c r="M151" s="364"/>
      <c r="N151" s="364"/>
    </row>
    <row r="152" spans="1:14" ht="12.75">
      <c r="A152" s="364"/>
      <c r="B152" s="364"/>
      <c r="C152" s="364"/>
      <c r="D152" s="364"/>
      <c r="E152" s="364"/>
      <c r="F152" s="364"/>
      <c r="G152" s="364"/>
      <c r="H152" s="364"/>
      <c r="I152" s="364"/>
      <c r="J152" s="364"/>
      <c r="K152" s="364"/>
      <c r="L152" s="364"/>
      <c r="M152" s="364"/>
      <c r="N152" s="364"/>
    </row>
    <row r="153" spans="1:14" ht="12.75">
      <c r="A153" s="364"/>
      <c r="B153" s="364"/>
      <c r="C153" s="364"/>
      <c r="D153" s="364"/>
      <c r="E153" s="364"/>
      <c r="F153" s="364"/>
      <c r="G153" s="364"/>
      <c r="H153" s="364"/>
      <c r="I153" s="364"/>
      <c r="J153" s="364"/>
      <c r="K153" s="364"/>
      <c r="L153" s="364"/>
      <c r="M153" s="364"/>
      <c r="N153" s="364"/>
    </row>
    <row r="154" spans="1:14" ht="12.75">
      <c r="A154" s="364"/>
      <c r="B154" s="364"/>
      <c r="C154" s="364"/>
      <c r="D154" s="364"/>
      <c r="E154" s="364"/>
      <c r="F154" s="364"/>
      <c r="G154" s="364"/>
      <c r="H154" s="364"/>
      <c r="I154" s="364"/>
      <c r="J154" s="364"/>
      <c r="K154" s="364"/>
      <c r="L154" s="364"/>
      <c r="M154" s="364"/>
      <c r="N154" s="364"/>
    </row>
    <row r="155" spans="1:14" ht="12.75">
      <c r="A155" s="364"/>
      <c r="B155" s="364"/>
      <c r="C155" s="364"/>
      <c r="D155" s="364"/>
      <c r="E155" s="364"/>
      <c r="F155" s="364"/>
      <c r="G155" s="364"/>
      <c r="H155" s="364"/>
      <c r="I155" s="364"/>
      <c r="J155" s="364"/>
      <c r="K155" s="364"/>
      <c r="L155" s="364"/>
      <c r="M155" s="364"/>
      <c r="N155" s="364"/>
    </row>
    <row r="156" spans="1:14" ht="12.75">
      <c r="A156" s="364"/>
      <c r="B156" s="364"/>
      <c r="C156" s="364"/>
      <c r="D156" s="364"/>
      <c r="E156" s="364"/>
      <c r="F156" s="364"/>
      <c r="G156" s="364"/>
      <c r="H156" s="364"/>
      <c r="I156" s="364"/>
      <c r="J156" s="364"/>
      <c r="K156" s="364"/>
      <c r="L156" s="364"/>
      <c r="M156" s="364"/>
      <c r="N156" s="364"/>
    </row>
    <row r="157" spans="1:14" ht="12.75">
      <c r="A157" s="308"/>
      <c r="B157" s="308"/>
      <c r="C157" s="308"/>
      <c r="D157" s="308"/>
      <c r="E157" s="308"/>
      <c r="F157" s="308"/>
      <c r="G157" s="308"/>
      <c r="H157" s="308"/>
      <c r="I157" s="308"/>
      <c r="J157" s="308"/>
      <c r="K157" s="308"/>
      <c r="L157" s="308"/>
      <c r="M157" s="308"/>
      <c r="N157" s="308"/>
    </row>
    <row r="158" spans="1:14" ht="12.75">
      <c r="A158" s="138"/>
      <c r="B158" s="139"/>
      <c r="C158" s="139"/>
      <c r="D158" s="139"/>
      <c r="E158" s="139"/>
      <c r="F158" s="139"/>
      <c r="G158" s="139"/>
      <c r="H158" s="139"/>
      <c r="I158" s="139"/>
      <c r="J158" s="139"/>
      <c r="K158" s="139"/>
      <c r="L158" s="139"/>
      <c r="M158" s="139"/>
      <c r="N158" s="139"/>
    </row>
    <row r="159" spans="1:14" ht="15.75">
      <c r="A159" s="265" t="s">
        <v>175</v>
      </c>
      <c r="B159" s="139"/>
      <c r="C159" s="139"/>
      <c r="D159" s="139"/>
      <c r="E159" s="139"/>
      <c r="F159" s="139"/>
      <c r="G159" s="139"/>
      <c r="H159" s="139"/>
      <c r="I159" s="139"/>
      <c r="J159" s="139"/>
      <c r="K159" s="139"/>
      <c r="L159" s="139"/>
      <c r="M159" s="139"/>
      <c r="N159" s="139"/>
    </row>
    <row r="160" spans="1:14" ht="12.75">
      <c r="A160" s="260" t="s">
        <v>206</v>
      </c>
      <c r="B160" s="266" t="s">
        <v>746</v>
      </c>
      <c r="C160" s="139"/>
      <c r="D160" s="139"/>
      <c r="E160" s="139"/>
      <c r="F160" s="139"/>
      <c r="G160" s="139"/>
      <c r="H160" s="139"/>
      <c r="I160" s="139"/>
      <c r="J160" s="139"/>
      <c r="K160" s="139"/>
      <c r="L160" s="139"/>
      <c r="M160" s="139"/>
      <c r="N160" s="139"/>
    </row>
    <row r="161" spans="1:14" ht="12.75">
      <c r="A161" s="138"/>
      <c r="B161" s="368" t="s">
        <v>1067</v>
      </c>
      <c r="C161" s="368"/>
      <c r="D161" s="368"/>
      <c r="E161" s="368"/>
      <c r="F161" s="368"/>
      <c r="G161" s="368"/>
      <c r="H161" s="368"/>
      <c r="I161" s="368"/>
      <c r="J161" s="368"/>
      <c r="K161" s="368"/>
      <c r="L161" s="368"/>
      <c r="M161" s="368"/>
      <c r="N161" s="368"/>
    </row>
    <row r="162" spans="1:14" ht="12.75">
      <c r="A162" s="138"/>
      <c r="B162" s="368"/>
      <c r="C162" s="368"/>
      <c r="D162" s="368"/>
      <c r="E162" s="368"/>
      <c r="F162" s="368"/>
      <c r="G162" s="368"/>
      <c r="H162" s="368"/>
      <c r="I162" s="368"/>
      <c r="J162" s="368"/>
      <c r="K162" s="368"/>
      <c r="L162" s="368"/>
      <c r="M162" s="368"/>
      <c r="N162" s="368"/>
    </row>
    <row r="163" spans="1:14" ht="12.75">
      <c r="A163" s="138"/>
      <c r="B163" s="314"/>
      <c r="C163" s="314"/>
      <c r="D163" s="314"/>
      <c r="E163" s="314"/>
      <c r="F163" s="314"/>
      <c r="G163" s="314"/>
      <c r="H163" s="314"/>
      <c r="I163" s="314"/>
      <c r="J163" s="314"/>
      <c r="K163" s="314"/>
      <c r="L163" s="314"/>
      <c r="M163" s="314"/>
      <c r="N163" s="314"/>
    </row>
    <row r="164" spans="1:14" ht="12.75">
      <c r="A164" s="260" t="s">
        <v>206</v>
      </c>
      <c r="B164" s="266" t="s">
        <v>830</v>
      </c>
      <c r="C164" s="139"/>
      <c r="D164" s="139"/>
      <c r="E164" s="139"/>
      <c r="F164" s="139"/>
      <c r="G164" s="139"/>
      <c r="H164" s="139"/>
      <c r="I164" s="139"/>
      <c r="J164" s="139"/>
      <c r="K164" s="139"/>
      <c r="L164" s="139"/>
      <c r="M164" s="139"/>
      <c r="N164" s="139"/>
    </row>
    <row r="165" spans="1:14" ht="12.75">
      <c r="A165" s="260"/>
      <c r="B165" s="268" t="s">
        <v>831</v>
      </c>
      <c r="C165" s="139"/>
      <c r="D165" s="139"/>
      <c r="E165" s="139"/>
      <c r="F165" s="139"/>
      <c r="G165" s="139"/>
      <c r="H165" s="139"/>
      <c r="I165" s="139"/>
      <c r="J165" s="139"/>
      <c r="K165" s="139"/>
      <c r="L165" s="139"/>
      <c r="M165" s="139"/>
      <c r="N165" s="139"/>
    </row>
    <row r="166" spans="1:14" ht="12.75">
      <c r="A166" s="260"/>
      <c r="B166" s="268"/>
      <c r="C166" s="139"/>
      <c r="D166" s="139"/>
      <c r="E166" s="139"/>
      <c r="F166" s="139"/>
      <c r="G166" s="139"/>
      <c r="H166" s="139"/>
      <c r="I166" s="139"/>
      <c r="J166" s="139"/>
      <c r="K166" s="139"/>
      <c r="L166" s="139"/>
      <c r="M166" s="139"/>
      <c r="N166" s="139"/>
    </row>
    <row r="167" spans="1:14" ht="12.75">
      <c r="A167" s="260" t="s">
        <v>206</v>
      </c>
      <c r="B167" s="266" t="s">
        <v>1069</v>
      </c>
      <c r="C167" s="139"/>
      <c r="D167" s="139"/>
      <c r="E167" s="139"/>
      <c r="F167" s="139"/>
      <c r="G167" s="139"/>
      <c r="H167" s="139"/>
      <c r="I167" s="139"/>
      <c r="J167" s="139"/>
      <c r="K167" s="139"/>
      <c r="L167" s="139"/>
      <c r="M167" s="139"/>
      <c r="N167" s="139"/>
    </row>
    <row r="168" spans="1:14" ht="12.75">
      <c r="A168" s="139"/>
      <c r="B168" s="365" t="s">
        <v>832</v>
      </c>
      <c r="C168" s="365"/>
      <c r="D168" s="365"/>
      <c r="E168" s="365"/>
      <c r="F168" s="365"/>
      <c r="G168" s="365"/>
      <c r="H168" s="365"/>
      <c r="I168" s="365"/>
      <c r="J168" s="365"/>
      <c r="K168" s="365"/>
      <c r="L168" s="365"/>
      <c r="M168" s="365"/>
      <c r="N168" s="365"/>
    </row>
    <row r="169" spans="1:14" ht="12.75">
      <c r="A169" s="139"/>
      <c r="B169" s="314"/>
      <c r="C169" s="314"/>
      <c r="D169" s="314"/>
      <c r="E169" s="314"/>
      <c r="F169" s="314"/>
      <c r="G169" s="314"/>
      <c r="H169" s="314"/>
      <c r="I169" s="314"/>
      <c r="J169" s="314"/>
      <c r="K169" s="314"/>
      <c r="L169" s="314"/>
      <c r="M169" s="314"/>
      <c r="N169" s="314"/>
    </row>
    <row r="170" spans="1:14" ht="12.75">
      <c r="A170" s="260" t="s">
        <v>206</v>
      </c>
      <c r="B170" s="266" t="s">
        <v>833</v>
      </c>
      <c r="C170" s="139"/>
      <c r="D170" s="139"/>
      <c r="E170" s="139"/>
      <c r="F170" s="139"/>
      <c r="G170" s="139"/>
      <c r="H170" s="139"/>
      <c r="I170" s="139"/>
      <c r="J170" s="139"/>
      <c r="K170" s="139"/>
      <c r="L170" s="139"/>
      <c r="M170" s="139"/>
      <c r="N170" s="139"/>
    </row>
    <row r="171" spans="1:14" ht="12.75">
      <c r="A171" s="139"/>
      <c r="B171" s="364" t="s">
        <v>834</v>
      </c>
      <c r="C171" s="366"/>
      <c r="D171" s="366"/>
      <c r="E171" s="366"/>
      <c r="F171" s="366"/>
      <c r="G171" s="366"/>
      <c r="H171" s="366"/>
      <c r="I171" s="366"/>
      <c r="J171" s="366"/>
      <c r="K171" s="366"/>
      <c r="L171" s="366"/>
      <c r="M171" s="366"/>
      <c r="N171" s="366"/>
    </row>
    <row r="172" spans="1:14" ht="12.75">
      <c r="A172" s="139"/>
      <c r="B172" s="366"/>
      <c r="C172" s="366"/>
      <c r="D172" s="366"/>
      <c r="E172" s="366"/>
      <c r="F172" s="366"/>
      <c r="G172" s="366"/>
      <c r="H172" s="366"/>
      <c r="I172" s="366"/>
      <c r="J172" s="366"/>
      <c r="K172" s="366"/>
      <c r="L172" s="366"/>
      <c r="M172" s="366"/>
      <c r="N172" s="366"/>
    </row>
    <row r="173" spans="1:14" ht="12.75">
      <c r="A173" s="139"/>
      <c r="B173" s="366"/>
      <c r="C173" s="366"/>
      <c r="D173" s="366"/>
      <c r="E173" s="366"/>
      <c r="F173" s="366"/>
      <c r="G173" s="366"/>
      <c r="H173" s="366"/>
      <c r="I173" s="366"/>
      <c r="J173" s="366"/>
      <c r="K173" s="366"/>
      <c r="L173" s="366"/>
      <c r="M173" s="366"/>
      <c r="N173" s="366"/>
    </row>
    <row r="174" spans="1:14" ht="12.75">
      <c r="A174" s="139"/>
      <c r="B174" s="366"/>
      <c r="C174" s="366"/>
      <c r="D174" s="366"/>
      <c r="E174" s="366"/>
      <c r="F174" s="366"/>
      <c r="G174" s="366"/>
      <c r="H174" s="366"/>
      <c r="I174" s="366"/>
      <c r="J174" s="366"/>
      <c r="K174" s="366"/>
      <c r="L174" s="366"/>
      <c r="M174" s="366"/>
      <c r="N174" s="366"/>
    </row>
    <row r="175" spans="1:14" ht="12.75">
      <c r="A175" s="139"/>
      <c r="B175" s="139"/>
      <c r="C175" s="139"/>
      <c r="D175" s="139"/>
      <c r="E175" s="139"/>
      <c r="F175" s="139"/>
      <c r="G175" s="139"/>
      <c r="H175" s="139"/>
      <c r="I175" s="139"/>
      <c r="J175" s="139"/>
      <c r="K175" s="139"/>
      <c r="L175" s="139"/>
      <c r="M175" s="139"/>
      <c r="N175" s="139"/>
    </row>
    <row r="176" spans="1:14" ht="12.75">
      <c r="A176" s="260" t="s">
        <v>206</v>
      </c>
      <c r="B176" s="266" t="s">
        <v>384</v>
      </c>
      <c r="C176" s="139"/>
      <c r="D176" s="139"/>
      <c r="E176" s="139"/>
      <c r="F176" s="139"/>
      <c r="G176" s="139"/>
      <c r="H176" s="139"/>
      <c r="I176" s="139"/>
      <c r="J176" s="139"/>
      <c r="K176" s="139"/>
      <c r="L176" s="139"/>
      <c r="M176" s="139"/>
      <c r="N176" s="139"/>
    </row>
    <row r="177" spans="1:14" ht="12.75">
      <c r="A177" s="260"/>
      <c r="B177" s="365" t="s">
        <v>608</v>
      </c>
      <c r="C177" s="365"/>
      <c r="D177" s="365"/>
      <c r="E177" s="365"/>
      <c r="F177" s="365"/>
      <c r="G177" s="365"/>
      <c r="H177" s="365"/>
      <c r="I177" s="365"/>
      <c r="J177" s="365"/>
      <c r="K177" s="365"/>
      <c r="L177" s="365"/>
      <c r="M177" s="365"/>
      <c r="N177" s="365"/>
    </row>
    <row r="178" spans="1:14" ht="12.75">
      <c r="A178" s="260"/>
      <c r="B178" s="365"/>
      <c r="C178" s="365"/>
      <c r="D178" s="365"/>
      <c r="E178" s="365"/>
      <c r="F178" s="365"/>
      <c r="G178" s="365"/>
      <c r="H178" s="365"/>
      <c r="I178" s="365"/>
      <c r="J178" s="365"/>
      <c r="K178" s="365"/>
      <c r="L178" s="365"/>
      <c r="M178" s="365"/>
      <c r="N178" s="365"/>
    </row>
    <row r="179" spans="1:14" ht="12.75">
      <c r="A179" s="260"/>
      <c r="B179" s="365"/>
      <c r="C179" s="365"/>
      <c r="D179" s="365"/>
      <c r="E179" s="365"/>
      <c r="F179" s="365"/>
      <c r="G179" s="365"/>
      <c r="H179" s="365"/>
      <c r="I179" s="365"/>
      <c r="J179" s="365"/>
      <c r="K179" s="365"/>
      <c r="L179" s="365"/>
      <c r="M179" s="365"/>
      <c r="N179" s="365"/>
    </row>
    <row r="180" spans="1:14" ht="12.75">
      <c r="A180" s="139"/>
      <c r="B180" s="138"/>
      <c r="C180" s="139"/>
      <c r="D180" s="139"/>
      <c r="E180" s="139"/>
      <c r="F180" s="139"/>
      <c r="G180" s="139"/>
      <c r="H180" s="139"/>
      <c r="I180" s="139"/>
      <c r="J180" s="139"/>
      <c r="K180" s="139"/>
      <c r="L180" s="139"/>
      <c r="M180" s="139"/>
      <c r="N180" s="139"/>
    </row>
    <row r="181" spans="1:14" ht="12.75">
      <c r="A181" s="260" t="s">
        <v>206</v>
      </c>
      <c r="B181" s="261" t="s">
        <v>609</v>
      </c>
      <c r="C181" s="139"/>
      <c r="D181" s="139"/>
      <c r="E181" s="139"/>
      <c r="F181" s="139"/>
      <c r="G181" s="139"/>
      <c r="H181" s="139"/>
      <c r="I181" s="139"/>
      <c r="J181" s="139"/>
      <c r="K181" s="139"/>
      <c r="L181" s="139"/>
      <c r="M181" s="139"/>
      <c r="N181" s="139"/>
    </row>
    <row r="182" spans="1:14" ht="12.75">
      <c r="A182" s="260"/>
      <c r="B182" s="364" t="s">
        <v>610</v>
      </c>
      <c r="C182" s="364"/>
      <c r="D182" s="364"/>
      <c r="E182" s="364"/>
      <c r="F182" s="364"/>
      <c r="G182" s="364"/>
      <c r="H182" s="364"/>
      <c r="I182" s="364"/>
      <c r="J182" s="364"/>
      <c r="K182" s="364"/>
      <c r="L182" s="364"/>
      <c r="M182" s="364"/>
      <c r="N182" s="364"/>
    </row>
    <row r="183" spans="1:14" ht="12.75">
      <c r="A183" s="138"/>
      <c r="B183" s="364"/>
      <c r="C183" s="364"/>
      <c r="D183" s="364"/>
      <c r="E183" s="364"/>
      <c r="F183" s="364"/>
      <c r="G183" s="364"/>
      <c r="H183" s="364"/>
      <c r="I183" s="364"/>
      <c r="J183" s="364"/>
      <c r="K183" s="364"/>
      <c r="L183" s="364"/>
      <c r="M183" s="364"/>
      <c r="N183" s="364"/>
    </row>
    <row r="184" spans="1:14" ht="12.75">
      <c r="A184" s="138"/>
      <c r="B184" s="364"/>
      <c r="C184" s="364"/>
      <c r="D184" s="364"/>
      <c r="E184" s="364"/>
      <c r="F184" s="364"/>
      <c r="G184" s="364"/>
      <c r="H184" s="364"/>
      <c r="I184" s="364"/>
      <c r="J184" s="364"/>
      <c r="K184" s="364"/>
      <c r="L184" s="364"/>
      <c r="M184" s="364"/>
      <c r="N184" s="364"/>
    </row>
    <row r="185" spans="1:14" ht="12.75">
      <c r="A185" s="138"/>
      <c r="B185" s="364"/>
      <c r="C185" s="364"/>
      <c r="D185" s="364"/>
      <c r="E185" s="364"/>
      <c r="F185" s="364"/>
      <c r="G185" s="364"/>
      <c r="H185" s="364"/>
      <c r="I185" s="364"/>
      <c r="J185" s="364"/>
      <c r="K185" s="364"/>
      <c r="L185" s="364"/>
      <c r="M185" s="364"/>
      <c r="N185" s="364"/>
    </row>
    <row r="186" spans="1:14" ht="12.75">
      <c r="A186" s="138"/>
      <c r="B186" s="138"/>
      <c r="C186" s="139"/>
      <c r="D186" s="139"/>
      <c r="E186" s="139"/>
      <c r="F186" s="139"/>
      <c r="G186" s="139"/>
      <c r="H186" s="139"/>
      <c r="I186" s="139"/>
      <c r="J186" s="139"/>
      <c r="K186" s="139"/>
      <c r="L186" s="139"/>
      <c r="M186" s="139"/>
      <c r="N186" s="139"/>
    </row>
    <row r="187" spans="1:14" ht="12.75">
      <c r="A187" s="260" t="s">
        <v>206</v>
      </c>
      <c r="B187" s="266" t="s">
        <v>191</v>
      </c>
      <c r="C187" s="139"/>
      <c r="D187" s="139"/>
      <c r="E187" s="139"/>
      <c r="F187" s="139"/>
      <c r="G187" s="139"/>
      <c r="H187" s="139"/>
      <c r="I187" s="139"/>
      <c r="J187" s="139"/>
      <c r="K187" s="139"/>
      <c r="L187" s="139"/>
      <c r="M187" s="139"/>
      <c r="N187" s="139"/>
    </row>
    <row r="188" spans="1:14" ht="12.75">
      <c r="A188" s="260"/>
      <c r="B188" s="365" t="s">
        <v>648</v>
      </c>
      <c r="C188" s="365"/>
      <c r="D188" s="365"/>
      <c r="E188" s="365"/>
      <c r="F188" s="365"/>
      <c r="G188" s="365"/>
      <c r="H188" s="365"/>
      <c r="I188" s="365"/>
      <c r="J188" s="365"/>
      <c r="K188" s="365"/>
      <c r="L188" s="365"/>
      <c r="M188" s="365"/>
      <c r="N188" s="365"/>
    </row>
    <row r="189" spans="1:14" ht="12.75">
      <c r="A189" s="260"/>
      <c r="B189" s="365"/>
      <c r="C189" s="365"/>
      <c r="D189" s="365"/>
      <c r="E189" s="365"/>
      <c r="F189" s="365"/>
      <c r="G189" s="365"/>
      <c r="H189" s="365"/>
      <c r="I189" s="365"/>
      <c r="J189" s="365"/>
      <c r="K189" s="365"/>
      <c r="L189" s="365"/>
      <c r="M189" s="365"/>
      <c r="N189" s="365"/>
    </row>
    <row r="190" spans="1:14" ht="12.75">
      <c r="A190" s="260"/>
      <c r="B190" s="365"/>
      <c r="C190" s="365"/>
      <c r="D190" s="365"/>
      <c r="E190" s="365"/>
      <c r="F190" s="365"/>
      <c r="G190" s="365"/>
      <c r="H190" s="365"/>
      <c r="I190" s="365"/>
      <c r="J190" s="365"/>
      <c r="K190" s="365"/>
      <c r="L190" s="365"/>
      <c r="M190" s="365"/>
      <c r="N190" s="365"/>
    </row>
    <row r="191" spans="1:14" ht="12.75">
      <c r="A191" s="260"/>
      <c r="B191" s="268"/>
      <c r="C191" s="139"/>
      <c r="D191" s="139"/>
      <c r="E191" s="139"/>
      <c r="F191" s="139"/>
      <c r="G191" s="139"/>
      <c r="H191" s="139"/>
      <c r="I191" s="139"/>
      <c r="J191" s="139"/>
      <c r="K191" s="139"/>
      <c r="L191" s="139"/>
      <c r="M191" s="139"/>
      <c r="N191" s="139"/>
    </row>
    <row r="192" spans="1:14" ht="12.75">
      <c r="A192" s="260" t="s">
        <v>206</v>
      </c>
      <c r="B192" s="261" t="s">
        <v>176</v>
      </c>
      <c r="C192" s="139"/>
      <c r="D192" s="139"/>
      <c r="E192" s="139"/>
      <c r="F192" s="139"/>
      <c r="G192" s="139"/>
      <c r="H192" s="139"/>
      <c r="I192" s="139"/>
      <c r="J192" s="139"/>
      <c r="K192" s="139"/>
      <c r="L192" s="139"/>
      <c r="M192" s="139"/>
      <c r="N192" s="139"/>
    </row>
    <row r="193" spans="1:14" ht="12.75">
      <c r="A193" s="260"/>
      <c r="B193" s="364" t="s">
        <v>611</v>
      </c>
      <c r="C193" s="364"/>
      <c r="D193" s="364"/>
      <c r="E193" s="364"/>
      <c r="F193" s="364"/>
      <c r="G193" s="364"/>
      <c r="H193" s="364"/>
      <c r="I193" s="364"/>
      <c r="J193" s="364"/>
      <c r="K193" s="364"/>
      <c r="L193" s="364"/>
      <c r="M193" s="364"/>
      <c r="N193" s="364"/>
    </row>
    <row r="194" spans="1:14" ht="12.75">
      <c r="A194" s="138"/>
      <c r="B194" s="364"/>
      <c r="C194" s="364"/>
      <c r="D194" s="364"/>
      <c r="E194" s="364"/>
      <c r="F194" s="364"/>
      <c r="G194" s="364"/>
      <c r="H194" s="364"/>
      <c r="I194" s="364"/>
      <c r="J194" s="364"/>
      <c r="K194" s="364"/>
      <c r="L194" s="364"/>
      <c r="M194" s="364"/>
      <c r="N194" s="364"/>
    </row>
    <row r="195" spans="1:14" ht="12.75">
      <c r="A195" s="138"/>
      <c r="B195" s="364"/>
      <c r="C195" s="364"/>
      <c r="D195" s="364"/>
      <c r="E195" s="364"/>
      <c r="F195" s="364"/>
      <c r="G195" s="364"/>
      <c r="H195" s="364"/>
      <c r="I195" s="364"/>
      <c r="J195" s="364"/>
      <c r="K195" s="364"/>
      <c r="L195" s="364"/>
      <c r="M195" s="364"/>
      <c r="N195" s="364"/>
    </row>
    <row r="196" spans="1:14" ht="12.75">
      <c r="A196" s="138"/>
      <c r="B196" s="364"/>
      <c r="C196" s="364"/>
      <c r="D196" s="364"/>
      <c r="E196" s="364"/>
      <c r="F196" s="364"/>
      <c r="G196" s="364"/>
      <c r="H196" s="364"/>
      <c r="I196" s="364"/>
      <c r="J196" s="364"/>
      <c r="K196" s="364"/>
      <c r="L196" s="364"/>
      <c r="M196" s="364"/>
      <c r="N196" s="364"/>
    </row>
    <row r="197" spans="1:14" ht="12.75">
      <c r="A197" s="138"/>
      <c r="B197" s="364"/>
      <c r="C197" s="364"/>
      <c r="D197" s="364"/>
      <c r="E197" s="364"/>
      <c r="F197" s="364"/>
      <c r="G197" s="364"/>
      <c r="H197" s="364"/>
      <c r="I197" s="364"/>
      <c r="J197" s="364"/>
      <c r="K197" s="364"/>
      <c r="L197" s="364"/>
      <c r="M197" s="364"/>
      <c r="N197" s="364"/>
    </row>
    <row r="198" spans="1:14" ht="12.75">
      <c r="A198" s="138"/>
      <c r="B198" s="139"/>
      <c r="C198" s="139"/>
      <c r="D198" s="139"/>
      <c r="E198" s="139"/>
      <c r="F198" s="139"/>
      <c r="G198" s="139"/>
      <c r="H198" s="139"/>
      <c r="I198" s="139"/>
      <c r="J198" s="139"/>
      <c r="K198" s="139"/>
      <c r="L198" s="139"/>
      <c r="M198" s="139"/>
      <c r="N198" s="139"/>
    </row>
    <row r="199" spans="1:14" ht="12.75">
      <c r="A199" s="260" t="s">
        <v>206</v>
      </c>
      <c r="B199" s="266" t="s">
        <v>177</v>
      </c>
      <c r="C199" s="139"/>
      <c r="D199" s="139"/>
      <c r="E199" s="139"/>
      <c r="F199" s="139"/>
      <c r="G199" s="139"/>
      <c r="H199" s="139"/>
      <c r="I199" s="139"/>
      <c r="J199" s="139"/>
      <c r="K199" s="139"/>
      <c r="L199" s="139"/>
      <c r="M199" s="139"/>
      <c r="N199" s="139"/>
    </row>
    <row r="200" spans="1:14" ht="12.75">
      <c r="A200" s="260"/>
      <c r="B200" s="365" t="s">
        <v>612</v>
      </c>
      <c r="C200" s="365"/>
      <c r="D200" s="365"/>
      <c r="E200" s="365"/>
      <c r="F200" s="365"/>
      <c r="G200" s="365"/>
      <c r="H200" s="365"/>
      <c r="I200" s="365"/>
      <c r="J200" s="365"/>
      <c r="K200" s="365"/>
      <c r="L200" s="365"/>
      <c r="M200" s="365"/>
      <c r="N200" s="365"/>
    </row>
    <row r="201" spans="1:14" ht="12.75">
      <c r="A201" s="260"/>
      <c r="B201" s="365"/>
      <c r="C201" s="365"/>
      <c r="D201" s="365"/>
      <c r="E201" s="365"/>
      <c r="F201" s="365"/>
      <c r="G201" s="365"/>
      <c r="H201" s="365"/>
      <c r="I201" s="365"/>
      <c r="J201" s="365"/>
      <c r="K201" s="365"/>
      <c r="L201" s="365"/>
      <c r="M201" s="365"/>
      <c r="N201" s="365"/>
    </row>
    <row r="202" spans="1:14" ht="12.75">
      <c r="A202" s="260"/>
      <c r="B202" s="365"/>
      <c r="C202" s="365"/>
      <c r="D202" s="365"/>
      <c r="E202" s="365"/>
      <c r="F202" s="365"/>
      <c r="G202" s="365"/>
      <c r="H202" s="365"/>
      <c r="I202" s="365"/>
      <c r="J202" s="365"/>
      <c r="K202" s="365"/>
      <c r="L202" s="365"/>
      <c r="M202" s="365"/>
      <c r="N202" s="365"/>
    </row>
    <row r="203" spans="1:14" ht="12.75">
      <c r="A203" s="260"/>
      <c r="B203" s="365"/>
      <c r="C203" s="365"/>
      <c r="D203" s="365"/>
      <c r="E203" s="365"/>
      <c r="F203" s="365"/>
      <c r="G203" s="365"/>
      <c r="H203" s="365"/>
      <c r="I203" s="365"/>
      <c r="J203" s="365"/>
      <c r="K203" s="365"/>
      <c r="L203" s="365"/>
      <c r="M203" s="365"/>
      <c r="N203" s="365"/>
    </row>
    <row r="204" spans="1:14" ht="12.75">
      <c r="A204" s="138"/>
      <c r="B204" s="365"/>
      <c r="C204" s="365"/>
      <c r="D204" s="365"/>
      <c r="E204" s="365"/>
      <c r="F204" s="365"/>
      <c r="G204" s="365"/>
      <c r="H204" s="365"/>
      <c r="I204" s="365"/>
      <c r="J204" s="365"/>
      <c r="K204" s="365"/>
      <c r="L204" s="365"/>
      <c r="M204" s="365"/>
      <c r="N204" s="365"/>
    </row>
    <row r="205" spans="1:14" ht="12.75">
      <c r="A205" s="138"/>
      <c r="B205" s="139"/>
      <c r="C205" s="139"/>
      <c r="D205" s="139"/>
      <c r="E205" s="139"/>
      <c r="F205" s="139"/>
      <c r="G205" s="139"/>
      <c r="H205" s="139"/>
      <c r="I205" s="139"/>
      <c r="J205" s="139"/>
      <c r="K205" s="139"/>
      <c r="L205" s="139"/>
      <c r="M205" s="139"/>
      <c r="N205" s="139"/>
    </row>
    <row r="206" spans="1:14" ht="12.75">
      <c r="A206" s="260" t="s">
        <v>206</v>
      </c>
      <c r="B206" s="261" t="s">
        <v>347</v>
      </c>
      <c r="C206" s="139"/>
      <c r="D206" s="139"/>
      <c r="E206" s="139"/>
      <c r="F206" s="139"/>
      <c r="G206" s="139"/>
      <c r="H206" s="139"/>
      <c r="I206" s="139"/>
      <c r="J206" s="139"/>
      <c r="K206" s="139"/>
      <c r="L206" s="139"/>
      <c r="M206" s="139"/>
      <c r="N206" s="139"/>
    </row>
    <row r="207" spans="1:14" ht="12.75">
      <c r="A207" s="260"/>
      <c r="B207" s="364" t="s">
        <v>613</v>
      </c>
      <c r="C207" s="364"/>
      <c r="D207" s="364"/>
      <c r="E207" s="364"/>
      <c r="F207" s="364"/>
      <c r="G207" s="364"/>
      <c r="H207" s="364"/>
      <c r="I207" s="364"/>
      <c r="J207" s="364"/>
      <c r="K207" s="364"/>
      <c r="L207" s="364"/>
      <c r="M207" s="364"/>
      <c r="N207" s="364"/>
    </row>
    <row r="208" spans="1:14" ht="12.75">
      <c r="A208" s="138"/>
      <c r="B208" s="364"/>
      <c r="C208" s="364"/>
      <c r="D208" s="364"/>
      <c r="E208" s="364"/>
      <c r="F208" s="364"/>
      <c r="G208" s="364"/>
      <c r="H208" s="364"/>
      <c r="I208" s="364"/>
      <c r="J208" s="364"/>
      <c r="K208" s="364"/>
      <c r="L208" s="364"/>
      <c r="M208" s="364"/>
      <c r="N208" s="364"/>
    </row>
    <row r="209" spans="1:14" ht="12.75">
      <c r="A209" s="138"/>
      <c r="B209" s="364"/>
      <c r="C209" s="364"/>
      <c r="D209" s="364"/>
      <c r="E209" s="364"/>
      <c r="F209" s="364"/>
      <c r="G209" s="364"/>
      <c r="H209" s="364"/>
      <c r="I209" s="364"/>
      <c r="J209" s="364"/>
      <c r="K209" s="364"/>
      <c r="L209" s="364"/>
      <c r="M209" s="364"/>
      <c r="N209" s="364"/>
    </row>
    <row r="210" spans="1:14" ht="12.75">
      <c r="A210" s="138"/>
      <c r="B210" s="139"/>
      <c r="C210" s="139"/>
      <c r="D210" s="139"/>
      <c r="E210" s="139"/>
      <c r="F210" s="139"/>
      <c r="G210" s="139"/>
      <c r="H210" s="139"/>
      <c r="I210" s="139"/>
      <c r="J210" s="139"/>
      <c r="K210" s="139"/>
      <c r="L210" s="139"/>
      <c r="M210" s="139"/>
      <c r="N210" s="139"/>
    </row>
    <row r="211" spans="1:14" ht="12.75">
      <c r="A211" s="260" t="s">
        <v>206</v>
      </c>
      <c r="B211" s="261" t="s">
        <v>614</v>
      </c>
      <c r="C211" s="139"/>
      <c r="D211" s="139"/>
      <c r="E211" s="139"/>
      <c r="F211" s="139"/>
      <c r="G211" s="139"/>
      <c r="H211" s="139"/>
      <c r="I211" s="139"/>
      <c r="J211" s="139"/>
      <c r="K211" s="139"/>
      <c r="L211" s="139"/>
      <c r="M211" s="139"/>
      <c r="N211" s="139"/>
    </row>
    <row r="212" spans="1:14" ht="12.75">
      <c r="A212" s="260"/>
      <c r="B212" s="364" t="s">
        <v>615</v>
      </c>
      <c r="C212" s="364"/>
      <c r="D212" s="364"/>
      <c r="E212" s="364"/>
      <c r="F212" s="364"/>
      <c r="G212" s="364"/>
      <c r="H212" s="364"/>
      <c r="I212" s="364"/>
      <c r="J212" s="364"/>
      <c r="K212" s="364"/>
      <c r="L212" s="364"/>
      <c r="M212" s="364"/>
      <c r="N212" s="364"/>
    </row>
    <row r="213" spans="1:14" ht="12.75">
      <c r="A213" s="138"/>
      <c r="B213" s="364"/>
      <c r="C213" s="364"/>
      <c r="D213" s="364"/>
      <c r="E213" s="364"/>
      <c r="F213" s="364"/>
      <c r="G213" s="364"/>
      <c r="H213" s="364"/>
      <c r="I213" s="364"/>
      <c r="J213" s="364"/>
      <c r="K213" s="364"/>
      <c r="L213" s="364"/>
      <c r="M213" s="364"/>
      <c r="N213" s="364"/>
    </row>
    <row r="214" spans="1:14" ht="12.75">
      <c r="A214" s="138"/>
      <c r="B214" s="138"/>
      <c r="C214" s="139"/>
      <c r="D214" s="139"/>
      <c r="E214" s="139"/>
      <c r="F214" s="139"/>
      <c r="G214" s="139"/>
      <c r="H214" s="139"/>
      <c r="I214" s="139"/>
      <c r="J214" s="139"/>
      <c r="K214" s="139"/>
      <c r="L214" s="139"/>
      <c r="M214" s="139"/>
      <c r="N214" s="139"/>
    </row>
    <row r="215" spans="1:14" ht="12.75">
      <c r="A215" s="260" t="s">
        <v>206</v>
      </c>
      <c r="B215" s="266" t="s">
        <v>616</v>
      </c>
      <c r="C215" s="139"/>
      <c r="D215" s="139"/>
      <c r="E215" s="139"/>
      <c r="F215" s="139"/>
      <c r="G215" s="139"/>
      <c r="H215" s="139"/>
      <c r="I215" s="139"/>
      <c r="J215" s="139"/>
      <c r="K215" s="139"/>
      <c r="L215" s="139"/>
      <c r="M215" s="139"/>
      <c r="N215" s="139"/>
    </row>
    <row r="216" spans="1:14" ht="12.75">
      <c r="A216" s="260"/>
      <c r="B216" s="365" t="s">
        <v>617</v>
      </c>
      <c r="C216" s="365"/>
      <c r="D216" s="365"/>
      <c r="E216" s="365"/>
      <c r="F216" s="365"/>
      <c r="G216" s="365"/>
      <c r="H216" s="365"/>
      <c r="I216" s="365"/>
      <c r="J216" s="365"/>
      <c r="K216" s="365"/>
      <c r="L216" s="365"/>
      <c r="M216" s="365"/>
      <c r="N216" s="365"/>
    </row>
    <row r="217" spans="1:14" ht="12.75">
      <c r="A217" s="260"/>
      <c r="B217" s="365"/>
      <c r="C217" s="365"/>
      <c r="D217" s="365"/>
      <c r="E217" s="365"/>
      <c r="F217" s="365"/>
      <c r="G217" s="365"/>
      <c r="H217" s="365"/>
      <c r="I217" s="365"/>
      <c r="J217" s="365"/>
      <c r="K217" s="365"/>
      <c r="L217" s="365"/>
      <c r="M217" s="365"/>
      <c r="N217" s="365"/>
    </row>
    <row r="218" spans="1:14" ht="12.75">
      <c r="A218" s="260"/>
      <c r="B218" s="365"/>
      <c r="C218" s="365"/>
      <c r="D218" s="365"/>
      <c r="E218" s="365"/>
      <c r="F218" s="365"/>
      <c r="G218" s="365"/>
      <c r="H218" s="365"/>
      <c r="I218" s="365"/>
      <c r="J218" s="365"/>
      <c r="K218" s="365"/>
      <c r="L218" s="365"/>
      <c r="M218" s="365"/>
      <c r="N218" s="365"/>
    </row>
    <row r="219" spans="1:14" ht="12.75">
      <c r="A219" s="138"/>
      <c r="B219" s="139"/>
      <c r="C219" s="139"/>
      <c r="D219" s="139"/>
      <c r="E219" s="139"/>
      <c r="F219" s="139"/>
      <c r="G219" s="139"/>
      <c r="H219" s="139"/>
      <c r="I219" s="139"/>
      <c r="J219" s="139"/>
      <c r="K219" s="139"/>
      <c r="L219" s="139"/>
      <c r="M219" s="139"/>
      <c r="N219" s="139"/>
    </row>
    <row r="220" spans="1:14" ht="12.75">
      <c r="A220" s="260" t="s">
        <v>206</v>
      </c>
      <c r="B220" s="266" t="s">
        <v>618</v>
      </c>
      <c r="C220" s="139"/>
      <c r="D220" s="139"/>
      <c r="E220" s="139"/>
      <c r="F220" s="139"/>
      <c r="G220" s="139"/>
      <c r="H220" s="139"/>
      <c r="I220" s="139"/>
      <c r="J220" s="139"/>
      <c r="K220" s="139"/>
      <c r="L220" s="139"/>
      <c r="M220" s="139"/>
      <c r="N220" s="139"/>
    </row>
    <row r="221" spans="1:14" ht="12.75">
      <c r="A221" s="260"/>
      <c r="B221" s="365" t="s">
        <v>619</v>
      </c>
      <c r="C221" s="365"/>
      <c r="D221" s="365"/>
      <c r="E221" s="365"/>
      <c r="F221" s="365"/>
      <c r="G221" s="365"/>
      <c r="H221" s="365"/>
      <c r="I221" s="365"/>
      <c r="J221" s="365"/>
      <c r="K221" s="365"/>
      <c r="L221" s="365"/>
      <c r="M221" s="365"/>
      <c r="N221" s="365"/>
    </row>
    <row r="222" spans="1:14" ht="12.75">
      <c r="A222" s="138"/>
      <c r="B222" s="365"/>
      <c r="C222" s="365"/>
      <c r="D222" s="365"/>
      <c r="E222" s="365"/>
      <c r="F222" s="365"/>
      <c r="G222" s="365"/>
      <c r="H222" s="365"/>
      <c r="I222" s="365"/>
      <c r="J222" s="365"/>
      <c r="K222" s="365"/>
      <c r="L222" s="365"/>
      <c r="M222" s="365"/>
      <c r="N222" s="365"/>
    </row>
    <row r="223" spans="1:14" ht="12.75">
      <c r="A223" s="138"/>
      <c r="B223" s="139"/>
      <c r="C223" s="139"/>
      <c r="D223" s="139"/>
      <c r="E223" s="139"/>
      <c r="F223" s="139"/>
      <c r="G223" s="139"/>
      <c r="H223" s="139"/>
      <c r="I223" s="139"/>
      <c r="J223" s="139"/>
      <c r="K223" s="139"/>
      <c r="L223" s="139"/>
      <c r="M223" s="139"/>
      <c r="N223" s="139"/>
    </row>
    <row r="224" spans="1:14" ht="12.75">
      <c r="A224" s="260" t="s">
        <v>206</v>
      </c>
      <c r="B224" s="266" t="s">
        <v>300</v>
      </c>
      <c r="C224" s="139"/>
      <c r="D224" s="139"/>
      <c r="E224" s="139"/>
      <c r="F224" s="139"/>
      <c r="G224" s="139"/>
      <c r="H224" s="139"/>
      <c r="I224" s="139"/>
      <c r="J224" s="139"/>
      <c r="K224" s="139"/>
      <c r="L224" s="139"/>
      <c r="M224" s="139"/>
      <c r="N224" s="139"/>
    </row>
    <row r="225" spans="1:14" ht="12.75">
      <c r="A225" s="260"/>
      <c r="B225" s="365" t="s">
        <v>620</v>
      </c>
      <c r="C225" s="365"/>
      <c r="D225" s="365"/>
      <c r="E225" s="365"/>
      <c r="F225" s="365"/>
      <c r="G225" s="365"/>
      <c r="H225" s="365"/>
      <c r="I225" s="365"/>
      <c r="J225" s="365"/>
      <c r="K225" s="365"/>
      <c r="L225" s="365"/>
      <c r="M225" s="365"/>
      <c r="N225" s="365"/>
    </row>
    <row r="226" spans="1:14" ht="12.75">
      <c r="A226" s="138"/>
      <c r="B226" s="365"/>
      <c r="C226" s="365"/>
      <c r="D226" s="365"/>
      <c r="E226" s="365"/>
      <c r="F226" s="365"/>
      <c r="G226" s="365"/>
      <c r="H226" s="365"/>
      <c r="I226" s="365"/>
      <c r="J226" s="365"/>
      <c r="K226" s="365"/>
      <c r="L226" s="365"/>
      <c r="M226" s="365"/>
      <c r="N226" s="365"/>
    </row>
    <row r="227" spans="1:14" ht="12.75">
      <c r="A227" s="138"/>
      <c r="B227" s="139"/>
      <c r="C227" s="139"/>
      <c r="D227" s="139"/>
      <c r="E227" s="139"/>
      <c r="F227" s="139"/>
      <c r="G227" s="139"/>
      <c r="H227" s="139"/>
      <c r="I227" s="139"/>
      <c r="J227" s="139"/>
      <c r="K227" s="139"/>
      <c r="L227" s="139"/>
      <c r="M227" s="139"/>
      <c r="N227" s="139"/>
    </row>
    <row r="228" spans="1:14" ht="12.75">
      <c r="A228" s="267" t="s">
        <v>206</v>
      </c>
      <c r="B228" s="261" t="s">
        <v>621</v>
      </c>
      <c r="C228" s="268"/>
      <c r="D228" s="268"/>
      <c r="E228" s="268"/>
      <c r="F228" s="268"/>
      <c r="G228" s="268"/>
      <c r="H228" s="268"/>
      <c r="I228" s="268"/>
      <c r="J228" s="268"/>
      <c r="K228" s="268"/>
      <c r="L228" s="268"/>
      <c r="M228" s="268"/>
      <c r="N228" s="268"/>
    </row>
    <row r="229" spans="1:14" ht="12.75">
      <c r="A229" s="267"/>
      <c r="B229" s="364" t="s">
        <v>622</v>
      </c>
      <c r="C229" s="364"/>
      <c r="D229" s="364"/>
      <c r="E229" s="364"/>
      <c r="F229" s="364"/>
      <c r="G229" s="364"/>
      <c r="H229" s="364"/>
      <c r="I229" s="364"/>
      <c r="J229" s="364"/>
      <c r="K229" s="364"/>
      <c r="L229" s="364"/>
      <c r="M229" s="364"/>
      <c r="N229" s="364"/>
    </row>
    <row r="230" spans="1:14" ht="12.75">
      <c r="A230" s="269"/>
      <c r="B230" s="364"/>
      <c r="C230" s="364"/>
      <c r="D230" s="364"/>
      <c r="E230" s="364"/>
      <c r="F230" s="364"/>
      <c r="G230" s="364"/>
      <c r="H230" s="364"/>
      <c r="I230" s="364"/>
      <c r="J230" s="364"/>
      <c r="K230" s="364"/>
      <c r="L230" s="364"/>
      <c r="M230" s="364"/>
      <c r="N230" s="364"/>
    </row>
    <row r="231" spans="1:14" ht="12.75">
      <c r="A231" s="269"/>
      <c r="B231" s="270"/>
      <c r="C231" s="268"/>
      <c r="D231" s="268"/>
      <c r="E231" s="268"/>
      <c r="F231" s="268"/>
      <c r="G231" s="268"/>
      <c r="H231" s="268"/>
      <c r="I231" s="268"/>
      <c r="J231" s="268"/>
      <c r="K231" s="268"/>
      <c r="L231" s="268"/>
      <c r="M231" s="268"/>
      <c r="N231" s="268"/>
    </row>
    <row r="232" spans="1:14" ht="12.75">
      <c r="A232" s="260" t="s">
        <v>206</v>
      </c>
      <c r="B232" s="261" t="s">
        <v>623</v>
      </c>
      <c r="C232" s="139"/>
      <c r="D232" s="139"/>
      <c r="E232" s="139"/>
      <c r="F232" s="139"/>
      <c r="G232" s="139"/>
      <c r="H232" s="139"/>
      <c r="I232" s="139"/>
      <c r="J232" s="139"/>
      <c r="K232" s="139"/>
      <c r="L232" s="139"/>
      <c r="M232" s="139"/>
      <c r="N232" s="139"/>
    </row>
    <row r="233" spans="1:14" ht="12.75">
      <c r="A233" s="260"/>
      <c r="B233" s="364" t="s">
        <v>835</v>
      </c>
      <c r="C233" s="364"/>
      <c r="D233" s="364"/>
      <c r="E233" s="364"/>
      <c r="F233" s="364"/>
      <c r="G233" s="364"/>
      <c r="H233" s="364"/>
      <c r="I233" s="364"/>
      <c r="J233" s="364"/>
      <c r="K233" s="364"/>
      <c r="L233" s="364"/>
      <c r="M233" s="364"/>
      <c r="N233" s="364"/>
    </row>
    <row r="234" spans="1:14" ht="12.75">
      <c r="A234" s="260"/>
      <c r="B234" s="364"/>
      <c r="C234" s="364"/>
      <c r="D234" s="364"/>
      <c r="E234" s="364"/>
      <c r="F234" s="364"/>
      <c r="G234" s="364"/>
      <c r="H234" s="364"/>
      <c r="I234" s="364"/>
      <c r="J234" s="364"/>
      <c r="K234" s="364"/>
      <c r="L234" s="364"/>
      <c r="M234" s="364"/>
      <c r="N234" s="364"/>
    </row>
    <row r="235" spans="1:14" ht="12.75">
      <c r="A235" s="138"/>
      <c r="B235" s="364"/>
      <c r="C235" s="364"/>
      <c r="D235" s="364"/>
      <c r="E235" s="364"/>
      <c r="F235" s="364"/>
      <c r="G235" s="364"/>
      <c r="H235" s="364"/>
      <c r="I235" s="364"/>
      <c r="J235" s="364"/>
      <c r="K235" s="364"/>
      <c r="L235" s="364"/>
      <c r="M235" s="364"/>
      <c r="N235" s="364"/>
    </row>
    <row r="236" spans="1:14" ht="12.75">
      <c r="A236" s="138"/>
      <c r="B236" s="138"/>
      <c r="C236" s="139"/>
      <c r="D236" s="139"/>
      <c r="E236" s="139"/>
      <c r="F236" s="139"/>
      <c r="G236" s="139"/>
      <c r="H236" s="139"/>
      <c r="I236" s="139"/>
      <c r="J236" s="139"/>
      <c r="K236" s="139"/>
      <c r="L236" s="139"/>
      <c r="M236" s="139"/>
      <c r="N236" s="139"/>
    </row>
    <row r="237" spans="1:14" ht="12.75">
      <c r="A237" s="260" t="s">
        <v>206</v>
      </c>
      <c r="B237" s="261" t="s">
        <v>17</v>
      </c>
      <c r="C237" s="139"/>
      <c r="D237" s="139"/>
      <c r="E237" s="139"/>
      <c r="F237" s="139"/>
      <c r="G237" s="139"/>
      <c r="H237" s="139"/>
      <c r="I237" s="139"/>
      <c r="J237" s="139"/>
      <c r="K237" s="139"/>
      <c r="L237" s="139"/>
      <c r="M237" s="139"/>
      <c r="N237" s="139"/>
    </row>
    <row r="238" spans="1:14" ht="12.75">
      <c r="A238" s="260"/>
      <c r="B238" s="364" t="s">
        <v>836</v>
      </c>
      <c r="C238" s="364"/>
      <c r="D238" s="364"/>
      <c r="E238" s="364"/>
      <c r="F238" s="364"/>
      <c r="G238" s="364"/>
      <c r="H238" s="364"/>
      <c r="I238" s="364"/>
      <c r="J238" s="364"/>
      <c r="K238" s="364"/>
      <c r="L238" s="364"/>
      <c r="M238" s="364"/>
      <c r="N238" s="364"/>
    </row>
    <row r="239" spans="1:14" ht="12.75">
      <c r="A239" s="260"/>
      <c r="B239" s="364"/>
      <c r="C239" s="364"/>
      <c r="D239" s="364"/>
      <c r="E239" s="364"/>
      <c r="F239" s="364"/>
      <c r="G239" s="364"/>
      <c r="H239" s="364"/>
      <c r="I239" s="364"/>
      <c r="J239" s="364"/>
      <c r="K239" s="364"/>
      <c r="L239" s="364"/>
      <c r="M239" s="364"/>
      <c r="N239" s="364"/>
    </row>
    <row r="240" spans="1:14" ht="12.75">
      <c r="A240" s="260"/>
      <c r="B240" s="364"/>
      <c r="C240" s="364"/>
      <c r="D240" s="364"/>
      <c r="E240" s="364"/>
      <c r="F240" s="364"/>
      <c r="G240" s="364"/>
      <c r="H240" s="364"/>
      <c r="I240" s="364"/>
      <c r="J240" s="364"/>
      <c r="K240" s="364"/>
      <c r="L240" s="364"/>
      <c r="M240" s="364"/>
      <c r="N240" s="364"/>
    </row>
    <row r="241" spans="1:14" ht="12.75">
      <c r="A241" s="260"/>
      <c r="B241" s="306"/>
      <c r="C241" s="306"/>
      <c r="D241" s="306"/>
      <c r="E241" s="306"/>
      <c r="F241" s="306"/>
      <c r="G241" s="306"/>
      <c r="H241" s="306"/>
      <c r="I241" s="306"/>
      <c r="J241" s="306"/>
      <c r="K241" s="306"/>
      <c r="L241" s="306"/>
      <c r="M241" s="306"/>
      <c r="N241" s="306"/>
    </row>
    <row r="242" spans="1:14" ht="15">
      <c r="A242" s="260" t="s">
        <v>206</v>
      </c>
      <c r="B242" s="266" t="s">
        <v>1068</v>
      </c>
      <c r="C242" s="315"/>
      <c r="D242" s="315"/>
      <c r="E242" s="315"/>
      <c r="F242" s="315"/>
      <c r="G242" s="315"/>
      <c r="H242" s="315"/>
      <c r="I242" s="315"/>
      <c r="J242" s="315"/>
      <c r="K242" s="315"/>
      <c r="L242" s="315"/>
      <c r="M242" s="315"/>
      <c r="N242" s="315"/>
    </row>
    <row r="243" spans="1:14" ht="12.75">
      <c r="A243" s="260"/>
      <c r="B243" s="365" t="s">
        <v>837</v>
      </c>
      <c r="C243" s="365"/>
      <c r="D243" s="365"/>
      <c r="E243" s="365"/>
      <c r="F243" s="365"/>
      <c r="G243" s="365"/>
      <c r="H243" s="365"/>
      <c r="I243" s="365"/>
      <c r="J243" s="365"/>
      <c r="K243" s="365"/>
      <c r="L243" s="365"/>
      <c r="M243" s="365"/>
      <c r="N243" s="365"/>
    </row>
    <row r="244" spans="1:14" ht="12.75">
      <c r="A244" s="138"/>
      <c r="B244" s="365"/>
      <c r="C244" s="365"/>
      <c r="D244" s="365"/>
      <c r="E244" s="365"/>
      <c r="F244" s="365"/>
      <c r="G244" s="365"/>
      <c r="H244" s="365"/>
      <c r="I244" s="365"/>
      <c r="J244" s="365"/>
      <c r="K244" s="365"/>
      <c r="L244" s="365"/>
      <c r="M244" s="365"/>
      <c r="N244" s="365"/>
    </row>
    <row r="245" spans="1:14" ht="12.75">
      <c r="A245" s="260"/>
      <c r="B245" s="308"/>
      <c r="C245" s="308"/>
      <c r="D245" s="308"/>
      <c r="E245" s="308"/>
      <c r="F245" s="308"/>
      <c r="G245" s="308"/>
      <c r="H245" s="308"/>
      <c r="I245" s="308"/>
      <c r="J245" s="308"/>
      <c r="K245" s="308"/>
      <c r="L245" s="308"/>
      <c r="M245" s="308"/>
      <c r="N245" s="308"/>
    </row>
    <row r="246" spans="1:14" ht="12.75">
      <c r="A246" s="260" t="s">
        <v>206</v>
      </c>
      <c r="B246" s="266" t="s">
        <v>624</v>
      </c>
      <c r="C246" s="139"/>
      <c r="D246" s="139"/>
      <c r="E246" s="139"/>
      <c r="F246" s="139"/>
      <c r="G246" s="139"/>
      <c r="H246" s="139"/>
      <c r="I246" s="139"/>
      <c r="J246" s="139"/>
      <c r="K246" s="139"/>
      <c r="L246" s="139"/>
      <c r="M246" s="139"/>
      <c r="N246" s="139"/>
    </row>
    <row r="247" spans="1:14" ht="12.75">
      <c r="A247" s="260"/>
      <c r="B247" s="365" t="s">
        <v>838</v>
      </c>
      <c r="C247" s="365"/>
      <c r="D247" s="365"/>
      <c r="E247" s="365"/>
      <c r="F247" s="365"/>
      <c r="G247" s="365"/>
      <c r="H247" s="365"/>
      <c r="I247" s="365"/>
      <c r="J247" s="365"/>
      <c r="K247" s="365"/>
      <c r="L247" s="365"/>
      <c r="M247" s="365"/>
      <c r="N247" s="365"/>
    </row>
    <row r="248" spans="1:14" ht="12.75">
      <c r="A248" s="138"/>
      <c r="B248" s="365"/>
      <c r="C248" s="365"/>
      <c r="D248" s="365"/>
      <c r="E248" s="365"/>
      <c r="F248" s="365"/>
      <c r="G248" s="365"/>
      <c r="H248" s="365"/>
      <c r="I248" s="365"/>
      <c r="J248" s="365"/>
      <c r="K248" s="365"/>
      <c r="L248" s="365"/>
      <c r="M248" s="365"/>
      <c r="N248" s="365"/>
    </row>
    <row r="249" spans="1:14" ht="12.75">
      <c r="A249" s="138"/>
      <c r="B249" s="365"/>
      <c r="C249" s="365"/>
      <c r="D249" s="365"/>
      <c r="E249" s="365"/>
      <c r="F249" s="365"/>
      <c r="G249" s="365"/>
      <c r="H249" s="365"/>
      <c r="I249" s="365"/>
      <c r="J249" s="365"/>
      <c r="K249" s="365"/>
      <c r="L249" s="365"/>
      <c r="M249" s="365"/>
      <c r="N249" s="365"/>
    </row>
    <row r="250" spans="1:14" ht="12.75">
      <c r="A250" s="138"/>
      <c r="B250" s="307"/>
      <c r="C250" s="307"/>
      <c r="D250" s="307"/>
      <c r="E250" s="307"/>
      <c r="F250" s="307"/>
      <c r="G250" s="307"/>
      <c r="H250" s="307"/>
      <c r="I250" s="307"/>
      <c r="J250" s="307"/>
      <c r="K250" s="307"/>
      <c r="L250" s="307"/>
      <c r="M250" s="307"/>
      <c r="N250" s="307"/>
    </row>
    <row r="251" spans="1:14" ht="12.75">
      <c r="A251" s="260" t="s">
        <v>206</v>
      </c>
      <c r="B251" s="266" t="s">
        <v>625</v>
      </c>
      <c r="C251" s="139"/>
      <c r="D251" s="139"/>
      <c r="E251" s="139"/>
      <c r="F251" s="139"/>
      <c r="G251" s="139"/>
      <c r="H251" s="139"/>
      <c r="I251" s="139"/>
      <c r="J251" s="139"/>
      <c r="K251" s="139"/>
      <c r="L251" s="139"/>
      <c r="M251" s="139"/>
      <c r="N251" s="139"/>
    </row>
    <row r="252" spans="1:14" ht="12.75">
      <c r="A252" s="260"/>
      <c r="B252" s="365" t="s">
        <v>626</v>
      </c>
      <c r="C252" s="365"/>
      <c r="D252" s="365"/>
      <c r="E252" s="365"/>
      <c r="F252" s="365"/>
      <c r="G252" s="365"/>
      <c r="H252" s="365"/>
      <c r="I252" s="365"/>
      <c r="J252" s="365"/>
      <c r="K252" s="365"/>
      <c r="L252" s="365"/>
      <c r="M252" s="365"/>
      <c r="N252" s="365"/>
    </row>
    <row r="253" spans="1:14" ht="12.75">
      <c r="A253" s="260"/>
      <c r="B253" s="365"/>
      <c r="C253" s="365"/>
      <c r="D253" s="365"/>
      <c r="E253" s="365"/>
      <c r="F253" s="365"/>
      <c r="G253" s="365"/>
      <c r="H253" s="365"/>
      <c r="I253" s="365"/>
      <c r="J253" s="365"/>
      <c r="K253" s="365"/>
      <c r="L253" s="365"/>
      <c r="M253" s="365"/>
      <c r="N253" s="365"/>
    </row>
    <row r="254" spans="1:14" ht="12.75">
      <c r="A254" s="138"/>
      <c r="B254" s="268"/>
      <c r="C254" s="139"/>
      <c r="D254" s="139"/>
      <c r="E254" s="139"/>
      <c r="F254" s="139"/>
      <c r="G254" s="139"/>
      <c r="H254" s="139"/>
      <c r="I254" s="139"/>
      <c r="J254" s="139"/>
      <c r="K254" s="139"/>
      <c r="L254" s="139"/>
      <c r="M254" s="139"/>
      <c r="N254" s="139"/>
    </row>
    <row r="255" spans="1:14" ht="12.75">
      <c r="A255" s="260" t="s">
        <v>206</v>
      </c>
      <c r="B255" s="266" t="s">
        <v>346</v>
      </c>
      <c r="C255" s="139"/>
      <c r="D255" s="139"/>
      <c r="E255" s="139"/>
      <c r="F255" s="139"/>
      <c r="G255" s="139"/>
      <c r="H255" s="139"/>
      <c r="I255" s="139"/>
      <c r="J255" s="139"/>
      <c r="K255" s="139"/>
      <c r="L255" s="139"/>
      <c r="M255" s="139"/>
      <c r="N255" s="139"/>
    </row>
    <row r="256" spans="1:14" ht="12.75">
      <c r="A256" s="260"/>
      <c r="B256" s="365" t="s">
        <v>627</v>
      </c>
      <c r="C256" s="365"/>
      <c r="D256" s="365"/>
      <c r="E256" s="365"/>
      <c r="F256" s="365"/>
      <c r="G256" s="365"/>
      <c r="H256" s="365"/>
      <c r="I256" s="365"/>
      <c r="J256" s="365"/>
      <c r="K256" s="365"/>
      <c r="L256" s="365"/>
      <c r="M256" s="365"/>
      <c r="N256" s="365"/>
    </row>
    <row r="257" spans="1:14" ht="12.75">
      <c r="A257" s="260"/>
      <c r="B257" s="365"/>
      <c r="C257" s="365"/>
      <c r="D257" s="365"/>
      <c r="E257" s="365"/>
      <c r="F257" s="365"/>
      <c r="G257" s="365"/>
      <c r="H257" s="365"/>
      <c r="I257" s="365"/>
      <c r="J257" s="365"/>
      <c r="K257" s="365"/>
      <c r="L257" s="365"/>
      <c r="M257" s="365"/>
      <c r="N257" s="365"/>
    </row>
    <row r="258" spans="1:14" ht="12.75">
      <c r="A258" s="260"/>
      <c r="B258" s="268"/>
      <c r="C258" s="139"/>
      <c r="D258" s="139"/>
      <c r="E258" s="139"/>
      <c r="F258" s="139"/>
      <c r="G258" s="139"/>
      <c r="H258" s="139"/>
      <c r="I258" s="139"/>
      <c r="J258" s="139"/>
      <c r="K258" s="139"/>
      <c r="L258" s="139"/>
      <c r="M258" s="139"/>
      <c r="N258" s="139"/>
    </row>
    <row r="259" spans="1:14" ht="12.75">
      <c r="A259" s="260" t="s">
        <v>206</v>
      </c>
      <c r="B259" s="266" t="s">
        <v>0</v>
      </c>
      <c r="C259" s="139"/>
      <c r="D259" s="139"/>
      <c r="E259" s="139"/>
      <c r="F259" s="139"/>
      <c r="G259" s="139"/>
      <c r="H259" s="139"/>
      <c r="I259" s="139"/>
      <c r="J259" s="139"/>
      <c r="K259" s="139"/>
      <c r="L259" s="139"/>
      <c r="M259" s="139"/>
      <c r="N259" s="139"/>
    </row>
    <row r="260" spans="1:14" ht="12.75">
      <c r="A260" s="260"/>
      <c r="B260" s="365" t="s">
        <v>839</v>
      </c>
      <c r="C260" s="365"/>
      <c r="D260" s="365"/>
      <c r="E260" s="365"/>
      <c r="F260" s="365"/>
      <c r="G260" s="365"/>
      <c r="H260" s="365"/>
      <c r="I260" s="365"/>
      <c r="J260" s="365"/>
      <c r="K260" s="365"/>
      <c r="L260" s="365"/>
      <c r="M260" s="365"/>
      <c r="N260" s="365"/>
    </row>
    <row r="261" spans="1:14" ht="12.75">
      <c r="A261" s="260"/>
      <c r="B261" s="365"/>
      <c r="C261" s="365"/>
      <c r="D261" s="365"/>
      <c r="E261" s="365"/>
      <c r="F261" s="365"/>
      <c r="G261" s="365"/>
      <c r="H261" s="365"/>
      <c r="I261" s="365"/>
      <c r="J261" s="365"/>
      <c r="K261" s="365"/>
      <c r="L261" s="365"/>
      <c r="M261" s="365"/>
      <c r="N261" s="365"/>
    </row>
    <row r="262" spans="1:14" ht="12.75">
      <c r="A262" s="260"/>
      <c r="B262" s="365"/>
      <c r="C262" s="365"/>
      <c r="D262" s="365"/>
      <c r="E262" s="365"/>
      <c r="F262" s="365"/>
      <c r="G262" s="365"/>
      <c r="H262" s="365"/>
      <c r="I262" s="365"/>
      <c r="J262" s="365"/>
      <c r="K262" s="365"/>
      <c r="L262" s="365"/>
      <c r="M262" s="365"/>
      <c r="N262" s="365"/>
    </row>
    <row r="263" spans="1:14" ht="12.75">
      <c r="A263" s="260"/>
      <c r="B263" s="365"/>
      <c r="C263" s="365"/>
      <c r="D263" s="365"/>
      <c r="E263" s="365"/>
      <c r="F263" s="365"/>
      <c r="G263" s="365"/>
      <c r="H263" s="365"/>
      <c r="I263" s="365"/>
      <c r="J263" s="365"/>
      <c r="K263" s="365"/>
      <c r="L263" s="365"/>
      <c r="M263" s="365"/>
      <c r="N263" s="365"/>
    </row>
    <row r="264" spans="1:14" ht="12.75">
      <c r="A264" s="260"/>
      <c r="B264" s="268"/>
      <c r="C264" s="139"/>
      <c r="D264" s="139"/>
      <c r="E264" s="139"/>
      <c r="F264" s="139"/>
      <c r="G264" s="139"/>
      <c r="H264" s="139"/>
      <c r="I264" s="139"/>
      <c r="J264" s="139"/>
      <c r="K264" s="139"/>
      <c r="L264" s="139"/>
      <c r="M264" s="139"/>
      <c r="N264" s="139"/>
    </row>
    <row r="265" spans="1:14" ht="12.75">
      <c r="A265" s="260" t="s">
        <v>206</v>
      </c>
      <c r="B265" s="266" t="s">
        <v>1</v>
      </c>
      <c r="C265" s="139"/>
      <c r="D265" s="139"/>
      <c r="E265" s="139"/>
      <c r="F265" s="139"/>
      <c r="G265" s="139"/>
      <c r="H265" s="139"/>
      <c r="I265" s="139"/>
      <c r="J265" s="139"/>
      <c r="K265" s="139"/>
      <c r="L265" s="139"/>
      <c r="M265" s="139"/>
      <c r="N265" s="139"/>
    </row>
    <row r="266" spans="1:14" ht="12.75">
      <c r="A266" s="260"/>
      <c r="B266" s="365" t="s">
        <v>840</v>
      </c>
      <c r="C266" s="365"/>
      <c r="D266" s="365"/>
      <c r="E266" s="365"/>
      <c r="F266" s="365"/>
      <c r="G266" s="365"/>
      <c r="H266" s="365"/>
      <c r="I266" s="365"/>
      <c r="J266" s="365"/>
      <c r="K266" s="365"/>
      <c r="L266" s="365"/>
      <c r="M266" s="365"/>
      <c r="N266" s="365"/>
    </row>
    <row r="267" spans="1:14" ht="12.75">
      <c r="A267" s="260"/>
      <c r="B267" s="365"/>
      <c r="C267" s="365"/>
      <c r="D267" s="365"/>
      <c r="E267" s="365"/>
      <c r="F267" s="365"/>
      <c r="G267" s="365"/>
      <c r="H267" s="365"/>
      <c r="I267" s="365"/>
      <c r="J267" s="365"/>
      <c r="K267" s="365"/>
      <c r="L267" s="365"/>
      <c r="M267" s="365"/>
      <c r="N267" s="365"/>
    </row>
    <row r="268" spans="1:14" ht="12.75">
      <c r="A268" s="260"/>
      <c r="B268" s="365"/>
      <c r="C268" s="365"/>
      <c r="D268" s="365"/>
      <c r="E268" s="365"/>
      <c r="F268" s="365"/>
      <c r="G268" s="365"/>
      <c r="H268" s="365"/>
      <c r="I268" s="365"/>
      <c r="J268" s="365"/>
      <c r="K268" s="365"/>
      <c r="L268" s="365"/>
      <c r="M268" s="365"/>
      <c r="N268" s="365"/>
    </row>
    <row r="269" spans="1:14" ht="12.75">
      <c r="A269" s="260"/>
      <c r="B269" s="268"/>
      <c r="C269" s="139"/>
      <c r="D269" s="139"/>
      <c r="E269" s="139"/>
      <c r="F269" s="139"/>
      <c r="G269" s="139"/>
      <c r="H269" s="139"/>
      <c r="I269" s="139"/>
      <c r="J269" s="139"/>
      <c r="K269" s="139"/>
      <c r="L269" s="139"/>
      <c r="M269" s="139"/>
      <c r="N269" s="139"/>
    </row>
    <row r="270" spans="1:14" ht="12.75">
      <c r="A270" s="260" t="s">
        <v>206</v>
      </c>
      <c r="B270" s="266" t="s">
        <v>628</v>
      </c>
      <c r="C270" s="139"/>
      <c r="D270" s="139"/>
      <c r="E270" s="139"/>
      <c r="F270" s="139"/>
      <c r="G270" s="139"/>
      <c r="H270" s="139"/>
      <c r="I270" s="139"/>
      <c r="J270" s="139"/>
      <c r="K270" s="139"/>
      <c r="L270" s="139"/>
      <c r="M270" s="139"/>
      <c r="N270" s="139"/>
    </row>
    <row r="271" spans="1:14" ht="12.75">
      <c r="A271" s="260"/>
      <c r="B271" s="365" t="s">
        <v>841</v>
      </c>
      <c r="C271" s="365"/>
      <c r="D271" s="365"/>
      <c r="E271" s="365"/>
      <c r="F271" s="365"/>
      <c r="G271" s="365"/>
      <c r="H271" s="365"/>
      <c r="I271" s="365"/>
      <c r="J271" s="365"/>
      <c r="K271" s="365"/>
      <c r="L271" s="365"/>
      <c r="M271" s="365"/>
      <c r="N271" s="365"/>
    </row>
    <row r="272" spans="1:14" ht="12.75">
      <c r="A272" s="260"/>
      <c r="B272" s="365"/>
      <c r="C272" s="365"/>
      <c r="D272" s="365"/>
      <c r="E272" s="365"/>
      <c r="F272" s="365"/>
      <c r="G272" s="365"/>
      <c r="H272" s="365"/>
      <c r="I272" s="365"/>
      <c r="J272" s="365"/>
      <c r="K272" s="365"/>
      <c r="L272" s="365"/>
      <c r="M272" s="365"/>
      <c r="N272" s="365"/>
    </row>
    <row r="273" spans="1:14" ht="12.75">
      <c r="A273" s="260"/>
      <c r="B273" s="268"/>
      <c r="C273" s="139"/>
      <c r="D273" s="139"/>
      <c r="E273" s="139"/>
      <c r="F273" s="139"/>
      <c r="G273" s="139"/>
      <c r="H273" s="139"/>
      <c r="I273" s="139"/>
      <c r="J273" s="139"/>
      <c r="K273" s="139"/>
      <c r="L273" s="139"/>
      <c r="M273" s="139"/>
      <c r="N273" s="139"/>
    </row>
    <row r="274" spans="1:14" ht="12.75">
      <c r="A274" s="260"/>
      <c r="B274" s="268"/>
      <c r="C274" s="139"/>
      <c r="D274" s="139"/>
      <c r="E274" s="139"/>
      <c r="F274" s="139"/>
      <c r="G274" s="139"/>
      <c r="H274" s="139"/>
      <c r="I274" s="139"/>
      <c r="J274" s="139"/>
      <c r="K274" s="139"/>
      <c r="L274" s="139"/>
      <c r="M274" s="139"/>
      <c r="N274" s="139"/>
    </row>
    <row r="275" spans="1:14" ht="12.75">
      <c r="A275" s="138"/>
      <c r="B275" s="138"/>
      <c r="C275" s="138"/>
      <c r="D275" s="138"/>
      <c r="E275" s="138"/>
      <c r="F275" s="138"/>
      <c r="G275" s="138"/>
      <c r="H275" s="138"/>
      <c r="I275" s="138"/>
      <c r="J275" s="138"/>
      <c r="K275" s="138"/>
      <c r="L275" s="138"/>
      <c r="M275" s="138"/>
      <c r="N275" s="138"/>
    </row>
    <row r="276" spans="1:14" ht="12.75">
      <c r="A276" s="138"/>
      <c r="B276" s="138"/>
      <c r="C276" s="138"/>
      <c r="D276" s="138"/>
      <c r="E276" s="138"/>
      <c r="F276" s="138"/>
      <c r="G276" s="138"/>
      <c r="H276" s="138"/>
      <c r="I276" s="138"/>
      <c r="J276" s="138"/>
      <c r="K276" s="138"/>
      <c r="L276" s="138"/>
      <c r="M276" s="138"/>
      <c r="N276" s="138"/>
    </row>
    <row r="277" spans="1:14" ht="12.75">
      <c r="A277" s="138"/>
      <c r="B277" s="138"/>
      <c r="C277" s="138"/>
      <c r="D277" s="138"/>
      <c r="E277" s="138"/>
      <c r="F277" s="138"/>
      <c r="G277" s="138"/>
      <c r="H277" s="138"/>
      <c r="I277" s="138"/>
      <c r="J277" s="138"/>
      <c r="K277" s="138"/>
      <c r="L277" s="138"/>
      <c r="M277" s="138"/>
      <c r="N277" s="138"/>
    </row>
    <row r="278" spans="1:14" ht="12.75">
      <c r="A278" s="138"/>
      <c r="B278" s="138"/>
      <c r="C278" s="138"/>
      <c r="D278" s="138"/>
      <c r="E278" s="138"/>
      <c r="F278" s="138"/>
      <c r="G278" s="138"/>
      <c r="H278" s="138"/>
      <c r="I278" s="138"/>
      <c r="J278" s="138"/>
      <c r="K278" s="138"/>
      <c r="L278" s="138"/>
      <c r="M278" s="138"/>
      <c r="N278" s="138"/>
    </row>
  </sheetData>
  <mergeCells count="86">
    <mergeCell ref="H108:J108"/>
    <mergeCell ref="H109:J109"/>
    <mergeCell ref="D110:G110"/>
    <mergeCell ref="H110:J110"/>
    <mergeCell ref="D111:G111"/>
    <mergeCell ref="H111:J111"/>
    <mergeCell ref="B121:C121"/>
    <mergeCell ref="D108:G108"/>
    <mergeCell ref="D109:G109"/>
    <mergeCell ref="D112:G112"/>
    <mergeCell ref="D113:G113"/>
    <mergeCell ref="D114:G114"/>
    <mergeCell ref="D115:G115"/>
    <mergeCell ref="D116:G116"/>
    <mergeCell ref="D117:G117"/>
    <mergeCell ref="D118:G118"/>
    <mergeCell ref="D119:G119"/>
    <mergeCell ref="D120:G120"/>
    <mergeCell ref="D121:G121"/>
    <mergeCell ref="B108:C108"/>
    <mergeCell ref="B109:C109"/>
    <mergeCell ref="B110:C110"/>
    <mergeCell ref="B111:C111"/>
    <mergeCell ref="B112:C112"/>
    <mergeCell ref="B252:N253"/>
    <mergeCell ref="B256:N257"/>
    <mergeCell ref="B260:N263"/>
    <mergeCell ref="H116:J116"/>
    <mergeCell ref="H113:J113"/>
    <mergeCell ref="H114:J114"/>
    <mergeCell ref="A125:N130"/>
    <mergeCell ref="A132:N136"/>
    <mergeCell ref="H121:J121"/>
    <mergeCell ref="H119:J119"/>
    <mergeCell ref="H120:J120"/>
    <mergeCell ref="B113:C113"/>
    <mergeCell ref="B114:C114"/>
    <mergeCell ref="B115:C115"/>
    <mergeCell ref="B266:N268"/>
    <mergeCell ref="B271:N272"/>
    <mergeCell ref="B229:N230"/>
    <mergeCell ref="B233:N235"/>
    <mergeCell ref="B238:N240"/>
    <mergeCell ref="B243:N244"/>
    <mergeCell ref="B247:N249"/>
    <mergeCell ref="B116:C116"/>
    <mergeCell ref="B117:C117"/>
    <mergeCell ref="B118:C118"/>
    <mergeCell ref="B119:C119"/>
    <mergeCell ref="B120:C120"/>
    <mergeCell ref="B225:N226"/>
    <mergeCell ref="A143:N147"/>
    <mergeCell ref="A150:N156"/>
    <mergeCell ref="B161:N162"/>
    <mergeCell ref="B168:N168"/>
    <mergeCell ref="B171:N174"/>
    <mergeCell ref="B177:N179"/>
    <mergeCell ref="B182:N185"/>
    <mergeCell ref="B188:N190"/>
    <mergeCell ref="B193:N197"/>
    <mergeCell ref="B200:N204"/>
    <mergeCell ref="B207:N209"/>
    <mergeCell ref="B212:N213"/>
    <mergeCell ref="B216:N218"/>
    <mergeCell ref="B221:N222"/>
    <mergeCell ref="A138:N140"/>
    <mergeCell ref="B46:N50"/>
    <mergeCell ref="A58:N59"/>
    <mergeCell ref="A60:N61"/>
    <mergeCell ref="A62:N63"/>
    <mergeCell ref="A64:N65"/>
    <mergeCell ref="B69:N70"/>
    <mergeCell ref="B73:N74"/>
    <mergeCell ref="B77:N79"/>
    <mergeCell ref="B82:N88"/>
    <mergeCell ref="B98:N98"/>
    <mergeCell ref="B101:N104"/>
    <mergeCell ref="H112:J112"/>
    <mergeCell ref="H117:J117"/>
    <mergeCell ref="H118:J118"/>
    <mergeCell ref="H115:J115"/>
    <mergeCell ref="B12:N17"/>
    <mergeCell ref="B20:N25"/>
    <mergeCell ref="B28:N31"/>
    <mergeCell ref="B34:N38"/>
    <mergeCell ref="B41:N43"/>
  </mergeCells>
  <printOptions horizontalCentered="1"/>
  <pageMargins left="0.5" right="0.5" top="2.5" bottom="0.25" header="1" footer="0.5"/>
  <pageSetup fitToHeight="0" orientation="landscape" scale="91" r:id="rId1"/>
  <headerFooter alignWithMargins="0">
    <oddHeader>&amp;C&amp;B
2022 RATE CASE
ONCOR ELECTRIC DELIVERY COMPANY LLC
II-D-3.7  GENERAL EMPLOYEE BENEFIT INFORMATION
TEST YEAR ENDING DECEMBER 31, 2021
SPONSORS: W. ALAN LEDBETTER/ A. GUILLORY&amp;R&amp;"Arial,Bold"Schedule &amp;A
Page &amp;P of &amp;N</oddHeader>
  </headerFooter>
  <rowBreaks count="8" manualBreakCount="8">
    <brk id="32" max="16383" man="1"/>
    <brk id="66" max="16383" man="1"/>
    <brk id="96" max="16383" man="1"/>
    <brk id="123" max="16383" man="1"/>
    <brk id="148" max="16383" man="1"/>
    <brk id="180" max="16383" man="1"/>
    <brk id="214" max="16383" man="1"/>
    <brk id="245" max="16383" man="1"/>
  </rowBreak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7">
    <tabColor rgb="FFFF0000"/>
    <pageSetUpPr fitToPage="1"/>
  </sheetPr>
  <dimension ref="A1:R170"/>
  <sheetViews>
    <sheetView workbookViewId="0" topLeftCell="A1">
      <pane ySplit="15" topLeftCell="A16" activePane="bottomLeft" state="frozen"/>
      <selection pane="topLeft" activeCell="Q42" sqref="Q42"/>
      <selection pane="bottomLeft" activeCell="A16" sqref="A16"/>
    </sheetView>
  </sheetViews>
  <sheetFormatPr defaultColWidth="9.14428571428571" defaultRowHeight="12.75"/>
  <cols>
    <col min="1" max="1" width="9.14285714285714" style="138"/>
    <col min="2" max="2" width="14.7142857142857" style="138" bestFit="1" customWidth="1"/>
    <col min="3" max="3" width="1.71428571428571" style="138" customWidth="1"/>
    <col min="4" max="15" width="14.7142857142857" style="138" customWidth="1"/>
    <col min="16" max="17" width="1.71428571428571" style="138" customWidth="1"/>
    <col min="18" max="16384" width="9.14285714285714" style="138"/>
  </cols>
  <sheetData>
    <row r="1" spans="1:1" ht="12.75">
      <c r="A1" s="163" t="str">
        <f>+'[3]Input Data'!$A$9</f>
        <v>2022 RATE CASE</v>
      </c>
    </row>
    <row r="2" spans="1:1" ht="12.75">
      <c r="A2" s="8" t="str">
        <f>+'[3]Input Data'!$A$2</f>
        <v>ONCOR ELECTRIC DELIVERY COMPANY LLC</v>
      </c>
    </row>
    <row r="3" spans="1:1" ht="12.75">
      <c r="A3" s="7" t="str">
        <f>CONCATENATE('[3]Schedule Sponsors'!$A$75,'[3]Schedule Sponsors'!$B$75)</f>
        <v>II-D-3.7  GENERAL EMPLOYEE BENEFIT INFORMATION</v>
      </c>
    </row>
    <row r="4" spans="1:1" ht="12.75">
      <c r="A4" s="63" t="str">
        <f>+'[3]Input Data'!$A$4</f>
        <v>TEST YEAR ENDING DECEMBER 31, 2021</v>
      </c>
    </row>
    <row r="5" spans="1:1" ht="12.75">
      <c r="A5" s="7" t="str">
        <f>CONCATENATE("SPONSORS: ",'[3]Schedule Sponsors'!$D$75)</f>
        <v>SPONSORS: W. ALAN LEDBETTER/ A. GUILLORY</v>
      </c>
    </row>
    <row r="11" spans="4:15" ht="13.5" thickBot="1">
      <c r="D11" s="363" t="s">
        <v>420</v>
      </c>
      <c r="E11" s="362"/>
      <c r="F11" s="362"/>
      <c r="G11" s="362"/>
      <c r="H11" s="362"/>
      <c r="I11" s="362"/>
      <c r="J11" s="362"/>
      <c r="K11" s="362"/>
      <c r="L11" s="362"/>
      <c r="M11" s="362"/>
      <c r="N11" s="362"/>
      <c r="O11" s="362"/>
    </row>
    <row r="12" spans="15:15" ht="12.75">
      <c r="O12" s="61"/>
    </row>
    <row r="13" spans="1:15" ht="12.75">
      <c r="A13" s="18" t="s">
        <v>87</v>
      </c>
      <c r="B13" s="18"/>
      <c r="D13" s="209" t="s">
        <v>216</v>
      </c>
      <c r="E13" s="209" t="s">
        <v>53</v>
      </c>
      <c r="F13" s="18"/>
      <c r="G13" s="18" t="s">
        <v>716</v>
      </c>
      <c r="H13" s="18" t="s">
        <v>722</v>
      </c>
      <c r="I13" s="18" t="s">
        <v>717</v>
      </c>
      <c r="J13" s="18"/>
      <c r="K13" s="18" t="s">
        <v>716</v>
      </c>
      <c r="L13" s="18" t="s">
        <v>717</v>
      </c>
      <c r="M13" s="18"/>
      <c r="N13" s="18"/>
      <c r="O13" s="18"/>
    </row>
    <row r="14" spans="1:15" ht="12.75">
      <c r="A14" s="208" t="s">
        <v>89</v>
      </c>
      <c r="B14" s="208" t="s">
        <v>64</v>
      </c>
      <c r="D14" s="202" t="s">
        <v>219</v>
      </c>
      <c r="E14" s="202" t="s">
        <v>218</v>
      </c>
      <c r="F14" s="202" t="s">
        <v>294</v>
      </c>
      <c r="G14" s="202" t="s">
        <v>294</v>
      </c>
      <c r="H14" s="202" t="s">
        <v>723</v>
      </c>
      <c r="I14" s="202" t="s">
        <v>294</v>
      </c>
      <c r="J14" s="202" t="s">
        <v>295</v>
      </c>
      <c r="K14" s="202" t="s">
        <v>295</v>
      </c>
      <c r="L14" s="202" t="s">
        <v>295</v>
      </c>
      <c r="M14" s="202" t="s">
        <v>283</v>
      </c>
      <c r="N14" s="202" t="s">
        <v>126</v>
      </c>
      <c r="O14" s="202" t="s">
        <v>216</v>
      </c>
    </row>
    <row r="15" spans="1:15" ht="12.75">
      <c r="A15" s="18"/>
      <c r="B15" s="16" t="s">
        <v>44</v>
      </c>
      <c r="D15" s="16" t="s">
        <v>45</v>
      </c>
      <c r="E15" s="16" t="s">
        <v>74</v>
      </c>
      <c r="F15" s="16" t="s">
        <v>75</v>
      </c>
      <c r="G15" s="203" t="s">
        <v>76</v>
      </c>
      <c r="H15" s="203" t="s">
        <v>77</v>
      </c>
      <c r="I15" s="203" t="s">
        <v>78</v>
      </c>
      <c r="J15" s="203" t="s">
        <v>79</v>
      </c>
      <c r="K15" s="203" t="s">
        <v>80</v>
      </c>
      <c r="L15" s="203" t="s">
        <v>81</v>
      </c>
      <c r="M15" s="203" t="s">
        <v>82</v>
      </c>
      <c r="N15" s="203" t="s">
        <v>83</v>
      </c>
      <c r="O15" s="203" t="s">
        <v>84</v>
      </c>
    </row>
    <row r="17" spans="1:18" ht="12.75">
      <c r="A17" s="146">
        <v>1</v>
      </c>
      <c r="B17" s="147" t="str">
        <f>+'II-D-3.2'!B15</f>
        <v>January 2021</v>
      </c>
      <c r="D17" s="148">
        <v>226677.67000000004</v>
      </c>
      <c r="E17" s="213" t="s">
        <v>163</v>
      </c>
      <c r="F17" s="148">
        <f>+$D17*'[5]II-F Alloc_Factor'!E$17</f>
        <v>49914.777530690633</v>
      </c>
      <c r="G17" s="148">
        <f>+$D17*'[5]II-F Alloc_Factor'!F$17</f>
        <v>0</v>
      </c>
      <c r="H17" s="148">
        <f>+$D17*'[5]II-F Alloc_Factor'!G$17</f>
        <v>0</v>
      </c>
      <c r="I17" s="148">
        <f>+$D17*'[5]II-F Alloc_Factor'!H$17</f>
        <v>49914.777530690633</v>
      </c>
      <c r="J17" s="148">
        <f>+$D17*'[5]II-F Alloc_Factor'!I$17</f>
        <v>137706.57371323294</v>
      </c>
      <c r="K17" s="148">
        <f>+$D17*'[5]II-F Alloc_Factor'!J$17</f>
        <v>0</v>
      </c>
      <c r="L17" s="148">
        <f>+$D17*'[5]II-F Alloc_Factor'!K$17</f>
        <v>137706.57371323294</v>
      </c>
      <c r="M17" s="148">
        <f>+$D17*'[5]II-F Alloc_Factor'!L$17</f>
        <v>37545.440823045799</v>
      </c>
      <c r="N17" s="148">
        <f>+$D17*'[5]II-F Alloc_Factor'!M$17</f>
        <v>1510.8779330306741</v>
      </c>
      <c r="O17" s="148">
        <f>+I17+L17+M17+N17</f>
        <v>226677.67000000004</v>
      </c>
      <c r="R17" s="138" t="b">
        <f>+D17=O17</f>
        <v>1</v>
      </c>
    </row>
    <row r="18" spans="1:18" ht="12.75">
      <c r="A18" s="146">
        <v>2</v>
      </c>
      <c r="B18" s="147" t="str">
        <f>+'II-D-3.2'!B16</f>
        <v>February 2021</v>
      </c>
      <c r="D18" s="150">
        <v>305461.53999999998</v>
      </c>
      <c r="E18" s="213" t="s">
        <v>163</v>
      </c>
      <c r="F18" s="150">
        <f>+$D18*'[5]II-F Alloc_Factor'!E$17</f>
        <v>67263.108947970715</v>
      </c>
      <c r="G18" s="150">
        <f>+$D18*'[5]II-F Alloc_Factor'!F$17</f>
        <v>0</v>
      </c>
      <c r="H18" s="150">
        <f>+$D18*'[5]II-F Alloc_Factor'!G$17</f>
        <v>0</v>
      </c>
      <c r="I18" s="150">
        <f>+$D18*'[5]II-F Alloc_Factor'!H$17</f>
        <v>67263.108947970715</v>
      </c>
      <c r="J18" s="150">
        <f>+$D18*'[5]II-F Alloc_Factor'!I$17</f>
        <v>185567.73622460314</v>
      </c>
      <c r="K18" s="150">
        <f>+$D18*'[5]II-F Alloc_Factor'!J$17</f>
        <v>0</v>
      </c>
      <c r="L18" s="150">
        <f>+$D18*'[5]II-F Alloc_Factor'!K$17</f>
        <v>185567.73622460314</v>
      </c>
      <c r="M18" s="150">
        <f>+$D18*'[5]II-F Alloc_Factor'!L$17</f>
        <v>50594.697632927113</v>
      </c>
      <c r="N18" s="150">
        <f>+$D18*'[5]II-F Alloc_Factor'!M$17</f>
        <v>2035.9971944989838</v>
      </c>
      <c r="O18" s="150">
        <f t="shared" si="0" ref="O18:O28">+I18+L18+M18+N18</f>
        <v>305461.53999999998</v>
      </c>
      <c r="R18" s="138" t="b">
        <f t="shared" si="1" ref="R18:R28">+D18=O18</f>
        <v>1</v>
      </c>
    </row>
    <row r="19" spans="1:18" ht="12.75">
      <c r="A19" s="146">
        <v>3</v>
      </c>
      <c r="B19" s="147" t="str">
        <f>+'II-D-3.2'!B17</f>
        <v>March 2021</v>
      </c>
      <c r="D19" s="150">
        <v>460624.19000000006</v>
      </c>
      <c r="E19" s="213" t="s">
        <v>163</v>
      </c>
      <c r="F19" s="150">
        <f>+$D19*'[5]II-F Alloc_Factor'!E$17</f>
        <v>101430.1672021976</v>
      </c>
      <c r="G19" s="150">
        <f>+$D19*'[5]II-F Alloc_Factor'!F$17</f>
        <v>0</v>
      </c>
      <c r="H19" s="150">
        <f>+$D19*'[5]II-F Alloc_Factor'!G$17</f>
        <v>0</v>
      </c>
      <c r="I19" s="150">
        <f>+$D19*'[5]II-F Alloc_Factor'!H$17</f>
        <v>101430.1672021976</v>
      </c>
      <c r="J19" s="150">
        <f>+$D19*'[5]II-F Alloc_Factor'!I$17</f>
        <v>279828.97024807608</v>
      </c>
      <c r="K19" s="150">
        <f>+$D19*'[5]II-F Alloc_Factor'!J$17</f>
        <v>0</v>
      </c>
      <c r="L19" s="150">
        <f>+$D19*'[5]II-F Alloc_Factor'!K$17</f>
        <v>279828.97024807608</v>
      </c>
      <c r="M19" s="150">
        <f>+$D19*'[5]II-F Alloc_Factor'!L$17</f>
        <v>76294.847513248227</v>
      </c>
      <c r="N19" s="150">
        <f>+$D19*'[5]II-F Alloc_Factor'!M$17</f>
        <v>3070.2050364781339</v>
      </c>
      <c r="O19" s="150">
        <f t="shared" si="0"/>
        <v>460624.19</v>
      </c>
      <c r="R19" s="138" t="b">
        <f t="shared" si="1"/>
        <v>1</v>
      </c>
    </row>
    <row r="20" spans="1:18" ht="12.75">
      <c r="A20" s="146">
        <v>4</v>
      </c>
      <c r="B20" s="147" t="str">
        <f>+'II-D-3.2'!B18</f>
        <v>April 2021</v>
      </c>
      <c r="D20" s="150">
        <v>239080.54999999999</v>
      </c>
      <c r="E20" s="213" t="s">
        <v>163</v>
      </c>
      <c r="F20" s="150">
        <f>+$D20*'[5]II-F Alloc_Factor'!E$17</f>
        <v>52645.911108779066</v>
      </c>
      <c r="G20" s="150">
        <f>+$D20*'[5]II-F Alloc_Factor'!F$17</f>
        <v>0</v>
      </c>
      <c r="H20" s="150">
        <f>+$D20*'[5]II-F Alloc_Factor'!G$17</f>
        <v>0</v>
      </c>
      <c r="I20" s="150">
        <f>+$D20*'[5]II-F Alloc_Factor'!H$17</f>
        <v>52645.911108779066</v>
      </c>
      <c r="J20" s="150">
        <f>+$D20*'[5]II-F Alloc_Factor'!I$17</f>
        <v>145241.31725006379</v>
      </c>
      <c r="K20" s="150">
        <f>+$D20*'[5]II-F Alloc_Factor'!J$17</f>
        <v>0</v>
      </c>
      <c r="L20" s="150">
        <f>+$D20*'[5]II-F Alloc_Factor'!K$17</f>
        <v>145241.31725006379</v>
      </c>
      <c r="M20" s="150">
        <f>+$D20*'[5]II-F Alloc_Factor'!L$17</f>
        <v>39599.774613733411</v>
      </c>
      <c r="N20" s="150">
        <f>+$D20*'[5]II-F Alloc_Factor'!M$17</f>
        <v>1593.5470274237275</v>
      </c>
      <c r="O20" s="150">
        <f t="shared" si="0"/>
        <v>239080.54999999996</v>
      </c>
      <c r="R20" s="138" t="b">
        <f t="shared" si="1"/>
        <v>1</v>
      </c>
    </row>
    <row r="21" spans="1:18" ht="12.75">
      <c r="A21" s="146">
        <v>5</v>
      </c>
      <c r="B21" s="147" t="str">
        <f>+'II-D-3.2'!B19</f>
        <v>May 2021</v>
      </c>
      <c r="D21" s="150">
        <v>329635.77999999997</v>
      </c>
      <c r="E21" s="213" t="s">
        <v>163</v>
      </c>
      <c r="F21" s="150">
        <f>+$D21*'[5]II-F Alloc_Factor'!E$17</f>
        <v>72586.314412247477</v>
      </c>
      <c r="G21" s="150">
        <f>+$D21*'[5]II-F Alloc_Factor'!F$17</f>
        <v>0</v>
      </c>
      <c r="H21" s="150">
        <f>+$D21*'[5]II-F Alloc_Factor'!G$17</f>
        <v>0</v>
      </c>
      <c r="I21" s="150">
        <f>+$D21*'[5]II-F Alloc_Factor'!H$17</f>
        <v>72586.314412247477</v>
      </c>
      <c r="J21" s="150">
        <f>+$D21*'[5]II-F Alloc_Factor'!I$17</f>
        <v>200253.57520698453</v>
      </c>
      <c r="K21" s="150">
        <f>+$D21*'[5]II-F Alloc_Factor'!J$17</f>
        <v>0</v>
      </c>
      <c r="L21" s="150">
        <f>+$D21*'[5]II-F Alloc_Factor'!K$17</f>
        <v>200253.57520698453</v>
      </c>
      <c r="M21" s="150">
        <f>+$D21*'[5]II-F Alloc_Factor'!L$17</f>
        <v>54598.764276818882</v>
      </c>
      <c r="N21" s="150">
        <f>+$D21*'[5]II-F Alloc_Factor'!M$17</f>
        <v>2197.1261039490737</v>
      </c>
      <c r="O21" s="150">
        <f t="shared" si="0"/>
        <v>329635.78000000003</v>
      </c>
      <c r="R21" s="138" t="b">
        <f t="shared" si="1"/>
        <v>1</v>
      </c>
    </row>
    <row r="22" spans="1:18" ht="12.75">
      <c r="A22" s="146">
        <v>6</v>
      </c>
      <c r="B22" s="147" t="str">
        <f>+'II-D-3.2'!B20</f>
        <v>June 2021</v>
      </c>
      <c r="D22" s="150">
        <v>363291.23999999999</v>
      </c>
      <c r="E22" s="213" t="s">
        <v>163</v>
      </c>
      <c r="F22" s="150">
        <f>+$D22*'[5]II-F Alloc_Factor'!E$17</f>
        <v>79997.299352197922</v>
      </c>
      <c r="G22" s="150">
        <f>+$D22*'[5]II-F Alloc_Factor'!F$17</f>
        <v>0</v>
      </c>
      <c r="H22" s="150">
        <f>+$D22*'[5]II-F Alloc_Factor'!G$17</f>
        <v>0</v>
      </c>
      <c r="I22" s="150">
        <f>+$D22*'[5]II-F Alloc_Factor'!H$17</f>
        <v>79997.299352197922</v>
      </c>
      <c r="J22" s="150">
        <f>+$D22*'[5]II-F Alloc_Factor'!I$17</f>
        <v>220699.25070445531</v>
      </c>
      <c r="K22" s="150">
        <f>+$D22*'[5]II-F Alloc_Factor'!J$17</f>
        <v>0</v>
      </c>
      <c r="L22" s="150">
        <f>+$D22*'[5]II-F Alloc_Factor'!K$17</f>
        <v>220699.25070445531</v>
      </c>
      <c r="M22" s="150">
        <f>+$D22*'[5]II-F Alloc_Factor'!L$17</f>
        <v>60173.239617960273</v>
      </c>
      <c r="N22" s="150">
        <f>+$D22*'[5]II-F Alloc_Factor'!M$17</f>
        <v>2421.4503253864855</v>
      </c>
      <c r="O22" s="150">
        <f t="shared" si="0"/>
        <v>363291.23999999999</v>
      </c>
      <c r="R22" s="138" t="b">
        <f t="shared" si="1"/>
        <v>1</v>
      </c>
    </row>
    <row r="23" spans="1:18" ht="12.75">
      <c r="A23" s="146">
        <v>7</v>
      </c>
      <c r="B23" s="147" t="str">
        <f>+'II-D-3.2'!B21</f>
        <v>July 2021</v>
      </c>
      <c r="D23" s="150">
        <v>336126.85999999999</v>
      </c>
      <c r="E23" s="213" t="s">
        <v>163</v>
      </c>
      <c r="F23" s="150">
        <f>+$D23*'[5]II-F Alloc_Factor'!E$17</f>
        <v>74015.660382381699</v>
      </c>
      <c r="G23" s="150">
        <f>+$D23*'[5]II-F Alloc_Factor'!F$17</f>
        <v>0</v>
      </c>
      <c r="H23" s="150">
        <f>+$D23*'[5]II-F Alloc_Factor'!G$17</f>
        <v>0</v>
      </c>
      <c r="I23" s="150">
        <f>+$D23*'[5]II-F Alloc_Factor'!H$17</f>
        <v>74015.660382381699</v>
      </c>
      <c r="J23" s="150">
        <f>+$D23*'[5]II-F Alloc_Factor'!I$17</f>
        <v>204196.90313380898</v>
      </c>
      <c r="K23" s="150">
        <f>+$D23*'[5]II-F Alloc_Factor'!J$17</f>
        <v>0</v>
      </c>
      <c r="L23" s="150">
        <f>+$D23*'[5]II-F Alloc_Factor'!K$17</f>
        <v>204196.90313380898</v>
      </c>
      <c r="M23" s="150">
        <f>+$D23*'[5]II-F Alloc_Factor'!L$17</f>
        <v>55673.905291007257</v>
      </c>
      <c r="N23" s="150">
        <f>+$D23*'[5]II-F Alloc_Factor'!M$17</f>
        <v>2240.3911928020552</v>
      </c>
      <c r="O23" s="150">
        <f t="shared" si="0"/>
        <v>336126.85999999999</v>
      </c>
      <c r="R23" s="138" t="b">
        <f t="shared" si="1"/>
        <v>1</v>
      </c>
    </row>
    <row r="24" spans="1:18" ht="12.75">
      <c r="A24" s="146">
        <v>8</v>
      </c>
      <c r="B24" s="147" t="str">
        <f>+'II-D-3.2'!B22</f>
        <v>August 2021</v>
      </c>
      <c r="D24" s="150">
        <v>409393.20999999996</v>
      </c>
      <c r="E24" s="213" t="s">
        <v>163</v>
      </c>
      <c r="F24" s="150">
        <f>+$D24*'[5]II-F Alloc_Factor'!E$17</f>
        <v>90149.02526448814</v>
      </c>
      <c r="G24" s="150">
        <f>+$D24*'[5]II-F Alloc_Factor'!F$17</f>
        <v>0</v>
      </c>
      <c r="H24" s="150">
        <f>+$D24*'[5]II-F Alloc_Factor'!G$17</f>
        <v>0</v>
      </c>
      <c r="I24" s="150">
        <f>+$D24*'[5]II-F Alloc_Factor'!H$17</f>
        <v>90149.02526448814</v>
      </c>
      <c r="J24" s="150">
        <f>+$D24*'[5]II-F Alloc_Factor'!I$17</f>
        <v>248706.1749424283</v>
      </c>
      <c r="K24" s="150">
        <f>+$D24*'[5]II-F Alloc_Factor'!J$17</f>
        <v>0</v>
      </c>
      <c r="L24" s="150">
        <f>+$D24*'[5]II-F Alloc_Factor'!K$17</f>
        <v>248706.1749424283</v>
      </c>
      <c r="M24" s="150">
        <f>+$D24*'[5]II-F Alloc_Factor'!L$17</f>
        <v>67809.275344200229</v>
      </c>
      <c r="N24" s="150">
        <f>+$D24*'[5]II-F Alloc_Factor'!M$17</f>
        <v>2728.7344488832646</v>
      </c>
      <c r="O24" s="150">
        <f t="shared" si="0"/>
        <v>409393.2099999999</v>
      </c>
      <c r="R24" s="138" t="b">
        <f t="shared" si="1"/>
        <v>1</v>
      </c>
    </row>
    <row r="25" spans="1:18" ht="12.75">
      <c r="A25" s="146">
        <v>9</v>
      </c>
      <c r="B25" s="147" t="str">
        <f>+'II-D-3.2'!B23</f>
        <v>September 2021</v>
      </c>
      <c r="D25" s="150">
        <v>401699.16999999998</v>
      </c>
      <c r="E25" s="213" t="s">
        <v>163</v>
      </c>
      <c r="F25" s="150">
        <f>+$D25*'[5]II-F Alloc_Factor'!E$17</f>
        <v>88454.785620538067</v>
      </c>
      <c r="G25" s="150">
        <f>+$D25*'[5]II-F Alloc_Factor'!F$17</f>
        <v>0</v>
      </c>
      <c r="H25" s="150">
        <f>+$D25*'[5]II-F Alloc_Factor'!G$17</f>
        <v>0</v>
      </c>
      <c r="I25" s="150">
        <f>+$D25*'[5]II-F Alloc_Factor'!H$17</f>
        <v>88454.785620538067</v>
      </c>
      <c r="J25" s="150">
        <f>+$D25*'[5]II-F Alloc_Factor'!I$17</f>
        <v>244032.04940367295</v>
      </c>
      <c r="K25" s="150">
        <f>+$D25*'[5]II-F Alloc_Factor'!J$17</f>
        <v>0</v>
      </c>
      <c r="L25" s="150">
        <f>+$D25*'[5]II-F Alloc_Factor'!K$17</f>
        <v>244032.04940367295</v>
      </c>
      <c r="M25" s="150">
        <f>+$D25*'[5]II-F Alloc_Factor'!L$17</f>
        <v>66534.883722342871</v>
      </c>
      <c r="N25" s="150">
        <f>+$D25*'[5]II-F Alloc_Factor'!M$17</f>
        <v>2677.4512534460814</v>
      </c>
      <c r="O25" s="150">
        <f t="shared" si="0"/>
        <v>401699.16999999998</v>
      </c>
      <c r="R25" s="138" t="b">
        <f t="shared" si="1"/>
        <v>1</v>
      </c>
    </row>
    <row r="26" spans="1:18" ht="12.75">
      <c r="A26" s="146">
        <v>10</v>
      </c>
      <c r="B26" s="147" t="str">
        <f>+'II-D-3.2'!B24</f>
        <v>October 2021</v>
      </c>
      <c r="D26" s="150">
        <v>236752.23000000004</v>
      </c>
      <c r="E26" s="213" t="s">
        <v>163</v>
      </c>
      <c r="F26" s="150">
        <f>+$D26*'[5]II-F Alloc_Factor'!E$17</f>
        <v>52133.211402538684</v>
      </c>
      <c r="G26" s="150">
        <f>+$D26*'[5]II-F Alloc_Factor'!F$17</f>
        <v>0</v>
      </c>
      <c r="H26" s="150">
        <f>+$D26*'[5]II-F Alloc_Factor'!G$17</f>
        <v>0</v>
      </c>
      <c r="I26" s="150">
        <f>+$D26*'[5]II-F Alloc_Factor'!H$17</f>
        <v>52133.211402538684</v>
      </c>
      <c r="J26" s="150">
        <f>+$D26*'[5]II-F Alloc_Factor'!I$17</f>
        <v>143826.86398826703</v>
      </c>
      <c r="K26" s="150">
        <f>+$D26*'[5]II-F Alloc_Factor'!J$17</f>
        <v>0</v>
      </c>
      <c r="L26" s="150">
        <f>+$D26*'[5]II-F Alloc_Factor'!K$17</f>
        <v>143826.86398826703</v>
      </c>
      <c r="M26" s="150">
        <f>+$D26*'[5]II-F Alloc_Factor'!L$17</f>
        <v>39214.126566543266</v>
      </c>
      <c r="N26" s="150">
        <f>+$D26*'[5]II-F Alloc_Factor'!M$17</f>
        <v>1578.0280426510592</v>
      </c>
      <c r="O26" s="150">
        <f t="shared" si="0"/>
        <v>236752.23000000007</v>
      </c>
      <c r="R26" s="138" t="b">
        <f t="shared" si="1"/>
        <v>1</v>
      </c>
    </row>
    <row r="27" spans="1:18" ht="12.75">
      <c r="A27" s="146">
        <v>11</v>
      </c>
      <c r="B27" s="147" t="str">
        <f>+'II-D-3.2'!B25</f>
        <v>November 2021</v>
      </c>
      <c r="D27" s="150">
        <v>403594.96000000002</v>
      </c>
      <c r="E27" s="213" t="s">
        <v>163</v>
      </c>
      <c r="F27" s="150">
        <f>+$D27*'[5]II-F Alloc_Factor'!E$17</f>
        <v>88872.241544162607</v>
      </c>
      <c r="G27" s="150">
        <f>+$D27*'[5]II-F Alloc_Factor'!F$17</f>
        <v>0</v>
      </c>
      <c r="H27" s="150">
        <f>+$D27*'[5]II-F Alloc_Factor'!G$17</f>
        <v>0</v>
      </c>
      <c r="I27" s="150">
        <f>+$D27*'[5]II-F Alloc_Factor'!H$17</f>
        <v>88872.241544162607</v>
      </c>
      <c r="J27" s="150">
        <f>+$D27*'[5]II-F Alloc_Factor'!I$17</f>
        <v>245183.7409019128</v>
      </c>
      <c r="K27" s="150">
        <f>+$D27*'[5]II-F Alloc_Factor'!J$17</f>
        <v>0</v>
      </c>
      <c r="L27" s="150">
        <f>+$D27*'[5]II-F Alloc_Factor'!K$17</f>
        <v>245183.7409019128</v>
      </c>
      <c r="M27" s="150">
        <f>+$D27*'[5]II-F Alloc_Factor'!L$17</f>
        <v>66848.890264133792</v>
      </c>
      <c r="N27" s="150">
        <f>+$D27*'[5]II-F Alloc_Factor'!M$17</f>
        <v>2690.0872897908184</v>
      </c>
      <c r="O27" s="150">
        <f t="shared" si="0"/>
        <v>403594.96000000002</v>
      </c>
      <c r="R27" s="138" t="b">
        <f t="shared" si="1"/>
        <v>1</v>
      </c>
    </row>
    <row r="28" spans="1:18" ht="12.75">
      <c r="A28" s="146">
        <v>12</v>
      </c>
      <c r="B28" s="147" t="str">
        <f>+'II-D-3.2'!B26</f>
        <v>December 2021</v>
      </c>
      <c r="D28" s="150">
        <v>387285.87</v>
      </c>
      <c r="E28" s="213" t="s">
        <v>163</v>
      </c>
      <c r="F28" s="150">
        <f>+$D28*'[5]II-F Alloc_Factor'!E$17</f>
        <v>85280.954413506945</v>
      </c>
      <c r="G28" s="150">
        <f>+$D28*'[5]II-F Alloc_Factor'!F$17</f>
        <v>0</v>
      </c>
      <c r="H28" s="150">
        <f>+$D28*'[5]II-F Alloc_Factor'!G$17</f>
        <v>0</v>
      </c>
      <c r="I28" s="150">
        <f>+$D28*'[5]II-F Alloc_Factor'!H$17</f>
        <v>85280.954413506945</v>
      </c>
      <c r="J28" s="150">
        <f>+$D28*'[5]II-F Alloc_Factor'!I$17</f>
        <v>235275.97669963935</v>
      </c>
      <c r="K28" s="150">
        <f>+$D28*'[5]II-F Alloc_Factor'!J$17</f>
        <v>0</v>
      </c>
      <c r="L28" s="150">
        <f>+$D28*'[5]II-F Alloc_Factor'!K$17</f>
        <v>235275.97669963935</v>
      </c>
      <c r="M28" s="150">
        <f>+$D28*'[5]II-F Alloc_Factor'!L$17</f>
        <v>64147.556809132562</v>
      </c>
      <c r="N28" s="150">
        <f>+$D28*'[5]II-F Alloc_Factor'!M$17</f>
        <v>2581.3820777211367</v>
      </c>
      <c r="O28" s="150">
        <f t="shared" si="0"/>
        <v>387285.87</v>
      </c>
      <c r="R28" s="138" t="b">
        <f t="shared" si="1"/>
        <v>1</v>
      </c>
    </row>
    <row r="29" spans="1:15" ht="12.75">
      <c r="A29" s="146">
        <v>13</v>
      </c>
      <c r="D29" s="151"/>
      <c r="E29" s="151"/>
      <c r="F29" s="151"/>
      <c r="G29" s="151"/>
      <c r="H29" s="151"/>
      <c r="I29" s="151"/>
      <c r="J29" s="151"/>
      <c r="K29" s="151"/>
      <c r="L29" s="151"/>
      <c r="M29" s="151"/>
      <c r="N29" s="151"/>
      <c r="O29" s="151"/>
    </row>
    <row r="30" spans="1:15" ht="13.5" thickBot="1">
      <c r="A30" s="146">
        <v>14</v>
      </c>
      <c r="B30" s="211" t="s">
        <v>216</v>
      </c>
      <c r="D30" s="172">
        <f t="shared" si="2" ref="D30:O30">SUM(D17:D28)</f>
        <v>4099623.27</v>
      </c>
      <c r="E30" s="228"/>
      <c r="F30" s="172">
        <f t="shared" si="2"/>
        <v>902743.45718169946</v>
      </c>
      <c r="G30" s="172">
        <f t="shared" si="2"/>
        <v>0</v>
      </c>
      <c r="H30" s="172">
        <f t="shared" si="2"/>
        <v>0</v>
      </c>
      <c r="I30" s="172">
        <f t="shared" si="2"/>
        <v>902743.45718169946</v>
      </c>
      <c r="J30" s="172">
        <f t="shared" si="2"/>
        <v>2490519.1324171452</v>
      </c>
      <c r="K30" s="172">
        <f t="shared" si="2"/>
        <v>0</v>
      </c>
      <c r="L30" s="172">
        <f t="shared" si="2"/>
        <v>2490519.1324171452</v>
      </c>
      <c r="M30" s="172">
        <f t="shared" si="2"/>
        <v>679035.40247509372</v>
      </c>
      <c r="N30" s="172">
        <f t="shared" si="2"/>
        <v>27325.277926061495</v>
      </c>
      <c r="O30" s="172">
        <f t="shared" si="2"/>
        <v>4099623.27</v>
      </c>
    </row>
    <row r="31" spans="1:5" ht="13.5" thickTop="1">
      <c r="A31" s="146"/>
      <c r="E31" s="149"/>
    </row>
    <row r="32" spans="5:5" ht="12.75">
      <c r="E32" s="149"/>
    </row>
    <row r="34" spans="4:15" ht="13.5" thickBot="1">
      <c r="D34" s="363" t="s">
        <v>423</v>
      </c>
      <c r="E34" s="362"/>
      <c r="F34" s="362"/>
      <c r="G34" s="362"/>
      <c r="H34" s="362"/>
      <c r="I34" s="362"/>
      <c r="J34" s="362"/>
      <c r="K34" s="362"/>
      <c r="L34" s="362"/>
      <c r="M34" s="362"/>
      <c r="N34" s="362"/>
      <c r="O34" s="362"/>
    </row>
    <row r="35" spans="15:15" ht="12.75">
      <c r="O35" s="61"/>
    </row>
    <row r="36" spans="1:15" ht="12.75">
      <c r="A36" s="18" t="s">
        <v>87</v>
      </c>
      <c r="B36" s="18"/>
      <c r="D36" s="209" t="s">
        <v>216</v>
      </c>
      <c r="E36" s="209" t="s">
        <v>53</v>
      </c>
      <c r="F36" s="18"/>
      <c r="G36" s="18" t="s">
        <v>716</v>
      </c>
      <c r="H36" s="18" t="s">
        <v>722</v>
      </c>
      <c r="I36" s="18" t="s">
        <v>717</v>
      </c>
      <c r="J36" s="18"/>
      <c r="K36" s="18" t="s">
        <v>716</v>
      </c>
      <c r="L36" s="18" t="s">
        <v>717</v>
      </c>
      <c r="M36" s="18"/>
      <c r="N36" s="18"/>
      <c r="O36" s="18"/>
    </row>
    <row r="37" spans="1:15" ht="12.75">
      <c r="A37" s="208" t="s">
        <v>89</v>
      </c>
      <c r="B37" s="208" t="s">
        <v>64</v>
      </c>
      <c r="D37" s="202" t="s">
        <v>219</v>
      </c>
      <c r="E37" s="202" t="s">
        <v>218</v>
      </c>
      <c r="F37" s="202" t="s">
        <v>294</v>
      </c>
      <c r="G37" s="202" t="s">
        <v>294</v>
      </c>
      <c r="H37" s="202" t="s">
        <v>723</v>
      </c>
      <c r="I37" s="202" t="s">
        <v>294</v>
      </c>
      <c r="J37" s="202" t="s">
        <v>295</v>
      </c>
      <c r="K37" s="202" t="s">
        <v>295</v>
      </c>
      <c r="L37" s="202" t="s">
        <v>295</v>
      </c>
      <c r="M37" s="202" t="s">
        <v>283</v>
      </c>
      <c r="N37" s="202" t="s">
        <v>126</v>
      </c>
      <c r="O37" s="202" t="s">
        <v>216</v>
      </c>
    </row>
    <row r="38" spans="1:15" ht="12.75">
      <c r="A38" s="18"/>
      <c r="B38" s="16" t="s">
        <v>44</v>
      </c>
      <c r="D38" s="16" t="s">
        <v>45</v>
      </c>
      <c r="E38" s="16" t="s">
        <v>74</v>
      </c>
      <c r="F38" s="16" t="s">
        <v>75</v>
      </c>
      <c r="G38" s="203" t="s">
        <v>76</v>
      </c>
      <c r="H38" s="203" t="s">
        <v>77</v>
      </c>
      <c r="I38" s="203" t="s">
        <v>78</v>
      </c>
      <c r="J38" s="203" t="s">
        <v>79</v>
      </c>
      <c r="K38" s="203" t="s">
        <v>80</v>
      </c>
      <c r="L38" s="203" t="s">
        <v>81</v>
      </c>
      <c r="M38" s="203" t="s">
        <v>82</v>
      </c>
      <c r="N38" s="203" t="s">
        <v>83</v>
      </c>
      <c r="O38" s="203" t="s">
        <v>84</v>
      </c>
    </row>
    <row r="40" spans="1:18" ht="12.75">
      <c r="A40" s="146">
        <v>15</v>
      </c>
      <c r="B40" s="147" t="str">
        <f>+B17</f>
        <v>January 2021</v>
      </c>
      <c r="D40" s="148">
        <v>2201955.4000000004</v>
      </c>
      <c r="E40" s="213" t="s">
        <v>163</v>
      </c>
      <c r="F40" s="148">
        <f>+$D40*'[5]II-F Alloc_Factor'!E$17</f>
        <v>484874.02364557085</v>
      </c>
      <c r="G40" s="148">
        <f>+$D40*'[5]II-F Alloc_Factor'!F$17</f>
        <v>0</v>
      </c>
      <c r="H40" s="148">
        <f>+$D40*'[5]II-F Alloc_Factor'!G$17</f>
        <v>0</v>
      </c>
      <c r="I40" s="148">
        <f>+$D40*'[5]II-F Alloc_Factor'!H$17</f>
        <v>484874.02364557085</v>
      </c>
      <c r="J40" s="148">
        <f>+$D40*'[5]II-F Alloc_Factor'!I$17</f>
        <v>1337686.8290703327</v>
      </c>
      <c r="K40" s="148">
        <f>+$D40*'[5]II-F Alloc_Factor'!J$17</f>
        <v>0</v>
      </c>
      <c r="L40" s="148">
        <f>+$D40*'[5]II-F Alloc_Factor'!K$17</f>
        <v>1337686.8290703327</v>
      </c>
      <c r="M40" s="148">
        <f>+$D40*'[5]II-F Alloc_Factor'!L$17</f>
        <v>364717.82229668292</v>
      </c>
      <c r="N40" s="148">
        <f>+$D40*'[5]II-F Alloc_Factor'!M$17</f>
        <v>14676.724987413763</v>
      </c>
      <c r="O40" s="148">
        <f t="shared" si="3" ref="O40:O51">+I40+L40+M40+N40</f>
        <v>2201955.3999999999</v>
      </c>
      <c r="R40" s="138" t="b">
        <f t="shared" si="4" ref="R40:R51">+D40=O40</f>
        <v>1</v>
      </c>
    </row>
    <row r="41" spans="1:18" ht="12.75">
      <c r="A41" s="146">
        <v>16</v>
      </c>
      <c r="B41" s="147" t="str">
        <f t="shared" si="5" ref="B41:B51">+B18</f>
        <v>February 2021</v>
      </c>
      <c r="D41" s="150">
        <v>2404566.6300000004</v>
      </c>
      <c r="E41" s="213" t="s">
        <v>163</v>
      </c>
      <c r="F41" s="150">
        <f>+$D41*'[5]II-F Alloc_Factor'!E$17</f>
        <v>529489.33344061859</v>
      </c>
      <c r="G41" s="150">
        <f>+$D41*'[5]II-F Alloc_Factor'!F$17</f>
        <v>0</v>
      </c>
      <c r="H41" s="150">
        <f>+$D41*'[5]II-F Alloc_Factor'!G$17</f>
        <v>0</v>
      </c>
      <c r="I41" s="150">
        <f>+$D41*'[5]II-F Alloc_Factor'!H$17</f>
        <v>529489.33344061859</v>
      </c>
      <c r="J41" s="150">
        <f>+$D41*'[5]II-F Alloc_Factor'!I$17</f>
        <v>1460773.0522484861</v>
      </c>
      <c r="K41" s="150">
        <f>+$D41*'[5]II-F Alloc_Factor'!J$17</f>
        <v>0</v>
      </c>
      <c r="L41" s="150">
        <f>+$D41*'[5]II-F Alloc_Factor'!K$17</f>
        <v>1460773.0522484861</v>
      </c>
      <c r="M41" s="150">
        <f>+$D41*'[5]II-F Alloc_Factor'!L$17</f>
        <v>398277.05177901138</v>
      </c>
      <c r="N41" s="150">
        <f>+$D41*'[5]II-F Alloc_Factor'!M$17</f>
        <v>16027.192531884299</v>
      </c>
      <c r="O41" s="150">
        <f t="shared" si="3"/>
        <v>2404566.6300000004</v>
      </c>
      <c r="R41" s="138" t="b">
        <f t="shared" si="4"/>
        <v>1</v>
      </c>
    </row>
    <row r="42" spans="1:18" ht="12.75">
      <c r="A42" s="146">
        <v>17</v>
      </c>
      <c r="B42" s="147" t="str">
        <f t="shared" si="5"/>
        <v>March 2021</v>
      </c>
      <c r="D42" s="150">
        <v>5722046.4699999988</v>
      </c>
      <c r="E42" s="213" t="s">
        <v>163</v>
      </c>
      <c r="F42" s="150">
        <f>+$D42*'[5]II-F Alloc_Factor'!E$17</f>
        <v>1260003.5838127486</v>
      </c>
      <c r="G42" s="150">
        <f>+$D42*'[5]II-F Alloc_Factor'!F$17</f>
        <v>0</v>
      </c>
      <c r="H42" s="150">
        <f>+$D42*'[5]II-F Alloc_Factor'!G$17</f>
        <v>0</v>
      </c>
      <c r="I42" s="150">
        <f>+$D42*'[5]II-F Alloc_Factor'!H$17</f>
        <v>1260003.5838127486</v>
      </c>
      <c r="J42" s="150">
        <f>+$D42*'[5]II-F Alloc_Factor'!I$17</f>
        <v>3476140.4332927852</v>
      </c>
      <c r="K42" s="150">
        <f>+$D42*'[5]II-F Alloc_Factor'!J$17</f>
        <v>0</v>
      </c>
      <c r="L42" s="150">
        <f>+$D42*'[5]II-F Alloc_Factor'!K$17</f>
        <v>3476140.4332927852</v>
      </c>
      <c r="M42" s="150">
        <f>+$D42*'[5]II-F Alloc_Factor'!L$17</f>
        <v>947763.2142861844</v>
      </c>
      <c r="N42" s="150">
        <f>+$D42*'[5]II-F Alloc_Factor'!M$17</f>
        <v>38139.238608280481</v>
      </c>
      <c r="O42" s="150">
        <f t="shared" si="3"/>
        <v>5722046.4699999988</v>
      </c>
      <c r="R42" s="138" t="b">
        <f t="shared" si="4"/>
        <v>1</v>
      </c>
    </row>
    <row r="43" spans="1:18" ht="12.75">
      <c r="A43" s="146">
        <v>18</v>
      </c>
      <c r="B43" s="147" t="str">
        <f t="shared" si="5"/>
        <v>April 2021</v>
      </c>
      <c r="D43" s="150">
        <v>3662960.8000000003</v>
      </c>
      <c r="E43" s="213" t="s">
        <v>163</v>
      </c>
      <c r="F43" s="150">
        <f>+$D43*'[5]II-F Alloc_Factor'!E$17</f>
        <v>806589.69820732926</v>
      </c>
      <c r="G43" s="150">
        <f>+$D43*'[5]II-F Alloc_Factor'!F$17</f>
        <v>0</v>
      </c>
      <c r="H43" s="150">
        <f>+$D43*'[5]II-F Alloc_Factor'!G$17</f>
        <v>0</v>
      </c>
      <c r="I43" s="150">
        <f>+$D43*'[5]II-F Alloc_Factor'!H$17</f>
        <v>806589.69820732926</v>
      </c>
      <c r="J43" s="150">
        <f>+$D43*'[5]II-F Alloc_Factor'!I$17</f>
        <v>2225246.8953553415</v>
      </c>
      <c r="K43" s="150">
        <f>+$D43*'[5]II-F Alloc_Factor'!J$17</f>
        <v>0</v>
      </c>
      <c r="L43" s="150">
        <f>+$D43*'[5]II-F Alloc_Factor'!K$17</f>
        <v>2225246.8953553415</v>
      </c>
      <c r="M43" s="150">
        <f>+$D43*'[5]II-F Alloc_Factor'!L$17</f>
        <v>606709.42115090764</v>
      </c>
      <c r="N43" s="150">
        <f>+$D43*'[5]II-F Alloc_Factor'!M$17</f>
        <v>24414.785286421833</v>
      </c>
      <c r="O43" s="150">
        <f t="shared" si="3"/>
        <v>3662960.8000000007</v>
      </c>
      <c r="R43" s="138" t="b">
        <f t="shared" si="4"/>
        <v>1</v>
      </c>
    </row>
    <row r="44" spans="1:18" ht="12.75">
      <c r="A44" s="146">
        <v>19</v>
      </c>
      <c r="B44" s="147" t="str">
        <f t="shared" si="5"/>
        <v>May 2021</v>
      </c>
      <c r="D44" s="150">
        <v>3430485.1299999999</v>
      </c>
      <c r="E44" s="213" t="s">
        <v>163</v>
      </c>
      <c r="F44" s="150">
        <f>+$D44*'[5]II-F Alloc_Factor'!E$17</f>
        <v>755398.19200670405</v>
      </c>
      <c r="G44" s="150">
        <f>+$D44*'[5]II-F Alloc_Factor'!F$17</f>
        <v>0</v>
      </c>
      <c r="H44" s="150">
        <f>+$D44*'[5]II-F Alloc_Factor'!G$17</f>
        <v>0</v>
      </c>
      <c r="I44" s="150">
        <f>+$D44*'[5]II-F Alloc_Factor'!H$17</f>
        <v>755398.19200670405</v>
      </c>
      <c r="J44" s="150">
        <f>+$D44*'[5]II-F Alloc_Factor'!I$17</f>
        <v>2084018.0394764706</v>
      </c>
      <c r="K44" s="150">
        <f>+$D44*'[5]II-F Alloc_Factor'!J$17</f>
        <v>0</v>
      </c>
      <c r="L44" s="150">
        <f>+$D44*'[5]II-F Alloc_Factor'!K$17</f>
        <v>2084018.0394764706</v>
      </c>
      <c r="M44" s="150">
        <f>+$D44*'[5]II-F Alloc_Factor'!L$17</f>
        <v>568203.63665619795</v>
      </c>
      <c r="N44" s="150">
        <f>+$D44*'[5]II-F Alloc_Factor'!M$17</f>
        <v>22865.261860627303</v>
      </c>
      <c r="O44" s="150">
        <f t="shared" si="3"/>
        <v>3430485.1299999994</v>
      </c>
      <c r="R44" s="138" t="b">
        <f t="shared" si="4"/>
        <v>1</v>
      </c>
    </row>
    <row r="45" spans="1:18" ht="12.75">
      <c r="A45" s="146">
        <v>20</v>
      </c>
      <c r="B45" s="147" t="str">
        <f t="shared" si="5"/>
        <v>June 2021</v>
      </c>
      <c r="D45" s="150">
        <v>4567976.8600000003</v>
      </c>
      <c r="E45" s="213" t="s">
        <v>163</v>
      </c>
      <c r="F45" s="150">
        <f>+$D45*'[5]II-F Alloc_Factor'!E$17</f>
        <v>1005875.6503551618</v>
      </c>
      <c r="G45" s="150">
        <f>+$D45*'[5]II-F Alloc_Factor'!F$17</f>
        <v>0</v>
      </c>
      <c r="H45" s="150">
        <f>+$D45*'[5]II-F Alloc_Factor'!G$17</f>
        <v>0</v>
      </c>
      <c r="I45" s="150">
        <f>+$D45*'[5]II-F Alloc_Factor'!H$17</f>
        <v>1005875.6503551618</v>
      </c>
      <c r="J45" s="150">
        <f>+$D45*'[5]II-F Alloc_Factor'!I$17</f>
        <v>2775043.709386691</v>
      </c>
      <c r="K45" s="150">
        <f>+$D45*'[5]II-F Alloc_Factor'!J$17</f>
        <v>0</v>
      </c>
      <c r="L45" s="150">
        <f>+$D45*'[5]II-F Alloc_Factor'!K$17</f>
        <v>2775043.709386691</v>
      </c>
      <c r="M45" s="150">
        <f>+$D45*'[5]II-F Alloc_Factor'!L$17</f>
        <v>756610.49841465428</v>
      </c>
      <c r="N45" s="150">
        <f>+$D45*'[5]II-F Alloc_Factor'!M$17</f>
        <v>30447.001843493221</v>
      </c>
      <c r="O45" s="150">
        <f t="shared" si="3"/>
        <v>4567976.8600000003</v>
      </c>
      <c r="R45" s="138" t="b">
        <f t="shared" si="4"/>
        <v>1</v>
      </c>
    </row>
    <row r="46" spans="1:18" ht="12.75">
      <c r="A46" s="146">
        <v>21</v>
      </c>
      <c r="B46" s="147" t="str">
        <f t="shared" si="5"/>
        <v>July 2021</v>
      </c>
      <c r="D46" s="150">
        <v>3595344.2600000007</v>
      </c>
      <c r="E46" s="213" t="s">
        <v>163</v>
      </c>
      <c r="F46" s="150">
        <f>+$D46*'[5]II-F Alloc_Factor'!E$17</f>
        <v>791700.4303253406</v>
      </c>
      <c r="G46" s="150">
        <f>+$D46*'[5]II-F Alloc_Factor'!F$17</f>
        <v>0</v>
      </c>
      <c r="H46" s="150">
        <f>+$D46*'[5]II-F Alloc_Factor'!G$17</f>
        <v>0</v>
      </c>
      <c r="I46" s="150">
        <f>+$D46*'[5]II-F Alloc_Factor'!H$17</f>
        <v>791700.4303253406</v>
      </c>
      <c r="J46" s="150">
        <f>+$D46*'[5]II-F Alloc_Factor'!I$17</f>
        <v>2184169.8803598029</v>
      </c>
      <c r="K46" s="150">
        <f>+$D46*'[5]II-F Alloc_Factor'!J$17</f>
        <v>0</v>
      </c>
      <c r="L46" s="150">
        <f>+$D46*'[5]II-F Alloc_Factor'!K$17</f>
        <v>2184169.8803598029</v>
      </c>
      <c r="M46" s="150">
        <f>+$D46*'[5]II-F Alloc_Factor'!L$17</f>
        <v>595509.84952469019</v>
      </c>
      <c r="N46" s="150">
        <f>+$D46*'[5]II-F Alloc_Factor'!M$17</f>
        <v>23964.099790166798</v>
      </c>
      <c r="O46" s="150">
        <f t="shared" si="3"/>
        <v>3595344.2600000002</v>
      </c>
      <c r="R46" s="138" t="b">
        <f t="shared" si="4"/>
        <v>1</v>
      </c>
    </row>
    <row r="47" spans="1:18" ht="12.75">
      <c r="A47" s="146">
        <v>22</v>
      </c>
      <c r="B47" s="147" t="str">
        <f t="shared" si="5"/>
        <v>August 2021</v>
      </c>
      <c r="D47" s="150">
        <v>4580605.0699999994</v>
      </c>
      <c r="E47" s="213" t="s">
        <v>163</v>
      </c>
      <c r="F47" s="150">
        <f>+$D47*'[5]II-F Alloc_Factor'!E$17</f>
        <v>1008656.4019517384</v>
      </c>
      <c r="G47" s="150">
        <f>+$D47*'[5]II-F Alloc_Factor'!F$17</f>
        <v>0</v>
      </c>
      <c r="H47" s="150">
        <f>+$D47*'[5]II-F Alloc_Factor'!G$17</f>
        <v>0</v>
      </c>
      <c r="I47" s="150">
        <f>+$D47*'[5]II-F Alloc_Factor'!H$17</f>
        <v>1008656.4019517384</v>
      </c>
      <c r="J47" s="150">
        <f>+$D47*'[5]II-F Alloc_Factor'!I$17</f>
        <v>2782715.3407883681</v>
      </c>
      <c r="K47" s="150">
        <f>+$D47*'[5]II-F Alloc_Factor'!J$17</f>
        <v>0</v>
      </c>
      <c r="L47" s="150">
        <f>+$D47*'[5]II-F Alloc_Factor'!K$17</f>
        <v>2782715.3407883681</v>
      </c>
      <c r="M47" s="150">
        <f>+$D47*'[5]II-F Alloc_Factor'!L$17</f>
        <v>758702.15442671743</v>
      </c>
      <c r="N47" s="150">
        <f>+$D47*'[5]II-F Alloc_Factor'!M$17</f>
        <v>30531.172833175071</v>
      </c>
      <c r="O47" s="150">
        <f t="shared" si="3"/>
        <v>4580605.0699999994</v>
      </c>
      <c r="R47" s="138" t="b">
        <f t="shared" si="4"/>
        <v>1</v>
      </c>
    </row>
    <row r="48" spans="1:18" ht="12.75">
      <c r="A48" s="146">
        <v>23</v>
      </c>
      <c r="B48" s="147" t="str">
        <f t="shared" si="5"/>
        <v>September 2021</v>
      </c>
      <c r="D48" s="150">
        <v>6151781.6299999999</v>
      </c>
      <c r="E48" s="213" t="s">
        <v>163</v>
      </c>
      <c r="F48" s="150">
        <f>+$D48*'[5]II-F Alloc_Factor'!E$17</f>
        <v>1354631.9382885811</v>
      </c>
      <c r="G48" s="150">
        <f>+$D48*'[5]II-F Alloc_Factor'!F$17</f>
        <v>0</v>
      </c>
      <c r="H48" s="150">
        <f>+$D48*'[5]II-F Alloc_Factor'!G$17</f>
        <v>0</v>
      </c>
      <c r="I48" s="150">
        <f>+$D48*'[5]II-F Alloc_Factor'!H$17</f>
        <v>1354631.9382885811</v>
      </c>
      <c r="J48" s="150">
        <f>+$D48*'[5]II-F Alloc_Factor'!I$17</f>
        <v>3737204.3329160172</v>
      </c>
      <c r="K48" s="150">
        <f>+$D48*'[5]II-F Alloc_Factor'!J$17</f>
        <v>0</v>
      </c>
      <c r="L48" s="150">
        <f>+$D48*'[5]II-F Alloc_Factor'!K$17</f>
        <v>3737204.3329160172</v>
      </c>
      <c r="M48" s="150">
        <f>+$D48*'[5]II-F Alloc_Factor'!L$17</f>
        <v>1018941.8002464256</v>
      </c>
      <c r="N48" s="150">
        <f>+$D48*'[5]II-F Alloc_Factor'!M$17</f>
        <v>41003.558548976034</v>
      </c>
      <c r="O48" s="150">
        <f t="shared" si="3"/>
        <v>6151781.6299999999</v>
      </c>
      <c r="R48" s="138" t="b">
        <f t="shared" si="4"/>
        <v>1</v>
      </c>
    </row>
    <row r="49" spans="1:18" ht="12.75">
      <c r="A49" s="146">
        <v>24</v>
      </c>
      <c r="B49" s="147" t="str">
        <f t="shared" si="5"/>
        <v>October 2021</v>
      </c>
      <c r="D49" s="150">
        <v>3755783.0999999996</v>
      </c>
      <c r="E49" s="213" t="s">
        <v>163</v>
      </c>
      <c r="F49" s="150">
        <f>+$D49*'[5]II-F Alloc_Factor'!E$17</f>
        <v>827029.31387122325</v>
      </c>
      <c r="G49" s="150">
        <f>+$D49*'[5]II-F Alloc_Factor'!F$17</f>
        <v>0</v>
      </c>
      <c r="H49" s="150">
        <f>+$D49*'[5]II-F Alloc_Factor'!G$17</f>
        <v>0</v>
      </c>
      <c r="I49" s="150">
        <f>+$D49*'[5]II-F Alloc_Factor'!H$17</f>
        <v>827029.31387122325</v>
      </c>
      <c r="J49" s="150">
        <f>+$D49*'[5]II-F Alloc_Factor'!I$17</f>
        <v>2281636.3972290009</v>
      </c>
      <c r="K49" s="150">
        <f>+$D49*'[5]II-F Alloc_Factor'!J$17</f>
        <v>0</v>
      </c>
      <c r="L49" s="150">
        <f>+$D49*'[5]II-F Alloc_Factor'!K$17</f>
        <v>2281636.3972290009</v>
      </c>
      <c r="M49" s="150">
        <f>+$D49*'[5]II-F Alloc_Factor'!L$17</f>
        <v>622083.91380256135</v>
      </c>
      <c r="N49" s="150">
        <f>+$D49*'[5]II-F Alloc_Factor'!M$17</f>
        <v>25033.475097214188</v>
      </c>
      <c r="O49" s="150">
        <f t="shared" si="3"/>
        <v>3755783.1000000001</v>
      </c>
      <c r="R49" s="138" t="b">
        <f t="shared" si="4"/>
        <v>1</v>
      </c>
    </row>
    <row r="50" spans="1:18" ht="12.75">
      <c r="A50" s="146">
        <v>25</v>
      </c>
      <c r="B50" s="147" t="str">
        <f t="shared" si="5"/>
        <v>November 2021</v>
      </c>
      <c r="D50" s="150">
        <v>6125686.1900000004</v>
      </c>
      <c r="E50" s="213" t="s">
        <v>163</v>
      </c>
      <c r="F50" s="150">
        <f>+$D50*'[5]II-F Alloc_Factor'!E$17</f>
        <v>1348885.6815789305</v>
      </c>
      <c r="G50" s="150">
        <f>+$D50*'[5]II-F Alloc_Factor'!F$17</f>
        <v>0</v>
      </c>
      <c r="H50" s="150">
        <f>+$D50*'[5]II-F Alloc_Factor'!G$17</f>
        <v>0</v>
      </c>
      <c r="I50" s="150">
        <f>+$D50*'[5]II-F Alloc_Factor'!H$17</f>
        <v>1348885.6815789305</v>
      </c>
      <c r="J50" s="150">
        <f>+$D50*'[5]II-F Alloc_Factor'!I$17</f>
        <v>3721351.365872818</v>
      </c>
      <c r="K50" s="150">
        <f>+$D50*'[5]II-F Alloc_Factor'!J$17</f>
        <v>0</v>
      </c>
      <c r="L50" s="150">
        <f>+$D50*'[5]II-F Alloc_Factor'!K$17</f>
        <v>3721351.365872818</v>
      </c>
      <c r="M50" s="150">
        <f>+$D50*'[5]II-F Alloc_Factor'!L$17</f>
        <v>1014619.5183107089</v>
      </c>
      <c r="N50" s="150">
        <f>+$D50*'[5]II-F Alloc_Factor'!M$17</f>
        <v>40829.62423754287</v>
      </c>
      <c r="O50" s="150">
        <f t="shared" si="3"/>
        <v>6125686.1900000004</v>
      </c>
      <c r="R50" s="138" t="b">
        <f t="shared" si="4"/>
        <v>1</v>
      </c>
    </row>
    <row r="51" spans="1:18" ht="12.75">
      <c r="A51" s="146">
        <v>26</v>
      </c>
      <c r="B51" s="147" t="str">
        <f t="shared" si="5"/>
        <v>December 2021</v>
      </c>
      <c r="D51" s="150">
        <v>8956248.5899999999</v>
      </c>
      <c r="E51" s="213" t="s">
        <v>163</v>
      </c>
      <c r="F51" s="150">
        <f>+$D51*'[5]II-F Alloc_Factor'!E$17</f>
        <v>1972179.9499677739</v>
      </c>
      <c r="G51" s="150">
        <f>+$D51*'[5]II-F Alloc_Factor'!F$17</f>
        <v>0</v>
      </c>
      <c r="H51" s="150">
        <f>+$D51*'[5]II-F Alloc_Factor'!G$17</f>
        <v>0</v>
      </c>
      <c r="I51" s="150">
        <f>+$D51*'[5]II-F Alloc_Factor'!H$17</f>
        <v>1972179.9499677739</v>
      </c>
      <c r="J51" s="150">
        <f>+$D51*'[5]II-F Alloc_Factor'!I$17</f>
        <v>5440916.6401475416</v>
      </c>
      <c r="K51" s="150">
        <f>+$D51*'[5]II-F Alloc_Factor'!J$17</f>
        <v>0</v>
      </c>
      <c r="L51" s="150">
        <f>+$D51*'[5]II-F Alloc_Factor'!K$17</f>
        <v>5440916.6401475416</v>
      </c>
      <c r="M51" s="150">
        <f>+$D51*'[5]II-F Alloc_Factor'!L$17</f>
        <v>1483455.787384493</v>
      </c>
      <c r="N51" s="150">
        <f>+$D51*'[5]II-F Alloc_Factor'!M$17</f>
        <v>59696.212500190632</v>
      </c>
      <c r="O51" s="150">
        <f t="shared" si="3"/>
        <v>8956248.589999998</v>
      </c>
      <c r="R51" s="138" t="b">
        <f t="shared" si="4"/>
        <v>1</v>
      </c>
    </row>
    <row r="52" spans="1:15" ht="12.75">
      <c r="A52" s="146">
        <v>27</v>
      </c>
      <c r="D52" s="151"/>
      <c r="E52" s="151"/>
      <c r="F52" s="151"/>
      <c r="G52" s="151"/>
      <c r="H52" s="151"/>
      <c r="I52" s="151"/>
      <c r="J52" s="151"/>
      <c r="K52" s="151"/>
      <c r="L52" s="151"/>
      <c r="M52" s="151"/>
      <c r="N52" s="151"/>
      <c r="O52" s="151"/>
    </row>
    <row r="53" spans="1:15" ht="13.5" thickBot="1">
      <c r="A53" s="146">
        <v>28</v>
      </c>
      <c r="B53" s="211" t="s">
        <v>216</v>
      </c>
      <c r="D53" s="172">
        <f t="shared" si="6" ref="D53:O53">SUM(D40:D51)</f>
        <v>55155440.129999995</v>
      </c>
      <c r="E53" s="228"/>
      <c r="F53" s="172">
        <f t="shared" si="6"/>
        <v>12145314.19745172</v>
      </c>
      <c r="G53" s="172">
        <f t="shared" si="7" ref="G53:N53">SUM(G40:G51)</f>
        <v>0</v>
      </c>
      <c r="H53" s="172">
        <f t="shared" si="7"/>
        <v>0</v>
      </c>
      <c r="I53" s="172">
        <f t="shared" si="7"/>
        <v>12145314.19745172</v>
      </c>
      <c r="J53" s="172">
        <f t="shared" si="7"/>
        <v>33506902.91614366</v>
      </c>
      <c r="K53" s="172">
        <f t="shared" si="7"/>
        <v>0</v>
      </c>
      <c r="L53" s="172">
        <f t="shared" si="7"/>
        <v>33506902.91614366</v>
      </c>
      <c r="M53" s="172">
        <f t="shared" si="7"/>
        <v>9135594.6682792343</v>
      </c>
      <c r="N53" s="172">
        <f t="shared" si="7"/>
        <v>367628.34812538652</v>
      </c>
      <c r="O53" s="172">
        <f t="shared" si="6"/>
        <v>55155440.129999995</v>
      </c>
    </row>
    <row r="54" spans="5:5" ht="13.5" thickTop="1">
      <c r="E54" s="149"/>
    </row>
    <row r="57" spans="4:15" ht="13.5" thickBot="1">
      <c r="D57" s="363" t="s">
        <v>424</v>
      </c>
      <c r="E57" s="362"/>
      <c r="F57" s="362"/>
      <c r="G57" s="362"/>
      <c r="H57" s="362"/>
      <c r="I57" s="362"/>
      <c r="J57" s="362"/>
      <c r="K57" s="362"/>
      <c r="L57" s="362"/>
      <c r="M57" s="362"/>
      <c r="N57" s="362"/>
      <c r="O57" s="362"/>
    </row>
    <row r="58" spans="15:15" ht="12.75">
      <c r="O58" s="61"/>
    </row>
    <row r="59" spans="1:15" ht="12.75">
      <c r="A59" s="18" t="s">
        <v>87</v>
      </c>
      <c r="B59" s="18"/>
      <c r="D59" s="209" t="s">
        <v>216</v>
      </c>
      <c r="E59" s="209" t="s">
        <v>53</v>
      </c>
      <c r="F59" s="18"/>
      <c r="G59" s="18" t="s">
        <v>716</v>
      </c>
      <c r="H59" s="18" t="s">
        <v>722</v>
      </c>
      <c r="I59" s="18" t="s">
        <v>717</v>
      </c>
      <c r="J59" s="18"/>
      <c r="K59" s="18" t="s">
        <v>716</v>
      </c>
      <c r="L59" s="18" t="s">
        <v>717</v>
      </c>
      <c r="M59" s="18"/>
      <c r="N59" s="18"/>
      <c r="O59" s="18"/>
    </row>
    <row r="60" spans="1:15" ht="12.75">
      <c r="A60" s="208" t="s">
        <v>89</v>
      </c>
      <c r="B60" s="208" t="s">
        <v>64</v>
      </c>
      <c r="D60" s="202" t="s">
        <v>219</v>
      </c>
      <c r="E60" s="202" t="s">
        <v>218</v>
      </c>
      <c r="F60" s="202" t="s">
        <v>294</v>
      </c>
      <c r="G60" s="202" t="s">
        <v>294</v>
      </c>
      <c r="H60" s="202" t="s">
        <v>723</v>
      </c>
      <c r="I60" s="202" t="s">
        <v>294</v>
      </c>
      <c r="J60" s="202" t="s">
        <v>295</v>
      </c>
      <c r="K60" s="202" t="s">
        <v>295</v>
      </c>
      <c r="L60" s="202" t="s">
        <v>295</v>
      </c>
      <c r="M60" s="202" t="s">
        <v>283</v>
      </c>
      <c r="N60" s="202" t="s">
        <v>126</v>
      </c>
      <c r="O60" s="202" t="s">
        <v>216</v>
      </c>
    </row>
    <row r="61" spans="1:15" ht="12.75">
      <c r="A61" s="18"/>
      <c r="B61" s="16" t="s">
        <v>44</v>
      </c>
      <c r="D61" s="16" t="s">
        <v>45</v>
      </c>
      <c r="E61" s="16" t="s">
        <v>74</v>
      </c>
      <c r="F61" s="16" t="s">
        <v>75</v>
      </c>
      <c r="G61" s="203" t="s">
        <v>76</v>
      </c>
      <c r="H61" s="203" t="s">
        <v>77</v>
      </c>
      <c r="I61" s="203" t="s">
        <v>78</v>
      </c>
      <c r="J61" s="203" t="s">
        <v>79</v>
      </c>
      <c r="K61" s="203" t="s">
        <v>80</v>
      </c>
      <c r="L61" s="203" t="s">
        <v>81</v>
      </c>
      <c r="M61" s="203" t="s">
        <v>82</v>
      </c>
      <c r="N61" s="203" t="s">
        <v>83</v>
      </c>
      <c r="O61" s="203" t="s">
        <v>84</v>
      </c>
    </row>
    <row r="63" spans="1:18" ht="12.75">
      <c r="A63" s="146">
        <v>29</v>
      </c>
      <c r="B63" s="147" t="str">
        <f>+B40</f>
        <v>January 2021</v>
      </c>
      <c r="D63" s="148">
        <v>420254.36999999994</v>
      </c>
      <c r="E63" s="213" t="s">
        <v>163</v>
      </c>
      <c r="F63" s="148">
        <f>+$D63*'[5]II-F Alloc_Factor'!E$17</f>
        <v>92540.669686831257</v>
      </c>
      <c r="G63" s="148">
        <f>+$D63*'[5]II-F Alloc_Factor'!F$17</f>
        <v>0</v>
      </c>
      <c r="H63" s="148">
        <f>+$D63*'[5]II-F Alloc_Factor'!G$17</f>
        <v>0</v>
      </c>
      <c r="I63" s="148">
        <f>+$D63*'[5]II-F Alloc_Factor'!H$17</f>
        <v>92540.669686831257</v>
      </c>
      <c r="J63" s="148">
        <f>+$D63*'[5]II-F Alloc_Factor'!I$17</f>
        <v>255304.32433293163</v>
      </c>
      <c r="K63" s="148">
        <f>+$D63*'[5]II-F Alloc_Factor'!J$17</f>
        <v>0</v>
      </c>
      <c r="L63" s="148">
        <f>+$D63*'[5]II-F Alloc_Factor'!K$17</f>
        <v>255304.32433293163</v>
      </c>
      <c r="M63" s="148">
        <f>+$D63*'[5]II-F Alloc_Factor'!L$17</f>
        <v>69608.248485443619</v>
      </c>
      <c r="N63" s="148">
        <f>+$D63*'[5]II-F Alloc_Factor'!M$17</f>
        <v>2801.1274947934126</v>
      </c>
      <c r="O63" s="148">
        <f t="shared" si="8" ref="O63:O74">+I63+L63+M63+N63</f>
        <v>420254.36999999988</v>
      </c>
      <c r="R63" s="138" t="b">
        <f t="shared" si="9" ref="R63:R74">+D63=O63</f>
        <v>1</v>
      </c>
    </row>
    <row r="64" spans="1:18" ht="12.75">
      <c r="A64" s="146">
        <v>30</v>
      </c>
      <c r="B64" s="147" t="str">
        <f t="shared" si="10" ref="B64:B74">+B41</f>
        <v>February 2021</v>
      </c>
      <c r="D64" s="150">
        <v>916528.00000000012</v>
      </c>
      <c r="E64" s="213" t="s">
        <v>163</v>
      </c>
      <c r="F64" s="150">
        <f>+$D64*'[5]II-F Alloc_Factor'!E$17</f>
        <v>201820.89934420458</v>
      </c>
      <c r="G64" s="150">
        <f>+$D64*'[5]II-F Alloc_Factor'!F$17</f>
        <v>0</v>
      </c>
      <c r="H64" s="150">
        <f>+$D64*'[5]II-F Alloc_Factor'!G$17</f>
        <v>0</v>
      </c>
      <c r="I64" s="150">
        <f>+$D64*'[5]II-F Alloc_Factor'!H$17</f>
        <v>201820.89934420458</v>
      </c>
      <c r="J64" s="150">
        <f>+$D64*'[5]II-F Alloc_Factor'!I$17</f>
        <v>556790.31195371796</v>
      </c>
      <c r="K64" s="150">
        <f>+$D64*'[5]II-F Alloc_Factor'!J$17</f>
        <v>0</v>
      </c>
      <c r="L64" s="150">
        <f>+$D64*'[5]II-F Alloc_Factor'!K$17</f>
        <v>556790.31195371796</v>
      </c>
      <c r="M64" s="150">
        <f>+$D64*'[5]II-F Alloc_Factor'!L$17</f>
        <v>151807.84144580504</v>
      </c>
      <c r="N64" s="150">
        <f>+$D64*'[5]II-F Alloc_Factor'!M$17</f>
        <v>6108.947256272475</v>
      </c>
      <c r="O64" s="150">
        <f t="shared" si="8"/>
        <v>916528</v>
      </c>
      <c r="R64" s="138" t="b">
        <f t="shared" si="9"/>
        <v>1</v>
      </c>
    </row>
    <row r="65" spans="1:18" ht="12.75">
      <c r="A65" s="146">
        <v>31</v>
      </c>
      <c r="B65" s="147" t="str">
        <f t="shared" si="10"/>
        <v>March 2021</v>
      </c>
      <c r="D65" s="150">
        <v>1109080.9099999999</v>
      </c>
      <c r="E65" s="213" t="s">
        <v>163</v>
      </c>
      <c r="F65" s="150">
        <f>+$D65*'[5]II-F Alloc_Factor'!E$17</f>
        <v>244221.35134080876</v>
      </c>
      <c r="G65" s="150">
        <f>+$D65*'[5]II-F Alloc_Factor'!F$17</f>
        <v>0</v>
      </c>
      <c r="H65" s="150">
        <f>+$D65*'[5]II-F Alloc_Factor'!G$17</f>
        <v>0</v>
      </c>
      <c r="I65" s="150">
        <f>+$D65*'[5]II-F Alloc_Factor'!H$17</f>
        <v>244221.35134080876</v>
      </c>
      <c r="J65" s="150">
        <f>+$D65*'[5]II-F Alloc_Factor'!I$17</f>
        <v>673766.11064889818</v>
      </c>
      <c r="K65" s="150">
        <f>+$D65*'[5]II-F Alloc_Factor'!J$17</f>
        <v>0</v>
      </c>
      <c r="L65" s="150">
        <f>+$D65*'[5]II-F Alloc_Factor'!K$17</f>
        <v>673766.11064889818</v>
      </c>
      <c r="M65" s="150">
        <f>+$D65*'[5]II-F Alloc_Factor'!L$17</f>
        <v>183701.07507446484</v>
      </c>
      <c r="N65" s="150">
        <f>+$D65*'[5]II-F Alloc_Factor'!M$17</f>
        <v>7392.3729358281234</v>
      </c>
      <c r="O65" s="150">
        <f t="shared" si="8"/>
        <v>1109080.9099999999</v>
      </c>
      <c r="R65" s="138" t="b">
        <f t="shared" si="9"/>
        <v>1</v>
      </c>
    </row>
    <row r="66" spans="1:18" ht="12.75">
      <c r="A66" s="146">
        <v>32</v>
      </c>
      <c r="B66" s="147" t="str">
        <f t="shared" si="10"/>
        <v>April 2021</v>
      </c>
      <c r="D66" s="150">
        <v>755521.79000000004</v>
      </c>
      <c r="E66" s="213" t="s">
        <v>163</v>
      </c>
      <c r="F66" s="150">
        <f>+$D66*'[5]II-F Alloc_Factor'!E$17</f>
        <v>166367.08003677276</v>
      </c>
      <c r="G66" s="150">
        <f>+$D66*'[5]II-F Alloc_Factor'!F$17</f>
        <v>0</v>
      </c>
      <c r="H66" s="150">
        <f>+$D66*'[5]II-F Alloc_Factor'!G$17</f>
        <v>0</v>
      </c>
      <c r="I66" s="150">
        <f>+$D66*'[5]II-F Alloc_Factor'!H$17</f>
        <v>166367.08003677276</v>
      </c>
      <c r="J66" s="150">
        <f>+$D66*'[5]II-F Alloc_Factor'!I$17</f>
        <v>458979.11808687937</v>
      </c>
      <c r="K66" s="150">
        <f>+$D66*'[5]II-F Alloc_Factor'!J$17</f>
        <v>0</v>
      </c>
      <c r="L66" s="150">
        <f>+$D66*'[5]II-F Alloc_Factor'!K$17</f>
        <v>458979.11808687937</v>
      </c>
      <c r="M66" s="150">
        <f>+$D66*'[5]II-F Alloc_Factor'!L$17</f>
        <v>125139.80162654146</v>
      </c>
      <c r="N66" s="150">
        <f>+$D66*'[5]II-F Alloc_Factor'!M$17</f>
        <v>5035.7902498064095</v>
      </c>
      <c r="O66" s="150">
        <f t="shared" si="8"/>
        <v>755521.78999999992</v>
      </c>
      <c r="R66" s="138" t="b">
        <f t="shared" si="9"/>
        <v>1</v>
      </c>
    </row>
    <row r="67" spans="1:18" ht="12.75">
      <c r="A67" s="146">
        <v>33</v>
      </c>
      <c r="B67" s="147" t="str">
        <f t="shared" si="10"/>
        <v>May 2021</v>
      </c>
      <c r="D67" s="150">
        <v>881391.91000000015</v>
      </c>
      <c r="E67" s="213" t="s">
        <v>163</v>
      </c>
      <c r="F67" s="150">
        <f>+$D67*'[5]II-F Alloc_Factor'!E$17</f>
        <v>194083.8773620732</v>
      </c>
      <c r="G67" s="150">
        <f>+$D67*'[5]II-F Alloc_Factor'!F$17</f>
        <v>0</v>
      </c>
      <c r="H67" s="150">
        <f>+$D67*'[5]II-F Alloc_Factor'!G$17</f>
        <v>0</v>
      </c>
      <c r="I67" s="150">
        <f>+$D67*'[5]II-F Alloc_Factor'!H$17</f>
        <v>194083.8773620732</v>
      </c>
      <c r="J67" s="150">
        <f>+$D67*'[5]II-F Alloc_Factor'!I$17</f>
        <v>535445.15445505583</v>
      </c>
      <c r="K67" s="150">
        <f>+$D67*'[5]II-F Alloc_Factor'!J$17</f>
        <v>0</v>
      </c>
      <c r="L67" s="150">
        <f>+$D67*'[5]II-F Alloc_Factor'!K$17</f>
        <v>535445.15445505583</v>
      </c>
      <c r="M67" s="150">
        <f>+$D67*'[5]II-F Alloc_Factor'!L$17</f>
        <v>145988.12401246364</v>
      </c>
      <c r="N67" s="150">
        <f>+$D67*'[5]II-F Alloc_Factor'!M$17</f>
        <v>5874.7541704075129</v>
      </c>
      <c r="O67" s="150">
        <f t="shared" si="8"/>
        <v>881391.91000000015</v>
      </c>
      <c r="R67" s="138" t="b">
        <f t="shared" si="9"/>
        <v>1</v>
      </c>
    </row>
    <row r="68" spans="1:18" ht="12.75">
      <c r="A68" s="146">
        <v>34</v>
      </c>
      <c r="B68" s="147" t="str">
        <f t="shared" si="10"/>
        <v>June 2021</v>
      </c>
      <c r="D68" s="150">
        <v>1115395.8599999999</v>
      </c>
      <c r="E68" s="213" t="s">
        <v>163</v>
      </c>
      <c r="F68" s="150">
        <f>+$D68*'[5]II-F Alloc_Factor'!E$17</f>
        <v>245611.91320941909</v>
      </c>
      <c r="G68" s="150">
        <f>+$D68*'[5]II-F Alloc_Factor'!F$17</f>
        <v>0</v>
      </c>
      <c r="H68" s="150">
        <f>+$D68*'[5]II-F Alloc_Factor'!G$17</f>
        <v>0</v>
      </c>
      <c r="I68" s="150">
        <f>+$D68*'[5]II-F Alloc_Factor'!H$17</f>
        <v>245611.91320941909</v>
      </c>
      <c r="J68" s="150">
        <f>+$D68*'[5]II-F Alloc_Factor'!I$17</f>
        <v>677602.43968682399</v>
      </c>
      <c r="K68" s="150">
        <f>+$D68*'[5]II-F Alloc_Factor'!J$17</f>
        <v>0</v>
      </c>
      <c r="L68" s="150">
        <f>+$D68*'[5]II-F Alloc_Factor'!K$17</f>
        <v>677602.43968682399</v>
      </c>
      <c r="M68" s="150">
        <f>+$D68*'[5]II-F Alloc_Factor'!L$17</f>
        <v>184747.04304089706</v>
      </c>
      <c r="N68" s="150">
        <f>+$D68*'[5]II-F Alloc_Factor'!M$17</f>
        <v>7434.4640628597008</v>
      </c>
      <c r="O68" s="150">
        <f t="shared" si="8"/>
        <v>1115395.8599999999</v>
      </c>
      <c r="R68" s="138" t="b">
        <f t="shared" si="9"/>
        <v>1</v>
      </c>
    </row>
    <row r="69" spans="1:18" ht="12.75">
      <c r="A69" s="146">
        <v>35</v>
      </c>
      <c r="B69" s="147" t="str">
        <f t="shared" si="10"/>
        <v>July 2021</v>
      </c>
      <c r="D69" s="150">
        <v>960429.66999999993</v>
      </c>
      <c r="E69" s="213" t="s">
        <v>163</v>
      </c>
      <c r="F69" s="150">
        <f>+$D69*'[5]II-F Alloc_Factor'!E$17</f>
        <v>211488.11575451877</v>
      </c>
      <c r="G69" s="150">
        <f>+$D69*'[5]II-F Alloc_Factor'!F$17</f>
        <v>0</v>
      </c>
      <c r="H69" s="150">
        <f>+$D69*'[5]II-F Alloc_Factor'!G$17</f>
        <v>0</v>
      </c>
      <c r="I69" s="150">
        <f>+$D69*'[5]II-F Alloc_Factor'!H$17</f>
        <v>211488.11575451877</v>
      </c>
      <c r="J69" s="150">
        <f>+$D69*'[5]II-F Alloc_Factor'!I$17</f>
        <v>583460.55501731136</v>
      </c>
      <c r="K69" s="150">
        <f>+$D69*'[5]II-F Alloc_Factor'!J$17</f>
        <v>0</v>
      </c>
      <c r="L69" s="150">
        <f>+$D69*'[5]II-F Alloc_Factor'!K$17</f>
        <v>583460.55501731136</v>
      </c>
      <c r="M69" s="150">
        <f>+$D69*'[5]II-F Alloc_Factor'!L$17</f>
        <v>159079.43353962651</v>
      </c>
      <c r="N69" s="150">
        <f>+$D69*'[5]II-F Alloc_Factor'!M$17</f>
        <v>6401.5656885432609</v>
      </c>
      <c r="O69" s="150">
        <f t="shared" si="8"/>
        <v>960429.66999999993</v>
      </c>
      <c r="R69" s="138" t="b">
        <f t="shared" si="9"/>
        <v>1</v>
      </c>
    </row>
    <row r="70" spans="1:18" ht="12.75">
      <c r="A70" s="146">
        <v>36</v>
      </c>
      <c r="B70" s="147" t="str">
        <f t="shared" si="10"/>
        <v>August 2021</v>
      </c>
      <c r="D70" s="150">
        <v>1095393.71</v>
      </c>
      <c r="E70" s="213" t="s">
        <v>163</v>
      </c>
      <c r="F70" s="150">
        <f>+$D70*'[5]II-F Alloc_Factor'!E$17</f>
        <v>241207.40848963129</v>
      </c>
      <c r="G70" s="150">
        <f>+$D70*'[5]II-F Alloc_Factor'!F$17</f>
        <v>0</v>
      </c>
      <c r="H70" s="150">
        <f>+$D70*'[5]II-F Alloc_Factor'!G$17</f>
        <v>0</v>
      </c>
      <c r="I70" s="150">
        <f>+$D70*'[5]II-F Alloc_Factor'!H$17</f>
        <v>241207.40848963129</v>
      </c>
      <c r="J70" s="150">
        <f>+$D70*'[5]II-F Alloc_Factor'!I$17</f>
        <v>665451.14333990938</v>
      </c>
      <c r="K70" s="150">
        <f>+$D70*'[5]II-F Alloc_Factor'!J$17</f>
        <v>0</v>
      </c>
      <c r="L70" s="150">
        <f>+$D70*'[5]II-F Alloc_Factor'!K$17</f>
        <v>665451.14333990938</v>
      </c>
      <c r="M70" s="150">
        <f>+$D70*'[5]II-F Alloc_Factor'!L$17</f>
        <v>181434.01472558625</v>
      </c>
      <c r="N70" s="150">
        <f>+$D70*'[5]II-F Alloc_Factor'!M$17</f>
        <v>7301.1434448730715</v>
      </c>
      <c r="O70" s="150">
        <f t="shared" si="8"/>
        <v>1095393.71</v>
      </c>
      <c r="R70" s="138" t="b">
        <f t="shared" si="9"/>
        <v>1</v>
      </c>
    </row>
    <row r="71" spans="1:18" ht="12.75">
      <c r="A71" s="146">
        <v>37</v>
      </c>
      <c r="B71" s="147" t="str">
        <f t="shared" si="10"/>
        <v>September 2021</v>
      </c>
      <c r="D71" s="150">
        <v>1408123.8000000001</v>
      </c>
      <c r="E71" s="213" t="s">
        <v>163</v>
      </c>
      <c r="F71" s="150">
        <f>+$D71*'[5]II-F Alloc_Factor'!E$17</f>
        <v>310071.06351794908</v>
      </c>
      <c r="G71" s="150">
        <f>+$D71*'[5]II-F Alloc_Factor'!F$17</f>
        <v>0</v>
      </c>
      <c r="H71" s="150">
        <f>+$D71*'[5]II-F Alloc_Factor'!G$17</f>
        <v>0</v>
      </c>
      <c r="I71" s="150">
        <f>+$D71*'[5]II-F Alloc_Factor'!H$17</f>
        <v>310071.06351794908</v>
      </c>
      <c r="J71" s="150">
        <f>+$D71*'[5]II-F Alloc_Factor'!I$17</f>
        <v>855434.52013626939</v>
      </c>
      <c r="K71" s="150">
        <f>+$D71*'[5]II-F Alloc_Factor'!J$17</f>
        <v>0</v>
      </c>
      <c r="L71" s="150">
        <f>+$D71*'[5]II-F Alloc_Factor'!K$17</f>
        <v>855434.52013626939</v>
      </c>
      <c r="M71" s="150">
        <f>+$D71*'[5]II-F Alloc_Factor'!L$17</f>
        <v>233232.62853558696</v>
      </c>
      <c r="N71" s="150">
        <f>+$D71*'[5]II-F Alloc_Factor'!M$17</f>
        <v>9385.5878101945291</v>
      </c>
      <c r="O71" s="150">
        <f t="shared" si="8"/>
        <v>1408123.7999999998</v>
      </c>
      <c r="R71" s="138" t="b">
        <f t="shared" si="9"/>
        <v>1</v>
      </c>
    </row>
    <row r="72" spans="1:18" ht="12.75">
      <c r="A72" s="146">
        <v>38</v>
      </c>
      <c r="B72" s="147" t="str">
        <f t="shared" si="10"/>
        <v>October 2021</v>
      </c>
      <c r="D72" s="150">
        <v>839152.93999999983</v>
      </c>
      <c r="E72" s="213" t="s">
        <v>163</v>
      </c>
      <c r="F72" s="150">
        <f>+$D72*'[5]II-F Alloc_Factor'!E$17</f>
        <v>184782.79009275581</v>
      </c>
      <c r="G72" s="150">
        <f>+$D72*'[5]II-F Alloc_Factor'!F$17</f>
        <v>0</v>
      </c>
      <c r="H72" s="150">
        <f>+$D72*'[5]II-F Alloc_Factor'!G$17</f>
        <v>0</v>
      </c>
      <c r="I72" s="150">
        <f>+$D72*'[5]II-F Alloc_Factor'!H$17</f>
        <v>184782.79009275581</v>
      </c>
      <c r="J72" s="150">
        <f>+$D72*'[5]II-F Alloc_Factor'!I$17</f>
        <v>509785.00082864839</v>
      </c>
      <c r="K72" s="150">
        <f>+$D72*'[5]II-F Alloc_Factor'!J$17</f>
        <v>0</v>
      </c>
      <c r="L72" s="150">
        <f>+$D72*'[5]II-F Alloc_Factor'!K$17</f>
        <v>509785.00082864839</v>
      </c>
      <c r="M72" s="150">
        <f>+$D72*'[5]II-F Alloc_Factor'!L$17</f>
        <v>138991.93092224252</v>
      </c>
      <c r="N72" s="150">
        <f>+$D72*'[5]II-F Alloc_Factor'!M$17</f>
        <v>5593.2181563530839</v>
      </c>
      <c r="O72" s="150">
        <f t="shared" si="8"/>
        <v>839152.93999999994</v>
      </c>
      <c r="R72" s="138" t="b">
        <f t="shared" si="9"/>
        <v>1</v>
      </c>
    </row>
    <row r="73" spans="1:18" ht="12.75">
      <c r="A73" s="146">
        <v>39</v>
      </c>
      <c r="B73" s="147" t="str">
        <f t="shared" si="10"/>
        <v>November 2021</v>
      </c>
      <c r="D73" s="150">
        <v>1107286.51</v>
      </c>
      <c r="E73" s="213" t="s">
        <v>163</v>
      </c>
      <c r="F73" s="150">
        <f>+$D73*'[5]II-F Alloc_Factor'!E$17</f>
        <v>243826.22165379077</v>
      </c>
      <c r="G73" s="150">
        <f>+$D73*'[5]II-F Alloc_Factor'!F$17</f>
        <v>0</v>
      </c>
      <c r="H73" s="150">
        <f>+$D73*'[5]II-F Alloc_Factor'!G$17</f>
        <v>0</v>
      </c>
      <c r="I73" s="150">
        <f>+$D73*'[5]II-F Alloc_Factor'!H$17</f>
        <v>243826.22165379077</v>
      </c>
      <c r="J73" s="150">
        <f>+$D73*'[5]II-F Alloc_Factor'!I$17</f>
        <v>672676.01352609368</v>
      </c>
      <c r="K73" s="150">
        <f>+$D73*'[5]II-F Alloc_Factor'!J$17</f>
        <v>0</v>
      </c>
      <c r="L73" s="150">
        <f>+$D73*'[5]II-F Alloc_Factor'!K$17</f>
        <v>672676.01352609368</v>
      </c>
      <c r="M73" s="150">
        <f>+$D73*'[5]II-F Alloc_Factor'!L$17</f>
        <v>183403.86212440732</v>
      </c>
      <c r="N73" s="150">
        <f>+$D73*'[5]II-F Alloc_Factor'!M$17</f>
        <v>7380.4126957081771</v>
      </c>
      <c r="O73" s="150">
        <f t="shared" si="8"/>
        <v>1107286.51</v>
      </c>
      <c r="R73" s="138" t="b">
        <f t="shared" si="9"/>
        <v>1</v>
      </c>
    </row>
    <row r="74" spans="1:18" ht="12.75">
      <c r="A74" s="146">
        <v>40</v>
      </c>
      <c r="B74" s="147" t="str">
        <f t="shared" si="10"/>
        <v>December 2021</v>
      </c>
      <c r="D74" s="150">
        <v>1492299.5500000003</v>
      </c>
      <c r="E74" s="213" t="s">
        <v>163</v>
      </c>
      <c r="F74" s="150">
        <f>+$D74*'[5]II-F Alloc_Factor'!E$17</f>
        <v>328606.69534586155</v>
      </c>
      <c r="G74" s="150">
        <f>+$D74*'[5]II-F Alloc_Factor'!F$17</f>
        <v>0</v>
      </c>
      <c r="H74" s="150">
        <f>+$D74*'[5]II-F Alloc_Factor'!G$17</f>
        <v>0</v>
      </c>
      <c r="I74" s="150">
        <f>+$D74*'[5]II-F Alloc_Factor'!H$17</f>
        <v>328606.69534586155</v>
      </c>
      <c r="J74" s="150">
        <f>+$D74*'[5]II-F Alloc_Factor'!I$17</f>
        <v>906571.24711181002</v>
      </c>
      <c r="K74" s="150">
        <f>+$D74*'[5]II-F Alloc_Factor'!J$17</f>
        <v>0</v>
      </c>
      <c r="L74" s="150">
        <f>+$D74*'[5]II-F Alloc_Factor'!K$17</f>
        <v>906571.24711181002</v>
      </c>
      <c r="M74" s="150">
        <f>+$D74*'[5]II-F Alloc_Factor'!L$17</f>
        <v>247174.96189537711</v>
      </c>
      <c r="N74" s="150">
        <f>+$D74*'[5]II-F Alloc_Factor'!M$17</f>
        <v>9946.6456469514851</v>
      </c>
      <c r="O74" s="150">
        <f t="shared" si="8"/>
        <v>1492299.5500000001</v>
      </c>
      <c r="R74" s="138" t="b">
        <f t="shared" si="9"/>
        <v>1</v>
      </c>
    </row>
    <row r="75" spans="1:15" ht="12.75">
      <c r="A75" s="146">
        <v>41</v>
      </c>
      <c r="D75" s="151"/>
      <c r="E75" s="151"/>
      <c r="F75" s="151"/>
      <c r="G75" s="151"/>
      <c r="H75" s="151"/>
      <c r="I75" s="151"/>
      <c r="J75" s="151"/>
      <c r="K75" s="151"/>
      <c r="L75" s="151"/>
      <c r="M75" s="151"/>
      <c r="N75" s="151"/>
      <c r="O75" s="151"/>
    </row>
    <row r="76" spans="1:15" ht="13.5" thickBot="1">
      <c r="A76" s="146">
        <v>42</v>
      </c>
      <c r="B76" s="211" t="s">
        <v>216</v>
      </c>
      <c r="D76" s="172">
        <f t="shared" si="11" ref="D76:O76">SUM(D63:D74)</f>
        <v>12100859.02</v>
      </c>
      <c r="E76" s="228"/>
      <c r="F76" s="172">
        <f t="shared" si="11"/>
        <v>2664628.0858346163</v>
      </c>
      <c r="G76" s="172">
        <f t="shared" si="11"/>
        <v>0</v>
      </c>
      <c r="H76" s="172">
        <f t="shared" si="11"/>
        <v>0</v>
      </c>
      <c r="I76" s="172">
        <f t="shared" si="11"/>
        <v>2664628.0858346163</v>
      </c>
      <c r="J76" s="172">
        <f t="shared" si="11"/>
        <v>7351265.9391243495</v>
      </c>
      <c r="K76" s="172">
        <f t="shared" si="11"/>
        <v>0</v>
      </c>
      <c r="L76" s="172">
        <f t="shared" si="11"/>
        <v>7351265.9391243495</v>
      </c>
      <c r="M76" s="172">
        <f t="shared" si="11"/>
        <v>2004308.9654284425</v>
      </c>
      <c r="N76" s="172">
        <f t="shared" si="11"/>
        <v>80656.029612591243</v>
      </c>
      <c r="O76" s="172">
        <f t="shared" si="11"/>
        <v>12100859.02</v>
      </c>
    </row>
    <row r="77" spans="5:5" ht="13.5" thickTop="1">
      <c r="E77" s="149"/>
    </row>
    <row r="78" spans="5:5" ht="12.75">
      <c r="E78" s="149"/>
    </row>
    <row r="80" spans="4:15" ht="13.5" thickBot="1">
      <c r="D80" s="363" t="s">
        <v>425</v>
      </c>
      <c r="E80" s="362"/>
      <c r="F80" s="362"/>
      <c r="G80" s="362"/>
      <c r="H80" s="362"/>
      <c r="I80" s="362"/>
      <c r="J80" s="362"/>
      <c r="K80" s="362"/>
      <c r="L80" s="362"/>
      <c r="M80" s="362"/>
      <c r="N80" s="362"/>
      <c r="O80" s="362"/>
    </row>
    <row r="81" spans="15:15" ht="12.75">
      <c r="O81" s="61"/>
    </row>
    <row r="82" spans="1:15" ht="12.75">
      <c r="A82" s="18" t="s">
        <v>87</v>
      </c>
      <c r="B82" s="18"/>
      <c r="D82" s="209" t="s">
        <v>216</v>
      </c>
      <c r="E82" s="209" t="s">
        <v>53</v>
      </c>
      <c r="F82" s="18"/>
      <c r="G82" s="18" t="s">
        <v>716</v>
      </c>
      <c r="H82" s="18" t="s">
        <v>722</v>
      </c>
      <c r="I82" s="18" t="s">
        <v>717</v>
      </c>
      <c r="J82" s="18"/>
      <c r="K82" s="18" t="s">
        <v>716</v>
      </c>
      <c r="L82" s="18" t="s">
        <v>717</v>
      </c>
      <c r="M82" s="18"/>
      <c r="N82" s="18"/>
      <c r="O82" s="18"/>
    </row>
    <row r="83" spans="1:15" ht="12.75">
      <c r="A83" s="208" t="s">
        <v>89</v>
      </c>
      <c r="B83" s="208" t="s">
        <v>64</v>
      </c>
      <c r="D83" s="202" t="s">
        <v>219</v>
      </c>
      <c r="E83" s="202" t="s">
        <v>218</v>
      </c>
      <c r="F83" s="202" t="s">
        <v>294</v>
      </c>
      <c r="G83" s="202" t="s">
        <v>294</v>
      </c>
      <c r="H83" s="202" t="s">
        <v>723</v>
      </c>
      <c r="I83" s="202" t="s">
        <v>294</v>
      </c>
      <c r="J83" s="202" t="s">
        <v>295</v>
      </c>
      <c r="K83" s="202" t="s">
        <v>295</v>
      </c>
      <c r="L83" s="202" t="s">
        <v>295</v>
      </c>
      <c r="M83" s="202" t="s">
        <v>283</v>
      </c>
      <c r="N83" s="202" t="s">
        <v>126</v>
      </c>
      <c r="O83" s="202" t="s">
        <v>216</v>
      </c>
    </row>
    <row r="84" spans="1:15" ht="12.75">
      <c r="A84" s="18"/>
      <c r="B84" s="16" t="s">
        <v>44</v>
      </c>
      <c r="D84" s="16" t="s">
        <v>45</v>
      </c>
      <c r="E84" s="16" t="s">
        <v>74</v>
      </c>
      <c r="F84" s="16" t="s">
        <v>75</v>
      </c>
      <c r="G84" s="203" t="s">
        <v>76</v>
      </c>
      <c r="H84" s="203" t="s">
        <v>77</v>
      </c>
      <c r="I84" s="203" t="s">
        <v>78</v>
      </c>
      <c r="J84" s="203" t="s">
        <v>79</v>
      </c>
      <c r="K84" s="203" t="s">
        <v>80</v>
      </c>
      <c r="L84" s="203" t="s">
        <v>81</v>
      </c>
      <c r="M84" s="203" t="s">
        <v>82</v>
      </c>
      <c r="N84" s="203" t="s">
        <v>83</v>
      </c>
      <c r="O84" s="203" t="s">
        <v>84</v>
      </c>
    </row>
    <row r="86" spans="1:18" ht="12.75">
      <c r="A86" s="146">
        <v>43</v>
      </c>
      <c r="B86" s="147" t="str">
        <f>+B63</f>
        <v>January 2021</v>
      </c>
      <c r="D86" s="148">
        <v>5060.79</v>
      </c>
      <c r="E86" s="213" t="s">
        <v>163</v>
      </c>
      <c r="F86" s="148">
        <f>+$D86*'[5]II-F Alloc_Factor'!E$17</f>
        <v>1114.3938747012169</v>
      </c>
      <c r="G86" s="148">
        <f>+$D86*'[5]II-F Alloc_Factor'!F$17</f>
        <v>0</v>
      </c>
      <c r="H86" s="148">
        <f>+$D86*'[5]II-F Alloc_Factor'!G$17</f>
        <v>0</v>
      </c>
      <c r="I86" s="148">
        <f>+$D86*'[5]II-F Alloc_Factor'!H$17</f>
        <v>1114.3938747012169</v>
      </c>
      <c r="J86" s="148">
        <f>+$D86*'[5]II-F Alloc_Factor'!I$17</f>
        <v>3074.4274510241435</v>
      </c>
      <c r="K86" s="148">
        <f>+$D86*'[5]II-F Alloc_Factor'!J$17</f>
        <v>0</v>
      </c>
      <c r="L86" s="148">
        <f>+$D86*'[5]II-F Alloc_Factor'!K$17</f>
        <v>3074.4274510241435</v>
      </c>
      <c r="M86" s="148">
        <f>+$D86*'[5]II-F Alloc_Factor'!L$17</f>
        <v>838.23691792341913</v>
      </c>
      <c r="N86" s="148">
        <f>+$D86*'[5]II-F Alloc_Factor'!M$17</f>
        <v>33.731756351220234</v>
      </c>
      <c r="O86" s="148">
        <f t="shared" si="12" ref="O86:O97">+I86+L86+M86+N86</f>
        <v>5060.79</v>
      </c>
      <c r="R86" s="138" t="b">
        <f t="shared" si="13" ref="R86:R97">+D86=O86</f>
        <v>1</v>
      </c>
    </row>
    <row r="87" spans="1:18" ht="12.75">
      <c r="A87" s="146">
        <v>44</v>
      </c>
      <c r="B87" s="147" t="str">
        <f t="shared" si="14" ref="B87:B97">+B64</f>
        <v>February 2021</v>
      </c>
      <c r="D87" s="150">
        <v>5798.0599999999995</v>
      </c>
      <c r="E87" s="213" t="s">
        <v>163</v>
      </c>
      <c r="F87" s="150">
        <f>+$D87*'[5]II-F Alloc_Factor'!E$17</f>
        <v>1276.7418820283272</v>
      </c>
      <c r="G87" s="150">
        <f>+$D87*'[5]II-F Alloc_Factor'!F$17</f>
        <v>0</v>
      </c>
      <c r="H87" s="150">
        <f>+$D87*'[5]II-F Alloc_Factor'!G$17</f>
        <v>0</v>
      </c>
      <c r="I87" s="150">
        <f>+$D87*'[5]II-F Alloc_Factor'!H$17</f>
        <v>1276.7418820283272</v>
      </c>
      <c r="J87" s="150">
        <f>+$D87*'[5]II-F Alloc_Factor'!I$17</f>
        <v>3522.3186156084412</v>
      </c>
      <c r="K87" s="150">
        <f>+$D87*'[5]II-F Alloc_Factor'!J$17</f>
        <v>0</v>
      </c>
      <c r="L87" s="150">
        <f>+$D87*'[5]II-F Alloc_Factor'!K$17</f>
        <v>3522.3186156084412</v>
      </c>
      <c r="M87" s="150">
        <f>+$D87*'[5]II-F Alloc_Factor'!L$17</f>
        <v>960.35360968051612</v>
      </c>
      <c r="N87" s="150">
        <f>+$D87*'[5]II-F Alloc_Factor'!M$17</f>
        <v>38.645892682714745</v>
      </c>
      <c r="O87" s="150">
        <f t="shared" si="12"/>
        <v>5798.0599999999995</v>
      </c>
      <c r="R87" s="138" t="b">
        <f t="shared" si="13"/>
        <v>1</v>
      </c>
    </row>
    <row r="88" spans="1:18" ht="12.75">
      <c r="A88" s="146">
        <v>45</v>
      </c>
      <c r="B88" s="147" t="str">
        <f t="shared" si="14"/>
        <v>March 2021</v>
      </c>
      <c r="D88" s="150">
        <v>11775.59</v>
      </c>
      <c r="E88" s="213" t="s">
        <v>163</v>
      </c>
      <c r="F88" s="150">
        <f>+$D88*'[5]II-F Alloc_Factor'!E$17</f>
        <v>2593.0033388053848</v>
      </c>
      <c r="G88" s="150">
        <f>+$D88*'[5]II-F Alloc_Factor'!F$17</f>
        <v>0</v>
      </c>
      <c r="H88" s="150">
        <f>+$D88*'[5]II-F Alloc_Factor'!G$17</f>
        <v>0</v>
      </c>
      <c r="I88" s="150">
        <f>+$D88*'[5]II-F Alloc_Factor'!H$17</f>
        <v>2593.0033388053848</v>
      </c>
      <c r="J88" s="150">
        <f>+$D88*'[5]II-F Alloc_Factor'!I$17</f>
        <v>7153.6651684826666</v>
      </c>
      <c r="K88" s="150">
        <f>+$D88*'[5]II-F Alloc_Factor'!J$17</f>
        <v>0</v>
      </c>
      <c r="L88" s="150">
        <f>+$D88*'[5]II-F Alloc_Factor'!K$17</f>
        <v>7153.6651684826666</v>
      </c>
      <c r="M88" s="150">
        <f>+$D88*'[5]II-F Alloc_Factor'!L$17</f>
        <v>1950.4334833750927</v>
      </c>
      <c r="N88" s="150">
        <f>+$D88*'[5]II-F Alloc_Factor'!M$17</f>
        <v>78.488009336855598</v>
      </c>
      <c r="O88" s="150">
        <f t="shared" si="12"/>
        <v>11775.59</v>
      </c>
      <c r="R88" s="138" t="b">
        <f t="shared" si="13"/>
        <v>1</v>
      </c>
    </row>
    <row r="89" spans="1:18" ht="12.75">
      <c r="A89" s="146">
        <v>46</v>
      </c>
      <c r="B89" s="147" t="str">
        <f t="shared" si="14"/>
        <v>April 2021</v>
      </c>
      <c r="D89" s="150">
        <v>4522.54</v>
      </c>
      <c r="E89" s="213" t="s">
        <v>163</v>
      </c>
      <c r="F89" s="150">
        <f>+$D89*'[5]II-F Alloc_Factor'!E$17</f>
        <v>995.87038270531707</v>
      </c>
      <c r="G89" s="150">
        <f>+$D89*'[5]II-F Alloc_Factor'!F$17</f>
        <v>0</v>
      </c>
      <c r="H89" s="150">
        <f>+$D89*'[5]II-F Alloc_Factor'!G$17</f>
        <v>0</v>
      </c>
      <c r="I89" s="150">
        <f>+$D89*'[5]II-F Alloc_Factor'!H$17</f>
        <v>995.87038270531707</v>
      </c>
      <c r="J89" s="150">
        <f>+$D89*'[5]II-F Alloc_Factor'!I$17</f>
        <v>2747.4408391485777</v>
      </c>
      <c r="K89" s="150">
        <f>+$D89*'[5]II-F Alloc_Factor'!J$17</f>
        <v>0</v>
      </c>
      <c r="L89" s="150">
        <f>+$D89*'[5]II-F Alloc_Factor'!K$17</f>
        <v>2747.4408391485777</v>
      </c>
      <c r="M89" s="150">
        <f>+$D89*'[5]II-F Alloc_Factor'!L$17</f>
        <v>749.08462725886272</v>
      </c>
      <c r="N89" s="150">
        <f>+$D89*'[5]II-F Alloc_Factor'!M$17</f>
        <v>30.144150887242414</v>
      </c>
      <c r="O89" s="150">
        <f t="shared" si="12"/>
        <v>4522.5399999999991</v>
      </c>
      <c r="R89" s="138" t="b">
        <f t="shared" si="13"/>
        <v>1</v>
      </c>
    </row>
    <row r="90" spans="1:18" ht="12.75">
      <c r="A90" s="146">
        <v>47</v>
      </c>
      <c r="B90" s="147" t="str">
        <f t="shared" si="14"/>
        <v>May 2021</v>
      </c>
      <c r="D90" s="150">
        <v>7386.8000000000002</v>
      </c>
      <c r="E90" s="213" t="s">
        <v>163</v>
      </c>
      <c r="F90" s="150">
        <f>+$D90*'[5]II-F Alloc_Factor'!E$17</f>
        <v>1626.5849153280317</v>
      </c>
      <c r="G90" s="150">
        <f>+$D90*'[5]II-F Alloc_Factor'!F$17</f>
        <v>0</v>
      </c>
      <c r="H90" s="150">
        <f>+$D90*'[5]II-F Alloc_Factor'!G$17</f>
        <v>0</v>
      </c>
      <c r="I90" s="150">
        <f>+$D90*'[5]II-F Alloc_Factor'!H$17</f>
        <v>1626.5849153280317</v>
      </c>
      <c r="J90" s="150">
        <f>+$D90*'[5]II-F Alloc_Factor'!I$17</f>
        <v>4487.477388950173</v>
      </c>
      <c r="K90" s="150">
        <f>+$D90*'[5]II-F Alloc_Factor'!J$17</f>
        <v>0</v>
      </c>
      <c r="L90" s="150">
        <f>+$D90*'[5]II-F Alloc_Factor'!K$17</f>
        <v>4487.477388950173</v>
      </c>
      <c r="M90" s="150">
        <f>+$D90*'[5]II-F Alloc_Factor'!L$17</f>
        <v>1223.5023514741201</v>
      </c>
      <c r="N90" s="150">
        <f>+$D90*'[5]II-F Alloc_Factor'!M$17</f>
        <v>49.235344247675485</v>
      </c>
      <c r="O90" s="150">
        <f t="shared" si="12"/>
        <v>7386.8000000000002</v>
      </c>
      <c r="R90" s="138" t="b">
        <f t="shared" si="13"/>
        <v>1</v>
      </c>
    </row>
    <row r="91" spans="1:18" ht="12.75">
      <c r="A91" s="146">
        <v>48</v>
      </c>
      <c r="B91" s="147" t="str">
        <f t="shared" si="14"/>
        <v>June 2021</v>
      </c>
      <c r="D91" s="150">
        <v>2596.5599999999999</v>
      </c>
      <c r="E91" s="213" t="s">
        <v>163</v>
      </c>
      <c r="F91" s="150">
        <f>+$D91*'[5]II-F Alloc_Factor'!E$17</f>
        <v>571.76657385392241</v>
      </c>
      <c r="G91" s="150">
        <f>+$D91*'[5]II-F Alloc_Factor'!F$17</f>
        <v>0</v>
      </c>
      <c r="H91" s="150">
        <f>+$D91*'[5]II-F Alloc_Factor'!G$17</f>
        <v>0</v>
      </c>
      <c r="I91" s="150">
        <f>+$D91*'[5]II-F Alloc_Factor'!H$17</f>
        <v>571.76657385392241</v>
      </c>
      <c r="J91" s="150">
        <f>+$D91*'[5]II-F Alloc_Factor'!I$17</f>
        <v>1577.4089306671981</v>
      </c>
      <c r="K91" s="150">
        <f>+$D91*'[5]II-F Alloc_Factor'!J$17</f>
        <v>0</v>
      </c>
      <c r="L91" s="150">
        <f>+$D91*'[5]II-F Alloc_Factor'!K$17</f>
        <v>1577.4089306671981</v>
      </c>
      <c r="M91" s="150">
        <f>+$D91*'[5]II-F Alloc_Factor'!L$17</f>
        <v>430.07760677744648</v>
      </c>
      <c r="N91" s="150">
        <f>+$D91*'[5]II-F Alloc_Factor'!M$17</f>
        <v>17.306888701432861</v>
      </c>
      <c r="O91" s="150">
        <f t="shared" si="12"/>
        <v>2596.5599999999995</v>
      </c>
      <c r="R91" s="138" t="b">
        <f t="shared" si="13"/>
        <v>1</v>
      </c>
    </row>
    <row r="92" spans="1:18" ht="12.75">
      <c r="A92" s="146">
        <v>49</v>
      </c>
      <c r="B92" s="147" t="str">
        <f t="shared" si="14"/>
        <v>July 2021</v>
      </c>
      <c r="D92" s="150">
        <v>3147.1800000000003</v>
      </c>
      <c r="E92" s="213" t="s">
        <v>163</v>
      </c>
      <c r="F92" s="150">
        <f>+$D92*'[5]II-F Alloc_Factor'!E$17</f>
        <v>693.01395920047582</v>
      </c>
      <c r="G92" s="150">
        <f>+$D92*'[5]II-F Alloc_Factor'!F$17</f>
        <v>0</v>
      </c>
      <c r="H92" s="150">
        <f>+$D92*'[5]II-F Alloc_Factor'!G$17</f>
        <v>0</v>
      </c>
      <c r="I92" s="150">
        <f>+$D92*'[5]II-F Alloc_Factor'!H$17</f>
        <v>693.01395920047582</v>
      </c>
      <c r="J92" s="150">
        <f>+$D92*'[5]II-F Alloc_Factor'!I$17</f>
        <v>1911.9103114956686</v>
      </c>
      <c r="K92" s="150">
        <f>+$D92*'[5]II-F Alloc_Factor'!J$17</f>
        <v>0</v>
      </c>
      <c r="L92" s="150">
        <f>+$D92*'[5]II-F Alloc_Factor'!K$17</f>
        <v>1911.9103114956686</v>
      </c>
      <c r="M92" s="150">
        <f>+$D92*'[5]II-F Alloc_Factor'!L$17</f>
        <v>521.2787851995887</v>
      </c>
      <c r="N92" s="150">
        <f>+$D92*'[5]II-F Alloc_Factor'!M$17</f>
        <v>20.97694410426698</v>
      </c>
      <c r="O92" s="150">
        <f t="shared" si="12"/>
        <v>3147.1800000000003</v>
      </c>
      <c r="R92" s="138" t="b">
        <f t="shared" si="13"/>
        <v>1</v>
      </c>
    </row>
    <row r="93" spans="1:18" ht="12.75">
      <c r="A93" s="146">
        <v>50</v>
      </c>
      <c r="B93" s="147" t="str">
        <f t="shared" si="14"/>
        <v>August 2021</v>
      </c>
      <c r="D93" s="150">
        <v>5003.3399999999992</v>
      </c>
      <c r="E93" s="213" t="s">
        <v>163</v>
      </c>
      <c r="F93" s="150">
        <f>+$D93*'[5]II-F Alloc_Factor'!E$17</f>
        <v>1101.7432948309624</v>
      </c>
      <c r="G93" s="150">
        <f>+$D93*'[5]II-F Alloc_Factor'!F$17</f>
        <v>0</v>
      </c>
      <c r="H93" s="150">
        <f>+$D93*'[5]II-F Alloc_Factor'!G$17</f>
        <v>0</v>
      </c>
      <c r="I93" s="150">
        <f>+$D93*'[5]II-F Alloc_Factor'!H$17</f>
        <v>1101.7432948309624</v>
      </c>
      <c r="J93" s="150">
        <f>+$D93*'[5]II-F Alloc_Factor'!I$17</f>
        <v>3039.5266041086738</v>
      </c>
      <c r="K93" s="150">
        <f>+$D93*'[5]II-F Alloc_Factor'!J$17</f>
        <v>0</v>
      </c>
      <c r="L93" s="150">
        <f>+$D93*'[5]II-F Alloc_Factor'!K$17</f>
        <v>3039.5266041086738</v>
      </c>
      <c r="M93" s="150">
        <f>+$D93*'[5]II-F Alloc_Factor'!L$17</f>
        <v>828.72126702016078</v>
      </c>
      <c r="N93" s="150">
        <f>+$D93*'[5]II-F Alloc_Factor'!M$17</f>
        <v>33.348834040202064</v>
      </c>
      <c r="O93" s="150">
        <f t="shared" si="12"/>
        <v>5003.3399999999983</v>
      </c>
      <c r="R93" s="138" t="b">
        <f t="shared" si="13"/>
        <v>1</v>
      </c>
    </row>
    <row r="94" spans="1:18" ht="12.75">
      <c r="A94" s="146">
        <v>51</v>
      </c>
      <c r="B94" s="147" t="str">
        <f t="shared" si="14"/>
        <v>September 2021</v>
      </c>
      <c r="D94" s="150">
        <v>12623.299999999999</v>
      </c>
      <c r="E94" s="213" t="s">
        <v>163</v>
      </c>
      <c r="F94" s="150">
        <f>+$D94*'[5]II-F Alloc_Factor'!E$17</f>
        <v>2779.6704068961312</v>
      </c>
      <c r="G94" s="150">
        <f>+$D94*'[5]II-F Alloc_Factor'!F$17</f>
        <v>0</v>
      </c>
      <c r="H94" s="150">
        <f>+$D94*'[5]II-F Alloc_Factor'!G$17</f>
        <v>0</v>
      </c>
      <c r="I94" s="150">
        <f>+$D94*'[5]II-F Alloc_Factor'!H$17</f>
        <v>2779.6704068961312</v>
      </c>
      <c r="J94" s="150">
        <f>+$D94*'[5]II-F Alloc_Factor'!I$17</f>
        <v>7668.6485790781808</v>
      </c>
      <c r="K94" s="150">
        <f>+$D94*'[5]II-F Alloc_Factor'!J$17</f>
        <v>0</v>
      </c>
      <c r="L94" s="150">
        <f>+$D94*'[5]II-F Alloc_Factor'!K$17</f>
        <v>7668.6485790781808</v>
      </c>
      <c r="M94" s="150">
        <f>+$D94*'[5]II-F Alloc_Factor'!L$17</f>
        <v>2090.8427510374263</v>
      </c>
      <c r="N94" s="150">
        <f>+$D94*'[5]II-F Alloc_Factor'!M$17</f>
        <v>84.138262988260394</v>
      </c>
      <c r="O94" s="150">
        <f t="shared" si="12"/>
        <v>12623.299999999999</v>
      </c>
      <c r="R94" s="138" t="b">
        <f t="shared" si="13"/>
        <v>1</v>
      </c>
    </row>
    <row r="95" spans="1:18" ht="12.75">
      <c r="A95" s="146">
        <v>52</v>
      </c>
      <c r="B95" s="147" t="str">
        <f t="shared" si="14"/>
        <v>October 2021</v>
      </c>
      <c r="D95" s="150">
        <v>-3950.1399999999999</v>
      </c>
      <c r="E95" s="213" t="s">
        <v>163</v>
      </c>
      <c r="F95" s="150">
        <f>+$D95*'[5]II-F Alloc_Factor'!E$17</f>
        <v>-869.82700728784732</v>
      </c>
      <c r="G95" s="150">
        <f>+$D95*'[5]II-F Alloc_Factor'!F$17</f>
        <v>0</v>
      </c>
      <c r="H95" s="150">
        <f>+$D95*'[5]II-F Alloc_Factor'!G$17</f>
        <v>0</v>
      </c>
      <c r="I95" s="150">
        <f>+$D95*'[5]II-F Alloc_Factor'!H$17</f>
        <v>-869.82700728784732</v>
      </c>
      <c r="J95" s="150">
        <f>+$D95*'[5]II-F Alloc_Factor'!I$17</f>
        <v>-2399.7081189672977</v>
      </c>
      <c r="K95" s="150">
        <f>+$D95*'[5]II-F Alloc_Factor'!J$17</f>
        <v>0</v>
      </c>
      <c r="L95" s="150">
        <f>+$D95*'[5]II-F Alloc_Factor'!K$17</f>
        <v>-2399.7081189672977</v>
      </c>
      <c r="M95" s="150">
        <f>+$D95*'[5]II-F Alloc_Factor'!L$17</f>
        <v>-654.27594880760023</v>
      </c>
      <c r="N95" s="150">
        <f>+$D95*'[5]II-F Alloc_Factor'!M$17</f>
        <v>-26.328924937254673</v>
      </c>
      <c r="O95" s="150">
        <f t="shared" si="12"/>
        <v>-3950.1399999999999</v>
      </c>
      <c r="R95" s="138" t="b">
        <f t="shared" si="13"/>
        <v>1</v>
      </c>
    </row>
    <row r="96" spans="1:18" ht="12.75">
      <c r="A96" s="146">
        <v>53</v>
      </c>
      <c r="B96" s="147" t="str">
        <f t="shared" si="14"/>
        <v>November 2021</v>
      </c>
      <c r="D96" s="150">
        <v>7094.9399999999996</v>
      </c>
      <c r="E96" s="213" t="s">
        <v>163</v>
      </c>
      <c r="F96" s="150">
        <f>+$D96*'[5]II-F Alloc_Factor'!E$17</f>
        <v>1562.3168867652385</v>
      </c>
      <c r="G96" s="150">
        <f>+$D96*'[5]II-F Alloc_Factor'!F$17</f>
        <v>0</v>
      </c>
      <c r="H96" s="150">
        <f>+$D96*'[5]II-F Alloc_Factor'!G$17</f>
        <v>0</v>
      </c>
      <c r="I96" s="150">
        <f>+$D96*'[5]II-F Alloc_Factor'!H$17</f>
        <v>1562.3168867652385</v>
      </c>
      <c r="J96" s="150">
        <f>+$D96*'[5]II-F Alloc_Factor'!I$17</f>
        <v>4310.1725816264334</v>
      </c>
      <c r="K96" s="150">
        <f>+$D96*'[5]II-F Alloc_Factor'!J$17</f>
        <v>0</v>
      </c>
      <c r="L96" s="150">
        <f>+$D96*'[5]II-F Alloc_Factor'!K$17</f>
        <v>4310.1725816264334</v>
      </c>
      <c r="M96" s="150">
        <f>+$D96*'[5]II-F Alloc_Factor'!L$17</f>
        <v>1175.1605260150259</v>
      </c>
      <c r="N96" s="150">
        <f>+$D96*'[5]II-F Alloc_Factor'!M$17</f>
        <v>47.290005593301927</v>
      </c>
      <c r="O96" s="150">
        <f t="shared" si="12"/>
        <v>7094.9400000000005</v>
      </c>
      <c r="R96" s="138" t="b">
        <f t="shared" si="13"/>
        <v>1</v>
      </c>
    </row>
    <row r="97" spans="1:18" ht="12.75">
      <c r="A97" s="146">
        <v>54</v>
      </c>
      <c r="B97" s="147" t="str">
        <f t="shared" si="14"/>
        <v>December 2021</v>
      </c>
      <c r="D97" s="150">
        <v>11586.119999999999</v>
      </c>
      <c r="E97" s="213" t="s">
        <v>163</v>
      </c>
      <c r="F97" s="150">
        <f>+$D97*'[5]II-F Alloc_Factor'!E$17</f>
        <v>2551.2817484134421</v>
      </c>
      <c r="G97" s="150">
        <f>+$D97*'[5]II-F Alloc_Factor'!F$17</f>
        <v>0</v>
      </c>
      <c r="H97" s="150">
        <f>+$D97*'[5]II-F Alloc_Factor'!G$17</f>
        <v>0</v>
      </c>
      <c r="I97" s="150">
        <f>+$D97*'[5]II-F Alloc_Factor'!H$17</f>
        <v>2551.2817484134421</v>
      </c>
      <c r="J97" s="150">
        <f>+$D97*'[5]II-F Alloc_Factor'!I$17</f>
        <v>7038.5622361054002</v>
      </c>
      <c r="K97" s="150">
        <f>+$D97*'[5]II-F Alloc_Factor'!J$17</f>
        <v>0</v>
      </c>
      <c r="L97" s="150">
        <f>+$D97*'[5]II-F Alloc_Factor'!K$17</f>
        <v>7038.5622361054002</v>
      </c>
      <c r="M97" s="150">
        <f>+$D97*'[5]II-F Alloc_Factor'!L$17</f>
        <v>1919.0508832595078</v>
      </c>
      <c r="N97" s="150">
        <f>+$D97*'[5]II-F Alloc_Factor'!M$17</f>
        <v>77.225132221649133</v>
      </c>
      <c r="O97" s="150">
        <f t="shared" si="12"/>
        <v>11586.119999999999</v>
      </c>
      <c r="R97" s="138" t="b">
        <f t="shared" si="13"/>
        <v>1</v>
      </c>
    </row>
    <row r="98" spans="1:15" ht="12.75">
      <c r="A98" s="146">
        <v>55</v>
      </c>
      <c r="D98" s="151"/>
      <c r="E98" s="151"/>
      <c r="F98" s="151"/>
      <c r="G98" s="151"/>
      <c r="H98" s="151"/>
      <c r="I98" s="151"/>
      <c r="J98" s="151"/>
      <c r="K98" s="151"/>
      <c r="L98" s="151"/>
      <c r="M98" s="151"/>
      <c r="N98" s="151"/>
      <c r="O98" s="151"/>
    </row>
    <row r="99" spans="1:15" ht="13.5" thickBot="1">
      <c r="A99" s="146">
        <v>56</v>
      </c>
      <c r="B99" s="211" t="s">
        <v>216</v>
      </c>
      <c r="D99" s="172">
        <f t="shared" si="15" ref="D99:O99">SUM(D86:D97)</f>
        <v>72645.079999999987</v>
      </c>
      <c r="E99" s="228"/>
      <c r="F99" s="172">
        <f t="shared" si="15"/>
        <v>15996.560256240602</v>
      </c>
      <c r="G99" s="172">
        <f t="shared" si="16" ref="G99:N99">SUM(G86:G97)</f>
        <v>0</v>
      </c>
      <c r="H99" s="172">
        <f t="shared" si="16"/>
        <v>0</v>
      </c>
      <c r="I99" s="172">
        <f t="shared" si="16"/>
        <v>15996.560256240602</v>
      </c>
      <c r="J99" s="172">
        <f t="shared" si="16"/>
        <v>44131.850587328256</v>
      </c>
      <c r="K99" s="172">
        <f t="shared" si="16"/>
        <v>0</v>
      </c>
      <c r="L99" s="172">
        <f t="shared" si="16"/>
        <v>44131.850587328256</v>
      </c>
      <c r="M99" s="172">
        <f t="shared" si="16"/>
        <v>12032.466860213568</v>
      </c>
      <c r="N99" s="172">
        <f t="shared" si="16"/>
        <v>484.20229621756715</v>
      </c>
      <c r="O99" s="172">
        <f t="shared" si="15"/>
        <v>72645.079999999987</v>
      </c>
    </row>
    <row r="100" spans="5:5" ht="13.5" thickTop="1">
      <c r="E100" s="149"/>
    </row>
    <row r="103" spans="4:15" ht="13.5" thickBot="1">
      <c r="D103" s="363" t="s">
        <v>743</v>
      </c>
      <c r="E103" s="362"/>
      <c r="F103" s="362"/>
      <c r="G103" s="362"/>
      <c r="H103" s="362"/>
      <c r="I103" s="362"/>
      <c r="J103" s="362"/>
      <c r="K103" s="362"/>
      <c r="L103" s="362"/>
      <c r="M103" s="362"/>
      <c r="N103" s="362"/>
      <c r="O103" s="362"/>
    </row>
    <row r="104" spans="15:15" ht="12.75">
      <c r="O104" s="61"/>
    </row>
    <row r="105" spans="1:15" ht="12.75">
      <c r="A105" s="18" t="s">
        <v>87</v>
      </c>
      <c r="B105" s="18"/>
      <c r="D105" s="209" t="s">
        <v>216</v>
      </c>
      <c r="E105" s="209" t="s">
        <v>53</v>
      </c>
      <c r="F105" s="18"/>
      <c r="G105" s="18" t="s">
        <v>716</v>
      </c>
      <c r="H105" s="18" t="s">
        <v>722</v>
      </c>
      <c r="I105" s="18" t="s">
        <v>717</v>
      </c>
      <c r="J105" s="18"/>
      <c r="K105" s="18" t="s">
        <v>716</v>
      </c>
      <c r="L105" s="18" t="s">
        <v>717</v>
      </c>
      <c r="M105" s="18"/>
      <c r="N105" s="18"/>
      <c r="O105" s="18"/>
    </row>
    <row r="106" spans="1:15" ht="12.75">
      <c r="A106" s="208" t="s">
        <v>89</v>
      </c>
      <c r="B106" s="208" t="s">
        <v>64</v>
      </c>
      <c r="D106" s="202" t="s">
        <v>219</v>
      </c>
      <c r="E106" s="202" t="s">
        <v>218</v>
      </c>
      <c r="F106" s="202" t="s">
        <v>294</v>
      </c>
      <c r="G106" s="202" t="s">
        <v>294</v>
      </c>
      <c r="H106" s="202" t="s">
        <v>723</v>
      </c>
      <c r="I106" s="202" t="s">
        <v>294</v>
      </c>
      <c r="J106" s="202" t="s">
        <v>295</v>
      </c>
      <c r="K106" s="202" t="s">
        <v>295</v>
      </c>
      <c r="L106" s="202" t="s">
        <v>295</v>
      </c>
      <c r="M106" s="202" t="s">
        <v>283</v>
      </c>
      <c r="N106" s="202" t="s">
        <v>126</v>
      </c>
      <c r="O106" s="202" t="s">
        <v>216</v>
      </c>
    </row>
    <row r="107" spans="1:15" ht="12.75">
      <c r="A107" s="18"/>
      <c r="B107" s="16" t="s">
        <v>44</v>
      </c>
      <c r="D107" s="16" t="s">
        <v>45</v>
      </c>
      <c r="E107" s="16" t="s">
        <v>74</v>
      </c>
      <c r="F107" s="16" t="s">
        <v>75</v>
      </c>
      <c r="G107" s="203" t="s">
        <v>76</v>
      </c>
      <c r="H107" s="203" t="s">
        <v>77</v>
      </c>
      <c r="I107" s="203" t="s">
        <v>78</v>
      </c>
      <c r="J107" s="203" t="s">
        <v>79</v>
      </c>
      <c r="K107" s="203" t="s">
        <v>80</v>
      </c>
      <c r="L107" s="203" t="s">
        <v>81</v>
      </c>
      <c r="M107" s="203" t="s">
        <v>82</v>
      </c>
      <c r="N107" s="203" t="s">
        <v>83</v>
      </c>
      <c r="O107" s="203" t="s">
        <v>84</v>
      </c>
    </row>
    <row r="109" spans="1:18" ht="12.75">
      <c r="A109" s="146">
        <v>57</v>
      </c>
      <c r="B109" s="147" t="str">
        <f>+B86</f>
        <v>January 2021</v>
      </c>
      <c r="D109" s="148">
        <v>13674.550000000001</v>
      </c>
      <c r="E109" s="213" t="s">
        <v>163</v>
      </c>
      <c r="F109" s="148">
        <f>+$D109*'[5]II-F Alloc_Factor'!E$17</f>
        <v>3011.1573013888201</v>
      </c>
      <c r="G109" s="148">
        <f>+$D109*'[5]II-F Alloc_Factor'!F$17</f>
        <v>0</v>
      </c>
      <c r="H109" s="148">
        <f>+$D109*'[5]II-F Alloc_Factor'!G$17</f>
        <v>0</v>
      </c>
      <c r="I109" s="148">
        <f>+$D109*'[5]II-F Alloc_Factor'!H$17</f>
        <v>3011.1573013888201</v>
      </c>
      <c r="J109" s="148">
        <f>+$D109*'[5]II-F Alloc_Factor'!I$17</f>
        <v>8307.2824401728194</v>
      </c>
      <c r="K109" s="148">
        <f>+$D109*'[5]II-F Alloc_Factor'!J$17</f>
        <v>0</v>
      </c>
      <c r="L109" s="148">
        <f>+$D109*'[5]II-F Alloc_Factor'!K$17</f>
        <v>8307.2824401728194</v>
      </c>
      <c r="M109" s="148">
        <f>+$D109*'[5]II-F Alloc_Factor'!L$17</f>
        <v>2264.9650837101899</v>
      </c>
      <c r="N109" s="148">
        <f>+$D109*'[5]II-F Alloc_Factor'!M$17</f>
        <v>91.14517472817063</v>
      </c>
      <c r="O109" s="148">
        <f t="shared" si="17" ref="O109:O120">+I109+L109+M109+N109</f>
        <v>13674.550000000001</v>
      </c>
      <c r="R109" s="138" t="b">
        <f t="shared" si="18" ref="R109:R120">+D109=O109</f>
        <v>1</v>
      </c>
    </row>
    <row r="110" spans="1:18" ht="12.75">
      <c r="A110" s="146">
        <v>58</v>
      </c>
      <c r="B110" s="147" t="str">
        <f t="shared" si="19" ref="B110:B120">+B87</f>
        <v>February 2021</v>
      </c>
      <c r="D110" s="150">
        <v>19173.43</v>
      </c>
      <c r="E110" s="213" t="s">
        <v>163</v>
      </c>
      <c r="F110" s="150">
        <f>+$D110*'[5]II-F Alloc_Factor'!E$17</f>
        <v>4222.0192794035229</v>
      </c>
      <c r="G110" s="150">
        <f>+$D110*'[5]II-F Alloc_Factor'!F$17</f>
        <v>0</v>
      </c>
      <c r="H110" s="150">
        <f>+$D110*'[5]II-F Alloc_Factor'!G$17</f>
        <v>0</v>
      </c>
      <c r="I110" s="150">
        <f>+$D110*'[5]II-F Alloc_Factor'!H$17</f>
        <v>4222.0192794035229</v>
      </c>
      <c r="J110" s="150">
        <f>+$D110*'[5]II-F Alloc_Factor'!I$17</f>
        <v>11647.849352035917</v>
      </c>
      <c r="K110" s="150">
        <f>+$D110*'[5]II-F Alloc_Factor'!J$17</f>
        <v>0</v>
      </c>
      <c r="L110" s="150">
        <f>+$D110*'[5]II-F Alloc_Factor'!K$17</f>
        <v>11647.849352035917</v>
      </c>
      <c r="M110" s="150">
        <f>+$D110*'[5]II-F Alloc_Factor'!L$17</f>
        <v>3175.7644299052959</v>
      </c>
      <c r="N110" s="150">
        <f>+$D110*'[5]II-F Alloc_Factor'!M$17</f>
        <v>127.7969386552646</v>
      </c>
      <c r="O110" s="150">
        <f t="shared" si="17"/>
        <v>19173.43</v>
      </c>
      <c r="R110" s="138" t="b">
        <f t="shared" si="18"/>
        <v>1</v>
      </c>
    </row>
    <row r="111" spans="1:18" ht="12.75">
      <c r="A111" s="146">
        <v>59</v>
      </c>
      <c r="B111" s="147" t="str">
        <f t="shared" si="19"/>
        <v>March 2021</v>
      </c>
      <c r="D111" s="150">
        <v>25230.279999999999</v>
      </c>
      <c r="E111" s="213" t="s">
        <v>163</v>
      </c>
      <c r="F111" s="150">
        <f>+$D111*'[5]II-F Alloc_Factor'!E$17</f>
        <v>5555.7471242625397</v>
      </c>
      <c r="G111" s="150">
        <f>+$D111*'[5]II-F Alloc_Factor'!F$17</f>
        <v>0</v>
      </c>
      <c r="H111" s="150">
        <f>+$D111*'[5]II-F Alloc_Factor'!G$17</f>
        <v>0</v>
      </c>
      <c r="I111" s="150">
        <f>+$D111*'[5]II-F Alloc_Factor'!H$17</f>
        <v>5555.7471242625397</v>
      </c>
      <c r="J111" s="150">
        <f>+$D111*'[5]II-F Alloc_Factor'!I$17</f>
        <v>15327.382766134422</v>
      </c>
      <c r="K111" s="150">
        <f>+$D111*'[5]II-F Alloc_Factor'!J$17</f>
        <v>0</v>
      </c>
      <c r="L111" s="150">
        <f>+$D111*'[5]II-F Alloc_Factor'!K$17</f>
        <v>15327.382766134422</v>
      </c>
      <c r="M111" s="150">
        <f>+$D111*'[5]II-F Alloc_Factor'!L$17</f>
        <v>4178.9823615571649</v>
      </c>
      <c r="N111" s="150">
        <f>+$D111*'[5]II-F Alloc_Factor'!M$17</f>
        <v>168.16774804587124</v>
      </c>
      <c r="O111" s="150">
        <f t="shared" si="17"/>
        <v>25230.279999999999</v>
      </c>
      <c r="R111" s="138" t="b">
        <f t="shared" si="18"/>
        <v>1</v>
      </c>
    </row>
    <row r="112" spans="1:18" ht="12.75">
      <c r="A112" s="146">
        <v>60</v>
      </c>
      <c r="B112" s="147" t="str">
        <f t="shared" si="19"/>
        <v>April 2021</v>
      </c>
      <c r="D112" s="150">
        <v>14609.749999999998</v>
      </c>
      <c r="E112" s="213" t="s">
        <v>163</v>
      </c>
      <c r="F112" s="150">
        <f>+$D112*'[5]II-F Alloc_Factor'!E$17</f>
        <v>3217.0898043420302</v>
      </c>
      <c r="G112" s="150">
        <f>+$D112*'[5]II-F Alloc_Factor'!F$17</f>
        <v>0</v>
      </c>
      <c r="H112" s="150">
        <f>+$D112*'[5]II-F Alloc_Factor'!G$17</f>
        <v>0</v>
      </c>
      <c r="I112" s="150">
        <f>+$D112*'[5]II-F Alloc_Factor'!H$17</f>
        <v>3217.0898043420302</v>
      </c>
      <c r="J112" s="150">
        <f>+$D112*'[5]II-F Alloc_Factor'!I$17</f>
        <v>8875.4159829986966</v>
      </c>
      <c r="K112" s="150">
        <f>+$D112*'[5]II-F Alloc_Factor'!J$17</f>
        <v>0</v>
      </c>
      <c r="L112" s="150">
        <f>+$D112*'[5]II-F Alloc_Factor'!K$17</f>
        <v>8875.4159829986966</v>
      </c>
      <c r="M112" s="150">
        <f>+$D112*'[5]II-F Alloc_Factor'!L$17</f>
        <v>2419.8656359247611</v>
      </c>
      <c r="N112" s="150">
        <f>+$D112*'[5]II-F Alloc_Factor'!M$17</f>
        <v>97.378576734509778</v>
      </c>
      <c r="O112" s="150">
        <f t="shared" si="17"/>
        <v>14609.749999999998</v>
      </c>
      <c r="R112" s="138" t="b">
        <f t="shared" si="18"/>
        <v>1</v>
      </c>
    </row>
    <row r="113" spans="1:18" ht="12.75">
      <c r="A113" s="146">
        <v>61</v>
      </c>
      <c r="B113" s="147" t="str">
        <f t="shared" si="19"/>
        <v>May 2021</v>
      </c>
      <c r="D113" s="150">
        <v>20077.27</v>
      </c>
      <c r="E113" s="213" t="s">
        <v>163</v>
      </c>
      <c r="F113" s="150">
        <f>+$D113*'[5]II-F Alloc_Factor'!E$17</f>
        <v>4421.0462612996198</v>
      </c>
      <c r="G113" s="150">
        <f>+$D113*'[5]II-F Alloc_Factor'!F$17</f>
        <v>0</v>
      </c>
      <c r="H113" s="150">
        <f>+$D113*'[5]II-F Alloc_Factor'!G$17</f>
        <v>0</v>
      </c>
      <c r="I113" s="150">
        <f>+$D113*'[5]II-F Alloc_Factor'!H$17</f>
        <v>4421.0462612996198</v>
      </c>
      <c r="J113" s="150">
        <f>+$D113*'[5]II-F Alloc_Factor'!I$17</f>
        <v>12196.931710192184</v>
      </c>
      <c r="K113" s="150">
        <f>+$D113*'[5]II-F Alloc_Factor'!J$17</f>
        <v>0</v>
      </c>
      <c r="L113" s="150">
        <f>+$D113*'[5]II-F Alloc_Factor'!K$17</f>
        <v>12196.931710192184</v>
      </c>
      <c r="M113" s="150">
        <f>+$D113*'[5]II-F Alloc_Factor'!L$17</f>
        <v>3325.4707121054867</v>
      </c>
      <c r="N113" s="150">
        <f>+$D113*'[5]II-F Alloc_Factor'!M$17</f>
        <v>133.82131640270856</v>
      </c>
      <c r="O113" s="150">
        <f t="shared" si="17"/>
        <v>20077.269999999997</v>
      </c>
      <c r="R113" s="138" t="b">
        <f t="shared" si="18"/>
        <v>1</v>
      </c>
    </row>
    <row r="114" spans="1:18" ht="12.75">
      <c r="A114" s="146">
        <v>62</v>
      </c>
      <c r="B114" s="147" t="str">
        <f t="shared" si="19"/>
        <v>June 2021</v>
      </c>
      <c r="D114" s="150">
        <v>29002.610000000001</v>
      </c>
      <c r="E114" s="213" t="s">
        <v>163</v>
      </c>
      <c r="F114" s="150">
        <f>+$D114*'[5]II-F Alloc_Factor'!E$17</f>
        <v>6386.4200913984305</v>
      </c>
      <c r="G114" s="150">
        <f>+$D114*'[5]II-F Alloc_Factor'!F$17</f>
        <v>0</v>
      </c>
      <c r="H114" s="150">
        <f>+$D114*'[5]II-F Alloc_Factor'!G$17</f>
        <v>0</v>
      </c>
      <c r="I114" s="150">
        <f>+$D114*'[5]II-F Alloc_Factor'!H$17</f>
        <v>6386.4200913984305</v>
      </c>
      <c r="J114" s="150">
        <f>+$D114*'[5]II-F Alloc_Factor'!I$17</f>
        <v>17619.071397024443</v>
      </c>
      <c r="K114" s="150">
        <f>+$D114*'[5]II-F Alloc_Factor'!J$17</f>
        <v>0</v>
      </c>
      <c r="L114" s="150">
        <f>+$D114*'[5]II-F Alloc_Factor'!K$17</f>
        <v>17619.071397024443</v>
      </c>
      <c r="M114" s="150">
        <f>+$D114*'[5]II-F Alloc_Factor'!L$17</f>
        <v>4803.8069981435583</v>
      </c>
      <c r="N114" s="150">
        <f>+$D114*'[5]II-F Alloc_Factor'!M$17</f>
        <v>193.31151343356737</v>
      </c>
      <c r="O114" s="150">
        <f t="shared" si="17"/>
        <v>29002.610000000001</v>
      </c>
      <c r="R114" s="138" t="b">
        <f t="shared" si="18"/>
        <v>1</v>
      </c>
    </row>
    <row r="115" spans="1:18" ht="12.75">
      <c r="A115" s="146">
        <v>63</v>
      </c>
      <c r="B115" s="147" t="str">
        <f t="shared" si="19"/>
        <v>July 2021</v>
      </c>
      <c r="D115" s="150">
        <v>17785.470000000001</v>
      </c>
      <c r="E115" s="213" t="s">
        <v>163</v>
      </c>
      <c r="F115" s="150">
        <f>+$D115*'[5]II-F Alloc_Factor'!E$17</f>
        <v>3916.3883161882341</v>
      </c>
      <c r="G115" s="150">
        <f>+$D115*'[5]II-F Alloc_Factor'!F$17</f>
        <v>0</v>
      </c>
      <c r="H115" s="150">
        <f>+$D115*'[5]II-F Alloc_Factor'!G$17</f>
        <v>0</v>
      </c>
      <c r="I115" s="150">
        <f>+$D115*'[5]II-F Alloc_Factor'!H$17</f>
        <v>3916.3883161882341</v>
      </c>
      <c r="J115" s="150">
        <f>+$D115*'[5]II-F Alloc_Factor'!I$17</f>
        <v>10804.664330542539</v>
      </c>
      <c r="K115" s="150">
        <f>+$D115*'[5]II-F Alloc_Factor'!J$17</f>
        <v>0</v>
      </c>
      <c r="L115" s="150">
        <f>+$D115*'[5]II-F Alloc_Factor'!K$17</f>
        <v>10804.664330542539</v>
      </c>
      <c r="M115" s="150">
        <f>+$D115*'[5]II-F Alloc_Factor'!L$17</f>
        <v>2945.8716043581012</v>
      </c>
      <c r="N115" s="150">
        <f>+$D115*'[5]II-F Alloc_Factor'!M$17</f>
        <v>118.54574891112591</v>
      </c>
      <c r="O115" s="150">
        <f t="shared" si="17"/>
        <v>17785.469999999998</v>
      </c>
      <c r="R115" s="138" t="b">
        <f t="shared" si="18"/>
        <v>1</v>
      </c>
    </row>
    <row r="116" spans="1:18" ht="12.75">
      <c r="A116" s="146">
        <v>64</v>
      </c>
      <c r="B116" s="147" t="str">
        <f t="shared" si="19"/>
        <v>August 2021</v>
      </c>
      <c r="D116" s="150">
        <v>29356.59</v>
      </c>
      <c r="E116" s="213" t="s">
        <v>163</v>
      </c>
      <c r="F116" s="150">
        <f>+$D116*'[5]II-F Alloc_Factor'!E$17</f>
        <v>6464.3670411368576</v>
      </c>
      <c r="G116" s="150">
        <f>+$D116*'[5]II-F Alloc_Factor'!F$17</f>
        <v>0</v>
      </c>
      <c r="H116" s="150">
        <f>+$D116*'[5]II-F Alloc_Factor'!G$17</f>
        <v>0</v>
      </c>
      <c r="I116" s="150">
        <f>+$D116*'[5]II-F Alloc_Factor'!H$17</f>
        <v>6464.3670411368576</v>
      </c>
      <c r="J116" s="150">
        <f>+$D116*'[5]II-F Alloc_Factor'!I$17</f>
        <v>17834.114073980716</v>
      </c>
      <c r="K116" s="150">
        <f>+$D116*'[5]II-F Alloc_Factor'!J$17</f>
        <v>0</v>
      </c>
      <c r="L116" s="150">
        <f>+$D116*'[5]II-F Alloc_Factor'!K$17</f>
        <v>17834.114073980716</v>
      </c>
      <c r="M116" s="150">
        <f>+$D116*'[5]II-F Alloc_Factor'!L$17</f>
        <v>4862.4379834653218</v>
      </c>
      <c r="N116" s="150">
        <f>+$D116*'[5]II-F Alloc_Factor'!M$17</f>
        <v>195.67090141710452</v>
      </c>
      <c r="O116" s="150">
        <f t="shared" si="17"/>
        <v>29356.59</v>
      </c>
      <c r="R116" s="138" t="b">
        <f t="shared" si="18"/>
        <v>1</v>
      </c>
    </row>
    <row r="117" spans="1:18" ht="12.75">
      <c r="A117" s="146">
        <v>65</v>
      </c>
      <c r="B117" s="147" t="str">
        <f t="shared" si="19"/>
        <v>September 2021</v>
      </c>
      <c r="D117" s="150">
        <v>17800.129999999997</v>
      </c>
      <c r="E117" s="213" t="s">
        <v>163</v>
      </c>
      <c r="F117" s="150">
        <f>+$D117*'[5]II-F Alloc_Factor'!E$17</f>
        <v>3919.6164711211827</v>
      </c>
      <c r="G117" s="150">
        <f>+$D117*'[5]II-F Alloc_Factor'!F$17</f>
        <v>0</v>
      </c>
      <c r="H117" s="150">
        <f>+$D117*'[5]II-F Alloc_Factor'!G$17</f>
        <v>0</v>
      </c>
      <c r="I117" s="150">
        <f>+$D117*'[5]II-F Alloc_Factor'!H$17</f>
        <v>3919.6164711211827</v>
      </c>
      <c r="J117" s="150">
        <f>+$D117*'[5]II-F Alloc_Factor'!I$17</f>
        <v>10813.570273375972</v>
      </c>
      <c r="K117" s="150">
        <f>+$D117*'[5]II-F Alloc_Factor'!J$17</f>
        <v>0</v>
      </c>
      <c r="L117" s="150">
        <f>+$D117*'[5]II-F Alloc_Factor'!K$17</f>
        <v>10813.570273375972</v>
      </c>
      <c r="M117" s="150">
        <f>+$D117*'[5]II-F Alloc_Factor'!L$17</f>
        <v>2948.2997930829356</v>
      </c>
      <c r="N117" s="150">
        <f>+$D117*'[5]II-F Alloc_Factor'!M$17</f>
        <v>118.64346241990789</v>
      </c>
      <c r="O117" s="150">
        <f t="shared" si="17"/>
        <v>17800.129999999997</v>
      </c>
      <c r="R117" s="138" t="b">
        <f t="shared" si="18"/>
        <v>1</v>
      </c>
    </row>
    <row r="118" spans="1:18" ht="12.75">
      <c r="A118" s="146">
        <v>66</v>
      </c>
      <c r="B118" s="147" t="str">
        <f t="shared" si="19"/>
        <v>October 2021</v>
      </c>
      <c r="D118" s="150">
        <v>17993.639999999999</v>
      </c>
      <c r="E118" s="213" t="s">
        <v>163</v>
      </c>
      <c r="F118" s="150">
        <f>+$D118*'[5]II-F Alloc_Factor'!E$17</f>
        <v>3962.2276758329836</v>
      </c>
      <c r="G118" s="150">
        <f>+$D118*'[5]II-F Alloc_Factor'!F$17</f>
        <v>0</v>
      </c>
      <c r="H118" s="150">
        <f>+$D118*'[5]II-F Alloc_Factor'!G$17</f>
        <v>0</v>
      </c>
      <c r="I118" s="150">
        <f>+$D118*'[5]II-F Alloc_Factor'!H$17</f>
        <v>3962.2276758329836</v>
      </c>
      <c r="J118" s="150">
        <f>+$D118*'[5]II-F Alloc_Factor'!I$17</f>
        <v>10931.127503778278</v>
      </c>
      <c r="K118" s="150">
        <f>+$D118*'[5]II-F Alloc_Factor'!J$17</f>
        <v>0</v>
      </c>
      <c r="L118" s="150">
        <f>+$D118*'[5]II-F Alloc_Factor'!K$17</f>
        <v>10931.127503778278</v>
      </c>
      <c r="M118" s="150">
        <f>+$D118*'[5]II-F Alloc_Factor'!L$17</f>
        <v>2980.3515529835367</v>
      </c>
      <c r="N118" s="150">
        <f>+$D118*'[5]II-F Alloc_Factor'!M$17</f>
        <v>119.93326740520163</v>
      </c>
      <c r="O118" s="150">
        <f t="shared" si="17"/>
        <v>17993.640000000003</v>
      </c>
      <c r="R118" s="138" t="b">
        <f t="shared" si="18"/>
        <v>1</v>
      </c>
    </row>
    <row r="119" spans="1:18" ht="12.75">
      <c r="A119" s="146">
        <v>67</v>
      </c>
      <c r="B119" s="147" t="str">
        <f t="shared" si="19"/>
        <v>November 2021</v>
      </c>
      <c r="D119" s="150">
        <v>24475.420000000002</v>
      </c>
      <c r="E119" s="213" t="s">
        <v>163</v>
      </c>
      <c r="F119" s="150">
        <f>+$D119*'[5]II-F Alloc_Factor'!E$17</f>
        <v>5389.5257714190202</v>
      </c>
      <c r="G119" s="150">
        <f>+$D119*'[5]II-F Alloc_Factor'!F$17</f>
        <v>0</v>
      </c>
      <c r="H119" s="150">
        <f>+$D119*'[5]II-F Alloc_Factor'!G$17</f>
        <v>0</v>
      </c>
      <c r="I119" s="150">
        <f>+$D119*'[5]II-F Alloc_Factor'!H$17</f>
        <v>5389.5257714190202</v>
      </c>
      <c r="J119" s="150">
        <f>+$D119*'[5]II-F Alloc_Factor'!I$17</f>
        <v>14868.805685149027</v>
      </c>
      <c r="K119" s="150">
        <f>+$D119*'[5]II-F Alloc_Factor'!J$17</f>
        <v>0</v>
      </c>
      <c r="L119" s="150">
        <f>+$D119*'[5]II-F Alloc_Factor'!K$17</f>
        <v>14868.805685149027</v>
      </c>
      <c r="M119" s="150">
        <f>+$D119*'[5]II-F Alloc_Factor'!L$17</f>
        <v>4053.9521745974866</v>
      </c>
      <c r="N119" s="150">
        <f>+$D119*'[5]II-F Alloc_Factor'!M$17</f>
        <v>163.13636883446711</v>
      </c>
      <c r="O119" s="150">
        <f t="shared" si="17"/>
        <v>24475.420000000002</v>
      </c>
      <c r="R119" s="138" t="b">
        <f t="shared" si="18"/>
        <v>1</v>
      </c>
    </row>
    <row r="120" spans="1:18" ht="12.75">
      <c r="A120" s="146">
        <v>68</v>
      </c>
      <c r="B120" s="147" t="str">
        <f t="shared" si="19"/>
        <v>December 2021</v>
      </c>
      <c r="D120" s="150">
        <v>22941.009999999998</v>
      </c>
      <c r="E120" s="213" t="s">
        <v>163</v>
      </c>
      <c r="F120" s="150">
        <f>+$D120*'[5]II-F Alloc_Factor'!E$17</f>
        <v>5051.6462891088868</v>
      </c>
      <c r="G120" s="150">
        <f>+$D120*'[5]II-F Alloc_Factor'!F$17</f>
        <v>0</v>
      </c>
      <c r="H120" s="150">
        <f>+$D120*'[5]II-F Alloc_Factor'!G$17</f>
        <v>0</v>
      </c>
      <c r="I120" s="150">
        <f>+$D120*'[5]II-F Alloc_Factor'!H$17</f>
        <v>5051.6462891088868</v>
      </c>
      <c r="J120" s="150">
        <f>+$D120*'[5]II-F Alloc_Factor'!I$17</f>
        <v>13936.652360247981</v>
      </c>
      <c r="K120" s="150">
        <f>+$D120*'[5]II-F Alloc_Factor'!J$17</f>
        <v>0</v>
      </c>
      <c r="L120" s="150">
        <f>+$D120*'[5]II-F Alloc_Factor'!K$17</f>
        <v>13936.652360247981</v>
      </c>
      <c r="M120" s="150">
        <f>+$D120*'[5]II-F Alloc_Factor'!L$17</f>
        <v>3799.8023068434645</v>
      </c>
      <c r="N120" s="150">
        <f>+$D120*'[5]II-F Alloc_Factor'!M$17</f>
        <v>152.90904379966503</v>
      </c>
      <c r="O120" s="150">
        <f t="shared" si="17"/>
        <v>22941.009999999995</v>
      </c>
      <c r="R120" s="138" t="b">
        <f t="shared" si="18"/>
        <v>1</v>
      </c>
    </row>
    <row r="121" spans="1:15" ht="12.75">
      <c r="A121" s="146">
        <v>69</v>
      </c>
      <c r="D121" s="151"/>
      <c r="E121" s="151"/>
      <c r="F121" s="151"/>
      <c r="G121" s="151"/>
      <c r="H121" s="151"/>
      <c r="I121" s="151"/>
      <c r="J121" s="151"/>
      <c r="K121" s="151"/>
      <c r="L121" s="151"/>
      <c r="M121" s="151"/>
      <c r="N121" s="151"/>
      <c r="O121" s="151"/>
    </row>
    <row r="122" spans="1:15" ht="13.5" thickBot="1">
      <c r="A122" s="146">
        <v>70</v>
      </c>
      <c r="B122" s="211" t="s">
        <v>216</v>
      </c>
      <c r="D122" s="172">
        <f t="shared" si="20" ref="D122:O122">SUM(D109:D120)</f>
        <v>252120.14999999999</v>
      </c>
      <c r="E122" s="228"/>
      <c r="F122" s="172">
        <f t="shared" si="20"/>
        <v>55517.251426902134</v>
      </c>
      <c r="G122" s="172">
        <f t="shared" si="21" ref="G122:N122">SUM(G109:G120)</f>
        <v>0</v>
      </c>
      <c r="H122" s="172">
        <f t="shared" si="21"/>
        <v>0</v>
      </c>
      <c r="I122" s="172">
        <f t="shared" si="21"/>
        <v>55517.251426902134</v>
      </c>
      <c r="J122" s="172">
        <f t="shared" si="21"/>
        <v>153162.86787563298</v>
      </c>
      <c r="K122" s="172">
        <f t="shared" si="21"/>
        <v>0</v>
      </c>
      <c r="L122" s="172">
        <f t="shared" si="21"/>
        <v>153162.86787563298</v>
      </c>
      <c r="M122" s="172">
        <f t="shared" si="21"/>
        <v>41759.570636677301</v>
      </c>
      <c r="N122" s="172">
        <f t="shared" si="21"/>
        <v>1680.4600607875641</v>
      </c>
      <c r="O122" s="172">
        <f t="shared" si="20"/>
        <v>252120.15000000002</v>
      </c>
    </row>
    <row r="123" spans="5:5" ht="13.5" thickTop="1">
      <c r="E123" s="149"/>
    </row>
    <row r="124" spans="5:5" ht="12.75">
      <c r="E124" s="149"/>
    </row>
    <row r="126" spans="4:15" ht="13.5" thickBot="1">
      <c r="D126" s="363" t="s">
        <v>593</v>
      </c>
      <c r="E126" s="362"/>
      <c r="F126" s="362"/>
      <c r="G126" s="362"/>
      <c r="H126" s="362"/>
      <c r="I126" s="362"/>
      <c r="J126" s="362"/>
      <c r="K126" s="362"/>
      <c r="L126" s="362"/>
      <c r="M126" s="362"/>
      <c r="N126" s="362"/>
      <c r="O126" s="362"/>
    </row>
    <row r="127" spans="15:15" ht="12.75">
      <c r="O127" s="61"/>
    </row>
    <row r="128" spans="1:15" ht="12.75">
      <c r="A128" s="18" t="s">
        <v>87</v>
      </c>
      <c r="B128" s="18"/>
      <c r="D128" s="209" t="s">
        <v>216</v>
      </c>
      <c r="E128" s="209" t="s">
        <v>53</v>
      </c>
      <c r="F128" s="18"/>
      <c r="G128" s="18" t="s">
        <v>716</v>
      </c>
      <c r="H128" s="18" t="s">
        <v>722</v>
      </c>
      <c r="I128" s="18" t="s">
        <v>717</v>
      </c>
      <c r="J128" s="18"/>
      <c r="K128" s="18" t="s">
        <v>716</v>
      </c>
      <c r="L128" s="18" t="s">
        <v>717</v>
      </c>
      <c r="M128" s="18"/>
      <c r="N128" s="18"/>
      <c r="O128" s="18"/>
    </row>
    <row r="129" spans="1:15" ht="12.75">
      <c r="A129" s="208" t="s">
        <v>89</v>
      </c>
      <c r="B129" s="208" t="s">
        <v>64</v>
      </c>
      <c r="D129" s="202" t="s">
        <v>219</v>
      </c>
      <c r="E129" s="202" t="s">
        <v>218</v>
      </c>
      <c r="F129" s="202" t="s">
        <v>294</v>
      </c>
      <c r="G129" s="202" t="s">
        <v>294</v>
      </c>
      <c r="H129" s="202" t="s">
        <v>723</v>
      </c>
      <c r="I129" s="202" t="s">
        <v>294</v>
      </c>
      <c r="J129" s="202" t="s">
        <v>295</v>
      </c>
      <c r="K129" s="202" t="s">
        <v>295</v>
      </c>
      <c r="L129" s="202" t="s">
        <v>295</v>
      </c>
      <c r="M129" s="202" t="s">
        <v>283</v>
      </c>
      <c r="N129" s="202" t="s">
        <v>126</v>
      </c>
      <c r="O129" s="202" t="s">
        <v>216</v>
      </c>
    </row>
    <row r="130" spans="1:15" ht="12.75">
      <c r="A130" s="18"/>
      <c r="B130" s="16" t="s">
        <v>44</v>
      </c>
      <c r="D130" s="16" t="s">
        <v>45</v>
      </c>
      <c r="E130" s="16" t="s">
        <v>74</v>
      </c>
      <c r="F130" s="16" t="s">
        <v>75</v>
      </c>
      <c r="G130" s="203" t="s">
        <v>76</v>
      </c>
      <c r="H130" s="203" t="s">
        <v>77</v>
      </c>
      <c r="I130" s="203" t="s">
        <v>78</v>
      </c>
      <c r="J130" s="203" t="s">
        <v>79</v>
      </c>
      <c r="K130" s="203" t="s">
        <v>80</v>
      </c>
      <c r="L130" s="203" t="s">
        <v>81</v>
      </c>
      <c r="M130" s="203" t="s">
        <v>82</v>
      </c>
      <c r="N130" s="203" t="s">
        <v>83</v>
      </c>
      <c r="O130" s="203" t="s">
        <v>84</v>
      </c>
    </row>
    <row r="132" spans="1:18" ht="12.75">
      <c r="A132" s="146">
        <v>71</v>
      </c>
      <c r="B132" s="147" t="str">
        <f>+B109</f>
        <v>January 2021</v>
      </c>
      <c r="D132" s="148">
        <v>5400</v>
      </c>
      <c r="E132" s="213" t="s">
        <v>163</v>
      </c>
      <c r="F132" s="148">
        <f>+$D132*'[5]II-F Alloc_Factor'!E$17</f>
        <v>1189.08844733462</v>
      </c>
      <c r="G132" s="148">
        <f>+$D132*'[5]II-F Alloc_Factor'!F$17</f>
        <v>0</v>
      </c>
      <c r="H132" s="148">
        <f>+$D132*'[5]II-F Alloc_Factor'!G$17</f>
        <v>0</v>
      </c>
      <c r="I132" s="148">
        <f>+$D132*'[5]II-F Alloc_Factor'!H$17</f>
        <v>1189.08844733462</v>
      </c>
      <c r="J132" s="148">
        <f>+$D132*'[5]II-F Alloc_Factor'!I$17</f>
        <v>3280.4973602007544</v>
      </c>
      <c r="K132" s="148">
        <f>+$D132*'[5]II-F Alloc_Factor'!J$17</f>
        <v>0</v>
      </c>
      <c r="L132" s="148">
        <f>+$D132*'[5]II-F Alloc_Factor'!K$17</f>
        <v>3280.4973602007544</v>
      </c>
      <c r="M132" s="148">
        <f>+$D132*'[5]II-F Alloc_Factor'!L$17</f>
        <v>894.42149482323191</v>
      </c>
      <c r="N132" s="148">
        <f>+$D132*'[5]II-F Alloc_Factor'!M$17</f>
        <v>35.992697641393782</v>
      </c>
      <c r="O132" s="148">
        <f t="shared" si="22" ref="O132:O143">+I132+L132+M132+N132</f>
        <v>5400</v>
      </c>
      <c r="R132" s="138" t="b">
        <f t="shared" si="23" ref="R132:R143">+D132=O132</f>
        <v>1</v>
      </c>
    </row>
    <row r="133" spans="1:18" ht="12.75">
      <c r="A133" s="146">
        <v>72</v>
      </c>
      <c r="B133" s="147" t="str">
        <f t="shared" si="24" ref="B133:B143">+B110</f>
        <v>February 2021</v>
      </c>
      <c r="D133" s="150">
        <v>5400</v>
      </c>
      <c r="E133" s="213" t="s">
        <v>163</v>
      </c>
      <c r="F133" s="150">
        <f>+$D133*'[5]II-F Alloc_Factor'!E$17</f>
        <v>1189.08844733462</v>
      </c>
      <c r="G133" s="150">
        <f>+$D133*'[5]II-F Alloc_Factor'!F$17</f>
        <v>0</v>
      </c>
      <c r="H133" s="150">
        <f>+$D133*'[5]II-F Alloc_Factor'!G$17</f>
        <v>0</v>
      </c>
      <c r="I133" s="150">
        <f>+$D133*'[5]II-F Alloc_Factor'!H$17</f>
        <v>1189.08844733462</v>
      </c>
      <c r="J133" s="150">
        <f>+$D133*'[5]II-F Alloc_Factor'!I$17</f>
        <v>3280.4973602007544</v>
      </c>
      <c r="K133" s="150">
        <f>+$D133*'[5]II-F Alloc_Factor'!J$17</f>
        <v>0</v>
      </c>
      <c r="L133" s="150">
        <f>+$D133*'[5]II-F Alloc_Factor'!K$17</f>
        <v>3280.4973602007544</v>
      </c>
      <c r="M133" s="150">
        <f>+$D133*'[5]II-F Alloc_Factor'!L$17</f>
        <v>894.42149482323191</v>
      </c>
      <c r="N133" s="150">
        <f>+$D133*'[5]II-F Alloc_Factor'!M$17</f>
        <v>35.992697641393782</v>
      </c>
      <c r="O133" s="150">
        <f t="shared" si="22"/>
        <v>5400</v>
      </c>
      <c r="R133" s="138" t="b">
        <f t="shared" si="23"/>
        <v>1</v>
      </c>
    </row>
    <row r="134" spans="1:18" ht="12.75">
      <c r="A134" s="146">
        <v>73</v>
      </c>
      <c r="B134" s="147" t="str">
        <f t="shared" si="24"/>
        <v>March 2021</v>
      </c>
      <c r="D134" s="150">
        <v>5400</v>
      </c>
      <c r="E134" s="213" t="s">
        <v>163</v>
      </c>
      <c r="F134" s="150">
        <f>+$D134*'[5]II-F Alloc_Factor'!E$17</f>
        <v>1189.08844733462</v>
      </c>
      <c r="G134" s="150">
        <f>+$D134*'[5]II-F Alloc_Factor'!F$17</f>
        <v>0</v>
      </c>
      <c r="H134" s="150">
        <f>+$D134*'[5]II-F Alloc_Factor'!G$17</f>
        <v>0</v>
      </c>
      <c r="I134" s="150">
        <f>+$D134*'[5]II-F Alloc_Factor'!H$17</f>
        <v>1189.08844733462</v>
      </c>
      <c r="J134" s="150">
        <f>+$D134*'[5]II-F Alloc_Factor'!I$17</f>
        <v>3280.4973602007544</v>
      </c>
      <c r="K134" s="150">
        <f>+$D134*'[5]II-F Alloc_Factor'!J$17</f>
        <v>0</v>
      </c>
      <c r="L134" s="150">
        <f>+$D134*'[5]II-F Alloc_Factor'!K$17</f>
        <v>3280.4973602007544</v>
      </c>
      <c r="M134" s="150">
        <f>+$D134*'[5]II-F Alloc_Factor'!L$17</f>
        <v>894.42149482323191</v>
      </c>
      <c r="N134" s="150">
        <f>+$D134*'[5]II-F Alloc_Factor'!M$17</f>
        <v>35.992697641393782</v>
      </c>
      <c r="O134" s="150">
        <f t="shared" si="22"/>
        <v>5400</v>
      </c>
      <c r="R134" s="138" t="b">
        <f t="shared" si="23"/>
        <v>1</v>
      </c>
    </row>
    <row r="135" spans="1:18" ht="12.75">
      <c r="A135" s="146">
        <v>74</v>
      </c>
      <c r="B135" s="147" t="str">
        <f t="shared" si="24"/>
        <v>April 2021</v>
      </c>
      <c r="D135" s="150">
        <v>0</v>
      </c>
      <c r="E135" s="213" t="s">
        <v>163</v>
      </c>
      <c r="F135" s="150">
        <f>+$D135*'[5]II-F Alloc_Factor'!E$17</f>
        <v>0</v>
      </c>
      <c r="G135" s="150">
        <f>+$D135*'[5]II-F Alloc_Factor'!F$17</f>
        <v>0</v>
      </c>
      <c r="H135" s="150">
        <f>+$D135*'[5]II-F Alloc_Factor'!G$17</f>
        <v>0</v>
      </c>
      <c r="I135" s="150">
        <f>+$D135*'[5]II-F Alloc_Factor'!H$17</f>
        <v>0</v>
      </c>
      <c r="J135" s="150">
        <f>+$D135*'[5]II-F Alloc_Factor'!I$17</f>
        <v>0</v>
      </c>
      <c r="K135" s="150">
        <f>+$D135*'[5]II-F Alloc_Factor'!J$17</f>
        <v>0</v>
      </c>
      <c r="L135" s="150">
        <f>+$D135*'[5]II-F Alloc_Factor'!K$17</f>
        <v>0</v>
      </c>
      <c r="M135" s="150">
        <f>+$D135*'[5]II-F Alloc_Factor'!L$17</f>
        <v>0</v>
      </c>
      <c r="N135" s="150">
        <f>+$D135*'[5]II-F Alloc_Factor'!M$17</f>
        <v>0</v>
      </c>
      <c r="O135" s="150">
        <f t="shared" si="22"/>
        <v>0</v>
      </c>
      <c r="R135" s="138" t="b">
        <f t="shared" si="23"/>
        <v>1</v>
      </c>
    </row>
    <row r="136" spans="1:18" ht="12.75">
      <c r="A136" s="146">
        <v>75</v>
      </c>
      <c r="B136" s="147" t="str">
        <f t="shared" si="24"/>
        <v>May 2021</v>
      </c>
      <c r="D136" s="150">
        <v>3900</v>
      </c>
      <c r="E136" s="213" t="s">
        <v>163</v>
      </c>
      <c r="F136" s="150">
        <f>+$D136*'[5]II-F Alloc_Factor'!E$17</f>
        <v>858.78610085278115</v>
      </c>
      <c r="G136" s="150">
        <f>+$D136*'[5]II-F Alloc_Factor'!F$17</f>
        <v>0</v>
      </c>
      <c r="H136" s="150">
        <f>+$D136*'[5]II-F Alloc_Factor'!G$17</f>
        <v>0</v>
      </c>
      <c r="I136" s="150">
        <f>+$D136*'[5]II-F Alloc_Factor'!H$17</f>
        <v>858.78610085278115</v>
      </c>
      <c r="J136" s="150">
        <f>+$D136*'[5]II-F Alloc_Factor'!I$17</f>
        <v>2369.2480934783225</v>
      </c>
      <c r="K136" s="150">
        <f>+$D136*'[5]II-F Alloc_Factor'!J$17</f>
        <v>0</v>
      </c>
      <c r="L136" s="150">
        <f>+$D136*'[5]II-F Alloc_Factor'!K$17</f>
        <v>2369.2480934783225</v>
      </c>
      <c r="M136" s="150">
        <f>+$D136*'[5]II-F Alloc_Factor'!L$17</f>
        <v>645.97107959455639</v>
      </c>
      <c r="N136" s="150">
        <f>+$D136*'[5]II-F Alloc_Factor'!M$17</f>
        <v>25.994726074339955</v>
      </c>
      <c r="O136" s="150">
        <f t="shared" si="22"/>
        <v>3900</v>
      </c>
      <c r="R136" s="138" t="b">
        <f t="shared" si="23"/>
        <v>1</v>
      </c>
    </row>
    <row r="137" spans="1:18" ht="12.75">
      <c r="A137" s="146">
        <v>76</v>
      </c>
      <c r="B137" s="147" t="str">
        <f t="shared" si="24"/>
        <v>June 2021</v>
      </c>
      <c r="D137" s="150">
        <v>3900</v>
      </c>
      <c r="E137" s="213" t="s">
        <v>163</v>
      </c>
      <c r="F137" s="150">
        <f>+$D137*'[5]II-F Alloc_Factor'!E$17</f>
        <v>858.78610085278115</v>
      </c>
      <c r="G137" s="150">
        <f>+$D137*'[5]II-F Alloc_Factor'!F$17</f>
        <v>0</v>
      </c>
      <c r="H137" s="150">
        <f>+$D137*'[5]II-F Alloc_Factor'!G$17</f>
        <v>0</v>
      </c>
      <c r="I137" s="150">
        <f>+$D137*'[5]II-F Alloc_Factor'!H$17</f>
        <v>858.78610085278115</v>
      </c>
      <c r="J137" s="150">
        <f>+$D137*'[5]II-F Alloc_Factor'!I$17</f>
        <v>2369.2480934783225</v>
      </c>
      <c r="K137" s="150">
        <f>+$D137*'[5]II-F Alloc_Factor'!J$17</f>
        <v>0</v>
      </c>
      <c r="L137" s="150">
        <f>+$D137*'[5]II-F Alloc_Factor'!K$17</f>
        <v>2369.2480934783225</v>
      </c>
      <c r="M137" s="150">
        <f>+$D137*'[5]II-F Alloc_Factor'!L$17</f>
        <v>645.97107959455639</v>
      </c>
      <c r="N137" s="150">
        <f>+$D137*'[5]II-F Alloc_Factor'!M$17</f>
        <v>25.994726074339955</v>
      </c>
      <c r="O137" s="150">
        <f t="shared" si="22"/>
        <v>3900</v>
      </c>
      <c r="R137" s="138" t="b">
        <f t="shared" si="23"/>
        <v>1</v>
      </c>
    </row>
    <row r="138" spans="1:18" ht="12.75">
      <c r="A138" s="146">
        <v>77</v>
      </c>
      <c r="B138" s="147" t="str">
        <f t="shared" si="24"/>
        <v>July 2021</v>
      </c>
      <c r="D138" s="150">
        <v>3900</v>
      </c>
      <c r="E138" s="213" t="s">
        <v>163</v>
      </c>
      <c r="F138" s="150">
        <f>+$D138*'[5]II-F Alloc_Factor'!E$17</f>
        <v>858.78610085278115</v>
      </c>
      <c r="G138" s="150">
        <f>+$D138*'[5]II-F Alloc_Factor'!F$17</f>
        <v>0</v>
      </c>
      <c r="H138" s="150">
        <f>+$D138*'[5]II-F Alloc_Factor'!G$17</f>
        <v>0</v>
      </c>
      <c r="I138" s="150">
        <f>+$D138*'[5]II-F Alloc_Factor'!H$17</f>
        <v>858.78610085278115</v>
      </c>
      <c r="J138" s="150">
        <f>+$D138*'[5]II-F Alloc_Factor'!I$17</f>
        <v>2369.2480934783225</v>
      </c>
      <c r="K138" s="150">
        <f>+$D138*'[5]II-F Alloc_Factor'!J$17</f>
        <v>0</v>
      </c>
      <c r="L138" s="150">
        <f>+$D138*'[5]II-F Alloc_Factor'!K$17</f>
        <v>2369.2480934783225</v>
      </c>
      <c r="M138" s="150">
        <f>+$D138*'[5]II-F Alloc_Factor'!L$17</f>
        <v>645.97107959455639</v>
      </c>
      <c r="N138" s="150">
        <f>+$D138*'[5]II-F Alloc_Factor'!M$17</f>
        <v>25.994726074339955</v>
      </c>
      <c r="O138" s="150">
        <f t="shared" si="22"/>
        <v>3900</v>
      </c>
      <c r="R138" s="138" t="b">
        <f t="shared" si="23"/>
        <v>1</v>
      </c>
    </row>
    <row r="139" spans="1:18" ht="12.75">
      <c r="A139" s="146">
        <v>78</v>
      </c>
      <c r="B139" s="147" t="str">
        <f t="shared" si="24"/>
        <v>August 2021</v>
      </c>
      <c r="D139" s="150">
        <v>3900</v>
      </c>
      <c r="E139" s="213" t="s">
        <v>163</v>
      </c>
      <c r="F139" s="150">
        <f>+$D139*'[5]II-F Alloc_Factor'!E$17</f>
        <v>858.78610085278115</v>
      </c>
      <c r="G139" s="150">
        <f>+$D139*'[5]II-F Alloc_Factor'!F$17</f>
        <v>0</v>
      </c>
      <c r="H139" s="150">
        <f>+$D139*'[5]II-F Alloc_Factor'!G$17</f>
        <v>0</v>
      </c>
      <c r="I139" s="150">
        <f>+$D139*'[5]II-F Alloc_Factor'!H$17</f>
        <v>858.78610085278115</v>
      </c>
      <c r="J139" s="150">
        <f>+$D139*'[5]II-F Alloc_Factor'!I$17</f>
        <v>2369.2480934783225</v>
      </c>
      <c r="K139" s="150">
        <f>+$D139*'[5]II-F Alloc_Factor'!J$17</f>
        <v>0</v>
      </c>
      <c r="L139" s="150">
        <f>+$D139*'[5]II-F Alloc_Factor'!K$17</f>
        <v>2369.2480934783225</v>
      </c>
      <c r="M139" s="150">
        <f>+$D139*'[5]II-F Alloc_Factor'!L$17</f>
        <v>645.97107959455639</v>
      </c>
      <c r="N139" s="150">
        <f>+$D139*'[5]II-F Alloc_Factor'!M$17</f>
        <v>25.994726074339955</v>
      </c>
      <c r="O139" s="150">
        <f t="shared" si="22"/>
        <v>3900</v>
      </c>
      <c r="R139" s="138" t="b">
        <f t="shared" si="23"/>
        <v>1</v>
      </c>
    </row>
    <row r="140" spans="1:18" ht="12.75">
      <c r="A140" s="146">
        <v>79</v>
      </c>
      <c r="B140" s="147" t="str">
        <f t="shared" si="24"/>
        <v>September 2021</v>
      </c>
      <c r="D140" s="150">
        <v>3900</v>
      </c>
      <c r="E140" s="213" t="s">
        <v>163</v>
      </c>
      <c r="F140" s="150">
        <f>+$D140*'[5]II-F Alloc_Factor'!E$17</f>
        <v>858.78610085278115</v>
      </c>
      <c r="G140" s="150">
        <f>+$D140*'[5]II-F Alloc_Factor'!F$17</f>
        <v>0</v>
      </c>
      <c r="H140" s="150">
        <f>+$D140*'[5]II-F Alloc_Factor'!G$17</f>
        <v>0</v>
      </c>
      <c r="I140" s="150">
        <f>+$D140*'[5]II-F Alloc_Factor'!H$17</f>
        <v>858.78610085278115</v>
      </c>
      <c r="J140" s="150">
        <f>+$D140*'[5]II-F Alloc_Factor'!I$17</f>
        <v>2369.2480934783225</v>
      </c>
      <c r="K140" s="150">
        <f>+$D140*'[5]II-F Alloc_Factor'!J$17</f>
        <v>0</v>
      </c>
      <c r="L140" s="150">
        <f>+$D140*'[5]II-F Alloc_Factor'!K$17</f>
        <v>2369.2480934783225</v>
      </c>
      <c r="M140" s="150">
        <f>+$D140*'[5]II-F Alloc_Factor'!L$17</f>
        <v>645.97107959455639</v>
      </c>
      <c r="N140" s="150">
        <f>+$D140*'[5]II-F Alloc_Factor'!M$17</f>
        <v>25.994726074339955</v>
      </c>
      <c r="O140" s="150">
        <f t="shared" si="22"/>
        <v>3900</v>
      </c>
      <c r="R140" s="138" t="b">
        <f t="shared" si="23"/>
        <v>1</v>
      </c>
    </row>
    <row r="141" spans="1:18" ht="12.75">
      <c r="A141" s="146">
        <v>80</v>
      </c>
      <c r="B141" s="147" t="str">
        <f t="shared" si="24"/>
        <v>October 2021</v>
      </c>
      <c r="D141" s="150">
        <v>3900</v>
      </c>
      <c r="E141" s="213" t="s">
        <v>163</v>
      </c>
      <c r="F141" s="150">
        <f>+$D141*'[5]II-F Alloc_Factor'!E$17</f>
        <v>858.78610085278115</v>
      </c>
      <c r="G141" s="150">
        <f>+$D141*'[5]II-F Alloc_Factor'!F$17</f>
        <v>0</v>
      </c>
      <c r="H141" s="150">
        <f>+$D141*'[5]II-F Alloc_Factor'!G$17</f>
        <v>0</v>
      </c>
      <c r="I141" s="150">
        <f>+$D141*'[5]II-F Alloc_Factor'!H$17</f>
        <v>858.78610085278115</v>
      </c>
      <c r="J141" s="150">
        <f>+$D141*'[5]II-F Alloc_Factor'!I$17</f>
        <v>2369.2480934783225</v>
      </c>
      <c r="K141" s="150">
        <f>+$D141*'[5]II-F Alloc_Factor'!J$17</f>
        <v>0</v>
      </c>
      <c r="L141" s="150">
        <f>+$D141*'[5]II-F Alloc_Factor'!K$17</f>
        <v>2369.2480934783225</v>
      </c>
      <c r="M141" s="150">
        <f>+$D141*'[5]II-F Alloc_Factor'!L$17</f>
        <v>645.97107959455639</v>
      </c>
      <c r="N141" s="150">
        <f>+$D141*'[5]II-F Alloc_Factor'!M$17</f>
        <v>25.994726074339955</v>
      </c>
      <c r="O141" s="150">
        <f t="shared" si="22"/>
        <v>3900</v>
      </c>
      <c r="R141" s="138" t="b">
        <f t="shared" si="23"/>
        <v>1</v>
      </c>
    </row>
    <row r="142" spans="1:18" ht="12.75">
      <c r="A142" s="146">
        <v>81</v>
      </c>
      <c r="B142" s="147" t="str">
        <f t="shared" si="24"/>
        <v>November 2021</v>
      </c>
      <c r="D142" s="150">
        <v>3900</v>
      </c>
      <c r="E142" s="213" t="s">
        <v>163</v>
      </c>
      <c r="F142" s="150">
        <f>+$D142*'[5]II-F Alloc_Factor'!E$17</f>
        <v>858.78610085278115</v>
      </c>
      <c r="G142" s="150">
        <f>+$D142*'[5]II-F Alloc_Factor'!F$17</f>
        <v>0</v>
      </c>
      <c r="H142" s="150">
        <f>+$D142*'[5]II-F Alloc_Factor'!G$17</f>
        <v>0</v>
      </c>
      <c r="I142" s="150">
        <f>+$D142*'[5]II-F Alloc_Factor'!H$17</f>
        <v>858.78610085278115</v>
      </c>
      <c r="J142" s="150">
        <f>+$D142*'[5]II-F Alloc_Factor'!I$17</f>
        <v>2369.2480934783225</v>
      </c>
      <c r="K142" s="150">
        <f>+$D142*'[5]II-F Alloc_Factor'!J$17</f>
        <v>0</v>
      </c>
      <c r="L142" s="150">
        <f>+$D142*'[5]II-F Alloc_Factor'!K$17</f>
        <v>2369.2480934783225</v>
      </c>
      <c r="M142" s="150">
        <f>+$D142*'[5]II-F Alloc_Factor'!L$17</f>
        <v>645.97107959455639</v>
      </c>
      <c r="N142" s="150">
        <f>+$D142*'[5]II-F Alloc_Factor'!M$17</f>
        <v>25.994726074339955</v>
      </c>
      <c r="O142" s="150">
        <f t="shared" si="22"/>
        <v>3900</v>
      </c>
      <c r="R142" s="138" t="b">
        <f t="shared" si="23"/>
        <v>1</v>
      </c>
    </row>
    <row r="143" spans="1:18" ht="12.75">
      <c r="A143" s="146">
        <v>82</v>
      </c>
      <c r="B143" s="147" t="str">
        <f t="shared" si="24"/>
        <v>December 2021</v>
      </c>
      <c r="D143" s="150">
        <v>3900</v>
      </c>
      <c r="E143" s="213" t="s">
        <v>163</v>
      </c>
      <c r="F143" s="150">
        <f>+$D143*'[5]II-F Alloc_Factor'!E$17</f>
        <v>858.78610085278115</v>
      </c>
      <c r="G143" s="150">
        <f>+$D143*'[5]II-F Alloc_Factor'!F$17</f>
        <v>0</v>
      </c>
      <c r="H143" s="150">
        <f>+$D143*'[5]II-F Alloc_Factor'!G$17</f>
        <v>0</v>
      </c>
      <c r="I143" s="150">
        <f>+$D143*'[5]II-F Alloc_Factor'!H$17</f>
        <v>858.78610085278115</v>
      </c>
      <c r="J143" s="150">
        <f>+$D143*'[5]II-F Alloc_Factor'!I$17</f>
        <v>2369.2480934783225</v>
      </c>
      <c r="K143" s="150">
        <f>+$D143*'[5]II-F Alloc_Factor'!J$17</f>
        <v>0</v>
      </c>
      <c r="L143" s="150">
        <f>+$D143*'[5]II-F Alloc_Factor'!K$17</f>
        <v>2369.2480934783225</v>
      </c>
      <c r="M143" s="150">
        <f>+$D143*'[5]II-F Alloc_Factor'!L$17</f>
        <v>645.97107959455639</v>
      </c>
      <c r="N143" s="150">
        <f>+$D143*'[5]II-F Alloc_Factor'!M$17</f>
        <v>25.994726074339955</v>
      </c>
      <c r="O143" s="150">
        <f t="shared" si="22"/>
        <v>3900</v>
      </c>
      <c r="R143" s="138" t="b">
        <f t="shared" si="23"/>
        <v>1</v>
      </c>
    </row>
    <row r="144" spans="1:15" ht="12.75">
      <c r="A144" s="146">
        <v>83</v>
      </c>
      <c r="D144" s="151"/>
      <c r="E144" s="151"/>
      <c r="F144" s="151"/>
      <c r="G144" s="151"/>
      <c r="H144" s="151"/>
      <c r="I144" s="151"/>
      <c r="J144" s="151"/>
      <c r="K144" s="151"/>
      <c r="L144" s="151"/>
      <c r="M144" s="151"/>
      <c r="N144" s="151"/>
      <c r="O144" s="151"/>
    </row>
    <row r="145" spans="1:15" ht="13.5" thickBot="1">
      <c r="A145" s="146">
        <v>84</v>
      </c>
      <c r="B145" s="211" t="s">
        <v>216</v>
      </c>
      <c r="D145" s="172">
        <f t="shared" si="25" ref="D145:O145">SUM(D132:D143)</f>
        <v>47400</v>
      </c>
      <c r="E145" s="228"/>
      <c r="F145" s="172">
        <f t="shared" si="25"/>
        <v>10437.554148826112</v>
      </c>
      <c r="G145" s="172">
        <f t="shared" si="26" ref="G145:N145">SUM(G132:G143)</f>
        <v>0</v>
      </c>
      <c r="H145" s="172">
        <f t="shared" si="26"/>
        <v>0</v>
      </c>
      <c r="I145" s="172">
        <f t="shared" si="26"/>
        <v>10437.554148826112</v>
      </c>
      <c r="J145" s="172">
        <f t="shared" si="26"/>
        <v>28795.476828428851</v>
      </c>
      <c r="K145" s="172">
        <f t="shared" si="26"/>
        <v>0</v>
      </c>
      <c r="L145" s="172">
        <f t="shared" si="26"/>
        <v>28795.476828428851</v>
      </c>
      <c r="M145" s="172">
        <f t="shared" si="26"/>
        <v>7851.0331212261481</v>
      </c>
      <c r="N145" s="172">
        <f t="shared" si="26"/>
        <v>315.93590151890095</v>
      </c>
      <c r="O145" s="172">
        <f t="shared" si="25"/>
        <v>47400</v>
      </c>
    </row>
    <row r="146" spans="1:15" ht="13.5" thickTop="1">
      <c r="A146" s="146"/>
      <c r="B146" s="211"/>
      <c r="D146" s="228"/>
      <c r="E146" s="228"/>
      <c r="F146" s="228"/>
      <c r="G146" s="228"/>
      <c r="H146" s="228"/>
      <c r="I146" s="228"/>
      <c r="J146" s="228"/>
      <c r="K146" s="228"/>
      <c r="L146" s="228"/>
      <c r="M146" s="228"/>
      <c r="N146" s="228"/>
      <c r="O146" s="228"/>
    </row>
    <row r="147" spans="1:15" ht="12.75">
      <c r="A147" s="146"/>
      <c r="B147" s="211"/>
      <c r="D147" s="228"/>
      <c r="E147" s="228"/>
      <c r="F147" s="228"/>
      <c r="G147" s="228"/>
      <c r="H147" s="228"/>
      <c r="I147" s="228"/>
      <c r="J147" s="228"/>
      <c r="K147" s="228"/>
      <c r="L147" s="228"/>
      <c r="M147" s="228"/>
      <c r="N147" s="228"/>
      <c r="O147" s="228"/>
    </row>
    <row r="148" spans="1:15" ht="12.75">
      <c r="A148" s="146"/>
      <c r="B148" s="211"/>
      <c r="D148" s="228"/>
      <c r="E148" s="228"/>
      <c r="F148" s="228"/>
      <c r="G148" s="228"/>
      <c r="H148" s="228"/>
      <c r="I148" s="228"/>
      <c r="J148" s="228"/>
      <c r="K148" s="228"/>
      <c r="L148" s="228"/>
      <c r="M148" s="228"/>
      <c r="N148" s="228"/>
      <c r="O148" s="228"/>
    </row>
    <row r="149" spans="4:15" ht="13.5" thickBot="1">
      <c r="D149" s="363" t="s">
        <v>422</v>
      </c>
      <c r="E149" s="362"/>
      <c r="F149" s="362"/>
      <c r="G149" s="362"/>
      <c r="H149" s="362"/>
      <c r="I149" s="362"/>
      <c r="J149" s="362"/>
      <c r="K149" s="362"/>
      <c r="L149" s="362"/>
      <c r="M149" s="362"/>
      <c r="N149" s="362"/>
      <c r="O149" s="362"/>
    </row>
    <row r="150" spans="15:15" ht="12.75">
      <c r="O150" s="61"/>
    </row>
    <row r="151" spans="1:15" ht="12.75">
      <c r="A151" s="18" t="s">
        <v>87</v>
      </c>
      <c r="B151" s="18"/>
      <c r="D151" s="209" t="s">
        <v>216</v>
      </c>
      <c r="E151" s="209" t="s">
        <v>53</v>
      </c>
      <c r="F151" s="18"/>
      <c r="G151" s="18" t="s">
        <v>716</v>
      </c>
      <c r="H151" s="18" t="s">
        <v>722</v>
      </c>
      <c r="I151" s="18" t="s">
        <v>717</v>
      </c>
      <c r="J151" s="18"/>
      <c r="K151" s="18" t="s">
        <v>716</v>
      </c>
      <c r="L151" s="18" t="s">
        <v>717</v>
      </c>
      <c r="M151" s="18"/>
      <c r="N151" s="18"/>
      <c r="O151" s="18"/>
    </row>
    <row r="152" spans="1:15" ht="12.75">
      <c r="A152" s="208" t="s">
        <v>89</v>
      </c>
      <c r="B152" s="208" t="s">
        <v>64</v>
      </c>
      <c r="D152" s="202" t="s">
        <v>219</v>
      </c>
      <c r="E152" s="202" t="s">
        <v>218</v>
      </c>
      <c r="F152" s="202" t="s">
        <v>294</v>
      </c>
      <c r="G152" s="202" t="s">
        <v>294</v>
      </c>
      <c r="H152" s="202" t="s">
        <v>723</v>
      </c>
      <c r="I152" s="202" t="s">
        <v>294</v>
      </c>
      <c r="J152" s="202" t="s">
        <v>295</v>
      </c>
      <c r="K152" s="202" t="s">
        <v>295</v>
      </c>
      <c r="L152" s="202" t="s">
        <v>295</v>
      </c>
      <c r="M152" s="202" t="s">
        <v>283</v>
      </c>
      <c r="N152" s="202" t="s">
        <v>126</v>
      </c>
      <c r="O152" s="202" t="s">
        <v>216</v>
      </c>
    </row>
    <row r="153" spans="1:15" ht="12.75">
      <c r="A153" s="18"/>
      <c r="B153" s="16" t="s">
        <v>44</v>
      </c>
      <c r="D153" s="16" t="s">
        <v>45</v>
      </c>
      <c r="E153" s="16" t="s">
        <v>74</v>
      </c>
      <c r="F153" s="16" t="s">
        <v>75</v>
      </c>
      <c r="G153" s="203" t="s">
        <v>76</v>
      </c>
      <c r="H153" s="203" t="s">
        <v>77</v>
      </c>
      <c r="I153" s="203" t="s">
        <v>78</v>
      </c>
      <c r="J153" s="203" t="s">
        <v>79</v>
      </c>
      <c r="K153" s="203" t="s">
        <v>80</v>
      </c>
      <c r="L153" s="203" t="s">
        <v>81</v>
      </c>
      <c r="M153" s="203" t="s">
        <v>82</v>
      </c>
      <c r="N153" s="203" t="s">
        <v>83</v>
      </c>
      <c r="O153" s="203" t="s">
        <v>84</v>
      </c>
    </row>
    <row r="155" spans="1:18" ht="12.75">
      <c r="A155" s="146">
        <v>85</v>
      </c>
      <c r="B155" s="147" t="str">
        <f t="shared" si="27" ref="B155:B166">+B109</f>
        <v>January 2021</v>
      </c>
      <c r="C155" s="154">
        <v>1</v>
      </c>
      <c r="D155" s="148">
        <f>+D17+D40+D63+D86+D109+D132</f>
        <v>2873022.7800000003</v>
      </c>
      <c r="E155" s="213" t="s">
        <v>163</v>
      </c>
      <c r="F155" s="148">
        <f t="shared" si="28" ref="F155">+F17+F40+F63+F86+F109+F132</f>
        <v>632644.11048651743</v>
      </c>
      <c r="G155" s="148">
        <f t="shared" si="29" ref="G155:N155">+G17+G40+G63+G86+G109+G132</f>
        <v>0</v>
      </c>
      <c r="H155" s="148">
        <f t="shared" si="29"/>
        <v>0</v>
      </c>
      <c r="I155" s="148">
        <f t="shared" si="29"/>
        <v>632644.11048651743</v>
      </c>
      <c r="J155" s="148">
        <f t="shared" si="29"/>
        <v>1745359.9343678949</v>
      </c>
      <c r="K155" s="148">
        <f t="shared" si="29"/>
        <v>0</v>
      </c>
      <c r="L155" s="148">
        <f t="shared" si="29"/>
        <v>1745359.9343678949</v>
      </c>
      <c r="M155" s="148">
        <f t="shared" si="29"/>
        <v>475869.13510162919</v>
      </c>
      <c r="N155" s="148">
        <f t="shared" si="29"/>
        <v>19149.600043958635</v>
      </c>
      <c r="O155" s="148">
        <f t="shared" si="30" ref="O155:O166">+I155+L155+M155+N155</f>
        <v>2873022.7799999998</v>
      </c>
      <c r="R155" s="138" t="b">
        <f t="shared" si="31" ref="R155:R166">+D155=O155</f>
        <v>1</v>
      </c>
    </row>
    <row r="156" spans="1:18" ht="12.75">
      <c r="A156" s="146">
        <v>86</v>
      </c>
      <c r="B156" s="147" t="str">
        <f t="shared" si="27"/>
        <v>February 2021</v>
      </c>
      <c r="C156" s="154">
        <v>2</v>
      </c>
      <c r="D156" s="150">
        <f t="shared" si="32" ref="D156:D166">+D18+D41+D64+D87+D110+D133</f>
        <v>3656927.6600000006</v>
      </c>
      <c r="E156" s="213" t="s">
        <v>163</v>
      </c>
      <c r="F156" s="150">
        <f t="shared" si="33" ref="F156">+F18+F41+F64+F87+F110+F133</f>
        <v>805261.19134156022</v>
      </c>
      <c r="G156" s="150">
        <f t="shared" si="34" ref="G156:N156">+G18+G41+G64+G87+G110+G133</f>
        <v>0</v>
      </c>
      <c r="H156" s="150">
        <f t="shared" si="34"/>
        <v>0</v>
      </c>
      <c r="I156" s="150">
        <f t="shared" si="34"/>
        <v>805261.19134156022</v>
      </c>
      <c r="J156" s="150">
        <f t="shared" si="34"/>
        <v>2221581.7657546522</v>
      </c>
      <c r="K156" s="150">
        <f t="shared" si="34"/>
        <v>0</v>
      </c>
      <c r="L156" s="150">
        <f t="shared" si="34"/>
        <v>2221581.7657546522</v>
      </c>
      <c r="M156" s="150">
        <f t="shared" si="34"/>
        <v>605710.13039215258</v>
      </c>
      <c r="N156" s="150">
        <f t="shared" si="34"/>
        <v>24374.572511635131</v>
      </c>
      <c r="O156" s="150">
        <f t="shared" si="30"/>
        <v>3656927.6600000006</v>
      </c>
      <c r="R156" s="138" t="b">
        <f t="shared" si="31"/>
        <v>1</v>
      </c>
    </row>
    <row r="157" spans="1:18" ht="12.75">
      <c r="A157" s="146">
        <v>87</v>
      </c>
      <c r="B157" s="147" t="str">
        <f t="shared" si="27"/>
        <v>March 2021</v>
      </c>
      <c r="C157" s="154">
        <v>3</v>
      </c>
      <c r="D157" s="150">
        <f t="shared" si="32"/>
        <v>7334157.4399999995</v>
      </c>
      <c r="E157" s="213" t="s">
        <v>163</v>
      </c>
      <c r="F157" s="150">
        <f t="shared" si="35" ref="F157">+F19+F42+F65+F88+F111+F134</f>
        <v>1614992.9412661574</v>
      </c>
      <c r="G157" s="150">
        <f t="shared" si="36" ref="G157:N157">+G19+G42+G65+G88+G111+G134</f>
        <v>0</v>
      </c>
      <c r="H157" s="150">
        <f t="shared" si="36"/>
        <v>0</v>
      </c>
      <c r="I157" s="150">
        <f t="shared" si="36"/>
        <v>1614992.9412661574</v>
      </c>
      <c r="J157" s="150">
        <f t="shared" si="36"/>
        <v>4455497.0594845768</v>
      </c>
      <c r="K157" s="150">
        <f t="shared" si="36"/>
        <v>0</v>
      </c>
      <c r="L157" s="150">
        <f t="shared" si="36"/>
        <v>4455497.0594845768</v>
      </c>
      <c r="M157" s="150">
        <f t="shared" si="36"/>
        <v>1214782.9742136528</v>
      </c>
      <c r="N157" s="150">
        <f t="shared" si="36"/>
        <v>48884.465035610854</v>
      </c>
      <c r="O157" s="150">
        <f t="shared" si="30"/>
        <v>7334157.4399999985</v>
      </c>
      <c r="R157" s="138" t="b">
        <f t="shared" si="31"/>
        <v>1</v>
      </c>
    </row>
    <row r="158" spans="1:18" ht="12.75">
      <c r="A158" s="146">
        <v>88</v>
      </c>
      <c r="B158" s="147" t="str">
        <f t="shared" si="27"/>
        <v>April 2021</v>
      </c>
      <c r="C158" s="154">
        <v>4</v>
      </c>
      <c r="D158" s="150">
        <f t="shared" si="32"/>
        <v>4676695.4300000006</v>
      </c>
      <c r="E158" s="213" t="s">
        <v>163</v>
      </c>
      <c r="F158" s="150">
        <f t="shared" si="37" ref="F158">+F20+F43+F66+F89+F112+F135</f>
        <v>1029815.6495399284</v>
      </c>
      <c r="G158" s="150">
        <f t="shared" si="38" ref="G158:N158">+G20+G43+G66+G89+G112+G135</f>
        <v>0</v>
      </c>
      <c r="H158" s="150">
        <f t="shared" si="38"/>
        <v>0</v>
      </c>
      <c r="I158" s="150">
        <f t="shared" si="38"/>
        <v>1029815.6495399284</v>
      </c>
      <c r="J158" s="150">
        <f t="shared" si="38"/>
        <v>2841090.1875144322</v>
      </c>
      <c r="K158" s="150">
        <f t="shared" si="38"/>
        <v>0</v>
      </c>
      <c r="L158" s="150">
        <f t="shared" si="38"/>
        <v>2841090.1875144322</v>
      </c>
      <c r="M158" s="150">
        <f t="shared" si="38"/>
        <v>774617.94765436603</v>
      </c>
      <c r="N158" s="150">
        <f t="shared" si="38"/>
        <v>31171.645291273722</v>
      </c>
      <c r="O158" s="150">
        <f t="shared" si="30"/>
        <v>4676695.4300000006</v>
      </c>
      <c r="R158" s="138" t="b">
        <f t="shared" si="31"/>
        <v>1</v>
      </c>
    </row>
    <row r="159" spans="1:18" ht="12.75">
      <c r="A159" s="146">
        <v>89</v>
      </c>
      <c r="B159" s="147" t="str">
        <f t="shared" si="27"/>
        <v>May 2021</v>
      </c>
      <c r="C159" s="154">
        <v>5</v>
      </c>
      <c r="D159" s="150">
        <f t="shared" si="32"/>
        <v>4672876.8899999997</v>
      </c>
      <c r="E159" s="213" t="s">
        <v>163</v>
      </c>
      <c r="F159" s="150">
        <f t="shared" si="39" ref="F159">+F21+F44+F67+F90+F113+F136</f>
        <v>1028974.8010585052</v>
      </c>
      <c r="G159" s="150">
        <f t="shared" si="40" ref="G159:N159">+G21+G44+G67+G90+G113+G136</f>
        <v>0</v>
      </c>
      <c r="H159" s="150">
        <f t="shared" si="40"/>
        <v>0</v>
      </c>
      <c r="I159" s="150">
        <f t="shared" si="40"/>
        <v>1028974.8010585052</v>
      </c>
      <c r="J159" s="150">
        <f t="shared" si="40"/>
        <v>2838770.4263311313</v>
      </c>
      <c r="K159" s="150">
        <f t="shared" si="40"/>
        <v>0</v>
      </c>
      <c r="L159" s="150">
        <f t="shared" si="40"/>
        <v>2838770.4263311313</v>
      </c>
      <c r="M159" s="150">
        <f t="shared" si="40"/>
        <v>773985.46908865462</v>
      </c>
      <c r="N159" s="150">
        <f t="shared" si="40"/>
        <v>31146.19352170861</v>
      </c>
      <c r="O159" s="150">
        <f t="shared" si="30"/>
        <v>4672876.8899999997</v>
      </c>
      <c r="R159" s="138" t="b">
        <f t="shared" si="31"/>
        <v>1</v>
      </c>
    </row>
    <row r="160" spans="1:18" ht="12.75">
      <c r="A160" s="146">
        <v>90</v>
      </c>
      <c r="B160" s="147" t="str">
        <f t="shared" si="27"/>
        <v>June 2021</v>
      </c>
      <c r="C160" s="154">
        <v>6</v>
      </c>
      <c r="D160" s="150">
        <f t="shared" si="32"/>
        <v>6082163.1300000008</v>
      </c>
      <c r="E160" s="213" t="s">
        <v>163</v>
      </c>
      <c r="F160" s="150">
        <f t="shared" si="41" ref="F160">+F22+F45+F68+F91+F114+F137</f>
        <v>1339301.8356828841</v>
      </c>
      <c r="G160" s="150">
        <f t="shared" si="42" ref="G160:N160">+G22+G45+G68+G91+G114+G137</f>
        <v>0</v>
      </c>
      <c r="H160" s="150">
        <f t="shared" si="42"/>
        <v>0</v>
      </c>
      <c r="I160" s="150">
        <f t="shared" si="42"/>
        <v>1339301.8356828841</v>
      </c>
      <c r="J160" s="150">
        <f t="shared" si="42"/>
        <v>3694911.1281991405</v>
      </c>
      <c r="K160" s="150">
        <f t="shared" si="42"/>
        <v>0</v>
      </c>
      <c r="L160" s="150">
        <f t="shared" si="42"/>
        <v>3694911.1281991405</v>
      </c>
      <c r="M160" s="150">
        <f t="shared" si="42"/>
        <v>1007410.6367580271</v>
      </c>
      <c r="N160" s="150">
        <f t="shared" si="42"/>
        <v>40539.529359948749</v>
      </c>
      <c r="O160" s="150">
        <f t="shared" si="30"/>
        <v>6082163.1299999999</v>
      </c>
      <c r="R160" s="138" t="b">
        <f t="shared" si="31"/>
        <v>1</v>
      </c>
    </row>
    <row r="161" spans="1:18" ht="12.75">
      <c r="A161" s="146">
        <v>91</v>
      </c>
      <c r="B161" s="147" t="str">
        <f t="shared" si="27"/>
        <v>July 2021</v>
      </c>
      <c r="C161" s="154">
        <v>7</v>
      </c>
      <c r="D161" s="150">
        <f t="shared" si="32"/>
        <v>4916733.4400000004</v>
      </c>
      <c r="E161" s="213" t="s">
        <v>163</v>
      </c>
      <c r="F161" s="150">
        <f t="shared" si="43" ref="F161">+F23+F46+F69+F92+F115+F138</f>
        <v>1082672.3948384828</v>
      </c>
      <c r="G161" s="150">
        <f t="shared" si="44" ref="G161:N161">+G23+G46+G69+G92+G115+G138</f>
        <v>0</v>
      </c>
      <c r="H161" s="150">
        <f t="shared" si="44"/>
        <v>0</v>
      </c>
      <c r="I161" s="150">
        <f t="shared" si="44"/>
        <v>1082672.3948384828</v>
      </c>
      <c r="J161" s="150">
        <f t="shared" si="44"/>
        <v>2986913.1612464399</v>
      </c>
      <c r="K161" s="150">
        <f t="shared" si="44"/>
        <v>0</v>
      </c>
      <c r="L161" s="150">
        <f t="shared" si="44"/>
        <v>2986913.1612464399</v>
      </c>
      <c r="M161" s="150">
        <f t="shared" si="44"/>
        <v>814376.30982447625</v>
      </c>
      <c r="N161" s="150">
        <f t="shared" si="44"/>
        <v>32771.574090601847</v>
      </c>
      <c r="O161" s="150">
        <f t="shared" si="30"/>
        <v>4916733.4400000004</v>
      </c>
      <c r="R161" s="138" t="b">
        <f t="shared" si="31"/>
        <v>1</v>
      </c>
    </row>
    <row r="162" spans="1:18" ht="12.75">
      <c r="A162" s="146">
        <v>92</v>
      </c>
      <c r="B162" s="147" t="str">
        <f t="shared" si="27"/>
        <v>August 2021</v>
      </c>
      <c r="C162" s="154">
        <v>8</v>
      </c>
      <c r="D162" s="150">
        <f t="shared" si="32"/>
        <v>6123651.919999999</v>
      </c>
      <c r="E162" s="213" t="s">
        <v>163</v>
      </c>
      <c r="F162" s="150">
        <f t="shared" si="45" ref="F162">+F24+F47+F70+F93+F116+F139</f>
        <v>1348437.7321426782</v>
      </c>
      <c r="G162" s="150">
        <f t="shared" si="46" ref="G162:N162">+G24+G47+G70+G93+G116+G139</f>
        <v>0</v>
      </c>
      <c r="H162" s="150">
        <f t="shared" si="46"/>
        <v>0</v>
      </c>
      <c r="I162" s="150">
        <f t="shared" si="46"/>
        <v>1348437.7321426782</v>
      </c>
      <c r="J162" s="150">
        <f t="shared" si="46"/>
        <v>3720115.5478422735</v>
      </c>
      <c r="K162" s="150">
        <f t="shared" si="46"/>
        <v>0</v>
      </c>
      <c r="L162" s="150">
        <f t="shared" si="46"/>
        <v>3720115.5478422735</v>
      </c>
      <c r="M162" s="150">
        <f t="shared" si="46"/>
        <v>1014282.574826584</v>
      </c>
      <c r="N162" s="150">
        <f t="shared" si="46"/>
        <v>40816.065188463064</v>
      </c>
      <c r="O162" s="150">
        <f t="shared" si="30"/>
        <v>6123651.919999999</v>
      </c>
      <c r="R162" s="138" t="b">
        <f t="shared" si="31"/>
        <v>1</v>
      </c>
    </row>
    <row r="163" spans="1:18" ht="12.75">
      <c r="A163" s="146">
        <v>93</v>
      </c>
      <c r="B163" s="147" t="str">
        <f t="shared" si="27"/>
        <v>September 2021</v>
      </c>
      <c r="C163" s="154">
        <v>9</v>
      </c>
      <c r="D163" s="150">
        <f t="shared" si="32"/>
        <v>7995928.0299999993</v>
      </c>
      <c r="E163" s="213" t="s">
        <v>163</v>
      </c>
      <c r="F163" s="150">
        <f t="shared" si="47" ref="F163">+F25+F48+F71+F94+F117+F140</f>
        <v>1760715.8604059382</v>
      </c>
      <c r="G163" s="150">
        <f t="shared" si="48" ref="G163:N163">+G25+G48+G71+G94+G117+G140</f>
        <v>0</v>
      </c>
      <c r="H163" s="150">
        <f t="shared" si="48"/>
        <v>0</v>
      </c>
      <c r="I163" s="150">
        <f t="shared" si="48"/>
        <v>1760715.8604059382</v>
      </c>
      <c r="J163" s="150">
        <f t="shared" si="48"/>
        <v>4857522.3694018917</v>
      </c>
      <c r="K163" s="150">
        <f t="shared" si="48"/>
        <v>0</v>
      </c>
      <c r="L163" s="150">
        <f t="shared" si="48"/>
        <v>4857522.3694018917</v>
      </c>
      <c r="M163" s="150">
        <f t="shared" si="48"/>
        <v>1324394.4261280701</v>
      </c>
      <c r="N163" s="150">
        <f t="shared" si="48"/>
        <v>53295.374064099153</v>
      </c>
      <c r="O163" s="150">
        <f t="shared" si="30"/>
        <v>7995928.0299999984</v>
      </c>
      <c r="R163" s="138" t="b">
        <f t="shared" si="31"/>
        <v>1</v>
      </c>
    </row>
    <row r="164" spans="1:18" ht="12.75">
      <c r="A164" s="146">
        <v>94</v>
      </c>
      <c r="B164" s="147" t="str">
        <f t="shared" si="27"/>
        <v>October 2021</v>
      </c>
      <c r="C164" s="154">
        <v>10</v>
      </c>
      <c r="D164" s="150">
        <f t="shared" si="32"/>
        <v>4849631.7699999996</v>
      </c>
      <c r="E164" s="213" t="s">
        <v>163</v>
      </c>
      <c r="F164" s="150">
        <f t="shared" si="49" ref="F164">+F26+F49+F72+F95+F118+F141</f>
        <v>1067896.5021359157</v>
      </c>
      <c r="G164" s="150">
        <f t="shared" si="50" ref="G164:N164">+G26+G49+G72+G95+G118+G141</f>
        <v>0</v>
      </c>
      <c r="H164" s="150">
        <f t="shared" si="50"/>
        <v>0</v>
      </c>
      <c r="I164" s="150">
        <f t="shared" si="50"/>
        <v>1067896.5021359157</v>
      </c>
      <c r="J164" s="150">
        <f t="shared" si="50"/>
        <v>2946148.9295242061</v>
      </c>
      <c r="K164" s="150">
        <f t="shared" si="50"/>
        <v>0</v>
      </c>
      <c r="L164" s="150">
        <f t="shared" si="50"/>
        <v>2946148.9295242061</v>
      </c>
      <c r="M164" s="150">
        <f t="shared" si="50"/>
        <v>803262.01797511766</v>
      </c>
      <c r="N164" s="150">
        <f t="shared" si="50"/>
        <v>32324.320364760617</v>
      </c>
      <c r="O164" s="150">
        <f t="shared" si="30"/>
        <v>4849631.7699999996</v>
      </c>
      <c r="R164" s="138" t="b">
        <f t="shared" si="31"/>
        <v>1</v>
      </c>
    </row>
    <row r="165" spans="1:18" ht="12.75">
      <c r="A165" s="146">
        <v>95</v>
      </c>
      <c r="B165" s="147" t="str">
        <f t="shared" si="27"/>
        <v>November 2021</v>
      </c>
      <c r="C165" s="154">
        <v>11</v>
      </c>
      <c r="D165" s="150">
        <f t="shared" si="32"/>
        <v>7672038.0200000005</v>
      </c>
      <c r="E165" s="213" t="s">
        <v>163</v>
      </c>
      <c r="F165" s="150">
        <f t="shared" si="51" ref="F165">+F27+F50+F73+F96+F119+F142</f>
        <v>1689394.7735359208</v>
      </c>
      <c r="G165" s="150">
        <f t="shared" si="52" ref="G165:N165">+G27+G50+G73+G96+G119+G142</f>
        <v>0</v>
      </c>
      <c r="H165" s="150">
        <f t="shared" si="52"/>
        <v>0</v>
      </c>
      <c r="I165" s="150">
        <f t="shared" si="52"/>
        <v>1689394.7735359208</v>
      </c>
      <c r="J165" s="150">
        <f t="shared" si="52"/>
        <v>4660759.3466610769</v>
      </c>
      <c r="K165" s="150">
        <f t="shared" si="52"/>
        <v>0</v>
      </c>
      <c r="L165" s="150">
        <f t="shared" si="52"/>
        <v>4660759.3466610769</v>
      </c>
      <c r="M165" s="150">
        <f t="shared" si="52"/>
        <v>1270747.354479457</v>
      </c>
      <c r="N165" s="150">
        <f t="shared" si="52"/>
        <v>51136.545323543971</v>
      </c>
      <c r="O165" s="150">
        <f t="shared" si="30"/>
        <v>7672038.0199999996</v>
      </c>
      <c r="R165" s="138" t="b">
        <f t="shared" si="31"/>
        <v>1</v>
      </c>
    </row>
    <row r="166" spans="1:18" ht="12.75">
      <c r="A166" s="146">
        <v>96</v>
      </c>
      <c r="B166" s="147" t="str">
        <f t="shared" si="27"/>
        <v>December 2021</v>
      </c>
      <c r="C166" s="154">
        <v>12</v>
      </c>
      <c r="D166" s="150">
        <f t="shared" si="32"/>
        <v>10874261.139999999</v>
      </c>
      <c r="E166" s="213" t="s">
        <v>163</v>
      </c>
      <c r="F166" s="150">
        <f t="shared" si="53" ref="F166">+F28+F51+F74+F97+F120+F143</f>
        <v>2394529.3138655173</v>
      </c>
      <c r="G166" s="150">
        <f t="shared" si="54" ref="G166:N166">+G28+G51+G74+G97+G120+G143</f>
        <v>0</v>
      </c>
      <c r="H166" s="150">
        <f t="shared" si="54"/>
        <v>0</v>
      </c>
      <c r="I166" s="150">
        <f t="shared" si="54"/>
        <v>2394529.3138655173</v>
      </c>
      <c r="J166" s="150">
        <f t="shared" si="54"/>
        <v>6606108.326648823</v>
      </c>
      <c r="K166" s="150">
        <f t="shared" si="54"/>
        <v>0</v>
      </c>
      <c r="L166" s="150">
        <f t="shared" si="54"/>
        <v>6606108.326648823</v>
      </c>
      <c r="M166" s="150">
        <f t="shared" si="54"/>
        <v>1801143.1303587002</v>
      </c>
      <c r="N166" s="150">
        <f t="shared" si="54"/>
        <v>72480.369126958904</v>
      </c>
      <c r="O166" s="150">
        <f t="shared" si="30"/>
        <v>10874261.139999999</v>
      </c>
      <c r="R166" s="138" t="b">
        <f t="shared" si="31"/>
        <v>1</v>
      </c>
    </row>
    <row r="167" spans="1:15" ht="12.75">
      <c r="A167" s="146">
        <v>97</v>
      </c>
      <c r="D167" s="151"/>
      <c r="E167" s="151"/>
      <c r="F167" s="151"/>
      <c r="G167" s="151"/>
      <c r="H167" s="151"/>
      <c r="I167" s="151"/>
      <c r="J167" s="151"/>
      <c r="K167" s="151"/>
      <c r="L167" s="151"/>
      <c r="M167" s="151"/>
      <c r="N167" s="151"/>
      <c r="O167" s="151"/>
    </row>
    <row r="168" spans="1:15" ht="13.5" thickBot="1">
      <c r="A168" s="146">
        <v>98</v>
      </c>
      <c r="B168" s="168" t="s">
        <v>379</v>
      </c>
      <c r="D168" s="172">
        <f t="shared" si="55" ref="D168:O168">SUM(D155:D166)</f>
        <v>71728087.650000006</v>
      </c>
      <c r="E168" s="228"/>
      <c r="F168" s="172">
        <f t="shared" si="55"/>
        <v>15794637.106300004</v>
      </c>
      <c r="G168" s="172">
        <f t="shared" si="56" ref="G168:N168">SUM(G155:G166)</f>
        <v>0</v>
      </c>
      <c r="H168" s="172">
        <f t="shared" si="56"/>
        <v>0</v>
      </c>
      <c r="I168" s="172">
        <f t="shared" si="56"/>
        <v>15794637.106300004</v>
      </c>
      <c r="J168" s="172">
        <f t="shared" si="56"/>
        <v>43574778.182976544</v>
      </c>
      <c r="K168" s="172">
        <f t="shared" si="56"/>
        <v>0</v>
      </c>
      <c r="L168" s="172">
        <f t="shared" si="56"/>
        <v>43574778.182976544</v>
      </c>
      <c r="M168" s="172">
        <f t="shared" si="56"/>
        <v>11880582.106800886</v>
      </c>
      <c r="N168" s="172">
        <f t="shared" si="56"/>
        <v>478090.25392256322</v>
      </c>
      <c r="O168" s="172">
        <f t="shared" si="55"/>
        <v>71728087.649999991</v>
      </c>
    </row>
    <row r="169" spans="5:5" ht="13.5" thickTop="1">
      <c r="E169" s="149"/>
    </row>
    <row r="170" spans="5:5" s="171" customFormat="1" ht="12.75">
      <c r="E170" s="288"/>
    </row>
  </sheetData>
  <mergeCells count="7">
    <mergeCell ref="D149:O149"/>
    <mergeCell ref="D11:O11"/>
    <mergeCell ref="D34:O34"/>
    <mergeCell ref="D57:O57"/>
    <mergeCell ref="D80:O80"/>
    <mergeCell ref="D103:O103"/>
    <mergeCell ref="D126:O126"/>
  </mergeCells>
  <printOptions horizontalCentered="1"/>
  <pageMargins left="0.5" right="0.5" top="3" bottom="0.5" header="1.5" footer="1"/>
  <pageSetup fitToHeight="0" orientation="landscape" pageOrder="overThenDown" scale="64" r:id="rId1"/>
  <headerFooter alignWithMargins="0">
    <oddHeader>&amp;C&amp;B
2022 RATE CASE
ONCOR ELECTRIC DELIVERY COMPANY LLC
II-D-3.7  GENERAL EMPLOYEE BENEFIT INFORMATION
TEST YEAR ENDING DECEMBER 31, 2021
SPONSORS: W. ALAN LEDBETTER/ A. GUILLORY&amp;R&amp;"Arial,Bold"Schedule &amp;A
Page &amp;P of &amp;N</oddHeader>
  </headerFooter>
  <rowBreaks count="6" manualBreakCount="6">
    <brk id="32" min="3" max="19" man="1"/>
    <brk id="55" min="3" max="19" man="1"/>
    <brk id="78" min="3" max="19" man="1"/>
    <brk id="101" min="3" max="19" man="1"/>
    <brk id="124" min="3" max="19" man="1"/>
    <brk id="147" min="3" max="10" man="1"/>
  </rowBreak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
    <tabColor rgb="FFFF0000"/>
    <pageSetUpPr fitToPage="1"/>
  </sheetPr>
  <dimension ref="A1:Q122"/>
  <sheetViews>
    <sheetView workbookViewId="0" topLeftCell="A1">
      <pane xSplit="3" ySplit="10" topLeftCell="D11" activePane="bottomRight" state="frozen"/>
      <selection pane="topLeft" activeCell="Q42" sqref="Q42"/>
      <selection pane="bottomLeft" activeCell="Q42" sqref="Q42"/>
      <selection pane="topRight" activeCell="Q42" sqref="Q42"/>
      <selection pane="bottomRight" activeCell="D11" sqref="D11:O11"/>
    </sheetView>
  </sheetViews>
  <sheetFormatPr defaultColWidth="9.14428571428571" defaultRowHeight="12.75"/>
  <cols>
    <col min="1" max="1" width="6.57142857142857" style="138" customWidth="1"/>
    <col min="2" max="2" width="14.7142857142857" style="138" bestFit="1" customWidth="1"/>
    <col min="3" max="3" width="1.71428571428571" style="138" customWidth="1"/>
    <col min="4" max="5" width="14.7142857142857" style="138" customWidth="1"/>
    <col min="6" max="6" width="11.2857142857143" style="138" bestFit="1" customWidth="1"/>
    <col min="7" max="9" width="11.2857142857143" style="138" customWidth="1"/>
    <col min="10" max="14" width="14.7142857142857" style="138" customWidth="1"/>
    <col min="15" max="15" width="12.5714285714286" style="138" customWidth="1"/>
    <col min="16" max="16" width="2.71428571428571" style="138" customWidth="1"/>
    <col min="17" max="16384" width="9.14285714285714" style="138"/>
  </cols>
  <sheetData>
    <row r="1" spans="1:1" ht="12.75">
      <c r="A1" s="163" t="str">
        <f>+'[3]Input Data'!$A$9</f>
        <v>2022 RATE CASE</v>
      </c>
    </row>
    <row r="2" spans="1:1" ht="12.75">
      <c r="A2" s="8" t="str">
        <f>+'[3]Input Data'!$A$2</f>
        <v>ONCOR ELECTRIC DELIVERY COMPANY LLC</v>
      </c>
    </row>
    <row r="3" spans="1:1" ht="12.75">
      <c r="A3" s="7" t="str">
        <f>CONCATENATE('[3]Schedule Sponsors'!$A$75,'[3]Schedule Sponsors'!$B$75)</f>
        <v>II-D-3.7  GENERAL EMPLOYEE BENEFIT INFORMATION</v>
      </c>
    </row>
    <row r="4" spans="1:1" ht="12.75">
      <c r="A4" s="63" t="str">
        <f>+'[3]Input Data'!$A$4</f>
        <v>TEST YEAR ENDING DECEMBER 31, 2021</v>
      </c>
    </row>
    <row r="5" spans="1:1" ht="12.75">
      <c r="A5" s="7" t="str">
        <f>CONCATENATE("SPONSORS: ",'[3]Schedule Sponsors'!$D$75)</f>
        <v>SPONSORS: W. ALAN LEDBETTER/ A. GUILLORY</v>
      </c>
    </row>
    <row r="11" spans="4:15" ht="13.5" thickBot="1">
      <c r="D11" s="363" t="s">
        <v>445</v>
      </c>
      <c r="E11" s="362"/>
      <c r="F11" s="362"/>
      <c r="G11" s="362"/>
      <c r="H11" s="362"/>
      <c r="I11" s="362"/>
      <c r="J11" s="362"/>
      <c r="K11" s="362"/>
      <c r="L11" s="362"/>
      <c r="M11" s="362"/>
      <c r="N11" s="362"/>
      <c r="O11" s="362"/>
    </row>
    <row r="12" spans="14:15" ht="12.75">
      <c r="N12" s="61"/>
      <c r="O12" s="18"/>
    </row>
    <row r="13" spans="1:15" ht="12.75">
      <c r="A13" s="18" t="s">
        <v>87</v>
      </c>
      <c r="B13" s="18"/>
      <c r="D13" s="209" t="s">
        <v>216</v>
      </c>
      <c r="E13" s="209" t="s">
        <v>53</v>
      </c>
      <c r="F13" s="18"/>
      <c r="G13" s="18" t="s">
        <v>716</v>
      </c>
      <c r="H13" s="18" t="s">
        <v>722</v>
      </c>
      <c r="I13" s="18" t="s">
        <v>717</v>
      </c>
      <c r="J13" s="18"/>
      <c r="K13" s="18" t="s">
        <v>716</v>
      </c>
      <c r="L13" s="18" t="s">
        <v>717</v>
      </c>
      <c r="M13" s="18"/>
      <c r="N13" s="18"/>
      <c r="O13" s="18"/>
    </row>
    <row r="14" spans="1:15" ht="12.75">
      <c r="A14" s="208" t="s">
        <v>89</v>
      </c>
      <c r="B14" s="208" t="s">
        <v>64</v>
      </c>
      <c r="D14" s="202" t="s">
        <v>219</v>
      </c>
      <c r="E14" s="202" t="s">
        <v>218</v>
      </c>
      <c r="F14" s="202" t="s">
        <v>294</v>
      </c>
      <c r="G14" s="202" t="s">
        <v>294</v>
      </c>
      <c r="H14" s="202" t="s">
        <v>723</v>
      </c>
      <c r="I14" s="202" t="s">
        <v>294</v>
      </c>
      <c r="J14" s="202" t="s">
        <v>295</v>
      </c>
      <c r="K14" s="202" t="s">
        <v>295</v>
      </c>
      <c r="L14" s="202" t="s">
        <v>295</v>
      </c>
      <c r="M14" s="202" t="s">
        <v>283</v>
      </c>
      <c r="N14" s="202" t="s">
        <v>126</v>
      </c>
      <c r="O14" s="202" t="s">
        <v>216</v>
      </c>
    </row>
    <row r="15" spans="1:15" ht="12.75">
      <c r="A15" s="18"/>
      <c r="B15" s="16" t="s">
        <v>44</v>
      </c>
      <c r="D15" s="16" t="s">
        <v>45</v>
      </c>
      <c r="E15" s="16" t="s">
        <v>74</v>
      </c>
      <c r="F15" s="16" t="s">
        <v>75</v>
      </c>
      <c r="G15" s="203" t="s">
        <v>76</v>
      </c>
      <c r="H15" s="203" t="s">
        <v>77</v>
      </c>
      <c r="I15" s="203" t="s">
        <v>78</v>
      </c>
      <c r="J15" s="203" t="s">
        <v>79</v>
      </c>
      <c r="K15" s="203" t="s">
        <v>80</v>
      </c>
      <c r="L15" s="203" t="s">
        <v>81</v>
      </c>
      <c r="M15" s="203" t="s">
        <v>82</v>
      </c>
      <c r="N15" s="203" t="s">
        <v>83</v>
      </c>
      <c r="O15" s="203" t="s">
        <v>84</v>
      </c>
    </row>
    <row r="17" spans="1:17" ht="12.75">
      <c r="A17" s="146">
        <v>1</v>
      </c>
      <c r="B17" s="147" t="str">
        <f>+'II-D-3.2'!B15</f>
        <v>January 2021</v>
      </c>
      <c r="D17" s="148">
        <v>117160.53</v>
      </c>
      <c r="E17" s="213" t="s">
        <v>163</v>
      </c>
      <c r="F17" s="148">
        <f>+$D17*'[5]II-F Alloc_Factor'!E$17</f>
        <v>25798.931982703918</v>
      </c>
      <c r="G17" s="148">
        <f>+$D17*'[5]II-F Alloc_Factor'!F$17</f>
        <v>0</v>
      </c>
      <c r="H17" s="148">
        <f>+$D17*'[5]II-F Alloc_Factor'!G$17</f>
        <v>0</v>
      </c>
      <c r="I17" s="148">
        <f>+$D17*'[5]II-F Alloc_Factor'!H$17</f>
        <v>25798.931982703918</v>
      </c>
      <c r="J17" s="148">
        <f>+$D17*'[5]II-F Alloc_Factor'!I$17</f>
        <v>71174.964700874305</v>
      </c>
      <c r="K17" s="148">
        <f>+$D17*'[5]II-F Alloc_Factor'!J$17</f>
        <v>0</v>
      </c>
      <c r="L17" s="148">
        <f>+$D17*'[5]II-F Alloc_Factor'!K$17</f>
        <v>71174.964700874305</v>
      </c>
      <c r="M17" s="148">
        <f>+$D17*'[5]II-F Alloc_Factor'!L$17</f>
        <v>19405.721551274462</v>
      </c>
      <c r="N17" s="148">
        <f>+$D17*'[5]II-F Alloc_Factor'!M$17</f>
        <v>780.91176514730478</v>
      </c>
      <c r="O17" s="148">
        <f>+I17+L17+M17+N17</f>
        <v>117160.52999999998</v>
      </c>
      <c r="Q17" s="138" t="b">
        <f>+D17=O17</f>
        <v>1</v>
      </c>
    </row>
    <row r="18" spans="1:17" ht="12.75">
      <c r="A18" s="146">
        <v>2</v>
      </c>
      <c r="B18" s="147" t="str">
        <f>+'II-D-3.2'!B16</f>
        <v>February 2021</v>
      </c>
      <c r="D18" s="150">
        <v>117936.09</v>
      </c>
      <c r="E18" s="213" t="s">
        <v>163</v>
      </c>
      <c r="F18" s="150">
        <f>+$D18*'[5]II-F Alloc_Factor'!E$17</f>
        <v>25969.711507928889</v>
      </c>
      <c r="G18" s="150">
        <f>+$D18*'[5]II-F Alloc_Factor'!F$17</f>
        <v>0</v>
      </c>
      <c r="H18" s="150">
        <f>+$D18*'[5]II-F Alloc_Factor'!G$17</f>
        <v>0</v>
      </c>
      <c r="I18" s="150">
        <f>+$D18*'[5]II-F Alloc_Factor'!H$17</f>
        <v>25969.711507928889</v>
      </c>
      <c r="J18" s="150">
        <f>+$D18*'[5]II-F Alloc_Factor'!I$17</f>
        <v>71646.117021740472</v>
      </c>
      <c r="K18" s="150">
        <f>+$D18*'[5]II-F Alloc_Factor'!J$17</f>
        <v>0</v>
      </c>
      <c r="L18" s="150">
        <f>+$D18*'[5]II-F Alloc_Factor'!K$17</f>
        <v>71646.117021740472</v>
      </c>
      <c r="M18" s="150">
        <f>+$D18*'[5]II-F Alloc_Factor'!L$17</f>
        <v>19534.180353964297</v>
      </c>
      <c r="N18" s="150">
        <f>+$D18*'[5]II-F Alloc_Factor'!M$17</f>
        <v>786.08111636633419</v>
      </c>
      <c r="O18" s="150">
        <f t="shared" si="0" ref="O18:O28">+I18+L18+M18+N18</f>
        <v>117936.09</v>
      </c>
      <c r="Q18" s="138" t="b">
        <f t="shared" si="1" ref="Q18:Q28">+D18=O18</f>
        <v>1</v>
      </c>
    </row>
    <row r="19" spans="1:17" ht="12.75">
      <c r="A19" s="146">
        <v>3</v>
      </c>
      <c r="B19" s="147" t="str">
        <f>+'II-D-3.2'!B17</f>
        <v>March 2021</v>
      </c>
      <c r="D19" s="150">
        <v>117936.09</v>
      </c>
      <c r="E19" s="213" t="s">
        <v>163</v>
      </c>
      <c r="F19" s="150">
        <f>+$D19*'[5]II-F Alloc_Factor'!E$17</f>
        <v>25969.711507928889</v>
      </c>
      <c r="G19" s="150">
        <f>+$D19*'[5]II-F Alloc_Factor'!F$17</f>
        <v>0</v>
      </c>
      <c r="H19" s="150">
        <f>+$D19*'[5]II-F Alloc_Factor'!G$17</f>
        <v>0</v>
      </c>
      <c r="I19" s="150">
        <f>+$D19*'[5]II-F Alloc_Factor'!H$17</f>
        <v>25969.711507928889</v>
      </c>
      <c r="J19" s="150">
        <f>+$D19*'[5]II-F Alloc_Factor'!I$17</f>
        <v>71646.117021740472</v>
      </c>
      <c r="K19" s="150">
        <f>+$D19*'[5]II-F Alloc_Factor'!J$17</f>
        <v>0</v>
      </c>
      <c r="L19" s="150">
        <f>+$D19*'[5]II-F Alloc_Factor'!K$17</f>
        <v>71646.117021740472</v>
      </c>
      <c r="M19" s="150">
        <f>+$D19*'[5]II-F Alloc_Factor'!L$17</f>
        <v>19534.180353964297</v>
      </c>
      <c r="N19" s="150">
        <f>+$D19*'[5]II-F Alloc_Factor'!M$17</f>
        <v>786.08111636633419</v>
      </c>
      <c r="O19" s="150">
        <f t="shared" si="0"/>
        <v>117936.09</v>
      </c>
      <c r="Q19" s="138" t="b">
        <f t="shared" si="1"/>
        <v>1</v>
      </c>
    </row>
    <row r="20" spans="1:17" ht="12.75">
      <c r="A20" s="146">
        <v>4</v>
      </c>
      <c r="B20" s="147" t="str">
        <f>+'II-D-3.2'!B18</f>
        <v>April 2021</v>
      </c>
      <c r="D20" s="150">
        <v>115041.01000000001</v>
      </c>
      <c r="E20" s="213" t="s">
        <v>163</v>
      </c>
      <c r="F20" s="150">
        <f>+$D20*'[5]II-F Alloc_Factor'!E$17</f>
        <v>25332.210363093796</v>
      </c>
      <c r="G20" s="150">
        <f>+$D20*'[5]II-F Alloc_Factor'!F$17</f>
        <v>0</v>
      </c>
      <c r="H20" s="150">
        <f>+$D20*'[5]II-F Alloc_Factor'!G$17</f>
        <v>0</v>
      </c>
      <c r="I20" s="150">
        <f>+$D20*'[5]II-F Alloc_Factor'!H$17</f>
        <v>25332.210363093796</v>
      </c>
      <c r="J20" s="150">
        <f>+$D20*'[5]II-F Alloc_Factor'!I$17</f>
        <v>69887.357337005291</v>
      </c>
      <c r="K20" s="150">
        <f>+$D20*'[5]II-F Alloc_Factor'!J$17</f>
        <v>0</v>
      </c>
      <c r="L20" s="150">
        <f>+$D20*'[5]II-F Alloc_Factor'!K$17</f>
        <v>69887.357337005291</v>
      </c>
      <c r="M20" s="150">
        <f>+$D20*'[5]II-F Alloc_Factor'!L$17</f>
        <v>19054.657801884143</v>
      </c>
      <c r="N20" s="150">
        <f>+$D20*'[5]II-F Alloc_Factor'!M$17</f>
        <v>766.78449801677016</v>
      </c>
      <c r="O20" s="150">
        <f t="shared" si="0"/>
        <v>115041.01</v>
      </c>
      <c r="Q20" s="138" t="b">
        <f t="shared" si="1"/>
        <v>1</v>
      </c>
    </row>
    <row r="21" spans="1:17" ht="12.75">
      <c r="A21" s="146">
        <v>5</v>
      </c>
      <c r="B21" s="147" t="str">
        <f>+'II-D-3.2'!B19</f>
        <v>May 2021</v>
      </c>
      <c r="D21" s="150">
        <v>116488.54999999999</v>
      </c>
      <c r="E21" s="213" t="s">
        <v>163</v>
      </c>
      <c r="F21" s="150">
        <f>+$D21*'[5]II-F Alloc_Factor'!E$17</f>
        <v>25650.960935511339</v>
      </c>
      <c r="G21" s="150">
        <f>+$D21*'[5]II-F Alloc_Factor'!F$17</f>
        <v>0</v>
      </c>
      <c r="H21" s="150">
        <f>+$D21*'[5]II-F Alloc_Factor'!G$17</f>
        <v>0</v>
      </c>
      <c r="I21" s="150">
        <f>+$D21*'[5]II-F Alloc_Factor'!H$17</f>
        <v>25650.960935511339</v>
      </c>
      <c r="J21" s="150">
        <f>+$D21*'[5]II-F Alloc_Factor'!I$17</f>
        <v>70766.737179372882</v>
      </c>
      <c r="K21" s="150">
        <f>+$D21*'[5]II-F Alloc_Factor'!J$17</f>
        <v>0</v>
      </c>
      <c r="L21" s="150">
        <f>+$D21*'[5]II-F Alloc_Factor'!K$17</f>
        <v>70766.737179372882</v>
      </c>
      <c r="M21" s="150">
        <f>+$D21*'[5]II-F Alloc_Factor'!L$17</f>
        <v>19294.419077924216</v>
      </c>
      <c r="N21" s="150">
        <f>+$D21*'[5]II-F Alloc_Factor'!M$17</f>
        <v>776.43280719155212</v>
      </c>
      <c r="O21" s="150">
        <f t="shared" si="0"/>
        <v>116488.54999999999</v>
      </c>
      <c r="Q21" s="138" t="b">
        <f t="shared" si="1"/>
        <v>1</v>
      </c>
    </row>
    <row r="22" spans="1:17" ht="12.75">
      <c r="A22" s="146">
        <v>6</v>
      </c>
      <c r="B22" s="147" t="str">
        <f>+'II-D-3.2'!B20</f>
        <v>June 2021</v>
      </c>
      <c r="D22" s="150">
        <v>115161.60999999999</v>
      </c>
      <c r="E22" s="213" t="s">
        <v>163</v>
      </c>
      <c r="F22" s="150">
        <f>+$D22*'[5]II-F Alloc_Factor'!E$17</f>
        <v>25358.766671750931</v>
      </c>
      <c r="G22" s="150">
        <f>+$D22*'[5]II-F Alloc_Factor'!F$17</f>
        <v>0</v>
      </c>
      <c r="H22" s="150">
        <f>+$D22*'[5]II-F Alloc_Factor'!G$17</f>
        <v>0</v>
      </c>
      <c r="I22" s="150">
        <f>+$D22*'[5]II-F Alloc_Factor'!H$17</f>
        <v>25358.766671750931</v>
      </c>
      <c r="J22" s="150">
        <f>+$D22*'[5]II-F Alloc_Factor'!I$17</f>
        <v>69960.621778049768</v>
      </c>
      <c r="K22" s="150">
        <f>+$D22*'[5]II-F Alloc_Factor'!J$17</f>
        <v>0</v>
      </c>
      <c r="L22" s="150">
        <f>+$D22*'[5]II-F Alloc_Factor'!K$17</f>
        <v>69960.621778049768</v>
      </c>
      <c r="M22" s="150">
        <f>+$D22*'[5]II-F Alloc_Factor'!L$17</f>
        <v>19074.633215268525</v>
      </c>
      <c r="N22" s="150">
        <f>+$D22*'[5]II-F Alloc_Factor'!M$17</f>
        <v>767.58833493076111</v>
      </c>
      <c r="O22" s="150">
        <f t="shared" si="0"/>
        <v>115161.60999999997</v>
      </c>
      <c r="Q22" s="138" t="b">
        <f t="shared" si="1"/>
        <v>1</v>
      </c>
    </row>
    <row r="23" spans="1:17" ht="12.75">
      <c r="A23" s="146">
        <v>7</v>
      </c>
      <c r="B23" s="147" t="str">
        <f>+'II-D-3.2'!B21</f>
        <v>July 2021</v>
      </c>
      <c r="D23" s="150">
        <v>119719.54000000001</v>
      </c>
      <c r="E23" s="213" t="s">
        <v>163</v>
      </c>
      <c r="F23" s="150">
        <f>+$D23*'[5]II-F Alloc_Factor'!E$17</f>
        <v>26362.429987817581</v>
      </c>
      <c r="G23" s="150">
        <f>+$D23*'[5]II-F Alloc_Factor'!F$17</f>
        <v>0</v>
      </c>
      <c r="H23" s="150">
        <f>+$D23*'[5]II-F Alloc_Factor'!G$17</f>
        <v>0</v>
      </c>
      <c r="I23" s="150">
        <f>+$D23*'[5]II-F Alloc_Factor'!H$17</f>
        <v>26362.429987817581</v>
      </c>
      <c r="J23" s="150">
        <f>+$D23*'[5]II-F Alloc_Factor'!I$17</f>
        <v>72729.562024897896</v>
      </c>
      <c r="K23" s="150">
        <f>+$D23*'[5]II-F Alloc_Factor'!J$17</f>
        <v>0</v>
      </c>
      <c r="L23" s="150">
        <f>+$D23*'[5]II-F Alloc_Factor'!K$17</f>
        <v>72729.562024897896</v>
      </c>
      <c r="M23" s="150">
        <f>+$D23*'[5]II-F Alloc_Factor'!L$17</f>
        <v>19829.579615990686</v>
      </c>
      <c r="N23" s="150">
        <f>+$D23*'[5]II-F Alloc_Factor'!M$17</f>
        <v>797.96837129384244</v>
      </c>
      <c r="O23" s="150">
        <f t="shared" si="0"/>
        <v>119719.54000000001</v>
      </c>
      <c r="Q23" s="138" t="b">
        <f t="shared" si="1"/>
        <v>1</v>
      </c>
    </row>
    <row r="24" spans="1:17" ht="12.75">
      <c r="A24" s="146">
        <v>8</v>
      </c>
      <c r="B24" s="147" t="str">
        <f>+'II-D-3.2'!B22</f>
        <v>August 2021</v>
      </c>
      <c r="D24" s="150">
        <v>119151</v>
      </c>
      <c r="E24" s="213" t="s">
        <v>163</v>
      </c>
      <c r="F24" s="150">
        <f>+$D24*'[5]II-F Alloc_Factor'!E$17</f>
        <v>26237.236590438391</v>
      </c>
      <c r="G24" s="150">
        <f>+$D24*'[5]II-F Alloc_Factor'!F$17</f>
        <v>0</v>
      </c>
      <c r="H24" s="150">
        <f>+$D24*'[5]II-F Alloc_Factor'!G$17</f>
        <v>0</v>
      </c>
      <c r="I24" s="150">
        <f>+$D24*'[5]II-F Alloc_Factor'!H$17</f>
        <v>26237.236590438391</v>
      </c>
      <c r="J24" s="150">
        <f>+$D24*'[5]II-F Alloc_Factor'!I$17</f>
        <v>72384.174252829645</v>
      </c>
      <c r="K24" s="150">
        <f>+$D24*'[5]II-F Alloc_Factor'!J$17</f>
        <v>0</v>
      </c>
      <c r="L24" s="150">
        <f>+$D24*'[5]II-F Alloc_Factor'!K$17</f>
        <v>72384.174252829645</v>
      </c>
      <c r="M24" s="150">
        <f>+$D24*'[5]II-F Alloc_Factor'!L$17</f>
        <v>19735.41028327461</v>
      </c>
      <c r="N24" s="150">
        <f>+$D24*'[5]II-F Alloc_Factor'!M$17</f>
        <v>794.1788734573538</v>
      </c>
      <c r="O24" s="150">
        <f t="shared" si="0"/>
        <v>119151</v>
      </c>
      <c r="Q24" s="138" t="b">
        <f t="shared" si="1"/>
        <v>1</v>
      </c>
    </row>
    <row r="25" spans="1:17" ht="12.75">
      <c r="A25" s="146">
        <v>9</v>
      </c>
      <c r="B25" s="147" t="str">
        <f>+'II-D-3.2'!B23</f>
        <v>September 2021</v>
      </c>
      <c r="D25" s="150">
        <v>109198.91</v>
      </c>
      <c r="E25" s="213" t="s">
        <v>163</v>
      </c>
      <c r="F25" s="150">
        <f>+$D25*'[5]II-F Alloc_Factor'!E$17</f>
        <v>24045.77080417276</v>
      </c>
      <c r="G25" s="150">
        <f>+$D25*'[5]II-F Alloc_Factor'!F$17</f>
        <v>0</v>
      </c>
      <c r="H25" s="150">
        <f>+$D25*'[5]II-F Alloc_Factor'!G$17</f>
        <v>0</v>
      </c>
      <c r="I25" s="150">
        <f>+$D25*'[5]II-F Alloc_Factor'!H$17</f>
        <v>24045.77080417276</v>
      </c>
      <c r="J25" s="150">
        <f>+$D25*'[5]II-F Alloc_Factor'!I$17</f>
        <v>66338.284442925884</v>
      </c>
      <c r="K25" s="150">
        <f>+$D25*'[5]II-F Alloc_Factor'!J$17</f>
        <v>0</v>
      </c>
      <c r="L25" s="150">
        <f>+$D25*'[5]II-F Alloc_Factor'!K$17</f>
        <v>66338.284442925884</v>
      </c>
      <c r="M25" s="150">
        <f>+$D25*'[5]II-F Alloc_Factor'!L$17</f>
        <v>18087.009688012513</v>
      </c>
      <c r="N25" s="150">
        <f>+$D25*'[5]II-F Alloc_Factor'!M$17</f>
        <v>727.84506488884665</v>
      </c>
      <c r="O25" s="150">
        <f t="shared" si="0"/>
        <v>109198.91</v>
      </c>
      <c r="Q25" s="138" t="b">
        <f t="shared" si="1"/>
        <v>1</v>
      </c>
    </row>
    <row r="26" spans="1:17" ht="12.75">
      <c r="A26" s="146">
        <v>10</v>
      </c>
      <c r="B26" s="147" t="str">
        <f>+'II-D-3.2'!B24</f>
        <v>October 2021</v>
      </c>
      <c r="D26" s="150">
        <v>109198.90000000001</v>
      </c>
      <c r="E26" s="213" t="s">
        <v>163</v>
      </c>
      <c r="F26" s="150">
        <f>+$D26*'[5]II-F Alloc_Factor'!E$17</f>
        <v>24045.768602157121</v>
      </c>
      <c r="G26" s="150">
        <f>+$D26*'[5]II-F Alloc_Factor'!F$17</f>
        <v>0</v>
      </c>
      <c r="H26" s="150">
        <f>+$D26*'[5]II-F Alloc_Factor'!G$17</f>
        <v>0</v>
      </c>
      <c r="I26" s="150">
        <f>+$D26*'[5]II-F Alloc_Factor'!H$17</f>
        <v>24045.768602157121</v>
      </c>
      <c r="J26" s="150">
        <f>+$D26*'[5]II-F Alloc_Factor'!I$17</f>
        <v>66338.278367930776</v>
      </c>
      <c r="K26" s="150">
        <f>+$D26*'[5]II-F Alloc_Factor'!J$17</f>
        <v>0</v>
      </c>
      <c r="L26" s="150">
        <f>+$D26*'[5]II-F Alloc_Factor'!K$17</f>
        <v>66338.278367930776</v>
      </c>
      <c r="M26" s="150">
        <f>+$D26*'[5]II-F Alloc_Factor'!L$17</f>
        <v>18087.008031676411</v>
      </c>
      <c r="N26" s="150">
        <f>+$D26*'[5]II-F Alloc_Factor'!M$17</f>
        <v>727.84499823570297</v>
      </c>
      <c r="O26" s="150">
        <f t="shared" si="0"/>
        <v>109198.89999999999</v>
      </c>
      <c r="Q26" s="138" t="b">
        <f t="shared" si="1"/>
        <v>1</v>
      </c>
    </row>
    <row r="27" spans="1:17" ht="12.75">
      <c r="A27" s="146">
        <v>11</v>
      </c>
      <c r="B27" s="147" t="str">
        <f>+'II-D-3.2'!B25</f>
        <v>November 2021</v>
      </c>
      <c r="D27" s="150">
        <v>108358.48</v>
      </c>
      <c r="E27" s="213" t="s">
        <v>163</v>
      </c>
      <c r="F27" s="150">
        <f>+$D27*'[5]II-F Alloc_Factor'!E$17</f>
        <v>23860.706803470272</v>
      </c>
      <c r="G27" s="150">
        <f>+$D27*'[5]II-F Alloc_Factor'!F$17</f>
        <v>0</v>
      </c>
      <c r="H27" s="150">
        <f>+$D27*'[5]II-F Alloc_Factor'!G$17</f>
        <v>0</v>
      </c>
      <c r="I27" s="150">
        <f>+$D27*'[5]II-F Alloc_Factor'!H$17</f>
        <v>23860.706803470272</v>
      </c>
      <c r="J27" s="150">
        <f>+$D27*'[5]II-F Alloc_Factor'!I$17</f>
        <v>65827.72362877152</v>
      </c>
      <c r="K27" s="150">
        <f>+$D27*'[5]II-F Alloc_Factor'!J$17</f>
        <v>0</v>
      </c>
      <c r="L27" s="150">
        <f>+$D27*'[5]II-F Alloc_Factor'!K$17</f>
        <v>65827.72362877152</v>
      </c>
      <c r="M27" s="150">
        <f>+$D27*'[5]II-F Alloc_Factor'!L$17</f>
        <v>17947.806233032086</v>
      </c>
      <c r="N27" s="150">
        <f>+$D27*'[5]II-F Alloc_Factor'!M$17</f>
        <v>722.24333472611397</v>
      </c>
      <c r="O27" s="150">
        <f t="shared" si="0"/>
        <v>108358.47999999998</v>
      </c>
      <c r="Q27" s="138" t="b">
        <f t="shared" si="1"/>
        <v>1</v>
      </c>
    </row>
    <row r="28" spans="1:17" ht="12.75">
      <c r="A28" s="146">
        <v>12</v>
      </c>
      <c r="B28" s="147" t="str">
        <f>+'II-D-3.2'!B26</f>
        <v>December 2021</v>
      </c>
      <c r="D28" s="150">
        <v>0</v>
      </c>
      <c r="E28" s="213" t="s">
        <v>163</v>
      </c>
      <c r="F28" s="150">
        <f>+$D28*'[5]II-F Alloc_Factor'!E$17</f>
        <v>0</v>
      </c>
      <c r="G28" s="150">
        <f>+$D28*'[5]II-F Alloc_Factor'!F$17</f>
        <v>0</v>
      </c>
      <c r="H28" s="150">
        <f>+$D28*'[5]II-F Alloc_Factor'!G$17</f>
        <v>0</v>
      </c>
      <c r="I28" s="150">
        <f>+$D28*'[5]II-F Alloc_Factor'!H$17</f>
        <v>0</v>
      </c>
      <c r="J28" s="150">
        <f>+$D28*'[5]II-F Alloc_Factor'!I$17</f>
        <v>0</v>
      </c>
      <c r="K28" s="150">
        <f>+$D28*'[5]II-F Alloc_Factor'!J$17</f>
        <v>0</v>
      </c>
      <c r="L28" s="150">
        <f>+$D28*'[5]II-F Alloc_Factor'!K$17</f>
        <v>0</v>
      </c>
      <c r="M28" s="150">
        <f>+$D28*'[5]II-F Alloc_Factor'!L$17</f>
        <v>0</v>
      </c>
      <c r="N28" s="150">
        <f>+$D28*'[5]II-F Alloc_Factor'!M$17</f>
        <v>0</v>
      </c>
      <c r="O28" s="150">
        <f t="shared" si="0"/>
        <v>0</v>
      </c>
      <c r="Q28" s="138" t="b">
        <f t="shared" si="1"/>
        <v>1</v>
      </c>
    </row>
    <row r="29" spans="1:15" ht="12.75">
      <c r="A29" s="146">
        <v>13</v>
      </c>
      <c r="D29" s="151"/>
      <c r="E29" s="151"/>
      <c r="F29" s="151"/>
      <c r="G29" s="151"/>
      <c r="H29" s="151"/>
      <c r="I29" s="151"/>
      <c r="J29" s="151"/>
      <c r="K29" s="151"/>
      <c r="L29" s="151"/>
      <c r="M29" s="151"/>
      <c r="N29" s="151"/>
      <c r="O29" s="151"/>
    </row>
    <row r="30" spans="1:17" ht="13.5" thickBot="1">
      <c r="A30" s="146">
        <v>14</v>
      </c>
      <c r="B30" s="211" t="s">
        <v>216</v>
      </c>
      <c r="D30" s="172">
        <f t="shared" si="2" ref="D30:O30">SUM(D17:D28)</f>
        <v>1265350.71</v>
      </c>
      <c r="E30" s="228"/>
      <c r="F30" s="172">
        <f t="shared" si="2"/>
        <v>278632.20575697394</v>
      </c>
      <c r="G30" s="172">
        <f t="shared" si="3" ref="G30:N30">SUM(G17:G28)</f>
        <v>0</v>
      </c>
      <c r="H30" s="172">
        <f t="shared" si="3"/>
        <v>0</v>
      </c>
      <c r="I30" s="172">
        <f t="shared" si="3"/>
        <v>278632.20575697394</v>
      </c>
      <c r="J30" s="172">
        <f t="shared" si="3"/>
        <v>768699.93775613885</v>
      </c>
      <c r="K30" s="172">
        <f t="shared" si="3"/>
        <v>0</v>
      </c>
      <c r="L30" s="172">
        <f t="shared" si="3"/>
        <v>768699.93775613885</v>
      </c>
      <c r="M30" s="172">
        <f t="shared" si="3"/>
        <v>209584.60620626621</v>
      </c>
      <c r="N30" s="172">
        <f t="shared" si="3"/>
        <v>8433.9602806209168</v>
      </c>
      <c r="O30" s="172">
        <f t="shared" si="2"/>
        <v>1265350.71</v>
      </c>
      <c r="Q30" s="138" t="b">
        <f>+D30=O30</f>
        <v>1</v>
      </c>
    </row>
    <row r="31" spans="1:1" ht="13.5" thickTop="1">
      <c r="A31" s="146"/>
    </row>
    <row r="34" spans="4:15" ht="13.5" thickBot="1">
      <c r="D34" s="363" t="s">
        <v>446</v>
      </c>
      <c r="E34" s="362"/>
      <c r="F34" s="362"/>
      <c r="G34" s="362"/>
      <c r="H34" s="362"/>
      <c r="I34" s="362"/>
      <c r="J34" s="362"/>
      <c r="K34" s="362"/>
      <c r="L34" s="362"/>
      <c r="M34" s="362"/>
      <c r="N34" s="362"/>
      <c r="O34" s="362"/>
    </row>
    <row r="35" spans="14:15" ht="12.75">
      <c r="N35" s="61"/>
      <c r="O35" s="18"/>
    </row>
    <row r="36" spans="1:15" ht="12.75">
      <c r="A36" s="18" t="s">
        <v>87</v>
      </c>
      <c r="B36" s="18"/>
      <c r="D36" s="209" t="s">
        <v>216</v>
      </c>
      <c r="E36" s="209" t="s">
        <v>53</v>
      </c>
      <c r="F36" s="18"/>
      <c r="G36" s="18" t="s">
        <v>716</v>
      </c>
      <c r="H36" s="18" t="s">
        <v>722</v>
      </c>
      <c r="I36" s="18" t="s">
        <v>717</v>
      </c>
      <c r="J36" s="18"/>
      <c r="K36" s="18" t="s">
        <v>716</v>
      </c>
      <c r="L36" s="18" t="s">
        <v>717</v>
      </c>
      <c r="M36" s="18"/>
      <c r="N36" s="18"/>
      <c r="O36" s="18"/>
    </row>
    <row r="37" spans="1:15" ht="12.75">
      <c r="A37" s="208" t="s">
        <v>89</v>
      </c>
      <c r="B37" s="208" t="s">
        <v>64</v>
      </c>
      <c r="D37" s="202" t="s">
        <v>219</v>
      </c>
      <c r="E37" s="202" t="s">
        <v>218</v>
      </c>
      <c r="F37" s="202" t="s">
        <v>294</v>
      </c>
      <c r="G37" s="202" t="s">
        <v>294</v>
      </c>
      <c r="H37" s="202" t="s">
        <v>723</v>
      </c>
      <c r="I37" s="202" t="s">
        <v>294</v>
      </c>
      <c r="J37" s="202" t="s">
        <v>295</v>
      </c>
      <c r="K37" s="202" t="s">
        <v>295</v>
      </c>
      <c r="L37" s="202" t="s">
        <v>295</v>
      </c>
      <c r="M37" s="202" t="s">
        <v>283</v>
      </c>
      <c r="N37" s="202" t="s">
        <v>126</v>
      </c>
      <c r="O37" s="202" t="s">
        <v>216</v>
      </c>
    </row>
    <row r="38" spans="1:15" ht="12.75">
      <c r="A38" s="18"/>
      <c r="B38" s="16" t="s">
        <v>44</v>
      </c>
      <c r="D38" s="16" t="s">
        <v>45</v>
      </c>
      <c r="E38" s="16" t="s">
        <v>74</v>
      </c>
      <c r="F38" s="16" t="s">
        <v>75</v>
      </c>
      <c r="G38" s="203" t="s">
        <v>76</v>
      </c>
      <c r="H38" s="203" t="s">
        <v>77</v>
      </c>
      <c r="I38" s="203" t="s">
        <v>78</v>
      </c>
      <c r="J38" s="203" t="s">
        <v>79</v>
      </c>
      <c r="K38" s="203" t="s">
        <v>80</v>
      </c>
      <c r="L38" s="203" t="s">
        <v>81</v>
      </c>
      <c r="M38" s="203" t="s">
        <v>82</v>
      </c>
      <c r="N38" s="203" t="s">
        <v>83</v>
      </c>
      <c r="O38" s="203" t="s">
        <v>84</v>
      </c>
    </row>
    <row r="40" spans="1:17" ht="12.75">
      <c r="A40" s="146">
        <v>15</v>
      </c>
      <c r="B40" s="147" t="str">
        <f>+B17</f>
        <v>January 2021</v>
      </c>
      <c r="D40" s="148">
        <v>481542.90999999997</v>
      </c>
      <c r="E40" s="213" t="s">
        <v>163</v>
      </c>
      <c r="F40" s="148">
        <f>+$D40*'[5]II-F Alloc_Factor'!E$17</f>
        <v>106036.5020697953</v>
      </c>
      <c r="G40" s="148">
        <f>+$D40*'[5]II-F Alloc_Factor'!F$17</f>
        <v>0</v>
      </c>
      <c r="H40" s="148">
        <f>+$D40*'[5]II-F Alloc_Factor'!G$17</f>
        <v>0</v>
      </c>
      <c r="I40" s="148">
        <f>+$D40*'[5]II-F Alloc_Factor'!H$17</f>
        <v>106036.5020697953</v>
      </c>
      <c r="J40" s="148">
        <f>+$D40*'[5]II-F Alloc_Factor'!I$17</f>
        <v>292537.08242192393</v>
      </c>
      <c r="K40" s="148">
        <f>+$D40*'[5]II-F Alloc_Factor'!J$17</f>
        <v>0</v>
      </c>
      <c r="L40" s="148">
        <f>+$D40*'[5]II-F Alloc_Factor'!K$17</f>
        <v>292537.08242192393</v>
      </c>
      <c r="M40" s="148">
        <f>+$D40*'[5]II-F Alloc_Factor'!L$17</f>
        <v>79759.690626616473</v>
      </c>
      <c r="N40" s="148">
        <f>+$D40*'[5]II-F Alloc_Factor'!M$17</f>
        <v>3209.6348816642403</v>
      </c>
      <c r="O40" s="148">
        <f t="shared" si="4" ref="O40:O51">+I40+L40+M40+N40</f>
        <v>481542.90999999997</v>
      </c>
      <c r="Q40" s="138" t="b">
        <f t="shared" si="5" ref="Q40:Q51">+D40=O40</f>
        <v>1</v>
      </c>
    </row>
    <row r="41" spans="1:17" ht="12.75">
      <c r="A41" s="146">
        <v>16</v>
      </c>
      <c r="B41" s="147" t="str">
        <f t="shared" si="6" ref="B41:B51">+B18</f>
        <v>February 2021</v>
      </c>
      <c r="D41" s="150">
        <v>478329.58000000002</v>
      </c>
      <c r="E41" s="213" t="s">
        <v>163</v>
      </c>
      <c r="F41" s="150">
        <f>+$D41*'[5]II-F Alloc_Factor'!E$17</f>
        <v>105328.92177711499</v>
      </c>
      <c r="G41" s="150">
        <f>+$D41*'[5]II-F Alloc_Factor'!F$17</f>
        <v>0</v>
      </c>
      <c r="H41" s="150">
        <f>+$D41*'[5]II-F Alloc_Factor'!G$17</f>
        <v>0</v>
      </c>
      <c r="I41" s="150">
        <f>+$D41*'[5]II-F Alloc_Factor'!H$17</f>
        <v>105328.92177711499</v>
      </c>
      <c r="J41" s="150">
        <f>+$D41*'[5]II-F Alloc_Factor'!I$17</f>
        <v>290584.98601776583</v>
      </c>
      <c r="K41" s="150">
        <f>+$D41*'[5]II-F Alloc_Factor'!J$17</f>
        <v>0</v>
      </c>
      <c r="L41" s="150">
        <f>+$D41*'[5]II-F Alloc_Factor'!K$17</f>
        <v>290584.98601776583</v>
      </c>
      <c r="M41" s="150">
        <f>+$D41*'[5]II-F Alloc_Factor'!L$17</f>
        <v>79227.455178105316</v>
      </c>
      <c r="N41" s="150">
        <f>+$D41*'[5]II-F Alloc_Factor'!M$17</f>
        <v>3188.2170270138668</v>
      </c>
      <c r="O41" s="150">
        <f t="shared" si="4"/>
        <v>478329.58000000002</v>
      </c>
      <c r="Q41" s="138" t="b">
        <f t="shared" si="5"/>
        <v>1</v>
      </c>
    </row>
    <row r="42" spans="1:17" ht="12.75">
      <c r="A42" s="146">
        <v>17</v>
      </c>
      <c r="B42" s="147" t="str">
        <f t="shared" si="6"/>
        <v>March 2021</v>
      </c>
      <c r="D42" s="150">
        <v>466154.97000000003</v>
      </c>
      <c r="E42" s="213" t="s">
        <v>163</v>
      </c>
      <c r="F42" s="150">
        <f>+$D42*'[5]II-F Alloc_Factor'!E$17</f>
        <v>102648.05361011415</v>
      </c>
      <c r="G42" s="150">
        <f>+$D42*'[5]II-F Alloc_Factor'!F$17</f>
        <v>0</v>
      </c>
      <c r="H42" s="150">
        <f>+$D42*'[5]II-F Alloc_Factor'!G$17</f>
        <v>0</v>
      </c>
      <c r="I42" s="150">
        <f>+$D42*'[5]II-F Alloc_Factor'!H$17</f>
        <v>102648.05361011415</v>
      </c>
      <c r="J42" s="150">
        <f>+$D42*'[5]II-F Alloc_Factor'!I$17</f>
        <v>283188.91639434476</v>
      </c>
      <c r="K42" s="150">
        <f>+$D42*'[5]II-F Alloc_Factor'!J$17</f>
        <v>0</v>
      </c>
      <c r="L42" s="150">
        <f>+$D42*'[5]II-F Alloc_Factor'!K$17</f>
        <v>283188.91639434476</v>
      </c>
      <c r="M42" s="150">
        <f>+$D42*'[5]II-F Alloc_Factor'!L$17</f>
        <v>77210.930571607198</v>
      </c>
      <c r="N42" s="150">
        <f>+$D42*'[5]II-F Alloc_Factor'!M$17</f>
        <v>3107.0694239338873</v>
      </c>
      <c r="O42" s="150">
        <f t="shared" si="4"/>
        <v>466154.96999999997</v>
      </c>
      <c r="Q42" s="138" t="b">
        <f t="shared" si="5"/>
        <v>1</v>
      </c>
    </row>
    <row r="43" spans="1:17" ht="12.75">
      <c r="A43" s="146">
        <v>18</v>
      </c>
      <c r="B43" s="147" t="str">
        <f t="shared" si="6"/>
        <v>April 2021</v>
      </c>
      <c r="D43" s="150">
        <v>463946.25</v>
      </c>
      <c r="E43" s="213" t="s">
        <v>163</v>
      </c>
      <c r="F43" s="150">
        <f>+$D43*'[5]II-F Alloc_Factor'!E$17</f>
        <v>102161.69001096656</v>
      </c>
      <c r="G43" s="150">
        <f>+$D43*'[5]II-F Alloc_Factor'!F$17</f>
        <v>0</v>
      </c>
      <c r="H43" s="150">
        <f>+$D43*'[5]II-F Alloc_Factor'!G$17</f>
        <v>0</v>
      </c>
      <c r="I43" s="150">
        <f>+$D43*'[5]II-F Alloc_Factor'!H$17</f>
        <v>102161.69001096656</v>
      </c>
      <c r="J43" s="150">
        <f>+$D43*'[5]II-F Alloc_Factor'!I$17</f>
        <v>281847.12007408135</v>
      </c>
      <c r="K43" s="150">
        <f>+$D43*'[5]II-F Alloc_Factor'!J$17</f>
        <v>0</v>
      </c>
      <c r="L43" s="150">
        <f>+$D43*'[5]II-F Alloc_Factor'!K$17</f>
        <v>281847.12007408135</v>
      </c>
      <c r="M43" s="150">
        <f>+$D43*'[5]II-F Alloc_Factor'!L$17</f>
        <v>76845.092304191261</v>
      </c>
      <c r="N43" s="150">
        <f>+$D43*'[5]II-F Alloc_Factor'!M$17</f>
        <v>3092.3476107608317</v>
      </c>
      <c r="O43" s="150">
        <f t="shared" si="4"/>
        <v>463946.25</v>
      </c>
      <c r="Q43" s="138" t="b">
        <f t="shared" si="5"/>
        <v>1</v>
      </c>
    </row>
    <row r="44" spans="1:17" ht="12.75">
      <c r="A44" s="146">
        <v>19</v>
      </c>
      <c r="B44" s="147" t="str">
        <f t="shared" si="6"/>
        <v>May 2021</v>
      </c>
      <c r="D44" s="150">
        <v>463057.45999999996</v>
      </c>
      <c r="E44" s="213" t="s">
        <v>163</v>
      </c>
      <c r="F44" s="150">
        <f>+$D44*'[5]II-F Alloc_Factor'!E$17</f>
        <v>101965.97706261349</v>
      </c>
      <c r="G44" s="150">
        <f>+$D44*'[5]II-F Alloc_Factor'!F$17</f>
        <v>0</v>
      </c>
      <c r="H44" s="150">
        <f>+$D44*'[5]II-F Alloc_Factor'!G$17</f>
        <v>0</v>
      </c>
      <c r="I44" s="150">
        <f>+$D44*'[5]II-F Alloc_Factor'!H$17</f>
        <v>101965.97706261349</v>
      </c>
      <c r="J44" s="150">
        <f>+$D44*'[5]II-F Alloc_Factor'!I$17</f>
        <v>281307.18058356782</v>
      </c>
      <c r="K44" s="150">
        <f>+$D44*'[5]II-F Alloc_Factor'!J$17</f>
        <v>0</v>
      </c>
      <c r="L44" s="150">
        <f>+$D44*'[5]II-F Alloc_Factor'!K$17</f>
        <v>281307.18058356782</v>
      </c>
      <c r="M44" s="150">
        <f>+$D44*'[5]II-F Alloc_Factor'!L$17</f>
        <v>76697.878807823858</v>
      </c>
      <c r="N44" s="150">
        <f>+$D44*'[5]II-F Alloc_Factor'!M$17</f>
        <v>3086.4235459947768</v>
      </c>
      <c r="O44" s="150">
        <f t="shared" si="4"/>
        <v>463057.45999999996</v>
      </c>
      <c r="Q44" s="138" t="b">
        <f t="shared" si="5"/>
        <v>1</v>
      </c>
    </row>
    <row r="45" spans="1:17" ht="12.75">
      <c r="A45" s="146">
        <v>20</v>
      </c>
      <c r="B45" s="147" t="str">
        <f t="shared" si="6"/>
        <v>June 2021</v>
      </c>
      <c r="D45" s="150">
        <v>457385.27000000002</v>
      </c>
      <c r="E45" s="213" t="s">
        <v>163</v>
      </c>
      <c r="F45" s="150">
        <f>+$D45*'[5]II-F Alloc_Factor'!E$17</f>
        <v>100716.95195148629</v>
      </c>
      <c r="G45" s="150">
        <f>+$D45*'[5]II-F Alloc_Factor'!F$17</f>
        <v>0</v>
      </c>
      <c r="H45" s="150">
        <f>+$D45*'[5]II-F Alloc_Factor'!G$17</f>
        <v>0</v>
      </c>
      <c r="I45" s="150">
        <f>+$D45*'[5]II-F Alloc_Factor'!H$17</f>
        <v>100716.95195148629</v>
      </c>
      <c r="J45" s="150">
        <f>+$D45*'[5]II-F Alloc_Factor'!I$17</f>
        <v>277861.32793142763</v>
      </c>
      <c r="K45" s="150">
        <f>+$D45*'[5]II-F Alloc_Factor'!J$17</f>
        <v>0</v>
      </c>
      <c r="L45" s="150">
        <f>+$D45*'[5]II-F Alloc_Factor'!K$17</f>
        <v>277861.32793142763</v>
      </c>
      <c r="M45" s="150">
        <f>+$D45*'[5]II-F Alloc_Factor'!L$17</f>
        <v>75758.373500653252</v>
      </c>
      <c r="N45" s="150">
        <f>+$D45*'[5]II-F Alloc_Factor'!M$17</f>
        <v>3048.616616432826</v>
      </c>
      <c r="O45" s="150">
        <f t="shared" si="4"/>
        <v>457385.27000000002</v>
      </c>
      <c r="Q45" s="138" t="b">
        <f t="shared" si="5"/>
        <v>1</v>
      </c>
    </row>
    <row r="46" spans="1:17" ht="12.75">
      <c r="A46" s="146">
        <v>21</v>
      </c>
      <c r="B46" s="147" t="str">
        <f t="shared" si="6"/>
        <v>July 2021</v>
      </c>
      <c r="D46" s="150">
        <v>455835.29000000004</v>
      </c>
      <c r="E46" s="213" t="s">
        <v>163</v>
      </c>
      <c r="F46" s="150">
        <f>+$D46*'[5]II-F Alloc_Factor'!E$17</f>
        <v>100375.64393081969</v>
      </c>
      <c r="G46" s="150">
        <f>+$D46*'[5]II-F Alloc_Factor'!F$17</f>
        <v>0</v>
      </c>
      <c r="H46" s="150">
        <f>+$D46*'[5]II-F Alloc_Factor'!G$17</f>
        <v>0</v>
      </c>
      <c r="I46" s="150">
        <f>+$D46*'[5]II-F Alloc_Factor'!H$17</f>
        <v>100375.64393081969</v>
      </c>
      <c r="J46" s="150">
        <f>+$D46*'[5]II-F Alloc_Factor'!I$17</f>
        <v>276919.71583913802</v>
      </c>
      <c r="K46" s="150">
        <f>+$D46*'[5]II-F Alloc_Factor'!J$17</f>
        <v>0</v>
      </c>
      <c r="L46" s="150">
        <f>+$D46*'[5]II-F Alloc_Factor'!K$17</f>
        <v>276919.71583913802</v>
      </c>
      <c r="M46" s="150">
        <f>+$D46*'[5]II-F Alloc_Factor'!L$17</f>
        <v>75501.644717589152</v>
      </c>
      <c r="N46" s="150">
        <f>+$D46*'[5]II-F Alloc_Factor'!M$17</f>
        <v>3038.2855124531579</v>
      </c>
      <c r="O46" s="150">
        <f t="shared" si="4"/>
        <v>455835.29000000004</v>
      </c>
      <c r="Q46" s="138" t="b">
        <f t="shared" si="5"/>
        <v>1</v>
      </c>
    </row>
    <row r="47" spans="1:17" ht="12.75">
      <c r="A47" s="146">
        <v>22</v>
      </c>
      <c r="B47" s="147" t="str">
        <f t="shared" si="6"/>
        <v>August 2021</v>
      </c>
      <c r="D47" s="150">
        <v>449200.41000000003</v>
      </c>
      <c r="E47" s="213" t="s">
        <v>163</v>
      </c>
      <c r="F47" s="150">
        <f>+$D47*'[5]II-F Alloc_Factor'!E$17</f>
        <v>98914.632975736065</v>
      </c>
      <c r="G47" s="150">
        <f>+$D47*'[5]II-F Alloc_Factor'!F$17</f>
        <v>0</v>
      </c>
      <c r="H47" s="150">
        <f>+$D47*'[5]II-F Alloc_Factor'!G$17</f>
        <v>0</v>
      </c>
      <c r="I47" s="150">
        <f>+$D47*'[5]II-F Alloc_Factor'!H$17</f>
        <v>98914.632975736065</v>
      </c>
      <c r="J47" s="150">
        <f>+$D47*'[5]II-F Alloc_Factor'!I$17</f>
        <v>272889.02948261047</v>
      </c>
      <c r="K47" s="150">
        <f>+$D47*'[5]II-F Alloc_Factor'!J$17</f>
        <v>0</v>
      </c>
      <c r="L47" s="150">
        <f>+$D47*'[5]II-F Alloc_Factor'!K$17</f>
        <v>272889.02948261047</v>
      </c>
      <c r="M47" s="150">
        <f>+$D47*'[5]II-F Alloc_Factor'!L$17</f>
        <v>74402.685590260866</v>
      </c>
      <c r="N47" s="150">
        <f>+$D47*'[5]II-F Alloc_Factor'!M$17</f>
        <v>2994.0619513926154</v>
      </c>
      <c r="O47" s="150">
        <f t="shared" si="4"/>
        <v>449200.40999999997</v>
      </c>
      <c r="Q47" s="138" t="b">
        <f t="shared" si="5"/>
        <v>1</v>
      </c>
    </row>
    <row r="48" spans="1:17" ht="12.75">
      <c r="A48" s="146">
        <v>23</v>
      </c>
      <c r="B48" s="147" t="str">
        <f t="shared" si="6"/>
        <v>September 2021</v>
      </c>
      <c r="D48" s="150">
        <v>451108.16000000003</v>
      </c>
      <c r="E48" s="213" t="s">
        <v>163</v>
      </c>
      <c r="F48" s="150">
        <f>+$D48*'[5]II-F Alloc_Factor'!E$17</f>
        <v>99334.722510069885</v>
      </c>
      <c r="G48" s="150">
        <f>+$D48*'[5]II-F Alloc_Factor'!F$17</f>
        <v>0</v>
      </c>
      <c r="H48" s="150">
        <f>+$D48*'[5]II-F Alloc_Factor'!G$17</f>
        <v>0</v>
      </c>
      <c r="I48" s="150">
        <f>+$D48*'[5]II-F Alloc_Factor'!H$17</f>
        <v>99334.722510069885</v>
      </c>
      <c r="J48" s="150">
        <f>+$D48*'[5]II-F Alloc_Factor'!I$17</f>
        <v>274047.9866750036</v>
      </c>
      <c r="K48" s="150">
        <f>+$D48*'[5]II-F Alloc_Factor'!J$17</f>
        <v>0</v>
      </c>
      <c r="L48" s="150">
        <f>+$D48*'[5]II-F Alloc_Factor'!K$17</f>
        <v>274047.9866750036</v>
      </c>
      <c r="M48" s="150">
        <f>+$D48*'[5]II-F Alloc_Factor'!L$17</f>
        <v>74718.673110029195</v>
      </c>
      <c r="N48" s="150">
        <f>+$D48*'[5]II-F Alloc_Factor'!M$17</f>
        <v>3006.777704897313</v>
      </c>
      <c r="O48" s="150">
        <f t="shared" si="4"/>
        <v>451108.16000000003</v>
      </c>
      <c r="Q48" s="138" t="b">
        <f t="shared" si="5"/>
        <v>1</v>
      </c>
    </row>
    <row r="49" spans="1:17" ht="12.75">
      <c r="A49" s="146">
        <v>24</v>
      </c>
      <c r="B49" s="147" t="str">
        <f t="shared" si="6"/>
        <v>October 2021</v>
      </c>
      <c r="D49" s="150">
        <v>444621.62</v>
      </c>
      <c r="E49" s="213" t="s">
        <v>163</v>
      </c>
      <c r="F49" s="150">
        <f>+$D49*'[5]II-F Alloc_Factor'!E$17</f>
        <v>97906.37625503767</v>
      </c>
      <c r="G49" s="150">
        <f>+$D49*'[5]II-F Alloc_Factor'!F$17</f>
        <v>0</v>
      </c>
      <c r="H49" s="150">
        <f>+$D49*'[5]II-F Alloc_Factor'!G$17</f>
        <v>0</v>
      </c>
      <c r="I49" s="150">
        <f>+$D49*'[5]II-F Alloc_Factor'!H$17</f>
        <v>97906.37625503767</v>
      </c>
      <c r="J49" s="150">
        <f>+$D49*'[5]II-F Alloc_Factor'!I$17</f>
        <v>270107.41679595981</v>
      </c>
      <c r="K49" s="150">
        <f>+$D49*'[5]II-F Alloc_Factor'!J$17</f>
        <v>0</v>
      </c>
      <c r="L49" s="150">
        <f>+$D49*'[5]II-F Alloc_Factor'!K$17</f>
        <v>270107.41679595981</v>
      </c>
      <c r="M49" s="150">
        <f>+$D49*'[5]II-F Alloc_Factor'!L$17</f>
        <v>73644.284072430921</v>
      </c>
      <c r="N49" s="150">
        <f>+$D49*'[5]II-F Alloc_Factor'!M$17</f>
        <v>2963.5428765716078</v>
      </c>
      <c r="O49" s="150">
        <f t="shared" si="4"/>
        <v>444621.62</v>
      </c>
      <c r="Q49" s="138" t="b">
        <f t="shared" si="5"/>
        <v>1</v>
      </c>
    </row>
    <row r="50" spans="1:17" ht="12.75">
      <c r="A50" s="146">
        <v>25</v>
      </c>
      <c r="B50" s="147" t="str">
        <f t="shared" si="6"/>
        <v>November 2021</v>
      </c>
      <c r="D50" s="150">
        <v>442022.48000000004</v>
      </c>
      <c r="E50" s="213" t="s">
        <v>163</v>
      </c>
      <c r="F50" s="150">
        <f>+$D50*'[5]II-F Alloc_Factor'!E$17</f>
        <v>97334.041561147809</v>
      </c>
      <c r="G50" s="150">
        <f>+$D50*'[5]II-F Alloc_Factor'!F$17</f>
        <v>0</v>
      </c>
      <c r="H50" s="150">
        <f>+$D50*'[5]II-F Alloc_Factor'!G$17</f>
        <v>0</v>
      </c>
      <c r="I50" s="150">
        <f>+$D50*'[5]II-F Alloc_Factor'!H$17</f>
        <v>97334.041561147809</v>
      </c>
      <c r="J50" s="150">
        <f>+$D50*'[5]II-F Alloc_Factor'!I$17</f>
        <v>268528.44051655388</v>
      </c>
      <c r="K50" s="150">
        <f>+$D50*'[5]II-F Alloc_Factor'!J$17</f>
        <v>0</v>
      </c>
      <c r="L50" s="150">
        <f>+$D50*'[5]II-F Alloc_Factor'!K$17</f>
        <v>268528.44051655388</v>
      </c>
      <c r="M50" s="150">
        <f>+$D50*'[5]II-F Alloc_Factor'!L$17</f>
        <v>73213.779130939292</v>
      </c>
      <c r="N50" s="150">
        <f>+$D50*'[5]II-F Alloc_Factor'!M$17</f>
        <v>2946.2187913590801</v>
      </c>
      <c r="O50" s="150">
        <f t="shared" si="4"/>
        <v>442022.4800000001</v>
      </c>
      <c r="Q50" s="138" t="b">
        <f t="shared" si="5"/>
        <v>1</v>
      </c>
    </row>
    <row r="51" spans="1:17" ht="12.75">
      <c r="A51" s="146">
        <v>26</v>
      </c>
      <c r="B51" s="147" t="str">
        <f t="shared" si="6"/>
        <v>December 2021</v>
      </c>
      <c r="D51" s="150">
        <v>444742.23999999999</v>
      </c>
      <c r="E51" s="213" t="s">
        <v>163</v>
      </c>
      <c r="F51" s="150">
        <f>+$D51*'[5]II-F Alloc_Factor'!E$17</f>
        <v>97932.936967726098</v>
      </c>
      <c r="G51" s="150">
        <f>+$D51*'[5]II-F Alloc_Factor'!F$17</f>
        <v>0</v>
      </c>
      <c r="H51" s="150">
        <f>+$D51*'[5]II-F Alloc_Factor'!G$17</f>
        <v>0</v>
      </c>
      <c r="I51" s="150">
        <f>+$D51*'[5]II-F Alloc_Factor'!H$17</f>
        <v>97932.936967726098</v>
      </c>
      <c r="J51" s="150">
        <f>+$D51*'[5]II-F Alloc_Factor'!I$17</f>
        <v>270180.69338699448</v>
      </c>
      <c r="K51" s="150">
        <f>+$D51*'[5]II-F Alloc_Factor'!J$17</f>
        <v>0</v>
      </c>
      <c r="L51" s="150">
        <f>+$D51*'[5]II-F Alloc_Factor'!K$17</f>
        <v>270180.69338699448</v>
      </c>
      <c r="M51" s="150">
        <f>+$D51*'[5]II-F Alloc_Factor'!L$17</f>
        <v>73664.2627984875</v>
      </c>
      <c r="N51" s="150">
        <f>+$D51*'[5]II-F Alloc_Factor'!M$17</f>
        <v>2964.3468467918865</v>
      </c>
      <c r="O51" s="150">
        <f t="shared" si="4"/>
        <v>444742.23999999999</v>
      </c>
      <c r="Q51" s="138" t="b">
        <f t="shared" si="5"/>
        <v>1</v>
      </c>
    </row>
    <row r="52" spans="1:15" ht="12.75">
      <c r="A52" s="146">
        <v>27</v>
      </c>
      <c r="D52" s="151"/>
      <c r="E52" s="151"/>
      <c r="F52" s="151"/>
      <c r="G52" s="151"/>
      <c r="H52" s="151"/>
      <c r="I52" s="151"/>
      <c r="J52" s="151"/>
      <c r="K52" s="151"/>
      <c r="L52" s="151"/>
      <c r="M52" s="151"/>
      <c r="N52" s="151"/>
      <c r="O52" s="151"/>
    </row>
    <row r="53" spans="1:17" ht="13.5" thickBot="1">
      <c r="A53" s="146">
        <v>28</v>
      </c>
      <c r="B53" s="211" t="s">
        <v>216</v>
      </c>
      <c r="D53" s="172">
        <f t="shared" si="7" ref="D53:O53">SUM(D40:D51)</f>
        <v>5497946.6400000006</v>
      </c>
      <c r="E53" s="228"/>
      <c r="F53" s="172">
        <f t="shared" si="7"/>
        <v>1210656.450682628</v>
      </c>
      <c r="G53" s="172">
        <f t="shared" si="8" ref="G53:N53">SUM(G40:G51)</f>
        <v>0</v>
      </c>
      <c r="H53" s="172">
        <f t="shared" si="8"/>
        <v>0</v>
      </c>
      <c r="I53" s="172">
        <f t="shared" si="8"/>
        <v>1210656.450682628</v>
      </c>
      <c r="J53" s="172">
        <f t="shared" si="8"/>
        <v>3339999.8961193711</v>
      </c>
      <c r="K53" s="172">
        <f t="shared" si="8"/>
        <v>0</v>
      </c>
      <c r="L53" s="172">
        <f t="shared" si="8"/>
        <v>3339999.8961193711</v>
      </c>
      <c r="M53" s="172">
        <f t="shared" si="8"/>
        <v>910644.75040873443</v>
      </c>
      <c r="N53" s="172">
        <f t="shared" si="8"/>
        <v>36645.542789266088</v>
      </c>
      <c r="O53" s="172">
        <f t="shared" si="7"/>
        <v>5497946.6400000006</v>
      </c>
      <c r="Q53" s="138" t="b">
        <f>+D53=O53</f>
        <v>1</v>
      </c>
    </row>
    <row r="54" ht="13.5" thickTop="1"/>
    <row r="57" spans="4:15" ht="13.5" thickBot="1">
      <c r="D57" s="363" t="s">
        <v>447</v>
      </c>
      <c r="E57" s="362"/>
      <c r="F57" s="362"/>
      <c r="G57" s="362"/>
      <c r="H57" s="362"/>
      <c r="I57" s="362"/>
      <c r="J57" s="362"/>
      <c r="K57" s="362"/>
      <c r="L57" s="362"/>
      <c r="M57" s="362"/>
      <c r="N57" s="362"/>
      <c r="O57" s="362"/>
    </row>
    <row r="58" spans="14:15" ht="12.75">
      <c r="N58" s="61"/>
      <c r="O58" s="18"/>
    </row>
    <row r="59" spans="1:15" ht="12.75">
      <c r="A59" s="18" t="s">
        <v>87</v>
      </c>
      <c r="B59" s="18"/>
      <c r="D59" s="209" t="s">
        <v>216</v>
      </c>
      <c r="E59" s="209" t="s">
        <v>53</v>
      </c>
      <c r="F59" s="18"/>
      <c r="G59" s="18" t="s">
        <v>716</v>
      </c>
      <c r="H59" s="18" t="s">
        <v>722</v>
      </c>
      <c r="I59" s="18" t="s">
        <v>717</v>
      </c>
      <c r="J59" s="18"/>
      <c r="K59" s="18" t="s">
        <v>716</v>
      </c>
      <c r="L59" s="18" t="s">
        <v>717</v>
      </c>
      <c r="M59" s="18"/>
      <c r="N59" s="18"/>
      <c r="O59" s="18"/>
    </row>
    <row r="60" spans="1:15" ht="12.75">
      <c r="A60" s="208" t="s">
        <v>89</v>
      </c>
      <c r="B60" s="208" t="s">
        <v>64</v>
      </c>
      <c r="D60" s="202" t="s">
        <v>219</v>
      </c>
      <c r="E60" s="202" t="s">
        <v>218</v>
      </c>
      <c r="F60" s="202" t="s">
        <v>294</v>
      </c>
      <c r="G60" s="202" t="s">
        <v>294</v>
      </c>
      <c r="H60" s="202" t="s">
        <v>723</v>
      </c>
      <c r="I60" s="202" t="s">
        <v>294</v>
      </c>
      <c r="J60" s="202" t="s">
        <v>295</v>
      </c>
      <c r="K60" s="202" t="s">
        <v>295</v>
      </c>
      <c r="L60" s="202" t="s">
        <v>295</v>
      </c>
      <c r="M60" s="202" t="s">
        <v>283</v>
      </c>
      <c r="N60" s="202" t="s">
        <v>126</v>
      </c>
      <c r="O60" s="202" t="s">
        <v>216</v>
      </c>
    </row>
    <row r="61" spans="1:15" ht="12.75">
      <c r="A61" s="18"/>
      <c r="B61" s="16" t="s">
        <v>44</v>
      </c>
      <c r="D61" s="16" t="s">
        <v>45</v>
      </c>
      <c r="E61" s="16" t="s">
        <v>74</v>
      </c>
      <c r="F61" s="16" t="s">
        <v>75</v>
      </c>
      <c r="G61" s="203" t="s">
        <v>76</v>
      </c>
      <c r="H61" s="203" t="s">
        <v>77</v>
      </c>
      <c r="I61" s="203" t="s">
        <v>78</v>
      </c>
      <c r="J61" s="203" t="s">
        <v>79</v>
      </c>
      <c r="K61" s="203" t="s">
        <v>80</v>
      </c>
      <c r="L61" s="203" t="s">
        <v>81</v>
      </c>
      <c r="M61" s="203" t="s">
        <v>82</v>
      </c>
      <c r="N61" s="203" t="s">
        <v>83</v>
      </c>
      <c r="O61" s="203" t="s">
        <v>84</v>
      </c>
    </row>
    <row r="63" spans="1:17" ht="12.75">
      <c r="A63" s="146">
        <v>29</v>
      </c>
      <c r="B63" s="147" t="str">
        <f>+B40</f>
        <v>January 2021</v>
      </c>
      <c r="D63" s="148">
        <v>87799.369999999995</v>
      </c>
      <c r="E63" s="213" t="s">
        <v>163</v>
      </c>
      <c r="F63" s="148">
        <f>+$D63*'[5]II-F Alloc_Factor'!E$17</f>
        <v>19333.558620418113</v>
      </c>
      <c r="G63" s="148">
        <f>+$D63*'[5]II-F Alloc_Factor'!F$17</f>
        <v>0</v>
      </c>
      <c r="H63" s="148">
        <f>+$D63*'[5]II-F Alloc_Factor'!G$17</f>
        <v>0</v>
      </c>
      <c r="I63" s="148">
        <f>+$D63*'[5]II-F Alloc_Factor'!H$17</f>
        <v>19333.558620418113</v>
      </c>
      <c r="J63" s="148">
        <f>+$D63*'[5]II-F Alloc_Factor'!I$17</f>
        <v>53338.074354127646</v>
      </c>
      <c r="K63" s="148">
        <f>+$D63*'[5]II-F Alloc_Factor'!J$17</f>
        <v>0</v>
      </c>
      <c r="L63" s="148">
        <f>+$D63*'[5]II-F Alloc_Factor'!K$17</f>
        <v>53338.074354127646</v>
      </c>
      <c r="M63" s="148">
        <f>+$D63*'[5]II-F Alloc_Factor'!L$17</f>
        <v>14542.526622210744</v>
      </c>
      <c r="N63" s="148">
        <f>+$D63*'[5]II-F Alloc_Factor'!M$17</f>
        <v>585.21040324349258</v>
      </c>
      <c r="O63" s="148">
        <f t="shared" si="9" ref="O63:O74">+I63+L63+M63+N63</f>
        <v>87799.369999999995</v>
      </c>
      <c r="Q63" s="138" t="b">
        <f t="shared" si="10" ref="Q63:Q74">+D63=O63</f>
        <v>1</v>
      </c>
    </row>
    <row r="64" spans="1:17" ht="12.75">
      <c r="A64" s="146">
        <v>30</v>
      </c>
      <c r="B64" s="147" t="str">
        <f t="shared" si="11" ref="B64:B74">+B41</f>
        <v>February 2021</v>
      </c>
      <c r="D64" s="150">
        <v>87896.029999999999</v>
      </c>
      <c r="E64" s="213" t="s">
        <v>163</v>
      </c>
      <c r="F64" s="150">
        <f>+$D64*'[5]II-F Alloc_Factor'!E$17</f>
        <v>19354.843303625403</v>
      </c>
      <c r="G64" s="150">
        <f>+$D64*'[5]II-F Alloc_Factor'!F$17</f>
        <v>0</v>
      </c>
      <c r="H64" s="150">
        <f>+$D64*'[5]II-F Alloc_Factor'!G$17</f>
        <v>0</v>
      </c>
      <c r="I64" s="150">
        <f>+$D64*'[5]II-F Alloc_Factor'!H$17</f>
        <v>19354.843303625403</v>
      </c>
      <c r="J64" s="150">
        <f>+$D64*'[5]II-F Alloc_Factor'!I$17</f>
        <v>53396.795256875237</v>
      </c>
      <c r="K64" s="150">
        <f>+$D64*'[5]II-F Alloc_Factor'!J$17</f>
        <v>0</v>
      </c>
      <c r="L64" s="150">
        <f>+$D64*'[5]II-F Alloc_Factor'!K$17</f>
        <v>53396.795256875237</v>
      </c>
      <c r="M64" s="150">
        <f>+$D64*'[5]II-F Alloc_Factor'!L$17</f>
        <v>14558.53676696808</v>
      </c>
      <c r="N64" s="150">
        <f>+$D64*'[5]II-F Alloc_Factor'!M$17</f>
        <v>585.85467253127354</v>
      </c>
      <c r="O64" s="150">
        <f t="shared" si="9"/>
        <v>87896.029999999999</v>
      </c>
      <c r="Q64" s="138" t="b">
        <f t="shared" si="10"/>
        <v>1</v>
      </c>
    </row>
    <row r="65" spans="1:17" ht="12.75">
      <c r="A65" s="146">
        <v>31</v>
      </c>
      <c r="B65" s="147" t="str">
        <f t="shared" si="11"/>
        <v>March 2021</v>
      </c>
      <c r="D65" s="150">
        <v>86748.979999999996</v>
      </c>
      <c r="E65" s="213" t="s">
        <v>163</v>
      </c>
      <c r="F65" s="150">
        <f>+$D65*'[5]II-F Alloc_Factor'!E$17</f>
        <v>19102.261099270741</v>
      </c>
      <c r="G65" s="150">
        <f>+$D65*'[5]II-F Alloc_Factor'!F$17</f>
        <v>0</v>
      </c>
      <c r="H65" s="150">
        <f>+$D65*'[5]II-F Alloc_Factor'!G$17</f>
        <v>0</v>
      </c>
      <c r="I65" s="150">
        <f>+$D65*'[5]II-F Alloc_Factor'!H$17</f>
        <v>19102.261099270741</v>
      </c>
      <c r="J65" s="150">
        <f>+$D65*'[5]II-F Alloc_Factor'!I$17</f>
        <v>52699.962942612598</v>
      </c>
      <c r="K65" s="150">
        <f>+$D65*'[5]II-F Alloc_Factor'!J$17</f>
        <v>0</v>
      </c>
      <c r="L65" s="150">
        <f>+$D65*'[5]II-F Alloc_Factor'!K$17</f>
        <v>52699.962942612598</v>
      </c>
      <c r="M65" s="150">
        <f>+$D65*'[5]II-F Alloc_Factor'!L$17</f>
        <v>14368.546734442711</v>
      </c>
      <c r="N65" s="150">
        <f>+$D65*'[5]II-F Alloc_Factor'!M$17</f>
        <v>578.20922367394746</v>
      </c>
      <c r="O65" s="150">
        <f t="shared" si="9"/>
        <v>86748.979999999996</v>
      </c>
      <c r="Q65" s="138" t="b">
        <f t="shared" si="10"/>
        <v>1</v>
      </c>
    </row>
    <row r="66" spans="1:17" ht="12.75">
      <c r="A66" s="146">
        <v>32</v>
      </c>
      <c r="B66" s="147" t="str">
        <f t="shared" si="11"/>
        <v>April 2021</v>
      </c>
      <c r="D66" s="150">
        <v>86638.589999999997</v>
      </c>
      <c r="E66" s="213" t="s">
        <v>163</v>
      </c>
      <c r="F66" s="150">
        <f>+$D66*'[5]II-F Alloc_Factor'!E$17</f>
        <v>19077.953048585321</v>
      </c>
      <c r="G66" s="150">
        <f>+$D66*'[5]II-F Alloc_Factor'!F$17</f>
        <v>0</v>
      </c>
      <c r="H66" s="150">
        <f>+$D66*'[5]II-F Alloc_Factor'!G$17</f>
        <v>0</v>
      </c>
      <c r="I66" s="150">
        <f>+$D66*'[5]II-F Alloc_Factor'!H$17</f>
        <v>19077.953048585321</v>
      </c>
      <c r="J66" s="150">
        <f>+$D66*'[5]II-F Alloc_Factor'!I$17</f>
        <v>52632.901071576933</v>
      </c>
      <c r="K66" s="150">
        <f>+$D66*'[5]II-F Alloc_Factor'!J$17</f>
        <v>0</v>
      </c>
      <c r="L66" s="150">
        <f>+$D66*'[5]II-F Alloc_Factor'!K$17</f>
        <v>52632.901071576933</v>
      </c>
      <c r="M66" s="150">
        <f>+$D66*'[5]II-F Alloc_Factor'!L$17</f>
        <v>14350.262440217983</v>
      </c>
      <c r="N66" s="150">
        <f>+$D66*'[5]II-F Alloc_Factor'!M$17</f>
        <v>577.47343961975605</v>
      </c>
      <c r="O66" s="150">
        <f t="shared" si="9"/>
        <v>86638.589999999997</v>
      </c>
      <c r="Q66" s="138" t="b">
        <f t="shared" si="10"/>
        <v>1</v>
      </c>
    </row>
    <row r="67" spans="1:17" ht="12.75">
      <c r="A67" s="146">
        <v>33</v>
      </c>
      <c r="B67" s="147" t="str">
        <f t="shared" si="11"/>
        <v>May 2021</v>
      </c>
      <c r="D67" s="150">
        <v>85715.960000000006</v>
      </c>
      <c r="E67" s="213" t="s">
        <v>163</v>
      </c>
      <c r="F67" s="150">
        <f>+$D67*'[5]II-F Alloc_Factor'!E$17</f>
        <v>18874.788479295628</v>
      </c>
      <c r="G67" s="150">
        <f>+$D67*'[5]II-F Alloc_Factor'!F$17</f>
        <v>0</v>
      </c>
      <c r="H67" s="150">
        <f>+$D67*'[5]II-F Alloc_Factor'!G$17</f>
        <v>0</v>
      </c>
      <c r="I67" s="150">
        <f>+$D67*'[5]II-F Alloc_Factor'!H$17</f>
        <v>18874.788479295628</v>
      </c>
      <c r="J67" s="150">
        <f>+$D67*'[5]II-F Alloc_Factor'!I$17</f>
        <v>52072.403797606195</v>
      </c>
      <c r="K67" s="150">
        <f>+$D67*'[5]II-F Alloc_Factor'!J$17</f>
        <v>0</v>
      </c>
      <c r="L67" s="150">
        <f>+$D67*'[5]II-F Alloc_Factor'!K$17</f>
        <v>52072.403797606195</v>
      </c>
      <c r="M67" s="150">
        <f>+$D67*'[5]II-F Alloc_Factor'!L$17</f>
        <v>14197.443902483028</v>
      </c>
      <c r="N67" s="150">
        <f>+$D67*'[5]II-F Alloc_Factor'!M$17</f>
        <v>571.32382061514886</v>
      </c>
      <c r="O67" s="150">
        <f t="shared" si="9"/>
        <v>85715.960000000006</v>
      </c>
      <c r="Q67" s="138" t="b">
        <f t="shared" si="10"/>
        <v>1</v>
      </c>
    </row>
    <row r="68" spans="1:17" ht="12.75">
      <c r="A68" s="146">
        <v>34</v>
      </c>
      <c r="B68" s="147" t="str">
        <f t="shared" si="11"/>
        <v>June 2021</v>
      </c>
      <c r="D68" s="150">
        <v>86016.139999999999</v>
      </c>
      <c r="E68" s="213" t="s">
        <v>163</v>
      </c>
      <c r="F68" s="150">
        <f>+$D68*'[5]II-F Alloc_Factor'!E$17</f>
        <v>18940.888584873574</v>
      </c>
      <c r="G68" s="150">
        <f>+$D68*'[5]II-F Alloc_Factor'!F$17</f>
        <v>0</v>
      </c>
      <c r="H68" s="150">
        <f>+$D68*'[5]II-F Alloc_Factor'!G$17</f>
        <v>0</v>
      </c>
      <c r="I68" s="150">
        <f>+$D68*'[5]II-F Alloc_Factor'!H$17</f>
        <v>18940.888584873574</v>
      </c>
      <c r="J68" s="150">
        <f>+$D68*'[5]II-F Alloc_Factor'!I$17</f>
        <v>52254.763000862687</v>
      </c>
      <c r="K68" s="150">
        <f>+$D68*'[5]II-F Alloc_Factor'!J$17</f>
        <v>0</v>
      </c>
      <c r="L68" s="150">
        <f>+$D68*'[5]II-F Alloc_Factor'!K$17</f>
        <v>52254.763000862687</v>
      </c>
      <c r="M68" s="150">
        <f>+$D68*'[5]II-F Alloc_Factor'!L$17</f>
        <v>14247.16379957859</v>
      </c>
      <c r="N68" s="150">
        <f>+$D68*'[5]II-F Alloc_Factor'!M$17</f>
        <v>573.32461468514771</v>
      </c>
      <c r="O68" s="150">
        <f t="shared" si="9"/>
        <v>86016.139999999985</v>
      </c>
      <c r="Q68" s="138" t="b">
        <f t="shared" si="10"/>
        <v>1</v>
      </c>
    </row>
    <row r="69" spans="1:17" ht="12.75">
      <c r="A69" s="146">
        <v>35</v>
      </c>
      <c r="B69" s="147" t="str">
        <f t="shared" si="11"/>
        <v>July 2021</v>
      </c>
      <c r="D69" s="150">
        <v>85740.880000000005</v>
      </c>
      <c r="E69" s="213" t="s">
        <v>163</v>
      </c>
      <c r="F69" s="150">
        <f>+$D69*'[5]II-F Alloc_Factor'!E$17</f>
        <v>18880.275902278514</v>
      </c>
      <c r="G69" s="150">
        <f>+$D69*'[5]II-F Alloc_Factor'!F$17</f>
        <v>0</v>
      </c>
      <c r="H69" s="150">
        <f>+$D69*'[5]II-F Alloc_Factor'!G$17</f>
        <v>0</v>
      </c>
      <c r="I69" s="150">
        <f>+$D69*'[5]II-F Alloc_Factor'!H$17</f>
        <v>18880.275902278514</v>
      </c>
      <c r="J69" s="150">
        <f>+$D69*'[5]II-F Alloc_Factor'!I$17</f>
        <v>52087.542685424014</v>
      </c>
      <c r="K69" s="150">
        <f>+$D69*'[5]II-F Alloc_Factor'!J$17</f>
        <v>0</v>
      </c>
      <c r="L69" s="150">
        <f>+$D69*'[5]II-F Alloc_Factor'!K$17</f>
        <v>52087.542685424014</v>
      </c>
      <c r="M69" s="150">
        <f>+$D69*'[5]II-F Alloc_Factor'!L$17</f>
        <v>14201.571492048028</v>
      </c>
      <c r="N69" s="150">
        <f>+$D69*'[5]II-F Alloc_Factor'!M$17</f>
        <v>571.4899202494496</v>
      </c>
      <c r="O69" s="150">
        <f t="shared" si="9"/>
        <v>85740.880000000005</v>
      </c>
      <c r="Q69" s="138" t="b">
        <f t="shared" si="10"/>
        <v>1</v>
      </c>
    </row>
    <row r="70" spans="1:17" ht="12.75">
      <c r="A70" s="146">
        <v>36</v>
      </c>
      <c r="B70" s="147" t="str">
        <f t="shared" si="11"/>
        <v>August 2021</v>
      </c>
      <c r="D70" s="150">
        <v>85291.919999999998</v>
      </c>
      <c r="E70" s="213" t="s">
        <v>163</v>
      </c>
      <c r="F70" s="150">
        <f>+$D70*'[5]II-F Alloc_Factor'!E$17</f>
        <v>18781.414207960854</v>
      </c>
      <c r="G70" s="150">
        <f>+$D70*'[5]II-F Alloc_Factor'!F$17</f>
        <v>0</v>
      </c>
      <c r="H70" s="150">
        <f>+$D70*'[5]II-F Alloc_Factor'!G$17</f>
        <v>0</v>
      </c>
      <c r="I70" s="150">
        <f>+$D70*'[5]II-F Alloc_Factor'!H$17</f>
        <v>18781.414207960854</v>
      </c>
      <c r="J70" s="150">
        <f>+$D70*'[5]II-F Alloc_Factor'!I$17</f>
        <v>51814.799704898869</v>
      </c>
      <c r="K70" s="150">
        <f>+$D70*'[5]II-F Alloc_Factor'!J$17</f>
        <v>0</v>
      </c>
      <c r="L70" s="150">
        <f>+$D70*'[5]II-F Alloc_Factor'!K$17</f>
        <v>51814.799704898869</v>
      </c>
      <c r="M70" s="150">
        <f>+$D70*'[5]II-F Alloc_Factor'!L$17</f>
        <v>14127.208626433981</v>
      </c>
      <c r="N70" s="150">
        <f>+$D70*'[5]II-F Alloc_Factor'!M$17</f>
        <v>568.49746070628657</v>
      </c>
      <c r="O70" s="150">
        <f t="shared" si="9"/>
        <v>85291.919999999998</v>
      </c>
      <c r="Q70" s="138" t="b">
        <f t="shared" si="10"/>
        <v>1</v>
      </c>
    </row>
    <row r="71" spans="1:17" ht="12.75">
      <c r="A71" s="146">
        <v>37</v>
      </c>
      <c r="B71" s="147" t="str">
        <f t="shared" si="11"/>
        <v>September 2021</v>
      </c>
      <c r="D71" s="150">
        <v>85142.350000000006</v>
      </c>
      <c r="E71" s="213" t="s">
        <v>163</v>
      </c>
      <c r="F71" s="150">
        <f>+$D71*'[5]II-F Alloc_Factor'!E$17</f>
        <v>18748.478659985332</v>
      </c>
      <c r="G71" s="150">
        <f>+$D71*'[5]II-F Alloc_Factor'!F$17</f>
        <v>0</v>
      </c>
      <c r="H71" s="150">
        <f>+$D71*'[5]II-F Alloc_Factor'!G$17</f>
        <v>0</v>
      </c>
      <c r="I71" s="150">
        <f>+$D71*'[5]II-F Alloc_Factor'!H$17</f>
        <v>18748.478659985332</v>
      </c>
      <c r="J71" s="150">
        <f>+$D71*'[5]II-F Alloc_Factor'!I$17</f>
        <v>51723.936003016424</v>
      </c>
      <c r="K71" s="150">
        <f>+$D71*'[5]II-F Alloc_Factor'!J$17</f>
        <v>0</v>
      </c>
      <c r="L71" s="150">
        <f>+$D71*'[5]II-F Alloc_Factor'!K$17</f>
        <v>51723.936003016424</v>
      </c>
      <c r="M71" s="150">
        <f>+$D71*'[5]II-F Alloc_Factor'!L$17</f>
        <v>14102.434807363481</v>
      </c>
      <c r="N71" s="150">
        <f>+$D71*'[5]II-F Alloc_Factor'!M$17</f>
        <v>567.50052963476378</v>
      </c>
      <c r="O71" s="150">
        <f t="shared" si="9"/>
        <v>85142.349999999991</v>
      </c>
      <c r="Q71" s="138" t="b">
        <f t="shared" si="10"/>
        <v>1</v>
      </c>
    </row>
    <row r="72" spans="1:17" ht="12.75">
      <c r="A72" s="146">
        <v>38</v>
      </c>
      <c r="B72" s="147" t="str">
        <f t="shared" si="11"/>
        <v>October 2021</v>
      </c>
      <c r="D72" s="150">
        <v>84303.660000000003</v>
      </c>
      <c r="E72" s="213" t="s">
        <v>163</v>
      </c>
      <c r="F72" s="150">
        <f>+$D72*'[5]II-F Alloc_Factor'!E$17</f>
        <v>18563.797810004762</v>
      </c>
      <c r="G72" s="150">
        <f>+$D72*'[5]II-F Alloc_Factor'!F$17</f>
        <v>0</v>
      </c>
      <c r="H72" s="150">
        <f>+$D72*'[5]II-F Alloc_Factor'!G$17</f>
        <v>0</v>
      </c>
      <c r="I72" s="150">
        <f>+$D72*'[5]II-F Alloc_Factor'!H$17</f>
        <v>18563.797810004762</v>
      </c>
      <c r="J72" s="150">
        <f>+$D72*'[5]II-F Alloc_Factor'!I$17</f>
        <v>51214.432238011468</v>
      </c>
      <c r="K72" s="150">
        <f>+$D72*'[5]II-F Alloc_Factor'!J$17</f>
        <v>0</v>
      </c>
      <c r="L72" s="150">
        <f>+$D72*'[5]II-F Alloc_Factor'!K$17</f>
        <v>51214.432238011468</v>
      </c>
      <c r="M72" s="150">
        <f>+$D72*'[5]II-F Alloc_Factor'!L$17</f>
        <v>13963.519554864723</v>
      </c>
      <c r="N72" s="150">
        <f>+$D72*'[5]II-F Alloc_Factor'!M$17</f>
        <v>561.91039711904887</v>
      </c>
      <c r="O72" s="150">
        <f t="shared" si="9"/>
        <v>84303.660000000003</v>
      </c>
      <c r="Q72" s="138" t="b">
        <f t="shared" si="10"/>
        <v>1</v>
      </c>
    </row>
    <row r="73" spans="1:17" ht="12.75">
      <c r="A73" s="146">
        <v>39</v>
      </c>
      <c r="B73" s="147" t="str">
        <f t="shared" si="11"/>
        <v>November 2021</v>
      </c>
      <c r="D73" s="150">
        <v>84079.440000000002</v>
      </c>
      <c r="E73" s="213" t="s">
        <v>163</v>
      </c>
      <c r="F73" s="150">
        <f>+$D73*'[5]II-F Alloc_Factor'!E$17</f>
        <v>18514.424215252657</v>
      </c>
      <c r="G73" s="150">
        <f>+$D73*'[5]II-F Alloc_Factor'!F$17</f>
        <v>0</v>
      </c>
      <c r="H73" s="150">
        <f>+$D73*'[5]II-F Alloc_Factor'!G$17</f>
        <v>0</v>
      </c>
      <c r="I73" s="150">
        <f>+$D73*'[5]II-F Alloc_Factor'!H$17</f>
        <v>18514.424215252657</v>
      </c>
      <c r="J73" s="150">
        <f>+$D73*'[5]II-F Alloc_Factor'!I$17</f>
        <v>51078.2186976218</v>
      </c>
      <c r="K73" s="150">
        <f>+$D73*'[5]II-F Alloc_Factor'!J$17</f>
        <v>0</v>
      </c>
      <c r="L73" s="150">
        <f>+$D73*'[5]II-F Alloc_Factor'!K$17</f>
        <v>51078.2186976218</v>
      </c>
      <c r="M73" s="150">
        <f>+$D73*'[5]II-F Alloc_Factor'!L$17</f>
        <v>13926.38118679634</v>
      </c>
      <c r="N73" s="150">
        <f>+$D73*'[5]II-F Alloc_Factor'!M$17</f>
        <v>560.41590032920556</v>
      </c>
      <c r="O73" s="150">
        <f t="shared" si="9"/>
        <v>84079.440000000002</v>
      </c>
      <c r="Q73" s="138" t="b">
        <f t="shared" si="10"/>
        <v>1</v>
      </c>
    </row>
    <row r="74" spans="1:17" ht="12.75">
      <c r="A74" s="146">
        <v>40</v>
      </c>
      <c r="B74" s="147" t="str">
        <f t="shared" si="11"/>
        <v>December 2021</v>
      </c>
      <c r="D74" s="150">
        <v>85112.369999999995</v>
      </c>
      <c r="E74" s="213" t="s">
        <v>163</v>
      </c>
      <c r="F74" s="150">
        <f>+$D74*'[5]II-F Alloc_Factor'!E$17</f>
        <v>18741.877017086979</v>
      </c>
      <c r="G74" s="150">
        <f>+$D74*'[5]II-F Alloc_Factor'!F$17</f>
        <v>0</v>
      </c>
      <c r="H74" s="150">
        <f>+$D74*'[5]II-F Alloc_Factor'!G$17</f>
        <v>0</v>
      </c>
      <c r="I74" s="150">
        <f>+$D74*'[5]II-F Alloc_Factor'!H$17</f>
        <v>18741.877017086979</v>
      </c>
      <c r="J74" s="150">
        <f>+$D74*'[5]II-F Alloc_Factor'!I$17</f>
        <v>51705.723167672193</v>
      </c>
      <c r="K74" s="150">
        <f>+$D74*'[5]II-F Alloc_Factor'!J$17</f>
        <v>0</v>
      </c>
      <c r="L74" s="150">
        <f>+$D74*'[5]II-F Alloc_Factor'!K$17</f>
        <v>51705.723167672193</v>
      </c>
      <c r="M74" s="150">
        <f>+$D74*'[5]II-F Alloc_Factor'!L$17</f>
        <v>14097.469111731109</v>
      </c>
      <c r="N74" s="150">
        <f>+$D74*'[5]II-F Alloc_Factor'!M$17</f>
        <v>567.30070350971016</v>
      </c>
      <c r="O74" s="150">
        <f t="shared" si="9"/>
        <v>85112.369999999995</v>
      </c>
      <c r="Q74" s="138" t="b">
        <f t="shared" si="10"/>
        <v>1</v>
      </c>
    </row>
    <row r="75" spans="1:15" ht="12.75">
      <c r="A75" s="146">
        <v>41</v>
      </c>
      <c r="D75" s="151"/>
      <c r="E75" s="151"/>
      <c r="F75" s="151"/>
      <c r="G75" s="151"/>
      <c r="H75" s="151"/>
      <c r="I75" s="151"/>
      <c r="J75" s="151"/>
      <c r="K75" s="151"/>
      <c r="L75" s="151"/>
      <c r="M75" s="151"/>
      <c r="N75" s="151"/>
      <c r="O75" s="151"/>
    </row>
    <row r="76" spans="1:17" ht="13.5" thickBot="1">
      <c r="A76" s="146">
        <v>42</v>
      </c>
      <c r="B76" s="211" t="s">
        <v>216</v>
      </c>
      <c r="D76" s="172">
        <f t="shared" si="12" ref="D76:O76">SUM(D63:D74)</f>
        <v>1030485.6900000001</v>
      </c>
      <c r="E76" s="228"/>
      <c r="F76" s="172">
        <f t="shared" si="12"/>
        <v>226914.5609486379</v>
      </c>
      <c r="G76" s="172">
        <f t="shared" si="13" ref="G76:N76">SUM(G63:G74)</f>
        <v>0</v>
      </c>
      <c r="H76" s="172">
        <f t="shared" si="13"/>
        <v>0</v>
      </c>
      <c r="I76" s="172">
        <f t="shared" si="13"/>
        <v>226914.5609486379</v>
      </c>
      <c r="J76" s="172">
        <f t="shared" si="13"/>
        <v>626019.55292030599</v>
      </c>
      <c r="K76" s="172">
        <f t="shared" si="13"/>
        <v>0</v>
      </c>
      <c r="L76" s="172">
        <f t="shared" si="13"/>
        <v>626019.55292030599</v>
      </c>
      <c r="M76" s="172">
        <f t="shared" si="13"/>
        <v>170683.06504513879</v>
      </c>
      <c r="N76" s="172">
        <f t="shared" si="13"/>
        <v>6868.511085917231</v>
      </c>
      <c r="O76" s="172">
        <f t="shared" si="12"/>
        <v>1030485.6900000001</v>
      </c>
      <c r="Q76" s="138" t="b">
        <f>+D76=O76</f>
        <v>1</v>
      </c>
    </row>
    <row r="77" ht="13.5" thickTop="1"/>
    <row r="80" spans="4:15" ht="13.5" thickBot="1">
      <c r="D80" s="363" t="s">
        <v>448</v>
      </c>
      <c r="E80" s="362"/>
      <c r="F80" s="362"/>
      <c r="G80" s="362"/>
      <c r="H80" s="362"/>
      <c r="I80" s="362"/>
      <c r="J80" s="362"/>
      <c r="K80" s="362"/>
      <c r="L80" s="362"/>
      <c r="M80" s="362"/>
      <c r="N80" s="362"/>
      <c r="O80" s="362"/>
    </row>
    <row r="81" spans="14:15" ht="12.75">
      <c r="N81" s="61"/>
      <c r="O81" s="18"/>
    </row>
    <row r="82" spans="1:15" ht="12.75">
      <c r="A82" s="18" t="s">
        <v>87</v>
      </c>
      <c r="B82" s="18"/>
      <c r="D82" s="209" t="s">
        <v>216</v>
      </c>
      <c r="E82" s="209" t="s">
        <v>53</v>
      </c>
      <c r="F82" s="18"/>
      <c r="G82" s="18" t="s">
        <v>716</v>
      </c>
      <c r="H82" s="18" t="s">
        <v>722</v>
      </c>
      <c r="I82" s="18" t="s">
        <v>717</v>
      </c>
      <c r="J82" s="18"/>
      <c r="K82" s="18" t="s">
        <v>716</v>
      </c>
      <c r="L82" s="18" t="s">
        <v>717</v>
      </c>
      <c r="M82" s="18"/>
      <c r="N82" s="18"/>
      <c r="O82" s="18"/>
    </row>
    <row r="83" spans="1:15" ht="12.75">
      <c r="A83" s="208" t="s">
        <v>89</v>
      </c>
      <c r="B83" s="208" t="s">
        <v>64</v>
      </c>
      <c r="D83" s="202" t="s">
        <v>219</v>
      </c>
      <c r="E83" s="202" t="s">
        <v>218</v>
      </c>
      <c r="F83" s="202" t="s">
        <v>294</v>
      </c>
      <c r="G83" s="202" t="s">
        <v>294</v>
      </c>
      <c r="H83" s="202" t="s">
        <v>723</v>
      </c>
      <c r="I83" s="202" t="s">
        <v>294</v>
      </c>
      <c r="J83" s="202" t="s">
        <v>295</v>
      </c>
      <c r="K83" s="202" t="s">
        <v>295</v>
      </c>
      <c r="L83" s="202" t="s">
        <v>295</v>
      </c>
      <c r="M83" s="202" t="s">
        <v>283</v>
      </c>
      <c r="N83" s="202" t="s">
        <v>126</v>
      </c>
      <c r="O83" s="202" t="s">
        <v>216</v>
      </c>
    </row>
    <row r="84" spans="1:15" ht="12.75">
      <c r="A84" s="18"/>
      <c r="B84" s="16" t="s">
        <v>44</v>
      </c>
      <c r="D84" s="16" t="s">
        <v>45</v>
      </c>
      <c r="E84" s="16" t="s">
        <v>74</v>
      </c>
      <c r="F84" s="16" t="s">
        <v>75</v>
      </c>
      <c r="G84" s="203" t="s">
        <v>76</v>
      </c>
      <c r="H84" s="203" t="s">
        <v>77</v>
      </c>
      <c r="I84" s="203" t="s">
        <v>78</v>
      </c>
      <c r="J84" s="203" t="s">
        <v>79</v>
      </c>
      <c r="K84" s="203" t="s">
        <v>80</v>
      </c>
      <c r="L84" s="203" t="s">
        <v>81</v>
      </c>
      <c r="M84" s="203" t="s">
        <v>82</v>
      </c>
      <c r="N84" s="203" t="s">
        <v>83</v>
      </c>
      <c r="O84" s="203" t="s">
        <v>84</v>
      </c>
    </row>
    <row r="86" spans="1:17" ht="12.75">
      <c r="A86" s="146">
        <v>43</v>
      </c>
      <c r="B86" s="147" t="str">
        <f>+B63</f>
        <v>January 2021</v>
      </c>
      <c r="D86" s="148">
        <v>123982.57000000001</v>
      </c>
      <c r="E86" s="213" t="s">
        <v>163</v>
      </c>
      <c r="F86" s="148">
        <f>+$D86*'[5]II-F Alloc_Factor'!E$17</f>
        <v>27301.155862565898</v>
      </c>
      <c r="G86" s="148">
        <f>+$D86*'[5]II-F Alloc_Factor'!F$17</f>
        <v>0</v>
      </c>
      <c r="H86" s="148">
        <f>+$D86*'[5]II-F Alloc_Factor'!G$17</f>
        <v>0</v>
      </c>
      <c r="I86" s="148">
        <f>+$D86*'[5]II-F Alloc_Factor'!H$17</f>
        <v>27301.155862565898</v>
      </c>
      <c r="J86" s="148">
        <f>+$D86*'[5]II-F Alloc_Factor'!I$17</f>
        <v>75319.35066590838</v>
      </c>
      <c r="K86" s="148">
        <f>+$D86*'[5]II-F Alloc_Factor'!J$17</f>
        <v>0</v>
      </c>
      <c r="L86" s="148">
        <f>+$D86*'[5]II-F Alloc_Factor'!K$17</f>
        <v>75319.35066590838</v>
      </c>
      <c r="M86" s="148">
        <f>+$D86*'[5]II-F Alloc_Factor'!L$17</f>
        <v>20535.680665078886</v>
      </c>
      <c r="N86" s="148">
        <f>+$D86*'[5]II-F Alloc_Factor'!M$17</f>
        <v>826.38280644684073</v>
      </c>
      <c r="O86" s="148">
        <f t="shared" si="14" ref="O86:O97">+I86+L86+M86+N86</f>
        <v>123982.57000000001</v>
      </c>
      <c r="Q86" s="138" t="b">
        <f t="shared" si="15" ref="Q86:Q97">+D86=O86</f>
        <v>1</v>
      </c>
    </row>
    <row r="87" spans="1:17" ht="12.75">
      <c r="A87" s="146">
        <v>44</v>
      </c>
      <c r="B87" s="147" t="str">
        <f t="shared" si="16" ref="B87:B97">+B64</f>
        <v>February 2021</v>
      </c>
      <c r="D87" s="150">
        <v>124928.42</v>
      </c>
      <c r="E87" s="213" t="s">
        <v>163</v>
      </c>
      <c r="F87" s="150">
        <f>+$D87*'[5]II-F Alloc_Factor'!E$17</f>
        <v>27509.433512179126</v>
      </c>
      <c r="G87" s="150">
        <f>+$D87*'[5]II-F Alloc_Factor'!F$17</f>
        <v>0</v>
      </c>
      <c r="H87" s="150">
        <f>+$D87*'[5]II-F Alloc_Factor'!G$17</f>
        <v>0</v>
      </c>
      <c r="I87" s="150">
        <f>+$D87*'[5]II-F Alloc_Factor'!H$17</f>
        <v>27509.433512179126</v>
      </c>
      <c r="J87" s="150">
        <f>+$D87*'[5]II-F Alloc_Factor'!I$17</f>
        <v>75893.954078527982</v>
      </c>
      <c r="K87" s="150">
        <f>+$D87*'[5]II-F Alloc_Factor'!J$17</f>
        <v>0</v>
      </c>
      <c r="L87" s="150">
        <f>+$D87*'[5]II-F Alloc_Factor'!K$17</f>
        <v>75893.954078527982</v>
      </c>
      <c r="M87" s="150">
        <f>+$D87*'[5]II-F Alloc_Factor'!L$17</f>
        <v>20692.345215241581</v>
      </c>
      <c r="N87" s="150">
        <f>+$D87*'[5]II-F Alloc_Factor'!M$17</f>
        <v>832.68719405130594</v>
      </c>
      <c r="O87" s="150">
        <f t="shared" si="14"/>
        <v>124928.42</v>
      </c>
      <c r="Q87" s="138" t="b">
        <f t="shared" si="15"/>
        <v>1</v>
      </c>
    </row>
    <row r="88" spans="1:17" ht="12.75">
      <c r="A88" s="146">
        <v>45</v>
      </c>
      <c r="B88" s="147" t="str">
        <f t="shared" si="16"/>
        <v>March 2021</v>
      </c>
      <c r="D88" s="150">
        <v>126210.81</v>
      </c>
      <c r="E88" s="213" t="s">
        <v>163</v>
      </c>
      <c r="F88" s="150">
        <f>+$D88*'[5]II-F Alloc_Factor'!E$17</f>
        <v>27791.817796249023</v>
      </c>
      <c r="G88" s="150">
        <f>+$D88*'[5]II-F Alloc_Factor'!F$17</f>
        <v>0</v>
      </c>
      <c r="H88" s="150">
        <f>+$D88*'[5]II-F Alloc_Factor'!G$17</f>
        <v>0</v>
      </c>
      <c r="I88" s="150">
        <f>+$D88*'[5]II-F Alloc_Factor'!H$17</f>
        <v>27791.817796249023</v>
      </c>
      <c r="J88" s="150">
        <f>+$D88*'[5]II-F Alloc_Factor'!I$17</f>
        <v>76673.00537662943</v>
      </c>
      <c r="K88" s="150">
        <f>+$D88*'[5]II-F Alloc_Factor'!J$17</f>
        <v>0</v>
      </c>
      <c r="L88" s="150">
        <f>+$D88*'[5]II-F Alloc_Factor'!K$17</f>
        <v>76673.00537662943</v>
      </c>
      <c r="M88" s="150">
        <f>+$D88*'[5]II-F Alloc_Factor'!L$17</f>
        <v>20904.75210056498</v>
      </c>
      <c r="N88" s="150">
        <f>+$D88*'[5]II-F Alloc_Factor'!M$17</f>
        <v>841.2347265565553</v>
      </c>
      <c r="O88" s="150">
        <f t="shared" si="14"/>
        <v>126210.80999999998</v>
      </c>
      <c r="Q88" s="138" t="b">
        <f t="shared" si="15"/>
        <v>1</v>
      </c>
    </row>
    <row r="89" spans="1:17" ht="12.75">
      <c r="A89" s="146">
        <v>46</v>
      </c>
      <c r="B89" s="147" t="str">
        <f t="shared" si="16"/>
        <v>April 2021</v>
      </c>
      <c r="D89" s="150">
        <v>122961.5</v>
      </c>
      <c r="E89" s="213" t="s">
        <v>163</v>
      </c>
      <c r="F89" s="150">
        <f>+$D89*'[5]II-F Alloc_Factor'!E$17</f>
        <v>27076.314651284421</v>
      </c>
      <c r="G89" s="150">
        <f>+$D89*'[5]II-F Alloc_Factor'!F$17</f>
        <v>0</v>
      </c>
      <c r="H89" s="150">
        <f>+$D89*'[5]II-F Alloc_Factor'!G$17</f>
        <v>0</v>
      </c>
      <c r="I89" s="150">
        <f>+$D89*'[5]II-F Alloc_Factor'!H$17</f>
        <v>27076.314651284421</v>
      </c>
      <c r="J89" s="150">
        <f>+$D89*'[5]II-F Alloc_Factor'!I$17</f>
        <v>74699.051140060197</v>
      </c>
      <c r="K89" s="150">
        <f>+$D89*'[5]II-F Alloc_Factor'!J$17</f>
        <v>0</v>
      </c>
      <c r="L89" s="150">
        <f>+$D89*'[5]II-F Alloc_Factor'!K$17</f>
        <v>74699.051140060197</v>
      </c>
      <c r="M89" s="150">
        <f>+$D89*'[5]II-F Alloc_Factor'!L$17</f>
        <v>20366.557154760521</v>
      </c>
      <c r="N89" s="150">
        <f>+$D89*'[5]II-F Alloc_Factor'!M$17</f>
        <v>819.57705389485955</v>
      </c>
      <c r="O89" s="150">
        <f t="shared" si="14"/>
        <v>122961.5</v>
      </c>
      <c r="Q89" s="138" t="b">
        <f t="shared" si="15"/>
        <v>1</v>
      </c>
    </row>
    <row r="90" spans="1:17" ht="12.75">
      <c r="A90" s="146">
        <v>47</v>
      </c>
      <c r="B90" s="147" t="str">
        <f t="shared" si="16"/>
        <v>May 2021</v>
      </c>
      <c r="D90" s="150">
        <v>121684.22</v>
      </c>
      <c r="E90" s="213" t="s">
        <v>163</v>
      </c>
      <c r="F90" s="150">
        <f>+$D90*'[5]II-F Alloc_Factor'!E$17</f>
        <v>26795.055597208207</v>
      </c>
      <c r="G90" s="150">
        <f>+$D90*'[5]II-F Alloc_Factor'!F$17</f>
        <v>0</v>
      </c>
      <c r="H90" s="150">
        <f>+$D90*'[5]II-F Alloc_Factor'!G$17</f>
        <v>0</v>
      </c>
      <c r="I90" s="150">
        <f>+$D90*'[5]II-F Alloc_Factor'!H$17</f>
        <v>26795.055597208207</v>
      </c>
      <c r="J90" s="150">
        <f>+$D90*'[5]II-F Alloc_Factor'!I$17</f>
        <v>73923.104164460703</v>
      </c>
      <c r="K90" s="150">
        <f>+$D90*'[5]II-F Alloc_Factor'!J$17</f>
        <v>0</v>
      </c>
      <c r="L90" s="150">
        <f>+$D90*'[5]II-F Alloc_Factor'!K$17</f>
        <v>73923.104164460703</v>
      </c>
      <c r="M90" s="150">
        <f>+$D90*'[5]II-F Alloc_Factor'!L$17</f>
        <v>20154.996657185002</v>
      </c>
      <c r="N90" s="150">
        <f>+$D90*'[5]II-F Alloc_Factor'!M$17</f>
        <v>811.0635811460819</v>
      </c>
      <c r="O90" s="150">
        <f t="shared" si="14"/>
        <v>121684.21999999999</v>
      </c>
      <c r="Q90" s="138" t="b">
        <f t="shared" si="15"/>
        <v>1</v>
      </c>
    </row>
    <row r="91" spans="1:17" ht="12.75">
      <c r="A91" s="146">
        <v>48</v>
      </c>
      <c r="B91" s="147" t="str">
        <f t="shared" si="16"/>
        <v>June 2021</v>
      </c>
      <c r="D91" s="150">
        <v>122710.16</v>
      </c>
      <c r="E91" s="213" t="s">
        <v>163</v>
      </c>
      <c r="F91" s="150">
        <f>+$D91*'[5]II-F Alloc_Factor'!E$17</f>
        <v>27020.969190107924</v>
      </c>
      <c r="G91" s="150">
        <f>+$D91*'[5]II-F Alloc_Factor'!F$17</f>
        <v>0</v>
      </c>
      <c r="H91" s="150">
        <f>+$D91*'[5]II-F Alloc_Factor'!G$17</f>
        <v>0</v>
      </c>
      <c r="I91" s="150">
        <f>+$D91*'[5]II-F Alloc_Factor'!H$17</f>
        <v>27020.969190107924</v>
      </c>
      <c r="J91" s="150">
        <f>+$D91*'[5]II-F Alloc_Factor'!I$17</f>
        <v>74546.362212928187</v>
      </c>
      <c r="K91" s="150">
        <f>+$D91*'[5]II-F Alloc_Factor'!J$17</f>
        <v>0</v>
      </c>
      <c r="L91" s="150">
        <f>+$D91*'[5]II-F Alloc_Factor'!K$17</f>
        <v>74546.362212928187</v>
      </c>
      <c r="M91" s="150">
        <f>+$D91*'[5]II-F Alloc_Factor'!L$17</f>
        <v>20324.926803184808</v>
      </c>
      <c r="N91" s="150">
        <f>+$D91*'[5]II-F Alloc_Factor'!M$17</f>
        <v>817.90179377908407</v>
      </c>
      <c r="O91" s="150">
        <f t="shared" si="14"/>
        <v>122710.15999999999</v>
      </c>
      <c r="Q91" s="138" t="b">
        <f t="shared" si="15"/>
        <v>1</v>
      </c>
    </row>
    <row r="92" spans="1:17" ht="12.75">
      <c r="A92" s="146">
        <v>49</v>
      </c>
      <c r="B92" s="147" t="str">
        <f t="shared" si="16"/>
        <v>July 2021</v>
      </c>
      <c r="D92" s="150">
        <v>122482.74000000001</v>
      </c>
      <c r="E92" s="213" t="s">
        <v>163</v>
      </c>
      <c r="F92" s="150">
        <f>+$D92*'[5]II-F Alloc_Factor'!E$17</f>
        <v>26970.890950349993</v>
      </c>
      <c r="G92" s="150">
        <f>+$D92*'[5]II-F Alloc_Factor'!F$17</f>
        <v>0</v>
      </c>
      <c r="H92" s="150">
        <f>+$D92*'[5]II-F Alloc_Factor'!G$17</f>
        <v>0</v>
      </c>
      <c r="I92" s="150">
        <f>+$D92*'[5]II-F Alloc_Factor'!H$17</f>
        <v>26970.890950349993</v>
      </c>
      <c r="J92" s="150">
        <f>+$D92*'[5]II-F Alloc_Factor'!I$17</f>
        <v>74408.204674102846</v>
      </c>
      <c r="K92" s="150">
        <f>+$D92*'[5]II-F Alloc_Factor'!J$17</f>
        <v>0</v>
      </c>
      <c r="L92" s="150">
        <f>+$D92*'[5]II-F Alloc_Factor'!K$17</f>
        <v>74408.204674102846</v>
      </c>
      <c r="M92" s="150">
        <f>+$D92*'[5]II-F Alloc_Factor'!L$17</f>
        <v>20287.258407563935</v>
      </c>
      <c r="N92" s="150">
        <f>+$D92*'[5]II-F Alloc_Factor'!M$17</f>
        <v>816.38596798323113</v>
      </c>
      <c r="O92" s="150">
        <f t="shared" si="14"/>
        <v>122482.73999999999</v>
      </c>
      <c r="Q92" s="138" t="b">
        <f t="shared" si="15"/>
        <v>1</v>
      </c>
    </row>
    <row r="93" spans="1:17" ht="12.75">
      <c r="A93" s="146">
        <v>50</v>
      </c>
      <c r="B93" s="147" t="str">
        <f t="shared" si="16"/>
        <v>August 2021</v>
      </c>
      <c r="D93" s="150">
        <v>122998.47</v>
      </c>
      <c r="E93" s="213" t="s">
        <v>163</v>
      </c>
      <c r="F93" s="150">
        <f>+$D93*'[5]II-F Alloc_Factor'!E$17</f>
        <v>27084.455503117377</v>
      </c>
      <c r="G93" s="150">
        <f>+$D93*'[5]II-F Alloc_Factor'!F$17</f>
        <v>0</v>
      </c>
      <c r="H93" s="150">
        <f>+$D93*'[5]II-F Alloc_Factor'!G$17</f>
        <v>0</v>
      </c>
      <c r="I93" s="150">
        <f>+$D93*'[5]II-F Alloc_Factor'!H$17</f>
        <v>27084.455503117377</v>
      </c>
      <c r="J93" s="150">
        <f>+$D93*'[5]II-F Alloc_Factor'!I$17</f>
        <v>74721.510396987345</v>
      </c>
      <c r="K93" s="150">
        <f>+$D93*'[5]II-F Alloc_Factor'!J$17</f>
        <v>0</v>
      </c>
      <c r="L93" s="150">
        <f>+$D93*'[5]II-F Alloc_Factor'!K$17</f>
        <v>74721.510396987345</v>
      </c>
      <c r="M93" s="150">
        <f>+$D93*'[5]II-F Alloc_Factor'!L$17</f>
        <v>20372.680629327861</v>
      </c>
      <c r="N93" s="150">
        <f>+$D93*'[5]II-F Alloc_Factor'!M$17</f>
        <v>819.8234705674156</v>
      </c>
      <c r="O93" s="150">
        <f t="shared" si="14"/>
        <v>122998.47</v>
      </c>
      <c r="Q93" s="138" t="b">
        <f t="shared" si="15"/>
        <v>1</v>
      </c>
    </row>
    <row r="94" spans="1:17" ht="12.75">
      <c r="A94" s="146">
        <v>51</v>
      </c>
      <c r="B94" s="147" t="str">
        <f t="shared" si="16"/>
        <v>September 2021</v>
      </c>
      <c r="D94" s="150">
        <v>122633.67000000001</v>
      </c>
      <c r="E94" s="213" t="s">
        <v>163</v>
      </c>
      <c r="F94" s="150">
        <f>+$D94*'[5]II-F Alloc_Factor'!E$17</f>
        <v>27004.125972452995</v>
      </c>
      <c r="G94" s="150">
        <f>+$D94*'[5]II-F Alloc_Factor'!F$17</f>
        <v>0</v>
      </c>
      <c r="H94" s="150">
        <f>+$D94*'[5]II-F Alloc_Factor'!G$17</f>
        <v>0</v>
      </c>
      <c r="I94" s="150">
        <f>+$D94*'[5]II-F Alloc_Factor'!H$17</f>
        <v>27004.125972452995</v>
      </c>
      <c r="J94" s="150">
        <f>+$D94*'[5]II-F Alloc_Factor'!I$17</f>
        <v>74499.894575320461</v>
      </c>
      <c r="K94" s="150">
        <f>+$D94*'[5]II-F Alloc_Factor'!J$17</f>
        <v>0</v>
      </c>
      <c r="L94" s="150">
        <f>+$D94*'[5]II-F Alloc_Factor'!K$17</f>
        <v>74499.894575320461</v>
      </c>
      <c r="M94" s="150">
        <f>+$D94*'[5]II-F Alloc_Factor'!L$17</f>
        <v>20312.257488344247</v>
      </c>
      <c r="N94" s="150">
        <f>+$D94*'[5]II-F Alloc_Factor'!M$17</f>
        <v>817.39196388230812</v>
      </c>
      <c r="O94" s="150">
        <f t="shared" si="14"/>
        <v>122633.67000000001</v>
      </c>
      <c r="Q94" s="138" t="b">
        <f t="shared" si="15"/>
        <v>1</v>
      </c>
    </row>
    <row r="95" spans="1:17" ht="12.75">
      <c r="A95" s="146">
        <v>52</v>
      </c>
      <c r="B95" s="147" t="str">
        <f t="shared" si="16"/>
        <v>October 2021</v>
      </c>
      <c r="D95" s="150">
        <v>121683.23000000001</v>
      </c>
      <c r="E95" s="213" t="s">
        <v>163</v>
      </c>
      <c r="F95" s="150">
        <f>+$D95*'[5]II-F Alloc_Factor'!E$17</f>
        <v>26794.837597659531</v>
      </c>
      <c r="G95" s="150">
        <f>+$D95*'[5]II-F Alloc_Factor'!F$17</f>
        <v>0</v>
      </c>
      <c r="H95" s="150">
        <f>+$D95*'[5]II-F Alloc_Factor'!G$17</f>
        <v>0</v>
      </c>
      <c r="I95" s="150">
        <f>+$D95*'[5]II-F Alloc_Factor'!H$17</f>
        <v>26794.837597659531</v>
      </c>
      <c r="J95" s="150">
        <f>+$D95*'[5]II-F Alloc_Factor'!I$17</f>
        <v>73922.50273994467</v>
      </c>
      <c r="K95" s="150">
        <f>+$D95*'[5]II-F Alloc_Factor'!J$17</f>
        <v>0</v>
      </c>
      <c r="L95" s="150">
        <f>+$D95*'[5]II-F Alloc_Factor'!K$17</f>
        <v>73922.50273994467</v>
      </c>
      <c r="M95" s="150">
        <f>+$D95*'[5]II-F Alloc_Factor'!L$17</f>
        <v>20154.832679910953</v>
      </c>
      <c r="N95" s="150">
        <f>+$D95*'[5]II-F Alloc_Factor'!M$17</f>
        <v>811.05698248484771</v>
      </c>
      <c r="O95" s="150">
        <f t="shared" si="14"/>
        <v>121683.23</v>
      </c>
      <c r="Q95" s="138" t="b">
        <f t="shared" si="15"/>
        <v>1</v>
      </c>
    </row>
    <row r="96" spans="1:17" ht="12.75">
      <c r="A96" s="146">
        <v>53</v>
      </c>
      <c r="B96" s="147" t="str">
        <f t="shared" si="16"/>
        <v>November 2021</v>
      </c>
      <c r="D96" s="150">
        <v>121315.73999999999</v>
      </c>
      <c r="E96" s="213" t="s">
        <v>163</v>
      </c>
      <c r="F96" s="150">
        <f>+$D96*'[5]II-F Alloc_Factor'!E$17</f>
        <v>26713.915724787119</v>
      </c>
      <c r="G96" s="150">
        <f>+$D96*'[5]II-F Alloc_Factor'!F$17</f>
        <v>0</v>
      </c>
      <c r="H96" s="150">
        <f>+$D96*'[5]II-F Alloc_Factor'!G$17</f>
        <v>0</v>
      </c>
      <c r="I96" s="150">
        <f>+$D96*'[5]II-F Alloc_Factor'!H$17</f>
        <v>26713.915724787119</v>
      </c>
      <c r="J96" s="150">
        <f>+$D96*'[5]II-F Alloc_Factor'!I$17</f>
        <v>73699.252744592784</v>
      </c>
      <c r="K96" s="150">
        <f>+$D96*'[5]II-F Alloc_Factor'!J$17</f>
        <v>0</v>
      </c>
      <c r="L96" s="150">
        <f>+$D96*'[5]II-F Alloc_Factor'!K$17</f>
        <v>73699.252744592784</v>
      </c>
      <c r="M96" s="150">
        <f>+$D96*'[5]II-F Alloc_Factor'!L$17</f>
        <v>20093.963984516024</v>
      </c>
      <c r="N96" s="150">
        <f>+$D96*'[5]II-F Alloc_Factor'!M$17</f>
        <v>808.6075461040632</v>
      </c>
      <c r="O96" s="150">
        <f t="shared" si="14"/>
        <v>121315.73999999999</v>
      </c>
      <c r="Q96" s="138" t="b">
        <f t="shared" si="15"/>
        <v>1</v>
      </c>
    </row>
    <row r="97" spans="1:17" ht="12.75">
      <c r="A97" s="146">
        <v>54</v>
      </c>
      <c r="B97" s="147" t="str">
        <f t="shared" si="16"/>
        <v>December 2021</v>
      </c>
      <c r="D97" s="150">
        <v>123007.03</v>
      </c>
      <c r="E97" s="213" t="s">
        <v>163</v>
      </c>
      <c r="F97" s="150">
        <f>+$D97*'[5]II-F Alloc_Factor'!E$17</f>
        <v>27086.340428507967</v>
      </c>
      <c r="G97" s="150">
        <f>+$D97*'[5]II-F Alloc_Factor'!F$17</f>
        <v>0</v>
      </c>
      <c r="H97" s="150">
        <f>+$D97*'[5]II-F Alloc_Factor'!G$17</f>
        <v>0</v>
      </c>
      <c r="I97" s="150">
        <f>+$D97*'[5]II-F Alloc_Factor'!H$17</f>
        <v>27086.340428507967</v>
      </c>
      <c r="J97" s="150">
        <f>+$D97*'[5]II-F Alloc_Factor'!I$17</f>
        <v>74726.710592802774</v>
      </c>
      <c r="K97" s="150">
        <f>+$D97*'[5]II-F Alloc_Factor'!J$17</f>
        <v>0</v>
      </c>
      <c r="L97" s="150">
        <f>+$D97*'[5]II-F Alloc_Factor'!K$17</f>
        <v>74726.710592802774</v>
      </c>
      <c r="M97" s="150">
        <f>+$D97*'[5]II-F Alloc_Factor'!L$17</f>
        <v>20374.098453030765</v>
      </c>
      <c r="N97" s="150">
        <f>+$D97*'[5]II-F Alloc_Factor'!M$17</f>
        <v>819.88052565849159</v>
      </c>
      <c r="O97" s="150">
        <f t="shared" si="14"/>
        <v>123007.02999999998</v>
      </c>
      <c r="Q97" s="138" t="b">
        <f t="shared" si="15"/>
        <v>1</v>
      </c>
    </row>
    <row r="98" spans="1:15" ht="12.75">
      <c r="A98" s="146">
        <v>55</v>
      </c>
      <c r="D98" s="151"/>
      <c r="E98" s="151"/>
      <c r="F98" s="151"/>
      <c r="G98" s="151"/>
      <c r="H98" s="151"/>
      <c r="I98" s="151"/>
      <c r="J98" s="151"/>
      <c r="K98" s="151"/>
      <c r="L98" s="151"/>
      <c r="M98" s="151"/>
      <c r="N98" s="151"/>
      <c r="O98" s="151"/>
    </row>
    <row r="99" spans="1:17" ht="13.5" thickBot="1">
      <c r="A99" s="146">
        <v>56</v>
      </c>
      <c r="B99" s="211" t="s">
        <v>216</v>
      </c>
      <c r="D99" s="172">
        <f t="shared" si="17" ref="D99:O99">SUM(D86:D97)</f>
        <v>1476598.5600000001</v>
      </c>
      <c r="E99" s="228"/>
      <c r="F99" s="172">
        <f t="shared" si="17"/>
        <v>325149.31278646959</v>
      </c>
      <c r="G99" s="172">
        <f t="shared" si="18" ref="G99:N99">SUM(G86:G97)</f>
        <v>0</v>
      </c>
      <c r="H99" s="172">
        <f t="shared" si="18"/>
        <v>0</v>
      </c>
      <c r="I99" s="172">
        <f t="shared" si="18"/>
        <v>325149.31278646959</v>
      </c>
      <c r="J99" s="172">
        <f t="shared" si="18"/>
        <v>897032.90336226567</v>
      </c>
      <c r="K99" s="172">
        <f t="shared" si="18"/>
        <v>0</v>
      </c>
      <c r="L99" s="172">
        <f t="shared" si="18"/>
        <v>897032.90336226567</v>
      </c>
      <c r="M99" s="172">
        <f t="shared" si="18"/>
        <v>244574.35023870957</v>
      </c>
      <c r="N99" s="172">
        <f t="shared" si="18"/>
        <v>9841.9936125550848</v>
      </c>
      <c r="O99" s="172">
        <f t="shared" si="17"/>
        <v>1476598.5600000001</v>
      </c>
      <c r="Q99" s="138" t="b">
        <f>+D99=O99</f>
        <v>1</v>
      </c>
    </row>
    <row r="100" ht="13.5" thickTop="1"/>
    <row r="103" spans="4:15" ht="13.5" thickBot="1">
      <c r="D103" s="363" t="s">
        <v>449</v>
      </c>
      <c r="E103" s="362"/>
      <c r="F103" s="362"/>
      <c r="G103" s="362"/>
      <c r="H103" s="362"/>
      <c r="I103" s="362"/>
      <c r="J103" s="362"/>
      <c r="K103" s="362"/>
      <c r="L103" s="362"/>
      <c r="M103" s="362"/>
      <c r="N103" s="362"/>
      <c r="O103" s="362"/>
    </row>
    <row r="104" spans="14:15" ht="12.75">
      <c r="N104" s="61"/>
      <c r="O104" s="18"/>
    </row>
    <row r="105" spans="1:15" ht="12.75">
      <c r="A105" s="18" t="s">
        <v>87</v>
      </c>
      <c r="B105" s="18"/>
      <c r="D105" s="209" t="s">
        <v>216</v>
      </c>
      <c r="E105" s="209" t="s">
        <v>53</v>
      </c>
      <c r="F105" s="18"/>
      <c r="G105" s="18" t="s">
        <v>716</v>
      </c>
      <c r="H105" s="18" t="s">
        <v>722</v>
      </c>
      <c r="I105" s="18" t="s">
        <v>717</v>
      </c>
      <c r="J105" s="18"/>
      <c r="K105" s="18" t="s">
        <v>716</v>
      </c>
      <c r="L105" s="18" t="s">
        <v>717</v>
      </c>
      <c r="M105" s="18"/>
      <c r="N105" s="18"/>
      <c r="O105" s="18"/>
    </row>
    <row r="106" spans="1:15" ht="12.75">
      <c r="A106" s="208" t="s">
        <v>89</v>
      </c>
      <c r="B106" s="208" t="s">
        <v>64</v>
      </c>
      <c r="D106" s="202" t="s">
        <v>219</v>
      </c>
      <c r="E106" s="202" t="s">
        <v>218</v>
      </c>
      <c r="F106" s="202" t="s">
        <v>294</v>
      </c>
      <c r="G106" s="202" t="s">
        <v>294</v>
      </c>
      <c r="H106" s="202" t="s">
        <v>723</v>
      </c>
      <c r="I106" s="202" t="s">
        <v>294</v>
      </c>
      <c r="J106" s="202" t="s">
        <v>295</v>
      </c>
      <c r="K106" s="202" t="s">
        <v>295</v>
      </c>
      <c r="L106" s="202" t="s">
        <v>295</v>
      </c>
      <c r="M106" s="202" t="s">
        <v>283</v>
      </c>
      <c r="N106" s="202" t="s">
        <v>126</v>
      </c>
      <c r="O106" s="202" t="s">
        <v>216</v>
      </c>
    </row>
    <row r="107" spans="1:15" ht="12.75">
      <c r="A107" s="18"/>
      <c r="B107" s="16" t="s">
        <v>44</v>
      </c>
      <c r="D107" s="16" t="s">
        <v>45</v>
      </c>
      <c r="E107" s="16" t="s">
        <v>74</v>
      </c>
      <c r="F107" s="16" t="s">
        <v>75</v>
      </c>
      <c r="G107" s="203" t="s">
        <v>76</v>
      </c>
      <c r="H107" s="203" t="s">
        <v>77</v>
      </c>
      <c r="I107" s="203" t="s">
        <v>78</v>
      </c>
      <c r="J107" s="203" t="s">
        <v>79</v>
      </c>
      <c r="K107" s="203" t="s">
        <v>80</v>
      </c>
      <c r="L107" s="203" t="s">
        <v>81</v>
      </c>
      <c r="M107" s="203" t="s">
        <v>82</v>
      </c>
      <c r="N107" s="203" t="s">
        <v>83</v>
      </c>
      <c r="O107" s="203" t="s">
        <v>84</v>
      </c>
    </row>
    <row r="109" spans="1:17" ht="12.75">
      <c r="A109" s="146">
        <v>57</v>
      </c>
      <c r="B109" s="147" t="str">
        <f>+B86</f>
        <v>January 2021</v>
      </c>
      <c r="C109" s="154">
        <v>1</v>
      </c>
      <c r="D109" s="148">
        <f>+D17+D40+D63+D86</f>
        <v>810485.37999999989</v>
      </c>
      <c r="E109" s="213" t="s">
        <v>163</v>
      </c>
      <c r="F109" s="148">
        <f t="shared" si="19" ref="F109">+F17+F40+F63+F86</f>
        <v>178470.14853548323</v>
      </c>
      <c r="G109" s="148">
        <f t="shared" si="20" ref="G109:N109">+G17+G40+G63+G86</f>
        <v>0</v>
      </c>
      <c r="H109" s="148">
        <f t="shared" si="20"/>
        <v>0</v>
      </c>
      <c r="I109" s="148">
        <f t="shared" si="20"/>
        <v>178470.14853548323</v>
      </c>
      <c r="J109" s="148">
        <f t="shared" si="20"/>
        <v>492369.47214283422</v>
      </c>
      <c r="K109" s="148">
        <f t="shared" si="20"/>
        <v>0</v>
      </c>
      <c r="L109" s="148">
        <f t="shared" si="20"/>
        <v>492369.47214283422</v>
      </c>
      <c r="M109" s="148">
        <f t="shared" si="20"/>
        <v>134243.61946518056</v>
      </c>
      <c r="N109" s="148">
        <f t="shared" si="20"/>
        <v>5402.1398565018781</v>
      </c>
      <c r="O109" s="148">
        <f t="shared" si="21" ref="O109:O120">+I109+L109+M109+N109</f>
        <v>810485.37999999989</v>
      </c>
      <c r="Q109" s="138" t="b">
        <f t="shared" si="22" ref="Q109:Q120">+D109=O109</f>
        <v>1</v>
      </c>
    </row>
    <row r="110" spans="1:17" ht="12.75">
      <c r="A110" s="146">
        <v>58</v>
      </c>
      <c r="B110" s="147" t="str">
        <f t="shared" si="23" ref="B110:B120">+B87</f>
        <v>February 2021</v>
      </c>
      <c r="C110" s="154">
        <v>2</v>
      </c>
      <c r="D110" s="150">
        <f t="shared" si="24" ref="D110:D120">+D18+D41+D64+D87</f>
        <v>809090.12000000011</v>
      </c>
      <c r="E110" s="213" t="s">
        <v>163</v>
      </c>
      <c r="F110" s="150">
        <f t="shared" si="25" ref="F110">+F18+F41+F64+F87</f>
        <v>178162.91010084841</v>
      </c>
      <c r="G110" s="150">
        <f t="shared" si="26" ref="G110:N110">+G18+G41+G64+G87</f>
        <v>0</v>
      </c>
      <c r="H110" s="150">
        <f t="shared" si="26"/>
        <v>0</v>
      </c>
      <c r="I110" s="150">
        <f t="shared" si="26"/>
        <v>178162.91010084841</v>
      </c>
      <c r="J110" s="150">
        <f t="shared" si="26"/>
        <v>491521.8523749095</v>
      </c>
      <c r="K110" s="150">
        <f t="shared" si="26"/>
        <v>0</v>
      </c>
      <c r="L110" s="150">
        <f t="shared" si="26"/>
        <v>491521.8523749095</v>
      </c>
      <c r="M110" s="150">
        <f t="shared" si="26"/>
        <v>134012.51751427929</v>
      </c>
      <c r="N110" s="150">
        <f t="shared" si="26"/>
        <v>5392.8400099627806</v>
      </c>
      <c r="O110" s="150">
        <f t="shared" si="21"/>
        <v>809090.12</v>
      </c>
      <c r="Q110" s="138" t="b">
        <f t="shared" si="22"/>
        <v>1</v>
      </c>
    </row>
    <row r="111" spans="1:17" ht="12.75">
      <c r="A111" s="146">
        <v>59</v>
      </c>
      <c r="B111" s="147" t="str">
        <f t="shared" si="23"/>
        <v>March 2021</v>
      </c>
      <c r="C111" s="154">
        <v>3</v>
      </c>
      <c r="D111" s="150">
        <f t="shared" si="24"/>
        <v>797050.85000000009</v>
      </c>
      <c r="E111" s="213" t="s">
        <v>163</v>
      </c>
      <c r="F111" s="150">
        <f t="shared" si="27" ref="F111">+F19+F42+F65+F88</f>
        <v>175511.8440135628</v>
      </c>
      <c r="G111" s="150">
        <f t="shared" si="28" ref="G111:N111">+G19+G42+G65+G88</f>
        <v>0</v>
      </c>
      <c r="H111" s="150">
        <f t="shared" si="28"/>
        <v>0</v>
      </c>
      <c r="I111" s="150">
        <f t="shared" si="28"/>
        <v>175511.8440135628</v>
      </c>
      <c r="J111" s="150">
        <f t="shared" si="28"/>
        <v>484208.00173532724</v>
      </c>
      <c r="K111" s="150">
        <f t="shared" si="28"/>
        <v>0</v>
      </c>
      <c r="L111" s="150">
        <f t="shared" si="28"/>
        <v>484208.00173532724</v>
      </c>
      <c r="M111" s="150">
        <f t="shared" si="28"/>
        <v>132018.40976057921</v>
      </c>
      <c r="N111" s="150">
        <f t="shared" si="28"/>
        <v>5312.5944905307242</v>
      </c>
      <c r="O111" s="150">
        <f t="shared" si="21"/>
        <v>797050.84999999998</v>
      </c>
      <c r="Q111" s="138" t="b">
        <f t="shared" si="22"/>
        <v>1</v>
      </c>
    </row>
    <row r="112" spans="1:17" ht="12.75">
      <c r="A112" s="146">
        <v>60</v>
      </c>
      <c r="B112" s="147" t="str">
        <f t="shared" si="23"/>
        <v>April 2021</v>
      </c>
      <c r="C112" s="154">
        <v>4</v>
      </c>
      <c r="D112" s="150">
        <f t="shared" si="24"/>
        <v>788587.34999999998</v>
      </c>
      <c r="E112" s="213" t="s">
        <v>163</v>
      </c>
      <c r="F112" s="150">
        <f t="shared" si="29" ref="F112">+F20+F43+F66+F89</f>
        <v>173648.16807393011</v>
      </c>
      <c r="G112" s="150">
        <f t="shared" si="30" ref="G112:N112">+G20+G43+G66+G89</f>
        <v>0</v>
      </c>
      <c r="H112" s="150">
        <f t="shared" si="30"/>
        <v>0</v>
      </c>
      <c r="I112" s="150">
        <f t="shared" si="30"/>
        <v>173648.16807393011</v>
      </c>
      <c r="J112" s="150">
        <f t="shared" si="30"/>
        <v>479066.42962272378</v>
      </c>
      <c r="K112" s="150">
        <f t="shared" si="30"/>
        <v>0</v>
      </c>
      <c r="L112" s="150">
        <f t="shared" si="30"/>
        <v>479066.42962272378</v>
      </c>
      <c r="M112" s="150">
        <f t="shared" si="30"/>
        <v>130616.5697010539</v>
      </c>
      <c r="N112" s="150">
        <f t="shared" si="30"/>
        <v>5256.1826022922178</v>
      </c>
      <c r="O112" s="150">
        <f t="shared" si="21"/>
        <v>788587.35000000009</v>
      </c>
      <c r="Q112" s="138" t="b">
        <f t="shared" si="22"/>
        <v>1</v>
      </c>
    </row>
    <row r="113" spans="1:17" ht="12.75">
      <c r="A113" s="146">
        <v>61</v>
      </c>
      <c r="B113" s="147" t="str">
        <f t="shared" si="23"/>
        <v>May 2021</v>
      </c>
      <c r="C113" s="154">
        <v>5</v>
      </c>
      <c r="D113" s="150">
        <f t="shared" si="24"/>
        <v>786946.18999999994</v>
      </c>
      <c r="E113" s="213" t="s">
        <v>163</v>
      </c>
      <c r="F113" s="150">
        <f t="shared" si="31" ref="F113">+F21+F44+F67+F90</f>
        <v>173286.78207462866</v>
      </c>
      <c r="G113" s="150">
        <f t="shared" si="32" ref="G113:N113">+G21+G44+G67+G90</f>
        <v>0</v>
      </c>
      <c r="H113" s="150">
        <f t="shared" si="32"/>
        <v>0</v>
      </c>
      <c r="I113" s="150">
        <f t="shared" si="32"/>
        <v>173286.78207462866</v>
      </c>
      <c r="J113" s="150">
        <f t="shared" si="32"/>
        <v>478069.42572500755</v>
      </c>
      <c r="K113" s="150">
        <f t="shared" si="32"/>
        <v>0</v>
      </c>
      <c r="L113" s="150">
        <f t="shared" si="32"/>
        <v>478069.42572500755</v>
      </c>
      <c r="M113" s="150">
        <f t="shared" si="32"/>
        <v>130344.73844541609</v>
      </c>
      <c r="N113" s="150">
        <f t="shared" si="32"/>
        <v>5245.243754947559</v>
      </c>
      <c r="O113" s="150">
        <f t="shared" si="21"/>
        <v>786946.18999999983</v>
      </c>
      <c r="Q113" s="138" t="b">
        <f t="shared" si="22"/>
        <v>1</v>
      </c>
    </row>
    <row r="114" spans="1:17" ht="12.75">
      <c r="A114" s="146">
        <v>62</v>
      </c>
      <c r="B114" s="147" t="str">
        <f t="shared" si="23"/>
        <v>June 2021</v>
      </c>
      <c r="C114" s="154">
        <v>6</v>
      </c>
      <c r="D114" s="150">
        <f t="shared" si="24"/>
        <v>781273.18000000005</v>
      </c>
      <c r="E114" s="213" t="s">
        <v>163</v>
      </c>
      <c r="F114" s="150">
        <f t="shared" si="33" ref="F114">+F22+F45+F68+F91</f>
        <v>172037.57639821872</v>
      </c>
      <c r="G114" s="150">
        <f t="shared" si="34" ref="G114:N114">+G22+G45+G68+G91</f>
        <v>0</v>
      </c>
      <c r="H114" s="150">
        <f t="shared" si="34"/>
        <v>0</v>
      </c>
      <c r="I114" s="150">
        <f t="shared" si="34"/>
        <v>172037.57639821872</v>
      </c>
      <c r="J114" s="150">
        <f t="shared" si="34"/>
        <v>474623.07492326823</v>
      </c>
      <c r="K114" s="150">
        <f t="shared" si="34"/>
        <v>0</v>
      </c>
      <c r="L114" s="150">
        <f t="shared" si="34"/>
        <v>474623.07492326823</v>
      </c>
      <c r="M114" s="150">
        <f t="shared" si="34"/>
        <v>129405.09731868516</v>
      </c>
      <c r="N114" s="150">
        <f t="shared" si="34"/>
        <v>5207.4313598278186</v>
      </c>
      <c r="O114" s="150">
        <f t="shared" si="21"/>
        <v>781273.17999999993</v>
      </c>
      <c r="Q114" s="138" t="b">
        <f t="shared" si="22"/>
        <v>1</v>
      </c>
    </row>
    <row r="115" spans="1:17" ht="12.75">
      <c r="A115" s="146">
        <v>63</v>
      </c>
      <c r="B115" s="147" t="str">
        <f t="shared" si="23"/>
        <v>July 2021</v>
      </c>
      <c r="C115" s="154">
        <v>7</v>
      </c>
      <c r="D115" s="150">
        <f t="shared" si="24"/>
        <v>783778.45000000007</v>
      </c>
      <c r="E115" s="213" t="s">
        <v>163</v>
      </c>
      <c r="F115" s="150">
        <f t="shared" si="35" ref="F115">+F23+F46+F69+F92</f>
        <v>172589.24077126579</v>
      </c>
      <c r="G115" s="150">
        <f t="shared" si="36" ref="G115:N115">+G23+G46+G69+G92</f>
        <v>0</v>
      </c>
      <c r="H115" s="150">
        <f t="shared" si="36"/>
        <v>0</v>
      </c>
      <c r="I115" s="150">
        <f t="shared" si="36"/>
        <v>172589.24077126579</v>
      </c>
      <c r="J115" s="150">
        <f t="shared" si="36"/>
        <v>476145.02522356278</v>
      </c>
      <c r="K115" s="150">
        <f t="shared" si="36"/>
        <v>0</v>
      </c>
      <c r="L115" s="150">
        <f t="shared" si="36"/>
        <v>476145.02522356278</v>
      </c>
      <c r="M115" s="150">
        <f t="shared" si="36"/>
        <v>129820.0542331918</v>
      </c>
      <c r="N115" s="150">
        <f t="shared" si="36"/>
        <v>5224.1297719796812</v>
      </c>
      <c r="O115" s="150">
        <f t="shared" si="21"/>
        <v>783778.44999999995</v>
      </c>
      <c r="Q115" s="138" t="b">
        <f t="shared" si="22"/>
        <v>1</v>
      </c>
    </row>
    <row r="116" spans="1:17" ht="12.75">
      <c r="A116" s="146">
        <v>64</v>
      </c>
      <c r="B116" s="147" t="str">
        <f t="shared" si="23"/>
        <v>August 2021</v>
      </c>
      <c r="C116" s="154">
        <v>8</v>
      </c>
      <c r="D116" s="150">
        <f t="shared" si="24"/>
        <v>776641.80000000005</v>
      </c>
      <c r="E116" s="213" t="s">
        <v>163</v>
      </c>
      <c r="F116" s="150">
        <f t="shared" si="37" ref="F116">+F24+F47+F70+F93</f>
        <v>171017.7392772527</v>
      </c>
      <c r="G116" s="150">
        <f t="shared" si="38" ref="G116:N116">+G24+G47+G70+G93</f>
        <v>0</v>
      </c>
      <c r="H116" s="150">
        <f t="shared" si="38"/>
        <v>0</v>
      </c>
      <c r="I116" s="150">
        <f t="shared" si="38"/>
        <v>171017.7392772527</v>
      </c>
      <c r="J116" s="150">
        <f t="shared" si="38"/>
        <v>471809.51383732632</v>
      </c>
      <c r="K116" s="150">
        <f t="shared" si="38"/>
        <v>0</v>
      </c>
      <c r="L116" s="150">
        <f t="shared" si="38"/>
        <v>471809.51383732632</v>
      </c>
      <c r="M116" s="150">
        <f t="shared" si="38"/>
        <v>128637.98512929733</v>
      </c>
      <c r="N116" s="150">
        <f t="shared" si="38"/>
        <v>5176.5617561236713</v>
      </c>
      <c r="O116" s="150">
        <f t="shared" si="21"/>
        <v>776641.80000000005</v>
      </c>
      <c r="Q116" s="138" t="b">
        <f t="shared" si="22"/>
        <v>1</v>
      </c>
    </row>
    <row r="117" spans="1:17" ht="12.75">
      <c r="A117" s="146">
        <v>65</v>
      </c>
      <c r="B117" s="147" t="str">
        <f t="shared" si="23"/>
        <v>September 2021</v>
      </c>
      <c r="C117" s="154">
        <v>9</v>
      </c>
      <c r="D117" s="150">
        <f t="shared" si="24"/>
        <v>768083.09000000008</v>
      </c>
      <c r="E117" s="213" t="s">
        <v>163</v>
      </c>
      <c r="F117" s="150">
        <f t="shared" si="39" ref="F117">+F25+F48+F71+F94</f>
        <v>169133.09794668097</v>
      </c>
      <c r="G117" s="150">
        <f t="shared" si="40" ref="G117:N117">+G25+G48+G71+G94</f>
        <v>0</v>
      </c>
      <c r="H117" s="150">
        <f t="shared" si="40"/>
        <v>0</v>
      </c>
      <c r="I117" s="150">
        <f t="shared" si="40"/>
        <v>169133.09794668097</v>
      </c>
      <c r="J117" s="150">
        <f t="shared" si="40"/>
        <v>466610.10169626639</v>
      </c>
      <c r="K117" s="150">
        <f t="shared" si="40"/>
        <v>0</v>
      </c>
      <c r="L117" s="150">
        <f t="shared" si="40"/>
        <v>466610.10169626639</v>
      </c>
      <c r="M117" s="150">
        <f t="shared" si="40"/>
        <v>127220.37509374942</v>
      </c>
      <c r="N117" s="150">
        <f t="shared" si="40"/>
        <v>5119.5152633032312</v>
      </c>
      <c r="O117" s="150">
        <f t="shared" si="21"/>
        <v>768083.08999999997</v>
      </c>
      <c r="Q117" s="138" t="b">
        <f t="shared" si="22"/>
        <v>1</v>
      </c>
    </row>
    <row r="118" spans="1:17" ht="12.75">
      <c r="A118" s="146">
        <v>66</v>
      </c>
      <c r="B118" s="147" t="str">
        <f t="shared" si="23"/>
        <v>October 2021</v>
      </c>
      <c r="C118" s="154">
        <v>10</v>
      </c>
      <c r="D118" s="150">
        <f t="shared" si="24"/>
        <v>759807.41000000003</v>
      </c>
      <c r="E118" s="213" t="s">
        <v>163</v>
      </c>
      <c r="F118" s="150">
        <f t="shared" si="41" ref="F118">+F26+F49+F72+F95</f>
        <v>167310.78026485909</v>
      </c>
      <c r="G118" s="150">
        <f t="shared" si="42" ref="G118:N118">+G26+G49+G72+G95</f>
        <v>0</v>
      </c>
      <c r="H118" s="150">
        <f t="shared" si="42"/>
        <v>0</v>
      </c>
      <c r="I118" s="150">
        <f t="shared" si="42"/>
        <v>167310.78026485909</v>
      </c>
      <c r="J118" s="150">
        <f t="shared" si="42"/>
        <v>461582.63014184672</v>
      </c>
      <c r="K118" s="150">
        <f t="shared" si="42"/>
        <v>0</v>
      </c>
      <c r="L118" s="150">
        <f t="shared" si="42"/>
        <v>461582.63014184672</v>
      </c>
      <c r="M118" s="150">
        <f t="shared" si="42"/>
        <v>125849.64433888299</v>
      </c>
      <c r="N118" s="150">
        <f t="shared" si="42"/>
        <v>5064.3552544112081</v>
      </c>
      <c r="O118" s="150">
        <f t="shared" si="21"/>
        <v>759807.41000000003</v>
      </c>
      <c r="Q118" s="138" t="b">
        <f t="shared" si="22"/>
        <v>1</v>
      </c>
    </row>
    <row r="119" spans="1:17" ht="12.75">
      <c r="A119" s="146">
        <v>67</v>
      </c>
      <c r="B119" s="147" t="str">
        <f t="shared" si="23"/>
        <v>November 2021</v>
      </c>
      <c r="C119" s="154">
        <v>11</v>
      </c>
      <c r="D119" s="150">
        <f t="shared" si="24"/>
        <v>755776.14000000013</v>
      </c>
      <c r="E119" s="213" t="s">
        <v>163</v>
      </c>
      <c r="F119" s="150">
        <f t="shared" si="43" ref="F119">+F27+F50+F73+F96</f>
        <v>166423.08830465784</v>
      </c>
      <c r="G119" s="150">
        <f t="shared" si="44" ref="G119:N119">+G27+G50+G73+G96</f>
        <v>0</v>
      </c>
      <c r="H119" s="150">
        <f t="shared" si="44"/>
        <v>0</v>
      </c>
      <c r="I119" s="150">
        <f t="shared" si="44"/>
        <v>166423.08830465784</v>
      </c>
      <c r="J119" s="150">
        <f t="shared" si="44"/>
        <v>459133.63558753999</v>
      </c>
      <c r="K119" s="150">
        <f t="shared" si="44"/>
        <v>0</v>
      </c>
      <c r="L119" s="150">
        <f t="shared" si="44"/>
        <v>459133.63558753999</v>
      </c>
      <c r="M119" s="150">
        <f t="shared" si="44"/>
        <v>125181.93053528374</v>
      </c>
      <c r="N119" s="150">
        <f t="shared" si="44"/>
        <v>5037.4855725184625</v>
      </c>
      <c r="O119" s="150">
        <f t="shared" si="21"/>
        <v>755776.14000000001</v>
      </c>
      <c r="Q119" s="138" t="b">
        <f t="shared" si="22"/>
        <v>1</v>
      </c>
    </row>
    <row r="120" spans="1:17" ht="12.75">
      <c r="A120" s="146">
        <v>68</v>
      </c>
      <c r="B120" s="147" t="str">
        <f t="shared" si="23"/>
        <v>December 2021</v>
      </c>
      <c r="C120" s="154">
        <v>12</v>
      </c>
      <c r="D120" s="150">
        <f t="shared" si="24"/>
        <v>652861.64000000001</v>
      </c>
      <c r="E120" s="213" t="s">
        <v>163</v>
      </c>
      <c r="F120" s="150">
        <f t="shared" si="45" ref="F120">+F28+F51+F74+F97</f>
        <v>143761.15441332106</v>
      </c>
      <c r="G120" s="150">
        <f t="shared" si="46" ref="G120:N120">+G28+G51+G74+G97</f>
        <v>0</v>
      </c>
      <c r="H120" s="150">
        <f t="shared" si="46"/>
        <v>0</v>
      </c>
      <c r="I120" s="150">
        <f t="shared" si="46"/>
        <v>143761.15441332106</v>
      </c>
      <c r="J120" s="150">
        <f t="shared" si="46"/>
        <v>396613.12714746944</v>
      </c>
      <c r="K120" s="150">
        <f t="shared" si="46"/>
        <v>0</v>
      </c>
      <c r="L120" s="150">
        <f t="shared" si="46"/>
        <v>396613.12714746944</v>
      </c>
      <c r="M120" s="150">
        <f t="shared" si="46"/>
        <v>108135.83036324936</v>
      </c>
      <c r="N120" s="150">
        <f t="shared" si="46"/>
        <v>4351.5280759600882</v>
      </c>
      <c r="O120" s="150">
        <f t="shared" si="21"/>
        <v>652861.64000000001</v>
      </c>
      <c r="Q120" s="138" t="b">
        <f t="shared" si="22"/>
        <v>1</v>
      </c>
    </row>
    <row r="121" spans="1:15" ht="12.75">
      <c r="A121" s="146">
        <v>69</v>
      </c>
      <c r="D121" s="151"/>
      <c r="E121" s="151"/>
      <c r="F121" s="151"/>
      <c r="G121" s="151"/>
      <c r="H121" s="151"/>
      <c r="I121" s="151"/>
      <c r="J121" s="151"/>
      <c r="K121" s="151"/>
      <c r="L121" s="151"/>
      <c r="M121" s="151"/>
      <c r="N121" s="151"/>
      <c r="O121" s="151"/>
    </row>
    <row r="122" spans="1:17" ht="13.5" thickBot="1">
      <c r="A122" s="146">
        <v>70</v>
      </c>
      <c r="B122" s="168" t="s">
        <v>379</v>
      </c>
      <c r="D122" s="172">
        <f t="shared" si="47" ref="D122:O122">SUM(D109:D120)</f>
        <v>9270381.6000000015</v>
      </c>
      <c r="E122" s="228"/>
      <c r="F122" s="172">
        <f t="shared" si="47"/>
        <v>2041352.5301747094</v>
      </c>
      <c r="G122" s="172">
        <f t="shared" si="48" ref="G122:N122">SUM(G109:G120)</f>
        <v>0</v>
      </c>
      <c r="H122" s="172">
        <f t="shared" si="48"/>
        <v>0</v>
      </c>
      <c r="I122" s="172">
        <f t="shared" si="48"/>
        <v>2041352.5301747094</v>
      </c>
      <c r="J122" s="172">
        <f t="shared" si="48"/>
        <v>5631752.2901580818</v>
      </c>
      <c r="K122" s="172">
        <f t="shared" si="48"/>
        <v>0</v>
      </c>
      <c r="L122" s="172">
        <f t="shared" si="48"/>
        <v>5631752.2901580818</v>
      </c>
      <c r="M122" s="172">
        <f t="shared" si="48"/>
        <v>1535486.7718988487</v>
      </c>
      <c r="N122" s="172">
        <f t="shared" si="48"/>
        <v>61790.007768359319</v>
      </c>
      <c r="O122" s="172">
        <f t="shared" si="47"/>
        <v>9270381.6000000015</v>
      </c>
      <c r="Q122" s="138" t="b">
        <f>+D122=O122</f>
        <v>1</v>
      </c>
    </row>
    <row r="123" ht="13.5" thickTop="1"/>
  </sheetData>
  <mergeCells count="5">
    <mergeCell ref="D103:O103"/>
    <mergeCell ref="D11:O11"/>
    <mergeCell ref="D34:O34"/>
    <mergeCell ref="D57:O57"/>
    <mergeCell ref="D80:O80"/>
  </mergeCells>
  <printOptions horizontalCentered="1"/>
  <pageMargins left="0.5" right="0.5" top="3" bottom="0.5" header="1.5" footer="0.5"/>
  <pageSetup fitToHeight="0" orientation="landscape" pageOrder="overThenDown" scale="70" r:id="rId1"/>
  <headerFooter alignWithMargins="0">
    <oddHeader>&amp;C&amp;B
2022 RATE CASE
ONCOR ELECTRIC DELIVERY COMPANY LLC
II-D-3.7  GENERAL EMPLOYEE BENEFIT INFORMATION
TEST YEAR ENDING DECEMBER 31, 2021
SPONSORS: W. ALAN LEDBETTER/ A. GUILLORY&amp;R&amp;"Arial,Bold"Schedule &amp;A
Page &amp;P of &amp;N</oddHeader>
  </headerFooter>
  <rowBreaks count="4" manualBreakCount="4">
    <brk id="32" max="16383" man="1"/>
    <brk id="55" max="16383" man="1"/>
    <brk id="78" max="16383" man="1"/>
    <brk id="101" max="16383" man="1"/>
  </rowBreaks>
  <colBreaks count="1" manualBreakCount="1">
    <brk id="3" max="1048575" man="1"/>
  </colBreak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5"/>
  <dimension ref="B6"/>
  <sheetViews>
    <sheetView workbookViewId="0" topLeftCell="A1"/>
  </sheetViews>
  <sheetFormatPr defaultRowHeight="12.75"/>
  <sheetData>
    <row r="6" spans="2:2" ht="12.75">
      <c r="B6" s="183" t="s">
        <v>693</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8">
    <tabColor rgb="FFFF0000"/>
    <pageSetUpPr fitToPage="1"/>
  </sheetPr>
  <dimension ref="A1:P36"/>
  <sheetViews>
    <sheetView workbookViewId="0" topLeftCell="A1">
      <pane xSplit="2" ySplit="14" topLeftCell="C15" activePane="bottomRight" state="frozen"/>
      <selection pane="topLeft" activeCell="A7" sqref="A7:XFD7"/>
      <selection pane="bottomLeft" activeCell="A7" sqref="A7:XFD7"/>
      <selection pane="topRight" activeCell="A7" sqref="A7:XFD7"/>
      <selection pane="bottomRight" activeCell="I34" sqref="I34"/>
    </sheetView>
  </sheetViews>
  <sheetFormatPr defaultRowHeight="12.75"/>
  <cols>
    <col min="2" max="2" width="14.7142857142857" bestFit="1" customWidth="1"/>
    <col min="3" max="3" width="1.71428571428571" customWidth="1"/>
    <col min="4" max="7" width="11.7142857142857" customWidth="1"/>
    <col min="8" max="8" width="13.7142857142857" customWidth="1"/>
    <col min="9" max="9" width="17.7142857142857" customWidth="1"/>
    <col min="10" max="10" width="15.7142857142857" customWidth="1"/>
    <col min="11" max="11" width="11.7142857142857" customWidth="1"/>
    <col min="12" max="12" width="13.7142857142857" customWidth="1"/>
    <col min="13" max="13" width="17.7142857142857" customWidth="1"/>
    <col min="14" max="14" width="11.7142857142857" customWidth="1"/>
    <col min="15" max="15" width="13.7142857142857" customWidth="1"/>
  </cols>
  <sheetData>
    <row r="1" spans="1:1" ht="12.75">
      <c r="A1" s="163" t="str">
        <f>+'[3]Input Data'!$A$9</f>
        <v>2022 RATE CASE</v>
      </c>
    </row>
    <row r="2" spans="1:1" ht="12.75">
      <c r="A2" s="8" t="str">
        <f>+'[3]Input Data'!$A$2</f>
        <v>ONCOR ELECTRIC DELIVERY COMPANY LLC</v>
      </c>
    </row>
    <row r="3" spans="1:1" ht="12.75">
      <c r="A3" s="7" t="str">
        <f>CONCATENATE('[3]Schedule Sponsors'!$A$75,'[3]Schedule Sponsors'!$B$75)</f>
        <v>II-D-3.7  GENERAL EMPLOYEE BENEFIT INFORMATION</v>
      </c>
    </row>
    <row r="4" spans="1:1" ht="12.75">
      <c r="A4" s="63" t="str">
        <f>+'[3]Input Data'!$A$4</f>
        <v>TEST YEAR ENDING DECEMBER 31, 2021</v>
      </c>
    </row>
    <row r="5" spans="1:1" ht="12.75">
      <c r="A5" s="7" t="str">
        <f>CONCATENATE("SPONSORS: ",'[3]Schedule Sponsors'!$D$75)</f>
        <v>SPONSORS: W. ALAN LEDBETTER/ A. GUILLORY</v>
      </c>
    </row>
    <row r="12" spans="5:13" s="214" customFormat="1" ht="12.75">
      <c r="E12" s="214" t="s">
        <v>655</v>
      </c>
      <c r="H12" s="214" t="s">
        <v>694</v>
      </c>
      <c r="I12" s="214" t="s">
        <v>659</v>
      </c>
      <c r="M12" s="214" t="s">
        <v>663</v>
      </c>
    </row>
    <row r="13" spans="1:15" s="214" customFormat="1" ht="12.75">
      <c r="A13" s="209" t="s">
        <v>87</v>
      </c>
      <c r="B13" s="209"/>
      <c r="D13" s="214" t="s">
        <v>654</v>
      </c>
      <c r="E13" s="214" t="s">
        <v>431</v>
      </c>
      <c r="F13" s="214" t="s">
        <v>428</v>
      </c>
      <c r="G13" s="214" t="s">
        <v>427</v>
      </c>
      <c r="H13" s="214" t="s">
        <v>695</v>
      </c>
      <c r="I13" s="214" t="s">
        <v>660</v>
      </c>
      <c r="J13" s="214" t="s">
        <v>432</v>
      </c>
      <c r="K13" s="214" t="s">
        <v>430</v>
      </c>
      <c r="L13" s="214" t="s">
        <v>652</v>
      </c>
      <c r="M13" s="214" t="s">
        <v>664</v>
      </c>
      <c r="N13" s="214" t="s">
        <v>629</v>
      </c>
      <c r="O13" s="214" t="s">
        <v>219</v>
      </c>
    </row>
    <row r="14" spans="1:16" s="214" customFormat="1" ht="12.75">
      <c r="A14" s="202" t="s">
        <v>89</v>
      </c>
      <c r="B14" s="202" t="s">
        <v>64</v>
      </c>
      <c r="D14" s="202" t="s">
        <v>426</v>
      </c>
      <c r="E14" s="202" t="s">
        <v>656</v>
      </c>
      <c r="F14" s="202" t="s">
        <v>429</v>
      </c>
      <c r="G14" s="202" t="s">
        <v>657</v>
      </c>
      <c r="H14" s="202" t="s">
        <v>658</v>
      </c>
      <c r="I14" s="202" t="s">
        <v>630</v>
      </c>
      <c r="J14" s="202" t="s">
        <v>661</v>
      </c>
      <c r="K14" s="202" t="s">
        <v>662</v>
      </c>
      <c r="L14" s="202" t="s">
        <v>653</v>
      </c>
      <c r="M14" s="202" t="s">
        <v>665</v>
      </c>
      <c r="N14" s="202" t="s">
        <v>666</v>
      </c>
      <c r="O14" s="202" t="s">
        <v>216</v>
      </c>
      <c r="P14" s="202"/>
    </row>
    <row r="15" spans="1:15" s="1" customFormat="1" ht="12.75">
      <c r="A15" s="18"/>
      <c r="B15" s="16" t="s">
        <v>44</v>
      </c>
      <c r="D15" s="203" t="s">
        <v>45</v>
      </c>
      <c r="E15" s="215" t="s">
        <v>74</v>
      </c>
      <c r="F15" s="215" t="s">
        <v>75</v>
      </c>
      <c r="G15" s="215" t="s">
        <v>76</v>
      </c>
      <c r="H15" s="215" t="s">
        <v>77</v>
      </c>
      <c r="I15" s="215" t="s">
        <v>78</v>
      </c>
      <c r="J15" s="215" t="s">
        <v>79</v>
      </c>
      <c r="K15" s="215" t="s">
        <v>80</v>
      </c>
      <c r="L15" s="215" t="s">
        <v>81</v>
      </c>
      <c r="M15" s="215" t="s">
        <v>82</v>
      </c>
      <c r="N15" s="215" t="s">
        <v>83</v>
      </c>
      <c r="O15" s="215" t="s">
        <v>84</v>
      </c>
    </row>
    <row r="16" spans="1:2" ht="12.75">
      <c r="A16" s="138"/>
      <c r="B16" s="138"/>
    </row>
    <row r="17" spans="1:15" ht="12.75">
      <c r="A17" s="146">
        <v>1</v>
      </c>
      <c r="B17" s="147" t="str">
        <f>+'II-D-3.2'!B15</f>
        <v>January 2021</v>
      </c>
      <c r="D17" s="140">
        <v>0</v>
      </c>
      <c r="E17" s="140">
        <v>8628.75</v>
      </c>
      <c r="F17" s="140">
        <v>94739</v>
      </c>
      <c r="G17" s="140">
        <v>0</v>
      </c>
      <c r="H17" s="140">
        <v>0</v>
      </c>
      <c r="I17" s="140">
        <v>2256940.27</v>
      </c>
      <c r="J17" s="140">
        <v>0</v>
      </c>
      <c r="K17" s="140">
        <v>0</v>
      </c>
      <c r="L17" s="140">
        <v>1867616.72</v>
      </c>
      <c r="M17" s="140">
        <v>139049.96000000002</v>
      </c>
      <c r="N17" s="140">
        <v>207638.26000000001</v>
      </c>
      <c r="O17" s="217">
        <f t="shared" si="0" ref="O17">SUM(D17:N17)</f>
        <v>4574612.96</v>
      </c>
    </row>
    <row r="18" spans="1:15" ht="12.75">
      <c r="A18" s="146">
        <v>2</v>
      </c>
      <c r="B18" s="147" t="str">
        <f>+'II-D-3.2'!B16</f>
        <v>February 2021</v>
      </c>
      <c r="D18" s="66">
        <v>0</v>
      </c>
      <c r="E18" s="66">
        <v>8700.9000000000015</v>
      </c>
      <c r="F18" s="66">
        <v>0</v>
      </c>
      <c r="G18" s="66">
        <v>0</v>
      </c>
      <c r="H18" s="66">
        <v>0</v>
      </c>
      <c r="I18" s="66">
        <v>8437</v>
      </c>
      <c r="J18" s="66">
        <v>61850.270000000004</v>
      </c>
      <c r="K18" s="66">
        <v>17933.579999999998</v>
      </c>
      <c r="L18" s="66">
        <v>1931470.4400000002</v>
      </c>
      <c r="M18" s="66">
        <v>38338.279999999999</v>
      </c>
      <c r="N18" s="66">
        <v>1443.98</v>
      </c>
      <c r="O18" s="216">
        <f>SUM(D18:N18)</f>
        <v>2068174.4500000002</v>
      </c>
    </row>
    <row r="19" spans="1:15" ht="12.75">
      <c r="A19" s="146">
        <v>3</v>
      </c>
      <c r="B19" s="147" t="str">
        <f>+'II-D-3.2'!B17</f>
        <v>March 2021</v>
      </c>
      <c r="D19" s="66">
        <v>0</v>
      </c>
      <c r="E19" s="66">
        <v>8523.4500000000007</v>
      </c>
      <c r="F19" s="66">
        <v>0</v>
      </c>
      <c r="G19" s="66">
        <v>0</v>
      </c>
      <c r="H19" s="66">
        <v>100000</v>
      </c>
      <c r="I19" s="66">
        <v>377115.75</v>
      </c>
      <c r="J19" s="66">
        <v>0</v>
      </c>
      <c r="K19" s="66">
        <v>0</v>
      </c>
      <c r="L19" s="66">
        <v>1948442.6000000001</v>
      </c>
      <c r="M19" s="66">
        <v>53749.93</v>
      </c>
      <c r="N19" s="66">
        <v>5392.2799999999997</v>
      </c>
      <c r="O19" s="216">
        <f t="shared" si="1" ref="O19:O28">SUM(D19:N19)</f>
        <v>2493224.0100000002</v>
      </c>
    </row>
    <row r="20" spans="1:15" ht="12.75">
      <c r="A20" s="146">
        <v>4</v>
      </c>
      <c r="B20" s="147" t="str">
        <f>+'II-D-3.2'!B18</f>
        <v>April 2021</v>
      </c>
      <c r="D20" s="66">
        <v>0</v>
      </c>
      <c r="E20" s="66">
        <v>44848</v>
      </c>
      <c r="F20" s="66">
        <v>0</v>
      </c>
      <c r="G20" s="66">
        <v>3731</v>
      </c>
      <c r="H20" s="66">
        <v>0</v>
      </c>
      <c r="I20" s="66">
        <v>142510.87</v>
      </c>
      <c r="J20" s="66">
        <v>124215.74000000001</v>
      </c>
      <c r="K20" s="66">
        <v>0</v>
      </c>
      <c r="L20" s="66">
        <v>2205876.3000000003</v>
      </c>
      <c r="M20" s="66">
        <v>21873.009999999998</v>
      </c>
      <c r="N20" s="66">
        <v>33500.559999999998</v>
      </c>
      <c r="O20" s="216">
        <f t="shared" si="1"/>
        <v>2576555.48</v>
      </c>
    </row>
    <row r="21" spans="1:15" ht="12.75">
      <c r="A21" s="146">
        <v>5</v>
      </c>
      <c r="B21" s="147" t="str">
        <f>+'II-D-3.2'!B19</f>
        <v>May 2021</v>
      </c>
      <c r="D21" s="66">
        <v>0</v>
      </c>
      <c r="E21" s="66">
        <v>8529.2999999999993</v>
      </c>
      <c r="F21" s="66">
        <v>0</v>
      </c>
      <c r="G21" s="66">
        <v>3609</v>
      </c>
      <c r="H21" s="66">
        <v>0</v>
      </c>
      <c r="I21" s="66">
        <v>-21047.779999999999</v>
      </c>
      <c r="J21" s="66">
        <v>11248.280000000001</v>
      </c>
      <c r="K21" s="66">
        <v>10089.76</v>
      </c>
      <c r="L21" s="66">
        <v>1955132.7699999998</v>
      </c>
      <c r="M21" s="66">
        <v>121044.28999999998</v>
      </c>
      <c r="N21" s="66">
        <v>4607.1999999999998</v>
      </c>
      <c r="O21" s="216">
        <f t="shared" si="1"/>
        <v>2093212.8199999998</v>
      </c>
    </row>
    <row r="22" spans="1:15" ht="12.75">
      <c r="A22" s="146">
        <v>6</v>
      </c>
      <c r="B22" s="147" t="str">
        <f>+'II-D-3.2'!B20</f>
        <v>June 2021</v>
      </c>
      <c r="D22" s="66">
        <v>8316</v>
      </c>
      <c r="E22" s="66">
        <v>8574.1499999999996</v>
      </c>
      <c r="F22" s="66">
        <v>0</v>
      </c>
      <c r="G22" s="66">
        <v>4134</v>
      </c>
      <c r="H22" s="66">
        <v>100000</v>
      </c>
      <c r="I22" s="66">
        <v>374096.63</v>
      </c>
      <c r="J22" s="66">
        <v>0</v>
      </c>
      <c r="K22" s="66">
        <v>7557.3299999999999</v>
      </c>
      <c r="L22" s="66">
        <v>1962973.7199999997</v>
      </c>
      <c r="M22" s="66">
        <v>84637.279999999999</v>
      </c>
      <c r="N22" s="66">
        <v>4013.8000000000002</v>
      </c>
      <c r="O22" s="216">
        <f t="shared" si="1"/>
        <v>2554302.9099999992</v>
      </c>
    </row>
    <row r="23" spans="1:15" ht="12.75">
      <c r="A23" s="146">
        <v>7</v>
      </c>
      <c r="B23" s="147" t="str">
        <f>+'II-D-3.2'!B21</f>
        <v>July 2021</v>
      </c>
      <c r="D23" s="66">
        <v>9030</v>
      </c>
      <c r="E23" s="66">
        <v>8609.25</v>
      </c>
      <c r="F23" s="66">
        <v>84330</v>
      </c>
      <c r="G23" s="66">
        <v>0</v>
      </c>
      <c r="H23" s="66">
        <v>0</v>
      </c>
      <c r="I23" s="66">
        <v>26931.25</v>
      </c>
      <c r="J23" s="66">
        <v>13864.360000000001</v>
      </c>
      <c r="K23" s="66">
        <v>20033.32</v>
      </c>
      <c r="L23" s="66">
        <v>1978420.8400000001</v>
      </c>
      <c r="M23" s="66">
        <v>63843.849999999991</v>
      </c>
      <c r="N23" s="66">
        <v>180514.39000000001</v>
      </c>
      <c r="O23" s="216">
        <f t="shared" si="1"/>
        <v>2385577.2600000002</v>
      </c>
    </row>
    <row r="24" spans="1:15" ht="12.75">
      <c r="A24" s="146">
        <v>8</v>
      </c>
      <c r="B24" s="147" t="str">
        <f>+'II-D-3.2'!B22</f>
        <v>August 2021</v>
      </c>
      <c r="D24" s="66">
        <v>147.5</v>
      </c>
      <c r="E24" s="66">
        <v>8675.5499999999993</v>
      </c>
      <c r="F24" s="66">
        <v>0</v>
      </c>
      <c r="G24" s="66">
        <v>8694</v>
      </c>
      <c r="H24" s="66">
        <v>0</v>
      </c>
      <c r="I24" s="66">
        <v>-17283</v>
      </c>
      <c r="J24" s="66">
        <v>4422.4799999999996</v>
      </c>
      <c r="K24" s="66">
        <v>19510.480000000003</v>
      </c>
      <c r="L24" s="66">
        <v>2103819.0900000003</v>
      </c>
      <c r="M24" s="66">
        <v>41841.089999999997</v>
      </c>
      <c r="N24" s="66">
        <v>13082.880000000001</v>
      </c>
      <c r="O24" s="216">
        <f t="shared" si="1"/>
        <v>2182910.0699999998</v>
      </c>
    </row>
    <row r="25" spans="1:15" ht="12.75">
      <c r="A25" s="146">
        <v>9</v>
      </c>
      <c r="B25" s="147" t="str">
        <f>+'II-D-3.2'!B23</f>
        <v>September 2021</v>
      </c>
      <c r="D25" s="66">
        <v>1827.5</v>
      </c>
      <c r="E25" s="66">
        <v>8636.5499999999993</v>
      </c>
      <c r="F25" s="66">
        <v>13273</v>
      </c>
      <c r="G25" s="66">
        <v>6582</v>
      </c>
      <c r="H25" s="66">
        <v>100000</v>
      </c>
      <c r="I25" s="66">
        <v>303715.80000000005</v>
      </c>
      <c r="J25" s="66">
        <v>0</v>
      </c>
      <c r="K25" s="66">
        <v>5752.04</v>
      </c>
      <c r="L25" s="66">
        <v>1973865.28</v>
      </c>
      <c r="M25" s="66">
        <v>34264.739999999998</v>
      </c>
      <c r="N25" s="66">
        <v>13830.440000000001</v>
      </c>
      <c r="O25" s="216">
        <f t="shared" si="1"/>
        <v>2461747.3500000001</v>
      </c>
    </row>
    <row r="26" spans="1:15" ht="12.75">
      <c r="A26" s="146">
        <v>10</v>
      </c>
      <c r="B26" s="147" t="str">
        <f>+'II-D-3.2'!B24</f>
        <v>October 2021</v>
      </c>
      <c r="D26" s="66">
        <v>220</v>
      </c>
      <c r="E26" s="66">
        <v>8599.5</v>
      </c>
      <c r="F26" s="66">
        <v>0</v>
      </c>
      <c r="G26" s="66">
        <v>6700</v>
      </c>
      <c r="H26" s="66">
        <v>0</v>
      </c>
      <c r="I26" s="66">
        <v>5623</v>
      </c>
      <c r="J26" s="66">
        <v>9470.2000000000007</v>
      </c>
      <c r="K26" s="66">
        <v>0</v>
      </c>
      <c r="L26" s="66">
        <v>1951350.5500000001</v>
      </c>
      <c r="M26" s="66">
        <v>30067.84</v>
      </c>
      <c r="N26" s="66">
        <v>282599.84999999998</v>
      </c>
      <c r="O26" s="216">
        <f t="shared" si="1"/>
        <v>2294630.9399999999</v>
      </c>
    </row>
    <row r="27" spans="1:15" ht="12.75">
      <c r="A27" s="146">
        <v>11</v>
      </c>
      <c r="B27" s="147" t="str">
        <f>+'II-D-3.2'!B25</f>
        <v>November 2021</v>
      </c>
      <c r="D27" s="66">
        <v>182.5</v>
      </c>
      <c r="E27" s="66">
        <v>9291</v>
      </c>
      <c r="F27" s="66">
        <v>3230</v>
      </c>
      <c r="G27" s="66">
        <v>0</v>
      </c>
      <c r="H27" s="66">
        <v>0</v>
      </c>
      <c r="I27" s="66">
        <v>244391</v>
      </c>
      <c r="J27" s="66">
        <v>0</v>
      </c>
      <c r="K27" s="66">
        <v>7195.0600000000004</v>
      </c>
      <c r="L27" s="66">
        <v>1989664.1299999999</v>
      </c>
      <c r="M27" s="66">
        <v>19042.169999999998</v>
      </c>
      <c r="N27" s="66">
        <v>8835.9200000000001</v>
      </c>
      <c r="O27" s="216">
        <f t="shared" si="1"/>
        <v>2281831.7799999998</v>
      </c>
    </row>
    <row r="28" spans="1:15" ht="12.75">
      <c r="A28" s="146">
        <v>12</v>
      </c>
      <c r="B28" s="147" t="str">
        <f>+'II-D-3.2'!B26</f>
        <v>December 2021</v>
      </c>
      <c r="D28" s="218">
        <v>60662.5</v>
      </c>
      <c r="E28" s="218">
        <v>8724.2999999999993</v>
      </c>
      <c r="F28" s="218">
        <v>0</v>
      </c>
      <c r="G28" s="218">
        <v>7844</v>
      </c>
      <c r="H28" s="218">
        <v>100000</v>
      </c>
      <c r="I28" s="218">
        <v>28988.57</v>
      </c>
      <c r="J28" s="218">
        <v>0</v>
      </c>
      <c r="K28" s="218">
        <v>2073.9099999999999</v>
      </c>
      <c r="L28" s="218">
        <v>2130146.79</v>
      </c>
      <c r="M28" s="218">
        <v>72725.709999999992</v>
      </c>
      <c r="N28" s="218">
        <v>73799.029999999999</v>
      </c>
      <c r="O28" s="219">
        <f t="shared" si="1"/>
        <v>2484964.8099999996</v>
      </c>
    </row>
    <row r="29" spans="1:2" ht="12.75">
      <c r="A29" s="146">
        <v>13</v>
      </c>
      <c r="B29" s="138"/>
    </row>
    <row r="30" spans="1:15" ht="13.5" thickBot="1">
      <c r="A30" s="146">
        <v>14</v>
      </c>
      <c r="B30" s="168" t="s">
        <v>69</v>
      </c>
      <c r="D30" s="303">
        <f t="shared" si="2" ref="D30:N30">SUM(D17:D28)</f>
        <v>80386</v>
      </c>
      <c r="E30" s="303">
        <f t="shared" si="2"/>
        <v>140340.70000000001</v>
      </c>
      <c r="F30" s="303">
        <f t="shared" si="2"/>
        <v>195572</v>
      </c>
      <c r="G30" s="303">
        <f t="shared" si="2"/>
        <v>41294</v>
      </c>
      <c r="H30" s="303">
        <f t="shared" si="2"/>
        <v>400000</v>
      </c>
      <c r="I30" s="303">
        <f t="shared" si="2"/>
        <v>3730419.3599999999</v>
      </c>
      <c r="J30" s="303">
        <f t="shared" si="2"/>
        <v>225071.33000000005</v>
      </c>
      <c r="K30" s="303">
        <f t="shared" si="2"/>
        <v>90145.479999999996</v>
      </c>
      <c r="L30" s="303">
        <f t="shared" si="2"/>
        <v>23998779.23</v>
      </c>
      <c r="M30" s="221">
        <f t="shared" si="2"/>
        <v>720478.14999999991</v>
      </c>
      <c r="N30" s="221">
        <f t="shared" si="2"/>
        <v>829258.59000000008</v>
      </c>
      <c r="O30" s="221">
        <f t="shared" si="3" ref="O30">SUM(O17:O28)</f>
        <v>30451744.840000004</v>
      </c>
    </row>
    <row r="31" ht="13.5" thickTop="1"/>
    <row r="36" spans="10:10" ht="12.75">
      <c r="J36" s="183"/>
    </row>
  </sheetData>
  <printOptions horizontalCentered="1"/>
  <pageMargins left="0.5" right="0.5" top="3" bottom="0.5" header="1.5" footer="1"/>
  <pageSetup orientation="landscape" scale="69" r:id="rId1"/>
  <headerFooter>
    <oddHeader>&amp;C&amp;B
2022 RATE CASE
ONCOR ELECTRIC DELIVERY COMPANY LLC
II-D-3.7  GENERAL EMPLOYEE BENEFIT INFORMATION
TEST YEAR ENDING DECEMBER 31, 2021
SPONSORS: W. ALAN LEDBETTER/ A. GUILLORY&amp;R&amp;"Arial,Bold"Schedule &amp;A
Page &amp;P of &amp;N</oddHead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9">
    <tabColor rgb="FFFF0000"/>
    <pageSetUpPr fitToPage="1"/>
  </sheetPr>
  <dimension ref="A1:O58"/>
  <sheetViews>
    <sheetView workbookViewId="0" topLeftCell="A1">
      <pane xSplit="1" ySplit="10" topLeftCell="B11" activePane="bottomRight" state="frozen"/>
      <selection pane="topLeft" activeCell="A7" sqref="A7:XFD7"/>
      <selection pane="bottomLeft" activeCell="A7" sqref="A7:XFD7"/>
      <selection pane="topRight" activeCell="A7" sqref="A7:XFD7"/>
      <selection pane="bottomRight" activeCell="B11" sqref="B11"/>
    </sheetView>
  </sheetViews>
  <sheetFormatPr defaultRowHeight="12.75"/>
  <cols>
    <col min="2" max="2" width="42.7142857142857" bestFit="1" customWidth="1"/>
    <col min="3" max="3" width="11.8571428571429" bestFit="1" customWidth="1"/>
    <col min="4" max="14" width="11.2857142857143" bestFit="1" customWidth="1"/>
    <col min="15" max="15" width="12.2857142857143" style="138" bestFit="1" customWidth="1"/>
  </cols>
  <sheetData>
    <row r="1" spans="1:1" ht="12.75">
      <c r="A1" s="163" t="str">
        <f>+'[3]Input Data'!$A$9</f>
        <v>2022 RATE CASE</v>
      </c>
    </row>
    <row r="2" spans="1:1" ht="12.75">
      <c r="A2" s="8" t="str">
        <f>+'[3]Input Data'!$A$2</f>
        <v>ONCOR ELECTRIC DELIVERY COMPANY LLC</v>
      </c>
    </row>
    <row r="3" spans="1:1" ht="12.75">
      <c r="A3" s="7" t="str">
        <f>CONCATENATE('[3]Schedule Sponsors'!$A$75,'[3]Schedule Sponsors'!$B$75," - OTHER EMPLOYEE BENEFITS")</f>
        <v>II-D-3.7  GENERAL EMPLOYEE BENEFIT INFORMATION - OTHER EMPLOYEE BENEFITS</v>
      </c>
    </row>
    <row r="4" spans="1:1" ht="12.75">
      <c r="A4" s="63" t="str">
        <f>+'[3]Input Data'!$A$4</f>
        <v>TEST YEAR ENDING DECEMBER 31, 2021</v>
      </c>
    </row>
    <row r="5" spans="1:1" ht="12.75">
      <c r="A5" s="7" t="str">
        <f>CONCATENATE("SPONSORS: ",'[3]Schedule Sponsors'!$D$75)</f>
        <v>SPONSORS: W. ALAN LEDBETTER/ A. GUILLORY</v>
      </c>
    </row>
    <row r="9" spans="1:1" ht="12.75">
      <c r="A9" s="214" t="s">
        <v>87</v>
      </c>
    </row>
    <row r="10" spans="1:15" ht="12.75">
      <c r="A10" s="214" t="s">
        <v>89</v>
      </c>
      <c r="B10" s="214" t="s">
        <v>667</v>
      </c>
      <c r="C10" s="214" t="s">
        <v>181</v>
      </c>
      <c r="D10" s="214" t="s">
        <v>298</v>
      </c>
      <c r="E10" s="214" t="s">
        <v>18</v>
      </c>
      <c r="F10" s="214" t="s">
        <v>19</v>
      </c>
      <c r="G10" s="214" t="s">
        <v>20</v>
      </c>
      <c r="H10" s="214" t="s">
        <v>21</v>
      </c>
      <c r="I10" s="214" t="s">
        <v>156</v>
      </c>
      <c r="J10" s="214" t="s">
        <v>157</v>
      </c>
      <c r="K10" s="214" t="s">
        <v>30</v>
      </c>
      <c r="L10" s="214" t="s">
        <v>178</v>
      </c>
      <c r="M10" s="214" t="s">
        <v>179</v>
      </c>
      <c r="N10" s="214" t="s">
        <v>180</v>
      </c>
      <c r="O10" s="230" t="s">
        <v>216</v>
      </c>
    </row>
    <row r="11" spans="2:15" ht="12.75">
      <c r="B11" s="215" t="s">
        <v>44</v>
      </c>
      <c r="C11" s="215" t="s">
        <v>45</v>
      </c>
      <c r="D11" s="215" t="s">
        <v>74</v>
      </c>
      <c r="E11" s="215" t="s">
        <v>75</v>
      </c>
      <c r="F11" s="16" t="s">
        <v>76</v>
      </c>
      <c r="G11" s="215" t="s">
        <v>77</v>
      </c>
      <c r="H11" s="215" t="s">
        <v>78</v>
      </c>
      <c r="I11" s="215" t="s">
        <v>79</v>
      </c>
      <c r="J11" s="215" t="s">
        <v>80</v>
      </c>
      <c r="K11" s="215" t="s">
        <v>81</v>
      </c>
      <c r="L11" s="215" t="s">
        <v>82</v>
      </c>
      <c r="M11" s="215" t="s">
        <v>83</v>
      </c>
      <c r="N11" s="215" t="s">
        <v>84</v>
      </c>
      <c r="O11" s="328" t="s">
        <v>85</v>
      </c>
    </row>
    <row r="13" spans="1:1" ht="12.75">
      <c r="A13" s="1">
        <v>1</v>
      </c>
    </row>
    <row r="14" spans="1:2" ht="12.75">
      <c r="A14" s="1">
        <v>2</v>
      </c>
      <c r="B14" s="206" t="s">
        <v>618</v>
      </c>
    </row>
    <row r="15" spans="1:15" ht="12.75">
      <c r="A15" s="1">
        <v>3</v>
      </c>
      <c r="B15" t="s">
        <v>668</v>
      </c>
      <c r="C15" s="250">
        <v>0</v>
      </c>
      <c r="D15" s="250">
        <v>0</v>
      </c>
      <c r="E15" s="250">
        <v>0</v>
      </c>
      <c r="F15" s="250">
        <v>0</v>
      </c>
      <c r="G15" s="250">
        <v>0</v>
      </c>
      <c r="H15" s="250">
        <v>8316</v>
      </c>
      <c r="I15" s="250">
        <v>1350</v>
      </c>
      <c r="J15" s="250">
        <v>0</v>
      </c>
      <c r="K15" s="250">
        <v>1680</v>
      </c>
      <c r="L15" s="250">
        <v>0</v>
      </c>
      <c r="M15" s="250">
        <v>0</v>
      </c>
      <c r="N15" s="250">
        <v>20880</v>
      </c>
      <c r="O15" s="329">
        <f>SUM(C15:N15)</f>
        <v>32226</v>
      </c>
    </row>
    <row r="16" spans="1:15" ht="12.75">
      <c r="A16" s="1">
        <v>4</v>
      </c>
      <c r="B16" t="s">
        <v>669</v>
      </c>
      <c r="C16" s="223">
        <v>0</v>
      </c>
      <c r="D16" s="223">
        <v>0</v>
      </c>
      <c r="E16" s="223">
        <v>0</v>
      </c>
      <c r="F16" s="223">
        <v>0</v>
      </c>
      <c r="G16" s="223">
        <v>0</v>
      </c>
      <c r="H16" s="223">
        <v>0</v>
      </c>
      <c r="I16" s="223">
        <v>7680</v>
      </c>
      <c r="J16" s="223">
        <v>147.5</v>
      </c>
      <c r="K16" s="223">
        <v>147.5</v>
      </c>
      <c r="L16" s="223">
        <v>220</v>
      </c>
      <c r="M16" s="223">
        <v>182.5</v>
      </c>
      <c r="N16" s="223">
        <v>182.5</v>
      </c>
      <c r="O16" s="330">
        <f t="shared" si="0" ref="O16:O17">SUM(C16:N16)</f>
        <v>8560</v>
      </c>
    </row>
    <row r="17" spans="1:15" ht="12.75">
      <c r="A17" s="1">
        <v>5</v>
      </c>
      <c r="B17" t="s">
        <v>1006</v>
      </c>
      <c r="C17" s="223">
        <v>0</v>
      </c>
      <c r="D17" s="223">
        <v>0</v>
      </c>
      <c r="E17" s="223">
        <v>0</v>
      </c>
      <c r="F17" s="223">
        <v>0</v>
      </c>
      <c r="G17" s="223">
        <v>0</v>
      </c>
      <c r="H17" s="223">
        <v>0</v>
      </c>
      <c r="I17" s="223">
        <v>0</v>
      </c>
      <c r="J17" s="223">
        <v>0</v>
      </c>
      <c r="K17" s="223">
        <v>0</v>
      </c>
      <c r="L17" s="223">
        <v>0</v>
      </c>
      <c r="M17" s="223">
        <v>0</v>
      </c>
      <c r="N17" s="223">
        <v>39600</v>
      </c>
      <c r="O17" s="330">
        <f t="shared" si="0"/>
        <v>39600</v>
      </c>
    </row>
    <row r="18" spans="1:15" ht="13.5" thickBot="1">
      <c r="A18" s="1">
        <v>6</v>
      </c>
      <c r="B18" s="206" t="s">
        <v>670</v>
      </c>
      <c r="C18" s="273">
        <f>SUM(C15:C17)</f>
        <v>0</v>
      </c>
      <c r="D18" s="273">
        <f t="shared" si="1" ref="D18:O18">SUM(D15:D17)</f>
        <v>0</v>
      </c>
      <c r="E18" s="273">
        <f t="shared" si="1"/>
        <v>0</v>
      </c>
      <c r="F18" s="273">
        <f t="shared" si="1"/>
        <v>0</v>
      </c>
      <c r="G18" s="273">
        <f t="shared" si="1"/>
        <v>0</v>
      </c>
      <c r="H18" s="273">
        <f t="shared" si="1"/>
        <v>8316</v>
      </c>
      <c r="I18" s="273">
        <f t="shared" si="1"/>
        <v>9030</v>
      </c>
      <c r="J18" s="273">
        <f t="shared" si="1"/>
        <v>147.5</v>
      </c>
      <c r="K18" s="273">
        <f t="shared" si="1"/>
        <v>1827.5</v>
      </c>
      <c r="L18" s="273">
        <f t="shared" si="1"/>
        <v>220</v>
      </c>
      <c r="M18" s="273">
        <f t="shared" si="1"/>
        <v>182.5</v>
      </c>
      <c r="N18" s="273">
        <f t="shared" si="1"/>
        <v>60662.5</v>
      </c>
      <c r="O18" s="331">
        <f t="shared" si="1"/>
        <v>80386</v>
      </c>
    </row>
    <row r="19" spans="1:15" ht="13.5" thickTop="1">
      <c r="A19" s="1">
        <v>7</v>
      </c>
      <c r="C19" s="223"/>
      <c r="D19" s="223"/>
      <c r="E19" s="223"/>
      <c r="F19" s="223"/>
      <c r="G19" s="223"/>
      <c r="H19" s="223"/>
      <c r="I19" s="223"/>
      <c r="J19" s="223"/>
      <c r="K19" s="223"/>
      <c r="L19" s="223"/>
      <c r="M19" s="223"/>
      <c r="N19" s="223"/>
      <c r="O19" s="330"/>
    </row>
    <row r="20" spans="1:15" ht="12.75">
      <c r="A20" s="1">
        <v>8</v>
      </c>
      <c r="B20" s="206" t="s">
        <v>62</v>
      </c>
      <c r="C20" s="223"/>
      <c r="D20" s="223"/>
      <c r="E20" s="223"/>
      <c r="F20" s="223"/>
      <c r="G20" s="223"/>
      <c r="H20" s="223"/>
      <c r="I20" s="223"/>
      <c r="J20" s="223"/>
      <c r="K20" s="223"/>
      <c r="L20" s="223"/>
      <c r="M20" s="223"/>
      <c r="N20" s="223"/>
      <c r="O20" s="330"/>
    </row>
    <row r="21" spans="1:15" ht="12.75">
      <c r="A21" s="1">
        <v>9</v>
      </c>
      <c r="B21" t="s">
        <v>671</v>
      </c>
      <c r="C21" s="250">
        <v>8628.75</v>
      </c>
      <c r="D21" s="250">
        <v>8700.9000000000015</v>
      </c>
      <c r="E21" s="250">
        <v>8523.4500000000007</v>
      </c>
      <c r="F21" s="250">
        <v>44848</v>
      </c>
      <c r="G21" s="250">
        <v>8529.2999999999993</v>
      </c>
      <c r="H21" s="250">
        <v>8574.1499999999996</v>
      </c>
      <c r="I21" s="250">
        <v>8609.25</v>
      </c>
      <c r="J21" s="250">
        <v>8675.5499999999993</v>
      </c>
      <c r="K21" s="250">
        <v>8636.5499999999993</v>
      </c>
      <c r="L21" s="250">
        <v>8599.5</v>
      </c>
      <c r="M21" s="250">
        <v>9291</v>
      </c>
      <c r="N21" s="250">
        <v>8724.2999999999993</v>
      </c>
      <c r="O21" s="329">
        <f>SUM(C21:N21)</f>
        <v>140340.70000000001</v>
      </c>
    </row>
    <row r="22" spans="1:15" ht="12.75">
      <c r="A22" s="1">
        <v>10</v>
      </c>
      <c r="C22" s="223"/>
      <c r="D22" s="223"/>
      <c r="E22" s="223"/>
      <c r="F22" s="223"/>
      <c r="G22" s="223"/>
      <c r="H22" s="223"/>
      <c r="I22" s="223"/>
      <c r="J22" s="223"/>
      <c r="K22" s="223"/>
      <c r="L22" s="223"/>
      <c r="M22" s="223"/>
      <c r="N22" s="223"/>
      <c r="O22" s="330"/>
    </row>
    <row r="23" spans="1:15" ht="12.75">
      <c r="A23" s="1">
        <v>11</v>
      </c>
      <c r="B23" s="206" t="s">
        <v>624</v>
      </c>
      <c r="C23" s="223"/>
      <c r="D23" s="223"/>
      <c r="E23" s="223"/>
      <c r="F23" s="223"/>
      <c r="G23" s="223"/>
      <c r="H23" s="223"/>
      <c r="I23" s="223"/>
      <c r="J23" s="223"/>
      <c r="K23" s="223"/>
      <c r="L23" s="223"/>
      <c r="M23" s="223"/>
      <c r="N23" s="223"/>
      <c r="O23" s="330"/>
    </row>
    <row r="24" spans="1:15" ht="12.75">
      <c r="A24" s="1">
        <v>12</v>
      </c>
      <c r="B24" t="s">
        <v>672</v>
      </c>
      <c r="C24" s="250">
        <v>94739</v>
      </c>
      <c r="D24" s="250">
        <v>0</v>
      </c>
      <c r="E24" s="250">
        <v>0</v>
      </c>
      <c r="F24" s="250">
        <v>0</v>
      </c>
      <c r="G24" s="250">
        <v>0</v>
      </c>
      <c r="H24" s="250">
        <v>0</v>
      </c>
      <c r="I24" s="250">
        <v>84330</v>
      </c>
      <c r="J24" s="250">
        <v>0</v>
      </c>
      <c r="K24" s="250">
        <v>13273</v>
      </c>
      <c r="L24" s="250">
        <v>0</v>
      </c>
      <c r="M24" s="250">
        <v>3230</v>
      </c>
      <c r="N24" s="250">
        <v>0</v>
      </c>
      <c r="O24" s="329">
        <f>SUM(C24:N24)</f>
        <v>195572</v>
      </c>
    </row>
    <row r="25" spans="1:15" ht="12.75">
      <c r="A25" s="1">
        <v>13</v>
      </c>
      <c r="C25" s="223"/>
      <c r="D25" s="223"/>
      <c r="E25" s="223"/>
      <c r="F25" s="223"/>
      <c r="G25" s="223"/>
      <c r="H25" s="223"/>
      <c r="I25" s="223"/>
      <c r="J25" s="223"/>
      <c r="K25" s="223"/>
      <c r="L25" s="223"/>
      <c r="M25" s="223"/>
      <c r="N25" s="223"/>
      <c r="O25" s="330"/>
    </row>
    <row r="26" spans="1:15" ht="12.75">
      <c r="A26" s="1">
        <v>14</v>
      </c>
      <c r="B26" s="206" t="s">
        <v>673</v>
      </c>
      <c r="C26" s="223"/>
      <c r="D26" s="223"/>
      <c r="E26" s="223"/>
      <c r="F26" s="223"/>
      <c r="G26" s="223"/>
      <c r="H26" s="223"/>
      <c r="I26" s="223"/>
      <c r="J26" s="223"/>
      <c r="K26" s="223"/>
      <c r="L26" s="223"/>
      <c r="M26" s="223"/>
      <c r="N26" s="223"/>
      <c r="O26" s="330"/>
    </row>
    <row r="27" spans="1:15" ht="12.75">
      <c r="A27" s="1">
        <v>15</v>
      </c>
      <c r="B27" t="s">
        <v>674</v>
      </c>
      <c r="C27" s="250">
        <v>0</v>
      </c>
      <c r="D27" s="250">
        <v>0</v>
      </c>
      <c r="E27" s="250">
        <v>0</v>
      </c>
      <c r="F27" s="250">
        <v>3731</v>
      </c>
      <c r="G27" s="250">
        <v>3609</v>
      </c>
      <c r="H27" s="250">
        <v>4134</v>
      </c>
      <c r="I27" s="250">
        <v>0</v>
      </c>
      <c r="J27" s="250">
        <v>8694</v>
      </c>
      <c r="K27" s="250">
        <v>6582</v>
      </c>
      <c r="L27" s="250">
        <v>6700</v>
      </c>
      <c r="M27" s="250">
        <v>0</v>
      </c>
      <c r="N27" s="250">
        <v>7844</v>
      </c>
      <c r="O27" s="329">
        <f t="shared" si="2" ref="O27:O28">SUM(C27:N27)</f>
        <v>41294</v>
      </c>
    </row>
    <row r="28" spans="1:15" ht="12.75">
      <c r="A28" s="1">
        <v>16</v>
      </c>
      <c r="B28" t="s">
        <v>675</v>
      </c>
      <c r="C28" s="223">
        <v>0</v>
      </c>
      <c r="D28" s="223">
        <v>0</v>
      </c>
      <c r="E28" s="223">
        <v>0</v>
      </c>
      <c r="F28" s="223">
        <v>0</v>
      </c>
      <c r="G28" s="223">
        <v>0</v>
      </c>
      <c r="H28" s="223">
        <v>0</v>
      </c>
      <c r="I28" s="223">
        <v>0</v>
      </c>
      <c r="J28" s="223">
        <v>0</v>
      </c>
      <c r="K28" s="223">
        <v>0</v>
      </c>
      <c r="L28" s="223">
        <v>0</v>
      </c>
      <c r="M28" s="223">
        <v>0</v>
      </c>
      <c r="N28" s="223">
        <v>0</v>
      </c>
      <c r="O28" s="330">
        <f t="shared" si="2"/>
        <v>0</v>
      </c>
    </row>
    <row r="29" spans="1:15" ht="13.5" thickBot="1">
      <c r="A29" s="1">
        <v>17</v>
      </c>
      <c r="B29" s="206" t="s">
        <v>676</v>
      </c>
      <c r="C29" s="273">
        <f>SUM(C27:C28)</f>
        <v>0</v>
      </c>
      <c r="D29" s="273">
        <f t="shared" si="3" ref="D29:O29">SUM(D27:D28)</f>
        <v>0</v>
      </c>
      <c r="E29" s="273">
        <f t="shared" si="3"/>
        <v>0</v>
      </c>
      <c r="F29" s="273">
        <f t="shared" si="3"/>
        <v>3731</v>
      </c>
      <c r="G29" s="273">
        <f t="shared" si="3"/>
        <v>3609</v>
      </c>
      <c r="H29" s="273">
        <f t="shared" si="3"/>
        <v>4134</v>
      </c>
      <c r="I29" s="273">
        <f t="shared" si="3"/>
        <v>0</v>
      </c>
      <c r="J29" s="273">
        <f t="shared" si="3"/>
        <v>8694</v>
      </c>
      <c r="K29" s="273">
        <f t="shared" si="3"/>
        <v>6582</v>
      </c>
      <c r="L29" s="273">
        <f t="shared" si="3"/>
        <v>6700</v>
      </c>
      <c r="M29" s="273">
        <f t="shared" si="3"/>
        <v>0</v>
      </c>
      <c r="N29" s="273">
        <f t="shared" si="3"/>
        <v>7844</v>
      </c>
      <c r="O29" s="331">
        <f t="shared" si="3"/>
        <v>41294</v>
      </c>
    </row>
    <row r="30" spans="1:15" ht="13.5" thickTop="1">
      <c r="A30" s="1">
        <v>18</v>
      </c>
      <c r="C30" s="223"/>
      <c r="D30" s="223"/>
      <c r="E30" s="223"/>
      <c r="F30" s="223"/>
      <c r="G30" s="223"/>
      <c r="H30" s="223"/>
      <c r="I30" s="223"/>
      <c r="J30" s="223"/>
      <c r="K30" s="223"/>
      <c r="L30" s="223"/>
      <c r="M30" s="223"/>
      <c r="N30" s="223"/>
      <c r="O30" s="330"/>
    </row>
    <row r="31" spans="1:15" ht="12.75">
      <c r="A31" s="1">
        <v>19</v>
      </c>
      <c r="B31" s="206" t="s">
        <v>677</v>
      </c>
      <c r="C31" s="223"/>
      <c r="D31" s="223"/>
      <c r="E31" s="223"/>
      <c r="F31" s="223"/>
      <c r="G31" s="223"/>
      <c r="H31" s="223"/>
      <c r="I31" s="223"/>
      <c r="J31" s="223"/>
      <c r="K31" s="223"/>
      <c r="L31" s="223"/>
      <c r="M31" s="223"/>
      <c r="N31" s="223"/>
      <c r="O31" s="330"/>
    </row>
    <row r="32" spans="1:15" ht="12.75">
      <c r="A32" s="1">
        <v>20</v>
      </c>
      <c r="B32" t="s">
        <v>678</v>
      </c>
      <c r="C32" s="250">
        <v>0</v>
      </c>
      <c r="D32" s="250">
        <v>0</v>
      </c>
      <c r="E32" s="250">
        <v>100000</v>
      </c>
      <c r="F32" s="250">
        <v>0</v>
      </c>
      <c r="G32" s="250">
        <v>0</v>
      </c>
      <c r="H32" s="250">
        <v>100000</v>
      </c>
      <c r="I32" s="250">
        <v>0</v>
      </c>
      <c r="J32" s="250">
        <v>0</v>
      </c>
      <c r="K32" s="250">
        <v>100000</v>
      </c>
      <c r="L32" s="250">
        <v>0</v>
      </c>
      <c r="M32" s="250">
        <v>0</v>
      </c>
      <c r="N32" s="250">
        <v>100000</v>
      </c>
      <c r="O32" s="329">
        <f>SUM(C32:N32)</f>
        <v>400000</v>
      </c>
    </row>
    <row r="33" spans="1:15" ht="12.75">
      <c r="A33" s="1">
        <v>21</v>
      </c>
      <c r="C33" s="223"/>
      <c r="D33" s="223"/>
      <c r="E33" s="223"/>
      <c r="F33" s="223"/>
      <c r="G33" s="223"/>
      <c r="H33" s="223"/>
      <c r="I33" s="223"/>
      <c r="J33" s="223"/>
      <c r="K33" s="223"/>
      <c r="L33" s="223"/>
      <c r="M33" s="223"/>
      <c r="N33" s="223"/>
      <c r="O33" s="330"/>
    </row>
    <row r="34" spans="1:15" ht="12.75">
      <c r="A34" s="1">
        <v>22</v>
      </c>
      <c r="B34" s="206" t="s">
        <v>679</v>
      </c>
      <c r="C34" s="223"/>
      <c r="D34" s="223"/>
      <c r="E34" s="223"/>
      <c r="F34" s="223"/>
      <c r="G34" s="223"/>
      <c r="H34" s="223"/>
      <c r="I34" s="223"/>
      <c r="J34" s="223"/>
      <c r="K34" s="223"/>
      <c r="L34" s="223"/>
      <c r="M34" s="223"/>
      <c r="N34" s="223"/>
      <c r="O34" s="330"/>
    </row>
    <row r="35" spans="1:15" ht="12.75">
      <c r="A35" s="1">
        <v>23</v>
      </c>
      <c r="B35" t="s">
        <v>680</v>
      </c>
      <c r="C35" s="250">
        <v>2255849</v>
      </c>
      <c r="D35" s="250">
        <v>8437</v>
      </c>
      <c r="E35" s="250">
        <v>337116</v>
      </c>
      <c r="F35" s="250">
        <v>124155.58</v>
      </c>
      <c r="G35" s="250">
        <v>2252</v>
      </c>
      <c r="H35" s="250">
        <v>351902.88</v>
      </c>
      <c r="I35" s="250">
        <v>4650</v>
      </c>
      <c r="J35" s="250">
        <v>5600</v>
      </c>
      <c r="K35" s="250">
        <v>281649.02000000002</v>
      </c>
      <c r="L35" s="250">
        <v>5714</v>
      </c>
      <c r="M35" s="250">
        <v>245130.5</v>
      </c>
      <c r="N35" s="250">
        <v>4648</v>
      </c>
      <c r="O35" s="329">
        <f t="shared" si="4" ref="O35:O37">SUM(C35:N35)</f>
        <v>3627103.98</v>
      </c>
    </row>
    <row r="36" spans="1:15" ht="12.75">
      <c r="A36" s="1">
        <v>24</v>
      </c>
      <c r="B36" s="183" t="s">
        <v>747</v>
      </c>
      <c r="C36" s="223">
        <v>0</v>
      </c>
      <c r="D36" s="223">
        <v>0</v>
      </c>
      <c r="E36" s="223">
        <v>21437.5</v>
      </c>
      <c r="F36" s="223">
        <v>22859.77</v>
      </c>
      <c r="G36" s="223">
        <v>0</v>
      </c>
      <c r="H36" s="223">
        <v>0</v>
      </c>
      <c r="I36" s="223">
        <v>22175</v>
      </c>
      <c r="J36" s="223">
        <v>0</v>
      </c>
      <c r="K36" s="223">
        <v>0</v>
      </c>
      <c r="L36" s="223">
        <v>0</v>
      </c>
      <c r="M36" s="223">
        <v>21890.25</v>
      </c>
      <c r="N36" s="223">
        <v>0</v>
      </c>
      <c r="O36" s="330">
        <f t="shared" si="4"/>
        <v>88362.520000000004</v>
      </c>
    </row>
    <row r="37" spans="1:15" ht="12.75">
      <c r="A37" s="1">
        <v>25</v>
      </c>
      <c r="B37" t="s">
        <v>681</v>
      </c>
      <c r="C37" s="223">
        <v>1091.27</v>
      </c>
      <c r="D37" s="223">
        <v>0</v>
      </c>
      <c r="E37" s="223">
        <v>18562.25</v>
      </c>
      <c r="F37" s="223">
        <v>-4504.4799999999987</v>
      </c>
      <c r="G37" s="223">
        <v>-23299.779999999999</v>
      </c>
      <c r="H37" s="223">
        <v>22193.75</v>
      </c>
      <c r="I37" s="223">
        <v>106.25</v>
      </c>
      <c r="J37" s="223">
        <v>-22883</v>
      </c>
      <c r="K37" s="223">
        <v>22066.779999999999</v>
      </c>
      <c r="L37" s="223">
        <v>-91</v>
      </c>
      <c r="M37" s="223">
        <v>-22629.75</v>
      </c>
      <c r="N37" s="223">
        <v>24340.57</v>
      </c>
      <c r="O37" s="330">
        <f t="shared" si="4"/>
        <v>14952.860000000001</v>
      </c>
    </row>
    <row r="38" spans="1:15" ht="13.5" thickBot="1">
      <c r="A38" s="1">
        <v>26</v>
      </c>
      <c r="B38" s="206" t="s">
        <v>682</v>
      </c>
      <c r="C38" s="273">
        <f t="shared" si="5" ref="C38:O38">SUM(C35:C37)</f>
        <v>2256940.27</v>
      </c>
      <c r="D38" s="273">
        <f t="shared" si="5"/>
        <v>8437</v>
      </c>
      <c r="E38" s="273">
        <f t="shared" si="5"/>
        <v>377115.75</v>
      </c>
      <c r="F38" s="273">
        <f t="shared" si="5"/>
        <v>142510.87</v>
      </c>
      <c r="G38" s="273">
        <f t="shared" si="5"/>
        <v>-21047.779999999999</v>
      </c>
      <c r="H38" s="273">
        <f t="shared" si="5"/>
        <v>374096.63</v>
      </c>
      <c r="I38" s="273">
        <f t="shared" si="5"/>
        <v>26931.25</v>
      </c>
      <c r="J38" s="273">
        <f t="shared" si="5"/>
        <v>-17283</v>
      </c>
      <c r="K38" s="273">
        <f t="shared" si="5"/>
        <v>303715.80000000005</v>
      </c>
      <c r="L38" s="273">
        <f t="shared" si="5"/>
        <v>5623</v>
      </c>
      <c r="M38" s="273">
        <f t="shared" si="5"/>
        <v>244391</v>
      </c>
      <c r="N38" s="273">
        <f t="shared" si="5"/>
        <v>28988.57</v>
      </c>
      <c r="O38" s="331">
        <f t="shared" si="5"/>
        <v>3730419.3599999999</v>
      </c>
    </row>
    <row r="39" spans="1:15" ht="13.5" thickTop="1">
      <c r="A39" s="1">
        <v>27</v>
      </c>
      <c r="C39" s="223"/>
      <c r="D39" s="223"/>
      <c r="E39" s="223"/>
      <c r="F39" s="223"/>
      <c r="G39" s="223"/>
      <c r="H39" s="223"/>
      <c r="I39" s="223"/>
      <c r="J39" s="223"/>
      <c r="K39" s="223"/>
      <c r="L39" s="223"/>
      <c r="M39" s="223"/>
      <c r="N39" s="223"/>
      <c r="O39" s="330"/>
    </row>
    <row r="40" spans="1:15" ht="12.75">
      <c r="A40" s="1">
        <v>28</v>
      </c>
      <c r="B40" s="206" t="s">
        <v>17</v>
      </c>
      <c r="C40" s="223"/>
      <c r="D40" s="223"/>
      <c r="E40" s="223"/>
      <c r="F40" s="223"/>
      <c r="G40" s="223"/>
      <c r="H40" s="223"/>
      <c r="I40" s="223"/>
      <c r="J40" s="223"/>
      <c r="K40" s="223"/>
      <c r="L40" s="223"/>
      <c r="M40" s="223"/>
      <c r="N40" s="223"/>
      <c r="O40" s="330"/>
    </row>
    <row r="41" spans="1:15" ht="12.75">
      <c r="A41" s="1">
        <v>29</v>
      </c>
      <c r="B41" t="s">
        <v>681</v>
      </c>
      <c r="C41" s="250">
        <v>0</v>
      </c>
      <c r="D41" s="250">
        <v>61850.270000000004</v>
      </c>
      <c r="E41" s="250">
        <v>0</v>
      </c>
      <c r="F41" s="250">
        <v>124215.74000000001</v>
      </c>
      <c r="G41" s="250">
        <v>11248.280000000001</v>
      </c>
      <c r="H41" s="250">
        <v>0</v>
      </c>
      <c r="I41" s="250">
        <v>13864.360000000001</v>
      </c>
      <c r="J41" s="250">
        <v>4422.4799999999996</v>
      </c>
      <c r="K41" s="250">
        <v>0</v>
      </c>
      <c r="L41" s="250">
        <v>9470.2000000000007</v>
      </c>
      <c r="M41" s="250">
        <v>0</v>
      </c>
      <c r="N41" s="250">
        <v>0</v>
      </c>
      <c r="O41" s="329">
        <f>SUM(C41:N41)</f>
        <v>225071.33000000005</v>
      </c>
    </row>
    <row r="42" spans="1:15" ht="12.75">
      <c r="A42" s="1">
        <v>30</v>
      </c>
      <c r="C42" s="223"/>
      <c r="D42" s="223"/>
      <c r="E42" s="223"/>
      <c r="F42" s="223"/>
      <c r="G42" s="223"/>
      <c r="H42" s="223"/>
      <c r="I42" s="223"/>
      <c r="J42" s="223"/>
      <c r="K42" s="223"/>
      <c r="L42" s="223"/>
      <c r="M42" s="223"/>
      <c r="N42" s="223"/>
      <c r="O42" s="330"/>
    </row>
    <row r="43" spans="1:15" ht="12.75">
      <c r="A43" s="1">
        <v>31</v>
      </c>
      <c r="B43" s="206" t="s">
        <v>192</v>
      </c>
      <c r="C43" s="223"/>
      <c r="D43" s="223"/>
      <c r="E43" s="223"/>
      <c r="F43" s="223"/>
      <c r="G43" s="223"/>
      <c r="H43" s="223"/>
      <c r="I43" s="223"/>
      <c r="J43" s="223"/>
      <c r="K43" s="223"/>
      <c r="L43" s="223"/>
      <c r="M43" s="223"/>
      <c r="N43" s="223"/>
      <c r="O43" s="330"/>
    </row>
    <row r="44" spans="1:15" ht="12.75">
      <c r="A44" s="1">
        <v>32</v>
      </c>
      <c r="B44" t="s">
        <v>683</v>
      </c>
      <c r="C44" s="250">
        <v>0</v>
      </c>
      <c r="D44" s="250">
        <v>17933.579999999998</v>
      </c>
      <c r="E44" s="250">
        <v>0</v>
      </c>
      <c r="F44" s="250">
        <v>0</v>
      </c>
      <c r="G44" s="250">
        <v>10089.76</v>
      </c>
      <c r="H44" s="250">
        <v>7557.3299999999999</v>
      </c>
      <c r="I44" s="250">
        <v>20033.32</v>
      </c>
      <c r="J44" s="250">
        <v>19510.480000000003</v>
      </c>
      <c r="K44" s="250">
        <v>5752.04</v>
      </c>
      <c r="L44" s="250">
        <v>0</v>
      </c>
      <c r="M44" s="250">
        <v>7195.0600000000004</v>
      </c>
      <c r="N44" s="250">
        <v>2073.9099999999999</v>
      </c>
      <c r="O44" s="329">
        <f t="shared" si="6" ref="O44">SUM(C44:N44)</f>
        <v>90145.479999999996</v>
      </c>
    </row>
    <row r="45" spans="1:15" ht="12.75">
      <c r="A45" s="1">
        <v>33</v>
      </c>
      <c r="C45" s="223"/>
      <c r="D45" s="223"/>
      <c r="E45" s="223"/>
      <c r="F45" s="223"/>
      <c r="G45" s="223"/>
      <c r="H45" s="223"/>
      <c r="I45" s="223"/>
      <c r="J45" s="223"/>
      <c r="K45" s="223"/>
      <c r="L45" s="223"/>
      <c r="M45" s="223"/>
      <c r="N45" s="223"/>
      <c r="O45" s="330"/>
    </row>
    <row r="46" spans="1:15" ht="12.75">
      <c r="A46" s="1">
        <v>34</v>
      </c>
      <c r="B46" s="206" t="s">
        <v>684</v>
      </c>
      <c r="C46" s="223"/>
      <c r="D46" s="223"/>
      <c r="E46" s="223"/>
      <c r="F46" s="223"/>
      <c r="G46" s="223"/>
      <c r="H46" s="223"/>
      <c r="I46" s="223"/>
      <c r="J46" s="223"/>
      <c r="K46" s="223"/>
      <c r="L46" s="223"/>
      <c r="M46" s="223"/>
      <c r="N46" s="223"/>
      <c r="O46" s="330"/>
    </row>
    <row r="47" spans="1:15" ht="12.75">
      <c r="A47" s="1">
        <v>35</v>
      </c>
      <c r="B47" t="s">
        <v>681</v>
      </c>
      <c r="C47" s="250">
        <v>1867616.72</v>
      </c>
      <c r="D47" s="250">
        <v>1931470.4400000002</v>
      </c>
      <c r="E47" s="250">
        <v>1948442.6000000001</v>
      </c>
      <c r="F47" s="250">
        <v>2205876.3000000003</v>
      </c>
      <c r="G47" s="250">
        <v>1955132.7699999998</v>
      </c>
      <c r="H47" s="250">
        <v>1962973.7199999997</v>
      </c>
      <c r="I47" s="250">
        <v>1978420.8400000001</v>
      </c>
      <c r="J47" s="250">
        <v>2103819.0900000003</v>
      </c>
      <c r="K47" s="250">
        <v>1973865.28</v>
      </c>
      <c r="L47" s="250">
        <v>1951350.5500000001</v>
      </c>
      <c r="M47" s="250">
        <v>1989664.1299999999</v>
      </c>
      <c r="N47" s="250">
        <v>2130146.79</v>
      </c>
      <c r="O47" s="329">
        <f>SUM(C47:N47)</f>
        <v>23998779.23</v>
      </c>
    </row>
    <row r="48" spans="1:15" ht="12.75">
      <c r="A48" s="1">
        <v>36</v>
      </c>
      <c r="C48" s="223"/>
      <c r="D48" s="223"/>
      <c r="E48" s="223"/>
      <c r="F48" s="223"/>
      <c r="G48" s="223"/>
      <c r="H48" s="223"/>
      <c r="I48" s="223"/>
      <c r="J48" s="223"/>
      <c r="K48" s="223"/>
      <c r="L48" s="223"/>
      <c r="M48" s="223"/>
      <c r="N48" s="223"/>
      <c r="O48" s="330"/>
    </row>
    <row r="49" spans="1:15" ht="12.75">
      <c r="A49" s="1">
        <v>37</v>
      </c>
      <c r="B49" s="206" t="s">
        <v>609</v>
      </c>
      <c r="C49" s="223"/>
      <c r="D49" s="223"/>
      <c r="E49" s="223"/>
      <c r="F49" s="223"/>
      <c r="G49" s="223"/>
      <c r="H49" s="223"/>
      <c r="I49" s="223"/>
      <c r="J49" s="223"/>
      <c r="K49" s="223"/>
      <c r="L49" s="223"/>
      <c r="M49" s="223"/>
      <c r="N49" s="223"/>
      <c r="O49" s="330"/>
    </row>
    <row r="50" spans="1:15" ht="12.75">
      <c r="A50" s="1">
        <v>38</v>
      </c>
      <c r="B50" t="s">
        <v>680</v>
      </c>
      <c r="C50" s="250">
        <v>139049.96000000002</v>
      </c>
      <c r="D50" s="250">
        <v>38338.279999999999</v>
      </c>
      <c r="E50" s="250">
        <v>53749.93</v>
      </c>
      <c r="F50" s="250">
        <v>21873.009999999998</v>
      </c>
      <c r="G50" s="250">
        <v>121044.28999999998</v>
      </c>
      <c r="H50" s="250">
        <v>84637.279999999999</v>
      </c>
      <c r="I50" s="250">
        <v>63843.849999999991</v>
      </c>
      <c r="J50" s="250">
        <v>41841.089999999997</v>
      </c>
      <c r="K50" s="250">
        <v>34264.739999999998</v>
      </c>
      <c r="L50" s="250">
        <v>30067.84</v>
      </c>
      <c r="M50" s="250">
        <v>19042.169999999998</v>
      </c>
      <c r="N50" s="250">
        <v>72725.709999999992</v>
      </c>
      <c r="O50" s="329">
        <f>SUM(C50:N50)</f>
        <v>720478.14999999991</v>
      </c>
    </row>
    <row r="51" spans="1:15" ht="12.75">
      <c r="A51" s="1">
        <v>39</v>
      </c>
      <c r="C51" s="223"/>
      <c r="D51" s="223"/>
      <c r="E51" s="223"/>
      <c r="F51" s="223"/>
      <c r="G51" s="223"/>
      <c r="H51" s="223"/>
      <c r="I51" s="223"/>
      <c r="J51" s="223"/>
      <c r="K51" s="223"/>
      <c r="L51" s="223"/>
      <c r="M51" s="223"/>
      <c r="N51" s="223"/>
      <c r="O51" s="330"/>
    </row>
    <row r="52" spans="1:15" ht="12.75">
      <c r="A52" s="1">
        <v>40</v>
      </c>
      <c r="B52" s="206" t="s">
        <v>685</v>
      </c>
      <c r="C52" s="223"/>
      <c r="D52" s="223"/>
      <c r="E52" s="223"/>
      <c r="F52" s="223"/>
      <c r="G52" s="223"/>
      <c r="H52" s="223"/>
      <c r="I52" s="223"/>
      <c r="J52" s="223"/>
      <c r="K52" s="223"/>
      <c r="L52" s="223"/>
      <c r="M52" s="223"/>
      <c r="N52" s="223"/>
      <c r="O52" s="330"/>
    </row>
    <row r="53" spans="1:15" ht="12.75">
      <c r="A53" s="1">
        <v>41</v>
      </c>
      <c r="B53" t="s">
        <v>686</v>
      </c>
      <c r="C53" s="250">
        <v>8563.2600000000002</v>
      </c>
      <c r="D53" s="250">
        <v>1443.98</v>
      </c>
      <c r="E53" s="250">
        <v>842.27999999999997</v>
      </c>
      <c r="F53" s="250">
        <v>2155.5599999999999</v>
      </c>
      <c r="G53" s="250">
        <v>1662.2000000000001</v>
      </c>
      <c r="H53" s="250">
        <v>1908.8000000000002</v>
      </c>
      <c r="I53" s="250">
        <v>2994.3899999999999</v>
      </c>
      <c r="J53" s="250">
        <v>3097.8800000000001</v>
      </c>
      <c r="K53" s="250">
        <v>10095.440000000001</v>
      </c>
      <c r="L53" s="250">
        <v>55486.200000000004</v>
      </c>
      <c r="M53" s="250">
        <v>6480.9200000000001</v>
      </c>
      <c r="N53" s="250">
        <v>43333.029999999999</v>
      </c>
      <c r="O53" s="329">
        <f t="shared" si="7" ref="O53:O55">SUM(C53:N53)</f>
        <v>138063.94</v>
      </c>
    </row>
    <row r="54" spans="1:15" ht="12.75">
      <c r="A54" s="1">
        <v>42</v>
      </c>
      <c r="B54" s="183" t="s">
        <v>749</v>
      </c>
      <c r="C54" s="223">
        <v>7675</v>
      </c>
      <c r="D54" s="223">
        <v>0</v>
      </c>
      <c r="E54" s="223">
        <v>4550</v>
      </c>
      <c r="F54" s="223">
        <v>1345</v>
      </c>
      <c r="G54" s="223">
        <v>2945</v>
      </c>
      <c r="H54" s="223">
        <v>2105</v>
      </c>
      <c r="I54" s="223">
        <v>1570</v>
      </c>
      <c r="J54" s="223">
        <v>9985</v>
      </c>
      <c r="K54" s="223">
        <v>3535</v>
      </c>
      <c r="L54" s="223">
        <v>3413.6500000000001</v>
      </c>
      <c r="M54" s="223">
        <v>2355</v>
      </c>
      <c r="N54" s="223">
        <v>3565</v>
      </c>
      <c r="O54" s="330">
        <f t="shared" si="7"/>
        <v>43043.650000000001</v>
      </c>
    </row>
    <row r="55" spans="1:15" ht="12.75">
      <c r="A55" s="1">
        <v>43</v>
      </c>
      <c r="B55" t="s">
        <v>687</v>
      </c>
      <c r="C55" s="223">
        <v>191400</v>
      </c>
      <c r="D55" s="223">
        <v>0</v>
      </c>
      <c r="E55" s="223">
        <v>0</v>
      </c>
      <c r="F55" s="223">
        <v>30000</v>
      </c>
      <c r="G55" s="223">
        <v>0</v>
      </c>
      <c r="H55" s="223">
        <v>0</v>
      </c>
      <c r="I55" s="223">
        <v>175950</v>
      </c>
      <c r="J55" s="223">
        <v>0</v>
      </c>
      <c r="K55" s="223">
        <v>200</v>
      </c>
      <c r="L55" s="223">
        <v>223700</v>
      </c>
      <c r="M55" s="223">
        <v>0</v>
      </c>
      <c r="N55" s="223">
        <v>26901</v>
      </c>
      <c r="O55" s="330">
        <f t="shared" si="7"/>
        <v>648151</v>
      </c>
    </row>
    <row r="56" spans="1:15" ht="13.5" thickBot="1">
      <c r="A56" s="1">
        <v>44</v>
      </c>
      <c r="B56" s="206" t="s">
        <v>689</v>
      </c>
      <c r="C56" s="273">
        <f t="shared" si="8" ref="C56:O56">SUM(C53:C55)</f>
        <v>207638.26000000001</v>
      </c>
      <c r="D56" s="273">
        <f t="shared" si="8"/>
        <v>1443.98</v>
      </c>
      <c r="E56" s="273">
        <f t="shared" si="8"/>
        <v>5392.2799999999997</v>
      </c>
      <c r="F56" s="273">
        <f t="shared" si="8"/>
        <v>33500.559999999998</v>
      </c>
      <c r="G56" s="273">
        <f t="shared" si="8"/>
        <v>4607.1999999999998</v>
      </c>
      <c r="H56" s="273">
        <f t="shared" si="8"/>
        <v>4013.8000000000002</v>
      </c>
      <c r="I56" s="273">
        <f t="shared" si="8"/>
        <v>180514.39000000001</v>
      </c>
      <c r="J56" s="273">
        <f t="shared" si="8"/>
        <v>13082.880000000001</v>
      </c>
      <c r="K56" s="273">
        <f t="shared" si="8"/>
        <v>13830.440000000001</v>
      </c>
      <c r="L56" s="273">
        <f t="shared" si="8"/>
        <v>282599.84999999998</v>
      </c>
      <c r="M56" s="273">
        <f t="shared" si="8"/>
        <v>8835.9200000000001</v>
      </c>
      <c r="N56" s="273">
        <f t="shared" si="8"/>
        <v>73799.029999999999</v>
      </c>
      <c r="O56" s="331">
        <f t="shared" si="8"/>
        <v>829258.58999999997</v>
      </c>
    </row>
    <row r="57" spans="1:15" ht="13.5" thickTop="1">
      <c r="A57" s="1">
        <v>45</v>
      </c>
      <c r="C57" s="223"/>
      <c r="D57" s="223"/>
      <c r="E57" s="223"/>
      <c r="F57" s="223"/>
      <c r="G57" s="223"/>
      <c r="H57" s="223"/>
      <c r="I57" s="223"/>
      <c r="J57" s="223"/>
      <c r="K57" s="223"/>
      <c r="L57" s="223"/>
      <c r="M57" s="223"/>
      <c r="N57" s="223"/>
      <c r="O57" s="330"/>
    </row>
    <row r="58" spans="1:15" ht="13.5" thickBot="1">
      <c r="A58" s="1">
        <v>46</v>
      </c>
      <c r="B58" s="206" t="s">
        <v>688</v>
      </c>
      <c r="C58" s="273">
        <f t="shared" si="9" ref="C58:N58">+C18+C21+C24+C29+C32+C38+C41+C44+C47+C50+C56</f>
        <v>4574612.96</v>
      </c>
      <c r="D58" s="273">
        <f t="shared" si="9"/>
        <v>2068174.4500000002</v>
      </c>
      <c r="E58" s="273">
        <f t="shared" si="9"/>
        <v>2493224.0100000002</v>
      </c>
      <c r="F58" s="273">
        <f t="shared" si="9"/>
        <v>2576555.48</v>
      </c>
      <c r="G58" s="273">
        <f t="shared" si="9"/>
        <v>2093212.8199999998</v>
      </c>
      <c r="H58" s="273">
        <f t="shared" si="9"/>
        <v>2554302.9099999992</v>
      </c>
      <c r="I58" s="273">
        <f t="shared" si="9"/>
        <v>2385577.2600000002</v>
      </c>
      <c r="J58" s="273">
        <f t="shared" si="9"/>
        <v>2182910.0699999998</v>
      </c>
      <c r="K58" s="273">
        <f t="shared" si="9"/>
        <v>2461747.3500000001</v>
      </c>
      <c r="L58" s="273">
        <f t="shared" si="9"/>
        <v>2294630.9399999999</v>
      </c>
      <c r="M58" s="273">
        <f t="shared" si="9"/>
        <v>2281831.7799999998</v>
      </c>
      <c r="N58" s="273">
        <f t="shared" si="9"/>
        <v>2484964.8099999996</v>
      </c>
      <c r="O58" s="331">
        <f>+O18+O21+O24+O29+O32+O38+O41+O44+O47+O50+O56</f>
        <v>30451744.84</v>
      </c>
    </row>
    <row r="59" ht="13.5" thickTop="1"/>
  </sheetData>
  <printOptions horizontalCentered="1"/>
  <pageMargins left="0.5" right="0.5" top="3" bottom="0.5" header="1.5" footer="1"/>
  <pageSetup fitToHeight="0" orientation="landscape" scale="65" r:id="rId1"/>
  <headerFooter>
    <oddHeader>&amp;C&amp;B
2022 RATE CASE
ONCOR ELECTRIC DELIVERY COMPANY LLC
II-D-3.7  GENERAL EMPLOYEE BENEFIT INFORMATION - OTHER EMPLOYEE BENEFITS
TEST YEAR ENDING DECEMBER 31, 2021
SPONSORS: W. ALAN LEDBETTER/ A. GUILLORY&amp;R&amp;"Arial,Bold"Schedule &amp;A
Page &amp;P of &amp;N</oddHeader>
  </headerFooter>
  <rowBreaks count="1" manualBreakCount="1">
    <brk id="33" max="14" man="1"/>
  </rowBreak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0">
    <tabColor rgb="FFFF0000"/>
    <pageSetUpPr fitToPage="1"/>
  </sheetPr>
  <dimension ref="A1:K39"/>
  <sheetViews>
    <sheetView workbookViewId="0" topLeftCell="A1">
      <selection pane="topLeft" activeCell="B17" sqref="B17"/>
    </sheetView>
  </sheetViews>
  <sheetFormatPr defaultRowHeight="12.75"/>
  <cols>
    <col min="2" max="2" width="47.2857142857143" bestFit="1" customWidth="1"/>
    <col min="3" max="3" width="1.71428571428571" customWidth="1"/>
    <col min="4" max="4" width="25.2857142857143" bestFit="1" customWidth="1"/>
    <col min="5" max="5" width="15" bestFit="1" customWidth="1"/>
  </cols>
  <sheetData>
    <row r="1" spans="1:1" ht="12.75">
      <c r="A1" s="163" t="str">
        <f>+'[3]Input Data'!$A$9</f>
        <v>2022 RATE CASE</v>
      </c>
    </row>
    <row r="2" spans="1:1" ht="12.75">
      <c r="A2" s="8" t="str">
        <f>+'[3]Input Data'!$A$2</f>
        <v>ONCOR ELECTRIC DELIVERY COMPANY LLC</v>
      </c>
    </row>
    <row r="3" spans="1:1" ht="12.75">
      <c r="A3" s="7" t="str">
        <f>CONCATENATE('[3]Schedule Sponsors'!$A$75,'[3]Schedule Sponsors'!$B$75)</f>
        <v>II-D-3.7  GENERAL EMPLOYEE BENEFIT INFORMATION</v>
      </c>
    </row>
    <row r="4" spans="1:1" ht="12.75">
      <c r="A4" s="63" t="str">
        <f>+'[3]Input Data'!$A$4</f>
        <v>TEST YEAR ENDING DECEMBER 31, 2021</v>
      </c>
    </row>
    <row r="5" spans="1:1" ht="12.75">
      <c r="A5" s="7" t="str">
        <f>CONCATENATE("SPONSORS: ",'[3]Schedule Sponsors'!$D$75)</f>
        <v>SPONSORS: W. ALAN LEDBETTER/ A. GUILLORY</v>
      </c>
    </row>
    <row r="8" spans="2:5" ht="13.5" thickBot="1">
      <c r="B8" s="380" t="s">
        <v>443</v>
      </c>
      <c r="C8" s="380"/>
      <c r="D8" s="380"/>
      <c r="E8" s="380"/>
    </row>
    <row r="10" spans="2:5" s="214" customFormat="1" ht="12.75">
      <c r="B10" s="222" t="s">
        <v>433</v>
      </c>
      <c r="C10" s="222"/>
      <c r="D10" s="222" t="s">
        <v>434</v>
      </c>
      <c r="E10" s="222" t="s">
        <v>435</v>
      </c>
    </row>
    <row r="11" spans="2:5" ht="12.75">
      <c r="B11" s="215" t="s">
        <v>44</v>
      </c>
      <c r="C11" s="1"/>
      <c r="D11" s="215" t="s">
        <v>45</v>
      </c>
      <c r="E11" s="215" t="s">
        <v>74</v>
      </c>
    </row>
    <row r="13" spans="2:5" ht="12.75">
      <c r="B13" s="94" t="s">
        <v>631</v>
      </c>
      <c r="D13" t="s">
        <v>436</v>
      </c>
      <c r="E13" s="272">
        <v>71728087.650000006</v>
      </c>
    </row>
    <row r="14" spans="2:5" ht="12.75">
      <c r="B14" s="94" t="s">
        <v>632</v>
      </c>
      <c r="D14" t="s">
        <v>437</v>
      </c>
      <c r="E14" s="223">
        <v>9270381.5999999996</v>
      </c>
    </row>
    <row r="15" spans="2:5" ht="12.75">
      <c r="B15" s="94" t="s">
        <v>175</v>
      </c>
      <c r="D15" t="s">
        <v>438</v>
      </c>
      <c r="E15" s="223">
        <v>30451744.84</v>
      </c>
    </row>
    <row r="16" spans="2:5" ht="12.75">
      <c r="B16" s="94" t="s">
        <v>162</v>
      </c>
      <c r="D16" t="s">
        <v>439</v>
      </c>
      <c r="E16" s="223">
        <v>67105052</v>
      </c>
    </row>
    <row r="17" spans="2:5" ht="12.75">
      <c r="B17" s="94" t="s">
        <v>413</v>
      </c>
      <c r="D17" t="s">
        <v>440</v>
      </c>
      <c r="E17" s="223">
        <v>24405278</v>
      </c>
    </row>
    <row r="18" spans="2:5" ht="12.75">
      <c r="B18" s="94" t="s">
        <v>633</v>
      </c>
      <c r="D18" t="s">
        <v>441</v>
      </c>
      <c r="E18" s="223">
        <v>3484344.3900000001</v>
      </c>
    </row>
    <row r="19" spans="2:5" ht="12.75">
      <c r="B19" s="94" t="s">
        <v>634</v>
      </c>
      <c r="D19" t="s">
        <v>442</v>
      </c>
      <c r="E19" s="223">
        <v>30688193.039999999</v>
      </c>
    </row>
    <row r="20" spans="2:5" ht="12.75">
      <c r="B20" s="94" t="s">
        <v>635</v>
      </c>
      <c r="D20" t="s">
        <v>442</v>
      </c>
      <c r="E20" s="223">
        <v>4247549.04</v>
      </c>
    </row>
    <row r="21" spans="2:5" ht="12.75">
      <c r="B21" s="94" t="s">
        <v>739</v>
      </c>
      <c r="D21" t="s">
        <v>442</v>
      </c>
      <c r="E21" s="223">
        <v>-24658757.000000004</v>
      </c>
    </row>
    <row r="22" spans="2:5" ht="12.75">
      <c r="B22" s="94" t="s">
        <v>740</v>
      </c>
      <c r="D22" t="s">
        <v>442</v>
      </c>
      <c r="E22" s="223">
        <v>5447708</v>
      </c>
    </row>
    <row r="23" spans="2:5" ht="12.75">
      <c r="B23" s="94" t="s">
        <v>741</v>
      </c>
      <c r="D23" t="s">
        <v>442</v>
      </c>
      <c r="E23" s="223">
        <v>-49291756.880000003</v>
      </c>
    </row>
    <row r="24" spans="2:5" ht="12.75">
      <c r="B24" s="94" t="s">
        <v>636</v>
      </c>
      <c r="E24" s="223">
        <v>-15724400.320000002</v>
      </c>
    </row>
    <row r="25" spans="2:5" ht="12.75">
      <c r="B25" s="94" t="s">
        <v>637</v>
      </c>
      <c r="E25" s="223">
        <v>-3302680.4900000007</v>
      </c>
    </row>
    <row r="26" spans="2:5" ht="12.75">
      <c r="B26" s="94" t="s">
        <v>638</v>
      </c>
      <c r="E26" s="223">
        <v>-4968012.8399999999</v>
      </c>
    </row>
    <row r="27" spans="2:5" ht="12.75">
      <c r="B27" s="94" t="s">
        <v>639</v>
      </c>
      <c r="E27" s="223">
        <v>2425700</v>
      </c>
    </row>
    <row r="28" spans="2:5" ht="12.75">
      <c r="B28" s="94" t="s">
        <v>640</v>
      </c>
      <c r="E28" s="223">
        <v>122769.47</v>
      </c>
    </row>
    <row r="29" spans="2:5" ht="12.75">
      <c r="B29" s="94" t="s">
        <v>641</v>
      </c>
      <c r="E29" s="223">
        <v>50750</v>
      </c>
    </row>
    <row r="30" spans="2:5" ht="12.75">
      <c r="B30" s="182" t="s">
        <v>742</v>
      </c>
      <c r="E30" s="223">
        <v>35870.099999999999</v>
      </c>
    </row>
    <row r="31" spans="2:5" ht="12.75">
      <c r="B31" s="94" t="s">
        <v>642</v>
      </c>
      <c r="E31" s="223">
        <v>-1688.5900000000002</v>
      </c>
    </row>
    <row r="32" spans="2:5" ht="12.75">
      <c r="B32" s="74"/>
      <c r="C32" s="2"/>
      <c r="D32" s="225"/>
      <c r="E32" s="226"/>
    </row>
    <row r="34" spans="2:5" ht="13.5" thickBot="1">
      <c r="B34" s="224" t="s">
        <v>416</v>
      </c>
      <c r="E34" s="227">
        <f>SUM(E13:E33)</f>
        <v>151516132.00999996</v>
      </c>
    </row>
    <row r="35" spans="10:11" ht="13.5" thickTop="1">
      <c r="J35" s="4"/>
      <c r="K35" s="4"/>
    </row>
    <row r="36" spans="2:5" ht="13.5" thickBot="1">
      <c r="B36" s="183" t="s">
        <v>444</v>
      </c>
      <c r="D36" s="183" t="s">
        <v>842</v>
      </c>
      <c r="E36" s="227">
        <f>+'II-D-2'!E23</f>
        <v>151516132.0099999</v>
      </c>
    </row>
    <row r="37" ht="13.5" thickTop="1"/>
    <row r="39" spans="5:5" ht="12.75">
      <c r="E39" s="220"/>
    </row>
  </sheetData>
  <mergeCells count="1">
    <mergeCell ref="B8:E8"/>
  </mergeCells>
  <printOptions horizontalCentered="1"/>
  <pageMargins left="0.5" right="0.5" top="3" bottom="1" header="1.5" footer="1"/>
  <pageSetup orientation="landscape" scale="89" r:id="rId1"/>
  <headerFooter>
    <oddHeader>&amp;C&amp;B
2022 RATE CASE
ONCOR ELECTRIC DELIVERY COMPANY LLC
II-D-3.7  GENERAL EMPLOYEE BENEFIT INFORMATION
TEST YEAR ENDING DECEMBER 31, 2021
SPONSORS: W. ALAN LEDBETTER/ A. GUILLORY&amp;R&amp;"Arial,Bold"Schedule &amp;A
Page &amp;P of &amp;N</oddHead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7">
    <tabColor rgb="FFFF0000"/>
    <pageSetUpPr fitToPage="1"/>
  </sheetPr>
  <dimension ref="A1:L53"/>
  <sheetViews>
    <sheetView workbookViewId="0" topLeftCell="A1">
      <pane ySplit="6" topLeftCell="A7" activePane="bottomLeft" state="frozen"/>
      <selection pane="topLeft" activeCell="A7" sqref="A7:XFD7"/>
      <selection pane="bottomLeft" activeCell="A7" sqref="A7:XFD7"/>
    </sheetView>
  </sheetViews>
  <sheetFormatPr defaultRowHeight="12.75"/>
  <cols>
    <col min="1" max="1" width="6.28571428571429" customWidth="1"/>
    <col min="2" max="2" width="12.4285714285714" bestFit="1" customWidth="1"/>
    <col min="3" max="3" width="16.8571428571429" bestFit="1" customWidth="1"/>
    <col min="4" max="5" width="12.7142857142857" customWidth="1"/>
    <col min="6" max="6" width="14.1428571428571" bestFit="1" customWidth="1"/>
    <col min="8" max="8" width="10.2857142857143" bestFit="1" customWidth="1"/>
    <col min="10" max="10" width="15" bestFit="1" customWidth="1"/>
    <col min="11" max="11" width="14.8571428571429" customWidth="1"/>
  </cols>
  <sheetData>
    <row r="1" spans="1:1" ht="12.75">
      <c r="A1" s="5" t="str">
        <f>+'[3]Input Data'!$A$9</f>
        <v>2022 RATE CASE</v>
      </c>
    </row>
    <row r="2" spans="1:1" ht="12.75">
      <c r="A2" s="8" t="str">
        <f>+'[3]Input Data'!$A$2</f>
        <v>ONCOR ELECTRIC DELIVERY COMPANY LLC</v>
      </c>
    </row>
    <row r="3" spans="1:1" ht="12.75">
      <c r="A3" s="7" t="str">
        <f>CONCATENATE('[3]Schedule Sponsors'!$A$76,'[3]Schedule Sponsors'!$B$76)</f>
        <v>II-D-3.8  PENSION EXPENSE</v>
      </c>
    </row>
    <row r="4" spans="1:1" ht="12.75">
      <c r="A4" s="63" t="str">
        <f>+'[3]Input Data'!$A$4</f>
        <v>TEST YEAR ENDING DECEMBER 31, 2021</v>
      </c>
    </row>
    <row r="5" spans="1:1" ht="12.75">
      <c r="A5" s="7" t="str">
        <f>CONCATENATE("SPONSORS: ",'[3]Schedule Sponsors'!$D$76)</f>
        <v>SPONSORS: W. ALAN LEDBETTER/ A. GUILLORY/ K. FEASE</v>
      </c>
    </row>
    <row r="10" spans="1:12" ht="12.75">
      <c r="A10" s="61"/>
      <c r="B10" s="18"/>
      <c r="C10" s="18"/>
      <c r="D10" s="61"/>
      <c r="E10" s="18"/>
      <c r="F10" s="18"/>
      <c r="G10" s="18"/>
      <c r="H10" s="18"/>
      <c r="I10" s="18"/>
      <c r="J10" s="18"/>
      <c r="K10" s="18"/>
      <c r="L10" s="96"/>
    </row>
    <row r="11" spans="1:1" s="95" customFormat="1" ht="15">
      <c r="A11" s="277" t="s">
        <v>698</v>
      </c>
    </row>
    <row r="13" spans="2:2" ht="14.25">
      <c r="B13" s="275" t="s">
        <v>649</v>
      </c>
    </row>
    <row r="27" spans="1:1" ht="12.75">
      <c r="A27" s="5"/>
    </row>
    <row r="32" spans="4:11" ht="12.75">
      <c r="D32" s="66"/>
      <c r="E32" s="66"/>
      <c r="F32" s="66"/>
      <c r="G32" s="66"/>
      <c r="H32" s="66"/>
      <c r="I32" s="66"/>
      <c r="J32" s="66"/>
      <c r="K32" s="66"/>
    </row>
    <row r="33" spans="4:11" ht="12.75">
      <c r="D33" s="66"/>
      <c r="E33" s="66"/>
      <c r="F33" s="66"/>
      <c r="G33" s="66"/>
      <c r="H33" s="66"/>
      <c r="I33" s="66"/>
      <c r="J33" s="66"/>
      <c r="K33" s="66"/>
    </row>
    <row r="34" spans="4:11" ht="12.75">
      <c r="D34" s="66"/>
      <c r="E34" s="66"/>
      <c r="F34" s="66"/>
      <c r="G34" s="66"/>
      <c r="H34" s="66"/>
      <c r="I34" s="66"/>
      <c r="J34" s="66"/>
      <c r="K34" s="66"/>
    </row>
    <row r="35" spans="4:11" ht="12.75">
      <c r="D35" s="66"/>
      <c r="E35" s="66"/>
      <c r="F35" s="66"/>
      <c r="G35" s="66"/>
      <c r="H35" s="66"/>
      <c r="I35" s="66"/>
      <c r="J35" s="66"/>
      <c r="K35" s="66"/>
    </row>
    <row r="36" spans="4:11" ht="12.75">
      <c r="D36" s="66"/>
      <c r="E36" s="66"/>
      <c r="F36" s="66"/>
      <c r="G36" s="66"/>
      <c r="H36" s="66"/>
      <c r="I36" s="66"/>
      <c r="J36" s="66"/>
      <c r="K36" s="66"/>
    </row>
    <row r="37" spans="4:11" ht="12.75">
      <c r="D37" s="66"/>
      <c r="E37" s="66"/>
      <c r="F37" s="66"/>
      <c r="G37" s="66"/>
      <c r="H37" s="66"/>
      <c r="I37" s="66"/>
      <c r="J37" s="66"/>
      <c r="K37" s="66"/>
    </row>
    <row r="38" spans="4:11" ht="12.75">
      <c r="D38" s="66"/>
      <c r="E38" s="66"/>
      <c r="F38" s="66"/>
      <c r="G38" s="66"/>
      <c r="H38" s="66"/>
      <c r="I38" s="66"/>
      <c r="J38" s="66"/>
      <c r="K38" s="66"/>
    </row>
    <row r="39" spans="4:11" ht="12.75">
      <c r="D39" s="66"/>
      <c r="E39" s="66"/>
      <c r="F39" s="66"/>
      <c r="G39" s="66"/>
      <c r="H39" s="66"/>
      <c r="I39" s="66"/>
      <c r="J39" s="66"/>
      <c r="K39" s="66"/>
    </row>
    <row r="40" spans="4:11" ht="12.75">
      <c r="D40" s="66"/>
      <c r="E40" s="66"/>
      <c r="F40" s="66"/>
      <c r="G40" s="66"/>
      <c r="H40" s="66"/>
      <c r="I40" s="66"/>
      <c r="J40" s="66"/>
      <c r="K40" s="66"/>
    </row>
    <row r="41" spans="4:11" ht="12.75">
      <c r="D41" s="66"/>
      <c r="E41" s="66"/>
      <c r="F41" s="66"/>
      <c r="G41" s="66"/>
      <c r="H41" s="66"/>
      <c r="I41" s="66"/>
      <c r="J41" s="66"/>
      <c r="K41" s="66"/>
    </row>
    <row r="42" spans="4:11" ht="12.75">
      <c r="D42" s="66"/>
      <c r="E42" s="66"/>
      <c r="F42" s="66"/>
      <c r="G42" s="66"/>
      <c r="H42" s="66"/>
      <c r="I42" s="66"/>
      <c r="J42" s="66"/>
      <c r="K42" s="66"/>
    </row>
    <row r="43" spans="4:11" ht="12.75">
      <c r="D43" s="66"/>
      <c r="E43" s="66"/>
      <c r="F43" s="66"/>
      <c r="G43" s="66"/>
      <c r="H43" s="66"/>
      <c r="I43" s="66"/>
      <c r="J43" s="66"/>
      <c r="K43" s="66"/>
    </row>
    <row r="44" spans="4:11" ht="12.75">
      <c r="D44" s="66"/>
      <c r="E44" s="66"/>
      <c r="F44" s="66"/>
      <c r="G44" s="66"/>
      <c r="H44" s="66"/>
      <c r="I44" s="66"/>
      <c r="J44" s="66"/>
      <c r="K44" s="66"/>
    </row>
    <row r="45" spans="4:11" ht="12.75">
      <c r="D45" s="66"/>
      <c r="E45" s="66"/>
      <c r="F45" s="66"/>
      <c r="G45" s="66"/>
      <c r="H45" s="66"/>
      <c r="I45" s="66"/>
      <c r="J45" s="66"/>
      <c r="K45" s="66"/>
    </row>
    <row r="46" spans="4:11" ht="12.75">
      <c r="D46" s="66"/>
      <c r="E46" s="66"/>
      <c r="F46" s="66"/>
      <c r="G46" s="66"/>
      <c r="H46" s="66"/>
      <c r="I46" s="66"/>
      <c r="J46" s="66"/>
      <c r="K46" s="66"/>
    </row>
    <row r="47" spans="4:11" ht="12.75">
      <c r="D47" s="66"/>
      <c r="E47" s="66"/>
      <c r="F47" s="66"/>
      <c r="G47" s="66"/>
      <c r="H47" s="66"/>
      <c r="I47" s="66"/>
      <c r="J47" s="66"/>
      <c r="K47" s="66"/>
    </row>
    <row r="48" spans="4:11" ht="12.75">
      <c r="D48" s="66"/>
      <c r="E48" s="66"/>
      <c r="F48" s="66"/>
      <c r="G48" s="66"/>
      <c r="H48" s="66"/>
      <c r="I48" s="66"/>
      <c r="J48" s="66"/>
      <c r="K48" s="66"/>
    </row>
    <row r="49" spans="4:11" ht="12.75">
      <c r="D49" s="66"/>
      <c r="E49" s="66"/>
      <c r="F49" s="66"/>
      <c r="G49" s="66"/>
      <c r="H49" s="66"/>
      <c r="I49" s="66"/>
      <c r="J49" s="66"/>
      <c r="K49" s="66"/>
    </row>
    <row r="50" spans="4:11" ht="12.75">
      <c r="D50" s="66"/>
      <c r="E50" s="66"/>
      <c r="F50" s="66"/>
      <c r="G50" s="66"/>
      <c r="H50" s="66"/>
      <c r="I50" s="66"/>
      <c r="J50" s="66"/>
      <c r="K50" s="66"/>
    </row>
    <row r="51" spans="4:11" ht="12.75">
      <c r="D51" s="66"/>
      <c r="E51" s="66"/>
      <c r="F51" s="66"/>
      <c r="G51" s="66"/>
      <c r="H51" s="66"/>
      <c r="I51" s="66"/>
      <c r="J51" s="66"/>
      <c r="K51" s="66"/>
    </row>
    <row r="52" spans="4:11" ht="12.75">
      <c r="D52" s="66"/>
      <c r="E52" s="66"/>
      <c r="F52" s="66"/>
      <c r="G52" s="66"/>
      <c r="H52" s="66"/>
      <c r="I52" s="66"/>
      <c r="J52" s="66"/>
      <c r="K52" s="66"/>
    </row>
    <row r="53" spans="4:11" ht="12.75">
      <c r="D53" s="66"/>
      <c r="E53" s="66"/>
      <c r="F53" s="66"/>
      <c r="G53" s="66"/>
      <c r="H53" s="66"/>
      <c r="I53" s="66"/>
      <c r="J53" s="66"/>
      <c r="K53" s="66"/>
    </row>
  </sheetData>
  <printOptions horizontalCentered="1"/>
  <pageMargins left="0.5" right="0.5" top="3.25" bottom="0.5" header="1.5" footer="0.5"/>
  <pageSetup orientation="landscape" scale="69" r:id="rId1"/>
  <headerFooter alignWithMargins="0">
    <oddHeader>&amp;C&amp;B
2022 RATE CASE
ONCOR ELECTRIC DELIVERY COMPANY LLC
II-D-3.8  PENSION EXPENSE
TEST YEAR ENDING DECEMBER 31, 2021
SPONSORS: W. ALAN LEDBETTER/ A. GUILLORY/ K. FEASE&amp;R&amp;"Arial,Bold"Schedule &amp;A
Page &amp;P of &amp;N</oddHead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0">
    <tabColor rgb="FFFF0000"/>
    <pageSetUpPr fitToPage="1"/>
  </sheetPr>
  <dimension ref="A1:M16"/>
  <sheetViews>
    <sheetView workbookViewId="0" topLeftCell="A1">
      <pane ySplit="6" topLeftCell="A7" activePane="bottomLeft" state="frozen"/>
      <selection pane="topLeft" activeCell="E15" sqref="E15"/>
      <selection pane="bottomLeft" activeCell="E15" sqref="E15"/>
    </sheetView>
  </sheetViews>
  <sheetFormatPr defaultRowHeight="12.75"/>
  <cols>
    <col min="2" max="5" width="13.7142857142857" customWidth="1"/>
  </cols>
  <sheetData>
    <row r="1" spans="1:1" ht="12.75">
      <c r="A1" s="5" t="str">
        <f>+'[3]Input Data'!$A$9</f>
        <v>2022 RATE CASE</v>
      </c>
    </row>
    <row r="2" spans="1:1" ht="12.75">
      <c r="A2" s="8" t="str">
        <f>+'[3]Input Data'!$A$2</f>
        <v>ONCOR ELECTRIC DELIVERY COMPANY LLC</v>
      </c>
    </row>
    <row r="3" spans="1:1" ht="12.75">
      <c r="A3" s="7" t="str">
        <f>CONCATENATE('[3]Schedule Sponsors'!$A$76,'[3]Schedule Sponsors'!$B$76)</f>
        <v>II-D-3.8  PENSION EXPENSE</v>
      </c>
    </row>
    <row r="4" spans="1:1" ht="12.75">
      <c r="A4" s="63" t="str">
        <f>+'[3]Input Data'!$A$4</f>
        <v>TEST YEAR ENDING DECEMBER 31, 2021</v>
      </c>
    </row>
    <row r="5" spans="1:1" ht="12.75">
      <c r="A5" s="7" t="str">
        <f>CONCATENATE("SPONSORS: ",'[3]Schedule Sponsors'!$D$76)</f>
        <v>SPONSORS: W. ALAN LEDBETTER/ A. GUILLORY/ K. FEASE</v>
      </c>
    </row>
    <row r="10" spans="1:13" ht="15">
      <c r="A10" s="276" t="s">
        <v>697</v>
      </c>
      <c r="B10" s="275"/>
      <c r="C10" s="275"/>
      <c r="D10" s="275"/>
      <c r="E10" s="275"/>
      <c r="F10" s="275"/>
      <c r="G10" s="275"/>
      <c r="H10" s="275"/>
      <c r="I10" s="275"/>
      <c r="J10" s="275"/>
      <c r="K10" s="275"/>
      <c r="L10" s="275"/>
      <c r="M10" s="275"/>
    </row>
    <row r="11" spans="1:13" ht="15">
      <c r="A11" s="276" t="s">
        <v>650</v>
      </c>
      <c r="B11" s="275"/>
      <c r="C11" s="275"/>
      <c r="D11" s="275"/>
      <c r="E11" s="275"/>
      <c r="F11" s="275"/>
      <c r="G11" s="275"/>
      <c r="H11" s="275"/>
      <c r="I11" s="275"/>
      <c r="J11" s="275"/>
      <c r="K11" s="275"/>
      <c r="L11" s="275"/>
      <c r="M11" s="275"/>
    </row>
    <row r="12" spans="1:13" ht="15">
      <c r="A12" s="276" t="s">
        <v>651</v>
      </c>
      <c r="B12" s="275"/>
      <c r="C12" s="275"/>
      <c r="D12" s="275"/>
      <c r="E12" s="275"/>
      <c r="F12" s="275"/>
      <c r="G12" s="275"/>
      <c r="H12" s="275"/>
      <c r="I12" s="275"/>
      <c r="J12" s="275"/>
      <c r="K12" s="275"/>
      <c r="L12" s="275"/>
      <c r="M12" s="275"/>
    </row>
    <row r="15" spans="2:2" ht="14.25">
      <c r="B15" s="275" t="s">
        <v>713</v>
      </c>
    </row>
    <row r="16" spans="2:2" ht="14.25">
      <c r="B16" s="275" t="s">
        <v>714</v>
      </c>
    </row>
  </sheetData>
  <printOptions horizontalCentered="1"/>
  <pageMargins left="0.5" right="0.5" top="3" bottom="0.5" header="1.5" footer="0.5"/>
  <pageSetup orientation="landscape" scale="74" r:id="rId1"/>
  <headerFooter alignWithMargins="0">
    <oddHeader>&amp;C&amp;B
2022 RATE CASE
ONCOR ELECTRIC DELIVERY COMPANY LLC
II-D-3.8  PENSION EXPENSE
TEST YEAR ENDING DECEMBER 31, 2021
SPONSORS: W. ALAN LEDBETTER/ A. GUILLORY/ K. FEASE&amp;R&amp;"Arial,Bold"Schedule &amp;A
Page &amp;P of &amp;N</oddHead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1">
    <tabColor rgb="FFFF0000"/>
    <pageSetUpPr fitToPage="1"/>
  </sheetPr>
  <dimension ref="A1:O115"/>
  <sheetViews>
    <sheetView workbookViewId="0" topLeftCell="A1">
      <pane ySplit="16" topLeftCell="A21" activePane="bottomLeft" state="frozen"/>
      <selection pane="topLeft" activeCell="E15" sqref="E15"/>
      <selection pane="bottomLeft" activeCell="I47" sqref="I47"/>
    </sheetView>
  </sheetViews>
  <sheetFormatPr defaultRowHeight="12.75"/>
  <cols>
    <col min="1" max="1" width="5.71428571428571" customWidth="1"/>
    <col min="2" max="2" width="9.57142857142857" bestFit="1" customWidth="1"/>
    <col min="3" max="3" width="43.2857142857143" bestFit="1" customWidth="1"/>
    <col min="4" max="4" width="15.4285714285714" bestFit="1" customWidth="1"/>
    <col min="6" max="6" width="16.1428571428571" bestFit="1" customWidth="1"/>
    <col min="7" max="9" width="16.1428571428571" customWidth="1"/>
    <col min="10" max="10" width="14.8571428571429" bestFit="1" customWidth="1"/>
    <col min="11" max="12" width="14.8571428571429" customWidth="1"/>
    <col min="13" max="13" width="14.8571428571429" bestFit="1" customWidth="1"/>
    <col min="14" max="14" width="12.1428571428571" customWidth="1"/>
    <col min="15" max="15" width="19.7142857142857" bestFit="1" customWidth="1"/>
  </cols>
  <sheetData>
    <row r="1" spans="1:2" ht="12.75">
      <c r="A1" s="5" t="str">
        <f>+'[3]Input Data'!$A$9</f>
        <v>2022 RATE CASE</v>
      </c>
      <c r="B1" s="5"/>
    </row>
    <row r="2" spans="1:2" ht="12.75">
      <c r="A2" s="8" t="str">
        <f>+'[3]Input Data'!$A$2</f>
        <v>ONCOR ELECTRIC DELIVERY COMPANY LLC</v>
      </c>
      <c r="B2" s="8"/>
    </row>
    <row r="3" spans="1:2" ht="12.75">
      <c r="A3" s="7" t="str">
        <f>CONCATENATE('[3]Schedule Sponsors'!$A$76,'[3]Schedule Sponsors'!$B$76)</f>
        <v>II-D-3.8  PENSION EXPENSE</v>
      </c>
      <c r="B3" s="7"/>
    </row>
    <row r="4" spans="1:2" ht="12.75">
      <c r="A4" s="63" t="str">
        <f>+'[3]Input Data'!$A$4</f>
        <v>TEST YEAR ENDING DECEMBER 31, 2021</v>
      </c>
      <c r="B4" s="63"/>
    </row>
    <row r="5" spans="1:2" ht="12.75">
      <c r="A5" s="7" t="str">
        <f>CONCATENATE("SPONSORS: ",'[3]Schedule Sponsors'!$D$76)</f>
        <v>SPONSORS: W. ALAN LEDBETTER/ A. GUILLORY/ K. FEASE</v>
      </c>
      <c r="B5" s="7"/>
    </row>
    <row r="11" spans="1:2" ht="12.75">
      <c r="A11" s="206" t="s">
        <v>411</v>
      </c>
      <c r="B11" s="5"/>
    </row>
    <row r="12" ht="13.5" thickBot="1"/>
    <row r="13" spans="1:15" s="287" customFormat="1" ht="12.75">
      <c r="A13" s="296"/>
      <c r="B13" s="10"/>
      <c r="C13" s="297"/>
      <c r="D13" s="10" t="s">
        <v>321</v>
      </c>
      <c r="E13" s="297"/>
      <c r="F13" s="196"/>
      <c r="G13" s="196"/>
      <c r="H13" s="196"/>
      <c r="I13" s="196"/>
      <c r="J13" s="196"/>
      <c r="K13" s="196"/>
      <c r="L13" s="196"/>
      <c r="M13" s="196"/>
      <c r="N13" s="196"/>
      <c r="O13" s="196"/>
    </row>
    <row r="14" spans="1:15" s="287" customFormat="1" ht="12.75">
      <c r="A14" s="298" t="s">
        <v>87</v>
      </c>
      <c r="B14" s="11"/>
      <c r="C14" s="18"/>
      <c r="D14" s="11" t="s">
        <v>323</v>
      </c>
      <c r="E14" s="18"/>
      <c r="F14" s="195"/>
      <c r="G14" s="195" t="s">
        <v>716</v>
      </c>
      <c r="H14" s="195" t="s">
        <v>722</v>
      </c>
      <c r="I14" s="195" t="s">
        <v>717</v>
      </c>
      <c r="J14" s="195"/>
      <c r="K14" s="195" t="s">
        <v>716</v>
      </c>
      <c r="L14" s="195" t="s">
        <v>717</v>
      </c>
      <c r="M14" s="195"/>
      <c r="N14" s="195"/>
      <c r="O14" s="195"/>
    </row>
    <row r="15" spans="1:15" s="287" customFormat="1" ht="12.75">
      <c r="A15" s="298" t="s">
        <v>89</v>
      </c>
      <c r="B15" s="11" t="s">
        <v>164</v>
      </c>
      <c r="C15" s="18" t="s">
        <v>209</v>
      </c>
      <c r="D15" s="11" t="s">
        <v>223</v>
      </c>
      <c r="E15" s="18" t="s">
        <v>218</v>
      </c>
      <c r="F15" s="195" t="s">
        <v>294</v>
      </c>
      <c r="G15" s="195" t="s">
        <v>294</v>
      </c>
      <c r="H15" s="195" t="s">
        <v>723</v>
      </c>
      <c r="I15" s="195" t="s">
        <v>294</v>
      </c>
      <c r="J15" s="195" t="s">
        <v>295</v>
      </c>
      <c r="K15" s="195" t="s">
        <v>295</v>
      </c>
      <c r="L15" s="195" t="s">
        <v>295</v>
      </c>
      <c r="M15" s="195" t="s">
        <v>283</v>
      </c>
      <c r="N15" s="195" t="s">
        <v>126</v>
      </c>
      <c r="O15" s="195" t="s">
        <v>216</v>
      </c>
    </row>
    <row r="16" spans="1:15" s="163" customFormat="1" ht="13.5" thickBot="1">
      <c r="A16" s="299"/>
      <c r="B16" s="229" t="s">
        <v>44</v>
      </c>
      <c r="C16" s="300" t="s">
        <v>45</v>
      </c>
      <c r="D16" s="229" t="s">
        <v>74</v>
      </c>
      <c r="E16" s="300" t="s">
        <v>75</v>
      </c>
      <c r="F16" s="229" t="s">
        <v>76</v>
      </c>
      <c r="G16" s="229" t="s">
        <v>77</v>
      </c>
      <c r="H16" s="229" t="s">
        <v>78</v>
      </c>
      <c r="I16" s="229" t="s">
        <v>79</v>
      </c>
      <c r="J16" s="229" t="s">
        <v>80</v>
      </c>
      <c r="K16" s="229" t="s">
        <v>81</v>
      </c>
      <c r="L16" s="229" t="s">
        <v>82</v>
      </c>
      <c r="M16" s="229" t="s">
        <v>83</v>
      </c>
      <c r="N16" s="229" t="s">
        <v>84</v>
      </c>
      <c r="O16" s="229" t="s">
        <v>85</v>
      </c>
    </row>
    <row r="17" s="138" customFormat="1" ht="12.75"/>
    <row r="18" spans="1:2" ht="12.75">
      <c r="A18" s="1">
        <v>1</v>
      </c>
      <c r="B18" s="106" t="s">
        <v>40</v>
      </c>
    </row>
    <row r="19" spans="1:3" ht="12.75">
      <c r="A19" s="1">
        <v>2</v>
      </c>
      <c r="C19" s="98" t="s">
        <v>791</v>
      </c>
    </row>
    <row r="20" spans="1:1" ht="12.75">
      <c r="A20" s="1">
        <v>3</v>
      </c>
    </row>
    <row r="21" spans="1:15" ht="15">
      <c r="A21" s="1">
        <v>4</v>
      </c>
      <c r="C21" t="s">
        <v>404</v>
      </c>
      <c r="D21" s="256">
        <v>2806651</v>
      </c>
      <c r="E21" s="66" t="s">
        <v>163</v>
      </c>
      <c r="F21" s="251">
        <f>+$D21*'[5]II-F Alloc_Factor'!E$17</f>
        <v>618028.94070373301</v>
      </c>
      <c r="G21" s="251">
        <f>+$D21*'[5]II-F Alloc_Factor'!F$17</f>
        <v>0</v>
      </c>
      <c r="H21" s="251">
        <f>+$D21*'[5]II-F Alloc_Factor'!G$17</f>
        <v>0</v>
      </c>
      <c r="I21" s="251">
        <f>+$D21*'[5]II-F Alloc_Factor'!H$17</f>
        <v>618028.94070373301</v>
      </c>
      <c r="J21" s="251">
        <f>+$D21*'[5]II-F Alloc_Factor'!I$17</f>
        <v>1705039.1104638532</v>
      </c>
      <c r="K21" s="251">
        <f>+$D21*'[5]II-F Alloc_Factor'!J$17</f>
        <v>0</v>
      </c>
      <c r="L21" s="251">
        <f>+$D21*'[5]II-F Alloc_Factor'!K$17</f>
        <v>1705039.1104638532</v>
      </c>
      <c r="M21" s="251">
        <f>+$D21*'[5]II-F Alloc_Factor'!L$17</f>
        <v>464875.73756798491</v>
      </c>
      <c r="N21" s="251">
        <f>+$D21*'[5]II-F Alloc_Factor'!M$17</f>
        <v>18707.211264428795</v>
      </c>
      <c r="O21" s="258">
        <f>+I21+L21+M21+N21</f>
        <v>2806651</v>
      </c>
    </row>
    <row r="22" spans="1:15" ht="15">
      <c r="A22" s="1">
        <v>5</v>
      </c>
      <c r="C22" t="s">
        <v>162</v>
      </c>
      <c r="D22" s="256">
        <v>1775305.03</v>
      </c>
      <c r="E22" s="66" t="s">
        <v>163</v>
      </c>
      <c r="F22" s="251">
        <f>+$D22*'[5]II-F Alloc_Factor'!E$17</f>
        <v>390924.94475334091</v>
      </c>
      <c r="G22" s="251">
        <f>+$D22*'[5]II-F Alloc_Factor'!F$17</f>
        <v>0</v>
      </c>
      <c r="H22" s="251">
        <f>+$D22*'[5]II-F Alloc_Factor'!G$17</f>
        <v>0</v>
      </c>
      <c r="I22" s="251">
        <f>+$D22*'[5]II-F Alloc_Factor'!H$17</f>
        <v>390924.94475334091</v>
      </c>
      <c r="J22" s="251">
        <f>+$D22*'[5]II-F Alloc_Factor'!I$17</f>
        <v>1078496.9378640964</v>
      </c>
      <c r="K22" s="251">
        <f>+$D22*'[5]II-F Alloc_Factor'!J$17</f>
        <v>0</v>
      </c>
      <c r="L22" s="251">
        <f>+$D22*'[5]II-F Alloc_Factor'!K$17</f>
        <v>1078496.9378640964</v>
      </c>
      <c r="M22" s="251">
        <f>+$D22*'[5]II-F Alloc_Factor'!L$17</f>
        <v>294050.18124070414</v>
      </c>
      <c r="N22" s="251">
        <f>+$D22*'[5]II-F Alloc_Factor'!M$17</f>
        <v>11832.966141858429</v>
      </c>
      <c r="O22" s="258">
        <f t="shared" si="0" ref="O22:O23">+I22+L22+M22+N22</f>
        <v>1775305.0299999998</v>
      </c>
    </row>
    <row r="23" spans="1:15" ht="12.75">
      <c r="A23" s="1">
        <v>6</v>
      </c>
      <c r="C23" s="183" t="s">
        <v>704</v>
      </c>
      <c r="D23" s="257">
        <v>0</v>
      </c>
      <c r="E23" s="66" t="s">
        <v>163</v>
      </c>
      <c r="F23" s="251">
        <f>+$D23*'[5]II-F Alloc_Factor'!E$17</f>
        <v>0</v>
      </c>
      <c r="G23" s="251">
        <f>+$D23*'[5]II-F Alloc_Factor'!F$17</f>
        <v>0</v>
      </c>
      <c r="H23" s="251">
        <f>+$D23*'[5]II-F Alloc_Factor'!G$17</f>
        <v>0</v>
      </c>
      <c r="I23" s="251">
        <f>+$D23*'[5]II-F Alloc_Factor'!H$17</f>
        <v>0</v>
      </c>
      <c r="J23" s="251">
        <f>+$D23*'[5]II-F Alloc_Factor'!I$17</f>
        <v>0</v>
      </c>
      <c r="K23" s="251">
        <f>+$D23*'[5]II-F Alloc_Factor'!J$17</f>
        <v>0</v>
      </c>
      <c r="L23" s="251">
        <f>+$D23*'[5]II-F Alloc_Factor'!K$17</f>
        <v>0</v>
      </c>
      <c r="M23" s="251">
        <f>+$D23*'[5]II-F Alloc_Factor'!L$17</f>
        <v>0</v>
      </c>
      <c r="N23" s="251">
        <f>+$D23*'[5]II-F Alloc_Factor'!M$17</f>
        <v>0</v>
      </c>
      <c r="O23" s="258">
        <f t="shared" si="0"/>
        <v>0</v>
      </c>
    </row>
    <row r="24" spans="1:15" ht="12.75">
      <c r="A24" s="1">
        <v>7</v>
      </c>
      <c r="D24" s="257"/>
      <c r="E24" s="66"/>
      <c r="F24" s="251"/>
      <c r="G24" s="251"/>
      <c r="H24" s="251"/>
      <c r="I24" s="251"/>
      <c r="J24" s="251"/>
      <c r="K24" s="251"/>
      <c r="L24" s="251"/>
      <c r="M24" s="251"/>
      <c r="N24" s="251"/>
      <c r="O24" s="258"/>
    </row>
    <row r="25" spans="1:15" ht="12.75">
      <c r="A25" s="1">
        <v>8</v>
      </c>
      <c r="C25" s="98" t="s">
        <v>699</v>
      </c>
      <c r="D25" s="255"/>
      <c r="E25" s="66"/>
      <c r="F25" s="251"/>
      <c r="G25" s="251"/>
      <c r="H25" s="251"/>
      <c r="I25" s="251"/>
      <c r="J25" s="251"/>
      <c r="K25" s="251"/>
      <c r="L25" s="251"/>
      <c r="M25" s="251"/>
      <c r="N25" s="251"/>
      <c r="O25" s="251"/>
    </row>
    <row r="26" spans="1:15" ht="12.75">
      <c r="A26" s="1">
        <v>9</v>
      </c>
      <c r="D26" s="255"/>
      <c r="E26" s="66"/>
      <c r="F26" s="251"/>
      <c r="G26" s="251"/>
      <c r="H26" s="251"/>
      <c r="I26" s="251"/>
      <c r="J26" s="251"/>
      <c r="K26" s="251"/>
      <c r="L26" s="251"/>
      <c r="M26" s="251"/>
      <c r="N26" s="251"/>
      <c r="O26" s="251"/>
    </row>
    <row r="27" spans="1:15" ht="15">
      <c r="A27" s="1">
        <v>10</v>
      </c>
      <c r="C27" t="s">
        <v>404</v>
      </c>
      <c r="D27" s="256">
        <v>57753608</v>
      </c>
      <c r="E27" s="66" t="s">
        <v>163</v>
      </c>
      <c r="F27" s="251">
        <f>+$D27*'[5]II-F Alloc_Factor'!E$17</f>
        <v>12717434.826794868</v>
      </c>
      <c r="G27" s="251">
        <f>+$D27*'[5]II-F Alloc_Factor'!F$17</f>
        <v>0</v>
      </c>
      <c r="H27" s="251">
        <f>+$D27*'[5]II-F Alloc_Factor'!G$17</f>
        <v>0</v>
      </c>
      <c r="I27" s="251">
        <f>+$D27*'[5]II-F Alloc_Factor'!H$17</f>
        <v>12717434.826794868</v>
      </c>
      <c r="J27" s="251">
        <f>+$D27*'[5]II-F Alloc_Factor'!I$17</f>
        <v>35085288.627049841</v>
      </c>
      <c r="K27" s="251">
        <f>+$D27*'[5]II-F Alloc_Factor'!J$17</f>
        <v>0</v>
      </c>
      <c r="L27" s="251">
        <f>+$D27*'[5]II-F Alloc_Factor'!K$17</f>
        <v>35085288.627049841</v>
      </c>
      <c r="M27" s="251">
        <f>+$D27*'[5]II-F Alloc_Factor'!L$17</f>
        <v>9565938.5923694372</v>
      </c>
      <c r="N27" s="251">
        <f>+$D27*'[5]II-F Alloc_Factor'!M$17</f>
        <v>384945.95378584834</v>
      </c>
      <c r="O27" s="258">
        <f t="shared" si="1" ref="O27:O29">+I27+L27+M27+N27</f>
        <v>57753608</v>
      </c>
    </row>
    <row r="28" spans="1:15" ht="15">
      <c r="A28" s="1">
        <v>11</v>
      </c>
      <c r="C28" t="s">
        <v>162</v>
      </c>
      <c r="D28" s="256">
        <v>36531179.239416435</v>
      </c>
      <c r="E28" s="66" t="s">
        <v>163</v>
      </c>
      <c r="F28" s="251">
        <f>+$D28*'[5]II-F Alloc_Factor'!E$17</f>
        <v>8044222.8150185915</v>
      </c>
      <c r="G28" s="251">
        <f>+$D28*'[5]II-F Alloc_Factor'!F$17</f>
        <v>0</v>
      </c>
      <c r="H28" s="251">
        <f>+$D28*'[5]II-F Alloc_Factor'!G$17</f>
        <v>0</v>
      </c>
      <c r="I28" s="251">
        <f>+$D28*'[5]II-F Alloc_Factor'!H$17</f>
        <v>8044222.8150185915</v>
      </c>
      <c r="J28" s="251">
        <f>+$D28*'[5]II-F Alloc_Factor'!I$17</f>
        <v>22192673.529615965</v>
      </c>
      <c r="K28" s="251">
        <f>+$D28*'[5]II-F Alloc_Factor'!J$17</f>
        <v>0</v>
      </c>
      <c r="L28" s="251">
        <f>+$D28*'[5]II-F Alloc_Factor'!K$17</f>
        <v>22192673.529615965</v>
      </c>
      <c r="M28" s="251">
        <f>+$D28*'[5]II-F Alloc_Factor'!L$17</f>
        <v>6050791.1005507894</v>
      </c>
      <c r="N28" s="251">
        <f>+$D28*'[5]II-F Alloc_Factor'!M$17</f>
        <v>243491.79423108843</v>
      </c>
      <c r="O28" s="258">
        <f t="shared" si="1"/>
        <v>36531179.239416435</v>
      </c>
    </row>
    <row r="29" spans="1:15" ht="12.75">
      <c r="A29" s="1">
        <v>12</v>
      </c>
      <c r="C29" s="183" t="s">
        <v>704</v>
      </c>
      <c r="D29" s="257">
        <v>14800000</v>
      </c>
      <c r="E29" s="66" t="s">
        <v>163</v>
      </c>
      <c r="F29" s="251">
        <f>+$D29*'[5]II-F Alloc_Factor'!E$17</f>
        <v>3258983.1519541438</v>
      </c>
      <c r="G29" s="251">
        <f>+$D29*'[5]II-F Alloc_Factor'!F$17</f>
        <v>0</v>
      </c>
      <c r="H29" s="251">
        <f>+$D29*'[5]II-F Alloc_Factor'!G$17</f>
        <v>0</v>
      </c>
      <c r="I29" s="251">
        <f>+$D29*'[5]II-F Alloc_Factor'!H$17</f>
        <v>3258983.1519541438</v>
      </c>
      <c r="J29" s="251">
        <f>+$D29*'[5]II-F Alloc_Factor'!I$17</f>
        <v>8990992.7649946604</v>
      </c>
      <c r="K29" s="251">
        <f>+$D29*'[5]II-F Alloc_Factor'!J$17</f>
        <v>0</v>
      </c>
      <c r="L29" s="251">
        <f>+$D29*'[5]II-F Alloc_Factor'!K$17</f>
        <v>8990992.7649946604</v>
      </c>
      <c r="M29" s="251">
        <f>+$D29*'[5]II-F Alloc_Factor'!L$17</f>
        <v>2451377.4302562652</v>
      </c>
      <c r="N29" s="251">
        <f>+$D29*'[5]II-F Alloc_Factor'!M$17</f>
        <v>98646.652794931113</v>
      </c>
      <c r="O29" s="258">
        <f t="shared" si="1"/>
        <v>14800000</v>
      </c>
    </row>
    <row r="30" spans="1:15" ht="12.75">
      <c r="A30" s="1">
        <v>13</v>
      </c>
      <c r="D30" s="257"/>
      <c r="E30" s="66"/>
      <c r="F30" s="251"/>
      <c r="G30" s="251"/>
      <c r="H30" s="251"/>
      <c r="I30" s="251"/>
      <c r="J30" s="251"/>
      <c r="K30" s="251"/>
      <c r="L30" s="251"/>
      <c r="M30" s="251"/>
      <c r="N30" s="251"/>
      <c r="O30" s="251"/>
    </row>
    <row r="31" spans="1:15" ht="12.75">
      <c r="A31" s="1">
        <v>14</v>
      </c>
      <c r="C31" s="98" t="s">
        <v>700</v>
      </c>
      <c r="D31" s="255"/>
      <c r="E31" s="66"/>
      <c r="F31" s="251"/>
      <c r="G31" s="251"/>
      <c r="H31" s="251"/>
      <c r="I31" s="251"/>
      <c r="J31" s="251"/>
      <c r="K31" s="251"/>
      <c r="L31" s="251"/>
      <c r="M31" s="251"/>
      <c r="N31" s="251"/>
      <c r="O31" s="251"/>
    </row>
    <row r="32" spans="1:15" ht="12.75">
      <c r="A32" s="1">
        <v>15</v>
      </c>
      <c r="D32" s="255"/>
      <c r="E32" s="66"/>
      <c r="F32" s="251"/>
      <c r="G32" s="251"/>
      <c r="H32" s="251"/>
      <c r="I32" s="251"/>
      <c r="J32" s="251"/>
      <c r="K32" s="251"/>
      <c r="L32" s="251"/>
      <c r="M32" s="251"/>
      <c r="N32" s="251"/>
      <c r="O32" s="251"/>
    </row>
    <row r="33" spans="1:15" ht="15">
      <c r="A33" s="1">
        <v>16</v>
      </c>
      <c r="C33" t="s">
        <v>404</v>
      </c>
      <c r="D33" s="256">
        <v>6544793</v>
      </c>
      <c r="E33" s="66" t="s">
        <v>163</v>
      </c>
      <c r="F33" s="251">
        <f>+$D33*'[5]II-F Alloc_Factor'!E$17</f>
        <v>1441173.6567586092</v>
      </c>
      <c r="G33" s="251">
        <f>+$D33*'[5]II-F Alloc_Factor'!F$17</f>
        <v>0</v>
      </c>
      <c r="H33" s="251">
        <f>+$D33*'[5]II-F Alloc_Factor'!G$17</f>
        <v>0</v>
      </c>
      <c r="I33" s="251">
        <f>+$D33*'[5]II-F Alloc_Factor'!H$17</f>
        <v>1441173.6567586092</v>
      </c>
      <c r="J33" s="251">
        <f>+$D33*'[5]II-F Alloc_Factor'!I$17</f>
        <v>3975958.5480667362</v>
      </c>
      <c r="K33" s="251">
        <f>+$D33*'[5]II-F Alloc_Factor'!J$17</f>
        <v>0</v>
      </c>
      <c r="L33" s="251">
        <f>+$D33*'[5]II-F Alloc_Factor'!K$17</f>
        <v>3975958.5480667362</v>
      </c>
      <c r="M33" s="251">
        <f>+$D33*'[5]II-F Alloc_Factor'!L$17</f>
        <v>1084037.6922904858</v>
      </c>
      <c r="N33" s="251">
        <f>+$D33*'[5]II-F Alloc_Factor'!M$17</f>
        <v>43623.10288416862</v>
      </c>
      <c r="O33" s="258">
        <f t="shared" si="2" ref="O33:O35">+I33+L33+M33+N33</f>
        <v>6544793</v>
      </c>
    </row>
    <row r="34" spans="1:15" ht="15">
      <c r="A34" s="1">
        <v>17</v>
      </c>
      <c r="C34" t="s">
        <v>162</v>
      </c>
      <c r="D34" s="256">
        <v>4139810.7312685638</v>
      </c>
      <c r="E34" s="66" t="s">
        <v>163</v>
      </c>
      <c r="F34" s="251">
        <f>+$D34*'[5]II-F Alloc_Factor'!E$17</f>
        <v>911592.799019136</v>
      </c>
      <c r="G34" s="251">
        <f>+$D34*'[5]II-F Alloc_Factor'!F$17</f>
        <v>0</v>
      </c>
      <c r="H34" s="251">
        <f>+$D34*'[5]II-F Alloc_Factor'!G$17</f>
        <v>0</v>
      </c>
      <c r="I34" s="251">
        <f>+$D34*'[5]II-F Alloc_Factor'!H$17</f>
        <v>911592.799019136</v>
      </c>
      <c r="J34" s="251">
        <f>+$D34*'[5]II-F Alloc_Factor'!I$17</f>
        <v>2514932.9954920886</v>
      </c>
      <c r="K34" s="251">
        <f>+$D34*'[5]II-F Alloc_Factor'!J$17</f>
        <v>0</v>
      </c>
      <c r="L34" s="251">
        <f>+$D34*'[5]II-F Alloc_Factor'!K$17</f>
        <v>2514932.9954920886</v>
      </c>
      <c r="M34" s="251">
        <f>+$D34*'[5]II-F Alloc_Factor'!L$17</f>
        <v>685691.79676786764</v>
      </c>
      <c r="N34" s="251">
        <f>+$D34*'[5]II-F Alloc_Factor'!M$17</f>
        <v>27593.139989471612</v>
      </c>
      <c r="O34" s="258">
        <f t="shared" si="2"/>
        <v>4139810.7312685638</v>
      </c>
    </row>
    <row r="35" spans="1:15" ht="15">
      <c r="A35" s="1">
        <v>18</v>
      </c>
      <c r="C35" s="183" t="s">
        <v>704</v>
      </c>
      <c r="D35" s="256">
        <v>5329922</v>
      </c>
      <c r="E35" s="66" t="s">
        <v>163</v>
      </c>
      <c r="F35" s="251">
        <f>+$D35*'[5]II-F Alloc_Factor'!E$17</f>
        <v>1173657.162110117</v>
      </c>
      <c r="G35" s="251">
        <f>+$D35*'[5]II-F Alloc_Factor'!F$17</f>
        <v>0</v>
      </c>
      <c r="H35" s="251">
        <f>+$D35*'[5]II-F Alloc_Factor'!G$17</f>
        <v>0</v>
      </c>
      <c r="I35" s="251">
        <f>+$D35*'[5]II-F Alloc_Factor'!H$17</f>
        <v>1173657.162110117</v>
      </c>
      <c r="J35" s="251">
        <f>+$D35*'[5]II-F Alloc_Factor'!I$17</f>
        <v>3237925.0094585046</v>
      </c>
      <c r="K35" s="251">
        <f>+$D35*'[5]II-F Alloc_Factor'!J$17</f>
        <v>0</v>
      </c>
      <c r="L35" s="251">
        <f>+$D35*'[5]II-F Alloc_Factor'!K$17</f>
        <v>3237925.0094585046</v>
      </c>
      <c r="M35" s="251">
        <f>+$D35*'[5]II-F Alloc_Factor'!L$17</f>
        <v>882814.22269096842</v>
      </c>
      <c r="N35" s="251">
        <f>+$D35*'[5]II-F Alloc_Factor'!M$17</f>
        <v>35525.605740409788</v>
      </c>
      <c r="O35" s="258">
        <f t="shared" si="2"/>
        <v>5329922</v>
      </c>
    </row>
    <row r="36" spans="1:15" ht="12.75">
      <c r="A36" s="1">
        <v>19</v>
      </c>
      <c r="D36" s="255"/>
      <c r="E36" s="66"/>
      <c r="F36" s="251"/>
      <c r="G36" s="251"/>
      <c r="H36" s="251"/>
      <c r="I36" s="251"/>
      <c r="J36" s="251"/>
      <c r="K36" s="251"/>
      <c r="L36" s="251"/>
      <c r="M36" s="251"/>
      <c r="N36" s="251"/>
      <c r="O36" s="251"/>
    </row>
    <row r="37" spans="1:15" ht="12.75">
      <c r="A37" s="1">
        <v>20</v>
      </c>
      <c r="C37" s="98" t="s">
        <v>701</v>
      </c>
      <c r="D37" s="255"/>
      <c r="E37" s="66"/>
      <c r="F37" s="251"/>
      <c r="G37" s="251"/>
      <c r="H37" s="251"/>
      <c r="I37" s="251"/>
      <c r="J37" s="251"/>
      <c r="K37" s="251"/>
      <c r="L37" s="251"/>
      <c r="M37" s="251"/>
      <c r="N37" s="251"/>
      <c r="O37" s="251"/>
    </row>
    <row r="38" spans="1:15" ht="12.75">
      <c r="A38" s="1">
        <v>21</v>
      </c>
      <c r="D38" s="255"/>
      <c r="E38" s="66"/>
      <c r="F38" s="251"/>
      <c r="G38" s="251"/>
      <c r="H38" s="251"/>
      <c r="I38" s="251"/>
      <c r="J38" s="251"/>
      <c r="K38" s="251"/>
      <c r="L38" s="251"/>
      <c r="M38" s="251"/>
      <c r="N38" s="251"/>
      <c r="O38" s="251"/>
    </row>
    <row r="39" spans="1:15" ht="12.75">
      <c r="A39" s="1">
        <v>22</v>
      </c>
      <c r="C39" t="s">
        <v>404</v>
      </c>
      <c r="D39" s="255">
        <f>+D21+D27+D33</f>
        <v>67105052</v>
      </c>
      <c r="E39" s="66" t="s">
        <v>163</v>
      </c>
      <c r="F39" s="255">
        <f t="shared" si="3" ref="F39:F41">+F21+F27+F33</f>
        <v>14776637.424257211</v>
      </c>
      <c r="G39" s="255">
        <f t="shared" si="4" ref="G39:N39">+G21+G27+G33</f>
        <v>0</v>
      </c>
      <c r="H39" s="255">
        <f t="shared" si="4"/>
        <v>0</v>
      </c>
      <c r="I39" s="255">
        <f t="shared" si="4"/>
        <v>14776637.424257211</v>
      </c>
      <c r="J39" s="255">
        <f t="shared" si="4"/>
        <v>40766286.285580426</v>
      </c>
      <c r="K39" s="255">
        <f t="shared" si="4"/>
        <v>0</v>
      </c>
      <c r="L39" s="255">
        <f t="shared" si="4"/>
        <v>40766286.285580426</v>
      </c>
      <c r="M39" s="255">
        <f t="shared" si="4"/>
        <v>11114852.022227909</v>
      </c>
      <c r="N39" s="255">
        <f t="shared" si="4"/>
        <v>447276.26793444576</v>
      </c>
      <c r="O39" s="258">
        <f t="shared" si="5" ref="O39:O41">+I39+L39+M39+N39</f>
        <v>67105051.999999993</v>
      </c>
    </row>
    <row r="40" spans="1:15" ht="12.75">
      <c r="A40" s="1">
        <v>23</v>
      </c>
      <c r="C40" t="s">
        <v>162</v>
      </c>
      <c r="D40" s="255">
        <f>+D22+D28+D34</f>
        <v>42446295.000684999</v>
      </c>
      <c r="E40" s="66" t="s">
        <v>163</v>
      </c>
      <c r="F40" s="255">
        <f t="shared" si="3"/>
        <v>9346740.5587910675</v>
      </c>
      <c r="G40" s="255">
        <f t="shared" si="6" ref="G40:N40">+G22+G28+G34</f>
        <v>0</v>
      </c>
      <c r="H40" s="255">
        <f t="shared" si="6"/>
        <v>0</v>
      </c>
      <c r="I40" s="255">
        <f t="shared" si="6"/>
        <v>9346740.5587910675</v>
      </c>
      <c r="J40" s="255">
        <f t="shared" si="6"/>
        <v>25786103.462972149</v>
      </c>
      <c r="K40" s="255">
        <f t="shared" si="6"/>
        <v>0</v>
      </c>
      <c r="L40" s="255">
        <f t="shared" si="6"/>
        <v>25786103.462972149</v>
      </c>
      <c r="M40" s="255">
        <f t="shared" si="6"/>
        <v>7030533.0785593614</v>
      </c>
      <c r="N40" s="255">
        <f t="shared" si="6"/>
        <v>282917.90036241844</v>
      </c>
      <c r="O40" s="258">
        <f t="shared" si="5"/>
        <v>42446295.000684999</v>
      </c>
    </row>
    <row r="41" spans="1:15" ht="12.75">
      <c r="A41" s="1">
        <v>24</v>
      </c>
      <c r="C41" s="183" t="s">
        <v>704</v>
      </c>
      <c r="D41" s="257">
        <f>+D23+D29+D35</f>
        <v>20129922</v>
      </c>
      <c r="E41" s="66" t="s">
        <v>163</v>
      </c>
      <c r="F41" s="257">
        <f t="shared" si="3"/>
        <v>4432640.3140642606</v>
      </c>
      <c r="G41" s="257">
        <f t="shared" si="7" ref="G41:N41">+G23+G29+G35</f>
        <v>0</v>
      </c>
      <c r="H41" s="257">
        <f t="shared" si="7"/>
        <v>0</v>
      </c>
      <c r="I41" s="257">
        <f t="shared" si="7"/>
        <v>4432640.3140642606</v>
      </c>
      <c r="J41" s="257">
        <f t="shared" si="7"/>
        <v>12228917.774453165</v>
      </c>
      <c r="K41" s="257">
        <f t="shared" si="7"/>
        <v>0</v>
      </c>
      <c r="L41" s="257">
        <f t="shared" si="7"/>
        <v>12228917.774453165</v>
      </c>
      <c r="M41" s="257">
        <f t="shared" si="7"/>
        <v>3334191.6529472335</v>
      </c>
      <c r="N41" s="257">
        <f t="shared" si="7"/>
        <v>134172.25853534089</v>
      </c>
      <c r="O41" s="258">
        <f t="shared" si="5"/>
        <v>20129922</v>
      </c>
    </row>
    <row r="42" spans="1:15" ht="12.75">
      <c r="A42" s="1">
        <v>25</v>
      </c>
      <c r="D42" s="185"/>
      <c r="E42" s="66"/>
      <c r="F42" s="66"/>
      <c r="G42" s="66"/>
      <c r="H42" s="66"/>
      <c r="I42" s="66"/>
      <c r="J42" s="66"/>
      <c r="K42" s="66"/>
      <c r="L42" s="66"/>
      <c r="M42" s="66"/>
      <c r="N42" s="66"/>
      <c r="O42" s="14"/>
    </row>
    <row r="43" spans="1:15" ht="12.75">
      <c r="A43" s="1">
        <v>26</v>
      </c>
      <c r="C43" t="s">
        <v>405</v>
      </c>
      <c r="D43" s="257">
        <f>-24658757+67105052</f>
        <v>42446295</v>
      </c>
      <c r="E43" s="66"/>
      <c r="F43" s="66"/>
      <c r="G43" s="66"/>
      <c r="H43" s="66"/>
      <c r="I43" s="66"/>
      <c r="J43" s="66"/>
      <c r="K43" s="66"/>
      <c r="L43" s="66"/>
      <c r="M43" s="66"/>
      <c r="N43" s="66"/>
      <c r="O43" s="14"/>
    </row>
    <row r="44" spans="1:15" ht="12.75">
      <c r="A44" s="1">
        <v>27</v>
      </c>
      <c r="C44" t="s">
        <v>406</v>
      </c>
      <c r="D44" s="257">
        <v>126557.35000000001</v>
      </c>
      <c r="E44" s="66"/>
      <c r="F44" s="66"/>
      <c r="G44" s="66"/>
      <c r="H44" s="66"/>
      <c r="I44" s="66"/>
      <c r="J44" s="66"/>
      <c r="K44" s="66"/>
      <c r="L44" s="66"/>
      <c r="M44" s="66"/>
      <c r="N44" s="66"/>
      <c r="O44" s="14"/>
    </row>
    <row r="45" spans="1:15" ht="12.75">
      <c r="A45" s="1">
        <v>28</v>
      </c>
      <c r="C45" t="s">
        <v>407</v>
      </c>
      <c r="D45" s="257">
        <v>31813148.449999999</v>
      </c>
      <c r="E45" s="66"/>
      <c r="F45" s="66"/>
      <c r="G45" s="66"/>
      <c r="H45" s="66"/>
      <c r="I45" s="66"/>
      <c r="J45" s="66"/>
      <c r="K45" s="66"/>
      <c r="L45" s="66"/>
      <c r="M45" s="66"/>
      <c r="N45" s="66"/>
      <c r="O45" s="14"/>
    </row>
    <row r="46" spans="1:15" ht="12.75">
      <c r="A46" s="1">
        <v>29</v>
      </c>
      <c r="C46" t="s">
        <v>408</v>
      </c>
      <c r="D46" s="257">
        <v>815649.77000000002</v>
      </c>
      <c r="E46" s="66"/>
      <c r="F46" s="66"/>
      <c r="G46" s="66"/>
      <c r="H46" s="66"/>
      <c r="I46" s="66"/>
      <c r="J46" s="66"/>
      <c r="K46" s="66"/>
      <c r="L46" s="66"/>
      <c r="M46" s="66"/>
      <c r="N46" s="66"/>
      <c r="O46" s="14"/>
    </row>
    <row r="47" spans="1:15" ht="12.75">
      <c r="A47" s="1">
        <v>30</v>
      </c>
      <c r="C47" t="s">
        <v>409</v>
      </c>
      <c r="D47" s="257">
        <v>-10918482.65</v>
      </c>
      <c r="E47" s="66"/>
      <c r="F47" s="66"/>
      <c r="G47" s="66"/>
      <c r="H47" s="66"/>
      <c r="I47" s="66"/>
      <c r="J47" s="66"/>
      <c r="K47" s="66"/>
      <c r="L47" s="66"/>
      <c r="M47" s="66"/>
      <c r="N47" s="66"/>
      <c r="O47" s="14"/>
    </row>
    <row r="48" spans="1:15" ht="12.75">
      <c r="A48" s="1">
        <v>31</v>
      </c>
      <c r="C48" t="s">
        <v>63</v>
      </c>
      <c r="D48" s="257">
        <f>2822597.6-713.52</f>
        <v>2821884.0800000001</v>
      </c>
      <c r="E48" s="66"/>
      <c r="F48" s="66"/>
      <c r="G48" s="66"/>
      <c r="H48" s="66"/>
      <c r="I48" s="66"/>
      <c r="J48" s="66"/>
      <c r="K48" s="66"/>
      <c r="L48" s="66"/>
      <c r="M48" s="66"/>
      <c r="N48" s="66"/>
      <c r="O48" s="14"/>
    </row>
    <row r="49" spans="1:15" ht="13.5" thickBot="1">
      <c r="A49" s="1">
        <v>32</v>
      </c>
      <c r="C49" t="s">
        <v>410</v>
      </c>
      <c r="D49" s="205">
        <f>SUM(D43:D48)</f>
        <v>67105051.999999993</v>
      </c>
      <c r="E49" s="66"/>
      <c r="F49" s="66"/>
      <c r="G49" s="66"/>
      <c r="H49" s="66"/>
      <c r="I49" s="66"/>
      <c r="J49" s="66"/>
      <c r="K49" s="66"/>
      <c r="L49" s="66"/>
      <c r="M49" s="66"/>
      <c r="N49" s="66"/>
      <c r="O49" s="14"/>
    </row>
    <row r="50" spans="1:15" ht="13.5" thickTop="1">
      <c r="A50" s="1">
        <v>33</v>
      </c>
      <c r="D50" s="185"/>
      <c r="E50" s="66"/>
      <c r="F50" s="66"/>
      <c r="G50" s="66"/>
      <c r="H50" s="66"/>
      <c r="I50" s="66"/>
      <c r="J50" s="66"/>
      <c r="K50" s="66"/>
      <c r="L50" s="66"/>
      <c r="M50" s="66"/>
      <c r="N50" s="66"/>
      <c r="O50" s="14"/>
    </row>
    <row r="51" spans="1:15" ht="12.75">
      <c r="A51" s="1">
        <v>34</v>
      </c>
      <c r="C51" s="183" t="s">
        <v>705</v>
      </c>
      <c r="D51" s="257">
        <f>+D41</f>
        <v>20129922</v>
      </c>
      <c r="E51" s="66"/>
      <c r="F51" s="66"/>
      <c r="G51" s="66"/>
      <c r="H51" s="66"/>
      <c r="I51" s="66"/>
      <c r="J51" s="66"/>
      <c r="K51" s="66"/>
      <c r="L51" s="66"/>
      <c r="M51" s="66"/>
      <c r="N51" s="66"/>
      <c r="O51" s="14"/>
    </row>
    <row r="52" spans="1:15" ht="12.75">
      <c r="A52" s="1">
        <v>35</v>
      </c>
      <c r="D52" s="185"/>
      <c r="E52" s="66"/>
      <c r="F52" s="66"/>
      <c r="G52" s="66"/>
      <c r="H52" s="66"/>
      <c r="I52" s="66"/>
      <c r="J52" s="66"/>
      <c r="K52" s="66"/>
      <c r="L52" s="66"/>
      <c r="M52" s="66"/>
      <c r="N52" s="66"/>
      <c r="O52" s="14"/>
    </row>
    <row r="53" spans="1:15" ht="12.75">
      <c r="A53" s="1">
        <v>36</v>
      </c>
      <c r="D53" s="185"/>
      <c r="E53" s="66"/>
      <c r="F53" s="66"/>
      <c r="G53" s="66"/>
      <c r="H53" s="66"/>
      <c r="I53" s="66"/>
      <c r="J53" s="66"/>
      <c r="K53" s="66"/>
      <c r="L53" s="66"/>
      <c r="M53" s="66"/>
      <c r="N53" s="66"/>
      <c r="O53" s="14"/>
    </row>
    <row r="54" spans="1:2" ht="12.75">
      <c r="A54" s="1">
        <v>37</v>
      </c>
      <c r="B54" s="106">
        <v>2020</v>
      </c>
    </row>
    <row r="55" spans="1:3" ht="12.75">
      <c r="A55" s="1">
        <v>38</v>
      </c>
      <c r="C55" s="98" t="s">
        <v>791</v>
      </c>
    </row>
    <row r="56" spans="1:1" ht="12.75">
      <c r="A56" s="1">
        <v>39</v>
      </c>
    </row>
    <row r="57" spans="1:15" ht="15">
      <c r="A57" s="1">
        <v>40</v>
      </c>
      <c r="C57" t="s">
        <v>404</v>
      </c>
      <c r="D57" s="256">
        <v>2425667</v>
      </c>
      <c r="E57" s="66" t="s">
        <v>163</v>
      </c>
      <c r="F57" s="251">
        <f>+$D57*'[5]II-F Alloc_Factor'!E$17</f>
        <v>534135.66792237514</v>
      </c>
      <c r="G57" s="251">
        <f>+$D57*'[5]II-F Alloc_Factor'!F$17</f>
        <v>0</v>
      </c>
      <c r="H57" s="251">
        <f>+$D57*'[5]II-F Alloc_Factor'!G$17</f>
        <v>0</v>
      </c>
      <c r="I57" s="251">
        <f>+$D57*'[5]II-F Alloc_Factor'!H$17</f>
        <v>534135.66792237514</v>
      </c>
      <c r="J57" s="251">
        <f>+$D57*'[5]II-F Alloc_Factor'!I$17</f>
        <v>1473591.516708534</v>
      </c>
      <c r="K57" s="251">
        <f>+$D57*'[5]II-F Alloc_Factor'!J$17</f>
        <v>0</v>
      </c>
      <c r="L57" s="251">
        <f>+$D57*'[5]II-F Alloc_Factor'!K$17</f>
        <v>1473591.516708534</v>
      </c>
      <c r="M57" s="251">
        <f>+$D57*'[5]II-F Alloc_Factor'!L$17</f>
        <v>401771.98223766376</v>
      </c>
      <c r="N57" s="251">
        <f>+$D57*'[5]II-F Alloc_Factor'!M$17</f>
        <v>16167.833131427173</v>
      </c>
      <c r="O57" s="258">
        <f t="shared" si="8" ref="O57:O59">+I57+L57+M57+N57</f>
        <v>2425666.9999999995</v>
      </c>
    </row>
    <row r="58" spans="1:15" ht="15">
      <c r="A58" s="1">
        <v>41</v>
      </c>
      <c r="C58" t="s">
        <v>162</v>
      </c>
      <c r="D58" s="256">
        <v>1544743.8884014164</v>
      </c>
      <c r="E58" s="66" t="s">
        <v>163</v>
      </c>
      <c r="F58" s="251">
        <f>+$D58*'[5]II-F Alloc_Factor'!E$17</f>
        <v>340155.02070164512</v>
      </c>
      <c r="G58" s="251">
        <f>+$D58*'[5]II-F Alloc_Factor'!F$17</f>
        <v>0</v>
      </c>
      <c r="H58" s="251">
        <f>+$D58*'[5]II-F Alloc_Factor'!G$17</f>
        <v>0</v>
      </c>
      <c r="I58" s="251">
        <f>+$D58*'[5]II-F Alloc_Factor'!H$17</f>
        <v>340155.02070164512</v>
      </c>
      <c r="J58" s="251">
        <f>+$D58*'[5]II-F Alloc_Factor'!I$17</f>
        <v>938431.15705316572</v>
      </c>
      <c r="K58" s="251">
        <f>+$D58*'[5]II-F Alloc_Factor'!J$17</f>
        <v>0</v>
      </c>
      <c r="L58" s="251">
        <f>+$D58*'[5]II-F Alloc_Factor'!K$17</f>
        <v>938431.15705316572</v>
      </c>
      <c r="M58" s="251">
        <f>+$D58*'[5]II-F Alloc_Factor'!L$17</f>
        <v>255861.50699686047</v>
      </c>
      <c r="N58" s="251">
        <f>+$D58*'[5]II-F Alloc_Factor'!M$17</f>
        <v>10296.203649745023</v>
      </c>
      <c r="O58" s="258">
        <f t="shared" si="8"/>
        <v>1544743.8884014164</v>
      </c>
    </row>
    <row r="59" spans="1:15" ht="15">
      <c r="A59" s="1">
        <v>42</v>
      </c>
      <c r="C59" s="183" t="s">
        <v>704</v>
      </c>
      <c r="D59" s="256">
        <v>0</v>
      </c>
      <c r="E59" s="66" t="s">
        <v>163</v>
      </c>
      <c r="F59" s="251">
        <f>+$D59*'[5]II-F Alloc_Factor'!E$17</f>
        <v>0</v>
      </c>
      <c r="G59" s="251">
        <f>+$D59*'[5]II-F Alloc_Factor'!F$17</f>
        <v>0</v>
      </c>
      <c r="H59" s="251">
        <f>+$D59*'[5]II-F Alloc_Factor'!G$17</f>
        <v>0</v>
      </c>
      <c r="I59" s="251">
        <f>+$D59*'[5]II-F Alloc_Factor'!H$17</f>
        <v>0</v>
      </c>
      <c r="J59" s="251">
        <f>+$D59*'[5]II-F Alloc_Factor'!I$17</f>
        <v>0</v>
      </c>
      <c r="K59" s="251">
        <f>+$D59*'[5]II-F Alloc_Factor'!J$17</f>
        <v>0</v>
      </c>
      <c r="L59" s="251">
        <f>+$D59*'[5]II-F Alloc_Factor'!K$17</f>
        <v>0</v>
      </c>
      <c r="M59" s="251">
        <f>+$D59*'[5]II-F Alloc_Factor'!L$17</f>
        <v>0</v>
      </c>
      <c r="N59" s="251">
        <f>+$D59*'[5]II-F Alloc_Factor'!M$17</f>
        <v>0</v>
      </c>
      <c r="O59" s="258">
        <f t="shared" si="8"/>
        <v>0</v>
      </c>
    </row>
    <row r="60" spans="1:15" ht="12.75">
      <c r="A60" s="1">
        <v>43</v>
      </c>
      <c r="D60" s="257"/>
      <c r="E60" s="66"/>
      <c r="F60" s="251"/>
      <c r="G60" s="251"/>
      <c r="H60" s="251"/>
      <c r="I60" s="251"/>
      <c r="J60" s="251"/>
      <c r="K60" s="251"/>
      <c r="L60" s="251"/>
      <c r="M60" s="251"/>
      <c r="N60" s="251"/>
      <c r="O60" s="258"/>
    </row>
    <row r="61" spans="1:15" ht="12.75">
      <c r="A61" s="1">
        <v>44</v>
      </c>
      <c r="C61" s="98" t="s">
        <v>699</v>
      </c>
      <c r="D61" s="255"/>
      <c r="E61" s="66"/>
      <c r="F61" s="251"/>
      <c r="G61" s="251"/>
      <c r="H61" s="251"/>
      <c r="I61" s="251"/>
      <c r="J61" s="251"/>
      <c r="K61" s="251"/>
      <c r="L61" s="251"/>
      <c r="M61" s="251"/>
      <c r="N61" s="251"/>
      <c r="O61" s="251"/>
    </row>
    <row r="62" spans="1:15" ht="12.75">
      <c r="A62" s="1">
        <v>45</v>
      </c>
      <c r="D62" s="255"/>
      <c r="E62" s="66"/>
      <c r="F62" s="251"/>
      <c r="G62" s="251"/>
      <c r="H62" s="251"/>
      <c r="I62" s="251"/>
      <c r="J62" s="251"/>
      <c r="K62" s="251"/>
      <c r="L62" s="251"/>
      <c r="M62" s="251"/>
      <c r="N62" s="251"/>
      <c r="O62" s="251"/>
    </row>
    <row r="63" spans="1:15" ht="15">
      <c r="A63" s="1">
        <v>46</v>
      </c>
      <c r="C63" t="s">
        <v>404</v>
      </c>
      <c r="D63" s="256">
        <v>58191363</v>
      </c>
      <c r="E63" s="66" t="s">
        <v>163</v>
      </c>
      <c r="F63" s="251">
        <f>+$D63*'[5]II-F Alloc_Factor'!E$17</f>
        <v>12813829.162584307</v>
      </c>
      <c r="G63" s="251">
        <f>+$D63*'[5]II-F Alloc_Factor'!F$17</f>
        <v>0</v>
      </c>
      <c r="H63" s="251">
        <f>+$D63*'[5]II-F Alloc_Factor'!G$17</f>
        <v>0</v>
      </c>
      <c r="I63" s="251">
        <f>+$D63*'[5]II-F Alloc_Factor'!H$17</f>
        <v>12813829.162584307</v>
      </c>
      <c r="J63" s="251">
        <f>+$D63*'[5]II-F Alloc_Factor'!I$17</f>
        <v>35351224.57555256</v>
      </c>
      <c r="K63" s="251">
        <f>+$D63*'[5]II-F Alloc_Factor'!J$17</f>
        <v>0</v>
      </c>
      <c r="L63" s="251">
        <f>+$D63*'[5]II-F Alloc_Factor'!K$17</f>
        <v>35351224.57555256</v>
      </c>
      <c r="M63" s="251">
        <f>+$D63*'[5]II-F Alloc_Factor'!L$17</f>
        <v>9638445.5333817229</v>
      </c>
      <c r="N63" s="251">
        <f>+$D63*'[5]II-F Alloc_Factor'!M$17</f>
        <v>387863.72848140547</v>
      </c>
      <c r="O63" s="258">
        <f t="shared" si="9" ref="O63:O65">+I63+L63+M63+N63</f>
        <v>58191362.999999993</v>
      </c>
    </row>
    <row r="64" spans="1:15" ht="15">
      <c r="A64" s="1">
        <v>47</v>
      </c>
      <c r="C64" t="s">
        <v>162</v>
      </c>
      <c r="D64" s="256">
        <v>37058158.581535846</v>
      </c>
      <c r="E64" s="66" t="s">
        <v>163</v>
      </c>
      <c r="F64" s="251">
        <f>+$D64*'[5]II-F Alloc_Factor'!E$17</f>
        <v>8160264.4905182561</v>
      </c>
      <c r="G64" s="251">
        <f>+$D64*'[5]II-F Alloc_Factor'!F$17</f>
        <v>0</v>
      </c>
      <c r="H64" s="251">
        <f>+$D64*'[5]II-F Alloc_Factor'!G$17</f>
        <v>0</v>
      </c>
      <c r="I64" s="251">
        <f>+$D64*'[5]II-F Alloc_Factor'!H$17</f>
        <v>8160264.4905182561</v>
      </c>
      <c r="J64" s="251">
        <f>+$D64*'[5]II-F Alloc_Factor'!I$17</f>
        <v>22512813.222338755</v>
      </c>
      <c r="K64" s="251">
        <f>+$D64*'[5]II-F Alloc_Factor'!J$17</f>
        <v>0</v>
      </c>
      <c r="L64" s="251">
        <f>+$D64*'[5]II-F Alloc_Factor'!K$17</f>
        <v>22512813.222338755</v>
      </c>
      <c r="M64" s="251">
        <f>+$D64*'[5]II-F Alloc_Factor'!L$17</f>
        <v>6138076.5914617907</v>
      </c>
      <c r="N64" s="251">
        <f>+$D64*'[5]II-F Alloc_Factor'!M$17</f>
        <v>247004.27721704482</v>
      </c>
      <c r="O64" s="258">
        <f t="shared" si="9"/>
        <v>37058158.581535846</v>
      </c>
    </row>
    <row r="65" spans="1:15" ht="15">
      <c r="A65" s="1">
        <v>48</v>
      </c>
      <c r="C65" s="183" t="s">
        <v>704</v>
      </c>
      <c r="D65" s="256">
        <v>101100000</v>
      </c>
      <c r="E65" s="66" t="s">
        <v>163</v>
      </c>
      <c r="F65" s="251">
        <f>+$D65*'[5]II-F Alloc_Factor'!E$17</f>
        <v>22262378.152875941</v>
      </c>
      <c r="G65" s="251">
        <f>+$D65*'[5]II-F Alloc_Factor'!F$17</f>
        <v>0</v>
      </c>
      <c r="H65" s="251">
        <f>+$D65*'[5]II-F Alloc_Factor'!G$17</f>
        <v>0</v>
      </c>
      <c r="I65" s="251">
        <f>+$D65*'[5]II-F Alloc_Factor'!H$17</f>
        <v>22262378.152875941</v>
      </c>
      <c r="J65" s="251">
        <f>+$D65*'[5]II-F Alloc_Factor'!I$17</f>
        <v>61418200.577091895</v>
      </c>
      <c r="K65" s="251">
        <f>+$D65*'[5]II-F Alloc_Factor'!J$17</f>
        <v>0</v>
      </c>
      <c r="L65" s="251">
        <f>+$D65*'[5]II-F Alloc_Factor'!K$17</f>
        <v>61418200.577091895</v>
      </c>
      <c r="M65" s="251">
        <f>+$D65*'[5]II-F Alloc_Factor'!L$17</f>
        <v>16745557.98641273</v>
      </c>
      <c r="N65" s="251">
        <f>+$D65*'[5]II-F Alloc_Factor'!M$17</f>
        <v>673863.28361942805</v>
      </c>
      <c r="O65" s="258">
        <f t="shared" si="9"/>
        <v>101100000</v>
      </c>
    </row>
    <row r="66" spans="1:15" ht="12.75">
      <c r="A66" s="1">
        <v>49</v>
      </c>
      <c r="D66" s="257"/>
      <c r="E66" s="66"/>
      <c r="F66" s="251"/>
      <c r="G66" s="251"/>
      <c r="H66" s="251"/>
      <c r="I66" s="251"/>
      <c r="J66" s="251"/>
      <c r="K66" s="251"/>
      <c r="L66" s="251"/>
      <c r="M66" s="251"/>
      <c r="N66" s="251"/>
      <c r="O66" s="251"/>
    </row>
    <row r="67" spans="1:15" ht="12.75">
      <c r="A67" s="1">
        <v>50</v>
      </c>
      <c r="C67" s="98" t="s">
        <v>700</v>
      </c>
      <c r="D67" s="255"/>
      <c r="E67" s="66"/>
      <c r="F67" s="251"/>
      <c r="G67" s="251"/>
      <c r="H67" s="251"/>
      <c r="I67" s="251"/>
      <c r="J67" s="251"/>
      <c r="K67" s="251"/>
      <c r="L67" s="251"/>
      <c r="M67" s="251"/>
      <c r="N67" s="251"/>
      <c r="O67" s="251"/>
    </row>
    <row r="68" spans="1:15" ht="12.75">
      <c r="A68" s="1">
        <v>51</v>
      </c>
      <c r="D68" s="255"/>
      <c r="E68" s="66"/>
      <c r="F68" s="251"/>
      <c r="G68" s="251"/>
      <c r="H68" s="251"/>
      <c r="I68" s="251"/>
      <c r="J68" s="251"/>
      <c r="K68" s="251"/>
      <c r="L68" s="251"/>
      <c r="M68" s="251"/>
      <c r="N68" s="251"/>
      <c r="O68" s="251"/>
    </row>
    <row r="69" spans="1:15" ht="15">
      <c r="A69" s="1">
        <v>52</v>
      </c>
      <c r="C69" t="s">
        <v>404</v>
      </c>
      <c r="D69" s="256">
        <v>6035169</v>
      </c>
      <c r="E69" s="66" t="s">
        <v>163</v>
      </c>
      <c r="F69" s="251">
        <f>+$D69*'[5]II-F Alloc_Factor'!E$17</f>
        <v>1328953.6547429687</v>
      </c>
      <c r="G69" s="251">
        <f>+$D69*'[5]II-F Alloc_Factor'!F$17</f>
        <v>0</v>
      </c>
      <c r="H69" s="251">
        <f>+$D69*'[5]II-F Alloc_Factor'!G$17</f>
        <v>0</v>
      </c>
      <c r="I69" s="251">
        <f>+$D69*'[5]II-F Alloc_Factor'!H$17</f>
        <v>1328953.6547429687</v>
      </c>
      <c r="J69" s="251">
        <f>+$D69*'[5]II-F Alloc_Factor'!I$17</f>
        <v>3666362.2171973009</v>
      </c>
      <c r="K69" s="251">
        <f>+$D69*'[5]II-F Alloc_Factor'!J$17</f>
        <v>0</v>
      </c>
      <c r="L69" s="251">
        <f>+$D69*'[5]II-F Alloc_Factor'!K$17</f>
        <v>3666362.2171973009</v>
      </c>
      <c r="M69" s="251">
        <f>+$D69*'[5]II-F Alloc_Factor'!L$17</f>
        <v>999626.82935015357</v>
      </c>
      <c r="N69" s="251">
        <f>+$D69*'[5]II-F Alloc_Factor'!M$17</f>
        <v>40226.298709576462</v>
      </c>
      <c r="O69" s="258">
        <f t="shared" si="10" ref="O69:O71">+I69+L69+M69+N69</f>
        <v>6035169</v>
      </c>
    </row>
    <row r="70" spans="1:15" ht="15">
      <c r="A70" s="1">
        <v>53</v>
      </c>
      <c r="C70" t="s">
        <v>162</v>
      </c>
      <c r="D70" s="256">
        <v>3843392.5300627365</v>
      </c>
      <c r="E70" s="66" t="s">
        <v>163</v>
      </c>
      <c r="F70" s="251">
        <f>+$D70*'[5]II-F Alloc_Factor'!E$17</f>
        <v>846321.04742032895</v>
      </c>
      <c r="G70" s="251">
        <f>+$D70*'[5]II-F Alloc_Factor'!F$17</f>
        <v>0</v>
      </c>
      <c r="H70" s="251">
        <f>+$D70*'[5]II-F Alloc_Factor'!G$17</f>
        <v>0</v>
      </c>
      <c r="I70" s="251">
        <f>+$D70*'[5]II-F Alloc_Factor'!H$17</f>
        <v>846321.04742032895</v>
      </c>
      <c r="J70" s="251">
        <f>+$D70*'[5]II-F Alloc_Factor'!I$17</f>
        <v>2334859.0831640936</v>
      </c>
      <c r="K70" s="251">
        <f>+$D70*'[5]II-F Alloc_Factor'!J$17</f>
        <v>0</v>
      </c>
      <c r="L70" s="251">
        <f>+$D70*'[5]II-F Alloc_Factor'!K$17</f>
        <v>2334859.0831640936</v>
      </c>
      <c r="M70" s="251">
        <f>+$D70*'[5]II-F Alloc_Factor'!L$17</f>
        <v>636594.97998725111</v>
      </c>
      <c r="N70" s="251">
        <f>+$D70*'[5]II-F Alloc_Factor'!M$17</f>
        <v>25617.419491062879</v>
      </c>
      <c r="O70" s="258">
        <f t="shared" si="10"/>
        <v>3843392.5300627365</v>
      </c>
    </row>
    <row r="71" spans="1:15" ht="15">
      <c r="A71" s="1">
        <v>54</v>
      </c>
      <c r="C71" s="183" t="s">
        <v>704</v>
      </c>
      <c r="D71" s="256">
        <v>4112952</v>
      </c>
      <c r="E71" s="66" t="s">
        <v>163</v>
      </c>
      <c r="F71" s="251">
        <f>+$D71*'[5]II-F Alloc_Factor'!E$17</f>
        <v>905678.46437811479</v>
      </c>
      <c r="G71" s="251">
        <f>+$D71*'[5]II-F Alloc_Factor'!F$17</f>
        <v>0</v>
      </c>
      <c r="H71" s="251">
        <f>+$D71*'[5]II-F Alloc_Factor'!G$17</f>
        <v>0</v>
      </c>
      <c r="I71" s="251">
        <f>+$D71*'[5]II-F Alloc_Factor'!H$17</f>
        <v>905678.46437811479</v>
      </c>
      <c r="J71" s="251">
        <f>+$D71*'[5]II-F Alloc_Factor'!I$17</f>
        <v>2498616.3293763725</v>
      </c>
      <c r="K71" s="251">
        <f>+$D71*'[5]II-F Alloc_Factor'!J$17</f>
        <v>0</v>
      </c>
      <c r="L71" s="251">
        <f>+$D71*'[5]II-F Alloc_Factor'!K$17</f>
        <v>2498616.3293763725</v>
      </c>
      <c r="M71" s="251">
        <f>+$D71*'[5]II-F Alloc_Factor'!L$17</f>
        <v>681243.0881437409</v>
      </c>
      <c r="N71" s="251">
        <f>+$D71*'[5]II-F Alloc_Factor'!M$17</f>
        <v>27414.118101771452</v>
      </c>
      <c r="O71" s="258">
        <f t="shared" si="10"/>
        <v>4112951.9999999995</v>
      </c>
    </row>
    <row r="72" spans="1:15" ht="12.75">
      <c r="A72" s="1">
        <v>55</v>
      </c>
      <c r="D72" s="255"/>
      <c r="E72" s="66"/>
      <c r="F72" s="251"/>
      <c r="G72" s="251"/>
      <c r="H72" s="251"/>
      <c r="I72" s="251"/>
      <c r="J72" s="251"/>
      <c r="K72" s="251"/>
      <c r="L72" s="251"/>
      <c r="M72" s="251"/>
      <c r="N72" s="251"/>
      <c r="O72" s="251"/>
    </row>
    <row r="73" spans="1:15" ht="12.75">
      <c r="A73" s="1">
        <v>56</v>
      </c>
      <c r="C73" s="98" t="s">
        <v>701</v>
      </c>
      <c r="D73" s="255"/>
      <c r="E73" s="66"/>
      <c r="F73" s="251"/>
      <c r="G73" s="251"/>
      <c r="H73" s="251"/>
      <c r="I73" s="251"/>
      <c r="J73" s="251"/>
      <c r="K73" s="251"/>
      <c r="L73" s="251"/>
      <c r="M73" s="251"/>
      <c r="N73" s="251"/>
      <c r="O73" s="251"/>
    </row>
    <row r="74" spans="1:15" ht="12.75">
      <c r="A74" s="1">
        <v>57</v>
      </c>
      <c r="D74" s="255"/>
      <c r="E74" s="66"/>
      <c r="F74" s="251"/>
      <c r="G74" s="251"/>
      <c r="H74" s="251"/>
      <c r="I74" s="251"/>
      <c r="J74" s="251"/>
      <c r="K74" s="251"/>
      <c r="L74" s="251"/>
      <c r="M74" s="251"/>
      <c r="N74" s="251"/>
      <c r="O74" s="251"/>
    </row>
    <row r="75" spans="1:15" ht="12.75">
      <c r="A75" s="1">
        <v>58</v>
      </c>
      <c r="C75" t="s">
        <v>404</v>
      </c>
      <c r="D75" s="255">
        <f>+D57+D63+D69</f>
        <v>66652199</v>
      </c>
      <c r="E75" s="66" t="s">
        <v>163</v>
      </c>
      <c r="F75" s="255">
        <f t="shared" si="11" ref="F75:F77">+F57+F63+F69</f>
        <v>14676918.485249652</v>
      </c>
      <c r="G75" s="255">
        <f t="shared" si="12" ref="G75:N75">+G57+G63+G69</f>
        <v>0</v>
      </c>
      <c r="H75" s="255">
        <f t="shared" si="12"/>
        <v>0</v>
      </c>
      <c r="I75" s="255">
        <f t="shared" si="12"/>
        <v>14676918.485249652</v>
      </c>
      <c r="J75" s="255">
        <f t="shared" si="12"/>
        <v>40491178.30945839</v>
      </c>
      <c r="K75" s="255">
        <f t="shared" si="12"/>
        <v>0</v>
      </c>
      <c r="L75" s="255">
        <f t="shared" si="12"/>
        <v>40491178.30945839</v>
      </c>
      <c r="M75" s="255">
        <f t="shared" si="12"/>
        <v>11039844.344969539</v>
      </c>
      <c r="N75" s="255">
        <f t="shared" si="12"/>
        <v>444257.86032240913</v>
      </c>
      <c r="O75" s="258">
        <f t="shared" si="13" ref="O75:O77">+I75+L75+M75+N75</f>
        <v>66652198.999999993</v>
      </c>
    </row>
    <row r="76" spans="1:15" ht="12.75">
      <c r="A76" s="1">
        <v>59</v>
      </c>
      <c r="C76" t="s">
        <v>162</v>
      </c>
      <c r="D76" s="255">
        <f>+D58+D64+D70</f>
        <v>42446295</v>
      </c>
      <c r="E76" s="66" t="s">
        <v>163</v>
      </c>
      <c r="F76" s="255">
        <f t="shared" si="11"/>
        <v>9346740.5586402304</v>
      </c>
      <c r="G76" s="255">
        <f t="shared" si="14" ref="G76:N76">+G58+G64+G70</f>
        <v>0</v>
      </c>
      <c r="H76" s="255">
        <f t="shared" si="14"/>
        <v>0</v>
      </c>
      <c r="I76" s="255">
        <f t="shared" si="14"/>
        <v>9346740.5586402304</v>
      </c>
      <c r="J76" s="255">
        <f t="shared" si="14"/>
        <v>25786103.462556012</v>
      </c>
      <c r="K76" s="255">
        <f t="shared" si="14"/>
        <v>0</v>
      </c>
      <c r="L76" s="255">
        <f t="shared" si="14"/>
        <v>25786103.462556012</v>
      </c>
      <c r="M76" s="255">
        <f t="shared" si="14"/>
        <v>7030533.0784459021</v>
      </c>
      <c r="N76" s="255">
        <f t="shared" si="14"/>
        <v>282917.90035785275</v>
      </c>
      <c r="O76" s="258">
        <f t="shared" si="13"/>
        <v>42446295</v>
      </c>
    </row>
    <row r="77" spans="1:15" ht="12.75">
      <c r="A77" s="1">
        <v>60</v>
      </c>
      <c r="C77" s="183" t="s">
        <v>704</v>
      </c>
      <c r="D77" s="257">
        <f>+D59+D65+D71</f>
        <v>105212952</v>
      </c>
      <c r="E77" s="66" t="s">
        <v>163</v>
      </c>
      <c r="F77" s="257">
        <f t="shared" si="11"/>
        <v>23168056.617254056</v>
      </c>
      <c r="G77" s="257">
        <f t="shared" si="15" ref="G77:N77">+G59+G65+G71</f>
        <v>0</v>
      </c>
      <c r="H77" s="257">
        <f t="shared" si="15"/>
        <v>0</v>
      </c>
      <c r="I77" s="257">
        <f t="shared" si="15"/>
        <v>23168056.617254056</v>
      </c>
      <c r="J77" s="257">
        <f t="shared" si="15"/>
        <v>63916816.906468265</v>
      </c>
      <c r="K77" s="257">
        <f t="shared" si="15"/>
        <v>0</v>
      </c>
      <c r="L77" s="257">
        <f t="shared" si="15"/>
        <v>63916816.906468265</v>
      </c>
      <c r="M77" s="257">
        <f t="shared" si="15"/>
        <v>17426801.07455647</v>
      </c>
      <c r="N77" s="257">
        <f t="shared" si="15"/>
        <v>701277.40172119951</v>
      </c>
      <c r="O77" s="258">
        <f t="shared" si="13"/>
        <v>105212951.99999999</v>
      </c>
    </row>
    <row r="78" spans="1:15" ht="12.75">
      <c r="A78" s="1">
        <v>61</v>
      </c>
      <c r="D78" s="185"/>
      <c r="E78" s="66"/>
      <c r="F78" s="66"/>
      <c r="G78" s="66"/>
      <c r="H78" s="66"/>
      <c r="I78" s="66"/>
      <c r="J78" s="66"/>
      <c r="K78" s="66"/>
      <c r="L78" s="66"/>
      <c r="M78" s="66"/>
      <c r="N78" s="66"/>
      <c r="O78" s="14"/>
    </row>
    <row r="79" spans="1:15" ht="12.75">
      <c r="A79" s="1">
        <v>62</v>
      </c>
      <c r="C79" t="s">
        <v>405</v>
      </c>
      <c r="D79" s="257">
        <v>42446295</v>
      </c>
      <c r="E79" s="66"/>
      <c r="F79" s="66"/>
      <c r="G79" s="66"/>
      <c r="H79" s="66"/>
      <c r="I79" s="66"/>
      <c r="J79" s="66"/>
      <c r="K79" s="66"/>
      <c r="L79" s="66"/>
      <c r="M79" s="66"/>
      <c r="N79" s="66"/>
      <c r="O79" s="14"/>
    </row>
    <row r="80" spans="1:15" ht="12.75">
      <c r="A80" s="1">
        <v>63</v>
      </c>
      <c r="C80" t="s">
        <v>406</v>
      </c>
      <c r="D80" s="257">
        <v>100317.82000000001</v>
      </c>
      <c r="E80" s="66"/>
      <c r="F80" s="66"/>
      <c r="G80" s="66"/>
      <c r="H80" s="66"/>
      <c r="I80" s="66"/>
      <c r="J80" s="66"/>
      <c r="K80" s="66"/>
      <c r="L80" s="66"/>
      <c r="M80" s="66"/>
      <c r="N80" s="66"/>
      <c r="O80" s="14"/>
    </row>
    <row r="81" spans="1:15" ht="12.75">
      <c r="A81" s="1">
        <v>64</v>
      </c>
      <c r="C81" t="s">
        <v>407</v>
      </c>
      <c r="D81" s="257">
        <v>32119647.940000001</v>
      </c>
      <c r="E81" s="66"/>
      <c r="F81" s="66"/>
      <c r="G81" s="66"/>
      <c r="H81" s="66"/>
      <c r="I81" s="66"/>
      <c r="J81" s="66"/>
      <c r="K81" s="66"/>
      <c r="L81" s="66"/>
      <c r="M81" s="66"/>
      <c r="N81" s="66"/>
      <c r="O81" s="14"/>
    </row>
    <row r="82" spans="1:15" ht="12.75">
      <c r="A82" s="1">
        <v>65</v>
      </c>
      <c r="C82" t="s">
        <v>408</v>
      </c>
      <c r="D82" s="257">
        <v>830231.29000000004</v>
      </c>
      <c r="E82" s="66"/>
      <c r="F82" s="66"/>
      <c r="G82" s="66"/>
      <c r="H82" s="66"/>
      <c r="I82" s="66"/>
      <c r="J82" s="66"/>
      <c r="K82" s="66"/>
      <c r="L82" s="66"/>
      <c r="M82" s="66"/>
      <c r="N82" s="66"/>
      <c r="O82" s="14"/>
    </row>
    <row r="83" spans="1:15" ht="12.75">
      <c r="A83" s="1">
        <v>66</v>
      </c>
      <c r="C83" t="s">
        <v>409</v>
      </c>
      <c r="D83" s="257">
        <v>-10985585.07</v>
      </c>
      <c r="E83" s="66"/>
      <c r="F83" s="66"/>
      <c r="G83" s="66"/>
      <c r="H83" s="66"/>
      <c r="I83" s="66"/>
      <c r="J83" s="66"/>
      <c r="K83" s="66"/>
      <c r="L83" s="66"/>
      <c r="M83" s="66"/>
      <c r="N83" s="66"/>
      <c r="O83" s="14"/>
    </row>
    <row r="84" spans="1:15" ht="12.75">
      <c r="A84" s="1">
        <v>67</v>
      </c>
      <c r="C84" t="s">
        <v>63</v>
      </c>
      <c r="D84" s="257">
        <v>2141292.02</v>
      </c>
      <c r="E84" s="66"/>
      <c r="F84" s="66"/>
      <c r="G84" s="66"/>
      <c r="H84" s="66"/>
      <c r="I84" s="66"/>
      <c r="J84" s="66"/>
      <c r="K84" s="66"/>
      <c r="L84" s="66"/>
      <c r="M84" s="66"/>
      <c r="N84" s="66"/>
      <c r="O84" s="14"/>
    </row>
    <row r="85" spans="1:15" ht="13.5" thickBot="1">
      <c r="A85" s="1">
        <v>68</v>
      </c>
      <c r="C85" t="s">
        <v>410</v>
      </c>
      <c r="D85" s="259">
        <f>SUM(D79:D84)</f>
        <v>66652199.000000015</v>
      </c>
      <c r="E85" s="66"/>
      <c r="F85" s="66"/>
      <c r="G85" s="66"/>
      <c r="H85" s="66"/>
      <c r="I85" s="66"/>
      <c r="J85" s="66"/>
      <c r="K85" s="66"/>
      <c r="L85" s="66"/>
      <c r="M85" s="66"/>
      <c r="N85" s="66"/>
      <c r="O85" s="14"/>
    </row>
    <row r="86" spans="1:15" ht="13.5" thickTop="1">
      <c r="A86" s="1">
        <v>69</v>
      </c>
      <c r="D86" s="185"/>
      <c r="E86" s="66"/>
      <c r="F86" s="66"/>
      <c r="G86" s="66"/>
      <c r="H86" s="66"/>
      <c r="I86" s="66"/>
      <c r="J86" s="66"/>
      <c r="K86" s="66"/>
      <c r="L86" s="66"/>
      <c r="M86" s="66"/>
      <c r="N86" s="66"/>
      <c r="O86" s="14"/>
    </row>
    <row r="87" spans="1:15" ht="15">
      <c r="A87" s="1">
        <v>70</v>
      </c>
      <c r="C87" s="183" t="s">
        <v>705</v>
      </c>
      <c r="D87" s="256">
        <f>+D77</f>
        <v>105212952</v>
      </c>
      <c r="E87" s="66"/>
      <c r="F87" s="66"/>
      <c r="G87" s="66"/>
      <c r="H87" s="66"/>
      <c r="I87" s="66"/>
      <c r="J87" s="66"/>
      <c r="K87" s="66"/>
      <c r="L87" s="66"/>
      <c r="M87" s="66"/>
      <c r="N87" s="66"/>
      <c r="O87" s="14"/>
    </row>
    <row r="88" spans="4:15" ht="12.75">
      <c r="D88" s="66"/>
      <c r="E88" s="66"/>
      <c r="F88" s="66"/>
      <c r="G88" s="66"/>
      <c r="H88" s="66"/>
      <c r="I88" s="66"/>
      <c r="J88" s="66"/>
      <c r="K88" s="66"/>
      <c r="L88" s="66"/>
      <c r="M88" s="66"/>
      <c r="N88" s="66"/>
      <c r="O88" s="66"/>
    </row>
    <row r="89" spans="4:15" ht="12.75">
      <c r="D89" s="66"/>
      <c r="E89" s="66"/>
      <c r="F89" s="66"/>
      <c r="G89" s="66"/>
      <c r="H89" s="66"/>
      <c r="I89" s="66"/>
      <c r="J89" s="66"/>
      <c r="K89" s="66"/>
      <c r="L89" s="66"/>
      <c r="M89" s="66"/>
      <c r="N89" s="66"/>
      <c r="O89" s="66"/>
    </row>
    <row r="90" spans="4:15" ht="12.75">
      <c r="D90" s="66"/>
      <c r="E90" s="66"/>
      <c r="F90" s="66"/>
      <c r="G90" s="66"/>
      <c r="H90" s="66"/>
      <c r="I90" s="66"/>
      <c r="J90" s="66"/>
      <c r="K90" s="66"/>
      <c r="L90" s="66"/>
      <c r="M90" s="66"/>
      <c r="N90" s="66"/>
      <c r="O90" s="66"/>
    </row>
    <row r="91" spans="4:15" ht="12.75">
      <c r="D91" s="66"/>
      <c r="E91" s="66"/>
      <c r="F91" s="66"/>
      <c r="G91" s="66"/>
      <c r="H91" s="66"/>
      <c r="I91" s="66"/>
      <c r="J91" s="66"/>
      <c r="K91" s="66"/>
      <c r="L91" s="66"/>
      <c r="M91" s="66"/>
      <c r="N91" s="66"/>
      <c r="O91" s="66"/>
    </row>
    <row r="92" spans="4:15" ht="12.75">
      <c r="D92" s="66"/>
      <c r="E92" s="66"/>
      <c r="F92" s="66"/>
      <c r="G92" s="66"/>
      <c r="H92" s="66"/>
      <c r="I92" s="66"/>
      <c r="J92" s="66"/>
      <c r="K92" s="66"/>
      <c r="L92" s="66"/>
      <c r="M92" s="66"/>
      <c r="N92" s="66"/>
      <c r="O92" s="66"/>
    </row>
    <row r="93" spans="4:15" ht="12.75">
      <c r="D93" s="66"/>
      <c r="E93" s="66"/>
      <c r="F93" s="66"/>
      <c r="G93" s="66"/>
      <c r="H93" s="66"/>
      <c r="I93" s="66"/>
      <c r="J93" s="66"/>
      <c r="K93" s="66"/>
      <c r="L93" s="66"/>
      <c r="M93" s="66"/>
      <c r="N93" s="66"/>
      <c r="O93" s="66"/>
    </row>
    <row r="94" spans="4:15" ht="12.75">
      <c r="D94" s="66"/>
      <c r="E94" s="66"/>
      <c r="F94" s="66"/>
      <c r="G94" s="66"/>
      <c r="H94" s="66"/>
      <c r="I94" s="66"/>
      <c r="J94" s="66"/>
      <c r="K94" s="66"/>
      <c r="L94" s="66"/>
      <c r="M94" s="66"/>
      <c r="N94" s="66"/>
      <c r="O94" s="66"/>
    </row>
    <row r="95" spans="4:15" ht="12.75">
      <c r="D95" s="66"/>
      <c r="E95" s="66"/>
      <c r="F95" s="66"/>
      <c r="G95" s="66"/>
      <c r="H95" s="66"/>
      <c r="I95" s="66"/>
      <c r="J95" s="66"/>
      <c r="K95" s="66"/>
      <c r="L95" s="66"/>
      <c r="M95" s="66"/>
      <c r="N95" s="66"/>
      <c r="O95" s="66"/>
    </row>
    <row r="96" spans="4:15" ht="12.75">
      <c r="D96" s="66"/>
      <c r="E96" s="66"/>
      <c r="F96" s="66"/>
      <c r="G96" s="66"/>
      <c r="H96" s="66"/>
      <c r="I96" s="66"/>
      <c r="J96" s="66"/>
      <c r="K96" s="66"/>
      <c r="L96" s="66"/>
      <c r="M96" s="66"/>
      <c r="N96" s="66"/>
      <c r="O96" s="66"/>
    </row>
    <row r="97" spans="4:15" ht="12.75">
      <c r="D97" s="66"/>
      <c r="E97" s="66"/>
      <c r="F97" s="66"/>
      <c r="G97" s="66"/>
      <c r="H97" s="66"/>
      <c r="I97" s="66"/>
      <c r="J97" s="66"/>
      <c r="K97" s="66"/>
      <c r="L97" s="66"/>
      <c r="M97" s="66"/>
      <c r="N97" s="66"/>
      <c r="O97" s="66"/>
    </row>
    <row r="98" spans="4:15" ht="12.75">
      <c r="D98" s="66"/>
      <c r="E98" s="66"/>
      <c r="F98" s="66"/>
      <c r="G98" s="66"/>
      <c r="H98" s="66"/>
      <c r="I98" s="66"/>
      <c r="J98" s="66"/>
      <c r="K98" s="66"/>
      <c r="L98" s="66"/>
      <c r="M98" s="66"/>
      <c r="N98" s="66"/>
      <c r="O98" s="66"/>
    </row>
    <row r="99" spans="4:15" ht="12.75">
      <c r="D99" s="66"/>
      <c r="E99" s="66"/>
      <c r="F99" s="66"/>
      <c r="G99" s="66"/>
      <c r="H99" s="66"/>
      <c r="I99" s="66"/>
      <c r="J99" s="66"/>
      <c r="K99" s="66"/>
      <c r="L99" s="66"/>
      <c r="M99" s="66"/>
      <c r="N99" s="66"/>
      <c r="O99" s="66"/>
    </row>
    <row r="100" spans="4:15" ht="12.75">
      <c r="D100" s="66"/>
      <c r="E100" s="66"/>
      <c r="F100" s="66"/>
      <c r="G100" s="66"/>
      <c r="H100" s="66"/>
      <c r="I100" s="66"/>
      <c r="J100" s="66"/>
      <c r="K100" s="66"/>
      <c r="L100" s="66"/>
      <c r="M100" s="66"/>
      <c r="N100" s="66"/>
      <c r="O100" s="66"/>
    </row>
    <row r="101" spans="4:15" ht="12.75">
      <c r="D101" s="66"/>
      <c r="E101" s="66"/>
      <c r="F101" s="66"/>
      <c r="G101" s="66"/>
      <c r="H101" s="66"/>
      <c r="I101" s="66"/>
      <c r="J101" s="66"/>
      <c r="K101" s="66"/>
      <c r="L101" s="66"/>
      <c r="M101" s="66"/>
      <c r="N101" s="66"/>
      <c r="O101" s="66"/>
    </row>
    <row r="102" spans="4:15" ht="12.75">
      <c r="D102" s="66"/>
      <c r="E102" s="66"/>
      <c r="F102" s="66"/>
      <c r="G102" s="66"/>
      <c r="H102" s="66"/>
      <c r="I102" s="66"/>
      <c r="J102" s="66"/>
      <c r="K102" s="66"/>
      <c r="L102" s="66"/>
      <c r="M102" s="66"/>
      <c r="N102" s="66"/>
      <c r="O102" s="66"/>
    </row>
    <row r="103" spans="4:15" ht="12.75">
      <c r="D103" s="66"/>
      <c r="E103" s="66"/>
      <c r="F103" s="66"/>
      <c r="G103" s="66"/>
      <c r="H103" s="66"/>
      <c r="I103" s="66"/>
      <c r="J103" s="66"/>
      <c r="K103" s="66"/>
      <c r="L103" s="66"/>
      <c r="M103" s="66"/>
      <c r="N103" s="66"/>
      <c r="O103" s="66"/>
    </row>
    <row r="104" spans="4:15" ht="12.75">
      <c r="D104" s="66"/>
      <c r="E104" s="66"/>
      <c r="F104" s="66"/>
      <c r="G104" s="66"/>
      <c r="H104" s="66"/>
      <c r="I104" s="66"/>
      <c r="J104" s="66"/>
      <c r="K104" s="66"/>
      <c r="L104" s="66"/>
      <c r="M104" s="66"/>
      <c r="N104" s="66"/>
      <c r="O104" s="66"/>
    </row>
    <row r="105" spans="4:15" ht="12.75">
      <c r="D105" s="66"/>
      <c r="E105" s="66"/>
      <c r="F105" s="66"/>
      <c r="G105" s="66"/>
      <c r="H105" s="66"/>
      <c r="I105" s="66"/>
      <c r="J105" s="66"/>
      <c r="K105" s="66"/>
      <c r="L105" s="66"/>
      <c r="M105" s="66"/>
      <c r="N105" s="66"/>
      <c r="O105" s="66"/>
    </row>
    <row r="106" spans="4:15" ht="12.75">
      <c r="D106" s="66"/>
      <c r="E106" s="66"/>
      <c r="F106" s="66"/>
      <c r="G106" s="66"/>
      <c r="H106" s="66"/>
      <c r="I106" s="66"/>
      <c r="J106" s="66"/>
      <c r="K106" s="66"/>
      <c r="L106" s="66"/>
      <c r="M106" s="66"/>
      <c r="N106" s="66"/>
      <c r="O106" s="66"/>
    </row>
    <row r="107" spans="4:15" ht="12.75">
      <c r="D107" s="66"/>
      <c r="E107" s="66"/>
      <c r="F107" s="66"/>
      <c r="G107" s="66"/>
      <c r="H107" s="66"/>
      <c r="I107" s="66"/>
      <c r="J107" s="66"/>
      <c r="K107" s="66"/>
      <c r="L107" s="66"/>
      <c r="M107" s="66"/>
      <c r="N107" s="66"/>
      <c r="O107" s="66"/>
    </row>
    <row r="108" spans="4:15" ht="12.75">
      <c r="D108" s="66"/>
      <c r="E108" s="66"/>
      <c r="F108" s="66"/>
      <c r="G108" s="66"/>
      <c r="H108" s="66"/>
      <c r="I108" s="66"/>
      <c r="J108" s="66"/>
      <c r="K108" s="66"/>
      <c r="L108" s="66"/>
      <c r="M108" s="66"/>
      <c r="N108" s="66"/>
      <c r="O108" s="66"/>
    </row>
    <row r="109" spans="4:15" ht="12.75">
      <c r="D109" s="66"/>
      <c r="E109" s="66"/>
      <c r="F109" s="66"/>
      <c r="G109" s="66"/>
      <c r="H109" s="66"/>
      <c r="I109" s="66"/>
      <c r="J109" s="66"/>
      <c r="K109" s="66"/>
      <c r="L109" s="66"/>
      <c r="M109" s="66"/>
      <c r="N109" s="66"/>
      <c r="O109" s="66"/>
    </row>
    <row r="110" spans="4:15" ht="12.75">
      <c r="D110" s="66"/>
      <c r="E110" s="66"/>
      <c r="F110" s="66"/>
      <c r="G110" s="66"/>
      <c r="H110" s="66"/>
      <c r="I110" s="66"/>
      <c r="J110" s="66"/>
      <c r="K110" s="66"/>
      <c r="L110" s="66"/>
      <c r="M110" s="66"/>
      <c r="N110" s="66"/>
      <c r="O110" s="66"/>
    </row>
    <row r="111" spans="4:15" ht="12.75">
      <c r="D111" s="66"/>
      <c r="E111" s="66"/>
      <c r="F111" s="66"/>
      <c r="G111" s="66"/>
      <c r="H111" s="66"/>
      <c r="I111" s="66"/>
      <c r="J111" s="66"/>
      <c r="K111" s="66"/>
      <c r="L111" s="66"/>
      <c r="M111" s="66"/>
      <c r="N111" s="66"/>
      <c r="O111" s="66"/>
    </row>
    <row r="112" spans="4:15" ht="12.75">
      <c r="D112" s="66"/>
      <c r="E112" s="66"/>
      <c r="F112" s="66"/>
      <c r="G112" s="66"/>
      <c r="H112" s="66"/>
      <c r="I112" s="66"/>
      <c r="J112" s="66"/>
      <c r="K112" s="66"/>
      <c r="L112" s="66"/>
      <c r="M112" s="66"/>
      <c r="N112" s="66"/>
      <c r="O112" s="66"/>
    </row>
    <row r="113" spans="4:15" ht="12.75">
      <c r="D113" s="66"/>
      <c r="E113" s="66"/>
      <c r="F113" s="66"/>
      <c r="G113" s="66"/>
      <c r="H113" s="66"/>
      <c r="I113" s="66"/>
      <c r="J113" s="66"/>
      <c r="K113" s="66"/>
      <c r="L113" s="66"/>
      <c r="M113" s="66"/>
      <c r="N113" s="66"/>
      <c r="O113" s="66"/>
    </row>
    <row r="114" spans="4:15" ht="12.75">
      <c r="D114" s="66"/>
      <c r="E114" s="66"/>
      <c r="F114" s="66"/>
      <c r="G114" s="66"/>
      <c r="H114" s="66"/>
      <c r="I114" s="66"/>
      <c r="J114" s="66"/>
      <c r="K114" s="66"/>
      <c r="L114" s="66"/>
      <c r="M114" s="66"/>
      <c r="N114" s="66"/>
      <c r="O114" s="66"/>
    </row>
    <row r="115" spans="4:15" ht="12.75">
      <c r="D115" s="66"/>
      <c r="E115" s="66"/>
      <c r="F115" s="66"/>
      <c r="G115" s="66"/>
      <c r="H115" s="66"/>
      <c r="I115" s="66"/>
      <c r="J115" s="66"/>
      <c r="K115" s="66"/>
      <c r="L115" s="66"/>
      <c r="M115" s="66"/>
      <c r="N115" s="66"/>
      <c r="O115" s="66"/>
    </row>
  </sheetData>
  <printOptions horizontalCentered="1"/>
  <pageMargins left="0.5" right="0.5" top="3" bottom="0.5" header="1.5" footer="0.5"/>
  <pageSetup fitToHeight="0" orientation="landscape" scale="54" r:id="rId1"/>
  <headerFooter alignWithMargins="0">
    <oddHeader>&amp;C&amp;B
2022 RATE CASE
ONCOR ELECTRIC DELIVERY COMPANY LLC
II-D-3.8  PENSION EXPENSE
TEST YEAR ENDING DECEMBER 31, 2021
SPONSORS: W. ALAN LEDBETTER/ A. GUILLORY/ K. FEASE&amp;R&amp;"Arial,Bold"Schedule &amp;A
Page &amp;P of &amp;N</oddHeader>
  </headerFooter>
  <rowBreaks count="1" manualBreakCount="1">
    <brk id="53" max="10" man="1"/>
  </rowBreak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93">
    <tabColor rgb="FFFF0000"/>
    <pageSetUpPr fitToPage="1"/>
  </sheetPr>
  <dimension ref="A1:L53"/>
  <sheetViews>
    <sheetView workbookViewId="0" topLeftCell="A1">
      <pane ySplit="6" topLeftCell="A7" activePane="bottomLeft" state="frozen"/>
      <selection pane="topLeft" activeCell="E15" sqref="E15"/>
      <selection pane="bottomLeft" activeCell="G31" sqref="G31"/>
    </sheetView>
  </sheetViews>
  <sheetFormatPr defaultRowHeight="12.75"/>
  <cols>
    <col min="1" max="1" width="96" bestFit="1" customWidth="1"/>
    <col min="2" max="2" width="4.42857142857143" customWidth="1"/>
    <col min="3" max="3" width="16.8571428571429" bestFit="1" customWidth="1"/>
    <col min="4" max="5" width="12.7142857142857" customWidth="1"/>
    <col min="6" max="6" width="14.1428571428571" bestFit="1" customWidth="1"/>
    <col min="8" max="8" width="10.2857142857143" bestFit="1" customWidth="1"/>
    <col min="10" max="10" width="15" bestFit="1" customWidth="1"/>
    <col min="11" max="11" width="14.8571428571429" customWidth="1"/>
  </cols>
  <sheetData>
    <row r="1" spans="1:1" s="204" customFormat="1" ht="15">
      <c r="A1" s="5" t="str">
        <f>+'[3]Input Data'!$A$9</f>
        <v>2022 RATE CASE</v>
      </c>
    </row>
    <row r="2" spans="1:1" ht="12.75">
      <c r="A2" s="8" t="str">
        <f>+'[3]Input Data'!$A$2</f>
        <v>ONCOR ELECTRIC DELIVERY COMPANY LLC</v>
      </c>
    </row>
    <row r="3" spans="1:1" ht="12.75">
      <c r="A3" s="7" t="str">
        <f>CONCATENATE('[3]Schedule Sponsors'!$A$77,'[3]Schedule Sponsors'!$B$77)</f>
        <v>II-D-3.9  POSTRETIREMENT BENEFITS OTHER THAN PENSION</v>
      </c>
    </row>
    <row r="4" spans="1:1" ht="12.75">
      <c r="A4" s="63" t="str">
        <f>+'[3]Input Data'!$A$4</f>
        <v>TEST YEAR ENDING DECEMBER 31, 2021</v>
      </c>
    </row>
    <row r="5" spans="1:1" ht="12.75">
      <c r="A5" s="7" t="str">
        <f>CONCATENATE("SPONSORS: ",'[3]Schedule Sponsors'!$D$76)</f>
        <v>SPONSORS: W. ALAN LEDBETTER/ A. GUILLORY/ K. FEASE</v>
      </c>
    </row>
    <row r="10" spans="1:12" ht="12.75">
      <c r="A10" s="61"/>
      <c r="B10" s="18"/>
      <c r="C10" s="18"/>
      <c r="D10" s="61"/>
      <c r="E10" s="18"/>
      <c r="F10" s="18"/>
      <c r="G10" s="18"/>
      <c r="H10" s="18"/>
      <c r="I10" s="18"/>
      <c r="J10" s="18"/>
      <c r="K10" s="18"/>
      <c r="L10" s="96"/>
    </row>
    <row r="11" spans="1:1" s="95" customFormat="1" ht="30">
      <c r="A11" s="352" t="s">
        <v>1055</v>
      </c>
    </row>
    <row r="13" spans="1:1" ht="14.25">
      <c r="A13" s="275" t="s">
        <v>649</v>
      </c>
    </row>
    <row r="27" spans="1:1" ht="12.75">
      <c r="A27" s="5"/>
    </row>
    <row r="32" spans="4:11" ht="12.75">
      <c r="D32" s="66"/>
      <c r="E32" s="66"/>
      <c r="F32" s="66"/>
      <c r="G32" s="66"/>
      <c r="H32" s="66"/>
      <c r="I32" s="66"/>
      <c r="J32" s="66"/>
      <c r="K32" s="66"/>
    </row>
    <row r="33" spans="4:11" ht="12.75">
      <c r="D33" s="66"/>
      <c r="E33" s="66"/>
      <c r="F33" s="66"/>
      <c r="G33" s="66"/>
      <c r="H33" s="66"/>
      <c r="I33" s="66"/>
      <c r="J33" s="66"/>
      <c r="K33" s="66"/>
    </row>
    <row r="34" spans="4:11" ht="12.75">
      <c r="D34" s="66"/>
      <c r="E34" s="66"/>
      <c r="F34" s="66"/>
      <c r="G34" s="66"/>
      <c r="H34" s="66"/>
      <c r="I34" s="66"/>
      <c r="J34" s="66"/>
      <c r="K34" s="66"/>
    </row>
    <row r="35" spans="4:11" ht="12.75">
      <c r="D35" s="66"/>
      <c r="E35" s="66"/>
      <c r="F35" s="66"/>
      <c r="G35" s="66"/>
      <c r="H35" s="66"/>
      <c r="I35" s="66"/>
      <c r="J35" s="66"/>
      <c r="K35" s="66"/>
    </row>
    <row r="36" spans="4:11" ht="12.75">
      <c r="D36" s="66"/>
      <c r="E36" s="66"/>
      <c r="F36" s="66"/>
      <c r="G36" s="66"/>
      <c r="H36" s="66"/>
      <c r="I36" s="66"/>
      <c r="J36" s="66"/>
      <c r="K36" s="66"/>
    </row>
    <row r="37" spans="4:11" ht="12.75">
      <c r="D37" s="66"/>
      <c r="E37" s="66"/>
      <c r="F37" s="66"/>
      <c r="G37" s="66"/>
      <c r="H37" s="66"/>
      <c r="I37" s="66"/>
      <c r="J37" s="66"/>
      <c r="K37" s="66"/>
    </row>
    <row r="38" spans="4:11" ht="12.75">
      <c r="D38" s="66"/>
      <c r="E38" s="66"/>
      <c r="F38" s="66"/>
      <c r="G38" s="66"/>
      <c r="H38" s="66"/>
      <c r="I38" s="66"/>
      <c r="J38" s="66"/>
      <c r="K38" s="66"/>
    </row>
    <row r="39" spans="4:11" ht="12.75">
      <c r="D39" s="66"/>
      <c r="E39" s="66"/>
      <c r="F39" s="66"/>
      <c r="G39" s="66"/>
      <c r="H39" s="66"/>
      <c r="I39" s="66"/>
      <c r="J39" s="66"/>
      <c r="K39" s="66"/>
    </row>
    <row r="40" spans="4:11" ht="12.75">
      <c r="D40" s="66"/>
      <c r="E40" s="66"/>
      <c r="F40" s="66"/>
      <c r="G40" s="66"/>
      <c r="H40" s="66"/>
      <c r="I40" s="66"/>
      <c r="J40" s="66"/>
      <c r="K40" s="66"/>
    </row>
    <row r="41" spans="4:11" ht="12.75">
      <c r="D41" s="66"/>
      <c r="E41" s="66"/>
      <c r="F41" s="66"/>
      <c r="G41" s="66"/>
      <c r="H41" s="66"/>
      <c r="I41" s="66"/>
      <c r="J41" s="66"/>
      <c r="K41" s="66"/>
    </row>
    <row r="42" spans="4:11" ht="12.75">
      <c r="D42" s="66"/>
      <c r="E42" s="66"/>
      <c r="F42" s="66"/>
      <c r="G42" s="66"/>
      <c r="H42" s="66"/>
      <c r="I42" s="66"/>
      <c r="J42" s="66"/>
      <c r="K42" s="66"/>
    </row>
    <row r="43" spans="4:11" ht="12.75">
      <c r="D43" s="66"/>
      <c r="E43" s="66"/>
      <c r="F43" s="66"/>
      <c r="G43" s="66"/>
      <c r="H43" s="66"/>
      <c r="I43" s="66"/>
      <c r="J43" s="66"/>
      <c r="K43" s="66"/>
    </row>
    <row r="44" spans="4:11" ht="12.75">
      <c r="D44" s="66"/>
      <c r="E44" s="66"/>
      <c r="F44" s="66"/>
      <c r="G44" s="66"/>
      <c r="H44" s="66"/>
      <c r="I44" s="66"/>
      <c r="J44" s="66"/>
      <c r="K44" s="66"/>
    </row>
    <row r="45" spans="4:11" ht="12.75">
      <c r="D45" s="66"/>
      <c r="E45" s="66"/>
      <c r="F45" s="66"/>
      <c r="G45" s="66"/>
      <c r="H45" s="66"/>
      <c r="I45" s="66"/>
      <c r="J45" s="66"/>
      <c r="K45" s="66"/>
    </row>
    <row r="46" spans="4:11" ht="12.75">
      <c r="D46" s="66"/>
      <c r="E46" s="66"/>
      <c r="F46" s="66"/>
      <c r="G46" s="66"/>
      <c r="H46" s="66"/>
      <c r="I46" s="66"/>
      <c r="J46" s="66"/>
      <c r="K46" s="66"/>
    </row>
    <row r="47" spans="4:11" ht="12.75">
      <c r="D47" s="66"/>
      <c r="E47" s="66"/>
      <c r="F47" s="66"/>
      <c r="G47" s="66"/>
      <c r="H47" s="66"/>
      <c r="I47" s="66"/>
      <c r="J47" s="66"/>
      <c r="K47" s="66"/>
    </row>
    <row r="48" spans="4:11" ht="12.75">
      <c r="D48" s="66"/>
      <c r="E48" s="66"/>
      <c r="F48" s="66"/>
      <c r="G48" s="66"/>
      <c r="H48" s="66"/>
      <c r="I48" s="66"/>
      <c r="J48" s="66"/>
      <c r="K48" s="66"/>
    </row>
    <row r="49" spans="4:11" ht="12.75">
      <c r="D49" s="66"/>
      <c r="E49" s="66"/>
      <c r="F49" s="66"/>
      <c r="G49" s="66"/>
      <c r="H49" s="66"/>
      <c r="I49" s="66"/>
      <c r="J49" s="66"/>
      <c r="K49" s="66"/>
    </row>
    <row r="50" spans="4:11" ht="12.75">
      <c r="D50" s="66"/>
      <c r="E50" s="66"/>
      <c r="F50" s="66"/>
      <c r="G50" s="66"/>
      <c r="H50" s="66"/>
      <c r="I50" s="66"/>
      <c r="J50" s="66"/>
      <c r="K50" s="66"/>
    </row>
    <row r="51" spans="4:11" ht="12.75">
      <c r="D51" s="66"/>
      <c r="E51" s="66"/>
      <c r="F51" s="66"/>
      <c r="G51" s="66"/>
      <c r="H51" s="66"/>
      <c r="I51" s="66"/>
      <c r="J51" s="66"/>
      <c r="K51" s="66"/>
    </row>
    <row r="52" spans="4:11" ht="12.75">
      <c r="D52" s="66"/>
      <c r="E52" s="66"/>
      <c r="F52" s="66"/>
      <c r="G52" s="66"/>
      <c r="H52" s="66"/>
      <c r="I52" s="66"/>
      <c r="J52" s="66"/>
      <c r="K52" s="66"/>
    </row>
    <row r="53" spans="4:11" ht="12.75">
      <c r="D53" s="66"/>
      <c r="E53" s="66"/>
      <c r="F53" s="66"/>
      <c r="G53" s="66"/>
      <c r="H53" s="66"/>
      <c r="I53" s="66"/>
      <c r="J53" s="66"/>
      <c r="K53" s="66"/>
    </row>
  </sheetData>
  <printOptions horizontalCentered="1"/>
  <pageMargins left="0.5" right="0.5" top="3.25" bottom="0.5" header="1.5" footer="0.5"/>
  <pageSetup fitToHeight="0" orientation="landscape" r:id="rId1"/>
  <headerFooter alignWithMargins="0">
    <oddHeader>&amp;C&amp;B
2022 RATE CASE
ONCOR ELECTRIC DELIVERY COMPANY LLC
II-D-3.9  POSTRETIREMENT BENEFITS OTHER THAN PENSION
TEST YEAR ENDING DECEMBER 31, 2021
SPONSORS: W. ALAN LEDBETTER/ A. GUILLORY/ K. FEASE&amp;R&amp;"Arial,Bold"Schedule &amp;A
Page &amp;P of &amp;N</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1">
    <tabColor rgb="FFFF0000"/>
    <pageSetUpPr fitToPage="1"/>
  </sheetPr>
  <dimension ref="A1:B16"/>
  <sheetViews>
    <sheetView workbookViewId="0" topLeftCell="A1">
      <pane ySplit="6" topLeftCell="A7" activePane="bottomLeft" state="frozen"/>
      <selection pane="topLeft" activeCell="D16" sqref="D16"/>
      <selection pane="bottomLeft" activeCell="A1" sqref="A1:A5"/>
    </sheetView>
  </sheetViews>
  <sheetFormatPr defaultRowHeight="12.75"/>
  <cols>
    <col min="2" max="5" width="13.7142857142857" customWidth="1"/>
  </cols>
  <sheetData>
    <row r="1" spans="1:1" ht="12.75">
      <c r="A1" s="5" t="str">
        <f>+'[3]Input Data'!$A$9</f>
        <v>2022 RATE CASE</v>
      </c>
    </row>
    <row r="2" spans="1:1" ht="12.75">
      <c r="A2" s="8" t="str">
        <f>+'[3]Input Data'!$A$2</f>
        <v>ONCOR ELECTRIC DELIVERY COMPANY LLC</v>
      </c>
    </row>
    <row r="3" spans="1:1" ht="12.75">
      <c r="A3" s="7" t="str">
        <f>CONCATENATE('[3]Schedule Sponsors'!$A$77,'[3]Schedule Sponsors'!$B$77)</f>
        <v>II-D-3.9  POSTRETIREMENT BENEFITS OTHER THAN PENSION</v>
      </c>
    </row>
    <row r="4" spans="1:1" ht="12.75">
      <c r="A4" s="63" t="str">
        <f>+'[3]Input Data'!$A$4</f>
        <v>TEST YEAR ENDING DECEMBER 31, 2021</v>
      </c>
    </row>
    <row r="5" spans="1:1" ht="12.75">
      <c r="A5" s="7" t="str">
        <f>CONCATENATE("SPONSORS: ",'[3]Schedule Sponsors'!$D$76)</f>
        <v>SPONSORS: W. ALAN LEDBETTER/ A. GUILLORY/ K. FEASE</v>
      </c>
    </row>
    <row r="10" spans="1:1" ht="15">
      <c r="A10" s="276" t="s">
        <v>696</v>
      </c>
    </row>
    <row r="11" spans="1:1" ht="15">
      <c r="A11" s="276" t="s">
        <v>650</v>
      </c>
    </row>
    <row r="12" spans="1:1" ht="15">
      <c r="A12" s="276" t="s">
        <v>651</v>
      </c>
    </row>
    <row r="15" spans="2:2" ht="14.25">
      <c r="B15" s="275" t="s">
        <v>715</v>
      </c>
    </row>
    <row r="16" spans="2:2" ht="14.25">
      <c r="B16" s="275" t="s">
        <v>714</v>
      </c>
    </row>
  </sheetData>
  <printOptions horizontalCentered="1"/>
  <pageMargins left="0.5" right="0.5" top="3" bottom="0.5" header="1.5" footer="0.5"/>
  <pageSetup orientation="landscape" scale="74" r:id="rId1"/>
  <headerFooter alignWithMargins="0">
    <oddHeader>&amp;C&amp;B
2022 RATE CASE
ONCOR ELECTRIC DELIVERY COMPANY LLC
II-D-3.9  POSTRETIREMENT BENEFITS OTHER THAN PENSION
TEST YEAR ENDING DECEMBER 31, 2021
SPONSORS: W. ALAN LEDBETTER/ A. GUILLORY/ K. FEASE&amp;R&amp;"Arial,Bold"Schedule &amp;A
Page &amp;P of &amp;N</oddHead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8">
    <tabColor rgb="FFFF0000"/>
    <pageSetUpPr fitToPage="1"/>
  </sheetPr>
  <dimension ref="A1:O74"/>
  <sheetViews>
    <sheetView workbookViewId="0" topLeftCell="A1">
      <pane ySplit="13" topLeftCell="A14" activePane="bottomLeft" state="frozen"/>
      <selection pane="topLeft" activeCell="D16" sqref="D16"/>
      <selection pane="bottomLeft" activeCell="D41" sqref="D41"/>
    </sheetView>
  </sheetViews>
  <sheetFormatPr defaultColWidth="9.14428571428571" defaultRowHeight="12.75"/>
  <cols>
    <col min="1" max="1" width="5.71428571428571" style="138" customWidth="1"/>
    <col min="2" max="2" width="9.42857142857143" style="138" bestFit="1" customWidth="1"/>
    <col min="3" max="3" width="43.2857142857143" style="138" bestFit="1" customWidth="1"/>
    <col min="4" max="4" width="14" style="138" bestFit="1" customWidth="1"/>
    <col min="5" max="5" width="9.71428571428571" style="138" bestFit="1" customWidth="1"/>
    <col min="6" max="15" width="12.7142857142857" style="138" customWidth="1"/>
    <col min="16" max="16384" width="9.14285714285714" style="138"/>
  </cols>
  <sheetData>
    <row r="1" spans="1:1" ht="12.75">
      <c r="A1" s="163" t="str">
        <f>+'[3]Input Data'!$A$9</f>
        <v>2022 RATE CASE</v>
      </c>
    </row>
    <row r="2" spans="1:1" ht="12.75">
      <c r="A2" s="8" t="str">
        <f>+'[3]Input Data'!$A$2</f>
        <v>ONCOR ELECTRIC DELIVERY COMPANY LLC</v>
      </c>
    </row>
    <row r="3" spans="1:1" ht="12.75">
      <c r="A3" s="7" t="str">
        <f>CONCATENATE('[3]Schedule Sponsors'!$A$77,'[3]Schedule Sponsors'!$B$77)</f>
        <v>II-D-3.9  POSTRETIREMENT BENEFITS OTHER THAN PENSION</v>
      </c>
    </row>
    <row r="4" spans="1:1" ht="12.75">
      <c r="A4" s="63" t="str">
        <f>+'[3]Input Data'!$A$4</f>
        <v>TEST YEAR ENDING DECEMBER 31, 2021</v>
      </c>
    </row>
    <row r="5" spans="1:1" ht="12.75">
      <c r="A5" s="7" t="str">
        <f>CONCATENATE("SPONSORS: ",'[3]Schedule Sponsors'!$D$77)</f>
        <v>SPONSORS: W. ALAN LEDBETTER/ A. GUILLORY/ K. FEASE</v>
      </c>
    </row>
    <row r="9" ht="13.5" thickBot="1"/>
    <row r="10" spans="1:15" s="287" customFormat="1" ht="12.75">
      <c r="A10" s="296"/>
      <c r="B10" s="10"/>
      <c r="C10" s="297"/>
      <c r="D10" s="10" t="s">
        <v>321</v>
      </c>
      <c r="E10" s="297"/>
      <c r="F10" s="196"/>
      <c r="G10" s="196"/>
      <c r="H10" s="196"/>
      <c r="I10" s="196"/>
      <c r="J10" s="196"/>
      <c r="K10" s="196"/>
      <c r="L10" s="196"/>
      <c r="M10" s="196"/>
      <c r="N10" s="196"/>
      <c r="O10" s="196"/>
    </row>
    <row r="11" spans="1:15" s="287" customFormat="1" ht="12.75">
      <c r="A11" s="298" t="s">
        <v>87</v>
      </c>
      <c r="B11" s="11"/>
      <c r="C11" s="18"/>
      <c r="D11" s="11" t="s">
        <v>323</v>
      </c>
      <c r="E11" s="18"/>
      <c r="F11" s="195"/>
      <c r="G11" s="195" t="s">
        <v>716</v>
      </c>
      <c r="H11" s="195" t="s">
        <v>722</v>
      </c>
      <c r="I11" s="195" t="s">
        <v>717</v>
      </c>
      <c r="J11" s="195"/>
      <c r="K11" s="195" t="s">
        <v>716</v>
      </c>
      <c r="L11" s="195" t="s">
        <v>717</v>
      </c>
      <c r="M11" s="195"/>
      <c r="N11" s="195"/>
      <c r="O11" s="195"/>
    </row>
    <row r="12" spans="1:15" s="287" customFormat="1" ht="12.75">
      <c r="A12" s="298" t="s">
        <v>89</v>
      </c>
      <c r="B12" s="11" t="s">
        <v>164</v>
      </c>
      <c r="C12" s="18" t="s">
        <v>209</v>
      </c>
      <c r="D12" s="11" t="s">
        <v>223</v>
      </c>
      <c r="E12" s="18" t="s">
        <v>218</v>
      </c>
      <c r="F12" s="195" t="s">
        <v>294</v>
      </c>
      <c r="G12" s="195" t="s">
        <v>294</v>
      </c>
      <c r="H12" s="195" t="s">
        <v>723</v>
      </c>
      <c r="I12" s="195" t="s">
        <v>294</v>
      </c>
      <c r="J12" s="195" t="s">
        <v>295</v>
      </c>
      <c r="K12" s="195" t="s">
        <v>295</v>
      </c>
      <c r="L12" s="195" t="s">
        <v>295</v>
      </c>
      <c r="M12" s="195" t="s">
        <v>283</v>
      </c>
      <c r="N12" s="195" t="s">
        <v>126</v>
      </c>
      <c r="O12" s="195" t="s">
        <v>216</v>
      </c>
    </row>
    <row r="13" spans="1:15" s="269" customFormat="1" ht="13.5" thickBot="1">
      <c r="A13" s="299"/>
      <c r="B13" s="229" t="s">
        <v>44</v>
      </c>
      <c r="C13" s="300" t="s">
        <v>45</v>
      </c>
      <c r="D13" s="229" t="s">
        <v>74</v>
      </c>
      <c r="E13" s="300" t="s">
        <v>75</v>
      </c>
      <c r="F13" s="229" t="s">
        <v>76</v>
      </c>
      <c r="G13" s="229" t="s">
        <v>77</v>
      </c>
      <c r="H13" s="229" t="s">
        <v>78</v>
      </c>
      <c r="I13" s="229" t="s">
        <v>79</v>
      </c>
      <c r="J13" s="229" t="s">
        <v>80</v>
      </c>
      <c r="K13" s="229" t="s">
        <v>81</v>
      </c>
      <c r="L13" s="229" t="s">
        <v>82</v>
      </c>
      <c r="M13" s="229" t="s">
        <v>83</v>
      </c>
      <c r="N13" s="229" t="s">
        <v>84</v>
      </c>
      <c r="O13" s="229" t="s">
        <v>85</v>
      </c>
    </row>
    <row r="15" spans="1:2" s="0" customFormat="1" ht="12.75">
      <c r="A15" s="1">
        <v>1</v>
      </c>
      <c r="B15" s="106" t="s">
        <v>40</v>
      </c>
    </row>
    <row r="16" spans="1:1" ht="12.75">
      <c r="A16" s="146">
        <v>2</v>
      </c>
    </row>
    <row r="17" spans="1:4" ht="12.75">
      <c r="A17" s="146">
        <v>3</v>
      </c>
      <c r="C17" s="98" t="s">
        <v>792</v>
      </c>
      <c r="D17" s="150"/>
    </row>
    <row r="18" spans="1:15" ht="12.75">
      <c r="A18" s="1">
        <v>4</v>
      </c>
      <c r="C18" t="s">
        <v>412</v>
      </c>
      <c r="D18" s="150">
        <v>17928045</v>
      </c>
      <c r="E18" s="66" t="s">
        <v>163</v>
      </c>
      <c r="F18" s="66">
        <f>+$D18*'[5]II-F Alloc_Factor'!E$17</f>
        <v>3947783.554221333</v>
      </c>
      <c r="G18" s="66">
        <f>+$D18*'[5]II-F Alloc_Factor'!F$17</f>
        <v>0</v>
      </c>
      <c r="H18" s="66">
        <f>+$D18*'[5]II-F Alloc_Factor'!G$17</f>
        <v>0</v>
      </c>
      <c r="I18" s="66">
        <f>+$D18*'[5]II-F Alloc_Factor'!H$17</f>
        <v>3947783.554221333</v>
      </c>
      <c r="J18" s="66">
        <f>+$D18*'[5]II-F Alloc_Factor'!I$17</f>
        <v>10891278.573344506</v>
      </c>
      <c r="K18" s="66">
        <f>+$D18*'[5]II-F Alloc_Factor'!J$17</f>
        <v>0</v>
      </c>
      <c r="L18" s="66">
        <f>+$D18*'[5]II-F Alloc_Factor'!K$17</f>
        <v>10891278.573344506</v>
      </c>
      <c r="M18" s="66">
        <f>+$D18*'[5]II-F Alloc_Factor'!L$17</f>
        <v>2969486.8163255868</v>
      </c>
      <c r="N18" s="66">
        <f>+$D18*'[5]II-F Alloc_Factor'!M$17</f>
        <v>119496.05610857437</v>
      </c>
      <c r="O18" s="14">
        <f>+I18+L18+M18+N18</f>
        <v>17928045</v>
      </c>
    </row>
    <row r="19" spans="1:15" ht="12.75">
      <c r="A19" s="146">
        <v>5</v>
      </c>
      <c r="C19" t="s">
        <v>413</v>
      </c>
      <c r="D19" s="150">
        <v>21929915.176232371</v>
      </c>
      <c r="E19" s="66" t="s">
        <v>163</v>
      </c>
      <c r="F19" s="66">
        <f>+$D19*'[5]II-F Alloc_Factor'!E$17</f>
        <v>4829001.6272381609</v>
      </c>
      <c r="G19" s="66">
        <f>+$D19*'[5]II-F Alloc_Factor'!F$17</f>
        <v>0</v>
      </c>
      <c r="H19" s="66">
        <f>+$D19*'[5]II-F Alloc_Factor'!G$17</f>
        <v>0</v>
      </c>
      <c r="I19" s="66">
        <f>+$D19*'[5]II-F Alloc_Factor'!H$17</f>
        <v>4829001.6272381609</v>
      </c>
      <c r="J19" s="66">
        <f>+$D19*'[5]II-F Alloc_Factor'!I$17</f>
        <v>13322412.749084584</v>
      </c>
      <c r="K19" s="66">
        <f>+$D19*'[5]II-F Alloc_Factor'!J$17</f>
        <v>0</v>
      </c>
      <c r="L19" s="66">
        <f>+$D19*'[5]II-F Alloc_Factor'!K$17</f>
        <v>13322412.749084584</v>
      </c>
      <c r="M19" s="66">
        <f>+$D19*'[5]II-F Alloc_Factor'!L$17</f>
        <v>3632331.0209763772</v>
      </c>
      <c r="N19" s="66">
        <f>+$D19*'[5]II-F Alloc_Factor'!M$17</f>
        <v>146169.77893324901</v>
      </c>
      <c r="O19" s="14">
        <f t="shared" si="0" ref="O19:O20">+I19+L19+M19+N19</f>
        <v>21929915.176232371</v>
      </c>
    </row>
    <row r="20" spans="1:15" ht="12.75">
      <c r="A20" s="1">
        <v>6</v>
      </c>
      <c r="C20" s="183" t="s">
        <v>706</v>
      </c>
      <c r="D20" s="150">
        <v>23354917</v>
      </c>
      <c r="E20" s="66" t="s">
        <v>163</v>
      </c>
      <c r="F20" s="66">
        <f>+$D20*'[5]II-F Alloc_Factor'!E$17</f>
        <v>5142789.2579923924</v>
      </c>
      <c r="G20" s="66">
        <f>+$D20*'[5]II-F Alloc_Factor'!F$17</f>
        <v>0</v>
      </c>
      <c r="H20" s="66">
        <f>+$D20*'[5]II-F Alloc_Factor'!G$17</f>
        <v>0</v>
      </c>
      <c r="I20" s="66">
        <f>+$D20*'[5]II-F Alloc_Factor'!H$17</f>
        <v>5142789.2579923924</v>
      </c>
      <c r="J20" s="66">
        <f>+$D20*'[5]II-F Alloc_Factor'!I$17</f>
        <v>14188100.660408836</v>
      </c>
      <c r="K20" s="66">
        <f>+$D20*'[5]II-F Alloc_Factor'!J$17</f>
        <v>0</v>
      </c>
      <c r="L20" s="66">
        <f>+$D20*'[5]II-F Alloc_Factor'!K$17</f>
        <v>14188100.660408836</v>
      </c>
      <c r="M20" s="66">
        <f>+$D20*'[5]II-F Alloc_Factor'!L$17</f>
        <v>3868359.2175208353</v>
      </c>
      <c r="N20" s="66">
        <f>+$D20*'[5]II-F Alloc_Factor'!M$17</f>
        <v>155667.86407793473</v>
      </c>
      <c r="O20" s="14">
        <f t="shared" si="0"/>
        <v>23354916.999999996</v>
      </c>
    </row>
    <row r="21" spans="1:4" ht="12.75">
      <c r="A21" s="146">
        <v>7</v>
      </c>
      <c r="C21"/>
      <c r="D21" s="150"/>
    </row>
    <row r="22" spans="1:1" ht="12.75">
      <c r="A22" s="146">
        <v>8</v>
      </c>
    </row>
    <row r="23" spans="1:4" ht="12.75">
      <c r="A23" s="1">
        <v>9</v>
      </c>
      <c r="C23" s="98" t="s">
        <v>793</v>
      </c>
      <c r="D23" s="150"/>
    </row>
    <row r="24" spans="1:15" ht="12.75">
      <c r="A24" s="146">
        <v>10</v>
      </c>
      <c r="C24" s="138" t="s">
        <v>412</v>
      </c>
      <c r="D24" s="150">
        <v>6477233</v>
      </c>
      <c r="E24" s="66" t="s">
        <v>163</v>
      </c>
      <c r="F24" s="66">
        <f>+$D24*'[5]II-F Alloc_Factor'!E$17</f>
        <v>1426296.8390730671</v>
      </c>
      <c r="G24" s="66">
        <f>+$D24*'[5]II-F Alloc_Factor'!F$17</f>
        <v>0</v>
      </c>
      <c r="H24" s="66">
        <f>+$D24*'[5]II-F Alloc_Factor'!G$17</f>
        <v>0</v>
      </c>
      <c r="I24" s="66">
        <f>+$D24*'[5]II-F Alloc_Factor'!H$17</f>
        <v>1426296.8390730671</v>
      </c>
      <c r="J24" s="66">
        <f>+$D24*'[5]II-F Alloc_Factor'!I$17</f>
        <v>3934915.8810935579</v>
      </c>
      <c r="K24" s="66">
        <f>+$D24*'[5]II-F Alloc_Factor'!J$17</f>
        <v>0</v>
      </c>
      <c r="L24" s="66">
        <f>+$D24*'[5]II-F Alloc_Factor'!K$17</f>
        <v>3934915.8810935579</v>
      </c>
      <c r="M24" s="66">
        <f>+$D24*'[5]II-F Alloc_Factor'!L$17</f>
        <v>1072847.4855885864</v>
      </c>
      <c r="N24" s="66">
        <f>+$D24*'[5]II-F Alloc_Factor'!M$17</f>
        <v>43172.794244788514</v>
      </c>
      <c r="O24" s="14">
        <f t="shared" si="1" ref="O24:O26">+I24+L24+M24+N24</f>
        <v>6477233</v>
      </c>
    </row>
    <row r="25" spans="1:15" ht="12.75">
      <c r="A25" s="1">
        <v>11</v>
      </c>
      <c r="C25" s="138" t="s">
        <v>413</v>
      </c>
      <c r="D25" s="150">
        <v>7923070.8237676295</v>
      </c>
      <c r="E25" s="66" t="s">
        <v>163</v>
      </c>
      <c r="F25" s="66">
        <f>+$D25*'[5]II-F Alloc_Factor'!E$17</f>
        <v>1744672.5896214962</v>
      </c>
      <c r="G25" s="66">
        <f>+$D25*'[5]II-F Alloc_Factor'!F$17</f>
        <v>0</v>
      </c>
      <c r="H25" s="66">
        <f>+$D25*'[5]II-F Alloc_Factor'!G$17</f>
        <v>0</v>
      </c>
      <c r="I25" s="66">
        <f>+$D25*'[5]II-F Alloc_Factor'!H$17</f>
        <v>1744672.5896214962</v>
      </c>
      <c r="J25" s="66">
        <f>+$D25*'[5]II-F Alloc_Factor'!I$17</f>
        <v>4813261.6522320965</v>
      </c>
      <c r="K25" s="66">
        <f>+$D25*'[5]II-F Alloc_Factor'!J$17</f>
        <v>0</v>
      </c>
      <c r="L25" s="66">
        <f>+$D25*'[5]II-F Alloc_Factor'!K$17</f>
        <v>4813261.6522320965</v>
      </c>
      <c r="M25" s="66">
        <f>+$D25*'[5]II-F Alloc_Factor'!L$17</f>
        <v>1312326.8240341812</v>
      </c>
      <c r="N25" s="66">
        <f>+$D25*'[5]II-F Alloc_Factor'!M$17</f>
        <v>52809.757879855009</v>
      </c>
      <c r="O25" s="14">
        <f t="shared" si="1"/>
        <v>7923070.8237676295</v>
      </c>
    </row>
    <row r="26" spans="1:15" ht="12.75">
      <c r="A26" s="146">
        <v>12</v>
      </c>
      <c r="C26" s="183" t="s">
        <v>706</v>
      </c>
      <c r="D26" s="150">
        <v>11513560</v>
      </c>
      <c r="E26" s="66" t="s">
        <v>163</v>
      </c>
      <c r="F26" s="66">
        <f>+$D26*'[5]II-F Alloc_Factor'!E$17</f>
        <v>2535303.922906294</v>
      </c>
      <c r="G26" s="66">
        <f>+$D26*'[5]II-F Alloc_Factor'!F$17</f>
        <v>0</v>
      </c>
      <c r="H26" s="66">
        <f>+$D26*'[5]II-F Alloc_Factor'!G$17</f>
        <v>0</v>
      </c>
      <c r="I26" s="66">
        <f>+$D26*'[5]II-F Alloc_Factor'!H$17</f>
        <v>2535303.922906294</v>
      </c>
      <c r="J26" s="66">
        <f>+$D26*'[5]II-F Alloc_Factor'!I$17</f>
        <v>6994482.0715764808</v>
      </c>
      <c r="K26" s="66">
        <f>+$D26*'[5]II-F Alloc_Factor'!J$17</f>
        <v>0</v>
      </c>
      <c r="L26" s="66">
        <f>+$D26*'[5]II-F Alloc_Factor'!K$17</f>
        <v>6994482.0715764808</v>
      </c>
      <c r="M26" s="66">
        <f>+$D26*'[5]II-F Alloc_Factor'!L$17</f>
        <v>1907032.5085068462</v>
      </c>
      <c r="N26" s="66">
        <f>+$D26*'[5]II-F Alloc_Factor'!M$17</f>
        <v>76741.497010378851</v>
      </c>
      <c r="O26" s="14">
        <f t="shared" si="1"/>
        <v>11513559.999999998</v>
      </c>
    </row>
    <row r="27" spans="1:4" ht="12.75">
      <c r="A27" s="146">
        <v>13</v>
      </c>
      <c r="D27" s="150"/>
    </row>
    <row r="28" spans="1:1" ht="12.75">
      <c r="A28" s="1">
        <v>14</v>
      </c>
    </row>
    <row r="29" spans="1:4" ht="12.75">
      <c r="A29" s="146">
        <v>15</v>
      </c>
      <c r="C29" s="98" t="s">
        <v>794</v>
      </c>
      <c r="D29" s="150"/>
    </row>
    <row r="30" spans="1:15" ht="12.75">
      <c r="A30" s="1">
        <v>16</v>
      </c>
      <c r="C30" s="138" t="s">
        <v>412</v>
      </c>
      <c r="D30" s="150">
        <f>+D18+D24</f>
        <v>24405278</v>
      </c>
      <c r="E30" s="66" t="s">
        <v>163</v>
      </c>
      <c r="F30" s="66">
        <f>+$D30*'[5]II-F Alloc_Factor'!E$17</f>
        <v>5374080.3932943996</v>
      </c>
      <c r="G30" s="66">
        <f>+$D30*'[5]II-F Alloc_Factor'!F$17</f>
        <v>0</v>
      </c>
      <c r="H30" s="66">
        <f>+$D30*'[5]II-F Alloc_Factor'!G$17</f>
        <v>0</v>
      </c>
      <c r="I30" s="66">
        <f>+$D30*'[5]II-F Alloc_Factor'!H$17</f>
        <v>5374080.3932943996</v>
      </c>
      <c r="J30" s="66">
        <f>+$D30*'[5]II-F Alloc_Factor'!I$17</f>
        <v>14826194.454438064</v>
      </c>
      <c r="K30" s="66">
        <f>+$D30*'[5]II-F Alloc_Factor'!J$17</f>
        <v>0</v>
      </c>
      <c r="L30" s="66">
        <f>+$D30*'[5]II-F Alloc_Factor'!K$17</f>
        <v>14826194.454438064</v>
      </c>
      <c r="M30" s="66">
        <f>+$D30*'[5]II-F Alloc_Factor'!L$17</f>
        <v>4042334.3019141732</v>
      </c>
      <c r="N30" s="66">
        <f>+$D30*'[5]II-F Alloc_Factor'!M$17</f>
        <v>162668.85035336288</v>
      </c>
      <c r="O30" s="14">
        <f t="shared" si="2" ref="O30:O32">+I30+L30+M30+N30</f>
        <v>24405278</v>
      </c>
    </row>
    <row r="31" spans="1:15" ht="12.75">
      <c r="A31" s="146">
        <v>17</v>
      </c>
      <c r="C31" s="138" t="s">
        <v>413</v>
      </c>
      <c r="D31" s="150">
        <f t="shared" si="3" ref="D31:D32">+D19+D25</f>
        <v>29852986</v>
      </c>
      <c r="E31" s="66" t="s">
        <v>163</v>
      </c>
      <c r="F31" s="66">
        <f>+$D31*'[5]II-F Alloc_Factor'!E$17</f>
        <v>6573674.2168596573</v>
      </c>
      <c r="G31" s="66">
        <f>+$D31*'[5]II-F Alloc_Factor'!F$17</f>
        <v>0</v>
      </c>
      <c r="H31" s="66">
        <f>+$D31*'[5]II-F Alloc_Factor'!G$17</f>
        <v>0</v>
      </c>
      <c r="I31" s="66">
        <f>+$D31*'[5]II-F Alloc_Factor'!H$17</f>
        <v>6573674.2168596573</v>
      </c>
      <c r="J31" s="66">
        <f>+$D31*'[5]II-F Alloc_Factor'!I$17</f>
        <v>18135674.40131668</v>
      </c>
      <c r="K31" s="66">
        <f>+$D31*'[5]II-F Alloc_Factor'!J$17</f>
        <v>0</v>
      </c>
      <c r="L31" s="66">
        <f>+$D31*'[5]II-F Alloc_Factor'!K$17</f>
        <v>18135674.40131668</v>
      </c>
      <c r="M31" s="66">
        <f>+$D31*'[5]II-F Alloc_Factor'!L$17</f>
        <v>4944657.8450105581</v>
      </c>
      <c r="N31" s="66">
        <f>+$D31*'[5]II-F Alloc_Factor'!M$17</f>
        <v>198979.536813104</v>
      </c>
      <c r="O31" s="14">
        <f t="shared" si="2"/>
        <v>29852986</v>
      </c>
    </row>
    <row r="32" spans="1:15" ht="12.75">
      <c r="A32" s="146">
        <v>18</v>
      </c>
      <c r="C32" s="183" t="s">
        <v>706</v>
      </c>
      <c r="D32" s="150">
        <f t="shared" si="3"/>
        <v>34868477</v>
      </c>
      <c r="E32" s="66" t="s">
        <v>163</v>
      </c>
      <c r="F32" s="66">
        <f>+$D32*'[5]II-F Alloc_Factor'!E$17</f>
        <v>7678093.1808986869</v>
      </c>
      <c r="G32" s="66">
        <f>+$D32*'[5]II-F Alloc_Factor'!F$17</f>
        <v>0</v>
      </c>
      <c r="H32" s="66">
        <f>+$D32*'[5]II-F Alloc_Factor'!G$17</f>
        <v>0</v>
      </c>
      <c r="I32" s="66">
        <f>+$D32*'[5]II-F Alloc_Factor'!H$17</f>
        <v>7678093.1808986869</v>
      </c>
      <c r="J32" s="66">
        <f>+$D32*'[5]II-F Alloc_Factor'!I$17</f>
        <v>21182582.731985316</v>
      </c>
      <c r="K32" s="66">
        <f>+$D32*'[5]II-F Alloc_Factor'!J$17</f>
        <v>0</v>
      </c>
      <c r="L32" s="66">
        <f>+$D32*'[5]II-F Alloc_Factor'!K$17</f>
        <v>21182582.731985316</v>
      </c>
      <c r="M32" s="66">
        <f>+$D32*'[5]II-F Alloc_Factor'!L$17</f>
        <v>5775391.7260276815</v>
      </c>
      <c r="N32" s="66">
        <f>+$D32*'[5]II-F Alloc_Factor'!M$17</f>
        <v>232409.3610883136</v>
      </c>
      <c r="O32" s="14">
        <f t="shared" si="2"/>
        <v>34868477</v>
      </c>
    </row>
    <row r="33" spans="1:15" ht="12.75">
      <c r="A33" s="1">
        <v>19</v>
      </c>
      <c r="C33" s="183"/>
      <c r="D33" s="150"/>
      <c r="E33" s="66"/>
      <c r="F33" s="66"/>
      <c r="G33" s="66"/>
      <c r="H33" s="66"/>
      <c r="I33" s="66"/>
      <c r="J33" s="66"/>
      <c r="K33" s="66"/>
      <c r="L33" s="66"/>
      <c r="M33" s="66"/>
      <c r="N33" s="66"/>
      <c r="O33" s="14"/>
    </row>
    <row r="34" spans="1:4" ht="12.75">
      <c r="A34" s="146">
        <v>20</v>
      </c>
      <c r="D34" s="150"/>
    </row>
    <row r="35" spans="1:4" ht="12.75">
      <c r="A35" s="1">
        <v>21</v>
      </c>
      <c r="C35" s="138" t="s">
        <v>405</v>
      </c>
      <c r="D35" s="150">
        <f>5447708+24405278</f>
        <v>29852986</v>
      </c>
    </row>
    <row r="36" spans="1:4" ht="12.75">
      <c r="A36" s="146">
        <v>22</v>
      </c>
      <c r="C36" s="138" t="s">
        <v>406</v>
      </c>
      <c r="D36" s="150">
        <v>46030.25</v>
      </c>
    </row>
    <row r="37" spans="1:4" ht="12.75">
      <c r="A37" s="146">
        <v>23</v>
      </c>
      <c r="C37" s="138" t="s">
        <v>407</v>
      </c>
      <c r="D37" s="150">
        <v>11572766.630000001</v>
      </c>
    </row>
    <row r="38" spans="1:4" ht="12.75">
      <c r="A38" s="1">
        <v>24</v>
      </c>
      <c r="C38" s="138" t="s">
        <v>408</v>
      </c>
      <c r="D38" s="150">
        <v>296662.23999999999</v>
      </c>
    </row>
    <row r="39" spans="1:4" ht="12.75">
      <c r="A39" s="146">
        <v>25</v>
      </c>
      <c r="C39" s="138" t="s">
        <v>414</v>
      </c>
      <c r="D39" s="150">
        <v>-18378333.550000001</v>
      </c>
    </row>
    <row r="40" spans="1:4" ht="12.75">
      <c r="A40" s="1">
        <v>26</v>
      </c>
      <c r="C40" s="138" t="s">
        <v>63</v>
      </c>
      <c r="D40" s="150">
        <f>1015377.89-211.46</f>
        <v>1015166.4300000001</v>
      </c>
    </row>
    <row r="41" spans="1:4" ht="13.5" thickBot="1">
      <c r="A41" s="146">
        <v>27</v>
      </c>
      <c r="C41" s="138" t="s">
        <v>415</v>
      </c>
      <c r="D41" s="207">
        <f>SUM(D35:D40)</f>
        <v>24405278.000000004</v>
      </c>
    </row>
    <row r="42" spans="1:4" ht="13.5" thickTop="1">
      <c r="A42" s="146">
        <v>28</v>
      </c>
      <c r="D42" s="150"/>
    </row>
    <row r="43" spans="1:4" ht="12.75">
      <c r="A43" s="1">
        <v>29</v>
      </c>
      <c r="C43" s="183" t="s">
        <v>707</v>
      </c>
      <c r="D43" s="150">
        <f>+D32</f>
        <v>34868477</v>
      </c>
    </row>
    <row r="44" spans="1:1" ht="12.75">
      <c r="A44" s="146">
        <v>30</v>
      </c>
    </row>
    <row r="45" spans="1:1" ht="12.75">
      <c r="A45" s="1">
        <v>31</v>
      </c>
    </row>
    <row r="46" spans="1:15" ht="12.75">
      <c r="A46" s="146">
        <v>32</v>
      </c>
      <c r="B46" s="106">
        <v>2020</v>
      </c>
      <c r="C46"/>
      <c r="D46"/>
      <c r="E46"/>
      <c r="F46"/>
      <c r="G46"/>
      <c r="H46"/>
      <c r="I46"/>
      <c r="J46"/>
      <c r="K46"/>
      <c r="L46"/>
      <c r="M46"/>
      <c r="N46"/>
      <c r="O46"/>
    </row>
    <row r="47" spans="1:1" ht="12.75">
      <c r="A47" s="146">
        <v>33</v>
      </c>
    </row>
    <row r="48" spans="1:4" ht="12.75">
      <c r="A48" s="1">
        <v>34</v>
      </c>
      <c r="C48" s="98" t="s">
        <v>792</v>
      </c>
      <c r="D48" s="150"/>
    </row>
    <row r="49" spans="1:15" ht="12.75">
      <c r="A49" s="146">
        <v>35</v>
      </c>
      <c r="C49" t="s">
        <v>412</v>
      </c>
      <c r="D49" s="150">
        <v>22953928</v>
      </c>
      <c r="E49" s="66" t="s">
        <v>163</v>
      </c>
      <c r="F49" s="66">
        <f>+$D49*'[5]II-F Alloc_Factor'!E$17</f>
        <v>5054490.8529167883</v>
      </c>
      <c r="G49" s="66">
        <f>+$D49*'[5]II-F Alloc_Factor'!F$17</f>
        <v>0</v>
      </c>
      <c r="H49" s="66">
        <f>+$D49*'[5]II-F Alloc_Factor'!G$17</f>
        <v>0</v>
      </c>
      <c r="I49" s="66">
        <f>+$D49*'[5]II-F Alloc_Factor'!H$17</f>
        <v>5054490.8529167883</v>
      </c>
      <c r="J49" s="66">
        <f>+$D49*'[5]II-F Alloc_Factor'!I$17</f>
        <v>13944500.038932996</v>
      </c>
      <c r="K49" s="66">
        <f>+$D49*'[5]II-F Alloc_Factor'!J$17</f>
        <v>0</v>
      </c>
      <c r="L49" s="66">
        <f>+$D49*'[5]II-F Alloc_Factor'!K$17</f>
        <v>13944500.038932996</v>
      </c>
      <c r="M49" s="66">
        <f>+$D49*'[5]II-F Alloc_Factor'!L$17</f>
        <v>3801941.961819414</v>
      </c>
      <c r="N49" s="66">
        <f>+$D49*'[5]II-F Alloc_Factor'!M$17</f>
        <v>152995.14633080052</v>
      </c>
      <c r="O49" s="14">
        <f>+I49+L49+M49+N49</f>
        <v>22953928</v>
      </c>
    </row>
    <row r="50" spans="1:15" ht="12.75">
      <c r="A50" s="1">
        <v>36</v>
      </c>
      <c r="C50" t="s">
        <v>413</v>
      </c>
      <c r="D50" s="150">
        <v>36176181.191147894</v>
      </c>
      <c r="E50" s="66" t="s">
        <v>163</v>
      </c>
      <c r="F50" s="66">
        <f>+$D50*'[5]II-F Alloc_Factor'!E$17</f>
        <v>7966051.6894588759</v>
      </c>
      <c r="G50" s="66">
        <f>+$D50*'[5]II-F Alloc_Factor'!F$17</f>
        <v>0</v>
      </c>
      <c r="H50" s="66">
        <f>+$D50*'[5]II-F Alloc_Factor'!G$17</f>
        <v>0</v>
      </c>
      <c r="I50" s="66">
        <f>+$D50*'[5]II-F Alloc_Factor'!H$17</f>
        <v>7966051.6894588759</v>
      </c>
      <c r="J50" s="66">
        <f>+$D50*'[5]II-F Alloc_Factor'!I$17</f>
        <v>21977012.388834231</v>
      </c>
      <c r="K50" s="66">
        <f>+$D50*'[5]II-F Alloc_Factor'!J$17</f>
        <v>0</v>
      </c>
      <c r="L50" s="66">
        <f>+$D50*'[5]II-F Alloc_Factor'!K$17</f>
        <v>21977012.388834231</v>
      </c>
      <c r="M50" s="66">
        <f>+$D50*'[5]II-F Alloc_Factor'!L$17</f>
        <v>5991991.4922189973</v>
      </c>
      <c r="N50" s="66">
        <f>+$D50*'[5]II-F Alloc_Factor'!M$17</f>
        <v>241125.62063578944</v>
      </c>
      <c r="O50" s="14">
        <f t="shared" si="4" ref="O50:O51">+I50+L50+M50+N50</f>
        <v>36176181.191147894</v>
      </c>
    </row>
    <row r="51" spans="1:15" ht="12.75">
      <c r="A51" s="146">
        <v>37</v>
      </c>
      <c r="C51" s="183" t="s">
        <v>706</v>
      </c>
      <c r="D51" s="150">
        <v>19962070</v>
      </c>
      <c r="E51" s="66" t="s">
        <v>163</v>
      </c>
      <c r="F51" s="66">
        <f>+$D51*'[5]II-F Alloc_Factor'!E$17</f>
        <v>4395679.0410898142</v>
      </c>
      <c r="G51" s="66">
        <f>+$D51*'[5]II-F Alloc_Factor'!F$17</f>
        <v>0</v>
      </c>
      <c r="H51" s="66">
        <f>+$D51*'[5]II-F Alloc_Factor'!G$17</f>
        <v>0</v>
      </c>
      <c r="I51" s="66">
        <f>+$D51*'[5]II-F Alloc_Factor'!H$17</f>
        <v>4395679.0410898142</v>
      </c>
      <c r="J51" s="66">
        <f>+$D51*'[5]II-F Alloc_Factor'!I$17</f>
        <v>12126947.766507901</v>
      </c>
      <c r="K51" s="66">
        <f>+$D51*'[5]II-F Alloc_Factor'!J$17</f>
        <v>0</v>
      </c>
      <c r="L51" s="66">
        <f>+$D51*'[5]II-F Alloc_Factor'!K$17</f>
        <v>12126947.766507901</v>
      </c>
      <c r="M51" s="66">
        <f>+$D51*'[5]II-F Alloc_Factor'!L$17</f>
        <v>3306389.7202159245</v>
      </c>
      <c r="N51" s="66">
        <f>+$D51*'[5]II-F Alloc_Factor'!M$17</f>
        <v>133053.47218635882</v>
      </c>
      <c r="O51" s="14">
        <f t="shared" si="4"/>
        <v>19962070</v>
      </c>
    </row>
    <row r="52" spans="1:4" ht="12.75">
      <c r="A52" s="146">
        <v>38</v>
      </c>
      <c r="C52"/>
      <c r="D52" s="150"/>
    </row>
    <row r="53" spans="1:1" ht="12.75">
      <c r="A53" s="1">
        <v>39</v>
      </c>
    </row>
    <row r="54" spans="1:4" ht="12.75">
      <c r="A54" s="146">
        <v>40</v>
      </c>
      <c r="C54" s="98" t="s">
        <v>793</v>
      </c>
      <c r="D54" s="150"/>
    </row>
    <row r="55" spans="1:15" ht="12.75">
      <c r="A55" s="1">
        <v>41</v>
      </c>
      <c r="C55" s="138" t="s">
        <v>412</v>
      </c>
      <c r="D55" s="150">
        <v>-4012092</v>
      </c>
      <c r="E55" s="66" t="s">
        <v>163</v>
      </c>
      <c r="F55" s="66">
        <f>+$D55*'[5]II-F Alloc_Factor'!E$17</f>
        <v>-883468.93460067594</v>
      </c>
      <c r="G55" s="66">
        <f>+$D55*'[5]II-F Alloc_Factor'!F$17</f>
        <v>0</v>
      </c>
      <c r="H55" s="66">
        <f>+$D55*'[5]II-F Alloc_Factor'!G$17</f>
        <v>0</v>
      </c>
      <c r="I55" s="66">
        <f>+$D55*'[5]II-F Alloc_Factor'!H$17</f>
        <v>-883468.93460067594</v>
      </c>
      <c r="J55" s="66">
        <f>+$D55*'[5]II-F Alloc_Factor'!I$17</f>
        <v>-2437343.9286819561</v>
      </c>
      <c r="K55" s="66">
        <f>+$D55*'[5]II-F Alloc_Factor'!J$17</f>
        <v>0</v>
      </c>
      <c r="L55" s="66">
        <f>+$D55*'[5]II-F Alloc_Factor'!K$17</f>
        <v>-2437343.9286819561</v>
      </c>
      <c r="M55" s="66">
        <f>+$D55*'[5]II-F Alloc_Factor'!L$17</f>
        <v>-664537.28222376481</v>
      </c>
      <c r="N55" s="66">
        <f>+$D55*'[5]II-F Alloc_Factor'!M$17</f>
        <v>-26741.854493602754</v>
      </c>
      <c r="O55" s="14">
        <f t="shared" si="5" ref="O55:O57">+I55+L55+M55+N55</f>
        <v>-4012091.9999999995</v>
      </c>
    </row>
    <row r="56" spans="1:15" ht="12.75">
      <c r="A56" s="146">
        <v>42</v>
      </c>
      <c r="C56" s="138" t="s">
        <v>413</v>
      </c>
      <c r="D56" s="150">
        <v>-6323195.1911478909</v>
      </c>
      <c r="E56" s="66" t="s">
        <v>163</v>
      </c>
      <c r="F56" s="66">
        <f>+$D56*'[5]II-F Alloc_Factor'!E$17</f>
        <v>-1392377.4725992188</v>
      </c>
      <c r="G56" s="66">
        <f>+$D56*'[5]II-F Alloc_Factor'!F$17</f>
        <v>0</v>
      </c>
      <c r="H56" s="66">
        <f>+$D56*'[5]II-F Alloc_Factor'!G$17</f>
        <v>0</v>
      </c>
      <c r="I56" s="66">
        <f>+$D56*'[5]II-F Alloc_Factor'!H$17</f>
        <v>-1392377.4725992188</v>
      </c>
      <c r="J56" s="66">
        <f>+$D56*'[5]II-F Alloc_Factor'!I$17</f>
        <v>-3841337.9875175483</v>
      </c>
      <c r="K56" s="66">
        <f>+$D56*'[5]II-F Alloc_Factor'!J$17</f>
        <v>0</v>
      </c>
      <c r="L56" s="66">
        <f>+$D56*'[5]II-F Alloc_Factor'!K$17</f>
        <v>-3841337.9875175483</v>
      </c>
      <c r="M56" s="66">
        <f>+$D56*'[5]II-F Alloc_Factor'!L$17</f>
        <v>-1047333.6472084385</v>
      </c>
      <c r="N56" s="66">
        <f>+$D56*'[5]II-F Alloc_Factor'!M$17</f>
        <v>-42146.08382268541</v>
      </c>
      <c r="O56" s="14">
        <f t="shared" si="5"/>
        <v>-6323195.1911478909</v>
      </c>
    </row>
    <row r="57" spans="1:15" ht="12.75">
      <c r="A57" s="146">
        <v>43</v>
      </c>
      <c r="C57" s="183" t="s">
        <v>706</v>
      </c>
      <c r="D57" s="150">
        <v>14699565</v>
      </c>
      <c r="E57" s="66" t="s">
        <v>163</v>
      </c>
      <c r="F57" s="66">
        <f>+$D57*'[5]II-F Alloc_Factor'!E$17</f>
        <v>3236867.2078415412</v>
      </c>
      <c r="G57" s="66">
        <f>+$D57*'[5]II-F Alloc_Factor'!F$17</f>
        <v>0</v>
      </c>
      <c r="H57" s="66">
        <f>+$D57*'[5]II-F Alloc_Factor'!G$17</f>
        <v>0</v>
      </c>
      <c r="I57" s="66">
        <f>+$D57*'[5]II-F Alloc_Factor'!H$17</f>
        <v>3236867.2078415412</v>
      </c>
      <c r="J57" s="66">
        <f>+$D57*'[5]II-F Alloc_Factor'!I$17</f>
        <v>8929978.5515924823</v>
      </c>
      <c r="K57" s="66">
        <f>+$D57*'[5]II-F Alloc_Factor'!J$17</f>
        <v>0</v>
      </c>
      <c r="L57" s="66">
        <f>+$D57*'[5]II-F Alloc_Factor'!K$17</f>
        <v>8929978.5515924823</v>
      </c>
      <c r="M57" s="66">
        <f>+$D57*'[5]II-F Alloc_Factor'!L$17</f>
        <v>2434742.0186206037</v>
      </c>
      <c r="N57" s="66">
        <f>+$D57*'[5]II-F Alloc_Factor'!M$17</f>
        <v>97977.22194537308</v>
      </c>
      <c r="O57" s="14">
        <f t="shared" si="5"/>
        <v>14699565.000000002</v>
      </c>
    </row>
    <row r="58" spans="1:4" ht="12.75">
      <c r="A58" s="1">
        <v>44</v>
      </c>
      <c r="D58" s="150"/>
    </row>
    <row r="59" spans="1:1" ht="12.75">
      <c r="A59" s="146">
        <v>45</v>
      </c>
    </row>
    <row r="60" spans="1:4" ht="12.75">
      <c r="A60" s="1">
        <v>46</v>
      </c>
      <c r="C60" s="98" t="s">
        <v>794</v>
      </c>
      <c r="D60" s="150"/>
    </row>
    <row r="61" spans="1:15" ht="12.75">
      <c r="A61" s="146">
        <v>47</v>
      </c>
      <c r="C61" s="138" t="s">
        <v>412</v>
      </c>
      <c r="D61" s="150">
        <f>+D49+D55</f>
        <v>18941836</v>
      </c>
      <c r="E61" s="66" t="s">
        <v>163</v>
      </c>
      <c r="F61" s="66">
        <f>+$D61*'[5]II-F Alloc_Factor'!E$17</f>
        <v>4171021.9183161128</v>
      </c>
      <c r="G61" s="66">
        <f>+$D61*'[5]II-F Alloc_Factor'!F$17</f>
        <v>0</v>
      </c>
      <c r="H61" s="66">
        <f>+$D61*'[5]II-F Alloc_Factor'!G$17</f>
        <v>0</v>
      </c>
      <c r="I61" s="66">
        <f>+$D61*'[5]II-F Alloc_Factor'!H$17</f>
        <v>4171021.9183161128</v>
      </c>
      <c r="J61" s="66">
        <f>+$D61*'[5]II-F Alloc_Factor'!I$17</f>
        <v>11507156.110251039</v>
      </c>
      <c r="K61" s="66">
        <f>+$D61*'[5]II-F Alloc_Factor'!J$17</f>
        <v>0</v>
      </c>
      <c r="L61" s="66">
        <f>+$D61*'[5]II-F Alloc_Factor'!K$17</f>
        <v>11507156.110251039</v>
      </c>
      <c r="M61" s="66">
        <f>+$D61*'[5]II-F Alloc_Factor'!L$17</f>
        <v>3137404.6795956492</v>
      </c>
      <c r="N61" s="66">
        <f>+$D61*'[5]II-F Alloc_Factor'!M$17</f>
        <v>126253.29183719776</v>
      </c>
      <c r="O61" s="14">
        <f t="shared" si="6" ref="O61:O63">+I61+L61+M61+N61</f>
        <v>18941835.999999996</v>
      </c>
    </row>
    <row r="62" spans="1:15" ht="12.75">
      <c r="A62" s="146">
        <v>48</v>
      </c>
      <c r="C62" s="138" t="s">
        <v>413</v>
      </c>
      <c r="D62" s="150">
        <f t="shared" si="7" ref="D62:D63">+D50+D56</f>
        <v>29852986.000000004</v>
      </c>
      <c r="E62" s="66" t="s">
        <v>163</v>
      </c>
      <c r="F62" s="66">
        <f>+$D62*'[5]II-F Alloc_Factor'!E$17</f>
        <v>6573674.2168596582</v>
      </c>
      <c r="G62" s="66">
        <f>+$D62*'[5]II-F Alloc_Factor'!F$17</f>
        <v>0</v>
      </c>
      <c r="H62" s="66">
        <f>+$D62*'[5]II-F Alloc_Factor'!G$17</f>
        <v>0</v>
      </c>
      <c r="I62" s="66">
        <f>+$D62*'[5]II-F Alloc_Factor'!H$17</f>
        <v>6573674.2168596582</v>
      </c>
      <c r="J62" s="66">
        <f>+$D62*'[5]II-F Alloc_Factor'!I$17</f>
        <v>18135674.401316684</v>
      </c>
      <c r="K62" s="66">
        <f>+$D62*'[5]II-F Alloc_Factor'!J$17</f>
        <v>0</v>
      </c>
      <c r="L62" s="66">
        <f>+$D62*'[5]II-F Alloc_Factor'!K$17</f>
        <v>18135674.401316684</v>
      </c>
      <c r="M62" s="66">
        <f>+$D62*'[5]II-F Alloc_Factor'!L$17</f>
        <v>4944657.8450105591</v>
      </c>
      <c r="N62" s="66">
        <f>+$D62*'[5]II-F Alloc_Factor'!M$17</f>
        <v>198979.53681310403</v>
      </c>
      <c r="O62" s="14">
        <f t="shared" si="6"/>
        <v>29852986.000000004</v>
      </c>
    </row>
    <row r="63" spans="1:15" ht="12.75">
      <c r="A63" s="1">
        <v>49</v>
      </c>
      <c r="C63" s="183" t="s">
        <v>706</v>
      </c>
      <c r="D63" s="150">
        <f t="shared" si="7"/>
        <v>34661635</v>
      </c>
      <c r="E63" s="66" t="s">
        <v>163</v>
      </c>
      <c r="F63" s="66">
        <f>+$D63*'[5]II-F Alloc_Factor'!E$17</f>
        <v>7632546.2489313558</v>
      </c>
      <c r="G63" s="66">
        <f>+$D63*'[5]II-F Alloc_Factor'!F$17</f>
        <v>0</v>
      </c>
      <c r="H63" s="66">
        <f>+$D63*'[5]II-F Alloc_Factor'!G$17</f>
        <v>0</v>
      </c>
      <c r="I63" s="66">
        <f>+$D63*'[5]II-F Alloc_Factor'!H$17</f>
        <v>7632546.2489313558</v>
      </c>
      <c r="J63" s="66">
        <f>+$D63*'[5]II-F Alloc_Factor'!I$17</f>
        <v>21056926.318100382</v>
      </c>
      <c r="K63" s="66">
        <f>+$D63*'[5]II-F Alloc_Factor'!J$17</f>
        <v>0</v>
      </c>
      <c r="L63" s="66">
        <f>+$D63*'[5]II-F Alloc_Factor'!K$17</f>
        <v>21056926.318100382</v>
      </c>
      <c r="M63" s="66">
        <f>+$D63*'[5]II-F Alloc_Factor'!L$17</f>
        <v>5741131.7388365278</v>
      </c>
      <c r="N63" s="66">
        <f>+$D63*'[5]II-F Alloc_Factor'!M$17</f>
        <v>231030.6941317319</v>
      </c>
      <c r="O63" s="14">
        <f t="shared" si="6"/>
        <v>34661635</v>
      </c>
    </row>
    <row r="64" spans="1:15" ht="12.75">
      <c r="A64" s="146">
        <v>50</v>
      </c>
      <c r="C64" s="183"/>
      <c r="D64" s="150"/>
      <c r="E64" s="66"/>
      <c r="F64" s="66"/>
      <c r="G64" s="66"/>
      <c r="H64" s="66"/>
      <c r="I64" s="66"/>
      <c r="J64" s="66"/>
      <c r="K64" s="66"/>
      <c r="L64" s="66"/>
      <c r="M64" s="66"/>
      <c r="N64" s="66"/>
      <c r="O64" s="14"/>
    </row>
    <row r="65" spans="1:4" ht="12.75">
      <c r="A65" s="1">
        <v>51</v>
      </c>
      <c r="D65" s="150"/>
    </row>
    <row r="66" spans="1:4" ht="12.75">
      <c r="A66" s="146">
        <v>52</v>
      </c>
      <c r="C66" s="138" t="s">
        <v>405</v>
      </c>
      <c r="D66" s="150">
        <v>29852986</v>
      </c>
    </row>
    <row r="67" spans="1:4" ht="12.75">
      <c r="A67" s="146">
        <v>53</v>
      </c>
      <c r="C67" s="138" t="s">
        <v>406</v>
      </c>
      <c r="D67" s="150">
        <v>29648.599999999999</v>
      </c>
    </row>
    <row r="68" spans="1:4" ht="12.75">
      <c r="A68" s="1">
        <v>54</v>
      </c>
      <c r="C68" s="138" t="s">
        <v>407</v>
      </c>
      <c r="D68" s="150">
        <v>9456211.9900000002</v>
      </c>
    </row>
    <row r="69" spans="1:4" ht="12.75">
      <c r="A69" s="146">
        <v>55</v>
      </c>
      <c r="C69" s="138" t="s">
        <v>408</v>
      </c>
      <c r="D69" s="150">
        <v>245370.57999999999</v>
      </c>
    </row>
    <row r="70" spans="1:4" ht="12.75">
      <c r="A70" s="1">
        <v>56</v>
      </c>
      <c r="C70" s="138" t="s">
        <v>414</v>
      </c>
      <c r="D70" s="150">
        <v>-21386949.5</v>
      </c>
    </row>
    <row r="71" spans="1:4" ht="12.75">
      <c r="A71" s="146">
        <v>57</v>
      </c>
      <c r="C71" s="138" t="s">
        <v>63</v>
      </c>
      <c r="D71" s="150">
        <v>744568.32999999996</v>
      </c>
    </row>
    <row r="72" spans="1:4" ht="13.5" thickBot="1">
      <c r="A72" s="146">
        <v>58</v>
      </c>
      <c r="C72" s="138" t="s">
        <v>415</v>
      </c>
      <c r="D72" s="207">
        <f>SUM(D66:D71)</f>
        <v>18941836</v>
      </c>
    </row>
    <row r="73" spans="1:4" ht="13.5" thickTop="1">
      <c r="A73" s="1">
        <v>59</v>
      </c>
      <c r="D73" s="150"/>
    </row>
    <row r="74" spans="1:4" ht="12.75">
      <c r="A74" s="146">
        <v>60</v>
      </c>
      <c r="C74" s="183" t="s">
        <v>707</v>
      </c>
      <c r="D74" s="150">
        <f>+D63</f>
        <v>34661635</v>
      </c>
    </row>
  </sheetData>
  <printOptions horizontalCentered="1"/>
  <pageMargins left="0.5" right="0.5" top="3" bottom="0.5" header="1.5" footer="0.5"/>
  <pageSetup fitToHeight="0" orientation="landscape" scale="62" r:id="rId1"/>
  <headerFooter alignWithMargins="0">
    <oddHeader>&amp;C&amp;B
2022 RATE CASE
ONCOR ELECTRIC DELIVERY COMPANY LLC
II-D-3.9  POSTRETIREMENT BENEFITS OTHER THAN PENSION
TEST YEAR ENDING DECEMBER 31, 2021
SPONSORS: W. ALAN LEDBETTER/ A. GUILLORY/ K. FEASE&amp;R&amp;"Arial,Bold"Schedule &amp;A
Page &amp;P of &amp;N</oddHeader>
  </headerFooter>
  <rowBreaks count="1" manualBreakCount="1">
    <brk id="45" max="14" man="1"/>
  </rowBreak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89">
    <tabColor rgb="FFFF0000"/>
    <pageSetUpPr fitToPage="1"/>
  </sheetPr>
  <dimension ref="A1:AB260"/>
  <sheetViews>
    <sheetView workbookViewId="0" topLeftCell="A1">
      <pane xSplit="3" ySplit="15" topLeftCell="D220" activePane="bottomRight" state="frozen"/>
      <selection pane="topLeft" activeCell="D16" sqref="D16"/>
      <selection pane="bottomLeft" activeCell="D16" sqref="D16"/>
      <selection pane="topRight" activeCell="D16" sqref="D16"/>
      <selection pane="bottomRight" activeCell="I3" sqref="I3"/>
    </sheetView>
  </sheetViews>
  <sheetFormatPr defaultColWidth="9.14428571428571" defaultRowHeight="12.75"/>
  <cols>
    <col min="1" max="1" width="7.14285714285714" style="138" customWidth="1"/>
    <col min="2" max="2" width="16.7142857142857" style="138" customWidth="1"/>
    <col min="3" max="3" width="1.71428571428571" style="138" customWidth="1"/>
    <col min="4" max="5" width="14.7142857142857" style="138" customWidth="1"/>
    <col min="6" max="6" width="13.7142857142857" style="138" customWidth="1"/>
    <col min="7" max="8" width="9" style="138" bestFit="1" customWidth="1"/>
    <col min="9" max="9" width="13.7142857142857" style="138" bestFit="1" customWidth="1"/>
    <col min="10" max="10" width="15.4285714285714" style="138" bestFit="1" customWidth="1"/>
    <col min="11" max="11" width="9" style="138" bestFit="1" customWidth="1"/>
    <col min="12" max="12" width="14.7142857142857" style="138" customWidth="1"/>
    <col min="13" max="13" width="13.7142857142857" style="138" bestFit="1" customWidth="1"/>
    <col min="14" max="14" width="13" style="138" bestFit="1" customWidth="1"/>
    <col min="15" max="15" width="14.7142857142857" style="138" customWidth="1"/>
    <col min="16" max="16" width="1.57142857142857" style="138" customWidth="1"/>
    <col min="17" max="17" width="1.85714285714286" style="138" customWidth="1"/>
    <col min="18" max="16384" width="9.14285714285714" style="138"/>
  </cols>
  <sheetData>
    <row r="1" spans="1:1" ht="12.75">
      <c r="A1" s="163" t="str">
        <f>+'[3]Input Data'!$A$9</f>
        <v>2022 RATE CASE</v>
      </c>
    </row>
    <row r="2" spans="1:1" ht="12.75">
      <c r="A2" s="8" t="str">
        <f>+'[3]Input Data'!$A$2</f>
        <v>ONCOR ELECTRIC DELIVERY COMPANY LLC</v>
      </c>
    </row>
    <row r="3" spans="1:1" ht="12.75">
      <c r="A3" s="7" t="str">
        <f>CONCATENATE('[3]Schedule Sponsors'!$A$78,'[3]Schedule Sponsors'!$B$78)</f>
        <v>II-D-3.10  ADMINISTRATION FEES</v>
      </c>
    </row>
    <row r="4" spans="1:1" ht="12.75">
      <c r="A4" s="63" t="str">
        <f>+'[3]Input Data'!$A$4</f>
        <v>TEST YEAR ENDING DECEMBER 31, 2021</v>
      </c>
    </row>
    <row r="5" spans="1:1" ht="12.75">
      <c r="A5" s="7" t="str">
        <f>CONCATENATE("SPONSORS: ",'[3]Schedule Sponsors'!$D$78)</f>
        <v>SPONSORS: W. ALAN LEDBETTER/ A. GUILLORY</v>
      </c>
    </row>
    <row r="8" spans="2:2" ht="12.75">
      <c r="B8" s="164"/>
    </row>
    <row r="9" spans="4:17" ht="12.75">
      <c r="D9" s="165"/>
      <c r="E9" s="165"/>
      <c r="F9" s="165"/>
      <c r="G9" s="165"/>
      <c r="H9" s="165"/>
      <c r="I9" s="165"/>
      <c r="J9" s="165"/>
      <c r="K9" s="165"/>
      <c r="L9" s="165"/>
      <c r="M9" s="165"/>
      <c r="N9" s="165"/>
      <c r="O9" s="165"/>
      <c r="P9" s="165"/>
      <c r="Q9" s="165"/>
    </row>
    <row r="10" spans="14:18" ht="12.75">
      <c r="N10" s="149"/>
      <c r="O10" s="149"/>
      <c r="P10" s="149"/>
      <c r="Q10" s="149"/>
      <c r="R10" s="149"/>
    </row>
    <row r="11" spans="4:18" ht="13.5" thickBot="1">
      <c r="D11" s="363" t="s">
        <v>421</v>
      </c>
      <c r="E11" s="362"/>
      <c r="F11" s="362"/>
      <c r="G11" s="362"/>
      <c r="H11" s="362"/>
      <c r="I11" s="362"/>
      <c r="J11" s="362"/>
      <c r="K11" s="362"/>
      <c r="L11" s="362"/>
      <c r="M11" s="362"/>
      <c r="N11" s="362"/>
      <c r="O11" s="362"/>
      <c r="P11" s="143"/>
      <c r="Q11" s="149"/>
      <c r="R11" s="149"/>
    </row>
    <row r="12" spans="14:18" ht="12.75">
      <c r="N12" s="61"/>
      <c r="O12" s="61"/>
      <c r="P12" s="149"/>
      <c r="Q12" s="149"/>
      <c r="R12" s="149"/>
    </row>
    <row r="13" spans="1:15" ht="12.75">
      <c r="A13" s="18" t="s">
        <v>87</v>
      </c>
      <c r="B13" s="18"/>
      <c r="D13" s="209" t="s">
        <v>216</v>
      </c>
      <c r="E13" s="209" t="s">
        <v>53</v>
      </c>
      <c r="F13" s="18"/>
      <c r="G13" s="18" t="s">
        <v>716</v>
      </c>
      <c r="H13" s="18" t="s">
        <v>722</v>
      </c>
      <c r="I13" s="18" t="s">
        <v>717</v>
      </c>
      <c r="J13" s="18"/>
      <c r="K13" s="18" t="s">
        <v>716</v>
      </c>
      <c r="L13" s="18" t="s">
        <v>717</v>
      </c>
      <c r="M13" s="18"/>
      <c r="N13" s="18"/>
      <c r="O13" s="18"/>
    </row>
    <row r="14" spans="1:15" ht="12.75">
      <c r="A14" s="208" t="s">
        <v>89</v>
      </c>
      <c r="B14" s="208" t="s">
        <v>64</v>
      </c>
      <c r="D14" s="202" t="s">
        <v>219</v>
      </c>
      <c r="E14" s="202" t="s">
        <v>218</v>
      </c>
      <c r="F14" s="202" t="s">
        <v>294</v>
      </c>
      <c r="G14" s="202" t="s">
        <v>294</v>
      </c>
      <c r="H14" s="202" t="s">
        <v>723</v>
      </c>
      <c r="I14" s="202" t="s">
        <v>294</v>
      </c>
      <c r="J14" s="202" t="s">
        <v>295</v>
      </c>
      <c r="K14" s="202" t="s">
        <v>295</v>
      </c>
      <c r="L14" s="202" t="s">
        <v>295</v>
      </c>
      <c r="M14" s="202" t="s">
        <v>283</v>
      </c>
      <c r="N14" s="202" t="s">
        <v>126</v>
      </c>
      <c r="O14" s="202" t="s">
        <v>216</v>
      </c>
    </row>
    <row r="15" spans="1:15" ht="12.75">
      <c r="A15" s="18"/>
      <c r="B15" s="16" t="s">
        <v>44</v>
      </c>
      <c r="D15" s="16" t="s">
        <v>45</v>
      </c>
      <c r="E15" s="203" t="s">
        <v>74</v>
      </c>
      <c r="F15" s="16" t="s">
        <v>75</v>
      </c>
      <c r="G15" s="203" t="s">
        <v>76</v>
      </c>
      <c r="H15" s="203" t="s">
        <v>77</v>
      </c>
      <c r="I15" s="203" t="s">
        <v>78</v>
      </c>
      <c r="J15" s="203" t="s">
        <v>79</v>
      </c>
      <c r="K15" s="203" t="s">
        <v>80</v>
      </c>
      <c r="L15" s="203" t="s">
        <v>81</v>
      </c>
      <c r="M15" s="203" t="s">
        <v>82</v>
      </c>
      <c r="N15" s="203" t="s">
        <v>83</v>
      </c>
      <c r="O15" s="203" t="s">
        <v>84</v>
      </c>
    </row>
    <row r="17" spans="1:18" ht="12.75">
      <c r="A17" s="146">
        <v>1</v>
      </c>
      <c r="B17" s="147" t="str">
        <f>+'II-D-3.2'!B15</f>
        <v>January 2021</v>
      </c>
      <c r="D17" s="148">
        <v>434.18000000000029</v>
      </c>
      <c r="E17" s="210" t="s">
        <v>163</v>
      </c>
      <c r="F17" s="148">
        <f>+$D17*'[5]II-F Alloc_Factor'!E$17</f>
        <v>95.607115196989938</v>
      </c>
      <c r="G17" s="148">
        <f>+$D17*'[5]II-F Alloc_Factor'!F$17</f>
        <v>0</v>
      </c>
      <c r="H17" s="148">
        <f>+$D17*'[5]II-F Alloc_Factor'!G$17</f>
        <v>0</v>
      </c>
      <c r="I17" s="148">
        <f>+$D17*'[5]II-F Alloc_Factor'!H$17</f>
        <v>95.607115196989938</v>
      </c>
      <c r="J17" s="148">
        <f>+$D17*'[5]II-F Alloc_Factor'!I$17</f>
        <v>263.76413775036377</v>
      </c>
      <c r="K17" s="148">
        <f>+$D17*'[5]II-F Alloc_Factor'!J$17</f>
        <v>0</v>
      </c>
      <c r="L17" s="148">
        <f>+$D17*'[5]II-F Alloc_Factor'!K$17</f>
        <v>263.76413775036377</v>
      </c>
      <c r="M17" s="148">
        <f>+$D17*'[5]II-F Alloc_Factor'!L$17</f>
        <v>71.914800855990933</v>
      </c>
      <c r="N17" s="148">
        <f>+$D17*'[5]II-F Alloc_Factor'!M$17</f>
        <v>2.893946196655623</v>
      </c>
      <c r="O17" s="148">
        <f>+I17+L17+M17+N17</f>
        <v>434.18000000000029</v>
      </c>
      <c r="P17" s="148"/>
      <c r="Q17" s="144"/>
      <c r="R17" s="138" t="b">
        <f t="shared" si="0" ref="R17:R28">+D17=O17</f>
        <v>1</v>
      </c>
    </row>
    <row r="18" spans="1:18" ht="12.75">
      <c r="A18" s="146">
        <v>2</v>
      </c>
      <c r="B18" s="147" t="str">
        <f>+'II-D-3.2'!B16</f>
        <v>February 2021</v>
      </c>
      <c r="D18" s="150">
        <v>219584.09999999998</v>
      </c>
      <c r="E18" s="210" t="s">
        <v>163</v>
      </c>
      <c r="F18" s="150">
        <f>+$D18*'[5]II-F Alloc_Factor'!E$17</f>
        <v>48352.762320068498</v>
      </c>
      <c r="G18" s="150">
        <f>+$D18*'[5]II-F Alloc_Factor'!F$17</f>
        <v>0</v>
      </c>
      <c r="H18" s="150">
        <f>+$D18*'[5]II-F Alloc_Factor'!G$17</f>
        <v>0</v>
      </c>
      <c r="I18" s="150">
        <f>+$D18*'[5]II-F Alloc_Factor'!H$17</f>
        <v>48352.762320068498</v>
      </c>
      <c r="J18" s="150">
        <f>+$D18*'[5]II-F Alloc_Factor'!I$17</f>
        <v>133397.23340593674</v>
      </c>
      <c r="K18" s="150">
        <f>+$D18*'[5]II-F Alloc_Factor'!J$17</f>
        <v>0</v>
      </c>
      <c r="L18" s="150">
        <f>+$D18*'[5]II-F Alloc_Factor'!K$17</f>
        <v>133397.23340593674</v>
      </c>
      <c r="M18" s="150">
        <f>+$D18*'[5]II-F Alloc_Factor'!L$17</f>
        <v>36370.507215076665</v>
      </c>
      <c r="N18" s="150">
        <f>+$D18*'[5]II-F Alloc_Factor'!M$17</f>
        <v>1463.5970589180697</v>
      </c>
      <c r="O18" s="144">
        <f t="shared" si="1" ref="O18:O28">+I18+L18+M18+N18</f>
        <v>219584.09999999995</v>
      </c>
      <c r="P18" s="144"/>
      <c r="Q18" s="144"/>
      <c r="R18" s="138" t="b">
        <f t="shared" si="0"/>
        <v>1</v>
      </c>
    </row>
    <row r="19" spans="1:18" ht="12.75">
      <c r="A19" s="146">
        <v>3</v>
      </c>
      <c r="B19" s="147" t="str">
        <f>+'II-D-3.2'!B17</f>
        <v>March 2021</v>
      </c>
      <c r="D19" s="150">
        <v>421406.96000000002</v>
      </c>
      <c r="E19" s="210" t="s">
        <v>163</v>
      </c>
      <c r="F19" s="150">
        <f>+$D19*'[5]II-F Alloc_Factor'!E$17</f>
        <v>92794.471807852286</v>
      </c>
      <c r="G19" s="150">
        <f>+$D19*'[5]II-F Alloc_Factor'!F$17</f>
        <v>0</v>
      </c>
      <c r="H19" s="150">
        <f>+$D19*'[5]II-F Alloc_Factor'!G$17</f>
        <v>0</v>
      </c>
      <c r="I19" s="150">
        <f>+$D19*'[5]II-F Alloc_Factor'!H$17</f>
        <v>92794.471807852286</v>
      </c>
      <c r="J19" s="150">
        <f>+$D19*'[5]II-F Alloc_Factor'!I$17</f>
        <v>256004.52219448608</v>
      </c>
      <c r="K19" s="150">
        <f>+$D19*'[5]II-F Alloc_Factor'!J$17</f>
        <v>0</v>
      </c>
      <c r="L19" s="150">
        <f>+$D19*'[5]II-F Alloc_Factor'!K$17</f>
        <v>256004.52219448608</v>
      </c>
      <c r="M19" s="150">
        <f>+$D19*'[5]II-F Alloc_Factor'!L$17</f>
        <v>69799.156128169241</v>
      </c>
      <c r="N19" s="150">
        <f>+$D19*'[5]II-F Alloc_Factor'!M$17</f>
        <v>2808.8098694923938</v>
      </c>
      <c r="O19" s="144">
        <f t="shared" si="1"/>
        <v>421406.96000000002</v>
      </c>
      <c r="P19" s="144"/>
      <c r="Q19" s="144"/>
      <c r="R19" s="138" t="b">
        <f t="shared" si="0"/>
        <v>1</v>
      </c>
    </row>
    <row r="20" spans="1:18" ht="12.75">
      <c r="A20" s="166">
        <v>4</v>
      </c>
      <c r="B20" s="147" t="str">
        <f>+'II-D-3.2'!B18</f>
        <v>April 2021</v>
      </c>
      <c r="D20" s="150">
        <v>-15667.580000000016</v>
      </c>
      <c r="E20" s="210" t="s">
        <v>163</v>
      </c>
      <c r="F20" s="150">
        <f>+$D20*'[5]II-F Alloc_Factor'!E$17</f>
        <v>-3450.0256251279566</v>
      </c>
      <c r="G20" s="150">
        <f>+$D20*'[5]II-F Alloc_Factor'!F$17</f>
        <v>0</v>
      </c>
      <c r="H20" s="150">
        <f>+$D20*'[5]II-F Alloc_Factor'!G$17</f>
        <v>0</v>
      </c>
      <c r="I20" s="150">
        <f>+$D20*'[5]II-F Alloc_Factor'!H$17</f>
        <v>-3450.0256251279566</v>
      </c>
      <c r="J20" s="150">
        <f>+$D20*'[5]II-F Alloc_Factor'!I$17</f>
        <v>-9518.0471908767013</v>
      </c>
      <c r="K20" s="150">
        <f>+$D20*'[5]II-F Alloc_Factor'!J$17</f>
        <v>0</v>
      </c>
      <c r="L20" s="150">
        <f>+$D20*'[5]II-F Alloc_Factor'!K$17</f>
        <v>-9518.0471908767013</v>
      </c>
      <c r="M20" s="150">
        <f>+$D20*'[5]II-F Alloc_Factor'!L$17</f>
        <v>-2595.0778377523307</v>
      </c>
      <c r="N20" s="150">
        <f>+$D20*'[5]II-F Alloc_Factor'!M$17</f>
        <v>-104.4293462430276</v>
      </c>
      <c r="O20" s="144">
        <f t="shared" si="1"/>
        <v>-15667.580000000016</v>
      </c>
      <c r="P20" s="144"/>
      <c r="Q20" s="144"/>
      <c r="R20" s="138" t="b">
        <f t="shared" si="0"/>
        <v>1</v>
      </c>
    </row>
    <row r="21" spans="1:18" ht="12.75">
      <c r="A21" s="166">
        <v>5</v>
      </c>
      <c r="B21" s="147" t="str">
        <f>+'II-D-3.2'!B19</f>
        <v>May 2021</v>
      </c>
      <c r="D21" s="150">
        <v>208555.31999999998</v>
      </c>
      <c r="E21" s="210" t="s">
        <v>163</v>
      </c>
      <c r="F21" s="150">
        <f>+$D21*'[5]II-F Alloc_Factor'!E$17</f>
        <v>45924.207711513853</v>
      </c>
      <c r="G21" s="150">
        <f>+$D21*'[5]II-F Alloc_Factor'!F$17</f>
        <v>0</v>
      </c>
      <c r="H21" s="150">
        <f>+$D21*'[5]II-F Alloc_Factor'!G$17</f>
        <v>0</v>
      </c>
      <c r="I21" s="150">
        <f>+$D21*'[5]II-F Alloc_Factor'!H$17</f>
        <v>45924.207711513853</v>
      </c>
      <c r="J21" s="150">
        <f>+$D21*'[5]II-F Alloc_Factor'!I$17</f>
        <v>126697.25494737472</v>
      </c>
      <c r="K21" s="150">
        <f>+$D21*'[5]II-F Alloc_Factor'!J$17</f>
        <v>0</v>
      </c>
      <c r="L21" s="150">
        <f>+$D21*'[5]II-F Alloc_Factor'!K$17</f>
        <v>126697.25494737472</v>
      </c>
      <c r="M21" s="150">
        <f>+$D21*'[5]II-F Alloc_Factor'!L$17</f>
        <v>34543.770568099528</v>
      </c>
      <c r="N21" s="150">
        <f>+$D21*'[5]II-F Alloc_Factor'!M$17</f>
        <v>1390.086773011875</v>
      </c>
      <c r="O21" s="144">
        <f t="shared" si="1"/>
        <v>208555.31999999998</v>
      </c>
      <c r="P21" s="144"/>
      <c r="Q21" s="144"/>
      <c r="R21" s="138" t="b">
        <f t="shared" si="0"/>
        <v>1</v>
      </c>
    </row>
    <row r="22" spans="1:18" ht="12.75">
      <c r="A22" s="166">
        <v>6</v>
      </c>
      <c r="B22" s="147" t="str">
        <f>+'II-D-3.2'!B20</f>
        <v>June 2021</v>
      </c>
      <c r="D22" s="150">
        <v>411214.88</v>
      </c>
      <c r="E22" s="210" t="s">
        <v>163</v>
      </c>
      <c r="F22" s="150">
        <f>+$D22*'[5]II-F Alloc_Factor'!E$17</f>
        <v>90550.159848165204</v>
      </c>
      <c r="G22" s="150">
        <f>+$D22*'[5]II-F Alloc_Factor'!F$17</f>
        <v>0</v>
      </c>
      <c r="H22" s="150">
        <f>+$D22*'[5]II-F Alloc_Factor'!G$17</f>
        <v>0</v>
      </c>
      <c r="I22" s="150">
        <f>+$D22*'[5]II-F Alloc_Factor'!H$17</f>
        <v>90550.159848165204</v>
      </c>
      <c r="J22" s="150">
        <f>+$D22*'[5]II-F Alloc_Factor'!I$17</f>
        <v>249812.83857690185</v>
      </c>
      <c r="K22" s="150">
        <f>+$D22*'[5]II-F Alloc_Factor'!J$17</f>
        <v>0</v>
      </c>
      <c r="L22" s="150">
        <f>+$D22*'[5]II-F Alloc_Factor'!K$17</f>
        <v>249812.83857690185</v>
      </c>
      <c r="M22" s="150">
        <f>+$D22*'[5]II-F Alloc_Factor'!L$17</f>
        <v>68111.005122806644</v>
      </c>
      <c r="N22" s="150">
        <f>+$D22*'[5]II-F Alloc_Factor'!M$17</f>
        <v>2740.8764521263015</v>
      </c>
      <c r="O22" s="144">
        <f t="shared" si="1"/>
        <v>411214.88</v>
      </c>
      <c r="P22" s="144"/>
      <c r="Q22" s="144"/>
      <c r="R22" s="138" t="b">
        <f t="shared" si="0"/>
        <v>1</v>
      </c>
    </row>
    <row r="23" spans="1:18" ht="12.75">
      <c r="A23" s="166">
        <v>7</v>
      </c>
      <c r="B23" s="147" t="str">
        <f>+'II-D-3.2'!B21</f>
        <v>July 2021</v>
      </c>
      <c r="D23" s="150">
        <v>2087.9400000000023</v>
      </c>
      <c r="E23" s="210" t="s">
        <v>163</v>
      </c>
      <c r="F23" s="150">
        <f>+$D23*'[5]II-F Alloc_Factor'!E$17</f>
        <v>459.76765420886096</v>
      </c>
      <c r="G23" s="150">
        <f>+$D23*'[5]II-F Alloc_Factor'!F$17</f>
        <v>0</v>
      </c>
      <c r="H23" s="150">
        <f>+$D23*'[5]II-F Alloc_Factor'!G$17</f>
        <v>0</v>
      </c>
      <c r="I23" s="150">
        <f>+$D23*'[5]II-F Alloc_Factor'!H$17</f>
        <v>459.76765420886096</v>
      </c>
      <c r="J23" s="150">
        <f>+$D23*'[5]II-F Alloc_Factor'!I$17</f>
        <v>1268.4225293069576</v>
      </c>
      <c r="K23" s="150">
        <f>+$D23*'[5]II-F Alloc_Factor'!J$17</f>
        <v>0</v>
      </c>
      <c r="L23" s="150">
        <f>+$D23*'[5]II-F Alloc_Factor'!K$17</f>
        <v>1268.4225293069576</v>
      </c>
      <c r="M23" s="150">
        <f>+$D23*'[5]II-F Alloc_Factor'!L$17</f>
        <v>345.83303998170754</v>
      </c>
      <c r="N23" s="150">
        <f>+$D23*'[5]II-F Alloc_Factor'!M$17</f>
        <v>13.916776502476264</v>
      </c>
      <c r="O23" s="144">
        <f t="shared" si="1"/>
        <v>2087.9400000000023</v>
      </c>
      <c r="P23" s="144"/>
      <c r="Q23" s="144"/>
      <c r="R23" s="138" t="b">
        <f t="shared" si="0"/>
        <v>1</v>
      </c>
    </row>
    <row r="24" spans="1:18" ht="12.75">
      <c r="A24" s="166">
        <v>8</v>
      </c>
      <c r="B24" s="147" t="str">
        <f>+'II-D-3.2'!B22</f>
        <v>August 2021</v>
      </c>
      <c r="D24" s="150">
        <v>207613.31999999998</v>
      </c>
      <c r="E24" s="210" t="s">
        <v>163</v>
      </c>
      <c r="F24" s="150">
        <f>+$D24*'[5]II-F Alloc_Factor'!E$17</f>
        <v>45716.777837923255</v>
      </c>
      <c r="G24" s="150">
        <f>+$D24*'[5]II-F Alloc_Factor'!F$17</f>
        <v>0</v>
      </c>
      <c r="H24" s="150">
        <f>+$D24*'[5]II-F Alloc_Factor'!G$17</f>
        <v>0</v>
      </c>
      <c r="I24" s="150">
        <f>+$D24*'[5]II-F Alloc_Factor'!H$17</f>
        <v>45716.777837923255</v>
      </c>
      <c r="J24" s="150">
        <f>+$D24*'[5]II-F Alloc_Factor'!I$17</f>
        <v>126124.99040787303</v>
      </c>
      <c r="K24" s="150">
        <f>+$D24*'[5]II-F Alloc_Factor'!J$17</f>
        <v>0</v>
      </c>
      <c r="L24" s="150">
        <f>+$D24*'[5]II-F Alloc_Factor'!K$17</f>
        <v>126124.99040787303</v>
      </c>
      <c r="M24" s="150">
        <f>+$D24*'[5]II-F Alloc_Factor'!L$17</f>
        <v>34387.743707335918</v>
      </c>
      <c r="N24" s="150">
        <f>+$D24*'[5]II-F Alloc_Factor'!M$17</f>
        <v>1383.8080468677651</v>
      </c>
      <c r="O24" s="144">
        <f t="shared" si="1"/>
        <v>207613.31999999998</v>
      </c>
      <c r="P24" s="144"/>
      <c r="Q24" s="144"/>
      <c r="R24" s="138" t="b">
        <f t="shared" si="0"/>
        <v>1</v>
      </c>
    </row>
    <row r="25" spans="1:18" ht="12.75">
      <c r="A25" s="166">
        <v>9</v>
      </c>
      <c r="B25" s="147" t="str">
        <f>+'II-D-3.2'!B23</f>
        <v>September 2021</v>
      </c>
      <c r="D25" s="150">
        <v>420892.40000000002</v>
      </c>
      <c r="E25" s="210" t="s">
        <v>163</v>
      </c>
      <c r="F25" s="150">
        <f>+$D25*'[5]II-F Alloc_Factor'!E$17</f>
        <v>92681.164890915155</v>
      </c>
      <c r="G25" s="150">
        <f>+$D25*'[5]II-F Alloc_Factor'!F$17</f>
        <v>0</v>
      </c>
      <c r="H25" s="150">
        <f>+$D25*'[5]II-F Alloc_Factor'!G$17</f>
        <v>0</v>
      </c>
      <c r="I25" s="150">
        <f>+$D25*'[5]II-F Alloc_Factor'!H$17</f>
        <v>92681.164890915155</v>
      </c>
      <c r="J25" s="150">
        <f>+$D25*'[5]II-F Alloc_Factor'!I$17</f>
        <v>255691.92724602963</v>
      </c>
      <c r="K25" s="150">
        <f>+$D25*'[5]II-F Alloc_Factor'!J$17</f>
        <v>0</v>
      </c>
      <c r="L25" s="150">
        <f>+$D25*'[5]II-F Alloc_Factor'!K$17</f>
        <v>255691.92724602963</v>
      </c>
      <c r="M25" s="150">
        <f>+$D25*'[5]II-F Alloc_Factor'!L$17</f>
        <v>69713.927697729188</v>
      </c>
      <c r="N25" s="150">
        <f>+$D25*'[5]II-F Alloc_Factor'!M$17</f>
        <v>2805.3801653260316</v>
      </c>
      <c r="O25" s="144">
        <f t="shared" si="1"/>
        <v>420892.40000000002</v>
      </c>
      <c r="P25" s="144"/>
      <c r="Q25" s="144"/>
      <c r="R25" s="138" t="b">
        <f t="shared" si="0"/>
        <v>1</v>
      </c>
    </row>
    <row r="26" spans="1:18" ht="12.75">
      <c r="A26" s="166">
        <v>10</v>
      </c>
      <c r="B26" s="147" t="str">
        <f>+'II-D-3.2'!B24</f>
        <v>October 2021</v>
      </c>
      <c r="D26" s="150">
        <v>-210446.20000000001</v>
      </c>
      <c r="E26" s="210" t="s">
        <v>163</v>
      </c>
      <c r="F26" s="150">
        <f>+$D26*'[5]II-F Alloc_Factor'!E$17</f>
        <v>-46340.582445457578</v>
      </c>
      <c r="G26" s="150">
        <f>+$D26*'[5]II-F Alloc_Factor'!F$17</f>
        <v>0</v>
      </c>
      <c r="H26" s="150">
        <f>+$D26*'[5]II-F Alloc_Factor'!G$17</f>
        <v>0</v>
      </c>
      <c r="I26" s="150">
        <f>+$D26*'[5]II-F Alloc_Factor'!H$17</f>
        <v>-46340.582445457578</v>
      </c>
      <c r="J26" s="150">
        <f>+$D26*'[5]II-F Alloc_Factor'!I$17</f>
        <v>-127845.96362301482</v>
      </c>
      <c r="K26" s="150">
        <f>+$D26*'[5]II-F Alloc_Factor'!J$17</f>
        <v>0</v>
      </c>
      <c r="L26" s="150">
        <f>+$D26*'[5]II-F Alloc_Factor'!K$17</f>
        <v>-127845.96362301482</v>
      </c>
      <c r="M26" s="150">
        <f>+$D26*'[5]II-F Alloc_Factor'!L$17</f>
        <v>-34856.963848864594</v>
      </c>
      <c r="N26" s="150">
        <f>+$D26*'[5]II-F Alloc_Factor'!M$17</f>
        <v>-1402.6900826630158</v>
      </c>
      <c r="O26" s="144">
        <f t="shared" si="1"/>
        <v>-210446.20000000001</v>
      </c>
      <c r="P26" s="144"/>
      <c r="Q26" s="144"/>
      <c r="R26" s="138" t="b">
        <f t="shared" si="0"/>
        <v>1</v>
      </c>
    </row>
    <row r="27" spans="1:18" ht="12.75">
      <c r="A27" s="166">
        <v>11</v>
      </c>
      <c r="B27" s="147" t="str">
        <f>+'II-D-3.2'!B25</f>
        <v>November 2021</v>
      </c>
      <c r="D27" s="150">
        <v>421287.70000000001</v>
      </c>
      <c r="E27" s="210" t="s">
        <v>163</v>
      </c>
      <c r="F27" s="150">
        <f>+$D27*'[5]II-F Alloc_Factor'!E$17</f>
        <v>92768.210569291332</v>
      </c>
      <c r="G27" s="150">
        <f>+$D27*'[5]II-F Alloc_Factor'!F$17</f>
        <v>0</v>
      </c>
      <c r="H27" s="150">
        <f>+$D27*'[5]II-F Alloc_Factor'!G$17</f>
        <v>0</v>
      </c>
      <c r="I27" s="150">
        <f>+$D27*'[5]II-F Alloc_Factor'!H$17</f>
        <v>92768.210569291332</v>
      </c>
      <c r="J27" s="150">
        <f>+$D27*'[5]II-F Alloc_Factor'!I$17</f>
        <v>255932.07180278655</v>
      </c>
      <c r="K27" s="150">
        <f>+$D27*'[5]II-F Alloc_Factor'!J$17</f>
        <v>0</v>
      </c>
      <c r="L27" s="150">
        <f>+$D27*'[5]II-F Alloc_Factor'!K$17</f>
        <v>255932.07180278655</v>
      </c>
      <c r="M27" s="150">
        <f>+$D27*'[5]II-F Alloc_Factor'!L$17</f>
        <v>69779.40266382246</v>
      </c>
      <c r="N27" s="150">
        <f>+$D27*'[5]II-F Alloc_Factor'!M$17</f>
        <v>2808.0149640996688</v>
      </c>
      <c r="O27" s="144">
        <f t="shared" si="1"/>
        <v>421287.70000000001</v>
      </c>
      <c r="P27" s="144"/>
      <c r="Q27" s="144"/>
      <c r="R27" s="138" t="b">
        <f t="shared" si="0"/>
        <v>1</v>
      </c>
    </row>
    <row r="28" spans="1:18" ht="12.75">
      <c r="A28" s="166">
        <v>12</v>
      </c>
      <c r="B28" s="147" t="str">
        <f>+'II-D-3.2'!B26</f>
        <v>December 2021</v>
      </c>
      <c r="D28" s="150">
        <v>413888.19999999995</v>
      </c>
      <c r="E28" s="210" t="s">
        <v>163</v>
      </c>
      <c r="F28" s="150">
        <f>+$D28*'[5]II-F Alloc_Factor'!E$17</f>
        <v>91138.829094096407</v>
      </c>
      <c r="G28" s="150">
        <f>+$D28*'[5]II-F Alloc_Factor'!F$17</f>
        <v>0</v>
      </c>
      <c r="H28" s="150">
        <f>+$D28*'[5]II-F Alloc_Factor'!G$17</f>
        <v>0</v>
      </c>
      <c r="I28" s="150">
        <f>+$D28*'[5]II-F Alloc_Factor'!H$17</f>
        <v>91138.829094096407</v>
      </c>
      <c r="J28" s="150">
        <f>+$D28*'[5]II-F Alloc_Factor'!I$17</f>
        <v>251436.87917004476</v>
      </c>
      <c r="K28" s="150">
        <f>+$D28*'[5]II-F Alloc_Factor'!J$17</f>
        <v>0</v>
      </c>
      <c r="L28" s="150">
        <f>+$D28*'[5]II-F Alloc_Factor'!K$17</f>
        <v>251436.87917004476</v>
      </c>
      <c r="M28" s="150">
        <f>+$D28*'[5]II-F Alloc_Factor'!L$17</f>
        <v>68553.796765499384</v>
      </c>
      <c r="N28" s="150">
        <f>+$D28*'[5]II-F Alloc_Factor'!M$17</f>
        <v>2758.6949703593918</v>
      </c>
      <c r="O28" s="144">
        <f t="shared" si="1"/>
        <v>413888.19999999995</v>
      </c>
      <c r="P28" s="144"/>
      <c r="Q28" s="144"/>
      <c r="R28" s="138" t="b">
        <f t="shared" si="0"/>
        <v>1</v>
      </c>
    </row>
    <row r="29" spans="1:17" ht="12.75">
      <c r="A29" s="166">
        <v>13</v>
      </c>
      <c r="D29" s="167"/>
      <c r="E29" s="167"/>
      <c r="F29" s="167"/>
      <c r="G29" s="167"/>
      <c r="H29" s="167"/>
      <c r="I29" s="167"/>
      <c r="J29" s="167"/>
      <c r="K29" s="167"/>
      <c r="L29" s="167"/>
      <c r="M29" s="167"/>
      <c r="N29" s="167"/>
      <c r="O29" s="167"/>
      <c r="P29" s="144"/>
      <c r="Q29" s="144"/>
    </row>
    <row r="30" spans="1:17" ht="13.5" thickBot="1">
      <c r="A30" s="146">
        <v>15</v>
      </c>
      <c r="B30" s="211" t="s">
        <v>216</v>
      </c>
      <c r="D30" s="169">
        <f>SUM(D17:D29)</f>
        <v>2500851.2199999997</v>
      </c>
      <c r="E30" s="169"/>
      <c r="F30" s="169">
        <f t="shared" si="2" ref="F30:O30">SUM(F17:F29)</f>
        <v>550691.3507786463</v>
      </c>
      <c r="G30" s="169">
        <f t="shared" si="3" ref="G30:N30">SUM(G17:G29)</f>
        <v>0</v>
      </c>
      <c r="H30" s="169">
        <f t="shared" si="3"/>
        <v>0</v>
      </c>
      <c r="I30" s="169">
        <f t="shared" si="3"/>
        <v>550691.3507786463</v>
      </c>
      <c r="J30" s="169">
        <f t="shared" si="3"/>
        <v>1519265.8936045994</v>
      </c>
      <c r="K30" s="169">
        <f t="shared" si="3"/>
        <v>0</v>
      </c>
      <c r="L30" s="169">
        <f t="shared" si="3"/>
        <v>1519265.8936045994</v>
      </c>
      <c r="M30" s="169">
        <f t="shared" si="3"/>
        <v>414225.01602275984</v>
      </c>
      <c r="N30" s="169">
        <f t="shared" si="3"/>
        <v>16668.959593994587</v>
      </c>
      <c r="O30" s="169">
        <f t="shared" si="2"/>
        <v>2500851.2199999997</v>
      </c>
      <c r="P30" s="170"/>
      <c r="Q30" s="144"/>
    </row>
    <row r="31" ht="13.5" thickTop="1"/>
    <row r="32" spans="4:28" ht="12.75">
      <c r="D32" s="165"/>
      <c r="E32" s="165"/>
      <c r="F32" s="165"/>
      <c r="G32" s="165"/>
      <c r="H32" s="165"/>
      <c r="I32" s="165"/>
      <c r="J32" s="165"/>
      <c r="K32" s="165"/>
      <c r="L32" s="165"/>
      <c r="M32" s="165"/>
      <c r="N32" s="165"/>
      <c r="O32" s="165"/>
      <c r="P32" s="165"/>
      <c r="Q32" s="165"/>
      <c r="X32" s="139"/>
      <c r="Y32" s="139"/>
      <c r="Z32" s="139"/>
      <c r="AA32" s="139"/>
      <c r="AB32" s="139"/>
    </row>
    <row r="34" spans="4:18" ht="13.5" thickBot="1">
      <c r="D34" s="363" t="s">
        <v>743</v>
      </c>
      <c r="E34" s="362"/>
      <c r="F34" s="362"/>
      <c r="G34" s="362"/>
      <c r="H34" s="362"/>
      <c r="I34" s="362"/>
      <c r="J34" s="362"/>
      <c r="K34" s="362"/>
      <c r="L34" s="362"/>
      <c r="M34" s="362"/>
      <c r="N34" s="362"/>
      <c r="O34" s="362"/>
      <c r="P34" s="143"/>
      <c r="Q34" s="149"/>
      <c r="R34" s="149"/>
    </row>
    <row r="35" spans="14:18" ht="12.75">
      <c r="N35" s="61"/>
      <c r="O35" s="61"/>
      <c r="P35" s="149"/>
      <c r="Q35" s="149"/>
      <c r="R35" s="149"/>
    </row>
    <row r="36" spans="1:15" ht="12.75">
      <c r="A36" s="18" t="s">
        <v>87</v>
      </c>
      <c r="B36" s="18"/>
      <c r="D36" s="209" t="s">
        <v>216</v>
      </c>
      <c r="E36" s="209" t="s">
        <v>53</v>
      </c>
      <c r="F36" s="18"/>
      <c r="G36" s="18" t="s">
        <v>716</v>
      </c>
      <c r="H36" s="18" t="s">
        <v>722</v>
      </c>
      <c r="I36" s="18" t="s">
        <v>717</v>
      </c>
      <c r="J36" s="18"/>
      <c r="K36" s="18" t="s">
        <v>716</v>
      </c>
      <c r="L36" s="18" t="s">
        <v>717</v>
      </c>
      <c r="M36" s="18"/>
      <c r="N36" s="18"/>
      <c r="O36" s="18"/>
    </row>
    <row r="37" spans="1:15" ht="12.75">
      <c r="A37" s="208" t="s">
        <v>89</v>
      </c>
      <c r="B37" s="208" t="s">
        <v>64</v>
      </c>
      <c r="D37" s="202" t="s">
        <v>219</v>
      </c>
      <c r="E37" s="202" t="s">
        <v>218</v>
      </c>
      <c r="F37" s="202" t="s">
        <v>294</v>
      </c>
      <c r="G37" s="202" t="s">
        <v>294</v>
      </c>
      <c r="H37" s="202" t="s">
        <v>723</v>
      </c>
      <c r="I37" s="202" t="s">
        <v>294</v>
      </c>
      <c r="J37" s="202" t="s">
        <v>295</v>
      </c>
      <c r="K37" s="202" t="s">
        <v>295</v>
      </c>
      <c r="L37" s="202" t="s">
        <v>295</v>
      </c>
      <c r="M37" s="202" t="s">
        <v>283</v>
      </c>
      <c r="N37" s="202" t="s">
        <v>126</v>
      </c>
      <c r="O37" s="202" t="s">
        <v>216</v>
      </c>
    </row>
    <row r="38" spans="1:15" ht="12.75">
      <c r="A38" s="18"/>
      <c r="B38" s="16" t="s">
        <v>44</v>
      </c>
      <c r="D38" s="16" t="s">
        <v>45</v>
      </c>
      <c r="E38" s="203" t="s">
        <v>74</v>
      </c>
      <c r="F38" s="16" t="s">
        <v>75</v>
      </c>
      <c r="G38" s="203" t="s">
        <v>76</v>
      </c>
      <c r="H38" s="203" t="s">
        <v>77</v>
      </c>
      <c r="I38" s="203" t="s">
        <v>78</v>
      </c>
      <c r="J38" s="203" t="s">
        <v>79</v>
      </c>
      <c r="K38" s="203" t="s">
        <v>80</v>
      </c>
      <c r="L38" s="203" t="s">
        <v>81</v>
      </c>
      <c r="M38" s="203" t="s">
        <v>82</v>
      </c>
      <c r="N38" s="203" t="s">
        <v>83</v>
      </c>
      <c r="O38" s="203" t="s">
        <v>84</v>
      </c>
    </row>
    <row r="40" spans="1:18" ht="12.75">
      <c r="A40" s="146">
        <v>16</v>
      </c>
      <c r="B40" s="147" t="str">
        <f>+B17</f>
        <v>January 2021</v>
      </c>
      <c r="D40" s="148">
        <v>5290.2999999999993</v>
      </c>
      <c r="E40" s="210" t="s">
        <v>163</v>
      </c>
      <c r="F40" s="148">
        <f>+$D40*'[5]II-F Alloc_Factor'!E$17</f>
        <v>1164.9323357285814</v>
      </c>
      <c r="G40" s="148">
        <f>+$D40*'[5]II-F Alloc_Factor'!F$17</f>
        <v>0</v>
      </c>
      <c r="H40" s="148">
        <f>+$D40*'[5]II-F Alloc_Factor'!G$17</f>
        <v>0</v>
      </c>
      <c r="I40" s="148">
        <f>+$D40*'[5]II-F Alloc_Factor'!H$17</f>
        <v>1164.9323357285814</v>
      </c>
      <c r="J40" s="148">
        <f>+$D40*'[5]II-F Alloc_Factor'!I$17</f>
        <v>3213.8546638277867</v>
      </c>
      <c r="K40" s="148">
        <f>+$D40*'[5]II-F Alloc_Factor'!J$17</f>
        <v>0</v>
      </c>
      <c r="L40" s="148">
        <f>+$D40*'[5]II-F Alloc_Factor'!K$17</f>
        <v>3213.8546638277867</v>
      </c>
      <c r="M40" s="148">
        <f>+$D40*'[5]II-F Alloc_Factor'!L$17</f>
        <v>876.25148778950791</v>
      </c>
      <c r="N40" s="148">
        <f>+$D40*'[5]II-F Alloc_Factor'!M$17</f>
        <v>35.261512654123244</v>
      </c>
      <c r="O40" s="148">
        <f t="shared" si="4" ref="O40:O51">+I40+L40+M40+N40</f>
        <v>5290.2999999999993</v>
      </c>
      <c r="P40" s="148"/>
      <c r="Q40" s="144"/>
      <c r="R40" s="138" t="b">
        <f t="shared" si="5" ref="R40:R51">+D40=O40</f>
        <v>1</v>
      </c>
    </row>
    <row r="41" spans="1:18" ht="12.75">
      <c r="A41" s="146">
        <v>17</v>
      </c>
      <c r="B41" s="147" t="str">
        <f t="shared" si="6" ref="B41:B51">+B18</f>
        <v>February 2021</v>
      </c>
      <c r="D41" s="150">
        <v>0</v>
      </c>
      <c r="E41" s="210" t="s">
        <v>163</v>
      </c>
      <c r="F41" s="144">
        <f>+$D41*'[5]II-F Alloc_Factor'!E$17</f>
        <v>0</v>
      </c>
      <c r="G41" s="144">
        <f>+$D41*'[5]II-F Alloc_Factor'!F$17</f>
        <v>0</v>
      </c>
      <c r="H41" s="144">
        <f>+$D41*'[5]II-F Alloc_Factor'!G$17</f>
        <v>0</v>
      </c>
      <c r="I41" s="144">
        <f>+$D41*'[5]II-F Alloc_Factor'!H$17</f>
        <v>0</v>
      </c>
      <c r="J41" s="144">
        <f>+$D41*'[5]II-F Alloc_Factor'!I$17</f>
        <v>0</v>
      </c>
      <c r="K41" s="144">
        <f>+$D41*'[5]II-F Alloc_Factor'!J$17</f>
        <v>0</v>
      </c>
      <c r="L41" s="144">
        <f>+$D41*'[5]II-F Alloc_Factor'!K$17</f>
        <v>0</v>
      </c>
      <c r="M41" s="144">
        <f>+$D41*'[5]II-F Alloc_Factor'!L$17</f>
        <v>0</v>
      </c>
      <c r="N41" s="144">
        <f>+$D41*'[5]II-F Alloc_Factor'!M$17</f>
        <v>0</v>
      </c>
      <c r="O41" s="144">
        <f t="shared" si="4"/>
        <v>0</v>
      </c>
      <c r="P41" s="144"/>
      <c r="Q41" s="144"/>
      <c r="R41" s="138" t="b">
        <f t="shared" si="5"/>
        <v>1</v>
      </c>
    </row>
    <row r="42" spans="1:18" ht="12.75">
      <c r="A42" s="146">
        <v>18</v>
      </c>
      <c r="B42" s="147" t="str">
        <f t="shared" si="6"/>
        <v>March 2021</v>
      </c>
      <c r="D42" s="150">
        <v>5497.6499999999996</v>
      </c>
      <c r="E42" s="210" t="s">
        <v>163</v>
      </c>
      <c r="F42" s="144">
        <f>+$D42*'[5]II-F Alloc_Factor'!E$17</f>
        <v>1210.5911300905875</v>
      </c>
      <c r="G42" s="144">
        <f>+$D42*'[5]II-F Alloc_Factor'!F$17</f>
        <v>0</v>
      </c>
      <c r="H42" s="144">
        <f>+$D42*'[5]II-F Alloc_Factor'!G$17</f>
        <v>0</v>
      </c>
      <c r="I42" s="144">
        <f>+$D42*'[5]II-F Alloc_Factor'!H$17</f>
        <v>1210.5911300905875</v>
      </c>
      <c r="J42" s="144">
        <f>+$D42*'[5]II-F Alloc_Factor'!I$17</f>
        <v>3339.8196874643845</v>
      </c>
      <c r="K42" s="144">
        <f>+$D42*'[5]II-F Alloc_Factor'!J$17</f>
        <v>0</v>
      </c>
      <c r="L42" s="144">
        <f>+$D42*'[5]II-F Alloc_Factor'!K$17</f>
        <v>3339.8196874643845</v>
      </c>
      <c r="M42" s="144">
        <f>+$D42*'[5]II-F Alloc_Factor'!L$17</f>
        <v>910.59561685461858</v>
      </c>
      <c r="N42" s="144">
        <f>+$D42*'[5]II-F Alloc_Factor'!M$17</f>
        <v>36.643565590408983</v>
      </c>
      <c r="O42" s="144">
        <f t="shared" si="4"/>
        <v>5497.6499999999987</v>
      </c>
      <c r="P42" s="144"/>
      <c r="Q42" s="144"/>
      <c r="R42" s="138" t="b">
        <f t="shared" si="5"/>
        <v>1</v>
      </c>
    </row>
    <row r="43" spans="1:18" ht="12.75">
      <c r="A43" s="146">
        <v>19</v>
      </c>
      <c r="B43" s="147" t="str">
        <f t="shared" si="6"/>
        <v>April 2021</v>
      </c>
      <c r="D43" s="150">
        <v>0</v>
      </c>
      <c r="E43" s="210" t="s">
        <v>163</v>
      </c>
      <c r="F43" s="144">
        <f>+$D43*'[5]II-F Alloc_Factor'!E$17</f>
        <v>0</v>
      </c>
      <c r="G43" s="144">
        <f>+$D43*'[5]II-F Alloc_Factor'!F$17</f>
        <v>0</v>
      </c>
      <c r="H43" s="144">
        <f>+$D43*'[5]II-F Alloc_Factor'!G$17</f>
        <v>0</v>
      </c>
      <c r="I43" s="144">
        <f>+$D43*'[5]II-F Alloc_Factor'!H$17</f>
        <v>0</v>
      </c>
      <c r="J43" s="144">
        <f>+$D43*'[5]II-F Alloc_Factor'!I$17</f>
        <v>0</v>
      </c>
      <c r="K43" s="144">
        <f>+$D43*'[5]II-F Alloc_Factor'!J$17</f>
        <v>0</v>
      </c>
      <c r="L43" s="144">
        <f>+$D43*'[5]II-F Alloc_Factor'!K$17</f>
        <v>0</v>
      </c>
      <c r="M43" s="144">
        <f>+$D43*'[5]II-F Alloc_Factor'!L$17</f>
        <v>0</v>
      </c>
      <c r="N43" s="144">
        <f>+$D43*'[5]II-F Alloc_Factor'!M$17</f>
        <v>0</v>
      </c>
      <c r="O43" s="144">
        <f t="shared" si="4"/>
        <v>0</v>
      </c>
      <c r="P43" s="144"/>
      <c r="Q43" s="144"/>
      <c r="R43" s="138" t="b">
        <f t="shared" si="5"/>
        <v>1</v>
      </c>
    </row>
    <row r="44" spans="1:18" ht="12.75">
      <c r="A44" s="146">
        <v>20</v>
      </c>
      <c r="B44" s="147" t="str">
        <f t="shared" si="6"/>
        <v>May 2021</v>
      </c>
      <c r="D44" s="150">
        <v>5471.5500000000002</v>
      </c>
      <c r="E44" s="210" t="s">
        <v>163</v>
      </c>
      <c r="F44" s="144">
        <f>+$D44*'[5]II-F Alloc_Factor'!E$17</f>
        <v>1204.8438692618038</v>
      </c>
      <c r="G44" s="144">
        <f>+$D44*'[5]II-F Alloc_Factor'!F$17</f>
        <v>0</v>
      </c>
      <c r="H44" s="144">
        <f>+$D44*'[5]II-F Alloc_Factor'!G$17</f>
        <v>0</v>
      </c>
      <c r="I44" s="144">
        <f>+$D44*'[5]II-F Alloc_Factor'!H$17</f>
        <v>1204.8438692618038</v>
      </c>
      <c r="J44" s="144">
        <f>+$D44*'[5]II-F Alloc_Factor'!I$17</f>
        <v>3323.9639502234145</v>
      </c>
      <c r="K44" s="144">
        <f>+$D44*'[5]II-F Alloc_Factor'!J$17</f>
        <v>0</v>
      </c>
      <c r="L44" s="144">
        <f>+$D44*'[5]II-F Alloc_Factor'!K$17</f>
        <v>3323.9639502234145</v>
      </c>
      <c r="M44" s="144">
        <f>+$D44*'[5]II-F Alloc_Factor'!L$17</f>
        <v>906.27257962963972</v>
      </c>
      <c r="N44" s="144">
        <f>+$D44*'[5]II-F Alloc_Factor'!M$17</f>
        <v>36.469600885142256</v>
      </c>
      <c r="O44" s="144">
        <f t="shared" si="4"/>
        <v>5471.5500000000011</v>
      </c>
      <c r="P44" s="144"/>
      <c r="Q44" s="144"/>
      <c r="R44" s="138" t="b">
        <f t="shared" si="5"/>
        <v>1</v>
      </c>
    </row>
    <row r="45" spans="1:18" ht="12.75">
      <c r="A45" s="146">
        <v>21</v>
      </c>
      <c r="B45" s="147" t="str">
        <f t="shared" si="6"/>
        <v>June 2021</v>
      </c>
      <c r="D45" s="150">
        <v>0</v>
      </c>
      <c r="E45" s="210" t="s">
        <v>163</v>
      </c>
      <c r="F45" s="144">
        <f>+$D45*'[5]II-F Alloc_Factor'!E$17</f>
        <v>0</v>
      </c>
      <c r="G45" s="144">
        <f>+$D45*'[5]II-F Alloc_Factor'!F$17</f>
        <v>0</v>
      </c>
      <c r="H45" s="144">
        <f>+$D45*'[5]II-F Alloc_Factor'!G$17</f>
        <v>0</v>
      </c>
      <c r="I45" s="144">
        <f>+$D45*'[5]II-F Alloc_Factor'!H$17</f>
        <v>0</v>
      </c>
      <c r="J45" s="144">
        <f>+$D45*'[5]II-F Alloc_Factor'!I$17</f>
        <v>0</v>
      </c>
      <c r="K45" s="144">
        <f>+$D45*'[5]II-F Alloc_Factor'!J$17</f>
        <v>0</v>
      </c>
      <c r="L45" s="144">
        <f>+$D45*'[5]II-F Alloc_Factor'!K$17</f>
        <v>0</v>
      </c>
      <c r="M45" s="144">
        <f>+$D45*'[5]II-F Alloc_Factor'!L$17</f>
        <v>0</v>
      </c>
      <c r="N45" s="144">
        <f>+$D45*'[5]II-F Alloc_Factor'!M$17</f>
        <v>0</v>
      </c>
      <c r="O45" s="144">
        <f t="shared" si="4"/>
        <v>0</v>
      </c>
      <c r="P45" s="144"/>
      <c r="Q45" s="144"/>
      <c r="R45" s="138" t="b">
        <f t="shared" si="5"/>
        <v>1</v>
      </c>
    </row>
    <row r="46" spans="1:18" ht="12.75">
      <c r="A46" s="146">
        <v>22</v>
      </c>
      <c r="B46" s="147" t="str">
        <f t="shared" si="6"/>
        <v>July 2021</v>
      </c>
      <c r="D46" s="150">
        <v>2655.9000000000001</v>
      </c>
      <c r="E46" s="210" t="s">
        <v>163</v>
      </c>
      <c r="F46" s="144">
        <f>+$D46*'[5]II-F Alloc_Factor'!E$17</f>
        <v>584.83333468074397</v>
      </c>
      <c r="G46" s="144">
        <f>+$D46*'[5]II-F Alloc_Factor'!F$17</f>
        <v>0</v>
      </c>
      <c r="H46" s="144">
        <f>+$D46*'[5]II-F Alloc_Factor'!G$17</f>
        <v>0</v>
      </c>
      <c r="I46" s="144">
        <f>+$D46*'[5]II-F Alloc_Factor'!H$17</f>
        <v>584.83333468074397</v>
      </c>
      <c r="J46" s="144">
        <f>+$D46*'[5]II-F Alloc_Factor'!I$17</f>
        <v>1613.4579516587378</v>
      </c>
      <c r="K46" s="144">
        <f>+$D46*'[5]II-F Alloc_Factor'!J$17</f>
        <v>0</v>
      </c>
      <c r="L46" s="144">
        <f>+$D46*'[5]II-F Alloc_Factor'!K$17</f>
        <v>1613.4579516587378</v>
      </c>
      <c r="M46" s="144">
        <f>+$D46*'[5]II-F Alloc_Factor'!L$17</f>
        <v>439.90630520389288</v>
      </c>
      <c r="N46" s="144">
        <f>+$D46*'[5]II-F Alloc_Factor'!M$17</f>
        <v>17.702408456625509</v>
      </c>
      <c r="O46" s="144">
        <f t="shared" si="4"/>
        <v>2655.9000000000001</v>
      </c>
      <c r="P46" s="144"/>
      <c r="Q46" s="144"/>
      <c r="R46" s="138" t="b">
        <f t="shared" si="5"/>
        <v>1</v>
      </c>
    </row>
    <row r="47" spans="1:18" ht="12.75">
      <c r="A47" s="146">
        <v>23</v>
      </c>
      <c r="B47" s="147" t="str">
        <f t="shared" si="6"/>
        <v>August 2021</v>
      </c>
      <c r="D47" s="150">
        <v>5335.2000000000007</v>
      </c>
      <c r="E47" s="210" t="s">
        <v>163</v>
      </c>
      <c r="F47" s="144">
        <f>+$D47*'[5]II-F Alloc_Factor'!E$17</f>
        <v>1174.8193859666046</v>
      </c>
      <c r="G47" s="144">
        <f>+$D47*'[5]II-F Alloc_Factor'!F$17</f>
        <v>0</v>
      </c>
      <c r="H47" s="144">
        <f>+$D47*'[5]II-F Alloc_Factor'!G$17</f>
        <v>0</v>
      </c>
      <c r="I47" s="144">
        <f>+$D47*'[5]II-F Alloc_Factor'!H$17</f>
        <v>1174.8193859666046</v>
      </c>
      <c r="J47" s="144">
        <f>+$D47*'[5]II-F Alloc_Factor'!I$17</f>
        <v>3241.1313918783458</v>
      </c>
      <c r="K47" s="144">
        <f>+$D47*'[5]II-F Alloc_Factor'!J$17</f>
        <v>0</v>
      </c>
      <c r="L47" s="144">
        <f>+$D47*'[5]II-F Alloc_Factor'!K$17</f>
        <v>3241.1313918783458</v>
      </c>
      <c r="M47" s="144">
        <f>+$D47*'[5]II-F Alloc_Factor'!L$17</f>
        <v>883.68843688535321</v>
      </c>
      <c r="N47" s="144">
        <f>+$D47*'[5]II-F Alloc_Factor'!M$17</f>
        <v>35.560785269697064</v>
      </c>
      <c r="O47" s="144">
        <f t="shared" si="4"/>
        <v>5335.2000000000007</v>
      </c>
      <c r="P47" s="144"/>
      <c r="Q47" s="144"/>
      <c r="R47" s="138" t="b">
        <f t="shared" si="5"/>
        <v>1</v>
      </c>
    </row>
    <row r="48" spans="1:18" ht="12.75">
      <c r="A48" s="146">
        <v>24</v>
      </c>
      <c r="B48" s="147" t="str">
        <f t="shared" si="6"/>
        <v>September 2021</v>
      </c>
      <c r="D48" s="150">
        <v>0</v>
      </c>
      <c r="E48" s="210" t="s">
        <v>163</v>
      </c>
      <c r="F48" s="144">
        <f>+$D48*'[5]II-F Alloc_Factor'!E$17</f>
        <v>0</v>
      </c>
      <c r="G48" s="144">
        <f>+$D48*'[5]II-F Alloc_Factor'!F$17</f>
        <v>0</v>
      </c>
      <c r="H48" s="144">
        <f>+$D48*'[5]II-F Alloc_Factor'!G$17</f>
        <v>0</v>
      </c>
      <c r="I48" s="144">
        <f>+$D48*'[5]II-F Alloc_Factor'!H$17</f>
        <v>0</v>
      </c>
      <c r="J48" s="144">
        <f>+$D48*'[5]II-F Alloc_Factor'!I$17</f>
        <v>0</v>
      </c>
      <c r="K48" s="144">
        <f>+$D48*'[5]II-F Alloc_Factor'!J$17</f>
        <v>0</v>
      </c>
      <c r="L48" s="144">
        <f>+$D48*'[5]II-F Alloc_Factor'!K$17</f>
        <v>0</v>
      </c>
      <c r="M48" s="144">
        <f>+$D48*'[5]II-F Alloc_Factor'!L$17</f>
        <v>0</v>
      </c>
      <c r="N48" s="144">
        <f>+$D48*'[5]II-F Alloc_Factor'!M$17</f>
        <v>0</v>
      </c>
      <c r="O48" s="144">
        <f t="shared" si="4"/>
        <v>0</v>
      </c>
      <c r="P48" s="144"/>
      <c r="Q48" s="144"/>
      <c r="R48" s="138" t="b">
        <f t="shared" si="5"/>
        <v>1</v>
      </c>
    </row>
    <row r="49" spans="1:18" ht="12.75">
      <c r="A49" s="146">
        <v>25</v>
      </c>
      <c r="B49" s="147" t="str">
        <f t="shared" si="6"/>
        <v>October 2021</v>
      </c>
      <c r="D49" s="150">
        <v>2662.6999999999998</v>
      </c>
      <c r="E49" s="210" t="s">
        <v>163</v>
      </c>
      <c r="F49" s="144">
        <f>+$D49*'[5]II-F Alloc_Factor'!E$17</f>
        <v>586.33070531812825</v>
      </c>
      <c r="G49" s="144">
        <f>+$D49*'[5]II-F Alloc_Factor'!F$17</f>
        <v>0</v>
      </c>
      <c r="H49" s="144">
        <f>+$D49*'[5]II-F Alloc_Factor'!G$17</f>
        <v>0</v>
      </c>
      <c r="I49" s="144">
        <f>+$D49*'[5]II-F Alloc_Factor'!H$17</f>
        <v>586.33070531812825</v>
      </c>
      <c r="J49" s="144">
        <f>+$D49*'[5]II-F Alloc_Factor'!I$17</f>
        <v>1617.5889483345459</v>
      </c>
      <c r="K49" s="144">
        <f>+$D49*'[5]II-F Alloc_Factor'!J$17</f>
        <v>0</v>
      </c>
      <c r="L49" s="144">
        <f>+$D49*'[5]II-F Alloc_Factor'!K$17</f>
        <v>1617.5889483345459</v>
      </c>
      <c r="M49" s="144">
        <f>+$D49*'[5]II-F Alloc_Factor'!L$17</f>
        <v>441.03261375292948</v>
      </c>
      <c r="N49" s="144">
        <f>+$D49*'[5]II-F Alloc_Factor'!M$17</f>
        <v>17.747732594396151</v>
      </c>
      <c r="O49" s="144">
        <f t="shared" si="4"/>
        <v>2662.6999999999998</v>
      </c>
      <c r="P49" s="144"/>
      <c r="Q49" s="144"/>
      <c r="R49" s="138" t="b">
        <f t="shared" si="5"/>
        <v>1</v>
      </c>
    </row>
    <row r="50" spans="1:18" ht="12.75">
      <c r="A50" s="146">
        <v>26</v>
      </c>
      <c r="B50" s="147" t="str">
        <f t="shared" si="6"/>
        <v>November 2021</v>
      </c>
      <c r="D50" s="150">
        <v>2663.0999999999999</v>
      </c>
      <c r="E50" s="210" t="s">
        <v>163</v>
      </c>
      <c r="F50" s="144">
        <f>+$D50*'[5]II-F Alloc_Factor'!E$17</f>
        <v>586.41878594385673</v>
      </c>
      <c r="G50" s="144">
        <f>+$D50*'[5]II-F Alloc_Factor'!F$17</f>
        <v>0</v>
      </c>
      <c r="H50" s="144">
        <f>+$D50*'[5]II-F Alloc_Factor'!G$17</f>
        <v>0</v>
      </c>
      <c r="I50" s="144">
        <f>+$D50*'[5]II-F Alloc_Factor'!H$17</f>
        <v>586.41878594385673</v>
      </c>
      <c r="J50" s="144">
        <f>+$D50*'[5]II-F Alloc_Factor'!I$17</f>
        <v>1617.8319481390051</v>
      </c>
      <c r="K50" s="144">
        <f>+$D50*'[5]II-F Alloc_Factor'!J$17</f>
        <v>0</v>
      </c>
      <c r="L50" s="144">
        <f>+$D50*'[5]II-F Alloc_Factor'!K$17</f>
        <v>1617.8319481390051</v>
      </c>
      <c r="M50" s="144">
        <f>+$D50*'[5]II-F Alloc_Factor'!L$17</f>
        <v>441.09886719699051</v>
      </c>
      <c r="N50" s="144">
        <f>+$D50*'[5]II-F Alloc_Factor'!M$17</f>
        <v>17.750398720147366</v>
      </c>
      <c r="O50" s="144">
        <f t="shared" si="4"/>
        <v>2663.0999999999999</v>
      </c>
      <c r="P50" s="144"/>
      <c r="Q50" s="144"/>
      <c r="R50" s="138" t="b">
        <f t="shared" si="5"/>
        <v>1</v>
      </c>
    </row>
    <row r="51" spans="1:18" ht="12.75">
      <c r="A51" s="146">
        <v>27</v>
      </c>
      <c r="B51" s="147" t="str">
        <f t="shared" si="6"/>
        <v>December 2021</v>
      </c>
      <c r="D51" s="150">
        <v>5270.3500000000004</v>
      </c>
      <c r="E51" s="210" t="s">
        <v>163</v>
      </c>
      <c r="F51" s="144">
        <f>+$D51*'[5]II-F Alloc_Factor'!E$17</f>
        <v>1160.5393145203732</v>
      </c>
      <c r="G51" s="144">
        <f>+$D51*'[5]II-F Alloc_Factor'!F$17</f>
        <v>0</v>
      </c>
      <c r="H51" s="144">
        <f>+$D51*'[5]II-F Alloc_Factor'!G$17</f>
        <v>0</v>
      </c>
      <c r="I51" s="144">
        <f>+$D51*'[5]II-F Alloc_Factor'!H$17</f>
        <v>1160.5393145203732</v>
      </c>
      <c r="J51" s="144">
        <f>+$D51*'[5]II-F Alloc_Factor'!I$17</f>
        <v>3201.735048580379</v>
      </c>
      <c r="K51" s="144">
        <f>+$D51*'[5]II-F Alloc_Factor'!J$17</f>
        <v>0</v>
      </c>
      <c r="L51" s="144">
        <f>+$D51*'[5]II-F Alloc_Factor'!K$17</f>
        <v>3201.735048580379</v>
      </c>
      <c r="M51" s="144">
        <f>+$D51*'[5]II-F Alloc_Factor'!L$17</f>
        <v>872.94709726696669</v>
      </c>
      <c r="N51" s="144">
        <f>+$D51*'[5]II-F Alloc_Factor'!M$17</f>
        <v>35.128539632281431</v>
      </c>
      <c r="O51" s="144">
        <f t="shared" si="4"/>
        <v>5270.3500000000004</v>
      </c>
      <c r="P51" s="144"/>
      <c r="Q51" s="144"/>
      <c r="R51" s="138" t="b">
        <f t="shared" si="5"/>
        <v>1</v>
      </c>
    </row>
    <row r="52" spans="1:17" ht="12.75">
      <c r="A52" s="146">
        <v>28</v>
      </c>
      <c r="D52" s="167"/>
      <c r="E52" s="167"/>
      <c r="F52" s="167"/>
      <c r="G52" s="167"/>
      <c r="H52" s="167"/>
      <c r="I52" s="167"/>
      <c r="J52" s="167"/>
      <c r="K52" s="167"/>
      <c r="L52" s="167"/>
      <c r="M52" s="167"/>
      <c r="N52" s="167"/>
      <c r="O52" s="167"/>
      <c r="P52" s="144"/>
      <c r="Q52" s="144"/>
    </row>
    <row r="53" spans="1:17" ht="13.5" thickBot="1">
      <c r="A53" s="146">
        <v>29</v>
      </c>
      <c r="B53" s="211" t="s">
        <v>216</v>
      </c>
      <c r="D53" s="169">
        <f t="shared" si="7" ref="D53:O53">SUM(D40:D52)</f>
        <v>34846.75</v>
      </c>
      <c r="E53" s="169">
        <f t="shared" si="7"/>
        <v>0</v>
      </c>
      <c r="F53" s="169">
        <f t="shared" si="7"/>
        <v>7673.308861510679</v>
      </c>
      <c r="G53" s="169">
        <f t="shared" si="8" ref="G53:N53">SUM(G40:G52)</f>
        <v>0</v>
      </c>
      <c r="H53" s="169">
        <f t="shared" si="8"/>
        <v>0</v>
      </c>
      <c r="I53" s="169">
        <f t="shared" si="8"/>
        <v>7673.308861510679</v>
      </c>
      <c r="J53" s="169">
        <f t="shared" si="8"/>
        <v>21169.383590106601</v>
      </c>
      <c r="K53" s="169">
        <f t="shared" si="8"/>
        <v>0</v>
      </c>
      <c r="L53" s="169">
        <f t="shared" si="8"/>
        <v>21169.383590106601</v>
      </c>
      <c r="M53" s="169">
        <f t="shared" si="8"/>
        <v>5771.7930045798994</v>
      </c>
      <c r="N53" s="169">
        <f t="shared" si="8"/>
        <v>232.264543802822</v>
      </c>
      <c r="O53" s="169">
        <f t="shared" si="7"/>
        <v>34846.75</v>
      </c>
      <c r="P53" s="170"/>
      <c r="Q53" s="144"/>
    </row>
    <row r="54" ht="13.5" thickTop="1"/>
    <row r="55" spans="4:28" ht="12.75">
      <c r="D55" s="165"/>
      <c r="E55" s="165"/>
      <c r="F55" s="165"/>
      <c r="G55" s="165"/>
      <c r="H55" s="165"/>
      <c r="I55" s="165"/>
      <c r="J55" s="165"/>
      <c r="K55" s="165"/>
      <c r="L55" s="165"/>
      <c r="M55" s="165"/>
      <c r="N55" s="165"/>
      <c r="O55" s="165"/>
      <c r="P55" s="165"/>
      <c r="Q55" s="165"/>
      <c r="X55" s="139"/>
      <c r="Y55" s="139"/>
      <c r="Z55" s="139"/>
      <c r="AA55" s="139"/>
      <c r="AB55" s="139"/>
    </row>
    <row r="57" spans="4:18" ht="13.5" thickBot="1">
      <c r="D57" s="363" t="s">
        <v>745</v>
      </c>
      <c r="E57" s="362"/>
      <c r="F57" s="362"/>
      <c r="G57" s="362"/>
      <c r="H57" s="362"/>
      <c r="I57" s="362"/>
      <c r="J57" s="362"/>
      <c r="K57" s="362"/>
      <c r="L57" s="362"/>
      <c r="M57" s="362"/>
      <c r="N57" s="362"/>
      <c r="O57" s="362"/>
      <c r="P57" s="143"/>
      <c r="Q57" s="149"/>
      <c r="R57" s="149"/>
    </row>
    <row r="58" spans="14:18" ht="12.75">
      <c r="N58" s="61"/>
      <c r="O58" s="61"/>
      <c r="P58" s="149"/>
      <c r="Q58" s="149"/>
      <c r="R58" s="149"/>
    </row>
    <row r="59" spans="1:15" ht="12.75">
      <c r="A59" s="18" t="s">
        <v>87</v>
      </c>
      <c r="B59" s="18"/>
      <c r="D59" s="209" t="s">
        <v>216</v>
      </c>
      <c r="E59" s="209" t="s">
        <v>53</v>
      </c>
      <c r="F59" s="18"/>
      <c r="G59" s="18" t="s">
        <v>716</v>
      </c>
      <c r="H59" s="18" t="s">
        <v>722</v>
      </c>
      <c r="I59" s="18" t="s">
        <v>717</v>
      </c>
      <c r="J59" s="18"/>
      <c r="K59" s="18" t="s">
        <v>716</v>
      </c>
      <c r="L59" s="18" t="s">
        <v>717</v>
      </c>
      <c r="M59" s="18"/>
      <c r="N59" s="18"/>
      <c r="O59" s="18"/>
    </row>
    <row r="60" spans="1:15" ht="12.75">
      <c r="A60" s="208" t="s">
        <v>89</v>
      </c>
      <c r="B60" s="208" t="s">
        <v>64</v>
      </c>
      <c r="D60" s="202" t="s">
        <v>219</v>
      </c>
      <c r="E60" s="202" t="s">
        <v>218</v>
      </c>
      <c r="F60" s="202" t="s">
        <v>294</v>
      </c>
      <c r="G60" s="202" t="s">
        <v>294</v>
      </c>
      <c r="H60" s="202" t="s">
        <v>723</v>
      </c>
      <c r="I60" s="202" t="s">
        <v>294</v>
      </c>
      <c r="J60" s="202" t="s">
        <v>295</v>
      </c>
      <c r="K60" s="202" t="s">
        <v>295</v>
      </c>
      <c r="L60" s="202" t="s">
        <v>295</v>
      </c>
      <c r="M60" s="202" t="s">
        <v>283</v>
      </c>
      <c r="N60" s="202" t="s">
        <v>126</v>
      </c>
      <c r="O60" s="202" t="s">
        <v>216</v>
      </c>
    </row>
    <row r="61" spans="1:15" ht="12.75">
      <c r="A61" s="18"/>
      <c r="B61" s="16" t="s">
        <v>44</v>
      </c>
      <c r="D61" s="16" t="s">
        <v>45</v>
      </c>
      <c r="E61" s="203" t="s">
        <v>74</v>
      </c>
      <c r="F61" s="16" t="s">
        <v>75</v>
      </c>
      <c r="G61" s="203" t="s">
        <v>76</v>
      </c>
      <c r="H61" s="203" t="s">
        <v>77</v>
      </c>
      <c r="I61" s="203" t="s">
        <v>78</v>
      </c>
      <c r="J61" s="203" t="s">
        <v>79</v>
      </c>
      <c r="K61" s="203" t="s">
        <v>80</v>
      </c>
      <c r="L61" s="203" t="s">
        <v>81</v>
      </c>
      <c r="M61" s="203" t="s">
        <v>82</v>
      </c>
      <c r="N61" s="203" t="s">
        <v>83</v>
      </c>
      <c r="O61" s="203" t="s">
        <v>84</v>
      </c>
    </row>
    <row r="63" spans="1:18" ht="12.75">
      <c r="A63" s="146">
        <v>30</v>
      </c>
      <c r="B63" s="147" t="str">
        <f>+B40</f>
        <v>January 2021</v>
      </c>
      <c r="D63" s="148">
        <v>0</v>
      </c>
      <c r="E63" s="210" t="s">
        <v>163</v>
      </c>
      <c r="F63" s="148">
        <f>+$D63*'[5]II-F Alloc_Factor'!E$17</f>
        <v>0</v>
      </c>
      <c r="G63" s="148">
        <f>+$D63*'[5]II-F Alloc_Factor'!F$17</f>
        <v>0</v>
      </c>
      <c r="H63" s="148">
        <f>+$D63*'[5]II-F Alloc_Factor'!G$17</f>
        <v>0</v>
      </c>
      <c r="I63" s="148">
        <f>+$D63*'[5]II-F Alloc_Factor'!H$17</f>
        <v>0</v>
      </c>
      <c r="J63" s="148">
        <f>+$D63*'[5]II-F Alloc_Factor'!I$17</f>
        <v>0</v>
      </c>
      <c r="K63" s="148">
        <f>+$D63*'[5]II-F Alloc_Factor'!J$17</f>
        <v>0</v>
      </c>
      <c r="L63" s="148">
        <f>+$D63*'[5]II-F Alloc_Factor'!K$17</f>
        <v>0</v>
      </c>
      <c r="M63" s="148">
        <f>+$D63*'[5]II-F Alloc_Factor'!L$17</f>
        <v>0</v>
      </c>
      <c r="N63" s="148">
        <f>+$D63*'[5]II-F Alloc_Factor'!M$17</f>
        <v>0</v>
      </c>
      <c r="O63" s="148">
        <f t="shared" si="9" ref="O63:O74">+I63+L63+M63+N63</f>
        <v>0</v>
      </c>
      <c r="P63" s="148"/>
      <c r="Q63" s="144"/>
      <c r="R63" s="138" t="b">
        <f t="shared" si="10" ref="R63:R74">+D63=O63</f>
        <v>1</v>
      </c>
    </row>
    <row r="64" spans="1:18" ht="12.75">
      <c r="A64" s="146">
        <v>31</v>
      </c>
      <c r="B64" s="147" t="str">
        <f t="shared" si="11" ref="B64:B74">+B41</f>
        <v>February 2021</v>
      </c>
      <c r="D64" s="150">
        <v>9189.3000000000011</v>
      </c>
      <c r="E64" s="210" t="s">
        <v>163</v>
      </c>
      <c r="F64" s="144">
        <f>+$D64*'[5]II-F Alloc_Factor'!E$17</f>
        <v>2023.4982350170417</v>
      </c>
      <c r="G64" s="144">
        <f>+$D64*'[5]II-F Alloc_Factor'!F$17</f>
        <v>0</v>
      </c>
      <c r="H64" s="144">
        <f>+$D64*'[5]II-F Alloc_Factor'!G$17</f>
        <v>0</v>
      </c>
      <c r="I64" s="144">
        <f>+$D64*'[5]II-F Alloc_Factor'!H$17</f>
        <v>2023.4982350170417</v>
      </c>
      <c r="J64" s="144">
        <f>+$D64*'[5]II-F Alloc_Factor'!I$17</f>
        <v>5582.4952577949616</v>
      </c>
      <c r="K64" s="144">
        <f>+$D64*'[5]II-F Alloc_Factor'!J$17</f>
        <v>0</v>
      </c>
      <c r="L64" s="144">
        <f>+$D64*'[5]II-F Alloc_Factor'!K$17</f>
        <v>5582.4952577949616</v>
      </c>
      <c r="M64" s="144">
        <f>+$D64*'[5]II-F Alloc_Factor'!L$17</f>
        <v>1522.0569337739121</v>
      </c>
      <c r="N64" s="144">
        <f>+$D64*'[5]II-F Alloc_Factor'!M$17</f>
        <v>61.249573414085177</v>
      </c>
      <c r="O64" s="144">
        <f t="shared" si="9"/>
        <v>9189.3000000000011</v>
      </c>
      <c r="P64" s="144"/>
      <c r="Q64" s="144"/>
      <c r="R64" s="138" t="b">
        <f t="shared" si="10"/>
        <v>1</v>
      </c>
    </row>
    <row r="65" spans="1:18" ht="12.75">
      <c r="A65" s="146">
        <v>32</v>
      </c>
      <c r="B65" s="147" t="str">
        <f t="shared" si="11"/>
        <v>March 2021</v>
      </c>
      <c r="D65" s="150">
        <v>9222.3999999999996</v>
      </c>
      <c r="E65" s="210" t="s">
        <v>163</v>
      </c>
      <c r="F65" s="144">
        <f>+$D65*'[5]II-F Alloc_Factor'!E$17</f>
        <v>2030.7869067960739</v>
      </c>
      <c r="G65" s="144">
        <f>+$D65*'[5]II-F Alloc_Factor'!F$17</f>
        <v>0</v>
      </c>
      <c r="H65" s="144">
        <f>+$D65*'[5]II-F Alloc_Factor'!G$17</f>
        <v>0</v>
      </c>
      <c r="I65" s="144">
        <f>+$D65*'[5]II-F Alloc_Factor'!H$17</f>
        <v>2030.7869067960739</v>
      </c>
      <c r="J65" s="144">
        <f>+$D65*'[5]II-F Alloc_Factor'!I$17</f>
        <v>5602.6034916139697</v>
      </c>
      <c r="K65" s="144">
        <f>+$D65*'[5]II-F Alloc_Factor'!J$17</f>
        <v>0</v>
      </c>
      <c r="L65" s="144">
        <f>+$D65*'[5]II-F Alloc_Factor'!K$17</f>
        <v>5602.6034916139697</v>
      </c>
      <c r="M65" s="144">
        <f>+$D65*'[5]II-F Alloc_Factor'!L$17</f>
        <v>1527.5394062699579</v>
      </c>
      <c r="N65" s="144">
        <f>+$D65*'[5]II-F Alloc_Factor'!M$17</f>
        <v>61.470195319998155</v>
      </c>
      <c r="O65" s="144">
        <f t="shared" si="9"/>
        <v>9222.3999999999996</v>
      </c>
      <c r="P65" s="144"/>
      <c r="Q65" s="144"/>
      <c r="R65" s="138" t="b">
        <f t="shared" si="10"/>
        <v>1</v>
      </c>
    </row>
    <row r="66" spans="1:18" ht="12.75">
      <c r="A66" s="146">
        <v>33</v>
      </c>
      <c r="B66" s="147" t="str">
        <f t="shared" si="11"/>
        <v>April 2021</v>
      </c>
      <c r="D66" s="150">
        <v>9167.3999999999996</v>
      </c>
      <c r="E66" s="210" t="s">
        <v>163</v>
      </c>
      <c r="F66" s="144">
        <f>+$D66*'[5]II-F Alloc_Factor'!E$17</f>
        <v>2018.6758207584064</v>
      </c>
      <c r="G66" s="144">
        <f>+$D66*'[5]II-F Alloc_Factor'!F$17</f>
        <v>0</v>
      </c>
      <c r="H66" s="144">
        <f>+$D66*'[5]II-F Alloc_Factor'!G$17</f>
        <v>0</v>
      </c>
      <c r="I66" s="144">
        <f>+$D66*'[5]II-F Alloc_Factor'!H$17</f>
        <v>2018.6758207584064</v>
      </c>
      <c r="J66" s="144">
        <f>+$D66*'[5]II-F Alloc_Factor'!I$17</f>
        <v>5569.1910185008137</v>
      </c>
      <c r="K66" s="144">
        <f>+$D66*'[5]II-F Alloc_Factor'!J$17</f>
        <v>0</v>
      </c>
      <c r="L66" s="144">
        <f>+$D66*'[5]II-F Alloc_Factor'!K$17</f>
        <v>5569.1910185008137</v>
      </c>
      <c r="M66" s="144">
        <f>+$D66*'[5]II-F Alloc_Factor'!L$17</f>
        <v>1518.4295577115731</v>
      </c>
      <c r="N66" s="144">
        <f>+$D66*'[5]II-F Alloc_Factor'!M$17</f>
        <v>61.103603029206177</v>
      </c>
      <c r="O66" s="144">
        <f t="shared" si="9"/>
        <v>9167.3999999999996</v>
      </c>
      <c r="P66" s="144"/>
      <c r="Q66" s="144"/>
      <c r="R66" s="138" t="b">
        <f t="shared" si="10"/>
        <v>1</v>
      </c>
    </row>
    <row r="67" spans="1:18" ht="12.75">
      <c r="A67" s="146">
        <v>34</v>
      </c>
      <c r="B67" s="147" t="str">
        <f t="shared" si="11"/>
        <v>May 2021</v>
      </c>
      <c r="D67" s="150">
        <v>9200.3999999999996</v>
      </c>
      <c r="E67" s="210" t="s">
        <v>163</v>
      </c>
      <c r="F67" s="144">
        <f>+$D67*'[5]II-F Alloc_Factor'!E$17</f>
        <v>2025.9424723810068</v>
      </c>
      <c r="G67" s="144">
        <f>+$D67*'[5]II-F Alloc_Factor'!F$17</f>
        <v>0</v>
      </c>
      <c r="H67" s="144">
        <f>+$D67*'[5]II-F Alloc_Factor'!G$17</f>
        <v>0</v>
      </c>
      <c r="I67" s="144">
        <f>+$D67*'[5]II-F Alloc_Factor'!H$17</f>
        <v>2025.9424723810068</v>
      </c>
      <c r="J67" s="144">
        <f>+$D67*'[5]II-F Alloc_Factor'!I$17</f>
        <v>5589.2385023687066</v>
      </c>
      <c r="K67" s="144">
        <f>+$D67*'[5]II-F Alloc_Factor'!J$17</f>
        <v>0</v>
      </c>
      <c r="L67" s="144">
        <f>+$D67*'[5]II-F Alloc_Factor'!K$17</f>
        <v>5589.2385023687066</v>
      </c>
      <c r="M67" s="144">
        <f>+$D67*'[5]II-F Alloc_Factor'!L$17</f>
        <v>1523.895466846604</v>
      </c>
      <c r="N67" s="144">
        <f>+$D67*'[5]II-F Alloc_Factor'!M$17</f>
        <v>61.323558403681361</v>
      </c>
      <c r="O67" s="144">
        <f t="shared" si="9"/>
        <v>9200.3999999999978</v>
      </c>
      <c r="P67" s="144"/>
      <c r="Q67" s="144"/>
      <c r="R67" s="138" t="b">
        <f t="shared" si="10"/>
        <v>1</v>
      </c>
    </row>
    <row r="68" spans="1:18" ht="12.75">
      <c r="A68" s="146">
        <v>35</v>
      </c>
      <c r="B68" s="147" t="str">
        <f t="shared" si="11"/>
        <v>June 2021</v>
      </c>
      <c r="D68" s="150">
        <v>16211.4</v>
      </c>
      <c r="E68" s="210" t="s">
        <v>163</v>
      </c>
      <c r="F68" s="144">
        <f>+$D68*'[5]II-F Alloc_Factor'!E$17</f>
        <v>3569.7756398371221</v>
      </c>
      <c r="G68" s="144">
        <f>+$D68*'[5]II-F Alloc_Factor'!F$17</f>
        <v>0</v>
      </c>
      <c r="H68" s="144">
        <f>+$D68*'[5]II-F Alloc_Factor'!G$17</f>
        <v>0</v>
      </c>
      <c r="I68" s="144">
        <f>+$D68*'[5]II-F Alloc_Factor'!H$17</f>
        <v>3569.7756398371221</v>
      </c>
      <c r="J68" s="144">
        <f>+$D68*'[5]II-F Alloc_Factor'!I$17</f>
        <v>9848.4175750293525</v>
      </c>
      <c r="K68" s="144">
        <f>+$D68*'[5]II-F Alloc_Factor'!J$17</f>
        <v>0</v>
      </c>
      <c r="L68" s="144">
        <f>+$D68*'[5]II-F Alloc_Factor'!K$17</f>
        <v>9848.4175750293525</v>
      </c>
      <c r="M68" s="144">
        <f>+$D68*'[5]II-F Alloc_Factor'!L$17</f>
        <v>2685.1527076254333</v>
      </c>
      <c r="N68" s="144">
        <f>+$D68*'[5]II-F Alloc_Factor'!M$17</f>
        <v>108.05407750809096</v>
      </c>
      <c r="O68" s="144">
        <f t="shared" si="9"/>
        <v>16211.4</v>
      </c>
      <c r="P68" s="144"/>
      <c r="Q68" s="144"/>
      <c r="R68" s="138" t="b">
        <f t="shared" si="10"/>
        <v>1</v>
      </c>
    </row>
    <row r="69" spans="1:18" ht="12.75">
      <c r="A69" s="146">
        <v>36</v>
      </c>
      <c r="B69" s="147" t="str">
        <f t="shared" si="11"/>
        <v>July 2021</v>
      </c>
      <c r="D69" s="150">
        <v>21443.810000000001</v>
      </c>
      <c r="E69" s="210" t="s">
        <v>163</v>
      </c>
      <c r="F69" s="144">
        <f>+$D69*'[5]II-F Alloc_Factor'!E$17</f>
        <v>4721.9605070071484</v>
      </c>
      <c r="G69" s="144">
        <f>+$D69*'[5]II-F Alloc_Factor'!F$17</f>
        <v>0</v>
      </c>
      <c r="H69" s="144">
        <f>+$D69*'[5]II-F Alloc_Factor'!G$17</f>
        <v>0</v>
      </c>
      <c r="I69" s="144">
        <f>+$D69*'[5]II-F Alloc_Factor'!H$17</f>
        <v>4721.9605070071484</v>
      </c>
      <c r="J69" s="144">
        <f>+$D69*'[5]II-F Alloc_Factor'!I$17</f>
        <v>13027.104092156767</v>
      </c>
      <c r="K69" s="144">
        <f>+$D69*'[5]II-F Alloc_Factor'!J$17</f>
        <v>0</v>
      </c>
      <c r="L69" s="144">
        <f>+$D69*'[5]II-F Alloc_Factor'!K$17</f>
        <v>13027.104092156767</v>
      </c>
      <c r="M69" s="144">
        <f>+$D69*'[5]II-F Alloc_Factor'!L$17</f>
        <v>3551.8156657232166</v>
      </c>
      <c r="N69" s="144">
        <f>+$D69*'[5]II-F Alloc_Factor'!M$17</f>
        <v>142.92973511286971</v>
      </c>
      <c r="O69" s="144">
        <f t="shared" si="9"/>
        <v>21443.810000000005</v>
      </c>
      <c r="P69" s="144"/>
      <c r="Q69" s="144"/>
      <c r="R69" s="138" t="b">
        <f t="shared" si="10"/>
        <v>1</v>
      </c>
    </row>
    <row r="70" spans="1:18" ht="12.75">
      <c r="A70" s="146">
        <v>37</v>
      </c>
      <c r="B70" s="147" t="str">
        <f t="shared" si="11"/>
        <v>August 2021</v>
      </c>
      <c r="D70" s="150">
        <v>9255.4000000000015</v>
      </c>
      <c r="E70" s="210" t="s">
        <v>163</v>
      </c>
      <c r="F70" s="144">
        <f>+$D70*'[5]II-F Alloc_Factor'!E$17</f>
        <v>2038.0535584186748</v>
      </c>
      <c r="G70" s="144">
        <f>+$D70*'[5]II-F Alloc_Factor'!F$17</f>
        <v>0</v>
      </c>
      <c r="H70" s="144">
        <f>+$D70*'[5]II-F Alloc_Factor'!G$17</f>
        <v>0</v>
      </c>
      <c r="I70" s="144">
        <f>+$D70*'[5]II-F Alloc_Factor'!H$17</f>
        <v>2038.0535584186748</v>
      </c>
      <c r="J70" s="144">
        <f>+$D70*'[5]II-F Alloc_Factor'!I$17</f>
        <v>5622.6509754818644</v>
      </c>
      <c r="K70" s="144">
        <f>+$D70*'[5]II-F Alloc_Factor'!J$17</f>
        <v>0</v>
      </c>
      <c r="L70" s="144">
        <f>+$D70*'[5]II-F Alloc_Factor'!K$17</f>
        <v>5622.6509754818644</v>
      </c>
      <c r="M70" s="144">
        <f>+$D70*'[5]II-F Alloc_Factor'!L$17</f>
        <v>1533.0053154049892</v>
      </c>
      <c r="N70" s="144">
        <f>+$D70*'[5]II-F Alloc_Factor'!M$17</f>
        <v>61.690150694473346</v>
      </c>
      <c r="O70" s="144">
        <f t="shared" si="9"/>
        <v>9255.4000000000015</v>
      </c>
      <c r="P70" s="144"/>
      <c r="Q70" s="144"/>
      <c r="R70" s="138" t="b">
        <f t="shared" si="10"/>
        <v>1</v>
      </c>
    </row>
    <row r="71" spans="1:18" ht="12.75">
      <c r="A71" s="146">
        <v>38</v>
      </c>
      <c r="B71" s="147" t="str">
        <f t="shared" si="11"/>
        <v>September 2021</v>
      </c>
      <c r="D71" s="150">
        <v>9231.2000000000007</v>
      </c>
      <c r="E71" s="210" t="s">
        <v>163</v>
      </c>
      <c r="F71" s="144">
        <f>+$D71*'[5]II-F Alloc_Factor'!E$17</f>
        <v>2032.724680562101</v>
      </c>
      <c r="G71" s="144">
        <f>+$D71*'[5]II-F Alloc_Factor'!F$17</f>
        <v>0</v>
      </c>
      <c r="H71" s="144">
        <f>+$D71*'[5]II-F Alloc_Factor'!G$17</f>
        <v>0</v>
      </c>
      <c r="I71" s="144">
        <f>+$D71*'[5]II-F Alloc_Factor'!H$17</f>
        <v>2032.724680562101</v>
      </c>
      <c r="J71" s="144">
        <f>+$D71*'[5]II-F Alloc_Factor'!I$17</f>
        <v>5607.9494873120748</v>
      </c>
      <c r="K71" s="144">
        <f>+$D71*'[5]II-F Alloc_Factor'!J$17</f>
        <v>0</v>
      </c>
      <c r="L71" s="144">
        <f>+$D71*'[5]II-F Alloc_Factor'!K$17</f>
        <v>5607.9494873120748</v>
      </c>
      <c r="M71" s="144">
        <f>+$D71*'[5]II-F Alloc_Factor'!L$17</f>
        <v>1528.9969820392998</v>
      </c>
      <c r="N71" s="144">
        <f>+$D71*'[5]II-F Alloc_Factor'!M$17</f>
        <v>61.528850086524876</v>
      </c>
      <c r="O71" s="144">
        <f t="shared" si="9"/>
        <v>9231.2000000000007</v>
      </c>
      <c r="P71" s="144"/>
      <c r="Q71" s="144"/>
      <c r="R71" s="138" t="b">
        <f t="shared" si="10"/>
        <v>1</v>
      </c>
    </row>
    <row r="72" spans="1:18" ht="12.75">
      <c r="A72" s="146">
        <v>39</v>
      </c>
      <c r="B72" s="147" t="str">
        <f t="shared" si="11"/>
        <v>October 2021</v>
      </c>
      <c r="D72" s="150">
        <v>9132.2000000000007</v>
      </c>
      <c r="E72" s="210" t="s">
        <v>163</v>
      </c>
      <c r="F72" s="144">
        <f>+$D72*'[5]II-F Alloc_Factor'!E$17</f>
        <v>2010.9247256942995</v>
      </c>
      <c r="G72" s="144">
        <f>+$D72*'[5]II-F Alloc_Factor'!F$17</f>
        <v>0</v>
      </c>
      <c r="H72" s="144">
        <f>+$D72*'[5]II-F Alloc_Factor'!G$17</f>
        <v>0</v>
      </c>
      <c r="I72" s="144">
        <f>+$D72*'[5]II-F Alloc_Factor'!H$17</f>
        <v>2010.9247256942995</v>
      </c>
      <c r="J72" s="144">
        <f>+$D72*'[5]II-F Alloc_Factor'!I$17</f>
        <v>5547.8070357083943</v>
      </c>
      <c r="K72" s="144">
        <f>+$D72*'[5]II-F Alloc_Factor'!J$17</f>
        <v>0</v>
      </c>
      <c r="L72" s="144">
        <f>+$D72*'[5]II-F Alloc_Factor'!K$17</f>
        <v>5547.8070357083943</v>
      </c>
      <c r="M72" s="144">
        <f>+$D72*'[5]II-F Alloc_Factor'!L$17</f>
        <v>1512.5992546342072</v>
      </c>
      <c r="N72" s="144">
        <f>+$D72*'[5]II-F Alloc_Factor'!M$17</f>
        <v>60.868983963099325</v>
      </c>
      <c r="O72" s="144">
        <f t="shared" si="9"/>
        <v>9132.2000000000007</v>
      </c>
      <c r="P72" s="144"/>
      <c r="Q72" s="144"/>
      <c r="R72" s="138" t="b">
        <f t="shared" si="10"/>
        <v>1</v>
      </c>
    </row>
    <row r="73" spans="1:18" ht="12.75">
      <c r="A73" s="146">
        <v>40</v>
      </c>
      <c r="B73" s="147" t="str">
        <f t="shared" si="11"/>
        <v>November 2021</v>
      </c>
      <c r="D73" s="150">
        <v>9310.3999999999996</v>
      </c>
      <c r="E73" s="210" t="s">
        <v>163</v>
      </c>
      <c r="F73" s="144">
        <f>+$D73*'[5]II-F Alloc_Factor'!E$17</f>
        <v>2050.1646444563416</v>
      </c>
      <c r="G73" s="144">
        <f>+$D73*'[5]II-F Alloc_Factor'!F$17</f>
        <v>0</v>
      </c>
      <c r="H73" s="144">
        <f>+$D73*'[5]II-F Alloc_Factor'!G$17</f>
        <v>0</v>
      </c>
      <c r="I73" s="144">
        <f>+$D73*'[5]II-F Alloc_Factor'!H$17</f>
        <v>2050.1646444563416</v>
      </c>
      <c r="J73" s="144">
        <f>+$D73*'[5]II-F Alloc_Factor'!I$17</f>
        <v>5656.0634485950186</v>
      </c>
      <c r="K73" s="144">
        <f>+$D73*'[5]II-F Alloc_Factor'!J$17</f>
        <v>0</v>
      </c>
      <c r="L73" s="144">
        <f>+$D73*'[5]II-F Alloc_Factor'!K$17</f>
        <v>5656.0634485950186</v>
      </c>
      <c r="M73" s="144">
        <f>+$D73*'[5]II-F Alloc_Factor'!L$17</f>
        <v>1542.1151639633736</v>
      </c>
      <c r="N73" s="144">
        <f>+$D73*'[5]II-F Alloc_Factor'!M$17</f>
        <v>62.056742985265309</v>
      </c>
      <c r="O73" s="144">
        <f t="shared" si="9"/>
        <v>9310.3999999999996</v>
      </c>
      <c r="P73" s="144"/>
      <c r="Q73" s="144"/>
      <c r="R73" s="138" t="b">
        <f t="shared" si="10"/>
        <v>1</v>
      </c>
    </row>
    <row r="74" spans="1:18" ht="12.75">
      <c r="A74" s="146">
        <v>41</v>
      </c>
      <c r="B74" s="147" t="str">
        <f t="shared" si="11"/>
        <v>December 2021</v>
      </c>
      <c r="D74" s="150">
        <v>9892</v>
      </c>
      <c r="E74" s="210" t="s">
        <v>163</v>
      </c>
      <c r="F74" s="144">
        <f>+$D74*'[5]II-F Alloc_Factor'!E$17</f>
        <v>2178.233874265567</v>
      </c>
      <c r="G74" s="144">
        <f>+$D74*'[5]II-F Alloc_Factor'!F$17</f>
        <v>0</v>
      </c>
      <c r="H74" s="144">
        <f>+$D74*'[5]II-F Alloc_Factor'!G$17</f>
        <v>0</v>
      </c>
      <c r="I74" s="144">
        <f>+$D74*'[5]II-F Alloc_Factor'!H$17</f>
        <v>2178.233874265567</v>
      </c>
      <c r="J74" s="144">
        <f>+$D74*'[5]II-F Alloc_Factor'!I$17</f>
        <v>6009.3851642788632</v>
      </c>
      <c r="K74" s="144">
        <f>+$D74*'[5]II-F Alloc_Factor'!J$17</f>
        <v>0</v>
      </c>
      <c r="L74" s="144">
        <f>+$D74*'[5]II-F Alloc_Factor'!K$17</f>
        <v>6009.3851642788632</v>
      </c>
      <c r="M74" s="144">
        <f>+$D74*'[5]II-F Alloc_Factor'!L$17</f>
        <v>1638.4476716280387</v>
      </c>
      <c r="N74" s="144">
        <f>+$D74*'[5]II-F Alloc_Factor'!M$17</f>
        <v>65.933289827530984</v>
      </c>
      <c r="O74" s="144">
        <f t="shared" si="9"/>
        <v>9892</v>
      </c>
      <c r="P74" s="144"/>
      <c r="Q74" s="144"/>
      <c r="R74" s="138" t="b">
        <f t="shared" si="10"/>
        <v>1</v>
      </c>
    </row>
    <row r="75" spans="1:17" ht="12.75">
      <c r="A75" s="146">
        <v>42</v>
      </c>
      <c r="D75" s="167"/>
      <c r="E75" s="167"/>
      <c r="F75" s="167"/>
      <c r="G75" s="167"/>
      <c r="H75" s="167"/>
      <c r="I75" s="167"/>
      <c r="J75" s="167"/>
      <c r="K75" s="167"/>
      <c r="L75" s="167"/>
      <c r="M75" s="167"/>
      <c r="N75" s="167"/>
      <c r="O75" s="167"/>
      <c r="P75" s="144"/>
      <c r="Q75" s="144"/>
    </row>
    <row r="76" spans="1:17" ht="13.5" thickBot="1">
      <c r="A76" s="146">
        <v>43</v>
      </c>
      <c r="B76" s="211" t="s">
        <v>216</v>
      </c>
      <c r="D76" s="169">
        <f t="shared" si="12" ref="D76:O76">SUM(D63:D75)</f>
        <v>121255.91</v>
      </c>
      <c r="E76" s="169">
        <f t="shared" si="12"/>
        <v>0</v>
      </c>
      <c r="F76" s="169">
        <f t="shared" si="12"/>
        <v>26700.741065193783</v>
      </c>
      <c r="G76" s="169">
        <f t="shared" si="13" ref="G76:N76">SUM(G63:G75)</f>
        <v>0</v>
      </c>
      <c r="H76" s="169">
        <f t="shared" si="13"/>
        <v>0</v>
      </c>
      <c r="I76" s="169">
        <f t="shared" si="13"/>
        <v>26700.741065193783</v>
      </c>
      <c r="J76" s="169">
        <f t="shared" si="13"/>
        <v>73662.906048840785</v>
      </c>
      <c r="K76" s="169">
        <f t="shared" si="13"/>
        <v>0</v>
      </c>
      <c r="L76" s="169">
        <f t="shared" si="13"/>
        <v>73662.906048840785</v>
      </c>
      <c r="M76" s="169">
        <f t="shared" si="13"/>
        <v>20084.054125620605</v>
      </c>
      <c r="N76" s="169">
        <f t="shared" si="13"/>
        <v>808.20876034482546</v>
      </c>
      <c r="O76" s="169">
        <f t="shared" si="12"/>
        <v>121255.91</v>
      </c>
      <c r="P76" s="144"/>
      <c r="Q76" s="144"/>
    </row>
    <row r="77" ht="13.5" thickTop="1"/>
    <row r="78" spans="4:28" ht="12.75">
      <c r="D78" s="165"/>
      <c r="E78" s="165"/>
      <c r="F78" s="165"/>
      <c r="G78" s="165"/>
      <c r="H78" s="165"/>
      <c r="I78" s="165"/>
      <c r="J78" s="165"/>
      <c r="K78" s="165"/>
      <c r="L78" s="165"/>
      <c r="M78" s="165"/>
      <c r="N78" s="165"/>
      <c r="O78" s="165"/>
      <c r="P78" s="165"/>
      <c r="Q78" s="165"/>
      <c r="X78" s="139"/>
      <c r="Y78" s="139"/>
      <c r="Z78" s="139"/>
      <c r="AA78" s="139"/>
      <c r="AB78" s="139"/>
    </row>
    <row r="80" spans="4:18" ht="13.5" thickBot="1">
      <c r="D80" s="363" t="s">
        <v>746</v>
      </c>
      <c r="E80" s="362"/>
      <c r="F80" s="362"/>
      <c r="G80" s="362"/>
      <c r="H80" s="362"/>
      <c r="I80" s="362"/>
      <c r="J80" s="362"/>
      <c r="K80" s="362"/>
      <c r="L80" s="362"/>
      <c r="M80" s="362"/>
      <c r="N80" s="362"/>
      <c r="O80" s="362"/>
      <c r="P80" s="143"/>
      <c r="Q80" s="149"/>
      <c r="R80" s="149"/>
    </row>
    <row r="81" spans="14:18" ht="12.75">
      <c r="N81" s="61"/>
      <c r="O81" s="61"/>
      <c r="P81" s="149"/>
      <c r="Q81" s="149"/>
      <c r="R81" s="149"/>
    </row>
    <row r="82" spans="1:15" ht="12.75">
      <c r="A82" s="18" t="s">
        <v>87</v>
      </c>
      <c r="B82" s="18"/>
      <c r="D82" s="209" t="s">
        <v>216</v>
      </c>
      <c r="E82" s="209" t="s">
        <v>53</v>
      </c>
      <c r="F82" s="18"/>
      <c r="G82" s="18" t="s">
        <v>716</v>
      </c>
      <c r="H82" s="18" t="s">
        <v>722</v>
      </c>
      <c r="I82" s="18" t="s">
        <v>717</v>
      </c>
      <c r="J82" s="18"/>
      <c r="K82" s="18" t="s">
        <v>716</v>
      </c>
      <c r="L82" s="18" t="s">
        <v>717</v>
      </c>
      <c r="M82" s="18"/>
      <c r="N82" s="18"/>
      <c r="O82" s="18"/>
    </row>
    <row r="83" spans="1:15" ht="12.75">
      <c r="A83" s="208" t="s">
        <v>89</v>
      </c>
      <c r="B83" s="208" t="s">
        <v>64</v>
      </c>
      <c r="D83" s="202" t="s">
        <v>219</v>
      </c>
      <c r="E83" s="202" t="s">
        <v>218</v>
      </c>
      <c r="F83" s="202" t="s">
        <v>294</v>
      </c>
      <c r="G83" s="202" t="s">
        <v>294</v>
      </c>
      <c r="H83" s="202" t="s">
        <v>723</v>
      </c>
      <c r="I83" s="202" t="s">
        <v>294</v>
      </c>
      <c r="J83" s="202" t="s">
        <v>295</v>
      </c>
      <c r="K83" s="202" t="s">
        <v>295</v>
      </c>
      <c r="L83" s="202" t="s">
        <v>295</v>
      </c>
      <c r="M83" s="202" t="s">
        <v>283</v>
      </c>
      <c r="N83" s="202" t="s">
        <v>126</v>
      </c>
      <c r="O83" s="202" t="s">
        <v>216</v>
      </c>
    </row>
    <row r="84" spans="1:15" ht="12.75">
      <c r="A84" s="18"/>
      <c r="B84" s="16" t="s">
        <v>44</v>
      </c>
      <c r="D84" s="16" t="s">
        <v>45</v>
      </c>
      <c r="E84" s="203" t="s">
        <v>74</v>
      </c>
      <c r="F84" s="16" t="s">
        <v>75</v>
      </c>
      <c r="G84" s="203" t="s">
        <v>76</v>
      </c>
      <c r="H84" s="203" t="s">
        <v>77</v>
      </c>
      <c r="I84" s="203" t="s">
        <v>78</v>
      </c>
      <c r="J84" s="203" t="s">
        <v>79</v>
      </c>
      <c r="K84" s="203" t="s">
        <v>80</v>
      </c>
      <c r="L84" s="203" t="s">
        <v>81</v>
      </c>
      <c r="M84" s="203" t="s">
        <v>82</v>
      </c>
      <c r="N84" s="203" t="s">
        <v>83</v>
      </c>
      <c r="O84" s="203" t="s">
        <v>84</v>
      </c>
    </row>
    <row r="86" spans="1:18" ht="12.75">
      <c r="A86" s="146">
        <v>44</v>
      </c>
      <c r="B86" s="147" t="str">
        <f>+B63</f>
        <v>January 2021</v>
      </c>
      <c r="D86" s="148">
        <v>15939.879999999999</v>
      </c>
      <c r="E86" s="210" t="s">
        <v>163</v>
      </c>
      <c r="F86" s="148">
        <f>+$D86*'[5]II-F Alloc_Factor'!E$17</f>
        <v>3509.9865110926225</v>
      </c>
      <c r="G86" s="148">
        <f>+$D86*'[5]II-F Alloc_Factor'!F$17</f>
        <v>0</v>
      </c>
      <c r="H86" s="148">
        <f>+$D86*'[5]II-F Alloc_Factor'!G$17</f>
        <v>0</v>
      </c>
      <c r="I86" s="148">
        <f>+$D86*'[5]II-F Alloc_Factor'!H$17</f>
        <v>3509.9865110926225</v>
      </c>
      <c r="J86" s="148">
        <f>+$D86*'[5]II-F Alloc_Factor'!I$17</f>
        <v>9683.4693077623688</v>
      </c>
      <c r="K86" s="148">
        <f>+$D86*'[5]II-F Alloc_Factor'!J$17</f>
        <v>0</v>
      </c>
      <c r="L86" s="148">
        <f>+$D86*'[5]II-F Alloc_Factor'!K$17</f>
        <v>9683.4693077623688</v>
      </c>
      <c r="M86" s="148">
        <f>+$D86*'[5]II-F Alloc_Factor'!L$17</f>
        <v>2640.1798697968402</v>
      </c>
      <c r="N86" s="148">
        <f>+$D86*'[5]II-F Alloc_Factor'!M$17</f>
        <v>106.24431134816665</v>
      </c>
      <c r="O86" s="148">
        <f t="shared" si="14" ref="O86:O97">+I86+L86+M86+N86</f>
        <v>15939.879999999997</v>
      </c>
      <c r="P86" s="148"/>
      <c r="Q86" s="144"/>
      <c r="R86" s="138" t="b">
        <f t="shared" si="15" ref="R86:R97">+D86=O86</f>
        <v>1</v>
      </c>
    </row>
    <row r="87" spans="1:18" ht="12.75">
      <c r="A87" s="146">
        <v>45</v>
      </c>
      <c r="B87" s="147" t="str">
        <f t="shared" si="16" ref="B87:B97">+B64</f>
        <v>February 2021</v>
      </c>
      <c r="D87" s="150">
        <v>15958.58</v>
      </c>
      <c r="E87" s="210" t="s">
        <v>163</v>
      </c>
      <c r="F87" s="144">
        <f>+$D87*'[5]II-F Alloc_Factor'!E$17</f>
        <v>3514.1042803454297</v>
      </c>
      <c r="G87" s="144">
        <f>+$D87*'[5]II-F Alloc_Factor'!F$17</f>
        <v>0</v>
      </c>
      <c r="H87" s="144">
        <f>+$D87*'[5]II-F Alloc_Factor'!G$17</f>
        <v>0</v>
      </c>
      <c r="I87" s="144">
        <f>+$D87*'[5]II-F Alloc_Factor'!H$17</f>
        <v>3514.1042803454297</v>
      </c>
      <c r="J87" s="144">
        <f>+$D87*'[5]II-F Alloc_Factor'!I$17</f>
        <v>9694.8295486208426</v>
      </c>
      <c r="K87" s="144">
        <f>+$D87*'[5]II-F Alloc_Factor'!J$17</f>
        <v>0</v>
      </c>
      <c r="L87" s="144">
        <f>+$D87*'[5]II-F Alloc_Factor'!K$17</f>
        <v>9694.8295486208426</v>
      </c>
      <c r="M87" s="144">
        <f>+$D87*'[5]II-F Alloc_Factor'!L$17</f>
        <v>2643.2772183066909</v>
      </c>
      <c r="N87" s="144">
        <f>+$D87*'[5]II-F Alloc_Factor'!M$17</f>
        <v>106.36895272703593</v>
      </c>
      <c r="O87" s="144">
        <f t="shared" si="14"/>
        <v>15958.579999999998</v>
      </c>
      <c r="P87" s="144"/>
      <c r="Q87" s="144"/>
      <c r="R87" s="138" t="b">
        <f t="shared" si="15"/>
        <v>1</v>
      </c>
    </row>
    <row r="88" spans="1:18" ht="12.75">
      <c r="A88" s="146">
        <v>46</v>
      </c>
      <c r="B88" s="147" t="str">
        <f t="shared" si="16"/>
        <v>March 2021</v>
      </c>
      <c r="D88" s="150">
        <v>15891.259999999998</v>
      </c>
      <c r="E88" s="210" t="s">
        <v>163</v>
      </c>
      <c r="F88" s="144">
        <f>+$D88*'[5]II-F Alloc_Factor'!E$17</f>
        <v>3499.2803110353243</v>
      </c>
      <c r="G88" s="144">
        <f>+$D88*'[5]II-F Alloc_Factor'!F$17</f>
        <v>0</v>
      </c>
      <c r="H88" s="144">
        <f>+$D88*'[5]II-F Alloc_Factor'!G$17</f>
        <v>0</v>
      </c>
      <c r="I88" s="144">
        <f>+$D88*'[5]II-F Alloc_Factor'!H$17</f>
        <v>3499.2803110353243</v>
      </c>
      <c r="J88" s="144">
        <f>+$D88*'[5]II-F Alloc_Factor'!I$17</f>
        <v>9653.9326815303393</v>
      </c>
      <c r="K88" s="144">
        <f>+$D88*'[5]II-F Alloc_Factor'!J$17</f>
        <v>0</v>
      </c>
      <c r="L88" s="144">
        <f>+$D88*'[5]II-F Alloc_Factor'!K$17</f>
        <v>9653.9326815303393</v>
      </c>
      <c r="M88" s="144">
        <f>+$D88*'[5]II-F Alloc_Factor'!L$17</f>
        <v>2632.1267636712278</v>
      </c>
      <c r="N88" s="144">
        <f>+$D88*'[5]II-F Alloc_Factor'!M$17</f>
        <v>105.92024376310654</v>
      </c>
      <c r="O88" s="144">
        <f t="shared" si="14"/>
        <v>15891.259999999997</v>
      </c>
      <c r="P88" s="144"/>
      <c r="Q88" s="144"/>
      <c r="R88" s="138" t="b">
        <f t="shared" si="15"/>
        <v>1</v>
      </c>
    </row>
    <row r="89" spans="1:18" ht="12.75">
      <c r="A89" s="146">
        <v>47</v>
      </c>
      <c r="B89" s="147" t="str">
        <f t="shared" si="16"/>
        <v>April 2021</v>
      </c>
      <c r="D89" s="150">
        <v>15921.18</v>
      </c>
      <c r="E89" s="210" t="s">
        <v>163</v>
      </c>
      <c r="F89" s="144">
        <f>+$D89*'[5]II-F Alloc_Factor'!E$17</f>
        <v>3505.8687418398158</v>
      </c>
      <c r="G89" s="144">
        <f>+$D89*'[5]II-F Alloc_Factor'!F$17</f>
        <v>0</v>
      </c>
      <c r="H89" s="144">
        <f>+$D89*'[5]II-F Alloc_Factor'!G$17</f>
        <v>0</v>
      </c>
      <c r="I89" s="144">
        <f>+$D89*'[5]II-F Alloc_Factor'!H$17</f>
        <v>3505.8687418398158</v>
      </c>
      <c r="J89" s="144">
        <f>+$D89*'[5]II-F Alloc_Factor'!I$17</f>
        <v>9672.1090669038967</v>
      </c>
      <c r="K89" s="144">
        <f>+$D89*'[5]II-F Alloc_Factor'!J$17</f>
        <v>0</v>
      </c>
      <c r="L89" s="144">
        <f>+$D89*'[5]II-F Alloc_Factor'!K$17</f>
        <v>9672.1090669038967</v>
      </c>
      <c r="M89" s="144">
        <f>+$D89*'[5]II-F Alloc_Factor'!L$17</f>
        <v>2637.0825212869895</v>
      </c>
      <c r="N89" s="144">
        <f>+$D89*'[5]II-F Alloc_Factor'!M$17</f>
        <v>106.11966996929739</v>
      </c>
      <c r="O89" s="144">
        <f t="shared" si="14"/>
        <v>15921.179999999999</v>
      </c>
      <c r="P89" s="144"/>
      <c r="Q89" s="144"/>
      <c r="R89" s="138" t="b">
        <f t="shared" si="15"/>
        <v>1</v>
      </c>
    </row>
    <row r="90" spans="1:18" ht="12.75">
      <c r="A90" s="146">
        <v>48</v>
      </c>
      <c r="B90" s="147" t="str">
        <f t="shared" si="16"/>
        <v>May 2021</v>
      </c>
      <c r="D90" s="150">
        <v>15857.6</v>
      </c>
      <c r="E90" s="210" t="s">
        <v>163</v>
      </c>
      <c r="F90" s="144">
        <f>+$D90*'[5]II-F Alloc_Factor'!E$17</f>
        <v>3491.8683263802723</v>
      </c>
      <c r="G90" s="144">
        <f>+$D90*'[5]II-F Alloc_Factor'!F$17</f>
        <v>0</v>
      </c>
      <c r="H90" s="144">
        <f>+$D90*'[5]II-F Alloc_Factor'!G$17</f>
        <v>0</v>
      </c>
      <c r="I90" s="144">
        <f>+$D90*'[5]II-F Alloc_Factor'!H$17</f>
        <v>3491.8683263802723</v>
      </c>
      <c r="J90" s="144">
        <f>+$D90*'[5]II-F Alloc_Factor'!I$17</f>
        <v>9633.4842479850886</v>
      </c>
      <c r="K90" s="144">
        <f>+$D90*'[5]II-F Alloc_Factor'!J$17</f>
        <v>0</v>
      </c>
      <c r="L90" s="144">
        <f>+$D90*'[5]II-F Alloc_Factor'!K$17</f>
        <v>9633.4842479850886</v>
      </c>
      <c r="M90" s="144">
        <f>+$D90*'[5]II-F Alloc_Factor'!L$17</f>
        <v>2626.5515363534964</v>
      </c>
      <c r="N90" s="144">
        <f>+$D90*'[5]II-F Alloc_Factor'!M$17</f>
        <v>105.69588928114187</v>
      </c>
      <c r="O90" s="144">
        <f t="shared" si="14"/>
        <v>15857.599999999999</v>
      </c>
      <c r="P90" s="144"/>
      <c r="Q90" s="144"/>
      <c r="R90" s="138" t="b">
        <f t="shared" si="15"/>
        <v>1</v>
      </c>
    </row>
    <row r="91" spans="1:18" ht="12.75">
      <c r="A91" s="146">
        <v>49</v>
      </c>
      <c r="B91" s="147" t="str">
        <f t="shared" si="16"/>
        <v>June 2021</v>
      </c>
      <c r="D91" s="150">
        <v>15895</v>
      </c>
      <c r="E91" s="210" t="s">
        <v>163</v>
      </c>
      <c r="F91" s="144">
        <f>+$D91*'[5]II-F Alloc_Factor'!E$17</f>
        <v>3500.1038648858862</v>
      </c>
      <c r="G91" s="144">
        <f>+$D91*'[5]II-F Alloc_Factor'!F$17</f>
        <v>0</v>
      </c>
      <c r="H91" s="144">
        <f>+$D91*'[5]II-F Alloc_Factor'!G$17</f>
        <v>0</v>
      </c>
      <c r="I91" s="144">
        <f>+$D91*'[5]II-F Alloc_Factor'!H$17</f>
        <v>3500.1038648858862</v>
      </c>
      <c r="J91" s="144">
        <f>+$D91*'[5]II-F Alloc_Factor'!I$17</f>
        <v>9656.2047297020345</v>
      </c>
      <c r="K91" s="144">
        <f>+$D91*'[5]II-F Alloc_Factor'!J$17</f>
        <v>0</v>
      </c>
      <c r="L91" s="144">
        <f>+$D91*'[5]II-F Alloc_Factor'!K$17</f>
        <v>9656.2047297020345</v>
      </c>
      <c r="M91" s="144">
        <f>+$D91*'[5]II-F Alloc_Factor'!L$17</f>
        <v>2632.7462333731983</v>
      </c>
      <c r="N91" s="144">
        <f>+$D91*'[5]II-F Alloc_Factor'!M$17</f>
        <v>105.9451720388804</v>
      </c>
      <c r="O91" s="144">
        <f t="shared" si="14"/>
        <v>15895</v>
      </c>
      <c r="P91" s="144"/>
      <c r="Q91" s="144"/>
      <c r="R91" s="138" t="b">
        <f t="shared" si="15"/>
        <v>1</v>
      </c>
    </row>
    <row r="92" spans="1:18" ht="12.75">
      <c r="A92" s="146">
        <v>50</v>
      </c>
      <c r="B92" s="147" t="str">
        <f t="shared" si="16"/>
        <v>July 2021</v>
      </c>
      <c r="D92" s="150">
        <v>15928.66</v>
      </c>
      <c r="E92" s="210" t="s">
        <v>163</v>
      </c>
      <c r="F92" s="144">
        <f>+$D92*'[5]II-F Alloc_Factor'!E$17</f>
        <v>3507.5158495409387</v>
      </c>
      <c r="G92" s="144">
        <f>+$D92*'[5]II-F Alloc_Factor'!F$17</f>
        <v>0</v>
      </c>
      <c r="H92" s="144">
        <f>+$D92*'[5]II-F Alloc_Factor'!G$17</f>
        <v>0</v>
      </c>
      <c r="I92" s="144">
        <f>+$D92*'[5]II-F Alloc_Factor'!H$17</f>
        <v>3507.5158495409387</v>
      </c>
      <c r="J92" s="144">
        <f>+$D92*'[5]II-F Alloc_Factor'!I$17</f>
        <v>9676.653163247287</v>
      </c>
      <c r="K92" s="144">
        <f>+$D92*'[5]II-F Alloc_Factor'!J$17</f>
        <v>0</v>
      </c>
      <c r="L92" s="144">
        <f>+$D92*'[5]II-F Alloc_Factor'!K$17</f>
        <v>9676.653163247287</v>
      </c>
      <c r="M92" s="144">
        <f>+$D92*'[5]II-F Alloc_Factor'!L$17</f>
        <v>2638.3214606909296</v>
      </c>
      <c r="N92" s="144">
        <f>+$D92*'[5]II-F Alloc_Factor'!M$17</f>
        <v>106.1695265208451</v>
      </c>
      <c r="O92" s="144">
        <f t="shared" si="14"/>
        <v>15928.66</v>
      </c>
      <c r="P92" s="144"/>
      <c r="Q92" s="144"/>
      <c r="R92" s="138" t="b">
        <f t="shared" si="15"/>
        <v>1</v>
      </c>
    </row>
    <row r="93" spans="1:18" ht="12.75">
      <c r="A93" s="146">
        <v>51</v>
      </c>
      <c r="B93" s="147" t="str">
        <f t="shared" si="16"/>
        <v>August 2021</v>
      </c>
      <c r="D93" s="150">
        <v>15954.84</v>
      </c>
      <c r="E93" s="210" t="s">
        <v>163</v>
      </c>
      <c r="F93" s="144">
        <f>+$D93*'[5]II-F Alloc_Factor'!E$17</f>
        <v>3513.2807264948683</v>
      </c>
      <c r="G93" s="144">
        <f>+$D93*'[5]II-F Alloc_Factor'!F$17</f>
        <v>0</v>
      </c>
      <c r="H93" s="144">
        <f>+$D93*'[5]II-F Alloc_Factor'!G$17</f>
        <v>0</v>
      </c>
      <c r="I93" s="144">
        <f>+$D93*'[5]II-F Alloc_Factor'!H$17</f>
        <v>3513.2807264948683</v>
      </c>
      <c r="J93" s="144">
        <f>+$D93*'[5]II-F Alloc_Factor'!I$17</f>
        <v>9692.5575004491493</v>
      </c>
      <c r="K93" s="144">
        <f>+$D93*'[5]II-F Alloc_Factor'!J$17</f>
        <v>0</v>
      </c>
      <c r="L93" s="144">
        <f>+$D93*'[5]II-F Alloc_Factor'!K$17</f>
        <v>9692.5575004491493</v>
      </c>
      <c r="M93" s="144">
        <f>+$D93*'[5]II-F Alloc_Factor'!L$17</f>
        <v>2642.6577486047208</v>
      </c>
      <c r="N93" s="144">
        <f>+$D93*'[5]II-F Alloc_Factor'!M$17</f>
        <v>106.34402445126207</v>
      </c>
      <c r="O93" s="144">
        <f t="shared" si="14"/>
        <v>15954.84</v>
      </c>
      <c r="P93" s="144"/>
      <c r="Q93" s="144"/>
      <c r="R93" s="138" t="b">
        <f t="shared" si="15"/>
        <v>1</v>
      </c>
    </row>
    <row r="94" spans="1:18" ht="12.75">
      <c r="A94" s="146">
        <v>52</v>
      </c>
      <c r="B94" s="147" t="str">
        <f t="shared" si="16"/>
        <v>September 2021</v>
      </c>
      <c r="D94" s="150">
        <v>15921.18</v>
      </c>
      <c r="E94" s="210" t="s">
        <v>163</v>
      </c>
      <c r="F94" s="144">
        <f>+$D94*'[5]II-F Alloc_Factor'!E$17</f>
        <v>3505.8687418398158</v>
      </c>
      <c r="G94" s="144">
        <f>+$D94*'[5]II-F Alloc_Factor'!F$17</f>
        <v>0</v>
      </c>
      <c r="H94" s="144">
        <f>+$D94*'[5]II-F Alloc_Factor'!G$17</f>
        <v>0</v>
      </c>
      <c r="I94" s="144">
        <f>+$D94*'[5]II-F Alloc_Factor'!H$17</f>
        <v>3505.8687418398158</v>
      </c>
      <c r="J94" s="144">
        <f>+$D94*'[5]II-F Alloc_Factor'!I$17</f>
        <v>9672.1090669038967</v>
      </c>
      <c r="K94" s="144">
        <f>+$D94*'[5]II-F Alloc_Factor'!J$17</f>
        <v>0</v>
      </c>
      <c r="L94" s="144">
        <f>+$D94*'[5]II-F Alloc_Factor'!K$17</f>
        <v>9672.1090669038967</v>
      </c>
      <c r="M94" s="144">
        <f>+$D94*'[5]II-F Alloc_Factor'!L$17</f>
        <v>2637.0825212869895</v>
      </c>
      <c r="N94" s="144">
        <f>+$D94*'[5]II-F Alloc_Factor'!M$17</f>
        <v>106.11966996929739</v>
      </c>
      <c r="O94" s="144">
        <f t="shared" si="14"/>
        <v>15921.179999999999</v>
      </c>
      <c r="P94" s="144"/>
      <c r="Q94" s="144"/>
      <c r="R94" s="138" t="b">
        <f t="shared" si="15"/>
        <v>1</v>
      </c>
    </row>
    <row r="95" spans="1:18" ht="12.75">
      <c r="A95" s="146">
        <v>53</v>
      </c>
      <c r="B95" s="147" t="str">
        <f t="shared" si="16"/>
        <v>October 2021</v>
      </c>
      <c r="D95" s="150">
        <v>15902.480000000001</v>
      </c>
      <c r="E95" s="210" t="s">
        <v>163</v>
      </c>
      <c r="F95" s="144">
        <f>+$D95*'[5]II-F Alloc_Factor'!E$17</f>
        <v>3501.7509725870091</v>
      </c>
      <c r="G95" s="144">
        <f>+$D95*'[5]II-F Alloc_Factor'!F$17</f>
        <v>0</v>
      </c>
      <c r="H95" s="144">
        <f>+$D95*'[5]II-F Alloc_Factor'!G$17</f>
        <v>0</v>
      </c>
      <c r="I95" s="144">
        <f>+$D95*'[5]II-F Alloc_Factor'!H$17</f>
        <v>3501.7509725870091</v>
      </c>
      <c r="J95" s="144">
        <f>+$D95*'[5]II-F Alloc_Factor'!I$17</f>
        <v>9660.7488260454247</v>
      </c>
      <c r="K95" s="144">
        <f>+$D95*'[5]II-F Alloc_Factor'!J$17</f>
        <v>0</v>
      </c>
      <c r="L95" s="144">
        <f>+$D95*'[5]II-F Alloc_Factor'!K$17</f>
        <v>9660.7488260454247</v>
      </c>
      <c r="M95" s="144">
        <f>+$D95*'[5]II-F Alloc_Factor'!L$17</f>
        <v>2633.9851727771388</v>
      </c>
      <c r="N95" s="144">
        <f>+$D95*'[5]II-F Alloc_Factor'!M$17</f>
        <v>105.99502859042812</v>
      </c>
      <c r="O95" s="144">
        <f t="shared" si="14"/>
        <v>15902.480000000001</v>
      </c>
      <c r="P95" s="144"/>
      <c r="Q95" s="144"/>
      <c r="R95" s="138" t="b">
        <f t="shared" si="15"/>
        <v>1</v>
      </c>
    </row>
    <row r="96" spans="1:18" ht="12.75">
      <c r="A96" s="146">
        <v>54</v>
      </c>
      <c r="B96" s="147" t="str">
        <f t="shared" si="16"/>
        <v>November 2021</v>
      </c>
      <c r="D96" s="150">
        <v>15936.139999999999</v>
      </c>
      <c r="E96" s="210" t="s">
        <v>163</v>
      </c>
      <c r="F96" s="144">
        <f>+$D96*'[5]II-F Alloc_Factor'!E$17</f>
        <v>3509.1629572420611</v>
      </c>
      <c r="G96" s="144">
        <f>+$D96*'[5]II-F Alloc_Factor'!F$17</f>
        <v>0</v>
      </c>
      <c r="H96" s="144">
        <f>+$D96*'[5]II-F Alloc_Factor'!G$17</f>
        <v>0</v>
      </c>
      <c r="I96" s="144">
        <f>+$D96*'[5]II-F Alloc_Factor'!H$17</f>
        <v>3509.1629572420611</v>
      </c>
      <c r="J96" s="144">
        <f>+$D96*'[5]II-F Alloc_Factor'!I$17</f>
        <v>9681.1972595906755</v>
      </c>
      <c r="K96" s="144">
        <f>+$D96*'[5]II-F Alloc_Factor'!J$17</f>
        <v>0</v>
      </c>
      <c r="L96" s="144">
        <f>+$D96*'[5]II-F Alloc_Factor'!K$17</f>
        <v>9681.1972595906755</v>
      </c>
      <c r="M96" s="144">
        <f>+$D96*'[5]II-F Alloc_Factor'!L$17</f>
        <v>2639.5604000948701</v>
      </c>
      <c r="N96" s="144">
        <f>+$D96*'[5]II-F Alloc_Factor'!M$17</f>
        <v>106.2193830723928</v>
      </c>
      <c r="O96" s="144">
        <f t="shared" si="14"/>
        <v>15936.139999999999</v>
      </c>
      <c r="P96" s="144"/>
      <c r="Q96" s="144"/>
      <c r="R96" s="138" t="b">
        <f t="shared" si="15"/>
        <v>1</v>
      </c>
    </row>
    <row r="97" spans="1:18" ht="12.75">
      <c r="A97" s="146">
        <v>55</v>
      </c>
      <c r="B97" s="147" t="str">
        <f t="shared" si="16"/>
        <v>December 2021</v>
      </c>
      <c r="D97" s="150">
        <v>0</v>
      </c>
      <c r="E97" s="210" t="s">
        <v>163</v>
      </c>
      <c r="F97" s="144">
        <f>+$D97*'[5]II-F Alloc_Factor'!E$17</f>
        <v>0</v>
      </c>
      <c r="G97" s="144">
        <f>+$D97*'[5]II-F Alloc_Factor'!F$17</f>
        <v>0</v>
      </c>
      <c r="H97" s="144">
        <f>+$D97*'[5]II-F Alloc_Factor'!G$17</f>
        <v>0</v>
      </c>
      <c r="I97" s="144">
        <f>+$D97*'[5]II-F Alloc_Factor'!H$17</f>
        <v>0</v>
      </c>
      <c r="J97" s="144">
        <f>+$D97*'[5]II-F Alloc_Factor'!I$17</f>
        <v>0</v>
      </c>
      <c r="K97" s="144">
        <f>+$D97*'[5]II-F Alloc_Factor'!J$17</f>
        <v>0</v>
      </c>
      <c r="L97" s="144">
        <f>+$D97*'[5]II-F Alloc_Factor'!K$17</f>
        <v>0</v>
      </c>
      <c r="M97" s="144">
        <f>+$D97*'[5]II-F Alloc_Factor'!L$17</f>
        <v>0</v>
      </c>
      <c r="N97" s="144">
        <f>+$D97*'[5]II-F Alloc_Factor'!M$17</f>
        <v>0</v>
      </c>
      <c r="O97" s="144">
        <f t="shared" si="14"/>
        <v>0</v>
      </c>
      <c r="P97" s="144"/>
      <c r="Q97" s="144"/>
      <c r="R97" s="138" t="b">
        <f t="shared" si="15"/>
        <v>1</v>
      </c>
    </row>
    <row r="98" spans="1:17" ht="12.75">
      <c r="A98" s="146">
        <v>56</v>
      </c>
      <c r="D98" s="167"/>
      <c r="E98" s="167"/>
      <c r="F98" s="167"/>
      <c r="G98" s="167"/>
      <c r="H98" s="167"/>
      <c r="I98" s="167"/>
      <c r="J98" s="167"/>
      <c r="K98" s="167"/>
      <c r="L98" s="167"/>
      <c r="M98" s="167"/>
      <c r="N98" s="167"/>
      <c r="O98" s="167"/>
      <c r="P98" s="144"/>
      <c r="Q98" s="144"/>
    </row>
    <row r="99" spans="1:17" ht="13.5" thickBot="1">
      <c r="A99" s="146">
        <v>57</v>
      </c>
      <c r="B99" s="211" t="s">
        <v>216</v>
      </c>
      <c r="D99" s="169">
        <f t="shared" si="17" ref="D99:O99">SUM(D86:D98)</f>
        <v>175106.79999999999</v>
      </c>
      <c r="E99" s="169">
        <f t="shared" si="17"/>
        <v>0</v>
      </c>
      <c r="F99" s="169">
        <f t="shared" si="17"/>
        <v>38558.791283284045</v>
      </c>
      <c r="G99" s="169">
        <f t="shared" si="18" ref="G99:N99">SUM(G86:G98)</f>
        <v>0</v>
      </c>
      <c r="H99" s="169">
        <f t="shared" si="18"/>
        <v>0</v>
      </c>
      <c r="I99" s="169">
        <f t="shared" si="18"/>
        <v>38558.791283284045</v>
      </c>
      <c r="J99" s="169">
        <f t="shared" si="18"/>
        <v>106377.29539874102</v>
      </c>
      <c r="K99" s="169">
        <f t="shared" si="18"/>
        <v>0</v>
      </c>
      <c r="L99" s="169">
        <f t="shared" si="18"/>
        <v>106377.29539874102</v>
      </c>
      <c r="M99" s="169">
        <f t="shared" si="18"/>
        <v>29003.571446243091</v>
      </c>
      <c r="N99" s="169">
        <f t="shared" si="18"/>
        <v>1167.1418717318543</v>
      </c>
      <c r="O99" s="169">
        <f t="shared" si="17"/>
        <v>175106.79999999999</v>
      </c>
      <c r="P99" s="144"/>
      <c r="Q99" s="144"/>
    </row>
    <row r="100" spans="1:1" ht="13.5" thickTop="1">
      <c r="A100" s="146"/>
    </row>
    <row r="101" spans="1:1" ht="12.75">
      <c r="A101" s="146"/>
    </row>
    <row r="102" spans="1:1" ht="12.75">
      <c r="A102" s="146"/>
    </row>
    <row r="103" spans="4:18" ht="13.5" thickBot="1">
      <c r="D103" s="363" t="s">
        <v>747</v>
      </c>
      <c r="E103" s="362"/>
      <c r="F103" s="362"/>
      <c r="G103" s="362"/>
      <c r="H103" s="362"/>
      <c r="I103" s="362"/>
      <c r="J103" s="362"/>
      <c r="K103" s="362"/>
      <c r="L103" s="362"/>
      <c r="M103" s="362"/>
      <c r="N103" s="362"/>
      <c r="O103" s="362"/>
      <c r="P103" s="143"/>
      <c r="Q103" s="149"/>
      <c r="R103" s="149"/>
    </row>
    <row r="104" spans="14:18" ht="12.75">
      <c r="N104" s="61"/>
      <c r="O104" s="61"/>
      <c r="P104" s="149"/>
      <c r="Q104" s="149"/>
      <c r="R104" s="149"/>
    </row>
    <row r="105" spans="1:15" ht="12.75">
      <c r="A105" s="18" t="s">
        <v>87</v>
      </c>
      <c r="B105" s="18"/>
      <c r="D105" s="209" t="s">
        <v>216</v>
      </c>
      <c r="E105" s="209" t="s">
        <v>53</v>
      </c>
      <c r="F105" s="18"/>
      <c r="G105" s="18" t="s">
        <v>716</v>
      </c>
      <c r="H105" s="18" t="s">
        <v>722</v>
      </c>
      <c r="I105" s="18" t="s">
        <v>717</v>
      </c>
      <c r="J105" s="18"/>
      <c r="K105" s="18" t="s">
        <v>716</v>
      </c>
      <c r="L105" s="18" t="s">
        <v>717</v>
      </c>
      <c r="M105" s="18"/>
      <c r="N105" s="18"/>
      <c r="O105" s="18"/>
    </row>
    <row r="106" spans="1:15" ht="12.75">
      <c r="A106" s="208" t="s">
        <v>89</v>
      </c>
      <c r="B106" s="208" t="s">
        <v>64</v>
      </c>
      <c r="D106" s="202" t="s">
        <v>219</v>
      </c>
      <c r="E106" s="202" t="s">
        <v>218</v>
      </c>
      <c r="F106" s="202" t="s">
        <v>294</v>
      </c>
      <c r="G106" s="202" t="s">
        <v>294</v>
      </c>
      <c r="H106" s="202" t="s">
        <v>723</v>
      </c>
      <c r="I106" s="202" t="s">
        <v>294</v>
      </c>
      <c r="J106" s="202" t="s">
        <v>295</v>
      </c>
      <c r="K106" s="202" t="s">
        <v>295</v>
      </c>
      <c r="L106" s="202" t="s">
        <v>295</v>
      </c>
      <c r="M106" s="202" t="s">
        <v>283</v>
      </c>
      <c r="N106" s="202" t="s">
        <v>126</v>
      </c>
      <c r="O106" s="202" t="s">
        <v>216</v>
      </c>
    </row>
    <row r="107" spans="1:15" ht="12.75">
      <c r="A107" s="18"/>
      <c r="B107" s="16" t="s">
        <v>44</v>
      </c>
      <c r="D107" s="16" t="s">
        <v>45</v>
      </c>
      <c r="E107" s="203" t="s">
        <v>74</v>
      </c>
      <c r="F107" s="16" t="s">
        <v>75</v>
      </c>
      <c r="G107" s="203" t="s">
        <v>76</v>
      </c>
      <c r="H107" s="203" t="s">
        <v>77</v>
      </c>
      <c r="I107" s="203" t="s">
        <v>78</v>
      </c>
      <c r="J107" s="203" t="s">
        <v>79</v>
      </c>
      <c r="K107" s="203" t="s">
        <v>80</v>
      </c>
      <c r="L107" s="203" t="s">
        <v>81</v>
      </c>
      <c r="M107" s="203" t="s">
        <v>82</v>
      </c>
      <c r="N107" s="203" t="s">
        <v>83</v>
      </c>
      <c r="O107" s="203" t="s">
        <v>84</v>
      </c>
    </row>
    <row r="109" spans="1:18" ht="12.75">
      <c r="A109" s="146">
        <v>58</v>
      </c>
      <c r="B109" s="147" t="str">
        <f>+B86</f>
        <v>January 2021</v>
      </c>
      <c r="D109" s="148">
        <v>0</v>
      </c>
      <c r="E109" s="210" t="s">
        <v>163</v>
      </c>
      <c r="F109" s="148">
        <f>+$D109*'[5]II-F Alloc_Factor'!E$17</f>
        <v>0</v>
      </c>
      <c r="G109" s="148">
        <f>+$D109*'[5]II-F Alloc_Factor'!F$17</f>
        <v>0</v>
      </c>
      <c r="H109" s="148">
        <f>+$D109*'[5]II-F Alloc_Factor'!G$17</f>
        <v>0</v>
      </c>
      <c r="I109" s="148">
        <f>+$D109*'[5]II-F Alloc_Factor'!H$17</f>
        <v>0</v>
      </c>
      <c r="J109" s="148">
        <f>+$D109*'[5]II-F Alloc_Factor'!I$17</f>
        <v>0</v>
      </c>
      <c r="K109" s="148">
        <f>+$D109*'[5]II-F Alloc_Factor'!J$17</f>
        <v>0</v>
      </c>
      <c r="L109" s="148">
        <f>+$D109*'[5]II-F Alloc_Factor'!K$17</f>
        <v>0</v>
      </c>
      <c r="M109" s="148">
        <f>+$D109*'[5]II-F Alloc_Factor'!L$17</f>
        <v>0</v>
      </c>
      <c r="N109" s="148">
        <f>+$D109*'[5]II-F Alloc_Factor'!M$17</f>
        <v>0</v>
      </c>
      <c r="O109" s="148">
        <f t="shared" si="19" ref="O109:O120">+I109+L109+M109+N109</f>
        <v>0</v>
      </c>
      <c r="P109" s="148"/>
      <c r="Q109" s="144"/>
      <c r="R109" s="138" t="b">
        <f t="shared" si="20" ref="R109:R120">+D109=O109</f>
        <v>1</v>
      </c>
    </row>
    <row r="110" spans="1:18" ht="12.75">
      <c r="A110" s="146">
        <v>59</v>
      </c>
      <c r="B110" s="147" t="str">
        <f t="shared" si="21" ref="B110:B120">+B87</f>
        <v>February 2021</v>
      </c>
      <c r="D110" s="150">
        <v>0</v>
      </c>
      <c r="E110" s="210" t="s">
        <v>163</v>
      </c>
      <c r="F110" s="144">
        <f>+$D110*'[5]II-F Alloc_Factor'!E$17</f>
        <v>0</v>
      </c>
      <c r="G110" s="144">
        <f>+$D110*'[5]II-F Alloc_Factor'!F$17</f>
        <v>0</v>
      </c>
      <c r="H110" s="144">
        <f>+$D110*'[5]II-F Alloc_Factor'!G$17</f>
        <v>0</v>
      </c>
      <c r="I110" s="144">
        <f>+$D110*'[5]II-F Alloc_Factor'!H$17</f>
        <v>0</v>
      </c>
      <c r="J110" s="144">
        <f>+$D110*'[5]II-F Alloc_Factor'!I$17</f>
        <v>0</v>
      </c>
      <c r="K110" s="144">
        <f>+$D110*'[5]II-F Alloc_Factor'!J$17</f>
        <v>0</v>
      </c>
      <c r="L110" s="144">
        <f>+$D110*'[5]II-F Alloc_Factor'!K$17</f>
        <v>0</v>
      </c>
      <c r="M110" s="144">
        <f>+$D110*'[5]II-F Alloc_Factor'!L$17</f>
        <v>0</v>
      </c>
      <c r="N110" s="144">
        <f>+$D110*'[5]II-F Alloc_Factor'!M$17</f>
        <v>0</v>
      </c>
      <c r="O110" s="144">
        <f t="shared" si="19"/>
        <v>0</v>
      </c>
      <c r="P110" s="144"/>
      <c r="Q110" s="144"/>
      <c r="R110" s="138" t="b">
        <f t="shared" si="20"/>
        <v>1</v>
      </c>
    </row>
    <row r="111" spans="1:18" ht="12.75">
      <c r="A111" s="146">
        <v>60</v>
      </c>
      <c r="B111" s="147" t="str">
        <f t="shared" si="21"/>
        <v>March 2021</v>
      </c>
      <c r="D111" s="150">
        <v>78452.039999999994</v>
      </c>
      <c r="E111" s="210" t="s">
        <v>163</v>
      </c>
      <c r="F111" s="144">
        <f>+$D111*'[5]II-F Alloc_Factor'!E$17</f>
        <v>17275.261932191388</v>
      </c>
      <c r="G111" s="144">
        <f>+$D111*'[5]II-F Alloc_Factor'!F$17</f>
        <v>0</v>
      </c>
      <c r="H111" s="144">
        <f>+$D111*'[5]II-F Alloc_Factor'!G$17</f>
        <v>0</v>
      </c>
      <c r="I111" s="144">
        <f>+$D111*'[5]II-F Alloc_Factor'!H$17</f>
        <v>17275.261932191388</v>
      </c>
      <c r="J111" s="144">
        <f>+$D111*'[5]II-F Alloc_Factor'!I$17</f>
        <v>47659.575948585916</v>
      </c>
      <c r="K111" s="144">
        <f>+$D111*'[5]II-F Alloc_Factor'!J$17</f>
        <v>0</v>
      </c>
      <c r="L111" s="144">
        <f>+$D111*'[5]II-F Alloc_Factor'!K$17</f>
        <v>47659.575948585916</v>
      </c>
      <c r="M111" s="144">
        <f>+$D111*'[5]II-F Alloc_Factor'!L$17</f>
        <v>12994.294609024439</v>
      </c>
      <c r="N111" s="144">
        <f>+$D111*'[5]II-F Alloc_Factor'!M$17</f>
        <v>522.90751019824643</v>
      </c>
      <c r="O111" s="144">
        <f t="shared" si="19"/>
        <v>78452.039999999994</v>
      </c>
      <c r="P111" s="144"/>
      <c r="Q111" s="144"/>
      <c r="R111" s="138" t="b">
        <f t="shared" si="20"/>
        <v>1</v>
      </c>
    </row>
    <row r="112" spans="1:18" ht="12.75">
      <c r="A112" s="146">
        <v>61</v>
      </c>
      <c r="B112" s="147" t="str">
        <f t="shared" si="21"/>
        <v>April 2021</v>
      </c>
      <c r="D112" s="150">
        <v>73804.559999999998</v>
      </c>
      <c r="E112" s="210" t="s">
        <v>163</v>
      </c>
      <c r="F112" s="144">
        <f>+$D112*'[5]II-F Alloc_Factor'!E$17</f>
        <v>16251.879566039777</v>
      </c>
      <c r="G112" s="144">
        <f>+$D112*'[5]II-F Alloc_Factor'!F$17</f>
        <v>0</v>
      </c>
      <c r="H112" s="144">
        <f>+$D112*'[5]II-F Alloc_Factor'!G$17</f>
        <v>0</v>
      </c>
      <c r="I112" s="144">
        <f>+$D112*'[5]II-F Alloc_Factor'!H$17</f>
        <v>16251.879566039777</v>
      </c>
      <c r="J112" s="144">
        <f>+$D112*'[5]II-F Alloc_Factor'!I$17</f>
        <v>44836.234120514477</v>
      </c>
      <c r="K112" s="144">
        <f>+$D112*'[5]II-F Alloc_Factor'!J$17</f>
        <v>0</v>
      </c>
      <c r="L112" s="144">
        <f>+$D112*'[5]II-F Alloc_Factor'!K$17</f>
        <v>44836.234120514477</v>
      </c>
      <c r="M112" s="144">
        <f>+$D112*'[5]II-F Alloc_Factor'!L$17</f>
        <v>12224.51571851313</v>
      </c>
      <c r="N112" s="144">
        <f>+$D112*'[5]II-F Alloc_Factor'!M$17</f>
        <v>491.93059493261222</v>
      </c>
      <c r="O112" s="144">
        <f t="shared" si="19"/>
        <v>73804.559999999983</v>
      </c>
      <c r="P112" s="144"/>
      <c r="Q112" s="144"/>
      <c r="R112" s="138" t="b">
        <f t="shared" si="20"/>
        <v>1</v>
      </c>
    </row>
    <row r="113" spans="1:18" ht="12.75">
      <c r="A113" s="146">
        <v>62</v>
      </c>
      <c r="B113" s="147" t="str">
        <f t="shared" si="21"/>
        <v>May 2021</v>
      </c>
      <c r="D113" s="150">
        <v>-72468</v>
      </c>
      <c r="E113" s="210" t="s">
        <v>163</v>
      </c>
      <c r="F113" s="144">
        <f>+$D113*'[5]II-F Alloc_Factor'!E$17</f>
        <v>-15957.5669632306</v>
      </c>
      <c r="G113" s="144">
        <f>+$D113*'[5]II-F Alloc_Factor'!F$17</f>
        <v>0</v>
      </c>
      <c r="H113" s="144">
        <f>+$D113*'[5]II-F Alloc_Factor'!G$17</f>
        <v>0</v>
      </c>
      <c r="I113" s="144">
        <f>+$D113*'[5]II-F Alloc_Factor'!H$17</f>
        <v>-15957.5669632306</v>
      </c>
      <c r="J113" s="144">
        <f>+$D113*'[5]II-F Alloc_Factor'!I$17</f>
        <v>-44024.274573894123</v>
      </c>
      <c r="K113" s="144">
        <f>+$D113*'[5]II-F Alloc_Factor'!J$17</f>
        <v>0</v>
      </c>
      <c r="L113" s="144">
        <f>+$D113*'[5]II-F Alloc_Factor'!K$17</f>
        <v>-44024.274573894123</v>
      </c>
      <c r="M113" s="144">
        <f>+$D113*'[5]II-F Alloc_Factor'!L$17</f>
        <v>-12003.136460527772</v>
      </c>
      <c r="N113" s="144">
        <f>+$D113*'[5]II-F Alloc_Factor'!M$17</f>
        <v>-483.02200234750455</v>
      </c>
      <c r="O113" s="144">
        <f t="shared" si="19"/>
        <v>-72468</v>
      </c>
      <c r="P113" s="144"/>
      <c r="Q113" s="144"/>
      <c r="R113" s="138" t="b">
        <f t="shared" si="20"/>
        <v>1</v>
      </c>
    </row>
    <row r="114" spans="1:18" ht="12.75">
      <c r="A114" s="146">
        <v>63</v>
      </c>
      <c r="B114" s="147" t="str">
        <f t="shared" si="21"/>
        <v>June 2021</v>
      </c>
      <c r="D114" s="150">
        <v>71131.440000000002</v>
      </c>
      <c r="E114" s="210" t="s">
        <v>163</v>
      </c>
      <c r="F114" s="144">
        <f>+$D114*'[5]II-F Alloc_Factor'!E$17</f>
        <v>15663.254360421423</v>
      </c>
      <c r="G114" s="144">
        <f>+$D114*'[5]II-F Alloc_Factor'!F$17</f>
        <v>0</v>
      </c>
      <c r="H114" s="144">
        <f>+$D114*'[5]II-F Alloc_Factor'!G$17</f>
        <v>0</v>
      </c>
      <c r="I114" s="144">
        <f>+$D114*'[5]II-F Alloc_Factor'!H$17</f>
        <v>15663.254360421423</v>
      </c>
      <c r="J114" s="144">
        <f>+$D114*'[5]II-F Alloc_Factor'!I$17</f>
        <v>43212.315027273769</v>
      </c>
      <c r="K114" s="144">
        <f>+$D114*'[5]II-F Alloc_Factor'!J$17</f>
        <v>0</v>
      </c>
      <c r="L114" s="144">
        <f>+$D114*'[5]II-F Alloc_Factor'!K$17</f>
        <v>43212.315027273769</v>
      </c>
      <c r="M114" s="144">
        <f>+$D114*'[5]II-F Alloc_Factor'!L$17</f>
        <v>11781.757202542412</v>
      </c>
      <c r="N114" s="144">
        <f>+$D114*'[5]II-F Alloc_Factor'!M$17</f>
        <v>474.11340976239694</v>
      </c>
      <c r="O114" s="144">
        <f t="shared" si="19"/>
        <v>71131.440000000002</v>
      </c>
      <c r="P114" s="144"/>
      <c r="Q114" s="144"/>
      <c r="R114" s="138" t="b">
        <f t="shared" si="20"/>
        <v>1</v>
      </c>
    </row>
    <row r="115" spans="1:18" ht="12.75">
      <c r="A115" s="146">
        <v>64</v>
      </c>
      <c r="B115" s="147" t="str">
        <f t="shared" si="21"/>
        <v>July 2021</v>
      </c>
      <c r="D115" s="150">
        <v>0</v>
      </c>
      <c r="E115" s="210" t="s">
        <v>163</v>
      </c>
      <c r="F115" s="144">
        <f>+$D115*'[5]II-F Alloc_Factor'!E$17</f>
        <v>0</v>
      </c>
      <c r="G115" s="144">
        <f>+$D115*'[5]II-F Alloc_Factor'!F$17</f>
        <v>0</v>
      </c>
      <c r="H115" s="144">
        <f>+$D115*'[5]II-F Alloc_Factor'!G$17</f>
        <v>0</v>
      </c>
      <c r="I115" s="144">
        <f>+$D115*'[5]II-F Alloc_Factor'!H$17</f>
        <v>0</v>
      </c>
      <c r="J115" s="144">
        <f>+$D115*'[5]II-F Alloc_Factor'!I$17</f>
        <v>0</v>
      </c>
      <c r="K115" s="144">
        <f>+$D115*'[5]II-F Alloc_Factor'!J$17</f>
        <v>0</v>
      </c>
      <c r="L115" s="144">
        <f>+$D115*'[5]II-F Alloc_Factor'!K$17</f>
        <v>0</v>
      </c>
      <c r="M115" s="144">
        <f>+$D115*'[5]II-F Alloc_Factor'!L$17</f>
        <v>0</v>
      </c>
      <c r="N115" s="144">
        <f>+$D115*'[5]II-F Alloc_Factor'!M$17</f>
        <v>0</v>
      </c>
      <c r="O115" s="144">
        <f t="shared" si="19"/>
        <v>0</v>
      </c>
      <c r="P115" s="144"/>
      <c r="Q115" s="144"/>
      <c r="R115" s="138" t="b">
        <f t="shared" si="20"/>
        <v>1</v>
      </c>
    </row>
    <row r="116" spans="1:18" ht="12.75">
      <c r="A116" s="146">
        <v>65</v>
      </c>
      <c r="B116" s="147" t="str">
        <f t="shared" si="21"/>
        <v>August 2021</v>
      </c>
      <c r="D116" s="150">
        <v>4239.8699999999953</v>
      </c>
      <c r="E116" s="210" t="s">
        <v>163</v>
      </c>
      <c r="F116" s="144">
        <f>+$D116*'[5]II-F Alloc_Factor'!E$17</f>
        <v>933.62600651863511</v>
      </c>
      <c r="G116" s="144">
        <f>+$D116*'[5]II-F Alloc_Factor'!F$17</f>
        <v>0</v>
      </c>
      <c r="H116" s="144">
        <f>+$D116*'[5]II-F Alloc_Factor'!G$17</f>
        <v>0</v>
      </c>
      <c r="I116" s="144">
        <f>+$D116*'[5]II-F Alloc_Factor'!H$17</f>
        <v>933.62600651863511</v>
      </c>
      <c r="J116" s="144">
        <f>+$D116*'[5]II-F Alloc_Factor'!I$17</f>
        <v>2575.7189523322882</v>
      </c>
      <c r="K116" s="144">
        <f>+$D116*'[5]II-F Alloc_Factor'!J$17</f>
        <v>0</v>
      </c>
      <c r="L116" s="144">
        <f>+$D116*'[5]II-F Alloc_Factor'!K$17</f>
        <v>2575.7189523322882</v>
      </c>
      <c r="M116" s="144">
        <f>+$D116*'[5]II-F Alloc_Factor'!L$17</f>
        <v>702.26497467706884</v>
      </c>
      <c r="N116" s="144">
        <f>+$D116*'[5]II-F Alloc_Factor'!M$17</f>
        <v>28.260066472002979</v>
      </c>
      <c r="O116" s="144">
        <f t="shared" si="19"/>
        <v>4239.8699999999953</v>
      </c>
      <c r="P116" s="144"/>
      <c r="Q116" s="144"/>
      <c r="R116" s="138" t="b">
        <f t="shared" si="20"/>
        <v>1</v>
      </c>
    </row>
    <row r="117" spans="1:18" ht="12.75">
      <c r="A117" s="146">
        <v>66</v>
      </c>
      <c r="B117" s="147" t="str">
        <f t="shared" si="21"/>
        <v>September 2021</v>
      </c>
      <c r="D117" s="150">
        <v>87958.619999999995</v>
      </c>
      <c r="E117" s="210" t="s">
        <v>163</v>
      </c>
      <c r="F117" s="144">
        <f>+$D117*'[5]II-F Alloc_Factor'!E$17</f>
        <v>19368.625719536267</v>
      </c>
      <c r="G117" s="144">
        <f>+$D117*'[5]II-F Alloc_Factor'!F$17</f>
        <v>0</v>
      </c>
      <c r="H117" s="144">
        <f>+$D117*'[5]II-F Alloc_Factor'!G$17</f>
        <v>0</v>
      </c>
      <c r="I117" s="144">
        <f>+$D117*'[5]II-F Alloc_Factor'!H$17</f>
        <v>19368.625719536267</v>
      </c>
      <c r="J117" s="144">
        <f>+$D117*'[5]II-F Alloc_Factor'!I$17</f>
        <v>53434.818651278008</v>
      </c>
      <c r="K117" s="144">
        <f>+$D117*'[5]II-F Alloc_Factor'!J$17</f>
        <v>0</v>
      </c>
      <c r="L117" s="144">
        <f>+$D117*'[5]II-F Alloc_Factor'!K$17</f>
        <v>53434.818651278008</v>
      </c>
      <c r="M117" s="144">
        <f>+$D117*'[5]II-F Alloc_Factor'!L$17</f>
        <v>14568.903774627521</v>
      </c>
      <c r="N117" s="144">
        <f>+$D117*'[5]II-F Alloc_Factor'!M$17</f>
        <v>586.27185455819483</v>
      </c>
      <c r="O117" s="144">
        <f t="shared" si="19"/>
        <v>87958.619999999981</v>
      </c>
      <c r="P117" s="144"/>
      <c r="Q117" s="144"/>
      <c r="R117" s="138" t="b">
        <f t="shared" si="20"/>
        <v>1</v>
      </c>
    </row>
    <row r="118" spans="1:18" ht="12.75">
      <c r="A118" s="146">
        <v>67</v>
      </c>
      <c r="B118" s="147" t="str">
        <f t="shared" si="21"/>
        <v>October 2021</v>
      </c>
      <c r="D118" s="150">
        <v>83199.87000000001</v>
      </c>
      <c r="E118" s="210" t="s">
        <v>163</v>
      </c>
      <c r="F118" s="144">
        <f>+$D118*'[5]II-F Alloc_Factor'!E$17</f>
        <v>18320.741525322635</v>
      </c>
      <c r="G118" s="144">
        <f>+$D118*'[5]II-F Alloc_Factor'!F$17</f>
        <v>0</v>
      </c>
      <c r="H118" s="144">
        <f>+$D118*'[5]II-F Alloc_Factor'!G$17</f>
        <v>0</v>
      </c>
      <c r="I118" s="144">
        <f>+$D118*'[5]II-F Alloc_Factor'!H$17</f>
        <v>18320.741525322635</v>
      </c>
      <c r="J118" s="144">
        <f>+$D118*'[5]II-F Alloc_Factor'!I$17</f>
        <v>50543.880352601103</v>
      </c>
      <c r="K118" s="144">
        <f>+$D118*'[5]II-F Alloc_Factor'!J$17</f>
        <v>0</v>
      </c>
      <c r="L118" s="144">
        <f>+$D118*'[5]II-F Alloc_Factor'!K$17</f>
        <v>50543.880352601103</v>
      </c>
      <c r="M118" s="144">
        <f>+$D118*'[5]II-F Alloc_Factor'!L$17</f>
        <v>13780.69483231455</v>
      </c>
      <c r="N118" s="144">
        <f>+$D118*'[5]II-F Alloc_Factor'!M$17</f>
        <v>554.55328976171666</v>
      </c>
      <c r="O118" s="144">
        <f t="shared" si="19"/>
        <v>83199.87000000001</v>
      </c>
      <c r="P118" s="144"/>
      <c r="Q118" s="144"/>
      <c r="R118" s="138" t="b">
        <f t="shared" si="20"/>
        <v>1</v>
      </c>
    </row>
    <row r="119" spans="1:18" ht="12.75">
      <c r="A119" s="146">
        <v>68</v>
      </c>
      <c r="B119" s="147" t="str">
        <f t="shared" si="21"/>
        <v>November 2021</v>
      </c>
      <c r="D119" s="150">
        <v>-65666.130000000005</v>
      </c>
      <c r="E119" s="210" t="s">
        <v>163</v>
      </c>
      <c r="F119" s="144">
        <f>+$D119*'[5]II-F Alloc_Factor'!E$17</f>
        <v>-14459.784548920985</v>
      </c>
      <c r="G119" s="144">
        <f>+$D119*'[5]II-F Alloc_Factor'!F$17</f>
        <v>0</v>
      </c>
      <c r="H119" s="144">
        <f>+$D119*'[5]II-F Alloc_Factor'!G$17</f>
        <v>0</v>
      </c>
      <c r="I119" s="144">
        <f>+$D119*'[5]II-F Alloc_Factor'!H$17</f>
        <v>-14459.784548920985</v>
      </c>
      <c r="J119" s="144">
        <f>+$D119*'[5]II-F Alloc_Factor'!I$17</f>
        <v>-39892.141873999921</v>
      </c>
      <c r="K119" s="144">
        <f>+$D119*'[5]II-F Alloc_Factor'!J$17</f>
        <v>0</v>
      </c>
      <c r="L119" s="144">
        <f>+$D119*'[5]II-F Alloc_Factor'!K$17</f>
        <v>-39892.141873999921</v>
      </c>
      <c r="M119" s="144">
        <f>+$D119*'[5]II-F Alloc_Factor'!L$17</f>
        <v>-10876.518176640126</v>
      </c>
      <c r="N119" s="144">
        <f>+$D119*'[5]II-F Alloc_Factor'!M$17</f>
        <v>-437.68540043897366</v>
      </c>
      <c r="O119" s="144">
        <f t="shared" si="19"/>
        <v>-65666.130000000005</v>
      </c>
      <c r="P119" s="144"/>
      <c r="Q119" s="144"/>
      <c r="R119" s="138" t="b">
        <f t="shared" si="20"/>
        <v>1</v>
      </c>
    </row>
    <row r="120" spans="1:18" ht="12.75">
      <c r="A120" s="146">
        <v>69</v>
      </c>
      <c r="B120" s="147" t="str">
        <f t="shared" si="21"/>
        <v>December 2021</v>
      </c>
      <c r="D120" s="150">
        <v>72799.880000000005</v>
      </c>
      <c r="E120" s="210" t="s">
        <v>163</v>
      </c>
      <c r="F120" s="144">
        <f>+$D120*'[5]II-F Alloc_Factor'!E$17</f>
        <v>16030.647458397531</v>
      </c>
      <c r="G120" s="144">
        <f>+$D120*'[5]II-F Alloc_Factor'!F$17</f>
        <v>0</v>
      </c>
      <c r="H120" s="144">
        <f>+$D120*'[5]II-F Alloc_Factor'!G$17</f>
        <v>0</v>
      </c>
      <c r="I120" s="144">
        <f>+$D120*'[5]II-F Alloc_Factor'!H$17</f>
        <v>16030.647458397531</v>
      </c>
      <c r="J120" s="144">
        <f>+$D120*'[5]II-F Alloc_Factor'!I$17</f>
        <v>44225.891511654016</v>
      </c>
      <c r="K120" s="144">
        <f>+$D120*'[5]II-F Alloc_Factor'!J$17</f>
        <v>0</v>
      </c>
      <c r="L120" s="144">
        <f>+$D120*'[5]II-F Alloc_Factor'!K$17</f>
        <v>44225.891511654016</v>
      </c>
      <c r="M120" s="144">
        <f>+$D120*'[5]II-F Alloc_Factor'!L$17</f>
        <v>12058.106943065168</v>
      </c>
      <c r="N120" s="144">
        <f>+$D120*'[5]II-F Alloc_Factor'!M$17</f>
        <v>485.23408688328715</v>
      </c>
      <c r="O120" s="144">
        <f t="shared" si="19"/>
        <v>72799.87999999999</v>
      </c>
      <c r="P120" s="144"/>
      <c r="Q120" s="144"/>
      <c r="R120" s="138" t="b">
        <f t="shared" si="20"/>
        <v>1</v>
      </c>
    </row>
    <row r="121" spans="1:17" ht="12.75">
      <c r="A121" s="146">
        <v>70</v>
      </c>
      <c r="D121" s="167"/>
      <c r="E121" s="167"/>
      <c r="F121" s="167"/>
      <c r="G121" s="167"/>
      <c r="H121" s="167"/>
      <c r="I121" s="167"/>
      <c r="J121" s="167"/>
      <c r="K121" s="167"/>
      <c r="L121" s="167"/>
      <c r="M121" s="167"/>
      <c r="N121" s="167"/>
      <c r="O121" s="167"/>
      <c r="P121" s="144"/>
      <c r="Q121" s="144"/>
    </row>
    <row r="122" spans="1:17" ht="13.5" thickBot="1">
      <c r="A122" s="146">
        <v>71</v>
      </c>
      <c r="B122" s="211" t="s">
        <v>216</v>
      </c>
      <c r="D122" s="169">
        <f t="shared" si="22" ref="D122:O122">SUM(D109:D121)</f>
        <v>333452.14999999997</v>
      </c>
      <c r="E122" s="169">
        <f t="shared" si="22"/>
        <v>0</v>
      </c>
      <c r="F122" s="169">
        <f t="shared" si="22"/>
        <v>73426.685056276081</v>
      </c>
      <c r="G122" s="169">
        <f t="shared" si="23" ref="G122:N122">SUM(G109:G121)</f>
        <v>0</v>
      </c>
      <c r="H122" s="169">
        <f t="shared" si="23"/>
        <v>0</v>
      </c>
      <c r="I122" s="169">
        <f t="shared" si="23"/>
        <v>73426.685056276081</v>
      </c>
      <c r="J122" s="169">
        <f t="shared" si="23"/>
        <v>202572.01811634557</v>
      </c>
      <c r="K122" s="169">
        <f t="shared" si="23"/>
        <v>0</v>
      </c>
      <c r="L122" s="169">
        <f t="shared" si="23"/>
        <v>202572.01811634557</v>
      </c>
      <c r="M122" s="169">
        <f t="shared" si="23"/>
        <v>55230.883417596386</v>
      </c>
      <c r="N122" s="169">
        <f t="shared" si="23"/>
        <v>2222.5634097819793</v>
      </c>
      <c r="O122" s="169">
        <f t="shared" si="22"/>
        <v>333452.14999999997</v>
      </c>
      <c r="P122" s="144"/>
      <c r="Q122" s="144"/>
    </row>
    <row r="123" ht="13.5" thickTop="1"/>
    <row r="126" spans="4:18" ht="13.5" thickBot="1">
      <c r="D126" s="363" t="s">
        <v>748</v>
      </c>
      <c r="E126" s="362"/>
      <c r="F126" s="362"/>
      <c r="G126" s="362"/>
      <c r="H126" s="362"/>
      <c r="I126" s="362"/>
      <c r="J126" s="362"/>
      <c r="K126" s="362"/>
      <c r="L126" s="362"/>
      <c r="M126" s="362"/>
      <c r="N126" s="362"/>
      <c r="O126" s="362"/>
      <c r="P126" s="143"/>
      <c r="Q126" s="149"/>
      <c r="R126" s="149"/>
    </row>
    <row r="127" spans="14:18" ht="12.75">
      <c r="N127" s="61"/>
      <c r="O127" s="61"/>
      <c r="P127" s="149"/>
      <c r="Q127" s="149"/>
      <c r="R127" s="149"/>
    </row>
    <row r="128" spans="1:15" ht="12.75">
      <c r="A128" s="18" t="s">
        <v>87</v>
      </c>
      <c r="B128" s="18"/>
      <c r="D128" s="209" t="s">
        <v>216</v>
      </c>
      <c r="E128" s="209" t="s">
        <v>53</v>
      </c>
      <c r="F128" s="18"/>
      <c r="G128" s="18" t="s">
        <v>716</v>
      </c>
      <c r="H128" s="18" t="s">
        <v>722</v>
      </c>
      <c r="I128" s="18" t="s">
        <v>717</v>
      </c>
      <c r="J128" s="18"/>
      <c r="K128" s="18" t="s">
        <v>716</v>
      </c>
      <c r="L128" s="18" t="s">
        <v>717</v>
      </c>
      <c r="M128" s="18"/>
      <c r="N128" s="18"/>
      <c r="O128" s="18"/>
    </row>
    <row r="129" spans="1:15" ht="12.75">
      <c r="A129" s="208" t="s">
        <v>89</v>
      </c>
      <c r="B129" s="208" t="s">
        <v>64</v>
      </c>
      <c r="D129" s="202" t="s">
        <v>219</v>
      </c>
      <c r="E129" s="202" t="s">
        <v>218</v>
      </c>
      <c r="F129" s="202" t="s">
        <v>294</v>
      </c>
      <c r="G129" s="202" t="s">
        <v>294</v>
      </c>
      <c r="H129" s="202" t="s">
        <v>723</v>
      </c>
      <c r="I129" s="202" t="s">
        <v>294</v>
      </c>
      <c r="J129" s="202" t="s">
        <v>295</v>
      </c>
      <c r="K129" s="202" t="s">
        <v>295</v>
      </c>
      <c r="L129" s="202" t="s">
        <v>295</v>
      </c>
      <c r="M129" s="202" t="s">
        <v>283</v>
      </c>
      <c r="N129" s="202" t="s">
        <v>126</v>
      </c>
      <c r="O129" s="202" t="s">
        <v>216</v>
      </c>
    </row>
    <row r="130" spans="1:15" ht="12.75">
      <c r="A130" s="18"/>
      <c r="B130" s="16" t="s">
        <v>44</v>
      </c>
      <c r="D130" s="16" t="s">
        <v>45</v>
      </c>
      <c r="E130" s="203" t="s">
        <v>74</v>
      </c>
      <c r="F130" s="16" t="s">
        <v>75</v>
      </c>
      <c r="G130" s="203" t="s">
        <v>76</v>
      </c>
      <c r="H130" s="203" t="s">
        <v>77</v>
      </c>
      <c r="I130" s="203" t="s">
        <v>78</v>
      </c>
      <c r="J130" s="203" t="s">
        <v>79</v>
      </c>
      <c r="K130" s="203" t="s">
        <v>80</v>
      </c>
      <c r="L130" s="203" t="s">
        <v>81</v>
      </c>
      <c r="M130" s="203" t="s">
        <v>82</v>
      </c>
      <c r="N130" s="203" t="s">
        <v>83</v>
      </c>
      <c r="O130" s="203" t="s">
        <v>84</v>
      </c>
    </row>
    <row r="132" spans="1:18" ht="12.75">
      <c r="A132" s="146">
        <v>72</v>
      </c>
      <c r="B132" s="147" t="str">
        <f>+B109</f>
        <v>January 2021</v>
      </c>
      <c r="C132" s="154">
        <v>1</v>
      </c>
      <c r="D132" s="148">
        <v>0</v>
      </c>
      <c r="E132" s="210" t="s">
        <v>163</v>
      </c>
      <c r="F132" s="148">
        <f>+$D132*'[5]II-F Alloc_Factor'!E$17</f>
        <v>0</v>
      </c>
      <c r="G132" s="148">
        <f>+$D132*'[5]II-F Alloc_Factor'!F$17</f>
        <v>0</v>
      </c>
      <c r="H132" s="148">
        <f>+$D132*'[5]II-F Alloc_Factor'!G$17</f>
        <v>0</v>
      </c>
      <c r="I132" s="148">
        <f>+$D132*'[5]II-F Alloc_Factor'!H$17</f>
        <v>0</v>
      </c>
      <c r="J132" s="148">
        <f>+$D132*'[5]II-F Alloc_Factor'!I$17</f>
        <v>0</v>
      </c>
      <c r="K132" s="148">
        <f>+$D132*'[5]II-F Alloc_Factor'!J$17</f>
        <v>0</v>
      </c>
      <c r="L132" s="148">
        <f>+$D132*'[5]II-F Alloc_Factor'!K$17</f>
        <v>0</v>
      </c>
      <c r="M132" s="148">
        <f>+$D132*'[5]II-F Alloc_Factor'!L$17</f>
        <v>0</v>
      </c>
      <c r="N132" s="148">
        <f>+$D132*'[5]II-F Alloc_Factor'!M$17</f>
        <v>0</v>
      </c>
      <c r="O132" s="148">
        <f t="shared" si="24" ref="O132:O143">+I132+L132+M132+N132</f>
        <v>0</v>
      </c>
      <c r="P132" s="148"/>
      <c r="Q132" s="144"/>
      <c r="R132" s="138" t="b">
        <f t="shared" si="25" ref="R132:R143">+D132=O132</f>
        <v>1</v>
      </c>
    </row>
    <row r="133" spans="1:18" ht="12.75">
      <c r="A133" s="146">
        <v>73</v>
      </c>
      <c r="B133" s="147" t="str">
        <f t="shared" si="26" ref="B133:B143">+B110</f>
        <v>February 2021</v>
      </c>
      <c r="C133" s="154">
        <v>2</v>
      </c>
      <c r="D133" s="150">
        <v>16973.630000000001</v>
      </c>
      <c r="E133" s="210" t="s">
        <v>163</v>
      </c>
      <c r="F133" s="144">
        <f>+$D133*'[5]II-F Alloc_Factor'!E$17</f>
        <v>3737.6198782096903</v>
      </c>
      <c r="G133" s="144">
        <f>+$D133*'[5]II-F Alloc_Factor'!F$17</f>
        <v>0</v>
      </c>
      <c r="H133" s="144">
        <f>+$D133*'[5]II-F Alloc_Factor'!G$17</f>
        <v>0</v>
      </c>
      <c r="I133" s="144">
        <f>+$D133*'[5]II-F Alloc_Factor'!H$17</f>
        <v>3737.6198782096903</v>
      </c>
      <c r="J133" s="144">
        <f>+$D133*'[5]II-F Alloc_Factor'!I$17</f>
        <v>10311.471927411913</v>
      </c>
      <c r="K133" s="144">
        <f>+$D133*'[5]II-F Alloc_Factor'!J$17</f>
        <v>0</v>
      </c>
      <c r="L133" s="144">
        <f>+$D133*'[5]II-F Alloc_Factor'!K$17</f>
        <v>10311.471927411913</v>
      </c>
      <c r="M133" s="144">
        <f>+$D133*'[5]II-F Alloc_Factor'!L$17</f>
        <v>2811.4036142919358</v>
      </c>
      <c r="N133" s="144">
        <f>+$D133*'[5]II-F Alloc_Factor'!M$17</f>
        <v>113.13458008646126</v>
      </c>
      <c r="O133" s="144">
        <f t="shared" si="24"/>
        <v>16973.630000000001</v>
      </c>
      <c r="P133" s="144"/>
      <c r="Q133" s="144"/>
      <c r="R133" s="138" t="b">
        <f t="shared" si="25"/>
        <v>1</v>
      </c>
    </row>
    <row r="134" spans="1:18" ht="12.75">
      <c r="A134" s="146">
        <v>74</v>
      </c>
      <c r="B134" s="147" t="str">
        <f t="shared" si="26"/>
        <v>March 2021</v>
      </c>
      <c r="C134" s="154">
        <v>3</v>
      </c>
      <c r="D134" s="150">
        <v>6358.25</v>
      </c>
      <c r="E134" s="210" t="s">
        <v>163</v>
      </c>
      <c r="F134" s="144">
        <f>+$D134*'[5]II-F Alloc_Factor'!E$17</f>
        <v>1400.0965963454348</v>
      </c>
      <c r="G134" s="144">
        <f>+$D134*'[5]II-F Alloc_Factor'!F$17</f>
        <v>0</v>
      </c>
      <c r="H134" s="144">
        <f>+$D134*'[5]II-F Alloc_Factor'!G$17</f>
        <v>0</v>
      </c>
      <c r="I134" s="144">
        <f>+$D134*'[5]II-F Alloc_Factor'!H$17</f>
        <v>1400.0965963454348</v>
      </c>
      <c r="J134" s="144">
        <f>+$D134*'[5]II-F Alloc_Factor'!I$17</f>
        <v>3862.6337667586008</v>
      </c>
      <c r="K134" s="144">
        <f>+$D134*'[5]II-F Alloc_Factor'!J$17</f>
        <v>0</v>
      </c>
      <c r="L134" s="144">
        <f>+$D134*'[5]II-F Alloc_Factor'!K$17</f>
        <v>3862.6337667586008</v>
      </c>
      <c r="M134" s="144">
        <f>+$D134*'[5]II-F Alloc_Factor'!L$17</f>
        <v>1053.1399017518174</v>
      </c>
      <c r="N134" s="144">
        <f>+$D134*'[5]II-F Alloc_Factor'!M$17</f>
        <v>42.379735144146672</v>
      </c>
      <c r="O134" s="144">
        <f t="shared" si="24"/>
        <v>6358.25</v>
      </c>
      <c r="P134" s="144"/>
      <c r="Q134" s="144"/>
      <c r="R134" s="138" t="b">
        <f t="shared" si="25"/>
        <v>1</v>
      </c>
    </row>
    <row r="135" spans="1:18" ht="12.75">
      <c r="A135" s="146">
        <v>75</v>
      </c>
      <c r="B135" s="147" t="str">
        <f t="shared" si="26"/>
        <v>April 2021</v>
      </c>
      <c r="C135" s="154">
        <v>4</v>
      </c>
      <c r="D135" s="150">
        <v>12732.450000000001</v>
      </c>
      <c r="E135" s="210" t="s">
        <v>163</v>
      </c>
      <c r="F135" s="144">
        <f>+$D135*'[5]II-F Alloc_Factor'!E$17</f>
        <v>2803.705407641793</v>
      </c>
      <c r="G135" s="144">
        <f>+$D135*'[5]II-F Alloc_Factor'!F$17</f>
        <v>0</v>
      </c>
      <c r="H135" s="144">
        <f>+$D135*'[5]II-F Alloc_Factor'!G$17</f>
        <v>0</v>
      </c>
      <c r="I135" s="144">
        <f>+$D135*'[5]II-F Alloc_Factor'!H$17</f>
        <v>2803.705407641793</v>
      </c>
      <c r="J135" s="144">
        <f>+$D135*'[5]II-F Alloc_Factor'!I$17</f>
        <v>7734.957150720018</v>
      </c>
      <c r="K135" s="144">
        <f>+$D135*'[5]II-F Alloc_Factor'!J$17</f>
        <v>0</v>
      </c>
      <c r="L135" s="144">
        <f>+$D135*'[5]II-F Alloc_Factor'!K$17</f>
        <v>7734.957150720018</v>
      </c>
      <c r="M135" s="144">
        <f>+$D135*'[5]II-F Alloc_Factor'!L$17</f>
        <v>2108.9216595855664</v>
      </c>
      <c r="N135" s="144">
        <f>+$D135*'[5]II-F Alloc_Factor'!M$17</f>
        <v>84.865782052623018</v>
      </c>
      <c r="O135" s="144">
        <f t="shared" si="24"/>
        <v>12732.450000000001</v>
      </c>
      <c r="P135" s="144"/>
      <c r="Q135" s="144"/>
      <c r="R135" s="138" t="b">
        <f t="shared" si="25"/>
        <v>1</v>
      </c>
    </row>
    <row r="136" spans="1:18" ht="12.75">
      <c r="A136" s="146">
        <v>76</v>
      </c>
      <c r="B136" s="147" t="str">
        <f t="shared" si="26"/>
        <v>May 2021</v>
      </c>
      <c r="C136" s="154">
        <v>5</v>
      </c>
      <c r="D136" s="150">
        <v>6339.3999999999996</v>
      </c>
      <c r="E136" s="210" t="s">
        <v>163</v>
      </c>
      <c r="F136" s="144">
        <f>+$D136*'[5]II-F Alloc_Factor'!E$17</f>
        <v>1395.9457968579795</v>
      </c>
      <c r="G136" s="144">
        <f>+$D136*'[5]II-F Alloc_Factor'!F$17</f>
        <v>0</v>
      </c>
      <c r="H136" s="144">
        <f>+$D136*'[5]II-F Alloc_Factor'!G$17</f>
        <v>0</v>
      </c>
      <c r="I136" s="144">
        <f>+$D136*'[5]II-F Alloc_Factor'!H$17</f>
        <v>1395.9457968579795</v>
      </c>
      <c r="J136" s="144">
        <f>+$D136*'[5]II-F Alloc_Factor'!I$17</f>
        <v>3851.1824009734555</v>
      </c>
      <c r="K136" s="144">
        <f>+$D136*'[5]II-F Alloc_Factor'!J$17</f>
        <v>0</v>
      </c>
      <c r="L136" s="144">
        <f>+$D136*'[5]II-F Alloc_Factor'!K$17</f>
        <v>3851.1824009734555</v>
      </c>
      <c r="M136" s="144">
        <f>+$D136*'[5]II-F Alloc_Factor'!L$17</f>
        <v>1050.0177082004436</v>
      </c>
      <c r="N136" s="144">
        <f>+$D136*'[5]II-F Alloc_Factor'!M$17</f>
        <v>42.254093968120692</v>
      </c>
      <c r="O136" s="144">
        <f t="shared" si="24"/>
        <v>6339.3999999999987</v>
      </c>
      <c r="P136" s="144"/>
      <c r="Q136" s="144"/>
      <c r="R136" s="138" t="b">
        <f t="shared" si="25"/>
        <v>1</v>
      </c>
    </row>
    <row r="137" spans="1:18" ht="12.75">
      <c r="A137" s="146">
        <v>77</v>
      </c>
      <c r="B137" s="147" t="str">
        <f t="shared" si="26"/>
        <v>June 2021</v>
      </c>
      <c r="C137" s="154">
        <v>6</v>
      </c>
      <c r="D137" s="150">
        <v>9829.4500000000007</v>
      </c>
      <c r="E137" s="210" t="s">
        <v>163</v>
      </c>
      <c r="F137" s="144">
        <f>+$D137*'[5]II-F Alloc_Factor'!E$17</f>
        <v>2164.4602664172744</v>
      </c>
      <c r="G137" s="144">
        <f>+$D137*'[5]II-F Alloc_Factor'!F$17</f>
        <v>0</v>
      </c>
      <c r="H137" s="144">
        <f>+$D137*'[5]II-F Alloc_Factor'!G$17</f>
        <v>0</v>
      </c>
      <c r="I137" s="144">
        <f>+$D137*'[5]II-F Alloc_Factor'!H$17</f>
        <v>2164.4602664172744</v>
      </c>
      <c r="J137" s="144">
        <f>+$D137*'[5]II-F Alloc_Factor'!I$17</f>
        <v>5971.3860698565377</v>
      </c>
      <c r="K137" s="144">
        <f>+$D137*'[5]II-F Alloc_Factor'!J$17</f>
        <v>0</v>
      </c>
      <c r="L137" s="144">
        <f>+$D137*'[5]II-F Alloc_Factor'!K$17</f>
        <v>5971.3860698565377</v>
      </c>
      <c r="M137" s="144">
        <f>+$D137*'[5]II-F Alloc_Factor'!L$17</f>
        <v>1628.0872893130031</v>
      </c>
      <c r="N137" s="144">
        <f>+$D137*'[5]II-F Alloc_Factor'!M$17</f>
        <v>65.516374413184849</v>
      </c>
      <c r="O137" s="144">
        <f t="shared" si="24"/>
        <v>9829.4499999999989</v>
      </c>
      <c r="P137" s="144"/>
      <c r="Q137" s="144"/>
      <c r="R137" s="138" t="b">
        <f t="shared" si="25"/>
        <v>1</v>
      </c>
    </row>
    <row r="138" spans="1:18" ht="12.75">
      <c r="A138" s="146">
        <v>78</v>
      </c>
      <c r="B138" s="147" t="str">
        <f t="shared" si="26"/>
        <v>July 2021</v>
      </c>
      <c r="C138" s="154">
        <v>7</v>
      </c>
      <c r="D138" s="150">
        <v>8614.6499999999996</v>
      </c>
      <c r="E138" s="210" t="s">
        <v>163</v>
      </c>
      <c r="F138" s="144">
        <f>+$D138*'[5]II-F Alloc_Factor'!E$17</f>
        <v>1896.9594060798488</v>
      </c>
      <c r="G138" s="144">
        <f>+$D138*'[5]II-F Alloc_Factor'!F$17</f>
        <v>0</v>
      </c>
      <c r="H138" s="144">
        <f>+$D138*'[5]II-F Alloc_Factor'!G$17</f>
        <v>0</v>
      </c>
      <c r="I138" s="144">
        <f>+$D138*'[5]II-F Alloc_Factor'!H$17</f>
        <v>1896.9594060798488</v>
      </c>
      <c r="J138" s="144">
        <f>+$D138*'[5]II-F Alloc_Factor'!I$17</f>
        <v>5233.3956637135971</v>
      </c>
      <c r="K138" s="144">
        <f>+$D138*'[5]II-F Alloc_Factor'!J$17</f>
        <v>0</v>
      </c>
      <c r="L138" s="144">
        <f>+$D138*'[5]II-F Alloc_Factor'!K$17</f>
        <v>5233.3956637135971</v>
      </c>
      <c r="M138" s="144">
        <f>+$D138*'[5]II-F Alloc_Factor'!L$17</f>
        <v>1426.8755796998064</v>
      </c>
      <c r="N138" s="144">
        <f>+$D138*'[5]II-F Alloc_Factor'!M$17</f>
        <v>57.419350506746845</v>
      </c>
      <c r="O138" s="144">
        <f t="shared" si="24"/>
        <v>8614.6499999999996</v>
      </c>
      <c r="P138" s="144"/>
      <c r="Q138" s="144"/>
      <c r="R138" s="138" t="b">
        <f t="shared" si="25"/>
        <v>1</v>
      </c>
    </row>
    <row r="139" spans="1:18" ht="12.75">
      <c r="A139" s="146">
        <v>79</v>
      </c>
      <c r="B139" s="147" t="str">
        <f t="shared" si="26"/>
        <v>August 2021</v>
      </c>
      <c r="C139" s="154">
        <v>8</v>
      </c>
      <c r="D139" s="150">
        <v>8917.5499999999993</v>
      </c>
      <c r="E139" s="210" t="s">
        <v>163</v>
      </c>
      <c r="F139" s="144">
        <f>+$D139*'[5]II-F Alloc_Factor'!E$17</f>
        <v>1963.6584599127482</v>
      </c>
      <c r="G139" s="144">
        <f>+$D139*'[5]II-F Alloc_Factor'!F$17</f>
        <v>0</v>
      </c>
      <c r="H139" s="144">
        <f>+$D139*'[5]II-F Alloc_Factor'!G$17</f>
        <v>0</v>
      </c>
      <c r="I139" s="144">
        <f>+$D139*'[5]II-F Alloc_Factor'!H$17</f>
        <v>1963.6584599127482</v>
      </c>
      <c r="J139" s="144">
        <f>+$D139*'[5]II-F Alloc_Factor'!I$17</f>
        <v>5417.4072656404132</v>
      </c>
      <c r="K139" s="144">
        <f>+$D139*'[5]II-F Alloc_Factor'!J$17</f>
        <v>0</v>
      </c>
      <c r="L139" s="144">
        <f>+$D139*'[5]II-F Alloc_Factor'!K$17</f>
        <v>5417.4072656404132</v>
      </c>
      <c r="M139" s="144">
        <f>+$D139*'[5]II-F Alloc_Factor'!L$17</f>
        <v>1477.0460002149835</v>
      </c>
      <c r="N139" s="144">
        <f>+$D139*'[5]II-F Alloc_Factor'!M$17</f>
        <v>59.43827423185391</v>
      </c>
      <c r="O139" s="144">
        <f t="shared" si="24"/>
        <v>8917.5499999999993</v>
      </c>
      <c r="P139" s="144"/>
      <c r="Q139" s="144"/>
      <c r="R139" s="138" t="b">
        <f t="shared" si="25"/>
        <v>1</v>
      </c>
    </row>
    <row r="140" spans="1:18" ht="12.75">
      <c r="A140" s="146">
        <v>80</v>
      </c>
      <c r="B140" s="147" t="str">
        <f t="shared" si="26"/>
        <v>September 2021</v>
      </c>
      <c r="C140" s="154">
        <v>9</v>
      </c>
      <c r="D140" s="150">
        <v>6340.8500000000004</v>
      </c>
      <c r="E140" s="210" t="s">
        <v>163</v>
      </c>
      <c r="F140" s="144">
        <f>+$D140*'[5]II-F Alloc_Factor'!E$17</f>
        <v>1396.2650891262456</v>
      </c>
      <c r="G140" s="144">
        <f>+$D140*'[5]II-F Alloc_Factor'!F$17</f>
        <v>0</v>
      </c>
      <c r="H140" s="144">
        <f>+$D140*'[5]II-F Alloc_Factor'!G$17</f>
        <v>0</v>
      </c>
      <c r="I140" s="144">
        <f>+$D140*'[5]II-F Alloc_Factor'!H$17</f>
        <v>1396.2650891262456</v>
      </c>
      <c r="J140" s="144">
        <f>+$D140*'[5]II-F Alloc_Factor'!I$17</f>
        <v>3852.0632752646211</v>
      </c>
      <c r="K140" s="144">
        <f>+$D140*'[5]II-F Alloc_Factor'!J$17</f>
        <v>0</v>
      </c>
      <c r="L140" s="144">
        <f>+$D140*'[5]II-F Alloc_Factor'!K$17</f>
        <v>3852.0632752646211</v>
      </c>
      <c r="M140" s="144">
        <f>+$D140*'[5]II-F Alloc_Factor'!L$17</f>
        <v>1050.2578769351649</v>
      </c>
      <c r="N140" s="144">
        <f>+$D140*'[5]II-F Alloc_Factor'!M$17</f>
        <v>42.263758673968852</v>
      </c>
      <c r="O140" s="144">
        <f t="shared" si="24"/>
        <v>6340.8500000000013</v>
      </c>
      <c r="P140" s="144"/>
      <c r="Q140" s="144"/>
      <c r="R140" s="138" t="b">
        <f t="shared" si="25"/>
        <v>1</v>
      </c>
    </row>
    <row r="141" spans="1:18" ht="12.75">
      <c r="A141" s="146">
        <v>81</v>
      </c>
      <c r="B141" s="147" t="str">
        <f t="shared" si="26"/>
        <v>October 2021</v>
      </c>
      <c r="C141" s="154">
        <v>10</v>
      </c>
      <c r="D141" s="150">
        <v>6378.5499999999993</v>
      </c>
      <c r="E141" s="210" t="s">
        <v>163</v>
      </c>
      <c r="F141" s="144">
        <f>+$D141*'[5]II-F Alloc_Factor'!E$17</f>
        <v>1404.5666881011555</v>
      </c>
      <c r="G141" s="144">
        <f>+$D141*'[5]II-F Alloc_Factor'!F$17</f>
        <v>0</v>
      </c>
      <c r="H141" s="144">
        <f>+$D141*'[5]II-F Alloc_Factor'!G$17</f>
        <v>0</v>
      </c>
      <c r="I141" s="144">
        <f>+$D141*'[5]II-F Alloc_Factor'!H$17</f>
        <v>1404.5666881011555</v>
      </c>
      <c r="J141" s="144">
        <f>+$D141*'[5]II-F Alloc_Factor'!I$17</f>
        <v>3874.9660068349108</v>
      </c>
      <c r="K141" s="144">
        <f>+$D141*'[5]II-F Alloc_Factor'!J$17</f>
        <v>0</v>
      </c>
      <c r="L141" s="144">
        <f>+$D141*'[5]II-F Alloc_Factor'!K$17</f>
        <v>3874.9660068349108</v>
      </c>
      <c r="M141" s="144">
        <f>+$D141*'[5]II-F Alloc_Factor'!L$17</f>
        <v>1056.502264037912</v>
      </c>
      <c r="N141" s="144">
        <f>+$D141*'[5]II-F Alloc_Factor'!M$17</f>
        <v>42.515041026020796</v>
      </c>
      <c r="O141" s="144">
        <f t="shared" si="24"/>
        <v>6378.5499999999993</v>
      </c>
      <c r="P141" s="144"/>
      <c r="Q141" s="144"/>
      <c r="R141" s="138" t="b">
        <f t="shared" si="25"/>
        <v>1</v>
      </c>
    </row>
    <row r="142" spans="1:18" ht="12.75">
      <c r="A142" s="146">
        <v>82</v>
      </c>
      <c r="B142" s="147" t="str">
        <f t="shared" si="26"/>
        <v>November 2021</v>
      </c>
      <c r="C142" s="154">
        <v>11</v>
      </c>
      <c r="D142" s="150">
        <v>8695.3999999999996</v>
      </c>
      <c r="E142" s="210" t="s">
        <v>163</v>
      </c>
      <c r="F142" s="144">
        <f>+$D142*'[5]II-F Alloc_Factor'!E$17</f>
        <v>1914.7406823987878</v>
      </c>
      <c r="G142" s="144">
        <f>+$D142*'[5]II-F Alloc_Factor'!F$17</f>
        <v>0</v>
      </c>
      <c r="H142" s="144">
        <f>+$D142*'[5]II-F Alloc_Factor'!G$17</f>
        <v>0</v>
      </c>
      <c r="I142" s="144">
        <f>+$D142*'[5]II-F Alloc_Factor'!H$17</f>
        <v>1914.7406823987878</v>
      </c>
      <c r="J142" s="144">
        <f>+$D142*'[5]II-F Alloc_Factor'!I$17</f>
        <v>5282.4512492388221</v>
      </c>
      <c r="K142" s="144">
        <f>+$D142*'[5]II-F Alloc_Factor'!J$17</f>
        <v>0</v>
      </c>
      <c r="L142" s="144">
        <f>+$D142*'[5]II-F Alloc_Factor'!K$17</f>
        <v>5282.4512492388221</v>
      </c>
      <c r="M142" s="144">
        <f>+$D142*'[5]II-F Alloc_Factor'!L$17</f>
        <v>1440.2504937196168</v>
      </c>
      <c r="N142" s="144">
        <f>+$D142*'[5]II-F Alloc_Factor'!M$17</f>
        <v>57.957574642773238</v>
      </c>
      <c r="O142" s="144">
        <f t="shared" si="24"/>
        <v>8695.3999999999996</v>
      </c>
      <c r="P142" s="144"/>
      <c r="Q142" s="144"/>
      <c r="R142" s="138" t="b">
        <f t="shared" si="25"/>
        <v>1</v>
      </c>
    </row>
    <row r="143" spans="1:18" ht="12.75">
      <c r="A143" s="146">
        <v>83</v>
      </c>
      <c r="B143" s="147" t="str">
        <f t="shared" si="26"/>
        <v>December 2021</v>
      </c>
      <c r="C143" s="154">
        <v>12</v>
      </c>
      <c r="D143" s="150">
        <v>14514.950000000001</v>
      </c>
      <c r="E143" s="210" t="s">
        <v>163</v>
      </c>
      <c r="F143" s="144">
        <f>+$D143*'[5]II-F Alloc_Factor'!E$17</f>
        <v>3196.2146960443783</v>
      </c>
      <c r="G143" s="144">
        <f>+$D143*'[5]II-F Alloc_Factor'!F$17</f>
        <v>0</v>
      </c>
      <c r="H143" s="144">
        <f>+$D143*'[5]II-F Alloc_Factor'!G$17</f>
        <v>0</v>
      </c>
      <c r="I143" s="144">
        <f>+$D143*'[5]II-F Alloc_Factor'!H$17</f>
        <v>3196.2146960443783</v>
      </c>
      <c r="J143" s="144">
        <f>+$D143*'[5]II-F Alloc_Factor'!I$17</f>
        <v>8817.8250293418405</v>
      </c>
      <c r="K143" s="144">
        <f>+$D143*'[5]II-F Alloc_Factor'!J$17</f>
        <v>0</v>
      </c>
      <c r="L143" s="144">
        <f>+$D143*'[5]II-F Alloc_Factor'!K$17</f>
        <v>8817.8250293418405</v>
      </c>
      <c r="M143" s="144">
        <f>+$D143*'[5]II-F Alloc_Factor'!L$17</f>
        <v>2404.1635696823091</v>
      </c>
      <c r="N143" s="144">
        <f>+$D143*'[5]II-F Alloc_Factor'!M$17</f>
        <v>96.746704931471982</v>
      </c>
      <c r="O143" s="144">
        <f t="shared" si="24"/>
        <v>14514.950000000001</v>
      </c>
      <c r="P143" s="144"/>
      <c r="Q143" s="144"/>
      <c r="R143" s="138" t="b">
        <f t="shared" si="25"/>
        <v>1</v>
      </c>
    </row>
    <row r="144" spans="1:17" ht="12.75">
      <c r="A144" s="146">
        <v>84</v>
      </c>
      <c r="D144" s="167"/>
      <c r="E144" s="167"/>
      <c r="F144" s="167"/>
      <c r="G144" s="167"/>
      <c r="H144" s="167"/>
      <c r="I144" s="167"/>
      <c r="J144" s="167"/>
      <c r="K144" s="167"/>
      <c r="L144" s="167"/>
      <c r="M144" s="167"/>
      <c r="N144" s="167"/>
      <c r="O144" s="167"/>
      <c r="P144" s="144"/>
      <c r="Q144" s="144"/>
    </row>
    <row r="145" spans="1:17" ht="13.5" thickBot="1">
      <c r="A145" s="146">
        <v>85</v>
      </c>
      <c r="B145" s="211" t="s">
        <v>216</v>
      </c>
      <c r="D145" s="169">
        <f t="shared" si="27" ref="D145:O145">SUM(D132:D143)</f>
        <v>105695.13000000001</v>
      </c>
      <c r="E145" s="169">
        <f t="shared" si="27"/>
        <v>0</v>
      </c>
      <c r="F145" s="169">
        <f t="shared" si="27"/>
        <v>23274.232967135336</v>
      </c>
      <c r="G145" s="169">
        <f t="shared" si="28" ref="G145:N145">SUM(G132:G143)</f>
        <v>0</v>
      </c>
      <c r="H145" s="169">
        <f t="shared" si="28"/>
        <v>0</v>
      </c>
      <c r="I145" s="169">
        <f t="shared" si="28"/>
        <v>23274.232967135336</v>
      </c>
      <c r="J145" s="169">
        <f t="shared" si="28"/>
        <v>64209.739805754725</v>
      </c>
      <c r="K145" s="169">
        <f t="shared" si="28"/>
        <v>0</v>
      </c>
      <c r="L145" s="169">
        <f t="shared" si="28"/>
        <v>64209.739805754725</v>
      </c>
      <c r="M145" s="169">
        <f t="shared" si="28"/>
        <v>17506.66595743256</v>
      </c>
      <c r="N145" s="169">
        <f t="shared" si="28"/>
        <v>704.49126967737209</v>
      </c>
      <c r="O145" s="169">
        <f t="shared" si="27"/>
        <v>105695.13000000001</v>
      </c>
      <c r="P145" s="170"/>
      <c r="Q145" s="144"/>
    </row>
    <row r="146" ht="13.5" thickTop="1"/>
    <row r="149" spans="4:18" ht="13.5" thickBot="1">
      <c r="D149" s="363" t="s">
        <v>417</v>
      </c>
      <c r="E149" s="362"/>
      <c r="F149" s="362"/>
      <c r="G149" s="362"/>
      <c r="H149" s="362"/>
      <c r="I149" s="362"/>
      <c r="J149" s="362"/>
      <c r="K149" s="362"/>
      <c r="L149" s="362"/>
      <c r="M149" s="362"/>
      <c r="N149" s="362"/>
      <c r="O149" s="362"/>
      <c r="P149" s="143"/>
      <c r="Q149" s="149"/>
      <c r="R149" s="149"/>
    </row>
    <row r="150" spans="14:18" ht="12.75">
      <c r="N150" s="61"/>
      <c r="O150" s="61"/>
      <c r="P150" s="149"/>
      <c r="Q150" s="149"/>
      <c r="R150" s="149"/>
    </row>
    <row r="151" spans="1:15" ht="12.75">
      <c r="A151" s="18" t="s">
        <v>87</v>
      </c>
      <c r="B151" s="18"/>
      <c r="D151" s="209" t="s">
        <v>216</v>
      </c>
      <c r="E151" s="209" t="s">
        <v>53</v>
      </c>
      <c r="F151" s="18"/>
      <c r="G151" s="18" t="s">
        <v>716</v>
      </c>
      <c r="H151" s="18" t="s">
        <v>722</v>
      </c>
      <c r="I151" s="18" t="s">
        <v>717</v>
      </c>
      <c r="J151" s="18"/>
      <c r="K151" s="18" t="s">
        <v>716</v>
      </c>
      <c r="L151" s="18" t="s">
        <v>717</v>
      </c>
      <c r="M151" s="18"/>
      <c r="N151" s="18"/>
      <c r="O151" s="18"/>
    </row>
    <row r="152" spans="1:15" ht="12.75">
      <c r="A152" s="208" t="s">
        <v>89</v>
      </c>
      <c r="B152" s="208" t="s">
        <v>64</v>
      </c>
      <c r="D152" s="202" t="s">
        <v>219</v>
      </c>
      <c r="E152" s="202" t="s">
        <v>218</v>
      </c>
      <c r="F152" s="202" t="s">
        <v>294</v>
      </c>
      <c r="G152" s="202" t="s">
        <v>294</v>
      </c>
      <c r="H152" s="202" t="s">
        <v>723</v>
      </c>
      <c r="I152" s="202" t="s">
        <v>294</v>
      </c>
      <c r="J152" s="202" t="s">
        <v>295</v>
      </c>
      <c r="K152" s="202" t="s">
        <v>295</v>
      </c>
      <c r="L152" s="202" t="s">
        <v>295</v>
      </c>
      <c r="M152" s="202" t="s">
        <v>283</v>
      </c>
      <c r="N152" s="202" t="s">
        <v>126</v>
      </c>
      <c r="O152" s="202" t="s">
        <v>216</v>
      </c>
    </row>
    <row r="153" spans="1:15" ht="12.75">
      <c r="A153" s="18"/>
      <c r="B153" s="16" t="s">
        <v>44</v>
      </c>
      <c r="D153" s="16" t="s">
        <v>45</v>
      </c>
      <c r="E153" s="203" t="s">
        <v>74</v>
      </c>
      <c r="F153" s="16" t="s">
        <v>75</v>
      </c>
      <c r="G153" s="203" t="s">
        <v>76</v>
      </c>
      <c r="H153" s="203" t="s">
        <v>77</v>
      </c>
      <c r="I153" s="203" t="s">
        <v>78</v>
      </c>
      <c r="J153" s="203" t="s">
        <v>79</v>
      </c>
      <c r="K153" s="203" t="s">
        <v>80</v>
      </c>
      <c r="L153" s="203" t="s">
        <v>81</v>
      </c>
      <c r="M153" s="203" t="s">
        <v>82</v>
      </c>
      <c r="N153" s="203" t="s">
        <v>83</v>
      </c>
      <c r="O153" s="203" t="s">
        <v>84</v>
      </c>
    </row>
    <row r="155" spans="1:18" ht="12.75">
      <c r="A155" s="146">
        <v>86</v>
      </c>
      <c r="B155" s="147" t="str">
        <f>+B132</f>
        <v>January 2021</v>
      </c>
      <c r="C155" s="154">
        <v>1</v>
      </c>
      <c r="D155" s="148">
        <v>-3.5</v>
      </c>
      <c r="E155" s="210" t="s">
        <v>163</v>
      </c>
      <c r="F155" s="148">
        <f>+$D155*'[5]II-F Alloc_Factor'!E$17</f>
        <v>-0.77070547512429077</v>
      </c>
      <c r="G155" s="148">
        <f>+$D155*'[5]II-F Alloc_Factor'!F$17</f>
        <v>0</v>
      </c>
      <c r="H155" s="148">
        <f>+$D155*'[5]II-F Alloc_Factor'!G$17</f>
        <v>0</v>
      </c>
      <c r="I155" s="148">
        <f>+$D155*'[5]II-F Alloc_Factor'!H$17</f>
        <v>-0.77070547512429077</v>
      </c>
      <c r="J155" s="148">
        <f>+$D155*'[5]II-F Alloc_Factor'!I$17</f>
        <v>-2.1262482890190073</v>
      </c>
      <c r="K155" s="148">
        <f>+$D155*'[5]II-F Alloc_Factor'!J$17</f>
        <v>0</v>
      </c>
      <c r="L155" s="148">
        <f>+$D155*'[5]II-F Alloc_Factor'!K$17</f>
        <v>-2.1262482890190073</v>
      </c>
      <c r="M155" s="148">
        <f>+$D155*'[5]II-F Alloc_Factor'!L$17</f>
        <v>-0.57971763553357625</v>
      </c>
      <c r="N155" s="148">
        <f>+$D155*'[5]II-F Alloc_Factor'!M$17</f>
        <v>-0.023328600323125601</v>
      </c>
      <c r="O155" s="148">
        <f t="shared" si="29" ref="O155:O166">+I155+L155+M155+N155</f>
        <v>-3.5</v>
      </c>
      <c r="P155" s="148"/>
      <c r="Q155" s="144"/>
      <c r="R155" s="138" t="b">
        <f t="shared" si="30" ref="R155:R166">+D155=O155</f>
        <v>1</v>
      </c>
    </row>
    <row r="156" spans="1:18" ht="12.75">
      <c r="A156" s="146">
        <v>87</v>
      </c>
      <c r="B156" s="147" t="str">
        <f t="shared" si="31" ref="B156:B166">+B133</f>
        <v>February 2021</v>
      </c>
      <c r="C156" s="154">
        <v>2</v>
      </c>
      <c r="D156" s="255">
        <v>0</v>
      </c>
      <c r="E156" s="210" t="s">
        <v>163</v>
      </c>
      <c r="F156" s="326">
        <f>+$D156*'[5]II-F Alloc_Factor'!E$17</f>
        <v>0</v>
      </c>
      <c r="G156" s="326">
        <f>+$D156*'[5]II-F Alloc_Factor'!F$17</f>
        <v>0</v>
      </c>
      <c r="H156" s="326">
        <f>+$D156*'[5]II-F Alloc_Factor'!G$17</f>
        <v>0</v>
      </c>
      <c r="I156" s="326">
        <f>+$D156*'[5]II-F Alloc_Factor'!H$17</f>
        <v>0</v>
      </c>
      <c r="J156" s="326">
        <f>+$D156*'[5]II-F Alloc_Factor'!I$17</f>
        <v>0</v>
      </c>
      <c r="K156" s="326">
        <f>+$D156*'[5]II-F Alloc_Factor'!J$17</f>
        <v>0</v>
      </c>
      <c r="L156" s="326">
        <f>+$D156*'[5]II-F Alloc_Factor'!K$17</f>
        <v>0</v>
      </c>
      <c r="M156" s="326">
        <f>+$D156*'[5]II-F Alloc_Factor'!L$17</f>
        <v>0</v>
      </c>
      <c r="N156" s="326">
        <f>+$D156*'[5]II-F Alloc_Factor'!M$17</f>
        <v>0</v>
      </c>
      <c r="O156" s="326">
        <f t="shared" si="29"/>
        <v>0</v>
      </c>
      <c r="P156" s="144"/>
      <c r="Q156" s="144"/>
      <c r="R156" s="138" t="b">
        <f t="shared" si="30"/>
        <v>1</v>
      </c>
    </row>
    <row r="157" spans="1:18" ht="12.75">
      <c r="A157" s="146">
        <v>88</v>
      </c>
      <c r="B157" s="147" t="str">
        <f t="shared" si="31"/>
        <v>March 2021</v>
      </c>
      <c r="C157" s="154">
        <v>3</v>
      </c>
      <c r="D157" s="255">
        <v>0</v>
      </c>
      <c r="E157" s="210" t="s">
        <v>163</v>
      </c>
      <c r="F157" s="326">
        <f>+$D157*'[5]II-F Alloc_Factor'!E$17</f>
        <v>0</v>
      </c>
      <c r="G157" s="326">
        <f>+$D157*'[5]II-F Alloc_Factor'!F$17</f>
        <v>0</v>
      </c>
      <c r="H157" s="326">
        <f>+$D157*'[5]II-F Alloc_Factor'!G$17</f>
        <v>0</v>
      </c>
      <c r="I157" s="326">
        <f>+$D157*'[5]II-F Alloc_Factor'!H$17</f>
        <v>0</v>
      </c>
      <c r="J157" s="326">
        <f>+$D157*'[5]II-F Alloc_Factor'!I$17</f>
        <v>0</v>
      </c>
      <c r="K157" s="326">
        <f>+$D157*'[5]II-F Alloc_Factor'!J$17</f>
        <v>0</v>
      </c>
      <c r="L157" s="326">
        <f>+$D157*'[5]II-F Alloc_Factor'!K$17</f>
        <v>0</v>
      </c>
      <c r="M157" s="326">
        <f>+$D157*'[5]II-F Alloc_Factor'!L$17</f>
        <v>0</v>
      </c>
      <c r="N157" s="326">
        <f>+$D157*'[5]II-F Alloc_Factor'!M$17</f>
        <v>0</v>
      </c>
      <c r="O157" s="326">
        <f t="shared" si="29"/>
        <v>0</v>
      </c>
      <c r="P157" s="144"/>
      <c r="Q157" s="144"/>
      <c r="R157" s="138" t="b">
        <f t="shared" si="30"/>
        <v>1</v>
      </c>
    </row>
    <row r="158" spans="1:18" ht="12.75">
      <c r="A158" s="146">
        <v>89</v>
      </c>
      <c r="B158" s="147" t="str">
        <f t="shared" si="31"/>
        <v>April 2021</v>
      </c>
      <c r="C158" s="154">
        <v>4</v>
      </c>
      <c r="D158" s="255">
        <v>0</v>
      </c>
      <c r="E158" s="210" t="s">
        <v>163</v>
      </c>
      <c r="F158" s="326">
        <f>+$D158*'[5]II-F Alloc_Factor'!E$17</f>
        <v>0</v>
      </c>
      <c r="G158" s="326">
        <f>+$D158*'[5]II-F Alloc_Factor'!F$17</f>
        <v>0</v>
      </c>
      <c r="H158" s="326">
        <f>+$D158*'[5]II-F Alloc_Factor'!G$17</f>
        <v>0</v>
      </c>
      <c r="I158" s="326">
        <f>+$D158*'[5]II-F Alloc_Factor'!H$17</f>
        <v>0</v>
      </c>
      <c r="J158" s="326">
        <f>+$D158*'[5]II-F Alloc_Factor'!I$17</f>
        <v>0</v>
      </c>
      <c r="K158" s="326">
        <f>+$D158*'[5]II-F Alloc_Factor'!J$17</f>
        <v>0</v>
      </c>
      <c r="L158" s="326">
        <f>+$D158*'[5]II-F Alloc_Factor'!K$17</f>
        <v>0</v>
      </c>
      <c r="M158" s="326">
        <f>+$D158*'[5]II-F Alloc_Factor'!L$17</f>
        <v>0</v>
      </c>
      <c r="N158" s="326">
        <f>+$D158*'[5]II-F Alloc_Factor'!M$17</f>
        <v>0</v>
      </c>
      <c r="O158" s="326">
        <f t="shared" si="29"/>
        <v>0</v>
      </c>
      <c r="P158" s="144"/>
      <c r="Q158" s="144"/>
      <c r="R158" s="138" t="b">
        <f t="shared" si="30"/>
        <v>1</v>
      </c>
    </row>
    <row r="159" spans="1:18" ht="12.75">
      <c r="A159" s="146">
        <v>90</v>
      </c>
      <c r="B159" s="147" t="str">
        <f t="shared" si="31"/>
        <v>May 2021</v>
      </c>
      <c r="C159" s="154">
        <v>5</v>
      </c>
      <c r="D159" s="255">
        <v>3.5</v>
      </c>
      <c r="E159" s="210" t="s">
        <v>163</v>
      </c>
      <c r="F159" s="326">
        <f>+$D159*'[5]II-F Alloc_Factor'!E$17</f>
        <v>0.77070547512429077</v>
      </c>
      <c r="G159" s="326">
        <f>+$D159*'[5]II-F Alloc_Factor'!F$17</f>
        <v>0</v>
      </c>
      <c r="H159" s="326">
        <f>+$D159*'[5]II-F Alloc_Factor'!G$17</f>
        <v>0</v>
      </c>
      <c r="I159" s="326">
        <f>+$D159*'[5]II-F Alloc_Factor'!H$17</f>
        <v>0.77070547512429077</v>
      </c>
      <c r="J159" s="326">
        <f>+$D159*'[5]II-F Alloc_Factor'!I$17</f>
        <v>2.1262482890190073</v>
      </c>
      <c r="K159" s="326">
        <f>+$D159*'[5]II-F Alloc_Factor'!J$17</f>
        <v>0</v>
      </c>
      <c r="L159" s="326">
        <f>+$D159*'[5]II-F Alloc_Factor'!K$17</f>
        <v>2.1262482890190073</v>
      </c>
      <c r="M159" s="326">
        <f>+$D159*'[5]II-F Alloc_Factor'!L$17</f>
        <v>0.57971763553357625</v>
      </c>
      <c r="N159" s="326">
        <f>+$D159*'[5]II-F Alloc_Factor'!M$17</f>
        <v>0.023328600323125601</v>
      </c>
      <c r="O159" s="326">
        <f t="shared" si="29"/>
        <v>3.5</v>
      </c>
      <c r="P159" s="144"/>
      <c r="Q159" s="144"/>
      <c r="R159" s="138" t="b">
        <f t="shared" si="30"/>
        <v>1</v>
      </c>
    </row>
    <row r="160" spans="1:18" ht="12.75">
      <c r="A160" s="146">
        <v>91</v>
      </c>
      <c r="B160" s="147" t="str">
        <f t="shared" si="31"/>
        <v>June 2021</v>
      </c>
      <c r="C160" s="154">
        <v>6</v>
      </c>
      <c r="D160" s="255">
        <v>0</v>
      </c>
      <c r="E160" s="210" t="s">
        <v>163</v>
      </c>
      <c r="F160" s="326">
        <f>+$D160*'[5]II-F Alloc_Factor'!E$17</f>
        <v>0</v>
      </c>
      <c r="G160" s="326">
        <f>+$D160*'[5]II-F Alloc_Factor'!F$17</f>
        <v>0</v>
      </c>
      <c r="H160" s="326">
        <f>+$D160*'[5]II-F Alloc_Factor'!G$17</f>
        <v>0</v>
      </c>
      <c r="I160" s="326">
        <f>+$D160*'[5]II-F Alloc_Factor'!H$17</f>
        <v>0</v>
      </c>
      <c r="J160" s="326">
        <f>+$D160*'[5]II-F Alloc_Factor'!I$17</f>
        <v>0</v>
      </c>
      <c r="K160" s="326">
        <f>+$D160*'[5]II-F Alloc_Factor'!J$17</f>
        <v>0</v>
      </c>
      <c r="L160" s="326">
        <f>+$D160*'[5]II-F Alloc_Factor'!K$17</f>
        <v>0</v>
      </c>
      <c r="M160" s="326">
        <f>+$D160*'[5]II-F Alloc_Factor'!L$17</f>
        <v>0</v>
      </c>
      <c r="N160" s="326">
        <f>+$D160*'[5]II-F Alloc_Factor'!M$17</f>
        <v>0</v>
      </c>
      <c r="O160" s="326">
        <f t="shared" si="29"/>
        <v>0</v>
      </c>
      <c r="P160" s="144"/>
      <c r="Q160" s="144"/>
      <c r="R160" s="138" t="b">
        <f t="shared" si="30"/>
        <v>1</v>
      </c>
    </row>
    <row r="161" spans="1:18" ht="12.75">
      <c r="A161" s="146">
        <v>92</v>
      </c>
      <c r="B161" s="147" t="str">
        <f t="shared" si="31"/>
        <v>July 2021</v>
      </c>
      <c r="C161" s="154">
        <v>7</v>
      </c>
      <c r="D161" s="255">
        <v>0</v>
      </c>
      <c r="E161" s="210" t="s">
        <v>163</v>
      </c>
      <c r="F161" s="326">
        <f>+$D161*'[5]II-F Alloc_Factor'!E$17</f>
        <v>0</v>
      </c>
      <c r="G161" s="326">
        <f>+$D161*'[5]II-F Alloc_Factor'!F$17</f>
        <v>0</v>
      </c>
      <c r="H161" s="326">
        <f>+$D161*'[5]II-F Alloc_Factor'!G$17</f>
        <v>0</v>
      </c>
      <c r="I161" s="326">
        <f>+$D161*'[5]II-F Alloc_Factor'!H$17</f>
        <v>0</v>
      </c>
      <c r="J161" s="326">
        <f>+$D161*'[5]II-F Alloc_Factor'!I$17</f>
        <v>0</v>
      </c>
      <c r="K161" s="326">
        <f>+$D161*'[5]II-F Alloc_Factor'!J$17</f>
        <v>0</v>
      </c>
      <c r="L161" s="326">
        <f>+$D161*'[5]II-F Alloc_Factor'!K$17</f>
        <v>0</v>
      </c>
      <c r="M161" s="326">
        <f>+$D161*'[5]II-F Alloc_Factor'!L$17</f>
        <v>0</v>
      </c>
      <c r="N161" s="326">
        <f>+$D161*'[5]II-F Alloc_Factor'!M$17</f>
        <v>0</v>
      </c>
      <c r="O161" s="326">
        <f t="shared" si="29"/>
        <v>0</v>
      </c>
      <c r="P161" s="144"/>
      <c r="Q161" s="144"/>
      <c r="R161" s="138" t="b">
        <f t="shared" si="30"/>
        <v>1</v>
      </c>
    </row>
    <row r="162" spans="1:18" ht="12.75">
      <c r="A162" s="146">
        <v>93</v>
      </c>
      <c r="B162" s="147" t="str">
        <f t="shared" si="31"/>
        <v>August 2021</v>
      </c>
      <c r="C162" s="154">
        <v>8</v>
      </c>
      <c r="D162" s="255">
        <v>0</v>
      </c>
      <c r="E162" s="210" t="s">
        <v>163</v>
      </c>
      <c r="F162" s="326">
        <f>+$D162*'[5]II-F Alloc_Factor'!E$17</f>
        <v>0</v>
      </c>
      <c r="G162" s="326">
        <f>+$D162*'[5]II-F Alloc_Factor'!F$17</f>
        <v>0</v>
      </c>
      <c r="H162" s="326">
        <f>+$D162*'[5]II-F Alloc_Factor'!G$17</f>
        <v>0</v>
      </c>
      <c r="I162" s="326">
        <f>+$D162*'[5]II-F Alloc_Factor'!H$17</f>
        <v>0</v>
      </c>
      <c r="J162" s="326">
        <f>+$D162*'[5]II-F Alloc_Factor'!I$17</f>
        <v>0</v>
      </c>
      <c r="K162" s="326">
        <f>+$D162*'[5]II-F Alloc_Factor'!J$17</f>
        <v>0</v>
      </c>
      <c r="L162" s="326">
        <f>+$D162*'[5]II-F Alloc_Factor'!K$17</f>
        <v>0</v>
      </c>
      <c r="M162" s="326">
        <f>+$D162*'[5]II-F Alloc_Factor'!L$17</f>
        <v>0</v>
      </c>
      <c r="N162" s="326">
        <f>+$D162*'[5]II-F Alloc_Factor'!M$17</f>
        <v>0</v>
      </c>
      <c r="O162" s="326">
        <f t="shared" si="29"/>
        <v>0</v>
      </c>
      <c r="P162" s="144"/>
      <c r="Q162" s="144"/>
      <c r="R162" s="138" t="b">
        <f t="shared" si="30"/>
        <v>1</v>
      </c>
    </row>
    <row r="163" spans="1:18" ht="12.75">
      <c r="A163" s="146">
        <v>94</v>
      </c>
      <c r="B163" s="147" t="str">
        <f t="shared" si="31"/>
        <v>September 2021</v>
      </c>
      <c r="C163" s="154">
        <v>9</v>
      </c>
      <c r="D163" s="255">
        <v>0</v>
      </c>
      <c r="E163" s="210" t="s">
        <v>163</v>
      </c>
      <c r="F163" s="326">
        <f>+$D163*'[5]II-F Alloc_Factor'!E$17</f>
        <v>0</v>
      </c>
      <c r="G163" s="326">
        <f>+$D163*'[5]II-F Alloc_Factor'!F$17</f>
        <v>0</v>
      </c>
      <c r="H163" s="326">
        <f>+$D163*'[5]II-F Alloc_Factor'!G$17</f>
        <v>0</v>
      </c>
      <c r="I163" s="326">
        <f>+$D163*'[5]II-F Alloc_Factor'!H$17</f>
        <v>0</v>
      </c>
      <c r="J163" s="326">
        <f>+$D163*'[5]II-F Alloc_Factor'!I$17</f>
        <v>0</v>
      </c>
      <c r="K163" s="326">
        <f>+$D163*'[5]II-F Alloc_Factor'!J$17</f>
        <v>0</v>
      </c>
      <c r="L163" s="326">
        <f>+$D163*'[5]II-F Alloc_Factor'!K$17</f>
        <v>0</v>
      </c>
      <c r="M163" s="326">
        <f>+$D163*'[5]II-F Alloc_Factor'!L$17</f>
        <v>0</v>
      </c>
      <c r="N163" s="326">
        <f>+$D163*'[5]II-F Alloc_Factor'!M$17</f>
        <v>0</v>
      </c>
      <c r="O163" s="326">
        <f t="shared" si="29"/>
        <v>0</v>
      </c>
      <c r="P163" s="144"/>
      <c r="Q163" s="144"/>
      <c r="R163" s="138" t="b">
        <f t="shared" si="30"/>
        <v>1</v>
      </c>
    </row>
    <row r="164" spans="1:18" ht="12.75">
      <c r="A164" s="146">
        <v>95</v>
      </c>
      <c r="B164" s="147" t="str">
        <f t="shared" si="31"/>
        <v>October 2021</v>
      </c>
      <c r="C164" s="154">
        <v>10</v>
      </c>
      <c r="D164" s="255">
        <v>0</v>
      </c>
      <c r="E164" s="210" t="s">
        <v>163</v>
      </c>
      <c r="F164" s="326">
        <f>+$D164*'[5]II-F Alloc_Factor'!E$17</f>
        <v>0</v>
      </c>
      <c r="G164" s="326">
        <f>+$D164*'[5]II-F Alloc_Factor'!F$17</f>
        <v>0</v>
      </c>
      <c r="H164" s="326">
        <f>+$D164*'[5]II-F Alloc_Factor'!G$17</f>
        <v>0</v>
      </c>
      <c r="I164" s="326">
        <f>+$D164*'[5]II-F Alloc_Factor'!H$17</f>
        <v>0</v>
      </c>
      <c r="J164" s="326">
        <f>+$D164*'[5]II-F Alloc_Factor'!I$17</f>
        <v>0</v>
      </c>
      <c r="K164" s="326">
        <f>+$D164*'[5]II-F Alloc_Factor'!J$17</f>
        <v>0</v>
      </c>
      <c r="L164" s="326">
        <f>+$D164*'[5]II-F Alloc_Factor'!K$17</f>
        <v>0</v>
      </c>
      <c r="M164" s="326">
        <f>+$D164*'[5]II-F Alloc_Factor'!L$17</f>
        <v>0</v>
      </c>
      <c r="N164" s="326">
        <f>+$D164*'[5]II-F Alloc_Factor'!M$17</f>
        <v>0</v>
      </c>
      <c r="O164" s="326">
        <f t="shared" si="29"/>
        <v>0</v>
      </c>
      <c r="P164" s="144"/>
      <c r="Q164" s="144"/>
      <c r="R164" s="138" t="b">
        <f t="shared" si="30"/>
        <v>1</v>
      </c>
    </row>
    <row r="165" spans="1:18" ht="12.75">
      <c r="A165" s="146">
        <v>96</v>
      </c>
      <c r="B165" s="147" t="str">
        <f t="shared" si="31"/>
        <v>November 2021</v>
      </c>
      <c r="C165" s="154">
        <v>11</v>
      </c>
      <c r="D165" s="255">
        <v>0</v>
      </c>
      <c r="E165" s="210" t="s">
        <v>163</v>
      </c>
      <c r="F165" s="326">
        <f>+$D165*'[5]II-F Alloc_Factor'!E$17</f>
        <v>0</v>
      </c>
      <c r="G165" s="326">
        <f>+$D165*'[5]II-F Alloc_Factor'!F$17</f>
        <v>0</v>
      </c>
      <c r="H165" s="326">
        <f>+$D165*'[5]II-F Alloc_Factor'!G$17</f>
        <v>0</v>
      </c>
      <c r="I165" s="326">
        <f>+$D165*'[5]II-F Alloc_Factor'!H$17</f>
        <v>0</v>
      </c>
      <c r="J165" s="326">
        <f>+$D165*'[5]II-F Alloc_Factor'!I$17</f>
        <v>0</v>
      </c>
      <c r="K165" s="326">
        <f>+$D165*'[5]II-F Alloc_Factor'!J$17</f>
        <v>0</v>
      </c>
      <c r="L165" s="326">
        <f>+$D165*'[5]II-F Alloc_Factor'!K$17</f>
        <v>0</v>
      </c>
      <c r="M165" s="326">
        <f>+$D165*'[5]II-F Alloc_Factor'!L$17</f>
        <v>0</v>
      </c>
      <c r="N165" s="326">
        <f>+$D165*'[5]II-F Alloc_Factor'!M$17</f>
        <v>0</v>
      </c>
      <c r="O165" s="326">
        <f t="shared" si="29"/>
        <v>0</v>
      </c>
      <c r="P165" s="144"/>
      <c r="Q165" s="144"/>
      <c r="R165" s="138" t="b">
        <f t="shared" si="30"/>
        <v>1</v>
      </c>
    </row>
    <row r="166" spans="1:18" ht="12.75">
      <c r="A166" s="146">
        <v>97</v>
      </c>
      <c r="B166" s="147" t="str">
        <f t="shared" si="31"/>
        <v>December 2021</v>
      </c>
      <c r="C166" s="154">
        <v>12</v>
      </c>
      <c r="D166" s="255">
        <v>14328.139999999999</v>
      </c>
      <c r="E166" s="210" t="s">
        <v>163</v>
      </c>
      <c r="F166" s="326">
        <f>+$D166*'[5]II-F Alloc_Factor'!E$17</f>
        <v>3155.0788418135298</v>
      </c>
      <c r="G166" s="326">
        <f>+$D166*'[5]II-F Alloc_Factor'!F$17</f>
        <v>0</v>
      </c>
      <c r="H166" s="326">
        <f>+$D166*'[5]II-F Alloc_Factor'!G$17</f>
        <v>0</v>
      </c>
      <c r="I166" s="326">
        <f>+$D166*'[5]II-F Alloc_Factor'!H$17</f>
        <v>3155.0788418135298</v>
      </c>
      <c r="J166" s="326">
        <f>+$D166*'[5]II-F Alloc_Factor'!I$17</f>
        <v>8704.338045664228</v>
      </c>
      <c r="K166" s="326">
        <f>+$D166*'[5]II-F Alloc_Factor'!J$17</f>
        <v>0</v>
      </c>
      <c r="L166" s="326">
        <f>+$D166*'[5]II-F Alloc_Factor'!K$17</f>
        <v>8704.338045664228</v>
      </c>
      <c r="M166" s="326">
        <f>+$D166*'[5]II-F Alloc_Factor'!L$17</f>
        <v>2373.2215549697298</v>
      </c>
      <c r="N166" s="326">
        <f>+$D166*'[5]II-F Alloc_Factor'!M$17</f>
        <v>95.501557552511088</v>
      </c>
      <c r="O166" s="326">
        <f t="shared" si="29"/>
        <v>14328.139999999998</v>
      </c>
      <c r="P166" s="144"/>
      <c r="Q166" s="144"/>
      <c r="R166" s="138" t="b">
        <f t="shared" si="30"/>
        <v>1</v>
      </c>
    </row>
    <row r="167" spans="1:17" ht="12.75">
      <c r="A167" s="146">
        <v>98</v>
      </c>
      <c r="D167" s="167"/>
      <c r="E167" s="167"/>
      <c r="F167" s="167"/>
      <c r="G167" s="167"/>
      <c r="H167" s="167"/>
      <c r="I167" s="167"/>
      <c r="J167" s="167"/>
      <c r="K167" s="167"/>
      <c r="L167" s="167"/>
      <c r="M167" s="167"/>
      <c r="N167" s="167"/>
      <c r="O167" s="167"/>
      <c r="P167" s="144"/>
      <c r="Q167" s="144"/>
    </row>
    <row r="168" spans="1:17" ht="13.5" thickBot="1">
      <c r="A168" s="146">
        <v>99</v>
      </c>
      <c r="B168" s="211" t="s">
        <v>216</v>
      </c>
      <c r="D168" s="169">
        <f t="shared" si="32" ref="D168:O168">SUM(D155:D166)</f>
        <v>14328.139999999999</v>
      </c>
      <c r="E168" s="169">
        <f t="shared" si="32"/>
        <v>0</v>
      </c>
      <c r="F168" s="169">
        <f t="shared" si="32"/>
        <v>3155.0788418135298</v>
      </c>
      <c r="G168" s="169">
        <f t="shared" si="33" ref="G168:N168">SUM(G155:G166)</f>
        <v>0</v>
      </c>
      <c r="H168" s="169">
        <f t="shared" si="33"/>
        <v>0</v>
      </c>
      <c r="I168" s="169">
        <f t="shared" si="33"/>
        <v>3155.0788418135298</v>
      </c>
      <c r="J168" s="169">
        <f t="shared" si="33"/>
        <v>8704.338045664228</v>
      </c>
      <c r="K168" s="169">
        <f t="shared" si="33"/>
        <v>0</v>
      </c>
      <c r="L168" s="169">
        <f t="shared" si="33"/>
        <v>8704.338045664228</v>
      </c>
      <c r="M168" s="169">
        <f t="shared" si="33"/>
        <v>2373.2215549697298</v>
      </c>
      <c r="N168" s="169">
        <f t="shared" si="33"/>
        <v>95.501557552511088</v>
      </c>
      <c r="O168" s="169">
        <f t="shared" si="32"/>
        <v>14328.139999999998</v>
      </c>
      <c r="P168" s="170"/>
      <c r="Q168" s="144"/>
    </row>
    <row r="169" ht="13.5" thickTop="1"/>
    <row r="172" spans="4:18" ht="13.5" thickBot="1">
      <c r="D172" s="363" t="s">
        <v>418</v>
      </c>
      <c r="E172" s="362"/>
      <c r="F172" s="362"/>
      <c r="G172" s="362"/>
      <c r="H172" s="362"/>
      <c r="I172" s="362"/>
      <c r="J172" s="362"/>
      <c r="K172" s="362"/>
      <c r="L172" s="362"/>
      <c r="M172" s="362"/>
      <c r="N172" s="362"/>
      <c r="O172" s="362"/>
      <c r="P172" s="143"/>
      <c r="Q172" s="149"/>
      <c r="R172" s="149"/>
    </row>
    <row r="173" spans="14:18" ht="12.75">
      <c r="N173" s="61"/>
      <c r="O173" s="61"/>
      <c r="P173" s="149"/>
      <c r="Q173" s="149"/>
      <c r="R173" s="149"/>
    </row>
    <row r="174" spans="1:15" ht="12.75">
      <c r="A174" s="18" t="s">
        <v>87</v>
      </c>
      <c r="B174" s="18"/>
      <c r="D174" s="209" t="s">
        <v>216</v>
      </c>
      <c r="E174" s="209" t="s">
        <v>53</v>
      </c>
      <c r="F174" s="18"/>
      <c r="G174" s="18" t="s">
        <v>716</v>
      </c>
      <c r="H174" s="18" t="s">
        <v>722</v>
      </c>
      <c r="I174" s="18" t="s">
        <v>717</v>
      </c>
      <c r="J174" s="18"/>
      <c r="K174" s="18" t="s">
        <v>716</v>
      </c>
      <c r="L174" s="18" t="s">
        <v>717</v>
      </c>
      <c r="M174" s="18"/>
      <c r="N174" s="18"/>
      <c r="O174" s="18"/>
    </row>
    <row r="175" spans="1:15" ht="12.75">
      <c r="A175" s="208" t="s">
        <v>89</v>
      </c>
      <c r="B175" s="208" t="s">
        <v>64</v>
      </c>
      <c r="D175" s="202" t="s">
        <v>219</v>
      </c>
      <c r="E175" s="202" t="s">
        <v>218</v>
      </c>
      <c r="F175" s="202" t="s">
        <v>294</v>
      </c>
      <c r="G175" s="202" t="s">
        <v>294</v>
      </c>
      <c r="H175" s="202" t="s">
        <v>723</v>
      </c>
      <c r="I175" s="202" t="s">
        <v>294</v>
      </c>
      <c r="J175" s="202" t="s">
        <v>295</v>
      </c>
      <c r="K175" s="202" t="s">
        <v>295</v>
      </c>
      <c r="L175" s="202" t="s">
        <v>295</v>
      </c>
      <c r="M175" s="202" t="s">
        <v>283</v>
      </c>
      <c r="N175" s="202" t="s">
        <v>126</v>
      </c>
      <c r="O175" s="202" t="s">
        <v>216</v>
      </c>
    </row>
    <row r="176" spans="1:15" ht="12.75">
      <c r="A176" s="18"/>
      <c r="B176" s="16" t="s">
        <v>44</v>
      </c>
      <c r="D176" s="16" t="s">
        <v>45</v>
      </c>
      <c r="E176" s="203" t="s">
        <v>74</v>
      </c>
      <c r="F176" s="16" t="s">
        <v>75</v>
      </c>
      <c r="G176" s="203" t="s">
        <v>76</v>
      </c>
      <c r="H176" s="203" t="s">
        <v>77</v>
      </c>
      <c r="I176" s="203" t="s">
        <v>78</v>
      </c>
      <c r="J176" s="203" t="s">
        <v>79</v>
      </c>
      <c r="K176" s="203" t="s">
        <v>80</v>
      </c>
      <c r="L176" s="203" t="s">
        <v>81</v>
      </c>
      <c r="M176" s="203" t="s">
        <v>82</v>
      </c>
      <c r="N176" s="203" t="s">
        <v>83</v>
      </c>
      <c r="O176" s="203" t="s">
        <v>84</v>
      </c>
    </row>
    <row r="178" spans="1:18" ht="12.75">
      <c r="A178" s="146">
        <v>100</v>
      </c>
      <c r="B178" s="147" t="str">
        <f>+B155</f>
        <v>January 2021</v>
      </c>
      <c r="C178" s="154">
        <v>1</v>
      </c>
      <c r="D178" s="148">
        <v>9</v>
      </c>
      <c r="E178" s="210" t="s">
        <v>163</v>
      </c>
      <c r="F178" s="148">
        <f>+$D178*'[5]II-F Alloc_Factor'!E$17</f>
        <v>1.9818140788910332</v>
      </c>
      <c r="G178" s="148">
        <f>+$D178*'[5]II-F Alloc_Factor'!F$17</f>
        <v>0</v>
      </c>
      <c r="H178" s="148">
        <f>+$D178*'[5]II-F Alloc_Factor'!G$17</f>
        <v>0</v>
      </c>
      <c r="I178" s="148">
        <f>+$D178*'[5]II-F Alloc_Factor'!H$17</f>
        <v>1.9818140788910332</v>
      </c>
      <c r="J178" s="148">
        <f>+$D178*'[5]II-F Alloc_Factor'!I$17</f>
        <v>5.4674956003345905</v>
      </c>
      <c r="K178" s="148">
        <f>+$D178*'[5]II-F Alloc_Factor'!J$17</f>
        <v>0</v>
      </c>
      <c r="L178" s="148">
        <f>+$D178*'[5]II-F Alloc_Factor'!K$17</f>
        <v>5.4674956003345905</v>
      </c>
      <c r="M178" s="148">
        <f>+$D178*'[5]II-F Alloc_Factor'!L$17</f>
        <v>1.490702491372053</v>
      </c>
      <c r="N178" s="148">
        <f>+$D178*'[5]II-F Alloc_Factor'!M$17</f>
        <v>0.059987829402322973</v>
      </c>
      <c r="O178" s="148">
        <f t="shared" si="34" ref="O178:O189">+I178+L178+M178+N178</f>
        <v>8.9999999999999982</v>
      </c>
      <c r="P178" s="148"/>
      <c r="Q178" s="144"/>
      <c r="R178" s="138" t="b">
        <f t="shared" si="35" ref="R178:R189">+D178=O178</f>
        <v>1</v>
      </c>
    </row>
    <row r="179" spans="1:18" ht="12.75">
      <c r="A179" s="146">
        <v>101</v>
      </c>
      <c r="B179" s="147" t="str">
        <f t="shared" si="36" ref="B179:B189">+B156</f>
        <v>February 2021</v>
      </c>
      <c r="C179" s="154">
        <v>2</v>
      </c>
      <c r="D179" s="255">
        <v>0</v>
      </c>
      <c r="E179" s="210" t="s">
        <v>163</v>
      </c>
      <c r="F179" s="326">
        <f>+$D179*'[5]II-F Alloc_Factor'!E$17</f>
        <v>0</v>
      </c>
      <c r="G179" s="326">
        <f>+$D179*'[5]II-F Alloc_Factor'!F$17</f>
        <v>0</v>
      </c>
      <c r="H179" s="326">
        <f>+$D179*'[5]II-F Alloc_Factor'!G$17</f>
        <v>0</v>
      </c>
      <c r="I179" s="326">
        <f>+$D179*'[5]II-F Alloc_Factor'!H$17</f>
        <v>0</v>
      </c>
      <c r="J179" s="326">
        <f>+$D179*'[5]II-F Alloc_Factor'!I$17</f>
        <v>0</v>
      </c>
      <c r="K179" s="326">
        <f>+$D179*'[5]II-F Alloc_Factor'!J$17</f>
        <v>0</v>
      </c>
      <c r="L179" s="326">
        <f>+$D179*'[5]II-F Alloc_Factor'!K$17</f>
        <v>0</v>
      </c>
      <c r="M179" s="326">
        <f>+$D179*'[5]II-F Alloc_Factor'!L$17</f>
        <v>0</v>
      </c>
      <c r="N179" s="326">
        <f>+$D179*'[5]II-F Alloc_Factor'!M$17</f>
        <v>0</v>
      </c>
      <c r="O179" s="326">
        <f t="shared" si="34"/>
        <v>0</v>
      </c>
      <c r="P179" s="144"/>
      <c r="Q179" s="144"/>
      <c r="R179" s="138" t="b">
        <f t="shared" si="35"/>
        <v>1</v>
      </c>
    </row>
    <row r="180" spans="1:18" ht="12.75">
      <c r="A180" s="146">
        <v>102</v>
      </c>
      <c r="B180" s="147" t="str">
        <f t="shared" si="36"/>
        <v>March 2021</v>
      </c>
      <c r="C180" s="154">
        <v>3</v>
      </c>
      <c r="D180" s="255">
        <v>493</v>
      </c>
      <c r="E180" s="210" t="s">
        <v>163</v>
      </c>
      <c r="F180" s="326">
        <f>+$D180*'[5]II-F Alloc_Factor'!E$17</f>
        <v>108.55937121036438</v>
      </c>
      <c r="G180" s="326">
        <f>+$D180*'[5]II-F Alloc_Factor'!F$17</f>
        <v>0</v>
      </c>
      <c r="H180" s="326">
        <f>+$D180*'[5]II-F Alloc_Factor'!G$17</f>
        <v>0</v>
      </c>
      <c r="I180" s="326">
        <f>+$D180*'[5]II-F Alloc_Factor'!H$17</f>
        <v>108.55937121036438</v>
      </c>
      <c r="J180" s="326">
        <f>+$D180*'[5]II-F Alloc_Factor'!I$17</f>
        <v>299.49725899610587</v>
      </c>
      <c r="K180" s="326">
        <f>+$D180*'[5]II-F Alloc_Factor'!J$17</f>
        <v>0</v>
      </c>
      <c r="L180" s="326">
        <f>+$D180*'[5]II-F Alloc_Factor'!K$17</f>
        <v>299.49725899610587</v>
      </c>
      <c r="M180" s="326">
        <f>+$D180*'[5]II-F Alloc_Factor'!L$17</f>
        <v>81.657369805158027</v>
      </c>
      <c r="N180" s="326">
        <f>+$D180*'[5]II-F Alloc_Factor'!M$17</f>
        <v>3.2859999883716919</v>
      </c>
      <c r="O180" s="326">
        <f t="shared" si="34"/>
        <v>493</v>
      </c>
      <c r="P180" s="144"/>
      <c r="Q180" s="144"/>
      <c r="R180" s="138" t="b">
        <f t="shared" si="35"/>
        <v>1</v>
      </c>
    </row>
    <row r="181" spans="1:18" ht="12.75">
      <c r="A181" s="146">
        <v>103</v>
      </c>
      <c r="B181" s="147" t="str">
        <f t="shared" si="36"/>
        <v>April 2021</v>
      </c>
      <c r="C181" s="154">
        <v>4</v>
      </c>
      <c r="D181" s="255">
        <v>0</v>
      </c>
      <c r="E181" s="210" t="s">
        <v>163</v>
      </c>
      <c r="F181" s="326">
        <f>+$D181*'[5]II-F Alloc_Factor'!E$17</f>
        <v>0</v>
      </c>
      <c r="G181" s="326">
        <f>+$D181*'[5]II-F Alloc_Factor'!F$17</f>
        <v>0</v>
      </c>
      <c r="H181" s="326">
        <f>+$D181*'[5]II-F Alloc_Factor'!G$17</f>
        <v>0</v>
      </c>
      <c r="I181" s="326">
        <f>+$D181*'[5]II-F Alloc_Factor'!H$17</f>
        <v>0</v>
      </c>
      <c r="J181" s="326">
        <f>+$D181*'[5]II-F Alloc_Factor'!I$17</f>
        <v>0</v>
      </c>
      <c r="K181" s="326">
        <f>+$D181*'[5]II-F Alloc_Factor'!J$17</f>
        <v>0</v>
      </c>
      <c r="L181" s="326">
        <f>+$D181*'[5]II-F Alloc_Factor'!K$17</f>
        <v>0</v>
      </c>
      <c r="M181" s="326">
        <f>+$D181*'[5]II-F Alloc_Factor'!L$17</f>
        <v>0</v>
      </c>
      <c r="N181" s="326">
        <f>+$D181*'[5]II-F Alloc_Factor'!M$17</f>
        <v>0</v>
      </c>
      <c r="O181" s="326">
        <f t="shared" si="34"/>
        <v>0</v>
      </c>
      <c r="P181" s="144"/>
      <c r="Q181" s="144"/>
      <c r="R181" s="138" t="b">
        <f t="shared" si="35"/>
        <v>1</v>
      </c>
    </row>
    <row r="182" spans="1:18" ht="12.75">
      <c r="A182" s="146">
        <v>104</v>
      </c>
      <c r="B182" s="147" t="str">
        <f t="shared" si="36"/>
        <v>May 2021</v>
      </c>
      <c r="C182" s="154">
        <v>5</v>
      </c>
      <c r="D182" s="255">
        <v>239.25</v>
      </c>
      <c r="E182" s="210" t="s">
        <v>163</v>
      </c>
      <c r="F182" s="326">
        <f>+$D182*'[5]II-F Alloc_Factor'!E$17</f>
        <v>52.683224263853305</v>
      </c>
      <c r="G182" s="326">
        <f>+$D182*'[5]II-F Alloc_Factor'!F$17</f>
        <v>0</v>
      </c>
      <c r="H182" s="326">
        <f>+$D182*'[5]II-F Alloc_Factor'!G$17</f>
        <v>0</v>
      </c>
      <c r="I182" s="326">
        <f>+$D182*'[5]II-F Alloc_Factor'!H$17</f>
        <v>52.683224263853305</v>
      </c>
      <c r="J182" s="326">
        <f>+$D182*'[5]II-F Alloc_Factor'!I$17</f>
        <v>145.34425804222786</v>
      </c>
      <c r="K182" s="326">
        <f>+$D182*'[5]II-F Alloc_Factor'!J$17</f>
        <v>0</v>
      </c>
      <c r="L182" s="326">
        <f>+$D182*'[5]II-F Alloc_Factor'!K$17</f>
        <v>145.34425804222786</v>
      </c>
      <c r="M182" s="326">
        <f>+$D182*'[5]II-F Alloc_Factor'!L$17</f>
        <v>39.627841228973743</v>
      </c>
      <c r="N182" s="326">
        <f>+$D182*'[5]II-F Alloc_Factor'!M$17</f>
        <v>1.5946764649450858</v>
      </c>
      <c r="O182" s="326">
        <f t="shared" si="34"/>
        <v>239.25</v>
      </c>
      <c r="P182" s="144"/>
      <c r="Q182" s="144"/>
      <c r="R182" s="138" t="b">
        <f t="shared" si="35"/>
        <v>1</v>
      </c>
    </row>
    <row r="183" spans="1:18" ht="12.75">
      <c r="A183" s="146">
        <v>105</v>
      </c>
      <c r="B183" s="147" t="str">
        <f t="shared" si="36"/>
        <v>June 2021</v>
      </c>
      <c r="C183" s="154">
        <v>6</v>
      </c>
      <c r="D183" s="255">
        <v>239.25</v>
      </c>
      <c r="E183" s="210" t="s">
        <v>163</v>
      </c>
      <c r="F183" s="326">
        <f>+$D183*'[5]II-F Alloc_Factor'!E$17</f>
        <v>52.683224263853305</v>
      </c>
      <c r="G183" s="326">
        <f>+$D183*'[5]II-F Alloc_Factor'!F$17</f>
        <v>0</v>
      </c>
      <c r="H183" s="326">
        <f>+$D183*'[5]II-F Alloc_Factor'!G$17</f>
        <v>0</v>
      </c>
      <c r="I183" s="326">
        <f>+$D183*'[5]II-F Alloc_Factor'!H$17</f>
        <v>52.683224263853305</v>
      </c>
      <c r="J183" s="326">
        <f>+$D183*'[5]II-F Alloc_Factor'!I$17</f>
        <v>145.34425804222786</v>
      </c>
      <c r="K183" s="326">
        <f>+$D183*'[5]II-F Alloc_Factor'!J$17</f>
        <v>0</v>
      </c>
      <c r="L183" s="326">
        <f>+$D183*'[5]II-F Alloc_Factor'!K$17</f>
        <v>145.34425804222786</v>
      </c>
      <c r="M183" s="326">
        <f>+$D183*'[5]II-F Alloc_Factor'!L$17</f>
        <v>39.627841228973743</v>
      </c>
      <c r="N183" s="326">
        <f>+$D183*'[5]II-F Alloc_Factor'!M$17</f>
        <v>1.5946764649450858</v>
      </c>
      <c r="O183" s="326">
        <f t="shared" si="34"/>
        <v>239.25</v>
      </c>
      <c r="P183" s="144"/>
      <c r="Q183" s="144"/>
      <c r="R183" s="138" t="b">
        <f t="shared" si="35"/>
        <v>1</v>
      </c>
    </row>
    <row r="184" spans="1:18" ht="12.75">
      <c r="A184" s="146">
        <v>106</v>
      </c>
      <c r="B184" s="147" t="str">
        <f t="shared" si="36"/>
        <v>July 2021</v>
      </c>
      <c r="C184" s="154">
        <v>7</v>
      </c>
      <c r="D184" s="255">
        <v>239.25</v>
      </c>
      <c r="E184" s="210" t="s">
        <v>163</v>
      </c>
      <c r="F184" s="326">
        <f>+$D184*'[5]II-F Alloc_Factor'!E$17</f>
        <v>52.683224263853305</v>
      </c>
      <c r="G184" s="326">
        <f>+$D184*'[5]II-F Alloc_Factor'!F$17</f>
        <v>0</v>
      </c>
      <c r="H184" s="326">
        <f>+$D184*'[5]II-F Alloc_Factor'!G$17</f>
        <v>0</v>
      </c>
      <c r="I184" s="326">
        <f>+$D184*'[5]II-F Alloc_Factor'!H$17</f>
        <v>52.683224263853305</v>
      </c>
      <c r="J184" s="326">
        <f>+$D184*'[5]II-F Alloc_Factor'!I$17</f>
        <v>145.34425804222786</v>
      </c>
      <c r="K184" s="326">
        <f>+$D184*'[5]II-F Alloc_Factor'!J$17</f>
        <v>0</v>
      </c>
      <c r="L184" s="326">
        <f>+$D184*'[5]II-F Alloc_Factor'!K$17</f>
        <v>145.34425804222786</v>
      </c>
      <c r="M184" s="326">
        <f>+$D184*'[5]II-F Alloc_Factor'!L$17</f>
        <v>39.627841228973743</v>
      </c>
      <c r="N184" s="326">
        <f>+$D184*'[5]II-F Alloc_Factor'!M$17</f>
        <v>1.5946764649450858</v>
      </c>
      <c r="O184" s="326">
        <f t="shared" si="34"/>
        <v>239.25</v>
      </c>
      <c r="P184" s="144"/>
      <c r="Q184" s="144"/>
      <c r="R184" s="138" t="b">
        <f t="shared" si="35"/>
        <v>1</v>
      </c>
    </row>
    <row r="185" spans="1:18" ht="12.75">
      <c r="A185" s="146">
        <v>107</v>
      </c>
      <c r="B185" s="147" t="str">
        <f t="shared" si="36"/>
        <v>August 2021</v>
      </c>
      <c r="C185" s="154">
        <v>8</v>
      </c>
      <c r="D185" s="255">
        <v>232</v>
      </c>
      <c r="E185" s="210" t="s">
        <v>163</v>
      </c>
      <c r="F185" s="326">
        <f>+$D185*'[5]II-F Alloc_Factor'!E$17</f>
        <v>51.086762922524414</v>
      </c>
      <c r="G185" s="326">
        <f>+$D185*'[5]II-F Alloc_Factor'!F$17</f>
        <v>0</v>
      </c>
      <c r="H185" s="326">
        <f>+$D185*'[5]II-F Alloc_Factor'!G$17</f>
        <v>0</v>
      </c>
      <c r="I185" s="326">
        <f>+$D185*'[5]II-F Alloc_Factor'!H$17</f>
        <v>51.086762922524414</v>
      </c>
      <c r="J185" s="326">
        <f>+$D185*'[5]II-F Alloc_Factor'!I$17</f>
        <v>140.93988658640276</v>
      </c>
      <c r="K185" s="326">
        <f>+$D185*'[5]II-F Alloc_Factor'!J$17</f>
        <v>0</v>
      </c>
      <c r="L185" s="326">
        <f>+$D185*'[5]II-F Alloc_Factor'!K$17</f>
        <v>140.93988658640276</v>
      </c>
      <c r="M185" s="326">
        <f>+$D185*'[5]II-F Alloc_Factor'!L$17</f>
        <v>38.42699755536848</v>
      </c>
      <c r="N185" s="326">
        <f>+$D185*'[5]II-F Alloc_Factor'!M$17</f>
        <v>1.5463529357043255</v>
      </c>
      <c r="O185" s="326">
        <f t="shared" si="34"/>
        <v>231.99999999999997</v>
      </c>
      <c r="P185" s="144"/>
      <c r="Q185" s="144"/>
      <c r="R185" s="138" t="b">
        <f t="shared" si="35"/>
        <v>1</v>
      </c>
    </row>
    <row r="186" spans="1:18" ht="12.75">
      <c r="A186" s="146">
        <v>108</v>
      </c>
      <c r="B186" s="147" t="str">
        <f t="shared" si="36"/>
        <v>September 2021</v>
      </c>
      <c r="C186" s="154">
        <v>9</v>
      </c>
      <c r="D186" s="255">
        <v>464</v>
      </c>
      <c r="E186" s="210" t="s">
        <v>163</v>
      </c>
      <c r="F186" s="326">
        <f>+$D186*'[5]II-F Alloc_Factor'!E$17</f>
        <v>102.17352584504883</v>
      </c>
      <c r="G186" s="326">
        <f>+$D186*'[5]II-F Alloc_Factor'!F$17</f>
        <v>0</v>
      </c>
      <c r="H186" s="326">
        <f>+$D186*'[5]II-F Alloc_Factor'!G$17</f>
        <v>0</v>
      </c>
      <c r="I186" s="326">
        <f>+$D186*'[5]II-F Alloc_Factor'!H$17</f>
        <v>102.17352584504883</v>
      </c>
      <c r="J186" s="326">
        <f>+$D186*'[5]II-F Alloc_Factor'!I$17</f>
        <v>281.87977317280553</v>
      </c>
      <c r="K186" s="326">
        <f>+$D186*'[5]II-F Alloc_Factor'!J$17</f>
        <v>0</v>
      </c>
      <c r="L186" s="326">
        <f>+$D186*'[5]II-F Alloc_Factor'!K$17</f>
        <v>281.87977317280553</v>
      </c>
      <c r="M186" s="326">
        <f>+$D186*'[5]II-F Alloc_Factor'!L$17</f>
        <v>76.85399511073696</v>
      </c>
      <c r="N186" s="326">
        <f>+$D186*'[5]II-F Alloc_Factor'!M$17</f>
        <v>3.0927058714086511</v>
      </c>
      <c r="O186" s="326">
        <f t="shared" si="34"/>
        <v>463.99999999999994</v>
      </c>
      <c r="P186" s="144"/>
      <c r="Q186" s="144"/>
      <c r="R186" s="138" t="b">
        <f t="shared" si="35"/>
        <v>1</v>
      </c>
    </row>
    <row r="187" spans="1:18" ht="12.75">
      <c r="A187" s="146">
        <v>109</v>
      </c>
      <c r="B187" s="147" t="str">
        <f t="shared" si="36"/>
        <v>October 2021</v>
      </c>
      <c r="C187" s="154">
        <v>10</v>
      </c>
      <c r="D187" s="255">
        <v>297.25</v>
      </c>
      <c r="E187" s="210" t="s">
        <v>163</v>
      </c>
      <c r="F187" s="326">
        <f>+$D187*'[5]II-F Alloc_Factor'!E$17</f>
        <v>65.454914994484412</v>
      </c>
      <c r="G187" s="326">
        <f>+$D187*'[5]II-F Alloc_Factor'!F$17</f>
        <v>0</v>
      </c>
      <c r="H187" s="326">
        <f>+$D187*'[5]II-F Alloc_Factor'!G$17</f>
        <v>0</v>
      </c>
      <c r="I187" s="326">
        <f>+$D187*'[5]II-F Alloc_Factor'!H$17</f>
        <v>65.454914994484412</v>
      </c>
      <c r="J187" s="326">
        <f>+$D187*'[5]II-F Alloc_Factor'!I$17</f>
        <v>180.57922968882855</v>
      </c>
      <c r="K187" s="326">
        <f>+$D187*'[5]II-F Alloc_Factor'!J$17</f>
        <v>0</v>
      </c>
      <c r="L187" s="326">
        <f>+$D187*'[5]II-F Alloc_Factor'!K$17</f>
        <v>180.57922968882855</v>
      </c>
      <c r="M187" s="326">
        <f>+$D187*'[5]II-F Alloc_Factor'!L$17</f>
        <v>49.234590617815861</v>
      </c>
      <c r="N187" s="326">
        <f>+$D187*'[5]II-F Alloc_Factor'!M$17</f>
        <v>1.9812646988711671</v>
      </c>
      <c r="O187" s="326">
        <f t="shared" si="34"/>
        <v>297.24999999999994</v>
      </c>
      <c r="P187" s="144"/>
      <c r="Q187" s="144"/>
      <c r="R187" s="138" t="b">
        <f t="shared" si="35"/>
        <v>1</v>
      </c>
    </row>
    <row r="188" spans="1:18" ht="12.75">
      <c r="A188" s="146">
        <v>110</v>
      </c>
      <c r="B188" s="147" t="str">
        <f t="shared" si="36"/>
        <v>November 2021</v>
      </c>
      <c r="C188" s="154">
        <v>11</v>
      </c>
      <c r="D188" s="255">
        <v>232</v>
      </c>
      <c r="E188" s="210" t="s">
        <v>163</v>
      </c>
      <c r="F188" s="326">
        <f>+$D188*'[5]II-F Alloc_Factor'!E$17</f>
        <v>51.086762922524414</v>
      </c>
      <c r="G188" s="326">
        <f>+$D188*'[5]II-F Alloc_Factor'!F$17</f>
        <v>0</v>
      </c>
      <c r="H188" s="326">
        <f>+$D188*'[5]II-F Alloc_Factor'!G$17</f>
        <v>0</v>
      </c>
      <c r="I188" s="326">
        <f>+$D188*'[5]II-F Alloc_Factor'!H$17</f>
        <v>51.086762922524414</v>
      </c>
      <c r="J188" s="326">
        <f>+$D188*'[5]II-F Alloc_Factor'!I$17</f>
        <v>140.93988658640276</v>
      </c>
      <c r="K188" s="326">
        <f>+$D188*'[5]II-F Alloc_Factor'!J$17</f>
        <v>0</v>
      </c>
      <c r="L188" s="326">
        <f>+$D188*'[5]II-F Alloc_Factor'!K$17</f>
        <v>140.93988658640276</v>
      </c>
      <c r="M188" s="326">
        <f>+$D188*'[5]II-F Alloc_Factor'!L$17</f>
        <v>38.42699755536848</v>
      </c>
      <c r="N188" s="326">
        <f>+$D188*'[5]II-F Alloc_Factor'!M$17</f>
        <v>1.5463529357043255</v>
      </c>
      <c r="O188" s="326">
        <f t="shared" si="34"/>
        <v>231.99999999999997</v>
      </c>
      <c r="P188" s="144"/>
      <c r="Q188" s="144"/>
      <c r="R188" s="138" t="b">
        <f t="shared" si="35"/>
        <v>1</v>
      </c>
    </row>
    <row r="189" spans="1:18" ht="12.75">
      <c r="A189" s="146">
        <v>111</v>
      </c>
      <c r="B189" s="147" t="str">
        <f t="shared" si="36"/>
        <v>December 2021</v>
      </c>
      <c r="C189" s="154">
        <v>12</v>
      </c>
      <c r="D189" s="255">
        <v>4685.1800000000003</v>
      </c>
      <c r="E189" s="210" t="s">
        <v>163</v>
      </c>
      <c r="F189" s="326">
        <f>+$D189*'[5]II-F Alloc_Factor'!E$17</f>
        <v>1031.6839651265213</v>
      </c>
      <c r="G189" s="326">
        <f>+$D189*'[5]II-F Alloc_Factor'!F$17</f>
        <v>0</v>
      </c>
      <c r="H189" s="326">
        <f>+$D189*'[5]II-F Alloc_Factor'!G$17</f>
        <v>0</v>
      </c>
      <c r="I189" s="326">
        <f>+$D189*'[5]II-F Alloc_Factor'!H$17</f>
        <v>1031.6839651265213</v>
      </c>
      <c r="J189" s="326">
        <f>+$D189*'[5]II-F Alloc_Factor'!I$17</f>
        <v>2846.2445596417351</v>
      </c>
      <c r="K189" s="326">
        <f>+$D189*'[5]II-F Alloc_Factor'!J$17</f>
        <v>0</v>
      </c>
      <c r="L189" s="326">
        <f>+$D189*'[5]II-F Alloc_Factor'!K$17</f>
        <v>2846.2445596417351</v>
      </c>
      <c r="M189" s="326">
        <f>+$D189*'[5]II-F Alloc_Factor'!L$17</f>
        <v>776.02327761405741</v>
      </c>
      <c r="N189" s="326">
        <f>+$D189*'[5]II-F Alloc_Factor'!M$17</f>
        <v>31.228197617686174</v>
      </c>
      <c r="O189" s="326">
        <f t="shared" si="34"/>
        <v>4685.1800000000003</v>
      </c>
      <c r="P189" s="144"/>
      <c r="Q189" s="144"/>
      <c r="R189" s="138" t="b">
        <f t="shared" si="35"/>
        <v>1</v>
      </c>
    </row>
    <row r="190" spans="1:17" ht="12.75">
      <c r="A190" s="146">
        <v>112</v>
      </c>
      <c r="D190" s="167"/>
      <c r="E190" s="167"/>
      <c r="F190" s="167"/>
      <c r="G190" s="167"/>
      <c r="H190" s="167"/>
      <c r="I190" s="167"/>
      <c r="J190" s="167"/>
      <c r="K190" s="167"/>
      <c r="L190" s="167"/>
      <c r="M190" s="167"/>
      <c r="N190" s="167"/>
      <c r="O190" s="167"/>
      <c r="P190" s="144"/>
      <c r="Q190" s="144"/>
    </row>
    <row r="191" spans="1:17" ht="13.5" thickBot="1">
      <c r="A191" s="146">
        <v>113</v>
      </c>
      <c r="B191" s="211" t="s">
        <v>216</v>
      </c>
      <c r="D191" s="169">
        <f t="shared" si="37" ref="D191:O191">SUM(D178:D189)</f>
        <v>7130.1800000000003</v>
      </c>
      <c r="E191" s="169">
        <f t="shared" si="37"/>
        <v>0</v>
      </c>
      <c r="F191" s="169">
        <f t="shared" si="37"/>
        <v>1570.0767898919187</v>
      </c>
      <c r="G191" s="169">
        <f t="shared" si="38" ref="G191:N191">SUM(G178:G189)</f>
        <v>0</v>
      </c>
      <c r="H191" s="169">
        <f t="shared" si="38"/>
        <v>0</v>
      </c>
      <c r="I191" s="169">
        <f t="shared" si="38"/>
        <v>1570.0767898919187</v>
      </c>
      <c r="J191" s="169">
        <f t="shared" si="38"/>
        <v>4331.5808643992987</v>
      </c>
      <c r="K191" s="169">
        <f t="shared" si="38"/>
        <v>0</v>
      </c>
      <c r="L191" s="169">
        <f t="shared" si="38"/>
        <v>4331.5808643992987</v>
      </c>
      <c r="M191" s="169">
        <f t="shared" si="38"/>
        <v>1180.9974544367985</v>
      </c>
      <c r="N191" s="169">
        <f t="shared" si="38"/>
        <v>47.524891271983918</v>
      </c>
      <c r="O191" s="169">
        <f t="shared" si="37"/>
        <v>7130.1800000000003</v>
      </c>
      <c r="P191" s="170"/>
      <c r="Q191" s="144"/>
    </row>
    <row r="192" ht="13.5" thickTop="1"/>
    <row r="194" spans="2:2" ht="12.75">
      <c r="B194" s="212"/>
    </row>
    <row r="195" spans="4:18" ht="13.5" thickBot="1">
      <c r="D195" s="363" t="s">
        <v>594</v>
      </c>
      <c r="E195" s="362"/>
      <c r="F195" s="362"/>
      <c r="G195" s="362"/>
      <c r="H195" s="362"/>
      <c r="I195" s="362"/>
      <c r="J195" s="362"/>
      <c r="K195" s="362"/>
      <c r="L195" s="362"/>
      <c r="M195" s="362"/>
      <c r="N195" s="362"/>
      <c r="O195" s="362"/>
      <c r="P195" s="143"/>
      <c r="Q195" s="149"/>
      <c r="R195" s="149"/>
    </row>
    <row r="196" spans="14:18" ht="12.75">
      <c r="N196" s="61"/>
      <c r="O196" s="61"/>
      <c r="P196" s="149"/>
      <c r="Q196" s="149"/>
      <c r="R196" s="149"/>
    </row>
    <row r="197" spans="1:15" ht="12.75">
      <c r="A197" s="18" t="s">
        <v>87</v>
      </c>
      <c r="B197" s="18"/>
      <c r="D197" s="209" t="s">
        <v>216</v>
      </c>
      <c r="E197" s="209" t="s">
        <v>53</v>
      </c>
      <c r="F197" s="18"/>
      <c r="G197" s="18" t="s">
        <v>716</v>
      </c>
      <c r="H197" s="18" t="s">
        <v>722</v>
      </c>
      <c r="I197" s="18" t="s">
        <v>717</v>
      </c>
      <c r="J197" s="18"/>
      <c r="K197" s="18" t="s">
        <v>716</v>
      </c>
      <c r="L197" s="18" t="s">
        <v>717</v>
      </c>
      <c r="M197" s="18"/>
      <c r="N197" s="18"/>
      <c r="O197" s="18"/>
    </row>
    <row r="198" spans="1:15" ht="12.75">
      <c r="A198" s="208" t="s">
        <v>89</v>
      </c>
      <c r="B198" s="208" t="s">
        <v>64</v>
      </c>
      <c r="D198" s="202" t="s">
        <v>219</v>
      </c>
      <c r="E198" s="202" t="s">
        <v>218</v>
      </c>
      <c r="F198" s="202" t="s">
        <v>294</v>
      </c>
      <c r="G198" s="202" t="s">
        <v>294</v>
      </c>
      <c r="H198" s="202" t="s">
        <v>723</v>
      </c>
      <c r="I198" s="202" t="s">
        <v>294</v>
      </c>
      <c r="J198" s="202" t="s">
        <v>295</v>
      </c>
      <c r="K198" s="202" t="s">
        <v>295</v>
      </c>
      <c r="L198" s="202" t="s">
        <v>295</v>
      </c>
      <c r="M198" s="202" t="s">
        <v>283</v>
      </c>
      <c r="N198" s="202" t="s">
        <v>126</v>
      </c>
      <c r="O198" s="202" t="s">
        <v>216</v>
      </c>
    </row>
    <row r="199" spans="1:15" ht="12.75">
      <c r="A199" s="18"/>
      <c r="B199" s="16" t="s">
        <v>44</v>
      </c>
      <c r="D199" s="16" t="s">
        <v>45</v>
      </c>
      <c r="E199" s="203" t="s">
        <v>74</v>
      </c>
      <c r="F199" s="16" t="s">
        <v>75</v>
      </c>
      <c r="G199" s="203" t="s">
        <v>76</v>
      </c>
      <c r="H199" s="203" t="s">
        <v>77</v>
      </c>
      <c r="I199" s="203" t="s">
        <v>78</v>
      </c>
      <c r="J199" s="203" t="s">
        <v>79</v>
      </c>
      <c r="K199" s="203" t="s">
        <v>80</v>
      </c>
      <c r="L199" s="203" t="s">
        <v>81</v>
      </c>
      <c r="M199" s="203" t="s">
        <v>82</v>
      </c>
      <c r="N199" s="203" t="s">
        <v>83</v>
      </c>
      <c r="O199" s="203" t="s">
        <v>84</v>
      </c>
    </row>
    <row r="201" spans="1:18" ht="12.75">
      <c r="A201" s="146">
        <v>114</v>
      </c>
      <c r="B201" s="147" t="str">
        <f>+B178</f>
        <v>January 2021</v>
      </c>
      <c r="C201" s="154">
        <v>1</v>
      </c>
      <c r="D201" s="148">
        <v>8507.5200000000004</v>
      </c>
      <c r="E201" s="210" t="s">
        <v>163</v>
      </c>
      <c r="F201" s="148">
        <f>+$D201*'[5]II-F Alloc_Factor'!E$17</f>
        <v>1873.369212494116</v>
      </c>
      <c r="G201" s="148">
        <f>+$D201*'[5]II-F Alloc_Factor'!F$17</f>
        <v>0</v>
      </c>
      <c r="H201" s="148">
        <f>+$D201*'[5]II-F Alloc_Factor'!G$17</f>
        <v>0</v>
      </c>
      <c r="I201" s="148">
        <f>+$D201*'[5]II-F Alloc_Factor'!H$17</f>
        <v>1873.369212494116</v>
      </c>
      <c r="J201" s="148">
        <f>+$D201*'[5]II-F Alloc_Factor'!I$17</f>
        <v>5168.314241084282</v>
      </c>
      <c r="K201" s="148">
        <f>+$D201*'[5]II-F Alloc_Factor'!J$17</f>
        <v>0</v>
      </c>
      <c r="L201" s="148">
        <f>+$D201*'[5]II-F Alloc_Factor'!K$17</f>
        <v>5168.314241084282</v>
      </c>
      <c r="M201" s="148">
        <f>+$D201*'[5]II-F Alloc_Factor'!L$17</f>
        <v>1409.1312510441744</v>
      </c>
      <c r="N201" s="148">
        <f>+$D201*'[5]II-F Alloc_Factor'!M$17</f>
        <v>56.705295377427866</v>
      </c>
      <c r="O201" s="148">
        <f t="shared" si="39" ref="O201:O212">+I201+L201+M201+N201</f>
        <v>8507.5200000000004</v>
      </c>
      <c r="P201" s="148"/>
      <c r="Q201" s="144"/>
      <c r="R201" s="138" t="b">
        <f t="shared" si="40" ref="R201:R212">+D201=O201</f>
        <v>1</v>
      </c>
    </row>
    <row r="202" spans="1:18" ht="12.75">
      <c r="A202" s="146">
        <v>115</v>
      </c>
      <c r="B202" s="147" t="str">
        <f t="shared" si="41" ref="B202:B212">+B179</f>
        <v>February 2021</v>
      </c>
      <c r="C202" s="154">
        <v>2</v>
      </c>
      <c r="D202" s="150">
        <v>8433.6700000000001</v>
      </c>
      <c r="E202" s="210" t="s">
        <v>163</v>
      </c>
      <c r="F202" s="144">
        <f>+$D202*'[5]II-F Alloc_Factor'!E$17</f>
        <v>1857.1073269689935</v>
      </c>
      <c r="G202" s="144">
        <f>+$D202*'[5]II-F Alloc_Factor'!F$17</f>
        <v>0</v>
      </c>
      <c r="H202" s="144">
        <f>+$D202*'[5]II-F Alloc_Factor'!G$17</f>
        <v>0</v>
      </c>
      <c r="I202" s="144">
        <f>+$D202*'[5]II-F Alloc_Factor'!H$17</f>
        <v>1857.1073269689935</v>
      </c>
      <c r="J202" s="144">
        <f>+$D202*'[5]II-F Alloc_Factor'!I$17</f>
        <v>5123.4504021859802</v>
      </c>
      <c r="K202" s="144">
        <f>+$D202*'[5]II-F Alloc_Factor'!J$17</f>
        <v>0</v>
      </c>
      <c r="L202" s="144">
        <f>+$D202*'[5]II-F Alloc_Factor'!K$17</f>
        <v>5123.4504021859802</v>
      </c>
      <c r="M202" s="144">
        <f>+$D202*'[5]II-F Alloc_Factor'!L$17</f>
        <v>1396.8992089344158</v>
      </c>
      <c r="N202" s="144">
        <f>+$D202*'[5]II-F Alloc_Factor'!M$17</f>
        <v>56.213061910609909</v>
      </c>
      <c r="O202" s="144">
        <f t="shared" si="39"/>
        <v>8433.6700000000001</v>
      </c>
      <c r="P202" s="144"/>
      <c r="Q202" s="144"/>
      <c r="R202" s="138" t="b">
        <f t="shared" si="40"/>
        <v>1</v>
      </c>
    </row>
    <row r="203" spans="1:18" ht="12.75">
      <c r="A203" s="146">
        <v>116</v>
      </c>
      <c r="B203" s="147" t="str">
        <f t="shared" si="41"/>
        <v>March 2021</v>
      </c>
      <c r="C203" s="154">
        <v>3</v>
      </c>
      <c r="D203" s="150">
        <v>8315.5100000000002</v>
      </c>
      <c r="E203" s="210" t="s">
        <v>163</v>
      </c>
      <c r="F203" s="144">
        <f>+$D203*'[5]II-F Alloc_Factor'!E$17</f>
        <v>1831.0883101287975</v>
      </c>
      <c r="G203" s="144">
        <f>+$D203*'[5]II-F Alloc_Factor'!F$17</f>
        <v>0</v>
      </c>
      <c r="H203" s="144">
        <f>+$D203*'[5]II-F Alloc_Factor'!G$17</f>
        <v>0</v>
      </c>
      <c r="I203" s="144">
        <f>+$D203*'[5]II-F Alloc_Factor'!H$17</f>
        <v>1831.0883101287975</v>
      </c>
      <c r="J203" s="144">
        <f>+$D203*'[5]II-F Alloc_Factor'!I$17</f>
        <v>5051.6682599486994</v>
      </c>
      <c r="K203" s="144">
        <f>+$D203*'[5]II-F Alloc_Factor'!J$17</f>
        <v>0</v>
      </c>
      <c r="L203" s="144">
        <f>+$D203*'[5]II-F Alloc_Factor'!K$17</f>
        <v>5051.6682599486994</v>
      </c>
      <c r="M203" s="144">
        <f>+$D203*'[5]II-F Alloc_Factor'!L$17</f>
        <v>1377.3279415588024</v>
      </c>
      <c r="N203" s="144">
        <f>+$D203*'[5]II-F Alloc_Factor'!M$17</f>
        <v>55.425488363701191</v>
      </c>
      <c r="O203" s="144">
        <f t="shared" si="39"/>
        <v>8315.5100000000002</v>
      </c>
      <c r="P203" s="144"/>
      <c r="Q203" s="144"/>
      <c r="R203" s="138" t="b">
        <f t="shared" si="40"/>
        <v>1</v>
      </c>
    </row>
    <row r="204" spans="1:18" ht="12.75">
      <c r="A204" s="146">
        <v>117</v>
      </c>
      <c r="B204" s="147" t="str">
        <f t="shared" si="41"/>
        <v>April 2021</v>
      </c>
      <c r="C204" s="154">
        <v>4</v>
      </c>
      <c r="D204" s="150">
        <v>8444.2199999999993</v>
      </c>
      <c r="E204" s="210" t="s">
        <v>163</v>
      </c>
      <c r="F204" s="144">
        <f>+$D204*'[5]II-F Alloc_Factor'!E$17</f>
        <v>1859.4304534725823</v>
      </c>
      <c r="G204" s="144">
        <f>+$D204*'[5]II-F Alloc_Factor'!F$17</f>
        <v>0</v>
      </c>
      <c r="H204" s="144">
        <f>+$D204*'[5]II-F Alloc_Factor'!G$17</f>
        <v>0</v>
      </c>
      <c r="I204" s="144">
        <f>+$D204*'[5]II-F Alloc_Factor'!H$17</f>
        <v>1859.4304534725823</v>
      </c>
      <c r="J204" s="144">
        <f>+$D204*'[5]II-F Alloc_Factor'!I$17</f>
        <v>5129.8595220285943</v>
      </c>
      <c r="K204" s="144">
        <f>+$D204*'[5]II-F Alloc_Factor'!J$17</f>
        <v>0</v>
      </c>
      <c r="L204" s="144">
        <f>+$D204*'[5]II-F Alloc_Factor'!K$17</f>
        <v>5129.8595220285943</v>
      </c>
      <c r="M204" s="144">
        <f>+$D204*'[5]II-F Alloc_Factor'!L$17</f>
        <v>1398.6466435215241</v>
      </c>
      <c r="N204" s="144">
        <f>+$D204*'[5]II-F Alloc_Factor'!M$17</f>
        <v>56.283380977298187</v>
      </c>
      <c r="O204" s="144">
        <f t="shared" si="39"/>
        <v>8444.2199999999993</v>
      </c>
      <c r="P204" s="144"/>
      <c r="Q204" s="144"/>
      <c r="R204" s="138" t="b">
        <f t="shared" si="40"/>
        <v>1</v>
      </c>
    </row>
    <row r="205" spans="1:18" ht="12.75">
      <c r="A205" s="146">
        <v>118</v>
      </c>
      <c r="B205" s="147" t="str">
        <f t="shared" si="41"/>
        <v>May 2021</v>
      </c>
      <c r="C205" s="154">
        <v>5</v>
      </c>
      <c r="D205" s="150">
        <v>8391.4699999999993</v>
      </c>
      <c r="E205" s="210" t="s">
        <v>163</v>
      </c>
      <c r="F205" s="144">
        <f>+$D205*'[5]II-F Alloc_Factor'!E$17</f>
        <v>1847.8148209546375</v>
      </c>
      <c r="G205" s="144">
        <f>+$D205*'[5]II-F Alloc_Factor'!F$17</f>
        <v>0</v>
      </c>
      <c r="H205" s="144">
        <f>+$D205*'[5]II-F Alloc_Factor'!G$17</f>
        <v>0</v>
      </c>
      <c r="I205" s="144">
        <f>+$D205*'[5]II-F Alloc_Factor'!H$17</f>
        <v>1847.8148209546375</v>
      </c>
      <c r="J205" s="144">
        <f>+$D205*'[5]II-F Alloc_Factor'!I$17</f>
        <v>5097.8139228155223</v>
      </c>
      <c r="K205" s="144">
        <f>+$D205*'[5]II-F Alloc_Factor'!J$17</f>
        <v>0</v>
      </c>
      <c r="L205" s="144">
        <f>+$D205*'[5]II-F Alloc_Factor'!K$17</f>
        <v>5097.8139228155223</v>
      </c>
      <c r="M205" s="144">
        <f>+$D205*'[5]II-F Alloc_Factor'!L$17</f>
        <v>1389.9094705859825</v>
      </c>
      <c r="N205" s="144">
        <f>+$D205*'[5]II-F Alloc_Factor'!M$17</f>
        <v>55.931785643856792</v>
      </c>
      <c r="O205" s="144">
        <f t="shared" si="39"/>
        <v>8391.4699999999993</v>
      </c>
      <c r="P205" s="144"/>
      <c r="Q205" s="144"/>
      <c r="R205" s="138" t="b">
        <f t="shared" si="40"/>
        <v>1</v>
      </c>
    </row>
    <row r="206" spans="1:18" ht="12.75">
      <c r="A206" s="146">
        <v>119</v>
      </c>
      <c r="B206" s="147" t="str">
        <f t="shared" si="41"/>
        <v>June 2021</v>
      </c>
      <c r="C206" s="154">
        <v>6</v>
      </c>
      <c r="D206" s="150">
        <v>8520.1800000000003</v>
      </c>
      <c r="E206" s="210" t="s">
        <v>163</v>
      </c>
      <c r="F206" s="144">
        <f>+$D206*'[5]II-F Alloc_Factor'!E$17</f>
        <v>1876.1569642984227</v>
      </c>
      <c r="G206" s="144">
        <f>+$D206*'[5]II-F Alloc_Factor'!F$17</f>
        <v>0</v>
      </c>
      <c r="H206" s="144">
        <f>+$D206*'[5]II-F Alloc_Factor'!G$17</f>
        <v>0</v>
      </c>
      <c r="I206" s="144">
        <f>+$D206*'[5]II-F Alloc_Factor'!H$17</f>
        <v>1876.1569642984227</v>
      </c>
      <c r="J206" s="144">
        <f>+$D206*'[5]II-F Alloc_Factor'!I$17</f>
        <v>5176.005184895419</v>
      </c>
      <c r="K206" s="144">
        <f>+$D206*'[5]II-F Alloc_Factor'!J$17</f>
        <v>0</v>
      </c>
      <c r="L206" s="144">
        <f>+$D206*'[5]II-F Alloc_Factor'!K$17</f>
        <v>5176.005184895419</v>
      </c>
      <c r="M206" s="144">
        <f>+$D206*'[5]II-F Alloc_Factor'!L$17</f>
        <v>1411.2281725487044</v>
      </c>
      <c r="N206" s="144">
        <f>+$D206*'[5]II-F Alloc_Factor'!M$17</f>
        <v>56.789678257453794</v>
      </c>
      <c r="O206" s="144">
        <f t="shared" si="39"/>
        <v>8520.1800000000003</v>
      </c>
      <c r="P206" s="144"/>
      <c r="Q206" s="144"/>
      <c r="R206" s="138" t="b">
        <f t="shared" si="40"/>
        <v>1</v>
      </c>
    </row>
    <row r="207" spans="1:18" ht="12.75">
      <c r="A207" s="146">
        <v>120</v>
      </c>
      <c r="B207" s="147" t="str">
        <f t="shared" si="41"/>
        <v>July 2021</v>
      </c>
      <c r="C207" s="154">
        <v>7</v>
      </c>
      <c r="D207" s="150">
        <v>8716.4099999999999</v>
      </c>
      <c r="E207" s="210" t="s">
        <v>163</v>
      </c>
      <c r="F207" s="144">
        <f>+$D207*'[5]II-F Alloc_Factor'!E$17</f>
        <v>1919.3671172651768</v>
      </c>
      <c r="G207" s="144">
        <f>+$D207*'[5]II-F Alloc_Factor'!F$17</f>
        <v>0</v>
      </c>
      <c r="H207" s="144">
        <f>+$D207*'[5]II-F Alloc_Factor'!G$17</f>
        <v>0</v>
      </c>
      <c r="I207" s="144">
        <f>+$D207*'[5]II-F Alloc_Factor'!H$17</f>
        <v>1919.3671172651768</v>
      </c>
      <c r="J207" s="144">
        <f>+$D207*'[5]II-F Alloc_Factor'!I$17</f>
        <v>5295.2148139680476</v>
      </c>
      <c r="K207" s="144">
        <f>+$D207*'[5]II-F Alloc_Factor'!J$17</f>
        <v>0</v>
      </c>
      <c r="L207" s="144">
        <f>+$D207*'[5]II-F Alloc_Factor'!K$17</f>
        <v>5295.2148139680476</v>
      </c>
      <c r="M207" s="144">
        <f>+$D207*'[5]II-F Alloc_Factor'!L$17</f>
        <v>1443.7304558689198</v>
      </c>
      <c r="N207" s="144">
        <f>+$D207*'[5]II-F Alloc_Factor'!M$17</f>
        <v>58.097612897855775</v>
      </c>
      <c r="O207" s="144">
        <f t="shared" si="39"/>
        <v>8716.4099999999999</v>
      </c>
      <c r="P207" s="144"/>
      <c r="Q207" s="144"/>
      <c r="R207" s="138" t="b">
        <f t="shared" si="40"/>
        <v>1</v>
      </c>
    </row>
    <row r="208" spans="1:18" ht="12.75">
      <c r="A208" s="146">
        <v>121</v>
      </c>
      <c r="B208" s="147" t="str">
        <f t="shared" si="41"/>
        <v>August 2021</v>
      </c>
      <c r="C208" s="154">
        <v>8</v>
      </c>
      <c r="D208" s="150">
        <v>8583.4799999999996</v>
      </c>
      <c r="E208" s="210" t="s">
        <v>163</v>
      </c>
      <c r="F208" s="144">
        <f>+$D208*'[5]II-F Alloc_Factor'!E$17</f>
        <v>1890.0957233199563</v>
      </c>
      <c r="G208" s="144">
        <f>+$D208*'[5]II-F Alloc_Factor'!F$17</f>
        <v>0</v>
      </c>
      <c r="H208" s="144">
        <f>+$D208*'[5]II-F Alloc_Factor'!G$17</f>
        <v>0</v>
      </c>
      <c r="I208" s="144">
        <f>+$D208*'[5]II-F Alloc_Factor'!H$17</f>
        <v>1890.0957233199563</v>
      </c>
      <c r="J208" s="144">
        <f>+$D208*'[5]II-F Alloc_Factor'!I$17</f>
        <v>5214.4599039511049</v>
      </c>
      <c r="K208" s="144">
        <f>+$D208*'[5]II-F Alloc_Factor'!J$17</f>
        <v>0</v>
      </c>
      <c r="L208" s="144">
        <f>+$D208*'[5]II-F Alloc_Factor'!K$17</f>
        <v>5214.4599039511049</v>
      </c>
      <c r="M208" s="144">
        <f>+$D208*'[5]II-F Alloc_Factor'!L$17</f>
        <v>1421.7127800713545</v>
      </c>
      <c r="N208" s="144">
        <f>+$D208*'[5]II-F Alloc_Factor'!M$17</f>
        <v>57.211592657583466</v>
      </c>
      <c r="O208" s="144">
        <f t="shared" si="39"/>
        <v>8583.4799999999996</v>
      </c>
      <c r="P208" s="144"/>
      <c r="Q208" s="144"/>
      <c r="R208" s="138" t="b">
        <f t="shared" si="40"/>
        <v>1</v>
      </c>
    </row>
    <row r="209" spans="1:18" ht="12.75">
      <c r="A209" s="146">
        <v>122</v>
      </c>
      <c r="B209" s="147" t="str">
        <f t="shared" si="41"/>
        <v>September 2021</v>
      </c>
      <c r="C209" s="154">
        <v>9</v>
      </c>
      <c r="D209" s="150">
        <v>8695.3099999999995</v>
      </c>
      <c r="E209" s="210" t="s">
        <v>163</v>
      </c>
      <c r="F209" s="144">
        <f>+$D209*'[5]II-F Alloc_Factor'!E$17</f>
        <v>1914.720864257999</v>
      </c>
      <c r="G209" s="144">
        <f>+$D209*'[5]II-F Alloc_Factor'!F$17</f>
        <v>0</v>
      </c>
      <c r="H209" s="144">
        <f>+$D209*'[5]II-F Alloc_Factor'!G$17</f>
        <v>0</v>
      </c>
      <c r="I209" s="144">
        <f>+$D209*'[5]II-F Alloc_Factor'!H$17</f>
        <v>1914.720864257999</v>
      </c>
      <c r="J209" s="144">
        <f>+$D209*'[5]II-F Alloc_Factor'!I$17</f>
        <v>5282.3965742828186</v>
      </c>
      <c r="K209" s="144">
        <f>+$D209*'[5]II-F Alloc_Factor'!J$17</f>
        <v>0</v>
      </c>
      <c r="L209" s="144">
        <f>+$D209*'[5]II-F Alloc_Factor'!K$17</f>
        <v>5282.3965742828186</v>
      </c>
      <c r="M209" s="144">
        <f>+$D209*'[5]II-F Alloc_Factor'!L$17</f>
        <v>1440.235586694703</v>
      </c>
      <c r="N209" s="144">
        <f>+$D209*'[5]II-F Alloc_Factor'!M$17</f>
        <v>57.956974764479213</v>
      </c>
      <c r="O209" s="144">
        <f t="shared" si="39"/>
        <v>8695.3100000000013</v>
      </c>
      <c r="P209" s="144"/>
      <c r="Q209" s="144"/>
      <c r="R209" s="138" t="b">
        <f t="shared" si="40"/>
        <v>1</v>
      </c>
    </row>
    <row r="210" spans="1:18" ht="12.75">
      <c r="A210" s="146">
        <v>123</v>
      </c>
      <c r="B210" s="147" t="str">
        <f t="shared" si="41"/>
        <v>October 2021</v>
      </c>
      <c r="C210" s="154">
        <v>10</v>
      </c>
      <c r="D210" s="150">
        <v>8691.0900000000001</v>
      </c>
      <c r="E210" s="210" t="s">
        <v>163</v>
      </c>
      <c r="F210" s="144">
        <f>+$D210*'[5]II-F Alloc_Factor'!E$17</f>
        <v>1913.7916136565634</v>
      </c>
      <c r="G210" s="144">
        <f>+$D210*'[5]II-F Alloc_Factor'!F$17</f>
        <v>0</v>
      </c>
      <c r="H210" s="144">
        <f>+$D210*'[5]II-F Alloc_Factor'!G$17</f>
        <v>0</v>
      </c>
      <c r="I210" s="144">
        <f>+$D210*'[5]II-F Alloc_Factor'!H$17</f>
        <v>1913.7916136565634</v>
      </c>
      <c r="J210" s="144">
        <f>+$D210*'[5]II-F Alloc_Factor'!I$17</f>
        <v>5279.8329263457726</v>
      </c>
      <c r="K210" s="144">
        <f>+$D210*'[5]II-F Alloc_Factor'!J$17</f>
        <v>0</v>
      </c>
      <c r="L210" s="144">
        <f>+$D210*'[5]II-F Alloc_Factor'!K$17</f>
        <v>5279.8329263457726</v>
      </c>
      <c r="M210" s="144">
        <f>+$D210*'[5]II-F Alloc_Factor'!L$17</f>
        <v>1439.5366128598596</v>
      </c>
      <c r="N210" s="144">
        <f>+$D210*'[5]II-F Alloc_Factor'!M$17</f>
        <v>57.928847137803906</v>
      </c>
      <c r="O210" s="144">
        <f t="shared" si="39"/>
        <v>8691.0900000000001</v>
      </c>
      <c r="P210" s="144"/>
      <c r="Q210" s="144"/>
      <c r="R210" s="138" t="b">
        <f t="shared" si="40"/>
        <v>1</v>
      </c>
    </row>
    <row r="211" spans="1:18" ht="12.75">
      <c r="A211" s="146">
        <v>124</v>
      </c>
      <c r="B211" s="147" t="str">
        <f t="shared" si="41"/>
        <v>November 2021</v>
      </c>
      <c r="C211" s="154">
        <v>11</v>
      </c>
      <c r="D211" s="150">
        <v>8587.7000000000007</v>
      </c>
      <c r="E211" s="210" t="s">
        <v>163</v>
      </c>
      <c r="F211" s="144">
        <f>+$D211*'[5]II-F Alloc_Factor'!E$17</f>
        <v>1891.0249739213921</v>
      </c>
      <c r="G211" s="144">
        <f>+$D211*'[5]II-F Alloc_Factor'!F$17</f>
        <v>0</v>
      </c>
      <c r="H211" s="144">
        <f>+$D211*'[5]II-F Alloc_Factor'!G$17</f>
        <v>0</v>
      </c>
      <c r="I211" s="144">
        <f>+$D211*'[5]II-F Alloc_Factor'!H$17</f>
        <v>1891.0249739213921</v>
      </c>
      <c r="J211" s="144">
        <f>+$D211*'[5]II-F Alloc_Factor'!I$17</f>
        <v>5217.0235518881518</v>
      </c>
      <c r="K211" s="144">
        <f>+$D211*'[5]II-F Alloc_Factor'!J$17</f>
        <v>0</v>
      </c>
      <c r="L211" s="144">
        <f>+$D211*'[5]II-F Alloc_Factor'!K$17</f>
        <v>5217.0235518881518</v>
      </c>
      <c r="M211" s="144">
        <f>+$D211*'[5]II-F Alloc_Factor'!L$17</f>
        <v>1422.4117539061979</v>
      </c>
      <c r="N211" s="144">
        <f>+$D211*'[5]II-F Alloc_Factor'!M$17</f>
        <v>57.23972028425878</v>
      </c>
      <c r="O211" s="144">
        <f t="shared" si="39"/>
        <v>8587.7000000000007</v>
      </c>
      <c r="P211" s="144"/>
      <c r="Q211" s="144"/>
      <c r="R211" s="138" t="b">
        <f t="shared" si="40"/>
        <v>1</v>
      </c>
    </row>
    <row r="212" spans="1:18" ht="12.75">
      <c r="A212" s="146">
        <v>125</v>
      </c>
      <c r="B212" s="147" t="str">
        <f t="shared" si="41"/>
        <v>December 2021</v>
      </c>
      <c r="C212" s="154">
        <v>12</v>
      </c>
      <c r="D212" s="150">
        <v>8680.5400000000009</v>
      </c>
      <c r="E212" s="210" t="s">
        <v>163</v>
      </c>
      <c r="F212" s="144">
        <f>+$D212*'[5]II-F Alloc_Factor'!E$17</f>
        <v>1911.4684871529746</v>
      </c>
      <c r="G212" s="144">
        <f>+$D212*'[5]II-F Alloc_Factor'!F$17</f>
        <v>0</v>
      </c>
      <c r="H212" s="144">
        <f>+$D212*'[5]II-F Alloc_Factor'!G$17</f>
        <v>0</v>
      </c>
      <c r="I212" s="144">
        <f>+$D212*'[5]II-F Alloc_Factor'!H$17</f>
        <v>1911.4684871529746</v>
      </c>
      <c r="J212" s="144">
        <f>+$D212*'[5]II-F Alloc_Factor'!I$17</f>
        <v>5273.4238065031586</v>
      </c>
      <c r="K212" s="144">
        <f>+$D212*'[5]II-F Alloc_Factor'!J$17</f>
        <v>0</v>
      </c>
      <c r="L212" s="144">
        <f>+$D212*'[5]II-F Alloc_Factor'!K$17</f>
        <v>5273.4238065031586</v>
      </c>
      <c r="M212" s="144">
        <f>+$D212*'[5]II-F Alloc_Factor'!L$17</f>
        <v>1437.7891782727515</v>
      </c>
      <c r="N212" s="144">
        <f>+$D212*'[5]II-F Alloc_Factor'!M$17</f>
        <v>57.858528071115636</v>
      </c>
      <c r="O212" s="144">
        <f t="shared" si="39"/>
        <v>8680.5400000000009</v>
      </c>
      <c r="P212" s="144"/>
      <c r="Q212" s="144"/>
      <c r="R212" s="138" t="b">
        <f t="shared" si="40"/>
        <v>1</v>
      </c>
    </row>
    <row r="213" spans="1:17" ht="12.75">
      <c r="A213" s="146">
        <v>126</v>
      </c>
      <c r="D213" s="167"/>
      <c r="E213" s="167"/>
      <c r="F213" s="167"/>
      <c r="G213" s="167"/>
      <c r="H213" s="167"/>
      <c r="I213" s="167"/>
      <c r="J213" s="167"/>
      <c r="K213" s="167"/>
      <c r="L213" s="167"/>
      <c r="M213" s="167"/>
      <c r="N213" s="167"/>
      <c r="O213" s="167"/>
      <c r="P213" s="144"/>
      <c r="Q213" s="144"/>
    </row>
    <row r="214" spans="1:17" ht="13.5" thickBot="1">
      <c r="A214" s="146">
        <v>127</v>
      </c>
      <c r="B214" s="211" t="s">
        <v>216</v>
      </c>
      <c r="D214" s="169">
        <f t="shared" si="42" ref="D214:O214">SUM(D201:D212)</f>
        <v>102567.10000000001</v>
      </c>
      <c r="E214" s="169">
        <f t="shared" si="42"/>
        <v>0</v>
      </c>
      <c r="F214" s="169">
        <f t="shared" si="42"/>
        <v>22585.435867891611</v>
      </c>
      <c r="G214" s="169">
        <f t="shared" si="43" ref="G214:N214">SUM(G201:G212)</f>
        <v>0</v>
      </c>
      <c r="H214" s="169">
        <f t="shared" si="43"/>
        <v>0</v>
      </c>
      <c r="I214" s="169">
        <f t="shared" si="43"/>
        <v>22585.435867891611</v>
      </c>
      <c r="J214" s="169">
        <f t="shared" si="43"/>
        <v>62309.463109897559</v>
      </c>
      <c r="K214" s="169">
        <f t="shared" si="43"/>
        <v>0</v>
      </c>
      <c r="L214" s="169">
        <f t="shared" si="43"/>
        <v>62309.463109897559</v>
      </c>
      <c r="M214" s="169">
        <f t="shared" si="43"/>
        <v>16988.55905586739</v>
      </c>
      <c r="N214" s="169">
        <f t="shared" si="43"/>
        <v>683.64196634344444</v>
      </c>
      <c r="O214" s="169">
        <f t="shared" si="42"/>
        <v>102567.10000000001</v>
      </c>
      <c r="P214" s="170"/>
      <c r="Q214" s="144"/>
    </row>
    <row r="215" ht="13.5" thickTop="1"/>
    <row r="217" spans="2:2" ht="12.75">
      <c r="B217" s="212"/>
    </row>
    <row r="218" spans="4:18" ht="13.5" thickBot="1">
      <c r="D218" s="363" t="s">
        <v>744</v>
      </c>
      <c r="E218" s="362"/>
      <c r="F218" s="362"/>
      <c r="G218" s="362"/>
      <c r="H218" s="362"/>
      <c r="I218" s="362"/>
      <c r="J218" s="362"/>
      <c r="K218" s="362"/>
      <c r="L218" s="362"/>
      <c r="M218" s="362"/>
      <c r="N218" s="362"/>
      <c r="O218" s="362"/>
      <c r="P218" s="143"/>
      <c r="Q218" s="149"/>
      <c r="R218" s="149"/>
    </row>
    <row r="219" spans="14:18" ht="12.75">
      <c r="N219" s="61"/>
      <c r="O219" s="61"/>
      <c r="P219" s="149"/>
      <c r="Q219" s="149"/>
      <c r="R219" s="149"/>
    </row>
    <row r="220" spans="1:15" ht="12.75">
      <c r="A220" s="18" t="s">
        <v>87</v>
      </c>
      <c r="B220" s="18"/>
      <c r="D220" s="209" t="s">
        <v>216</v>
      </c>
      <c r="E220" s="209" t="s">
        <v>53</v>
      </c>
      <c r="F220" s="18"/>
      <c r="G220" s="18" t="s">
        <v>716</v>
      </c>
      <c r="H220" s="18" t="s">
        <v>722</v>
      </c>
      <c r="I220" s="18" t="s">
        <v>717</v>
      </c>
      <c r="J220" s="18"/>
      <c r="K220" s="18" t="s">
        <v>716</v>
      </c>
      <c r="L220" s="18" t="s">
        <v>717</v>
      </c>
      <c r="M220" s="18"/>
      <c r="N220" s="18"/>
      <c r="O220" s="18"/>
    </row>
    <row r="221" spans="1:15" ht="12.75">
      <c r="A221" s="208" t="s">
        <v>89</v>
      </c>
      <c r="B221" s="208" t="s">
        <v>64</v>
      </c>
      <c r="D221" s="202" t="s">
        <v>219</v>
      </c>
      <c r="E221" s="202" t="s">
        <v>218</v>
      </c>
      <c r="F221" s="202" t="s">
        <v>294</v>
      </c>
      <c r="G221" s="202" t="s">
        <v>294</v>
      </c>
      <c r="H221" s="202" t="s">
        <v>723</v>
      </c>
      <c r="I221" s="202" t="s">
        <v>294</v>
      </c>
      <c r="J221" s="202" t="s">
        <v>295</v>
      </c>
      <c r="K221" s="202" t="s">
        <v>295</v>
      </c>
      <c r="L221" s="202" t="s">
        <v>295</v>
      </c>
      <c r="M221" s="202" t="s">
        <v>283</v>
      </c>
      <c r="N221" s="202" t="s">
        <v>126</v>
      </c>
      <c r="O221" s="202" t="s">
        <v>216</v>
      </c>
    </row>
    <row r="222" spans="1:15" ht="12.75">
      <c r="A222" s="18"/>
      <c r="B222" s="16" t="s">
        <v>44</v>
      </c>
      <c r="D222" s="16" t="s">
        <v>45</v>
      </c>
      <c r="E222" s="203" t="s">
        <v>74</v>
      </c>
      <c r="F222" s="16" t="s">
        <v>75</v>
      </c>
      <c r="G222" s="203" t="s">
        <v>76</v>
      </c>
      <c r="H222" s="203" t="s">
        <v>77</v>
      </c>
      <c r="I222" s="203" t="s">
        <v>78</v>
      </c>
      <c r="J222" s="203" t="s">
        <v>79</v>
      </c>
      <c r="K222" s="203" t="s">
        <v>80</v>
      </c>
      <c r="L222" s="203" t="s">
        <v>81</v>
      </c>
      <c r="M222" s="203" t="s">
        <v>82</v>
      </c>
      <c r="N222" s="203" t="s">
        <v>83</v>
      </c>
      <c r="O222" s="203" t="s">
        <v>84</v>
      </c>
    </row>
    <row r="224" spans="1:18" ht="12.75">
      <c r="A224" s="146">
        <v>128</v>
      </c>
      <c r="B224" s="147" t="str">
        <f>+B201</f>
        <v>January 2021</v>
      </c>
      <c r="C224" s="154">
        <v>1</v>
      </c>
      <c r="D224" s="327">
        <v>31010.57</v>
      </c>
      <c r="E224" s="210" t="s">
        <v>163</v>
      </c>
      <c r="F224" s="327">
        <f>+$D224*'[5]II-F Alloc_Factor'!E$17</f>
        <v>6828.5760244928788</v>
      </c>
      <c r="G224" s="327">
        <f>+$D224*'[5]II-F Alloc_Factor'!F$17</f>
        <v>0</v>
      </c>
      <c r="H224" s="327">
        <f>+$D224*'[5]II-F Alloc_Factor'!G$17</f>
        <v>0</v>
      </c>
      <c r="I224" s="327">
        <f>+$D224*'[5]II-F Alloc_Factor'!H$17</f>
        <v>6828.5760244928788</v>
      </c>
      <c r="J224" s="327">
        <f>+$D224*'[5]II-F Alloc_Factor'!I$17</f>
        <v>18838.90611542976</v>
      </c>
      <c r="K224" s="327">
        <f>+$D224*'[5]II-F Alloc_Factor'!J$17</f>
        <v>0</v>
      </c>
      <c r="L224" s="327">
        <f>+$D224*'[5]II-F Alloc_Factor'!K$17</f>
        <v>18838.90611542976</v>
      </c>
      <c r="M224" s="327">
        <f>+$D224*'[5]II-F Alloc_Factor'!L$17</f>
        <v>5136.3926619852718</v>
      </c>
      <c r="N224" s="327">
        <f>+$D224*'[5]II-F Alloc_Factor'!M$17</f>
        <v>206.69519809208831</v>
      </c>
      <c r="O224" s="327">
        <f t="shared" si="44" ref="O224:O235">+I224+L224+M224+N224</f>
        <v>31010.57</v>
      </c>
      <c r="P224" s="148"/>
      <c r="Q224" s="144"/>
      <c r="R224" s="138" t="b">
        <f t="shared" si="45" ref="R224:R235">+D224=O224</f>
        <v>1</v>
      </c>
    </row>
    <row r="225" spans="1:18" ht="12.75">
      <c r="A225" s="146">
        <v>129</v>
      </c>
      <c r="B225" s="147" t="str">
        <f t="shared" si="46" ref="B225:B235">+B202</f>
        <v>February 2021</v>
      </c>
      <c r="C225" s="154">
        <v>2</v>
      </c>
      <c r="D225" s="255">
        <v>0</v>
      </c>
      <c r="E225" s="210" t="s">
        <v>163</v>
      </c>
      <c r="F225" s="326">
        <f>+$D225*'[5]II-F Alloc_Factor'!E$17</f>
        <v>0</v>
      </c>
      <c r="G225" s="326">
        <f>+$D225*'[5]II-F Alloc_Factor'!F$17</f>
        <v>0</v>
      </c>
      <c r="H225" s="326">
        <f>+$D225*'[5]II-F Alloc_Factor'!G$17</f>
        <v>0</v>
      </c>
      <c r="I225" s="326">
        <f>+$D225*'[5]II-F Alloc_Factor'!H$17</f>
        <v>0</v>
      </c>
      <c r="J225" s="326">
        <f>+$D225*'[5]II-F Alloc_Factor'!I$17</f>
        <v>0</v>
      </c>
      <c r="K225" s="326">
        <f>+$D225*'[5]II-F Alloc_Factor'!J$17</f>
        <v>0</v>
      </c>
      <c r="L225" s="326">
        <f>+$D225*'[5]II-F Alloc_Factor'!K$17</f>
        <v>0</v>
      </c>
      <c r="M225" s="326">
        <f>+$D225*'[5]II-F Alloc_Factor'!L$17</f>
        <v>0</v>
      </c>
      <c r="N225" s="326">
        <f>+$D225*'[5]II-F Alloc_Factor'!M$17</f>
        <v>0</v>
      </c>
      <c r="O225" s="326">
        <f t="shared" si="44"/>
        <v>0</v>
      </c>
      <c r="P225" s="144"/>
      <c r="Q225" s="144"/>
      <c r="R225" s="138" t="b">
        <f t="shared" si="45"/>
        <v>1</v>
      </c>
    </row>
    <row r="226" spans="1:18" ht="12.75">
      <c r="A226" s="146">
        <v>130</v>
      </c>
      <c r="B226" s="147" t="str">
        <f t="shared" si="46"/>
        <v>March 2021</v>
      </c>
      <c r="C226" s="154">
        <v>3</v>
      </c>
      <c r="D226" s="255">
        <v>-38652.609999999993</v>
      </c>
      <c r="E226" s="210" t="s">
        <v>163</v>
      </c>
      <c r="F226" s="326">
        <f>+$D226*'[5]II-F Alloc_Factor'!E$17</f>
        <v>-8511.3651870982594</v>
      </c>
      <c r="G226" s="326">
        <f>+$D226*'[5]II-F Alloc_Factor'!F$17</f>
        <v>0</v>
      </c>
      <c r="H226" s="326">
        <f>+$D226*'[5]II-F Alloc_Factor'!G$17</f>
        <v>0</v>
      </c>
      <c r="I226" s="326">
        <f>+$D226*'[5]II-F Alloc_Factor'!H$17</f>
        <v>-8511.3651870982594</v>
      </c>
      <c r="J226" s="326">
        <f>+$D226*'[5]II-F Alloc_Factor'!I$17</f>
        <v>-23481.441679605417</v>
      </c>
      <c r="K226" s="326">
        <f>+$D226*'[5]II-F Alloc_Factor'!J$17</f>
        <v>0</v>
      </c>
      <c r="L226" s="326">
        <f>+$D226*'[5]II-F Alloc_Factor'!K$17</f>
        <v>-23481.441679605417</v>
      </c>
      <c r="M226" s="326">
        <f>+$D226*'[5]II-F Alloc_Factor'!L$17</f>
        <v>-6402.1713361147022</v>
      </c>
      <c r="N226" s="326">
        <f>+$D226*'[5]II-F Alloc_Factor'!M$17</f>
        <v>-257.63179718161359</v>
      </c>
      <c r="O226" s="326">
        <f t="shared" si="44"/>
        <v>-38652.610000000001</v>
      </c>
      <c r="P226" s="144"/>
      <c r="Q226" s="144"/>
      <c r="R226" s="138" t="b">
        <f t="shared" si="45"/>
        <v>1</v>
      </c>
    </row>
    <row r="227" spans="1:18" ht="12.75">
      <c r="A227" s="146">
        <v>131</v>
      </c>
      <c r="B227" s="147" t="str">
        <f t="shared" si="46"/>
        <v>April 2021</v>
      </c>
      <c r="C227" s="154">
        <v>4</v>
      </c>
      <c r="D227" s="255">
        <v>930.34000000000015</v>
      </c>
      <c r="E227" s="210" t="s">
        <v>163</v>
      </c>
      <c r="F227" s="326">
        <f>+$D227*'[5]II-F Alloc_Factor'!E$17</f>
        <v>204.86232335060936</v>
      </c>
      <c r="G227" s="326">
        <f>+$D227*'[5]II-F Alloc_Factor'!F$17</f>
        <v>0</v>
      </c>
      <c r="H227" s="326">
        <f>+$D227*'[5]II-F Alloc_Factor'!G$17</f>
        <v>0</v>
      </c>
      <c r="I227" s="326">
        <f>+$D227*'[5]II-F Alloc_Factor'!H$17</f>
        <v>204.86232335060936</v>
      </c>
      <c r="J227" s="326">
        <f>+$D227*'[5]II-F Alloc_Factor'!I$17</f>
        <v>565.18109520169821</v>
      </c>
      <c r="K227" s="326">
        <f>+$D227*'[5]II-F Alloc_Factor'!J$17</f>
        <v>0</v>
      </c>
      <c r="L227" s="326">
        <f>+$D227*'[5]II-F Alloc_Factor'!K$17</f>
        <v>565.18109520169821</v>
      </c>
      <c r="M227" s="326">
        <f>+$D227*'[5]II-F Alloc_Factor'!L$17</f>
        <v>154.09557286923067</v>
      </c>
      <c r="N227" s="326">
        <f>+$D227*'[5]II-F Alloc_Factor'!M$17</f>
        <v>6.2010085784619067</v>
      </c>
      <c r="O227" s="326">
        <f t="shared" si="44"/>
        <v>930.34000000000015</v>
      </c>
      <c r="P227" s="144"/>
      <c r="Q227" s="144"/>
      <c r="R227" s="138" t="b">
        <f t="shared" si="45"/>
        <v>1</v>
      </c>
    </row>
    <row r="228" spans="1:18" ht="12.75">
      <c r="A228" s="146">
        <v>132</v>
      </c>
      <c r="B228" s="147" t="str">
        <f t="shared" si="46"/>
        <v>May 2021</v>
      </c>
      <c r="C228" s="154">
        <v>5</v>
      </c>
      <c r="D228" s="255">
        <v>0</v>
      </c>
      <c r="E228" s="210" t="s">
        <v>163</v>
      </c>
      <c r="F228" s="326">
        <f>+$D228*'[5]II-F Alloc_Factor'!E$17</f>
        <v>0</v>
      </c>
      <c r="G228" s="326">
        <f>+$D228*'[5]II-F Alloc_Factor'!F$17</f>
        <v>0</v>
      </c>
      <c r="H228" s="326">
        <f>+$D228*'[5]II-F Alloc_Factor'!G$17</f>
        <v>0</v>
      </c>
      <c r="I228" s="326">
        <f>+$D228*'[5]II-F Alloc_Factor'!H$17</f>
        <v>0</v>
      </c>
      <c r="J228" s="326">
        <f>+$D228*'[5]II-F Alloc_Factor'!I$17</f>
        <v>0</v>
      </c>
      <c r="K228" s="326">
        <f>+$D228*'[5]II-F Alloc_Factor'!J$17</f>
        <v>0</v>
      </c>
      <c r="L228" s="326">
        <f>+$D228*'[5]II-F Alloc_Factor'!K$17</f>
        <v>0</v>
      </c>
      <c r="M228" s="326">
        <f>+$D228*'[5]II-F Alloc_Factor'!L$17</f>
        <v>0</v>
      </c>
      <c r="N228" s="326">
        <f>+$D228*'[5]II-F Alloc_Factor'!M$17</f>
        <v>0</v>
      </c>
      <c r="O228" s="326">
        <f t="shared" si="44"/>
        <v>0</v>
      </c>
      <c r="P228" s="144"/>
      <c r="Q228" s="144"/>
      <c r="R228" s="138" t="b">
        <f t="shared" si="45"/>
        <v>1</v>
      </c>
    </row>
    <row r="229" spans="1:18" ht="12.75">
      <c r="A229" s="146">
        <v>133</v>
      </c>
      <c r="B229" s="147" t="str">
        <f t="shared" si="46"/>
        <v>June 2021</v>
      </c>
      <c r="C229" s="154">
        <v>6</v>
      </c>
      <c r="D229" s="255">
        <v>31010.57</v>
      </c>
      <c r="E229" s="210" t="s">
        <v>163</v>
      </c>
      <c r="F229" s="326">
        <f>+$D229*'[5]II-F Alloc_Factor'!E$17</f>
        <v>6828.5760244928788</v>
      </c>
      <c r="G229" s="326">
        <f>+$D229*'[5]II-F Alloc_Factor'!F$17</f>
        <v>0</v>
      </c>
      <c r="H229" s="326">
        <f>+$D229*'[5]II-F Alloc_Factor'!G$17</f>
        <v>0</v>
      </c>
      <c r="I229" s="326">
        <f>+$D229*'[5]II-F Alloc_Factor'!H$17</f>
        <v>6828.5760244928788</v>
      </c>
      <c r="J229" s="326">
        <f>+$D229*'[5]II-F Alloc_Factor'!I$17</f>
        <v>18838.90611542976</v>
      </c>
      <c r="K229" s="326">
        <f>+$D229*'[5]II-F Alloc_Factor'!J$17</f>
        <v>0</v>
      </c>
      <c r="L229" s="326">
        <f>+$D229*'[5]II-F Alloc_Factor'!K$17</f>
        <v>18838.90611542976</v>
      </c>
      <c r="M229" s="326">
        <f>+$D229*'[5]II-F Alloc_Factor'!L$17</f>
        <v>5136.3926619852718</v>
      </c>
      <c r="N229" s="326">
        <f>+$D229*'[5]II-F Alloc_Factor'!M$17</f>
        <v>206.69519809208831</v>
      </c>
      <c r="O229" s="326">
        <f t="shared" si="44"/>
        <v>31010.57</v>
      </c>
      <c r="P229" s="144"/>
      <c r="Q229" s="144"/>
      <c r="R229" s="138" t="b">
        <f t="shared" si="45"/>
        <v>1</v>
      </c>
    </row>
    <row r="230" spans="1:18" ht="12.75">
      <c r="A230" s="146">
        <v>134</v>
      </c>
      <c r="B230" s="147" t="str">
        <f t="shared" si="46"/>
        <v>July 2021</v>
      </c>
      <c r="C230" s="154">
        <v>7</v>
      </c>
      <c r="D230" s="255">
        <v>930.31999999999971</v>
      </c>
      <c r="E230" s="210" t="s">
        <v>163</v>
      </c>
      <c r="F230" s="326">
        <f>+$D230*'[5]II-F Alloc_Factor'!E$17</f>
        <v>204.85791931932283</v>
      </c>
      <c r="G230" s="326">
        <f>+$D230*'[5]II-F Alloc_Factor'!F$17</f>
        <v>0</v>
      </c>
      <c r="H230" s="326">
        <f>+$D230*'[5]II-F Alloc_Factor'!G$17</f>
        <v>0</v>
      </c>
      <c r="I230" s="326">
        <f>+$D230*'[5]II-F Alloc_Factor'!H$17</f>
        <v>204.85791931932283</v>
      </c>
      <c r="J230" s="326">
        <f>+$D230*'[5]II-F Alloc_Factor'!I$17</f>
        <v>565.16894521147492</v>
      </c>
      <c r="K230" s="326">
        <f>+$D230*'[5]II-F Alloc_Factor'!J$17</f>
        <v>0</v>
      </c>
      <c r="L230" s="326">
        <f>+$D230*'[5]II-F Alloc_Factor'!K$17</f>
        <v>565.16894521147492</v>
      </c>
      <c r="M230" s="326">
        <f>+$D230*'[5]II-F Alloc_Factor'!L$17</f>
        <v>154.09226019702754</v>
      </c>
      <c r="N230" s="326">
        <f>+$D230*'[5]II-F Alloc_Factor'!M$17</f>
        <v>6.2008752721743434</v>
      </c>
      <c r="O230" s="326">
        <f t="shared" si="44"/>
        <v>930.3199999999996</v>
      </c>
      <c r="P230" s="144"/>
      <c r="Q230" s="144"/>
      <c r="R230" s="138" t="b">
        <f t="shared" si="45"/>
        <v>1</v>
      </c>
    </row>
    <row r="231" spans="1:18" ht="12.75">
      <c r="A231" s="146">
        <v>135</v>
      </c>
      <c r="B231" s="147" t="str">
        <f t="shared" si="46"/>
        <v>August 2021</v>
      </c>
      <c r="C231" s="154">
        <v>8</v>
      </c>
      <c r="D231" s="255">
        <v>0</v>
      </c>
      <c r="E231" s="210" t="s">
        <v>163</v>
      </c>
      <c r="F231" s="326">
        <f>+$D231*'[5]II-F Alloc_Factor'!E$17</f>
        <v>0</v>
      </c>
      <c r="G231" s="326">
        <f>+$D231*'[5]II-F Alloc_Factor'!F$17</f>
        <v>0</v>
      </c>
      <c r="H231" s="326">
        <f>+$D231*'[5]II-F Alloc_Factor'!G$17</f>
        <v>0</v>
      </c>
      <c r="I231" s="326">
        <f>+$D231*'[5]II-F Alloc_Factor'!H$17</f>
        <v>0</v>
      </c>
      <c r="J231" s="326">
        <f>+$D231*'[5]II-F Alloc_Factor'!I$17</f>
        <v>0</v>
      </c>
      <c r="K231" s="326">
        <f>+$D231*'[5]II-F Alloc_Factor'!J$17</f>
        <v>0</v>
      </c>
      <c r="L231" s="326">
        <f>+$D231*'[5]II-F Alloc_Factor'!K$17</f>
        <v>0</v>
      </c>
      <c r="M231" s="326">
        <f>+$D231*'[5]II-F Alloc_Factor'!L$17</f>
        <v>0</v>
      </c>
      <c r="N231" s="326">
        <f>+$D231*'[5]II-F Alloc_Factor'!M$17</f>
        <v>0</v>
      </c>
      <c r="O231" s="326">
        <f t="shared" si="44"/>
        <v>0</v>
      </c>
      <c r="P231" s="144"/>
      <c r="Q231" s="144"/>
      <c r="R231" s="138" t="b">
        <f t="shared" si="45"/>
        <v>1</v>
      </c>
    </row>
    <row r="232" spans="1:18" ht="12.75">
      <c r="A232" s="146">
        <v>136</v>
      </c>
      <c r="B232" s="147" t="str">
        <f t="shared" si="46"/>
        <v>September 2021</v>
      </c>
      <c r="C232" s="154">
        <v>9</v>
      </c>
      <c r="D232" s="255">
        <v>31940.889999999999</v>
      </c>
      <c r="E232" s="210" t="s">
        <v>163</v>
      </c>
      <c r="F232" s="326">
        <f>+$D232*'[5]II-F Alloc_Factor'!E$17</f>
        <v>7033.4339438122015</v>
      </c>
      <c r="G232" s="326">
        <f>+$D232*'[5]II-F Alloc_Factor'!F$17</f>
        <v>0</v>
      </c>
      <c r="H232" s="326">
        <f>+$D232*'[5]II-F Alloc_Factor'!G$17</f>
        <v>0</v>
      </c>
      <c r="I232" s="326">
        <f>+$D232*'[5]II-F Alloc_Factor'!H$17</f>
        <v>7033.4339438122015</v>
      </c>
      <c r="J232" s="326">
        <f>+$D232*'[5]II-F Alloc_Factor'!I$17</f>
        <v>19404.075060641233</v>
      </c>
      <c r="K232" s="326">
        <f>+$D232*'[5]II-F Alloc_Factor'!J$17</f>
        <v>0</v>
      </c>
      <c r="L232" s="326">
        <f>+$D232*'[5]II-F Alloc_Factor'!K$17</f>
        <v>19404.075060641233</v>
      </c>
      <c r="M232" s="326">
        <f>+$D232*'[5]II-F Alloc_Factor'!L$17</f>
        <v>5290.4849221822997</v>
      </c>
      <c r="N232" s="326">
        <f>+$D232*'[5]II-F Alloc_Factor'!M$17</f>
        <v>212.89607336426263</v>
      </c>
      <c r="O232" s="326">
        <f t="shared" si="44"/>
        <v>31940.889999999996</v>
      </c>
      <c r="P232" s="144"/>
      <c r="Q232" s="144"/>
      <c r="R232" s="138" t="b">
        <f t="shared" si="45"/>
        <v>1</v>
      </c>
    </row>
    <row r="233" spans="1:18" ht="12.75">
      <c r="A233" s="146">
        <v>137</v>
      </c>
      <c r="B233" s="147" t="str">
        <f t="shared" si="46"/>
        <v>October 2021</v>
      </c>
      <c r="C233" s="154">
        <v>10</v>
      </c>
      <c r="D233" s="255">
        <v>31940.93</v>
      </c>
      <c r="E233" s="210" t="s">
        <v>163</v>
      </c>
      <c r="F233" s="326">
        <f>+$D233*'[5]II-F Alloc_Factor'!E$17</f>
        <v>7033.4427518747752</v>
      </c>
      <c r="G233" s="326">
        <f>+$D233*'[5]II-F Alloc_Factor'!F$17</f>
        <v>0</v>
      </c>
      <c r="H233" s="326">
        <f>+$D233*'[5]II-F Alloc_Factor'!G$17</f>
        <v>0</v>
      </c>
      <c r="I233" s="326">
        <f>+$D233*'[5]II-F Alloc_Factor'!H$17</f>
        <v>7033.4427518747752</v>
      </c>
      <c r="J233" s="326">
        <f>+$D233*'[5]II-F Alloc_Factor'!I$17</f>
        <v>19404.09936062168</v>
      </c>
      <c r="K233" s="326">
        <f>+$D233*'[5]II-F Alloc_Factor'!J$17</f>
        <v>0</v>
      </c>
      <c r="L233" s="326">
        <f>+$D233*'[5]II-F Alloc_Factor'!K$17</f>
        <v>19404.09936062168</v>
      </c>
      <c r="M233" s="326">
        <f>+$D233*'[5]II-F Alloc_Factor'!L$17</f>
        <v>5290.4915475267062</v>
      </c>
      <c r="N233" s="326">
        <f>+$D233*'[5]II-F Alloc_Factor'!M$17</f>
        <v>212.89633997683777</v>
      </c>
      <c r="O233" s="326">
        <f t="shared" si="44"/>
        <v>31940.929999999997</v>
      </c>
      <c r="P233" s="144"/>
      <c r="Q233" s="144"/>
      <c r="R233" s="138" t="b">
        <f t="shared" si="45"/>
        <v>1</v>
      </c>
    </row>
    <row r="234" spans="1:18" ht="12.75">
      <c r="A234" s="146">
        <v>138</v>
      </c>
      <c r="B234" s="147" t="str">
        <f t="shared" si="46"/>
        <v>November 2021</v>
      </c>
      <c r="C234" s="154">
        <v>11</v>
      </c>
      <c r="D234" s="255">
        <v>-31940.91</v>
      </c>
      <c r="E234" s="210" t="s">
        <v>163</v>
      </c>
      <c r="F234" s="326">
        <f>+$D234*'[5]II-F Alloc_Factor'!E$17</f>
        <v>-7033.4383478434884</v>
      </c>
      <c r="G234" s="326">
        <f>+$D234*'[5]II-F Alloc_Factor'!F$17</f>
        <v>0</v>
      </c>
      <c r="H234" s="326">
        <f>+$D234*'[5]II-F Alloc_Factor'!G$17</f>
        <v>0</v>
      </c>
      <c r="I234" s="326">
        <f>+$D234*'[5]II-F Alloc_Factor'!H$17</f>
        <v>-7033.4383478434884</v>
      </c>
      <c r="J234" s="326">
        <f>+$D234*'[5]II-F Alloc_Factor'!I$17</f>
        <v>-19404.087210631456</v>
      </c>
      <c r="K234" s="326">
        <f>+$D234*'[5]II-F Alloc_Factor'!J$17</f>
        <v>0</v>
      </c>
      <c r="L234" s="326">
        <f>+$D234*'[5]II-F Alloc_Factor'!K$17</f>
        <v>-19404.087210631456</v>
      </c>
      <c r="M234" s="326">
        <f>+$D234*'[5]II-F Alloc_Factor'!L$17</f>
        <v>-5290.4882348545025</v>
      </c>
      <c r="N234" s="326">
        <f>+$D234*'[5]II-F Alloc_Factor'!M$17</f>
        <v>-212.89620667055021</v>
      </c>
      <c r="O234" s="326">
        <f t="shared" si="44"/>
        <v>-31940.91</v>
      </c>
      <c r="P234" s="144"/>
      <c r="Q234" s="144"/>
      <c r="R234" s="138" t="b">
        <f t="shared" si="45"/>
        <v>1</v>
      </c>
    </row>
    <row r="235" spans="1:18" ht="12.75">
      <c r="A235" s="146">
        <v>139</v>
      </c>
      <c r="B235" s="147" t="str">
        <f t="shared" si="46"/>
        <v>December 2021</v>
      </c>
      <c r="C235" s="154">
        <v>12</v>
      </c>
      <c r="D235" s="255">
        <v>31940.91</v>
      </c>
      <c r="E235" s="210" t="s">
        <v>163</v>
      </c>
      <c r="F235" s="326">
        <f>+$D235*'[5]II-F Alloc_Factor'!E$17</f>
        <v>7033.4383478434884</v>
      </c>
      <c r="G235" s="326">
        <f>+$D235*'[5]II-F Alloc_Factor'!F$17</f>
        <v>0</v>
      </c>
      <c r="H235" s="326">
        <f>+$D235*'[5]II-F Alloc_Factor'!G$17</f>
        <v>0</v>
      </c>
      <c r="I235" s="326">
        <f>+$D235*'[5]II-F Alloc_Factor'!H$17</f>
        <v>7033.4383478434884</v>
      </c>
      <c r="J235" s="326">
        <f>+$D235*'[5]II-F Alloc_Factor'!I$17</f>
        <v>19404.087210631456</v>
      </c>
      <c r="K235" s="326">
        <f>+$D235*'[5]II-F Alloc_Factor'!J$17</f>
        <v>0</v>
      </c>
      <c r="L235" s="326">
        <f>+$D235*'[5]II-F Alloc_Factor'!K$17</f>
        <v>19404.087210631456</v>
      </c>
      <c r="M235" s="326">
        <f>+$D235*'[5]II-F Alloc_Factor'!L$17</f>
        <v>5290.4882348545025</v>
      </c>
      <c r="N235" s="326">
        <f>+$D235*'[5]II-F Alloc_Factor'!M$17</f>
        <v>212.89620667055021</v>
      </c>
      <c r="O235" s="326">
        <f t="shared" si="44"/>
        <v>31940.91</v>
      </c>
      <c r="P235" s="144"/>
      <c r="Q235" s="144"/>
      <c r="R235" s="138" t="b">
        <f t="shared" si="45"/>
        <v>1</v>
      </c>
    </row>
    <row r="236" spans="1:17" ht="12.75">
      <c r="A236" s="146">
        <v>140</v>
      </c>
      <c r="D236" s="167"/>
      <c r="E236" s="167"/>
      <c r="F236" s="167"/>
      <c r="G236" s="167"/>
      <c r="H236" s="167"/>
      <c r="I236" s="167"/>
      <c r="J236" s="167"/>
      <c r="K236" s="167"/>
      <c r="L236" s="167"/>
      <c r="M236" s="167"/>
      <c r="N236" s="167"/>
      <c r="O236" s="167"/>
      <c r="P236" s="144"/>
      <c r="Q236" s="144"/>
    </row>
    <row r="237" spans="1:17" ht="13.5" thickBot="1">
      <c r="A237" s="146">
        <v>141</v>
      </c>
      <c r="B237" s="211" t="s">
        <v>216</v>
      </c>
      <c r="D237" s="169">
        <f t="shared" si="47" ref="D237:O237">SUM(D224:D235)</f>
        <v>89111.010000000009</v>
      </c>
      <c r="E237" s="169">
        <f t="shared" si="47"/>
        <v>0</v>
      </c>
      <c r="F237" s="169">
        <f t="shared" si="47"/>
        <v>19622.383800244406</v>
      </c>
      <c r="G237" s="169">
        <f t="shared" si="48" ref="G237:N237">SUM(G224:G235)</f>
        <v>0</v>
      </c>
      <c r="H237" s="169">
        <f t="shared" si="48"/>
        <v>0</v>
      </c>
      <c r="I237" s="169">
        <f t="shared" si="48"/>
        <v>19622.383800244406</v>
      </c>
      <c r="J237" s="169">
        <f t="shared" si="48"/>
        <v>54134.895012930188</v>
      </c>
      <c r="K237" s="169">
        <f t="shared" si="48"/>
        <v>0</v>
      </c>
      <c r="L237" s="169">
        <f t="shared" si="48"/>
        <v>54134.895012930188</v>
      </c>
      <c r="M237" s="169">
        <f t="shared" si="48"/>
        <v>14759.778290631108</v>
      </c>
      <c r="N237" s="169">
        <f t="shared" si="48"/>
        <v>593.95289619429968</v>
      </c>
      <c r="O237" s="169">
        <f t="shared" si="47"/>
        <v>89111.009999999995</v>
      </c>
      <c r="P237" s="170"/>
      <c r="Q237" s="144"/>
    </row>
    <row r="238" ht="13.5" thickTop="1"/>
    <row r="240" spans="2:2" ht="12.75">
      <c r="B240" s="212"/>
    </row>
    <row r="241" spans="4:18" ht="13.5" thickBot="1">
      <c r="D241" s="363" t="s">
        <v>419</v>
      </c>
      <c r="E241" s="362"/>
      <c r="F241" s="362"/>
      <c r="G241" s="362"/>
      <c r="H241" s="362"/>
      <c r="I241" s="362"/>
      <c r="J241" s="362"/>
      <c r="K241" s="362"/>
      <c r="L241" s="362"/>
      <c r="M241" s="362"/>
      <c r="N241" s="362"/>
      <c r="O241" s="362"/>
      <c r="P241" s="143"/>
      <c r="Q241" s="149"/>
      <c r="R241" s="149"/>
    </row>
    <row r="242" spans="14:18" ht="12.75">
      <c r="N242" s="61"/>
      <c r="O242" s="61"/>
      <c r="P242" s="149"/>
      <c r="Q242" s="149"/>
      <c r="R242" s="149"/>
    </row>
    <row r="243" spans="1:15" ht="12.75">
      <c r="A243" s="18" t="s">
        <v>87</v>
      </c>
      <c r="B243" s="18"/>
      <c r="D243" s="209" t="s">
        <v>216</v>
      </c>
      <c r="E243" s="209" t="s">
        <v>53</v>
      </c>
      <c r="F243" s="18"/>
      <c r="G243" s="18" t="s">
        <v>716</v>
      </c>
      <c r="H243" s="18" t="s">
        <v>722</v>
      </c>
      <c r="I243" s="18" t="s">
        <v>717</v>
      </c>
      <c r="J243" s="18"/>
      <c r="K243" s="18" t="s">
        <v>716</v>
      </c>
      <c r="L243" s="18" t="s">
        <v>717</v>
      </c>
      <c r="M243" s="18"/>
      <c r="N243" s="18"/>
      <c r="O243" s="18"/>
    </row>
    <row r="244" spans="1:15" ht="12.75">
      <c r="A244" s="208" t="s">
        <v>89</v>
      </c>
      <c r="B244" s="208" t="s">
        <v>64</v>
      </c>
      <c r="D244" s="202" t="s">
        <v>219</v>
      </c>
      <c r="E244" s="202" t="s">
        <v>218</v>
      </c>
      <c r="F244" s="202" t="s">
        <v>294</v>
      </c>
      <c r="G244" s="202" t="s">
        <v>294</v>
      </c>
      <c r="H244" s="202" t="s">
        <v>723</v>
      </c>
      <c r="I244" s="202" t="s">
        <v>294</v>
      </c>
      <c r="J244" s="202" t="s">
        <v>295</v>
      </c>
      <c r="K244" s="202" t="s">
        <v>295</v>
      </c>
      <c r="L244" s="202" t="s">
        <v>295</v>
      </c>
      <c r="M244" s="202" t="s">
        <v>283</v>
      </c>
      <c r="N244" s="202" t="s">
        <v>126</v>
      </c>
      <c r="O244" s="202" t="s">
        <v>216</v>
      </c>
    </row>
    <row r="245" spans="1:15" ht="12.75">
      <c r="A245" s="18"/>
      <c r="B245" s="16" t="s">
        <v>44</v>
      </c>
      <c r="D245" s="16" t="s">
        <v>45</v>
      </c>
      <c r="E245" s="203" t="s">
        <v>74</v>
      </c>
      <c r="F245" s="16" t="s">
        <v>75</v>
      </c>
      <c r="G245" s="203" t="s">
        <v>76</v>
      </c>
      <c r="H245" s="203" t="s">
        <v>77</v>
      </c>
      <c r="I245" s="203" t="s">
        <v>78</v>
      </c>
      <c r="J245" s="203" t="s">
        <v>79</v>
      </c>
      <c r="K245" s="203" t="s">
        <v>80</v>
      </c>
      <c r="L245" s="203" t="s">
        <v>81</v>
      </c>
      <c r="M245" s="203" t="s">
        <v>82</v>
      </c>
      <c r="N245" s="203" t="s">
        <v>83</v>
      </c>
      <c r="O245" s="203" t="s">
        <v>84</v>
      </c>
    </row>
    <row r="247" spans="1:18" ht="12.75">
      <c r="A247" s="146">
        <v>142</v>
      </c>
      <c r="B247" s="147" t="str">
        <f t="shared" si="49" ref="B247:B258">+B178</f>
        <v>January 2021</v>
      </c>
      <c r="C247" s="154">
        <v>1</v>
      </c>
      <c r="D247" s="148">
        <f>+D17+D40+D63+D86+D109+D132+D155+D178+D201+D224</f>
        <v>61187.949999999997</v>
      </c>
      <c r="E247" s="210" t="s">
        <v>163</v>
      </c>
      <c r="F247" s="148">
        <f t="shared" si="50" ref="F247:N247">+F17+F40+F63+F86+F109+F132+F155+F178+F201+F224</f>
        <v>13473.682307608957</v>
      </c>
      <c r="G247" s="148">
        <f t="shared" si="50"/>
        <v>0</v>
      </c>
      <c r="H247" s="148">
        <f t="shared" si="50"/>
        <v>0</v>
      </c>
      <c r="I247" s="148">
        <f t="shared" si="50"/>
        <v>13473.682307608957</v>
      </c>
      <c r="J247" s="148">
        <f t="shared" si="50"/>
        <v>37171.649713165876</v>
      </c>
      <c r="K247" s="148">
        <f t="shared" si="50"/>
        <v>0</v>
      </c>
      <c r="L247" s="148">
        <f t="shared" si="50"/>
        <v>37171.649713165876</v>
      </c>
      <c r="M247" s="148">
        <f t="shared" si="50"/>
        <v>10134.781056327623</v>
      </c>
      <c r="N247" s="148">
        <f t="shared" si="50"/>
        <v>407.83692289754094</v>
      </c>
      <c r="O247" s="148">
        <f t="shared" si="51" ref="O247">+I247+L247+M247+N247</f>
        <v>61187.949999999997</v>
      </c>
      <c r="P247" s="148"/>
      <c r="Q247" s="144"/>
      <c r="R247" s="138" t="b">
        <f t="shared" si="52" ref="R247:R258">+D247=O247</f>
        <v>1</v>
      </c>
    </row>
    <row r="248" spans="1:18" ht="12.75">
      <c r="A248" s="146">
        <v>143</v>
      </c>
      <c r="B248" s="147" t="str">
        <f t="shared" si="49"/>
        <v>February 2021</v>
      </c>
      <c r="C248" s="154">
        <v>2</v>
      </c>
      <c r="D248" s="150">
        <f t="shared" si="53" ref="D248:H258">+D18+D41+D64+D87+D110+D133+D156+D179+D202+D225</f>
        <v>270139.27999999997</v>
      </c>
      <c r="E248" s="210" t="s">
        <v>163</v>
      </c>
      <c r="F248" s="144">
        <f t="shared" si="53"/>
        <v>59485.092040609656</v>
      </c>
      <c r="G248" s="144">
        <f t="shared" si="53"/>
        <v>0</v>
      </c>
      <c r="H248" s="144">
        <f t="shared" si="53"/>
        <v>0</v>
      </c>
      <c r="I248" s="144">
        <f t="shared" si="54" ref="I248:N248">+I18+I41+I64+I87+I110+I133+I156+I179+I202+I225</f>
        <v>59485.092040609656</v>
      </c>
      <c r="J248" s="144">
        <f t="shared" si="54"/>
        <v>164109.48054195047</v>
      </c>
      <c r="K248" s="144">
        <f t="shared" si="54"/>
        <v>0</v>
      </c>
      <c r="L248" s="144">
        <f t="shared" si="54"/>
        <v>164109.48054195047</v>
      </c>
      <c r="M248" s="144">
        <f t="shared" si="54"/>
        <v>44744.144190383624</v>
      </c>
      <c r="N248" s="144">
        <f t="shared" si="54"/>
        <v>1800.5632270562621</v>
      </c>
      <c r="O248" s="144">
        <f t="shared" si="55" ref="O248:O258">+I248+L248+M248+N248</f>
        <v>270139.27999999997</v>
      </c>
      <c r="P248" s="144"/>
      <c r="Q248" s="144"/>
      <c r="R248" s="138" t="b">
        <f t="shared" si="52"/>
        <v>1</v>
      </c>
    </row>
    <row r="249" spans="1:18" ht="12.75">
      <c r="A249" s="146">
        <v>144</v>
      </c>
      <c r="B249" s="147" t="str">
        <f t="shared" si="49"/>
        <v>March 2021</v>
      </c>
      <c r="C249" s="154">
        <v>3</v>
      </c>
      <c r="D249" s="150">
        <f t="shared" si="53"/>
        <v>506984.46000000008</v>
      </c>
      <c r="E249" s="210" t="s">
        <v>163</v>
      </c>
      <c r="F249" s="144">
        <f t="shared" si="53"/>
        <v>111638.77117855198</v>
      </c>
      <c r="G249" s="144">
        <f t="shared" si="53"/>
        <v>0</v>
      </c>
      <c r="H249" s="144">
        <f t="shared" si="53"/>
        <v>0</v>
      </c>
      <c r="I249" s="144">
        <f t="shared" si="56" ref="I249:N249">+I19+I42+I65+I88+I111+I134+I157+I180+I203+I226</f>
        <v>111638.77117855198</v>
      </c>
      <c r="J249" s="144">
        <f t="shared" si="56"/>
        <v>307992.81160977879</v>
      </c>
      <c r="K249" s="144">
        <f t="shared" si="56"/>
        <v>0</v>
      </c>
      <c r="L249" s="144">
        <f t="shared" si="56"/>
        <v>307992.81160977879</v>
      </c>
      <c r="M249" s="144">
        <f t="shared" si="56"/>
        <v>83973.66640099058</v>
      </c>
      <c r="N249" s="144">
        <f t="shared" si="56"/>
        <v>3379.21081067876</v>
      </c>
      <c r="O249" s="144">
        <f t="shared" si="55"/>
        <v>506984.46000000008</v>
      </c>
      <c r="P249" s="144"/>
      <c r="Q249" s="144"/>
      <c r="R249" s="138" t="b">
        <f t="shared" si="52"/>
        <v>1</v>
      </c>
    </row>
    <row r="250" spans="1:18" ht="12.75">
      <c r="A250" s="146">
        <v>145</v>
      </c>
      <c r="B250" s="147" t="str">
        <f t="shared" si="49"/>
        <v>April 2021</v>
      </c>
      <c r="C250" s="154">
        <v>4</v>
      </c>
      <c r="D250" s="150">
        <f t="shared" si="53"/>
        <v>105332.56999999998</v>
      </c>
      <c r="E250" s="210" t="s">
        <v>163</v>
      </c>
      <c r="F250" s="144">
        <f t="shared" si="53"/>
        <v>23194.396687975022</v>
      </c>
      <c r="G250" s="144">
        <f t="shared" si="53"/>
        <v>0</v>
      </c>
      <c r="H250" s="144">
        <f t="shared" si="53"/>
        <v>0</v>
      </c>
      <c r="I250" s="144">
        <f t="shared" si="57" ref="I250:N250">+I20+I43+I66+I89+I112+I135+I158+I181+I204+I227</f>
        <v>23194.396687975022</v>
      </c>
      <c r="J250" s="144">
        <f t="shared" si="57"/>
        <v>63989.484782992789</v>
      </c>
      <c r="K250" s="144">
        <f t="shared" si="57"/>
        <v>0</v>
      </c>
      <c r="L250" s="144">
        <f t="shared" si="57"/>
        <v>63989.484782992789</v>
      </c>
      <c r="M250" s="144">
        <f t="shared" si="57"/>
        <v>17446.613835735683</v>
      </c>
      <c r="N250" s="144">
        <f t="shared" si="57"/>
        <v>702.07469329647131</v>
      </c>
      <c r="O250" s="144">
        <f t="shared" si="55"/>
        <v>105332.56999999996</v>
      </c>
      <c r="P250" s="144"/>
      <c r="Q250" s="144"/>
      <c r="R250" s="138" t="b">
        <f t="shared" si="52"/>
        <v>1</v>
      </c>
    </row>
    <row r="251" spans="1:18" ht="12.75">
      <c r="A251" s="146">
        <v>146</v>
      </c>
      <c r="B251" s="147" t="str">
        <f t="shared" si="49"/>
        <v>May 2021</v>
      </c>
      <c r="C251" s="154">
        <v>5</v>
      </c>
      <c r="D251" s="150">
        <f t="shared" si="53"/>
        <v>181590.48999999996</v>
      </c>
      <c r="E251" s="210" t="s">
        <v>163</v>
      </c>
      <c r="F251" s="144">
        <f t="shared" si="53"/>
        <v>39986.509963857934</v>
      </c>
      <c r="G251" s="144">
        <f t="shared" si="53"/>
        <v>0</v>
      </c>
      <c r="H251" s="144">
        <f t="shared" si="53"/>
        <v>0</v>
      </c>
      <c r="I251" s="144">
        <f t="shared" si="58" ref="I251:N251">+I21+I44+I67+I90+I113+I136+I159+I182+I205+I228</f>
        <v>39986.509963857934</v>
      </c>
      <c r="J251" s="144">
        <f t="shared" si="58"/>
        <v>110316.13390417802</v>
      </c>
      <c r="K251" s="144">
        <f t="shared" si="58"/>
        <v>0</v>
      </c>
      <c r="L251" s="144">
        <f t="shared" si="58"/>
        <v>110316.13390417802</v>
      </c>
      <c r="M251" s="144">
        <f t="shared" si="58"/>
        <v>30077.488428052424</v>
      </c>
      <c r="N251" s="144">
        <f t="shared" si="58"/>
        <v>1210.3577039115817</v>
      </c>
      <c r="O251" s="144">
        <f t="shared" si="55"/>
        <v>181590.48999999996</v>
      </c>
      <c r="P251" s="144"/>
      <c r="Q251" s="144"/>
      <c r="R251" s="138" t="b">
        <f t="shared" si="52"/>
        <v>1</v>
      </c>
    </row>
    <row r="252" spans="1:18" ht="12.75">
      <c r="A252" s="146">
        <v>147</v>
      </c>
      <c r="B252" s="147" t="str">
        <f t="shared" si="49"/>
        <v>June 2021</v>
      </c>
      <c r="C252" s="154">
        <v>6</v>
      </c>
      <c r="D252" s="150">
        <f t="shared" si="53"/>
        <v>564052.17000000004</v>
      </c>
      <c r="E252" s="210" t="s">
        <v>163</v>
      </c>
      <c r="F252" s="144">
        <f t="shared" si="53"/>
        <v>124205.17019278205</v>
      </c>
      <c r="G252" s="144">
        <f t="shared" si="53"/>
        <v>0</v>
      </c>
      <c r="H252" s="144">
        <f t="shared" si="53"/>
        <v>0</v>
      </c>
      <c r="I252" s="144">
        <f t="shared" si="59" ref="I252:N252">+I22+I45+I68+I91+I114+I137+I160+I183+I206+I229</f>
        <v>124205.17019278205</v>
      </c>
      <c r="J252" s="144">
        <f t="shared" si="59"/>
        <v>342661.417537131</v>
      </c>
      <c r="K252" s="144">
        <f t="shared" si="59"/>
        <v>0</v>
      </c>
      <c r="L252" s="144">
        <f t="shared" si="59"/>
        <v>342661.417537131</v>
      </c>
      <c r="M252" s="144">
        <f t="shared" si="59"/>
        <v>93425.997231423622</v>
      </c>
      <c r="N252" s="144">
        <f t="shared" si="59"/>
        <v>3759.5850386633424</v>
      </c>
      <c r="O252" s="144">
        <f t="shared" si="55"/>
        <v>564052.17000000004</v>
      </c>
      <c r="P252" s="144"/>
      <c r="Q252" s="144"/>
      <c r="R252" s="138" t="b">
        <f t="shared" si="52"/>
        <v>1</v>
      </c>
    </row>
    <row r="253" spans="1:18" ht="12.75">
      <c r="A253" s="146">
        <v>148</v>
      </c>
      <c r="B253" s="147" t="str">
        <f t="shared" si="49"/>
        <v>July 2021</v>
      </c>
      <c r="C253" s="154">
        <v>7</v>
      </c>
      <c r="D253" s="150">
        <f t="shared" si="53"/>
        <v>60616.939999999995</v>
      </c>
      <c r="E253" s="210" t="s">
        <v>163</v>
      </c>
      <c r="F253" s="144">
        <f t="shared" si="53"/>
        <v>13347.945012365895</v>
      </c>
      <c r="G253" s="144">
        <f t="shared" si="53"/>
        <v>0</v>
      </c>
      <c r="H253" s="144">
        <f t="shared" si="53"/>
        <v>0</v>
      </c>
      <c r="I253" s="144">
        <f t="shared" si="60" ref="I253:N253">+I23+I46+I69+I92+I115+I138+I161+I184+I207+I230</f>
        <v>13347.945012365895</v>
      </c>
      <c r="J253" s="144">
        <f t="shared" si="60"/>
        <v>36824.761417305097</v>
      </c>
      <c r="K253" s="144">
        <f t="shared" si="60"/>
        <v>0</v>
      </c>
      <c r="L253" s="144">
        <f t="shared" si="60"/>
        <v>36824.761417305097</v>
      </c>
      <c r="M253" s="144">
        <f t="shared" si="60"/>
        <v>10040.202608594473</v>
      </c>
      <c r="N253" s="144">
        <f t="shared" si="60"/>
        <v>404.03096173453866</v>
      </c>
      <c r="O253" s="144">
        <f t="shared" si="55"/>
        <v>60616.94000000001</v>
      </c>
      <c r="P253" s="144"/>
      <c r="Q253" s="144"/>
      <c r="R253" s="138" t="b">
        <f t="shared" si="52"/>
        <v>1</v>
      </c>
    </row>
    <row r="254" spans="1:18" ht="12.75">
      <c r="A254" s="146">
        <v>149</v>
      </c>
      <c r="B254" s="147" t="str">
        <f t="shared" si="49"/>
        <v>August 2021</v>
      </c>
      <c r="C254" s="154">
        <v>8</v>
      </c>
      <c r="D254" s="150">
        <f t="shared" si="53"/>
        <v>260131.65999999997</v>
      </c>
      <c r="E254" s="210" t="s">
        <v>163</v>
      </c>
      <c r="F254" s="144">
        <f t="shared" si="53"/>
        <v>57281.398461477271</v>
      </c>
      <c r="G254" s="144">
        <f t="shared" si="53"/>
        <v>0</v>
      </c>
      <c r="H254" s="144">
        <f t="shared" si="53"/>
        <v>0</v>
      </c>
      <c r="I254" s="144">
        <f t="shared" si="61" ref="I254:N254">+I24+I47+I70+I93+I116+I139+I162+I185+I208+I231</f>
        <v>57281.398461477271</v>
      </c>
      <c r="J254" s="144">
        <f t="shared" si="61"/>
        <v>158029.85628419256</v>
      </c>
      <c r="K254" s="144">
        <f t="shared" si="61"/>
        <v>0</v>
      </c>
      <c r="L254" s="144">
        <f t="shared" si="61"/>
        <v>158029.85628419256</v>
      </c>
      <c r="M254" s="144">
        <f t="shared" si="61"/>
        <v>43086.545960749761</v>
      </c>
      <c r="N254" s="144">
        <f t="shared" si="61"/>
        <v>1733.8592935803426</v>
      </c>
      <c r="O254" s="144">
        <f t="shared" si="55"/>
        <v>260131.65999999995</v>
      </c>
      <c r="P254" s="144"/>
      <c r="Q254" s="144"/>
      <c r="R254" s="138" t="b">
        <f t="shared" si="52"/>
        <v>1</v>
      </c>
    </row>
    <row r="255" spans="1:18" ht="12.75">
      <c r="A255" s="146">
        <v>150</v>
      </c>
      <c r="B255" s="147" t="str">
        <f t="shared" si="49"/>
        <v>September 2021</v>
      </c>
      <c r="C255" s="154">
        <v>9</v>
      </c>
      <c r="D255" s="150">
        <f t="shared" si="53"/>
        <v>581444.45000000007</v>
      </c>
      <c r="E255" s="210" t="s">
        <v>163</v>
      </c>
      <c r="F255" s="144">
        <f t="shared" si="53"/>
        <v>128034.97745589483</v>
      </c>
      <c r="G255" s="144">
        <f t="shared" si="53"/>
        <v>0</v>
      </c>
      <c r="H255" s="144">
        <f t="shared" si="53"/>
        <v>0</v>
      </c>
      <c r="I255" s="144">
        <f t="shared" si="62" ref="I255:N255">+I25+I48+I71+I94+I117+I140+I163+I186+I209+I232</f>
        <v>128034.97745589483</v>
      </c>
      <c r="J255" s="144">
        <f t="shared" si="62"/>
        <v>353227.21913488506</v>
      </c>
      <c r="K255" s="144">
        <f t="shared" si="62"/>
        <v>0</v>
      </c>
      <c r="L255" s="144">
        <f t="shared" si="62"/>
        <v>353227.21913488506</v>
      </c>
      <c r="M255" s="144">
        <f t="shared" si="62"/>
        <v>96306.74335660589</v>
      </c>
      <c r="N255" s="144">
        <f t="shared" si="62"/>
        <v>3875.5100526141678</v>
      </c>
      <c r="O255" s="144">
        <f t="shared" si="55"/>
        <v>581444.44999999995</v>
      </c>
      <c r="P255" s="144"/>
      <c r="Q255" s="144"/>
      <c r="R255" s="138" t="b">
        <f t="shared" si="52"/>
        <v>1</v>
      </c>
    </row>
    <row r="256" spans="1:18" ht="12.75">
      <c r="A256" s="146">
        <v>151</v>
      </c>
      <c r="B256" s="147" t="str">
        <f t="shared" si="49"/>
        <v>October 2021</v>
      </c>
      <c r="C256" s="154">
        <v>10</v>
      </c>
      <c r="D256" s="150">
        <f t="shared" si="53"/>
        <v>-52241.129999999968</v>
      </c>
      <c r="E256" s="210" t="s">
        <v>163</v>
      </c>
      <c r="F256" s="144">
        <f t="shared" si="53"/>
        <v>-11503.578547908528</v>
      </c>
      <c r="G256" s="144">
        <f t="shared" si="53"/>
        <v>0</v>
      </c>
      <c r="H256" s="144">
        <f t="shared" si="53"/>
        <v>0</v>
      </c>
      <c r="I256" s="144">
        <f t="shared" si="63" ref="I256:N256">+I26+I49+I72+I95+I118+I141+I164+I187+I210+I233</f>
        <v>-11503.578547908528</v>
      </c>
      <c r="J256" s="144">
        <f t="shared" si="63"/>
        <v>-31736.460936834148</v>
      </c>
      <c r="K256" s="144">
        <f t="shared" si="63"/>
        <v>0</v>
      </c>
      <c r="L256" s="144">
        <f t="shared" si="63"/>
        <v>-31736.460936834148</v>
      </c>
      <c r="M256" s="144">
        <f t="shared" si="63"/>
        <v>-8652.8869603434778</v>
      </c>
      <c r="N256" s="144">
        <f t="shared" si="63"/>
        <v>-348.20355491384191</v>
      </c>
      <c r="O256" s="144">
        <f t="shared" si="55"/>
        <v>-52241.130000000005</v>
      </c>
      <c r="P256" s="144"/>
      <c r="Q256" s="144"/>
      <c r="R256" s="138" t="b">
        <f t="shared" si="52"/>
        <v>1</v>
      </c>
    </row>
    <row r="257" spans="1:18" ht="12.75">
      <c r="A257" s="146">
        <v>152</v>
      </c>
      <c r="B257" s="147" t="str">
        <f t="shared" si="49"/>
        <v>November 2021</v>
      </c>
      <c r="C257" s="154">
        <v>11</v>
      </c>
      <c r="D257" s="150">
        <f t="shared" si="53"/>
        <v>369105.40000000008</v>
      </c>
      <c r="E257" s="210" t="s">
        <v>163</v>
      </c>
      <c r="F257" s="144">
        <f t="shared" si="53"/>
        <v>81277.58647941181</v>
      </c>
      <c r="G257" s="144">
        <f t="shared" si="53"/>
        <v>0</v>
      </c>
      <c r="H257" s="144">
        <f t="shared" si="53"/>
        <v>0</v>
      </c>
      <c r="I257" s="144">
        <f t="shared" si="64" ref="I257:N257">+I27+I50+I73+I96+I119+I142+I165+I188+I211+I234</f>
        <v>81277.58647941181</v>
      </c>
      <c r="J257" s="144">
        <f t="shared" si="64"/>
        <v>224231.35006219323</v>
      </c>
      <c r="K257" s="144">
        <f t="shared" si="64"/>
        <v>0</v>
      </c>
      <c r="L257" s="144">
        <f t="shared" si="64"/>
        <v>224231.35006219323</v>
      </c>
      <c r="M257" s="144">
        <f t="shared" si="64"/>
        <v>61136.259928764259</v>
      </c>
      <c r="N257" s="144">
        <f t="shared" si="64"/>
        <v>2460.2035296306867</v>
      </c>
      <c r="O257" s="144">
        <f t="shared" si="55"/>
        <v>369105.39999999997</v>
      </c>
      <c r="P257" s="144"/>
      <c r="Q257" s="144"/>
      <c r="R257" s="138" t="b">
        <f t="shared" si="52"/>
        <v>1</v>
      </c>
    </row>
    <row r="258" spans="1:18" ht="12.75">
      <c r="A258" s="146">
        <v>153</v>
      </c>
      <c r="B258" s="147" t="str">
        <f t="shared" si="49"/>
        <v>December 2021</v>
      </c>
      <c r="C258" s="154">
        <v>12</v>
      </c>
      <c r="D258" s="150">
        <f t="shared" si="53"/>
        <v>576000.15000000002</v>
      </c>
      <c r="E258" s="210" t="s">
        <v>163</v>
      </c>
      <c r="F258" s="144">
        <f t="shared" si="53"/>
        <v>126836.13407926078</v>
      </c>
      <c r="G258" s="144">
        <f t="shared" si="53"/>
        <v>0</v>
      </c>
      <c r="H258" s="144">
        <f t="shared" si="53"/>
        <v>0</v>
      </c>
      <c r="I258" s="144">
        <f t="shared" si="65" ref="I258:N258">+I28+I51+I74+I97+I120+I143+I166+I189+I212+I235</f>
        <v>126836.13407926078</v>
      </c>
      <c r="J258" s="144">
        <f t="shared" si="65"/>
        <v>349919.80954634055</v>
      </c>
      <c r="K258" s="144">
        <f t="shared" si="65"/>
        <v>0</v>
      </c>
      <c r="L258" s="144">
        <f t="shared" si="65"/>
        <v>349919.80954634055</v>
      </c>
      <c r="M258" s="144">
        <f t="shared" si="65"/>
        <v>95404.984292852911</v>
      </c>
      <c r="N258" s="144">
        <f t="shared" si="65"/>
        <v>3839.2220815458263</v>
      </c>
      <c r="O258" s="144">
        <f t="shared" si="55"/>
        <v>576000.15000000014</v>
      </c>
      <c r="P258" s="144"/>
      <c r="Q258" s="144"/>
      <c r="R258" s="138" t="b">
        <f t="shared" si="52"/>
        <v>1</v>
      </c>
    </row>
    <row r="259" spans="1:17" ht="12.75">
      <c r="A259" s="146">
        <v>154</v>
      </c>
      <c r="D259" s="167"/>
      <c r="E259" s="167"/>
      <c r="F259" s="167"/>
      <c r="G259" s="167"/>
      <c r="H259" s="167"/>
      <c r="I259" s="167"/>
      <c r="J259" s="167"/>
      <c r="K259" s="167"/>
      <c r="L259" s="167"/>
      <c r="M259" s="167"/>
      <c r="N259" s="167"/>
      <c r="O259" s="167"/>
      <c r="P259" s="144"/>
      <c r="Q259" s="144"/>
    </row>
    <row r="260" spans="1:17" ht="13.5" thickBot="1">
      <c r="A260" s="146">
        <v>155</v>
      </c>
      <c r="B260" s="211" t="s">
        <v>216</v>
      </c>
      <c r="D260" s="169">
        <f t="shared" si="66" ref="D260:O260">SUM(D247:D258)</f>
        <v>3484344.3899999997</v>
      </c>
      <c r="E260" s="169">
        <f t="shared" si="66"/>
        <v>0</v>
      </c>
      <c r="F260" s="169">
        <f t="shared" si="66"/>
        <v>767258.08531188755</v>
      </c>
      <c r="G260" s="169">
        <f t="shared" si="67" ref="G260:N260">SUM(G247:G258)</f>
        <v>0</v>
      </c>
      <c r="H260" s="169">
        <f t="shared" si="67"/>
        <v>0</v>
      </c>
      <c r="I260" s="169">
        <f t="shared" si="67"/>
        <v>767258.08531188755</v>
      </c>
      <c r="J260" s="169">
        <f t="shared" si="67"/>
        <v>2116737.5135972798</v>
      </c>
      <c r="K260" s="169">
        <f t="shared" si="67"/>
        <v>0</v>
      </c>
      <c r="L260" s="169">
        <f t="shared" si="67"/>
        <v>2116737.5135972798</v>
      </c>
      <c r="M260" s="169">
        <f t="shared" si="67"/>
        <v>577124.54033013736</v>
      </c>
      <c r="N260" s="169">
        <f t="shared" si="67"/>
        <v>23224.250760695679</v>
      </c>
      <c r="O260" s="169">
        <f t="shared" si="66"/>
        <v>3484344.3899999997</v>
      </c>
      <c r="P260" s="170"/>
      <c r="Q260" s="144"/>
    </row>
    <row r="261" ht="13.5" thickTop="1"/>
  </sheetData>
  <mergeCells count="11">
    <mergeCell ref="D149:O149"/>
    <mergeCell ref="D172:O172"/>
    <mergeCell ref="D241:O241"/>
    <mergeCell ref="D11:O11"/>
    <mergeCell ref="D34:O34"/>
    <mergeCell ref="D80:O80"/>
    <mergeCell ref="D103:O103"/>
    <mergeCell ref="D126:O126"/>
    <mergeCell ref="D57:O57"/>
    <mergeCell ref="D195:O195"/>
    <mergeCell ref="D218:O218"/>
  </mergeCells>
  <printOptions horizontalCentered="1"/>
  <pageMargins left="0.5" right="0.5" top="3" bottom="0.5" header="1.5" footer="1"/>
  <pageSetup fitToHeight="0" orientation="landscape" pageOrder="overThenDown" scale="71" r:id="rId1"/>
  <headerFooter alignWithMargins="0">
    <oddHeader>&amp;C&amp;B
2022 RATE CASE
ONCOR ELECTRIC DELIVERY COMPANY LLC
II-D-3.10  ADMINISTRATION FEES
TEST YEAR ENDING DECEMBER 31, 2021
SPONSORS: W. ALAN LEDBETTER/ A. GUILLORY&amp;R&amp;"Arial,Bold"Schedule &amp;A
Page &amp;P of &amp;N</oddHeader>
  </headerFooter>
  <rowBreaks count="10" manualBreakCount="10">
    <brk id="32" min="3" max="11" man="1"/>
    <brk id="55" min="3" max="11" man="1"/>
    <brk id="78" max="16383" man="1"/>
    <brk id="101" max="16383" man="1"/>
    <brk id="124" max="16383" man="1"/>
    <brk id="147" min="3" max="11" man="1"/>
    <brk id="170" min="3" max="11" man="1"/>
    <brk id="193" min="3" max="11" man="1"/>
    <brk id="216" min="3" max="10" man="1"/>
    <brk id="239" min="3" max="10" man="1"/>
  </rowBreaks>
  <colBreaks count="1" manualBreakCount="1">
    <brk id="15" min="10" max="168" man="1"/>
  </colBreak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12">
    <pageSetUpPr fitToPage="1"/>
  </sheetPr>
  <dimension ref="A1:A16"/>
  <sheetViews>
    <sheetView workbookViewId="0" topLeftCell="A1">
      <pane ySplit="6" topLeftCell="A7" activePane="bottomLeft" state="frozen"/>
      <selection pane="topLeft" activeCell="A1" sqref="A1"/>
      <selection pane="bottomLeft" activeCell="E11" sqref="E11"/>
    </sheetView>
  </sheetViews>
  <sheetFormatPr defaultRowHeight="12.75"/>
  <sheetData>
    <row r="1" spans="1:1" ht="12.75">
      <c r="A1" s="5" t="str">
        <f>+'[3]Input Data'!$A$9</f>
        <v>2022 RATE CASE</v>
      </c>
    </row>
    <row r="2" spans="1:1" ht="12.75">
      <c r="A2" s="8" t="str">
        <f>+'[3]Input Data'!$A$2</f>
        <v>ONCOR ELECTRIC DELIVERY COMPANY LLC</v>
      </c>
    </row>
    <row r="3" spans="1:1" ht="12.75">
      <c r="A3" s="7" t="str">
        <f>CONCATENATE('[3]Schedule Sponsors'!$A$78,'[3]Schedule Sponsors'!$B$78)</f>
        <v>II-D-3.10  ADMINISTRATION FEES</v>
      </c>
    </row>
    <row r="4" spans="1:1" ht="12.75">
      <c r="A4" s="63" t="str">
        <f>+'[3]Input Data'!$A$4</f>
        <v>TEST YEAR ENDING DECEMBER 31, 2021</v>
      </c>
    </row>
    <row r="5" spans="1:1" ht="12.75">
      <c r="A5" s="7" t="str">
        <f>CONCATENATE("SPONSORS: ",'[3]Schedule Sponsors'!$D$78)</f>
        <v>SPONSORS: W. ALAN LEDBETTER/ A. GUILLORY</v>
      </c>
    </row>
    <row r="10" spans="1:1" ht="15">
      <c r="A10" s="276" t="s">
        <v>398</v>
      </c>
    </row>
    <row r="11" spans="1:1" ht="15">
      <c r="A11" s="276" t="s">
        <v>182</v>
      </c>
    </row>
    <row r="12" spans="1:1" ht="15">
      <c r="A12" s="276" t="s">
        <v>183</v>
      </c>
    </row>
    <row r="14" spans="1:1" ht="14.25">
      <c r="A14" s="275" t="s">
        <v>709</v>
      </c>
    </row>
    <row r="15" spans="1:1" ht="14.25">
      <c r="A15" s="275" t="s">
        <v>710</v>
      </c>
    </row>
    <row r="16" spans="1:1" ht="14.25">
      <c r="A16" s="275" t="s">
        <v>711</v>
      </c>
    </row>
  </sheetData>
  <printOptions horizontalCentered="1"/>
  <pageMargins left="0.5" right="0.25" top="3" bottom="0.5" header="1.5" footer="0.5"/>
  <pageSetup orientation="landscape" scale="85" r:id="rId1"/>
  <headerFooter alignWithMargins="0">
    <oddHeader>&amp;C&amp;B
2022 RATE CASE
ONCOR ELECTRIC DELIVERY COMPANY LLC
II-D-3.10  ADMINISTRATION FEES
TEST YEAR ENDING DECEMBER 31, 2021
SPONSORS: W. ALAN LEDBETTER/ A. GUILLORY&amp;R&amp;"Arial,Bold"Schedule &amp;A
Page &amp;P of &amp;N</oddHeader>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codeName="Sheet24"/>
  <dimension ref="A1:X147"/>
  <sheetViews>
    <sheetView workbookViewId="0" topLeftCell="A1">
      <pane xSplit="4" ySplit="13" topLeftCell="E14" activePane="bottomRight" state="frozen"/>
      <selection pane="topLeft" activeCell="C78" sqref="C78"/>
      <selection pane="bottomLeft" activeCell="C78" sqref="C78"/>
      <selection pane="topRight" activeCell="C78" sqref="C78"/>
      <selection pane="bottomRight" activeCell="E15" sqref="E15"/>
    </sheetView>
  </sheetViews>
  <sheetFormatPr defaultColWidth="9.14428571428571" defaultRowHeight="12.75" customHeight="1"/>
  <cols>
    <col min="1" max="1" width="5.71428571428571" style="31" customWidth="1"/>
    <col min="2" max="2" width="8.71428571428571" style="33" customWidth="1"/>
    <col min="3" max="3" width="48.1428571428571" style="33" customWidth="1"/>
    <col min="4" max="4" width="10.5714285714286" style="33" customWidth="1"/>
    <col min="5" max="5" width="12.7142857142857" style="33" customWidth="1"/>
    <col min="6" max="6" width="17" style="33" bestFit="1" customWidth="1"/>
    <col min="7" max="9" width="12.7142857142857" style="33" customWidth="1"/>
    <col min="10" max="10" width="10.1428571428571" style="33" bestFit="1" customWidth="1"/>
    <col min="11" max="11" width="10.1428571428571" style="37" bestFit="1" customWidth="1"/>
    <col min="12" max="12" width="3.28571428571429" style="33" bestFit="1" customWidth="1"/>
    <col min="13" max="13" width="6.71428571428571" style="37" bestFit="1" customWidth="1"/>
    <col min="14" max="14" width="6.71428571428571" style="37" customWidth="1"/>
    <col min="15" max="23" width="7.71428571428571" style="33" customWidth="1"/>
    <col min="24" max="16384" width="9.14285714285714" style="33"/>
  </cols>
  <sheetData>
    <row r="1" spans="1:1" ht="12.75" customHeight="1">
      <c r="A1" s="35" t="str">
        <f>+'[3]Input Data'!$A$9</f>
        <v>2022 RATE CASE</v>
      </c>
    </row>
    <row r="2" spans="1:23" ht="12.75">
      <c r="A2" s="8" t="str">
        <f>+'[3]Input Data'!$A$2</f>
        <v>ONCOR ELECTRIC DELIVERY COMPANY LLC</v>
      </c>
      <c r="B2" s="31"/>
      <c r="C2" s="31"/>
      <c r="D2" s="31"/>
      <c r="E2" s="31"/>
      <c r="F2" s="57"/>
      <c r="G2" s="31"/>
      <c r="H2" s="31"/>
      <c r="I2" s="31"/>
      <c r="J2" s="31"/>
      <c r="K2" s="32"/>
      <c r="L2" s="31"/>
      <c r="M2" s="32"/>
      <c r="N2" s="32"/>
      <c r="O2" s="4"/>
      <c r="P2" s="4"/>
      <c r="Q2" s="4"/>
      <c r="R2" s="4"/>
      <c r="S2" s="31"/>
      <c r="T2" s="31"/>
      <c r="U2" s="31"/>
      <c r="V2" s="31"/>
      <c r="W2" s="31"/>
    </row>
    <row r="3" spans="1:23" ht="12.75">
      <c r="A3" s="7" t="str">
        <f>CONCATENATE('[3]Schedule Sponsors'!$A$79,'[3]Schedule Sponsors'!$B$79)</f>
        <v>II-D-4   SUMMARY OF EXCLUSIONS FROM TEST YEAR</v>
      </c>
      <c r="B3" s="4"/>
      <c r="D3" s="31"/>
      <c r="E3" s="31"/>
      <c r="F3" s="34"/>
      <c r="G3" s="31"/>
      <c r="H3" s="31"/>
      <c r="I3" s="31"/>
      <c r="J3" s="31"/>
      <c r="K3" s="32"/>
      <c r="L3" s="31"/>
      <c r="M3" s="32"/>
      <c r="N3" s="32"/>
      <c r="O3" s="28"/>
      <c r="P3" s="28"/>
      <c r="Q3" s="28"/>
      <c r="R3" s="28"/>
      <c r="S3" s="31"/>
      <c r="T3" s="31"/>
      <c r="U3" s="31"/>
      <c r="V3" s="31"/>
      <c r="W3" s="31"/>
    </row>
    <row r="4" spans="1:23" ht="12.75">
      <c r="A4" s="63" t="str">
        <f>+'[3]Input Data'!$A$4</f>
        <v>TEST YEAR ENDING DECEMBER 31, 2021</v>
      </c>
      <c r="B4" s="4"/>
      <c r="D4" s="31"/>
      <c r="E4" s="31"/>
      <c r="F4" s="34"/>
      <c r="G4" s="31"/>
      <c r="H4" s="31"/>
      <c r="I4" s="31"/>
      <c r="J4" s="31"/>
      <c r="K4" s="32"/>
      <c r="L4" s="31"/>
      <c r="M4" s="32"/>
      <c r="N4" s="32"/>
      <c r="O4" s="28"/>
      <c r="P4" s="28"/>
      <c r="Q4" s="28"/>
      <c r="R4" s="28"/>
      <c r="S4" s="31"/>
      <c r="T4" s="31"/>
      <c r="U4" s="31"/>
      <c r="V4" s="31"/>
      <c r="W4" s="31"/>
    </row>
    <row r="5" spans="1:23" ht="12.75">
      <c r="A5" s="7" t="str">
        <f>CONCATENATE("SPONSOR: ",'[3]Schedule Sponsors'!$D$79)</f>
        <v>SPONSOR: W. ALAN LEDBETTER</v>
      </c>
      <c r="B5" s="4"/>
      <c r="D5" s="31"/>
      <c r="E5" s="31"/>
      <c r="F5" s="31"/>
      <c r="G5" s="31"/>
      <c r="H5" s="31"/>
      <c r="I5" s="31"/>
      <c r="J5" s="31"/>
      <c r="K5" s="32"/>
      <c r="L5" s="31"/>
      <c r="M5" s="32"/>
      <c r="N5" s="32"/>
      <c r="O5" s="31"/>
      <c r="P5" s="31"/>
      <c r="Q5" s="31"/>
      <c r="R5" s="31"/>
      <c r="S5" s="31"/>
      <c r="T5" s="31"/>
      <c r="U5" s="31"/>
      <c r="V5" s="31"/>
      <c r="W5" s="31"/>
    </row>
    <row r="6" spans="2:23" ht="12.75">
      <c r="B6" s="4"/>
      <c r="D6" s="31"/>
      <c r="E6" s="31"/>
      <c r="F6" s="31"/>
      <c r="G6" s="31"/>
      <c r="H6" s="31"/>
      <c r="I6" s="31"/>
      <c r="J6" s="31"/>
      <c r="K6" s="32"/>
      <c r="L6" s="31"/>
      <c r="M6" s="32"/>
      <c r="N6" s="32"/>
      <c r="O6" s="31"/>
      <c r="P6" s="31"/>
      <c r="Q6" s="31"/>
      <c r="R6" s="31"/>
      <c r="S6" s="31"/>
      <c r="T6" s="31"/>
      <c r="U6" s="31"/>
      <c r="V6" s="31"/>
      <c r="W6" s="31"/>
    </row>
    <row r="7" spans="2:23" ht="12.75">
      <c r="B7" s="4"/>
      <c r="D7" s="31"/>
      <c r="E7" s="31"/>
      <c r="F7" s="31"/>
      <c r="G7" s="31"/>
      <c r="H7" s="31"/>
      <c r="I7" s="31"/>
      <c r="J7" s="31"/>
      <c r="K7" s="32"/>
      <c r="L7" s="31"/>
      <c r="M7" s="32"/>
      <c r="N7" s="32"/>
      <c r="O7" s="31"/>
      <c r="P7" s="31"/>
      <c r="Q7" s="31"/>
      <c r="R7" s="31"/>
      <c r="S7" s="31"/>
      <c r="T7" s="31"/>
      <c r="U7" s="31"/>
      <c r="V7" s="31"/>
      <c r="W7" s="31"/>
    </row>
    <row r="8" spans="2:23" ht="12.75">
      <c r="B8" s="35"/>
      <c r="C8" s="31"/>
      <c r="D8" s="31"/>
      <c r="E8" s="31"/>
      <c r="F8" s="31"/>
      <c r="G8" s="31"/>
      <c r="H8" s="31"/>
      <c r="I8" s="31"/>
      <c r="J8" s="31"/>
      <c r="K8" s="32"/>
      <c r="L8" s="31"/>
      <c r="M8" s="32"/>
      <c r="N8" s="32"/>
      <c r="O8" s="31"/>
      <c r="P8" s="31"/>
      <c r="Q8" s="31"/>
      <c r="R8" s="31"/>
      <c r="S8" s="31"/>
      <c r="T8" s="31"/>
      <c r="U8" s="31"/>
      <c r="V8" s="31"/>
      <c r="W8" s="31"/>
    </row>
    <row r="9" spans="2:23" ht="13.5" thickBot="1">
      <c r="B9" s="31" t="s">
        <v>211</v>
      </c>
      <c r="C9" s="31"/>
      <c r="D9" s="31"/>
      <c r="E9" s="36"/>
      <c r="F9" s="36"/>
      <c r="G9" s="36"/>
      <c r="H9" s="36"/>
      <c r="I9" s="36"/>
      <c r="J9" s="36"/>
      <c r="K9" s="36"/>
      <c r="L9" s="36"/>
      <c r="M9" s="36"/>
      <c r="N9" s="36"/>
      <c r="O9" s="36"/>
      <c r="P9" s="36"/>
      <c r="Q9" s="36"/>
      <c r="R9" s="36"/>
      <c r="S9" s="36"/>
      <c r="T9" s="36"/>
      <c r="U9" s="36"/>
      <c r="V9" s="36"/>
      <c r="W9" s="36"/>
    </row>
    <row r="10" spans="1:23" s="35" customFormat="1" ht="12.75">
      <c r="A10" s="9"/>
      <c r="B10" s="9"/>
      <c r="C10" s="9"/>
      <c r="D10" s="9"/>
      <c r="E10" s="9"/>
      <c r="F10" s="9"/>
      <c r="G10" s="10" t="s">
        <v>321</v>
      </c>
      <c r="H10" s="10" t="s">
        <v>184</v>
      </c>
      <c r="I10" s="10" t="s">
        <v>322</v>
      </c>
      <c r="J10" s="10" t="s">
        <v>224</v>
      </c>
      <c r="K10" s="10" t="s">
        <v>53</v>
      </c>
      <c r="L10" s="9"/>
      <c r="M10" s="10" t="s">
        <v>220</v>
      </c>
      <c r="N10" s="10"/>
      <c r="O10" s="10"/>
      <c r="P10" s="10"/>
      <c r="Q10" s="10"/>
      <c r="R10" s="10"/>
      <c r="S10" s="10"/>
      <c r="T10" s="10"/>
      <c r="U10" s="10"/>
      <c r="V10" s="10"/>
      <c r="W10" s="10"/>
    </row>
    <row r="11" spans="1:23" s="35" customFormat="1" ht="12.75">
      <c r="A11" s="11" t="s">
        <v>87</v>
      </c>
      <c r="B11" s="11" t="s">
        <v>213</v>
      </c>
      <c r="C11" s="11"/>
      <c r="D11" s="11" t="s">
        <v>210</v>
      </c>
      <c r="E11" s="27" t="s">
        <v>214</v>
      </c>
      <c r="F11" s="11" t="s">
        <v>215</v>
      </c>
      <c r="G11" s="11" t="s">
        <v>323</v>
      </c>
      <c r="H11" s="11" t="s">
        <v>185</v>
      </c>
      <c r="I11" s="11" t="s">
        <v>321</v>
      </c>
      <c r="J11" s="11" t="s">
        <v>53</v>
      </c>
      <c r="K11" s="11" t="s">
        <v>221</v>
      </c>
      <c r="L11" s="11" t="s">
        <v>217</v>
      </c>
      <c r="M11" s="11" t="s">
        <v>218</v>
      </c>
      <c r="N11" s="11"/>
      <c r="O11" s="11" t="s">
        <v>716</v>
      </c>
      <c r="P11" s="11" t="s">
        <v>722</v>
      </c>
      <c r="Q11" s="11" t="s">
        <v>717</v>
      </c>
      <c r="R11" s="11"/>
      <c r="S11" s="11" t="s">
        <v>716</v>
      </c>
      <c r="T11" s="11" t="s">
        <v>717</v>
      </c>
      <c r="U11" s="11"/>
      <c r="V11" s="11"/>
      <c r="W11" s="11"/>
    </row>
    <row r="12" spans="1:23" s="35" customFormat="1" ht="12.75">
      <c r="A12" s="11" t="s">
        <v>89</v>
      </c>
      <c r="B12" s="11" t="s">
        <v>296</v>
      </c>
      <c r="C12" s="11" t="s">
        <v>209</v>
      </c>
      <c r="D12" s="11" t="s">
        <v>212</v>
      </c>
      <c r="E12" s="27" t="s">
        <v>219</v>
      </c>
      <c r="F12" s="11" t="s">
        <v>222</v>
      </c>
      <c r="G12" s="11" t="s">
        <v>223</v>
      </c>
      <c r="H12" s="11" t="s">
        <v>61</v>
      </c>
      <c r="I12" s="11" t="s">
        <v>323</v>
      </c>
      <c r="J12" s="11" t="s">
        <v>218</v>
      </c>
      <c r="K12" s="11" t="s">
        <v>224</v>
      </c>
      <c r="L12" s="11" t="s">
        <v>225</v>
      </c>
      <c r="M12" s="11" t="s">
        <v>226</v>
      </c>
      <c r="N12" s="195" t="s">
        <v>294</v>
      </c>
      <c r="O12" s="11" t="s">
        <v>294</v>
      </c>
      <c r="P12" s="11" t="s">
        <v>723</v>
      </c>
      <c r="Q12" s="11" t="s">
        <v>294</v>
      </c>
      <c r="R12" s="11" t="s">
        <v>295</v>
      </c>
      <c r="S12" s="11" t="s">
        <v>295</v>
      </c>
      <c r="T12" s="11" t="s">
        <v>295</v>
      </c>
      <c r="U12" s="11" t="s">
        <v>283</v>
      </c>
      <c r="V12" s="11" t="s">
        <v>126</v>
      </c>
      <c r="W12" s="11" t="s">
        <v>216</v>
      </c>
    </row>
    <row r="13" spans="1:23"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29" t="s">
        <v>86</v>
      </c>
      <c r="Q13" s="229" t="s">
        <v>255</v>
      </c>
      <c r="R13" s="229" t="s">
        <v>128</v>
      </c>
      <c r="S13" s="229" t="s">
        <v>23</v>
      </c>
      <c r="T13" s="229" t="s">
        <v>24</v>
      </c>
      <c r="U13" s="229" t="s">
        <v>136</v>
      </c>
      <c r="V13" s="229" t="s">
        <v>68</v>
      </c>
      <c r="W13" s="229" t="s">
        <v>718</v>
      </c>
    </row>
    <row r="14" spans="2:23" s="31" customFormat="1" ht="12.75" customHeight="1">
      <c r="B14" s="38"/>
      <c r="C14" s="38"/>
      <c r="D14" s="38"/>
      <c r="E14" s="38"/>
      <c r="F14" s="38"/>
      <c r="G14" s="38"/>
      <c r="H14" s="38"/>
      <c r="I14" s="38"/>
      <c r="J14" s="38"/>
      <c r="K14" s="39"/>
      <c r="L14" s="38"/>
      <c r="M14" s="39"/>
      <c r="N14" s="39"/>
      <c r="O14" s="38"/>
      <c r="P14" s="38"/>
      <c r="Q14" s="38"/>
      <c r="R14" s="38"/>
      <c r="S14" s="38"/>
      <c r="T14" s="38"/>
      <c r="U14" s="38"/>
      <c r="V14" s="38"/>
      <c r="W14" s="38"/>
    </row>
    <row r="15" spans="1:24" s="35" customFormat="1" ht="12.75">
      <c r="A15" s="32">
        <v>1</v>
      </c>
      <c r="B15" s="40"/>
      <c r="C15" s="31" t="s">
        <v>4</v>
      </c>
      <c r="D15" s="99" t="s">
        <v>117</v>
      </c>
      <c r="E15" s="193">
        <f>+'[6]II-E-4.2'!$E$20+'[6]II-E-4.2'!$E$21+'[6]II-E-4.2'!$E$22</f>
        <v>6841938.1600000001</v>
      </c>
      <c r="F15" s="193">
        <v>0</v>
      </c>
      <c r="G15" s="193">
        <f>+E15+F15</f>
        <v>6841938.1600000001</v>
      </c>
      <c r="H15" s="193">
        <f>-G15</f>
        <v>-6841938.1600000001</v>
      </c>
      <c r="I15" s="193">
        <f>+H15+G15</f>
        <v>0</v>
      </c>
      <c r="J15" s="159">
        <v>1</v>
      </c>
      <c r="K15" s="193">
        <f>+I15*J15</f>
        <v>0</v>
      </c>
      <c r="L15" s="193"/>
      <c r="M15" s="193"/>
      <c r="N15" s="193">
        <v>0</v>
      </c>
      <c r="O15" s="193">
        <v>0</v>
      </c>
      <c r="P15" s="193">
        <v>0</v>
      </c>
      <c r="Q15" s="193">
        <f>SUM(N15:P15)</f>
        <v>0</v>
      </c>
      <c r="R15" s="193">
        <v>0</v>
      </c>
      <c r="S15" s="193">
        <v>0</v>
      </c>
      <c r="T15" s="193">
        <f>SUM(R15:S15)</f>
        <v>0</v>
      </c>
      <c r="U15" s="193">
        <v>0</v>
      </c>
      <c r="V15" s="193">
        <v>0</v>
      </c>
      <c r="W15" s="193">
        <f>+Q15+T15+U15+V15</f>
        <v>0</v>
      </c>
      <c r="X15" s="31" t="b">
        <f>+W15=K15</f>
        <v>1</v>
      </c>
    </row>
    <row r="16" spans="1:24" s="31" customFormat="1" ht="12.75">
      <c r="A16" s="32">
        <v>2</v>
      </c>
      <c r="B16" s="40"/>
      <c r="C16" s="31" t="s">
        <v>203</v>
      </c>
      <c r="D16" s="99" t="s">
        <v>117</v>
      </c>
      <c r="E16" s="43">
        <f>+'[6]II-E-4.2'!$E$19</f>
        <v>764038.15000000002</v>
      </c>
      <c r="F16" s="43">
        <v>0</v>
      </c>
      <c r="G16" s="43">
        <f>+E16+F16</f>
        <v>764038.15000000002</v>
      </c>
      <c r="H16" s="43">
        <f>-G16</f>
        <v>-764038.15000000002</v>
      </c>
      <c r="I16" s="43">
        <f>+H16+G16</f>
        <v>0</v>
      </c>
      <c r="J16" s="159">
        <v>1</v>
      </c>
      <c r="K16" s="105">
        <f>+I16*J16</f>
        <v>0</v>
      </c>
      <c r="L16" s="43"/>
      <c r="M16" s="32"/>
      <c r="N16" s="43">
        <v>0</v>
      </c>
      <c r="O16" s="43">
        <v>0</v>
      </c>
      <c r="P16" s="43">
        <v>0</v>
      </c>
      <c r="Q16" s="43">
        <f t="shared" si="0" ref="Q16:Q19">SUM(N16:P16)</f>
        <v>0</v>
      </c>
      <c r="R16" s="43">
        <v>0</v>
      </c>
      <c r="S16" s="43">
        <v>0</v>
      </c>
      <c r="T16" s="43">
        <f t="shared" si="1" ref="T16:T19">SUM(R16:S16)</f>
        <v>0</v>
      </c>
      <c r="U16" s="43">
        <v>0</v>
      </c>
      <c r="V16" s="43">
        <v>0</v>
      </c>
      <c r="W16" s="46">
        <f t="shared" si="2" ref="W16:W19">+Q16+T16+U16+V16</f>
        <v>0</v>
      </c>
      <c r="X16" s="31" t="b">
        <f>+W16=K16</f>
        <v>1</v>
      </c>
    </row>
    <row r="17" spans="1:24" s="31" customFormat="1" ht="12.75">
      <c r="A17" s="32">
        <v>3</v>
      </c>
      <c r="C17" s="31" t="s">
        <v>204</v>
      </c>
      <c r="D17" s="99" t="s">
        <v>117</v>
      </c>
      <c r="E17" s="43">
        <f>+'[6]II-E-4.2'!$E$18+'[6]II-E-4.2'!$E$23+'[6]II-E-4.2'!$E$24</f>
        <v>6433386.0300000003</v>
      </c>
      <c r="F17" s="43">
        <v>0</v>
      </c>
      <c r="G17" s="43">
        <f>+E17+F17</f>
        <v>6433386.0300000003</v>
      </c>
      <c r="H17" s="43">
        <f>-G17</f>
        <v>-6433386.0300000003</v>
      </c>
      <c r="I17" s="43">
        <f>+H17+G17</f>
        <v>0</v>
      </c>
      <c r="J17" s="159">
        <v>1</v>
      </c>
      <c r="K17" s="105">
        <f>+I17*J17</f>
        <v>0</v>
      </c>
      <c r="L17" s="43"/>
      <c r="M17" s="32"/>
      <c r="N17" s="43">
        <v>0</v>
      </c>
      <c r="O17" s="43">
        <v>0</v>
      </c>
      <c r="P17" s="43">
        <v>0</v>
      </c>
      <c r="Q17" s="43">
        <f t="shared" si="0"/>
        <v>0</v>
      </c>
      <c r="R17" s="43">
        <v>0</v>
      </c>
      <c r="S17" s="43">
        <v>0</v>
      </c>
      <c r="T17" s="43">
        <f t="shared" si="1"/>
        <v>0</v>
      </c>
      <c r="U17" s="43">
        <v>0</v>
      </c>
      <c r="V17" s="43">
        <v>0</v>
      </c>
      <c r="W17" s="46">
        <f t="shared" si="2"/>
        <v>0</v>
      </c>
      <c r="X17" s="31" t="b">
        <f>+W17=K17</f>
        <v>1</v>
      </c>
    </row>
    <row r="18" spans="1:24" s="31" customFormat="1" ht="12.75">
      <c r="A18" s="32">
        <v>4</v>
      </c>
      <c r="C18" s="31" t="s">
        <v>50</v>
      </c>
      <c r="D18" s="99" t="s">
        <v>5</v>
      </c>
      <c r="E18" s="43">
        <f>+'[2]Adj. #38'!$M$9</f>
        <v>0</v>
      </c>
      <c r="F18" s="43">
        <v>0</v>
      </c>
      <c r="G18" s="43">
        <f>+E18+F18</f>
        <v>0</v>
      </c>
      <c r="H18" s="43">
        <f>-G18</f>
        <v>0</v>
      </c>
      <c r="I18" s="43">
        <f>+H18+G18</f>
        <v>0</v>
      </c>
      <c r="J18" s="159">
        <v>1</v>
      </c>
      <c r="K18" s="105">
        <f>+I18*J18</f>
        <v>0</v>
      </c>
      <c r="L18" s="43"/>
      <c r="M18" s="32"/>
      <c r="N18" s="43">
        <v>0</v>
      </c>
      <c r="O18" s="43">
        <v>0</v>
      </c>
      <c r="P18" s="43">
        <v>0</v>
      </c>
      <c r="Q18" s="43">
        <f t="shared" si="0"/>
        <v>0</v>
      </c>
      <c r="R18" s="43">
        <v>0</v>
      </c>
      <c r="S18" s="43">
        <v>0</v>
      </c>
      <c r="T18" s="43">
        <f t="shared" si="1"/>
        <v>0</v>
      </c>
      <c r="U18" s="43">
        <v>0</v>
      </c>
      <c r="V18" s="43">
        <v>0</v>
      </c>
      <c r="W18" s="46">
        <f t="shared" si="2"/>
        <v>0</v>
      </c>
      <c r="X18" s="31" t="b">
        <f>+W18=K18</f>
        <v>1</v>
      </c>
    </row>
    <row r="19" spans="1:24" s="35" customFormat="1" ht="12.75">
      <c r="A19" s="32">
        <v>5</v>
      </c>
      <c r="C19" s="55" t="s">
        <v>51</v>
      </c>
      <c r="D19" s="99" t="s">
        <v>5</v>
      </c>
      <c r="E19" s="43">
        <v>0</v>
      </c>
      <c r="F19" s="43">
        <v>0</v>
      </c>
      <c r="G19" s="43">
        <f>+E19+F19</f>
        <v>0</v>
      </c>
      <c r="H19" s="43">
        <f>-G19</f>
        <v>0</v>
      </c>
      <c r="I19" s="43">
        <f>+H19+G19</f>
        <v>0</v>
      </c>
      <c r="J19" s="159">
        <v>1</v>
      </c>
      <c r="K19" s="105">
        <f>+I19*J19</f>
        <v>0</v>
      </c>
      <c r="L19" s="41"/>
      <c r="M19" s="42"/>
      <c r="N19" s="43">
        <v>0</v>
      </c>
      <c r="O19" s="43">
        <v>0</v>
      </c>
      <c r="P19" s="43">
        <v>0</v>
      </c>
      <c r="Q19" s="43">
        <f t="shared" si="0"/>
        <v>0</v>
      </c>
      <c r="R19" s="43">
        <v>0</v>
      </c>
      <c r="S19" s="43">
        <v>0</v>
      </c>
      <c r="T19" s="43">
        <f t="shared" si="1"/>
        <v>0</v>
      </c>
      <c r="U19" s="43">
        <v>0</v>
      </c>
      <c r="V19" s="43">
        <v>0</v>
      </c>
      <c r="W19" s="43">
        <f t="shared" si="2"/>
        <v>0</v>
      </c>
      <c r="X19" s="31" t="b">
        <f>+W19=K19</f>
        <v>1</v>
      </c>
    </row>
    <row r="20" spans="1:23" s="31" customFormat="1" ht="13.5" customHeight="1">
      <c r="A20" s="32">
        <v>6</v>
      </c>
      <c r="D20" s="43"/>
      <c r="E20" s="134"/>
      <c r="F20" s="134"/>
      <c r="G20" s="134"/>
      <c r="H20" s="134"/>
      <c r="I20" s="134"/>
      <c r="J20" s="43"/>
      <c r="K20" s="134"/>
      <c r="L20" s="43"/>
      <c r="M20" s="32"/>
      <c r="N20" s="134"/>
      <c r="O20" s="134"/>
      <c r="P20" s="134"/>
      <c r="Q20" s="134"/>
      <c r="R20" s="134"/>
      <c r="S20" s="134"/>
      <c r="T20" s="134"/>
      <c r="U20" s="134"/>
      <c r="V20" s="134"/>
      <c r="W20" s="135"/>
    </row>
    <row r="21" spans="1:24" s="35" customFormat="1" ht="12.75" customHeight="1">
      <c r="A21" s="32">
        <v>7</v>
      </c>
      <c r="B21" s="52" t="s">
        <v>52</v>
      </c>
      <c r="D21" s="99" t="s">
        <v>5</v>
      </c>
      <c r="E21" s="194">
        <f>SUM(E15:E19)</f>
        <v>14039362.34</v>
      </c>
      <c r="F21" s="194">
        <f>SUM(F15:F19)</f>
        <v>0</v>
      </c>
      <c r="G21" s="194">
        <f>SUM(G15:G19)</f>
        <v>14039362.34</v>
      </c>
      <c r="H21" s="194">
        <f>SUM(H15:H19)</f>
        <v>-14039362.34</v>
      </c>
      <c r="I21" s="194">
        <f>SUM(I15:I19)</f>
        <v>0</v>
      </c>
      <c r="J21" s="194"/>
      <c r="K21" s="194">
        <f>SUM(K15:K19)</f>
        <v>0</v>
      </c>
      <c r="L21" s="194"/>
      <c r="M21" s="194"/>
      <c r="N21" s="194">
        <f t="shared" si="3" ref="N21:W21">SUM(N15:N19)</f>
        <v>0</v>
      </c>
      <c r="O21" s="194">
        <f t="shared" si="3"/>
        <v>0</v>
      </c>
      <c r="P21" s="194">
        <f t="shared" si="3"/>
        <v>0</v>
      </c>
      <c r="Q21" s="194">
        <f t="shared" si="3"/>
        <v>0</v>
      </c>
      <c r="R21" s="194">
        <f t="shared" si="3"/>
        <v>0</v>
      </c>
      <c r="S21" s="194">
        <f t="shared" si="3"/>
        <v>0</v>
      </c>
      <c r="T21" s="194">
        <f t="shared" si="3"/>
        <v>0</v>
      </c>
      <c r="U21" s="194">
        <f t="shared" si="3"/>
        <v>0</v>
      </c>
      <c r="V21" s="194">
        <f t="shared" si="3"/>
        <v>0</v>
      </c>
      <c r="W21" s="194">
        <f t="shared" si="3"/>
        <v>0</v>
      </c>
      <c r="X21" s="31" t="b">
        <f>+W21=K21</f>
        <v>1</v>
      </c>
    </row>
    <row r="22" spans="2:23" s="31" customFormat="1" ht="12.75" customHeight="1">
      <c r="B22" s="100"/>
      <c r="D22" s="43"/>
      <c r="E22" s="43"/>
      <c r="F22" s="43"/>
      <c r="G22" s="43"/>
      <c r="H22" s="43"/>
      <c r="I22" s="43"/>
      <c r="J22" s="43"/>
      <c r="K22" s="32"/>
      <c r="L22" s="43"/>
      <c r="M22" s="36"/>
      <c r="N22" s="36"/>
      <c r="O22" s="43"/>
      <c r="P22" s="43"/>
      <c r="Q22" s="43"/>
      <c r="R22" s="43"/>
      <c r="S22" s="46"/>
      <c r="T22" s="46"/>
      <c r="U22" s="46"/>
      <c r="V22" s="46"/>
      <c r="W22" s="46"/>
    </row>
    <row r="23" spans="2:22" s="31" customFormat="1" ht="12.75" customHeight="1">
      <c r="B23" s="100"/>
      <c r="D23" s="43"/>
      <c r="E23" s="43"/>
      <c r="F23" s="43"/>
      <c r="G23" s="43"/>
      <c r="H23" s="43"/>
      <c r="I23" s="43"/>
      <c r="J23" s="43"/>
      <c r="K23" s="32"/>
      <c r="L23" s="43"/>
      <c r="M23" s="32"/>
      <c r="N23" s="32"/>
      <c r="O23" s="43"/>
      <c r="P23" s="43"/>
      <c r="Q23" s="43"/>
      <c r="R23" s="43"/>
      <c r="S23" s="43"/>
      <c r="T23" s="43"/>
      <c r="U23" s="43"/>
      <c r="V23" s="43"/>
    </row>
    <row r="24" spans="3:23" s="31" customFormat="1" ht="12.75" customHeight="1">
      <c r="C24" s="101"/>
      <c r="D24" s="43"/>
      <c r="E24" s="43"/>
      <c r="F24" s="43"/>
      <c r="G24" s="43"/>
      <c r="H24" s="43"/>
      <c r="I24" s="43"/>
      <c r="J24" s="43"/>
      <c r="K24" s="32"/>
      <c r="L24" s="43"/>
      <c r="M24" s="36"/>
      <c r="N24" s="36"/>
      <c r="O24" s="43"/>
      <c r="P24" s="43"/>
      <c r="Q24" s="43"/>
      <c r="R24" s="43"/>
      <c r="S24" s="46"/>
      <c r="T24" s="46"/>
      <c r="U24" s="46"/>
      <c r="V24" s="46"/>
      <c r="W24" s="46"/>
    </row>
    <row r="26" spans="3:23" s="31" customFormat="1" ht="12.75" customHeight="1">
      <c r="C26" s="101"/>
      <c r="D26" s="43"/>
      <c r="E26" s="43"/>
      <c r="F26" s="43"/>
      <c r="G26" s="43"/>
      <c r="H26" s="43"/>
      <c r="I26" s="43"/>
      <c r="J26" s="43"/>
      <c r="K26" s="32"/>
      <c r="L26" s="43"/>
      <c r="M26" s="32"/>
      <c r="N26" s="32"/>
      <c r="O26" s="43"/>
      <c r="P26" s="43"/>
      <c r="Q26" s="43"/>
      <c r="R26" s="43"/>
      <c r="S26" s="46"/>
      <c r="T26" s="46"/>
      <c r="U26" s="46"/>
      <c r="V26" s="46"/>
      <c r="W26" s="46"/>
    </row>
    <row r="27" spans="3:23" s="31" customFormat="1" ht="12.75" customHeight="1">
      <c r="C27" s="101"/>
      <c r="D27" s="43"/>
      <c r="E27" s="43"/>
      <c r="F27" s="43"/>
      <c r="G27" s="43"/>
      <c r="H27" s="43"/>
      <c r="I27" s="43"/>
      <c r="J27" s="43"/>
      <c r="K27" s="32"/>
      <c r="L27" s="43"/>
      <c r="M27" s="32"/>
      <c r="N27" s="32"/>
      <c r="O27" s="43"/>
      <c r="P27" s="43"/>
      <c r="Q27" s="43"/>
      <c r="R27" s="43"/>
      <c r="S27" s="46"/>
      <c r="T27" s="46"/>
      <c r="U27" s="46"/>
      <c r="V27" s="46"/>
      <c r="W27" s="46"/>
    </row>
    <row r="28" spans="3:23" s="31" customFormat="1" ht="12.75" customHeight="1">
      <c r="C28" s="101"/>
      <c r="D28" s="43"/>
      <c r="E28" s="43"/>
      <c r="F28" s="43"/>
      <c r="G28" s="43"/>
      <c r="H28" s="43"/>
      <c r="I28" s="43"/>
      <c r="J28" s="43"/>
      <c r="K28" s="32"/>
      <c r="L28" s="43"/>
      <c r="M28" s="36"/>
      <c r="N28" s="36"/>
      <c r="O28" s="43"/>
      <c r="P28" s="43"/>
      <c r="Q28" s="43"/>
      <c r="R28" s="43"/>
      <c r="S28" s="46"/>
      <c r="T28" s="46"/>
      <c r="U28" s="46"/>
      <c r="V28" s="46"/>
      <c r="W28" s="46"/>
    </row>
    <row r="29" spans="3:23" s="35" customFormat="1" ht="12.75" customHeight="1">
      <c r="C29" s="44"/>
      <c r="D29" s="41"/>
      <c r="E29" s="41"/>
      <c r="F29" s="41"/>
      <c r="G29" s="41"/>
      <c r="H29" s="41"/>
      <c r="I29" s="41"/>
      <c r="J29" s="41"/>
      <c r="K29" s="42"/>
      <c r="L29" s="41"/>
      <c r="M29" s="102"/>
      <c r="N29" s="102"/>
      <c r="O29" s="41"/>
      <c r="P29" s="41"/>
      <c r="Q29" s="41"/>
      <c r="R29" s="41"/>
      <c r="S29" s="41"/>
      <c r="T29" s="41"/>
      <c r="U29" s="41"/>
      <c r="V29" s="41"/>
      <c r="W29" s="41"/>
    </row>
    <row r="30" spans="3:23" s="31" customFormat="1" ht="12.75" customHeight="1">
      <c r="C30" s="101"/>
      <c r="D30" s="43"/>
      <c r="E30" s="43"/>
      <c r="F30" s="43"/>
      <c r="G30" s="43"/>
      <c r="H30" s="43"/>
      <c r="I30" s="43"/>
      <c r="J30" s="43"/>
      <c r="K30" s="32"/>
      <c r="L30" s="43"/>
      <c r="M30" s="36"/>
      <c r="N30" s="36"/>
      <c r="O30" s="43"/>
      <c r="P30" s="43"/>
      <c r="Q30" s="43"/>
      <c r="R30" s="43"/>
      <c r="S30" s="46"/>
      <c r="T30" s="46"/>
      <c r="U30" s="46"/>
      <c r="V30" s="46"/>
      <c r="W30" s="46"/>
    </row>
    <row r="31" spans="3:23" s="31" customFormat="1" ht="12.75" customHeight="1">
      <c r="C31" s="45"/>
      <c r="D31" s="43"/>
      <c r="E31" s="43"/>
      <c r="F31" s="43"/>
      <c r="G31" s="43"/>
      <c r="H31" s="43"/>
      <c r="I31" s="43"/>
      <c r="J31" s="43"/>
      <c r="K31" s="32"/>
      <c r="L31" s="43"/>
      <c r="M31" s="32"/>
      <c r="N31" s="32"/>
      <c r="O31" s="43"/>
      <c r="P31" s="43"/>
      <c r="Q31" s="43"/>
      <c r="R31" s="43"/>
      <c r="S31" s="46"/>
      <c r="T31" s="46"/>
      <c r="U31" s="46"/>
      <c r="V31" s="46"/>
      <c r="W31" s="46"/>
    </row>
    <row r="32" spans="3:23" s="31" customFormat="1" ht="12.75" customHeight="1">
      <c r="C32" s="45"/>
      <c r="D32" s="43"/>
      <c r="E32" s="43"/>
      <c r="F32" s="43"/>
      <c r="G32" s="43"/>
      <c r="H32" s="43"/>
      <c r="I32" s="43"/>
      <c r="J32" s="43"/>
      <c r="K32" s="32"/>
      <c r="L32" s="43"/>
      <c r="M32" s="32"/>
      <c r="N32" s="32"/>
      <c r="O32" s="43"/>
      <c r="P32" s="43"/>
      <c r="Q32" s="43"/>
      <c r="R32" s="43"/>
      <c r="S32" s="46"/>
      <c r="T32" s="46"/>
      <c r="U32" s="46"/>
      <c r="V32" s="46"/>
      <c r="W32" s="46"/>
    </row>
    <row r="33" spans="4:23" s="31" customFormat="1" ht="12.75" customHeight="1">
      <c r="D33" s="43"/>
      <c r="E33" s="43"/>
      <c r="F33" s="43"/>
      <c r="G33" s="43"/>
      <c r="H33" s="43"/>
      <c r="I33" s="43"/>
      <c r="J33" s="43"/>
      <c r="K33" s="32"/>
      <c r="L33" s="43"/>
      <c r="M33" s="32"/>
      <c r="N33" s="32"/>
      <c r="O33" s="43"/>
      <c r="P33" s="43"/>
      <c r="Q33" s="43"/>
      <c r="R33" s="43"/>
      <c r="S33" s="46"/>
      <c r="T33" s="46"/>
      <c r="U33" s="46"/>
      <c r="V33" s="46"/>
      <c r="W33" s="46"/>
    </row>
    <row r="34" spans="3:23" s="35" customFormat="1" ht="12.75" customHeight="1">
      <c r="C34" s="44"/>
      <c r="D34" s="41"/>
      <c r="E34" s="41"/>
      <c r="F34" s="41"/>
      <c r="G34" s="41"/>
      <c r="H34" s="41"/>
      <c r="I34" s="41"/>
      <c r="J34" s="41"/>
      <c r="K34" s="42"/>
      <c r="L34" s="41"/>
      <c r="M34" s="42"/>
      <c r="N34" s="42"/>
      <c r="O34" s="41"/>
      <c r="P34" s="41"/>
      <c r="Q34" s="41"/>
      <c r="R34" s="41"/>
      <c r="S34" s="41"/>
      <c r="T34" s="41"/>
      <c r="U34" s="41"/>
      <c r="V34" s="41"/>
      <c r="W34" s="41"/>
    </row>
    <row r="35" spans="3:23" s="31" customFormat="1" ht="12.75" customHeight="1">
      <c r="C35" s="44"/>
      <c r="D35" s="43"/>
      <c r="E35" s="43"/>
      <c r="F35" s="43"/>
      <c r="G35" s="43"/>
      <c r="H35" s="43"/>
      <c r="I35" s="43"/>
      <c r="J35" s="43"/>
      <c r="K35" s="32"/>
      <c r="L35" s="43"/>
      <c r="M35" s="32"/>
      <c r="N35" s="32"/>
      <c r="O35" s="43"/>
      <c r="P35" s="43"/>
      <c r="Q35" s="43"/>
      <c r="R35" s="43"/>
      <c r="S35" s="43"/>
      <c r="T35" s="43"/>
      <c r="U35" s="43"/>
      <c r="V35" s="43"/>
      <c r="W35" s="43"/>
    </row>
    <row r="36" spans="3:23" s="31" customFormat="1" ht="12.75" customHeight="1">
      <c r="C36" s="44"/>
      <c r="D36" s="43"/>
      <c r="E36" s="43"/>
      <c r="F36" s="43"/>
      <c r="G36" s="43"/>
      <c r="H36" s="43"/>
      <c r="I36" s="43"/>
      <c r="J36" s="43"/>
      <c r="K36" s="32"/>
      <c r="L36" s="43"/>
      <c r="M36" s="32"/>
      <c r="N36" s="32"/>
      <c r="O36" s="43"/>
      <c r="P36" s="43"/>
      <c r="Q36" s="43"/>
      <c r="R36" s="43"/>
      <c r="S36" s="43"/>
      <c r="T36" s="43"/>
      <c r="U36" s="43"/>
      <c r="V36" s="43"/>
      <c r="W36" s="43"/>
    </row>
    <row r="37" spans="4:22" s="31" customFormat="1" ht="12.75" customHeight="1">
      <c r="D37" s="43"/>
      <c r="E37" s="43"/>
      <c r="F37" s="43"/>
      <c r="G37" s="43"/>
      <c r="H37" s="43"/>
      <c r="I37" s="43"/>
      <c r="J37" s="43"/>
      <c r="K37" s="32"/>
      <c r="L37" s="43"/>
      <c r="M37" s="32"/>
      <c r="N37" s="32"/>
      <c r="O37" s="43"/>
      <c r="P37" s="43"/>
      <c r="Q37" s="43"/>
      <c r="R37" s="43"/>
      <c r="S37" s="43"/>
      <c r="T37" s="43"/>
      <c r="U37" s="43"/>
      <c r="V37" s="43"/>
    </row>
    <row r="38" spans="2:22" s="35" customFormat="1" ht="12.75" customHeight="1">
      <c r="B38" s="47"/>
      <c r="D38" s="41"/>
      <c r="E38" s="41"/>
      <c r="F38" s="41"/>
      <c r="G38" s="41"/>
      <c r="H38" s="41"/>
      <c r="I38" s="41"/>
      <c r="J38" s="41"/>
      <c r="K38" s="42"/>
      <c r="L38" s="41"/>
      <c r="M38" s="42"/>
      <c r="N38" s="42"/>
      <c r="O38" s="41"/>
      <c r="P38" s="41"/>
      <c r="Q38" s="41"/>
      <c r="R38" s="41"/>
      <c r="S38" s="41"/>
      <c r="T38" s="41"/>
      <c r="U38" s="41"/>
      <c r="V38" s="41"/>
    </row>
    <row r="39" spans="5:23" s="31" customFormat="1" ht="12.75" customHeight="1">
      <c r="E39" s="43"/>
      <c r="F39" s="43"/>
      <c r="G39" s="43"/>
      <c r="H39" s="43"/>
      <c r="I39" s="43"/>
      <c r="J39" s="43"/>
      <c r="K39" s="32"/>
      <c r="L39" s="43"/>
      <c r="M39" s="32"/>
      <c r="N39" s="32"/>
      <c r="O39" s="43"/>
      <c r="P39" s="43"/>
      <c r="Q39" s="43"/>
      <c r="R39" s="43"/>
      <c r="S39" s="46"/>
      <c r="T39" s="46"/>
      <c r="U39" s="46"/>
      <c r="V39" s="46"/>
      <c r="W39" s="46"/>
    </row>
    <row r="40" spans="4:22" s="31" customFormat="1" ht="12.75" customHeight="1">
      <c r="D40" s="43"/>
      <c r="E40" s="43"/>
      <c r="F40" s="43"/>
      <c r="G40" s="43"/>
      <c r="H40" s="43"/>
      <c r="I40" s="43"/>
      <c r="J40" s="43"/>
      <c r="K40" s="32"/>
      <c r="L40" s="43"/>
      <c r="M40" s="32"/>
      <c r="N40" s="32"/>
      <c r="O40" s="43"/>
      <c r="P40" s="43"/>
      <c r="Q40" s="43"/>
      <c r="R40" s="43"/>
      <c r="S40" s="43"/>
      <c r="T40" s="43"/>
      <c r="U40" s="43"/>
      <c r="V40" s="43"/>
    </row>
    <row r="41" spans="4:23" s="31" customFormat="1" ht="12.75" customHeight="1">
      <c r="D41" s="41"/>
      <c r="E41" s="43"/>
      <c r="F41" s="43"/>
      <c r="G41" s="43"/>
      <c r="H41" s="43"/>
      <c r="I41" s="43"/>
      <c r="J41" s="43"/>
      <c r="K41" s="32"/>
      <c r="L41" s="43"/>
      <c r="M41" s="32"/>
      <c r="N41" s="32"/>
      <c r="O41" s="43"/>
      <c r="P41" s="43"/>
      <c r="Q41" s="43"/>
      <c r="R41" s="43"/>
      <c r="S41" s="13"/>
      <c r="T41" s="13"/>
      <c r="U41" s="13"/>
      <c r="V41" s="13"/>
      <c r="W41" s="13"/>
    </row>
    <row r="42" spans="4:23" s="31" customFormat="1" ht="12.75" customHeight="1">
      <c r="D42" s="43"/>
      <c r="E42" s="43"/>
      <c r="F42" s="43"/>
      <c r="G42" s="43"/>
      <c r="H42" s="43"/>
      <c r="I42" s="43"/>
      <c r="J42" s="43"/>
      <c r="K42" s="32"/>
      <c r="L42" s="43"/>
      <c r="M42" s="32"/>
      <c r="N42" s="32"/>
      <c r="O42" s="43"/>
      <c r="P42" s="43"/>
      <c r="Q42" s="43"/>
      <c r="R42" s="43"/>
      <c r="S42" s="13"/>
      <c r="T42" s="13"/>
      <c r="U42" s="13"/>
      <c r="V42" s="13"/>
      <c r="W42" s="13"/>
    </row>
    <row r="43" spans="3:23" s="35" customFormat="1" ht="12.75" customHeight="1">
      <c r="C43" s="44"/>
      <c r="D43" s="41"/>
      <c r="E43" s="41"/>
      <c r="F43" s="41"/>
      <c r="G43" s="41"/>
      <c r="H43" s="41"/>
      <c r="I43" s="41"/>
      <c r="J43" s="41"/>
      <c r="K43" s="42"/>
      <c r="L43" s="41"/>
      <c r="M43" s="42"/>
      <c r="N43" s="42"/>
      <c r="O43" s="41"/>
      <c r="P43" s="41"/>
      <c r="Q43" s="41"/>
      <c r="R43" s="41"/>
      <c r="S43" s="41"/>
      <c r="T43" s="41"/>
      <c r="U43" s="41"/>
      <c r="V43" s="41"/>
      <c r="W43" s="41"/>
    </row>
    <row r="44" spans="4:22" s="31" customFormat="1" ht="12.75" customHeight="1">
      <c r="D44" s="43"/>
      <c r="E44" s="43"/>
      <c r="F44" s="43"/>
      <c r="G44" s="43"/>
      <c r="H44" s="43"/>
      <c r="I44" s="43"/>
      <c r="J44" s="43"/>
      <c r="K44" s="32"/>
      <c r="L44" s="43"/>
      <c r="M44" s="32"/>
      <c r="N44" s="32"/>
      <c r="O44" s="43"/>
      <c r="P44" s="43"/>
      <c r="Q44" s="43"/>
      <c r="R44" s="43"/>
      <c r="S44" s="43"/>
      <c r="T44" s="43"/>
      <c r="U44" s="43"/>
      <c r="V44" s="43"/>
    </row>
    <row r="45" spans="3:22" s="35" customFormat="1" ht="12.75" customHeight="1">
      <c r="C45" s="47"/>
      <c r="D45" s="41"/>
      <c r="E45" s="41"/>
      <c r="F45" s="48"/>
      <c r="G45" s="41"/>
      <c r="H45" s="41"/>
      <c r="I45" s="41"/>
      <c r="J45" s="41"/>
      <c r="K45" s="42"/>
      <c r="L45" s="41"/>
      <c r="M45" s="49"/>
      <c r="N45" s="49"/>
      <c r="O45" s="41"/>
      <c r="P45" s="41"/>
      <c r="Q45" s="41"/>
      <c r="R45" s="41"/>
      <c r="S45" s="41"/>
      <c r="T45" s="41"/>
      <c r="U45" s="41"/>
      <c r="V45" s="41"/>
    </row>
    <row r="46" spans="4:23" s="31" customFormat="1" ht="12.75" customHeight="1">
      <c r="D46" s="50"/>
      <c r="E46" s="43"/>
      <c r="F46" s="43"/>
      <c r="G46" s="43"/>
      <c r="H46" s="43"/>
      <c r="I46" s="43"/>
      <c r="J46" s="43"/>
      <c r="K46" s="32"/>
      <c r="L46" s="43"/>
      <c r="M46" s="32"/>
      <c r="N46" s="32"/>
      <c r="O46" s="43"/>
      <c r="P46" s="43"/>
      <c r="Q46" s="43"/>
      <c r="R46" s="43"/>
      <c r="S46" s="46"/>
      <c r="T46" s="46"/>
      <c r="U46" s="46"/>
      <c r="V46" s="46"/>
      <c r="W46" s="46"/>
    </row>
    <row r="47" spans="4:23" s="31" customFormat="1" ht="12.75" customHeight="1">
      <c r="D47" s="50"/>
      <c r="E47" s="43"/>
      <c r="F47" s="43"/>
      <c r="G47" s="43"/>
      <c r="H47" s="43"/>
      <c r="I47" s="43"/>
      <c r="J47" s="43"/>
      <c r="K47" s="32"/>
      <c r="L47" s="43"/>
      <c r="M47" s="32"/>
      <c r="N47" s="32"/>
      <c r="O47" s="43"/>
      <c r="P47" s="43"/>
      <c r="Q47" s="43"/>
      <c r="R47" s="43"/>
      <c r="S47" s="46"/>
      <c r="T47" s="46"/>
      <c r="U47" s="46"/>
      <c r="V47" s="46"/>
      <c r="W47" s="46"/>
    </row>
    <row r="48" spans="4:23" s="31" customFormat="1" ht="12.75" customHeight="1">
      <c r="D48" s="50"/>
      <c r="E48" s="43"/>
      <c r="F48" s="43"/>
      <c r="G48" s="43"/>
      <c r="H48" s="43"/>
      <c r="I48" s="43"/>
      <c r="J48" s="43"/>
      <c r="K48" s="32"/>
      <c r="L48" s="43"/>
      <c r="M48" s="32"/>
      <c r="N48" s="32"/>
      <c r="O48" s="43"/>
      <c r="P48" s="43"/>
      <c r="Q48" s="43"/>
      <c r="R48" s="43"/>
      <c r="S48" s="46"/>
      <c r="T48" s="46"/>
      <c r="U48" s="46"/>
      <c r="V48" s="46"/>
      <c r="W48" s="46"/>
    </row>
    <row r="49" spans="4:23" s="31" customFormat="1" ht="12.75" customHeight="1">
      <c r="D49" s="50"/>
      <c r="E49" s="43"/>
      <c r="F49" s="43"/>
      <c r="G49" s="43"/>
      <c r="H49" s="43"/>
      <c r="I49" s="43"/>
      <c r="J49" s="43"/>
      <c r="K49" s="32"/>
      <c r="L49" s="43"/>
      <c r="M49" s="32"/>
      <c r="N49" s="32"/>
      <c r="O49" s="43"/>
      <c r="P49" s="43"/>
      <c r="Q49" s="43"/>
      <c r="R49" s="43"/>
      <c r="S49" s="46"/>
      <c r="T49" s="46"/>
      <c r="U49" s="46"/>
      <c r="V49" s="46"/>
      <c r="W49" s="46"/>
    </row>
    <row r="50" spans="4:23" s="31" customFormat="1" ht="12.75" customHeight="1">
      <c r="D50" s="50"/>
      <c r="E50" s="43"/>
      <c r="F50" s="43"/>
      <c r="G50" s="43"/>
      <c r="H50" s="43"/>
      <c r="I50" s="43"/>
      <c r="J50" s="43"/>
      <c r="K50" s="32"/>
      <c r="L50" s="43"/>
      <c r="M50" s="32"/>
      <c r="N50" s="32"/>
      <c r="O50" s="43"/>
      <c r="P50" s="43"/>
      <c r="Q50" s="43"/>
      <c r="R50" s="43"/>
      <c r="S50" s="46"/>
      <c r="T50" s="46"/>
      <c r="U50" s="46"/>
      <c r="V50" s="46"/>
      <c r="W50" s="46"/>
    </row>
    <row r="51" spans="4:23" s="31" customFormat="1" ht="12.75" customHeight="1">
      <c r="D51" s="50"/>
      <c r="E51" s="43"/>
      <c r="F51" s="43"/>
      <c r="G51" s="43"/>
      <c r="H51" s="43"/>
      <c r="I51" s="43"/>
      <c r="J51" s="43"/>
      <c r="K51" s="32"/>
      <c r="L51" s="43"/>
      <c r="M51" s="32"/>
      <c r="N51" s="32"/>
      <c r="O51" s="43"/>
      <c r="P51" s="43"/>
      <c r="Q51" s="43"/>
      <c r="R51" s="43"/>
      <c r="S51" s="46"/>
      <c r="T51" s="46"/>
      <c r="U51" s="46"/>
      <c r="V51" s="46"/>
      <c r="W51" s="46"/>
    </row>
    <row r="52" spans="4:23" s="31" customFormat="1" ht="12.75" customHeight="1">
      <c r="D52" s="50"/>
      <c r="E52" s="43"/>
      <c r="F52" s="43"/>
      <c r="G52" s="43"/>
      <c r="H52" s="43"/>
      <c r="I52" s="43"/>
      <c r="J52" s="43"/>
      <c r="K52" s="32"/>
      <c r="L52" s="43"/>
      <c r="M52" s="32"/>
      <c r="N52" s="32"/>
      <c r="O52" s="43"/>
      <c r="P52" s="43"/>
      <c r="Q52" s="43"/>
      <c r="R52" s="43"/>
      <c r="S52" s="13"/>
      <c r="T52" s="13"/>
      <c r="U52" s="13"/>
      <c r="V52" s="13"/>
      <c r="W52" s="13"/>
    </row>
    <row r="53" spans="4:23" s="31" customFormat="1" ht="12.75" customHeight="1">
      <c r="D53" s="50"/>
      <c r="E53" s="43"/>
      <c r="F53" s="43"/>
      <c r="G53" s="43"/>
      <c r="H53" s="43"/>
      <c r="I53" s="43"/>
      <c r="J53" s="43"/>
      <c r="K53" s="32"/>
      <c r="L53" s="43"/>
      <c r="M53" s="32"/>
      <c r="N53" s="32"/>
      <c r="O53" s="43"/>
      <c r="P53" s="43"/>
      <c r="Q53" s="43"/>
      <c r="R53" s="43"/>
      <c r="S53" s="46"/>
      <c r="T53" s="46"/>
      <c r="U53" s="46"/>
      <c r="V53" s="46"/>
      <c r="W53" s="46"/>
    </row>
    <row r="54" spans="4:23" s="31" customFormat="1" ht="12.75" customHeight="1">
      <c r="D54" s="50"/>
      <c r="E54" s="43"/>
      <c r="F54" s="43"/>
      <c r="G54" s="43"/>
      <c r="H54" s="43"/>
      <c r="I54" s="43"/>
      <c r="J54" s="43"/>
      <c r="K54" s="32"/>
      <c r="L54" s="43"/>
      <c r="M54" s="32"/>
      <c r="N54" s="32"/>
      <c r="O54" s="43"/>
      <c r="P54" s="43"/>
      <c r="Q54" s="43"/>
      <c r="R54" s="43"/>
      <c r="S54" s="46"/>
      <c r="T54" s="46"/>
      <c r="U54" s="46"/>
      <c r="V54" s="46"/>
      <c r="W54" s="46"/>
    </row>
    <row r="55" spans="4:23" s="31" customFormat="1" ht="12.75" customHeight="1">
      <c r="D55" s="50"/>
      <c r="E55" s="43"/>
      <c r="F55" s="43"/>
      <c r="G55" s="43"/>
      <c r="H55" s="43"/>
      <c r="I55" s="43"/>
      <c r="J55" s="43"/>
      <c r="K55" s="32"/>
      <c r="L55" s="43"/>
      <c r="M55" s="32"/>
      <c r="N55" s="32"/>
      <c r="O55" s="43"/>
      <c r="P55" s="43"/>
      <c r="Q55" s="43"/>
      <c r="R55" s="43"/>
      <c r="S55" s="46"/>
      <c r="T55" s="46"/>
      <c r="U55" s="46"/>
      <c r="V55" s="46"/>
      <c r="W55" s="46"/>
    </row>
    <row r="56" spans="3:24" s="35" customFormat="1" ht="12.75" customHeight="1">
      <c r="C56" s="44"/>
      <c r="D56" s="48"/>
      <c r="E56" s="41"/>
      <c r="F56" s="41"/>
      <c r="G56" s="41"/>
      <c r="H56" s="41"/>
      <c r="I56" s="41"/>
      <c r="J56" s="41"/>
      <c r="K56" s="49"/>
      <c r="L56" s="41"/>
      <c r="M56" s="42"/>
      <c r="N56" s="42"/>
      <c r="O56" s="41"/>
      <c r="P56" s="41"/>
      <c r="Q56" s="41"/>
      <c r="R56" s="41"/>
      <c r="S56" s="41"/>
      <c r="T56" s="41"/>
      <c r="U56" s="41"/>
      <c r="V56" s="41"/>
      <c r="W56" s="41"/>
      <c r="X56" s="31"/>
    </row>
    <row r="57" spans="3:22" s="31" customFormat="1" ht="12.75" customHeight="1">
      <c r="C57" s="45"/>
      <c r="D57" s="50"/>
      <c r="E57" s="43"/>
      <c r="F57" s="43"/>
      <c r="G57" s="43"/>
      <c r="H57" s="43"/>
      <c r="I57" s="43"/>
      <c r="J57" s="43"/>
      <c r="K57" s="51"/>
      <c r="L57" s="43"/>
      <c r="M57" s="32"/>
      <c r="N57" s="32"/>
      <c r="O57" s="43"/>
      <c r="P57" s="43"/>
      <c r="Q57" s="43"/>
      <c r="R57" s="43"/>
      <c r="S57" s="43"/>
      <c r="T57" s="43"/>
      <c r="U57" s="43"/>
      <c r="V57" s="43"/>
    </row>
    <row r="58" spans="2:24" s="35" customFormat="1" ht="12.75" customHeight="1">
      <c r="B58" s="52"/>
      <c r="D58" s="48"/>
      <c r="E58" s="41"/>
      <c r="F58" s="41"/>
      <c r="G58" s="41"/>
      <c r="H58" s="41"/>
      <c r="I58" s="41"/>
      <c r="J58" s="41"/>
      <c r="K58" s="49"/>
      <c r="L58" s="41"/>
      <c r="M58" s="42"/>
      <c r="N58" s="42"/>
      <c r="O58" s="41"/>
      <c r="P58" s="41"/>
      <c r="Q58" s="41"/>
      <c r="R58" s="41"/>
      <c r="S58" s="41"/>
      <c r="T58" s="41"/>
      <c r="U58" s="41"/>
      <c r="V58" s="41"/>
      <c r="W58" s="41"/>
      <c r="X58" s="31"/>
    </row>
    <row r="59" spans="3:23" s="31" customFormat="1" ht="12.75" customHeight="1">
      <c r="C59" s="44"/>
      <c r="D59" s="50"/>
      <c r="E59" s="43"/>
      <c r="F59" s="43"/>
      <c r="G59" s="43"/>
      <c r="H59" s="43"/>
      <c r="I59" s="43"/>
      <c r="J59" s="43"/>
      <c r="K59" s="51"/>
      <c r="L59" s="43"/>
      <c r="M59" s="42"/>
      <c r="N59" s="42"/>
      <c r="O59" s="43"/>
      <c r="P59" s="43"/>
      <c r="Q59" s="43"/>
      <c r="R59" s="43"/>
      <c r="S59" s="43"/>
      <c r="T59" s="43"/>
      <c r="U59" s="43"/>
      <c r="V59" s="43"/>
      <c r="W59" s="43"/>
    </row>
    <row r="60" spans="3:23" s="35" customFormat="1" ht="12.75" customHeight="1">
      <c r="C60" s="44"/>
      <c r="D60" s="41"/>
      <c r="E60" s="41"/>
      <c r="F60" s="41"/>
      <c r="G60" s="41"/>
      <c r="H60" s="41"/>
      <c r="I60" s="41"/>
      <c r="J60" s="41"/>
      <c r="K60" s="49"/>
      <c r="L60" s="41"/>
      <c r="M60" s="42"/>
      <c r="N60" s="42"/>
      <c r="O60" s="41"/>
      <c r="P60" s="41"/>
      <c r="Q60" s="41"/>
      <c r="R60" s="41"/>
      <c r="S60" s="41"/>
      <c r="T60" s="41"/>
      <c r="U60" s="41"/>
      <c r="V60" s="41"/>
      <c r="W60" s="41"/>
    </row>
    <row r="61" spans="3:22" s="35" customFormat="1" ht="12.75" customHeight="1">
      <c r="C61" s="44"/>
      <c r="D61" s="48"/>
      <c r="E61" s="41"/>
      <c r="F61" s="41"/>
      <c r="G61" s="41"/>
      <c r="H61" s="41"/>
      <c r="I61" s="41"/>
      <c r="J61" s="41"/>
      <c r="K61" s="49"/>
      <c r="L61" s="41"/>
      <c r="M61" s="42"/>
      <c r="N61" s="42"/>
      <c r="O61" s="41"/>
      <c r="P61" s="41"/>
      <c r="Q61" s="41"/>
      <c r="R61" s="41"/>
      <c r="S61" s="41"/>
      <c r="T61" s="41"/>
      <c r="U61" s="41"/>
      <c r="V61" s="41"/>
    </row>
    <row r="62" spans="3:23" s="35" customFormat="1" ht="12.75" customHeight="1">
      <c r="C62" s="44"/>
      <c r="D62" s="41"/>
      <c r="E62" s="41"/>
      <c r="F62" s="41"/>
      <c r="G62" s="41"/>
      <c r="H62" s="41"/>
      <c r="I62" s="41"/>
      <c r="J62" s="41"/>
      <c r="K62" s="49"/>
      <c r="L62" s="41"/>
      <c r="M62" s="42"/>
      <c r="N62" s="42"/>
      <c r="O62" s="41"/>
      <c r="P62" s="41"/>
      <c r="Q62" s="41"/>
      <c r="R62" s="41"/>
      <c r="S62" s="53"/>
      <c r="T62" s="53"/>
      <c r="U62" s="53"/>
      <c r="V62" s="53"/>
      <c r="W62" s="53"/>
    </row>
    <row r="63" spans="3:22" s="35" customFormat="1" ht="12.75" customHeight="1">
      <c r="C63" s="44"/>
      <c r="D63" s="48"/>
      <c r="E63" s="41"/>
      <c r="F63" s="41"/>
      <c r="G63" s="41"/>
      <c r="H63" s="41"/>
      <c r="I63" s="41"/>
      <c r="J63" s="41"/>
      <c r="K63" s="49"/>
      <c r="L63" s="41"/>
      <c r="M63" s="42"/>
      <c r="N63" s="42"/>
      <c r="O63" s="41"/>
      <c r="P63" s="41"/>
      <c r="Q63" s="41"/>
      <c r="R63" s="41"/>
      <c r="S63" s="41"/>
      <c r="T63" s="41"/>
      <c r="U63" s="41"/>
      <c r="V63" s="41"/>
    </row>
    <row r="64" spans="2:23" s="35" customFormat="1" ht="12.75" customHeight="1">
      <c r="B64" s="40"/>
      <c r="C64" s="44"/>
      <c r="D64" s="48"/>
      <c r="E64" s="41"/>
      <c r="F64" s="41"/>
      <c r="G64" s="41"/>
      <c r="H64" s="41"/>
      <c r="I64" s="41"/>
      <c r="J64" s="41"/>
      <c r="K64" s="49"/>
      <c r="L64" s="41"/>
      <c r="M64" s="42"/>
      <c r="N64" s="42"/>
      <c r="O64" s="41"/>
      <c r="P64" s="41"/>
      <c r="Q64" s="41"/>
      <c r="R64" s="41"/>
      <c r="S64" s="41"/>
      <c r="T64" s="41"/>
      <c r="U64" s="41"/>
      <c r="V64" s="41"/>
      <c r="W64" s="41"/>
    </row>
    <row r="65" spans="3:22" s="31" customFormat="1" ht="12.75" customHeight="1">
      <c r="C65" s="44"/>
      <c r="D65" s="50"/>
      <c r="E65" s="43"/>
      <c r="F65" s="43"/>
      <c r="G65" s="43"/>
      <c r="H65" s="43"/>
      <c r="I65" s="43"/>
      <c r="J65" s="43"/>
      <c r="K65" s="51"/>
      <c r="L65" s="43"/>
      <c r="M65" s="42"/>
      <c r="N65" s="42"/>
      <c r="O65" s="43"/>
      <c r="P65" s="43"/>
      <c r="Q65" s="43"/>
      <c r="R65" s="43"/>
      <c r="S65" s="43"/>
      <c r="T65" s="43"/>
      <c r="U65" s="43"/>
      <c r="V65" s="43"/>
    </row>
    <row r="66" spans="3:23" s="31" customFormat="1" ht="12.75" customHeight="1">
      <c r="C66" s="44"/>
      <c r="D66" s="50"/>
      <c r="E66" s="43"/>
      <c r="F66" s="43"/>
      <c r="G66" s="43"/>
      <c r="H66" s="43"/>
      <c r="I66" s="43"/>
      <c r="J66" s="43"/>
      <c r="K66" s="32"/>
      <c r="L66" s="43"/>
      <c r="M66" s="32"/>
      <c r="N66" s="32"/>
      <c r="O66" s="43"/>
      <c r="P66" s="43"/>
      <c r="Q66" s="43"/>
      <c r="R66" s="43"/>
      <c r="S66" s="46"/>
      <c r="T66" s="46"/>
      <c r="U66" s="46"/>
      <c r="V66" s="46"/>
      <c r="W66" s="46"/>
    </row>
    <row r="67" spans="3:23" s="31" customFormat="1" ht="12.75" customHeight="1">
      <c r="C67" s="44"/>
      <c r="D67" s="50"/>
      <c r="E67" s="43"/>
      <c r="F67" s="43"/>
      <c r="G67" s="43"/>
      <c r="H67" s="43"/>
      <c r="I67" s="43"/>
      <c r="J67" s="43"/>
      <c r="K67" s="32"/>
      <c r="L67" s="43"/>
      <c r="M67" s="32"/>
      <c r="N67" s="32"/>
      <c r="O67" s="43"/>
      <c r="P67" s="43"/>
      <c r="Q67" s="43"/>
      <c r="R67" s="43"/>
      <c r="S67" s="46"/>
      <c r="T67" s="46"/>
      <c r="U67" s="46"/>
      <c r="V67" s="46"/>
      <c r="W67" s="46"/>
    </row>
    <row r="68" spans="3:22" s="31" customFormat="1" ht="12.75" customHeight="1">
      <c r="C68" s="44"/>
      <c r="D68" s="50"/>
      <c r="E68" s="43"/>
      <c r="F68" s="43"/>
      <c r="G68" s="43"/>
      <c r="H68" s="43"/>
      <c r="I68" s="43"/>
      <c r="J68" s="43"/>
      <c r="K68" s="51"/>
      <c r="L68" s="43"/>
      <c r="M68" s="42"/>
      <c r="N68" s="42"/>
      <c r="O68" s="43"/>
      <c r="P68" s="43"/>
      <c r="Q68" s="43"/>
      <c r="R68" s="43"/>
      <c r="S68" s="43"/>
      <c r="T68" s="43"/>
      <c r="U68" s="43"/>
      <c r="V68" s="43"/>
    </row>
    <row r="69" spans="3:23" s="31" customFormat="1" ht="12.75" customHeight="1">
      <c r="C69" s="54"/>
      <c r="D69" s="50"/>
      <c r="E69" s="43"/>
      <c r="F69" s="43"/>
      <c r="G69" s="43"/>
      <c r="H69" s="43"/>
      <c r="I69" s="43"/>
      <c r="J69" s="43"/>
      <c r="K69" s="32"/>
      <c r="L69" s="43"/>
      <c r="M69" s="32"/>
      <c r="N69" s="32"/>
      <c r="O69" s="43"/>
      <c r="P69" s="43"/>
      <c r="Q69" s="43"/>
      <c r="R69" s="43"/>
      <c r="S69" s="46"/>
      <c r="T69" s="46"/>
      <c r="U69" s="46"/>
      <c r="V69" s="46"/>
      <c r="W69" s="46"/>
    </row>
    <row r="70" spans="3:23" s="31" customFormat="1" ht="12.75" customHeight="1">
      <c r="C70" s="55"/>
      <c r="D70" s="50"/>
      <c r="E70" s="43"/>
      <c r="F70" s="43"/>
      <c r="G70" s="43"/>
      <c r="H70" s="43"/>
      <c r="I70" s="43"/>
      <c r="J70" s="43"/>
      <c r="K70" s="32"/>
      <c r="L70" s="43"/>
      <c r="M70" s="32"/>
      <c r="N70" s="32"/>
      <c r="O70" s="43"/>
      <c r="P70" s="43"/>
      <c r="Q70" s="43"/>
      <c r="R70" s="43"/>
      <c r="S70" s="46"/>
      <c r="T70" s="46"/>
      <c r="U70" s="46"/>
      <c r="V70" s="46"/>
      <c r="W70" s="46"/>
    </row>
    <row r="71" spans="11:14" s="31" customFormat="1" ht="12.75" customHeight="1">
      <c r="K71" s="32"/>
      <c r="M71" s="32"/>
      <c r="N71" s="32"/>
    </row>
    <row r="72" spans="11:14" s="31" customFormat="1" ht="12.75" customHeight="1">
      <c r="K72" s="32"/>
      <c r="M72" s="32"/>
      <c r="N72" s="32"/>
    </row>
    <row r="73" spans="11:14" s="31" customFormat="1" ht="12.75" customHeight="1">
      <c r="K73" s="32"/>
      <c r="M73" s="32"/>
      <c r="N73" s="32"/>
    </row>
    <row r="74" spans="11:14" s="31" customFormat="1" ht="12.75" customHeight="1">
      <c r="K74" s="32"/>
      <c r="M74" s="32"/>
      <c r="N74" s="32"/>
    </row>
    <row r="75" spans="11:14" s="31" customFormat="1" ht="12.75" customHeight="1">
      <c r="K75" s="32"/>
      <c r="M75" s="32"/>
      <c r="N75" s="32"/>
    </row>
    <row r="76" spans="11:14" s="31" customFormat="1" ht="12.75" customHeight="1">
      <c r="K76" s="32"/>
      <c r="M76" s="32"/>
      <c r="N76" s="32"/>
    </row>
    <row r="77" spans="11:14" s="31" customFormat="1" ht="12.75" customHeight="1">
      <c r="K77" s="32"/>
      <c r="M77" s="32"/>
      <c r="N77" s="32"/>
    </row>
    <row r="78" spans="11:14" s="31" customFormat="1" ht="12.75" customHeight="1">
      <c r="K78" s="32"/>
      <c r="M78" s="32"/>
      <c r="N78" s="32"/>
    </row>
    <row r="79" spans="11:14" s="31" customFormat="1" ht="12.75" customHeight="1">
      <c r="K79" s="32"/>
      <c r="M79" s="32"/>
      <c r="N79" s="32"/>
    </row>
    <row r="80" spans="11:14" s="31" customFormat="1" ht="12.75" customHeight="1">
      <c r="K80" s="32"/>
      <c r="M80" s="32"/>
      <c r="N80" s="32"/>
    </row>
    <row r="81" spans="11:14" s="31" customFormat="1" ht="12.75" customHeight="1">
      <c r="K81" s="32"/>
      <c r="M81" s="32"/>
      <c r="N81" s="32"/>
    </row>
    <row r="82" spans="11:14" s="31" customFormat="1" ht="12.75" customHeight="1">
      <c r="K82" s="32"/>
      <c r="M82" s="32"/>
      <c r="N82" s="32"/>
    </row>
    <row r="83" spans="11:14" s="31" customFormat="1" ht="12.75" customHeight="1">
      <c r="K83" s="32"/>
      <c r="M83" s="32"/>
      <c r="N83" s="32"/>
    </row>
    <row r="84" spans="11:14" s="31" customFormat="1" ht="12.75" customHeight="1">
      <c r="K84" s="32"/>
      <c r="M84" s="32"/>
      <c r="N84" s="32"/>
    </row>
    <row r="85" spans="11:14" s="31" customFormat="1" ht="12.75" customHeight="1">
      <c r="K85" s="32"/>
      <c r="M85" s="32"/>
      <c r="N85" s="32"/>
    </row>
    <row r="86" spans="11:14" s="31" customFormat="1" ht="12.75" customHeight="1">
      <c r="K86" s="32"/>
      <c r="M86" s="32"/>
      <c r="N86" s="32"/>
    </row>
    <row r="87" spans="11:14" s="31" customFormat="1" ht="12.75" customHeight="1">
      <c r="K87" s="32"/>
      <c r="M87" s="32"/>
      <c r="N87" s="32"/>
    </row>
    <row r="88" spans="11:14" s="31" customFormat="1" ht="12.75" customHeight="1">
      <c r="K88" s="32"/>
      <c r="M88" s="32"/>
      <c r="N88" s="32"/>
    </row>
    <row r="89" spans="11:14" s="31" customFormat="1" ht="12.75" customHeight="1">
      <c r="K89" s="32"/>
      <c r="M89" s="32"/>
      <c r="N89" s="32"/>
    </row>
    <row r="90" spans="11:14" s="31" customFormat="1" ht="12.75" customHeight="1">
      <c r="K90" s="32"/>
      <c r="M90" s="32"/>
      <c r="N90" s="32"/>
    </row>
    <row r="91" spans="11:14" s="31" customFormat="1" ht="12.75" customHeight="1">
      <c r="K91" s="32"/>
      <c r="M91" s="32"/>
      <c r="N91" s="32"/>
    </row>
    <row r="92" spans="11:14" s="31" customFormat="1" ht="12.75" customHeight="1">
      <c r="K92" s="32"/>
      <c r="M92" s="32"/>
      <c r="N92" s="32"/>
    </row>
    <row r="93" spans="11:14" s="31" customFormat="1" ht="12.75" customHeight="1">
      <c r="K93" s="32"/>
      <c r="M93" s="32"/>
      <c r="N93" s="32"/>
    </row>
    <row r="94" spans="11:14" s="31" customFormat="1" ht="12.75" customHeight="1">
      <c r="K94" s="32"/>
      <c r="M94" s="32"/>
      <c r="N94" s="32"/>
    </row>
    <row r="95" spans="11:14" s="31" customFormat="1" ht="12.75" customHeight="1">
      <c r="K95" s="32"/>
      <c r="M95" s="32"/>
      <c r="N95" s="32"/>
    </row>
    <row r="96" spans="11:14" s="31" customFormat="1" ht="12.75" customHeight="1">
      <c r="K96" s="32"/>
      <c r="M96" s="32"/>
      <c r="N96" s="32"/>
    </row>
    <row r="97" spans="11:14" s="31" customFormat="1" ht="12.75" customHeight="1">
      <c r="K97" s="32"/>
      <c r="M97" s="32"/>
      <c r="N97" s="32"/>
    </row>
    <row r="98" spans="11:14" s="31" customFormat="1" ht="12.75" customHeight="1">
      <c r="K98" s="32"/>
      <c r="M98" s="32"/>
      <c r="N98" s="32"/>
    </row>
    <row r="99" spans="11:14" s="31" customFormat="1" ht="12.75" customHeight="1">
      <c r="K99" s="32"/>
      <c r="M99" s="32"/>
      <c r="N99" s="32"/>
    </row>
    <row r="100" spans="11:14" s="31" customFormat="1" ht="12.75" customHeight="1">
      <c r="K100" s="32"/>
      <c r="M100" s="32"/>
      <c r="N100" s="32"/>
    </row>
    <row r="101" spans="11:14" s="31" customFormat="1" ht="12.75" customHeight="1">
      <c r="K101" s="32"/>
      <c r="M101" s="32"/>
      <c r="N101" s="32"/>
    </row>
    <row r="102" spans="11:14" s="31" customFormat="1" ht="12.75" customHeight="1">
      <c r="K102" s="32"/>
      <c r="M102" s="32"/>
      <c r="N102" s="32"/>
    </row>
    <row r="103" spans="11:14" s="31" customFormat="1" ht="12.75" customHeight="1">
      <c r="K103" s="32"/>
      <c r="M103" s="32"/>
      <c r="N103" s="32"/>
    </row>
    <row r="104" spans="11:14" s="31" customFormat="1" ht="12.75" customHeight="1">
      <c r="K104" s="32"/>
      <c r="M104" s="32"/>
      <c r="N104" s="32"/>
    </row>
    <row r="105" spans="11:14" s="31" customFormat="1" ht="12.75" customHeight="1">
      <c r="K105" s="32"/>
      <c r="M105" s="32"/>
      <c r="N105" s="32"/>
    </row>
    <row r="106" spans="11:14" s="31" customFormat="1" ht="12.75" customHeight="1">
      <c r="K106" s="32"/>
      <c r="M106" s="32"/>
      <c r="N106" s="32"/>
    </row>
    <row r="107" spans="11:14" s="31" customFormat="1" ht="12.75" customHeight="1">
      <c r="K107" s="32"/>
      <c r="M107" s="32"/>
      <c r="N107" s="32"/>
    </row>
    <row r="108" spans="11:14" s="31" customFormat="1" ht="12.75" customHeight="1">
      <c r="K108" s="32"/>
      <c r="M108" s="32"/>
      <c r="N108" s="32"/>
    </row>
    <row r="109" spans="11:14" s="31" customFormat="1" ht="12.75" customHeight="1">
      <c r="K109" s="32"/>
      <c r="M109" s="32"/>
      <c r="N109" s="32"/>
    </row>
    <row r="110" spans="11:14" s="31" customFormat="1" ht="12.75" customHeight="1">
      <c r="K110" s="32"/>
      <c r="M110" s="32"/>
      <c r="N110" s="32"/>
    </row>
    <row r="111" spans="11:14" s="31" customFormat="1" ht="12.75" customHeight="1">
      <c r="K111" s="32"/>
      <c r="M111" s="32"/>
      <c r="N111" s="32"/>
    </row>
    <row r="112" spans="11:14" s="31" customFormat="1" ht="12.75" customHeight="1">
      <c r="K112" s="32"/>
      <c r="M112" s="32"/>
      <c r="N112" s="32"/>
    </row>
    <row r="113" spans="11:14" s="31" customFormat="1" ht="12.75" customHeight="1">
      <c r="K113" s="32"/>
      <c r="M113" s="32"/>
      <c r="N113" s="32"/>
    </row>
    <row r="114" spans="11:14" s="31" customFormat="1" ht="12.75" customHeight="1">
      <c r="K114" s="32"/>
      <c r="M114" s="32"/>
      <c r="N114" s="32"/>
    </row>
    <row r="115" spans="11:14" s="31" customFormat="1" ht="12.75" customHeight="1">
      <c r="K115" s="32"/>
      <c r="M115" s="32"/>
      <c r="N115" s="32"/>
    </row>
    <row r="116" spans="11:14" s="31" customFormat="1" ht="12.75" customHeight="1">
      <c r="K116" s="32"/>
      <c r="M116" s="32"/>
      <c r="N116" s="32"/>
    </row>
    <row r="117" spans="11:14" s="31" customFormat="1" ht="12.75" customHeight="1">
      <c r="K117" s="32"/>
      <c r="M117" s="32"/>
      <c r="N117" s="32"/>
    </row>
    <row r="118" spans="11:14" s="31" customFormat="1" ht="12.75" customHeight="1">
      <c r="K118" s="32"/>
      <c r="M118" s="32"/>
      <c r="N118" s="32"/>
    </row>
    <row r="119" spans="11:14" s="31" customFormat="1" ht="12.75" customHeight="1">
      <c r="K119" s="32"/>
      <c r="M119" s="32"/>
      <c r="N119" s="32"/>
    </row>
    <row r="120" spans="11:14" s="31" customFormat="1" ht="12.75" customHeight="1">
      <c r="K120" s="32"/>
      <c r="M120" s="32"/>
      <c r="N120" s="32"/>
    </row>
    <row r="121" spans="11:14" s="31" customFormat="1" ht="12.75" customHeight="1">
      <c r="K121" s="32"/>
      <c r="M121" s="32"/>
      <c r="N121" s="32"/>
    </row>
    <row r="122" spans="11:14" s="31" customFormat="1" ht="12.75" customHeight="1">
      <c r="K122" s="32"/>
      <c r="M122" s="32"/>
      <c r="N122" s="32"/>
    </row>
    <row r="123" spans="11:14" s="31" customFormat="1" ht="12.75" customHeight="1">
      <c r="K123" s="32"/>
      <c r="M123" s="32"/>
      <c r="N123" s="32"/>
    </row>
    <row r="124" spans="11:14" s="31" customFormat="1" ht="12.75" customHeight="1">
      <c r="K124" s="32"/>
      <c r="M124" s="32"/>
      <c r="N124" s="32"/>
    </row>
    <row r="125" spans="11:14" s="31" customFormat="1" ht="12.75" customHeight="1">
      <c r="K125" s="32"/>
      <c r="M125" s="32"/>
      <c r="N125" s="32"/>
    </row>
    <row r="126" spans="11:14" s="31" customFormat="1" ht="12.75" customHeight="1">
      <c r="K126" s="32"/>
      <c r="M126" s="32"/>
      <c r="N126" s="32"/>
    </row>
    <row r="127" spans="11:14" s="31" customFormat="1" ht="12.75" customHeight="1">
      <c r="K127" s="32"/>
      <c r="M127" s="32"/>
      <c r="N127" s="32"/>
    </row>
    <row r="128" spans="11:14" s="31" customFormat="1" ht="12.75" customHeight="1">
      <c r="K128" s="32"/>
      <c r="M128" s="32"/>
      <c r="N128" s="32"/>
    </row>
    <row r="129" spans="11:14" s="31" customFormat="1" ht="12.75" customHeight="1">
      <c r="K129" s="32"/>
      <c r="M129" s="32"/>
      <c r="N129" s="32"/>
    </row>
    <row r="130" spans="11:14" s="31" customFormat="1" ht="12.75" customHeight="1">
      <c r="K130" s="32"/>
      <c r="M130" s="32"/>
      <c r="N130" s="32"/>
    </row>
    <row r="131" spans="11:14" s="31" customFormat="1" ht="12.75" customHeight="1">
      <c r="K131" s="32"/>
      <c r="M131" s="32"/>
      <c r="N131" s="32"/>
    </row>
    <row r="132" spans="11:14" s="31" customFormat="1" ht="12.75" customHeight="1">
      <c r="K132" s="32"/>
      <c r="M132" s="32"/>
      <c r="N132" s="32"/>
    </row>
    <row r="133" spans="11:14" s="31" customFormat="1" ht="12.75" customHeight="1">
      <c r="K133" s="32"/>
      <c r="M133" s="32"/>
      <c r="N133" s="32"/>
    </row>
    <row r="134" spans="11:14" s="31" customFormat="1" ht="12.75" customHeight="1">
      <c r="K134" s="32"/>
      <c r="M134" s="32"/>
      <c r="N134" s="32"/>
    </row>
    <row r="135" spans="11:14" s="31" customFormat="1" ht="12.75" customHeight="1">
      <c r="K135" s="32"/>
      <c r="M135" s="32"/>
      <c r="N135" s="32"/>
    </row>
    <row r="136" spans="11:14" s="31" customFormat="1" ht="12.75" customHeight="1">
      <c r="K136" s="32"/>
      <c r="M136" s="32"/>
      <c r="N136" s="32"/>
    </row>
    <row r="137" spans="11:14" s="31" customFormat="1" ht="12.75" customHeight="1">
      <c r="K137" s="32"/>
      <c r="M137" s="32"/>
      <c r="N137" s="32"/>
    </row>
    <row r="138" spans="11:14" s="31" customFormat="1" ht="12.75" customHeight="1">
      <c r="K138" s="32"/>
      <c r="M138" s="32"/>
      <c r="N138" s="32"/>
    </row>
    <row r="139" spans="11:14" s="31" customFormat="1" ht="12.75" customHeight="1">
      <c r="K139" s="32"/>
      <c r="M139" s="32"/>
      <c r="N139" s="32"/>
    </row>
    <row r="140" spans="11:14" s="31" customFormat="1" ht="12.75" customHeight="1">
      <c r="K140" s="32"/>
      <c r="M140" s="32"/>
      <c r="N140" s="32"/>
    </row>
    <row r="141" spans="11:14" s="31" customFormat="1" ht="12.75" customHeight="1">
      <c r="K141" s="32"/>
      <c r="M141" s="32"/>
      <c r="N141" s="32"/>
    </row>
    <row r="142" spans="11:14" s="31" customFormat="1" ht="12.75" customHeight="1">
      <c r="K142" s="32"/>
      <c r="M142" s="32"/>
      <c r="N142" s="32"/>
    </row>
    <row r="143" spans="11:14" s="31" customFormat="1" ht="12.75" customHeight="1">
      <c r="K143" s="32"/>
      <c r="M143" s="32"/>
      <c r="N143" s="32"/>
    </row>
    <row r="144" spans="11:14" s="31" customFormat="1" ht="12.75" customHeight="1">
      <c r="K144" s="32"/>
      <c r="M144" s="32"/>
      <c r="N144" s="32"/>
    </row>
    <row r="145" spans="11:14" s="31" customFormat="1" ht="12.75" customHeight="1">
      <c r="K145" s="32"/>
      <c r="M145" s="32"/>
      <c r="N145" s="32"/>
    </row>
    <row r="146" spans="11:14" s="31" customFormat="1" ht="12.75" customHeight="1">
      <c r="K146" s="32"/>
      <c r="M146" s="32"/>
      <c r="N146" s="32"/>
    </row>
    <row r="147" spans="11:14" s="31" customFormat="1" ht="12.75" customHeight="1">
      <c r="K147" s="32"/>
      <c r="M147" s="32"/>
      <c r="N147" s="32"/>
    </row>
  </sheetData>
  <printOptions horizontalCentered="1"/>
  <pageMargins left="0.5" right="0.5" top="3" bottom="0.5" header="1.5" footer="0.5"/>
  <pageSetup orientation="landscape" pageOrder="overThenDown" scale="58" r:id="rId1"/>
  <headerFooter alignWithMargins="0">
    <oddHeader>&amp;C&amp;B
2022 RATE CASE
ONCOR ELECTRIC DELIVERY COMPANY LLC
II-D-4   SUMMARY OF EXCLUSIONS FROM TEST YEAR
TEST YEAR ENDING DECEMBER 31, 2021
SPONSOR: W. ALAN LEDBETTER&amp;R&amp;"Arial,Bold"Schedule &amp;A
Page &amp;P of &amp;N</oddHeader>
  </headerFooter>
  <colBreaks count="1" manualBreakCount="1">
    <brk id="11" min="14" max="20" man="1"/>
  </colBreaks>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ScaleCrop>false</ScaleCrop>
  <HeadingPairs>
    <vt:vector size="2" baseType="variant">
      <vt:variant>
        <vt:lpstr>Worksheets</vt:lpstr>
      </vt:variant>
      <vt:variant>
        <vt:i4>49</vt:i4>
      </vt:variant>
    </vt:vector>
  </HeadingPairs>
  <TitlesOfParts>
    <vt:vector size="49" baseType="lpstr">
      <vt:lpstr>Link Sheet</vt:lpstr>
      <vt:lpstr>II-D-1</vt:lpstr>
      <vt:lpstr>II-D-1a</vt:lpstr>
      <vt:lpstr>II-D-1.1</vt:lpstr>
      <vt:lpstr>II-D-2</vt:lpstr>
      <vt:lpstr>II-D-2a</vt:lpstr>
      <vt:lpstr>II-D-2.1</vt:lpstr>
      <vt:lpstr>II-D-2.2.1</vt:lpstr>
      <vt:lpstr>II-D-2.2.2</vt:lpstr>
      <vt:lpstr>II-D-2.2.3</vt:lpstr>
      <vt:lpstr>II-D-2.2a</vt:lpstr>
      <vt:lpstr>II-D-2.3</vt:lpstr>
      <vt:lpstr>II-D-2.4</vt:lpstr>
      <vt:lpstr>II-D-2.4a</vt:lpstr>
      <vt:lpstr>II-D-2.5</vt:lpstr>
      <vt:lpstr>II-D-2.6</vt:lpstr>
      <vt:lpstr>II-D-2.6a</vt:lpstr>
      <vt:lpstr>II-D-2.6b</vt:lpstr>
      <vt:lpstr>II-D-2.6c</vt:lpstr>
      <vt:lpstr>II-D-2.7 Conf.</vt:lpstr>
      <vt:lpstr>II-D-2.8</vt:lpstr>
      <vt:lpstr>II-D-2.9</vt:lpstr>
      <vt:lpstr>II-D-2.9a</vt:lpstr>
      <vt:lpstr>II-D-2.9b</vt:lpstr>
      <vt:lpstr>II-D-2.9c</vt:lpstr>
      <vt:lpstr>II-D-2.9 Attachment 1</vt:lpstr>
      <vt:lpstr>II-D-3</vt:lpstr>
      <vt:lpstr>II-D-3.1</vt:lpstr>
      <vt:lpstr>II-D-3.2</vt:lpstr>
      <vt:lpstr>II-D-3.3</vt:lpstr>
      <vt:lpstr>II-D-3.4</vt:lpstr>
      <vt:lpstr>II-D-3.5</vt:lpstr>
      <vt:lpstr>II-D-3.6</vt:lpstr>
      <vt:lpstr>II-D-3.7.1</vt:lpstr>
      <vt:lpstr>II-D-3.7.2</vt:lpstr>
      <vt:lpstr>II-D-3.7.3</vt:lpstr>
      <vt:lpstr>II-D-3.7.3A</vt:lpstr>
      <vt:lpstr>II-D-3.7.4</vt:lpstr>
      <vt:lpstr>II-D-3.7.4a</vt:lpstr>
      <vt:lpstr>II-D-3.7.5</vt:lpstr>
      <vt:lpstr>II-D-3.8.1</vt:lpstr>
      <vt:lpstr>II-D-3.8.2</vt:lpstr>
      <vt:lpstr>II-D-3.8.3</vt:lpstr>
      <vt:lpstr>II-D-3.9.1</vt:lpstr>
      <vt:lpstr>II-D-3.9.2</vt:lpstr>
      <vt:lpstr>II-D-3.9.3</vt:lpstr>
      <vt:lpstr>II-D-3.10</vt:lpstr>
      <vt:lpstr>II-D-3.10 Attachment 1</vt:lpstr>
      <vt:lpstr>II-D-4</vt:lpstr>
    </vt:vector>
  </TitlesOfParts>
  <Template/>
  <Manager/>
  <Company/>
  <LinksUpToDate>false</LinksUpToDat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-932767527</vt:i4>
  </property>
  <property fmtid="{D5CDD505-2E9C-101B-9397-08002B2CF9AE}" pid="3" name="_EmailSubject">
    <vt:lpwstr>IOU RFP</vt:lpwstr>
  </property>
  <property fmtid="{D5CDD505-2E9C-101B-9397-08002B2CF9AE}" pid="4" name="_AuthorEmail">
    <vt:lpwstr>Ruth.Stark@puc.state.tx.us</vt:lpwstr>
  </property>
  <property fmtid="{D5CDD505-2E9C-101B-9397-08002B2CF9AE}" pid="5" name="_AuthorEmailDisplayName">
    <vt:lpwstr>Stark, Ruth</vt:lpwstr>
  </property>
  <property fmtid="{D5CDD505-2E9C-101B-9397-08002B2CF9AE}" pid="6" name="_PreviousAdHocReviewCycleID">
    <vt:i4>-513871875</vt:i4>
  </property>
  <property fmtid="{D5CDD505-2E9C-101B-9397-08002B2CF9AE}" pid="7" name="_ReviewingToolsShownOnce">
    <vt:lpwstr/>
  </property>
</Properties>
</file>