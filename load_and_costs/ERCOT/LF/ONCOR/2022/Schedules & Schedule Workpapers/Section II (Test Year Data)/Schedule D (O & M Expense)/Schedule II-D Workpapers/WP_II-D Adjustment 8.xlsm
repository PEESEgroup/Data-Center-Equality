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ctrProps/ctrProp1.xml" ContentType="application/vnd.ms-excel.controlproperties+xml"/>
  <Override PartName="/xl/drawings/drawing1.xml" ContentType="application/vnd.openxmlformats-officedocument.drawing+xml"/>
  <Default Extension="vml" ContentType="application/vnd.openxmlformats-officedocument.vmlDrawing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705" activeTab="0"/>
  </bookViews>
  <sheets>
    <sheet name="Sheet1" sheetId="1" r:id="rId2"/>
  </sheets>
  <definedNames>
    <definedName name="_xlnm.Print_Area" localSheetId="0">Sheet1!$A$1:$R$33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3" i="1" l="1"/>
</calcChain>
</file>

<file path=xl/sharedStrings.xml><?xml version="1.0" encoding="utf-8"?>
<sst xmlns="http://schemas.openxmlformats.org/spreadsheetml/2006/main" count="182" uniqueCount="39">
  <si>
    <t>ESD</t>
  </si>
  <si>
    <t>Errors</t>
  </si>
  <si>
    <t>BU</t>
  </si>
  <si>
    <t>DeptID</t>
  </si>
  <si>
    <t>Account</t>
  </si>
  <si>
    <t>EC</t>
  </si>
  <si>
    <t>Project</t>
  </si>
  <si>
    <t>Location</t>
  </si>
  <si>
    <t>Activity</t>
  </si>
  <si>
    <t>Affiliate</t>
  </si>
  <si>
    <t>Amount</t>
  </si>
  <si>
    <t>Reference</t>
  </si>
  <si>
    <t>Description</t>
  </si>
  <si>
    <t>521900</t>
  </si>
  <si>
    <t>9200000</t>
  </si>
  <si>
    <t>102</t>
  </si>
  <si>
    <t>VACATION</t>
  </si>
  <si>
    <t>0000</t>
  </si>
  <si>
    <t/>
  </si>
  <si>
    <t>Vac Accrl-Non-Exempt Emp.</t>
  </si>
  <si>
    <t>2423400</t>
  </si>
  <si>
    <t>4081000</t>
  </si>
  <si>
    <t>570</t>
  </si>
  <si>
    <t>FICA TAX</t>
  </si>
  <si>
    <t>TRN</t>
  </si>
  <si>
    <t>571900</t>
  </si>
  <si>
    <t>9010</t>
  </si>
  <si>
    <t>101</t>
  </si>
  <si>
    <t>Vac Accrual - Exempt Emp.</t>
  </si>
  <si>
    <t>2022 merit adjustment</t>
  </si>
  <si>
    <t>Effective tax rate</t>
  </si>
  <si>
    <t>2021 accrual net of 2020 accrual reversal</t>
  </si>
  <si>
    <t>O&amp;M</t>
  </si>
  <si>
    <t>Payroll taxes</t>
  </si>
  <si>
    <t>Test year - carryover vacation accrual</t>
  </si>
  <si>
    <t>K&amp;M adjustment (normalize test year plus 2022 3.5% merit increase)</t>
  </si>
  <si>
    <t>Oncor Electric Delivery Company LLC</t>
  </si>
  <si>
    <t>K&amp;M O&amp;M Adjustment for net accrual of vacation carryover</t>
  </si>
  <si>
    <t>2021 credit driven by reversal of 2020 accrual (high number of carryover vacation hours in 2020)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</si>
</sst>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mm/dd/yy"/>
    <numFmt numFmtId="165" formatCode="0.0%"/>
  </numFmts>
  <fonts count="5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/>
      <top/>
      <bottom style="thin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164" fontId="2" fillId="2" borderId="0">
      <alignment/>
      <protection/>
    </xf>
  </cellStyleXfs>
  <cellXfs count="26">
    <xf numFmtId="0" fontId="0" fillId="0" borderId="0" xfId="0"/>
    <xf numFmtId="49" fontId="3" fillId="0" borderId="1" xfId="20" applyNumberFormat="1" applyFont="1" applyFill="1" applyBorder="1" applyAlignment="1" applyProtection="1">
      <alignment horizontal="center"/>
      <protection locked="0"/>
    </xf>
    <xf numFmtId="49" fontId="3" fillId="0" borderId="0" xfId="20" applyNumberFormat="1" applyFont="1" applyFill="1" applyBorder="1" applyAlignment="1" applyProtection="1">
      <alignment horizontal="center"/>
      <protection locked="0"/>
    </xf>
    <xf numFmtId="165" fontId="0" fillId="0" borderId="0" xfId="15" applyNumberFormat="1" applyFont="1"/>
    <xf numFmtId="40" fontId="0" fillId="0" borderId="0" xfId="0" applyNumberFormat="1"/>
    <xf numFmtId="49" fontId="3" fillId="0" borderId="0" xfId="20" applyNumberFormat="1" applyFont="1" applyFill="1" applyBorder="1" applyAlignment="1" applyProtection="1">
      <alignment horizontal="left"/>
      <protection locked="0"/>
    </xf>
    <xf numFmtId="10" fontId="0" fillId="0" borderId="0" xfId="15" applyNumberFormat="1" applyFont="1"/>
    <xf numFmtId="0" fontId="4" fillId="0" borderId="2" xfId="0" applyFont="1" applyFill="1" applyBorder="1" applyAlignment="1">
      <alignment horizontal="center"/>
    </xf>
    <xf numFmtId="43" fontId="4" fillId="0" borderId="2" xfId="18" applyFont="1" applyFill="1" applyBorder="1"/>
    <xf numFmtId="0" fontId="4" fillId="0" borderId="3" xfId="0" applyFont="1" applyFill="1" applyBorder="1"/>
    <xf numFmtId="0" fontId="4" fillId="0" borderId="4" xfId="0" applyFont="1" applyFill="1" applyBorder="1"/>
    <xf numFmtId="0" fontId="4" fillId="0" borderId="5" xfId="0" applyFont="1" applyFill="1" applyBorder="1"/>
    <xf numFmtId="0" fontId="4" fillId="0" borderId="6" xfId="0" applyFont="1" applyFill="1" applyBorder="1"/>
    <xf numFmtId="0" fontId="4" fillId="0" borderId="0" xfId="0" applyFont="1" applyFill="1" applyBorder="1"/>
    <xf numFmtId="0" fontId="4" fillId="0" borderId="7" xfId="0" applyFont="1" applyFill="1" applyBorder="1"/>
    <xf numFmtId="43" fontId="4" fillId="0" borderId="0" xfId="18" applyFont="1" applyFill="1" applyBorder="1"/>
    <xf numFmtId="165" fontId="4" fillId="0" borderId="0" xfId="15" applyNumberFormat="1" applyFont="1" applyFill="1" applyBorder="1"/>
    <xf numFmtId="0" fontId="4" fillId="0" borderId="8" xfId="0" applyFont="1" applyFill="1" applyBorder="1"/>
    <xf numFmtId="0" fontId="4" fillId="0" borderId="9" xfId="0" applyFont="1" applyFill="1" applyBorder="1"/>
    <xf numFmtId="43" fontId="4" fillId="0" borderId="9" xfId="0" applyNumberFormat="1" applyFont="1" applyFill="1" applyBorder="1"/>
    <xf numFmtId="165" fontId="4" fillId="0" borderId="9" xfId="15" applyNumberFormat="1" applyFont="1" applyFill="1" applyBorder="1"/>
    <xf numFmtId="0" fontId="4" fillId="0" borderId="10" xfId="0" applyFont="1" applyFill="1" applyBorder="1"/>
    <xf numFmtId="43" fontId="3" fillId="0" borderId="1" xfId="20" applyNumberFormat="1" applyFont="1" applyFill="1" applyBorder="1" applyAlignment="1" applyProtection="1">
      <alignment horizontal="right"/>
      <protection locked="0"/>
    </xf>
    <xf numFmtId="43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2" xfId="0" applyNumberFormat="1" applyBorder="1"/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_JE_UPLOAD_sub" xfId="2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ctrProps/ctrProp1.xml><?xml version="1.0" encoding="utf-8"?>
<formControlPr xmlns="http://schemas.microsoft.com/office/spreadsheetml/2009/9/main" objectType="List" dx="16" noThreeD="1" sel="0" seltype="single" val="0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5</xdr:col>
      <xdr:colOff>838200</xdr:colOff>
      <xdr:row>17</xdr:row>
      <xdr:rowOff>95250</xdr:rowOff>
    </xdr:from>
    <xdr:ext cx="180975" cy="266700"/>
    <xdr:sp macro="">
      <xdr:nvSpPr>
        <xdr:cNvPr id="4" name="TextBox 3"/>
        <xdr:cNvSpPr txBox="1"/>
      </xdr:nvSpPr>
      <xdr:spPr>
        <a:xfrm>
          <a:off x="2743200" y="33337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none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10</xdr:col>
      <xdr:colOff>247650</xdr:colOff>
      <xdr:row>2</xdr:row>
      <xdr:rowOff>0</xdr:rowOff>
    </xdr:from>
    <xdr:ext cx="1895475" cy="257175"/>
    <xdr:sp macro="">
      <xdr:nvSpPr>
        <xdr:cNvPr id="5" name="TextBox 4"/>
        <xdr:cNvSpPr txBox="1"/>
      </xdr:nvSpPr>
      <xdr:spPr>
        <a:xfrm>
          <a:off x="5438775" y="381000"/>
          <a:ext cx="1895475" cy="2571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square" anchor="t">
          <a:noAutofit/>
        </a:bodyPr>
        <a:lstStyle/>
        <a:p>
          <a:endParaRPr lang="en-US" sz="1100" b="1">
            <a:solidFill>
              <a:srgbClr val="FFFFFF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0</xdr:rowOff>
        </xdr:from>
        <xdr:to>
          <xdr:col>5</xdr:col>
          <xdr:colOff>419100</xdr:colOff>
          <xdr:row>4</xdr:row>
          <xdr:rowOff>57150</xdr:rowOff>
        </xdr:to>
        <xdr:sp>
          <xdr:nvSpPr>
            <xdr:cNvPr id="1029" name="lstHeaderErrors" hidden="1">
              <a:extLst>
                <a:ext uri="{63B3BB69-23CF-44E3-9099-C40C66FF867C}">
                  <a14:compatExt spid="_x0000_s1029"/>
                </a:ext>
              </a:extLst>
            </xdr:cNvPr>
            <xdr:cNvSpPr>
              <a:spLocks noRot="1" noTextEdit="1"/>
            </xdr:cNvSpPr>
          </xdr:nvSpPr>
          <xdr:spPr>
            <a:xfrm>
              <a:off x="47625" y="381000"/>
              <a:ext cx="2457450" cy="438150"/>
            </a:xfrm>
            <a:prstGeom prst="rect"/>
            <a:ln>
              <a:noFill/>
            </a:ln>
          </xdr:spPr>
        </xdr:sp>
        <xdr:clientData/>
      </xdr:twoCellAnchor>
    </mc:Choice>
    <mc:Fallback/>
  </mc:AlternateContent>
  <xdr:oneCellAnchor>
    <xdr:from>
      <xdr:col>5</xdr:col>
      <xdr:colOff>838200</xdr:colOff>
      <xdr:row>10</xdr:row>
      <xdr:rowOff>95250</xdr:rowOff>
    </xdr:from>
    <xdr:ext cx="180975" cy="266700"/>
    <xdr:sp macro="">
      <xdr:nvSpPr>
        <xdr:cNvPr id="12" name="TextBox 11"/>
        <xdr:cNvSpPr txBox="1"/>
      </xdr:nvSpPr>
      <xdr:spPr>
        <a:xfrm>
          <a:off x="2743200" y="20002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none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ctrlProp" Target="../ctrProps/ctrProp1.xml" /><Relationship Id="rId2" Type="http://schemas.openxmlformats.org/officeDocument/2006/relationships/drawing" Target="../drawings/drawing1.xml" /><Relationship Id="rId4" Type="http://schemas.openxmlformats.org/officeDocument/2006/relationships/printerSettings" Target="../printerSettings/printerSettings1.bin" /><Relationship Id="rId3" Type="http://schemas.openxmlformats.org/officeDocument/2006/relationships/vmlDrawing" Target="../drawings/vmlDrawing1.v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M33"/>
  <sheetViews>
    <sheetView tabSelected="1" workbookViewId="0" topLeftCell="A1">
      <selection pane="topLeft" activeCell="O19" sqref="O19"/>
    </sheetView>
  </sheetViews>
  <sheetFormatPr defaultRowHeight="15"/>
  <cols>
    <col min="1" max="1" width="6.28571428571429" bestFit="1" customWidth="1"/>
    <col min="2" max="2" width="4.42857142857143" bestFit="1" customWidth="1"/>
    <col min="3" max="3" width="8.85714285714286" bestFit="1" customWidth="1"/>
    <col min="4" max="4" width="7.85714285714286" bestFit="1" customWidth="1"/>
    <col min="5" max="5" width="3.85714285714286" bestFit="1" customWidth="1"/>
    <col min="6" max="6" width="9.85714285714286" bestFit="1" customWidth="1"/>
    <col min="7" max="7" width="8.42857142857143" bestFit="1" customWidth="1"/>
    <col min="8" max="8" width="7.71428571428571" bestFit="1" customWidth="1"/>
    <col min="9" max="9" width="8.28571428571429" bestFit="1" customWidth="1"/>
    <col min="10" max="10" width="12.2857142857143" bestFit="1" customWidth="1"/>
    <col min="11" max="11" width="14.8571428571429" bestFit="1" customWidth="1"/>
    <col min="12" max="12" width="29.5714285714286" bestFit="1" customWidth="1"/>
  </cols>
  <sheetData>
    <row r="1" spans="1:1" ht="15">
      <c r="A1" t="s">
        <v>36</v>
      </c>
    </row>
    <row r="2" spans="1:1" ht="15">
      <c r="A2" t="s">
        <v>37</v>
      </c>
    </row>
    <row r="3" spans="1:12" ht="1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</row>
    <row r="4" spans="1:12" ht="15">
      <c r="A4" s="1"/>
      <c r="B4" s="1" t="s">
        <v>0</v>
      </c>
      <c r="C4" s="1" t="s">
        <v>13</v>
      </c>
      <c r="D4" s="1" t="s">
        <v>14</v>
      </c>
      <c r="E4" s="1" t="s">
        <v>15</v>
      </c>
      <c r="F4" s="1" t="s">
        <v>16</v>
      </c>
      <c r="G4" s="1" t="s">
        <v>17</v>
      </c>
      <c r="H4" s="1" t="s">
        <v>17</v>
      </c>
      <c r="I4" s="1" t="s">
        <v>18</v>
      </c>
      <c r="J4" s="22">
        <f>J5*-1</f>
        <v>-87089</v>
      </c>
      <c r="K4" s="1"/>
      <c r="L4" s="1" t="s">
        <v>19</v>
      </c>
    </row>
    <row r="5" spans="1:12" ht="15">
      <c r="A5" s="1"/>
      <c r="B5" s="1" t="s">
        <v>0</v>
      </c>
      <c r="C5" s="1" t="s">
        <v>13</v>
      </c>
      <c r="D5" s="1" t="s">
        <v>20</v>
      </c>
      <c r="E5" s="1" t="s">
        <v>15</v>
      </c>
      <c r="F5" s="1" t="s">
        <v>16</v>
      </c>
      <c r="G5" s="1" t="s">
        <v>17</v>
      </c>
      <c r="H5" s="1" t="s">
        <v>17</v>
      </c>
      <c r="I5" s="1" t="s">
        <v>18</v>
      </c>
      <c r="J5" s="22">
        <v>87089</v>
      </c>
      <c r="K5" s="1"/>
      <c r="L5" s="1" t="s">
        <v>19</v>
      </c>
    </row>
    <row r="6" spans="1:12" ht="15">
      <c r="A6" s="1"/>
      <c r="B6" s="1" t="s">
        <v>0</v>
      </c>
      <c r="C6" s="1" t="s">
        <v>13</v>
      </c>
      <c r="D6" s="1" t="s">
        <v>21</v>
      </c>
      <c r="E6" s="1" t="s">
        <v>22</v>
      </c>
      <c r="F6" s="1" t="s">
        <v>16</v>
      </c>
      <c r="G6" s="1" t="s">
        <v>17</v>
      </c>
      <c r="H6" s="1" t="s">
        <v>17</v>
      </c>
      <c r="I6" s="1" t="s">
        <v>18</v>
      </c>
      <c r="J6" s="22">
        <f>-J7</f>
        <v>-6662.3100000000004</v>
      </c>
      <c r="K6" s="1" t="s">
        <v>23</v>
      </c>
      <c r="L6" s="1" t="s">
        <v>19</v>
      </c>
    </row>
    <row r="7" spans="1:12" ht="15">
      <c r="A7" s="1"/>
      <c r="B7" s="1" t="s">
        <v>0</v>
      </c>
      <c r="C7" s="1" t="s">
        <v>13</v>
      </c>
      <c r="D7" s="1" t="s">
        <v>20</v>
      </c>
      <c r="E7" s="1" t="s">
        <v>15</v>
      </c>
      <c r="F7" s="1" t="s">
        <v>16</v>
      </c>
      <c r="G7" s="1" t="s">
        <v>17</v>
      </c>
      <c r="H7" s="1" t="s">
        <v>17</v>
      </c>
      <c r="I7" s="1" t="s">
        <v>18</v>
      </c>
      <c r="J7" s="22">
        <v>6662.3100000000004</v>
      </c>
      <c r="K7" s="1" t="s">
        <v>23</v>
      </c>
      <c r="L7" s="1" t="s">
        <v>19</v>
      </c>
    </row>
    <row r="8" spans="1:12" ht="15">
      <c r="A8" s="1"/>
      <c r="B8" s="1" t="s">
        <v>24</v>
      </c>
      <c r="C8" s="1" t="s">
        <v>25</v>
      </c>
      <c r="D8" s="1" t="s">
        <v>14</v>
      </c>
      <c r="E8" s="1" t="s">
        <v>15</v>
      </c>
      <c r="F8" s="1" t="s">
        <v>16</v>
      </c>
      <c r="G8" s="1" t="s">
        <v>17</v>
      </c>
      <c r="H8" s="1" t="s">
        <v>26</v>
      </c>
      <c r="I8" s="1" t="s">
        <v>18</v>
      </c>
      <c r="J8" s="22">
        <f>J9*-1</f>
        <v>-25212.360000000001</v>
      </c>
      <c r="K8" s="1"/>
      <c r="L8" s="1" t="s">
        <v>19</v>
      </c>
    </row>
    <row r="9" spans="1:12" ht="15">
      <c r="A9" s="1"/>
      <c r="B9" s="1" t="s">
        <v>24</v>
      </c>
      <c r="C9" s="1" t="s">
        <v>25</v>
      </c>
      <c r="D9" s="1" t="s">
        <v>20</v>
      </c>
      <c r="E9" s="1" t="s">
        <v>15</v>
      </c>
      <c r="F9" s="1" t="s">
        <v>16</v>
      </c>
      <c r="G9" s="1" t="s">
        <v>17</v>
      </c>
      <c r="H9" s="1" t="s">
        <v>17</v>
      </c>
      <c r="I9" s="1" t="s">
        <v>18</v>
      </c>
      <c r="J9" s="22">
        <v>25212.360000000001</v>
      </c>
      <c r="K9" s="1"/>
      <c r="L9" s="1" t="s">
        <v>19</v>
      </c>
    </row>
    <row r="10" spans="1:12" ht="15">
      <c r="A10" s="1"/>
      <c r="B10" s="1" t="s">
        <v>24</v>
      </c>
      <c r="C10" s="1" t="s">
        <v>25</v>
      </c>
      <c r="D10" s="1" t="s">
        <v>21</v>
      </c>
      <c r="E10" s="1" t="s">
        <v>22</v>
      </c>
      <c r="F10" s="1" t="s">
        <v>16</v>
      </c>
      <c r="G10" s="1" t="s">
        <v>17</v>
      </c>
      <c r="H10" s="1" t="s">
        <v>17</v>
      </c>
      <c r="I10" s="1" t="s">
        <v>18</v>
      </c>
      <c r="J10" s="22">
        <f>J11*-1</f>
        <v>-1928.75</v>
      </c>
      <c r="K10" s="1" t="s">
        <v>23</v>
      </c>
      <c r="L10" s="1" t="s">
        <v>19</v>
      </c>
    </row>
    <row r="11" spans="1:12" ht="15">
      <c r="A11" s="1"/>
      <c r="B11" s="1" t="s">
        <v>24</v>
      </c>
      <c r="C11" s="1" t="s">
        <v>25</v>
      </c>
      <c r="D11" s="1" t="s">
        <v>20</v>
      </c>
      <c r="E11" s="1" t="s">
        <v>15</v>
      </c>
      <c r="F11" s="1" t="s">
        <v>16</v>
      </c>
      <c r="G11" s="1" t="s">
        <v>17</v>
      </c>
      <c r="H11" s="1" t="s">
        <v>17</v>
      </c>
      <c r="I11" s="1" t="s">
        <v>18</v>
      </c>
      <c r="J11" s="22">
        <v>1928.75</v>
      </c>
      <c r="K11" s="1" t="s">
        <v>23</v>
      </c>
      <c r="L11" s="1" t="s">
        <v>19</v>
      </c>
    </row>
    <row r="12" spans="1:12" ht="15">
      <c r="A12" s="1"/>
      <c r="B12" s="1" t="s">
        <v>0</v>
      </c>
      <c r="C12" s="1" t="s">
        <v>13</v>
      </c>
      <c r="D12" s="1" t="s">
        <v>14</v>
      </c>
      <c r="E12" s="1" t="s">
        <v>27</v>
      </c>
      <c r="F12" s="1" t="s">
        <v>16</v>
      </c>
      <c r="G12" s="1" t="s">
        <v>17</v>
      </c>
      <c r="H12" s="1" t="s">
        <v>17</v>
      </c>
      <c r="I12" s="1" t="s">
        <v>18</v>
      </c>
      <c r="J12" s="22">
        <f>-J13</f>
        <v>-128404.17999999999</v>
      </c>
      <c r="K12" s="1"/>
      <c r="L12" s="1" t="s">
        <v>28</v>
      </c>
    </row>
    <row r="13" spans="1:12" ht="15">
      <c r="A13" s="1"/>
      <c r="B13" s="1" t="s">
        <v>0</v>
      </c>
      <c r="C13" s="1" t="s">
        <v>13</v>
      </c>
      <c r="D13" s="1" t="s">
        <v>20</v>
      </c>
      <c r="E13" s="1" t="s">
        <v>27</v>
      </c>
      <c r="F13" s="1" t="s">
        <v>16</v>
      </c>
      <c r="G13" s="1" t="s">
        <v>17</v>
      </c>
      <c r="H13" s="1" t="s">
        <v>17</v>
      </c>
      <c r="I13" s="1" t="s">
        <v>18</v>
      </c>
      <c r="J13" s="22">
        <v>128404.17999999999</v>
      </c>
      <c r="K13" s="1"/>
      <c r="L13" s="1" t="s">
        <v>28</v>
      </c>
    </row>
    <row r="14" spans="1:12" ht="15">
      <c r="A14" s="1"/>
      <c r="B14" s="1" t="s">
        <v>0</v>
      </c>
      <c r="C14" s="1" t="s">
        <v>13</v>
      </c>
      <c r="D14" s="1" t="s">
        <v>21</v>
      </c>
      <c r="E14" s="1" t="s">
        <v>22</v>
      </c>
      <c r="F14" s="1" t="s">
        <v>16</v>
      </c>
      <c r="G14" s="1" t="s">
        <v>17</v>
      </c>
      <c r="H14" s="1" t="s">
        <v>17</v>
      </c>
      <c r="I14" s="1" t="s">
        <v>18</v>
      </c>
      <c r="J14" s="22">
        <f>-J15</f>
        <v>-9822.9200000000001</v>
      </c>
      <c r="K14" s="1" t="s">
        <v>23</v>
      </c>
      <c r="L14" s="1" t="s">
        <v>28</v>
      </c>
    </row>
    <row r="15" spans="1:12" ht="15">
      <c r="A15" s="1"/>
      <c r="B15" s="1" t="s">
        <v>0</v>
      </c>
      <c r="C15" s="1" t="s">
        <v>13</v>
      </c>
      <c r="D15" s="1" t="s">
        <v>20</v>
      </c>
      <c r="E15" s="1" t="s">
        <v>27</v>
      </c>
      <c r="F15" s="1" t="s">
        <v>16</v>
      </c>
      <c r="G15" s="1" t="s">
        <v>17</v>
      </c>
      <c r="H15" s="1" t="s">
        <v>17</v>
      </c>
      <c r="I15" s="1" t="s">
        <v>18</v>
      </c>
      <c r="J15" s="22">
        <v>9822.9200000000001</v>
      </c>
      <c r="K15" s="1" t="s">
        <v>23</v>
      </c>
      <c r="L15" s="1" t="s">
        <v>28</v>
      </c>
    </row>
    <row r="16" spans="1:12" ht="15">
      <c r="A16" s="1"/>
      <c r="B16" s="1" t="s">
        <v>24</v>
      </c>
      <c r="C16" s="1" t="s">
        <v>25</v>
      </c>
      <c r="D16" s="1" t="s">
        <v>14</v>
      </c>
      <c r="E16" s="1" t="s">
        <v>27</v>
      </c>
      <c r="F16" s="1" t="s">
        <v>16</v>
      </c>
      <c r="G16" s="1" t="s">
        <v>17</v>
      </c>
      <c r="H16" s="1" t="s">
        <v>26</v>
      </c>
      <c r="I16" s="1" t="s">
        <v>18</v>
      </c>
      <c r="J16" s="22">
        <f>-J17</f>
        <v>-68240.800000000003</v>
      </c>
      <c r="K16" s="1"/>
      <c r="L16" s="1" t="s">
        <v>28</v>
      </c>
    </row>
    <row r="17" spans="1:12" ht="15">
      <c r="A17" s="1"/>
      <c r="B17" s="1" t="s">
        <v>24</v>
      </c>
      <c r="C17" s="1" t="s">
        <v>25</v>
      </c>
      <c r="D17" s="1" t="s">
        <v>20</v>
      </c>
      <c r="E17" s="1" t="s">
        <v>27</v>
      </c>
      <c r="F17" s="1" t="s">
        <v>16</v>
      </c>
      <c r="G17" s="1" t="s">
        <v>17</v>
      </c>
      <c r="H17" s="1" t="s">
        <v>17</v>
      </c>
      <c r="I17" s="1" t="s">
        <v>18</v>
      </c>
      <c r="J17" s="22">
        <v>68240.800000000003</v>
      </c>
      <c r="K17" s="1"/>
      <c r="L17" s="1" t="s">
        <v>28</v>
      </c>
    </row>
    <row r="18" spans="1:12" ht="15">
      <c r="A18" s="1"/>
      <c r="B18" s="1" t="s">
        <v>24</v>
      </c>
      <c r="C18" s="1" t="s">
        <v>25</v>
      </c>
      <c r="D18" s="1" t="s">
        <v>21</v>
      </c>
      <c r="E18" s="1" t="s">
        <v>22</v>
      </c>
      <c r="F18" s="1" t="s">
        <v>16</v>
      </c>
      <c r="G18" s="1" t="s">
        <v>17</v>
      </c>
      <c r="H18" s="1" t="s">
        <v>17</v>
      </c>
      <c r="I18" s="1" t="s">
        <v>18</v>
      </c>
      <c r="J18" s="22">
        <f>-J19</f>
        <v>-5220.4200000000001</v>
      </c>
      <c r="K18" s="1" t="s">
        <v>23</v>
      </c>
      <c r="L18" s="1" t="s">
        <v>28</v>
      </c>
    </row>
    <row r="19" spans="1:12" ht="15">
      <c r="A19" s="1"/>
      <c r="B19" s="1" t="s">
        <v>24</v>
      </c>
      <c r="C19" s="1" t="s">
        <v>25</v>
      </c>
      <c r="D19" s="1" t="s">
        <v>20</v>
      </c>
      <c r="E19" s="1" t="s">
        <v>27</v>
      </c>
      <c r="F19" s="1" t="s">
        <v>16</v>
      </c>
      <c r="G19" s="1" t="s">
        <v>17</v>
      </c>
      <c r="H19" s="1" t="s">
        <v>17</v>
      </c>
      <c r="I19" s="1" t="s">
        <v>18</v>
      </c>
      <c r="J19" s="22">
        <v>5220.4200000000001</v>
      </c>
      <c r="K19" s="1" t="s">
        <v>23</v>
      </c>
      <c r="L19" s="1" t="s">
        <v>28</v>
      </c>
    </row>
    <row r="20" spans="10:10" ht="15">
      <c r="J20" s="23"/>
    </row>
    <row r="21" spans="3:10" ht="15">
      <c r="C21" s="2" t="s">
        <v>29</v>
      </c>
      <c r="F21" s="3">
        <v>0.035000000000000003</v>
      </c>
      <c r="J21" s="23"/>
    </row>
    <row r="22" spans="2:10" ht="15">
      <c r="B22" s="5" t="s">
        <v>30</v>
      </c>
      <c r="C22" s="2"/>
      <c r="F22" s="6">
        <v>0.076500008028096297</v>
      </c>
      <c r="J22" s="23"/>
    </row>
    <row r="23" spans="2:10" ht="15">
      <c r="B23" s="5"/>
      <c r="C23" s="2"/>
      <c r="F23" s="6"/>
      <c r="J23" s="24" t="s">
        <v>34</v>
      </c>
    </row>
    <row r="24" spans="10:10" ht="15">
      <c r="J24" s="24" t="s">
        <v>31</v>
      </c>
    </row>
    <row r="25" spans="2:10" ht="15">
      <c r="B25" t="s">
        <v>0</v>
      </c>
      <c r="D25" s="2" t="s">
        <v>14</v>
      </c>
      <c r="J25" s="23">
        <f>J4+J12</f>
        <v>-215493.17999999999</v>
      </c>
    </row>
    <row r="26" spans="2:10" ht="15">
      <c r="B26" t="s">
        <v>24</v>
      </c>
      <c r="D26" s="2" t="s">
        <v>14</v>
      </c>
      <c r="J26" s="25">
        <f>J8+J16</f>
        <v>-93453.160000000003</v>
      </c>
    </row>
    <row r="27" spans="10:11" ht="15">
      <c r="J27" s="23">
        <f>SUM(J25:J26)</f>
        <v>-308946.33999999997</v>
      </c>
      <c r="K27" t="s">
        <v>38</v>
      </c>
    </row>
    <row r="28" spans="10:10" ht="15.75" thickBot="1">
      <c r="J28" s="4"/>
    </row>
    <row r="29" spans="2:13" ht="15">
      <c r="B29" s="9"/>
      <c r="C29" s="10"/>
      <c r="D29" s="10"/>
      <c r="E29" s="10"/>
      <c r="F29" s="10"/>
      <c r="G29" s="10"/>
      <c r="H29" s="10"/>
      <c r="I29" s="10"/>
      <c r="J29" s="10" t="s">
        <v>35</v>
      </c>
      <c r="K29" s="10"/>
      <c r="L29" s="10"/>
      <c r="M29" s="11"/>
    </row>
    <row r="30" spans="2:13" ht="15">
      <c r="B30" s="12"/>
      <c r="C30" s="13"/>
      <c r="D30" s="13"/>
      <c r="E30" s="13"/>
      <c r="F30" s="13"/>
      <c r="G30" s="13"/>
      <c r="H30" s="13"/>
      <c r="I30" s="13"/>
      <c r="J30" s="7" t="s">
        <v>32</v>
      </c>
      <c r="K30" s="13"/>
      <c r="L30" s="7" t="s">
        <v>33</v>
      </c>
      <c r="M30" s="14"/>
    </row>
    <row r="31" spans="2:13" ht="15">
      <c r="B31" s="12" t="s">
        <v>0</v>
      </c>
      <c r="C31" s="13"/>
      <c r="D31" s="13" t="s">
        <v>14</v>
      </c>
      <c r="E31" s="13"/>
      <c r="F31" s="13"/>
      <c r="G31" s="13"/>
      <c r="H31" s="13"/>
      <c r="I31" s="13"/>
      <c r="J31" s="15">
        <f>-J25+(-J25*F$21)</f>
        <v>223035.44130000001</v>
      </c>
      <c r="K31" s="16">
        <f>J31/-J25</f>
        <v>1.0350000000000001</v>
      </c>
      <c r="L31" s="15">
        <f>J31*F$22</f>
        <v>17062.213050000002</v>
      </c>
      <c r="M31" s="14"/>
    </row>
    <row r="32" spans="2:13" ht="15">
      <c r="B32" s="12" t="s">
        <v>24</v>
      </c>
      <c r="C32" s="13"/>
      <c r="D32" s="13" t="s">
        <v>14</v>
      </c>
      <c r="E32" s="13"/>
      <c r="F32" s="13"/>
      <c r="G32" s="13"/>
      <c r="H32" s="13"/>
      <c r="I32" s="13"/>
      <c r="J32" s="8">
        <f>-J26+(-J26*F$21)</f>
        <v>96724.020600000003</v>
      </c>
      <c r="K32" s="16">
        <f>J32/-J26</f>
        <v>1.0349999999999999</v>
      </c>
      <c r="L32" s="8">
        <f>J32*F$22</f>
        <v>7399.3883524097519</v>
      </c>
      <c r="M32" s="14"/>
    </row>
    <row r="33" spans="2:13" ht="15.75" thickBot="1">
      <c r="B33" s="17"/>
      <c r="C33" s="18"/>
      <c r="D33" s="18"/>
      <c r="E33" s="18"/>
      <c r="F33" s="18"/>
      <c r="G33" s="18"/>
      <c r="H33" s="18"/>
      <c r="I33" s="18"/>
      <c r="J33" s="19">
        <f>SUM(J31:J32)</f>
        <v>319759.46189999999</v>
      </c>
      <c r="K33" s="20">
        <f>J33/-J27</f>
        <v>1.0350000000000001</v>
      </c>
      <c r="L33" s="19">
        <f>SUM(L31:L32)</f>
        <v>24461.601402409753</v>
      </c>
      <c r="M33" s="21"/>
    </row>
  </sheetData>
  <dataValidations count="9">
    <dataValidation type="textLength" showInputMessage="1" showErrorMessage="1" error="Text exceeds maximum character length of 30 characters" sqref="L4:L19">
      <formula1>0</formula1>
      <formula2>30</formula2>
    </dataValidation>
    <dataValidation type="textLength" showInputMessage="1" showErrorMessage="1" error="Text exceeds maximum character length of 10 characters" sqref="K4:K19">
      <formula1>0</formula1>
      <formula2>10</formula2>
    </dataValidation>
    <dataValidation type="textLength" showInputMessage="1" showErrorMessage="1" error="Text exceeds maximum character length of 23 characters" sqref="J4:J19">
      <formula1>0</formula1>
      <formula2>23</formula2>
    </dataValidation>
    <dataValidation type="textLength" showInputMessage="1" showErrorMessage="1" error="Text exceeds maximum character length of 5 characters" sqref="I4:I19 B4:B19">
      <formula1>0</formula1>
      <formula2>5</formula2>
    </dataValidation>
    <dataValidation type="textLength" showInputMessage="1" showErrorMessage="1" error="Text exceeds maximum character length of 4 characters" sqref="G4:H19">
      <formula1>0</formula1>
      <formula2>4</formula2>
    </dataValidation>
    <dataValidation type="textLength" showInputMessage="1" showErrorMessage="1" error="Text exceeds maximum character length of 8 characters" sqref="F4:F19">
      <formula1>0</formula1>
      <formula2>8</formula2>
    </dataValidation>
    <dataValidation type="textLength" showInputMessage="1" showErrorMessage="1" error="Text exceeds maximum character length of 3 characters" sqref="E4:E19">
      <formula1>0</formula1>
      <formula2>3</formula2>
    </dataValidation>
    <dataValidation type="textLength" showInputMessage="1" showErrorMessage="1" error="Text exceeds maximum character length of 7 characters" sqref="D4:D19 D25:D26">
      <formula1>0</formula1>
      <formula2>7</formula2>
    </dataValidation>
    <dataValidation type="textLength" showInputMessage="1" showErrorMessage="1" error="Text exceeds maximum character length of 6 characters" sqref="C4:C19">
      <formula1>0</formula1>
      <formula2>6</formula2>
    </dataValidation>
  </dataValidations>
  <printOptions horizontalCentered="1"/>
  <pageMargins left="0.5" right="0.5" top="1.5" bottom="0.5" header="1" footer="0.3"/>
  <pageSetup orientation="landscape" scale="71" r:id="rId4"/>
  <headerFooter>
    <oddHeader>&amp;R&amp;"-,Bold"WP/II-D ADJUSTMENT /8
Page 2 of 2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1" name="lstHeaderErrors">
              <controlPr defaultSize="0" autoLine="0" autoPict="0">
                <anchor moveWithCells="1">
                  <from>
                    <xdr:col>0</xdr:col>
                    <xdr:colOff>47625</xdr:colOff>
                    <xdr:row>2</xdr:row>
                    <xdr:rowOff>0</xdr:rowOff>
                  </from>
                  <to>
                    <xdr:col>5</xdr:col>
                    <xdr:colOff>419100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