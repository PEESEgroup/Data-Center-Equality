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Sheet1" sheetId="1" r:id="rId2"/>
  </sheets>
  <externalReferences>
    <externalReference r:id="rId5"/>
  </externalReferences>
  <definedNames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1" l="1"/>
</calcChain>
</file>

<file path=xl/sharedStrings.xml><?xml version="1.0" encoding="utf-8"?>
<sst xmlns="http://schemas.openxmlformats.org/spreadsheetml/2006/main" count="10" uniqueCount="10">
  <si>
    <t>Rate Case Expenses - 2016 Test Year, Docket No. 46957 (Post-Cutoff)</t>
  </si>
  <si>
    <t>Rate Case Expenses - TCJA Tax Case, Docket No. 48325</t>
  </si>
  <si>
    <t>Rate Case Expenses - DCRF Case, Docket No. 48231</t>
  </si>
  <si>
    <t>Rate Case Expenses - DCRF Case, Docket No. 49427</t>
  </si>
  <si>
    <t>Rate Case Expenses - AMS Reconciliation, Docket No. 49721</t>
  </si>
  <si>
    <t>Rate Case Expenses - DCRF Case, Docket No. 51996</t>
  </si>
  <si>
    <t>Rate Case Expenses - December 2021 Test Year Rate Case (Estimate)</t>
  </si>
  <si>
    <t>Rate Case Expenses - Total Request</t>
  </si>
  <si>
    <t>Amortization Period</t>
  </si>
  <si>
    <t>Adjustment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</si>
</sst>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(&quot;$&quot;* #,##0_);_(&quot;$&quot;* \(#,##0\);_(&quot;$&quot;* &quot;-&quot;_);_(@_)"/>
    <numFmt numFmtId="41" formatCode="_(* #,##0_);_(* \(#,##0\);_(* &quot;-&quot;_);_(@_)"/>
  </numFmts>
  <fonts count="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</border>
    <border>
      <left/>
      <right/>
      <top/>
      <bottom style="double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">
    <xf numFmtId="0" fontId="0" fillId="0" borderId="0" xfId="0"/>
    <xf numFmtId="41" fontId="0" fillId="0" borderId="0" xfId="0" applyNumberFormat="1"/>
    <xf numFmtId="42" fontId="0" fillId="0" borderId="0" xfId="0" applyNumberFormat="1"/>
    <xf numFmtId="42" fontId="2" fillId="0" borderId="1" xfId="0" applyNumberFormat="1" applyFont="1" applyBorder="1"/>
    <xf numFmtId="42" fontId="2" fillId="0" borderId="2" xfId="0" applyNumberFormat="1" applyFont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externalLink" Target="externalLinks/externalLink1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6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E%20(Other%20Items)/Schedule%20II-E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30">
          <cell r="O30">
            <v>5</v>
          </cell>
        </row>
      </sheetData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B2:M13"/>
  <sheetViews>
    <sheetView tabSelected="1" workbookViewId="0" topLeftCell="A1">
      <selection pane="topLeft" activeCell="M12" sqref="M12"/>
    </sheetView>
  </sheetViews>
  <sheetFormatPr defaultRowHeight="15"/>
  <cols>
    <col min="12" max="12" width="11.1428571428571" customWidth="1"/>
    <col min="13" max="13" width="13.2857142857143" bestFit="1" customWidth="1"/>
  </cols>
  <sheetData>
    <row r="2" spans="2:13" ht="15">
      <c r="B2" t="s">
        <v>0</v>
      </c>
      <c r="M2" s="2">
        <v>331994.46000000002</v>
      </c>
    </row>
    <row r="3" spans="2:13" ht="15">
      <c r="B3" t="s">
        <v>1</v>
      </c>
      <c r="M3" s="1">
        <v>334785.03000000003</v>
      </c>
    </row>
    <row r="4" spans="2:13" ht="15">
      <c r="B4" t="s">
        <v>2</v>
      </c>
      <c r="M4" s="1">
        <v>304615.98999999999</v>
      </c>
    </row>
    <row r="5" spans="2:13" ht="15">
      <c r="B5" t="s">
        <v>3</v>
      </c>
      <c r="M5" s="1">
        <v>167728.14000000001</v>
      </c>
    </row>
    <row r="6" spans="2:13" ht="15">
      <c r="B6" t="s">
        <v>4</v>
      </c>
      <c r="M6" s="1">
        <v>178482.85000000001</v>
      </c>
    </row>
    <row r="7" spans="2:13" ht="15">
      <c r="B7" t="s">
        <v>5</v>
      </c>
      <c r="M7" s="1">
        <v>215522</v>
      </c>
    </row>
    <row r="8" spans="2:13" ht="15">
      <c r="B8" t="s">
        <v>6</v>
      </c>
      <c r="M8" s="1">
        <v>6700000</v>
      </c>
    </row>
    <row r="9" spans="2:13" ht="15.75" thickBot="1">
      <c r="B9" t="s">
        <v>7</v>
      </c>
      <c r="M9" s="3">
        <f>SUM(M2:M8)</f>
        <v>8233128.4700000007</v>
      </c>
    </row>
    <row r="10" ht="15.75" thickTop="1"/>
    <row r="11" spans="11:13" ht="15">
      <c r="K11" t="s">
        <v>8</v>
      </c>
      <c r="M11" s="1">
        <f>+'[1]II-E-4.1.1'!$O$30</f>
        <v>5</v>
      </c>
    </row>
    <row r="13" spans="11:13" ht="15.75" thickBot="1">
      <c r="K13" t="s">
        <v>9</v>
      </c>
      <c r="M13" s="4">
        <f>+M9/M11</f>
        <v>1646625.6940000001</v>
      </c>
    </row>
    <row r="14" ht="15.75" thickTop="1"/>
  </sheetData>
  <printOptions horizontalCentered="1"/>
  <pageMargins left="0.5" right="0.5" top="1.5" bottom="0.5" header="1" footer="0.3"/>
  <pageSetup fitToHeight="0" orientation="landscape" r:id="rId1"/>
  <headerFooter>
    <oddHeader>&amp;R&amp;"-,Bold"WP/II-D ADJUSTMENT /24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