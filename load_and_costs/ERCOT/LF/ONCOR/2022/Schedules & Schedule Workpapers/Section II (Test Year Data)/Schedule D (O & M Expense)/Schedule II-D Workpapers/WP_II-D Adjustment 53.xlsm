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20490" windowHeight="7455" activeTab="0"/>
  </bookViews>
  <sheets>
    <sheet name="Summary" sheetId="4" r:id="rId2"/>
    <sheet name="II-D-3.7.2" sheetId="3" r:id="rId3"/>
    <sheet name="II-D-3.7.4" sheetId="1" r:id="rId4"/>
    <sheet name="II-D-3.10" sheetId="2" r:id="rId5"/>
  </sheets>
  <definedNames/>
  <calcPr calcId="152511" iterate="1" iterateCount="100" iterateDelta="0.00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4" l="1"/>
</calcChain>
</file>

<file path=xl/sharedStrings.xml><?xml version="1.0" encoding="utf-8"?>
<sst xmlns="http://schemas.openxmlformats.org/spreadsheetml/2006/main" count="382" uniqueCount="119">
  <si>
    <t>Oncor Electric Delivery Company LLC</t>
  </si>
  <si>
    <t>II-D-3.7.4  Other Benefits</t>
  </si>
  <si>
    <t>Acctg Date</t>
  </si>
  <si>
    <t>Period</t>
  </si>
  <si>
    <t>Year</t>
  </si>
  <si>
    <t>Sum Amount</t>
  </si>
  <si>
    <t>voucher</t>
  </si>
  <si>
    <t>vendor</t>
  </si>
  <si>
    <t>vend name</t>
  </si>
  <si>
    <t>invoice</t>
  </si>
  <si>
    <t>checkno</t>
  </si>
  <si>
    <t>GL Unit</t>
  </si>
  <si>
    <t>Journal ID</t>
  </si>
  <si>
    <t>Descr</t>
  </si>
  <si>
    <t>Account</t>
  </si>
  <si>
    <t>Dept</t>
  </si>
  <si>
    <t>Activity</t>
  </si>
  <si>
    <t>EC</t>
  </si>
  <si>
    <t>Project</t>
  </si>
  <si>
    <t>Location</t>
  </si>
  <si>
    <t>po</t>
  </si>
  <si>
    <t>Category</t>
  </si>
  <si>
    <t>00476386</t>
  </si>
  <si>
    <t>000844650</t>
  </si>
  <si>
    <t>MDX MEDICAL INC</t>
  </si>
  <si>
    <t>29105</t>
  </si>
  <si>
    <t>0000242695</t>
  </si>
  <si>
    <t>TRN</t>
  </si>
  <si>
    <t>PUR0953294</t>
  </si>
  <si>
    <t/>
  </si>
  <si>
    <t>9260000</t>
  </si>
  <si>
    <t>571900</t>
  </si>
  <si>
    <t>9010</t>
  </si>
  <si>
    <t>554</t>
  </si>
  <si>
    <t>0000SUPT</t>
  </si>
  <si>
    <t>0000</t>
  </si>
  <si>
    <t>Wellness</t>
  </si>
  <si>
    <t>ESD</t>
  </si>
  <si>
    <t>PUR0953299</t>
  </si>
  <si>
    <t>521900</t>
  </si>
  <si>
    <t>BENEFITS</t>
  </si>
  <si>
    <t>00477463</t>
  </si>
  <si>
    <t>28703</t>
  </si>
  <si>
    <t>0000243384</t>
  </si>
  <si>
    <t>PUR0953587</t>
  </si>
  <si>
    <t>PUR0953583</t>
  </si>
  <si>
    <t>Remove 2 months of charges in January</t>
  </si>
  <si>
    <t xml:space="preserve">Sum Amount </t>
  </si>
  <si>
    <t>PUR0962999</t>
  </si>
  <si>
    <t>s/b 926 - see voucher</t>
  </si>
  <si>
    <t>00526540</t>
  </si>
  <si>
    <t>33108</t>
  </si>
  <si>
    <t>0000278850</t>
  </si>
  <si>
    <t>2533900</t>
  </si>
  <si>
    <t>00000000</t>
  </si>
  <si>
    <t>Wellness Program - MDx Medical - 14 months of charges are included &amp; a miskeyed voucher  - See email from HR</t>
  </si>
  <si>
    <t>II-D-3.10  Adminstration Fees</t>
  </si>
  <si>
    <t xml:space="preserve">Customer ID 1785 </t>
  </si>
  <si>
    <t>CVS Caremark Admin Fee Invoice:</t>
  </si>
  <si>
    <t>UJE</t>
  </si>
  <si>
    <t>SILVERSCRIPT INSURANCE CO</t>
  </si>
  <si>
    <t>Accrue Silverscript Fee Dec</t>
  </si>
  <si>
    <t>0000894243</t>
  </si>
  <si>
    <t>To accrue Q4 2021 Benefits</t>
  </si>
  <si>
    <t>CAREMARK</t>
  </si>
  <si>
    <t>00538175</t>
  </si>
  <si>
    <t>012061960</t>
  </si>
  <si>
    <t>3257520</t>
  </si>
  <si>
    <t>0000294916</t>
  </si>
  <si>
    <t>PUR0966244</t>
  </si>
  <si>
    <t>PUR0966239</t>
  </si>
  <si>
    <t>Remove over accrual</t>
  </si>
  <si>
    <t>Add December 2021 admin fee</t>
  </si>
  <si>
    <t>Silverscript - December 2021 was over accrued &amp; miskeyed voucher</t>
  </si>
  <si>
    <t>00527130</t>
  </si>
  <si>
    <t>3252965</t>
  </si>
  <si>
    <t>0000276850</t>
  </si>
  <si>
    <t>PUR0963133</t>
  </si>
  <si>
    <t>Remove Miskeyed Voucher</t>
  </si>
  <si>
    <t xml:space="preserve">Caremark - No admin fees were paid in 2021 due to a large credit received September 2020.  This credit was for performance guarantee because Caremark didn't fulfill their administrative duties.  </t>
  </si>
  <si>
    <t>Credit was then offset against CVS Claims on Voucher 00531984 &amp; 00532205.</t>
  </si>
  <si>
    <t>00531984</t>
  </si>
  <si>
    <t>006639552</t>
  </si>
  <si>
    <t>53287090</t>
  </si>
  <si>
    <t>7213001233</t>
  </si>
  <si>
    <t>PUR0964421</t>
  </si>
  <si>
    <t>PUR0964415</t>
  </si>
  <si>
    <t>($41,267) is on Oncor GL &amp; ($140,796.60) was credit to the trust. (See email below)</t>
  </si>
  <si>
    <t>II-D-3.7.2  Medical Claims</t>
  </si>
  <si>
    <t>K&amp;M Adjustment 2021</t>
  </si>
  <si>
    <t xml:space="preserve">Caremark - Add back credits taken from claims for 2020 &amp; 2019 for performance guarantee because Caremark didn't fulfill their administrative duties.  </t>
  </si>
  <si>
    <t>Claims 2021</t>
  </si>
  <si>
    <t>Add back performance credit from 2019 &amp; 2020 - See voucher backup</t>
  </si>
  <si>
    <t>Below are admin fee invoices for 2021 that were not paid.</t>
  </si>
  <si>
    <t>00500643</t>
  </si>
  <si>
    <t>53124991</t>
  </si>
  <si>
    <t>7213000477</t>
  </si>
  <si>
    <t>PUR0957633</t>
  </si>
  <si>
    <t>PUR0957637</t>
  </si>
  <si>
    <t>K&amp;M Adjustment</t>
  </si>
  <si>
    <t>O&amp;M  - Acct 926</t>
  </si>
  <si>
    <t>These credits understated claims expense for 2021 and need to be removed.  The credit were for previous years not for 2021.</t>
  </si>
  <si>
    <t>O&amp;M - Acct 926</t>
  </si>
  <si>
    <t>Total Caremark &amp; Silverscript</t>
  </si>
  <si>
    <t>Total Silverscript Adjustment</t>
  </si>
  <si>
    <t>Caremark Adjustment</t>
  </si>
  <si>
    <t>Add Miskeyed Voucher - will be corrected February 2022</t>
  </si>
  <si>
    <t xml:space="preserve">The entrie invoice was keyed to 926, but it should be $232 to 926 &amp; $297.25 to 253 - see voucher </t>
  </si>
  <si>
    <t>K&amp;M O&amp;M adjustments - benefit related</t>
  </si>
  <si>
    <t>O&amp;M labor %</t>
  </si>
  <si>
    <t>O&amp;M adjustment</t>
  </si>
  <si>
    <t>reference II-D-3.7.2 for details</t>
  </si>
  <si>
    <t>reference II-D-3.7.4 for details</t>
  </si>
  <si>
    <t>Medical claims</t>
  </si>
  <si>
    <t>Other benefits</t>
  </si>
  <si>
    <t>Administrative fees</t>
  </si>
  <si>
    <t>reference II-D-3.10 for details</t>
  </si>
  <si>
    <t>Worksheet details</t>
  </si>
  <si>
    <t>Total K&amp;M O&amp;M adjustment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</si>
</sst>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2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 Unicode MS"/>
      <family val="2"/>
    </font>
    <font>
      <sz val="10"/>
      <name val="Arial Unicode MS"/>
      <family val="2"/>
    </font>
    <font>
      <sz val="10"/>
      <color theme="1"/>
      <name val="Times New Roman"/>
      <family val="1"/>
    </font>
    <font>
      <b/>
      <sz val="10"/>
      <color rgb="FF000000"/>
      <name val="Arial"/>
      <family val="2"/>
    </font>
    <font>
      <sz val="10"/>
      <name val="Times New Roman"/>
      <family val="1"/>
    </font>
    <font>
      <sz val="14"/>
      <name val="Times New Roman"/>
      <family val="1"/>
    </font>
    <font>
      <sz val="12"/>
      <name val="Times New Roman"/>
      <family val="1"/>
    </font>
    <font>
      <b/>
      <sz val="12"/>
      <color indexed="10"/>
      <name val="Times New Roman"/>
      <family val="1"/>
    </font>
    <font>
      <sz val="12"/>
      <name val="Arial"/>
      <family val="2"/>
    </font>
    <font>
      <sz val="11"/>
      <name val="Arial"/>
      <family val="2"/>
    </font>
    <font>
      <b/>
      <sz val="10"/>
      <color indexed="0"/>
      <name val="Arial"/>
      <family val="2"/>
    </font>
    <font>
      <sz val="11"/>
      <color rgb="FF1F497D"/>
      <name val="Calibri"/>
      <family val="2"/>
      <scheme val="minor"/>
    </font>
    <font>
      <sz val="11"/>
      <color theme="1"/>
      <name val="Times New Roman"/>
      <family val="1"/>
    </font>
    <font>
      <sz val="20"/>
      <color rgb="FF1F497D"/>
      <name val="Edwardian Script ITC"/>
      <family val="4"/>
    </font>
    <font>
      <sz val="12"/>
      <color rgb="FF1F497D"/>
      <name val="Agency FB"/>
      <family val="2"/>
    </font>
    <font>
      <u val="single"/>
      <sz val="11"/>
      <color theme="10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auto="1"/>
      </bottom>
    </border>
    <border>
      <left style="medium">
        <color auto="1"/>
      </left>
      <right/>
      <top style="medium">
        <color auto="1"/>
      </top>
      <bottom style="medium">
        <color auto="1"/>
      </bottom>
    </border>
    <border>
      <left/>
      <right style="medium">
        <color auto="1"/>
      </right>
      <top style="medium">
        <color auto="1"/>
      </top>
      <bottom style="medium">
        <color auto="1"/>
      </bottom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</border>
    <border>
      <left/>
      <right/>
      <top style="thin">
        <color auto="1"/>
      </top>
      <bottom style="double">
        <color auto="1"/>
      </bottom>
    </border>
    <border>
      <left style="double">
        <color auto="1"/>
      </left>
      <right style="double">
        <color auto="1"/>
      </right>
      <top/>
      <bottom/>
    </border>
    <border>
      <left/>
      <right style="double">
        <color auto="1"/>
      </right>
      <top style="double">
        <color auto="1"/>
      </top>
      <bottom style="double">
        <color auto="1"/>
      </bottom>
    </border>
  </borders>
  <cellStyleXfs count="25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7" fillId="0" borderId="0">
      <alignment/>
      <protection/>
    </xf>
    <xf numFmtId="0" fontId="18" fillId="0" borderId="0" applyNumberFormat="0" applyFill="0" applyBorder="0" applyAlignment="0" applyProtection="0"/>
    <xf numFmtId="0" fontId="4" fillId="0" borderId="0">
      <alignment/>
      <protection/>
    </xf>
    <xf numFmtId="43" fontId="19" fillId="0" borderId="0" applyFont="0" applyFill="0" applyBorder="0" applyAlignment="0" applyProtection="0"/>
  </cellStyleXfs>
  <cellXfs count="52">
    <xf numFmtId="0" fontId="0" fillId="0" borderId="0" xfId="0"/>
    <xf numFmtId="43" fontId="4" fillId="0" borderId="0" xfId="20" applyFont="1" applyFill="1"/>
    <xf numFmtId="43" fontId="3" fillId="0" borderId="0" xfId="20" applyFont="1" applyFill="1"/>
    <xf numFmtId="0" fontId="0" fillId="0" borderId="0" xfId="0" applyFill="1"/>
    <xf numFmtId="43" fontId="12" fillId="0" borderId="0" xfId="20" applyFont="1" applyFill="1" applyBorder="1"/>
    <xf numFmtId="0" fontId="3" fillId="0" borderId="0" xfId="0" applyFont="1" applyFill="1"/>
    <xf numFmtId="43" fontId="2" fillId="0" borderId="0" xfId="0" applyNumberFormat="1" applyFont="1" applyFill="1"/>
    <xf numFmtId="0" fontId="2" fillId="0" borderId="0" xfId="0" applyFont="1" applyFill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44" fontId="0" fillId="0" borderId="0" xfId="16" applyFont="1"/>
    <xf numFmtId="10" fontId="0" fillId="0" borderId="0" xfId="0" applyNumberFormat="1" applyFill="1"/>
    <xf numFmtId="44" fontId="0" fillId="0" borderId="0" xfId="16" applyFont="1" applyBorder="1"/>
    <xf numFmtId="0" fontId="2" fillId="0" borderId="2" xfId="0" applyFont="1" applyBorder="1"/>
    <xf numFmtId="44" fontId="2" fillId="0" borderId="3" xfId="16" applyFont="1" applyBorder="1"/>
    <xf numFmtId="0" fontId="2" fillId="0" borderId="0" xfId="23" applyFont="1" applyFill="1">
      <alignment/>
      <protection/>
    </xf>
    <xf numFmtId="0" fontId="13" fillId="0" borderId="4" xfId="0" applyFont="1" applyFill="1" applyBorder="1"/>
    <xf numFmtId="43" fontId="13" fillId="0" borderId="4" xfId="18" applyFont="1" applyFill="1" applyBorder="1"/>
    <xf numFmtId="14" fontId="0" fillId="0" borderId="0" xfId="0" applyNumberFormat="1" applyFill="1"/>
    <xf numFmtId="1" fontId="0" fillId="0" borderId="0" xfId="0" applyNumberFormat="1" applyFill="1"/>
    <xf numFmtId="43" fontId="0" fillId="0" borderId="0" xfId="18" applyFont="1" applyFill="1"/>
    <xf numFmtId="43" fontId="0" fillId="0" borderId="5" xfId="0" applyNumberFormat="1" applyFill="1" applyBorder="1"/>
    <xf numFmtId="43" fontId="2" fillId="0" borderId="0" xfId="18" applyFont="1" applyFill="1"/>
    <xf numFmtId="43" fontId="0" fillId="0" borderId="0" xfId="0" applyNumberFormat="1" applyFill="1"/>
    <xf numFmtId="0" fontId="2" fillId="0" borderId="0" xfId="0" applyFont="1" applyFill="1" applyAlignment="1">
      <alignment horizontal="right"/>
    </xf>
    <xf numFmtId="10" fontId="2" fillId="0" borderId="0" xfId="0" applyNumberFormat="1" applyFont="1" applyFill="1"/>
    <xf numFmtId="0" fontId="8" fillId="0" borderId="0" xfId="21" applyFont="1" applyFill="1" applyBorder="1" applyAlignment="1">
      <alignment horizontal="left"/>
      <protection/>
    </xf>
    <xf numFmtId="0" fontId="9" fillId="0" borderId="0" xfId="21" applyFont="1" applyFill="1" applyBorder="1" applyAlignment="1">
      <alignment horizontal="left"/>
      <protection/>
    </xf>
    <xf numFmtId="43" fontId="9" fillId="0" borderId="0" xfId="20" applyFont="1" applyFill="1" applyBorder="1" applyAlignment="1">
      <alignment horizontal="left"/>
    </xf>
    <xf numFmtId="0" fontId="9" fillId="0" borderId="0" xfId="21" applyFont="1" applyFill="1" applyAlignment="1" quotePrefix="1">
      <alignment horizontal="center"/>
      <protection/>
    </xf>
    <xf numFmtId="16" fontId="9" fillId="0" borderId="0" xfId="21" applyNumberFormat="1" applyFont="1" applyFill="1" applyAlignment="1" quotePrefix="1">
      <alignment horizontal="center"/>
      <protection/>
    </xf>
    <xf numFmtId="43" fontId="11" fillId="0" borderId="0" xfId="20" applyFont="1" applyFill="1" applyBorder="1" applyAlignment="1">
      <alignment horizontal="left"/>
    </xf>
    <xf numFmtId="0" fontId="10" fillId="0" borderId="0" xfId="21" applyFont="1" applyFill="1" applyAlignment="1" quotePrefix="1">
      <alignment horizontal="center"/>
      <protection/>
    </xf>
    <xf numFmtId="16" fontId="10" fillId="0" borderId="0" xfId="21" applyNumberFormat="1" applyFont="1" applyFill="1" applyAlignment="1" quotePrefix="1">
      <alignment horizontal="center"/>
      <protection/>
    </xf>
    <xf numFmtId="43" fontId="20" fillId="0" borderId="0" xfId="20" applyFont="1" applyFill="1" applyBorder="1" applyAlignment="1">
      <alignment horizontal="left"/>
    </xf>
    <xf numFmtId="0" fontId="2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14" fillId="0" borderId="0" xfId="0" applyFont="1" applyFill="1" applyAlignment="1">
      <alignment vertical="center"/>
    </xf>
    <xf numFmtId="0" fontId="15" fillId="0" borderId="0" xfId="0" applyFont="1" applyFill="1" applyAlignment="1">
      <alignment horizontal="center" vertical="center"/>
    </xf>
    <xf numFmtId="0" fontId="16" fillId="0" borderId="0" xfId="0" applyFont="1" applyFill="1" applyAlignment="1">
      <alignment vertical="center"/>
    </xf>
    <xf numFmtId="0" fontId="15" fillId="0" borderId="0" xfId="0" applyFont="1" applyFill="1" applyAlignment="1">
      <alignment vertical="center"/>
    </xf>
    <xf numFmtId="0" fontId="17" fillId="0" borderId="0" xfId="0" applyFont="1" applyFill="1" applyAlignment="1">
      <alignment vertical="center"/>
    </xf>
    <xf numFmtId="0" fontId="18" fillId="0" borderId="0" xfId="22" applyFill="1" applyAlignment="1">
      <alignment vertical="center"/>
    </xf>
    <xf numFmtId="49" fontId="3" fillId="0" borderId="4" xfId="0" applyNumberFormat="1" applyFont="1" applyFill="1" applyBorder="1"/>
    <xf numFmtId="43" fontId="3" fillId="0" borderId="4" xfId="20" applyFont="1" applyFill="1" applyBorder="1"/>
    <xf numFmtId="49" fontId="3" fillId="0" borderId="6" xfId="0" applyNumberFormat="1" applyFont="1" applyFill="1" applyBorder="1"/>
    <xf numFmtId="49" fontId="0" fillId="0" borderId="0" xfId="0" applyNumberFormat="1" applyFill="1"/>
    <xf numFmtId="0" fontId="6" fillId="0" borderId="4" xfId="0" applyFont="1" applyFill="1" applyBorder="1" applyAlignment="1">
      <alignment vertical="center"/>
    </xf>
    <xf numFmtId="0" fontId="6" fillId="0" borderId="7" xfId="0" applyFont="1" applyFill="1" applyBorder="1" applyAlignment="1">
      <alignment vertical="center"/>
    </xf>
    <xf numFmtId="0" fontId="5" fillId="0" borderId="0" xfId="0" applyFont="1" applyFill="1"/>
    <xf numFmtId="43" fontId="0" fillId="0" borderId="0" xfId="20" applyFont="1" applyFill="1"/>
    <xf numFmtId="43" fontId="2" fillId="0" borderId="0" xfId="20" applyFont="1" applyFill="1"/>
  </cellXfs>
  <cellStyles count="11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Comma 2" xfId="20"/>
    <cellStyle name="Normal_AETNA1.07.11" xfId="21"/>
    <cellStyle name="Hyperlink" xfId="22" builtinId="8"/>
    <cellStyle name="Normal 2" xfId="23"/>
    <cellStyle name="Comma 2 2" xfId="24"/>
  </cellStyles>
  <dxfs count="44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9" tint="0.59999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39998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/>
      </fill>
    </dxf>
    <dxf>
      <alignment wrapText="1" readingOrder="0"/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numFmt numFmtId="43" formatCode="_(* #,##0.00_);_(* \(#,##0.00\);_(* &quot;-&quot;??_);_(@_)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worksheet" Target="worksheets/sheet4.xml" /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8" Type="http://schemas.openxmlformats.org/officeDocument/2006/relationships/calcChain" Target="calcChain.xml" /><Relationship Id="rId4" Type="http://schemas.openxmlformats.org/officeDocument/2006/relationships/worksheet" Target="worksheets/sheet3.xml" /><Relationship Id="rId6" Type="http://schemas.openxmlformats.org/officeDocument/2006/relationships/styles" Target="styles.xml" /><Relationship Id="rId3" Type="http://schemas.openxmlformats.org/officeDocument/2006/relationships/worksheet" Target="worksheets/sheet2.xml" /><Relationship Id="rId7" Type="http://schemas.openxmlformats.org/officeDocument/2006/relationships/sharedStrings" Target="sharedString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E10"/>
  <sheetViews>
    <sheetView tabSelected="1" workbookViewId="0" topLeftCell="A1">
      <selection pane="topLeft" activeCell="D12" sqref="D12"/>
    </sheetView>
  </sheetViews>
  <sheetFormatPr defaultRowHeight="15"/>
  <cols>
    <col min="1" max="1" width="34.8571428571429" bestFit="1" customWidth="1"/>
    <col min="2" max="2" width="16.2857142857143" bestFit="1" customWidth="1"/>
    <col min="5" max="5" width="28.1428571428571" bestFit="1" customWidth="1"/>
  </cols>
  <sheetData>
    <row r="1" spans="1:1" ht="15">
      <c r="A1" t="s">
        <v>0</v>
      </c>
    </row>
    <row r="2" spans="1:1" ht="15">
      <c r="A2" t="s">
        <v>108</v>
      </c>
    </row>
    <row r="4" spans="2:5" ht="15">
      <c r="B4" s="9" t="s">
        <v>110</v>
      </c>
      <c r="C4" s="9" t="s">
        <v>14</v>
      </c>
      <c r="D4" s="9" t="s">
        <v>17</v>
      </c>
      <c r="E4" s="9" t="s">
        <v>117</v>
      </c>
    </row>
    <row r="5" spans="1:5" ht="15">
      <c r="A5" t="s">
        <v>113</v>
      </c>
      <c r="B5" s="10">
        <f>'II-D-3.7.2'!D27</f>
        <v>40567.299308999995</v>
      </c>
      <c r="C5" s="8">
        <v>9260000</v>
      </c>
      <c r="D5" s="8">
        <v>554</v>
      </c>
      <c r="E5" t="s">
        <v>111</v>
      </c>
    </row>
    <row r="6" spans="1:5" ht="15">
      <c r="A6" t="s">
        <v>114</v>
      </c>
      <c r="B6" s="10">
        <f>'II-D-3.7.4'!D23</f>
        <v>-2251.0308049999999</v>
      </c>
      <c r="C6" s="8">
        <v>9260000</v>
      </c>
      <c r="D6" s="8">
        <v>554</v>
      </c>
      <c r="E6" t="s">
        <v>112</v>
      </c>
    </row>
    <row r="7" spans="1:5" ht="15.75" thickBot="1">
      <c r="A7" t="s">
        <v>115</v>
      </c>
      <c r="B7" s="12">
        <f>'II-D-3.10'!C47</f>
        <v>19265.357020000007</v>
      </c>
      <c r="C7" s="8">
        <v>9260000</v>
      </c>
      <c r="D7" s="8">
        <v>554</v>
      </c>
      <c r="E7" t="s">
        <v>116</v>
      </c>
    </row>
    <row r="8" spans="1:2" ht="15.75" thickBot="1">
      <c r="A8" s="13" t="s">
        <v>118</v>
      </c>
      <c r="B8" s="14">
        <f>SUM(B5:B7)</f>
        <v>57581.625524000003</v>
      </c>
    </row>
    <row r="10" spans="1:2" ht="15">
      <c r="A10" s="3" t="s">
        <v>109</v>
      </c>
      <c r="B10" s="11">
        <f>'II-D-3.7.2'!F27</f>
        <v>0.4657</v>
      </c>
    </row>
  </sheetData>
  <pageMargins left="0.5" right="0.5" top="1.5" bottom="0.5" header="1" footer="0.3"/>
  <pageSetup firstPageNumber="2" useFirstPageNumber="1" fitToHeight="0" horizontalDpi="300" verticalDpi="300" orientation="landscape" r:id="rId1"/>
  <headerFooter>
    <oddHeader>&amp;R&amp;"-,Bold"WP/II-D ADJUSTMENT/53
Page &amp;P of 5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S75"/>
  <sheetViews>
    <sheetView workbookViewId="0" topLeftCell="A1">
      <selection pane="topLeft" activeCell="I24" sqref="I24"/>
    </sheetView>
  </sheetViews>
  <sheetFormatPr defaultRowHeight="15"/>
  <cols>
    <col min="1" max="1" width="22.1428571428571" style="3" customWidth="1"/>
    <col min="2" max="2" width="15.5714285714286" style="3" bestFit="1" customWidth="1"/>
    <col min="3" max="3" width="15" style="3" bestFit="1" customWidth="1"/>
    <col min="4" max="4" width="14" style="3" bestFit="1" customWidth="1"/>
    <col min="5" max="5" width="16.4285714285714" style="3" customWidth="1"/>
    <col min="6" max="6" width="10" style="3" bestFit="1" customWidth="1"/>
    <col min="7" max="7" width="14.5714285714286" style="3" customWidth="1"/>
    <col min="8" max="8" width="9" style="3" bestFit="1" customWidth="1"/>
    <col min="9" max="9" width="11" style="3" bestFit="1" customWidth="1"/>
    <col min="10" max="10" width="7.71428571428571" style="3" bestFit="1" customWidth="1"/>
    <col min="11" max="11" width="11.5714285714286" style="3" bestFit="1" customWidth="1"/>
    <col min="12" max="12" width="6" style="3" bestFit="1" customWidth="1"/>
    <col min="13" max="16384" width="9.14285714285714" style="3"/>
  </cols>
  <sheetData>
    <row r="1" spans="1:1" ht="15">
      <c r="A1" s="15" t="s">
        <v>0</v>
      </c>
    </row>
    <row r="2" spans="1:1" ht="15">
      <c r="A2" s="15" t="s">
        <v>88</v>
      </c>
    </row>
    <row r="3" spans="1:1" ht="15">
      <c r="A3" s="15" t="s">
        <v>89</v>
      </c>
    </row>
    <row r="7" spans="1:1" ht="15">
      <c r="A7" s="7" t="s">
        <v>90</v>
      </c>
    </row>
    <row r="8" spans="1:1" ht="15.75" thickBot="1">
      <c r="A8" s="7" t="s">
        <v>101</v>
      </c>
    </row>
    <row r="9" spans="1:19" ht="16.5" thickTop="1" thickBot="1">
      <c r="A9" s="16" t="s">
        <v>2</v>
      </c>
      <c r="B9" s="16" t="s">
        <v>3</v>
      </c>
      <c r="C9" s="16" t="s">
        <v>4</v>
      </c>
      <c r="D9" s="17" t="s">
        <v>5</v>
      </c>
      <c r="E9" s="16" t="s">
        <v>6</v>
      </c>
      <c r="F9" s="16" t="s">
        <v>7</v>
      </c>
      <c r="G9" s="16" t="s">
        <v>8</v>
      </c>
      <c r="H9" s="16" t="s">
        <v>9</v>
      </c>
      <c r="I9" s="16" t="s">
        <v>10</v>
      </c>
      <c r="J9" s="16" t="s">
        <v>11</v>
      </c>
      <c r="K9" s="16" t="s">
        <v>12</v>
      </c>
      <c r="L9" s="16" t="s">
        <v>13</v>
      </c>
      <c r="M9" s="16" t="s">
        <v>14</v>
      </c>
      <c r="N9" s="16" t="s">
        <v>15</v>
      </c>
      <c r="O9" s="16" t="s">
        <v>16</v>
      </c>
      <c r="P9" s="16" t="s">
        <v>17</v>
      </c>
      <c r="Q9" s="16" t="s">
        <v>18</v>
      </c>
      <c r="R9" s="16" t="s">
        <v>19</v>
      </c>
      <c r="S9" s="16" t="s">
        <v>20</v>
      </c>
    </row>
    <row r="10" spans="1:18" ht="15.75" thickTop="1">
      <c r="A10" s="18">
        <v>44529</v>
      </c>
      <c r="B10" s="19">
        <v>11</v>
      </c>
      <c r="C10" s="19">
        <v>2021</v>
      </c>
      <c r="D10" s="20">
        <v>80520.300000000003</v>
      </c>
      <c r="E10" s="3" t="s">
        <v>81</v>
      </c>
      <c r="F10" s="3" t="s">
        <v>82</v>
      </c>
      <c r="G10" s="3" t="s">
        <v>64</v>
      </c>
      <c r="H10" s="3" t="s">
        <v>83</v>
      </c>
      <c r="I10" s="3" t="s">
        <v>84</v>
      </c>
      <c r="J10" s="3" t="s">
        <v>27</v>
      </c>
      <c r="K10" s="3" t="s">
        <v>85</v>
      </c>
      <c r="M10" s="3" t="s">
        <v>30</v>
      </c>
      <c r="N10" s="3" t="s">
        <v>31</v>
      </c>
      <c r="O10" s="3" t="s">
        <v>32</v>
      </c>
      <c r="P10" s="3" t="s">
        <v>33</v>
      </c>
      <c r="Q10" s="3" t="s">
        <v>34</v>
      </c>
      <c r="R10" s="3" t="s">
        <v>35</v>
      </c>
    </row>
    <row r="11" spans="1:18" ht="15">
      <c r="A11" s="18">
        <v>44529</v>
      </c>
      <c r="B11" s="19">
        <v>11</v>
      </c>
      <c r="C11" s="19">
        <v>2021</v>
      </c>
      <c r="D11" s="20">
        <v>209594.66</v>
      </c>
      <c r="E11" s="3" t="s">
        <v>81</v>
      </c>
      <c r="F11" s="3" t="s">
        <v>82</v>
      </c>
      <c r="G11" s="3" t="s">
        <v>64</v>
      </c>
      <c r="H11" s="3" t="s">
        <v>83</v>
      </c>
      <c r="I11" s="3" t="s">
        <v>84</v>
      </c>
      <c r="J11" s="3" t="s">
        <v>37</v>
      </c>
      <c r="K11" s="3" t="s">
        <v>86</v>
      </c>
      <c r="M11" s="3" t="s">
        <v>30</v>
      </c>
      <c r="N11" s="3" t="s">
        <v>39</v>
      </c>
      <c r="O11" s="3" t="s">
        <v>35</v>
      </c>
      <c r="P11" s="3" t="s">
        <v>33</v>
      </c>
      <c r="Q11" s="3" t="s">
        <v>40</v>
      </c>
      <c r="R11" s="3" t="s">
        <v>35</v>
      </c>
    </row>
    <row r="12" spans="4:4" ht="15.75" thickBot="1">
      <c r="D12" s="21">
        <f>SUM(D10:D11)</f>
        <v>290114.96000000002</v>
      </c>
    </row>
    <row r="13" spans="4:5" ht="15.75" thickTop="1">
      <c r="D13" s="22">
        <v>41267</v>
      </c>
      <c r="E13" s="7" t="s">
        <v>92</v>
      </c>
    </row>
    <row r="14" spans="4:5" ht="15">
      <c r="D14" s="23">
        <f>D12+D13</f>
        <v>331381.96000000002</v>
      </c>
      <c r="E14" s="3" t="s">
        <v>91</v>
      </c>
    </row>
    <row r="15" ht="15.75" thickBot="1"/>
    <row r="16" spans="1:19" ht="16.5" thickTop="1" thickBot="1">
      <c r="A16" s="16" t="s">
        <v>2</v>
      </c>
      <c r="B16" s="16" t="s">
        <v>3</v>
      </c>
      <c r="C16" s="16" t="s">
        <v>4</v>
      </c>
      <c r="D16" s="17" t="s">
        <v>5</v>
      </c>
      <c r="E16" s="16" t="s">
        <v>6</v>
      </c>
      <c r="F16" s="16" t="s">
        <v>7</v>
      </c>
      <c r="G16" s="16" t="s">
        <v>8</v>
      </c>
      <c r="H16" s="16" t="s">
        <v>9</v>
      </c>
      <c r="I16" s="16" t="s">
        <v>10</v>
      </c>
      <c r="J16" s="16" t="s">
        <v>11</v>
      </c>
      <c r="K16" s="16" t="s">
        <v>12</v>
      </c>
      <c r="L16" s="16" t="s">
        <v>13</v>
      </c>
      <c r="M16" s="16" t="s">
        <v>14</v>
      </c>
      <c r="N16" s="16" t="s">
        <v>15</v>
      </c>
      <c r="O16" s="16" t="s">
        <v>16</v>
      </c>
      <c r="P16" s="16" t="s">
        <v>17</v>
      </c>
      <c r="Q16" s="16" t="s">
        <v>18</v>
      </c>
      <c r="R16" s="16" t="s">
        <v>19</v>
      </c>
      <c r="S16" s="16" t="s">
        <v>20</v>
      </c>
    </row>
    <row r="17" spans="1:18" ht="15.75" thickTop="1">
      <c r="A17" s="18">
        <v>44330</v>
      </c>
      <c r="B17" s="19">
        <v>5</v>
      </c>
      <c r="C17" s="19">
        <v>2021</v>
      </c>
      <c r="D17" s="20">
        <v>186379.48999999999</v>
      </c>
      <c r="E17" s="3" t="s">
        <v>94</v>
      </c>
      <c r="F17" s="3" t="s">
        <v>82</v>
      </c>
      <c r="G17" s="3" t="s">
        <v>64</v>
      </c>
      <c r="H17" s="3" t="s">
        <v>95</v>
      </c>
      <c r="I17" s="3" t="s">
        <v>96</v>
      </c>
      <c r="J17" s="3" t="s">
        <v>37</v>
      </c>
      <c r="K17" s="3" t="s">
        <v>97</v>
      </c>
      <c r="M17" s="3" t="s">
        <v>30</v>
      </c>
      <c r="N17" s="3" t="s">
        <v>39</v>
      </c>
      <c r="O17" s="3" t="s">
        <v>35</v>
      </c>
      <c r="P17" s="3" t="s">
        <v>33</v>
      </c>
      <c r="Q17" s="3" t="s">
        <v>40</v>
      </c>
      <c r="R17" s="3" t="s">
        <v>35</v>
      </c>
    </row>
    <row r="18" spans="1:18" ht="15">
      <c r="A18" s="18">
        <v>44330</v>
      </c>
      <c r="B18" s="19">
        <v>5</v>
      </c>
      <c r="C18" s="19">
        <v>2021</v>
      </c>
      <c r="D18" s="20">
        <v>58788.25</v>
      </c>
      <c r="E18" s="3" t="s">
        <v>94</v>
      </c>
      <c r="F18" s="3" t="s">
        <v>82</v>
      </c>
      <c r="G18" s="3" t="s">
        <v>64</v>
      </c>
      <c r="H18" s="3" t="s">
        <v>95</v>
      </c>
      <c r="I18" s="3" t="s">
        <v>96</v>
      </c>
      <c r="J18" s="3" t="s">
        <v>27</v>
      </c>
      <c r="K18" s="3" t="s">
        <v>98</v>
      </c>
      <c r="M18" s="3" t="s">
        <v>30</v>
      </c>
      <c r="N18" s="3" t="s">
        <v>31</v>
      </c>
      <c r="O18" s="3" t="s">
        <v>32</v>
      </c>
      <c r="P18" s="3" t="s">
        <v>33</v>
      </c>
      <c r="Q18" s="3" t="s">
        <v>34</v>
      </c>
      <c r="R18" s="3" t="s">
        <v>35</v>
      </c>
    </row>
    <row r="19" spans="4:4" ht="15.75" thickBot="1">
      <c r="D19" s="21">
        <f>SUM(D17:D18)</f>
        <v>245167.73999999999</v>
      </c>
    </row>
    <row r="20" spans="4:5" ht="15.75" thickTop="1">
      <c r="D20" s="22">
        <v>45843.370000000003</v>
      </c>
      <c r="E20" s="7" t="s">
        <v>92</v>
      </c>
    </row>
    <row r="21" spans="4:5" ht="15">
      <c r="D21" s="23">
        <f>D19+D20</f>
        <v>291011.10999999999</v>
      </c>
      <c r="E21" s="3" t="s">
        <v>91</v>
      </c>
    </row>
    <row r="24" spans="4:5" ht="15">
      <c r="D24" s="6">
        <f>D13+D20</f>
        <v>87110.369999999995</v>
      </c>
      <c r="E24" s="7"/>
    </row>
    <row r="27" spans="3:6" ht="15">
      <c r="C27" s="24" t="s">
        <v>99</v>
      </c>
      <c r="D27" s="6">
        <f>D24*F27</f>
        <v>40567.299308999995</v>
      </c>
      <c r="E27" s="7" t="s">
        <v>100</v>
      </c>
      <c r="F27" s="25">
        <v>0.4657</v>
      </c>
    </row>
    <row r="28" spans="4:6" ht="15">
      <c r="D28" s="6"/>
      <c r="E28" s="7"/>
      <c r="F28" s="25"/>
    </row>
    <row r="29" spans="4:4" ht="15">
      <c r="D29" s="23"/>
    </row>
    <row r="32" spans="1:1" ht="15">
      <c r="A32" s="7" t="s">
        <v>79</v>
      </c>
    </row>
    <row r="33" spans="1:4" ht="18.75">
      <c r="A33" s="26" t="s">
        <v>57</v>
      </c>
      <c r="B33" s="27"/>
      <c r="C33" s="27"/>
      <c r="D33" s="27"/>
    </row>
    <row r="34" spans="1:4" ht="15.75">
      <c r="A34" s="27" t="s">
        <v>58</v>
      </c>
      <c r="B34" s="27"/>
      <c r="C34" s="28"/>
      <c r="D34" s="28"/>
    </row>
    <row r="35" spans="1:4" ht="15.75">
      <c r="A35" s="29">
        <v>52935583</v>
      </c>
      <c r="B35" s="30">
        <v>44094</v>
      </c>
      <c r="C35" s="31">
        <v>-189075.54000000001</v>
      </c>
      <c r="D35" s="28"/>
    </row>
    <row r="36" spans="1:4" ht="15.75">
      <c r="A36" s="29">
        <v>52959993</v>
      </c>
      <c r="B36" s="30">
        <v>44124</v>
      </c>
      <c r="C36" s="31">
        <v>22669.919999999998</v>
      </c>
      <c r="D36" s="28"/>
    </row>
    <row r="37" spans="1:4" ht="15.75">
      <c r="A37" s="29">
        <v>52984576</v>
      </c>
      <c r="B37" s="30">
        <v>44155</v>
      </c>
      <c r="C37" s="28">
        <v>23312.299999999999</v>
      </c>
      <c r="D37" s="4"/>
    </row>
    <row r="38" spans="1:4" ht="15.75">
      <c r="A38" s="29">
        <v>53009681</v>
      </c>
      <c r="B38" s="30">
        <v>44185</v>
      </c>
      <c r="C38" s="28">
        <v>6921</v>
      </c>
      <c r="D38" s="4"/>
    </row>
    <row r="39" spans="1:4" ht="15.75">
      <c r="A39" s="29">
        <v>53038012</v>
      </c>
      <c r="B39" s="30">
        <v>44217</v>
      </c>
      <c r="C39" s="28">
        <v>6927.1000000000004</v>
      </c>
      <c r="D39" s="4"/>
    </row>
    <row r="40" spans="1:4" ht="15.75">
      <c r="A40" s="29">
        <v>53064394</v>
      </c>
      <c r="B40" s="30">
        <v>44248</v>
      </c>
      <c r="C40" s="28">
        <v>1758.8599999999999</v>
      </c>
      <c r="D40" s="4"/>
    </row>
    <row r="41" spans="1:4" ht="15.75">
      <c r="A41" s="29">
        <v>53091140</v>
      </c>
      <c r="B41" s="30">
        <v>44276</v>
      </c>
      <c r="C41" s="28">
        <v>0</v>
      </c>
      <c r="D41" s="4"/>
    </row>
    <row r="42" spans="1:4" ht="15.75">
      <c r="A42" s="29">
        <v>53117473</v>
      </c>
      <c r="B42" s="30">
        <v>44307</v>
      </c>
      <c r="C42" s="28">
        <v>1673.2000000000001</v>
      </c>
      <c r="D42" s="4"/>
    </row>
    <row r="43" spans="1:4" ht="15.75">
      <c r="A43" s="29">
        <v>53143555</v>
      </c>
      <c r="B43" s="30">
        <v>44337</v>
      </c>
      <c r="C43" s="28">
        <v>4383.5200000000004</v>
      </c>
      <c r="D43" s="4"/>
    </row>
    <row r="44" spans="1:4" ht="15.75">
      <c r="A44" s="29">
        <v>53169610</v>
      </c>
      <c r="B44" s="30">
        <v>44368</v>
      </c>
      <c r="C44" s="28">
        <v>4384.6300000000001</v>
      </c>
      <c r="D44" s="4"/>
    </row>
    <row r="45" spans="1:4" ht="15.75">
      <c r="A45" s="29">
        <v>53195880</v>
      </c>
      <c r="B45" s="30">
        <v>44398</v>
      </c>
      <c r="C45" s="28">
        <v>4802</v>
      </c>
      <c r="D45" s="4"/>
    </row>
    <row r="46" spans="1:4" ht="15.75">
      <c r="A46" s="29">
        <v>53221945</v>
      </c>
      <c r="B46" s="30">
        <v>44429</v>
      </c>
      <c r="C46" s="28">
        <v>5860.3999999999996</v>
      </c>
      <c r="D46" s="4"/>
    </row>
    <row r="47" spans="1:4" ht="15.75">
      <c r="A47" s="29">
        <v>53247680</v>
      </c>
      <c r="B47" s="30">
        <v>44460</v>
      </c>
      <c r="C47" s="28">
        <v>-79857.940000000002</v>
      </c>
      <c r="D47" s="4"/>
    </row>
    <row r="48" spans="1:4" ht="15.75">
      <c r="A48" s="29">
        <v>53274036</v>
      </c>
      <c r="B48" s="30">
        <v>44490</v>
      </c>
      <c r="C48" s="28">
        <v>4185.7700000000004</v>
      </c>
      <c r="D48" s="4"/>
    </row>
    <row r="49" spans="1:4" ht="16.5">
      <c r="A49" s="32"/>
      <c r="B49" s="33"/>
      <c r="C49" s="34">
        <f>SUM(C35:C48)</f>
        <v>-182054.78</v>
      </c>
      <c r="D49" s="5" t="s">
        <v>80</v>
      </c>
    </row>
    <row r="50" spans="4:4" ht="15">
      <c r="D50" s="7" t="s">
        <v>87</v>
      </c>
    </row>
    <row r="51" spans="1:4" ht="15.75">
      <c r="A51" s="32"/>
      <c r="B51" s="33"/>
      <c r="C51" s="28"/>
      <c r="D51" s="4"/>
    </row>
    <row r="52" spans="1:14" ht="15">
      <c r="A52" s="35"/>
      <c r="G52" s="35"/>
      <c r="N52" s="35"/>
    </row>
    <row r="53" spans="1:14" ht="15">
      <c r="A53" s="35"/>
      <c r="G53" s="35"/>
      <c r="N53" s="35"/>
    </row>
    <row r="54" spans="1:14" ht="15">
      <c r="A54" s="35"/>
      <c r="G54" s="35"/>
      <c r="N54" s="35"/>
    </row>
    <row r="55" spans="1:14" ht="15">
      <c r="A55" s="35"/>
      <c r="G55" s="35"/>
      <c r="N55" s="35"/>
    </row>
    <row r="56" spans="1:14" ht="15">
      <c r="A56" s="36"/>
      <c r="G56" s="36"/>
      <c r="N56" s="36"/>
    </row>
    <row r="57" spans="1:14" ht="15">
      <c r="A57" s="37"/>
      <c r="G57" s="37"/>
      <c r="N57" s="37"/>
    </row>
    <row r="58" spans="1:14" ht="15">
      <c r="A58" s="37"/>
      <c r="G58" s="37"/>
      <c r="N58" s="37"/>
    </row>
    <row r="59" spans="1:14" ht="15">
      <c r="A59" s="37"/>
      <c r="G59" s="37"/>
      <c r="N59" s="37"/>
    </row>
    <row r="60" spans="1:14" ht="15">
      <c r="A60" s="37"/>
      <c r="G60" s="37"/>
      <c r="N60" s="37"/>
    </row>
    <row r="61" spans="1:14" ht="15">
      <c r="A61" s="37"/>
      <c r="G61" s="37"/>
      <c r="N61" s="37"/>
    </row>
    <row r="62" spans="1:14" ht="15">
      <c r="A62" s="37"/>
      <c r="G62" s="37"/>
      <c r="N62" s="37"/>
    </row>
    <row r="63" spans="1:14" ht="15">
      <c r="A63" s="37"/>
      <c r="G63" s="37"/>
      <c r="N63" s="37"/>
    </row>
    <row r="64" spans="1:14" ht="27.75">
      <c r="A64" s="38"/>
      <c r="B64" s="38"/>
      <c r="G64" s="37"/>
      <c r="N64" s="39"/>
    </row>
    <row r="65" spans="1:14" ht="27.75">
      <c r="A65" s="40"/>
      <c r="B65" s="40"/>
      <c r="G65" s="39"/>
      <c r="N65" s="39"/>
    </row>
    <row r="66" spans="1:14" ht="27.75">
      <c r="A66" s="37"/>
      <c r="G66" s="39"/>
      <c r="N66" s="41"/>
    </row>
    <row r="67" spans="1:14" ht="15.75">
      <c r="A67" s="37"/>
      <c r="G67" s="41"/>
      <c r="N67" s="41"/>
    </row>
    <row r="68" spans="1:14" ht="15.75">
      <c r="A68" s="37"/>
      <c r="G68" s="41"/>
      <c r="N68" s="41"/>
    </row>
    <row r="69" spans="1:14" ht="15.75">
      <c r="A69" s="37"/>
      <c r="G69" s="41"/>
      <c r="N69" s="41"/>
    </row>
    <row r="70" spans="1:14" ht="15.75">
      <c r="A70" s="37"/>
      <c r="G70" s="41"/>
      <c r="N70" s="41"/>
    </row>
    <row r="71" spans="1:14" ht="15.75">
      <c r="A71" s="37"/>
      <c r="G71" s="41"/>
      <c r="N71" s="42"/>
    </row>
    <row r="72" spans="1:14" ht="15">
      <c r="A72" s="37"/>
      <c r="G72" s="42"/>
      <c r="N72" s="37"/>
    </row>
    <row r="73" spans="1:1" ht="15">
      <c r="A73" s="37"/>
    </row>
    <row r="74" spans="1:2" ht="15">
      <c r="A74" s="38"/>
      <c r="B74" s="38"/>
    </row>
    <row r="75" spans="1:2" ht="15">
      <c r="A75" s="40"/>
      <c r="B75" s="40"/>
    </row>
  </sheetData>
  <pageMargins left="0.5" right="0.5" top="1.5" bottom="0.5" header="1" footer="0.3"/>
  <pageSetup firstPageNumber="3" useFirstPageNumber="1" fitToHeight="0" horizontalDpi="300" verticalDpi="300" orientation="landscape" scale="59" r:id="rId1"/>
  <headerFooter>
    <oddHeader>&amp;R&amp;"-,Bold"WP/II-D ADJUSTMENT/53
Page &amp;P of 5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T25"/>
  <sheetViews>
    <sheetView workbookViewId="0" topLeftCell="A1">
      <selection pane="topLeft" activeCell="K28" sqref="K28"/>
    </sheetView>
  </sheetViews>
  <sheetFormatPr defaultRowHeight="15"/>
  <cols>
    <col min="1" max="1" width="12.4285714285714" style="3" customWidth="1"/>
    <col min="2" max="2" width="7.14285714285714" style="3" bestFit="1" customWidth="1"/>
    <col min="3" max="3" width="5.42857142857143" style="3" bestFit="1" customWidth="1"/>
    <col min="4" max="4" width="14.8571428571429" style="3" bestFit="1" customWidth="1"/>
    <col min="5" max="5" width="14.7142857142857" style="3" bestFit="1" customWidth="1"/>
    <col min="6" max="6" width="10" style="3" bestFit="1" customWidth="1"/>
    <col min="7" max="7" width="17.2857142857143" style="3" bestFit="1" customWidth="1"/>
    <col min="8" max="8" width="7.85714285714286" style="3" bestFit="1" customWidth="1"/>
    <col min="9" max="9" width="11" style="3" bestFit="1" customWidth="1"/>
    <col min="10" max="10" width="8.28571428571429" style="3" bestFit="1" customWidth="1"/>
    <col min="11" max="11" width="11.5714285714286" style="3" bestFit="1" customWidth="1"/>
    <col min="12" max="12" width="6.57142857142857" style="3" bestFit="1" customWidth="1"/>
    <col min="13" max="13" width="8.85714285714286" style="3" bestFit="1" customWidth="1"/>
    <col min="14" max="14" width="7" style="3" bestFit="1" customWidth="1"/>
    <col min="15" max="15" width="8.42857142857143" style="3" bestFit="1" customWidth="1"/>
    <col min="16" max="16" width="4" style="3" bestFit="1" customWidth="1"/>
    <col min="17" max="17" width="9.42857142857143" style="3" bestFit="1" customWidth="1"/>
    <col min="18" max="18" width="9.14285714285714" style="3"/>
    <col min="19" max="19" width="3.28571428571429" style="3" bestFit="1" customWidth="1"/>
    <col min="20" max="20" width="9.57142857142857" style="3" bestFit="1" customWidth="1"/>
    <col min="21" max="16384" width="9.14285714285714" style="3"/>
  </cols>
  <sheetData>
    <row r="1" spans="1:1" ht="15">
      <c r="A1" s="7" t="s">
        <v>0</v>
      </c>
    </row>
    <row r="2" spans="1:1" ht="15">
      <c r="A2" s="7" t="s">
        <v>1</v>
      </c>
    </row>
    <row r="3" spans="1:1" ht="15">
      <c r="A3" s="7" t="s">
        <v>89</v>
      </c>
    </row>
    <row r="5" spans="1:1" ht="15">
      <c r="A5" s="7" t="s">
        <v>55</v>
      </c>
    </row>
    <row r="7" spans="1:1" ht="15.75" thickBot="1">
      <c r="A7" s="7" t="s">
        <v>46</v>
      </c>
    </row>
    <row r="8" spans="1:20" ht="17.25" thickTop="1" thickBot="1">
      <c r="A8" s="43" t="s">
        <v>2</v>
      </c>
      <c r="B8" s="43" t="s">
        <v>3</v>
      </c>
      <c r="C8" s="43" t="s">
        <v>4</v>
      </c>
      <c r="D8" s="44" t="s">
        <v>5</v>
      </c>
      <c r="E8" s="43" t="s">
        <v>6</v>
      </c>
      <c r="F8" s="43" t="s">
        <v>7</v>
      </c>
      <c r="G8" s="43" t="s">
        <v>8</v>
      </c>
      <c r="H8" s="43" t="s">
        <v>9</v>
      </c>
      <c r="I8" s="43" t="s">
        <v>10</v>
      </c>
      <c r="J8" s="43" t="s">
        <v>11</v>
      </c>
      <c r="K8" s="43" t="s">
        <v>12</v>
      </c>
      <c r="L8" s="43" t="s">
        <v>13</v>
      </c>
      <c r="M8" s="43" t="s">
        <v>14</v>
      </c>
      <c r="N8" s="43" t="s">
        <v>15</v>
      </c>
      <c r="O8" s="43" t="s">
        <v>16</v>
      </c>
      <c r="P8" s="43" t="s">
        <v>17</v>
      </c>
      <c r="Q8" s="43" t="s">
        <v>18</v>
      </c>
      <c r="R8" s="43" t="s">
        <v>19</v>
      </c>
      <c r="S8" s="43" t="s">
        <v>20</v>
      </c>
      <c r="T8" s="45" t="s">
        <v>21</v>
      </c>
    </row>
    <row r="9" spans="1:20" ht="16.5" thickTop="1">
      <c r="A9" s="18">
        <v>44203</v>
      </c>
      <c r="B9" s="3">
        <v>1</v>
      </c>
      <c r="C9" s="3">
        <v>2021</v>
      </c>
      <c r="D9" s="1">
        <v>672.10000000000002</v>
      </c>
      <c r="E9" s="46" t="s">
        <v>22</v>
      </c>
      <c r="F9" s="46" t="s">
        <v>23</v>
      </c>
      <c r="G9" s="46" t="s">
        <v>24</v>
      </c>
      <c r="H9" s="46" t="s">
        <v>25</v>
      </c>
      <c r="I9" s="46" t="s">
        <v>26</v>
      </c>
      <c r="J9" s="46" t="s">
        <v>27</v>
      </c>
      <c r="K9" s="46" t="s">
        <v>28</v>
      </c>
      <c r="L9" s="46" t="s">
        <v>29</v>
      </c>
      <c r="M9" s="46" t="s">
        <v>30</v>
      </c>
      <c r="N9" s="46" t="s">
        <v>31</v>
      </c>
      <c r="O9" s="46" t="s">
        <v>32</v>
      </c>
      <c r="P9" s="46" t="s">
        <v>33</v>
      </c>
      <c r="Q9" s="46" t="s">
        <v>34</v>
      </c>
      <c r="R9" s="46" t="s">
        <v>35</v>
      </c>
      <c r="S9" s="46" t="s">
        <v>29</v>
      </c>
      <c r="T9" s="46" t="s">
        <v>36</v>
      </c>
    </row>
    <row r="10" spans="1:20" ht="15.75">
      <c r="A10" s="18">
        <v>44203</v>
      </c>
      <c r="B10" s="3">
        <v>1</v>
      </c>
      <c r="C10" s="3">
        <v>2021</v>
      </c>
      <c r="D10" s="1">
        <v>2102.9000000000001</v>
      </c>
      <c r="E10" s="46" t="s">
        <v>22</v>
      </c>
      <c r="F10" s="46" t="s">
        <v>23</v>
      </c>
      <c r="G10" s="46" t="s">
        <v>24</v>
      </c>
      <c r="H10" s="46" t="s">
        <v>25</v>
      </c>
      <c r="I10" s="46" t="s">
        <v>26</v>
      </c>
      <c r="J10" s="46" t="s">
        <v>37</v>
      </c>
      <c r="K10" s="46" t="s">
        <v>38</v>
      </c>
      <c r="L10" s="46" t="s">
        <v>29</v>
      </c>
      <c r="M10" s="46" t="s">
        <v>30</v>
      </c>
      <c r="N10" s="46" t="s">
        <v>39</v>
      </c>
      <c r="O10" s="46" t="s">
        <v>35</v>
      </c>
      <c r="P10" s="46" t="s">
        <v>33</v>
      </c>
      <c r="Q10" s="46" t="s">
        <v>40</v>
      </c>
      <c r="R10" s="46" t="s">
        <v>35</v>
      </c>
      <c r="S10" s="46" t="s">
        <v>29</v>
      </c>
      <c r="T10" s="46" t="s">
        <v>36</v>
      </c>
    </row>
    <row r="11" spans="1:20" ht="15.75">
      <c r="A11" s="18">
        <v>44210</v>
      </c>
      <c r="B11" s="3">
        <v>1</v>
      </c>
      <c r="C11" s="3">
        <v>2021</v>
      </c>
      <c r="D11" s="1">
        <v>2424.96</v>
      </c>
      <c r="E11" s="46" t="s">
        <v>41</v>
      </c>
      <c r="F11" s="46" t="s">
        <v>23</v>
      </c>
      <c r="G11" s="46" t="s">
        <v>24</v>
      </c>
      <c r="H11" s="46" t="s">
        <v>42</v>
      </c>
      <c r="I11" s="46" t="s">
        <v>43</v>
      </c>
      <c r="J11" s="46" t="s">
        <v>37</v>
      </c>
      <c r="K11" s="46" t="s">
        <v>44</v>
      </c>
      <c r="L11" s="46" t="s">
        <v>29</v>
      </c>
      <c r="M11" s="46" t="s">
        <v>30</v>
      </c>
      <c r="N11" s="46" t="s">
        <v>39</v>
      </c>
      <c r="O11" s="46" t="s">
        <v>35</v>
      </c>
      <c r="P11" s="46" t="s">
        <v>33</v>
      </c>
      <c r="Q11" s="46" t="s">
        <v>40</v>
      </c>
      <c r="R11" s="46" t="s">
        <v>35</v>
      </c>
      <c r="S11" s="46" t="s">
        <v>29</v>
      </c>
      <c r="T11" s="46" t="s">
        <v>36</v>
      </c>
    </row>
    <row r="12" spans="1:20" ht="15.75">
      <c r="A12" s="18">
        <v>44210</v>
      </c>
      <c r="B12" s="3">
        <v>1</v>
      </c>
      <c r="C12" s="3">
        <v>2021</v>
      </c>
      <c r="D12" s="1">
        <v>775.03999999999996</v>
      </c>
      <c r="E12" s="46" t="s">
        <v>41</v>
      </c>
      <c r="F12" s="46" t="s">
        <v>23</v>
      </c>
      <c r="G12" s="46" t="s">
        <v>24</v>
      </c>
      <c r="H12" s="46" t="s">
        <v>42</v>
      </c>
      <c r="I12" s="46" t="s">
        <v>43</v>
      </c>
      <c r="J12" s="46" t="s">
        <v>27</v>
      </c>
      <c r="K12" s="46" t="s">
        <v>45</v>
      </c>
      <c r="L12" s="46" t="s">
        <v>29</v>
      </c>
      <c r="M12" s="46" t="s">
        <v>30</v>
      </c>
      <c r="N12" s="46" t="s">
        <v>31</v>
      </c>
      <c r="O12" s="46" t="s">
        <v>32</v>
      </c>
      <c r="P12" s="46" t="s">
        <v>33</v>
      </c>
      <c r="Q12" s="46" t="s">
        <v>34</v>
      </c>
      <c r="R12" s="46" t="s">
        <v>35</v>
      </c>
      <c r="S12" s="46" t="s">
        <v>29</v>
      </c>
      <c r="T12" s="46" t="s">
        <v>36</v>
      </c>
    </row>
    <row r="13" spans="4:4" ht="15">
      <c r="D13" s="6">
        <f>SUM(D9:D12)</f>
        <v>5975</v>
      </c>
    </row>
    <row r="15" spans="1:1" ht="15.75" thickBot="1">
      <c r="A15" s="7" t="s">
        <v>106</v>
      </c>
    </row>
    <row r="16" spans="1:19" ht="16.5" thickTop="1" thickBot="1">
      <c r="A16" s="47" t="s">
        <v>2</v>
      </c>
      <c r="B16" s="48" t="s">
        <v>3</v>
      </c>
      <c r="C16" s="48" t="s">
        <v>4</v>
      </c>
      <c r="D16" s="48" t="s">
        <v>47</v>
      </c>
      <c r="E16" s="48" t="s">
        <v>6</v>
      </c>
      <c r="F16" s="48" t="s">
        <v>7</v>
      </c>
      <c r="G16" s="48" t="s">
        <v>8</v>
      </c>
      <c r="H16" s="48" t="s">
        <v>9</v>
      </c>
      <c r="I16" s="48" t="s">
        <v>10</v>
      </c>
      <c r="J16" s="48" t="s">
        <v>11</v>
      </c>
      <c r="K16" s="48" t="s">
        <v>12</v>
      </c>
      <c r="L16" s="48" t="s">
        <v>13</v>
      </c>
      <c r="M16" s="48" t="s">
        <v>14</v>
      </c>
      <c r="N16" s="48" t="s">
        <v>15</v>
      </c>
      <c r="O16" s="48" t="s">
        <v>16</v>
      </c>
      <c r="P16" s="48" t="s">
        <v>17</v>
      </c>
      <c r="Q16" s="48" t="s">
        <v>18</v>
      </c>
      <c r="R16" s="48" t="s">
        <v>19</v>
      </c>
      <c r="S16" s="48" t="s">
        <v>20</v>
      </c>
    </row>
    <row r="17" spans="1:19" ht="15.75" thickTop="1">
      <c r="A17" s="18">
        <v>44489</v>
      </c>
      <c r="B17" s="19">
        <v>10</v>
      </c>
      <c r="C17" s="19">
        <v>2021</v>
      </c>
      <c r="D17" s="20">
        <v>1141.3499999999999</v>
      </c>
      <c r="E17" s="3" t="s">
        <v>50</v>
      </c>
      <c r="F17" s="3" t="s">
        <v>23</v>
      </c>
      <c r="G17" s="3" t="s">
        <v>24</v>
      </c>
      <c r="H17" s="3" t="s">
        <v>51</v>
      </c>
      <c r="I17" s="3" t="s">
        <v>52</v>
      </c>
      <c r="J17" s="3" t="s">
        <v>27</v>
      </c>
      <c r="K17" s="3" t="s">
        <v>48</v>
      </c>
      <c r="M17" s="3" t="s">
        <v>53</v>
      </c>
      <c r="N17" s="3" t="s">
        <v>31</v>
      </c>
      <c r="O17" s="3" t="s">
        <v>35</v>
      </c>
      <c r="P17" s="3" t="s">
        <v>33</v>
      </c>
      <c r="Q17" s="3" t="s">
        <v>54</v>
      </c>
      <c r="R17" s="3" t="s">
        <v>35</v>
      </c>
      <c r="S17" s="49"/>
    </row>
    <row r="18" spans="4:13" ht="15.75">
      <c r="D18" s="2">
        <f>D17</f>
        <v>1141.3499999999999</v>
      </c>
      <c r="M18" s="3" t="s">
        <v>49</v>
      </c>
    </row>
    <row r="20" spans="4:5" ht="15">
      <c r="D20" s="6">
        <f>D18-D13</f>
        <v>-4833.6499999999996</v>
      </c>
      <c r="E20" s="7"/>
    </row>
    <row r="23" spans="3:6" ht="15">
      <c r="C23" s="24" t="s">
        <v>99</v>
      </c>
      <c r="D23" s="22">
        <f>D20*F23</f>
        <v>-2251.0308049999999</v>
      </c>
      <c r="E23" s="7" t="s">
        <v>102</v>
      </c>
      <c r="F23" s="25">
        <v>0.4657</v>
      </c>
    </row>
    <row r="24" spans="4:6" ht="15">
      <c r="D24" s="22"/>
      <c r="E24" s="7"/>
      <c r="F24" s="25"/>
    </row>
    <row r="25" spans="4:4" ht="15">
      <c r="D25" s="23"/>
    </row>
  </sheetData>
  <pageMargins left="0.5" right="0.5" top="1.5" bottom="0.5" header="1" footer="0.3"/>
  <pageSetup firstPageNumber="4" useFirstPageNumber="1" fitToHeight="0" orientation="landscape" scale="68" r:id="rId1"/>
  <headerFooter>
    <oddHeader>&amp;R&amp;"-,Bold"WP/II-D ADJUSTMENT/53
Page &amp;P of 5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S49"/>
  <sheetViews>
    <sheetView zoomScale="112" zoomScaleNormal="112" workbookViewId="0" topLeftCell="A1"/>
  </sheetViews>
  <sheetFormatPr defaultRowHeight="15"/>
  <cols>
    <col min="1" max="1" width="19.2857142857143" style="3" customWidth="1"/>
    <col min="2" max="2" width="15.7142857142857" style="3" customWidth="1"/>
    <col min="3" max="3" width="15" style="3" bestFit="1" customWidth="1"/>
    <col min="4" max="4" width="14.8571428571429" style="3" bestFit="1" customWidth="1"/>
    <col min="5" max="5" width="8.57142857142857" style="3" bestFit="1" customWidth="1"/>
    <col min="6" max="6" width="9.85714285714286" style="3" customWidth="1"/>
    <col min="7" max="7" width="27.1428571428571" style="3" bestFit="1" customWidth="1"/>
    <col min="8" max="8" width="25.1428571428571" style="3" bestFit="1" customWidth="1"/>
    <col min="9" max="9" width="11" style="3" bestFit="1" customWidth="1"/>
    <col min="10" max="10" width="8.28571428571429" style="3" bestFit="1" customWidth="1"/>
    <col min="11" max="11" width="11.5714285714286" style="3" bestFit="1" customWidth="1"/>
    <col min="12" max="12" width="24.8571428571429" style="3" bestFit="1" customWidth="1"/>
    <col min="13" max="13" width="8.85714285714286" style="3" bestFit="1" customWidth="1"/>
    <col min="14" max="14" width="7" style="3" bestFit="1" customWidth="1"/>
    <col min="15" max="15" width="8.42857142857143" style="3" bestFit="1" customWidth="1"/>
    <col min="16" max="16" width="4" style="3" bestFit="1" customWidth="1"/>
    <col min="17" max="17" width="9.42857142857143" style="3" bestFit="1" customWidth="1"/>
    <col min="18" max="16384" width="9.14285714285714" style="3"/>
  </cols>
  <sheetData>
    <row r="1" spans="1:1" ht="15">
      <c r="A1" s="7" t="s">
        <v>0</v>
      </c>
    </row>
    <row r="2" spans="1:1" ht="15">
      <c r="A2" s="7" t="s">
        <v>56</v>
      </c>
    </row>
    <row r="3" spans="1:1" ht="15">
      <c r="A3" s="7" t="s">
        <v>89</v>
      </c>
    </row>
    <row r="6" spans="1:1" ht="15">
      <c r="A6" s="7" t="s">
        <v>73</v>
      </c>
    </row>
    <row r="7" spans="1:1" ht="36.75" customHeight="1" thickBot="1">
      <c r="A7" s="7" t="s">
        <v>71</v>
      </c>
    </row>
    <row r="8" spans="1:19" ht="17.25" thickTop="1" thickBot="1">
      <c r="A8" s="43" t="s">
        <v>2</v>
      </c>
      <c r="B8" s="43" t="s">
        <v>3</v>
      </c>
      <c r="C8" s="43" t="s">
        <v>4</v>
      </c>
      <c r="D8" s="44" t="s">
        <v>5</v>
      </c>
      <c r="E8" s="43" t="s">
        <v>6</v>
      </c>
      <c r="F8" s="43" t="s">
        <v>7</v>
      </c>
      <c r="G8" s="43" t="s">
        <v>8</v>
      </c>
      <c r="H8" s="43" t="s">
        <v>9</v>
      </c>
      <c r="I8" s="43" t="s">
        <v>10</v>
      </c>
      <c r="J8" s="43" t="s">
        <v>11</v>
      </c>
      <c r="K8" s="43" t="s">
        <v>12</v>
      </c>
      <c r="L8" s="43" t="s">
        <v>13</v>
      </c>
      <c r="M8" s="43" t="s">
        <v>14</v>
      </c>
      <c r="N8" s="43" t="s">
        <v>15</v>
      </c>
      <c r="O8" s="43" t="s">
        <v>16</v>
      </c>
      <c r="P8" s="43" t="s">
        <v>17</v>
      </c>
      <c r="Q8" s="43" t="s">
        <v>18</v>
      </c>
      <c r="R8" s="43" t="s">
        <v>19</v>
      </c>
      <c r="S8" s="43" t="s">
        <v>20</v>
      </c>
    </row>
    <row r="9" spans="1:18" ht="15.75" thickTop="1">
      <c r="A9" s="18">
        <v>44566</v>
      </c>
      <c r="B9" s="19">
        <v>12</v>
      </c>
      <c r="C9" s="19">
        <v>2021</v>
      </c>
      <c r="D9" s="50">
        <v>3729.3299999999999</v>
      </c>
      <c r="E9" s="3" t="s">
        <v>59</v>
      </c>
      <c r="G9" s="3" t="s">
        <v>60</v>
      </c>
      <c r="H9" s="3" t="s">
        <v>61</v>
      </c>
      <c r="J9" s="3" t="s">
        <v>37</v>
      </c>
      <c r="K9" s="3" t="s">
        <v>62</v>
      </c>
      <c r="L9" s="3" t="s">
        <v>63</v>
      </c>
      <c r="M9" s="3" t="s">
        <v>30</v>
      </c>
      <c r="N9" s="3" t="s">
        <v>39</v>
      </c>
      <c r="O9" s="3" t="s">
        <v>35</v>
      </c>
      <c r="P9" s="3" t="s">
        <v>33</v>
      </c>
      <c r="Q9" s="3" t="s">
        <v>40</v>
      </c>
      <c r="R9" s="3" t="s">
        <v>35</v>
      </c>
    </row>
    <row r="10" spans="1:18" ht="15">
      <c r="A10" s="18">
        <v>44566</v>
      </c>
      <c r="B10" s="19">
        <v>12</v>
      </c>
      <c r="C10" s="19">
        <v>2021</v>
      </c>
      <c r="D10" s="50">
        <v>723.85000000000002</v>
      </c>
      <c r="E10" s="3" t="s">
        <v>59</v>
      </c>
      <c r="G10" s="3" t="s">
        <v>60</v>
      </c>
      <c r="H10" s="3" t="s">
        <v>61</v>
      </c>
      <c r="J10" s="3" t="s">
        <v>27</v>
      </c>
      <c r="K10" s="3" t="s">
        <v>62</v>
      </c>
      <c r="L10" s="3" t="s">
        <v>63</v>
      </c>
      <c r="M10" s="3" t="s">
        <v>30</v>
      </c>
      <c r="N10" s="3" t="s">
        <v>31</v>
      </c>
      <c r="O10" s="3" t="s">
        <v>32</v>
      </c>
      <c r="P10" s="3" t="s">
        <v>33</v>
      </c>
      <c r="Q10" s="3" t="s">
        <v>34</v>
      </c>
      <c r="R10" s="3" t="s">
        <v>35</v>
      </c>
    </row>
    <row r="11" spans="4:4" ht="15">
      <c r="D11" s="6">
        <f>SUM(D9:D10)</f>
        <v>4453.1800000000003</v>
      </c>
    </row>
    <row r="13" spans="1:1" ht="15.75" thickBot="1">
      <c r="A13" s="7" t="s">
        <v>72</v>
      </c>
    </row>
    <row r="14" spans="1:19" ht="16.5" thickTop="1" thickBot="1">
      <c r="A14" s="16" t="s">
        <v>2</v>
      </c>
      <c r="B14" s="16" t="s">
        <v>3</v>
      </c>
      <c r="C14" s="16" t="s">
        <v>4</v>
      </c>
      <c r="D14" s="17" t="s">
        <v>5</v>
      </c>
      <c r="E14" s="16" t="s">
        <v>6</v>
      </c>
      <c r="F14" s="16" t="s">
        <v>7</v>
      </c>
      <c r="G14" s="16" t="s">
        <v>8</v>
      </c>
      <c r="H14" s="16" t="s">
        <v>9</v>
      </c>
      <c r="I14" s="16" t="s">
        <v>10</v>
      </c>
      <c r="J14" s="16" t="s">
        <v>11</v>
      </c>
      <c r="K14" s="16" t="s">
        <v>12</v>
      </c>
      <c r="L14" s="16" t="s">
        <v>13</v>
      </c>
      <c r="M14" s="16" t="s">
        <v>14</v>
      </c>
      <c r="N14" s="16" t="s">
        <v>15</v>
      </c>
      <c r="O14" s="16" t="s">
        <v>16</v>
      </c>
      <c r="P14" s="16" t="s">
        <v>17</v>
      </c>
      <c r="Q14" s="16" t="s">
        <v>18</v>
      </c>
      <c r="R14" s="16" t="s">
        <v>19</v>
      </c>
      <c r="S14" s="16" t="s">
        <v>20</v>
      </c>
    </row>
    <row r="15" spans="1:18" ht="15.75" thickTop="1">
      <c r="A15" s="18">
        <v>44567</v>
      </c>
      <c r="B15" s="19">
        <v>1</v>
      </c>
      <c r="C15" s="19">
        <v>2022</v>
      </c>
      <c r="D15" s="20">
        <v>174</v>
      </c>
      <c r="E15" s="3" t="s">
        <v>65</v>
      </c>
      <c r="F15" s="3" t="s">
        <v>66</v>
      </c>
      <c r="G15" s="3" t="s">
        <v>60</v>
      </c>
      <c r="H15" s="3" t="s">
        <v>67</v>
      </c>
      <c r="I15" s="3" t="s">
        <v>68</v>
      </c>
      <c r="J15" s="3" t="s">
        <v>37</v>
      </c>
      <c r="K15" s="3" t="s">
        <v>69</v>
      </c>
      <c r="M15" s="3" t="s">
        <v>30</v>
      </c>
      <c r="N15" s="3" t="s">
        <v>39</v>
      </c>
      <c r="O15" s="3" t="s">
        <v>35</v>
      </c>
      <c r="P15" s="3" t="s">
        <v>33</v>
      </c>
      <c r="Q15" s="3" t="s">
        <v>40</v>
      </c>
      <c r="R15" s="3" t="s">
        <v>35</v>
      </c>
    </row>
    <row r="16" spans="1:18" ht="15">
      <c r="A16" s="18">
        <v>44567</v>
      </c>
      <c r="B16" s="19">
        <v>1</v>
      </c>
      <c r="C16" s="19">
        <v>2022</v>
      </c>
      <c r="D16" s="20">
        <v>50.75</v>
      </c>
      <c r="E16" s="3" t="s">
        <v>65</v>
      </c>
      <c r="F16" s="3" t="s">
        <v>66</v>
      </c>
      <c r="G16" s="3" t="s">
        <v>60</v>
      </c>
      <c r="H16" s="3" t="s">
        <v>67</v>
      </c>
      <c r="I16" s="3" t="s">
        <v>68</v>
      </c>
      <c r="J16" s="3" t="s">
        <v>27</v>
      </c>
      <c r="K16" s="3" t="s">
        <v>70</v>
      </c>
      <c r="M16" s="3" t="s">
        <v>30</v>
      </c>
      <c r="N16" s="3" t="s">
        <v>31</v>
      </c>
      <c r="O16" s="3" t="s">
        <v>32</v>
      </c>
      <c r="P16" s="3" t="s">
        <v>33</v>
      </c>
      <c r="Q16" s="3" t="s">
        <v>34</v>
      </c>
      <c r="R16" s="3" t="s">
        <v>35</v>
      </c>
    </row>
    <row r="17" spans="4:4" ht="15">
      <c r="D17" s="6">
        <f>SUM(D15:D16)</f>
        <v>224.75</v>
      </c>
    </row>
    <row r="19" spans="1:1" ht="15.75" thickBot="1">
      <c r="A19" s="7" t="s">
        <v>78</v>
      </c>
    </row>
    <row r="20" spans="1:19" ht="16.5" thickTop="1" thickBot="1">
      <c r="A20" s="16" t="s">
        <v>2</v>
      </c>
      <c r="B20" s="16" t="s">
        <v>3</v>
      </c>
      <c r="C20" s="16" t="s">
        <v>4</v>
      </c>
      <c r="D20" s="17" t="s">
        <v>5</v>
      </c>
      <c r="E20" s="16" t="s">
        <v>6</v>
      </c>
      <c r="F20" s="16" t="s">
        <v>7</v>
      </c>
      <c r="G20" s="16" t="s">
        <v>8</v>
      </c>
      <c r="H20" s="16" t="s">
        <v>9</v>
      </c>
      <c r="I20" s="16" t="s">
        <v>10</v>
      </c>
      <c r="J20" s="16" t="s">
        <v>11</v>
      </c>
      <c r="K20" s="16" t="s">
        <v>12</v>
      </c>
      <c r="L20" s="16" t="s">
        <v>13</v>
      </c>
      <c r="M20" s="16" t="s">
        <v>14</v>
      </c>
      <c r="N20" s="16" t="s">
        <v>15</v>
      </c>
      <c r="O20" s="16" t="s">
        <v>16</v>
      </c>
      <c r="P20" s="16" t="s">
        <v>17</v>
      </c>
      <c r="Q20" s="16" t="s">
        <v>18</v>
      </c>
      <c r="R20" s="16" t="s">
        <v>19</v>
      </c>
      <c r="S20" s="16" t="s">
        <v>20</v>
      </c>
    </row>
    <row r="21" spans="1:18" ht="15.75" thickTop="1">
      <c r="A21" s="18">
        <v>44494</v>
      </c>
      <c r="B21" s="19">
        <v>10</v>
      </c>
      <c r="C21" s="19">
        <v>2021</v>
      </c>
      <c r="D21" s="51">
        <v>529.25</v>
      </c>
      <c r="E21" s="3" t="s">
        <v>74</v>
      </c>
      <c r="F21" s="3" t="s">
        <v>66</v>
      </c>
      <c r="G21" s="3" t="s">
        <v>60</v>
      </c>
      <c r="H21" s="3" t="s">
        <v>75</v>
      </c>
      <c r="I21" s="3" t="s">
        <v>76</v>
      </c>
      <c r="J21" s="3" t="s">
        <v>37</v>
      </c>
      <c r="K21" s="3" t="s">
        <v>77</v>
      </c>
      <c r="M21" s="3" t="s">
        <v>30</v>
      </c>
      <c r="N21" s="3" t="s">
        <v>39</v>
      </c>
      <c r="O21" s="3" t="s">
        <v>35</v>
      </c>
      <c r="P21" s="3" t="s">
        <v>33</v>
      </c>
      <c r="Q21" s="3" t="s">
        <v>40</v>
      </c>
      <c r="R21" s="3" t="s">
        <v>35</v>
      </c>
    </row>
    <row r="22" spans="4:4" ht="15">
      <c r="D22" s="7" t="s">
        <v>107</v>
      </c>
    </row>
    <row r="24" spans="4:5" ht="15">
      <c r="D24" s="6">
        <f>D17+232-D21-D11</f>
        <v>-4525.6800000000003</v>
      </c>
      <c r="E24" s="7" t="s">
        <v>104</v>
      </c>
    </row>
    <row r="27" spans="1:1" ht="15">
      <c r="A27" s="7" t="s">
        <v>79</v>
      </c>
    </row>
    <row r="28" spans="1:1" ht="15">
      <c r="A28" s="7" t="s">
        <v>93</v>
      </c>
    </row>
    <row r="29" spans="1:4" ht="18.75">
      <c r="A29" s="26" t="s">
        <v>57</v>
      </c>
      <c r="B29" s="27"/>
      <c r="C29" s="27"/>
      <c r="D29" s="27"/>
    </row>
    <row r="30" spans="1:4" ht="15.75">
      <c r="A30" s="27" t="s">
        <v>58</v>
      </c>
      <c r="B30" s="27"/>
      <c r="C30" s="28"/>
      <c r="D30" s="28"/>
    </row>
    <row r="31" spans="1:4" ht="15.75">
      <c r="A31" s="29">
        <v>53038012</v>
      </c>
      <c r="B31" s="30">
        <v>44217</v>
      </c>
      <c r="C31" s="28">
        <v>6927.1000000000004</v>
      </c>
      <c r="D31" s="4"/>
    </row>
    <row r="32" spans="1:4" ht="15.75">
      <c r="A32" s="29">
        <v>53064394</v>
      </c>
      <c r="B32" s="30">
        <v>44248</v>
      </c>
      <c r="C32" s="28">
        <v>1758.8599999999999</v>
      </c>
      <c r="D32" s="4"/>
    </row>
    <row r="33" spans="1:4" ht="15.75">
      <c r="A33" s="29">
        <v>53091140</v>
      </c>
      <c r="B33" s="30">
        <v>44276</v>
      </c>
      <c r="C33" s="28">
        <v>7484.3900000000003</v>
      </c>
      <c r="D33" s="4"/>
    </row>
    <row r="34" spans="1:4" ht="15.75">
      <c r="A34" s="29">
        <v>53117473</v>
      </c>
      <c r="B34" s="30">
        <v>44307</v>
      </c>
      <c r="C34" s="28">
        <v>1673.2000000000001</v>
      </c>
      <c r="D34" s="4"/>
    </row>
    <row r="35" spans="1:4" ht="15.75">
      <c r="A35" s="29">
        <v>53143555</v>
      </c>
      <c r="B35" s="30">
        <v>44337</v>
      </c>
      <c r="C35" s="28">
        <v>4383.5200000000004</v>
      </c>
      <c r="D35" s="4"/>
    </row>
    <row r="36" spans="1:4" ht="15.75">
      <c r="A36" s="29">
        <v>53169610</v>
      </c>
      <c r="B36" s="30">
        <v>44368</v>
      </c>
      <c r="C36" s="28">
        <v>4384.6300000000001</v>
      </c>
      <c r="D36" s="4"/>
    </row>
    <row r="37" spans="1:4" ht="15.75">
      <c r="A37" s="29">
        <v>53195880</v>
      </c>
      <c r="B37" s="30">
        <v>44398</v>
      </c>
      <c r="C37" s="28">
        <v>4802</v>
      </c>
      <c r="D37" s="4"/>
    </row>
    <row r="38" spans="1:4" ht="15.75">
      <c r="A38" s="29">
        <v>53221945</v>
      </c>
      <c r="B38" s="30">
        <v>44429</v>
      </c>
      <c r="C38" s="28">
        <v>5860.3999999999996</v>
      </c>
      <c r="D38" s="4"/>
    </row>
    <row r="39" spans="1:4" ht="15.75">
      <c r="A39" s="29">
        <v>53247680</v>
      </c>
      <c r="B39" s="30">
        <v>44460</v>
      </c>
      <c r="C39" s="28">
        <v>4434.4099999999999</v>
      </c>
      <c r="D39" s="4"/>
    </row>
    <row r="40" spans="1:4" ht="15.75">
      <c r="A40" s="29">
        <v>53274036</v>
      </c>
      <c r="B40" s="30">
        <v>44490</v>
      </c>
      <c r="C40" s="28">
        <v>4185.7700000000004</v>
      </c>
      <c r="D40" s="4"/>
    </row>
    <row r="41" spans="1:6" ht="16.5">
      <c r="A41" s="32"/>
      <c r="B41" s="33"/>
      <c r="C41" s="34">
        <f>SUM(C31:C40)</f>
        <v>45894.280000000013</v>
      </c>
      <c r="D41" s="7" t="s">
        <v>105</v>
      </c>
      <c r="F41" s="5"/>
    </row>
    <row r="42" spans="6:6" ht="15">
      <c r="F42" s="7"/>
    </row>
    <row r="44" spans="3:4" ht="15">
      <c r="C44" s="6">
        <f>C41+D24</f>
        <v>41368.600000000013</v>
      </c>
      <c r="D44" s="7" t="s">
        <v>103</v>
      </c>
    </row>
    <row r="47" spans="2:5" ht="15">
      <c r="B47" s="7" t="s">
        <v>99</v>
      </c>
      <c r="C47" s="6">
        <f>C44*E47</f>
        <v>19265.357020000007</v>
      </c>
      <c r="D47" s="7" t="s">
        <v>102</v>
      </c>
      <c r="E47" s="25">
        <v>0.4657</v>
      </c>
    </row>
    <row r="48" spans="3:5" ht="15">
      <c r="C48" s="6"/>
      <c r="D48" s="7"/>
      <c r="E48" s="25"/>
    </row>
    <row r="49" spans="3:3" ht="15">
      <c r="C49" s="23"/>
    </row>
  </sheetData>
  <pageMargins left="0.5" right="0.5" top="1.5" bottom="0.5" header="1" footer="0.3"/>
  <pageSetup firstPageNumber="5" useFirstPageNumber="1" fitToHeight="0" horizontalDpi="300" verticalDpi="300" orientation="landscape" scale="52" r:id="rId1"/>
  <headerFooter>
    <oddHeader>&amp;R&amp;"-,Bold"WP/II-D ADJUSTMENT/53
Page &amp;P of 5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II-D-3.7.2</vt:lpstr>
      <vt:lpstr>II-D-3.7.4</vt:lpstr>
      <vt:lpstr>II-D-3.10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