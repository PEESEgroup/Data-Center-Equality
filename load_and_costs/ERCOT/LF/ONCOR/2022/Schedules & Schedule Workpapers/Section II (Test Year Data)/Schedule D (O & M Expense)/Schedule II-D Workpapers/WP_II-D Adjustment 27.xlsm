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N:\2022 Rate Case\Section II (Test Year Data)\Schedule D (O &amp; M Expense)\Schedule II-D Workpapers\"/>
    </mc:Choice>
  </mc:AlternateContent>
  <bookViews>
    <workbookView xWindow="360" yWindow="15" windowWidth="9720" windowHeight="6795" activeTab="0"/>
  </bookViews>
  <sheets>
    <sheet name="Sheet1" sheetId="1" r:id="rId2"/>
  </sheets>
  <definedNames>
    <definedName name="Account">Sheet1!#REF!</definedName>
    <definedName name="Account2">Sheet1!#REF!</definedName>
    <definedName name="AccountDescr">Sheet1!#REF!</definedName>
    <definedName name="AccountDescr2">Sheet1!#REF!</definedName>
    <definedName name="Activity">Sheet1!#REF!</definedName>
    <definedName name="Activity2">Sheet1!#REF!</definedName>
    <definedName name="ActivityDescr">Sheet1!#REF!</definedName>
    <definedName name="ActivityDescr2">Sheet1!#REF!</definedName>
    <definedName name="Affiliate">Sheet1!#REF!</definedName>
    <definedName name="Affiliate2">Sheet1!#REF!</definedName>
    <definedName name="AffiliateDescr">Sheet1!#REF!</definedName>
    <definedName name="ASD">Sheet1!#REF!</definedName>
    <definedName name="DeptDescr">Sheet1!#REF!</definedName>
    <definedName name="DeptDescr2">Sheet1!#REF!</definedName>
    <definedName name="DeptID">Sheet1!#REF!</definedName>
    <definedName name="DeptID2">Sheet1!#REF!</definedName>
    <definedName name="EC">Sheet1!#REF!</definedName>
    <definedName name="ECDescr">Sheet1!#REF!</definedName>
    <definedName name="ECDescr2">Sheet1!#REF!</definedName>
    <definedName name="ECID">Sheet1!#REF!</definedName>
    <definedName name="Location">Sheet1!#REF!</definedName>
    <definedName name="Location2">Sheet1!#REF!</definedName>
    <definedName name="LocationDescr">Sheet1!#REF!</definedName>
    <definedName name="LocationDescr2">Sheet1!#REF!</definedName>
    <definedName name="NvsASD">"V2021-12-31"</definedName>
    <definedName name="NvsAutoDrillOk">"VY"</definedName>
    <definedName name="NvsDrillHyperLink" localSheetId="0">"https://fimprod.corp.oncor.com/psp/fimprd_newwin/EMPLOYEE/ERP/c/REPORT_BOOKS.IC_RUN_DRILLDOWN.GBL?Action=A&amp;NVS_INSTANCE=2385348_1776347"</definedName>
    <definedName name="NvsElapsedTime">0.0000231481462833472</definedName>
    <definedName name="NvsEndTime">44603.621875</definedName>
    <definedName name="NvsInstLang">"VENG"</definedName>
    <definedName name="NvsInstSpec">"%,QUVLR_OPER_EXP_OTH_SGA,SYTD,FBUSINESS_UNIT,TF_BU_D_BASE,N3DELV,FCURRENCY_CD,VUSD,FTU_EC,TF_EC_D_BASE,NEC_GROUP_300"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NplSpec">"%,X,RZF..,CZF.."</definedName>
    <definedName name="NvsPanelEffdt">"V1997-01-01"</definedName>
    <definedName name="NvsPanelSetid">"VSHARE"</definedName>
    <definedName name="NvsParentRef">"'[Oper Exp_SGA_Oth Deductions-YTD 2021 Dec.xls]Sheet1'!$D$123"</definedName>
    <definedName name="NvsReqBU">"VX0001"</definedName>
    <definedName name="NvsReqBUOnly">"VN"</definedName>
    <definedName name="NvsSheetType" localSheetId="0">"M"</definedName>
    <definedName name="NvsTranslateLedger">Sheet1!$B$49</definedName>
    <definedName name="NvsTransLed">"VY"</definedName>
    <definedName name="NvsTreeASD">"V2021-12-31"</definedName>
    <definedName name="NvsValTbl.ACCOUNT">"GL_ACCOUNT_TBL"</definedName>
    <definedName name="NvsValTbl.AFFILIATE">"BUS_UNIT_TBL_FS"</definedName>
    <definedName name="NvsValTbl.BUSINESS_UNIT">"BUS_UNIT_TBL_AP"</definedName>
    <definedName name="NvsValTbl.CURRENCY_CD">"CURRENCY_CD_TBL"</definedName>
    <definedName name="NvsValTbl.DEPTID">"DEPARTMENT_TBL"</definedName>
    <definedName name="NvsValTbl.TU_EC">"TU_EC_TBL"</definedName>
    <definedName name="NvsValTbl.TU_LOCATION">"TU_LOC_TBL"</definedName>
    <definedName name="_xlnm.Print_Area" localSheetId="0">Sheet1!$B$1:$Q$153</definedName>
    <definedName name="_xlnm.Print_Titles" localSheetId="0">Sheet1!$B:$B,Sheet1!$4:$8</definedName>
    <definedName name="Task">Sheet1!#REF!</definedName>
    <definedName name="Task2">Sheet1!#REF!</definedName>
    <definedName name="TaskDescr">Sheet1!#REF!</definedName>
  </definedNames>
  <calcPr calcId="152511"/>
</workbook>
</file>

<file path=xl/calcChain.xml><?xml version="1.0" encoding="utf-8"?>
<calcChain xmlns="http://schemas.openxmlformats.org/spreadsheetml/2006/main">
  <c r="Q153" i="1" l="1"/>
</calcChain>
</file>

<file path=xl/sharedStrings.xml><?xml version="1.0" encoding="utf-8"?>
<sst xmlns="http://schemas.openxmlformats.org/spreadsheetml/2006/main" count="468" uniqueCount="171">
  <si>
    <t>Description</t>
  </si>
  <si>
    <t>Account</t>
  </si>
  <si>
    <t>%,FACCOUNT,X,_</t>
  </si>
  <si>
    <t>Expense Code</t>
  </si>
  <si>
    <t>%,FTU_EC,X,_</t>
  </si>
  <si>
    <t>Total</t>
  </si>
  <si>
    <t>%,ATF,FACCOUNT</t>
  </si>
  <si>
    <t>%,ATF,FDESCR,UDESCR</t>
  </si>
  <si>
    <t xml:space="preserve"> </t>
  </si>
  <si>
    <t>%,ATF,FTU_EC</t>
  </si>
  <si>
    <t>%,ATT,FDESCR,UDESCR</t>
  </si>
  <si>
    <t>%,V300</t>
  </si>
  <si>
    <t>%,V301</t>
  </si>
  <si>
    <t>%,V302</t>
  </si>
  <si>
    <t>%,V304</t>
  </si>
  <si>
    <t>%,V305</t>
  </si>
  <si>
    <t>%,V306</t>
  </si>
  <si>
    <t>%,V307</t>
  </si>
  <si>
    <t>%,V308</t>
  </si>
  <si>
    <t>%,V309</t>
  </si>
  <si>
    <t>%,V310</t>
  </si>
  <si>
    <t>%,V312</t>
  </si>
  <si>
    <t>%,V314</t>
  </si>
  <si>
    <t>%,V5600000</t>
  </si>
  <si>
    <t>5600000</t>
  </si>
  <si>
    <t>Supervision &amp; Engineering</t>
  </si>
  <si>
    <t>%,V5610000</t>
  </si>
  <si>
    <t>5610000</t>
  </si>
  <si>
    <t>Load Dispatching</t>
  </si>
  <si>
    <t>%,V5620000</t>
  </si>
  <si>
    <t>5620000</t>
  </si>
  <si>
    <t>Station Expenses</t>
  </si>
  <si>
    <t>%,V5630000</t>
  </si>
  <si>
    <t>5630000</t>
  </si>
  <si>
    <t>Overhead Lines Expenses</t>
  </si>
  <si>
    <t>%,V5660000</t>
  </si>
  <si>
    <t>5660000</t>
  </si>
  <si>
    <t>Misc Transmission Expenses</t>
  </si>
  <si>
    <t>%,V5680000</t>
  </si>
  <si>
    <t>5680000</t>
  </si>
  <si>
    <t>Maint-Supervision&amp;Engineering</t>
  </si>
  <si>
    <t>%,V5700000</t>
  </si>
  <si>
    <t>5700000</t>
  </si>
  <si>
    <t>Maint-Station Equipment</t>
  </si>
  <si>
    <t>%,V5710000</t>
  </si>
  <si>
    <t>5710000</t>
  </si>
  <si>
    <t>Maint-Overhead Lines</t>
  </si>
  <si>
    <t>%,V5720000</t>
  </si>
  <si>
    <t>5720000</t>
  </si>
  <si>
    <t>Maint-Underground Lines</t>
  </si>
  <si>
    <t>%,V5730000</t>
  </si>
  <si>
    <t>5730000</t>
  </si>
  <si>
    <t>Maint-Misc Transmission Plant</t>
  </si>
  <si>
    <t>%,V5800000</t>
  </si>
  <si>
    <t>5800000</t>
  </si>
  <si>
    <t>Oper-Supervision&amp;Engineering</t>
  </si>
  <si>
    <t>%,V5810000</t>
  </si>
  <si>
    <t>5810000</t>
  </si>
  <si>
    <t>%,V5820000</t>
  </si>
  <si>
    <t>5820000</t>
  </si>
  <si>
    <t>%,V5830000</t>
  </si>
  <si>
    <t>5830000</t>
  </si>
  <si>
    <t>%,V5840000</t>
  </si>
  <si>
    <t>5840000</t>
  </si>
  <si>
    <t>Underground Lines Expenses</t>
  </si>
  <si>
    <t>%,V5860000</t>
  </si>
  <si>
    <t>5860000</t>
  </si>
  <si>
    <t>Meter Expenses</t>
  </si>
  <si>
    <t>%,V5870000</t>
  </si>
  <si>
    <t>5870000</t>
  </si>
  <si>
    <t>Customer Installation Expenses</t>
  </si>
  <si>
    <t>%,V5880000</t>
  </si>
  <si>
    <t>5880000</t>
  </si>
  <si>
    <t>Misc Distribution Expenses</t>
  </si>
  <si>
    <t>%,V5890000</t>
  </si>
  <si>
    <t>5890000</t>
  </si>
  <si>
    <t>Rents</t>
  </si>
  <si>
    <t>%,V5900000</t>
  </si>
  <si>
    <t>5900000</t>
  </si>
  <si>
    <t>%,V5920000</t>
  </si>
  <si>
    <t>5920000</t>
  </si>
  <si>
    <t>%,V5930000</t>
  </si>
  <si>
    <t>5930000</t>
  </si>
  <si>
    <t>%,V5940000</t>
  </si>
  <si>
    <t>5940000</t>
  </si>
  <si>
    <t>%,V5950000</t>
  </si>
  <si>
    <t>5950000</t>
  </si>
  <si>
    <t>Maint-Line Transformers</t>
  </si>
  <si>
    <t>%,V5960000</t>
  </si>
  <si>
    <t>5960000</t>
  </si>
  <si>
    <t>Maint-Street Light &amp; Signal</t>
  </si>
  <si>
    <t>%,V5970000</t>
  </si>
  <si>
    <t>5970000</t>
  </si>
  <si>
    <t>Maint-Meters</t>
  </si>
  <si>
    <t>%,V5980000</t>
  </si>
  <si>
    <t>5980000</t>
  </si>
  <si>
    <t>Maint-Misc Distribution Plant</t>
  </si>
  <si>
    <t>%,V9010000</t>
  </si>
  <si>
    <t>9010000</t>
  </si>
  <si>
    <t>Supervision-Customer Accounts</t>
  </si>
  <si>
    <t>%,V9030000</t>
  </si>
  <si>
    <t>9030000</t>
  </si>
  <si>
    <t>Customer Records &amp; Collections</t>
  </si>
  <si>
    <t>%,V9080000</t>
  </si>
  <si>
    <t>9080000</t>
  </si>
  <si>
    <t>Customer Assistance Expense</t>
  </si>
  <si>
    <t>%,V9200000</t>
  </si>
  <si>
    <t>9200000</t>
  </si>
  <si>
    <t>Administrative &amp; Gen Salaries</t>
  </si>
  <si>
    <t>%,V9210000</t>
  </si>
  <si>
    <t>9210000</t>
  </si>
  <si>
    <t>Office Supplies &amp; Expenses</t>
  </si>
  <si>
    <t>%,V9230000</t>
  </si>
  <si>
    <t>9230000</t>
  </si>
  <si>
    <t>Outside Services Employed</t>
  </si>
  <si>
    <t>%,V9250000</t>
  </si>
  <si>
    <t>9250000</t>
  </si>
  <si>
    <t>Injuries &amp; Damages - Insurance</t>
  </si>
  <si>
    <t>%,V9302000</t>
  </si>
  <si>
    <t>9302000</t>
  </si>
  <si>
    <t>Misc General Expenses</t>
  </si>
  <si>
    <t>%,V9320000</t>
  </si>
  <si>
    <t>9320000</t>
  </si>
  <si>
    <t>Maintenance Of General Plant</t>
  </si>
  <si>
    <t>%,V9350000</t>
  </si>
  <si>
    <t>9350000</t>
  </si>
  <si>
    <t>Maint-General Plant-Elec</t>
  </si>
  <si>
    <t>Ec Group-Employee Expenses</t>
  </si>
  <si>
    <t>Airline Travel</t>
  </si>
  <si>
    <t>Personal Vehicles (Mileage Onl</t>
  </si>
  <si>
    <t>Business &amp; Prof Organization D</t>
  </si>
  <si>
    <t>Employee Relocation</t>
  </si>
  <si>
    <t>Training And Education</t>
  </si>
  <si>
    <t>Business Meals</t>
  </si>
  <si>
    <t>Taxable Reimbursements</t>
  </si>
  <si>
    <t>Other Employee Reimbursable Ex</t>
  </si>
  <si>
    <t>Entertainment Expenses Non-ded</t>
  </si>
  <si>
    <t>Employee Appreciation</t>
  </si>
  <si>
    <t>Meals with Union Officials</t>
  </si>
  <si>
    <t>300</t>
  </si>
  <si>
    <t>301</t>
  </si>
  <si>
    <t>302</t>
  </si>
  <si>
    <t>304</t>
  </si>
  <si>
    <t>305</t>
  </si>
  <si>
    <t>306</t>
  </si>
  <si>
    <t>307</t>
  </si>
  <si>
    <t>308</t>
  </si>
  <si>
    <t>309</t>
  </si>
  <si>
    <t>310</t>
  </si>
  <si>
    <t>312</t>
  </si>
  <si>
    <t>314</t>
  </si>
  <si>
    <t>2019</t>
  </si>
  <si>
    <t>5850000</t>
  </si>
  <si>
    <t>Street Light &amp; Signal System</t>
  </si>
  <si>
    <t>K&amp;M adjustment</t>
  </si>
  <si>
    <t>2019&gt;2021</t>
  </si>
  <si>
    <t>2021 accounts</t>
  </si>
  <si>
    <t>2021 safety awards</t>
  </si>
  <si>
    <t>2021</t>
  </si>
  <si>
    <t>Check</t>
  </si>
  <si>
    <t>Oncor Electric Delivery Company LLC</t>
  </si>
  <si>
    <t>K&amp;M O&amp;M Adjustment for employee expenses - adjust to pre-pandemic level</t>
  </si>
  <si>
    <t>% increase</t>
  </si>
  <si>
    <t>Sum of Total</t>
  </si>
  <si>
    <t>Column Labels</t>
  </si>
  <si>
    <t>Row Labels</t>
  </si>
  <si>
    <t>Grand Total</t>
  </si>
  <si>
    <t>Exclusion - subtract from K&amp;M increase</t>
  </si>
  <si>
    <t>Add'l exclusion</t>
  </si>
  <si>
    <t>initial adjustment</t>
  </si>
  <si>
    <t>Step 2 - Apply 2021 adjustment to exclude misc transactions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</si>
</sst>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8" formatCode="&quot;$&quot;#,##0.00_);[Red]\(&quot;$&quot;#,##0.00\)"/>
    <numFmt numFmtId="43" formatCode="_(* #,##0.00_);_(* \(#,##0.00\);_(* &quot;-&quot;??_);_(@_)"/>
    <numFmt numFmtId="164" formatCode="&quot;$&quot;#,##0.00;[Red]&quot;$&quot;#,##0.00"/>
    <numFmt numFmtId="165" formatCode="#,##0.00;[Red]#,##0.00"/>
    <numFmt numFmtId="166" formatCode="0.00_);[Red]\(0.00\)"/>
    <numFmt numFmtId="167" formatCode="m/d/yy\ h:mm\ AM/PM"/>
    <numFmt numFmtId="168" formatCode="0.0%"/>
  </numFmts>
  <fonts count="6">
    <font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u val="single"/>
      <sz val="8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auto="1"/>
      </top>
      <bottom style="double">
        <color auto="1"/>
      </bottom>
    </border>
    <border>
      <left/>
      <right/>
      <top/>
      <bottom style="thin">
        <color auto="1"/>
      </bottom>
    </border>
    <border>
      <left/>
      <right/>
      <top style="thin">
        <color auto="1"/>
      </top>
      <bottom/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72">
    <xf numFmtId="0" fontId="0" fillId="0" borderId="0" xfId="0"/>
    <xf numFmtId="39" fontId="3" fillId="0" borderId="0" xfId="0" applyNumberFormat="1" applyFont="1" applyFill="1" applyAlignment="1">
      <alignment horizontal="left"/>
    </xf>
    <xf numFmtId="40" fontId="2" fillId="0" borderId="0" xfId="0" applyNumberFormat="1" applyFont="1" applyFill="1" applyAlignment="1">
      <alignment horizontal="left"/>
    </xf>
    <xf numFmtId="40" fontId="3" fillId="0" borderId="0" xfId="0" applyNumberFormat="1" applyFont="1" applyFill="1" applyAlignment="1">
      <alignment horizontal="center" wrapText="1"/>
    </xf>
    <xf numFmtId="40" fontId="3" fillId="0" borderId="0" xfId="0" applyNumberFormat="1" applyFont="1" applyFill="1" applyAlignment="1">
      <alignment horizontal="left"/>
    </xf>
    <xf numFmtId="40" fontId="3" fillId="0" borderId="0" xfId="0" applyNumberFormat="1" applyFont="1" applyFill="1" applyBorder="1" applyAlignment="1">
      <alignment horizontal="right"/>
    </xf>
    <xf numFmtId="40" fontId="3" fillId="0" borderId="0" xfId="0" applyNumberFormat="1" applyFont="1" applyFill="1" applyAlignment="1" quotePrefix="1">
      <alignment horizontal="center" wrapText="1"/>
    </xf>
    <xf numFmtId="40" fontId="3" fillId="0" borderId="0" xfId="0" applyNumberFormat="1" applyFont="1" applyFill="1" applyBorder="1" applyAlignment="1">
      <alignment horizontal="left"/>
    </xf>
    <xf numFmtId="40" fontId="3" fillId="0" borderId="0" xfId="0" applyNumberFormat="1" applyFont="1" applyFill="1" applyBorder="1" applyAlignment="1">
      <alignment horizontal="center"/>
    </xf>
    <xf numFmtId="40" fontId="4" fillId="0" borderId="0" xfId="0" applyNumberFormat="1" applyFont="1" applyFill="1" applyAlignment="1">
      <alignment horizontal="center"/>
    </xf>
    <xf numFmtId="40" fontId="4" fillId="0" borderId="0" xfId="0" applyNumberFormat="1" applyFont="1" applyFill="1"/>
    <xf numFmtId="40" fontId="3" fillId="0" borderId="0" xfId="0" applyNumberFormat="1" applyFont="1" applyFill="1" applyAlignment="1">
      <alignment/>
    </xf>
    <xf numFmtId="39" fontId="4" fillId="0" borderId="0" xfId="0" applyNumberFormat="1" applyFont="1" applyFill="1"/>
    <xf numFmtId="40" fontId="3" fillId="0" borderId="0" xfId="0" applyNumberFormat="1" applyFont="1" applyFill="1"/>
    <xf numFmtId="40" fontId="4" fillId="0" borderId="0" xfId="0" applyNumberFormat="1" applyFont="1" applyFill="1" applyBorder="1"/>
    <xf numFmtId="40" fontId="3" fillId="0" borderId="0" xfId="0" applyNumberFormat="1" applyFont="1" applyFill="1" applyAlignment="1">
      <alignment horizontal="center"/>
    </xf>
    <xf numFmtId="39" fontId="3" fillId="0" borderId="0" xfId="0" applyNumberFormat="1" applyFont="1" applyFill="1"/>
    <xf numFmtId="8" fontId="3" fillId="0" borderId="1" xfId="0" applyNumberFormat="1" applyFont="1" applyFill="1" applyBorder="1"/>
    <xf numFmtId="164" fontId="3" fillId="0" borderId="0" xfId="0" applyNumberFormat="1" applyFont="1" applyFill="1" applyBorder="1"/>
    <xf numFmtId="164" fontId="3" fillId="0" borderId="0" xfId="0" applyNumberFormat="1" applyFont="1" applyFill="1" applyBorder="1" applyAlignment="1">
      <alignment/>
    </xf>
    <xf numFmtId="166" fontId="3" fillId="0" borderId="0" xfId="0" applyNumberFormat="1" applyFont="1" applyFill="1" applyBorder="1"/>
    <xf numFmtId="165" fontId="4" fillId="0" borderId="0" xfId="0" applyNumberFormat="1" applyFont="1" applyFill="1"/>
    <xf numFmtId="165" fontId="4" fillId="0" borderId="0" xfId="0" applyNumberFormat="1" applyFont="1" applyFill="1" applyAlignment="1">
      <alignment/>
    </xf>
    <xf numFmtId="165" fontId="3" fillId="0" borderId="0" xfId="0" applyNumberFormat="1" applyFont="1" applyFill="1" applyAlignment="1">
      <alignment/>
    </xf>
    <xf numFmtId="165" fontId="4" fillId="0" borderId="0" xfId="0" applyNumberFormat="1" applyFont="1" applyFill="1" applyBorder="1"/>
    <xf numFmtId="40" fontId="4" fillId="0" borderId="0" xfId="0" applyNumberFormat="1" applyFont="1" applyFill="1" applyAlignment="1">
      <alignment wrapText="1"/>
    </xf>
    <xf numFmtId="8" fontId="3" fillId="0" borderId="1" xfId="0" applyNumberFormat="1" applyFont="1" applyFill="1" applyBorder="1" applyAlignment="1">
      <alignment horizontal="center"/>
    </xf>
    <xf numFmtId="8" fontId="3" fillId="0" borderId="1" xfId="0" applyNumberFormat="1" applyFont="1" applyFill="1" applyBorder="1" applyAlignment="1">
      <alignment/>
    </xf>
    <xf numFmtId="40" fontId="3" fillId="0" borderId="0" xfId="0" applyNumberFormat="1" applyFont="1" applyFill="1" applyBorder="1" applyAlignment="1">
      <alignment/>
    </xf>
    <xf numFmtId="167" fontId="4" fillId="0" borderId="0" xfId="0" applyNumberFormat="1" applyFont="1" applyFill="1" applyBorder="1" applyAlignment="1">
      <alignment horizontal="left"/>
    </xf>
    <xf numFmtId="165" fontId="3" fillId="0" borderId="0" xfId="0" applyNumberFormat="1" applyFont="1" applyFill="1" applyBorder="1" applyAlignment="1">
      <alignment/>
    </xf>
    <xf numFmtId="165" fontId="4" fillId="0" borderId="0" xfId="0" applyNumberFormat="1" applyFont="1" applyFill="1" applyBorder="1" applyAlignment="1">
      <alignment/>
    </xf>
    <xf numFmtId="40" fontId="3" fillId="0" borderId="0" xfId="0" applyNumberFormat="1" applyFont="1" applyFill="1" applyBorder="1"/>
    <xf numFmtId="39" fontId="3" fillId="0" borderId="0" xfId="0" applyNumberFormat="1" applyFont="1" applyFill="1" applyBorder="1"/>
    <xf numFmtId="43" fontId="3" fillId="0" borderId="0" xfId="18" applyFont="1" applyFill="1" applyAlignment="1">
      <alignment horizontal="left"/>
    </xf>
    <xf numFmtId="43" fontId="3" fillId="0" borderId="0" xfId="18" applyFont="1" applyFill="1" applyBorder="1" applyAlignment="1">
      <alignment horizontal="center"/>
    </xf>
    <xf numFmtId="43" fontId="3" fillId="0" borderId="0" xfId="18" applyFont="1" applyFill="1" applyAlignment="1">
      <alignment horizontal="center" wrapText="1"/>
    </xf>
    <xf numFmtId="43" fontId="3" fillId="0" borderId="0" xfId="18" applyFont="1" applyFill="1" applyAlignment="1" quotePrefix="1">
      <alignment horizontal="center" wrapText="1"/>
    </xf>
    <xf numFmtId="165" fontId="4" fillId="0" borderId="0" xfId="0" applyNumberFormat="1" applyFont="1" applyFill="1" applyAlignment="1">
      <alignment horizontal="center"/>
    </xf>
    <xf numFmtId="43" fontId="3" fillId="0" borderId="0" xfId="18" applyFont="1" applyFill="1" applyBorder="1" applyAlignment="1">
      <alignment horizontal="left"/>
    </xf>
    <xf numFmtId="43" fontId="3" fillId="0" borderId="0" xfId="18" applyFont="1" applyFill="1" applyBorder="1" applyAlignment="1" quotePrefix="1">
      <alignment horizontal="center"/>
    </xf>
    <xf numFmtId="165" fontId="4" fillId="0" borderId="0" xfId="0" applyNumberFormat="1" applyFont="1" applyFill="1" applyBorder="1" applyAlignment="1">
      <alignment horizontal="center"/>
    </xf>
    <xf numFmtId="165" fontId="4" fillId="0" borderId="2" xfId="0" applyNumberFormat="1" applyFont="1" applyFill="1" applyBorder="1"/>
    <xf numFmtId="43" fontId="3" fillId="0" borderId="2" xfId="18" applyFont="1" applyFill="1" applyBorder="1" applyAlignment="1">
      <alignment horizontal="center"/>
    </xf>
    <xf numFmtId="43" fontId="3" fillId="0" borderId="2" xfId="18" applyFont="1" applyFill="1" applyBorder="1" applyAlignment="1">
      <alignment horizontal="left"/>
    </xf>
    <xf numFmtId="43" fontId="3" fillId="0" borderId="2" xfId="18" applyFont="1" applyFill="1" applyBorder="1"/>
    <xf numFmtId="165" fontId="4" fillId="0" borderId="2" xfId="0" applyNumberFormat="1" applyFont="1" applyFill="1" applyBorder="1" applyAlignment="1">
      <alignment horizontal="center"/>
    </xf>
    <xf numFmtId="43" fontId="4" fillId="0" borderId="0" xfId="18" applyFont="1" applyFill="1" applyAlignment="1">
      <alignment horizontal="center"/>
    </xf>
    <xf numFmtId="43" fontId="4" fillId="0" borderId="0" xfId="18" applyFont="1" applyFill="1" applyBorder="1"/>
    <xf numFmtId="43" fontId="3" fillId="0" borderId="0" xfId="18" applyFont="1" applyFill="1" applyAlignment="1">
      <alignment/>
    </xf>
    <xf numFmtId="10" fontId="4" fillId="0" borderId="0" xfId="15" applyNumberFormat="1" applyFont="1" applyFill="1"/>
    <xf numFmtId="43" fontId="3" fillId="0" borderId="1" xfId="18" applyFont="1" applyFill="1" applyBorder="1" applyAlignment="1">
      <alignment horizontal="center"/>
    </xf>
    <xf numFmtId="43" fontId="3" fillId="0" borderId="1" xfId="18" applyFont="1" applyFill="1" applyBorder="1" applyAlignment="1">
      <alignment/>
    </xf>
    <xf numFmtId="43" fontId="3" fillId="0" borderId="1" xfId="18" applyFont="1" applyFill="1" applyBorder="1"/>
    <xf numFmtId="43" fontId="4" fillId="0" borderId="0" xfId="18" applyFont="1" applyFill="1"/>
    <xf numFmtId="39" fontId="4" fillId="0" borderId="0" xfId="0" applyNumberFormat="1" applyFont="1" applyFill="1" applyAlignment="1">
      <alignment horizontal="center"/>
    </xf>
    <xf numFmtId="39" fontId="3" fillId="0" borderId="0" xfId="0" applyNumberFormat="1" applyFont="1" applyFill="1" applyAlignment="1">
      <alignment horizontal="center"/>
    </xf>
    <xf numFmtId="39" fontId="3" fillId="0" borderId="0" xfId="0" applyNumberFormat="1" applyFon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/>
    </xf>
    <xf numFmtId="10" fontId="4" fillId="0" borderId="0" xfId="15" applyNumberFormat="1" applyFont="1" applyFill="1" applyAlignment="1">
      <alignment horizontal="center"/>
    </xf>
    <xf numFmtId="165" fontId="4" fillId="0" borderId="0" xfId="0" applyNumberFormat="1" applyFont="1" applyFill="1" applyAlignment="1">
      <alignment horizontal="right"/>
    </xf>
    <xf numFmtId="40" fontId="3" fillId="0" borderId="0" xfId="0" applyNumberFormat="1" applyFont="1" applyFill="1" applyAlignment="1" quotePrefix="1">
      <alignment horizontal="center"/>
    </xf>
    <xf numFmtId="40" fontId="4" fillId="0" borderId="0" xfId="0" applyNumberFormat="1" applyFont="1" applyFill="1" applyAlignment="1">
      <alignment horizontal="left"/>
    </xf>
    <xf numFmtId="165" fontId="4" fillId="0" borderId="0" xfId="0" applyNumberFormat="1" applyFont="1" applyFill="1" applyAlignment="1">
      <alignment horizontal="left"/>
    </xf>
    <xf numFmtId="168" fontId="4" fillId="0" borderId="0" xfId="15" applyNumberFormat="1" applyFont="1" applyFill="1"/>
    <xf numFmtId="165" fontId="4" fillId="0" borderId="2" xfId="0" applyNumberFormat="1" applyFont="1" applyFill="1" applyBorder="1" applyAlignment="1">
      <alignment/>
    </xf>
    <xf numFmtId="165" fontId="4" fillId="0" borderId="2" xfId="0" applyNumberFormat="1" applyFont="1" applyFill="1" applyBorder="1" applyAlignment="1">
      <alignment horizontal="right"/>
    </xf>
    <xf numFmtId="165" fontId="4" fillId="0" borderId="3" xfId="0" applyNumberFormat="1" applyFont="1" applyFill="1" applyBorder="1"/>
    <xf numFmtId="165" fontId="4" fillId="0" borderId="2" xfId="0" applyNumberFormat="1" applyFont="1" applyFill="1" applyBorder="1" applyAlignment="1" quotePrefix="1">
      <alignment horizontal="right"/>
    </xf>
    <xf numFmtId="168" fontId="4" fillId="0" borderId="0" xfId="15" applyNumberFormat="1" applyFont="1" applyFill="1" applyAlignment="1">
      <alignment horizontal="center"/>
    </xf>
    <xf numFmtId="165" fontId="5" fillId="0" borderId="0" xfId="0" applyNumberFormat="1" applyFont="1" applyFill="1" applyAlignment="1">
      <alignment horizontal="center"/>
    </xf>
    <xf numFmtId="43" fontId="4" fillId="0" borderId="2" xfId="18" applyFont="1" applyFill="1" applyBorder="1"/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2" Type="http://schemas.openxmlformats.org/officeDocument/2006/relationships/worksheet" Target="worksheets/sheet1.xml" /><Relationship Id="rId4" Type="http://schemas.openxmlformats.org/officeDocument/2006/relationships/sharedStrings" Target="sharedStrings.xml" /><Relationship Id="rId5" Type="http://schemas.openxmlformats.org/officeDocument/2006/relationships/calcChain" Target="calcChain.xml" /><Relationship Id="rId3" Type="http://schemas.openxmlformats.org/officeDocument/2006/relationships/styles" Target="styles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m="http://schemas.microsoft.com/office/excel/2006/main" xmlns:x14ac="http://schemas.microsoft.com/office/spreadsheetml/2009/9/ac" mc:Ignorable="x14ac">
  <sheetPr codeName="Sheet1"/>
  <dimension ref="A1:Q153"/>
  <sheetViews>
    <sheetView showGridLines="0" tabSelected="1" workbookViewId="0" topLeftCell="B2">
      <pane xSplit="2" ySplit="7" topLeftCell="D14" activePane="bottomRight" state="frozen"/>
      <selection pane="topLeft" activeCell="B2" sqref="B2"/>
      <selection pane="bottomLeft" activeCell="B7" sqref="B7"/>
      <selection pane="topRight" activeCell="D2" sqref="D2"/>
      <selection pane="bottomRight" activeCell="D14" sqref="D14"/>
    </sheetView>
  </sheetViews>
  <sheetFormatPr defaultRowHeight="11.25" customHeight="1" outlineLevelRow="1" outlineLevelCol="1"/>
  <cols>
    <col min="1" max="1" width="0" style="21" hidden="1" customWidth="1"/>
    <col min="2" max="2" width="16.7142857142857" style="22" customWidth="1"/>
    <col min="3" max="3" width="23.8571428571429" style="31" customWidth="1"/>
    <col min="4" max="15" width="15.7142857142857" style="21" customWidth="1" outlineLevel="1"/>
    <col min="16" max="16" width="15.7142857142857" style="21" customWidth="1"/>
    <col min="17" max="17" width="15.7142857142857" style="38" customWidth="1"/>
    <col min="18" max="16384" width="9.14285714285714" style="21"/>
  </cols>
  <sheetData>
    <row r="1" spans="1:17" s="12" customFormat="1" ht="11.25" hidden="1">
      <c r="A1" s="10"/>
      <c r="B1" s="9" t="s">
        <v>6</v>
      </c>
      <c r="C1" s="14" t="s">
        <v>10</v>
      </c>
      <c r="D1" s="10" t="s">
        <v>11</v>
      </c>
      <c r="E1" s="10" t="s">
        <v>12</v>
      </c>
      <c r="F1" s="10" t="s">
        <v>13</v>
      </c>
      <c r="G1" s="10" t="s">
        <v>14</v>
      </c>
      <c r="H1" s="10" t="s">
        <v>15</v>
      </c>
      <c r="I1" s="10" t="s">
        <v>16</v>
      </c>
      <c r="J1" s="10" t="s">
        <v>17</v>
      </c>
      <c r="K1" s="10" t="s">
        <v>18</v>
      </c>
      <c r="L1" s="10" t="s">
        <v>19</v>
      </c>
      <c r="M1" s="10" t="s">
        <v>20</v>
      </c>
      <c r="N1" s="10" t="s">
        <v>21</v>
      </c>
      <c r="O1" s="10" t="s">
        <v>22</v>
      </c>
      <c r="P1" s="11" t="s">
        <v>4</v>
      </c>
      <c r="Q1" s="55"/>
    </row>
    <row r="2" spans="1:17" s="12" customFormat="1" ht="11.25">
      <c r="A2" s="10"/>
      <c r="B2" s="62" t="s">
        <v>160</v>
      </c>
      <c r="C2" s="14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1"/>
      <c r="Q2" s="55"/>
    </row>
    <row r="3" spans="1:17" s="12" customFormat="1" ht="11.25">
      <c r="A3" s="10"/>
      <c r="B3" s="62" t="s">
        <v>161</v>
      </c>
      <c r="C3" s="14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1"/>
      <c r="Q3" s="55"/>
    </row>
    <row r="4" spans="1:17" s="12" customFormat="1" ht="11.25" customHeight="1">
      <c r="A4" s="10"/>
      <c r="B4" s="2"/>
      <c r="C4" s="28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3"/>
      <c r="Q4" s="55"/>
    </row>
    <row r="5" spans="1:17" s="16" customFormat="1" ht="11.25" customHeight="1">
      <c r="A5" s="13"/>
      <c r="B5" s="4"/>
      <c r="C5" s="28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56"/>
    </row>
    <row r="6" spans="1:17" s="1" customFormat="1" ht="33.75">
      <c r="A6" s="3" t="s">
        <v>7</v>
      </c>
      <c r="B6" s="4"/>
      <c r="C6" s="5" t="s">
        <v>0</v>
      </c>
      <c r="D6" s="3" t="s">
        <v>127</v>
      </c>
      <c r="E6" s="3" t="s">
        <v>128</v>
      </c>
      <c r="F6" s="3" t="s">
        <v>129</v>
      </c>
      <c r="G6" s="3" t="s">
        <v>130</v>
      </c>
      <c r="H6" s="3" t="s">
        <v>131</v>
      </c>
      <c r="I6" s="3" t="s">
        <v>132</v>
      </c>
      <c r="J6" s="3" t="s">
        <v>133</v>
      </c>
      <c r="K6" s="3" t="s">
        <v>134</v>
      </c>
      <c r="L6" s="3" t="s">
        <v>135</v>
      </c>
      <c r="M6" s="3" t="s">
        <v>136</v>
      </c>
      <c r="N6" s="3" t="s">
        <v>137</v>
      </c>
      <c r="O6" s="3" t="s">
        <v>138</v>
      </c>
      <c r="P6" s="6" t="s">
        <v>8</v>
      </c>
      <c r="Q6" s="57"/>
    </row>
    <row r="7" spans="1:17" s="1" customFormat="1" ht="11.25" customHeight="1">
      <c r="A7" s="8" t="s">
        <v>9</v>
      </c>
      <c r="B7" s="4"/>
      <c r="C7" s="5" t="s">
        <v>3</v>
      </c>
      <c r="D7" s="8" t="s">
        <v>139</v>
      </c>
      <c r="E7" s="8" t="s">
        <v>140</v>
      </c>
      <c r="F7" s="8" t="s">
        <v>141</v>
      </c>
      <c r="G7" s="8" t="s">
        <v>142</v>
      </c>
      <c r="H7" s="8" t="s">
        <v>143</v>
      </c>
      <c r="I7" s="8" t="s">
        <v>144</v>
      </c>
      <c r="J7" s="8" t="s">
        <v>145</v>
      </c>
      <c r="K7" s="8" t="s">
        <v>146</v>
      </c>
      <c r="L7" s="8" t="s">
        <v>147</v>
      </c>
      <c r="M7" s="8" t="s">
        <v>148</v>
      </c>
      <c r="N7" s="8" t="s">
        <v>149</v>
      </c>
      <c r="O7" s="8" t="s">
        <v>150</v>
      </c>
      <c r="P7" s="61" t="s">
        <v>158</v>
      </c>
      <c r="Q7" s="57"/>
    </row>
    <row r="8" spans="1:17" s="33" customFormat="1" ht="11.25" customHeight="1">
      <c r="A8" s="32"/>
      <c r="B8" s="8" t="s">
        <v>1</v>
      </c>
      <c r="C8" s="7" t="s">
        <v>0</v>
      </c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8" t="s">
        <v>5</v>
      </c>
      <c r="Q8" s="57"/>
    </row>
    <row r="9" spans="1:17" s="12" customFormat="1" ht="11.25" outlineLevel="1">
      <c r="A9" s="10" t="s">
        <v>23</v>
      </c>
      <c r="B9" s="9" t="s">
        <v>24</v>
      </c>
      <c r="C9" s="14" t="s">
        <v>25</v>
      </c>
      <c r="D9" s="10">
        <v>0</v>
      </c>
      <c r="E9" s="10">
        <v>386.22000000000003</v>
      </c>
      <c r="F9" s="10">
        <v>2848.6900000000001</v>
      </c>
      <c r="G9" s="10">
        <v>593.64999999999998</v>
      </c>
      <c r="H9" s="10">
        <v>80679.119999999995</v>
      </c>
      <c r="I9" s="10">
        <v>527.30999999999995</v>
      </c>
      <c r="J9" s="10">
        <v>634.77999999999997</v>
      </c>
      <c r="K9" s="10">
        <v>0</v>
      </c>
      <c r="L9" s="10">
        <v>2392.46</v>
      </c>
      <c r="M9" s="10">
        <v>0</v>
      </c>
      <c r="N9" s="10">
        <v>8485.7299999999996</v>
      </c>
      <c r="O9" s="10">
        <v>0</v>
      </c>
      <c r="P9" s="11">
        <f>SUM(D9:O9)</f>
        <v>96547.959999999992</v>
      </c>
      <c r="Q9" s="55" t="s">
        <v>24</v>
      </c>
    </row>
    <row r="10" spans="1:17" s="12" customFormat="1" ht="11.25" outlineLevel="1">
      <c r="A10" s="10" t="s">
        <v>26</v>
      </c>
      <c r="B10" s="9" t="s">
        <v>27</v>
      </c>
      <c r="C10" s="14" t="s">
        <v>28</v>
      </c>
      <c r="D10" s="10">
        <v>0</v>
      </c>
      <c r="E10" s="10">
        <v>0</v>
      </c>
      <c r="F10" s="10">
        <v>13090.379999999999</v>
      </c>
      <c r="G10" s="10">
        <v>11097.75</v>
      </c>
      <c r="H10" s="10">
        <v>99395.960000000006</v>
      </c>
      <c r="I10" s="10">
        <v>37020</v>
      </c>
      <c r="J10" s="10">
        <v>55991.57</v>
      </c>
      <c r="K10" s="10">
        <v>0</v>
      </c>
      <c r="L10" s="10">
        <v>7247.9300000000003</v>
      </c>
      <c r="M10" s="10">
        <v>0</v>
      </c>
      <c r="N10" s="10">
        <v>530.88</v>
      </c>
      <c r="O10" s="10">
        <v>0</v>
      </c>
      <c r="P10" s="11">
        <f t="shared" si="0" ref="P10:P45">SUM(D10:O10)</f>
        <v>224374.47</v>
      </c>
      <c r="Q10" s="55" t="s">
        <v>27</v>
      </c>
    </row>
    <row r="11" spans="1:17" s="12" customFormat="1" ht="11.25" outlineLevel="1">
      <c r="A11" s="10" t="s">
        <v>29</v>
      </c>
      <c r="B11" s="9" t="s">
        <v>30</v>
      </c>
      <c r="C11" s="14" t="s">
        <v>31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255.16999999999999</v>
      </c>
      <c r="K11" s="10">
        <v>2663.29</v>
      </c>
      <c r="L11" s="10">
        <v>0</v>
      </c>
      <c r="M11" s="10">
        <v>0</v>
      </c>
      <c r="N11" s="10">
        <v>0</v>
      </c>
      <c r="O11" s="10">
        <v>0</v>
      </c>
      <c r="P11" s="11">
        <f t="shared" si="0"/>
        <v>2918.46</v>
      </c>
      <c r="Q11" s="55" t="s">
        <v>30</v>
      </c>
    </row>
    <row r="12" spans="1:17" s="12" customFormat="1" ht="11.25" outlineLevel="1">
      <c r="A12" s="10" t="s">
        <v>32</v>
      </c>
      <c r="B12" s="9" t="s">
        <v>33</v>
      </c>
      <c r="C12" s="14" t="s">
        <v>34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141.16999999999999</v>
      </c>
      <c r="K12" s="10">
        <v>763.88999999999999</v>
      </c>
      <c r="L12" s="10">
        <v>0</v>
      </c>
      <c r="M12" s="10">
        <v>0</v>
      </c>
      <c r="N12" s="10">
        <v>56.25</v>
      </c>
      <c r="O12" s="10">
        <v>0</v>
      </c>
      <c r="P12" s="11">
        <f t="shared" si="0"/>
        <v>961.30999999999995</v>
      </c>
      <c r="Q12" s="55" t="s">
        <v>33</v>
      </c>
    </row>
    <row r="13" spans="1:17" s="12" customFormat="1" ht="11.25" outlineLevel="1">
      <c r="A13" s="10" t="s">
        <v>35</v>
      </c>
      <c r="B13" s="9" t="s">
        <v>36</v>
      </c>
      <c r="C13" s="14" t="s">
        <v>37</v>
      </c>
      <c r="D13" s="10">
        <v>0</v>
      </c>
      <c r="E13" s="10">
        <v>12442.68</v>
      </c>
      <c r="F13" s="10">
        <v>61884.199999999997</v>
      </c>
      <c r="G13" s="10">
        <v>2042.9500000000001</v>
      </c>
      <c r="H13" s="10">
        <v>411664.90999999997</v>
      </c>
      <c r="I13" s="10">
        <v>172951.73999999999</v>
      </c>
      <c r="J13" s="10">
        <v>144243.73999999999</v>
      </c>
      <c r="K13" s="10">
        <v>10983.66</v>
      </c>
      <c r="L13" s="10">
        <v>264529.16999999998</v>
      </c>
      <c r="M13" s="10">
        <v>12516</v>
      </c>
      <c r="N13" s="10">
        <v>103328.31</v>
      </c>
      <c r="O13" s="10">
        <v>0</v>
      </c>
      <c r="P13" s="11">
        <f t="shared" si="0"/>
        <v>1196587.3600000001</v>
      </c>
      <c r="Q13" s="55" t="s">
        <v>36</v>
      </c>
    </row>
    <row r="14" spans="1:17" s="12" customFormat="1" ht="11.25" outlineLevel="1">
      <c r="A14" s="10" t="s">
        <v>38</v>
      </c>
      <c r="B14" s="9" t="s">
        <v>39</v>
      </c>
      <c r="C14" s="14" t="s">
        <v>40</v>
      </c>
      <c r="D14" s="10">
        <v>0</v>
      </c>
      <c r="E14" s="10">
        <v>180.84999999999999</v>
      </c>
      <c r="F14" s="10">
        <v>123.44</v>
      </c>
      <c r="G14" s="10">
        <v>0</v>
      </c>
      <c r="H14" s="10">
        <v>0</v>
      </c>
      <c r="I14" s="10">
        <v>0</v>
      </c>
      <c r="J14" s="10">
        <v>289.26999999999998</v>
      </c>
      <c r="K14" s="10">
        <v>0</v>
      </c>
      <c r="L14" s="10">
        <v>148.97</v>
      </c>
      <c r="M14" s="10">
        <v>0</v>
      </c>
      <c r="N14" s="10">
        <v>0</v>
      </c>
      <c r="O14" s="10">
        <v>0</v>
      </c>
      <c r="P14" s="11">
        <f t="shared" si="0"/>
        <v>742.52999999999997</v>
      </c>
      <c r="Q14" s="55" t="s">
        <v>39</v>
      </c>
    </row>
    <row r="15" spans="1:17" s="12" customFormat="1" ht="11.25" outlineLevel="1">
      <c r="A15" s="10" t="s">
        <v>41</v>
      </c>
      <c r="B15" s="9" t="s">
        <v>42</v>
      </c>
      <c r="C15" s="14" t="s">
        <v>43</v>
      </c>
      <c r="D15" s="10">
        <v>0</v>
      </c>
      <c r="E15" s="10">
        <v>0</v>
      </c>
      <c r="F15" s="10">
        <v>89.599999999999994</v>
      </c>
      <c r="G15" s="10">
        <v>0</v>
      </c>
      <c r="H15" s="10">
        <v>0</v>
      </c>
      <c r="I15" s="10">
        <v>0</v>
      </c>
      <c r="J15" s="10">
        <v>179.18000000000001</v>
      </c>
      <c r="K15" s="10">
        <v>9522.9899999999998</v>
      </c>
      <c r="L15" s="10">
        <v>6</v>
      </c>
      <c r="M15" s="10">
        <v>0</v>
      </c>
      <c r="N15" s="10">
        <v>0</v>
      </c>
      <c r="O15" s="10">
        <v>0</v>
      </c>
      <c r="P15" s="11">
        <f t="shared" si="0"/>
        <v>9797.7700000000004</v>
      </c>
      <c r="Q15" s="55" t="s">
        <v>42</v>
      </c>
    </row>
    <row r="16" spans="1:17" s="12" customFormat="1" ht="11.25" outlineLevel="1">
      <c r="A16" s="10" t="s">
        <v>44</v>
      </c>
      <c r="B16" s="9" t="s">
        <v>45</v>
      </c>
      <c r="C16" s="14" t="s">
        <v>46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253.59999999999999</v>
      </c>
      <c r="K16" s="10">
        <v>6935.3199999999997</v>
      </c>
      <c r="L16" s="10">
        <v>0</v>
      </c>
      <c r="M16" s="10">
        <v>0</v>
      </c>
      <c r="N16" s="10">
        <v>0</v>
      </c>
      <c r="O16" s="10">
        <v>0</v>
      </c>
      <c r="P16" s="11">
        <f t="shared" si="0"/>
        <v>7188.9200000000001</v>
      </c>
      <c r="Q16" s="55" t="s">
        <v>45</v>
      </c>
    </row>
    <row r="17" spans="1:17" s="12" customFormat="1" ht="11.25" outlineLevel="1">
      <c r="A17" s="10" t="s">
        <v>47</v>
      </c>
      <c r="B17" s="9" t="s">
        <v>48</v>
      </c>
      <c r="C17" s="14" t="s">
        <v>49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79.019999999999996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1">
        <f t="shared" si="0"/>
        <v>79.019999999999996</v>
      </c>
      <c r="Q17" s="55" t="e">
        <v>#N/A</v>
      </c>
    </row>
    <row r="18" spans="1:17" s="12" customFormat="1" ht="11.25" outlineLevel="1">
      <c r="A18" s="10" t="s">
        <v>50</v>
      </c>
      <c r="B18" s="9" t="s">
        <v>51</v>
      </c>
      <c r="C18" s="14" t="s">
        <v>52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1201.3800000000001</v>
      </c>
      <c r="K18" s="10">
        <v>747.09000000000003</v>
      </c>
      <c r="L18" s="10">
        <v>1704.96</v>
      </c>
      <c r="M18" s="10">
        <v>0</v>
      </c>
      <c r="N18" s="10">
        <v>84.819999999999993</v>
      </c>
      <c r="O18" s="10">
        <v>0</v>
      </c>
      <c r="P18" s="11">
        <f t="shared" si="0"/>
        <v>3738.2500000000005</v>
      </c>
      <c r="Q18" s="55" t="s">
        <v>51</v>
      </c>
    </row>
    <row r="19" spans="1:17" s="12" customFormat="1" ht="11.25" outlineLevel="1">
      <c r="A19" s="10" t="s">
        <v>53</v>
      </c>
      <c r="B19" s="9" t="s">
        <v>54</v>
      </c>
      <c r="C19" s="14" t="s">
        <v>55</v>
      </c>
      <c r="D19" s="10">
        <v>0</v>
      </c>
      <c r="E19" s="10">
        <v>263.44999999999999</v>
      </c>
      <c r="F19" s="10">
        <v>44439.25</v>
      </c>
      <c r="G19" s="10">
        <v>4793.9200000000001</v>
      </c>
      <c r="H19" s="10">
        <v>8491.1200000000008</v>
      </c>
      <c r="I19" s="10">
        <v>28905.82</v>
      </c>
      <c r="J19" s="10">
        <v>49935.660000000003</v>
      </c>
      <c r="K19" s="10">
        <v>1686.6700000000001</v>
      </c>
      <c r="L19" s="10">
        <v>32452.57</v>
      </c>
      <c r="M19" s="10">
        <v>0</v>
      </c>
      <c r="N19" s="10">
        <v>6717.3000000000002</v>
      </c>
      <c r="O19" s="10">
        <v>0</v>
      </c>
      <c r="P19" s="11">
        <f t="shared" si="0"/>
        <v>177685.76000000001</v>
      </c>
      <c r="Q19" s="55" t="s">
        <v>54</v>
      </c>
    </row>
    <row r="20" spans="1:17" s="12" customFormat="1" ht="11.25" outlineLevel="1">
      <c r="A20" s="10" t="s">
        <v>56</v>
      </c>
      <c r="B20" s="9" t="s">
        <v>57</v>
      </c>
      <c r="C20" s="14" t="s">
        <v>28</v>
      </c>
      <c r="D20" s="10">
        <v>0</v>
      </c>
      <c r="E20" s="10">
        <v>0</v>
      </c>
      <c r="F20" s="10">
        <v>366.80000000000001</v>
      </c>
      <c r="G20" s="10">
        <v>0</v>
      </c>
      <c r="H20" s="10">
        <v>10.99</v>
      </c>
      <c r="I20" s="10">
        <v>37.5</v>
      </c>
      <c r="J20" s="10">
        <v>26200.540000000001</v>
      </c>
      <c r="K20" s="10">
        <v>29750</v>
      </c>
      <c r="L20" s="10">
        <v>11532.98</v>
      </c>
      <c r="M20" s="10">
        <v>0</v>
      </c>
      <c r="N20" s="10">
        <v>0</v>
      </c>
      <c r="O20" s="10">
        <v>0</v>
      </c>
      <c r="P20" s="11">
        <f t="shared" si="0"/>
        <v>67898.809999999998</v>
      </c>
      <c r="Q20" s="55" t="s">
        <v>57</v>
      </c>
    </row>
    <row r="21" spans="1:17" s="12" customFormat="1" ht="11.25" outlineLevel="1">
      <c r="A21" s="10" t="s">
        <v>58</v>
      </c>
      <c r="B21" s="9" t="s">
        <v>59</v>
      </c>
      <c r="C21" s="14" t="s">
        <v>31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239.53999999999999</v>
      </c>
      <c r="K21" s="10">
        <v>5575.0699999999997</v>
      </c>
      <c r="L21" s="10">
        <v>29</v>
      </c>
      <c r="M21" s="10">
        <v>0</v>
      </c>
      <c r="N21" s="10">
        <v>0</v>
      </c>
      <c r="O21" s="10">
        <v>0</v>
      </c>
      <c r="P21" s="11">
        <f t="shared" si="0"/>
        <v>5843.6099999999997</v>
      </c>
      <c r="Q21" s="55" t="s">
        <v>59</v>
      </c>
    </row>
    <row r="22" spans="1:17" s="12" customFormat="1" ht="11.25" outlineLevel="1">
      <c r="A22" s="10" t="s">
        <v>60</v>
      </c>
      <c r="B22" s="9" t="s">
        <v>61</v>
      </c>
      <c r="C22" s="14" t="s">
        <v>34</v>
      </c>
      <c r="D22" s="10">
        <v>0</v>
      </c>
      <c r="E22" s="10">
        <v>0</v>
      </c>
      <c r="F22" s="10">
        <v>553.01999999999998</v>
      </c>
      <c r="G22" s="10">
        <v>0</v>
      </c>
      <c r="H22" s="10">
        <v>0</v>
      </c>
      <c r="I22" s="10">
        <v>0</v>
      </c>
      <c r="J22" s="10">
        <v>13501.889999999999</v>
      </c>
      <c r="K22" s="10">
        <v>133547.29999999999</v>
      </c>
      <c r="L22" s="10">
        <v>51690.199999999997</v>
      </c>
      <c r="M22" s="10">
        <v>0</v>
      </c>
      <c r="N22" s="10">
        <v>2178.9200000000001</v>
      </c>
      <c r="O22" s="10">
        <v>0</v>
      </c>
      <c r="P22" s="11">
        <f t="shared" si="0"/>
        <v>201471.32999999999</v>
      </c>
      <c r="Q22" s="55" t="s">
        <v>61</v>
      </c>
    </row>
    <row r="23" spans="1:17" s="12" customFormat="1" ht="11.25" outlineLevel="1">
      <c r="A23" s="10" t="s">
        <v>62</v>
      </c>
      <c r="B23" s="9" t="s">
        <v>63</v>
      </c>
      <c r="C23" s="14" t="s">
        <v>64</v>
      </c>
      <c r="D23" s="10">
        <v>0</v>
      </c>
      <c r="E23" s="10">
        <v>0</v>
      </c>
      <c r="F23" s="10">
        <v>18.649999999999999</v>
      </c>
      <c r="G23" s="10">
        <v>0</v>
      </c>
      <c r="H23" s="10">
        <v>0</v>
      </c>
      <c r="I23" s="10">
        <v>0</v>
      </c>
      <c r="J23" s="10">
        <v>727.29999999999995</v>
      </c>
      <c r="K23" s="10">
        <v>28687.73</v>
      </c>
      <c r="L23" s="10">
        <v>44643.459999999999</v>
      </c>
      <c r="M23" s="10">
        <v>0</v>
      </c>
      <c r="N23" s="10">
        <v>0</v>
      </c>
      <c r="O23" s="10">
        <v>0</v>
      </c>
      <c r="P23" s="11">
        <f t="shared" si="0"/>
        <v>74077.139999999999</v>
      </c>
      <c r="Q23" s="55" t="s">
        <v>63</v>
      </c>
    </row>
    <row r="24" spans="1:17" s="12" customFormat="1" ht="11.25" outlineLevel="1">
      <c r="A24" s="10" t="s">
        <v>65</v>
      </c>
      <c r="B24" s="9" t="s">
        <v>66</v>
      </c>
      <c r="C24" s="14" t="s">
        <v>67</v>
      </c>
      <c r="D24" s="10">
        <v>0</v>
      </c>
      <c r="E24" s="10">
        <v>0</v>
      </c>
      <c r="F24" s="10">
        <v>8905.6700000000001</v>
      </c>
      <c r="G24" s="10">
        <v>0.40000000000000002</v>
      </c>
      <c r="H24" s="10">
        <v>0</v>
      </c>
      <c r="I24" s="10">
        <v>64403.650000000001</v>
      </c>
      <c r="J24" s="10">
        <v>51657.010000000002</v>
      </c>
      <c r="K24" s="10">
        <v>31631.259999999998</v>
      </c>
      <c r="L24" s="10">
        <v>189520.82000000001</v>
      </c>
      <c r="M24" s="10">
        <v>0</v>
      </c>
      <c r="N24" s="10">
        <v>85944.339999999997</v>
      </c>
      <c r="O24" s="10">
        <v>0</v>
      </c>
      <c r="P24" s="11">
        <f t="shared" si="0"/>
        <v>432063.15000000002</v>
      </c>
      <c r="Q24" s="55" t="s">
        <v>66</v>
      </c>
    </row>
    <row r="25" spans="1:17" s="12" customFormat="1" ht="11.25" outlineLevel="1">
      <c r="A25" s="10" t="s">
        <v>68</v>
      </c>
      <c r="B25" s="9" t="s">
        <v>69</v>
      </c>
      <c r="C25" s="14" t="s">
        <v>70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136.88999999999999</v>
      </c>
      <c r="K25" s="10">
        <v>1289.73</v>
      </c>
      <c r="L25" s="10">
        <v>0</v>
      </c>
      <c r="M25" s="10">
        <v>0</v>
      </c>
      <c r="N25" s="10">
        <v>0</v>
      </c>
      <c r="O25" s="10">
        <v>0</v>
      </c>
      <c r="P25" s="11">
        <f t="shared" si="0"/>
        <v>1426.6199999999999</v>
      </c>
      <c r="Q25" s="55" t="s">
        <v>69</v>
      </c>
    </row>
    <row r="26" spans="1:17" s="12" customFormat="1" ht="11.25" outlineLevel="1">
      <c r="A26" s="10" t="s">
        <v>71</v>
      </c>
      <c r="B26" s="9" t="s">
        <v>72</v>
      </c>
      <c r="C26" s="14" t="s">
        <v>73</v>
      </c>
      <c r="D26" s="10">
        <v>97.370000000000005</v>
      </c>
      <c r="E26" s="10">
        <v>10929.66</v>
      </c>
      <c r="F26" s="10">
        <v>126816.81</v>
      </c>
      <c r="G26" s="10">
        <v>6297.5</v>
      </c>
      <c r="H26" s="10">
        <v>347577.26000000001</v>
      </c>
      <c r="I26" s="10">
        <v>306147.78999999998</v>
      </c>
      <c r="J26" s="10">
        <v>384233.35999999999</v>
      </c>
      <c r="K26" s="10">
        <v>128387.38000000001</v>
      </c>
      <c r="L26" s="10">
        <v>329975.09999999998</v>
      </c>
      <c r="M26" s="10">
        <v>14581.360000000001</v>
      </c>
      <c r="N26" s="10">
        <v>1024887.47</v>
      </c>
      <c r="O26" s="10">
        <v>25.800000000000001</v>
      </c>
      <c r="P26" s="11">
        <f t="shared" si="0"/>
        <v>2679956.8599999999</v>
      </c>
      <c r="Q26" s="55" t="s">
        <v>72</v>
      </c>
    </row>
    <row r="27" spans="1:17" s="12" customFormat="1" ht="11.25" outlineLevel="1">
      <c r="A27" s="10" t="s">
        <v>74</v>
      </c>
      <c r="B27" s="9" t="s">
        <v>75</v>
      </c>
      <c r="C27" s="14" t="s">
        <v>76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99</v>
      </c>
      <c r="M27" s="10">
        <v>0</v>
      </c>
      <c r="N27" s="10">
        <v>0</v>
      </c>
      <c r="O27" s="10">
        <v>0</v>
      </c>
      <c r="P27" s="11">
        <f t="shared" si="0"/>
        <v>99</v>
      </c>
      <c r="Q27" s="55" t="e">
        <v>#N/A</v>
      </c>
    </row>
    <row r="28" spans="1:17" s="12" customFormat="1" ht="11.25" outlineLevel="1">
      <c r="A28" s="10" t="s">
        <v>77</v>
      </c>
      <c r="B28" s="9" t="s">
        <v>78</v>
      </c>
      <c r="C28" s="14" t="s">
        <v>40</v>
      </c>
      <c r="D28" s="10">
        <v>0</v>
      </c>
      <c r="E28" s="10">
        <v>22</v>
      </c>
      <c r="F28" s="10">
        <v>14861.65</v>
      </c>
      <c r="G28" s="10">
        <v>135.5</v>
      </c>
      <c r="H28" s="10">
        <v>6326.3999999999996</v>
      </c>
      <c r="I28" s="10">
        <v>659.21000000000004</v>
      </c>
      <c r="J28" s="10">
        <v>9553</v>
      </c>
      <c r="K28" s="10">
        <v>298.74000000000001</v>
      </c>
      <c r="L28" s="10">
        <v>8545.3099999999995</v>
      </c>
      <c r="M28" s="10">
        <v>0</v>
      </c>
      <c r="N28" s="10">
        <v>339.62</v>
      </c>
      <c r="O28" s="10">
        <v>0</v>
      </c>
      <c r="P28" s="11">
        <f t="shared" si="0"/>
        <v>40741.43</v>
      </c>
      <c r="Q28" s="55" t="s">
        <v>78</v>
      </c>
    </row>
    <row r="29" spans="1:17" s="12" customFormat="1" ht="11.25" outlineLevel="1">
      <c r="A29" s="10" t="s">
        <v>79</v>
      </c>
      <c r="B29" s="9" t="s">
        <v>80</v>
      </c>
      <c r="C29" s="14" t="s">
        <v>43</v>
      </c>
      <c r="D29" s="10">
        <v>0</v>
      </c>
      <c r="E29" s="10">
        <v>0</v>
      </c>
      <c r="F29" s="10">
        <v>0</v>
      </c>
      <c r="G29" s="10">
        <v>0</v>
      </c>
      <c r="H29" s="10">
        <v>0</v>
      </c>
      <c r="I29" s="10">
        <v>0</v>
      </c>
      <c r="J29" s="10">
        <v>1183.6300000000001</v>
      </c>
      <c r="K29" s="10">
        <v>17967.07</v>
      </c>
      <c r="L29" s="10">
        <v>5027.8500000000004</v>
      </c>
      <c r="M29" s="10">
        <v>0</v>
      </c>
      <c r="N29" s="10">
        <v>0</v>
      </c>
      <c r="O29" s="10">
        <v>0</v>
      </c>
      <c r="P29" s="11">
        <f t="shared" si="0"/>
        <v>24178.550000000003</v>
      </c>
      <c r="Q29" s="55" t="s">
        <v>80</v>
      </c>
    </row>
    <row r="30" spans="1:17" s="12" customFormat="1" ht="11.25" outlineLevel="1">
      <c r="A30" s="10" t="s">
        <v>81</v>
      </c>
      <c r="B30" s="9" t="s">
        <v>82</v>
      </c>
      <c r="C30" s="14" t="s">
        <v>46</v>
      </c>
      <c r="D30" s="10">
        <v>0</v>
      </c>
      <c r="E30" s="10">
        <v>314.52999999999997</v>
      </c>
      <c r="F30" s="10">
        <v>13782.75</v>
      </c>
      <c r="G30" s="10">
        <v>1740.3399999999999</v>
      </c>
      <c r="H30" s="10">
        <v>0</v>
      </c>
      <c r="I30" s="10">
        <v>8401.7900000000009</v>
      </c>
      <c r="J30" s="10">
        <v>45363.169999999998</v>
      </c>
      <c r="K30" s="10">
        <v>285099.85999999999</v>
      </c>
      <c r="L30" s="10">
        <v>21398.779999999999</v>
      </c>
      <c r="M30" s="10">
        <v>0</v>
      </c>
      <c r="N30" s="10">
        <v>2479.0999999999999</v>
      </c>
      <c r="O30" s="10">
        <v>0</v>
      </c>
      <c r="P30" s="11">
        <f t="shared" si="0"/>
        <v>378580.31999999995</v>
      </c>
      <c r="Q30" s="55" t="s">
        <v>82</v>
      </c>
    </row>
    <row r="31" spans="1:17" s="12" customFormat="1" ht="11.25" outlineLevel="1">
      <c r="A31" s="10" t="s">
        <v>83</v>
      </c>
      <c r="B31" s="9" t="s">
        <v>84</v>
      </c>
      <c r="C31" s="14" t="s">
        <v>49</v>
      </c>
      <c r="D31" s="10">
        <v>0</v>
      </c>
      <c r="E31" s="10">
        <v>0</v>
      </c>
      <c r="F31" s="10">
        <v>1870.0699999999999</v>
      </c>
      <c r="G31" s="10">
        <v>0</v>
      </c>
      <c r="H31" s="10">
        <v>0</v>
      </c>
      <c r="I31" s="10">
        <v>0</v>
      </c>
      <c r="J31" s="10">
        <v>1810.5699999999999</v>
      </c>
      <c r="K31" s="10">
        <v>55063.589999999997</v>
      </c>
      <c r="L31" s="10">
        <v>539.33000000000004</v>
      </c>
      <c r="M31" s="10">
        <v>0</v>
      </c>
      <c r="N31" s="10">
        <v>10.94</v>
      </c>
      <c r="O31" s="10">
        <v>0</v>
      </c>
      <c r="P31" s="11">
        <f t="shared" si="0"/>
        <v>59294.5</v>
      </c>
      <c r="Q31" s="55" t="s">
        <v>84</v>
      </c>
    </row>
    <row r="32" spans="1:17" s="12" customFormat="1" ht="11.25" outlineLevel="1">
      <c r="A32" s="10" t="s">
        <v>85</v>
      </c>
      <c r="B32" s="9" t="s">
        <v>86</v>
      </c>
      <c r="C32" s="14" t="s">
        <v>87</v>
      </c>
      <c r="D32" s="10">
        <v>0</v>
      </c>
      <c r="E32" s="10">
        <v>553.79999999999995</v>
      </c>
      <c r="F32" s="10">
        <v>117.94</v>
      </c>
      <c r="G32" s="10">
        <v>3.2000000000000002</v>
      </c>
      <c r="H32" s="10">
        <v>0</v>
      </c>
      <c r="I32" s="10">
        <v>152</v>
      </c>
      <c r="J32" s="10">
        <v>1971.9200000000001</v>
      </c>
      <c r="K32" s="10">
        <v>4322.9399999999996</v>
      </c>
      <c r="L32" s="10">
        <v>5510.8100000000004</v>
      </c>
      <c r="M32" s="10">
        <v>0</v>
      </c>
      <c r="N32" s="10">
        <v>646.89999999999998</v>
      </c>
      <c r="O32" s="10">
        <v>0</v>
      </c>
      <c r="P32" s="11">
        <f t="shared" si="0"/>
        <v>13279.51</v>
      </c>
      <c r="Q32" s="55" t="s">
        <v>86</v>
      </c>
    </row>
    <row r="33" spans="1:17" s="12" customFormat="1" ht="11.25" outlineLevel="1">
      <c r="A33" s="10" t="s">
        <v>88</v>
      </c>
      <c r="B33" s="9" t="s">
        <v>89</v>
      </c>
      <c r="C33" s="14" t="s">
        <v>90</v>
      </c>
      <c r="D33" s="10">
        <v>0</v>
      </c>
      <c r="E33" s="10">
        <v>0</v>
      </c>
      <c r="F33" s="10">
        <v>38.5</v>
      </c>
      <c r="G33" s="10">
        <v>0</v>
      </c>
      <c r="H33" s="10">
        <v>0</v>
      </c>
      <c r="I33" s="10">
        <v>0</v>
      </c>
      <c r="J33" s="10">
        <v>122.70999999999999</v>
      </c>
      <c r="K33" s="10">
        <v>79.950000000000003</v>
      </c>
      <c r="L33" s="10">
        <v>465</v>
      </c>
      <c r="M33" s="10">
        <v>0</v>
      </c>
      <c r="N33" s="10">
        <v>850.36000000000001</v>
      </c>
      <c r="O33" s="10">
        <v>0</v>
      </c>
      <c r="P33" s="11">
        <f t="shared" si="0"/>
        <v>1556.52</v>
      </c>
      <c r="Q33" s="55" t="s">
        <v>89</v>
      </c>
    </row>
    <row r="34" spans="1:17" s="12" customFormat="1" ht="11.25" outlineLevel="1">
      <c r="A34" s="10" t="s">
        <v>91</v>
      </c>
      <c r="B34" s="9" t="s">
        <v>92</v>
      </c>
      <c r="C34" s="14" t="s">
        <v>93</v>
      </c>
      <c r="D34" s="10">
        <v>0</v>
      </c>
      <c r="E34" s="10">
        <v>103.40000000000001</v>
      </c>
      <c r="F34" s="10">
        <v>4266.7600000000002</v>
      </c>
      <c r="G34" s="10">
        <v>0</v>
      </c>
      <c r="H34" s="10">
        <v>0</v>
      </c>
      <c r="I34" s="10">
        <v>10338.76</v>
      </c>
      <c r="J34" s="10">
        <v>42073.470000000001</v>
      </c>
      <c r="K34" s="10">
        <v>6793.6000000000004</v>
      </c>
      <c r="L34" s="10">
        <v>73663.679999999993</v>
      </c>
      <c r="M34" s="10">
        <v>0</v>
      </c>
      <c r="N34" s="10">
        <v>631.42999999999995</v>
      </c>
      <c r="O34" s="10">
        <v>0</v>
      </c>
      <c r="P34" s="11">
        <f t="shared" si="0"/>
        <v>137871.09999999998</v>
      </c>
      <c r="Q34" s="55" t="s">
        <v>92</v>
      </c>
    </row>
    <row r="35" spans="1:17" s="12" customFormat="1" ht="11.25" outlineLevel="1">
      <c r="A35" s="10" t="s">
        <v>94</v>
      </c>
      <c r="B35" s="9" t="s">
        <v>95</v>
      </c>
      <c r="C35" s="14" t="s">
        <v>96</v>
      </c>
      <c r="D35" s="10">
        <v>0</v>
      </c>
      <c r="E35" s="10">
        <v>0</v>
      </c>
      <c r="F35" s="10">
        <v>0</v>
      </c>
      <c r="G35" s="10">
        <v>100</v>
      </c>
      <c r="H35" s="10">
        <v>0</v>
      </c>
      <c r="I35" s="10">
        <v>11902.040000000001</v>
      </c>
      <c r="J35" s="10">
        <v>7721.3599999999997</v>
      </c>
      <c r="K35" s="10">
        <v>1607.9000000000001</v>
      </c>
      <c r="L35" s="10">
        <v>4432.3400000000001</v>
      </c>
      <c r="M35" s="10">
        <v>0</v>
      </c>
      <c r="N35" s="10">
        <v>794.23000000000002</v>
      </c>
      <c r="O35" s="10">
        <v>0</v>
      </c>
      <c r="P35" s="11">
        <f t="shared" si="0"/>
        <v>26557.870000000003</v>
      </c>
      <c r="Q35" s="55" t="s">
        <v>95</v>
      </c>
    </row>
    <row r="36" spans="1:17" s="12" customFormat="1" ht="11.25" outlineLevel="1">
      <c r="A36" s="10" t="s">
        <v>97</v>
      </c>
      <c r="B36" s="9" t="s">
        <v>98</v>
      </c>
      <c r="C36" s="14" t="s">
        <v>99</v>
      </c>
      <c r="D36" s="10">
        <v>0</v>
      </c>
      <c r="E36" s="10">
        <v>0</v>
      </c>
      <c r="F36" s="10">
        <v>20.16</v>
      </c>
      <c r="G36" s="10">
        <v>0</v>
      </c>
      <c r="H36" s="10">
        <v>0</v>
      </c>
      <c r="I36" s="10">
        <v>0</v>
      </c>
      <c r="J36" s="10">
        <v>254.33000000000001</v>
      </c>
      <c r="K36" s="10">
        <v>0</v>
      </c>
      <c r="L36" s="10">
        <v>511.75999999999999</v>
      </c>
      <c r="M36" s="10">
        <v>0</v>
      </c>
      <c r="N36" s="10">
        <v>0</v>
      </c>
      <c r="O36" s="10">
        <v>0</v>
      </c>
      <c r="P36" s="11">
        <f t="shared" si="0"/>
        <v>786.25</v>
      </c>
      <c r="Q36" s="55" t="s">
        <v>98</v>
      </c>
    </row>
    <row r="37" spans="1:17" s="12" customFormat="1" ht="11.25" outlineLevel="1">
      <c r="A37" s="10" t="s">
        <v>100</v>
      </c>
      <c r="B37" s="9" t="s">
        <v>101</v>
      </c>
      <c r="C37" s="14" t="s">
        <v>102</v>
      </c>
      <c r="D37" s="10">
        <v>0</v>
      </c>
      <c r="E37" s="10">
        <v>744.86000000000001</v>
      </c>
      <c r="F37" s="10">
        <v>3247.27</v>
      </c>
      <c r="G37" s="10">
        <v>0</v>
      </c>
      <c r="H37" s="10">
        <v>0</v>
      </c>
      <c r="I37" s="10">
        <v>4693.6700000000001</v>
      </c>
      <c r="J37" s="10">
        <v>7241.8800000000001</v>
      </c>
      <c r="K37" s="10">
        <v>318.75</v>
      </c>
      <c r="L37" s="10">
        <v>5725.8999999999996</v>
      </c>
      <c r="M37" s="10">
        <v>0</v>
      </c>
      <c r="N37" s="10">
        <v>8146.8999999999996</v>
      </c>
      <c r="O37" s="10">
        <v>0</v>
      </c>
      <c r="P37" s="11">
        <f t="shared" si="0"/>
        <v>30119.230000000003</v>
      </c>
      <c r="Q37" s="55" t="s">
        <v>101</v>
      </c>
    </row>
    <row r="38" spans="1:17" s="12" customFormat="1" ht="11.25" outlineLevel="1">
      <c r="A38" s="10" t="s">
        <v>103</v>
      </c>
      <c r="B38" s="9" t="s">
        <v>104</v>
      </c>
      <c r="C38" s="14" t="s">
        <v>105</v>
      </c>
      <c r="D38" s="10">
        <v>0</v>
      </c>
      <c r="E38" s="10">
        <v>0</v>
      </c>
      <c r="F38" s="10">
        <v>2318.46</v>
      </c>
      <c r="G38" s="10">
        <v>79</v>
      </c>
      <c r="H38" s="10">
        <v>0</v>
      </c>
      <c r="I38" s="10">
        <v>895</v>
      </c>
      <c r="J38" s="10">
        <v>7263.3599999999997</v>
      </c>
      <c r="K38" s="10">
        <v>0</v>
      </c>
      <c r="L38" s="10">
        <v>988.23000000000002</v>
      </c>
      <c r="M38" s="10">
        <v>0</v>
      </c>
      <c r="N38" s="10">
        <v>0</v>
      </c>
      <c r="O38" s="10">
        <v>0</v>
      </c>
      <c r="P38" s="11">
        <f t="shared" si="0"/>
        <v>11544.049999999999</v>
      </c>
      <c r="Q38" s="55" t="s">
        <v>104</v>
      </c>
    </row>
    <row r="39" spans="1:17" s="12" customFormat="1" ht="11.25" outlineLevel="1">
      <c r="A39" s="10" t="s">
        <v>106</v>
      </c>
      <c r="B39" s="9" t="s">
        <v>107</v>
      </c>
      <c r="C39" s="14" t="s">
        <v>108</v>
      </c>
      <c r="D39" s="10">
        <v>0</v>
      </c>
      <c r="E39" s="10">
        <v>0</v>
      </c>
      <c r="F39" s="10">
        <v>0</v>
      </c>
      <c r="G39" s="10">
        <v>0</v>
      </c>
      <c r="H39" s="10">
        <v>0</v>
      </c>
      <c r="I39" s="10">
        <v>0</v>
      </c>
      <c r="J39" s="10">
        <v>314.87</v>
      </c>
      <c r="K39" s="10">
        <v>12.5</v>
      </c>
      <c r="L39" s="10">
        <v>3036.21</v>
      </c>
      <c r="M39" s="10">
        <v>0</v>
      </c>
      <c r="N39" s="10">
        <v>0</v>
      </c>
      <c r="O39" s="10">
        <v>0</v>
      </c>
      <c r="P39" s="11">
        <f t="shared" si="0"/>
        <v>3363.5799999999999</v>
      </c>
      <c r="Q39" s="55" t="s">
        <v>107</v>
      </c>
    </row>
    <row r="40" spans="1:17" s="12" customFormat="1" ht="11.25" outlineLevel="1">
      <c r="A40" s="10" t="s">
        <v>109</v>
      </c>
      <c r="B40" s="9" t="s">
        <v>110</v>
      </c>
      <c r="C40" s="14" t="s">
        <v>111</v>
      </c>
      <c r="D40" s="10">
        <v>0</v>
      </c>
      <c r="E40" s="10">
        <v>30945.68</v>
      </c>
      <c r="F40" s="10">
        <v>84344.779999999999</v>
      </c>
      <c r="G40" s="10">
        <v>68727.020000000004</v>
      </c>
      <c r="H40" s="10">
        <v>129426</v>
      </c>
      <c r="I40" s="10">
        <v>175366.92000000001</v>
      </c>
      <c r="J40" s="10">
        <v>273163.27000000002</v>
      </c>
      <c r="K40" s="10">
        <v>1284.1500000000001</v>
      </c>
      <c r="L40" s="10">
        <v>527433.19999999995</v>
      </c>
      <c r="M40" s="10">
        <v>242639.16</v>
      </c>
      <c r="N40" s="10">
        <v>546220.04000000004</v>
      </c>
      <c r="O40" s="10">
        <v>0</v>
      </c>
      <c r="P40" s="11">
        <f t="shared" si="0"/>
        <v>2079550.22</v>
      </c>
      <c r="Q40" s="55" t="s">
        <v>110</v>
      </c>
    </row>
    <row r="41" spans="1:17" s="12" customFormat="1" ht="11.25" outlineLevel="1">
      <c r="A41" s="10" t="s">
        <v>112</v>
      </c>
      <c r="B41" s="9" t="s">
        <v>113</v>
      </c>
      <c r="C41" s="14" t="s">
        <v>114</v>
      </c>
      <c r="D41" s="10">
        <v>0</v>
      </c>
      <c r="E41" s="10">
        <v>0</v>
      </c>
      <c r="F41" s="10">
        <v>0</v>
      </c>
      <c r="G41" s="10">
        <v>145</v>
      </c>
      <c r="H41" s="10">
        <v>11573.959999999999</v>
      </c>
      <c r="I41" s="10">
        <v>0</v>
      </c>
      <c r="J41" s="10">
        <v>15018.799999999999</v>
      </c>
      <c r="K41" s="10">
        <v>0</v>
      </c>
      <c r="L41" s="10">
        <v>3635.8000000000002</v>
      </c>
      <c r="M41" s="10">
        <v>0</v>
      </c>
      <c r="N41" s="10">
        <v>1415.01</v>
      </c>
      <c r="O41" s="10">
        <v>0</v>
      </c>
      <c r="P41" s="11">
        <f t="shared" si="0"/>
        <v>31788.569999999996</v>
      </c>
      <c r="Q41" s="55" t="s">
        <v>113</v>
      </c>
    </row>
    <row r="42" spans="1:17" s="12" customFormat="1" ht="11.25" outlineLevel="1">
      <c r="A42" s="10" t="s">
        <v>115</v>
      </c>
      <c r="B42" s="9" t="s">
        <v>116</v>
      </c>
      <c r="C42" s="14" t="s">
        <v>117</v>
      </c>
      <c r="D42" s="10">
        <v>0</v>
      </c>
      <c r="E42" s="10">
        <v>0</v>
      </c>
      <c r="F42" s="10">
        <v>0</v>
      </c>
      <c r="G42" s="10">
        <v>0</v>
      </c>
      <c r="H42" s="10">
        <v>0</v>
      </c>
      <c r="I42" s="10">
        <v>0</v>
      </c>
      <c r="J42" s="10">
        <v>55.329999999999998</v>
      </c>
      <c r="K42" s="10">
        <v>0</v>
      </c>
      <c r="L42" s="10">
        <v>0</v>
      </c>
      <c r="M42" s="10">
        <v>0</v>
      </c>
      <c r="N42" s="10">
        <v>0</v>
      </c>
      <c r="O42" s="10">
        <v>0</v>
      </c>
      <c r="P42" s="11">
        <f t="shared" si="0"/>
        <v>55.329999999999998</v>
      </c>
      <c r="Q42" s="55" t="e">
        <v>#N/A</v>
      </c>
    </row>
    <row r="43" spans="1:17" s="12" customFormat="1" ht="11.25" outlineLevel="1">
      <c r="A43" s="10" t="s">
        <v>118</v>
      </c>
      <c r="B43" s="9" t="s">
        <v>119</v>
      </c>
      <c r="C43" s="14" t="s">
        <v>120</v>
      </c>
      <c r="D43" s="10">
        <v>0</v>
      </c>
      <c r="E43" s="10">
        <v>0</v>
      </c>
      <c r="F43" s="10">
        <v>1014.72</v>
      </c>
      <c r="G43" s="10">
        <v>70</v>
      </c>
      <c r="H43" s="10">
        <v>476.60000000000002</v>
      </c>
      <c r="I43" s="10">
        <v>10016.200000000001</v>
      </c>
      <c r="J43" s="10">
        <v>37328.169999999998</v>
      </c>
      <c r="K43" s="10">
        <v>153.11000000000001</v>
      </c>
      <c r="L43" s="10">
        <v>9792.1800000000003</v>
      </c>
      <c r="M43" s="10">
        <v>0</v>
      </c>
      <c r="N43" s="10">
        <v>24938.84</v>
      </c>
      <c r="O43" s="10">
        <v>0</v>
      </c>
      <c r="P43" s="11">
        <f t="shared" si="0"/>
        <v>83789.820000000007</v>
      </c>
      <c r="Q43" s="55" t="s">
        <v>119</v>
      </c>
    </row>
    <row r="44" spans="1:17" s="12" customFormat="1" ht="11.25" outlineLevel="1">
      <c r="A44" s="10" t="s">
        <v>121</v>
      </c>
      <c r="B44" s="9" t="s">
        <v>122</v>
      </c>
      <c r="C44" s="14" t="s">
        <v>123</v>
      </c>
      <c r="D44" s="10">
        <v>0</v>
      </c>
      <c r="E44" s="10">
        <v>0</v>
      </c>
      <c r="F44" s="10">
        <v>46</v>
      </c>
      <c r="G44" s="10">
        <v>0</v>
      </c>
      <c r="H44" s="10">
        <v>0</v>
      </c>
      <c r="I44" s="10">
        <v>0</v>
      </c>
      <c r="J44" s="10">
        <v>248.19</v>
      </c>
      <c r="K44" s="10">
        <v>0</v>
      </c>
      <c r="L44" s="10">
        <v>0</v>
      </c>
      <c r="M44" s="10">
        <v>0</v>
      </c>
      <c r="N44" s="10">
        <v>0</v>
      </c>
      <c r="O44" s="10">
        <v>0</v>
      </c>
      <c r="P44" s="11">
        <f t="shared" si="0"/>
        <v>294.19</v>
      </c>
      <c r="Q44" s="55" t="s">
        <v>122</v>
      </c>
    </row>
    <row r="45" spans="1:17" s="12" customFormat="1" ht="11.25" outlineLevel="1">
      <c r="A45" s="10" t="s">
        <v>124</v>
      </c>
      <c r="B45" s="9" t="s">
        <v>125</v>
      </c>
      <c r="C45" s="14" t="s">
        <v>126</v>
      </c>
      <c r="D45" s="10">
        <v>0</v>
      </c>
      <c r="E45" s="10">
        <v>0</v>
      </c>
      <c r="F45" s="10">
        <v>1013.3200000000001</v>
      </c>
      <c r="G45" s="10">
        <v>0</v>
      </c>
      <c r="H45" s="10">
        <v>0</v>
      </c>
      <c r="I45" s="10">
        <v>0</v>
      </c>
      <c r="J45" s="10">
        <v>135.31999999999999</v>
      </c>
      <c r="K45" s="10">
        <v>970.38</v>
      </c>
      <c r="L45" s="10">
        <v>4366.8400000000001</v>
      </c>
      <c r="M45" s="10">
        <v>0</v>
      </c>
      <c r="N45" s="10">
        <v>579.14999999999998</v>
      </c>
      <c r="O45" s="10">
        <v>0</v>
      </c>
      <c r="P45" s="11">
        <f t="shared" si="0"/>
        <v>7065.0100000000002</v>
      </c>
      <c r="Q45" s="55" t="s">
        <v>125</v>
      </c>
    </row>
    <row r="46" spans="1:17" s="17" customFormat="1" ht="11.25" customHeight="1" thickBot="1">
      <c r="A46" s="17" t="s">
        <v>2</v>
      </c>
      <c r="B46" s="26" t="s">
        <v>5</v>
      </c>
      <c r="C46" s="27"/>
      <c r="D46" s="17">
        <f>SUM(D9:D45)</f>
        <v>97.370000000000005</v>
      </c>
      <c r="E46" s="17">
        <f t="shared" si="1" ref="E46:P46">SUM(E9:E45)</f>
        <v>56887.130000000005</v>
      </c>
      <c r="F46" s="17">
        <f t="shared" si="1"/>
        <v>386078.89000000007</v>
      </c>
      <c r="G46" s="17">
        <f t="shared" si="1"/>
        <v>95826.23000000001</v>
      </c>
      <c r="H46" s="17">
        <f t="shared" si="1"/>
        <v>1095622.3200000001</v>
      </c>
      <c r="I46" s="17">
        <f t="shared" si="1"/>
        <v>832419.40000000014</v>
      </c>
      <c r="J46" s="17">
        <f t="shared" si="1"/>
        <v>1180724.4199999999</v>
      </c>
      <c r="K46" s="17">
        <f t="shared" si="1"/>
        <v>766143.91999999993</v>
      </c>
      <c r="L46" s="17">
        <f t="shared" si="1"/>
        <v>1611045.8400000001</v>
      </c>
      <c r="M46" s="17">
        <f t="shared" si="1"/>
        <v>269736.52000000002</v>
      </c>
      <c r="N46" s="17">
        <f t="shared" si="1"/>
        <v>1819266.54</v>
      </c>
      <c r="O46" s="17">
        <f t="shared" si="1"/>
        <v>25.800000000000001</v>
      </c>
      <c r="P46" s="17">
        <f t="shared" si="1"/>
        <v>8113874.3799999999</v>
      </c>
      <c r="Q46" s="26"/>
    </row>
    <row r="47" spans="3:17" s="18" customFormat="1" ht="11.25" customHeight="1" thickTop="1">
      <c r="C47" s="19"/>
      <c r="P47" s="20"/>
      <c r="Q47" s="58"/>
    </row>
    <row r="48" spans="2:16" ht="11.25" customHeight="1">
      <c r="B48" s="25"/>
      <c r="C48" s="29"/>
      <c r="P48" s="20"/>
    </row>
    <row r="49" spans="2:2" ht="11.25" customHeight="1" hidden="1">
      <c r="B49" s="22" t="str">
        <f>"Y"</f>
        <v>Y</v>
      </c>
    </row>
    <row r="50" spans="2:3" ht="11.25" customHeight="1">
      <c r="B50" s="23"/>
      <c r="C50" s="30"/>
    </row>
    <row r="51" spans="2:16" ht="33.75">
      <c r="B51" s="34"/>
      <c r="C51" s="35" t="s">
        <v>0</v>
      </c>
      <c r="D51" s="36" t="s">
        <v>127</v>
      </c>
      <c r="E51" s="36" t="s">
        <v>128</v>
      </c>
      <c r="F51" s="36" t="s">
        <v>129</v>
      </c>
      <c r="G51" s="36" t="s">
        <v>130</v>
      </c>
      <c r="H51" s="36" t="s">
        <v>131</v>
      </c>
      <c r="I51" s="36" t="s">
        <v>132</v>
      </c>
      <c r="J51" s="36" t="s">
        <v>133</v>
      </c>
      <c r="K51" s="36" t="s">
        <v>134</v>
      </c>
      <c r="L51" s="36" t="s">
        <v>135</v>
      </c>
      <c r="M51" s="36" t="s">
        <v>136</v>
      </c>
      <c r="N51" s="36" t="s">
        <v>137</v>
      </c>
      <c r="O51" s="36" t="s">
        <v>138</v>
      </c>
      <c r="P51" s="37" t="s">
        <v>8</v>
      </c>
    </row>
    <row r="52" spans="2:17" s="24" customFormat="1" ht="11.25" customHeight="1">
      <c r="B52" s="39"/>
      <c r="C52" s="35" t="s">
        <v>3</v>
      </c>
      <c r="D52" s="35" t="s">
        <v>139</v>
      </c>
      <c r="E52" s="35" t="s">
        <v>140</v>
      </c>
      <c r="F52" s="35" t="s">
        <v>141</v>
      </c>
      <c r="G52" s="35" t="s">
        <v>142</v>
      </c>
      <c r="H52" s="35" t="s">
        <v>143</v>
      </c>
      <c r="I52" s="35" t="s">
        <v>144</v>
      </c>
      <c r="J52" s="35" t="s">
        <v>145</v>
      </c>
      <c r="K52" s="35" t="s">
        <v>146</v>
      </c>
      <c r="L52" s="35" t="s">
        <v>147</v>
      </c>
      <c r="M52" s="35" t="s">
        <v>148</v>
      </c>
      <c r="N52" s="35" t="s">
        <v>149</v>
      </c>
      <c r="O52" s="35" t="s">
        <v>150</v>
      </c>
      <c r="P52" s="40" t="s">
        <v>151</v>
      </c>
      <c r="Q52" s="41"/>
    </row>
    <row r="53" spans="2:17" s="42" customFormat="1" ht="11.25" customHeight="1">
      <c r="B53" s="43" t="s">
        <v>1</v>
      </c>
      <c r="C53" s="44" t="s">
        <v>0</v>
      </c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3" t="s">
        <v>5</v>
      </c>
      <c r="Q53" s="46"/>
    </row>
    <row r="54" spans="2:16" ht="11.25" customHeight="1">
      <c r="B54" s="47"/>
      <c r="C54" s="48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49"/>
    </row>
    <row r="55" spans="2:16" ht="11.25" customHeight="1">
      <c r="B55" s="47"/>
      <c r="C55" s="48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49"/>
    </row>
    <row r="56" spans="2:17" ht="11.25" customHeight="1">
      <c r="B56" s="47" t="s">
        <v>24</v>
      </c>
      <c r="C56" s="48" t="s">
        <v>25</v>
      </c>
      <c r="D56" s="54">
        <v>0</v>
      </c>
      <c r="E56" s="54">
        <v>5646.8000000000002</v>
      </c>
      <c r="F56" s="54">
        <v>10603.870000000001</v>
      </c>
      <c r="G56" s="54">
        <v>141.5</v>
      </c>
      <c r="H56" s="54">
        <v>20020.110000000001</v>
      </c>
      <c r="I56" s="54">
        <v>2990.6500000000001</v>
      </c>
      <c r="J56" s="54">
        <v>3497.6599999999999</v>
      </c>
      <c r="K56" s="54">
        <v>0</v>
      </c>
      <c r="L56" s="54">
        <v>14258.65</v>
      </c>
      <c r="M56" s="54">
        <v>0</v>
      </c>
      <c r="N56" s="54">
        <v>10</v>
      </c>
      <c r="O56" s="54">
        <v>0</v>
      </c>
      <c r="P56" s="49">
        <f>SUM(D56:O56)</f>
        <v>57169.239999999998</v>
      </c>
      <c r="Q56" s="59" t="s">
        <v>24</v>
      </c>
    </row>
    <row r="57" spans="2:17" ht="11.25" customHeight="1">
      <c r="B57" s="47" t="s">
        <v>27</v>
      </c>
      <c r="C57" s="48" t="s">
        <v>28</v>
      </c>
      <c r="D57" s="54">
        <v>0</v>
      </c>
      <c r="E57" s="54">
        <v>42751.330000000002</v>
      </c>
      <c r="F57" s="54">
        <v>67037.589999999997</v>
      </c>
      <c r="G57" s="54">
        <v>9410.8799999999992</v>
      </c>
      <c r="H57" s="54">
        <v>177747.92999999999</v>
      </c>
      <c r="I57" s="54">
        <v>83812.970000000001</v>
      </c>
      <c r="J57" s="54">
        <v>72246.479999999996</v>
      </c>
      <c r="K57" s="54">
        <v>0</v>
      </c>
      <c r="L57" s="54">
        <v>99518.770000000004</v>
      </c>
      <c r="M57" s="54">
        <v>0</v>
      </c>
      <c r="N57" s="54">
        <v>7325.3599999999997</v>
      </c>
      <c r="O57" s="54">
        <v>0</v>
      </c>
      <c r="P57" s="49">
        <f t="shared" si="2" ref="P57:P90">SUM(D57:O57)</f>
        <v>559851.30999999994</v>
      </c>
      <c r="Q57" s="59" t="s">
        <v>27</v>
      </c>
    </row>
    <row r="58" spans="2:17" ht="11.25" customHeight="1">
      <c r="B58" s="47" t="s">
        <v>30</v>
      </c>
      <c r="C58" s="48" t="s">
        <v>31</v>
      </c>
      <c r="D58" s="54">
        <v>0</v>
      </c>
      <c r="E58" s="54">
        <v>0</v>
      </c>
      <c r="F58" s="54">
        <v>0</v>
      </c>
      <c r="G58" s="54">
        <v>0</v>
      </c>
      <c r="H58" s="54">
        <v>0</v>
      </c>
      <c r="I58" s="54">
        <v>0</v>
      </c>
      <c r="J58" s="54">
        <v>126.7</v>
      </c>
      <c r="K58" s="54">
        <v>1623.55</v>
      </c>
      <c r="L58" s="54">
        <v>0</v>
      </c>
      <c r="M58" s="54">
        <v>0</v>
      </c>
      <c r="N58" s="54">
        <v>0</v>
      </c>
      <c r="O58" s="54">
        <v>0</v>
      </c>
      <c r="P58" s="49">
        <f t="shared" si="2"/>
        <v>1750.25</v>
      </c>
      <c r="Q58" s="59" t="s">
        <v>30</v>
      </c>
    </row>
    <row r="59" spans="2:17" ht="11.25" customHeight="1">
      <c r="B59" s="47" t="s">
        <v>33</v>
      </c>
      <c r="C59" s="48" t="s">
        <v>34</v>
      </c>
      <c r="D59" s="54">
        <v>0</v>
      </c>
      <c r="E59" s="54">
        <v>0</v>
      </c>
      <c r="F59" s="54">
        <v>0</v>
      </c>
      <c r="G59" s="54">
        <v>0</v>
      </c>
      <c r="H59" s="54">
        <v>0</v>
      </c>
      <c r="I59" s="54">
        <v>0</v>
      </c>
      <c r="J59" s="54">
        <v>237.72</v>
      </c>
      <c r="K59" s="54">
        <v>1497.27</v>
      </c>
      <c r="L59" s="54">
        <v>0</v>
      </c>
      <c r="M59" s="54">
        <v>0</v>
      </c>
      <c r="N59" s="54">
        <v>0</v>
      </c>
      <c r="O59" s="54">
        <v>0</v>
      </c>
      <c r="P59" s="49">
        <f t="shared" si="2"/>
        <v>1734.99</v>
      </c>
      <c r="Q59" s="59" t="s">
        <v>33</v>
      </c>
    </row>
    <row r="60" spans="2:17" ht="11.25" customHeight="1">
      <c r="B60" s="47" t="s">
        <v>36</v>
      </c>
      <c r="C60" s="48" t="s">
        <v>37</v>
      </c>
      <c r="D60" s="54">
        <v>0</v>
      </c>
      <c r="E60" s="54">
        <v>114145.69</v>
      </c>
      <c r="F60" s="54">
        <v>182927.09</v>
      </c>
      <c r="G60" s="54">
        <v>47942.93</v>
      </c>
      <c r="H60" s="54">
        <v>409031.88</v>
      </c>
      <c r="I60" s="54">
        <v>152492.29999999999</v>
      </c>
      <c r="J60" s="54">
        <v>380107.40999999997</v>
      </c>
      <c r="K60" s="54">
        <v>11374.25</v>
      </c>
      <c r="L60" s="54">
        <v>642202.90000000002</v>
      </c>
      <c r="M60" s="54">
        <v>0</v>
      </c>
      <c r="N60" s="54">
        <v>115188.28</v>
      </c>
      <c r="O60" s="54">
        <v>0</v>
      </c>
      <c r="P60" s="49">
        <f t="shared" si="2"/>
        <v>2055412.7300000002</v>
      </c>
      <c r="Q60" s="59" t="s">
        <v>36</v>
      </c>
    </row>
    <row r="61" spans="2:17" ht="11.25" customHeight="1">
      <c r="B61" s="47" t="s">
        <v>39</v>
      </c>
      <c r="C61" s="48" t="s">
        <v>40</v>
      </c>
      <c r="D61" s="54">
        <v>0</v>
      </c>
      <c r="E61" s="54">
        <v>1500.1800000000001</v>
      </c>
      <c r="F61" s="54">
        <v>3002.6100000000001</v>
      </c>
      <c r="G61" s="54">
        <v>0</v>
      </c>
      <c r="H61" s="54">
        <v>1640.3900000000001</v>
      </c>
      <c r="I61" s="54">
        <v>52.619999999999997</v>
      </c>
      <c r="J61" s="54">
        <v>617.53999999999996</v>
      </c>
      <c r="K61" s="54">
        <v>0</v>
      </c>
      <c r="L61" s="54">
        <v>2522.6500000000001</v>
      </c>
      <c r="M61" s="54">
        <v>0</v>
      </c>
      <c r="N61" s="54">
        <v>0</v>
      </c>
      <c r="O61" s="54">
        <v>0</v>
      </c>
      <c r="P61" s="49">
        <f t="shared" si="2"/>
        <v>9335.9899999999998</v>
      </c>
      <c r="Q61" s="59" t="s">
        <v>39</v>
      </c>
    </row>
    <row r="62" spans="2:17" ht="11.25" customHeight="1">
      <c r="B62" s="47" t="s">
        <v>42</v>
      </c>
      <c r="C62" s="48" t="s">
        <v>43</v>
      </c>
      <c r="D62" s="54">
        <v>0</v>
      </c>
      <c r="E62" s="54">
        <v>0</v>
      </c>
      <c r="F62" s="54">
        <v>0</v>
      </c>
      <c r="G62" s="54">
        <v>0</v>
      </c>
      <c r="H62" s="54">
        <v>0</v>
      </c>
      <c r="I62" s="54">
        <v>495</v>
      </c>
      <c r="J62" s="54">
        <v>2135.1399999999999</v>
      </c>
      <c r="K62" s="54">
        <v>9243.8400000000001</v>
      </c>
      <c r="L62" s="54">
        <v>3429.46</v>
      </c>
      <c r="M62" s="54">
        <v>0</v>
      </c>
      <c r="N62" s="54">
        <v>0</v>
      </c>
      <c r="O62" s="54">
        <v>0</v>
      </c>
      <c r="P62" s="49">
        <f t="shared" si="2"/>
        <v>15303.439999999999</v>
      </c>
      <c r="Q62" s="59" t="s">
        <v>42</v>
      </c>
    </row>
    <row r="63" spans="2:17" ht="11.25" customHeight="1">
      <c r="B63" s="47" t="s">
        <v>45</v>
      </c>
      <c r="C63" s="48" t="s">
        <v>46</v>
      </c>
      <c r="D63" s="54">
        <v>0</v>
      </c>
      <c r="E63" s="54">
        <v>0</v>
      </c>
      <c r="F63" s="54">
        <v>0</v>
      </c>
      <c r="G63" s="54">
        <v>0</v>
      </c>
      <c r="H63" s="54">
        <v>0</v>
      </c>
      <c r="I63" s="54">
        <v>0</v>
      </c>
      <c r="J63" s="54">
        <v>344.93000000000001</v>
      </c>
      <c r="K63" s="54">
        <v>7551.7700000000004</v>
      </c>
      <c r="L63" s="54">
        <v>9.7200000000000006</v>
      </c>
      <c r="M63" s="54">
        <v>0</v>
      </c>
      <c r="N63" s="54">
        <v>0</v>
      </c>
      <c r="O63" s="54">
        <v>0</v>
      </c>
      <c r="P63" s="49">
        <f t="shared" si="2"/>
        <v>7906.420000000001</v>
      </c>
      <c r="Q63" s="59" t="s">
        <v>45</v>
      </c>
    </row>
    <row r="64" spans="2:17" ht="11.25" customHeight="1">
      <c r="B64" s="47" t="s">
        <v>51</v>
      </c>
      <c r="C64" s="48" t="s">
        <v>52</v>
      </c>
      <c r="D64" s="54">
        <v>0</v>
      </c>
      <c r="E64" s="54">
        <v>0</v>
      </c>
      <c r="F64" s="54">
        <v>98.599999999999994</v>
      </c>
      <c r="G64" s="54">
        <v>0</v>
      </c>
      <c r="H64" s="54">
        <v>0</v>
      </c>
      <c r="I64" s="54">
        <v>0</v>
      </c>
      <c r="J64" s="54">
        <v>859.20000000000005</v>
      </c>
      <c r="K64" s="54">
        <v>1195.46</v>
      </c>
      <c r="L64" s="54">
        <v>6757.8400000000001</v>
      </c>
      <c r="M64" s="54">
        <v>0</v>
      </c>
      <c r="N64" s="54">
        <v>24.989999999999998</v>
      </c>
      <c r="O64" s="54">
        <v>0</v>
      </c>
      <c r="P64" s="49">
        <f t="shared" si="2"/>
        <v>8936.0900000000001</v>
      </c>
      <c r="Q64" s="59" t="s">
        <v>51</v>
      </c>
    </row>
    <row r="65" spans="2:17" ht="11.25" customHeight="1">
      <c r="B65" s="47" t="s">
        <v>54</v>
      </c>
      <c r="C65" s="48" t="s">
        <v>55</v>
      </c>
      <c r="D65" s="54">
        <v>292.08999999999997</v>
      </c>
      <c r="E65" s="54">
        <v>14690.629999999999</v>
      </c>
      <c r="F65" s="54">
        <v>80536.570000000007</v>
      </c>
      <c r="G65" s="54">
        <v>3040.5599999999999</v>
      </c>
      <c r="H65" s="54">
        <v>8620.8600000000006</v>
      </c>
      <c r="I65" s="54">
        <v>59019.860000000001</v>
      </c>
      <c r="J65" s="54">
        <v>107197.74000000001</v>
      </c>
      <c r="K65" s="54">
        <v>2150.1100000000001</v>
      </c>
      <c r="L65" s="54">
        <v>92504.630000000005</v>
      </c>
      <c r="M65" s="54">
        <v>0</v>
      </c>
      <c r="N65" s="54">
        <v>23131.91</v>
      </c>
      <c r="O65" s="54">
        <v>0</v>
      </c>
      <c r="P65" s="49">
        <f t="shared" si="2"/>
        <v>391184.95999999996</v>
      </c>
      <c r="Q65" s="59" t="s">
        <v>54</v>
      </c>
    </row>
    <row r="66" spans="2:17" ht="11.25" customHeight="1">
      <c r="B66" s="47" t="s">
        <v>57</v>
      </c>
      <c r="C66" s="48" t="s">
        <v>28</v>
      </c>
      <c r="D66" s="54">
        <v>0</v>
      </c>
      <c r="E66" s="54">
        <v>0</v>
      </c>
      <c r="F66" s="54">
        <v>1759.3199999999999</v>
      </c>
      <c r="G66" s="54">
        <v>0</v>
      </c>
      <c r="H66" s="54">
        <v>0</v>
      </c>
      <c r="I66" s="54">
        <v>173.97999999999999</v>
      </c>
      <c r="J66" s="54">
        <v>1321.02</v>
      </c>
      <c r="K66" s="54">
        <v>22646</v>
      </c>
      <c r="L66" s="54">
        <v>4114.7200000000003</v>
      </c>
      <c r="M66" s="54">
        <v>0</v>
      </c>
      <c r="N66" s="54">
        <v>0</v>
      </c>
      <c r="O66" s="54">
        <v>0</v>
      </c>
      <c r="P66" s="49">
        <f t="shared" si="2"/>
        <v>30015.040000000001</v>
      </c>
      <c r="Q66" s="59" t="s">
        <v>57</v>
      </c>
    </row>
    <row r="67" spans="2:17" ht="11.25" customHeight="1">
      <c r="B67" s="47" t="s">
        <v>59</v>
      </c>
      <c r="C67" s="48" t="s">
        <v>31</v>
      </c>
      <c r="D67" s="54">
        <v>0</v>
      </c>
      <c r="E67" s="54">
        <v>0</v>
      </c>
      <c r="F67" s="54">
        <v>0</v>
      </c>
      <c r="G67" s="54">
        <v>0</v>
      </c>
      <c r="H67" s="54">
        <v>0</v>
      </c>
      <c r="I67" s="54">
        <v>160</v>
      </c>
      <c r="J67" s="54">
        <v>48.32</v>
      </c>
      <c r="K67" s="54">
        <v>3328.3200000000002</v>
      </c>
      <c r="L67" s="54">
        <v>199.75</v>
      </c>
      <c r="M67" s="54">
        <v>0</v>
      </c>
      <c r="N67" s="54">
        <v>0</v>
      </c>
      <c r="O67" s="54">
        <v>0</v>
      </c>
      <c r="P67" s="49">
        <f t="shared" si="2"/>
        <v>3736.3900000000003</v>
      </c>
      <c r="Q67" s="59" t="s">
        <v>59</v>
      </c>
    </row>
    <row r="68" spans="2:17" ht="11.25" customHeight="1">
      <c r="B68" s="47" t="s">
        <v>61</v>
      </c>
      <c r="C68" s="48" t="s">
        <v>34</v>
      </c>
      <c r="D68" s="54">
        <v>0</v>
      </c>
      <c r="E68" s="54">
        <v>0</v>
      </c>
      <c r="F68" s="54">
        <v>607.97000000000003</v>
      </c>
      <c r="G68" s="54">
        <v>0</v>
      </c>
      <c r="H68" s="54">
        <v>0</v>
      </c>
      <c r="I68" s="54">
        <v>0</v>
      </c>
      <c r="J68" s="54">
        <v>12889</v>
      </c>
      <c r="K68" s="54">
        <v>208463.07000000001</v>
      </c>
      <c r="L68" s="54">
        <v>58202.800000000003</v>
      </c>
      <c r="M68" s="54">
        <v>0</v>
      </c>
      <c r="N68" s="54">
        <v>694.59000000000003</v>
      </c>
      <c r="O68" s="54">
        <v>0</v>
      </c>
      <c r="P68" s="49">
        <f t="shared" si="2"/>
        <v>280857.43000000005</v>
      </c>
      <c r="Q68" s="59" t="s">
        <v>61</v>
      </c>
    </row>
    <row r="69" spans="2:17" ht="11.25" customHeight="1">
      <c r="B69" s="47" t="s">
        <v>63</v>
      </c>
      <c r="C69" s="48" t="s">
        <v>64</v>
      </c>
      <c r="D69" s="54">
        <v>0</v>
      </c>
      <c r="E69" s="54">
        <v>0</v>
      </c>
      <c r="F69" s="54">
        <v>1204.1800000000001</v>
      </c>
      <c r="G69" s="54">
        <v>0</v>
      </c>
      <c r="H69" s="54">
        <v>0</v>
      </c>
      <c r="I69" s="54">
        <v>0</v>
      </c>
      <c r="J69" s="54">
        <v>497.23000000000002</v>
      </c>
      <c r="K69" s="54">
        <v>48466.510000000002</v>
      </c>
      <c r="L69" s="54">
        <v>42805.449999999997</v>
      </c>
      <c r="M69" s="54">
        <v>0</v>
      </c>
      <c r="N69" s="54">
        <v>0</v>
      </c>
      <c r="O69" s="54">
        <v>0</v>
      </c>
      <c r="P69" s="49">
        <f t="shared" si="2"/>
        <v>92973.369999999995</v>
      </c>
      <c r="Q69" s="59" t="s">
        <v>63</v>
      </c>
    </row>
    <row r="70" spans="2:17" ht="11.25" customHeight="1">
      <c r="B70" s="47" t="s">
        <v>152</v>
      </c>
      <c r="C70" s="48" t="s">
        <v>153</v>
      </c>
      <c r="D70" s="54">
        <v>0</v>
      </c>
      <c r="E70" s="54">
        <v>0</v>
      </c>
      <c r="F70" s="54">
        <v>0</v>
      </c>
      <c r="G70" s="54">
        <v>0</v>
      </c>
      <c r="H70" s="54">
        <v>0</v>
      </c>
      <c r="I70" s="54">
        <v>0</v>
      </c>
      <c r="J70" s="54">
        <v>0</v>
      </c>
      <c r="K70" s="54">
        <v>96.700000000000003</v>
      </c>
      <c r="L70" s="54">
        <v>0</v>
      </c>
      <c r="M70" s="54">
        <v>0</v>
      </c>
      <c r="N70" s="54">
        <v>0</v>
      </c>
      <c r="O70" s="54">
        <v>0</v>
      </c>
      <c r="P70" s="49">
        <f t="shared" si="2"/>
        <v>96.700000000000003</v>
      </c>
      <c r="Q70" s="59" t="e">
        <v>#N/A</v>
      </c>
    </row>
    <row r="71" spans="2:17" ht="11.25" customHeight="1">
      <c r="B71" s="47" t="s">
        <v>66</v>
      </c>
      <c r="C71" s="48" t="s">
        <v>67</v>
      </c>
      <c r="D71" s="54">
        <v>0</v>
      </c>
      <c r="E71" s="54">
        <v>14210.549999999999</v>
      </c>
      <c r="F71" s="54">
        <v>30526.470000000001</v>
      </c>
      <c r="G71" s="54">
        <v>90</v>
      </c>
      <c r="H71" s="54">
        <v>94580.75</v>
      </c>
      <c r="I71" s="54">
        <v>9054.4300000000003</v>
      </c>
      <c r="J71" s="54">
        <v>150980.51000000001</v>
      </c>
      <c r="K71" s="54">
        <v>41642.089999999997</v>
      </c>
      <c r="L71" s="54">
        <v>286265.32000000001</v>
      </c>
      <c r="M71" s="54">
        <v>0</v>
      </c>
      <c r="N71" s="54">
        <v>45253.769999999997</v>
      </c>
      <c r="O71" s="54">
        <v>0</v>
      </c>
      <c r="P71" s="49">
        <f t="shared" si="2"/>
        <v>672603.89000000013</v>
      </c>
      <c r="Q71" s="59" t="s">
        <v>66</v>
      </c>
    </row>
    <row r="72" spans="2:17" ht="11.25" customHeight="1">
      <c r="B72" s="47" t="s">
        <v>69</v>
      </c>
      <c r="C72" s="48" t="s">
        <v>70</v>
      </c>
      <c r="D72" s="54">
        <v>0</v>
      </c>
      <c r="E72" s="54">
        <v>0</v>
      </c>
      <c r="F72" s="54">
        <v>0</v>
      </c>
      <c r="G72" s="54">
        <v>0</v>
      </c>
      <c r="H72" s="54">
        <v>0</v>
      </c>
      <c r="I72" s="54">
        <v>0</v>
      </c>
      <c r="J72" s="54">
        <v>51.359999999999999</v>
      </c>
      <c r="K72" s="54">
        <v>1420.05</v>
      </c>
      <c r="L72" s="54">
        <v>0</v>
      </c>
      <c r="M72" s="54">
        <v>0</v>
      </c>
      <c r="N72" s="54">
        <v>0</v>
      </c>
      <c r="O72" s="54">
        <v>0</v>
      </c>
      <c r="P72" s="49">
        <f t="shared" si="2"/>
        <v>1471.4099999999999</v>
      </c>
      <c r="Q72" s="59" t="s">
        <v>69</v>
      </c>
    </row>
    <row r="73" spans="2:17" ht="11.25" customHeight="1">
      <c r="B73" s="47" t="s">
        <v>72</v>
      </c>
      <c r="C73" s="48" t="s">
        <v>73</v>
      </c>
      <c r="D73" s="54">
        <v>515.20000000000005</v>
      </c>
      <c r="E73" s="54">
        <v>98056.720000000001</v>
      </c>
      <c r="F73" s="54">
        <v>353766.01000000001</v>
      </c>
      <c r="G73" s="54">
        <v>8485.8199999999997</v>
      </c>
      <c r="H73" s="54">
        <v>646738.95999999996</v>
      </c>
      <c r="I73" s="54">
        <v>324009.22999999998</v>
      </c>
      <c r="J73" s="54">
        <v>620992.16000000003</v>
      </c>
      <c r="K73" s="54">
        <v>134651.32999999999</v>
      </c>
      <c r="L73" s="54">
        <v>880808.85999999999</v>
      </c>
      <c r="M73" s="54">
        <v>16.710000000000001</v>
      </c>
      <c r="N73" s="54">
        <v>475869.94</v>
      </c>
      <c r="O73" s="54">
        <v>0</v>
      </c>
      <c r="P73" s="49">
        <f t="shared" si="2"/>
        <v>3543910.9399999999</v>
      </c>
      <c r="Q73" s="59" t="s">
        <v>72</v>
      </c>
    </row>
    <row r="74" spans="2:17" ht="11.25" customHeight="1">
      <c r="B74" s="47" t="s">
        <v>78</v>
      </c>
      <c r="C74" s="48" t="s">
        <v>40</v>
      </c>
      <c r="D74" s="54">
        <v>0</v>
      </c>
      <c r="E74" s="54">
        <v>6077.4300000000003</v>
      </c>
      <c r="F74" s="54">
        <v>26358.349999999999</v>
      </c>
      <c r="G74" s="54">
        <v>11.25</v>
      </c>
      <c r="H74" s="54">
        <v>12722.030000000001</v>
      </c>
      <c r="I74" s="54">
        <v>2622.6700000000001</v>
      </c>
      <c r="J74" s="54">
        <v>17237.869999999999</v>
      </c>
      <c r="K74" s="54">
        <v>331.97000000000003</v>
      </c>
      <c r="L74" s="54">
        <v>27976.02</v>
      </c>
      <c r="M74" s="54">
        <v>0</v>
      </c>
      <c r="N74" s="54">
        <v>10525.530000000001</v>
      </c>
      <c r="O74" s="54">
        <v>0</v>
      </c>
      <c r="P74" s="49">
        <f t="shared" si="2"/>
        <v>103863.12</v>
      </c>
      <c r="Q74" s="59" t="s">
        <v>78</v>
      </c>
    </row>
    <row r="75" spans="2:17" ht="11.25" customHeight="1">
      <c r="B75" s="47" t="s">
        <v>80</v>
      </c>
      <c r="C75" s="48" t="s">
        <v>43</v>
      </c>
      <c r="D75" s="54">
        <v>0</v>
      </c>
      <c r="E75" s="54">
        <v>0</v>
      </c>
      <c r="F75" s="54">
        <v>88.159999999999997</v>
      </c>
      <c r="G75" s="54">
        <v>0</v>
      </c>
      <c r="H75" s="54">
        <v>0</v>
      </c>
      <c r="I75" s="54">
        <v>0</v>
      </c>
      <c r="J75" s="54">
        <v>1476.6300000000001</v>
      </c>
      <c r="K75" s="54">
        <v>11954.08</v>
      </c>
      <c r="L75" s="54">
        <v>1022.5</v>
      </c>
      <c r="M75" s="54">
        <v>0</v>
      </c>
      <c r="N75" s="54">
        <v>0</v>
      </c>
      <c r="O75" s="54">
        <v>0</v>
      </c>
      <c r="P75" s="49">
        <f t="shared" si="2"/>
        <v>14541.370000000001</v>
      </c>
      <c r="Q75" s="59" t="s">
        <v>80</v>
      </c>
    </row>
    <row r="76" spans="2:17" ht="11.25" customHeight="1">
      <c r="B76" s="47" t="s">
        <v>82</v>
      </c>
      <c r="C76" s="48" t="s">
        <v>46</v>
      </c>
      <c r="D76" s="54">
        <v>0</v>
      </c>
      <c r="E76" s="54">
        <v>7665.75</v>
      </c>
      <c r="F76" s="54">
        <v>29621.169999999998</v>
      </c>
      <c r="G76" s="54">
        <v>1978.1099999999999</v>
      </c>
      <c r="H76" s="54">
        <v>25628.080000000002</v>
      </c>
      <c r="I76" s="54">
        <v>33285.410000000003</v>
      </c>
      <c r="J76" s="54">
        <v>62420.779999999999</v>
      </c>
      <c r="K76" s="54">
        <v>169992.98999999999</v>
      </c>
      <c r="L76" s="54">
        <v>90887.940000000002</v>
      </c>
      <c r="M76" s="54">
        <v>0</v>
      </c>
      <c r="N76" s="54">
        <v>21797.970000000001</v>
      </c>
      <c r="O76" s="54">
        <v>0</v>
      </c>
      <c r="P76" s="49">
        <f t="shared" si="2"/>
        <v>443278.19999999995</v>
      </c>
      <c r="Q76" s="59" t="s">
        <v>82</v>
      </c>
    </row>
    <row r="77" spans="2:17" ht="11.25" customHeight="1">
      <c r="B77" s="47" t="s">
        <v>84</v>
      </c>
      <c r="C77" s="48" t="s">
        <v>49</v>
      </c>
      <c r="D77" s="54">
        <v>0</v>
      </c>
      <c r="E77" s="54">
        <v>388.41000000000002</v>
      </c>
      <c r="F77" s="54">
        <v>2442.2800000000002</v>
      </c>
      <c r="G77" s="54">
        <v>0</v>
      </c>
      <c r="H77" s="54">
        <v>0</v>
      </c>
      <c r="I77" s="54">
        <v>48</v>
      </c>
      <c r="J77" s="54">
        <v>8161</v>
      </c>
      <c r="K77" s="54">
        <v>46426.389999999999</v>
      </c>
      <c r="L77" s="54">
        <v>4956.1700000000001</v>
      </c>
      <c r="M77" s="54">
        <v>0</v>
      </c>
      <c r="N77" s="54">
        <v>177.28</v>
      </c>
      <c r="O77" s="54">
        <v>0</v>
      </c>
      <c r="P77" s="49">
        <f t="shared" si="2"/>
        <v>62599.529999999999</v>
      </c>
      <c r="Q77" s="59" t="s">
        <v>84</v>
      </c>
    </row>
    <row r="78" spans="2:17" ht="11.25" customHeight="1">
      <c r="B78" s="47" t="s">
        <v>86</v>
      </c>
      <c r="C78" s="48" t="s">
        <v>87</v>
      </c>
      <c r="D78" s="54">
        <v>0</v>
      </c>
      <c r="E78" s="54">
        <v>646.10000000000002</v>
      </c>
      <c r="F78" s="54">
        <v>560.08000000000004</v>
      </c>
      <c r="G78" s="54">
        <v>0</v>
      </c>
      <c r="H78" s="54">
        <v>0</v>
      </c>
      <c r="I78" s="54">
        <v>2345.1500000000001</v>
      </c>
      <c r="J78" s="54">
        <v>4200.5500000000002</v>
      </c>
      <c r="K78" s="54">
        <v>6000.0600000000004</v>
      </c>
      <c r="L78" s="54">
        <v>11840.860000000001</v>
      </c>
      <c r="M78" s="54">
        <v>0</v>
      </c>
      <c r="N78" s="54">
        <v>529.44000000000005</v>
      </c>
      <c r="O78" s="54">
        <v>0</v>
      </c>
      <c r="P78" s="49">
        <f t="shared" si="2"/>
        <v>26122.240000000002</v>
      </c>
      <c r="Q78" s="59" t="s">
        <v>86</v>
      </c>
    </row>
    <row r="79" spans="2:17" ht="11.25" customHeight="1">
      <c r="B79" s="47" t="s">
        <v>89</v>
      </c>
      <c r="C79" s="48" t="s">
        <v>90</v>
      </c>
      <c r="D79" s="54">
        <v>0</v>
      </c>
      <c r="E79" s="54">
        <v>646.84000000000003</v>
      </c>
      <c r="F79" s="54">
        <v>479.74000000000001</v>
      </c>
      <c r="G79" s="54">
        <v>0</v>
      </c>
      <c r="H79" s="54">
        <v>0</v>
      </c>
      <c r="I79" s="54">
        <v>356.5</v>
      </c>
      <c r="J79" s="54">
        <v>1484.27</v>
      </c>
      <c r="K79" s="54">
        <v>285.44999999999999</v>
      </c>
      <c r="L79" s="54">
        <v>3874.75</v>
      </c>
      <c r="M79" s="54">
        <v>0</v>
      </c>
      <c r="N79" s="54">
        <v>413.93000000000001</v>
      </c>
      <c r="O79" s="54">
        <v>0</v>
      </c>
      <c r="P79" s="49">
        <f t="shared" si="2"/>
        <v>7541.4799999999996</v>
      </c>
      <c r="Q79" s="59" t="s">
        <v>89</v>
      </c>
    </row>
    <row r="80" spans="2:17" ht="11.25" customHeight="1">
      <c r="B80" s="47" t="s">
        <v>92</v>
      </c>
      <c r="C80" s="48" t="s">
        <v>93</v>
      </c>
      <c r="D80" s="54">
        <v>0</v>
      </c>
      <c r="E80" s="54">
        <v>3090.0500000000002</v>
      </c>
      <c r="F80" s="54">
        <v>19162.169999999998</v>
      </c>
      <c r="G80" s="54">
        <v>0</v>
      </c>
      <c r="H80" s="54">
        <v>44532.860000000001</v>
      </c>
      <c r="I80" s="54">
        <v>11564.879999999999</v>
      </c>
      <c r="J80" s="54">
        <v>68604.800000000003</v>
      </c>
      <c r="K80" s="54">
        <v>10488.290000000001</v>
      </c>
      <c r="L80" s="54">
        <v>180024.95000000001</v>
      </c>
      <c r="M80" s="54">
        <v>0</v>
      </c>
      <c r="N80" s="54">
        <v>4958.7299999999996</v>
      </c>
      <c r="O80" s="54">
        <v>0</v>
      </c>
      <c r="P80" s="49">
        <f t="shared" si="2"/>
        <v>342426.72999999998</v>
      </c>
      <c r="Q80" s="59" t="s">
        <v>92</v>
      </c>
    </row>
    <row r="81" spans="2:17" ht="11.25" customHeight="1">
      <c r="B81" s="47" t="s">
        <v>95</v>
      </c>
      <c r="C81" s="48" t="s">
        <v>96</v>
      </c>
      <c r="D81" s="54">
        <v>0</v>
      </c>
      <c r="E81" s="54">
        <v>0</v>
      </c>
      <c r="F81" s="54">
        <v>1125.4300000000001</v>
      </c>
      <c r="G81" s="54">
        <v>0</v>
      </c>
      <c r="H81" s="54">
        <v>0</v>
      </c>
      <c r="I81" s="54">
        <v>2432.5100000000002</v>
      </c>
      <c r="J81" s="54">
        <v>713.25999999999999</v>
      </c>
      <c r="K81" s="54">
        <v>2065.1900000000001</v>
      </c>
      <c r="L81" s="54">
        <v>1114.97</v>
      </c>
      <c r="M81" s="54">
        <v>0</v>
      </c>
      <c r="N81" s="54">
        <v>496.56</v>
      </c>
      <c r="O81" s="54">
        <v>0</v>
      </c>
      <c r="P81" s="49">
        <f t="shared" si="2"/>
        <v>7947.9200000000019</v>
      </c>
      <c r="Q81" s="59" t="s">
        <v>95</v>
      </c>
    </row>
    <row r="82" spans="2:17" ht="11.25" customHeight="1">
      <c r="B82" s="47" t="s">
        <v>98</v>
      </c>
      <c r="C82" s="48" t="s">
        <v>99</v>
      </c>
      <c r="D82" s="54">
        <v>0</v>
      </c>
      <c r="E82" s="54">
        <v>0</v>
      </c>
      <c r="F82" s="54">
        <v>593.91999999999996</v>
      </c>
      <c r="G82" s="54">
        <v>0</v>
      </c>
      <c r="H82" s="54">
        <v>0</v>
      </c>
      <c r="I82" s="54">
        <v>0</v>
      </c>
      <c r="J82" s="54">
        <v>0</v>
      </c>
      <c r="K82" s="54">
        <v>0</v>
      </c>
      <c r="L82" s="54">
        <v>0</v>
      </c>
      <c r="M82" s="54">
        <v>0</v>
      </c>
      <c r="N82" s="54">
        <v>0</v>
      </c>
      <c r="O82" s="54">
        <v>0</v>
      </c>
      <c r="P82" s="49">
        <f t="shared" si="2"/>
        <v>593.91999999999996</v>
      </c>
      <c r="Q82" s="59" t="s">
        <v>98</v>
      </c>
    </row>
    <row r="83" spans="2:17" ht="11.25" customHeight="1">
      <c r="B83" s="47" t="s">
        <v>101</v>
      </c>
      <c r="C83" s="48" t="s">
        <v>102</v>
      </c>
      <c r="D83" s="54">
        <v>0</v>
      </c>
      <c r="E83" s="54">
        <v>11678.02</v>
      </c>
      <c r="F83" s="54">
        <v>15442.5</v>
      </c>
      <c r="G83" s="54">
        <v>340</v>
      </c>
      <c r="H83" s="54">
        <v>0</v>
      </c>
      <c r="I83" s="54">
        <v>7089.7799999999997</v>
      </c>
      <c r="J83" s="54">
        <v>49443.050000000003</v>
      </c>
      <c r="K83" s="54">
        <v>456.25</v>
      </c>
      <c r="L83" s="54">
        <v>28591.610000000001</v>
      </c>
      <c r="M83" s="54">
        <v>0</v>
      </c>
      <c r="N83" s="54">
        <v>12205.639999999999</v>
      </c>
      <c r="O83" s="54">
        <v>0</v>
      </c>
      <c r="P83" s="49">
        <f t="shared" si="2"/>
        <v>125246.85000000001</v>
      </c>
      <c r="Q83" s="59" t="s">
        <v>101</v>
      </c>
    </row>
    <row r="84" spans="2:17" ht="11.25" customHeight="1">
      <c r="B84" s="47" t="s">
        <v>104</v>
      </c>
      <c r="C84" s="48" t="s">
        <v>105</v>
      </c>
      <c r="D84" s="54">
        <v>0</v>
      </c>
      <c r="E84" s="54">
        <v>11033.32</v>
      </c>
      <c r="F84" s="54">
        <v>34186.07</v>
      </c>
      <c r="G84" s="54">
        <v>79</v>
      </c>
      <c r="H84" s="54">
        <v>0</v>
      </c>
      <c r="I84" s="54">
        <v>4962.0699999999997</v>
      </c>
      <c r="J84" s="54">
        <v>54199.989999999998</v>
      </c>
      <c r="K84" s="54">
        <v>126.3</v>
      </c>
      <c r="L84" s="54">
        <v>48376.370000000003</v>
      </c>
      <c r="M84" s="54">
        <v>0</v>
      </c>
      <c r="N84" s="54">
        <v>384.29000000000002</v>
      </c>
      <c r="O84" s="54">
        <v>0</v>
      </c>
      <c r="P84" s="49">
        <f t="shared" si="2"/>
        <v>153347.41</v>
      </c>
      <c r="Q84" s="59" t="s">
        <v>104</v>
      </c>
    </row>
    <row r="85" spans="2:17" ht="11.25" customHeight="1">
      <c r="B85" s="47" t="s">
        <v>107</v>
      </c>
      <c r="C85" s="48" t="s">
        <v>108</v>
      </c>
      <c r="D85" s="54">
        <v>0</v>
      </c>
      <c r="E85" s="54">
        <v>0</v>
      </c>
      <c r="F85" s="54">
        <v>-48.149999999999999</v>
      </c>
      <c r="G85" s="54">
        <v>0</v>
      </c>
      <c r="H85" s="54">
        <v>0</v>
      </c>
      <c r="I85" s="54">
        <v>0</v>
      </c>
      <c r="J85" s="54">
        <v>902.20000000000005</v>
      </c>
      <c r="K85" s="54">
        <v>9.3800000000000008</v>
      </c>
      <c r="L85" s="54">
        <v>37.710000000000001</v>
      </c>
      <c r="M85" s="54">
        <v>0</v>
      </c>
      <c r="N85" s="54">
        <v>0</v>
      </c>
      <c r="O85" s="54">
        <v>0</v>
      </c>
      <c r="P85" s="49">
        <f t="shared" si="2"/>
        <v>901.1400000000001</v>
      </c>
      <c r="Q85" s="59" t="s">
        <v>107</v>
      </c>
    </row>
    <row r="86" spans="2:17" ht="11.25" customHeight="1">
      <c r="B86" s="47" t="s">
        <v>110</v>
      </c>
      <c r="C86" s="48" t="s">
        <v>111</v>
      </c>
      <c r="D86" s="54">
        <v>0</v>
      </c>
      <c r="E86" s="54">
        <v>493376.45000000001</v>
      </c>
      <c r="F86" s="54">
        <v>344355.96000000002</v>
      </c>
      <c r="G86" s="54">
        <v>142833.51000000001</v>
      </c>
      <c r="H86" s="54">
        <v>88345.889999999999</v>
      </c>
      <c r="I86" s="54">
        <v>504268.69</v>
      </c>
      <c r="J86" s="54">
        <v>1358852.1299999999</v>
      </c>
      <c r="K86" s="54">
        <v>2035.5799999999999</v>
      </c>
      <c r="L86" s="54">
        <v>1524672.47</v>
      </c>
      <c r="M86" s="54">
        <v>191.59999999999999</v>
      </c>
      <c r="N86" s="54">
        <v>516085.13</v>
      </c>
      <c r="O86" s="54">
        <v>86.280000000000001</v>
      </c>
      <c r="P86" s="49">
        <f t="shared" si="2"/>
        <v>4975103.6899999995</v>
      </c>
      <c r="Q86" s="59" t="s">
        <v>110</v>
      </c>
    </row>
    <row r="87" spans="2:17" ht="11.25" customHeight="1">
      <c r="B87" s="47" t="s">
        <v>113</v>
      </c>
      <c r="C87" s="48" t="s">
        <v>114</v>
      </c>
      <c r="D87" s="54">
        <v>0</v>
      </c>
      <c r="E87" s="54">
        <v>560.46000000000004</v>
      </c>
      <c r="F87" s="54">
        <v>0</v>
      </c>
      <c r="G87" s="54">
        <v>627</v>
      </c>
      <c r="H87" s="54">
        <v>0</v>
      </c>
      <c r="I87" s="54">
        <v>19330.380000000001</v>
      </c>
      <c r="J87" s="54">
        <v>25903.619999999999</v>
      </c>
      <c r="K87" s="54">
        <v>0</v>
      </c>
      <c r="L87" s="54">
        <v>2750.3299999999999</v>
      </c>
      <c r="M87" s="54">
        <v>0</v>
      </c>
      <c r="N87" s="54">
        <v>791.33000000000004</v>
      </c>
      <c r="O87" s="54">
        <v>0</v>
      </c>
      <c r="P87" s="49">
        <f t="shared" si="2"/>
        <v>49963.120000000003</v>
      </c>
      <c r="Q87" s="59" t="s">
        <v>113</v>
      </c>
    </row>
    <row r="88" spans="2:17" ht="11.25" customHeight="1">
      <c r="B88" s="47" t="s">
        <v>119</v>
      </c>
      <c r="C88" s="48" t="s">
        <v>120</v>
      </c>
      <c r="D88" s="54">
        <v>0</v>
      </c>
      <c r="E88" s="54">
        <v>713.13</v>
      </c>
      <c r="F88" s="54">
        <v>1883.6800000000001</v>
      </c>
      <c r="G88" s="54">
        <v>84.049999999999997</v>
      </c>
      <c r="H88" s="54">
        <v>0</v>
      </c>
      <c r="I88" s="54">
        <v>4598.3100000000004</v>
      </c>
      <c r="J88" s="54">
        <v>11742.31</v>
      </c>
      <c r="K88" s="54">
        <v>36.409999999999997</v>
      </c>
      <c r="L88" s="54">
        <v>12220.09</v>
      </c>
      <c r="M88" s="54">
        <v>0</v>
      </c>
      <c r="N88" s="54">
        <v>3756.9699999999998</v>
      </c>
      <c r="O88" s="54">
        <v>0</v>
      </c>
      <c r="P88" s="49">
        <f t="shared" si="2"/>
        <v>35034.949999999997</v>
      </c>
      <c r="Q88" s="59" t="s">
        <v>119</v>
      </c>
    </row>
    <row r="89" spans="2:17" ht="11.25" customHeight="1">
      <c r="B89" s="47" t="s">
        <v>122</v>
      </c>
      <c r="C89" s="48" t="s">
        <v>123</v>
      </c>
      <c r="D89" s="54">
        <v>0</v>
      </c>
      <c r="E89" s="54">
        <v>0</v>
      </c>
      <c r="F89" s="54">
        <v>103.24</v>
      </c>
      <c r="G89" s="54">
        <v>0</v>
      </c>
      <c r="H89" s="54">
        <v>0</v>
      </c>
      <c r="I89" s="54">
        <v>0</v>
      </c>
      <c r="J89" s="54">
        <v>537.11000000000001</v>
      </c>
      <c r="K89" s="54">
        <v>18.75</v>
      </c>
      <c r="L89" s="54">
        <v>12</v>
      </c>
      <c r="M89" s="54">
        <v>0</v>
      </c>
      <c r="N89" s="54">
        <v>0</v>
      </c>
      <c r="O89" s="54">
        <v>0</v>
      </c>
      <c r="P89" s="49">
        <f t="shared" si="2"/>
        <v>671.10000000000002</v>
      </c>
      <c r="Q89" s="59" t="s">
        <v>122</v>
      </c>
    </row>
    <row r="90" spans="2:17" ht="11.25" customHeight="1">
      <c r="B90" s="47" t="s">
        <v>125</v>
      </c>
      <c r="C90" s="48" t="s">
        <v>126</v>
      </c>
      <c r="D90" s="54">
        <v>0</v>
      </c>
      <c r="E90" s="54">
        <v>785.90999999999997</v>
      </c>
      <c r="F90" s="54">
        <v>794.60000000000002</v>
      </c>
      <c r="G90" s="54">
        <v>0</v>
      </c>
      <c r="H90" s="54">
        <v>62183.32</v>
      </c>
      <c r="I90" s="54">
        <v>100</v>
      </c>
      <c r="J90" s="54">
        <v>6497.75</v>
      </c>
      <c r="K90" s="54">
        <v>1995.31</v>
      </c>
      <c r="L90" s="54">
        <v>7665.7299999999996</v>
      </c>
      <c r="M90" s="54">
        <v>0</v>
      </c>
      <c r="N90" s="54">
        <v>193.13999999999999</v>
      </c>
      <c r="O90" s="54">
        <v>0</v>
      </c>
      <c r="P90" s="49">
        <f t="shared" si="2"/>
        <v>80215.759999999995</v>
      </c>
      <c r="Q90" s="59" t="s">
        <v>125</v>
      </c>
    </row>
    <row r="91" spans="2:17" ht="11.25" customHeight="1" thickBot="1">
      <c r="B91" s="51" t="s">
        <v>5</v>
      </c>
      <c r="C91" s="52"/>
      <c r="D91" s="53">
        <f>SUM(D56:D90)</f>
        <v>807.28999999999996</v>
      </c>
      <c r="E91" s="53">
        <f t="shared" si="3" ref="E91:P91">SUM(E56:E90)</f>
        <v>827663.77000000002</v>
      </c>
      <c r="F91" s="53">
        <f t="shared" si="3"/>
        <v>1209219.48</v>
      </c>
      <c r="G91" s="53">
        <f t="shared" si="3"/>
        <v>215064.60999999999</v>
      </c>
      <c r="H91" s="53">
        <f t="shared" si="3"/>
        <v>1591793.0600000001</v>
      </c>
      <c r="I91" s="53">
        <f t="shared" si="3"/>
        <v>1225265.3899999999</v>
      </c>
      <c r="J91" s="53">
        <f t="shared" si="3"/>
        <v>3026527.4400000004</v>
      </c>
      <c r="K91" s="53">
        <f t="shared" si="3"/>
        <v>747572.7200000002</v>
      </c>
      <c r="L91" s="53">
        <f t="shared" si="3"/>
        <v>4079625.9899999998</v>
      </c>
      <c r="M91" s="53">
        <f t="shared" si="3"/>
        <v>208.31</v>
      </c>
      <c r="N91" s="53">
        <f t="shared" si="3"/>
        <v>1239814.78</v>
      </c>
      <c r="O91" s="53">
        <f t="shared" si="3"/>
        <v>86.280000000000001</v>
      </c>
      <c r="P91" s="53">
        <f t="shared" si="3"/>
        <v>14163649.119999999</v>
      </c>
      <c r="Q91" s="59"/>
    </row>
    <row r="92" ht="11.25" customHeight="1" thickTop="1"/>
    <row r="94" spans="2:16" ht="33.75">
      <c r="B94" s="34"/>
      <c r="C94" s="35" t="s">
        <v>0</v>
      </c>
      <c r="D94" s="36" t="s">
        <v>127</v>
      </c>
      <c r="E94" s="36" t="s">
        <v>128</v>
      </c>
      <c r="F94" s="36" t="s">
        <v>129</v>
      </c>
      <c r="G94" s="36" t="s">
        <v>130</v>
      </c>
      <c r="H94" s="36" t="s">
        <v>131</v>
      </c>
      <c r="I94" s="36" t="s">
        <v>132</v>
      </c>
      <c r="J94" s="36" t="s">
        <v>133</v>
      </c>
      <c r="K94" s="36" t="s">
        <v>134</v>
      </c>
      <c r="L94" s="36" t="s">
        <v>135</v>
      </c>
      <c r="M94" s="36" t="s">
        <v>136</v>
      </c>
      <c r="N94" s="36" t="s">
        <v>137</v>
      </c>
      <c r="O94" s="36" t="s">
        <v>138</v>
      </c>
      <c r="P94" s="37" t="s">
        <v>8</v>
      </c>
    </row>
    <row r="95" spans="2:16" ht="11.25">
      <c r="B95" s="39"/>
      <c r="C95" s="35" t="s">
        <v>3</v>
      </c>
      <c r="D95" s="35" t="s">
        <v>139</v>
      </c>
      <c r="E95" s="35" t="s">
        <v>140</v>
      </c>
      <c r="F95" s="35" t="s">
        <v>141</v>
      </c>
      <c r="G95" s="35" t="s">
        <v>142</v>
      </c>
      <c r="H95" s="35" t="s">
        <v>143</v>
      </c>
      <c r="I95" s="35" t="s">
        <v>144</v>
      </c>
      <c r="J95" s="35" t="s">
        <v>145</v>
      </c>
      <c r="K95" s="35" t="s">
        <v>146</v>
      </c>
      <c r="L95" s="35" t="s">
        <v>147</v>
      </c>
      <c r="M95" s="35" t="s">
        <v>148</v>
      </c>
      <c r="N95" s="35" t="s">
        <v>149</v>
      </c>
      <c r="O95" s="35" t="s">
        <v>150</v>
      </c>
      <c r="P95" s="40" t="s">
        <v>154</v>
      </c>
    </row>
    <row r="96" spans="2:17" ht="11.25" customHeight="1">
      <c r="B96" s="43" t="s">
        <v>1</v>
      </c>
      <c r="C96" s="44" t="s">
        <v>0</v>
      </c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3" t="s">
        <v>155</v>
      </c>
      <c r="Q96" s="38" t="s">
        <v>159</v>
      </c>
    </row>
    <row r="97" spans="2:16" ht="11.25" customHeight="1">
      <c r="B97" s="47"/>
      <c r="C97" s="48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49"/>
    </row>
    <row r="98" spans="2:16" ht="11.25" customHeight="1">
      <c r="B98" s="47"/>
      <c r="C98" s="48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49"/>
    </row>
    <row r="99" spans="2:17" ht="11.25" customHeight="1">
      <c r="B99" s="47" t="s">
        <v>24</v>
      </c>
      <c r="C99" s="48" t="s">
        <v>25</v>
      </c>
      <c r="D99" s="54">
        <f t="shared" si="4" ref="D99:O99">D56-D9</f>
        <v>0</v>
      </c>
      <c r="E99" s="54">
        <f t="shared" si="4"/>
        <v>5260.5799999999999</v>
      </c>
      <c r="F99" s="54">
        <f t="shared" si="4"/>
        <v>7755.1800000000003</v>
      </c>
      <c r="G99" s="54">
        <f t="shared" si="4"/>
        <v>-452.14999999999998</v>
      </c>
      <c r="H99" s="54">
        <f t="shared" si="4"/>
        <v>-60659.009999999995</v>
      </c>
      <c r="I99" s="54">
        <f t="shared" si="4"/>
        <v>2463.3400000000001</v>
      </c>
      <c r="J99" s="54">
        <f t="shared" si="4"/>
        <v>2862.8800000000001</v>
      </c>
      <c r="K99" s="54">
        <f t="shared" si="4"/>
        <v>0</v>
      </c>
      <c r="L99" s="54">
        <f>L56-L9-L143</f>
        <v>11864.829999999998</v>
      </c>
      <c r="M99" s="54">
        <f t="shared" si="4"/>
        <v>0</v>
      </c>
      <c r="N99" s="54">
        <f t="shared" si="4"/>
        <v>-8475.7299999999996</v>
      </c>
      <c r="O99" s="54">
        <f t="shared" si="4"/>
        <v>0</v>
      </c>
      <c r="P99" s="49">
        <f t="shared" si="5" ref="P99:P133">SUM(D99:O99)</f>
        <v>-39380.080000000002</v>
      </c>
      <c r="Q99" s="47">
        <f t="shared" si="6" ref="Q99:Q106">P56-P9</f>
        <v>-39378.719999999994</v>
      </c>
    </row>
    <row r="100" spans="2:17" ht="11.25" customHeight="1">
      <c r="B100" s="47" t="s">
        <v>27</v>
      </c>
      <c r="C100" s="48" t="s">
        <v>28</v>
      </c>
      <c r="D100" s="54">
        <f t="shared" si="7" ref="D100:O100">D57-D10</f>
        <v>0</v>
      </c>
      <c r="E100" s="54">
        <f t="shared" si="7"/>
        <v>42751.330000000002</v>
      </c>
      <c r="F100" s="54">
        <f t="shared" si="7"/>
        <v>53947.209999999999</v>
      </c>
      <c r="G100" s="54">
        <f t="shared" si="7"/>
        <v>-1686.8700000000008</v>
      </c>
      <c r="H100" s="54">
        <f t="shared" si="7"/>
        <v>78351.969999999987</v>
      </c>
      <c r="I100" s="54">
        <f t="shared" si="7"/>
        <v>46792.970000000001</v>
      </c>
      <c r="J100" s="54">
        <f t="shared" si="7"/>
        <v>16254.909999999996</v>
      </c>
      <c r="K100" s="54">
        <f t="shared" si="7"/>
        <v>0</v>
      </c>
      <c r="L100" s="54">
        <f t="shared" si="7"/>
        <v>92270.839999999997</v>
      </c>
      <c r="M100" s="54">
        <f t="shared" si="7"/>
        <v>0</v>
      </c>
      <c r="N100" s="54">
        <f t="shared" si="7"/>
        <v>6794.4799999999996</v>
      </c>
      <c r="O100" s="54">
        <f t="shared" si="7"/>
        <v>0</v>
      </c>
      <c r="P100" s="49">
        <f t="shared" si="5"/>
        <v>335476.83999999997</v>
      </c>
      <c r="Q100" s="47">
        <f t="shared" si="6"/>
        <v>335476.83999999997</v>
      </c>
    </row>
    <row r="101" spans="2:17" ht="11.25" customHeight="1">
      <c r="B101" s="47" t="s">
        <v>30</v>
      </c>
      <c r="C101" s="48" t="s">
        <v>31</v>
      </c>
      <c r="D101" s="54">
        <f t="shared" si="8" ref="D101:O101">D58-D11</f>
        <v>0</v>
      </c>
      <c r="E101" s="54">
        <f t="shared" si="8"/>
        <v>0</v>
      </c>
      <c r="F101" s="54">
        <f t="shared" si="8"/>
        <v>0</v>
      </c>
      <c r="G101" s="54">
        <f t="shared" si="8"/>
        <v>0</v>
      </c>
      <c r="H101" s="54">
        <f t="shared" si="8"/>
        <v>0</v>
      </c>
      <c r="I101" s="54">
        <f t="shared" si="8"/>
        <v>0</v>
      </c>
      <c r="J101" s="54">
        <f t="shared" si="8"/>
        <v>-128.46999999999997</v>
      </c>
      <c r="K101" s="54">
        <f t="shared" si="8"/>
        <v>-1039.74</v>
      </c>
      <c r="L101" s="54">
        <f t="shared" si="8"/>
        <v>0</v>
      </c>
      <c r="M101" s="54">
        <f t="shared" si="8"/>
        <v>0</v>
      </c>
      <c r="N101" s="54">
        <f t="shared" si="8"/>
        <v>0</v>
      </c>
      <c r="O101" s="54">
        <f t="shared" si="8"/>
        <v>0</v>
      </c>
      <c r="P101" s="49">
        <f t="shared" si="5"/>
        <v>-1168.21</v>
      </c>
      <c r="Q101" s="47">
        <f t="shared" si="6"/>
        <v>-1168.21</v>
      </c>
    </row>
    <row r="102" spans="2:17" ht="11.25" customHeight="1">
      <c r="B102" s="47" t="s">
        <v>33</v>
      </c>
      <c r="C102" s="48" t="s">
        <v>34</v>
      </c>
      <c r="D102" s="54">
        <f t="shared" si="9" ref="D102:O102">D59-D12</f>
        <v>0</v>
      </c>
      <c r="E102" s="54">
        <f t="shared" si="9"/>
        <v>0</v>
      </c>
      <c r="F102" s="54">
        <f t="shared" si="9"/>
        <v>0</v>
      </c>
      <c r="G102" s="54">
        <f t="shared" si="9"/>
        <v>0</v>
      </c>
      <c r="H102" s="54">
        <f t="shared" si="9"/>
        <v>0</v>
      </c>
      <c r="I102" s="54">
        <f t="shared" si="9"/>
        <v>0</v>
      </c>
      <c r="J102" s="54">
        <f t="shared" si="9"/>
        <v>96.550000000000011</v>
      </c>
      <c r="K102" s="54">
        <f t="shared" si="9"/>
        <v>733.38</v>
      </c>
      <c r="L102" s="54">
        <f t="shared" si="9"/>
        <v>0</v>
      </c>
      <c r="M102" s="54">
        <f t="shared" si="9"/>
        <v>0</v>
      </c>
      <c r="N102" s="54">
        <f t="shared" si="9"/>
        <v>-56.25</v>
      </c>
      <c r="O102" s="54">
        <f t="shared" si="9"/>
        <v>0</v>
      </c>
      <c r="P102" s="49">
        <f t="shared" si="5"/>
        <v>773.68000000000006</v>
      </c>
      <c r="Q102" s="47">
        <f t="shared" si="6"/>
        <v>773.68000000000006</v>
      </c>
    </row>
    <row r="103" spans="2:17" ht="11.25" customHeight="1">
      <c r="B103" s="47" t="s">
        <v>36</v>
      </c>
      <c r="C103" s="48" t="s">
        <v>37</v>
      </c>
      <c r="D103" s="54">
        <f t="shared" si="10" ref="D103:O103">D60-D13</f>
        <v>0</v>
      </c>
      <c r="E103" s="54">
        <f t="shared" si="10"/>
        <v>101703.01000000001</v>
      </c>
      <c r="F103" s="54">
        <f>F60-F13-F144</f>
        <v>121034.46000000001</v>
      </c>
      <c r="G103" s="54">
        <f t="shared" si="10"/>
        <v>45899.980000000003</v>
      </c>
      <c r="H103" s="54">
        <f t="shared" si="10"/>
        <v>-2633.0299999999697</v>
      </c>
      <c r="I103" s="54">
        <f t="shared" si="10"/>
        <v>-20459.440000000002</v>
      </c>
      <c r="J103" s="54">
        <f>J60-J13-J144</f>
        <v>235778.92999999999</v>
      </c>
      <c r="K103" s="54">
        <f t="shared" si="10"/>
        <v>390.59000000000015</v>
      </c>
      <c r="L103" s="54">
        <f>L60-L13-L144</f>
        <v>377309.64000000001</v>
      </c>
      <c r="M103" s="54">
        <f>M60-M13-M144</f>
        <v>-24916</v>
      </c>
      <c r="N103" s="54">
        <f t="shared" si="10"/>
        <v>11859.970000000001</v>
      </c>
      <c r="O103" s="54">
        <f t="shared" si="10"/>
        <v>0</v>
      </c>
      <c r="P103" s="49">
        <f t="shared" si="5"/>
        <v>845968.1100000001</v>
      </c>
      <c r="Q103" s="47">
        <f t="shared" si="6"/>
        <v>858825.37000000011</v>
      </c>
    </row>
    <row r="104" spans="2:17" ht="11.25" customHeight="1">
      <c r="B104" s="47" t="s">
        <v>39</v>
      </c>
      <c r="C104" s="48" t="s">
        <v>40</v>
      </c>
      <c r="D104" s="54">
        <f t="shared" si="11" ref="D104:O104">D61-D14</f>
        <v>0</v>
      </c>
      <c r="E104" s="54">
        <f t="shared" si="11"/>
        <v>1319.3300000000002</v>
      </c>
      <c r="F104" s="54">
        <f t="shared" si="11"/>
        <v>2879.1700000000001</v>
      </c>
      <c r="G104" s="54">
        <f t="shared" si="11"/>
        <v>0</v>
      </c>
      <c r="H104" s="54">
        <f t="shared" si="11"/>
        <v>1640.3900000000001</v>
      </c>
      <c r="I104" s="54">
        <f t="shared" si="11"/>
        <v>52.619999999999997</v>
      </c>
      <c r="J104" s="54">
        <f t="shared" si="11"/>
        <v>328.26999999999998</v>
      </c>
      <c r="K104" s="54">
        <f t="shared" si="11"/>
        <v>0</v>
      </c>
      <c r="L104" s="54">
        <f t="shared" si="11"/>
        <v>2373.6800000000003</v>
      </c>
      <c r="M104" s="54">
        <f t="shared" si="11"/>
        <v>0</v>
      </c>
      <c r="N104" s="54">
        <f t="shared" si="11"/>
        <v>0</v>
      </c>
      <c r="O104" s="54">
        <f t="shared" si="11"/>
        <v>0</v>
      </c>
      <c r="P104" s="49">
        <f t="shared" si="5"/>
        <v>8593.4600000000009</v>
      </c>
      <c r="Q104" s="47">
        <f t="shared" si="6"/>
        <v>8593.4599999999991</v>
      </c>
    </row>
    <row r="105" spans="2:17" ht="11.25" customHeight="1">
      <c r="B105" s="47" t="s">
        <v>42</v>
      </c>
      <c r="C105" s="48" t="s">
        <v>43</v>
      </c>
      <c r="D105" s="54">
        <f t="shared" si="12" ref="D105:O105">D62-D15</f>
        <v>0</v>
      </c>
      <c r="E105" s="54">
        <f t="shared" si="12"/>
        <v>0</v>
      </c>
      <c r="F105" s="54">
        <f t="shared" si="12"/>
        <v>-89.599999999999994</v>
      </c>
      <c r="G105" s="54">
        <f t="shared" si="12"/>
        <v>0</v>
      </c>
      <c r="H105" s="54">
        <f t="shared" si="12"/>
        <v>0</v>
      </c>
      <c r="I105" s="54">
        <f t="shared" si="12"/>
        <v>495</v>
      </c>
      <c r="J105" s="54">
        <f t="shared" si="12"/>
        <v>1955.9599999999998</v>
      </c>
      <c r="K105" s="54">
        <f t="shared" si="12"/>
        <v>-279.14999999999964</v>
      </c>
      <c r="L105" s="54">
        <f t="shared" si="12"/>
        <v>3423.46</v>
      </c>
      <c r="M105" s="54">
        <f t="shared" si="12"/>
        <v>0</v>
      </c>
      <c r="N105" s="54">
        <f t="shared" si="12"/>
        <v>0</v>
      </c>
      <c r="O105" s="54">
        <f t="shared" si="12"/>
        <v>0</v>
      </c>
      <c r="P105" s="49">
        <f t="shared" si="5"/>
        <v>5505.6700000000001</v>
      </c>
      <c r="Q105" s="47">
        <f t="shared" si="6"/>
        <v>5505.6699999999983</v>
      </c>
    </row>
    <row r="106" spans="2:17" ht="11.25" customHeight="1">
      <c r="B106" s="47" t="s">
        <v>45</v>
      </c>
      <c r="C106" s="48" t="s">
        <v>46</v>
      </c>
      <c r="D106" s="54">
        <f t="shared" si="13" ref="D106:O106">D63-D16</f>
        <v>0</v>
      </c>
      <c r="E106" s="54">
        <f t="shared" si="13"/>
        <v>0</v>
      </c>
      <c r="F106" s="54">
        <f t="shared" si="13"/>
        <v>0</v>
      </c>
      <c r="G106" s="54">
        <f t="shared" si="13"/>
        <v>0</v>
      </c>
      <c r="H106" s="54">
        <f t="shared" si="13"/>
        <v>0</v>
      </c>
      <c r="I106" s="54">
        <f t="shared" si="13"/>
        <v>0</v>
      </c>
      <c r="J106" s="54">
        <f t="shared" si="13"/>
        <v>91.330000000000013</v>
      </c>
      <c r="K106" s="54">
        <f t="shared" si="13"/>
        <v>616.45000000000073</v>
      </c>
      <c r="L106" s="54">
        <f t="shared" si="13"/>
        <v>9.7200000000000006</v>
      </c>
      <c r="M106" s="54">
        <f t="shared" si="13"/>
        <v>0</v>
      </c>
      <c r="N106" s="54">
        <f t="shared" si="13"/>
        <v>0</v>
      </c>
      <c r="O106" s="54">
        <f t="shared" si="13"/>
        <v>0</v>
      </c>
      <c r="P106" s="49">
        <f t="shared" si="5"/>
        <v>717.5000000000008</v>
      </c>
      <c r="Q106" s="47">
        <f t="shared" si="6"/>
        <v>717.50000000000091</v>
      </c>
    </row>
    <row r="107" spans="2:17" ht="11.25" customHeight="1">
      <c r="B107" s="47" t="s">
        <v>51</v>
      </c>
      <c r="C107" s="48" t="s">
        <v>52</v>
      </c>
      <c r="D107" s="54">
        <f t="shared" si="14" ref="D107:O107">D64-D18</f>
        <v>0</v>
      </c>
      <c r="E107" s="54">
        <f t="shared" si="14"/>
        <v>0</v>
      </c>
      <c r="F107" s="54">
        <f t="shared" si="14"/>
        <v>98.599999999999994</v>
      </c>
      <c r="G107" s="54">
        <f t="shared" si="14"/>
        <v>0</v>
      </c>
      <c r="H107" s="54">
        <f t="shared" si="14"/>
        <v>0</v>
      </c>
      <c r="I107" s="54">
        <f t="shared" si="14"/>
        <v>0</v>
      </c>
      <c r="J107" s="54">
        <f t="shared" si="14"/>
        <v>-342.18000000000006</v>
      </c>
      <c r="K107" s="54">
        <f t="shared" si="14"/>
        <v>448.37</v>
      </c>
      <c r="L107" s="54">
        <f t="shared" si="14"/>
        <v>5052.8800000000001</v>
      </c>
      <c r="M107" s="54">
        <f t="shared" si="14"/>
        <v>0</v>
      </c>
      <c r="N107" s="54">
        <f t="shared" si="14"/>
        <v>-59.829999999999998</v>
      </c>
      <c r="O107" s="54">
        <f t="shared" si="14"/>
        <v>0</v>
      </c>
      <c r="P107" s="49">
        <f t="shared" si="5"/>
        <v>5197.8400000000001</v>
      </c>
      <c r="Q107" s="47">
        <f t="shared" si="15" ref="Q107:Q112">P64-P18</f>
        <v>5197.8400000000001</v>
      </c>
    </row>
    <row r="108" spans="2:17" ht="11.25" customHeight="1">
      <c r="B108" s="47" t="s">
        <v>54</v>
      </c>
      <c r="C108" s="48" t="s">
        <v>55</v>
      </c>
      <c r="D108" s="54">
        <f t="shared" si="16" ref="D108:O108">D65-D19</f>
        <v>292.08999999999997</v>
      </c>
      <c r="E108" s="54">
        <f t="shared" si="16"/>
        <v>14427.179999999999</v>
      </c>
      <c r="F108" s="54">
        <f>F65-F19</f>
        <v>36097.320000000007</v>
      </c>
      <c r="G108" s="54">
        <f t="shared" si="16"/>
        <v>-1753.3600000000001</v>
      </c>
      <c r="H108" s="54">
        <f t="shared" si="16"/>
        <v>129.73999999999978</v>
      </c>
      <c r="I108" s="54">
        <f t="shared" si="16"/>
        <v>30114.040000000001</v>
      </c>
      <c r="J108" s="54">
        <f>J65-J19-J145</f>
        <v>57257.230000000003</v>
      </c>
      <c r="K108" s="54">
        <f>K65-K19</f>
        <v>463.44000000000005</v>
      </c>
      <c r="L108" s="54">
        <f>L65-L19-L145</f>
        <v>60029.880000000005</v>
      </c>
      <c r="M108" s="54">
        <f t="shared" si="16"/>
        <v>0</v>
      </c>
      <c r="N108" s="54">
        <f t="shared" si="16"/>
        <v>16414.610000000001</v>
      </c>
      <c r="O108" s="54">
        <f t="shared" si="16"/>
        <v>0</v>
      </c>
      <c r="P108" s="49">
        <f t="shared" si="5"/>
        <v>213472.17000000004</v>
      </c>
      <c r="Q108" s="47">
        <f t="shared" si="15"/>
        <v>213499.19999999995</v>
      </c>
    </row>
    <row r="109" spans="2:17" ht="11.25" customHeight="1">
      <c r="B109" s="47" t="s">
        <v>57</v>
      </c>
      <c r="C109" s="48" t="s">
        <v>28</v>
      </c>
      <c r="D109" s="54">
        <f t="shared" si="17" ref="D109:O109">D66-D20</f>
        <v>0</v>
      </c>
      <c r="E109" s="54">
        <f t="shared" si="17"/>
        <v>0</v>
      </c>
      <c r="F109" s="54">
        <f t="shared" si="17"/>
        <v>1392.52</v>
      </c>
      <c r="G109" s="54">
        <f t="shared" si="17"/>
        <v>0</v>
      </c>
      <c r="H109" s="54">
        <f t="shared" si="17"/>
        <v>-10.99</v>
      </c>
      <c r="I109" s="54">
        <f t="shared" si="17"/>
        <v>136.47999999999999</v>
      </c>
      <c r="J109" s="54">
        <f t="shared" si="17"/>
        <v>-24879.52</v>
      </c>
      <c r="K109" s="54">
        <f t="shared" si="17"/>
        <v>-7104</v>
      </c>
      <c r="L109" s="54">
        <f t="shared" si="17"/>
        <v>-7418.2599999999993</v>
      </c>
      <c r="M109" s="54">
        <f t="shared" si="17"/>
        <v>0</v>
      </c>
      <c r="N109" s="54">
        <f t="shared" si="17"/>
        <v>0</v>
      </c>
      <c r="O109" s="54">
        <f t="shared" si="17"/>
        <v>0</v>
      </c>
      <c r="P109" s="49">
        <f t="shared" si="5"/>
        <v>-37883.770000000004</v>
      </c>
      <c r="Q109" s="47">
        <f t="shared" si="15"/>
        <v>-37883.769999999997</v>
      </c>
    </row>
    <row r="110" spans="2:17" ht="11.25" customHeight="1">
      <c r="B110" s="47" t="s">
        <v>59</v>
      </c>
      <c r="C110" s="48" t="s">
        <v>31</v>
      </c>
      <c r="D110" s="54">
        <f t="shared" si="18" ref="D110:O110">D67-D21</f>
        <v>0</v>
      </c>
      <c r="E110" s="54">
        <f t="shared" si="18"/>
        <v>0</v>
      </c>
      <c r="F110" s="54">
        <f t="shared" si="18"/>
        <v>0</v>
      </c>
      <c r="G110" s="54">
        <f t="shared" si="18"/>
        <v>0</v>
      </c>
      <c r="H110" s="54">
        <f t="shared" si="18"/>
        <v>0</v>
      </c>
      <c r="I110" s="54">
        <f t="shared" si="18"/>
        <v>160</v>
      </c>
      <c r="J110" s="54">
        <f t="shared" si="18"/>
        <v>-191.22</v>
      </c>
      <c r="K110" s="54">
        <f t="shared" si="18"/>
        <v>-2246.7499999999995</v>
      </c>
      <c r="L110" s="54">
        <f t="shared" si="18"/>
        <v>170.75</v>
      </c>
      <c r="M110" s="54">
        <f t="shared" si="18"/>
        <v>0</v>
      </c>
      <c r="N110" s="54">
        <f t="shared" si="18"/>
        <v>0</v>
      </c>
      <c r="O110" s="54">
        <f t="shared" si="18"/>
        <v>0</v>
      </c>
      <c r="P110" s="49">
        <f t="shared" si="5"/>
        <v>-2107.2199999999993</v>
      </c>
      <c r="Q110" s="47">
        <f t="shared" si="15"/>
        <v>-2107.2199999999993</v>
      </c>
    </row>
    <row r="111" spans="2:17" ht="11.25" customHeight="1">
      <c r="B111" s="47" t="s">
        <v>61</v>
      </c>
      <c r="C111" s="48" t="s">
        <v>34</v>
      </c>
      <c r="D111" s="54">
        <f t="shared" si="19" ref="D111:O111">D68-D22</f>
        <v>0</v>
      </c>
      <c r="E111" s="54">
        <f t="shared" si="19"/>
        <v>0</v>
      </c>
      <c r="F111" s="54">
        <f t="shared" si="19"/>
        <v>54.950000000000045</v>
      </c>
      <c r="G111" s="54">
        <f t="shared" si="19"/>
        <v>0</v>
      </c>
      <c r="H111" s="54">
        <f t="shared" si="19"/>
        <v>0</v>
      </c>
      <c r="I111" s="54">
        <f t="shared" si="19"/>
        <v>0</v>
      </c>
      <c r="J111" s="54">
        <f t="shared" si="19"/>
        <v>-612.88999999999942</v>
      </c>
      <c r="K111" s="54">
        <f>K68-K22-K146</f>
        <v>74890.770000000019</v>
      </c>
      <c r="L111" s="54">
        <f t="shared" si="19"/>
        <v>6512.6000000000058</v>
      </c>
      <c r="M111" s="54">
        <f t="shared" si="19"/>
        <v>0</v>
      </c>
      <c r="N111" s="54">
        <f t="shared" si="19"/>
        <v>-1484.3299999999999</v>
      </c>
      <c r="O111" s="54">
        <f t="shared" si="19"/>
        <v>0</v>
      </c>
      <c r="P111" s="49">
        <f t="shared" si="5"/>
        <v>79361.10000000002</v>
      </c>
      <c r="Q111" s="47">
        <f t="shared" si="15"/>
        <v>79386.100000000064</v>
      </c>
    </row>
    <row r="112" spans="2:17" ht="11.25" customHeight="1">
      <c r="B112" s="47" t="s">
        <v>63</v>
      </c>
      <c r="C112" s="48" t="s">
        <v>64</v>
      </c>
      <c r="D112" s="54">
        <f t="shared" si="20" ref="D112:O112">D69-D23</f>
        <v>0</v>
      </c>
      <c r="E112" s="54">
        <f t="shared" si="20"/>
        <v>0</v>
      </c>
      <c r="F112" s="54">
        <f t="shared" si="20"/>
        <v>1185.53</v>
      </c>
      <c r="G112" s="54">
        <f t="shared" si="20"/>
        <v>0</v>
      </c>
      <c r="H112" s="54">
        <f t="shared" si="20"/>
        <v>0</v>
      </c>
      <c r="I112" s="54">
        <f t="shared" si="20"/>
        <v>0</v>
      </c>
      <c r="J112" s="54">
        <f t="shared" si="20"/>
        <v>-230.06999999999994</v>
      </c>
      <c r="K112" s="54">
        <f t="shared" si="20"/>
        <v>19778.780000000002</v>
      </c>
      <c r="L112" s="54">
        <f t="shared" si="20"/>
        <v>-1838.010000000002</v>
      </c>
      <c r="M112" s="54">
        <f t="shared" si="20"/>
        <v>0</v>
      </c>
      <c r="N112" s="54">
        <f t="shared" si="20"/>
        <v>0</v>
      </c>
      <c r="O112" s="54">
        <f t="shared" si="20"/>
        <v>0</v>
      </c>
      <c r="P112" s="49">
        <f t="shared" si="5"/>
        <v>18896.23</v>
      </c>
      <c r="Q112" s="47">
        <f t="shared" si="15"/>
        <v>18896.229999999996</v>
      </c>
    </row>
    <row r="113" spans="2:17" ht="11.25" customHeight="1">
      <c r="B113" s="47" t="s">
        <v>152</v>
      </c>
      <c r="C113" s="48" t="s">
        <v>153</v>
      </c>
      <c r="D113" s="54">
        <f t="shared" si="21" ref="D113:O113">D70</f>
        <v>0</v>
      </c>
      <c r="E113" s="54">
        <f t="shared" si="21"/>
        <v>0</v>
      </c>
      <c r="F113" s="54">
        <f t="shared" si="21"/>
        <v>0</v>
      </c>
      <c r="G113" s="54">
        <f t="shared" si="21"/>
        <v>0</v>
      </c>
      <c r="H113" s="54">
        <f t="shared" si="21"/>
        <v>0</v>
      </c>
      <c r="I113" s="54">
        <f t="shared" si="21"/>
        <v>0</v>
      </c>
      <c r="J113" s="54">
        <f t="shared" si="21"/>
        <v>0</v>
      </c>
      <c r="K113" s="54">
        <f t="shared" si="21"/>
        <v>96.700000000000003</v>
      </c>
      <c r="L113" s="54">
        <f t="shared" si="21"/>
        <v>0</v>
      </c>
      <c r="M113" s="54">
        <f t="shared" si="21"/>
        <v>0</v>
      </c>
      <c r="N113" s="54">
        <f t="shared" si="21"/>
        <v>0</v>
      </c>
      <c r="O113" s="54">
        <f t="shared" si="21"/>
        <v>0</v>
      </c>
      <c r="P113" s="49">
        <f t="shared" si="5"/>
        <v>96.700000000000003</v>
      </c>
      <c r="Q113" s="47">
        <f>P70</f>
        <v>96.700000000000003</v>
      </c>
    </row>
    <row r="114" spans="2:17" ht="11.25" customHeight="1">
      <c r="B114" s="47" t="s">
        <v>66</v>
      </c>
      <c r="C114" s="48" t="s">
        <v>67</v>
      </c>
      <c r="D114" s="54">
        <f t="shared" si="22" ref="D114:O114">D71-D24</f>
        <v>0</v>
      </c>
      <c r="E114" s="54">
        <f t="shared" si="22"/>
        <v>14210.549999999999</v>
      </c>
      <c r="F114" s="54">
        <f t="shared" si="22"/>
        <v>21620.800000000003</v>
      </c>
      <c r="G114" s="54">
        <f t="shared" si="22"/>
        <v>89.599999999999994</v>
      </c>
      <c r="H114" s="54">
        <f t="shared" si="22"/>
        <v>94580.75</v>
      </c>
      <c r="I114" s="54">
        <f t="shared" si="22"/>
        <v>-55349.220000000001</v>
      </c>
      <c r="J114" s="54">
        <f>J71-J24-J147</f>
        <v>99274.619999999995</v>
      </c>
      <c r="K114" s="54">
        <f t="shared" si="22"/>
        <v>10010.829999999998</v>
      </c>
      <c r="L114" s="54">
        <f t="shared" si="22"/>
        <v>96744.5</v>
      </c>
      <c r="M114" s="54">
        <f t="shared" si="22"/>
        <v>0</v>
      </c>
      <c r="N114" s="54">
        <f t="shared" si="22"/>
        <v>-40690.57</v>
      </c>
      <c r="O114" s="54">
        <f t="shared" si="22"/>
        <v>0</v>
      </c>
      <c r="P114" s="49">
        <f t="shared" si="5"/>
        <v>240491.85999999999</v>
      </c>
      <c r="Q114" s="47">
        <f>P71-P24</f>
        <v>240540.74000000011</v>
      </c>
    </row>
    <row r="115" spans="2:17" ht="11.25" customHeight="1">
      <c r="B115" s="47" t="s">
        <v>69</v>
      </c>
      <c r="C115" s="48" t="s">
        <v>70</v>
      </c>
      <c r="D115" s="54">
        <f t="shared" si="23" ref="D115:O115">D72-D25</f>
        <v>0</v>
      </c>
      <c r="E115" s="54">
        <f t="shared" si="23"/>
        <v>0</v>
      </c>
      <c r="F115" s="54">
        <f t="shared" si="23"/>
        <v>0</v>
      </c>
      <c r="G115" s="54">
        <f t="shared" si="23"/>
        <v>0</v>
      </c>
      <c r="H115" s="54">
        <f t="shared" si="23"/>
        <v>0</v>
      </c>
      <c r="I115" s="54">
        <f t="shared" si="23"/>
        <v>0</v>
      </c>
      <c r="J115" s="54">
        <f t="shared" si="23"/>
        <v>-85.529999999999987</v>
      </c>
      <c r="K115" s="54">
        <f t="shared" si="23"/>
        <v>130.31999999999994</v>
      </c>
      <c r="L115" s="54">
        <f t="shared" si="23"/>
        <v>0</v>
      </c>
      <c r="M115" s="54">
        <f t="shared" si="23"/>
        <v>0</v>
      </c>
      <c r="N115" s="54">
        <f t="shared" si="23"/>
        <v>0</v>
      </c>
      <c r="O115" s="54">
        <f t="shared" si="23"/>
        <v>0</v>
      </c>
      <c r="P115" s="49">
        <f t="shared" si="5"/>
        <v>44.789999999999949</v>
      </c>
      <c r="Q115" s="47">
        <f>P72-P25</f>
        <v>44.789999999999964</v>
      </c>
    </row>
    <row r="116" spans="2:17" ht="11.25" customHeight="1">
      <c r="B116" s="47" t="s">
        <v>72</v>
      </c>
      <c r="C116" s="48" t="s">
        <v>73</v>
      </c>
      <c r="D116" s="54">
        <f t="shared" si="24" ref="D116:O116">D73-D26</f>
        <v>417.83000000000004</v>
      </c>
      <c r="E116" s="54">
        <f>E73-E26-E148</f>
        <v>86898.270000000004</v>
      </c>
      <c r="F116" s="54">
        <f t="shared" si="24"/>
        <v>226949.20000000001</v>
      </c>
      <c r="G116" s="54">
        <f t="shared" si="24"/>
        <v>2188.3199999999997</v>
      </c>
      <c r="H116" s="54">
        <f t="shared" si="24"/>
        <v>299161.69999999995</v>
      </c>
      <c r="I116" s="54">
        <f t="shared" si="24"/>
        <v>17861.440000000002</v>
      </c>
      <c r="J116" s="54">
        <f>J73-J26-J148</f>
        <v>236684.28000000006</v>
      </c>
      <c r="K116" s="54">
        <f>K73-K26-K148</f>
        <v>6241.9199999999828</v>
      </c>
      <c r="L116" s="54">
        <f>L73-L26-L148</f>
        <v>550773</v>
      </c>
      <c r="M116" s="54">
        <f>M73-M26-M148</f>
        <v>-29064.650000000001</v>
      </c>
      <c r="N116" s="54">
        <f t="shared" si="24"/>
        <v>-549017.53000000003</v>
      </c>
      <c r="O116" s="54">
        <f t="shared" si="24"/>
        <v>-25.800000000000001</v>
      </c>
      <c r="P116" s="49">
        <f t="shared" si="5"/>
        <v>849067.97999999998</v>
      </c>
      <c r="Q116" s="47">
        <f>P73-P26</f>
        <v>863954.08000000007</v>
      </c>
    </row>
    <row r="117" spans="2:17" ht="11.25" customHeight="1">
      <c r="B117" s="47" t="s">
        <v>78</v>
      </c>
      <c r="C117" s="48" t="s">
        <v>40</v>
      </c>
      <c r="D117" s="54">
        <f t="shared" si="25" ref="D117:O117">D74-D28</f>
        <v>0</v>
      </c>
      <c r="E117" s="54">
        <f t="shared" si="25"/>
        <v>6055.4300000000003</v>
      </c>
      <c r="F117" s="54">
        <f t="shared" si="25"/>
        <v>11496.699999999999</v>
      </c>
      <c r="G117" s="54">
        <f t="shared" si="25"/>
        <v>-124.25</v>
      </c>
      <c r="H117" s="54">
        <f t="shared" si="25"/>
        <v>6395.630000000001</v>
      </c>
      <c r="I117" s="54">
        <f t="shared" si="25"/>
        <v>1963.46</v>
      </c>
      <c r="J117" s="54">
        <f>J74-J28-J149</f>
        <v>7680.0199999999986</v>
      </c>
      <c r="K117" s="54">
        <f t="shared" si="25"/>
        <v>33.230000000000018</v>
      </c>
      <c r="L117" s="54">
        <f t="shared" si="25"/>
        <v>19430.709999999999</v>
      </c>
      <c r="M117" s="54">
        <f t="shared" si="25"/>
        <v>0</v>
      </c>
      <c r="N117" s="54">
        <f t="shared" si="25"/>
        <v>10185.91</v>
      </c>
      <c r="O117" s="54">
        <f t="shared" si="25"/>
        <v>0</v>
      </c>
      <c r="P117" s="49">
        <f t="shared" si="5"/>
        <v>63116.839999999997</v>
      </c>
      <c r="Q117" s="47">
        <f t="shared" si="26" ref="Q117:Q130">P74-P28</f>
        <v>63121.689999999995</v>
      </c>
    </row>
    <row r="118" spans="2:17" ht="11.25" customHeight="1">
      <c r="B118" s="47" t="s">
        <v>80</v>
      </c>
      <c r="C118" s="48" t="s">
        <v>43</v>
      </c>
      <c r="D118" s="54">
        <f t="shared" si="27" ref="D118:O118">D75-D29</f>
        <v>0</v>
      </c>
      <c r="E118" s="54">
        <f t="shared" si="27"/>
        <v>0</v>
      </c>
      <c r="F118" s="54">
        <f t="shared" si="27"/>
        <v>88.159999999999997</v>
      </c>
      <c r="G118" s="54">
        <f t="shared" si="27"/>
        <v>0</v>
      </c>
      <c r="H118" s="54">
        <f t="shared" si="27"/>
        <v>0</v>
      </c>
      <c r="I118" s="54">
        <f t="shared" si="27"/>
        <v>0</v>
      </c>
      <c r="J118" s="54">
        <f t="shared" si="27"/>
        <v>293</v>
      </c>
      <c r="K118" s="54">
        <f t="shared" si="27"/>
        <v>-6012.9899999999998</v>
      </c>
      <c r="L118" s="54">
        <f t="shared" si="27"/>
        <v>-4005.3500000000004</v>
      </c>
      <c r="M118" s="54">
        <f t="shared" si="27"/>
        <v>0</v>
      </c>
      <c r="N118" s="54">
        <f t="shared" si="27"/>
        <v>0</v>
      </c>
      <c r="O118" s="54">
        <f t="shared" si="27"/>
        <v>0</v>
      </c>
      <c r="P118" s="49">
        <f t="shared" si="5"/>
        <v>-9637.1800000000003</v>
      </c>
      <c r="Q118" s="47">
        <f t="shared" si="26"/>
        <v>-9637.1800000000021</v>
      </c>
    </row>
    <row r="119" spans="2:17" ht="11.25" customHeight="1">
      <c r="B119" s="47" t="s">
        <v>82</v>
      </c>
      <c r="C119" s="48" t="s">
        <v>46</v>
      </c>
      <c r="D119" s="54">
        <f t="shared" si="28" ref="D119:O119">D76-D30</f>
        <v>0</v>
      </c>
      <c r="E119" s="54">
        <f t="shared" si="28"/>
        <v>7351.2200000000003</v>
      </c>
      <c r="F119" s="54">
        <f t="shared" si="28"/>
        <v>15838.419999999998</v>
      </c>
      <c r="G119" s="54">
        <f t="shared" si="28"/>
        <v>237.76999999999998</v>
      </c>
      <c r="H119" s="54">
        <f t="shared" si="28"/>
        <v>25628.080000000002</v>
      </c>
      <c r="I119" s="54">
        <f t="shared" si="28"/>
        <v>24883.620000000003</v>
      </c>
      <c r="J119" s="54">
        <f t="shared" si="28"/>
        <v>17057.610000000001</v>
      </c>
      <c r="K119" s="54">
        <f>K76-K30-K150</f>
        <v>-115133.12</v>
      </c>
      <c r="L119" s="54">
        <f t="shared" si="28"/>
        <v>69489.160000000003</v>
      </c>
      <c r="M119" s="54">
        <f t="shared" si="28"/>
        <v>0</v>
      </c>
      <c r="N119" s="54">
        <f t="shared" si="28"/>
        <v>19318.870000000003</v>
      </c>
      <c r="O119" s="54">
        <f t="shared" si="28"/>
        <v>0</v>
      </c>
      <c r="P119" s="49">
        <f t="shared" si="5"/>
        <v>64671.630000000026</v>
      </c>
      <c r="Q119" s="47">
        <f t="shared" si="26"/>
        <v>64697.880000000005</v>
      </c>
    </row>
    <row r="120" spans="2:17" ht="11.25" customHeight="1">
      <c r="B120" s="47" t="s">
        <v>84</v>
      </c>
      <c r="C120" s="48" t="s">
        <v>49</v>
      </c>
      <c r="D120" s="54">
        <f t="shared" si="29" ref="D120:O120">D77-D31</f>
        <v>0</v>
      </c>
      <c r="E120" s="54">
        <f t="shared" si="29"/>
        <v>388.41000000000002</v>
      </c>
      <c r="F120" s="54">
        <f t="shared" si="29"/>
        <v>572.21000000000026</v>
      </c>
      <c r="G120" s="54">
        <f t="shared" si="29"/>
        <v>0</v>
      </c>
      <c r="H120" s="54">
        <f t="shared" si="29"/>
        <v>0</v>
      </c>
      <c r="I120" s="54">
        <f t="shared" si="29"/>
        <v>48</v>
      </c>
      <c r="J120" s="54">
        <f t="shared" si="29"/>
        <v>6350.4300000000003</v>
      </c>
      <c r="K120" s="54">
        <f t="shared" si="29"/>
        <v>-8637.1999999999971</v>
      </c>
      <c r="L120" s="54">
        <f t="shared" si="29"/>
        <v>4416.8400000000001</v>
      </c>
      <c r="M120" s="54">
        <f t="shared" si="29"/>
        <v>0</v>
      </c>
      <c r="N120" s="54">
        <f t="shared" si="29"/>
        <v>166.34</v>
      </c>
      <c r="O120" s="54">
        <f t="shared" si="29"/>
        <v>0</v>
      </c>
      <c r="P120" s="49">
        <f t="shared" si="5"/>
        <v>3305.0300000000043</v>
      </c>
      <c r="Q120" s="47">
        <f t="shared" si="26"/>
        <v>3305.0299999999988</v>
      </c>
    </row>
    <row r="121" spans="2:17" ht="11.25" customHeight="1">
      <c r="B121" s="47" t="s">
        <v>86</v>
      </c>
      <c r="C121" s="48" t="s">
        <v>87</v>
      </c>
      <c r="D121" s="54">
        <f t="shared" si="30" ref="D121:O121">D78-D32</f>
        <v>0</v>
      </c>
      <c r="E121" s="54">
        <f t="shared" si="30"/>
        <v>92.300000000000068</v>
      </c>
      <c r="F121" s="54">
        <f t="shared" si="30"/>
        <v>442.14000000000004</v>
      </c>
      <c r="G121" s="54">
        <f t="shared" si="30"/>
        <v>-3.2000000000000002</v>
      </c>
      <c r="H121" s="54">
        <f t="shared" si="30"/>
        <v>0</v>
      </c>
      <c r="I121" s="54">
        <f t="shared" si="30"/>
        <v>2193.1500000000001</v>
      </c>
      <c r="J121" s="54">
        <f t="shared" si="30"/>
        <v>2228.6300000000001</v>
      </c>
      <c r="K121" s="54">
        <f t="shared" si="30"/>
        <v>1677.1200000000008</v>
      </c>
      <c r="L121" s="54">
        <f t="shared" si="30"/>
        <v>6330.0500000000002</v>
      </c>
      <c r="M121" s="54">
        <f t="shared" si="30"/>
        <v>0</v>
      </c>
      <c r="N121" s="54">
        <f t="shared" si="30"/>
        <v>-117.45999999999992</v>
      </c>
      <c r="O121" s="54">
        <f t="shared" si="30"/>
        <v>0</v>
      </c>
      <c r="P121" s="49">
        <f t="shared" si="5"/>
        <v>12842.730000000003</v>
      </c>
      <c r="Q121" s="47">
        <f t="shared" si="26"/>
        <v>12842.730000000001</v>
      </c>
    </row>
    <row r="122" spans="2:17" ht="11.25" customHeight="1">
      <c r="B122" s="47" t="s">
        <v>89</v>
      </c>
      <c r="C122" s="48" t="s">
        <v>90</v>
      </c>
      <c r="D122" s="54">
        <f t="shared" si="31" ref="D122:O122">D79-D33</f>
        <v>0</v>
      </c>
      <c r="E122" s="54">
        <f t="shared" si="31"/>
        <v>646.84000000000003</v>
      </c>
      <c r="F122" s="54">
        <f t="shared" si="31"/>
        <v>441.24000000000001</v>
      </c>
      <c r="G122" s="54">
        <f t="shared" si="31"/>
        <v>0</v>
      </c>
      <c r="H122" s="54">
        <f t="shared" si="31"/>
        <v>0</v>
      </c>
      <c r="I122" s="54">
        <f t="shared" si="31"/>
        <v>356.5</v>
      </c>
      <c r="J122" s="54">
        <f t="shared" si="31"/>
        <v>1361.56</v>
      </c>
      <c r="K122" s="54">
        <f t="shared" si="31"/>
        <v>205.5</v>
      </c>
      <c r="L122" s="54">
        <f t="shared" si="31"/>
        <v>3409.75</v>
      </c>
      <c r="M122" s="54">
        <f t="shared" si="31"/>
        <v>0</v>
      </c>
      <c r="N122" s="54">
        <f t="shared" si="31"/>
        <v>-436.43000000000001</v>
      </c>
      <c r="O122" s="54">
        <f t="shared" si="31"/>
        <v>0</v>
      </c>
      <c r="P122" s="49">
        <f t="shared" si="5"/>
        <v>5984.9599999999991</v>
      </c>
      <c r="Q122" s="47">
        <f t="shared" si="26"/>
        <v>5984.9599999999991</v>
      </c>
    </row>
    <row r="123" spans="2:17" ht="11.25" customHeight="1">
      <c r="B123" s="47" t="s">
        <v>92</v>
      </c>
      <c r="C123" s="48" t="s">
        <v>93</v>
      </c>
      <c r="D123" s="54">
        <f t="shared" si="32" ref="D123:O123">D80-D34</f>
        <v>0</v>
      </c>
      <c r="E123" s="54">
        <f t="shared" si="32"/>
        <v>2986.6500000000001</v>
      </c>
      <c r="F123" s="54">
        <f t="shared" si="32"/>
        <v>14895.409999999998</v>
      </c>
      <c r="G123" s="54">
        <f t="shared" si="32"/>
        <v>0</v>
      </c>
      <c r="H123" s="54">
        <f t="shared" si="32"/>
        <v>44532.860000000001</v>
      </c>
      <c r="I123" s="54">
        <f t="shared" si="32"/>
        <v>1226.119999999999</v>
      </c>
      <c r="J123" s="54">
        <f t="shared" si="32"/>
        <v>26531.330000000002</v>
      </c>
      <c r="K123" s="54">
        <f t="shared" si="32"/>
        <v>3694.6900000000005</v>
      </c>
      <c r="L123" s="54">
        <f t="shared" si="32"/>
        <v>106361.27000000002</v>
      </c>
      <c r="M123" s="54">
        <f t="shared" si="32"/>
        <v>0</v>
      </c>
      <c r="N123" s="54">
        <f t="shared" si="32"/>
        <v>4327.2999999999993</v>
      </c>
      <c r="O123" s="54">
        <f t="shared" si="32"/>
        <v>0</v>
      </c>
      <c r="P123" s="49">
        <f t="shared" si="5"/>
        <v>204555.63000000001</v>
      </c>
      <c r="Q123" s="47">
        <f t="shared" si="26"/>
        <v>204555.63000000001</v>
      </c>
    </row>
    <row r="124" spans="2:17" ht="11.25" customHeight="1">
      <c r="B124" s="47" t="s">
        <v>95</v>
      </c>
      <c r="C124" s="48" t="s">
        <v>96</v>
      </c>
      <c r="D124" s="54">
        <f t="shared" si="33" ref="D124:O124">D81-D35</f>
        <v>0</v>
      </c>
      <c r="E124" s="54">
        <f t="shared" si="33"/>
        <v>0</v>
      </c>
      <c r="F124" s="54">
        <f t="shared" si="33"/>
        <v>1125.4300000000001</v>
      </c>
      <c r="G124" s="54">
        <f t="shared" si="33"/>
        <v>-100</v>
      </c>
      <c r="H124" s="54">
        <f t="shared" si="33"/>
        <v>0</v>
      </c>
      <c r="I124" s="54">
        <f t="shared" si="33"/>
        <v>-9469.5300000000007</v>
      </c>
      <c r="J124" s="54">
        <f t="shared" si="33"/>
        <v>-7008.0999999999995</v>
      </c>
      <c r="K124" s="54">
        <f t="shared" si="33"/>
        <v>457.28999999999996</v>
      </c>
      <c r="L124" s="54">
        <f t="shared" si="33"/>
        <v>-3317.3699999999999</v>
      </c>
      <c r="M124" s="54">
        <f t="shared" si="33"/>
        <v>0</v>
      </c>
      <c r="N124" s="54">
        <f t="shared" si="33"/>
        <v>-297.67000000000002</v>
      </c>
      <c r="O124" s="54">
        <f t="shared" si="33"/>
        <v>0</v>
      </c>
      <c r="P124" s="49">
        <f t="shared" si="5"/>
        <v>-18609.949999999997</v>
      </c>
      <c r="Q124" s="47">
        <f t="shared" si="26"/>
        <v>-18609.950000000001</v>
      </c>
    </row>
    <row r="125" spans="2:17" ht="11.25" customHeight="1">
      <c r="B125" s="47" t="s">
        <v>98</v>
      </c>
      <c r="C125" s="48" t="s">
        <v>99</v>
      </c>
      <c r="D125" s="54">
        <f t="shared" si="34" ref="D125:O125">D82-D36</f>
        <v>0</v>
      </c>
      <c r="E125" s="54">
        <f t="shared" si="34"/>
        <v>0</v>
      </c>
      <c r="F125" s="54">
        <f t="shared" si="34"/>
        <v>573.75999999999999</v>
      </c>
      <c r="G125" s="54">
        <f t="shared" si="34"/>
        <v>0</v>
      </c>
      <c r="H125" s="54">
        <f t="shared" si="34"/>
        <v>0</v>
      </c>
      <c r="I125" s="54">
        <f t="shared" si="34"/>
        <v>0</v>
      </c>
      <c r="J125" s="54">
        <f t="shared" si="34"/>
        <v>-254.33000000000001</v>
      </c>
      <c r="K125" s="54">
        <f t="shared" si="34"/>
        <v>0</v>
      </c>
      <c r="L125" s="54">
        <f t="shared" si="34"/>
        <v>-511.75999999999999</v>
      </c>
      <c r="M125" s="54">
        <f t="shared" si="34"/>
        <v>0</v>
      </c>
      <c r="N125" s="54">
        <f t="shared" si="34"/>
        <v>0</v>
      </c>
      <c r="O125" s="54">
        <f t="shared" si="34"/>
        <v>0</v>
      </c>
      <c r="P125" s="49">
        <f t="shared" si="5"/>
        <v>-192.33000000000004</v>
      </c>
      <c r="Q125" s="47">
        <f t="shared" si="26"/>
        <v>-192.33000000000004</v>
      </c>
    </row>
    <row r="126" spans="2:17" ht="11.25" customHeight="1">
      <c r="B126" s="47" t="s">
        <v>101</v>
      </c>
      <c r="C126" s="48" t="s">
        <v>102</v>
      </c>
      <c r="D126" s="54">
        <f t="shared" si="35" ref="D126:O126">D83-D37</f>
        <v>0</v>
      </c>
      <c r="E126" s="54">
        <f t="shared" si="35"/>
        <v>10933.16</v>
      </c>
      <c r="F126" s="54">
        <f t="shared" si="35"/>
        <v>12195.23</v>
      </c>
      <c r="G126" s="54">
        <f t="shared" si="35"/>
        <v>340</v>
      </c>
      <c r="H126" s="54">
        <f t="shared" si="35"/>
        <v>0</v>
      </c>
      <c r="I126" s="54">
        <f t="shared" si="35"/>
        <v>2396.1099999999997</v>
      </c>
      <c r="J126" s="54">
        <f t="shared" si="35"/>
        <v>42201.170000000006</v>
      </c>
      <c r="K126" s="54">
        <f t="shared" si="35"/>
        <v>137.5</v>
      </c>
      <c r="L126" s="54">
        <f t="shared" si="35"/>
        <v>22865.709999999999</v>
      </c>
      <c r="M126" s="54">
        <f t="shared" si="35"/>
        <v>0</v>
      </c>
      <c r="N126" s="54">
        <f t="shared" si="35"/>
        <v>4058.7399999999998</v>
      </c>
      <c r="O126" s="54">
        <f t="shared" si="35"/>
        <v>0</v>
      </c>
      <c r="P126" s="49">
        <f t="shared" si="5"/>
        <v>95127.62000000001</v>
      </c>
      <c r="Q126" s="47">
        <f t="shared" si="26"/>
        <v>95127.619999999995</v>
      </c>
    </row>
    <row r="127" spans="2:17" ht="11.25" customHeight="1">
      <c r="B127" s="47" t="s">
        <v>104</v>
      </c>
      <c r="C127" s="48" t="s">
        <v>105</v>
      </c>
      <c r="D127" s="54">
        <f t="shared" si="36" ref="D127:O127">D84-D38</f>
        <v>0</v>
      </c>
      <c r="E127" s="54">
        <f t="shared" si="36"/>
        <v>11033.32</v>
      </c>
      <c r="F127" s="54">
        <f t="shared" si="36"/>
        <v>31867.610000000001</v>
      </c>
      <c r="G127" s="54">
        <f t="shared" si="36"/>
        <v>0</v>
      </c>
      <c r="H127" s="54">
        <f t="shared" si="36"/>
        <v>0</v>
      </c>
      <c r="I127" s="54">
        <f t="shared" si="36"/>
        <v>4067.0699999999997</v>
      </c>
      <c r="J127" s="54">
        <f t="shared" si="36"/>
        <v>46936.629999999997</v>
      </c>
      <c r="K127" s="54">
        <f t="shared" si="36"/>
        <v>126.3</v>
      </c>
      <c r="L127" s="54">
        <f>L84-L38-L151</f>
        <v>47363.139999999999</v>
      </c>
      <c r="M127" s="54">
        <f t="shared" si="36"/>
        <v>0</v>
      </c>
      <c r="N127" s="54">
        <f t="shared" si="36"/>
        <v>384.29000000000002</v>
      </c>
      <c r="O127" s="54">
        <f t="shared" si="36"/>
        <v>0</v>
      </c>
      <c r="P127" s="49">
        <f t="shared" si="5"/>
        <v>141778.36000000002</v>
      </c>
      <c r="Q127" s="47">
        <f t="shared" si="26"/>
        <v>141803.36000000002</v>
      </c>
    </row>
    <row r="128" spans="2:17" ht="11.25" customHeight="1">
      <c r="B128" s="47" t="s">
        <v>107</v>
      </c>
      <c r="C128" s="48" t="s">
        <v>108</v>
      </c>
      <c r="D128" s="54">
        <f t="shared" si="37" ref="D128:O128">D85-D39</f>
        <v>0</v>
      </c>
      <c r="E128" s="54">
        <f t="shared" si="37"/>
        <v>0</v>
      </c>
      <c r="F128" s="54">
        <f t="shared" si="37"/>
        <v>-48.149999999999999</v>
      </c>
      <c r="G128" s="54">
        <f t="shared" si="37"/>
        <v>0</v>
      </c>
      <c r="H128" s="54">
        <f t="shared" si="37"/>
        <v>0</v>
      </c>
      <c r="I128" s="54">
        <f t="shared" si="37"/>
        <v>0</v>
      </c>
      <c r="J128" s="54">
        <f t="shared" si="37"/>
        <v>587.33000000000004</v>
      </c>
      <c r="K128" s="54">
        <f t="shared" si="37"/>
        <v>-3.1199999999999992</v>
      </c>
      <c r="L128" s="54">
        <f t="shared" si="37"/>
        <v>-2998.5</v>
      </c>
      <c r="M128" s="54">
        <f t="shared" si="37"/>
        <v>0</v>
      </c>
      <c r="N128" s="54">
        <f t="shared" si="37"/>
        <v>0</v>
      </c>
      <c r="O128" s="54">
        <f t="shared" si="37"/>
        <v>0</v>
      </c>
      <c r="P128" s="49">
        <f t="shared" si="5"/>
        <v>-2462.4400000000001</v>
      </c>
      <c r="Q128" s="47">
        <f t="shared" si="26"/>
        <v>-2462.4399999999996</v>
      </c>
    </row>
    <row r="129" spans="2:17" ht="11.25" customHeight="1">
      <c r="B129" s="47" t="s">
        <v>110</v>
      </c>
      <c r="C129" s="48" t="s">
        <v>111</v>
      </c>
      <c r="D129" s="54">
        <f t="shared" si="38" ref="D129:O129">D86-D40</f>
        <v>0</v>
      </c>
      <c r="E129" s="54">
        <f t="shared" si="38"/>
        <v>462430.77000000002</v>
      </c>
      <c r="F129" s="54">
        <f>F86-F40-F152</f>
        <v>259994.38000000003</v>
      </c>
      <c r="G129" s="54">
        <f t="shared" si="38"/>
        <v>74106.490000000005</v>
      </c>
      <c r="H129" s="54">
        <f t="shared" si="38"/>
        <v>-41080.110000000001</v>
      </c>
      <c r="I129" s="54">
        <f t="shared" si="38"/>
        <v>328901.77000000002</v>
      </c>
      <c r="J129" s="54">
        <f>J86-J40-J152</f>
        <v>1081039.2799999998</v>
      </c>
      <c r="K129" s="54">
        <f t="shared" si="38"/>
        <v>751.42999999999984</v>
      </c>
      <c r="L129" s="54">
        <f>L86-L40-L152</f>
        <v>981772.29000000004</v>
      </c>
      <c r="M129" s="54">
        <f>M86-M40-M152</f>
        <v>-444420.56</v>
      </c>
      <c r="N129" s="54">
        <f t="shared" si="38"/>
        <v>-30134.910000000033</v>
      </c>
      <c r="O129" s="54">
        <f t="shared" si="38"/>
        <v>86.280000000000001</v>
      </c>
      <c r="P129" s="49">
        <f t="shared" si="5"/>
        <v>2673447.1099999999</v>
      </c>
      <c r="Q129" s="47">
        <f t="shared" si="26"/>
        <v>2895553.4699999997</v>
      </c>
    </row>
    <row r="130" spans="2:17" ht="11.25" customHeight="1">
      <c r="B130" s="47" t="s">
        <v>113</v>
      </c>
      <c r="C130" s="48" t="s">
        <v>114</v>
      </c>
      <c r="D130" s="54">
        <f t="shared" si="39" ref="D130:O130">D87-D41</f>
        <v>0</v>
      </c>
      <c r="E130" s="54">
        <f t="shared" si="39"/>
        <v>560.46000000000004</v>
      </c>
      <c r="F130" s="54">
        <f t="shared" si="39"/>
        <v>0</v>
      </c>
      <c r="G130" s="54">
        <f t="shared" si="39"/>
        <v>482</v>
      </c>
      <c r="H130" s="54">
        <f t="shared" si="39"/>
        <v>-11573.959999999999</v>
      </c>
      <c r="I130" s="54">
        <f t="shared" si="39"/>
        <v>19330.380000000001</v>
      </c>
      <c r="J130" s="54">
        <f t="shared" si="39"/>
        <v>10884.82</v>
      </c>
      <c r="K130" s="54">
        <f t="shared" si="39"/>
        <v>0</v>
      </c>
      <c r="L130" s="54">
        <f t="shared" si="39"/>
        <v>-885.47000000000025</v>
      </c>
      <c r="M130" s="54">
        <f t="shared" si="39"/>
        <v>0</v>
      </c>
      <c r="N130" s="54">
        <f t="shared" si="39"/>
        <v>-623.67999999999995</v>
      </c>
      <c r="O130" s="54">
        <f t="shared" si="39"/>
        <v>0</v>
      </c>
      <c r="P130" s="49">
        <f t="shared" si="5"/>
        <v>18174.549999999999</v>
      </c>
      <c r="Q130" s="47">
        <f t="shared" si="26"/>
        <v>18174.550000000007</v>
      </c>
    </row>
    <row r="131" spans="2:17" ht="11.25" customHeight="1">
      <c r="B131" s="47" t="s">
        <v>119</v>
      </c>
      <c r="C131" s="48" t="s">
        <v>120</v>
      </c>
      <c r="D131" s="54">
        <f t="shared" si="40" ref="D131:O131">D88-D43</f>
        <v>0</v>
      </c>
      <c r="E131" s="54">
        <f t="shared" si="40"/>
        <v>713.13</v>
      </c>
      <c r="F131" s="54">
        <f t="shared" si="40"/>
        <v>868.96000000000004</v>
      </c>
      <c r="G131" s="54">
        <f t="shared" si="40"/>
        <v>14.049999999999997</v>
      </c>
      <c r="H131" s="54">
        <f t="shared" si="40"/>
        <v>-476.60000000000002</v>
      </c>
      <c r="I131" s="54">
        <f t="shared" si="40"/>
        <v>-5417.8900000000003</v>
      </c>
      <c r="J131" s="54">
        <f t="shared" si="40"/>
        <v>-25585.860000000001</v>
      </c>
      <c r="K131" s="54">
        <f t="shared" si="40"/>
        <v>-116.70000000000002</v>
      </c>
      <c r="L131" s="54">
        <f t="shared" si="40"/>
        <v>2427.9099999999999</v>
      </c>
      <c r="M131" s="54">
        <f t="shared" si="40"/>
        <v>0</v>
      </c>
      <c r="N131" s="54">
        <f t="shared" si="40"/>
        <v>-21181.869999999999</v>
      </c>
      <c r="O131" s="54">
        <f t="shared" si="40"/>
        <v>0</v>
      </c>
      <c r="P131" s="49">
        <f t="shared" si="5"/>
        <v>-48754.869999999995</v>
      </c>
      <c r="Q131" s="47">
        <f>P88-P43</f>
        <v>-48754.87000000001</v>
      </c>
    </row>
    <row r="132" spans="2:17" ht="11.25" customHeight="1">
      <c r="B132" s="47" t="s">
        <v>122</v>
      </c>
      <c r="C132" s="48" t="s">
        <v>123</v>
      </c>
      <c r="D132" s="54">
        <f t="shared" si="41" ref="D132:O132">D89-D44</f>
        <v>0</v>
      </c>
      <c r="E132" s="54">
        <f t="shared" si="41"/>
        <v>0</v>
      </c>
      <c r="F132" s="54">
        <f t="shared" si="41"/>
        <v>57.239999999999995</v>
      </c>
      <c r="G132" s="54">
        <f t="shared" si="41"/>
        <v>0</v>
      </c>
      <c r="H132" s="54">
        <f t="shared" si="41"/>
        <v>0</v>
      </c>
      <c r="I132" s="54">
        <f t="shared" si="41"/>
        <v>0</v>
      </c>
      <c r="J132" s="54">
        <f t="shared" si="41"/>
        <v>288.92000000000002</v>
      </c>
      <c r="K132" s="54">
        <f t="shared" si="41"/>
        <v>18.75</v>
      </c>
      <c r="L132" s="54">
        <f t="shared" si="41"/>
        <v>12</v>
      </c>
      <c r="M132" s="54">
        <f t="shared" si="41"/>
        <v>0</v>
      </c>
      <c r="N132" s="54">
        <f t="shared" si="41"/>
        <v>0</v>
      </c>
      <c r="O132" s="54">
        <f t="shared" si="41"/>
        <v>0</v>
      </c>
      <c r="P132" s="49">
        <f t="shared" si="5"/>
        <v>376.91000000000002</v>
      </c>
      <c r="Q132" s="47">
        <f>P89-P44</f>
        <v>376.91000000000002</v>
      </c>
    </row>
    <row r="133" spans="2:17" ht="11.25" customHeight="1">
      <c r="B133" s="47" t="s">
        <v>125</v>
      </c>
      <c r="C133" s="48" t="s">
        <v>126</v>
      </c>
      <c r="D133" s="54">
        <f t="shared" si="42" ref="D133:O133">D90-D45</f>
        <v>0</v>
      </c>
      <c r="E133" s="54">
        <f t="shared" si="42"/>
        <v>785.90999999999997</v>
      </c>
      <c r="F133" s="54">
        <f t="shared" si="42"/>
        <v>-218.72000000000003</v>
      </c>
      <c r="G133" s="54">
        <f t="shared" si="42"/>
        <v>0</v>
      </c>
      <c r="H133" s="54">
        <f t="shared" si="42"/>
        <v>62183.32</v>
      </c>
      <c r="I133" s="54">
        <f t="shared" si="42"/>
        <v>100</v>
      </c>
      <c r="J133" s="54">
        <f t="shared" si="42"/>
        <v>6362.4300000000003</v>
      </c>
      <c r="K133" s="54">
        <f t="shared" si="42"/>
        <v>1024.9299999999998</v>
      </c>
      <c r="L133" s="54">
        <f t="shared" si="42"/>
        <v>3298.8899999999994</v>
      </c>
      <c r="M133" s="54">
        <f t="shared" si="42"/>
        <v>0</v>
      </c>
      <c r="N133" s="54">
        <f t="shared" si="42"/>
        <v>-386.00999999999999</v>
      </c>
      <c r="O133" s="54">
        <f t="shared" si="42"/>
        <v>0</v>
      </c>
      <c r="P133" s="49">
        <f t="shared" si="5"/>
        <v>73150.75</v>
      </c>
      <c r="Q133" s="47">
        <f>P90-P45</f>
        <v>73150.75</v>
      </c>
    </row>
    <row r="134" spans="2:17" ht="11.25" customHeight="1" thickBot="1">
      <c r="B134" s="51" t="s">
        <v>5</v>
      </c>
      <c r="C134" s="52"/>
      <c r="D134" s="53">
        <f>SUM(D99:D133)</f>
        <v>709.92000000000007</v>
      </c>
      <c r="E134" s="53">
        <f t="shared" si="43" ref="E134:Q134">SUM(E99:E133)</f>
        <v>770547.84999999998</v>
      </c>
      <c r="F134" s="53">
        <f t="shared" si="43"/>
        <v>823115.35999999999</v>
      </c>
      <c r="G134" s="53">
        <f t="shared" si="43"/>
        <v>119238.38000000001</v>
      </c>
      <c r="H134" s="53">
        <f t="shared" si="43"/>
        <v>496170.73999999999</v>
      </c>
      <c r="I134" s="53">
        <f t="shared" si="43"/>
        <v>392845.98999999999</v>
      </c>
      <c r="J134" s="53">
        <f t="shared" si="43"/>
        <v>1841069.9499999997</v>
      </c>
      <c r="K134" s="53">
        <f t="shared" si="43"/>
        <v>-18644.479999999992</v>
      </c>
      <c r="L134" s="53">
        <f t="shared" si="43"/>
        <v>2452738.7799999993</v>
      </c>
      <c r="M134" s="53">
        <f t="shared" si="43"/>
        <v>-498401.21000000002</v>
      </c>
      <c r="N134" s="53">
        <f t="shared" si="43"/>
        <v>-579451.76000000013</v>
      </c>
      <c r="O134" s="53">
        <f t="shared" si="43"/>
        <v>60.480000000000004</v>
      </c>
      <c r="P134" s="53">
        <f t="shared" si="43"/>
        <v>5799999.9999999981</v>
      </c>
      <c r="Q134" s="51">
        <f t="shared" si="43"/>
        <v>6050008.0899999989</v>
      </c>
    </row>
    <row r="135" ht="11.25" customHeight="1" thickTop="1"/>
    <row r="136" spans="4:17" ht="11.25" customHeight="1">
      <c r="D136" s="54">
        <f>D91-D46</f>
        <v>709.91999999999996</v>
      </c>
      <c r="E136" s="54">
        <f t="shared" si="44" ref="E136:N136">E91-E46</f>
        <v>770776.64000000001</v>
      </c>
      <c r="F136" s="54">
        <f t="shared" si="44"/>
        <v>823140.58999999985</v>
      </c>
      <c r="G136" s="54">
        <f t="shared" si="44"/>
        <v>119238.37999999998</v>
      </c>
      <c r="H136" s="54">
        <f t="shared" si="44"/>
        <v>496170.73999999999</v>
      </c>
      <c r="I136" s="54">
        <f t="shared" si="44"/>
        <v>392845.98999999976</v>
      </c>
      <c r="J136" s="54">
        <f t="shared" si="44"/>
        <v>1845803.0200000005</v>
      </c>
      <c r="K136" s="54">
        <f t="shared" si="44"/>
        <v>-18571.199999999721</v>
      </c>
      <c r="L136" s="54">
        <f t="shared" si="44"/>
        <v>2468580.1499999994</v>
      </c>
      <c r="M136" s="54">
        <f t="shared" si="44"/>
        <v>-269528.21000000002</v>
      </c>
      <c r="N136" s="54">
        <f t="shared" si="44"/>
        <v>-579451.76000000001</v>
      </c>
      <c r="O136" s="54">
        <f>O91-O46</f>
        <v>60.480000000000004</v>
      </c>
      <c r="P136" s="21">
        <f>P91-P46</f>
        <v>6049774.7399999993</v>
      </c>
      <c r="Q136" s="63" t="s">
        <v>155</v>
      </c>
    </row>
    <row r="137" spans="4:17" ht="11.25" customHeight="1">
      <c r="D137" s="50">
        <f>D136/$P136</f>
        <v>0.00011734651793002131</v>
      </c>
      <c r="E137" s="50">
        <f t="shared" si="45" ref="E137:O137">E136/$P136</f>
        <v>0.12740584122971826</v>
      </c>
      <c r="F137" s="50">
        <f t="shared" si="45"/>
        <v>0.1360613618483256</v>
      </c>
      <c r="G137" s="50">
        <f t="shared" si="45"/>
        <v>0.019709556987571406</v>
      </c>
      <c r="H137" s="50">
        <f t="shared" si="45"/>
        <v>0.08201474622177421</v>
      </c>
      <c r="I137" s="50">
        <f t="shared" si="45"/>
        <v>0.064935639240015705</v>
      </c>
      <c r="J137" s="50">
        <f t="shared" si="45"/>
        <v>0.30510276817348092</v>
      </c>
      <c r="K137" s="50">
        <f t="shared" si="45"/>
        <v>-0.0030697341302991592</v>
      </c>
      <c r="L137" s="50">
        <f t="shared" si="45"/>
        <v>0.40804496962146392</v>
      </c>
      <c r="M137" s="50">
        <f t="shared" si="45"/>
        <v>-0.044551776154230838</v>
      </c>
      <c r="N137" s="50">
        <f t="shared" si="45"/>
        <v>-0.095780716622186179</v>
      </c>
      <c r="O137" s="50">
        <f t="shared" si="45"/>
        <v>9.9970664362289981E-06</v>
      </c>
      <c r="P137" s="42">
        <f>P17+P27+P42</f>
        <v>233.34999999999997</v>
      </c>
      <c r="Q137" s="63" t="s">
        <v>156</v>
      </c>
    </row>
    <row r="138" spans="14:17" ht="11.25" customHeight="1">
      <c r="N138" s="60" t="s">
        <v>157</v>
      </c>
      <c r="O138" s="60"/>
      <c r="P138" s="21">
        <f>SUM(P136:P137)</f>
        <v>6050008.0899999989</v>
      </c>
      <c r="Q138" s="63" t="s">
        <v>169</v>
      </c>
    </row>
    <row r="139" spans="2:2" ht="11.25" customHeight="1">
      <c r="B139" s="22" t="s">
        <v>170</v>
      </c>
    </row>
    <row r="140" spans="2:17" ht="11.25" customHeight="1">
      <c r="B140" s="22" t="s">
        <v>167</v>
      </c>
      <c r="D140" s="50"/>
      <c r="M140" s="38"/>
      <c r="P140" s="64">
        <f>P138/P46</f>
        <v>0.74563738685833569</v>
      </c>
      <c r="Q140" s="63" t="s">
        <v>162</v>
      </c>
    </row>
    <row r="141" spans="2:5" ht="11.25" customHeight="1">
      <c r="B141" s="22" t="s">
        <v>163</v>
      </c>
      <c r="E141" s="31" t="s">
        <v>164</v>
      </c>
    </row>
    <row r="142" spans="2:14" ht="11.25" customHeight="1">
      <c r="B142" s="22" t="s">
        <v>165</v>
      </c>
      <c r="E142" s="66" t="s">
        <v>140</v>
      </c>
      <c r="F142" s="66" t="s">
        <v>141</v>
      </c>
      <c r="G142" s="68" t="s">
        <v>142</v>
      </c>
      <c r="H142" s="68" t="s">
        <v>143</v>
      </c>
      <c r="I142" s="68" t="s">
        <v>144</v>
      </c>
      <c r="J142" s="66" t="s">
        <v>145</v>
      </c>
      <c r="K142" s="66" t="s">
        <v>146</v>
      </c>
      <c r="L142" s="66" t="s">
        <v>147</v>
      </c>
      <c r="M142" s="66" t="s">
        <v>148</v>
      </c>
      <c r="N142" s="66" t="s">
        <v>166</v>
      </c>
    </row>
    <row r="143" spans="2:14" ht="11.25" customHeight="1">
      <c r="B143" s="22" t="s">
        <v>24</v>
      </c>
      <c r="E143" s="31"/>
      <c r="L143" s="21">
        <v>1.3600000000000001</v>
      </c>
      <c r="N143" s="67">
        <f>SUM(E143:M143)</f>
        <v>1.3600000000000001</v>
      </c>
    </row>
    <row r="144" spans="2:14" ht="11.25" customHeight="1">
      <c r="B144" s="22" t="s">
        <v>36</v>
      </c>
      <c r="E144" s="31"/>
      <c r="F144" s="21">
        <v>8.4299999999999997</v>
      </c>
      <c r="J144" s="21">
        <v>84.740000000000009</v>
      </c>
      <c r="L144" s="21">
        <v>364.08999999999998</v>
      </c>
      <c r="M144" s="21">
        <v>12400</v>
      </c>
      <c r="N144" s="24">
        <f t="shared" si="46" ref="N144:N152">SUM(E144:M144)</f>
        <v>12857.26</v>
      </c>
    </row>
    <row r="145" spans="2:14" ht="11.25" customHeight="1">
      <c r="B145" s="22" t="s">
        <v>54</v>
      </c>
      <c r="E145" s="31"/>
      <c r="J145" s="21">
        <v>4.8499999999999996</v>
      </c>
      <c r="L145" s="21">
        <v>22.18</v>
      </c>
      <c r="N145" s="24">
        <f t="shared" si="46"/>
        <v>27.030000000000001</v>
      </c>
    </row>
    <row r="146" spans="2:14" ht="11.25" customHeight="1">
      <c r="B146" s="22" t="s">
        <v>61</v>
      </c>
      <c r="E146" s="31"/>
      <c r="K146" s="21">
        <v>25</v>
      </c>
      <c r="N146" s="24">
        <f t="shared" si="46"/>
        <v>25</v>
      </c>
    </row>
    <row r="147" spans="2:14" ht="11.25" customHeight="1">
      <c r="B147" s="22" t="s">
        <v>66</v>
      </c>
      <c r="E147" s="31"/>
      <c r="J147" s="21">
        <v>48.880000000000003</v>
      </c>
      <c r="N147" s="24">
        <f t="shared" si="46"/>
        <v>48.880000000000003</v>
      </c>
    </row>
    <row r="148" spans="2:14" ht="11.25" customHeight="1">
      <c r="B148" s="22" t="s">
        <v>72</v>
      </c>
      <c r="E148" s="31">
        <v>228.78999999999999</v>
      </c>
      <c r="J148" s="21">
        <v>74.519999999999996</v>
      </c>
      <c r="K148" s="21">
        <v>22.030000000000001</v>
      </c>
      <c r="L148" s="21">
        <v>60.760000000000005</v>
      </c>
      <c r="M148" s="21">
        <v>14500</v>
      </c>
      <c r="N148" s="24">
        <f t="shared" si="46"/>
        <v>14886.1</v>
      </c>
    </row>
    <row r="149" spans="2:14" ht="11.25" customHeight="1">
      <c r="B149" s="22" t="s">
        <v>78</v>
      </c>
      <c r="E149" s="31"/>
      <c r="J149" s="21">
        <v>4.8499999999999996</v>
      </c>
      <c r="N149" s="24">
        <f t="shared" si="46"/>
        <v>4.8499999999999996</v>
      </c>
    </row>
    <row r="150" spans="2:14" ht="11.25" customHeight="1">
      <c r="B150" s="22" t="s">
        <v>82</v>
      </c>
      <c r="E150" s="31"/>
      <c r="K150" s="21">
        <v>26.25</v>
      </c>
      <c r="N150" s="24">
        <f t="shared" si="46"/>
        <v>26.25</v>
      </c>
    </row>
    <row r="151" spans="2:14" ht="11.25" customHeight="1">
      <c r="B151" s="22" t="s">
        <v>104</v>
      </c>
      <c r="E151" s="31"/>
      <c r="L151" s="21">
        <v>25</v>
      </c>
      <c r="N151" s="24">
        <f t="shared" si="46"/>
        <v>25</v>
      </c>
    </row>
    <row r="152" spans="2:16" ht="11.25" customHeight="1">
      <c r="B152" s="22" t="s">
        <v>110</v>
      </c>
      <c r="E152" s="65"/>
      <c r="F152" s="42">
        <v>16.800000000000001</v>
      </c>
      <c r="G152" s="42"/>
      <c r="H152" s="42"/>
      <c r="I152" s="42"/>
      <c r="J152" s="42">
        <v>4649.5799999999999</v>
      </c>
      <c r="K152" s="42"/>
      <c r="L152" s="42">
        <f>52.15+15406.74+8.09</f>
        <v>15466.98</v>
      </c>
      <c r="M152" s="42">
        <v>201973</v>
      </c>
      <c r="N152" s="42">
        <f t="shared" si="46"/>
        <v>222106.35999999999</v>
      </c>
      <c r="O152" s="70" t="s">
        <v>168</v>
      </c>
      <c r="P152" s="71">
        <f>O153</f>
        <v>-250008.09</v>
      </c>
    </row>
    <row r="153" spans="2:17" ht="11.25" customHeight="1">
      <c r="B153" s="22" t="s">
        <v>166</v>
      </c>
      <c r="E153" s="21">
        <f t="shared" si="47" ref="E153:M153">SUM(E143:E152)</f>
        <v>228.78999999999999</v>
      </c>
      <c r="F153" s="21">
        <f t="shared" si="47"/>
        <v>25.23</v>
      </c>
      <c r="G153" s="21">
        <f t="shared" si="47"/>
        <v>0</v>
      </c>
      <c r="H153" s="21">
        <f t="shared" si="47"/>
        <v>0</v>
      </c>
      <c r="I153" s="21">
        <f t="shared" si="47"/>
        <v>0</v>
      </c>
      <c r="J153" s="21">
        <f t="shared" si="47"/>
        <v>4867.4200000000001</v>
      </c>
      <c r="K153" s="21">
        <f t="shared" si="47"/>
        <v>73.280000000000001</v>
      </c>
      <c r="L153" s="21">
        <f t="shared" si="47"/>
        <v>15940.369999999999</v>
      </c>
      <c r="M153" s="21">
        <f t="shared" si="47"/>
        <v>228873</v>
      </c>
      <c r="N153" s="21">
        <f>SUM(N143:N152)</f>
        <v>250008.09</v>
      </c>
      <c r="O153" s="54">
        <f>-N153</f>
        <v>-250008.09</v>
      </c>
      <c r="P153" s="21">
        <f>P138+P152</f>
        <v>5799999.9999999991</v>
      </c>
      <c r="Q153" s="69">
        <f>P153/(P91-N91)</f>
        <v>0.44878322078523325</v>
      </c>
    </row>
  </sheetData>
  <pageMargins left="0.5" right="0.5" top="1.5" bottom="0.5" header="1" footer="0.5"/>
  <pageSetup firstPageNumber="2" useFirstPageNumber="1" fitToHeight="3" orientation="landscape" scale="46" r:id="rId1"/>
  <headerFooter alignWithMargins="0">
    <oddHeader>&amp;R&amp;"Arial,Bold"WP/II-D ADJUSTMENT /27
Page &amp;P of 4</oddHeader>
  </headerFooter>
  <rowBreaks count="2" manualBreakCount="2">
    <brk id="47" min="1" max="16" man="1"/>
    <brk id="92" min="1" max="1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15.0300</AppVers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Template/>
  <Manager/>
  <Company/>
  <LinksUpToDate>false</LinksUpToDate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