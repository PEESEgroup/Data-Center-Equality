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0" yWindow="0" windowWidth="28800" windowHeight="12705" activeTab="0"/>
  </bookViews>
  <sheets>
    <sheet name="Sheet2" sheetId="2" r:id="rId2"/>
  </sheets>
  <definedNames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2" l="1"/>
</calcChain>
</file>

<file path=xl/sharedStrings.xml><?xml version="1.0" encoding="utf-8"?>
<sst xmlns="http://schemas.openxmlformats.org/spreadsheetml/2006/main" count="39" uniqueCount="26">
  <si>
    <t>DIST</t>
  </si>
  <si>
    <t>TRAN</t>
  </si>
  <si>
    <t>470</t>
  </si>
  <si>
    <t>Vegetation Mngt-Contractor Exp</t>
  </si>
  <si>
    <t>Account</t>
  </si>
  <si>
    <t>EC</t>
  </si>
  <si>
    <t>Deptid</t>
  </si>
  <si>
    <t>Oncor Electric Delivery Company LLC</t>
  </si>
  <si>
    <t>O&amp;M K&amp;M Adjustment for Vegetation Management</t>
  </si>
  <si>
    <t>Distribution</t>
  </si>
  <si>
    <t>Category</t>
  </si>
  <si>
    <t>Subcategory</t>
  </si>
  <si>
    <t>Dollars Actual (M)</t>
  </si>
  <si>
    <t>New Contracted Rate</t>
  </si>
  <si>
    <t>Difference</t>
  </si>
  <si>
    <t>Scheduled Vegetation Maintenance</t>
  </si>
  <si>
    <t>Planned Circuit (O&amp;M)</t>
  </si>
  <si>
    <t>Unscheduled Vegetation Maintenance</t>
  </si>
  <si>
    <t>Customer Requests</t>
  </si>
  <si>
    <t>Utility Requests</t>
  </si>
  <si>
    <t>Tree Risk Management</t>
  </si>
  <si>
    <t>East Texas Hazard Tree</t>
  </si>
  <si>
    <t>Total:</t>
  </si>
  <si>
    <t>Transmission</t>
  </si>
  <si>
    <t>Reactive</t>
  </si>
  <si>
    <t>Total Oncor VM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</si>
</sst>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8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Times New Roman"/>
      <family val="1"/>
    </font>
    <font>
      <b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  <border>
      <left style="medium">
        <color auto="1"/>
      </left>
      <right style="medium">
        <color auto="1"/>
      </right>
      <top/>
      <bottom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  <border>
      <left/>
      <right/>
      <top/>
      <bottom style="thin">
        <color auto="1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  <border>
      <left/>
      <right style="medium">
        <color rgb="FF000000"/>
      </right>
      <top style="medium">
        <color auto="1"/>
      </top>
      <bottom style="medium">
        <color auto="1"/>
      </bottom>
    </border>
    <border>
      <left style="medium">
        <color auto="1"/>
      </left>
      <right style="medium">
        <color auto="1"/>
      </right>
      <top style="medium">
        <color auto="1"/>
      </top>
      <bottom/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Fill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8" fontId="2" fillId="2" borderId="2" xfId="0" applyNumberFormat="1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right" vertical="center" wrapText="1"/>
    </xf>
    <xf numFmtId="0" fontId="0" fillId="0" borderId="0" xfId="0" applyFill="1" applyAlignment="1">
      <alignment horizontal="center"/>
    </xf>
    <xf numFmtId="8" fontId="2" fillId="2" borderId="2" xfId="0" applyNumberFormat="1" applyFont="1" applyFill="1" applyBorder="1" applyAlignment="1">
      <alignment horizontal="right" vertical="center" wrapText="1"/>
    </xf>
    <xf numFmtId="0" fontId="4" fillId="0" borderId="0" xfId="0" applyFont="1"/>
    <xf numFmtId="8" fontId="5" fillId="0" borderId="5" xfId="0" applyNumberFormat="1" applyFont="1" applyBorder="1" applyAlignment="1">
      <alignment horizontal="right" vertical="center"/>
    </xf>
    <xf numFmtId="164" fontId="0" fillId="0" borderId="0" xfId="16" applyNumberFormat="1" applyFont="1" applyFill="1"/>
    <xf numFmtId="164" fontId="0" fillId="0" borderId="6" xfId="16" applyNumberFormat="1" applyFont="1" applyFill="1" applyBorder="1"/>
    <xf numFmtId="0" fontId="0" fillId="0" borderId="6" xfId="0" applyFill="1" applyBorder="1" applyAlignment="1">
      <alignment horizont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L18"/>
  <sheetViews>
    <sheetView tabSelected="1" workbookViewId="0" topLeftCell="A1"/>
  </sheetViews>
  <sheetFormatPr defaultRowHeight="15"/>
  <cols>
    <col min="1" max="1" width="16.4285714285714" customWidth="1"/>
    <col min="2" max="2" width="14.4285714285714" customWidth="1"/>
    <col min="3" max="3" width="9.14285714285714" customWidth="1"/>
    <col min="4" max="4" width="26.8571428571429" customWidth="1"/>
    <col min="6" max="6" width="2.57142857142857" style="1" customWidth="1"/>
    <col min="7" max="7" width="13.5714285714286" style="13" bestFit="1" customWidth="1"/>
    <col min="8" max="11" width="9.14285714285714" style="1"/>
    <col min="12" max="12" width="30.1428571428571" style="1" bestFit="1" customWidth="1"/>
  </cols>
  <sheetData>
    <row r="1" spans="1:1" ht="15">
      <c r="A1" t="s">
        <v>7</v>
      </c>
    </row>
    <row r="2" spans="1:1" ht="15.75" thickBot="1">
      <c r="A2" t="s">
        <v>8</v>
      </c>
    </row>
    <row r="3" spans="1:5" ht="15.75" thickBot="1">
      <c r="A3" s="16" t="s">
        <v>9</v>
      </c>
      <c r="B3" s="17"/>
      <c r="C3" s="17"/>
      <c r="D3" s="17"/>
      <c r="E3" s="18"/>
    </row>
    <row r="4" spans="1:5" ht="34.5" thickBot="1">
      <c r="A4" s="2" t="s">
        <v>10</v>
      </c>
      <c r="B4" s="3" t="s">
        <v>11</v>
      </c>
      <c r="C4" s="3" t="s">
        <v>12</v>
      </c>
      <c r="D4" s="3" t="s">
        <v>13</v>
      </c>
      <c r="E4" s="3" t="s">
        <v>14</v>
      </c>
    </row>
    <row r="5" spans="1:7" ht="68.25" thickBot="1">
      <c r="A5" s="4" t="s">
        <v>15</v>
      </c>
      <c r="B5" s="3" t="s">
        <v>16</v>
      </c>
      <c r="C5" s="5">
        <v>42.640000000000001</v>
      </c>
      <c r="D5" s="5">
        <v>45.909999999999997</v>
      </c>
      <c r="E5" s="5">
        <v>3.274</v>
      </c>
      <c r="G5" s="13">
        <v>3274000</v>
      </c>
    </row>
    <row r="6" spans="1:7" ht="30.95" customHeight="1" thickBot="1">
      <c r="A6" s="19" t="s">
        <v>17</v>
      </c>
      <c r="B6" s="3" t="s">
        <v>18</v>
      </c>
      <c r="C6" s="5">
        <v>0.42999999999999999</v>
      </c>
      <c r="D6" s="5">
        <v>0.46999999999999997</v>
      </c>
      <c r="E6" s="5">
        <v>0.035000000000000003</v>
      </c>
      <c r="G6" s="13">
        <v>35000</v>
      </c>
    </row>
    <row r="7" spans="1:7" ht="23.25" thickBot="1">
      <c r="A7" s="20"/>
      <c r="B7" s="3" t="s">
        <v>19</v>
      </c>
      <c r="C7" s="5">
        <v>4.9299999999999997</v>
      </c>
      <c r="D7" s="5">
        <v>5.3200000000000003</v>
      </c>
      <c r="E7" s="5">
        <v>0.38700000000000001</v>
      </c>
      <c r="G7" s="13">
        <v>387000</v>
      </c>
    </row>
    <row r="8" spans="1:11" ht="45.75" thickBot="1">
      <c r="A8" s="6" t="s">
        <v>20</v>
      </c>
      <c r="B8" s="3" t="s">
        <v>21</v>
      </c>
      <c r="C8" s="5">
        <v>0.60999999999999999</v>
      </c>
      <c r="D8" s="5">
        <v>0.65000000000000002</v>
      </c>
      <c r="E8" s="5">
        <v>0.044999999999999998</v>
      </c>
      <c r="G8" s="14">
        <v>45000</v>
      </c>
      <c r="H8" s="9"/>
      <c r="I8" s="15" t="s">
        <v>6</v>
      </c>
      <c r="J8" s="15" t="s">
        <v>4</v>
      </c>
      <c r="K8" s="15" t="s">
        <v>5</v>
      </c>
    </row>
    <row r="9" spans="1:12" ht="15.75" thickBot="1">
      <c r="A9" s="7"/>
      <c r="B9" s="7"/>
      <c r="C9" s="7"/>
      <c r="D9" s="8" t="s">
        <v>22</v>
      </c>
      <c r="E9" s="5">
        <v>3.7410000000000001</v>
      </c>
      <c r="G9" s="13">
        <f>SUM(G5:G8)</f>
        <v>3741000</v>
      </c>
      <c r="H9" s="9" t="s">
        <v>0</v>
      </c>
      <c r="I9" s="9">
        <v>516170</v>
      </c>
      <c r="J9" s="9">
        <v>5930000</v>
      </c>
      <c r="K9" s="9" t="s">
        <v>2</v>
      </c>
      <c r="L9" s="9" t="s">
        <v>3</v>
      </c>
    </row>
    <row r="10" spans="1:5" ht="15.75" thickBot="1">
      <c r="A10" s="7"/>
      <c r="B10" s="7"/>
      <c r="C10" s="7"/>
      <c r="D10" s="7"/>
      <c r="E10" s="7"/>
    </row>
    <row r="11" spans="1:12" ht="15.75" thickBot="1">
      <c r="A11" s="16" t="s">
        <v>23</v>
      </c>
      <c r="B11" s="17"/>
      <c r="C11" s="17"/>
      <c r="D11" s="17"/>
      <c r="E11" s="18"/>
      <c r="H11" s="9"/>
      <c r="I11" s="9"/>
      <c r="J11" s="9"/>
      <c r="K11" s="9"/>
      <c r="L11" s="9"/>
    </row>
    <row r="12" spans="1:5" ht="34.5" thickBot="1">
      <c r="A12" s="2" t="s">
        <v>10</v>
      </c>
      <c r="B12" s="3" t="s">
        <v>11</v>
      </c>
      <c r="C12" s="3" t="s">
        <v>12</v>
      </c>
      <c r="D12" s="3" t="s">
        <v>13</v>
      </c>
      <c r="E12" s="3" t="s">
        <v>14</v>
      </c>
    </row>
    <row r="13" spans="1:7" ht="68.25" thickBot="1">
      <c r="A13" s="2" t="s">
        <v>15</v>
      </c>
      <c r="B13" s="3" t="s">
        <v>16</v>
      </c>
      <c r="C13" s="10">
        <v>11.44</v>
      </c>
      <c r="D13" s="10">
        <v>12.279999999999999</v>
      </c>
      <c r="E13" s="10">
        <v>0.84499999999999997</v>
      </c>
      <c r="G13" s="13">
        <v>845000</v>
      </c>
    </row>
    <row r="14" spans="1:7" ht="68.25" thickBot="1">
      <c r="A14" s="2" t="s">
        <v>17</v>
      </c>
      <c r="B14" s="3" t="s">
        <v>24</v>
      </c>
      <c r="C14" s="10">
        <v>1.01</v>
      </c>
      <c r="D14" s="10">
        <v>1.0900000000000001</v>
      </c>
      <c r="E14" s="10">
        <v>0.081000000000000003</v>
      </c>
      <c r="G14" s="13">
        <v>81000</v>
      </c>
    </row>
    <row r="15" spans="1:7" ht="45.75" thickBot="1">
      <c r="A15" s="2" t="s">
        <v>20</v>
      </c>
      <c r="B15" s="3" t="s">
        <v>21</v>
      </c>
      <c r="C15" s="10">
        <v>0.31</v>
      </c>
      <c r="D15" s="10">
        <v>0.33000000000000002</v>
      </c>
      <c r="E15" s="10">
        <v>0.025000000000000001</v>
      </c>
      <c r="G15" s="14">
        <v>25000</v>
      </c>
    </row>
    <row r="16" spans="1:12" ht="15.75" thickBot="1">
      <c r="A16" s="7"/>
      <c r="B16" s="7"/>
      <c r="C16" s="7"/>
      <c r="D16" s="8" t="s">
        <v>22</v>
      </c>
      <c r="E16" s="10">
        <v>0.95099999999999996</v>
      </c>
      <c r="G16" s="14">
        <f>SUM(G13:G15)</f>
        <v>951000</v>
      </c>
      <c r="H16" s="9" t="s">
        <v>1</v>
      </c>
      <c r="I16" s="9">
        <v>515003</v>
      </c>
      <c r="J16" s="9">
        <v>5710000</v>
      </c>
      <c r="K16" s="9" t="s">
        <v>2</v>
      </c>
      <c r="L16" s="9" t="s">
        <v>3</v>
      </c>
    </row>
    <row r="17" spans="1:5" ht="15.75" thickBot="1">
      <c r="A17" s="11"/>
      <c r="B17" s="11"/>
      <c r="C17" s="11"/>
      <c r="D17" s="11"/>
      <c r="E17" s="11"/>
    </row>
    <row r="18" spans="1:7" ht="19.5" thickBot="1">
      <c r="A18" s="11"/>
      <c r="B18" s="11"/>
      <c r="C18" s="21" t="s">
        <v>25</v>
      </c>
      <c r="D18" s="22"/>
      <c r="E18" s="12">
        <v>4.6920000000000002</v>
      </c>
      <c r="G18" s="13">
        <f>G9+G16</f>
        <v>4692000</v>
      </c>
    </row>
  </sheetData>
  <mergeCells count="4">
    <mergeCell ref="A3:E3"/>
    <mergeCell ref="A6:A7"/>
    <mergeCell ref="A11:E11"/>
    <mergeCell ref="C18:D18"/>
  </mergeCells>
  <pageMargins left="0.5" right="0.5" top="1.5" bottom="0.5" header="1" footer="0.3"/>
  <pageSetup orientation="landscape" scale="80" r:id="rId1"/>
  <headerFooter>
    <oddHeader>&amp;R&amp;"-,Bold"WP/II-D ADJUSTMENT /62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