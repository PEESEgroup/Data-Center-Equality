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Wholesale_NTS_RO" sheetId="1" r:id="rId2"/>
  </sheets>
  <definedNames>
    <definedName name="_xlnm.Print_Area" localSheetId="0">Wholesale_NTS_RO!$A$2:$J$83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9" i="1" l="1"/>
</calcChain>
</file>

<file path=xl/sharedStrings.xml><?xml version="1.0" encoding="utf-8"?>
<sst xmlns="http://schemas.openxmlformats.org/spreadsheetml/2006/main" count="81" uniqueCount="78">
  <si>
    <t xml:space="preserve">       Calculation of Transmission Revenue Requirement for Retail Delivery Service</t>
  </si>
  <si>
    <t>Current ERCOT Wholesale Transmission Access Fees</t>
  </si>
  <si>
    <t>Current Access Fee</t>
  </si>
  <si>
    <t xml:space="preserve">  Transmission Owners/Load Entities</t>
  </si>
  <si>
    <t>( $ / kW )</t>
  </si>
  <si>
    <t xml:space="preserve">  AEP Texas </t>
  </si>
  <si>
    <t xml:space="preserve">  Austin Energy</t>
  </si>
  <si>
    <t xml:space="preserve">  Bandera Electric Coop</t>
  </si>
  <si>
    <t xml:space="preserve">  Brazos Electric Coop</t>
  </si>
  <si>
    <t xml:space="preserve">  Brownsville Public Utilities Board</t>
  </si>
  <si>
    <t xml:space="preserve">  Bryan Texas Utilities</t>
  </si>
  <si>
    <t xml:space="preserve">  Centerpoint Energy</t>
  </si>
  <si>
    <t xml:space="preserve">  Cherokee County Electric Coop</t>
  </si>
  <si>
    <t xml:space="preserve">  College Station, City of</t>
  </si>
  <si>
    <t xml:space="preserve">  Cross Texas Transmission LLC</t>
  </si>
  <si>
    <t xml:space="preserve">  Deep East Texas Electric Coop</t>
  </si>
  <si>
    <t xml:space="preserve">  Denton Municipal Electric</t>
  </si>
  <si>
    <t xml:space="preserve">  East Texas Electric Coop</t>
  </si>
  <si>
    <t xml:space="preserve">  Electric Transmission Texas</t>
  </si>
  <si>
    <t xml:space="preserve">  Fannin Electric Coop</t>
  </si>
  <si>
    <t xml:space="preserve">  Farmers Electric Coop</t>
  </si>
  <si>
    <t xml:space="preserve">  Floresville Electric Power System</t>
  </si>
  <si>
    <t xml:space="preserve">  Garland Power and Light</t>
  </si>
  <si>
    <t xml:space="preserve">  Greenville Electric Utility System</t>
  </si>
  <si>
    <t xml:space="preserve">  Golden Spread Electric Coop</t>
  </si>
  <si>
    <t xml:space="preserve">  Grayson-Collin Electric Coop</t>
  </si>
  <si>
    <t xml:space="preserve">  Houston County Electric Coop</t>
  </si>
  <si>
    <t xml:space="preserve">  Lamar County Electric Coop</t>
  </si>
  <si>
    <t xml:space="preserve">  Lone Star Transmission</t>
  </si>
  <si>
    <t xml:space="preserve">  Lower Colorado River Authority</t>
  </si>
  <si>
    <t xml:space="preserve">  Lubbock Power &amp; Light</t>
  </si>
  <si>
    <t xml:space="preserve">  Lyntegar Electric Coop</t>
  </si>
  <si>
    <t xml:space="preserve">  Rayburn Country</t>
  </si>
  <si>
    <t xml:space="preserve">  Rio Grande Electric Coop</t>
  </si>
  <si>
    <t xml:space="preserve">  San Antonio City Public Service</t>
  </si>
  <si>
    <t xml:space="preserve">  San Bernard Electric Coop</t>
  </si>
  <si>
    <t xml:space="preserve">  San Miguel Electric Coop</t>
  </si>
  <si>
    <t xml:space="preserve">  Sharyland Utilities</t>
  </si>
  <si>
    <t xml:space="preserve">  South Texas Electric Coop</t>
  </si>
  <si>
    <t xml:space="preserve">  Southwest Texas Electric Coop</t>
  </si>
  <si>
    <t xml:space="preserve">  Texas Municipal Power Agency</t>
  </si>
  <si>
    <t xml:space="preserve">  Texas-New Mexico Power Company</t>
  </si>
  <si>
    <t xml:space="preserve">  Trinity Valley Electric Coop</t>
  </si>
  <si>
    <t xml:space="preserve">  Wind Energy Transmission Texas LLC</t>
  </si>
  <si>
    <t xml:space="preserve">  Wood County Electric Coop</t>
  </si>
  <si>
    <t xml:space="preserve">  Oncor Electric Delivery NTU</t>
  </si>
  <si>
    <t xml:space="preserve">  Oncor Electric Delivery </t>
  </si>
  <si>
    <t xml:space="preserve">  Total ERCOT Transmission Access Fee</t>
  </si>
  <si>
    <t>/ kW</t>
  </si>
  <si>
    <t xml:space="preserve">  Oncor Electric Delivery Average 4-CP Load (as shown below)</t>
  </si>
  <si>
    <t>kW</t>
  </si>
  <si>
    <t>Oncor Electric Delivery -- Transmission Revenue Requirement  for Retail Delivery Service=</t>
  </si>
  <si>
    <t>Transmission Expense Riders</t>
  </si>
  <si>
    <t>Annualized Rider</t>
  </si>
  <si>
    <t>Annual Expense</t>
  </si>
  <si>
    <t xml:space="preserve">  Wind Energy Transm - Tax Rate Change </t>
  </si>
  <si>
    <t xml:space="preserve">  Wind Energy Transm - WTS Credit </t>
  </si>
  <si>
    <t xml:space="preserve">  Rayburn County - WTS Credit Rider</t>
  </si>
  <si>
    <t xml:space="preserve">  Texas New Mexico Power - Rate Case Expense surcharge</t>
  </si>
  <si>
    <t xml:space="preserve">  East Texas Electric - WTS Credit Rider</t>
  </si>
  <si>
    <t xml:space="preserve">  Brownsville PUB - Rate Case Expense surcharge</t>
  </si>
  <si>
    <t xml:space="preserve">  Lubbock Power &amp; Light -  WTS Credit Rider</t>
  </si>
  <si>
    <t>Subtotal, Transmission Expense Riders</t>
  </si>
  <si>
    <t>Oncor's TCOS rate currently in effect, prior to this filing (from Docket No. 52352)</t>
  </si>
  <si>
    <t>Oncor NTU's rate currently in effect, prior to this filing (from Docket No. 48929)</t>
  </si>
  <si>
    <t>ERCOT kW</t>
  </si>
  <si>
    <t>Oncor Electric Delivery kW</t>
  </si>
  <si>
    <t>Source</t>
  </si>
  <si>
    <t>Jun 2021</t>
  </si>
  <si>
    <t xml:space="preserve">  Docket No. 52989</t>
  </si>
  <si>
    <t>Jul 2021</t>
  </si>
  <si>
    <t>Aug 2021</t>
  </si>
  <si>
    <t>Sep 2021</t>
  </si>
  <si>
    <t xml:space="preserve">Average  </t>
  </si>
  <si>
    <t>2022 RATE CASE</t>
  </si>
  <si>
    <t>ONCOR ELECTRIC DELIVERY COMPANY LLC</t>
  </si>
  <si>
    <t>TEST YEAR ENDING DECEMBER 31, 2021</t>
  </si>
  <si>
    <t>SPONSOR: W. ALAN LEDBETTER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</si>
</sst>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"/>
    <numFmt numFmtId="165" formatCode="0.000000000"/>
    <numFmt numFmtId="166" formatCode="&quot;$&quot;#,##0.000000000"/>
    <numFmt numFmtId="167" formatCode="#,##0.000"/>
    <numFmt numFmtId="168" formatCode="&quot;$&quot;#,##0"/>
    <numFmt numFmtId="169" formatCode="_(&quot;$&quot;* #,##0.000000000_);_(&quot;$&quot;* \(#,##0.000000000\);_(&quot;$&quot;* &quot;-&quot;?????????_);_(@_)"/>
  </numFmts>
  <fonts count="10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b/>
      <u val="single"/>
      <sz val="10"/>
      <name val="Arial"/>
      <family val="2"/>
    </font>
    <font>
      <u val="single"/>
      <sz val="10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u val="single"/>
      <sz val="8"/>
      <name val="Arial"/>
      <family val="2"/>
    </font>
    <font>
      <b/>
      <sz val="8"/>
      <name val="Arial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medium">
        <color auto="1"/>
      </right>
      <top style="thin">
        <color auto="1"/>
      </top>
      <bottom style="thin">
        <color auto="1"/>
      </bottom>
    </border>
    <border>
      <left style="medium">
        <color auto="1"/>
      </left>
      <right/>
      <top/>
      <bottom style="thin">
        <color auto="1"/>
      </bottom>
    </border>
    <border>
      <left/>
      <right/>
      <top/>
      <bottom style="thin">
        <color auto="1"/>
      </bottom>
    </border>
    <border>
      <left/>
      <right style="medium">
        <color auto="1"/>
      </right>
      <top/>
      <bottom style="thin">
        <color auto="1"/>
      </bottom>
    </border>
    <border>
      <left style="medium">
        <color auto="1"/>
      </left>
      <right/>
      <top style="thin">
        <color auto="1"/>
      </top>
      <bottom/>
    </border>
    <border>
      <left/>
      <right/>
      <top style="thin">
        <color auto="1"/>
      </top>
      <bottom/>
    </border>
    <border>
      <left/>
      <right style="medium">
        <color auto="1"/>
      </right>
      <top style="thin">
        <color auto="1"/>
      </top>
      <bottom/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/>
      <right/>
      <top style="thin">
        <color auto="1"/>
      </top>
      <bottom style="double">
        <color auto="1"/>
      </bottom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0" xfId="0" applyFont="1" applyAlignment="1" quotePrefix="1">
      <alignment horizontal="center"/>
    </xf>
    <xf numFmtId="0" fontId="2" fillId="0" borderId="0" xfId="0" applyFont="1" applyAlignment="1">
      <alignment/>
    </xf>
    <xf numFmtId="0" fontId="2" fillId="0" borderId="0" xfId="0" applyFont="1" applyAlignment="1" quotePrefix="1">
      <alignment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7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2" fillId="0" borderId="5" xfId="0" applyFont="1" applyBorder="1"/>
    <xf numFmtId="0" fontId="0" fillId="0" borderId="6" xfId="0" applyBorder="1"/>
    <xf numFmtId="0" fontId="0" fillId="0" borderId="7" xfId="0" applyBorder="1"/>
    <xf numFmtId="164" fontId="0" fillId="0" borderId="7" xfId="0" applyNumberFormat="1" applyBorder="1"/>
    <xf numFmtId="165" fontId="0" fillId="0" borderId="7" xfId="0" applyNumberFormat="1" applyFont="1" applyBorder="1"/>
    <xf numFmtId="0" fontId="0" fillId="0" borderId="7" xfId="0" applyFont="1" applyBorder="1"/>
    <xf numFmtId="0" fontId="0" fillId="0" borderId="8" xfId="0" applyBorder="1"/>
    <xf numFmtId="0" fontId="0" fillId="0" borderId="0" xfId="0" applyFont="1"/>
    <xf numFmtId="0" fontId="0" fillId="0" borderId="9" xfId="0" applyBorder="1"/>
    <xf numFmtId="0" fontId="0" fillId="0" borderId="10" xfId="0" applyBorder="1"/>
    <xf numFmtId="164" fontId="0" fillId="0" borderId="10" xfId="0" applyNumberFormat="1" applyBorder="1"/>
    <xf numFmtId="0" fontId="0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64" fontId="0" fillId="0" borderId="13" xfId="0" applyNumberFormat="1" applyBorder="1"/>
    <xf numFmtId="0" fontId="3" fillId="0" borderId="13" xfId="0" applyFont="1" applyBorder="1"/>
    <xf numFmtId="0" fontId="0" fillId="0" borderId="14" xfId="0" applyBorder="1"/>
    <xf numFmtId="0" fontId="3" fillId="0" borderId="7" xfId="0" applyFont="1" applyBorder="1"/>
    <xf numFmtId="0" fontId="3" fillId="0" borderId="10" xfId="0" applyFont="1" applyBorder="1"/>
    <xf numFmtId="0" fontId="0" fillId="0" borderId="4" xfId="0" applyBorder="1"/>
    <xf numFmtId="0" fontId="0" fillId="0" borderId="0" xfId="0" applyBorder="1"/>
    <xf numFmtId="164" fontId="0" fillId="0" borderId="0" xfId="0" applyNumberFormat="1" applyBorder="1"/>
    <xf numFmtId="0" fontId="3" fillId="0" borderId="0" xfId="0" applyFont="1" applyBorder="1"/>
    <xf numFmtId="0" fontId="0" fillId="0" borderId="5" xfId="0" applyBorder="1"/>
    <xf numFmtId="0" fontId="0" fillId="0" borderId="12" xfId="0" applyFont="1" applyBorder="1"/>
    <xf numFmtId="0" fontId="2" fillId="0" borderId="15" xfId="0" applyFont="1" applyBorder="1"/>
    <xf numFmtId="0" fontId="2" fillId="0" borderId="7" xfId="0" applyFont="1" applyBorder="1"/>
    <xf numFmtId="39" fontId="2" fillId="0" borderId="16" xfId="0" applyNumberFormat="1" applyFont="1" applyBorder="1"/>
    <xf numFmtId="39" fontId="2" fillId="0" borderId="0" xfId="0" applyNumberFormat="1" applyFont="1" applyBorder="1"/>
    <xf numFmtId="0" fontId="6" fillId="0" borderId="0" xfId="0" applyFont="1"/>
    <xf numFmtId="0" fontId="7" fillId="0" borderId="0" xfId="0" applyFont="1"/>
    <xf numFmtId="169" fontId="0" fillId="0" borderId="0" xfId="16" applyNumberFormat="1" applyFont="1"/>
    <xf numFmtId="169" fontId="0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17" fontId="7" fillId="0" borderId="0" xfId="0" applyNumberFormat="1" applyFont="1" applyFill="1" applyAlignment="1" quotePrefix="1">
      <alignment horizontal="right"/>
    </xf>
    <xf numFmtId="17" fontId="7" fillId="0" borderId="0" xfId="0" applyNumberFormat="1" applyFont="1" applyAlignment="1" quotePrefix="1">
      <alignment horizontal="right"/>
    </xf>
    <xf numFmtId="167" fontId="7" fillId="0" borderId="0" xfId="0" applyNumberFormat="1" applyFont="1" applyFill="1"/>
    <xf numFmtId="164" fontId="7" fillId="0" borderId="0" xfId="0" applyNumberFormat="1" applyFont="1" applyFill="1"/>
    <xf numFmtId="0" fontId="0" fillId="0" borderId="0" xfId="0" applyFill="1"/>
    <xf numFmtId="165" fontId="7" fillId="0" borderId="0" xfId="0" applyNumberFormat="1" applyFont="1" applyFill="1" quotePrefix="1"/>
    <xf numFmtId="0" fontId="7" fillId="0" borderId="0" xfId="0" applyFont="1" applyAlignment="1" quotePrefix="1">
      <alignment horizontal="right"/>
    </xf>
    <xf numFmtId="167" fontId="7" fillId="0" borderId="0" xfId="0" applyNumberFormat="1" applyFont="1"/>
    <xf numFmtId="164" fontId="7" fillId="0" borderId="0" xfId="0" applyNumberFormat="1" applyFont="1"/>
    <xf numFmtId="165" fontId="7" fillId="0" borderId="0" xfId="0" applyNumberFormat="1" applyFont="1" quotePrefix="1"/>
    <xf numFmtId="164" fontId="7" fillId="0" borderId="0" xfId="0" applyNumberFormat="1" applyFont="1" applyBorder="1"/>
    <xf numFmtId="0" fontId="9" fillId="0" borderId="0" xfId="0" applyFont="1" applyAlignment="1">
      <alignment horizontal="right"/>
    </xf>
    <xf numFmtId="167" fontId="9" fillId="0" borderId="17" xfId="0" applyNumberFormat="1" applyFont="1" applyBorder="1"/>
    <xf numFmtId="164" fontId="9" fillId="0" borderId="0" xfId="0" applyNumberFormat="1" applyFont="1" applyBorder="1"/>
    <xf numFmtId="165" fontId="7" fillId="0" borderId="0" xfId="0" applyNumberFormat="1" applyFont="1"/>
    <xf numFmtId="168" fontId="0" fillId="0" borderId="0" xfId="0" applyNumberFormat="1" applyFont="1"/>
    <xf numFmtId="43" fontId="7" fillId="0" borderId="0" xfId="18" applyFont="1"/>
    <xf numFmtId="0" fontId="0" fillId="0" borderId="9" xfId="0" applyFill="1" applyBorder="1"/>
    <xf numFmtId="0" fontId="0" fillId="0" borderId="10" xfId="0" applyFill="1" applyBorder="1"/>
    <xf numFmtId="164" fontId="0" fillId="0" borderId="10" xfId="0" applyNumberFormat="1" applyFill="1" applyBorder="1"/>
    <xf numFmtId="165" fontId="0" fillId="0" borderId="7" xfId="0" applyNumberFormat="1" applyFont="1" applyFill="1" applyBorder="1"/>
    <xf numFmtId="0" fontId="3" fillId="0" borderId="10" xfId="0" applyFont="1" applyFill="1" applyBorder="1"/>
    <xf numFmtId="0" fontId="0" fillId="0" borderId="11" xfId="0" applyFill="1" applyBorder="1"/>
    <xf numFmtId="0" fontId="0" fillId="0" borderId="6" xfId="0" applyFill="1" applyBorder="1"/>
    <xf numFmtId="0" fontId="0" fillId="0" borderId="7" xfId="0" applyFill="1" applyBorder="1"/>
    <xf numFmtId="164" fontId="0" fillId="0" borderId="7" xfId="0" applyNumberFormat="1" applyFill="1" applyBorder="1"/>
    <xf numFmtId="166" fontId="0" fillId="0" borderId="7" xfId="0" applyNumberFormat="1" applyFill="1" applyBorder="1"/>
    <xf numFmtId="0" fontId="3" fillId="0" borderId="7" xfId="0" applyFont="1" applyFill="1" applyBorder="1" applyAlignment="1">
      <alignment horizontal="left"/>
    </xf>
    <xf numFmtId="0" fontId="0" fillId="0" borderId="8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166" fontId="0" fillId="0" borderId="17" xfId="0" applyNumberFormat="1" applyFill="1" applyBorder="1"/>
    <xf numFmtId="0" fontId="0" fillId="0" borderId="0" xfId="0" applyFill="1" applyBorder="1" quotePrefix="1"/>
    <xf numFmtId="0" fontId="0" fillId="0" borderId="18" xfId="0" applyFill="1" applyBorder="1"/>
    <xf numFmtId="0" fontId="0" fillId="0" borderId="19" xfId="0" applyFill="1" applyBorder="1"/>
    <xf numFmtId="166" fontId="0" fillId="0" borderId="19" xfId="0" applyNumberFormat="1" applyFill="1" applyBorder="1"/>
    <xf numFmtId="0" fontId="0" fillId="0" borderId="20" xfId="0" applyFill="1" applyBorder="1"/>
    <xf numFmtId="0" fontId="0" fillId="0" borderId="0" xfId="0" applyFill="1" applyAlignment="1">
      <alignment/>
    </xf>
    <xf numFmtId="167" fontId="0" fillId="0" borderId="0" xfId="0" applyNumberFormat="1" applyFill="1"/>
    <xf numFmtId="0" fontId="0" fillId="0" borderId="0" xfId="0" applyFill="1" quotePrefix="1"/>
    <xf numFmtId="166" fontId="0" fillId="0" borderId="0" xfId="0" applyNumberFormat="1" applyFill="1" applyBorder="1"/>
    <xf numFmtId="0" fontId="2" fillId="0" borderId="21" xfId="0" applyFont="1" applyFill="1" applyBorder="1"/>
    <xf numFmtId="168" fontId="2" fillId="0" borderId="21" xfId="0" applyNumberFormat="1" applyFont="1" applyFill="1" applyBorder="1"/>
    <xf numFmtId="0" fontId="0" fillId="0" borderId="21" xfId="0" applyFill="1" applyBorder="1"/>
    <xf numFmtId="0" fontId="0" fillId="0" borderId="22" xfId="0" applyFill="1" applyBorder="1"/>
    <xf numFmtId="0" fontId="0" fillId="0" borderId="2" xfId="0" applyFill="1" applyBorder="1"/>
    <xf numFmtId="0" fontId="4" fillId="0" borderId="0" xfId="0" applyFont="1" applyFill="1" applyBorder="1"/>
    <xf numFmtId="0" fontId="5" fillId="0" borderId="0" xfId="0" applyFont="1" applyFill="1"/>
    <xf numFmtId="0" fontId="0" fillId="0" borderId="12" xfId="0" applyFill="1" applyBorder="1"/>
    <xf numFmtId="0" fontId="0" fillId="0" borderId="13" xfId="0" applyFill="1" applyBorder="1"/>
    <xf numFmtId="39" fontId="0" fillId="0" borderId="7" xfId="0" applyNumberFormat="1" applyFont="1" applyFill="1" applyBorder="1"/>
    <xf numFmtId="0" fontId="0" fillId="0" borderId="14" xfId="0" applyFill="1" applyBorder="1"/>
    <xf numFmtId="0" fontId="0" fillId="0" borderId="7" xfId="0" applyFont="1" applyFill="1" applyBorder="1"/>
    <xf numFmtId="0" fontId="2" fillId="0" borderId="23" xfId="0" applyFont="1" applyFill="1" applyBorder="1" applyAlignment="1">
      <alignment wrapText="1"/>
    </xf>
    <xf numFmtId="0" fontId="0" fillId="0" borderId="21" xfId="0" applyFill="1" applyBorder="1" applyAlignment="1">
      <alignment wrapText="1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2:J87"/>
  <sheetViews>
    <sheetView tabSelected="1" zoomScale="85" zoomScaleNormal="85" workbookViewId="0" topLeftCell="A1">
      <selection pane="topLeft" activeCell="E7" sqref="E7"/>
    </sheetView>
  </sheetViews>
  <sheetFormatPr defaultRowHeight="12.75"/>
  <cols>
    <col min="1" max="1" width="3.57142857142857" customWidth="1"/>
    <col min="2" max="2" width="16.7142857142857" customWidth="1"/>
    <col min="3" max="3" width="3.71428571428571" customWidth="1"/>
    <col min="4" max="4" width="14.7142857142857" customWidth="1"/>
    <col min="5" max="5" width="8" customWidth="1"/>
    <col min="6" max="6" width="16.8571428571429" bestFit="1" customWidth="1"/>
    <col min="7" max="7" width="3.71428571428571" customWidth="1"/>
    <col min="8" max="8" width="14.7142857142857" customWidth="1"/>
    <col min="9" max="9" width="3.71428571428571" customWidth="1"/>
    <col min="10" max="10" width="1.71428571428571" customWidth="1"/>
  </cols>
  <sheetData>
    <row r="1" ht="4.5" customHeight="1"/>
    <row r="2" spans="5:5" ht="12.75" customHeight="1">
      <c r="E2" s="1" t="s">
        <v>74</v>
      </c>
    </row>
    <row r="3" spans="5:5" ht="12.75" customHeight="1">
      <c r="E3" s="1" t="s">
        <v>75</v>
      </c>
    </row>
    <row r="4" spans="4:10" ht="15.75" customHeight="1">
      <c r="D4" s="2"/>
      <c r="E4" s="1" t="s">
        <v>0</v>
      </c>
      <c r="F4" s="2"/>
      <c r="G4" s="2"/>
      <c r="H4" s="2"/>
      <c r="I4" s="2"/>
      <c r="J4" s="2"/>
    </row>
    <row r="5" spans="3:10" ht="15.75" customHeight="1">
      <c r="C5" s="3"/>
      <c r="D5" s="2"/>
      <c r="E5" s="4" t="s">
        <v>76</v>
      </c>
      <c r="F5" s="2"/>
      <c r="G5" s="2"/>
      <c r="H5" s="2"/>
      <c r="I5" s="2"/>
      <c r="J5" s="2"/>
    </row>
    <row r="6" spans="3:10" ht="15.75" customHeight="1">
      <c r="C6" s="5"/>
      <c r="D6" s="5"/>
      <c r="E6" s="5" t="s">
        <v>77</v>
      </c>
      <c r="F6" s="5"/>
      <c r="G6" s="5"/>
      <c r="H6" s="5"/>
      <c r="I6" s="5"/>
      <c r="J6" s="5"/>
    </row>
    <row r="7" spans="3:10" ht="15.75" customHeight="1">
      <c r="C7" s="5"/>
      <c r="D7" s="5"/>
      <c r="E7" s="5"/>
      <c r="F7" s="5"/>
      <c r="G7" s="5"/>
      <c r="H7" s="5"/>
      <c r="I7" s="5"/>
      <c r="J7" s="5"/>
    </row>
    <row r="8" spans="2:8" ht="15" customHeight="1" thickBot="1">
      <c r="B8" s="6" t="s">
        <v>1</v>
      </c>
      <c r="H8" s="7"/>
    </row>
    <row r="9" spans="2:10" ht="12.75">
      <c r="B9" s="8"/>
      <c r="C9" s="9"/>
      <c r="D9" s="9"/>
      <c r="E9" s="9"/>
      <c r="F9" s="9"/>
      <c r="G9" s="9"/>
      <c r="H9" s="9" t="s">
        <v>2</v>
      </c>
      <c r="I9" s="10"/>
      <c r="J9" s="11"/>
    </row>
    <row r="10" spans="2:10" ht="12.75">
      <c r="B10" s="12" t="s">
        <v>3</v>
      </c>
      <c r="C10" s="13"/>
      <c r="D10" s="13"/>
      <c r="E10" s="13"/>
      <c r="F10" s="13"/>
      <c r="G10" s="13"/>
      <c r="H10" s="13" t="s">
        <v>4</v>
      </c>
      <c r="I10" s="14"/>
      <c r="J10" s="15"/>
    </row>
    <row r="11" spans="2:10" ht="18" customHeight="1">
      <c r="B11" s="16" t="s">
        <v>5</v>
      </c>
      <c r="C11" s="17"/>
      <c r="D11" s="17"/>
      <c r="E11" s="17"/>
      <c r="F11" s="17"/>
      <c r="G11" s="18"/>
      <c r="H11" s="19">
        <v>8.1976569999999995</v>
      </c>
      <c r="I11" s="20"/>
      <c r="J11" s="21"/>
    </row>
    <row r="12" spans="2:10" ht="12.75" customHeight="1">
      <c r="B12" s="23" t="s">
        <v>6</v>
      </c>
      <c r="C12" s="24"/>
      <c r="D12" s="24"/>
      <c r="E12" s="24"/>
      <c r="F12" s="24"/>
      <c r="G12" s="25"/>
      <c r="H12" s="19">
        <v>1.187214</v>
      </c>
      <c r="I12" s="26"/>
      <c r="J12" s="27"/>
    </row>
    <row r="13" spans="2:10" ht="12.75" customHeight="1">
      <c r="B13" s="28" t="s">
        <v>7</v>
      </c>
      <c r="C13" s="29"/>
      <c r="D13" s="29"/>
      <c r="E13" s="29"/>
      <c r="F13" s="29"/>
      <c r="G13" s="30"/>
      <c r="H13" s="19">
        <v>0.079465000000000008</v>
      </c>
      <c r="I13" s="31"/>
      <c r="J13" s="32"/>
    </row>
    <row r="14" spans="2:10" ht="12.75" customHeight="1">
      <c r="B14" s="28" t="s">
        <v>8</v>
      </c>
      <c r="C14" s="29"/>
      <c r="D14" s="29"/>
      <c r="E14" s="29"/>
      <c r="F14" s="29"/>
      <c r="G14" s="30"/>
      <c r="H14" s="19">
        <v>1.8899537</v>
      </c>
      <c r="I14" s="31"/>
      <c r="J14" s="32"/>
    </row>
    <row r="15" spans="2:10" ht="12.75" customHeight="1">
      <c r="B15" s="28" t="s">
        <v>9</v>
      </c>
      <c r="C15" s="29"/>
      <c r="D15" s="29"/>
      <c r="E15" s="29"/>
      <c r="F15" s="29"/>
      <c r="G15" s="30"/>
      <c r="H15" s="19">
        <v>0.138873</v>
      </c>
      <c r="I15" s="31"/>
      <c r="J15" s="32"/>
    </row>
    <row r="16" spans="2:10" ht="12.75" customHeight="1">
      <c r="B16" s="16" t="s">
        <v>10</v>
      </c>
      <c r="C16" s="17"/>
      <c r="D16" s="17"/>
      <c r="E16" s="17"/>
      <c r="F16" s="17"/>
      <c r="G16" s="18"/>
      <c r="H16" s="19">
        <v>0.51128399999999996</v>
      </c>
      <c r="I16" s="33"/>
      <c r="J16" s="21"/>
    </row>
    <row r="17" spans="2:10" ht="12.75" customHeight="1">
      <c r="B17" s="23" t="s">
        <v>11</v>
      </c>
      <c r="C17" s="24"/>
      <c r="D17" s="24"/>
      <c r="E17" s="24"/>
      <c r="F17" s="24"/>
      <c r="G17" s="25"/>
      <c r="H17" s="19">
        <v>5.8522799999999995</v>
      </c>
      <c r="I17" s="34"/>
      <c r="J17" s="27"/>
    </row>
    <row r="18" spans="2:10" ht="12.75" customHeight="1">
      <c r="B18" s="23" t="s">
        <v>12</v>
      </c>
      <c r="C18" s="24"/>
      <c r="D18" s="24"/>
      <c r="E18" s="24"/>
      <c r="F18" s="24"/>
      <c r="G18" s="25"/>
      <c r="H18" s="19">
        <v>0.002892</v>
      </c>
      <c r="I18" s="34"/>
      <c r="J18" s="27"/>
    </row>
    <row r="19" spans="2:10" ht="12.75" customHeight="1">
      <c r="B19" s="23" t="s">
        <v>13</v>
      </c>
      <c r="C19" s="24"/>
      <c r="D19" s="24"/>
      <c r="E19" s="24"/>
      <c r="F19" s="24"/>
      <c r="G19" s="25"/>
      <c r="H19" s="19">
        <v>0.055256399999999997</v>
      </c>
      <c r="I19" s="34"/>
      <c r="J19" s="27"/>
    </row>
    <row r="20" spans="2:10" ht="12.75" customHeight="1">
      <c r="B20" s="23" t="s">
        <v>14</v>
      </c>
      <c r="C20" s="24"/>
      <c r="D20" s="24"/>
      <c r="E20" s="24"/>
      <c r="F20" s="24"/>
      <c r="G20" s="25"/>
      <c r="H20" s="19">
        <v>0.99519999999999997</v>
      </c>
      <c r="I20" s="34"/>
      <c r="J20" s="27"/>
    </row>
    <row r="21" spans="2:10" ht="12.75" customHeight="1">
      <c r="B21" s="35" t="s">
        <v>15</v>
      </c>
      <c r="C21" s="36"/>
      <c r="D21" s="36"/>
      <c r="E21" s="36"/>
      <c r="F21" s="36"/>
      <c r="G21" s="37"/>
      <c r="H21" s="19">
        <v>0.0020920000000000001</v>
      </c>
      <c r="I21" s="38"/>
      <c r="J21" s="39"/>
    </row>
    <row r="22" spans="2:10" ht="12.75" customHeight="1">
      <c r="B22" s="28" t="s">
        <v>16</v>
      </c>
      <c r="C22" s="29"/>
      <c r="D22" s="29"/>
      <c r="E22" s="29"/>
      <c r="F22" s="29"/>
      <c r="G22" s="30"/>
      <c r="H22" s="19">
        <v>0.84232410000000002</v>
      </c>
      <c r="I22" s="31"/>
      <c r="J22" s="32"/>
    </row>
    <row r="23" spans="2:10" ht="12.75" customHeight="1">
      <c r="B23" s="28" t="s">
        <v>17</v>
      </c>
      <c r="C23" s="29"/>
      <c r="D23" s="29"/>
      <c r="E23" s="29"/>
      <c r="F23" s="29"/>
      <c r="G23" s="30"/>
      <c r="H23" s="19">
        <v>0.0035299999999999997</v>
      </c>
      <c r="I23" s="31"/>
      <c r="J23" s="32"/>
    </row>
    <row r="24" spans="2:10" ht="12.75" customHeight="1">
      <c r="B24" s="28" t="s">
        <v>18</v>
      </c>
      <c r="C24" s="29"/>
      <c r="D24" s="29"/>
      <c r="E24" s="29"/>
      <c r="F24" s="29"/>
      <c r="G24" s="30"/>
      <c r="H24" s="19">
        <v>4.6930820000000004</v>
      </c>
      <c r="I24" s="31"/>
      <c r="J24" s="32"/>
    </row>
    <row r="25" spans="2:10" ht="12.75" customHeight="1">
      <c r="B25" s="28" t="s">
        <v>19</v>
      </c>
      <c r="C25" s="29"/>
      <c r="D25" s="29"/>
      <c r="E25" s="29"/>
      <c r="F25" s="29"/>
      <c r="G25" s="30"/>
      <c r="H25" s="19">
        <v>0.0021920000000000004</v>
      </c>
      <c r="I25" s="31"/>
      <c r="J25" s="32"/>
    </row>
    <row r="26" spans="2:10" ht="12.75" customHeight="1">
      <c r="B26" s="16" t="s">
        <v>20</v>
      </c>
      <c r="C26" s="17"/>
      <c r="D26" s="17"/>
      <c r="E26" s="17"/>
      <c r="F26" s="17"/>
      <c r="G26" s="18"/>
      <c r="H26" s="19">
        <v>0.0099010000000000001</v>
      </c>
      <c r="I26" s="33"/>
      <c r="J26" s="21"/>
    </row>
    <row r="27" spans="2:10" ht="12.75" customHeight="1">
      <c r="B27" s="23" t="s">
        <v>21</v>
      </c>
      <c r="C27" s="24"/>
      <c r="D27" s="24"/>
      <c r="E27" s="24"/>
      <c r="F27" s="24"/>
      <c r="G27" s="25"/>
      <c r="H27" s="19">
        <v>0.0064429999999999999</v>
      </c>
      <c r="I27" s="34"/>
      <c r="J27" s="27"/>
    </row>
    <row r="28" spans="2:10" ht="12.75" customHeight="1">
      <c r="B28" s="16" t="s">
        <v>22</v>
      </c>
      <c r="C28" s="17"/>
      <c r="D28" s="17"/>
      <c r="E28" s="17"/>
      <c r="F28" s="17"/>
      <c r="G28" s="18"/>
      <c r="H28" s="19">
        <v>0.90886100000000003</v>
      </c>
      <c r="I28" s="33"/>
      <c r="J28" s="21"/>
    </row>
    <row r="29" spans="2:10" ht="12.75" customHeight="1">
      <c r="B29" s="23" t="s">
        <v>23</v>
      </c>
      <c r="C29" s="24"/>
      <c r="D29" s="24"/>
      <c r="E29" s="24"/>
      <c r="F29" s="24"/>
      <c r="G29" s="25"/>
      <c r="H29" s="19">
        <v>0.045179999999999998</v>
      </c>
      <c r="I29" s="34"/>
      <c r="J29" s="27"/>
    </row>
    <row r="30" spans="2:10" ht="12.75" customHeight="1">
      <c r="B30" s="23" t="s">
        <v>24</v>
      </c>
      <c r="C30" s="24"/>
      <c r="D30" s="24"/>
      <c r="E30" s="24"/>
      <c r="F30" s="24"/>
      <c r="G30" s="25"/>
      <c r="H30" s="19">
        <v>0.035249999999999997</v>
      </c>
      <c r="I30" s="34"/>
      <c r="J30" s="27"/>
    </row>
    <row r="31" spans="2:10" ht="12.75" customHeight="1">
      <c r="B31" s="23" t="s">
        <v>25</v>
      </c>
      <c r="C31" s="24"/>
      <c r="D31" s="24"/>
      <c r="E31" s="24"/>
      <c r="F31" s="24"/>
      <c r="G31" s="25"/>
      <c r="H31" s="19">
        <v>0.022728000000000002</v>
      </c>
      <c r="I31" s="34"/>
      <c r="J31" s="27"/>
    </row>
    <row r="32" spans="2:10" ht="12.75" customHeight="1">
      <c r="B32" s="23" t="s">
        <v>26</v>
      </c>
      <c r="C32" s="24"/>
      <c r="D32" s="24"/>
      <c r="E32" s="24"/>
      <c r="F32" s="24"/>
      <c r="G32" s="25"/>
      <c r="H32" s="19">
        <v>0.019677</v>
      </c>
      <c r="I32" s="34"/>
      <c r="J32" s="27"/>
    </row>
    <row r="33" spans="2:10" ht="12.75" customHeight="1">
      <c r="B33" s="23" t="s">
        <v>27</v>
      </c>
      <c r="C33" s="24"/>
      <c r="D33" s="24"/>
      <c r="E33" s="24"/>
      <c r="F33" s="24"/>
      <c r="G33" s="25"/>
      <c r="H33" s="19">
        <v>0.0041349999999999998</v>
      </c>
      <c r="I33" s="34"/>
      <c r="J33" s="27"/>
    </row>
    <row r="34" spans="2:10" ht="12.75" customHeight="1">
      <c r="B34" s="28" t="s">
        <v>28</v>
      </c>
      <c r="C34" s="29"/>
      <c r="D34" s="29"/>
      <c r="E34" s="29"/>
      <c r="F34" s="29"/>
      <c r="G34" s="30"/>
      <c r="H34" s="19">
        <v>1.358724</v>
      </c>
      <c r="I34" s="31"/>
      <c r="J34" s="32"/>
    </row>
    <row r="35" spans="2:10" ht="12.75" customHeight="1">
      <c r="B35" s="28" t="s">
        <v>29</v>
      </c>
      <c r="C35" s="29"/>
      <c r="D35" s="29"/>
      <c r="E35" s="29"/>
      <c r="F35" s="29"/>
      <c r="G35" s="30"/>
      <c r="H35" s="19">
        <v>7.9791886000000005</v>
      </c>
      <c r="I35" s="31"/>
      <c r="J35" s="32"/>
    </row>
    <row r="36" spans="2:10" ht="12.75" customHeight="1">
      <c r="B36" s="40" t="s">
        <v>30</v>
      </c>
      <c r="C36" s="29"/>
      <c r="D36" s="29"/>
      <c r="E36" s="29"/>
      <c r="F36" s="29"/>
      <c r="G36" s="30"/>
      <c r="H36" s="19">
        <v>0.57626999999999995</v>
      </c>
      <c r="I36" s="31"/>
      <c r="J36" s="32"/>
    </row>
    <row r="37" spans="2:10" ht="12.75" customHeight="1">
      <c r="B37" s="16" t="s">
        <v>31</v>
      </c>
      <c r="C37" s="17"/>
      <c r="D37" s="17"/>
      <c r="E37" s="17"/>
      <c r="F37" s="17"/>
      <c r="G37" s="18"/>
      <c r="H37" s="19">
        <v>0.011365</v>
      </c>
      <c r="I37" s="33"/>
      <c r="J37" s="21"/>
    </row>
    <row r="38" spans="2:10" ht="12.75" customHeight="1">
      <c r="B38" s="23" t="s">
        <v>32</v>
      </c>
      <c r="C38" s="24"/>
      <c r="D38" s="24"/>
      <c r="E38" s="24"/>
      <c r="F38" s="24"/>
      <c r="G38" s="25"/>
      <c r="H38" s="19">
        <v>0.33011610000000002</v>
      </c>
      <c r="I38" s="34"/>
      <c r="J38" s="27"/>
    </row>
    <row r="39" spans="2:10" ht="12.75" customHeight="1">
      <c r="B39" s="16" t="s">
        <v>33</v>
      </c>
      <c r="C39" s="17"/>
      <c r="D39" s="17"/>
      <c r="E39" s="17"/>
      <c r="F39" s="17"/>
      <c r="G39" s="18"/>
      <c r="H39" s="19">
        <v>0.0098589999999999997</v>
      </c>
      <c r="I39" s="33"/>
      <c r="J39" s="21"/>
    </row>
    <row r="40" spans="2:10" ht="12.75" customHeight="1">
      <c r="B40" s="23" t="s">
        <v>34</v>
      </c>
      <c r="C40" s="24"/>
      <c r="D40" s="24"/>
      <c r="E40" s="24"/>
      <c r="F40" s="24"/>
      <c r="G40" s="25"/>
      <c r="H40" s="19">
        <v>3.0843049999999996</v>
      </c>
      <c r="I40" s="34"/>
      <c r="J40" s="27"/>
    </row>
    <row r="41" spans="2:10" ht="12.75" customHeight="1">
      <c r="B41" s="28" t="s">
        <v>35</v>
      </c>
      <c r="C41" s="29"/>
      <c r="D41" s="29"/>
      <c r="E41" s="29"/>
      <c r="F41" s="29"/>
      <c r="G41" s="30"/>
      <c r="H41" s="19">
        <v>0.057070000000000003</v>
      </c>
      <c r="I41" s="31"/>
      <c r="J41" s="32"/>
    </row>
    <row r="42" spans="2:10" ht="12.75" customHeight="1">
      <c r="B42" s="28" t="s">
        <v>36</v>
      </c>
      <c r="C42" s="29"/>
      <c r="D42" s="29"/>
      <c r="E42" s="29"/>
      <c r="F42" s="29"/>
      <c r="G42" s="30"/>
      <c r="H42" s="19">
        <v>0.020501000000000002</v>
      </c>
      <c r="I42" s="31"/>
      <c r="J42" s="32"/>
    </row>
    <row r="43" spans="2:10" ht="12.75" customHeight="1">
      <c r="B43" s="16" t="s">
        <v>37</v>
      </c>
      <c r="C43" s="17"/>
      <c r="D43" s="17"/>
      <c r="E43" s="17"/>
      <c r="F43" s="17"/>
      <c r="G43" s="18"/>
      <c r="H43" s="19">
        <v>0.56343600000000005</v>
      </c>
      <c r="I43" s="33"/>
      <c r="J43" s="21"/>
    </row>
    <row r="44" spans="2:10" ht="12.75" customHeight="1">
      <c r="B44" s="23" t="s">
        <v>38</v>
      </c>
      <c r="C44" s="24"/>
      <c r="D44" s="24"/>
      <c r="E44" s="24"/>
      <c r="F44" s="24"/>
      <c r="G44" s="25"/>
      <c r="H44" s="19">
        <v>1.2915369999999999</v>
      </c>
      <c r="I44" s="34"/>
      <c r="J44" s="27"/>
    </row>
    <row r="45" spans="2:10" ht="12.75" customHeight="1">
      <c r="B45" s="28" t="s">
        <v>39</v>
      </c>
      <c r="C45" s="29"/>
      <c r="D45" s="29"/>
      <c r="E45" s="29"/>
      <c r="F45" s="29"/>
      <c r="G45" s="30"/>
      <c r="H45" s="19">
        <v>0.00095099999999999991</v>
      </c>
      <c r="I45" s="31"/>
      <c r="J45" s="32"/>
    </row>
    <row r="46" spans="2:10" ht="12.75" customHeight="1">
      <c r="B46" s="16" t="s">
        <v>40</v>
      </c>
      <c r="C46" s="17"/>
      <c r="D46" s="17"/>
      <c r="E46" s="17"/>
      <c r="F46" s="17"/>
      <c r="G46" s="18"/>
      <c r="H46" s="19">
        <v>0.43547000000000002</v>
      </c>
      <c r="I46" s="33"/>
      <c r="J46" s="21"/>
    </row>
    <row r="47" spans="2:10" ht="12.75" customHeight="1">
      <c r="B47" s="23" t="s">
        <v>41</v>
      </c>
      <c r="C47" s="24"/>
      <c r="D47" s="24"/>
      <c r="E47" s="24"/>
      <c r="F47" s="24"/>
      <c r="G47" s="25"/>
      <c r="H47" s="19">
        <v>1.459023</v>
      </c>
      <c r="I47" s="34"/>
      <c r="J47" s="27"/>
    </row>
    <row r="48" spans="2:10" ht="12.75" customHeight="1">
      <c r="B48" s="28" t="s">
        <v>42</v>
      </c>
      <c r="C48" s="29"/>
      <c r="D48" s="29"/>
      <c r="E48" s="29"/>
      <c r="F48" s="29"/>
      <c r="G48" s="30"/>
      <c r="H48" s="19">
        <v>0.010712999999999999</v>
      </c>
      <c r="I48" s="31"/>
      <c r="J48" s="32"/>
    </row>
    <row r="49" spans="2:10" ht="12.75" customHeight="1">
      <c r="B49" s="16" t="s">
        <v>43</v>
      </c>
      <c r="C49" s="17"/>
      <c r="D49" s="17"/>
      <c r="E49" s="17"/>
      <c r="F49" s="17"/>
      <c r="G49" s="18"/>
      <c r="H49" s="19">
        <v>1.8095399999999999</v>
      </c>
      <c r="I49" s="33"/>
      <c r="J49" s="21"/>
    </row>
    <row r="50" spans="2:10" ht="12.75" customHeight="1">
      <c r="B50" s="23" t="s">
        <v>44</v>
      </c>
      <c r="C50" s="24"/>
      <c r="D50" s="24"/>
      <c r="E50" s="24"/>
      <c r="F50" s="24"/>
      <c r="G50" s="25"/>
      <c r="H50" s="19">
        <v>0.0018990000000000001</v>
      </c>
      <c r="I50" s="34"/>
      <c r="J50" s="27"/>
    </row>
    <row r="51" spans="2:10" ht="12.75" customHeight="1">
      <c r="B51" s="23"/>
      <c r="C51" s="24"/>
      <c r="D51" s="24"/>
      <c r="E51" s="24"/>
      <c r="F51" s="24"/>
      <c r="G51" s="25"/>
      <c r="H51" s="19"/>
      <c r="I51" s="34"/>
      <c r="J51" s="27"/>
    </row>
    <row r="52" spans="2:10" s="55" customFormat="1" ht="12.75" customHeight="1">
      <c r="B52" s="68" t="s">
        <v>45</v>
      </c>
      <c r="C52" s="69"/>
      <c r="D52" s="69"/>
      <c r="E52" s="69"/>
      <c r="F52" s="69"/>
      <c r="G52" s="70"/>
      <c r="H52" s="71">
        <v>2.3868431983112988</v>
      </c>
      <c r="I52" s="72"/>
      <c r="J52" s="73"/>
    </row>
    <row r="53" spans="2:10" s="55" customFormat="1" ht="12.75" customHeight="1">
      <c r="B53" s="74" t="s">
        <v>46</v>
      </c>
      <c r="C53" s="75"/>
      <c r="D53" s="75"/>
      <c r="E53" s="75"/>
      <c r="F53" s="75"/>
      <c r="G53" s="76"/>
      <c r="H53" s="77">
        <v>17.549284118739436</v>
      </c>
      <c r="I53" s="78">
        <v>1</v>
      </c>
      <c r="J53" s="79"/>
    </row>
    <row r="54" spans="2:10" s="55" customFormat="1" ht="3" customHeight="1">
      <c r="B54" s="80"/>
      <c r="C54" s="81"/>
      <c r="D54" s="81"/>
      <c r="E54" s="81"/>
      <c r="F54" s="81"/>
      <c r="G54" s="81"/>
      <c r="H54" s="81"/>
      <c r="I54" s="81"/>
      <c r="J54" s="82"/>
    </row>
    <row r="55" spans="2:10" s="55" customFormat="1" ht="13.5" thickBot="1">
      <c r="B55" s="80" t="s">
        <v>47</v>
      </c>
      <c r="C55" s="81"/>
      <c r="D55" s="81"/>
      <c r="E55" s="81"/>
      <c r="F55" s="81"/>
      <c r="G55" s="81"/>
      <c r="H55" s="83">
        <v>64.441565217050751</v>
      </c>
      <c r="I55" s="84" t="s">
        <v>48</v>
      </c>
      <c r="J55" s="82"/>
    </row>
    <row r="56" spans="2:10" s="55" customFormat="1" ht="4.5" customHeight="1" thickTop="1" thickBot="1">
      <c r="B56" s="85"/>
      <c r="C56" s="86"/>
      <c r="D56" s="86"/>
      <c r="E56" s="86"/>
      <c r="F56" s="86"/>
      <c r="G56" s="86"/>
      <c r="H56" s="87"/>
      <c r="I56" s="86"/>
      <c r="J56" s="88"/>
    </row>
    <row r="57" spans="2:9" s="55" customFormat="1" ht="18.75" customHeight="1">
      <c r="B57" s="89" t="s">
        <v>49</v>
      </c>
      <c r="C57" s="89"/>
      <c r="H57" s="90">
        <f>+F79</f>
        <v>25945084.559999999</v>
      </c>
      <c r="I57" s="91" t="s">
        <v>50</v>
      </c>
    </row>
    <row r="58" spans="8:8" s="55" customFormat="1" ht="4.5" customHeight="1" thickBot="1">
      <c r="H58" s="92"/>
    </row>
    <row r="59" spans="2:10" s="55" customFormat="1" ht="30" customHeight="1" thickBot="1">
      <c r="B59" s="105" t="s">
        <v>51</v>
      </c>
      <c r="C59" s="106"/>
      <c r="D59" s="106"/>
      <c r="E59" s="106"/>
      <c r="F59" s="106"/>
      <c r="G59" s="93"/>
      <c r="H59" s="94">
        <f>ROUND(H55*H57,0)+H69</f>
        <v>1652522021.4441209</v>
      </c>
      <c r="I59" s="95"/>
      <c r="J59" s="96"/>
    </row>
    <row r="60" spans="2:3" s="55" customFormat="1" ht="24" customHeight="1">
      <c r="B60" s="97"/>
      <c r="C60" s="81"/>
    </row>
    <row r="61" spans="2:8" s="55" customFormat="1" ht="12.75" customHeight="1">
      <c r="B61" s="98" t="s">
        <v>52</v>
      </c>
      <c r="C61" s="81"/>
      <c r="F61" s="99" t="s">
        <v>53</v>
      </c>
      <c r="H61" s="99" t="s">
        <v>54</v>
      </c>
    </row>
    <row r="62" spans="1:9" s="55" customFormat="1" ht="12.75" customHeight="1">
      <c r="A62" s="100"/>
      <c r="B62" s="101" t="s">
        <v>55</v>
      </c>
      <c r="C62" s="101"/>
      <c r="D62" s="101"/>
      <c r="E62" s="101"/>
      <c r="F62" s="71">
        <v>-0.14363999999999999</v>
      </c>
      <c r="G62" s="71"/>
      <c r="H62" s="102">
        <f>+F62*$F$79</f>
        <v>-3726751.9461983996</v>
      </c>
      <c r="I62" s="103"/>
    </row>
    <row r="63" spans="1:9" s="55" customFormat="1" ht="12.75" customHeight="1">
      <c r="A63" s="100"/>
      <c r="B63" s="101" t="s">
        <v>56</v>
      </c>
      <c r="C63" s="101"/>
      <c r="D63" s="101"/>
      <c r="E63" s="101"/>
      <c r="F63" s="71">
        <v>-0.23689200000000002</v>
      </c>
      <c r="G63" s="71"/>
      <c r="H63" s="102">
        <f>+F63*$F$79</f>
        <v>-6146182.9715875201</v>
      </c>
      <c r="I63" s="103"/>
    </row>
    <row r="64" spans="1:9" s="55" customFormat="1" ht="12.75" customHeight="1">
      <c r="A64" s="100"/>
      <c r="B64" s="101" t="s">
        <v>57</v>
      </c>
      <c r="C64" s="101"/>
      <c r="D64" s="101"/>
      <c r="E64" s="101"/>
      <c r="F64" s="71">
        <v>-0.06207725</v>
      </c>
      <c r="G64" s="71"/>
      <c r="H64" s="102">
        <f>+F64*$F$79</f>
        <v>-1610599.5005022599</v>
      </c>
      <c r="I64" s="103"/>
    </row>
    <row r="65" spans="1:9" s="55" customFormat="1" ht="12.75" customHeight="1">
      <c r="A65" s="100"/>
      <c r="B65" s="101" t="s">
        <v>58</v>
      </c>
      <c r="C65" s="101"/>
      <c r="D65" s="101"/>
      <c r="E65" s="101"/>
      <c r="F65" s="71">
        <v>0.00281</v>
      </c>
      <c r="G65" s="71"/>
      <c r="H65" s="102">
        <f>+F65*$F$79</f>
        <v>72905.687613599992</v>
      </c>
      <c r="I65" s="103"/>
    </row>
    <row r="66" spans="1:9" s="55" customFormat="1" ht="12.75" customHeight="1">
      <c r="A66" s="100"/>
      <c r="B66" s="101" t="s">
        <v>59</v>
      </c>
      <c r="C66" s="101"/>
      <c r="D66" s="101"/>
      <c r="E66" s="101"/>
      <c r="F66" s="71">
        <v>-0.014088</v>
      </c>
      <c r="G66" s="71"/>
      <c r="H66" s="102">
        <f>+F66*$F$79</f>
        <v>-365514.35128127999</v>
      </c>
      <c r="I66" s="103"/>
    </row>
    <row r="67" spans="1:9" s="55" customFormat="1" ht="12.75" customHeight="1">
      <c r="A67" s="100"/>
      <c r="B67" s="75" t="s">
        <v>60</v>
      </c>
      <c r="C67" s="75"/>
      <c r="D67" s="75"/>
      <c r="E67" s="75"/>
      <c r="F67" s="71">
        <v>0.00348</v>
      </c>
      <c r="G67" s="71"/>
      <c r="H67" s="102">
        <f>+F67*24930510.352</f>
        <v>86758.176024960005</v>
      </c>
      <c r="I67" s="103"/>
    </row>
    <row r="68" spans="1:9" s="55" customFormat="1" ht="12.75" customHeight="1">
      <c r="A68" s="74"/>
      <c r="B68" s="104" t="s">
        <v>61</v>
      </c>
      <c r="C68" s="75"/>
      <c r="D68" s="75"/>
      <c r="E68" s="75"/>
      <c r="F68" s="71">
        <v>-0.31007999999999997</v>
      </c>
      <c r="G68" s="71"/>
      <c r="H68" s="102">
        <f>+F68*24930510.352</f>
        <v>-7730452.6499481602</v>
      </c>
      <c r="I68" s="79"/>
    </row>
    <row r="69" spans="2:8" ht="12.75" customHeight="1">
      <c r="B69" s="36"/>
      <c r="C69" s="36"/>
      <c r="D69" s="41" t="s">
        <v>62</v>
      </c>
      <c r="E69" s="42"/>
      <c r="F69" s="42"/>
      <c r="G69" s="42"/>
      <c r="H69" s="43">
        <f>SUM(H62:H68)</f>
        <v>-19419837.55587906</v>
      </c>
    </row>
    <row r="70" spans="2:8" ht="12.75" customHeight="1">
      <c r="B70" s="36"/>
      <c r="C70" s="36"/>
      <c r="D70" s="14"/>
      <c r="E70" s="14"/>
      <c r="F70" s="14"/>
      <c r="G70" s="14"/>
      <c r="H70" s="44"/>
    </row>
    <row r="71" spans="2:10" s="45" customFormat="1" ht="15.75" customHeight="1">
      <c r="B71" s="46" t="s">
        <v>63</v>
      </c>
      <c r="C71" s="46"/>
      <c r="D71" s="22"/>
      <c r="E71" s="22"/>
      <c r="F71" s="22"/>
      <c r="G71" s="22"/>
      <c r="H71" s="47">
        <v>16.840547180000002</v>
      </c>
      <c r="I71" s="22"/>
      <c r="J71" s="22"/>
    </row>
    <row r="72" spans="2:10" s="45" customFormat="1" ht="12.75">
      <c r="B72" s="46" t="s">
        <v>64</v>
      </c>
      <c r="C72" s="46"/>
      <c r="D72" s="22"/>
      <c r="E72" s="22"/>
      <c r="F72" s="22"/>
      <c r="G72" s="22"/>
      <c r="H72" s="48">
        <v>3.2263409999999997</v>
      </c>
      <c r="I72" s="22"/>
      <c r="J72" s="22"/>
    </row>
    <row r="73" spans="2:10" s="45" customFormat="1" ht="12.75">
      <c r="B73" s="46"/>
      <c r="C73" s="46"/>
      <c r="D73" s="22"/>
      <c r="E73" s="22"/>
      <c r="F73" s="22"/>
      <c r="G73" s="22"/>
      <c r="H73" s="22"/>
      <c r="I73" s="22"/>
      <c r="J73" s="22"/>
    </row>
    <row r="74" spans="2:8" ht="21.75" customHeight="1">
      <c r="B74" s="46"/>
      <c r="C74" s="46"/>
      <c r="D74" s="49" t="s">
        <v>65</v>
      </c>
      <c r="E74" s="49"/>
      <c r="F74" s="50" t="s">
        <v>66</v>
      </c>
      <c r="H74" s="49" t="s">
        <v>67</v>
      </c>
    </row>
    <row r="75" spans="2:8" ht="12.75">
      <c r="B75" s="51" t="s">
        <v>68</v>
      </c>
      <c r="C75" s="52"/>
      <c r="D75" s="53">
        <v>70393637.447999999</v>
      </c>
      <c r="E75" s="54"/>
      <c r="F75" s="53">
        <v>24667665.859999999</v>
      </c>
      <c r="G75" s="55"/>
      <c r="H75" s="56" t="s">
        <v>69</v>
      </c>
    </row>
    <row r="76" spans="2:8" ht="12.75">
      <c r="B76" s="57" t="s">
        <v>70</v>
      </c>
      <c r="C76" s="57"/>
      <c r="D76" s="58">
        <v>73305140.020000011</v>
      </c>
      <c r="E76" s="59"/>
      <c r="F76" s="58">
        <v>26269921.052000001</v>
      </c>
      <c r="H76" s="60" t="s">
        <v>69</v>
      </c>
    </row>
    <row r="77" spans="2:8" ht="12.75">
      <c r="B77" s="57" t="s">
        <v>71</v>
      </c>
      <c r="C77" s="57"/>
      <c r="D77" s="58">
        <v>73822003.983999997</v>
      </c>
      <c r="E77" s="59"/>
      <c r="F77" s="58">
        <v>26160386.920000002</v>
      </c>
      <c r="H77" s="60" t="s">
        <v>69</v>
      </c>
    </row>
    <row r="78" spans="2:8" ht="12.75">
      <c r="B78" s="57" t="s">
        <v>72</v>
      </c>
      <c r="C78" s="57"/>
      <c r="D78" s="58">
        <v>72440519.555999994</v>
      </c>
      <c r="E78" s="61"/>
      <c r="F78" s="58">
        <v>26682364.408</v>
      </c>
      <c r="G78" s="36"/>
      <c r="H78" s="60" t="s">
        <v>69</v>
      </c>
    </row>
    <row r="79" spans="2:8" ht="12.75" customHeight="1" thickBot="1">
      <c r="B79" s="62" t="s">
        <v>73</v>
      </c>
      <c r="C79" s="62"/>
      <c r="D79" s="63">
        <f>ROUND(AVERAGE(D75:D78),3)</f>
        <v>72490325.252000004</v>
      </c>
      <c r="E79" s="64"/>
      <c r="F79" s="63">
        <f>ROUND(AVERAGE(F75:F78),3)</f>
        <v>25945084.559999999</v>
      </c>
      <c r="G79" s="36"/>
      <c r="H79" s="65"/>
    </row>
    <row r="80" ht="6" customHeight="1" thickTop="1"/>
    <row r="81" spans="2:10" s="45" customFormat="1" ht="12.75">
      <c r="B81" s="46"/>
      <c r="C81" s="46"/>
      <c r="D81" s="22"/>
      <c r="E81" s="22"/>
      <c r="F81" s="22"/>
      <c r="G81" s="22"/>
      <c r="H81" s="22"/>
      <c r="I81" s="22"/>
      <c r="J81" s="22"/>
    </row>
    <row r="82" spans="2:10" s="45" customFormat="1" ht="12.75">
      <c r="B82" s="46"/>
      <c r="C82" s="46"/>
      <c r="D82" s="22"/>
      <c r="E82" s="22"/>
      <c r="F82" s="22"/>
      <c r="G82" s="22"/>
      <c r="H82" s="22"/>
      <c r="I82" s="22"/>
      <c r="J82" s="22"/>
    </row>
    <row r="83" spans="2:10" ht="1.5" customHeight="1">
      <c r="B83" s="22"/>
      <c r="C83" s="22"/>
      <c r="D83" s="22"/>
      <c r="E83" s="22"/>
      <c r="F83" s="22"/>
      <c r="G83" s="22"/>
      <c r="H83" s="22"/>
      <c r="I83" s="22"/>
      <c r="J83" s="22"/>
    </row>
    <row r="84" spans="2:10" ht="12.75">
      <c r="B84" s="22"/>
      <c r="C84" s="22"/>
      <c r="D84" s="22"/>
      <c r="E84" s="22"/>
      <c r="F84" s="66"/>
      <c r="G84" s="22"/>
      <c r="H84" s="22"/>
      <c r="I84" s="22"/>
      <c r="J84" s="22"/>
    </row>
    <row r="87" spans="8:8" ht="12.75">
      <c r="H87" s="67"/>
    </row>
  </sheetData>
  <mergeCells count="1">
    <mergeCell ref="B59:F59"/>
  </mergeCells>
  <printOptions horizontalCentered="1"/>
  <pageMargins left="1.5" right="0.5" top="0.5" bottom="0.5" header="0" footer="0"/>
  <pageSetup horizontalDpi="300" verticalDpi="300" orientation="portrait" scale="66" r:id="rId1"/>
  <headerFooter alignWithMargins="0">
    <oddHeader>&amp;R&amp;"Arial,Bold"WP/II-D ADJUSTMENT/1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Wholesale_NTS_RO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