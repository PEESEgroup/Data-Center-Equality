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480" yWindow="180" windowWidth="27795" windowHeight="12525" activeTab="0"/>
  </bookViews>
  <sheets>
    <sheet name="Pension" sheetId="1" r:id="rId2"/>
  </sheets>
  <definedNames>
    <definedName name="_xlnm.Print_Area" localSheetId="0">Pension!$A$1:$H$34</definedName>
  </definedNames>
  <calcPr calcId="152511" iterate="1" iterateCount="100" iterateDelta="0.001"/>
</workbook>
</file>

<file path=xl/calcChain.xml><?xml version="1.0" encoding="utf-8"?>
<calcChain xmlns="http://schemas.openxmlformats.org/spreadsheetml/2006/main">
  <c r="F32" i="1" l="1"/>
</calcChain>
</file>

<file path=xl/sharedStrings.xml><?xml version="1.0" encoding="utf-8"?>
<sst xmlns="http://schemas.openxmlformats.org/spreadsheetml/2006/main" count="40" uniqueCount="40">
  <si>
    <t>Reconciliation of Pension Deferral Regulatory Asset by Year</t>
  </si>
  <si>
    <t>Year</t>
  </si>
  <si>
    <t>(a)</t>
  </si>
  <si>
    <t>(b)</t>
  </si>
  <si>
    <t>(c)</t>
  </si>
  <si>
    <t>(a+b+c)</t>
  </si>
  <si>
    <t>Total Annual</t>
  </si>
  <si>
    <t>Recoverable Accrual</t>
  </si>
  <si>
    <t xml:space="preserve">Amount in </t>
  </si>
  <si>
    <t>Balance Sheet &amp; Other</t>
  </si>
  <si>
    <t>Amount in</t>
  </si>
  <si>
    <t>Operating Expense</t>
  </si>
  <si>
    <t>Beginning Balance</t>
  </si>
  <si>
    <t>Unreviewed</t>
  </si>
  <si>
    <t>Reviewed</t>
  </si>
  <si>
    <t>Amount Previously</t>
  </si>
  <si>
    <t>Deferred Amount</t>
  </si>
  <si>
    <t>2020 Amortization</t>
  </si>
  <si>
    <t>2019 Amortization</t>
  </si>
  <si>
    <t>2018 Amortization</t>
  </si>
  <si>
    <t>2017 Jan 1 -Nov 26 Amortization</t>
  </si>
  <si>
    <t>2017  Nov 27-Dec 31 Amortization</t>
  </si>
  <si>
    <t>2021 Amortization</t>
  </si>
  <si>
    <t>Balance at December 31, 2021</t>
  </si>
  <si>
    <t>less amount approved in Docket No. 46957 rates (Order, Ordering Paragraph No. 11)</t>
  </si>
  <si>
    <t>Account 9260000 EC 065</t>
  </si>
  <si>
    <t>K&amp;M O&amp;M reg asset amortization for pension</t>
  </si>
  <si>
    <t>10-year annual approved amortization (reduces to reg asset)</t>
  </si>
  <si>
    <t>Oncor Electric Delivery Company LLC</t>
  </si>
  <si>
    <t>Requested annual amortization/recovery in this case</t>
  </si>
  <si>
    <t>Amortization/recovery over years</t>
  </si>
  <si>
    <t>Docket No. 38929 rates in effect</t>
  </si>
  <si>
    <t>Docket No. 46957 rates in effect</t>
  </si>
  <si>
    <t>Requested recovery in years</t>
  </si>
  <si>
    <t>Account 1823600; Schedule II-B-14</t>
  </si>
  <si>
    <t>O&amp;M adjustment # 47</t>
  </si>
  <si>
    <t>O&amp;M adjustment # 46</t>
  </si>
  <si>
    <t>Balance to be reviewed in this case amortized over 5 years</t>
  </si>
  <si>
    <t>Balance reviewed in Docket No. 46957 to be amortized over 5 years</t>
  </si>
  <si>
    <t>K&amp;M O&amp;M Adjustment for Deferred Retirement Plan Costs (Pension Deferral Regulatory Asset) - requested 5-year amortization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</si>
</sst>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7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u val="single"/>
      <sz val="11"/>
      <color theme="1"/>
      <name val="Calibri"/>
      <family val="2"/>
      <scheme val="minor"/>
    </font>
    <font>
      <b/>
      <u val="single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</border>
  </borders>
  <cellStyleXfs count="21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6" fillId="0" borderId="0">
      <alignment/>
      <protection/>
    </xf>
  </cellStyleXfs>
  <cellXfs count="18">
    <xf numFmtId="0" fontId="0" fillId="0" borderId="0" xfId="0"/>
    <xf numFmtId="39" fontId="0" fillId="0" borderId="0" xfId="0" applyNumberFormat="1" applyFill="1"/>
    <xf numFmtId="0" fontId="5" fillId="0" borderId="0" xfId="0" applyFont="1" applyFill="1"/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64" fontId="0" fillId="0" borderId="0" xfId="0" applyNumberFormat="1" applyFill="1"/>
    <xf numFmtId="0" fontId="4" fillId="0" borderId="0" xfId="0" applyFont="1" applyFill="1" applyBorder="1"/>
    <xf numFmtId="39" fontId="0" fillId="0" borderId="0" xfId="0" applyNumberFormat="1" applyFill="1" applyBorder="1"/>
    <xf numFmtId="39" fontId="0" fillId="0" borderId="1" xfId="0" applyNumberFormat="1" applyFill="1" applyBorder="1"/>
    <xf numFmtId="0" fontId="0" fillId="0" borderId="0" xfId="0" applyFill="1" applyAlignment="1">
      <alignment horizontal="right"/>
    </xf>
    <xf numFmtId="37" fontId="0" fillId="0" borderId="0" xfId="0" applyNumberFormat="1" applyFill="1"/>
    <xf numFmtId="0" fontId="0" fillId="0" borderId="0" xfId="0" applyFill="1" applyAlignment="1">
      <alignment horizontal="left"/>
    </xf>
    <xf numFmtId="39" fontId="0" fillId="0" borderId="0" xfId="0" applyNumberFormat="1" applyFill="1" applyAlignment="1">
      <alignment horizontal="right"/>
    </xf>
    <xf numFmtId="39" fontId="0" fillId="0" borderId="0" xfId="0" applyNumberFormat="1" applyFill="1" applyAlignment="1">
      <alignment horizontal="center" vertical="top" wrapText="1"/>
    </xf>
    <xf numFmtId="39" fontId="0" fillId="0" borderId="0" xfId="0" applyNumberForma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/>
    </xf>
  </cellXfs>
  <cellStyles count="7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2 3" xfId="2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pageSetUpPr fitToPage="1"/>
  </sheetPr>
  <dimension ref="A1:G45"/>
  <sheetViews>
    <sheetView tabSelected="1" workbookViewId="0" topLeftCell="A1">
      <selection pane="topLeft" activeCell="A3" sqref="A3:F3"/>
    </sheetView>
  </sheetViews>
  <sheetFormatPr defaultColWidth="9.14428571428571" defaultRowHeight="15"/>
  <cols>
    <col min="1" max="1" width="32.5714285714286" style="3" customWidth="1"/>
    <col min="2" max="2" width="20.2857142857143" style="3" customWidth="1"/>
    <col min="3" max="3" width="16.7142857142857" style="3" customWidth="1"/>
    <col min="4" max="4" width="22.2857142857143" style="3" customWidth="1"/>
    <col min="5" max="5" width="19.2857142857143" style="3" bestFit="1" customWidth="1"/>
    <col min="6" max="6" width="20" style="3" customWidth="1"/>
    <col min="7" max="7" width="55.5714285714286" style="3" bestFit="1" customWidth="1"/>
    <col min="8" max="16384" width="9.14285714285714" style="3"/>
  </cols>
  <sheetData>
    <row r="1" spans="1:1" ht="15">
      <c r="A1" s="2" t="s">
        <v>28</v>
      </c>
    </row>
    <row r="2" spans="1:1" ht="15">
      <c r="A2" s="2" t="s">
        <v>39</v>
      </c>
    </row>
    <row r="3" spans="1:6" ht="15.75">
      <c r="A3" s="17" t="s">
        <v>0</v>
      </c>
      <c r="B3" s="17"/>
      <c r="C3" s="17"/>
      <c r="D3" s="17"/>
      <c r="E3" s="17"/>
      <c r="F3" s="17"/>
    </row>
    <row r="5" spans="2:6" ht="15">
      <c r="B5" s="4" t="s">
        <v>6</v>
      </c>
      <c r="C5" s="4" t="s">
        <v>10</v>
      </c>
      <c r="D5" s="4" t="s">
        <v>8</v>
      </c>
      <c r="E5" s="4" t="s">
        <v>13</v>
      </c>
      <c r="F5" s="4" t="s">
        <v>15</v>
      </c>
    </row>
    <row r="6" spans="1:6" ht="15">
      <c r="A6" s="5" t="s">
        <v>1</v>
      </c>
      <c r="B6" s="5" t="s">
        <v>7</v>
      </c>
      <c r="C6" s="5" t="s">
        <v>11</v>
      </c>
      <c r="D6" s="5" t="s">
        <v>9</v>
      </c>
      <c r="E6" s="5" t="s">
        <v>16</v>
      </c>
      <c r="F6" s="5" t="s">
        <v>14</v>
      </c>
    </row>
    <row r="7" spans="1:5" ht="15">
      <c r="A7" s="5"/>
      <c r="B7" s="6" t="s">
        <v>5</v>
      </c>
      <c r="C7" s="6" t="s">
        <v>2</v>
      </c>
      <c r="D7" s="6" t="s">
        <v>3</v>
      </c>
      <c r="E7" s="6" t="s">
        <v>4</v>
      </c>
    </row>
    <row r="8" spans="1:6" ht="15">
      <c r="A8" s="4" t="s">
        <v>12</v>
      </c>
      <c r="B8" s="1"/>
      <c r="C8" s="1"/>
      <c r="D8" s="1"/>
      <c r="E8" s="7"/>
      <c r="F8" s="1">
        <v>306881927.64999998</v>
      </c>
    </row>
    <row r="9" spans="1:6" ht="15">
      <c r="A9" s="8"/>
      <c r="B9" s="1"/>
      <c r="C9" s="1"/>
      <c r="D9" s="1"/>
      <c r="E9" s="1"/>
      <c r="F9" s="1"/>
    </row>
    <row r="10" spans="1:5" ht="15">
      <c r="A10" s="4">
        <v>2017</v>
      </c>
      <c r="B10" s="1">
        <v>80911733</v>
      </c>
      <c r="C10" s="1">
        <v>16573958.810000001</v>
      </c>
      <c r="D10" s="1">
        <v>39748165.329999998</v>
      </c>
      <c r="E10" s="1">
        <v>24589608.859999999</v>
      </c>
    </row>
    <row r="11" spans="1:7" ht="15">
      <c r="A11" s="4" t="s">
        <v>20</v>
      </c>
      <c r="B11" s="1"/>
      <c r="C11" s="1"/>
      <c r="D11" s="1"/>
      <c r="E11" s="1"/>
      <c r="F11" s="1">
        <v>-8252995.6799999997</v>
      </c>
      <c r="G11" s="3" t="s">
        <v>31</v>
      </c>
    </row>
    <row r="12" spans="1:7" ht="15">
      <c r="A12" s="4" t="s">
        <v>21</v>
      </c>
      <c r="B12" s="1"/>
      <c r="C12" s="1"/>
      <c r="D12" s="1"/>
      <c r="E12" s="1"/>
      <c r="F12" s="1">
        <v>-2898329.3399999999</v>
      </c>
      <c r="G12" s="3" t="s">
        <v>32</v>
      </c>
    </row>
    <row r="13" spans="1:6" ht="15">
      <c r="A13" s="4"/>
      <c r="B13" s="1"/>
      <c r="C13" s="1"/>
      <c r="D13" s="1"/>
      <c r="E13" s="1"/>
      <c r="F13" s="1"/>
    </row>
    <row r="14" spans="1:5" ht="15">
      <c r="A14" s="4">
        <v>2018</v>
      </c>
      <c r="B14" s="1">
        <v>72209352</v>
      </c>
      <c r="C14" s="1">
        <v>42446295</v>
      </c>
      <c r="D14" s="1">
        <v>35913760.649999999</v>
      </c>
      <c r="E14" s="1">
        <v>-6150703.6500000004</v>
      </c>
    </row>
    <row r="15" spans="1:6" ht="15">
      <c r="A15" s="4" t="s">
        <v>19</v>
      </c>
      <c r="B15" s="1"/>
      <c r="C15" s="1"/>
      <c r="D15" s="1"/>
      <c r="E15" s="1"/>
      <c r="F15" s="9">
        <v>-30688193.039999999</v>
      </c>
    </row>
    <row r="16" spans="1:6" ht="15">
      <c r="A16" s="4"/>
      <c r="B16" s="1"/>
      <c r="C16" s="1"/>
      <c r="D16" s="1"/>
      <c r="E16" s="1"/>
      <c r="F16" s="1"/>
    </row>
    <row r="17" spans="1:5" ht="15">
      <c r="A17" s="4">
        <v>2019</v>
      </c>
      <c r="B17" s="1">
        <v>58980539</v>
      </c>
      <c r="C17" s="1">
        <v>42446295</v>
      </c>
      <c r="D17" s="1">
        <v>30509237.710000001</v>
      </c>
      <c r="E17" s="1">
        <v>-13974993.710000001</v>
      </c>
    </row>
    <row r="18" spans="1:6" ht="15">
      <c r="A18" s="4" t="s">
        <v>18</v>
      </c>
      <c r="B18" s="1"/>
      <c r="C18" s="1"/>
      <c r="D18" s="1"/>
      <c r="E18" s="9"/>
      <c r="F18" s="9">
        <v>-30688193.039999999</v>
      </c>
    </row>
    <row r="19" spans="1:6" ht="15">
      <c r="A19" s="4"/>
      <c r="B19" s="1"/>
      <c r="C19" s="1"/>
      <c r="D19" s="1"/>
      <c r="E19" s="9"/>
      <c r="F19" s="9"/>
    </row>
    <row r="20" spans="1:6" ht="15">
      <c r="A20" s="4">
        <v>2020</v>
      </c>
      <c r="B20" s="1">
        <v>66652199</v>
      </c>
      <c r="C20" s="1">
        <v>42446295</v>
      </c>
      <c r="D20" s="1">
        <v>35191489.07</v>
      </c>
      <c r="E20" s="9">
        <v>-10985585.07</v>
      </c>
      <c r="F20" s="9"/>
    </row>
    <row r="21" spans="1:6" ht="15">
      <c r="A21" s="4" t="s">
        <v>17</v>
      </c>
      <c r="B21" s="1"/>
      <c r="D21" s="1"/>
      <c r="E21" s="9"/>
      <c r="F21" s="9">
        <v>-30688193.039999999</v>
      </c>
    </row>
    <row r="22" spans="1:6" ht="15">
      <c r="A22" s="4"/>
      <c r="B22" s="1"/>
      <c r="D22" s="1"/>
      <c r="E22" s="9"/>
      <c r="F22" s="9"/>
    </row>
    <row r="23" spans="1:6" ht="15">
      <c r="A23" s="4">
        <v>2021</v>
      </c>
      <c r="B23" s="1">
        <v>67105052</v>
      </c>
      <c r="C23" s="1">
        <v>42446295</v>
      </c>
      <c r="D23" s="1">
        <v>35577239.649999999</v>
      </c>
      <c r="E23" s="9">
        <v>-10918482.65</v>
      </c>
      <c r="F23" s="9"/>
    </row>
    <row r="24" spans="1:6" ht="15">
      <c r="A24" s="4" t="s">
        <v>22</v>
      </c>
      <c r="B24" s="1"/>
      <c r="D24" s="1"/>
      <c r="E24" s="10"/>
      <c r="F24" s="10">
        <v>-30688193.039999999</v>
      </c>
    </row>
    <row r="25" spans="1:6" ht="15">
      <c r="A25" s="4"/>
      <c r="B25" s="1"/>
      <c r="C25" s="1"/>
      <c r="D25" s="1"/>
      <c r="E25" s="1"/>
      <c r="F25" s="9"/>
    </row>
    <row r="26" spans="1:7" ht="15">
      <c r="A26" s="4" t="s">
        <v>23</v>
      </c>
      <c r="B26" s="1"/>
      <c r="C26" s="1"/>
      <c r="D26" s="1"/>
      <c r="E26" s="1">
        <v>-17440156.219999999</v>
      </c>
      <c r="F26" s="1">
        <v>172977830.47000003</v>
      </c>
      <c r="G26" s="3" t="s">
        <v>34</v>
      </c>
    </row>
    <row r="27" spans="1:6" ht="15">
      <c r="A27" s="4"/>
      <c r="B27" s="4"/>
      <c r="C27" s="1"/>
      <c r="D27" s="1"/>
      <c r="E27" s="1"/>
      <c r="F27" s="1"/>
    </row>
    <row r="28" spans="1:7" ht="15">
      <c r="A28" s="4"/>
      <c r="B28" s="4"/>
      <c r="C28" s="1"/>
      <c r="D28" s="11" t="s">
        <v>30</v>
      </c>
      <c r="E28" s="12">
        <v>5</v>
      </c>
      <c r="F28" s="12">
        <v>5</v>
      </c>
      <c r="G28" s="3" t="s">
        <v>33</v>
      </c>
    </row>
    <row r="29" spans="1:6" ht="15">
      <c r="A29" s="13"/>
      <c r="B29" s="13"/>
      <c r="C29" s="1"/>
      <c r="D29" s="11" t="s">
        <v>29</v>
      </c>
      <c r="E29" s="9">
        <f>ROUND(+E26/E28,2)</f>
        <v>-3488031.2400000002</v>
      </c>
      <c r="F29" s="9">
        <f>ROUND(+F26/F28,2)</f>
        <v>34595566.090000004</v>
      </c>
    </row>
    <row r="30" spans="1:6" ht="15">
      <c r="A30" s="13"/>
      <c r="B30" s="13"/>
      <c r="C30" s="1"/>
      <c r="D30" s="14"/>
      <c r="E30" s="9"/>
      <c r="F30" s="9"/>
    </row>
    <row r="31" spans="1:7" ht="15">
      <c r="A31" s="13"/>
      <c r="B31" s="13"/>
      <c r="C31" s="1"/>
      <c r="D31" s="14" t="s">
        <v>24</v>
      </c>
      <c r="E31" s="10">
        <v>0</v>
      </c>
      <c r="F31" s="10">
        <v>30688193.039999999</v>
      </c>
      <c r="G31" s="3" t="s">
        <v>27</v>
      </c>
    </row>
    <row r="32" spans="1:7" ht="15">
      <c r="A32" s="4"/>
      <c r="B32" s="4"/>
      <c r="C32" s="1"/>
      <c r="D32" s="11" t="s">
        <v>26</v>
      </c>
      <c r="E32" s="9">
        <f>+E29-E31</f>
        <v>-3488031.2400000002</v>
      </c>
      <c r="F32" s="9">
        <f>+F29-F31</f>
        <v>3907373.0500000045</v>
      </c>
      <c r="G32" s="3" t="s">
        <v>25</v>
      </c>
    </row>
    <row r="33" spans="3:6" ht="60">
      <c r="C33" s="1"/>
      <c r="D33" s="1"/>
      <c r="E33" s="15" t="s">
        <v>37</v>
      </c>
      <c r="F33" s="16" t="s">
        <v>38</v>
      </c>
    </row>
    <row r="34" spans="3:6" ht="15">
      <c r="C34" s="1"/>
      <c r="D34" s="1"/>
      <c r="E34" s="1" t="s">
        <v>35</v>
      </c>
      <c r="F34" s="1" t="s">
        <v>36</v>
      </c>
    </row>
    <row r="35" spans="3:6" ht="15">
      <c r="C35" s="1"/>
      <c r="D35" s="1"/>
      <c r="E35" s="1"/>
      <c r="F35" s="1"/>
    </row>
    <row r="36" spans="3:6" ht="15">
      <c r="C36" s="1"/>
      <c r="D36" s="1"/>
      <c r="E36" s="1"/>
      <c r="F36" s="1"/>
    </row>
    <row r="37" spans="3:6" ht="15">
      <c r="C37" s="1"/>
      <c r="D37" s="1"/>
      <c r="E37" s="1"/>
      <c r="F37" s="1"/>
    </row>
    <row r="38" spans="3:6" ht="15">
      <c r="C38" s="1"/>
      <c r="D38" s="1"/>
      <c r="E38" s="1"/>
      <c r="F38" s="1"/>
    </row>
    <row r="39" spans="3:6" ht="15">
      <c r="C39" s="1"/>
      <c r="D39" s="1"/>
      <c r="E39" s="1"/>
      <c r="F39" s="1"/>
    </row>
    <row r="40" spans="3:6" ht="15">
      <c r="C40" s="1"/>
      <c r="D40" s="1"/>
      <c r="E40" s="1"/>
      <c r="F40" s="1"/>
    </row>
    <row r="41" spans="3:6" ht="15">
      <c r="C41" s="1"/>
      <c r="D41" s="1"/>
      <c r="E41" s="1"/>
      <c r="F41" s="1"/>
    </row>
    <row r="42" spans="3:6" ht="15">
      <c r="C42" s="1"/>
      <c r="D42" s="1"/>
      <c r="E42" s="1"/>
      <c r="F42" s="1"/>
    </row>
    <row r="43" spans="3:6" ht="15">
      <c r="C43" s="1"/>
      <c r="D43" s="1"/>
      <c r="E43" s="1"/>
      <c r="F43" s="1"/>
    </row>
    <row r="44" spans="3:6" ht="15">
      <c r="C44" s="1"/>
      <c r="D44" s="1"/>
      <c r="E44" s="1"/>
      <c r="F44" s="1"/>
    </row>
    <row r="45" spans="3:6" ht="15">
      <c r="C45" s="1"/>
      <c r="D45" s="1"/>
      <c r="E45" s="1"/>
      <c r="F45" s="1"/>
    </row>
  </sheetData>
  <mergeCells count="1">
    <mergeCell ref="A3:F3"/>
  </mergeCells>
  <pageMargins left="0.5" right="0.5" top="1.5" bottom="0.5" header="1" footer="0.3"/>
  <pageSetup orientation="landscape" scale="64" r:id="rId1"/>
  <headerFooter>
    <oddHeader>&amp;R&amp;"-,Bold"WP/II-D ADJUSTMENT /47
Page 2 of 2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Pension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