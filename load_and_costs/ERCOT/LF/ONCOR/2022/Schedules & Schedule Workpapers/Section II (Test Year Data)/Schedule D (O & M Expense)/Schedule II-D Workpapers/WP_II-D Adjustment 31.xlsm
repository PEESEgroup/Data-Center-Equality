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Sheet1" sheetId="1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1" l="1"/>
</calcChain>
</file>

<file path=xl/sharedStrings.xml><?xml version="1.0" encoding="utf-8"?>
<sst xmlns="http://schemas.openxmlformats.org/spreadsheetml/2006/main" count="58" uniqueCount="29">
  <si>
    <t>Item Name</t>
  </si>
  <si>
    <t>Item Description</t>
  </si>
  <si>
    <t>Purpose</t>
  </si>
  <si>
    <t>2021 Test Year Amount</t>
  </si>
  <si>
    <t>Known &amp; Measurable Adjustment Amount</t>
  </si>
  <si>
    <t>Adjusted 2021 Test Year Amount</t>
  </si>
  <si>
    <t>Information Technology</t>
  </si>
  <si>
    <t>Added COLA (Jan - Sep) and reduced COLA (Oct - Dec) - HCL</t>
  </si>
  <si>
    <t>Annualize Recurring</t>
  </si>
  <si>
    <t>Added new resources - HCL</t>
  </si>
  <si>
    <t xml:space="preserve">Reduced new capacity agreement - IBM </t>
  </si>
  <si>
    <t>Customer Engagement</t>
  </si>
  <si>
    <t>Added new rates Amendment 3 - GC Services (Jan - Mar)</t>
  </si>
  <si>
    <t>Removed Storm Credit - GC Services</t>
  </si>
  <si>
    <t>Non-Recurring</t>
  </si>
  <si>
    <t>Human Resources</t>
  </si>
  <si>
    <t>Removed prepaid expense for Jan/Feb '22 vouchers - Ultimate</t>
  </si>
  <si>
    <t>Removed out of period expense for Dec '20 voucher - Businessolver</t>
  </si>
  <si>
    <t>Reduced new rates Amendment 6 - Fidelity MTC (Jan - Dec)</t>
  </si>
  <si>
    <t>Recurring</t>
  </si>
  <si>
    <t>Removed Storm Credit - Intrado and Kubra; moved to self-insurance reserve</t>
  </si>
  <si>
    <t>Non Recurring</t>
  </si>
  <si>
    <t>Veritas - Software maintenance (including vendor SHI)</t>
  </si>
  <si>
    <t>TOTALS</t>
  </si>
  <si>
    <t>Account</t>
  </si>
  <si>
    <t>A923</t>
  </si>
  <si>
    <t>A903</t>
  </si>
  <si>
    <t>Reduced due to year-end assets adjustment - HCL</t>
  </si>
  <si>
    <t>Embedded:  Hardware and software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</si>
</sst>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43" formatCode="_(* #,##0.00_);_(* \(#,##0.00\);_(* &quot;-&quot;??_);_(@_)"/>
  </numFmts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 val="single"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Fill="1" applyBorder="1" applyAlignment="1">
      <alignment wrapText="1"/>
    </xf>
    <xf numFmtId="43" fontId="0" fillId="0" borderId="0" xfId="0" applyNumberFormat="1" applyFont="1" applyFill="1" applyBorder="1"/>
    <xf numFmtId="43" fontId="0" fillId="0" borderId="0" xfId="0" applyNumberFormat="1" applyBorder="1"/>
    <xf numFmtId="0" fontId="0" fillId="0" borderId="0" xfId="0" applyFill="1" applyBorder="1" applyAlignment="1">
      <alignment wrapText="1"/>
    </xf>
    <xf numFmtId="43" fontId="0" fillId="0" borderId="0" xfId="0" applyNumberFormat="1" applyFill="1" applyBorder="1"/>
    <xf numFmtId="6" fontId="4" fillId="0" borderId="0" xfId="0" applyNumberFormat="1" applyFont="1" applyFill="1" applyBorder="1" applyAlignment="1">
      <alignment horizontal="center" wrapText="1"/>
    </xf>
    <xf numFmtId="43" fontId="2" fillId="0" borderId="1" xfId="0" applyNumberFormat="1" applyFont="1" applyBorder="1"/>
    <xf numFmtId="43" fontId="2" fillId="0" borderId="0" xfId="0" applyNumberFormat="1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24"/>
  <sheetViews>
    <sheetView tabSelected="1" zoomScale="85" zoomScaleNormal="85" workbookViewId="0" topLeftCell="A1">
      <pane ySplit="1" topLeftCell="A2" activePane="bottomLeft" state="frozen"/>
      <selection pane="topLeft" activeCell="A1" sqref="A1"/>
      <selection pane="bottomLeft" activeCell="G7" sqref="G7"/>
    </sheetView>
  </sheetViews>
  <sheetFormatPr defaultRowHeight="15"/>
  <cols>
    <col min="1" max="1" width="22.5714285714286" style="2" bestFit="1" customWidth="1"/>
    <col min="2" max="2" width="69.8571428571429" style="2" bestFit="1" customWidth="1"/>
    <col min="3" max="3" width="19" style="2" bestFit="1" customWidth="1"/>
    <col min="4" max="4" width="21.5714285714286" style="6" bestFit="1" customWidth="1"/>
    <col min="5" max="5" width="39.5714285714286" style="6" bestFit="1" customWidth="1"/>
    <col min="6" max="6" width="30.2857142857143" style="6" bestFit="1" customWidth="1"/>
    <col min="7" max="16384" width="9.14285714285714" style="2"/>
  </cols>
  <sheetData>
    <row r="1" spans="1:7" s="9" customFormat="1" ht="1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24</v>
      </c>
    </row>
    <row r="2" spans="1:7" ht="15">
      <c r="A2" s="3" t="s">
        <v>6</v>
      </c>
      <c r="B2" s="3" t="s">
        <v>27</v>
      </c>
      <c r="C2" s="3" t="s">
        <v>8</v>
      </c>
      <c r="D2" s="5">
        <f>18564899</f>
        <v>18564899</v>
      </c>
      <c r="E2" s="5">
        <v>-658746</v>
      </c>
      <c r="F2" s="8">
        <f>D2+E2</f>
        <v>17906153</v>
      </c>
      <c r="G2" s="2" t="s">
        <v>25</v>
      </c>
    </row>
    <row r="3" spans="1:7" ht="15">
      <c r="A3" s="3" t="s">
        <v>6</v>
      </c>
      <c r="B3" s="7" t="s">
        <v>7</v>
      </c>
      <c r="C3" s="3" t="s">
        <v>8</v>
      </c>
      <c r="D3" s="8">
        <v>0</v>
      </c>
      <c r="E3" s="5">
        <f>421667-24317</f>
        <v>397350</v>
      </c>
      <c r="F3" s="8">
        <f>D3+E3</f>
        <v>397350</v>
      </c>
      <c r="G3" s="2" t="s">
        <v>25</v>
      </c>
    </row>
    <row r="4" spans="1:7" ht="15">
      <c r="A4" s="3" t="s">
        <v>6</v>
      </c>
      <c r="B4" s="3" t="s">
        <v>9</v>
      </c>
      <c r="C4" s="3" t="s">
        <v>8</v>
      </c>
      <c r="D4" s="8">
        <v>0</v>
      </c>
      <c r="E4" s="8">
        <v>483644</v>
      </c>
      <c r="F4" s="8">
        <f>D4+E4</f>
        <v>483644</v>
      </c>
      <c r="G4" s="2" t="s">
        <v>25</v>
      </c>
    </row>
    <row r="5" spans="1:7" ht="15">
      <c r="A5" s="3" t="s">
        <v>6</v>
      </c>
      <c r="B5" s="4" t="s">
        <v>10</v>
      </c>
      <c r="C5" s="3" t="s">
        <v>8</v>
      </c>
      <c r="D5" s="5">
        <v>15556235</v>
      </c>
      <c r="E5" s="5">
        <v>-2136758</v>
      </c>
      <c r="F5" s="8">
        <v>13419477</v>
      </c>
      <c r="G5" s="2" t="s">
        <v>25</v>
      </c>
    </row>
    <row r="6" spans="1:7" ht="15">
      <c r="A6" s="3" t="s">
        <v>11</v>
      </c>
      <c r="B6" s="4" t="s">
        <v>12</v>
      </c>
      <c r="C6" s="3" t="s">
        <v>8</v>
      </c>
      <c r="D6" s="5">
        <v>8095428.0700000003</v>
      </c>
      <c r="E6" s="5">
        <v>148091</v>
      </c>
      <c r="F6" s="8">
        <v>8243519.0700000003</v>
      </c>
      <c r="G6" s="2" t="s">
        <v>26</v>
      </c>
    </row>
    <row r="7" spans="1:7" ht="15">
      <c r="A7" s="3" t="s">
        <v>11</v>
      </c>
      <c r="B7" s="7" t="s">
        <v>13</v>
      </c>
      <c r="C7" s="3" t="s">
        <v>14</v>
      </c>
      <c r="D7" s="8">
        <v>-4868</v>
      </c>
      <c r="E7" s="8">
        <v>4868</v>
      </c>
      <c r="F7" s="8">
        <v>0</v>
      </c>
      <c r="G7" s="2" t="s">
        <v>26</v>
      </c>
    </row>
    <row r="8" spans="1:7" ht="15">
      <c r="A8" s="3" t="s">
        <v>15</v>
      </c>
      <c r="B8" s="3" t="s">
        <v>16</v>
      </c>
      <c r="C8" s="3" t="s">
        <v>8</v>
      </c>
      <c r="D8" s="8">
        <v>2896972</v>
      </c>
      <c r="E8" s="8">
        <v>-382923</v>
      </c>
      <c r="F8" s="8">
        <v>2514049</v>
      </c>
      <c r="G8" s="2" t="s">
        <v>25</v>
      </c>
    </row>
    <row r="9" spans="1:7" ht="15">
      <c r="A9" s="3" t="s">
        <v>15</v>
      </c>
      <c r="B9" s="3" t="s">
        <v>17</v>
      </c>
      <c r="C9" s="3" t="s">
        <v>8</v>
      </c>
      <c r="D9" s="8">
        <v>810092</v>
      </c>
      <c r="E9" s="8">
        <v>-58500</v>
      </c>
      <c r="F9" s="8">
        <v>751592</v>
      </c>
      <c r="G9" s="2" t="s">
        <v>25</v>
      </c>
    </row>
    <row r="10" spans="1:7" ht="15">
      <c r="A10" s="3" t="s">
        <v>15</v>
      </c>
      <c r="B10" s="3" t="s">
        <v>18</v>
      </c>
      <c r="C10" s="3" t="s">
        <v>8</v>
      </c>
      <c r="D10" s="8">
        <v>333452.14999999997</v>
      </c>
      <c r="E10" s="8">
        <v>-65250</v>
      </c>
      <c r="F10" s="8">
        <v>268202.14999999997</v>
      </c>
      <c r="G10" s="2" t="s">
        <v>25</v>
      </c>
    </row>
    <row r="11" spans="4:6" ht="15.75" thickBot="1">
      <c r="D11" s="10">
        <f>SUM(D2:D10)</f>
        <v>46252210.219999999</v>
      </c>
      <c r="E11" s="10">
        <f t="shared" si="0" ref="E11:F11">SUM(E2:E10)</f>
        <v>-2268224</v>
      </c>
      <c r="F11" s="10">
        <f t="shared" si="0"/>
        <v>43983986.219999999</v>
      </c>
    </row>
    <row r="12" spans="4:6" ht="15.75" thickTop="1">
      <c r="D12" s="2"/>
      <c r="E12" s="2"/>
      <c r="F12" s="2"/>
    </row>
    <row r="13" spans="1:7" ht="15">
      <c r="A13" s="2" t="s">
        <v>6</v>
      </c>
      <c r="B13" s="2" t="s">
        <v>28</v>
      </c>
      <c r="C13" s="2" t="s">
        <v>19</v>
      </c>
      <c r="D13" s="8">
        <v>39525090</v>
      </c>
      <c r="E13" s="8">
        <v>1131652</v>
      </c>
      <c r="F13" s="8">
        <v>40656742</v>
      </c>
      <c r="G13" s="2" t="s">
        <v>25</v>
      </c>
    </row>
    <row r="15" spans="1:7" ht="15">
      <c r="A15" s="2" t="s">
        <v>11</v>
      </c>
      <c r="B15" s="2" t="s">
        <v>20</v>
      </c>
      <c r="C15" s="2" t="s">
        <v>21</v>
      </c>
      <c r="D15" s="6">
        <v>-3226.4699999999998</v>
      </c>
      <c r="E15" s="6">
        <v>3226.4699999999998</v>
      </c>
      <c r="F15" s="6">
        <v>0</v>
      </c>
      <c r="G15" s="2" t="s">
        <v>26</v>
      </c>
    </row>
    <row r="17" spans="1:7" ht="15">
      <c r="A17" s="2" t="s">
        <v>6</v>
      </c>
      <c r="B17" s="2" t="s">
        <v>22</v>
      </c>
      <c r="C17" s="2" t="s">
        <v>8</v>
      </c>
      <c r="D17" s="6">
        <v>693846</v>
      </c>
      <c r="E17" s="6">
        <v>22139</v>
      </c>
      <c r="F17" s="6">
        <v>715985</v>
      </c>
      <c r="G17" s="2" t="s">
        <v>25</v>
      </c>
    </row>
    <row r="19" spans="3:6" ht="15">
      <c r="C19" s="1" t="s">
        <v>23</v>
      </c>
      <c r="D19" s="11">
        <f>SUM(D11:D17)</f>
        <v>86467919.75</v>
      </c>
      <c r="E19" s="11">
        <f>SUM(E11:E17)</f>
        <v>-1111206.53</v>
      </c>
      <c r="F19" s="11">
        <f>SUM(F11:F17)</f>
        <v>85356713.219999999</v>
      </c>
    </row>
    <row r="22" spans="3:6" ht="15">
      <c r="C22" s="2" t="s">
        <v>26</v>
      </c>
      <c r="D22" s="6">
        <f t="shared" si="1" ref="D22:F23">SUMIF($G$2:$G$17,$C22,D$2:D$17)</f>
        <v>8087333.6000000006</v>
      </c>
      <c r="E22" s="6">
        <f t="shared" si="1"/>
        <v>156185.47</v>
      </c>
      <c r="F22" s="6">
        <f t="shared" si="1"/>
        <v>8243519.0700000003</v>
      </c>
    </row>
    <row r="23" spans="3:6" ht="15">
      <c r="C23" s="2" t="s">
        <v>25</v>
      </c>
      <c r="D23" s="6">
        <f t="shared" si="1"/>
        <v>78380586.150000006</v>
      </c>
      <c r="E23" s="6">
        <f t="shared" si="1"/>
        <v>-1267392</v>
      </c>
      <c r="F23" s="6">
        <f t="shared" si="1"/>
        <v>77113194.150000006</v>
      </c>
    </row>
    <row r="24" spans="4:6" ht="15.75" thickBot="1">
      <c r="D24" s="10">
        <f>SUM(D22:D23)</f>
        <v>86467919.75</v>
      </c>
      <c r="E24" s="10">
        <f t="shared" si="2" ref="E24:F24">SUM(E22:E23)</f>
        <v>-1111206.53</v>
      </c>
      <c r="F24" s="10">
        <f t="shared" si="2"/>
        <v>85356713.219999999</v>
      </c>
    </row>
    <row r="25" ht="15.75" thickTop="1"/>
  </sheetData>
  <pageMargins left="0.5" right="0.5" top="1.5" bottom="0.5" header="1" footer="0.3"/>
  <pageSetup fitToHeight="0" horizontalDpi="300" verticalDpi="300" orientation="landscape" scale="60" r:id="rId1"/>
  <headerFooter>
    <oddHeader>&amp;R&amp;"-,Bold"WP/II-D ADJUSTMENT /31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