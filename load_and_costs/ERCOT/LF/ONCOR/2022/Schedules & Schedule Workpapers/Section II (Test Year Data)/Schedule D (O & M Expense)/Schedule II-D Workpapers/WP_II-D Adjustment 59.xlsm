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705" activeTab="0"/>
  </bookViews>
  <sheets>
    <sheet name="K&amp;M adjustment" sheetId="1" r:id="rId2"/>
  </sheets>
  <definedNames>
    <definedName name="_xlnm.Print_Area" localSheetId="0">'K&amp;M adjustment'!$A$1:$X$45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1" i="1" l="1"/>
</calcChain>
</file>

<file path=xl/sharedStrings.xml><?xml version="1.0" encoding="utf-8"?>
<sst xmlns="http://schemas.openxmlformats.org/spreadsheetml/2006/main" count="282" uniqueCount="55">
  <si>
    <t>BU</t>
  </si>
  <si>
    <t>DeptID</t>
  </si>
  <si>
    <t>Account</t>
  </si>
  <si>
    <t>EC</t>
  </si>
  <si>
    <t>Project</t>
  </si>
  <si>
    <t>Location</t>
  </si>
  <si>
    <t>Activity</t>
  </si>
  <si>
    <t>Affiliate</t>
  </si>
  <si>
    <t>Amount</t>
  </si>
  <si>
    <t>% of Total</t>
  </si>
  <si>
    <t>Tax Authority</t>
  </si>
  <si>
    <t xml:space="preserve"> Rate</t>
  </si>
  <si>
    <t>Month</t>
  </si>
  <si>
    <t>Service</t>
  </si>
  <si>
    <t>Rounded</t>
  </si>
  <si>
    <t>Sep 2021</t>
  </si>
  <si>
    <t>Total O&amp;M &amp; Oper rev</t>
  </si>
  <si>
    <t>NTUSU</t>
  </si>
  <si>
    <t>NTUSUTCO</t>
  </si>
  <si>
    <t>TRN</t>
  </si>
  <si>
    <t>June 2021</t>
  </si>
  <si>
    <t>TCO</t>
  </si>
  <si>
    <t>NTU</t>
  </si>
  <si>
    <t>TCO + w/s meter</t>
  </si>
  <si>
    <t>TRNSWMTR</t>
  </si>
  <si>
    <t>290D</t>
  </si>
  <si>
    <t>WHOLESALE MTR</t>
  </si>
  <si>
    <t>Corp OH</t>
  </si>
  <si>
    <t>TRANCORP</t>
  </si>
  <si>
    <t>CORP OH</t>
  </si>
  <si>
    <t>075</t>
  </si>
  <si>
    <t>Sales tax</t>
  </si>
  <si>
    <t>SALES TX</t>
  </si>
  <si>
    <t>571900</t>
  </si>
  <si>
    <t>4549000</t>
  </si>
  <si>
    <t>046</t>
  </si>
  <si>
    <t>METER AND TCO</t>
  </si>
  <si>
    <t>4569000</t>
  </si>
  <si>
    <t>Corp OH + w/s meter</t>
  </si>
  <si>
    <t>0000</t>
  </si>
  <si>
    <t>2412710</t>
  </si>
  <si>
    <t>State</t>
  </si>
  <si>
    <t>2412720</t>
  </si>
  <si>
    <t>City</t>
  </si>
  <si>
    <t>MTA</t>
  </si>
  <si>
    <t>July 2021</t>
  </si>
  <si>
    <t>Aug 2021</t>
  </si>
  <si>
    <t>K&amp;M adjustment - Sep 2021 Oncor TSP billing to NTU for services provided:</t>
  </si>
  <si>
    <t>Deptid</t>
  </si>
  <si>
    <t>Description - services</t>
  </si>
  <si>
    <t>Adjustment to increase to NTU's O&amp;M and Oncor TRAN's revenues</t>
  </si>
  <si>
    <t>Oncor Electric Delivery Company LLC</t>
  </si>
  <si>
    <t>K&amp;M Revenue and O&amp;M Adjustment to include September 2021 billing from Oncor TRAN to NTU (total cost of ownership, wholesale metering, and corporate OH)</t>
  </si>
  <si>
    <t>Part of the affiliate billing approved in Docket No. 49851</t>
  </si>
  <si>
    <t>Source:  TRN journal 953136 Sep 2021 (Sep 2021 journal was reversed Oct 2021 in error)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</si>
</sst>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i/>
      <u val="single"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thin">
        <color auto="1"/>
      </bottom>
    </border>
    <border>
      <left/>
      <right style="medium">
        <color auto="1"/>
      </right>
      <top/>
      <bottom style="thin">
        <color auto="1"/>
      </bottom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3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>
      <alignment/>
      <protection/>
    </xf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20" applyFont="1" applyAlignment="1">
      <alignment horizontal="left"/>
      <protection/>
    </xf>
    <xf numFmtId="0" fontId="1" fillId="0" borderId="0" xfId="20" applyFont="1">
      <alignment/>
      <protection/>
    </xf>
    <xf numFmtId="0" fontId="3" fillId="0" borderId="1" xfId="20" applyFont="1" applyBorder="1" applyAlignment="1">
      <alignment horizontal="left"/>
      <protection/>
    </xf>
    <xf numFmtId="0" fontId="3" fillId="0" borderId="1" xfId="20" applyFont="1" applyBorder="1" applyAlignment="1">
      <alignment horizontal="center"/>
      <protection/>
    </xf>
    <xf numFmtId="0" fontId="3" fillId="0" borderId="1" xfId="20" applyFont="1" applyBorder="1">
      <alignment/>
      <protection/>
    </xf>
    <xf numFmtId="0" fontId="3" fillId="0" borderId="1" xfId="20" applyFont="1" applyBorder="1" applyAlignment="1">
      <alignment wrapText="1"/>
      <protection/>
    </xf>
    <xf numFmtId="10" fontId="3" fillId="0" borderId="1" xfId="22" applyNumberFormat="1" applyFont="1" applyBorder="1"/>
    <xf numFmtId="0" fontId="3" fillId="0" borderId="0" xfId="20" applyFont="1" applyBorder="1" applyAlignment="1">
      <alignment horizontal="left"/>
      <protection/>
    </xf>
    <xf numFmtId="43" fontId="3" fillId="0" borderId="0" xfId="20" applyNumberFormat="1" applyFont="1" applyBorder="1" applyAlignment="1">
      <alignment horizontal="center"/>
      <protection/>
    </xf>
    <xf numFmtId="0" fontId="3" fillId="0" borderId="0" xfId="20" applyFont="1" applyBorder="1">
      <alignment/>
      <protection/>
    </xf>
    <xf numFmtId="0" fontId="3" fillId="0" borderId="0" xfId="20" applyFont="1" applyBorder="1" applyAlignment="1">
      <alignment wrapText="1"/>
      <protection/>
    </xf>
    <xf numFmtId="10" fontId="3" fillId="0" borderId="0" xfId="22" applyNumberFormat="1" applyFont="1" applyBorder="1"/>
    <xf numFmtId="16" fontId="1" fillId="0" borderId="0" xfId="20" applyNumberFormat="1" applyFont="1" quotePrefix="1">
      <alignment/>
      <protection/>
    </xf>
    <xf numFmtId="43" fontId="1" fillId="0" borderId="0" xfId="20" applyNumberFormat="1" applyFont="1">
      <alignment/>
      <protection/>
    </xf>
    <xf numFmtId="10" fontId="1" fillId="0" borderId="0" xfId="22" applyNumberFormat="1" applyFont="1"/>
    <xf numFmtId="43" fontId="3" fillId="0" borderId="0" xfId="20" applyNumberFormat="1" applyFont="1">
      <alignment/>
      <protection/>
    </xf>
    <xf numFmtId="0" fontId="4" fillId="0" borderId="0" xfId="20" applyFont="1">
      <alignment/>
      <protection/>
    </xf>
    <xf numFmtId="0" fontId="1" fillId="0" borderId="0" xfId="20" applyFont="1" applyFill="1">
      <alignment/>
      <protection/>
    </xf>
    <xf numFmtId="0" fontId="1" fillId="0" borderId="0" xfId="20" applyFont="1" applyFill="1" applyAlignment="1">
      <alignment horizontal="left"/>
      <protection/>
    </xf>
    <xf numFmtId="0" fontId="3" fillId="0" borderId="1" xfId="20" applyFont="1" applyFill="1" applyBorder="1" applyAlignment="1">
      <alignment horizontal="center"/>
      <protection/>
    </xf>
    <xf numFmtId="0" fontId="3" fillId="0" borderId="1" xfId="20" applyFont="1" applyFill="1" applyBorder="1" applyAlignment="1">
      <alignment horizontal="left"/>
      <protection/>
    </xf>
    <xf numFmtId="0" fontId="3" fillId="0" borderId="0" xfId="20" applyFont="1" applyFill="1" applyBorder="1" applyAlignment="1">
      <alignment horizontal="center"/>
      <protection/>
    </xf>
    <xf numFmtId="0" fontId="3" fillId="0" borderId="0" xfId="20" applyFont="1" applyFill="1" applyBorder="1" applyAlignment="1">
      <alignment horizontal="left"/>
      <protection/>
    </xf>
    <xf numFmtId="0" fontId="3" fillId="0" borderId="0" xfId="20" applyFont="1" applyFill="1" applyBorder="1" applyAlignment="1" quotePrefix="1">
      <alignment horizontal="center"/>
      <protection/>
    </xf>
    <xf numFmtId="0" fontId="1" fillId="0" borderId="0" xfId="20" applyFont="1" applyFill="1" quotePrefix="1">
      <alignment/>
      <protection/>
    </xf>
    <xf numFmtId="0" fontId="3" fillId="0" borderId="0" xfId="20" applyFont="1" applyAlignment="1">
      <alignment horizontal="left"/>
      <protection/>
    </xf>
    <xf numFmtId="44" fontId="1" fillId="0" borderId="0" xfId="16" applyFont="1"/>
    <xf numFmtId="44" fontId="3" fillId="0" borderId="0" xfId="16" applyFont="1"/>
    <xf numFmtId="40" fontId="3" fillId="0" borderId="2" xfId="20" applyNumberFormat="1" applyFont="1" applyFill="1" applyBorder="1">
      <alignment/>
      <protection/>
    </xf>
    <xf numFmtId="40" fontId="3" fillId="0" borderId="3" xfId="20" applyNumberFormat="1" applyFont="1" applyFill="1" applyBorder="1">
      <alignment/>
      <protection/>
    </xf>
    <xf numFmtId="43" fontId="3" fillId="0" borderId="4" xfId="21" applyFont="1" applyFill="1" applyBorder="1"/>
    <xf numFmtId="0" fontId="3" fillId="0" borderId="5" xfId="20" applyFont="1" applyFill="1" applyBorder="1">
      <alignment/>
      <protection/>
    </xf>
    <xf numFmtId="0" fontId="3" fillId="0" borderId="0" xfId="20" applyFont="1" applyFill="1" applyBorder="1">
      <alignment/>
      <protection/>
    </xf>
    <xf numFmtId="0" fontId="3" fillId="0" borderId="6" xfId="20" applyFont="1" applyFill="1" applyBorder="1">
      <alignment/>
      <protection/>
    </xf>
    <xf numFmtId="17" fontId="3" fillId="0" borderId="7" xfId="20" applyNumberFormat="1" applyFont="1" applyFill="1" applyBorder="1" applyAlignment="1" quotePrefix="1">
      <alignment horizontal="center"/>
      <protection/>
    </xf>
    <xf numFmtId="17" fontId="3" fillId="0" borderId="1" xfId="20" applyNumberFormat="1" applyFont="1" applyFill="1" applyBorder="1" applyAlignment="1" quotePrefix="1">
      <alignment horizontal="center"/>
      <protection/>
    </xf>
    <xf numFmtId="0" fontId="3" fillId="0" borderId="8" xfId="20" applyFont="1" applyFill="1" applyBorder="1" applyAlignment="1">
      <alignment horizontal="center"/>
      <protection/>
    </xf>
    <xf numFmtId="40" fontId="3" fillId="0" borderId="5" xfId="20" applyNumberFormat="1" applyFont="1" applyFill="1" applyBorder="1">
      <alignment/>
      <protection/>
    </xf>
    <xf numFmtId="40" fontId="3" fillId="0" borderId="0" xfId="20" applyNumberFormat="1" applyFont="1" applyFill="1" applyBorder="1">
      <alignment/>
      <protection/>
    </xf>
    <xf numFmtId="40" fontId="3" fillId="0" borderId="0" xfId="20" applyNumberFormat="1" applyFont="1" applyFill="1" applyBorder="1" applyAlignment="1">
      <alignment horizontal="center"/>
      <protection/>
    </xf>
    <xf numFmtId="43" fontId="3" fillId="0" borderId="5" xfId="20" applyNumberFormat="1" applyFont="1" applyFill="1" applyBorder="1">
      <alignment/>
      <protection/>
    </xf>
    <xf numFmtId="43" fontId="3" fillId="0" borderId="0" xfId="20" applyNumberFormat="1" applyFont="1" applyFill="1" applyBorder="1">
      <alignment/>
      <protection/>
    </xf>
    <xf numFmtId="0" fontId="3" fillId="0" borderId="9" xfId="20" applyFont="1" applyFill="1" applyBorder="1">
      <alignment/>
      <protection/>
    </xf>
    <xf numFmtId="0" fontId="3" fillId="0" borderId="10" xfId="20" applyFont="1" applyFill="1" applyBorder="1">
      <alignment/>
      <protection/>
    </xf>
    <xf numFmtId="0" fontId="3" fillId="0" borderId="11" xfId="20" applyFont="1" applyFill="1" applyBorder="1">
      <alignment/>
      <protection/>
    </xf>
  </cellXfs>
  <cellStyles count="9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3" xfId="20"/>
    <cellStyle name="Comma 2" xfId="21"/>
    <cellStyle name="Percent 2 2" xfId="2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W45"/>
  <sheetViews>
    <sheetView tabSelected="1" zoomScale="85" zoomScaleNormal="85" workbookViewId="0" topLeftCell="A1">
      <selection pane="topLeft" activeCell="S18" sqref="S18"/>
    </sheetView>
  </sheetViews>
  <sheetFormatPr defaultColWidth="9.14428571428571" defaultRowHeight="12.75"/>
  <cols>
    <col min="1" max="1" width="7.42857142857143" style="1" bestFit="1" customWidth="1"/>
    <col min="2" max="2" width="7.14285714285714" style="18" bestFit="1" customWidth="1"/>
    <col min="3" max="3" width="8.57142857142857" style="19" bestFit="1" customWidth="1"/>
    <col min="4" max="4" width="4.14285714285714" style="18" bestFit="1" customWidth="1"/>
    <col min="5" max="5" width="10.5714285714286" style="18" bestFit="1" customWidth="1"/>
    <col min="6" max="6" width="9" style="18" bestFit="1" customWidth="1"/>
    <col min="7" max="7" width="7.85714285714286" style="18" bestFit="1" customWidth="1"/>
    <col min="8" max="8" width="8.14285714285714" style="18" bestFit="1" customWidth="1"/>
    <col min="9" max="9" width="11.4285714285714" style="2" bestFit="1" customWidth="1"/>
    <col min="10" max="10" width="10" style="2" bestFit="1" customWidth="1"/>
    <col min="11" max="11" width="9.57142857142857" style="2" bestFit="1" customWidth="1"/>
    <col min="12" max="12" width="6.42857142857143" style="2" bestFit="1" customWidth="1"/>
    <col min="13" max="13" width="9.42857142857143" style="2" customWidth="1"/>
    <col min="14" max="14" width="18.4285714285714" style="2" customWidth="1"/>
    <col min="15" max="15" width="11.8571428571429" style="27" bestFit="1" customWidth="1"/>
    <col min="16" max="16" width="5.42857142857143" style="2" customWidth="1"/>
    <col min="17" max="17" width="11.8571428571429" style="2" bestFit="1" customWidth="1"/>
    <col min="18" max="18" width="21.2857142857143" style="2" bestFit="1" customWidth="1"/>
    <col min="19" max="20" width="11" style="2" customWidth="1"/>
    <col min="21" max="21" width="8.71428571428571" style="2" bestFit="1" customWidth="1"/>
    <col min="22" max="22" width="4.14285714285714" style="2" bestFit="1" customWidth="1"/>
    <col min="23" max="23" width="22" style="2" bestFit="1" customWidth="1"/>
    <col min="24" max="16384" width="9.14285714285714" style="2"/>
  </cols>
  <sheetData>
    <row r="1" spans="1:1" ht="12.75">
      <c r="A1" s="26" t="s">
        <v>51</v>
      </c>
    </row>
    <row r="2" spans="1:1" ht="12.75">
      <c r="A2" s="26" t="s">
        <v>52</v>
      </c>
    </row>
    <row r="3" spans="1:15" ht="26.25" thickBot="1">
      <c r="A3" s="3" t="s">
        <v>0</v>
      </c>
      <c r="B3" s="20" t="s">
        <v>1</v>
      </c>
      <c r="C3" s="21" t="s">
        <v>2</v>
      </c>
      <c r="D3" s="20" t="s">
        <v>3</v>
      </c>
      <c r="E3" s="20" t="s">
        <v>4</v>
      </c>
      <c r="F3" s="20" t="s">
        <v>5</v>
      </c>
      <c r="G3" s="20" t="s">
        <v>6</v>
      </c>
      <c r="H3" s="20" t="s">
        <v>7</v>
      </c>
      <c r="I3" s="4" t="s">
        <v>8</v>
      </c>
      <c r="J3" s="5" t="s">
        <v>9</v>
      </c>
      <c r="K3" s="6" t="s">
        <v>10</v>
      </c>
      <c r="L3" s="7" t="s">
        <v>11</v>
      </c>
      <c r="M3" s="5" t="s">
        <v>12</v>
      </c>
      <c r="N3" s="5" t="s">
        <v>13</v>
      </c>
      <c r="O3" s="28" t="s">
        <v>14</v>
      </c>
    </row>
    <row r="4" spans="1:23" ht="12.75">
      <c r="A4" s="8" t="s">
        <v>17</v>
      </c>
      <c r="B4" s="22">
        <v>660000</v>
      </c>
      <c r="C4" s="23">
        <v>5610000</v>
      </c>
      <c r="D4" s="22">
        <v>497</v>
      </c>
      <c r="E4" s="22" t="s">
        <v>18</v>
      </c>
      <c r="F4" s="22"/>
      <c r="G4" s="22">
        <v>9010</v>
      </c>
      <c r="H4" s="22" t="s">
        <v>19</v>
      </c>
      <c r="I4" s="9">
        <v>34228.830000000002</v>
      </c>
      <c r="J4" s="10"/>
      <c r="K4" s="11"/>
      <c r="L4" s="12"/>
      <c r="M4" s="13" t="s">
        <v>20</v>
      </c>
      <c r="N4" s="2" t="s">
        <v>21</v>
      </c>
      <c r="O4" s="27">
        <v>34228.830000000002</v>
      </c>
      <c r="Q4" s="29"/>
      <c r="R4" s="30"/>
      <c r="S4" s="30"/>
      <c r="T4" s="30"/>
      <c r="U4" s="30"/>
      <c r="V4" s="30"/>
      <c r="W4" s="31"/>
    </row>
    <row r="5" spans="1:23" ht="12.75">
      <c r="A5" s="8" t="s">
        <v>17</v>
      </c>
      <c r="B5" s="22">
        <v>660000</v>
      </c>
      <c r="C5" s="23">
        <v>5610000</v>
      </c>
      <c r="D5" s="22">
        <v>497</v>
      </c>
      <c r="E5" s="22" t="s">
        <v>24</v>
      </c>
      <c r="F5" s="22"/>
      <c r="G5" s="22" t="s">
        <v>25</v>
      </c>
      <c r="H5" s="22" t="s">
        <v>19</v>
      </c>
      <c r="I5" s="9">
        <v>86.469999999999999</v>
      </c>
      <c r="J5" s="10"/>
      <c r="K5" s="11"/>
      <c r="L5" s="12"/>
      <c r="M5" s="13" t="s">
        <v>20</v>
      </c>
      <c r="N5" s="2" t="s">
        <v>26</v>
      </c>
      <c r="O5" s="27">
        <v>86.469999999999999</v>
      </c>
      <c r="Q5" s="32" t="s">
        <v>47</v>
      </c>
      <c r="R5" s="33"/>
      <c r="S5" s="33"/>
      <c r="T5" s="33"/>
      <c r="U5" s="33"/>
      <c r="V5" s="33"/>
      <c r="W5" s="34"/>
    </row>
    <row r="6" spans="1:23" ht="12.75">
      <c r="A6" s="8" t="s">
        <v>17</v>
      </c>
      <c r="B6" s="22">
        <v>660000</v>
      </c>
      <c r="C6" s="23">
        <v>9230000</v>
      </c>
      <c r="D6" s="22">
        <v>497</v>
      </c>
      <c r="E6" s="22" t="s">
        <v>28</v>
      </c>
      <c r="F6" s="22"/>
      <c r="G6" s="22">
        <v>9010</v>
      </c>
      <c r="H6" s="22" t="s">
        <v>19</v>
      </c>
      <c r="I6" s="9">
        <v>22.829999999999998</v>
      </c>
      <c r="J6" s="10"/>
      <c r="K6" s="11"/>
      <c r="L6" s="12"/>
      <c r="M6" s="13" t="s">
        <v>20</v>
      </c>
      <c r="N6" s="2" t="s">
        <v>29</v>
      </c>
      <c r="O6" s="27">
        <v>22.829999999999998</v>
      </c>
      <c r="Q6" s="35" t="s">
        <v>15</v>
      </c>
      <c r="R6" s="36" t="s">
        <v>16</v>
      </c>
      <c r="S6" s="36" t="s">
        <v>0</v>
      </c>
      <c r="T6" s="36" t="s">
        <v>48</v>
      </c>
      <c r="U6" s="36" t="s">
        <v>2</v>
      </c>
      <c r="V6" s="36" t="s">
        <v>3</v>
      </c>
      <c r="W6" s="37" t="s">
        <v>49</v>
      </c>
    </row>
    <row r="7" spans="1:23" ht="12.75">
      <c r="A7" s="8" t="s">
        <v>17</v>
      </c>
      <c r="E7" s="22" t="s">
        <v>24</v>
      </c>
      <c r="F7" s="22"/>
      <c r="G7" s="22" t="s">
        <v>25</v>
      </c>
      <c r="H7" s="22"/>
      <c r="I7" s="9">
        <v>5.7199999999999989</v>
      </c>
      <c r="J7" s="10"/>
      <c r="K7" s="11"/>
      <c r="L7" s="12"/>
      <c r="M7" s="13" t="s">
        <v>20</v>
      </c>
      <c r="N7" s="2" t="s">
        <v>32</v>
      </c>
      <c r="O7" s="27">
        <v>5.7199999999999998</v>
      </c>
      <c r="Q7" s="38">
        <f>O4+O5+O19+O20+O34+O35</f>
        <v>101882.75000000002</v>
      </c>
      <c r="R7" s="39"/>
      <c r="S7" s="40" t="s">
        <v>22</v>
      </c>
      <c r="T7" s="22">
        <v>660000</v>
      </c>
      <c r="U7" s="22">
        <v>5610000</v>
      </c>
      <c r="V7" s="24">
        <v>497</v>
      </c>
      <c r="W7" s="34" t="s">
        <v>23</v>
      </c>
    </row>
    <row r="8" spans="1:23" ht="12.75">
      <c r="A8" s="8" t="s">
        <v>17</v>
      </c>
      <c r="B8" s="22">
        <v>660000</v>
      </c>
      <c r="C8" s="23">
        <v>2340000</v>
      </c>
      <c r="D8" s="24"/>
      <c r="E8" s="22"/>
      <c r="F8" s="22"/>
      <c r="G8" s="22"/>
      <c r="H8" s="22" t="s">
        <v>19</v>
      </c>
      <c r="I8" s="9">
        <v>-34343.850000000006</v>
      </c>
      <c r="J8" s="10"/>
      <c r="K8" s="11"/>
      <c r="L8" s="12"/>
      <c r="M8" s="13" t="s">
        <v>20</v>
      </c>
      <c r="N8" s="2" t="s">
        <v>36</v>
      </c>
      <c r="O8" s="27">
        <v>-34343.849999999999</v>
      </c>
      <c r="Q8" s="41">
        <f>I6+I21+I36</f>
        <v>85.480000000000004</v>
      </c>
      <c r="R8" s="42"/>
      <c r="S8" s="40" t="s">
        <v>22</v>
      </c>
      <c r="T8" s="22">
        <v>660000</v>
      </c>
      <c r="U8" s="22">
        <v>9230000</v>
      </c>
      <c r="V8" s="24">
        <v>497</v>
      </c>
      <c r="W8" s="34" t="s">
        <v>27</v>
      </c>
    </row>
    <row r="9" spans="1:23" ht="12.75">
      <c r="A9" s="1" t="s">
        <v>19</v>
      </c>
      <c r="B9" s="19" t="s">
        <v>33</v>
      </c>
      <c r="C9" s="19" t="s">
        <v>34</v>
      </c>
      <c r="D9" s="25" t="s">
        <v>35</v>
      </c>
      <c r="E9" s="18" t="s">
        <v>18</v>
      </c>
      <c r="F9" s="18" t="s">
        <v>39</v>
      </c>
      <c r="G9" s="18" t="s">
        <v>39</v>
      </c>
      <c r="H9" s="22" t="s">
        <v>17</v>
      </c>
      <c r="I9" s="14">
        <v>-34228.830000000002</v>
      </c>
      <c r="L9" s="15"/>
      <c r="M9" s="13" t="s">
        <v>20</v>
      </c>
      <c r="N9" s="2" t="s">
        <v>21</v>
      </c>
      <c r="O9" s="27">
        <v>-34228.830000000002</v>
      </c>
      <c r="Q9" s="41">
        <f>I7+I22+I37</f>
        <v>21.390000000000001</v>
      </c>
      <c r="R9" s="42">
        <f>SUM(Q7:Q9)</f>
        <v>101989.62000000001</v>
      </c>
      <c r="S9" s="40" t="s">
        <v>22</v>
      </c>
      <c r="T9" s="22">
        <v>660000</v>
      </c>
      <c r="U9" s="22">
        <v>5610000</v>
      </c>
      <c r="V9" s="24" t="s">
        <v>30</v>
      </c>
      <c r="W9" s="34" t="s">
        <v>31</v>
      </c>
    </row>
    <row r="10" spans="1:23" ht="12.75">
      <c r="A10" s="1" t="s">
        <v>19</v>
      </c>
      <c r="B10" s="19" t="s">
        <v>33</v>
      </c>
      <c r="C10" s="19" t="s">
        <v>37</v>
      </c>
      <c r="D10" s="25" t="s">
        <v>35</v>
      </c>
      <c r="F10" s="18" t="s">
        <v>39</v>
      </c>
      <c r="G10" s="18" t="s">
        <v>39</v>
      </c>
      <c r="H10" s="22" t="s">
        <v>17</v>
      </c>
      <c r="I10" s="14">
        <v>-86.469999999999999</v>
      </c>
      <c r="L10" s="15"/>
      <c r="M10" s="13" t="s">
        <v>20</v>
      </c>
      <c r="N10" s="2" t="s">
        <v>26</v>
      </c>
      <c r="O10" s="27">
        <v>-86.469999999999999</v>
      </c>
      <c r="Q10" s="41">
        <f>-(I9+I24+I39)</f>
        <v>101558.97</v>
      </c>
      <c r="R10" s="42"/>
      <c r="S10" s="22" t="s">
        <v>19</v>
      </c>
      <c r="T10" s="22" t="s">
        <v>33</v>
      </c>
      <c r="U10" s="22" t="s">
        <v>34</v>
      </c>
      <c r="V10" s="24" t="s">
        <v>35</v>
      </c>
      <c r="W10" s="34" t="s">
        <v>21</v>
      </c>
    </row>
    <row r="11" spans="1:23" ht="12.75">
      <c r="A11" s="1" t="s">
        <v>19</v>
      </c>
      <c r="B11" s="19" t="s">
        <v>33</v>
      </c>
      <c r="C11" s="19" t="s">
        <v>37</v>
      </c>
      <c r="D11" s="25" t="s">
        <v>35</v>
      </c>
      <c r="F11" s="18" t="s">
        <v>39</v>
      </c>
      <c r="G11" s="18" t="s">
        <v>39</v>
      </c>
      <c r="H11" s="22" t="s">
        <v>17</v>
      </c>
      <c r="I11" s="14">
        <v>-22.829999999999998</v>
      </c>
      <c r="L11" s="15"/>
      <c r="M11" s="13" t="s">
        <v>20</v>
      </c>
      <c r="N11" s="2" t="s">
        <v>29</v>
      </c>
      <c r="O11" s="27">
        <v>-22.829999999999998</v>
      </c>
      <c r="Q11" s="41">
        <f>-(I10+I25+I40+I11+I26+I41)</f>
        <v>409.25999999999993</v>
      </c>
      <c r="R11" s="42">
        <f>SUM(Q10:Q11)</f>
        <v>101968.23</v>
      </c>
      <c r="S11" s="22" t="s">
        <v>19</v>
      </c>
      <c r="T11" s="22" t="s">
        <v>33</v>
      </c>
      <c r="U11" s="22" t="s">
        <v>37</v>
      </c>
      <c r="V11" s="24" t="s">
        <v>35</v>
      </c>
      <c r="W11" s="34" t="s">
        <v>38</v>
      </c>
    </row>
    <row r="12" spans="1:23" ht="12.75">
      <c r="A12" s="1" t="s">
        <v>19</v>
      </c>
      <c r="B12" s="19" t="s">
        <v>33</v>
      </c>
      <c r="C12" s="19" t="s">
        <v>40</v>
      </c>
      <c r="F12" s="18">
        <v>8999</v>
      </c>
      <c r="I12" s="14">
        <v>-4.3399999999999999</v>
      </c>
      <c r="J12" s="15">
        <v>0.76000000000000001</v>
      </c>
      <c r="K12" s="2" t="s">
        <v>41</v>
      </c>
      <c r="L12" s="15">
        <v>0.0625</v>
      </c>
      <c r="M12" s="13" t="s">
        <v>20</v>
      </c>
      <c r="O12" s="27">
        <v>-4.3399999999999999</v>
      </c>
      <c r="Q12" s="32" t="s">
        <v>50</v>
      </c>
      <c r="R12" s="33"/>
      <c r="S12" s="33"/>
      <c r="T12" s="33"/>
      <c r="U12" s="33"/>
      <c r="V12" s="33"/>
      <c r="W12" s="34"/>
    </row>
    <row r="13" spans="1:23" ht="12.75">
      <c r="A13" s="1" t="s">
        <v>19</v>
      </c>
      <c r="B13" s="19">
        <v>571900</v>
      </c>
      <c r="C13" s="19" t="s">
        <v>42</v>
      </c>
      <c r="F13" s="18">
        <v>8171</v>
      </c>
      <c r="I13" s="14">
        <v>-0.68999999999999995</v>
      </c>
      <c r="J13" s="15">
        <v>0.12</v>
      </c>
      <c r="K13" s="2" t="s">
        <v>43</v>
      </c>
      <c r="L13" s="15">
        <v>0.01</v>
      </c>
      <c r="M13" s="13" t="s">
        <v>20</v>
      </c>
      <c r="O13" s="27">
        <v>-0.68999999999999995</v>
      </c>
      <c r="Q13" s="32" t="s">
        <v>54</v>
      </c>
      <c r="R13" s="33"/>
      <c r="S13" s="33"/>
      <c r="T13" s="33"/>
      <c r="U13" s="33"/>
      <c r="V13" s="33"/>
      <c r="W13" s="34"/>
    </row>
    <row r="14" spans="1:23" ht="13.5" thickBot="1">
      <c r="A14" s="1" t="s">
        <v>19</v>
      </c>
      <c r="B14" s="19">
        <v>571900</v>
      </c>
      <c r="C14" s="19">
        <v>2412730</v>
      </c>
      <c r="F14" s="18">
        <v>7920</v>
      </c>
      <c r="I14" s="14">
        <v>-0.68999999999999995</v>
      </c>
      <c r="J14" s="15">
        <v>0.12</v>
      </c>
      <c r="K14" s="2" t="s">
        <v>44</v>
      </c>
      <c r="L14" s="15">
        <v>0.01</v>
      </c>
      <c r="M14" s="13" t="s">
        <v>20</v>
      </c>
      <c r="O14" s="27">
        <v>-0.68999999999999995</v>
      </c>
      <c r="Q14" s="43" t="s">
        <v>53</v>
      </c>
      <c r="R14" s="44"/>
      <c r="S14" s="44"/>
      <c r="T14" s="44"/>
      <c r="U14" s="44"/>
      <c r="V14" s="44"/>
      <c r="W14" s="45"/>
    </row>
    <row r="15" spans="1:15" ht="12.75">
      <c r="A15" s="1" t="s">
        <v>19</v>
      </c>
      <c r="B15" s="18">
        <v>571900</v>
      </c>
      <c r="C15" s="19">
        <v>1460000</v>
      </c>
      <c r="H15" s="18" t="s">
        <v>17</v>
      </c>
      <c r="I15" s="14">
        <v>34343.850000000006</v>
      </c>
      <c r="L15" s="15">
        <v>0.08249999999999999</v>
      </c>
      <c r="M15" s="13" t="s">
        <v>20</v>
      </c>
      <c r="N15" s="2" t="s">
        <v>36</v>
      </c>
      <c r="O15" s="27">
        <v>34343.849999999999</v>
      </c>
    </row>
    <row r="16" spans="9:12" ht="12.75">
      <c r="I16" s="16"/>
      <c r="J16" s="16"/>
      <c r="K16" s="16"/>
      <c r="L16" s="15"/>
    </row>
    <row r="17" spans="12:12" ht="12.75">
      <c r="L17" s="15"/>
    </row>
    <row r="18" spans="1:14" ht="25.5">
      <c r="A18" s="3" t="s">
        <v>0</v>
      </c>
      <c r="B18" s="20" t="s">
        <v>1</v>
      </c>
      <c r="C18" s="21" t="s">
        <v>2</v>
      </c>
      <c r="D18" s="20" t="s">
        <v>3</v>
      </c>
      <c r="E18" s="20" t="s">
        <v>4</v>
      </c>
      <c r="F18" s="20" t="s">
        <v>5</v>
      </c>
      <c r="G18" s="20" t="s">
        <v>6</v>
      </c>
      <c r="H18" s="20" t="s">
        <v>7</v>
      </c>
      <c r="I18" s="4" t="s">
        <v>8</v>
      </c>
      <c r="J18" s="5" t="s">
        <v>9</v>
      </c>
      <c r="K18" s="6" t="s">
        <v>10</v>
      </c>
      <c r="L18" s="7" t="s">
        <v>11</v>
      </c>
      <c r="M18" s="5" t="s">
        <v>12</v>
      </c>
      <c r="N18" s="5" t="s">
        <v>13</v>
      </c>
    </row>
    <row r="19" spans="1:15" ht="12.75">
      <c r="A19" s="8" t="s">
        <v>17</v>
      </c>
      <c r="B19" s="22">
        <v>660000</v>
      </c>
      <c r="C19" s="23">
        <v>5610000</v>
      </c>
      <c r="D19" s="22">
        <v>497</v>
      </c>
      <c r="E19" s="22" t="s">
        <v>18</v>
      </c>
      <c r="F19" s="22"/>
      <c r="G19" s="22">
        <v>9010</v>
      </c>
      <c r="H19" s="22" t="s">
        <v>19</v>
      </c>
      <c r="I19" s="9">
        <v>33665.07</v>
      </c>
      <c r="J19" s="10"/>
      <c r="K19" s="11"/>
      <c r="L19" s="12"/>
      <c r="M19" s="13" t="s">
        <v>45</v>
      </c>
      <c r="N19" s="2" t="s">
        <v>21</v>
      </c>
      <c r="O19" s="27">
        <v>33665.07</v>
      </c>
    </row>
    <row r="20" spans="1:15" ht="12.75">
      <c r="A20" s="8" t="s">
        <v>17</v>
      </c>
      <c r="B20" s="22">
        <v>660000</v>
      </c>
      <c r="C20" s="23">
        <v>5610000</v>
      </c>
      <c r="D20" s="22">
        <v>497</v>
      </c>
      <c r="E20" s="22" t="s">
        <v>24</v>
      </c>
      <c r="F20" s="22"/>
      <c r="G20" s="22" t="s">
        <v>25</v>
      </c>
      <c r="H20" s="22" t="s">
        <v>19</v>
      </c>
      <c r="I20" s="9">
        <v>123.34999999999999</v>
      </c>
      <c r="J20" s="10"/>
      <c r="K20" s="11"/>
      <c r="L20" s="12"/>
      <c r="M20" s="13" t="s">
        <v>45</v>
      </c>
      <c r="N20" s="2" t="s">
        <v>26</v>
      </c>
      <c r="O20" s="27">
        <v>123.34999999999999</v>
      </c>
    </row>
    <row r="21" spans="1:15" ht="12.75">
      <c r="A21" s="8" t="s">
        <v>17</v>
      </c>
      <c r="B21" s="22">
        <v>660000</v>
      </c>
      <c r="C21" s="23">
        <v>9230000</v>
      </c>
      <c r="D21" s="22">
        <v>497</v>
      </c>
      <c r="E21" s="22" t="s">
        <v>28</v>
      </c>
      <c r="F21" s="22"/>
      <c r="G21" s="22">
        <v>9010</v>
      </c>
      <c r="H21" s="22" t="s">
        <v>19</v>
      </c>
      <c r="I21" s="9">
        <v>32.560000000000002</v>
      </c>
      <c r="J21" s="10"/>
      <c r="K21" s="11"/>
      <c r="L21" s="12"/>
      <c r="M21" s="13" t="s">
        <v>45</v>
      </c>
      <c r="N21" s="2" t="s">
        <v>29</v>
      </c>
      <c r="O21" s="27">
        <v>32.560000000000002</v>
      </c>
    </row>
    <row r="22" spans="1:15" ht="12.75">
      <c r="A22" s="8" t="s">
        <v>17</v>
      </c>
      <c r="B22" s="22">
        <v>660000</v>
      </c>
      <c r="C22" s="23">
        <v>5610000</v>
      </c>
      <c r="D22" s="24" t="s">
        <v>30</v>
      </c>
      <c r="E22" s="22" t="s">
        <v>24</v>
      </c>
      <c r="F22" s="22"/>
      <c r="G22" s="22" t="s">
        <v>25</v>
      </c>
      <c r="H22" s="22"/>
      <c r="I22" s="9">
        <v>8.1500000000000004</v>
      </c>
      <c r="J22" s="10"/>
      <c r="K22" s="11"/>
      <c r="L22" s="12"/>
      <c r="M22" s="13" t="s">
        <v>45</v>
      </c>
      <c r="N22" s="2" t="s">
        <v>32</v>
      </c>
      <c r="O22" s="27">
        <v>8.1500000000000004</v>
      </c>
    </row>
    <row r="23" spans="1:15" ht="12.75">
      <c r="A23" s="8" t="s">
        <v>17</v>
      </c>
      <c r="B23" s="22">
        <v>660000</v>
      </c>
      <c r="C23" s="23">
        <v>2340000</v>
      </c>
      <c r="D23" s="24"/>
      <c r="E23" s="22"/>
      <c r="F23" s="22"/>
      <c r="G23" s="22"/>
      <c r="H23" s="22" t="s">
        <v>19</v>
      </c>
      <c r="I23" s="9">
        <v>-33829.129999999997</v>
      </c>
      <c r="J23" s="10"/>
      <c r="K23" s="11"/>
      <c r="L23" s="12"/>
      <c r="M23" s="13" t="s">
        <v>45</v>
      </c>
      <c r="N23" s="2" t="s">
        <v>36</v>
      </c>
      <c r="O23" s="27">
        <v>-33829.129999999997</v>
      </c>
    </row>
    <row r="24" spans="1:15" ht="12.75">
      <c r="A24" s="1" t="s">
        <v>19</v>
      </c>
      <c r="B24" s="19" t="s">
        <v>33</v>
      </c>
      <c r="C24" s="19" t="s">
        <v>34</v>
      </c>
      <c r="D24" s="25" t="s">
        <v>35</v>
      </c>
      <c r="E24" s="18" t="s">
        <v>18</v>
      </c>
      <c r="F24" s="18" t="s">
        <v>39</v>
      </c>
      <c r="G24" s="18" t="s">
        <v>39</v>
      </c>
      <c r="H24" s="22" t="s">
        <v>17</v>
      </c>
      <c r="I24" s="14">
        <v>-33665.07</v>
      </c>
      <c r="L24" s="15"/>
      <c r="M24" s="13" t="s">
        <v>45</v>
      </c>
      <c r="N24" s="2" t="s">
        <v>21</v>
      </c>
      <c r="O24" s="27">
        <v>-33665.07</v>
      </c>
    </row>
    <row r="25" spans="1:15" ht="12.75">
      <c r="A25" s="1" t="s">
        <v>19</v>
      </c>
      <c r="B25" s="19" t="s">
        <v>33</v>
      </c>
      <c r="C25" s="19" t="s">
        <v>37</v>
      </c>
      <c r="D25" s="25" t="s">
        <v>35</v>
      </c>
      <c r="F25" s="18" t="s">
        <v>39</v>
      </c>
      <c r="G25" s="18" t="s">
        <v>39</v>
      </c>
      <c r="H25" s="22" t="s">
        <v>17</v>
      </c>
      <c r="I25" s="14">
        <v>-123.34999999999999</v>
      </c>
      <c r="L25" s="15"/>
      <c r="M25" s="13" t="s">
        <v>45</v>
      </c>
      <c r="N25" s="2" t="s">
        <v>26</v>
      </c>
      <c r="O25" s="27">
        <v>-123.34999999999999</v>
      </c>
    </row>
    <row r="26" spans="1:15" ht="12.75">
      <c r="A26" s="1" t="s">
        <v>19</v>
      </c>
      <c r="B26" s="19" t="s">
        <v>33</v>
      </c>
      <c r="C26" s="19" t="s">
        <v>37</v>
      </c>
      <c r="D26" s="25" t="s">
        <v>35</v>
      </c>
      <c r="F26" s="18" t="s">
        <v>39</v>
      </c>
      <c r="G26" s="18" t="s">
        <v>39</v>
      </c>
      <c r="H26" s="22" t="s">
        <v>17</v>
      </c>
      <c r="I26" s="14">
        <v>-32.560000000000002</v>
      </c>
      <c r="L26" s="15"/>
      <c r="M26" s="13" t="s">
        <v>45</v>
      </c>
      <c r="N26" s="2" t="s">
        <v>29</v>
      </c>
      <c r="O26" s="27">
        <v>-32.560000000000002</v>
      </c>
    </row>
    <row r="27" spans="1:15" ht="12.75">
      <c r="A27" s="1" t="s">
        <v>19</v>
      </c>
      <c r="B27" s="19" t="s">
        <v>33</v>
      </c>
      <c r="C27" s="19" t="s">
        <v>40</v>
      </c>
      <c r="F27" s="18">
        <v>8999</v>
      </c>
      <c r="I27" s="14">
        <v>-6.1900000000000004</v>
      </c>
      <c r="J27" s="15">
        <v>0.76000000000000001</v>
      </c>
      <c r="K27" s="2" t="s">
        <v>41</v>
      </c>
      <c r="L27" s="15">
        <v>0.0625</v>
      </c>
      <c r="M27" s="13" t="s">
        <v>45</v>
      </c>
      <c r="O27" s="27">
        <v>-6.1900000000000004</v>
      </c>
    </row>
    <row r="28" spans="1:15" ht="12.75">
      <c r="A28" s="1" t="s">
        <v>19</v>
      </c>
      <c r="B28" s="19">
        <v>571900</v>
      </c>
      <c r="C28" s="19" t="s">
        <v>42</v>
      </c>
      <c r="F28" s="18">
        <v>8171</v>
      </c>
      <c r="I28" s="14">
        <v>-0.97999999999999998</v>
      </c>
      <c r="J28" s="15">
        <v>0.12</v>
      </c>
      <c r="K28" s="2" t="s">
        <v>43</v>
      </c>
      <c r="L28" s="15">
        <v>0.01</v>
      </c>
      <c r="M28" s="13" t="s">
        <v>45</v>
      </c>
      <c r="O28" s="27">
        <v>-0.97999999999999998</v>
      </c>
    </row>
    <row r="29" spans="1:15" ht="12.75">
      <c r="A29" s="1" t="s">
        <v>19</v>
      </c>
      <c r="B29" s="19">
        <v>571900</v>
      </c>
      <c r="C29" s="19">
        <v>2412730</v>
      </c>
      <c r="F29" s="18">
        <v>7920</v>
      </c>
      <c r="I29" s="14">
        <v>-0.97999999999999998</v>
      </c>
      <c r="J29" s="15">
        <v>0.12</v>
      </c>
      <c r="K29" s="2" t="s">
        <v>44</v>
      </c>
      <c r="L29" s="15">
        <v>0.01</v>
      </c>
      <c r="M29" s="13" t="s">
        <v>45</v>
      </c>
      <c r="O29" s="27">
        <v>-0.97999999999999998</v>
      </c>
    </row>
    <row r="30" spans="1:15" ht="12.75">
      <c r="A30" s="1" t="s">
        <v>19</v>
      </c>
      <c r="B30" s="18">
        <v>571900</v>
      </c>
      <c r="C30" s="19">
        <v>1460000</v>
      </c>
      <c r="H30" s="18" t="s">
        <v>17</v>
      </c>
      <c r="I30" s="14">
        <v>33829.129999999997</v>
      </c>
      <c r="L30" s="15">
        <v>0.08249999999999999</v>
      </c>
      <c r="M30" s="13" t="s">
        <v>45</v>
      </c>
      <c r="N30" s="2" t="s">
        <v>36</v>
      </c>
      <c r="O30" s="27">
        <v>33829.129999999997</v>
      </c>
    </row>
    <row r="33" spans="1:14" ht="25.5">
      <c r="A33" s="3" t="s">
        <v>0</v>
      </c>
      <c r="B33" s="20" t="s">
        <v>1</v>
      </c>
      <c r="C33" s="21" t="s">
        <v>2</v>
      </c>
      <c r="D33" s="20" t="s">
        <v>3</v>
      </c>
      <c r="E33" s="20" t="s">
        <v>4</v>
      </c>
      <c r="F33" s="20" t="s">
        <v>5</v>
      </c>
      <c r="G33" s="20" t="s">
        <v>6</v>
      </c>
      <c r="H33" s="20" t="s">
        <v>7</v>
      </c>
      <c r="I33" s="4" t="s">
        <v>8</v>
      </c>
      <c r="J33" s="5" t="s">
        <v>9</v>
      </c>
      <c r="K33" s="6" t="s">
        <v>10</v>
      </c>
      <c r="L33" s="7" t="s">
        <v>11</v>
      </c>
      <c r="M33" s="5" t="s">
        <v>12</v>
      </c>
      <c r="N33" s="5" t="s">
        <v>13</v>
      </c>
    </row>
    <row r="34" spans="1:15" ht="12.75">
      <c r="A34" s="8" t="s">
        <v>17</v>
      </c>
      <c r="B34" s="22">
        <v>660000</v>
      </c>
      <c r="C34" s="23">
        <v>5610000</v>
      </c>
      <c r="D34" s="22">
        <v>497</v>
      </c>
      <c r="E34" s="22" t="s">
        <v>18</v>
      </c>
      <c r="F34" s="22"/>
      <c r="G34" s="22">
        <v>9010</v>
      </c>
      <c r="H34" s="22" t="s">
        <v>19</v>
      </c>
      <c r="I34" s="9">
        <v>33665.07</v>
      </c>
      <c r="J34" s="10"/>
      <c r="K34" s="11"/>
      <c r="L34" s="12"/>
      <c r="M34" s="13" t="s">
        <v>46</v>
      </c>
      <c r="N34" s="2" t="s">
        <v>21</v>
      </c>
      <c r="O34" s="27">
        <v>33665.07</v>
      </c>
    </row>
    <row r="35" spans="1:15" ht="12.75">
      <c r="A35" s="8" t="s">
        <v>17</v>
      </c>
      <c r="B35" s="22">
        <v>660000</v>
      </c>
      <c r="C35" s="23">
        <v>5610000</v>
      </c>
      <c r="D35" s="22">
        <v>497</v>
      </c>
      <c r="E35" s="22" t="s">
        <v>24</v>
      </c>
      <c r="F35" s="22"/>
      <c r="G35" s="22" t="s">
        <v>25</v>
      </c>
      <c r="H35" s="22" t="s">
        <v>19</v>
      </c>
      <c r="I35" s="9">
        <v>113.95999999999999</v>
      </c>
      <c r="J35" s="10"/>
      <c r="K35" s="11"/>
      <c r="L35" s="12"/>
      <c r="M35" s="13" t="s">
        <v>46</v>
      </c>
      <c r="N35" s="2" t="s">
        <v>26</v>
      </c>
      <c r="O35" s="27">
        <v>113.95999999999999</v>
      </c>
    </row>
    <row r="36" spans="1:15" ht="12.75">
      <c r="A36" s="8" t="s">
        <v>17</v>
      </c>
      <c r="B36" s="22">
        <v>660000</v>
      </c>
      <c r="C36" s="23">
        <v>9230000</v>
      </c>
      <c r="D36" s="22">
        <v>497</v>
      </c>
      <c r="E36" s="22" t="s">
        <v>28</v>
      </c>
      <c r="F36" s="22"/>
      <c r="G36" s="22">
        <v>9010</v>
      </c>
      <c r="H36" s="22" t="s">
        <v>19</v>
      </c>
      <c r="I36" s="9">
        <v>30.09</v>
      </c>
      <c r="J36" s="10"/>
      <c r="K36" s="11"/>
      <c r="L36" s="12"/>
      <c r="M36" s="13" t="s">
        <v>46</v>
      </c>
      <c r="N36" s="2" t="s">
        <v>29</v>
      </c>
      <c r="O36" s="27">
        <v>30.09</v>
      </c>
    </row>
    <row r="37" spans="1:15" ht="12.75">
      <c r="A37" s="8" t="s">
        <v>17</v>
      </c>
      <c r="B37" s="22">
        <v>660000</v>
      </c>
      <c r="C37" s="23">
        <v>5610000</v>
      </c>
      <c r="D37" s="24" t="s">
        <v>30</v>
      </c>
      <c r="E37" s="22" t="s">
        <v>24</v>
      </c>
      <c r="F37" s="22"/>
      <c r="G37" s="22" t="s">
        <v>25</v>
      </c>
      <c r="H37" s="22"/>
      <c r="I37" s="9">
        <v>7.5199999999999996</v>
      </c>
      <c r="J37" s="10"/>
      <c r="K37" s="11"/>
      <c r="L37" s="12"/>
      <c r="M37" s="13" t="s">
        <v>46</v>
      </c>
      <c r="N37" s="2" t="s">
        <v>32</v>
      </c>
      <c r="O37" s="27">
        <v>7.5199999999999996</v>
      </c>
    </row>
    <row r="38" spans="1:15" ht="12.75">
      <c r="A38" s="8" t="s">
        <v>17</v>
      </c>
      <c r="B38" s="22">
        <v>660000</v>
      </c>
      <c r="C38" s="23">
        <v>2340000</v>
      </c>
      <c r="D38" s="24"/>
      <c r="E38" s="22"/>
      <c r="F38" s="22"/>
      <c r="G38" s="22"/>
      <c r="H38" s="22" t="s">
        <v>19</v>
      </c>
      <c r="I38" s="9">
        <v>-33816.639999999992</v>
      </c>
      <c r="J38" s="10"/>
      <c r="K38" s="11"/>
      <c r="L38" s="12"/>
      <c r="M38" s="13" t="s">
        <v>46</v>
      </c>
      <c r="N38" s="2" t="s">
        <v>36</v>
      </c>
      <c r="O38" s="27">
        <v>-33816.639999999999</v>
      </c>
    </row>
    <row r="39" spans="1:15" ht="12.75">
      <c r="A39" s="1" t="s">
        <v>19</v>
      </c>
      <c r="B39" s="19" t="s">
        <v>33</v>
      </c>
      <c r="C39" s="19" t="s">
        <v>34</v>
      </c>
      <c r="D39" s="25" t="s">
        <v>35</v>
      </c>
      <c r="E39" s="18" t="s">
        <v>18</v>
      </c>
      <c r="F39" s="18" t="s">
        <v>39</v>
      </c>
      <c r="G39" s="18" t="s">
        <v>39</v>
      </c>
      <c r="H39" s="22" t="s">
        <v>17</v>
      </c>
      <c r="I39" s="14">
        <v>-33665.07</v>
      </c>
      <c r="L39" s="15"/>
      <c r="M39" s="13" t="s">
        <v>46</v>
      </c>
      <c r="N39" s="2" t="s">
        <v>21</v>
      </c>
      <c r="O39" s="27">
        <v>-33665.07</v>
      </c>
    </row>
    <row r="40" spans="1:15" ht="12.75">
      <c r="A40" s="1" t="s">
        <v>19</v>
      </c>
      <c r="B40" s="19" t="s">
        <v>33</v>
      </c>
      <c r="C40" s="19" t="s">
        <v>37</v>
      </c>
      <c r="D40" s="25" t="s">
        <v>35</v>
      </c>
      <c r="F40" s="18" t="s">
        <v>39</v>
      </c>
      <c r="G40" s="18" t="s">
        <v>39</v>
      </c>
      <c r="H40" s="22" t="s">
        <v>17</v>
      </c>
      <c r="I40" s="14">
        <v>-113.95999999999999</v>
      </c>
      <c r="L40" s="15"/>
      <c r="M40" s="13" t="s">
        <v>46</v>
      </c>
      <c r="N40" s="2" t="s">
        <v>26</v>
      </c>
      <c r="O40" s="27">
        <v>-113.95999999999999</v>
      </c>
    </row>
    <row r="41" spans="1:15" ht="12.75">
      <c r="A41" s="1" t="s">
        <v>19</v>
      </c>
      <c r="B41" s="19" t="s">
        <v>33</v>
      </c>
      <c r="C41" s="19" t="s">
        <v>37</v>
      </c>
      <c r="D41" s="25" t="s">
        <v>35</v>
      </c>
      <c r="F41" s="18" t="s">
        <v>39</v>
      </c>
      <c r="G41" s="18" t="s">
        <v>39</v>
      </c>
      <c r="H41" s="22" t="s">
        <v>17</v>
      </c>
      <c r="I41" s="14">
        <v>-30.09</v>
      </c>
      <c r="L41" s="15"/>
      <c r="M41" s="13" t="s">
        <v>46</v>
      </c>
      <c r="N41" s="2" t="s">
        <v>29</v>
      </c>
      <c r="O41" s="27">
        <v>-30.09</v>
      </c>
    </row>
    <row r="42" spans="1:16" ht="12.75">
      <c r="A42" s="1" t="s">
        <v>19</v>
      </c>
      <c r="B42" s="19" t="s">
        <v>33</v>
      </c>
      <c r="C42" s="19" t="s">
        <v>40</v>
      </c>
      <c r="F42" s="18">
        <v>8999</v>
      </c>
      <c r="I42" s="14">
        <v>-5.7199999999999998</v>
      </c>
      <c r="J42" s="15">
        <v>0.76000000000000001</v>
      </c>
      <c r="K42" s="2" t="s">
        <v>41</v>
      </c>
      <c r="L42" s="15">
        <v>0.0625</v>
      </c>
      <c r="M42" s="13" t="s">
        <v>46</v>
      </c>
      <c r="O42" s="27">
        <v>-5.7199999999999998</v>
      </c>
      <c r="P42" s="17"/>
    </row>
    <row r="43" spans="1:15" ht="12.75">
      <c r="A43" s="1" t="s">
        <v>19</v>
      </c>
      <c r="B43" s="19">
        <v>571900</v>
      </c>
      <c r="C43" s="19" t="s">
        <v>42</v>
      </c>
      <c r="F43" s="18">
        <v>8171</v>
      </c>
      <c r="I43" s="14">
        <v>-0.90000000000000002</v>
      </c>
      <c r="J43" s="15">
        <v>0.12</v>
      </c>
      <c r="K43" s="2" t="s">
        <v>43</v>
      </c>
      <c r="L43" s="15">
        <v>0.01</v>
      </c>
      <c r="M43" s="13" t="s">
        <v>46</v>
      </c>
      <c r="O43" s="27">
        <v>-0.90000000000000002</v>
      </c>
    </row>
    <row r="44" spans="1:15" ht="12.75">
      <c r="A44" s="1" t="s">
        <v>19</v>
      </c>
      <c r="B44" s="19">
        <v>571900</v>
      </c>
      <c r="C44" s="19">
        <v>2412730</v>
      </c>
      <c r="F44" s="18">
        <v>7920</v>
      </c>
      <c r="I44" s="14">
        <v>-0.90000000000000002</v>
      </c>
      <c r="J44" s="15">
        <v>0.12</v>
      </c>
      <c r="K44" s="2" t="s">
        <v>44</v>
      </c>
      <c r="L44" s="15">
        <v>0.01</v>
      </c>
      <c r="M44" s="13" t="s">
        <v>46</v>
      </c>
      <c r="O44" s="27">
        <v>-0.90000000000000002</v>
      </c>
    </row>
    <row r="45" spans="1:15" ht="12.75">
      <c r="A45" s="1" t="s">
        <v>19</v>
      </c>
      <c r="B45" s="18">
        <v>571900</v>
      </c>
      <c r="C45" s="19">
        <v>1460000</v>
      </c>
      <c r="H45" s="18" t="s">
        <v>17</v>
      </c>
      <c r="I45" s="14">
        <v>33816.639999999992</v>
      </c>
      <c r="L45" s="15">
        <v>0.08249999999999999</v>
      </c>
      <c r="M45" s="13" t="s">
        <v>46</v>
      </c>
      <c r="N45" s="2" t="s">
        <v>36</v>
      </c>
      <c r="O45" s="27">
        <v>33816.639999999999</v>
      </c>
    </row>
  </sheetData>
  <dataValidations count="1">
    <dataValidation errorStyle="information" type="list" allowBlank="1" showInputMessage="1" showErrorMessage="1" prompt="This field only accepts 'NEXT' or the current journal ID - OK to accept this value" error="This field only accepts 'NEXT' or the current journal ID - OK to accept this value" sqref="F2">
      <formula1>"NEXT"</formula1>
    </dataValidation>
  </dataValidations>
  <pageMargins left="0.5" right="0.5" top="1.5" bottom="0.5" header="1" footer="0.3"/>
  <pageSetup orientation="landscape" scale="52" r:id="rId1"/>
  <headerFooter>
    <oddHeader>&amp;R&amp;"-,Bold"WP/II-D ADJUSTMENT /59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K&amp;M adjustment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