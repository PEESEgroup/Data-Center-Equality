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0490" windowHeight="7455" activeTab="0"/>
  </bookViews>
  <sheets>
    <sheet name="OPEBS" sheetId="1" r:id="rId2"/>
  </sheets>
  <definedNames>
    <definedName name="_xlnm.Print_Area" localSheetId="0">OPEBS!$A$1:$D$17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</calcChain>
</file>

<file path=xl/sharedStrings.xml><?xml version="1.0" encoding="utf-8"?>
<sst xmlns="http://schemas.openxmlformats.org/spreadsheetml/2006/main" count="14" uniqueCount="14">
  <si>
    <t>Oncor Electric Delivery Company LLC</t>
  </si>
  <si>
    <t>Known and Measurable Adjustment OPEBs</t>
  </si>
  <si>
    <t>Total</t>
  </si>
  <si>
    <t>ESD</t>
  </si>
  <si>
    <t>TRN</t>
  </si>
  <si>
    <t>PAYXAG Factor</t>
  </si>
  <si>
    <t>2022 Annual OPEB Accrual:</t>
  </si>
  <si>
    <t>Oncor OPEB Plan</t>
  </si>
  <si>
    <t>Shared Retiree OPEB Plan</t>
  </si>
  <si>
    <t>Total OPEB Accrual</t>
  </si>
  <si>
    <t xml:space="preserve">Test Year Expense Ratio </t>
  </si>
  <si>
    <t>2022 O&amp;M Expense</t>
  </si>
  <si>
    <t>Test Year Book Expense</t>
  </si>
  <si>
    <t>Adjustment to Account 926-0000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</si>
</sst>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</numFmts>
  <fonts count="4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auto="1"/>
      </bottom>
    </border>
    <border>
      <left style="medium">
        <color auto="1"/>
      </left>
      <right/>
      <top style="medium">
        <color auto="1"/>
      </top>
      <bottom style="medium">
        <color auto="1"/>
      </bottom>
    </border>
    <border>
      <left/>
      <right/>
      <top style="medium">
        <color auto="1"/>
      </top>
      <bottom style="medium">
        <color auto="1"/>
      </bottom>
    </border>
    <border>
      <left/>
      <right style="medium">
        <color auto="1"/>
      </right>
      <top style="medium">
        <color auto="1"/>
      </top>
      <bottom style="medium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9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39" fontId="0" fillId="0" borderId="0" xfId="0" applyNumberFormat="1"/>
    <xf numFmtId="0" fontId="0" fillId="0" borderId="1" xfId="0" applyBorder="1" applyAlignment="1">
      <alignment horizontal="center"/>
    </xf>
    <xf numFmtId="164" fontId="0" fillId="0" borderId="0" xfId="16" applyNumberFormat="1" applyFont="1"/>
    <xf numFmtId="9" fontId="0" fillId="0" borderId="0" xfId="15" applyFont="1"/>
    <xf numFmtId="44" fontId="0" fillId="0" borderId="0" xfId="0" applyNumberFormat="1"/>
    <xf numFmtId="43" fontId="0" fillId="0" borderId="0" xfId="0" applyNumberFormat="1"/>
    <xf numFmtId="10" fontId="0" fillId="0" borderId="0" xfId="15" applyNumberFormat="1" applyFont="1"/>
    <xf numFmtId="0" fontId="0" fillId="0" borderId="0" xfId="0" applyFill="1"/>
    <xf numFmtId="39" fontId="0" fillId="0" borderId="0" xfId="0" applyNumberFormat="1" applyFill="1"/>
    <xf numFmtId="0" fontId="0" fillId="0" borderId="0" xfId="0" applyFill="1" applyAlignment="1">
      <alignment horizontal="center"/>
    </xf>
    <xf numFmtId="10" fontId="0" fillId="0" borderId="0" xfId="0" applyNumberFormat="1" applyFill="1" applyAlignment="1">
      <alignment horizontal="center"/>
    </xf>
    <xf numFmtId="39" fontId="0" fillId="0" borderId="1" xfId="0" applyNumberFormat="1" applyFill="1" applyBorder="1"/>
    <xf numFmtId="10" fontId="0" fillId="0" borderId="1" xfId="0" applyNumberFormat="1" applyFill="1" applyBorder="1"/>
    <xf numFmtId="0" fontId="2" fillId="0" borderId="2" xfId="0" applyFont="1" applyFill="1" applyBorder="1"/>
    <xf numFmtId="39" fontId="2" fillId="0" borderId="3" xfId="0" applyNumberFormat="1" applyFont="1" applyFill="1" applyBorder="1"/>
    <xf numFmtId="39" fontId="2" fillId="0" borderId="4" xfId="0" applyNumberFormat="1" applyFont="1" applyFill="1" applyBorder="1"/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I31"/>
  <sheetViews>
    <sheetView tabSelected="1" workbookViewId="0" topLeftCell="A1">
      <selection pane="topLeft" activeCell="G21" sqref="G21"/>
    </sheetView>
  </sheetViews>
  <sheetFormatPr defaultRowHeight="15"/>
  <cols>
    <col min="1" max="1" width="40.5714285714286" customWidth="1"/>
    <col min="2" max="3" width="16" bestFit="1" customWidth="1"/>
    <col min="4" max="4" width="15.2857142857143" bestFit="1" customWidth="1"/>
    <col min="7" max="7" width="18.1428571428571" bestFit="1" customWidth="1"/>
    <col min="8" max="8" width="12.5714285714286" bestFit="1" customWidth="1"/>
    <col min="9" max="9" width="9.57142857142857" bestFit="1" customWidth="1"/>
  </cols>
  <sheetData>
    <row r="1" spans="1:5" ht="15">
      <c r="A1" t="s">
        <v>0</v>
      </c>
      <c r="E1" s="1"/>
    </row>
    <row r="2" spans="1:1" ht="15">
      <c r="A2" t="s">
        <v>1</v>
      </c>
    </row>
    <row r="5" spans="2:4" ht="15">
      <c r="B5" s="2" t="s">
        <v>2</v>
      </c>
      <c r="C5" s="2" t="s">
        <v>3</v>
      </c>
      <c r="D5" s="2" t="s">
        <v>4</v>
      </c>
    </row>
    <row r="6" spans="1:7" ht="15">
      <c r="A6" t="s">
        <v>5</v>
      </c>
      <c r="B6" s="12"/>
      <c r="C6" s="13">
        <v>0.77979843567877405</v>
      </c>
      <c r="D6" s="13">
        <v>0.22020156432122592</v>
      </c>
      <c r="E6" s="10"/>
      <c r="F6" s="10"/>
      <c r="G6" s="10"/>
    </row>
    <row r="7" spans="1:7" ht="15">
      <c r="A7" t="s">
        <v>6</v>
      </c>
      <c r="B7" s="12"/>
      <c r="C7" s="12"/>
      <c r="D7" s="12"/>
      <c r="E7" s="10"/>
      <c r="F7" s="10"/>
      <c r="G7" s="10"/>
    </row>
    <row r="8" spans="1:7" ht="15.4" customHeight="1">
      <c r="A8" t="s">
        <v>7</v>
      </c>
      <c r="B8" s="11">
        <v>8616786</v>
      </c>
      <c r="C8" s="11">
        <f>B8*C6</f>
        <v>6719356.2433787603</v>
      </c>
      <c r="D8" s="11">
        <f>B8*D6</f>
        <v>1897429.756621239</v>
      </c>
      <c r="E8" s="10"/>
      <c r="F8" s="10"/>
      <c r="G8" s="10"/>
    </row>
    <row r="9" spans="1:9" ht="15.4" customHeight="1">
      <c r="A9" t="s">
        <v>8</v>
      </c>
      <c r="B9" s="14">
        <v>10273842</v>
      </c>
      <c r="C9" s="14">
        <f>B9*C6</f>
        <v>8011525.9200108871</v>
      </c>
      <c r="D9" s="14">
        <f>B9*D6</f>
        <v>2262316.0799891124</v>
      </c>
      <c r="E9" s="10"/>
      <c r="F9" s="10"/>
      <c r="G9" s="10"/>
      <c r="H9" s="4"/>
      <c r="I9" s="4"/>
    </row>
    <row r="10" spans="1:9" ht="15.4" customHeight="1">
      <c r="A10" t="s">
        <v>9</v>
      </c>
      <c r="B10" s="11">
        <f>SUM(B8:B9)</f>
        <v>18890628</v>
      </c>
      <c r="C10" s="11">
        <f>SUM(C8:C9)</f>
        <v>14730882.163389647</v>
      </c>
      <c r="D10" s="11">
        <f>SUM(D8:D9)</f>
        <v>4159745.8366103517</v>
      </c>
      <c r="E10" s="10"/>
      <c r="F10" s="10"/>
      <c r="G10" s="10"/>
      <c r="H10" s="5"/>
      <c r="I10" s="6"/>
    </row>
    <row r="11" spans="1:7" ht="15">
      <c r="A11" t="s">
        <v>10</v>
      </c>
      <c r="B11" s="15">
        <v>0.46566865849001887</v>
      </c>
      <c r="C11" s="15">
        <f>+B11</f>
        <v>0.46566865849001887</v>
      </c>
      <c r="D11" s="15">
        <f>+B11</f>
        <v>0.46566865849001887</v>
      </c>
      <c r="E11" s="10"/>
      <c r="F11" s="10"/>
      <c r="G11" s="10"/>
    </row>
    <row r="12" spans="1:4" ht="15">
      <c r="A12" t="s">
        <v>11</v>
      </c>
      <c r="B12" s="3">
        <f>B10*B11</f>
        <v>8796773.3987939879</v>
      </c>
      <c r="C12" s="3">
        <f>C10*C11</f>
        <v>6859710.135400204</v>
      </c>
      <c r="D12" s="3">
        <f>D10*D11</f>
        <v>1937063.2633937837</v>
      </c>
    </row>
    <row r="13" spans="2:4" ht="15">
      <c r="B13" s="3"/>
      <c r="C13" s="3"/>
      <c r="D13" s="3"/>
    </row>
    <row r="14" spans="1:4" ht="15">
      <c r="A14" t="s">
        <v>12</v>
      </c>
      <c r="B14" s="3">
        <f>C14+D14</f>
        <v>29852986</v>
      </c>
      <c r="C14" s="3">
        <v>23583859</v>
      </c>
      <c r="D14" s="3">
        <v>6269127</v>
      </c>
    </row>
    <row r="15" spans="2:4" ht="15.75" thickBot="1">
      <c r="B15" s="3"/>
      <c r="C15" s="3"/>
      <c r="D15" s="3"/>
    </row>
    <row r="16" spans="1:4" ht="15.75" thickBot="1">
      <c r="A16" s="16" t="s">
        <v>13</v>
      </c>
      <c r="B16" s="17">
        <f>B12-B14</f>
        <v>-21056212.601206012</v>
      </c>
      <c r="C16" s="17">
        <f t="shared" si="0" ref="C16:D16">C12-C14</f>
        <v>-16724148.864599796</v>
      </c>
      <c r="D16" s="18">
        <f t="shared" si="0"/>
        <v>-4332063.7366062161</v>
      </c>
    </row>
    <row r="17" spans="2:4" ht="15">
      <c r="B17" s="3"/>
      <c r="C17" s="3"/>
      <c r="D17" s="3"/>
    </row>
    <row r="18" spans="2:4" ht="15">
      <c r="B18" s="3"/>
      <c r="C18" s="3"/>
      <c r="D18" s="3"/>
    </row>
    <row r="19" spans="2:4" ht="15">
      <c r="B19" s="7"/>
      <c r="C19" s="7"/>
      <c r="D19" s="7"/>
    </row>
    <row r="20" spans="2:4" ht="15">
      <c r="B20" s="8"/>
      <c r="C20" s="9"/>
      <c r="D20" s="9"/>
    </row>
    <row r="22" spans="2:4" ht="15">
      <c r="B22" s="7"/>
      <c r="C22" s="7"/>
      <c r="D22" s="7"/>
    </row>
    <row r="23" spans="2:4" ht="15">
      <c r="B23" s="3"/>
      <c r="C23" s="3"/>
      <c r="D23" s="3"/>
    </row>
    <row r="24" spans="2:4" ht="15">
      <c r="B24" s="3"/>
      <c r="C24" s="3"/>
      <c r="D24" s="3"/>
    </row>
    <row r="25" spans="2:4" ht="15">
      <c r="B25" s="3"/>
      <c r="C25" s="3"/>
      <c r="D25" s="3"/>
    </row>
    <row r="26" spans="2:4" ht="15">
      <c r="B26" s="3"/>
      <c r="C26" s="3"/>
      <c r="D26" s="3"/>
    </row>
    <row r="27" spans="2:4" ht="15">
      <c r="B27" s="3"/>
      <c r="C27" s="3"/>
      <c r="D27" s="3"/>
    </row>
    <row r="28" spans="2:4" ht="15">
      <c r="B28" s="3"/>
      <c r="C28" s="3"/>
      <c r="D28" s="3"/>
    </row>
    <row r="29" spans="2:4" ht="15">
      <c r="B29" s="3"/>
      <c r="C29" s="3"/>
      <c r="D29" s="3"/>
    </row>
    <row r="30" spans="2:4" ht="15">
      <c r="B30" s="3"/>
      <c r="C30" s="3"/>
      <c r="D30" s="3"/>
    </row>
    <row r="31" spans="2:4" ht="15">
      <c r="B31" s="3"/>
      <c r="C31" s="3"/>
      <c r="D31" s="3"/>
    </row>
  </sheetData>
  <printOptions horizontalCentered="1"/>
  <pageMargins left="0.5" right="0.5" top="1.5" bottom="0.5" header="1" footer="0.3"/>
  <pageSetup orientation="landscape" r:id="rId1"/>
  <headerFooter>
    <oddHeader>&amp;R&amp;"-,Bold"WP/II-D ADJUSTMENT /4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OPEBS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