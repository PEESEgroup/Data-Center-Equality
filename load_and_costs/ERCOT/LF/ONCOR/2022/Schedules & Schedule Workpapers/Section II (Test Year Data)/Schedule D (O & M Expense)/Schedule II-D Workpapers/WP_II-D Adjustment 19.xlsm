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20" yWindow="135" windowWidth="12120" windowHeight="9090" activeTab="0"/>
  </bookViews>
  <sheets>
    <sheet name="K&amp;M" sheetId="5" r:id="rId3"/>
  </sheets>
  <definedNames>
    <definedName name="By_Summary_Ledger">#REF!</definedName>
    <definedName name="Date1">#REF!</definedName>
    <definedName name="Labels">#REF!</definedName>
    <definedName name="Ledgers">#REF!</definedName>
    <definedName name="NvsASD">"V2022-01-31"</definedName>
    <definedName name="NvsAutoDrillOk">"VY"</definedName>
    <definedName name="NvsElapsedTime">0.0000925925924093463</definedName>
    <definedName name="NvsEndTime">44602.6671875</definedName>
    <definedName name="NvsInstLang">"VENG"</definedName>
    <definedName name="NvsInstSpec">"%,QUVLR_OPER_EXP_OTH_SGA,SYTD,FBUSINESS_UNIT,TF_BU_D_BASE,N3DELV,FCURRENCY_CD,VUSD,FTU_EC,V403"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"%,X,RPF..,CPF.."</definedName>
    <definedName name="NvsPanelBusUnit">"V"</definedName>
    <definedName name="NvsPanelEffdt">"V2099-01-01"</definedName>
    <definedName name="NvsPanelSetid">"VSHARE"</definedName>
    <definedName name="NvsParentRef">"'[Oper Exp_SGA_Oth Deductions-YTD 2022 Jan.xls]Sheet1'!$D$103"</definedName>
    <definedName name="NvsReqBU">"VX0001"</definedName>
    <definedName name="NvsReqBUOnly">"VN"</definedName>
    <definedName name="NvsTranslateLedger">#REF!</definedName>
    <definedName name="NvsTransLed">"VY"</definedName>
    <definedName name="NvsTreeASD">"V2022-01-31"</definedName>
    <definedName name="NvsValTbl.ACCOUNT">"GL_ACCOUNT_TBL"</definedName>
    <definedName name="NvsValTbl.CURRENCY_CD">"CURRENCY_CD_TBL"</definedName>
    <definedName name="NvsValTbl.DEPTID">"DEPARTMENT_TBL"</definedName>
    <definedName name="NvsValTbl.PROJECT_ID">"PROJECT_ID_VW"</definedName>
    <definedName name="Variables">#REF!</definedName>
  </definedNames>
  <calcPr calcId="152511"/>
</workbook>
</file>

<file path=xl/calcChain.xml><?xml version="1.0" encoding="utf-8"?>
<calcChain xmlns="http://schemas.openxmlformats.org/spreadsheetml/2006/main">
  <c r="B14" i="5" l="1"/>
</calcChain>
</file>

<file path=xl/sharedStrings.xml><?xml version="1.0" encoding="utf-8"?>
<sst xmlns="http://schemas.openxmlformats.org/spreadsheetml/2006/main" count="28" uniqueCount="28">
  <si>
    <t>DeptID</t>
  </si>
  <si>
    <t>Account</t>
  </si>
  <si>
    <t>Expnd Cd</t>
  </si>
  <si>
    <t>TU Loc</t>
  </si>
  <si>
    <t>Proj</t>
  </si>
  <si>
    <t>Activity</t>
  </si>
  <si>
    <t>403</t>
  </si>
  <si>
    <t>0000</t>
  </si>
  <si>
    <t>9230000</t>
  </si>
  <si>
    <t>4500</t>
  </si>
  <si>
    <t>2022-01-31</t>
  </si>
  <si>
    <t>2022-01-12</t>
  </si>
  <si>
    <t>533900</t>
  </si>
  <si>
    <t>AFFAUDIT</t>
  </si>
  <si>
    <t>00539269</t>
  </si>
  <si>
    <t>00541782</t>
  </si>
  <si>
    <t>00508985</t>
  </si>
  <si>
    <t>2021-07-02</t>
  </si>
  <si>
    <t>00527026</t>
  </si>
  <si>
    <t>2021-10-25</t>
  </si>
  <si>
    <t>Oncor Electric Delivery Company LLC</t>
  </si>
  <si>
    <t>K&amp;M O&amp;M Adjustment for Affiliate Audits</t>
  </si>
  <si>
    <t>Voucher</t>
  </si>
  <si>
    <t>Amount</t>
  </si>
  <si>
    <t>Audit every 3 years</t>
  </si>
  <si>
    <t>K&amp;M adjustment</t>
  </si>
  <si>
    <t>(2021 vouchers and December accrual)</t>
  </si>
  <si>
    <t>Test year amount reflected audit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</si>
</sst>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3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3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0" fontId="0" fillId="0" borderId="0">
      <alignment/>
      <protection/>
    </xf>
    <xf numFmtId="9" fontId="0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0" fillId="0" borderId="1" xfId="0" applyFont="1" applyBorder="1" applyAlignment="1">
      <alignment horizontal="center"/>
    </xf>
    <xf numFmtId="44" fontId="0" fillId="0" borderId="0" xfId="16" applyFont="1"/>
    <xf numFmtId="44" fontId="0" fillId="0" borderId="1" xfId="16" applyFont="1" applyBorder="1"/>
    <xf numFmtId="44" fontId="0" fillId="0" borderId="0" xfId="16" applyFont="1" applyBorder="1"/>
    <xf numFmtId="0" fontId="2" fillId="0" borderId="2" xfId="0" applyFont="1" applyFill="1" applyBorder="1"/>
    <xf numFmtId="44" fontId="2" fillId="0" borderId="3" xfId="16" applyFont="1" applyFill="1" applyBorder="1"/>
    <xf numFmtId="0" fontId="2" fillId="0" borderId="3" xfId="0" applyFont="1" applyFill="1" applyBorder="1"/>
    <xf numFmtId="0" fontId="2" fillId="0" borderId="4" xfId="0" applyFont="1" applyFill="1" applyBorder="1"/>
    <xf numFmtId="0" fontId="2" fillId="0" borderId="5" xfId="0" applyFont="1" applyFill="1" applyBorder="1"/>
    <xf numFmtId="0" fontId="2" fillId="0" borderId="0" xfId="0" applyFont="1" applyFill="1" applyBorder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8" xfId="0" applyFont="1" applyFill="1" applyBorder="1"/>
    <xf numFmtId="0" fontId="2" fillId="0" borderId="9" xfId="0" applyFont="1" applyFill="1" applyBorder="1"/>
  </cellXfs>
  <cellStyles count="9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Comma 2" xfId="20"/>
    <cellStyle name="Normal 2" xfId="21"/>
    <cellStyle name="Percent 2" xfId="22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styles" Target="styles.xml" /><Relationship Id="rId6" Type="http://schemas.openxmlformats.org/officeDocument/2006/relationships/calcChain" Target="calcChain.xml" /><Relationship Id="rId3" Type="http://schemas.openxmlformats.org/officeDocument/2006/relationships/worksheet" Target="worksheets/sheet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F17"/>
  <sheetViews>
    <sheetView tabSelected="1" workbookViewId="0" topLeftCell="A1">
      <selection pane="topLeft" activeCell="E22" sqref="E22"/>
    </sheetView>
  </sheetViews>
  <sheetFormatPr defaultRowHeight="12.75"/>
  <cols>
    <col min="1" max="1" width="34" bestFit="1" customWidth="1"/>
    <col min="2" max="2" width="12.1428571428571" bestFit="1" customWidth="1"/>
    <col min="3" max="3" width="12" customWidth="1"/>
    <col min="4" max="4" width="10.1428571428571" bestFit="1" customWidth="1"/>
    <col min="5" max="5" width="9.42857142857143" bestFit="1" customWidth="1"/>
  </cols>
  <sheetData>
    <row r="1" spans="1:1" ht="12.75">
      <c r="A1" s="1" t="s">
        <v>20</v>
      </c>
    </row>
    <row r="2" spans="1:1" ht="12.75">
      <c r="A2" s="1" t="s">
        <v>21</v>
      </c>
    </row>
    <row r="4" spans="1:2" ht="12.75">
      <c r="A4" s="2" t="s">
        <v>22</v>
      </c>
      <c r="B4" s="2" t="s">
        <v>23</v>
      </c>
    </row>
    <row r="5" spans="1:3" ht="12.75">
      <c r="A5" t="s">
        <v>16</v>
      </c>
      <c r="B5" s="3">
        <v>27000</v>
      </c>
      <c r="C5" t="s">
        <v>17</v>
      </c>
    </row>
    <row r="6" spans="1:3" ht="12.75">
      <c r="A6" t="s">
        <v>18</v>
      </c>
      <c r="B6" s="3">
        <v>27000</v>
      </c>
      <c r="C6" t="s">
        <v>19</v>
      </c>
    </row>
    <row r="7" spans="1:3" ht="12.75">
      <c r="A7" t="s">
        <v>14</v>
      </c>
      <c r="B7" s="3">
        <v>40800</v>
      </c>
      <c r="C7" t="s">
        <v>11</v>
      </c>
    </row>
    <row r="8" spans="1:3" ht="12.75">
      <c r="A8" t="s">
        <v>15</v>
      </c>
      <c r="B8" s="4">
        <v>41200</v>
      </c>
      <c r="C8" t="s">
        <v>10</v>
      </c>
    </row>
    <row r="9" spans="2:2" ht="12.75">
      <c r="B9" s="3">
        <f>SUM(B5:B8)</f>
        <v>136000</v>
      </c>
    </row>
    <row r="10" spans="2:2" ht="12.75">
      <c r="B10" s="3"/>
    </row>
    <row r="11" spans="1:2" ht="12.75">
      <c r="A11" s="1" t="s">
        <v>24</v>
      </c>
      <c r="B11" s="3">
        <f>B9/3</f>
        <v>45333.333333333336</v>
      </c>
    </row>
    <row r="12" spans="2:2" ht="12.75">
      <c r="B12" s="3"/>
    </row>
    <row r="13" spans="1:3" ht="13.5" thickBot="1">
      <c r="A13" s="1" t="s">
        <v>27</v>
      </c>
      <c r="B13" s="5">
        <v>134000</v>
      </c>
      <c r="C13" s="1" t="s">
        <v>26</v>
      </c>
    </row>
    <row r="14" spans="1:6" ht="12.75">
      <c r="A14" s="6" t="s">
        <v>25</v>
      </c>
      <c r="B14" s="7">
        <f>B11-B13</f>
        <v>-88666.666666666657</v>
      </c>
      <c r="C14" s="8"/>
      <c r="D14" s="8"/>
      <c r="E14" s="8"/>
      <c r="F14" s="9"/>
    </row>
    <row r="15" spans="1:6" ht="12.75">
      <c r="A15" s="10"/>
      <c r="B15" s="11"/>
      <c r="C15" s="11"/>
      <c r="D15" s="11"/>
      <c r="E15" s="11"/>
      <c r="F15" s="12"/>
    </row>
    <row r="16" spans="1:6" ht="12.75">
      <c r="A16" s="10" t="s">
        <v>0</v>
      </c>
      <c r="B16" s="11" t="s">
        <v>1</v>
      </c>
      <c r="C16" s="11" t="s">
        <v>2</v>
      </c>
      <c r="D16" s="11" t="s">
        <v>4</v>
      </c>
      <c r="E16" s="11" t="s">
        <v>5</v>
      </c>
      <c r="F16" s="12" t="s">
        <v>3</v>
      </c>
    </row>
    <row r="17" spans="1:6" ht="13.5" thickBot="1">
      <c r="A17" s="13" t="s">
        <v>12</v>
      </c>
      <c r="B17" s="14" t="s">
        <v>8</v>
      </c>
      <c r="C17" s="14" t="s">
        <v>6</v>
      </c>
      <c r="D17" s="14" t="s">
        <v>13</v>
      </c>
      <c r="E17" s="14" t="s">
        <v>9</v>
      </c>
      <c r="F17" s="15" t="s">
        <v>7</v>
      </c>
    </row>
  </sheetData>
  <printOptions horizontalCentered="1"/>
  <pageMargins left="0.5" right="0.5" top="1.5" bottom="0.5" header="1" footer="0.3"/>
  <pageSetup orientation="landscape" r:id="rId1"/>
  <headerFooter>
    <oddHeader>&amp;R&amp;"Arial,Bold"WP/II-D ADJUSTMENT /19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