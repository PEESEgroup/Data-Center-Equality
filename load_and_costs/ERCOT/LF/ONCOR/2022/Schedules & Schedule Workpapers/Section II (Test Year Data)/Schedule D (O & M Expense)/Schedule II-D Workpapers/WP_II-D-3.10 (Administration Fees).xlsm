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Default Extension="bin" ContentType="application/vnd.openxmlformats-officedocument.spreadsheetml.printerSettings"/>
  <Override PartName="/xl/pivotTables/pivotTable1.xml" ContentType="application/vnd.openxmlformats-officedocument.spreadsheetml.pivotTabl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Tables/pivotTable2.xml" ContentType="application/vnd.openxmlformats-officedocument.spreadsheetml.pivot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5.xml" ContentType="application/vnd.openxmlformats-officedocument.spreadsheetml.worksheet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5180" windowHeight="8835" activeTab="3"/>
  </bookViews>
  <sheets>
    <sheet name="Claims Pivot" sheetId="4" r:id="rId6"/>
    <sheet name="Claims Query" sheetId="1" r:id="rId7"/>
    <sheet name="Admin Fee Pivot" sheetId="5" r:id="rId8"/>
    <sheet name="Admin Fee Query" sheetId="3" r:id="rId9"/>
    <sheet name="Admin Fee Notes from HR" sheetId="7" r:id="rId10"/>
    <sheet name="Premiums Pivot" sheetId="6" r:id="rId11"/>
    <sheet name="Premiums Query" sheetId="2" r:id="rId12"/>
  </sheets>
  <definedNames>
    <definedName name="_xlnm._FilterDatabase" localSheetId="1" hidden="1">'Claims Query'!$A$2:$S$690</definedName>
    <definedName name="_xlnm._FilterDatabase" localSheetId="6" hidden="1">'Premiums Query'!$A$2:$S$98</definedName>
  </definedNames>
  <calcPr calcId="152511"/>
  <pivotCaches>
    <pivotCache cacheId="5" r:id="rId2"/>
    <pivotCache cacheId="6" r:id="rId3"/>
    <pivotCache cacheId="7" r:id="rId4"/>
    <pivotCache cacheId="8" r:id="rId5"/>
  </pivotCaches>
</workbook>
</file>

<file path=xl/calcChain.xml><?xml version="1.0" encoding="utf-8"?>
<calcChain xmlns="http://schemas.openxmlformats.org/spreadsheetml/2006/main">
  <c r="D259" i="3" l="1"/>
</calcChain>
</file>

<file path=xl/sharedStrings.xml><?xml version="1.0" encoding="utf-8"?>
<sst xmlns="http://schemas.openxmlformats.org/spreadsheetml/2006/main" count="14580" uniqueCount="1663">
  <si>
    <t>UNFB_PURCHASING_TRANS</t>
  </si>
  <si>
    <t xml:space="preserve"> 787</t>
  </si>
  <si>
    <t>Acctg Date</t>
  </si>
  <si>
    <t>Period</t>
  </si>
  <si>
    <t>Year</t>
  </si>
  <si>
    <t>Sum Amount</t>
  </si>
  <si>
    <t>voucher</t>
  </si>
  <si>
    <t>vendor</t>
  </si>
  <si>
    <t>vend name</t>
  </si>
  <si>
    <t>invoice</t>
  </si>
  <si>
    <t>checkno</t>
  </si>
  <si>
    <t>GL Unit</t>
  </si>
  <si>
    <t>Journal ID</t>
  </si>
  <si>
    <t>Descr</t>
  </si>
  <si>
    <t>Account</t>
  </si>
  <si>
    <t>Dept</t>
  </si>
  <si>
    <t>Activity</t>
  </si>
  <si>
    <t>EC</t>
  </si>
  <si>
    <t>Project</t>
  </si>
  <si>
    <t>Location</t>
  </si>
  <si>
    <t>po</t>
  </si>
  <si>
    <t>TRN</t>
  </si>
  <si>
    <t/>
  </si>
  <si>
    <t>9260000</t>
  </si>
  <si>
    <t>571900</t>
  </si>
  <si>
    <t>9010</t>
  </si>
  <si>
    <t>554</t>
  </si>
  <si>
    <t>BENEFITS</t>
  </si>
  <si>
    <t>0000</t>
  </si>
  <si>
    <t>000841250</t>
  </si>
  <si>
    <t>CONNECT YOUR CARE</t>
  </si>
  <si>
    <t>ESD</t>
  </si>
  <si>
    <t>521900</t>
  </si>
  <si>
    <t>000174950</t>
  </si>
  <si>
    <t>4500</t>
  </si>
  <si>
    <t>563</t>
  </si>
  <si>
    <t>012061960</t>
  </si>
  <si>
    <t>SILVERSCRIPT INSURANCE CO</t>
  </si>
  <si>
    <t>006639552</t>
  </si>
  <si>
    <t>CAREMARK</t>
  </si>
  <si>
    <t>0000SUPT</t>
  </si>
  <si>
    <t>011835450</t>
  </si>
  <si>
    <t>AETNA INC</t>
  </si>
  <si>
    <t>553</t>
  </si>
  <si>
    <t>012051699</t>
  </si>
  <si>
    <t>BLUE CROSS BLUE SHIELD OF TX</t>
  </si>
  <si>
    <t>000858150</t>
  </si>
  <si>
    <t>CONSUMER MEDICAL</t>
  </si>
  <si>
    <t>012015563</t>
  </si>
  <si>
    <t>557</t>
  </si>
  <si>
    <t>00000000</t>
  </si>
  <si>
    <t>012039670</t>
  </si>
  <si>
    <t>METLIFE</t>
  </si>
  <si>
    <t>FMLACHRG</t>
  </si>
  <si>
    <t>012047066</t>
  </si>
  <si>
    <t>AETNA</t>
  </si>
  <si>
    <t>012013790</t>
  </si>
  <si>
    <t>SCOTT &amp; WHITE</t>
  </si>
  <si>
    <t>556</t>
  </si>
  <si>
    <t>003319350</t>
  </si>
  <si>
    <t>NAVIGATE WELLBEING SOLUTIONS</t>
  </si>
  <si>
    <t>551</t>
  </si>
  <si>
    <t>000168350</t>
  </si>
  <si>
    <t>FIDELITY INVESTMENTS INSTITUTIONAL</t>
  </si>
  <si>
    <t>552</t>
  </si>
  <si>
    <t>00004500</t>
  </si>
  <si>
    <t>AON INVESTMENTS USA INC</t>
  </si>
  <si>
    <t>To correct accounting</t>
  </si>
  <si>
    <t>Grand Total</t>
  </si>
  <si>
    <t>Sum of Sum Amount</t>
  </si>
  <si>
    <t>Oncor Electric Delivery Company LLC</t>
  </si>
  <si>
    <t>II-D-3.7.2  Medical Claims</t>
  </si>
  <si>
    <t>0000894243</t>
  </si>
  <si>
    <t>UJE</t>
  </si>
  <si>
    <t>To accrue Q4 2020 Benefits</t>
  </si>
  <si>
    <t>Accrue CVS Claims Dec WK4</t>
  </si>
  <si>
    <t>Accrue CVS WP Dec WK4</t>
  </si>
  <si>
    <t>Accrue Silverscript Dec WK4</t>
  </si>
  <si>
    <t>Accrue CVS Claims Mar WK4</t>
  </si>
  <si>
    <t>Accrue CVS WP Mar WK4</t>
  </si>
  <si>
    <t>Accrue Silverscript Mar WK4</t>
  </si>
  <si>
    <t>Accrue CVS Claims Jun WK4</t>
  </si>
  <si>
    <t>Accrue Silverscript Jun WK4</t>
  </si>
  <si>
    <t>Accrue CVS WP Jun WK4</t>
  </si>
  <si>
    <t>Accrue CVS Claims Sep WK4</t>
  </si>
  <si>
    <t>Accrue CVS WP Sep WK4</t>
  </si>
  <si>
    <t>Accrue Silverscript Sep WK4</t>
  </si>
  <si>
    <t>Accrue BCBS Dec WK4</t>
  </si>
  <si>
    <t>Accrue Aetna Claims WK4 Dec</t>
  </si>
  <si>
    <t>Accrue CYC Claims WK4 Dec</t>
  </si>
  <si>
    <t>0000952906</t>
  </si>
  <si>
    <t>To accrue HR expense Pension and Thrift in March business.</t>
  </si>
  <si>
    <t>To accrue HR expense Pension and Thrift in April business.</t>
  </si>
  <si>
    <t>To accrue HR expense Pension and Thrift in June business.</t>
  </si>
  <si>
    <t>To accrue HR expense Pension and Thrift in July business.</t>
  </si>
  <si>
    <t>To accrue HR expense Pension and Thrift in October business.</t>
  </si>
  <si>
    <t>To accrue HR expense Pension and Thrift in December business.</t>
  </si>
  <si>
    <t>Accrue Silverscript Fee Dec</t>
  </si>
  <si>
    <t>Accrue CVS WP ASO Fee Dec</t>
  </si>
  <si>
    <t>Accrue Silverscript Fee Sep</t>
  </si>
  <si>
    <t>Accrue BCBS Fee Dec</t>
  </si>
  <si>
    <t>Accrue Navigate Wellness Dec</t>
  </si>
  <si>
    <t>Aon Hewitt Invest Q420 Fees</t>
  </si>
  <si>
    <t>Fidelity Thrift Pl Q420 Serv</t>
  </si>
  <si>
    <t>II-D-3.10  Adminstration Fees</t>
  </si>
  <si>
    <t>METLIFE Total</t>
  </si>
  <si>
    <t>SCOTT &amp; WHITE Total</t>
  </si>
  <si>
    <t>EC 551 Life</t>
  </si>
  <si>
    <t>EC 552 AD&amp;D</t>
  </si>
  <si>
    <t>EC 557 LTD</t>
  </si>
  <si>
    <t>II-D-3.7.3  Medical Premiums</t>
  </si>
  <si>
    <t>(All)</t>
  </si>
  <si>
    <t>Test Year Ending December 31, 2021</t>
  </si>
  <si>
    <t>00478648</t>
  </si>
  <si>
    <t>57210150206</t>
  </si>
  <si>
    <t>7213000064</t>
  </si>
  <si>
    <t>PUR0953956</t>
  </si>
  <si>
    <t>00477526</t>
  </si>
  <si>
    <t>57210080199</t>
  </si>
  <si>
    <t>7213000027</t>
  </si>
  <si>
    <t>PUR0953616</t>
  </si>
  <si>
    <t>00476425</t>
  </si>
  <si>
    <t>57203660545</t>
  </si>
  <si>
    <t>7213000009</t>
  </si>
  <si>
    <t>PUR0953587</t>
  </si>
  <si>
    <t>PUR0953951</t>
  </si>
  <si>
    <t>PUR0953583</t>
  </si>
  <si>
    <t>00479885</t>
  </si>
  <si>
    <t>57210220184</t>
  </si>
  <si>
    <t>7213000084</t>
  </si>
  <si>
    <t>PUR0953613</t>
  </si>
  <si>
    <t>00484849</t>
  </si>
  <si>
    <t>57210500171</t>
  </si>
  <si>
    <t>7213000173</t>
  </si>
  <si>
    <t>PUR0954937</t>
  </si>
  <si>
    <t>00482882</t>
  </si>
  <si>
    <t>57210360187</t>
  </si>
  <si>
    <t>7213000130</t>
  </si>
  <si>
    <t>PUR0954637</t>
  </si>
  <si>
    <t>00483840</t>
  </si>
  <si>
    <t>57210460251</t>
  </si>
  <si>
    <t>7213000149</t>
  </si>
  <si>
    <t>PUR0954856</t>
  </si>
  <si>
    <t>00481524</t>
  </si>
  <si>
    <t>57210290539</t>
  </si>
  <si>
    <t>7213000107</t>
  </si>
  <si>
    <t>PUR0954485</t>
  </si>
  <si>
    <t>PUR0954863</t>
  </si>
  <si>
    <t>PUR0954940</t>
  </si>
  <si>
    <t>PUR0954642</t>
  </si>
  <si>
    <t>PUR0954491</t>
  </si>
  <si>
    <t>00479883</t>
  </si>
  <si>
    <t>BCBS01252021</t>
  </si>
  <si>
    <t>7213000083</t>
  </si>
  <si>
    <t>00477535</t>
  </si>
  <si>
    <t>BCBS01112021</t>
  </si>
  <si>
    <t>7213000029</t>
  </si>
  <si>
    <t>00476429</t>
  </si>
  <si>
    <t>BCBS01042021</t>
  </si>
  <si>
    <t>7213000006</t>
  </si>
  <si>
    <t>00478654</t>
  </si>
  <si>
    <t>BCBS01192021</t>
  </si>
  <si>
    <t>7213000065</t>
  </si>
  <si>
    <t>00481523</t>
  </si>
  <si>
    <t>BCBS02012021</t>
  </si>
  <si>
    <t>7213000108</t>
  </si>
  <si>
    <t>00483837</t>
  </si>
  <si>
    <t>BCBS02162021</t>
  </si>
  <si>
    <t>7213000148</t>
  </si>
  <si>
    <t>00482884</t>
  </si>
  <si>
    <t>BCBS02082021</t>
  </si>
  <si>
    <t>7213000131</t>
  </si>
  <si>
    <t>00484850</t>
  </si>
  <si>
    <t>BCBS02222021</t>
  </si>
  <si>
    <t>7213000174</t>
  </si>
  <si>
    <t>00476420</t>
  </si>
  <si>
    <t>53014757</t>
  </si>
  <si>
    <t>7213000014</t>
  </si>
  <si>
    <t>PUR0953361</t>
  </si>
  <si>
    <t>00477518</t>
  </si>
  <si>
    <t>53018967</t>
  </si>
  <si>
    <t>7213000024</t>
  </si>
  <si>
    <t>00479916</t>
  </si>
  <si>
    <t>53030461</t>
  </si>
  <si>
    <t>7213000089</t>
  </si>
  <si>
    <t>PUR0954009</t>
  </si>
  <si>
    <t>00478656</t>
  </si>
  <si>
    <t>53024539</t>
  </si>
  <si>
    <t>7213000067</t>
  </si>
  <si>
    <t>00476428</t>
  </si>
  <si>
    <t>53009682</t>
  </si>
  <si>
    <t>7213000007</t>
  </si>
  <si>
    <t>00477810</t>
  </si>
  <si>
    <t>53019900</t>
  </si>
  <si>
    <t>7213000037</t>
  </si>
  <si>
    <t>PUR0953655</t>
  </si>
  <si>
    <t>00480198</t>
  </si>
  <si>
    <t>53031396</t>
  </si>
  <si>
    <t>7213000098</t>
  </si>
  <si>
    <t>PUR0954014</t>
  </si>
  <si>
    <t>PUR0953356</t>
  </si>
  <si>
    <t>00479642</t>
  </si>
  <si>
    <t>53027394</t>
  </si>
  <si>
    <t>7213000076</t>
  </si>
  <si>
    <t>00484938</t>
  </si>
  <si>
    <t>53057127</t>
  </si>
  <si>
    <t>7213000186</t>
  </si>
  <si>
    <t>00481506</t>
  </si>
  <si>
    <t>53038013</t>
  </si>
  <si>
    <t>7213000118</t>
  </si>
  <si>
    <t>PUR0954520</t>
  </si>
  <si>
    <t>00482891</t>
  </si>
  <si>
    <t>53046069</t>
  </si>
  <si>
    <t>7213000136</t>
  </si>
  <si>
    <t>PUR0954660</t>
  </si>
  <si>
    <t>00484106</t>
  </si>
  <si>
    <t>53051757</t>
  </si>
  <si>
    <t>7213000160</t>
  </si>
  <si>
    <t>PUR0954892</t>
  </si>
  <si>
    <t>00484122</t>
  </si>
  <si>
    <t>53054474</t>
  </si>
  <si>
    <t>7213000167</t>
  </si>
  <si>
    <t>PUR0954524</t>
  </si>
  <si>
    <t>00483030</t>
  </si>
  <si>
    <t>53047092</t>
  </si>
  <si>
    <t>7213000140</t>
  </si>
  <si>
    <t>PUR0954887</t>
  </si>
  <si>
    <t>00482871</t>
  </si>
  <si>
    <t>53042816</t>
  </si>
  <si>
    <t>7213000123</t>
  </si>
  <si>
    <t>PUR0954664</t>
  </si>
  <si>
    <t>00477528</t>
  </si>
  <si>
    <t>327616541</t>
  </si>
  <si>
    <t>7213000028</t>
  </si>
  <si>
    <t>00479887</t>
  </si>
  <si>
    <t>330061718</t>
  </si>
  <si>
    <t>7213000085</t>
  </si>
  <si>
    <t>00476427</t>
  </si>
  <si>
    <t>326708746</t>
  </si>
  <si>
    <t>7213000008</t>
  </si>
  <si>
    <t>00478657</t>
  </si>
  <si>
    <t>328650741</t>
  </si>
  <si>
    <t>7213000068</t>
  </si>
  <si>
    <t>00484852</t>
  </si>
  <si>
    <t>333658182</t>
  </si>
  <si>
    <t>7213000175</t>
  </si>
  <si>
    <t>00483846</t>
  </si>
  <si>
    <t>332677119</t>
  </si>
  <si>
    <t>7213000150</t>
  </si>
  <si>
    <t>00481520</t>
  </si>
  <si>
    <t>330877450</t>
  </si>
  <si>
    <t>7213000109</t>
  </si>
  <si>
    <t>00482886</t>
  </si>
  <si>
    <t>331739121</t>
  </si>
  <si>
    <t>7213000132</t>
  </si>
  <si>
    <t>00478690</t>
  </si>
  <si>
    <t>ONCOR ELECTRIC DELIVERY CO LLC</t>
  </si>
  <si>
    <t>ONCORMETLTDJAN21</t>
  </si>
  <si>
    <t>7213000072</t>
  </si>
  <si>
    <t>00484138</t>
  </si>
  <si>
    <t>ONCORMETLTDFEB21</t>
  </si>
  <si>
    <t>7213000166</t>
  </si>
  <si>
    <t>00480199</t>
  </si>
  <si>
    <t>3241779</t>
  </si>
  <si>
    <t>7213000099</t>
  </si>
  <si>
    <t>00476421</t>
  </si>
  <si>
    <t>3240654</t>
  </si>
  <si>
    <t>7213000015</t>
  </si>
  <si>
    <t>00479638</t>
  </si>
  <si>
    <t>3241260</t>
  </si>
  <si>
    <t>7213000075</t>
  </si>
  <si>
    <t>00477811</t>
  </si>
  <si>
    <t>3241092</t>
  </si>
  <si>
    <t>7213000038</t>
  </si>
  <si>
    <t>PUR0953645</t>
  </si>
  <si>
    <t>00482870</t>
  </si>
  <si>
    <t>3241951</t>
  </si>
  <si>
    <t>7213000122</t>
  </si>
  <si>
    <t>00484142</t>
  </si>
  <si>
    <t>3242364A</t>
  </si>
  <si>
    <t>7213000171</t>
  </si>
  <si>
    <t>00483032</t>
  </si>
  <si>
    <t>3242364</t>
  </si>
  <si>
    <t>7213000142</t>
  </si>
  <si>
    <t>00486635</t>
  </si>
  <si>
    <t>57210570530</t>
  </si>
  <si>
    <t>7213000202</t>
  </si>
  <si>
    <t>PUR0955445</t>
  </si>
  <si>
    <t>00487902</t>
  </si>
  <si>
    <t>BCBS03082021</t>
  </si>
  <si>
    <t>7213000227</t>
  </si>
  <si>
    <t>PUR0955580</t>
  </si>
  <si>
    <t>00487758</t>
  </si>
  <si>
    <t>53068910</t>
  </si>
  <si>
    <t>7213000214</t>
  </si>
  <si>
    <t>PUR0955620</t>
  </si>
  <si>
    <t>00488703</t>
  </si>
  <si>
    <t>57210710194</t>
  </si>
  <si>
    <t>7213000251</t>
  </si>
  <si>
    <t>PUR0955735</t>
  </si>
  <si>
    <t>00488711</t>
  </si>
  <si>
    <t>3243587</t>
  </si>
  <si>
    <t>7213000239</t>
  </si>
  <si>
    <t>PUR0955740</t>
  </si>
  <si>
    <t>00490019</t>
  </si>
  <si>
    <t>3243746</t>
  </si>
  <si>
    <t>7213000273</t>
  </si>
  <si>
    <t>PUR0955903</t>
  </si>
  <si>
    <t>00490992</t>
  </si>
  <si>
    <t>53083492</t>
  </si>
  <si>
    <t>7213000298</t>
  </si>
  <si>
    <t>PUR0955990</t>
  </si>
  <si>
    <t>00490023</t>
  </si>
  <si>
    <t>338065011</t>
  </si>
  <si>
    <t>7213000285</t>
  </si>
  <si>
    <t>PUR0955909</t>
  </si>
  <si>
    <t>00491206</t>
  </si>
  <si>
    <t>57210850193</t>
  </si>
  <si>
    <t>7213000308</t>
  </si>
  <si>
    <t>PUR0956044</t>
  </si>
  <si>
    <t>00486644</t>
  </si>
  <si>
    <t>334842033</t>
  </si>
  <si>
    <t>7213000204</t>
  </si>
  <si>
    <t>00487900</t>
  </si>
  <si>
    <t>57210640182</t>
  </si>
  <si>
    <t>7213000226</t>
  </si>
  <si>
    <t>PUR0955586</t>
  </si>
  <si>
    <t>00487921</t>
  </si>
  <si>
    <t>53064395</t>
  </si>
  <si>
    <t>7213000208</t>
  </si>
  <si>
    <t>PUR0955993</t>
  </si>
  <si>
    <t>00490017</t>
  </si>
  <si>
    <t>BCBS03222021</t>
  </si>
  <si>
    <t>7213000284</t>
  </si>
  <si>
    <t>00486632</t>
  </si>
  <si>
    <t>53058116</t>
  </si>
  <si>
    <t>7213000200</t>
  </si>
  <si>
    <t>00486630</t>
  </si>
  <si>
    <t>3243027</t>
  </si>
  <si>
    <t>7213000199</t>
  </si>
  <si>
    <t>PUR0955452</t>
  </si>
  <si>
    <t>00486641</t>
  </si>
  <si>
    <t>BCBS03012021</t>
  </si>
  <si>
    <t>7213000203</t>
  </si>
  <si>
    <t>00488704</t>
  </si>
  <si>
    <t>BCBS03152021</t>
  </si>
  <si>
    <t>7213000252</t>
  </si>
  <si>
    <t>00491208</t>
  </si>
  <si>
    <t>338904384</t>
  </si>
  <si>
    <t>7213000310</t>
  </si>
  <si>
    <t>PUR0956039</t>
  </si>
  <si>
    <t>00487918</t>
  </si>
  <si>
    <t>53072186</t>
  </si>
  <si>
    <t>7213000237</t>
  </si>
  <si>
    <t>00488705</t>
  </si>
  <si>
    <t>336626091</t>
  </si>
  <si>
    <t>7213000253</t>
  </si>
  <si>
    <t>00490030</t>
  </si>
  <si>
    <t>53080847</t>
  </si>
  <si>
    <t>7213000279</t>
  </si>
  <si>
    <t>00491211</t>
  </si>
  <si>
    <t>3244284</t>
  </si>
  <si>
    <t>7213000313</t>
  </si>
  <si>
    <t>00487904</t>
  </si>
  <si>
    <t>335745060</t>
  </si>
  <si>
    <t>7213000228</t>
  </si>
  <si>
    <t>00487761</t>
  </si>
  <si>
    <t>3243171</t>
  </si>
  <si>
    <t>7213000216</t>
  </si>
  <si>
    <t>00490042</t>
  </si>
  <si>
    <t>53078123</t>
  </si>
  <si>
    <t>7213000265</t>
  </si>
  <si>
    <t>PUR0955873</t>
  </si>
  <si>
    <t>00490018</t>
  </si>
  <si>
    <t>ONCORMETLTDMAR21</t>
  </si>
  <si>
    <t>7213000272</t>
  </si>
  <si>
    <t>00491207</t>
  </si>
  <si>
    <t>BCBS03292021</t>
  </si>
  <si>
    <t>7213000309</t>
  </si>
  <si>
    <t>00491210</t>
  </si>
  <si>
    <t>53084519</t>
  </si>
  <si>
    <t>7213000312</t>
  </si>
  <si>
    <t>00488715</t>
  </si>
  <si>
    <t>53073168</t>
  </si>
  <si>
    <t>7213000242</t>
  </si>
  <si>
    <t>00490014</t>
  </si>
  <si>
    <t>57210780169</t>
  </si>
  <si>
    <t>7213000283</t>
  </si>
  <si>
    <t>PUR0955870</t>
  </si>
  <si>
    <t>PUR0955612</t>
  </si>
  <si>
    <t>00493832</t>
  </si>
  <si>
    <t>57210990226</t>
  </si>
  <si>
    <t>7213000363</t>
  </si>
  <si>
    <t>PUR0956593</t>
  </si>
  <si>
    <t>00497690</t>
  </si>
  <si>
    <t>53111158</t>
  </si>
  <si>
    <t>7213000430</t>
  </si>
  <si>
    <t>PUR0957038</t>
  </si>
  <si>
    <t>00494745</t>
  </si>
  <si>
    <t>3244890</t>
  </si>
  <si>
    <t>7213000371</t>
  </si>
  <si>
    <t>PUR0956672</t>
  </si>
  <si>
    <t>00493821</t>
  </si>
  <si>
    <t>339701349</t>
  </si>
  <si>
    <t>7213000342</t>
  </si>
  <si>
    <t>00493830</t>
  </si>
  <si>
    <t>BCBS04122021</t>
  </si>
  <si>
    <t>7213000362</t>
  </si>
  <si>
    <t>PUR0956600</t>
  </si>
  <si>
    <t>00493819</t>
  </si>
  <si>
    <t>BCBS04052021</t>
  </si>
  <si>
    <t>7213000341</t>
  </si>
  <si>
    <t>00497617</t>
  </si>
  <si>
    <t>53110143A</t>
  </si>
  <si>
    <t>7213000422</t>
  </si>
  <si>
    <t>00497047</t>
  </si>
  <si>
    <t>57211060227</t>
  </si>
  <si>
    <t>7213000390</t>
  </si>
  <si>
    <t>PUR0957001</t>
  </si>
  <si>
    <t>00497071</t>
  </si>
  <si>
    <t>3225037</t>
  </si>
  <si>
    <t>7213000400</t>
  </si>
  <si>
    <t>PUR0956996</t>
  </si>
  <si>
    <t>00497050</t>
  </si>
  <si>
    <t>341569496</t>
  </si>
  <si>
    <t>7213000391</t>
  </si>
  <si>
    <t>00497345</t>
  </si>
  <si>
    <t>57211130185</t>
  </si>
  <si>
    <t>7213000418</t>
  </si>
  <si>
    <t>00497347</t>
  </si>
  <si>
    <t>34241976</t>
  </si>
  <si>
    <t>7213000420</t>
  </si>
  <si>
    <t>00497053</t>
  </si>
  <si>
    <t>53104776</t>
  </si>
  <si>
    <t>7213000392</t>
  </si>
  <si>
    <t>00497348</t>
  </si>
  <si>
    <t>BCBS04262021</t>
  </si>
  <si>
    <t>7213000421</t>
  </si>
  <si>
    <t>00493837</t>
  </si>
  <si>
    <t>340711185</t>
  </si>
  <si>
    <t>7213000364</t>
  </si>
  <si>
    <t>00493845</t>
  </si>
  <si>
    <t>53095693</t>
  </si>
  <si>
    <t>7213000347</t>
  </si>
  <si>
    <t>00497688</t>
  </si>
  <si>
    <t>3225566</t>
  </si>
  <si>
    <t>7213000429</t>
  </si>
  <si>
    <t>PUR0957045</t>
  </si>
  <si>
    <t>00497045</t>
  </si>
  <si>
    <t>BCBS04192021</t>
  </si>
  <si>
    <t>7213000389</t>
  </si>
  <si>
    <t>00493835</t>
  </si>
  <si>
    <t>3244452</t>
  </si>
  <si>
    <t>7213000346</t>
  </si>
  <si>
    <t>00497072</t>
  </si>
  <si>
    <t>53107466</t>
  </si>
  <si>
    <t>7213000401</t>
  </si>
  <si>
    <t>00497349</t>
  </si>
  <si>
    <t>53110143</t>
  </si>
  <si>
    <t>00493817</t>
  </si>
  <si>
    <t>57210900545</t>
  </si>
  <si>
    <t>7213000340</t>
  </si>
  <si>
    <t>00494747</t>
  </si>
  <si>
    <t>53100050</t>
  </si>
  <si>
    <t>7213000372</t>
  </si>
  <si>
    <t>00493828</t>
  </si>
  <si>
    <t>53099068</t>
  </si>
  <si>
    <t>7213000360</t>
  </si>
  <si>
    <t>00493167</t>
  </si>
  <si>
    <t>53091141</t>
  </si>
  <si>
    <t>7213000332</t>
  </si>
  <si>
    <t>PUR0956567</t>
  </si>
  <si>
    <t>PUR0956677</t>
  </si>
  <si>
    <t>PUR0956561</t>
  </si>
  <si>
    <t>00500645</t>
  </si>
  <si>
    <t>344618796</t>
  </si>
  <si>
    <t>7213000478</t>
  </si>
  <si>
    <t>PUR0957633</t>
  </si>
  <si>
    <t>00500643</t>
  </si>
  <si>
    <t>53124991</t>
  </si>
  <si>
    <t>7213000477</t>
  </si>
  <si>
    <t>00501625</t>
  </si>
  <si>
    <t>53130768</t>
  </si>
  <si>
    <t>7213000504</t>
  </si>
  <si>
    <t>PUR0957874</t>
  </si>
  <si>
    <t>00500638</t>
  </si>
  <si>
    <t>53117474</t>
  </si>
  <si>
    <t>7213000455</t>
  </si>
  <si>
    <t>PUR0957762</t>
  </si>
  <si>
    <t>00501619</t>
  </si>
  <si>
    <t>BCBS05172021</t>
  </si>
  <si>
    <t>7213000501</t>
  </si>
  <si>
    <t>PUR0957768</t>
  </si>
  <si>
    <t>00500635</t>
  </si>
  <si>
    <t>BCBS05102021</t>
  </si>
  <si>
    <t>7213000473</t>
  </si>
  <si>
    <t>00500657</t>
  </si>
  <si>
    <t>3245793</t>
  </si>
  <si>
    <t>7213000468</t>
  </si>
  <si>
    <t>PUR0957682</t>
  </si>
  <si>
    <t>00501189</t>
  </si>
  <si>
    <t>53125957</t>
  </si>
  <si>
    <t>7213000490</t>
  </si>
  <si>
    <t>00501350</t>
  </si>
  <si>
    <t>3246251</t>
  </si>
  <si>
    <t>7213000491</t>
  </si>
  <si>
    <t>00502493</t>
  </si>
  <si>
    <t>57211410192</t>
  </si>
  <si>
    <t>7213000529</t>
  </si>
  <si>
    <t>PUR0957919</t>
  </si>
  <si>
    <t>00503271</t>
  </si>
  <si>
    <t>3246891</t>
  </si>
  <si>
    <t>7213000539</t>
  </si>
  <si>
    <t>PUR0958004</t>
  </si>
  <si>
    <t>PUR0957637</t>
  </si>
  <si>
    <t>00500636</t>
  </si>
  <si>
    <t>57211270187</t>
  </si>
  <si>
    <t>7213000474</t>
  </si>
  <si>
    <t>PUR0957883</t>
  </si>
  <si>
    <t>00502495</t>
  </si>
  <si>
    <t>346730624</t>
  </si>
  <si>
    <t>7213000531</t>
  </si>
  <si>
    <t>PUR0957923</t>
  </si>
  <si>
    <t>00503329</t>
  </si>
  <si>
    <t>53137305A</t>
  </si>
  <si>
    <t>7213000549</t>
  </si>
  <si>
    <t>PUR0957999</t>
  </si>
  <si>
    <t>00503254</t>
  </si>
  <si>
    <t>53136422</t>
  </si>
  <si>
    <t>7213000544</t>
  </si>
  <si>
    <t>00502012</t>
  </si>
  <si>
    <t>53133394</t>
  </si>
  <si>
    <t>7213000515</t>
  </si>
  <si>
    <t>00502007</t>
  </si>
  <si>
    <t>3246387</t>
  </si>
  <si>
    <t>7213000514</t>
  </si>
  <si>
    <t>00502025</t>
  </si>
  <si>
    <t>ONCORMETLTDMAY21</t>
  </si>
  <si>
    <t>7213000521</t>
  </si>
  <si>
    <t>00503268</t>
  </si>
  <si>
    <t>53137305</t>
  </si>
  <si>
    <t>7213000538</t>
  </si>
  <si>
    <t>00499808</t>
  </si>
  <si>
    <t>343790115</t>
  </si>
  <si>
    <t>7213000449</t>
  </si>
  <si>
    <t>00501617</t>
  </si>
  <si>
    <t>345558327</t>
  </si>
  <si>
    <t>7213000500</t>
  </si>
  <si>
    <t>00499801</t>
  </si>
  <si>
    <t>BCBS05032021</t>
  </si>
  <si>
    <t>7213000448</t>
  </si>
  <si>
    <t>00499810</t>
  </si>
  <si>
    <t>57211200537</t>
  </si>
  <si>
    <t>7213000450</t>
  </si>
  <si>
    <t>PUR0957677</t>
  </si>
  <si>
    <t>00500658</t>
  </si>
  <si>
    <t>53121751</t>
  </si>
  <si>
    <t>7213000469</t>
  </si>
  <si>
    <t>00501609</t>
  </si>
  <si>
    <t>57211340195</t>
  </si>
  <si>
    <t>7213000499</t>
  </si>
  <si>
    <t>00502494</t>
  </si>
  <si>
    <t>BCBS05242021</t>
  </si>
  <si>
    <t>7213000530</t>
  </si>
  <si>
    <t>00503331</t>
  </si>
  <si>
    <t>3246891A</t>
  </si>
  <si>
    <t>7213000550</t>
  </si>
  <si>
    <t>00507712</t>
  </si>
  <si>
    <t>BCBS06212021</t>
  </si>
  <si>
    <t>7213000650</t>
  </si>
  <si>
    <t>PUR0958812</t>
  </si>
  <si>
    <t>00507717</t>
  </si>
  <si>
    <t>3247657</t>
  </si>
  <si>
    <t>7213000653</t>
  </si>
  <si>
    <t>PUR0958807</t>
  </si>
  <si>
    <t>00508509</t>
  </si>
  <si>
    <t>57211760164</t>
  </si>
  <si>
    <t>7213000677</t>
  </si>
  <si>
    <t>PUR0959026</t>
  </si>
  <si>
    <t>00504389</t>
  </si>
  <si>
    <t>BCBS06012021</t>
  </si>
  <si>
    <t>7213000560</t>
  </si>
  <si>
    <t>PUR0958432</t>
  </si>
  <si>
    <t>00504390</t>
  </si>
  <si>
    <t>57211480538</t>
  </si>
  <si>
    <t>7213000561</t>
  </si>
  <si>
    <t>00507670</t>
  </si>
  <si>
    <t>53151117</t>
  </si>
  <si>
    <t>7213000617</t>
  </si>
  <si>
    <t>PUR0958838</t>
  </si>
  <si>
    <t>00505443</t>
  </si>
  <si>
    <t>348340411</t>
  </si>
  <si>
    <t>7213000604</t>
  </si>
  <si>
    <t>PUR0958555</t>
  </si>
  <si>
    <t>00505435</t>
  </si>
  <si>
    <t>53143556</t>
  </si>
  <si>
    <t>7213000596</t>
  </si>
  <si>
    <t>PUR0958546</t>
  </si>
  <si>
    <t>00507713</t>
  </si>
  <si>
    <t>57211690173</t>
  </si>
  <si>
    <t>7213000651</t>
  </si>
  <si>
    <t>00507696</t>
  </si>
  <si>
    <t>349039259</t>
  </si>
  <si>
    <t>7213000630</t>
  </si>
  <si>
    <t>00507716</t>
  </si>
  <si>
    <t>53159490</t>
  </si>
  <si>
    <t>7213000654</t>
  </si>
  <si>
    <t>00507704</t>
  </si>
  <si>
    <t>53156754</t>
  </si>
  <si>
    <t>7213000644</t>
  </si>
  <si>
    <t>00504392</t>
  </si>
  <si>
    <t>347487875</t>
  </si>
  <si>
    <t>7213000562</t>
  </si>
  <si>
    <t>00505442</t>
  </si>
  <si>
    <t>57211550184</t>
  </si>
  <si>
    <t>7213000603</t>
  </si>
  <si>
    <t>00507691</t>
  </si>
  <si>
    <t>ONCORMETLTDJUN21</t>
  </si>
  <si>
    <t>7213000625</t>
  </si>
  <si>
    <t>PUR0959031</t>
  </si>
  <si>
    <t>00505437</t>
  </si>
  <si>
    <t>53148152</t>
  </si>
  <si>
    <t>7213000598</t>
  </si>
  <si>
    <t>521000</t>
  </si>
  <si>
    <t>00507694</t>
  </si>
  <si>
    <t>BCBS06142021</t>
  </si>
  <si>
    <t>7213000628</t>
  </si>
  <si>
    <t>00508508</t>
  </si>
  <si>
    <t>351093882</t>
  </si>
  <si>
    <t>7213000676</t>
  </si>
  <si>
    <t>00508515</t>
  </si>
  <si>
    <t>3248205</t>
  </si>
  <si>
    <t>7213000681</t>
  </si>
  <si>
    <t>00508514</t>
  </si>
  <si>
    <t>53163379</t>
  </si>
  <si>
    <t>7213000680</t>
  </si>
  <si>
    <t>00507714</t>
  </si>
  <si>
    <t>350290923</t>
  </si>
  <si>
    <t>7213000652</t>
  </si>
  <si>
    <t>00507695</t>
  </si>
  <si>
    <t>57211620183</t>
  </si>
  <si>
    <t>7213000629</t>
  </si>
  <si>
    <t>00508489</t>
  </si>
  <si>
    <t>53162413</t>
  </si>
  <si>
    <t>7213000666</t>
  </si>
  <si>
    <t>PUR0958441</t>
  </si>
  <si>
    <t>00505436</t>
  </si>
  <si>
    <t>3247069</t>
  </si>
  <si>
    <t>7213000597</t>
  </si>
  <si>
    <t>PUR0958842</t>
  </si>
  <si>
    <t>00505441</t>
  </si>
  <si>
    <t>BCBS06072021</t>
  </si>
  <si>
    <t>7213000602</t>
  </si>
  <si>
    <t>00508511</t>
  </si>
  <si>
    <t>BCBS06282021</t>
  </si>
  <si>
    <t>7213000678</t>
  </si>
  <si>
    <t>00507688</t>
  </si>
  <si>
    <t>53152153</t>
  </si>
  <si>
    <t>7213000622</t>
  </si>
  <si>
    <t>00510679</t>
  </si>
  <si>
    <t>53174246</t>
  </si>
  <si>
    <t>7213000705</t>
  </si>
  <si>
    <t>PUR0959593</t>
  </si>
  <si>
    <t>00510677</t>
  </si>
  <si>
    <t>351790402</t>
  </si>
  <si>
    <t>7213000703</t>
  </si>
  <si>
    <t>PUR0959588</t>
  </si>
  <si>
    <t>00510849</t>
  </si>
  <si>
    <t>3249046</t>
  </si>
  <si>
    <t>7213000723</t>
  </si>
  <si>
    <t>PUR0959641</t>
  </si>
  <si>
    <t>00512399</t>
  </si>
  <si>
    <t>53180951</t>
  </si>
  <si>
    <t>7213000755</t>
  </si>
  <si>
    <t>PUR0959783</t>
  </si>
  <si>
    <t>PUR0959787</t>
  </si>
  <si>
    <t>00512925</t>
  </si>
  <si>
    <t>57212040163</t>
  </si>
  <si>
    <t>7213000779</t>
  </si>
  <si>
    <t>PUR0959887</t>
  </si>
  <si>
    <t>PUR0959894</t>
  </si>
  <si>
    <t>00512832</t>
  </si>
  <si>
    <t>3249186</t>
  </si>
  <si>
    <t>7213000762</t>
  </si>
  <si>
    <t>00513191</t>
  </si>
  <si>
    <t>53189198</t>
  </si>
  <si>
    <t>7213000802</t>
  </si>
  <si>
    <t>PUR0960002</t>
  </si>
  <si>
    <t>00510676</t>
  </si>
  <si>
    <t>57211810540</t>
  </si>
  <si>
    <t>7213000702</t>
  </si>
  <si>
    <t>00510675</t>
  </si>
  <si>
    <t>BCBS07062021</t>
  </si>
  <si>
    <t>7213000701</t>
  </si>
  <si>
    <t>00510694</t>
  </si>
  <si>
    <t>352632033</t>
  </si>
  <si>
    <t>7213000717</t>
  </si>
  <si>
    <t>00512389</t>
  </si>
  <si>
    <t>BCBS07192021</t>
  </si>
  <si>
    <t>7213000752</t>
  </si>
  <si>
    <t>00512391</t>
  </si>
  <si>
    <t>57211970212</t>
  </si>
  <si>
    <t>7213000753</t>
  </si>
  <si>
    <t>00512922</t>
  </si>
  <si>
    <t>354706651</t>
  </si>
  <si>
    <t>7213000778</t>
  </si>
  <si>
    <t>00510690</t>
  </si>
  <si>
    <t>57211900180</t>
  </si>
  <si>
    <t>7213000716</t>
  </si>
  <si>
    <t>PUR0959649</t>
  </si>
  <si>
    <t>00510678</t>
  </si>
  <si>
    <t>3248345</t>
  </si>
  <si>
    <t>7213000704</t>
  </si>
  <si>
    <t>00510269</t>
  </si>
  <si>
    <t>53169611</t>
  </si>
  <si>
    <t>7213000698</t>
  </si>
  <si>
    <t>00512397</t>
  </si>
  <si>
    <t>353459050</t>
  </si>
  <si>
    <t>7213000754</t>
  </si>
  <si>
    <t>00512914</t>
  </si>
  <si>
    <t>53188250</t>
  </si>
  <si>
    <t>7213000776</t>
  </si>
  <si>
    <t>00510689</t>
  </si>
  <si>
    <t>BCBS07122021</t>
  </si>
  <si>
    <t>7213000715</t>
  </si>
  <si>
    <t>00510687</t>
  </si>
  <si>
    <t>53177286</t>
  </si>
  <si>
    <t>7213000713</t>
  </si>
  <si>
    <t>00510853</t>
  </si>
  <si>
    <t>53178208</t>
  </si>
  <si>
    <t>7213000724</t>
  </si>
  <si>
    <t>PUR0959993</t>
  </si>
  <si>
    <t>00512404</t>
  </si>
  <si>
    <t>ONCORMETLTDJUL21</t>
  </si>
  <si>
    <t>7213000757</t>
  </si>
  <si>
    <t>00512829</t>
  </si>
  <si>
    <t>53185419</t>
  </si>
  <si>
    <t>7213000761</t>
  </si>
  <si>
    <t>00512928</t>
  </si>
  <si>
    <t>BCBS07262021</t>
  </si>
  <si>
    <t>7213000780</t>
  </si>
  <si>
    <t>00513193</t>
  </si>
  <si>
    <t>3249706</t>
  </si>
  <si>
    <t>7213000804</t>
  </si>
  <si>
    <t>00517547</t>
  </si>
  <si>
    <t>57212320176</t>
  </si>
  <si>
    <t>7213000886</t>
  </si>
  <si>
    <t>PUR0960803</t>
  </si>
  <si>
    <t>00518350</t>
  </si>
  <si>
    <t>53215543</t>
  </si>
  <si>
    <t>7213000915</t>
  </si>
  <si>
    <t>PUR0960966</t>
  </si>
  <si>
    <t>00514242</t>
  </si>
  <si>
    <t>355464442</t>
  </si>
  <si>
    <t>7213000814</t>
  </si>
  <si>
    <t>PUR0960324</t>
  </si>
  <si>
    <t>00516128</t>
  </si>
  <si>
    <t>356293281</t>
  </si>
  <si>
    <t>7213000835</t>
  </si>
  <si>
    <t>PUR0960575</t>
  </si>
  <si>
    <t>00516122</t>
  </si>
  <si>
    <t>57212180186</t>
  </si>
  <si>
    <t>7213000834</t>
  </si>
  <si>
    <t>PUR0960569</t>
  </si>
  <si>
    <t>00516112</t>
  </si>
  <si>
    <t>53200614</t>
  </si>
  <si>
    <t>7213000829</t>
  </si>
  <si>
    <t>00516240</t>
  </si>
  <si>
    <t>3250586</t>
  </si>
  <si>
    <t>7213000847</t>
  </si>
  <si>
    <t>00516630</t>
  </si>
  <si>
    <t>BCBS08162021</t>
  </si>
  <si>
    <t>7213000857</t>
  </si>
  <si>
    <t>PUR0960642</t>
  </si>
  <si>
    <t>00516119</t>
  </si>
  <si>
    <t>BCBS08092021</t>
  </si>
  <si>
    <t>7213000833</t>
  </si>
  <si>
    <t>00516111</t>
  </si>
  <si>
    <t>3249856</t>
  </si>
  <si>
    <t>7213000828</t>
  </si>
  <si>
    <t>00517289</t>
  </si>
  <si>
    <t>53209175</t>
  </si>
  <si>
    <t>7213000863</t>
  </si>
  <si>
    <t>PUR0960766</t>
  </si>
  <si>
    <t>00517336</t>
  </si>
  <si>
    <t>53211875</t>
  </si>
  <si>
    <t>7213000874</t>
  </si>
  <si>
    <t>00517548</t>
  </si>
  <si>
    <t>358279173</t>
  </si>
  <si>
    <t>7213000887</t>
  </si>
  <si>
    <t>00518385</t>
  </si>
  <si>
    <t>57212390181</t>
  </si>
  <si>
    <t>7213000926</t>
  </si>
  <si>
    <t>PUR0960958</t>
  </si>
  <si>
    <t>00514320</t>
  </si>
  <si>
    <t>53195881</t>
  </si>
  <si>
    <t>7213000817</t>
  </si>
  <si>
    <t>PUR0960317</t>
  </si>
  <si>
    <t>00516134</t>
  </si>
  <si>
    <t>53203643</t>
  </si>
  <si>
    <t>7213000839</t>
  </si>
  <si>
    <t>PUR0960807</t>
  </si>
  <si>
    <t>00518306</t>
  </si>
  <si>
    <t>53214618</t>
  </si>
  <si>
    <t>7213000903</t>
  </si>
  <si>
    <t>00518352</t>
  </si>
  <si>
    <t>3251233</t>
  </si>
  <si>
    <t>7213000916</t>
  </si>
  <si>
    <t>00514236</t>
  </si>
  <si>
    <t>BCBS08022021</t>
  </si>
  <si>
    <t>7213000812</t>
  </si>
  <si>
    <t>00514238</t>
  </si>
  <si>
    <t>57212110529</t>
  </si>
  <si>
    <t>7213000813</t>
  </si>
  <si>
    <t>00516629</t>
  </si>
  <si>
    <t>57212250174</t>
  </si>
  <si>
    <t>7213000856</t>
  </si>
  <si>
    <t>PUR0960770</t>
  </si>
  <si>
    <t>00517546</t>
  </si>
  <si>
    <t>BCBS08232021</t>
  </si>
  <si>
    <t>7213000885</t>
  </si>
  <si>
    <t>00518388</t>
  </si>
  <si>
    <t>358966997</t>
  </si>
  <si>
    <t>7213000928</t>
  </si>
  <si>
    <t>00518383</t>
  </si>
  <si>
    <t>BCBS083021</t>
  </si>
  <si>
    <t>7213000925</t>
  </si>
  <si>
    <t>00517331</t>
  </si>
  <si>
    <t>3250719</t>
  </si>
  <si>
    <t>7213000873</t>
  </si>
  <si>
    <t>00517316</t>
  </si>
  <si>
    <t>ONCORMETLTDAUG21</t>
  </si>
  <si>
    <t>7213000871</t>
  </si>
  <si>
    <t>00516241</t>
  </si>
  <si>
    <t>53204568</t>
  </si>
  <si>
    <t>7213000848</t>
  </si>
  <si>
    <t>00516631</t>
  </si>
  <si>
    <t>357179714</t>
  </si>
  <si>
    <t>7213000858</t>
  </si>
  <si>
    <t>PUR0960636</t>
  </si>
  <si>
    <t>00523089</t>
  </si>
  <si>
    <t>57212670211</t>
  </si>
  <si>
    <t>7213001024</t>
  </si>
  <si>
    <t>PUR0962144</t>
  </si>
  <si>
    <t>00523094</t>
  </si>
  <si>
    <t>53241340</t>
  </si>
  <si>
    <t>7213001029</t>
  </si>
  <si>
    <t>PUR0962150</t>
  </si>
  <si>
    <t>00521884</t>
  </si>
  <si>
    <t>ONCORMETLTDSEP21</t>
  </si>
  <si>
    <t>7213000991</t>
  </si>
  <si>
    <t>PUR0961829</t>
  </si>
  <si>
    <t>00521040</t>
  </si>
  <si>
    <t>57212430537</t>
  </si>
  <si>
    <t>7213000948</t>
  </si>
  <si>
    <t>PUR0961823</t>
  </si>
  <si>
    <t>00521039</t>
  </si>
  <si>
    <t>BCBS09072021</t>
  </si>
  <si>
    <t>7213000947</t>
  </si>
  <si>
    <t>00521803</t>
  </si>
  <si>
    <t>BCBS09132021</t>
  </si>
  <si>
    <t>7213000968</t>
  </si>
  <si>
    <t>00521031</t>
  </si>
  <si>
    <t>53221946</t>
  </si>
  <si>
    <t>7213000939</t>
  </si>
  <si>
    <t>00522125</t>
  </si>
  <si>
    <t>57212600184</t>
  </si>
  <si>
    <t>7213000997</t>
  </si>
  <si>
    <t>PUR0961903</t>
  </si>
  <si>
    <t>PUR0961909</t>
  </si>
  <si>
    <t>00521045</t>
  </si>
  <si>
    <t>359650254</t>
  </si>
  <si>
    <t>7213000953</t>
  </si>
  <si>
    <t>00521801</t>
  </si>
  <si>
    <t>3252145</t>
  </si>
  <si>
    <t>7213000966</t>
  </si>
  <si>
    <t>00521035</t>
  </si>
  <si>
    <t>3251376</t>
  </si>
  <si>
    <t>7213000943</t>
  </si>
  <si>
    <t>00523097</t>
  </si>
  <si>
    <t>3252806</t>
  </si>
  <si>
    <t>7213001032</t>
  </si>
  <si>
    <t>00523090</t>
  </si>
  <si>
    <t>362418497</t>
  </si>
  <si>
    <t>7213001025</t>
  </si>
  <si>
    <t>00521036</t>
  </si>
  <si>
    <t>53226207</t>
  </si>
  <si>
    <t>7213000944</t>
  </si>
  <si>
    <t>00521047</t>
  </si>
  <si>
    <t>53229521</t>
  </si>
  <si>
    <t>7213000956</t>
  </si>
  <si>
    <t>00521804</t>
  </si>
  <si>
    <t>57212530221</t>
  </si>
  <si>
    <t>7213000969</t>
  </si>
  <si>
    <t>00522693</t>
  </si>
  <si>
    <t>53240412</t>
  </si>
  <si>
    <t>7213001020</t>
  </si>
  <si>
    <t>PUR0962084</t>
  </si>
  <si>
    <t>00522132</t>
  </si>
  <si>
    <t>53237634</t>
  </si>
  <si>
    <t>7213001001</t>
  </si>
  <si>
    <t>00522123</t>
  </si>
  <si>
    <t>BCBS09202021</t>
  </si>
  <si>
    <t>7213000996</t>
  </si>
  <si>
    <t>00523088</t>
  </si>
  <si>
    <t>BCBS09272021</t>
  </si>
  <si>
    <t>7213001023</t>
  </si>
  <si>
    <t>00521802</t>
  </si>
  <si>
    <t>53230430</t>
  </si>
  <si>
    <t>7213000967</t>
  </si>
  <si>
    <t>PUR0962092</t>
  </si>
  <si>
    <t>00521886</t>
  </si>
  <si>
    <t>53235006</t>
  </si>
  <si>
    <t>7213000992</t>
  </si>
  <si>
    <t>00522134</t>
  </si>
  <si>
    <t>3252287</t>
  </si>
  <si>
    <t>7213001002</t>
  </si>
  <si>
    <t>00521809</t>
  </si>
  <si>
    <t>360424166</t>
  </si>
  <si>
    <t>7213000970</t>
  </si>
  <si>
    <t>00522128</t>
  </si>
  <si>
    <t>361270516</t>
  </si>
  <si>
    <t>7213000998</t>
  </si>
  <si>
    <t>00527470</t>
  </si>
  <si>
    <t>ONCORMETLTDOCT21</t>
  </si>
  <si>
    <t>7213001121</t>
  </si>
  <si>
    <t>PUR0963259</t>
  </si>
  <si>
    <t>00524762</t>
  </si>
  <si>
    <t>53252284</t>
  </si>
  <si>
    <t>7213001057</t>
  </si>
  <si>
    <t>PUR0962856</t>
  </si>
  <si>
    <t>00525522</t>
  </si>
  <si>
    <t>53255317</t>
  </si>
  <si>
    <t>7213001082</t>
  </si>
  <si>
    <t>PUR0962999</t>
  </si>
  <si>
    <t>00527879</t>
  </si>
  <si>
    <t>3254283</t>
  </si>
  <si>
    <t>7213001146</t>
  </si>
  <si>
    <t>PUR0963356</t>
  </si>
  <si>
    <t>00527463</t>
  </si>
  <si>
    <t>3253782</t>
  </si>
  <si>
    <t>7213001117</t>
  </si>
  <si>
    <t>PUR0963253</t>
  </si>
  <si>
    <t>00526914</t>
  </si>
  <si>
    <t>53263712</t>
  </si>
  <si>
    <t>7213001105</t>
  </si>
  <si>
    <t>00526905</t>
  </si>
  <si>
    <t>BCBS10182021</t>
  </si>
  <si>
    <t>7213001099</t>
  </si>
  <si>
    <t>00526909</t>
  </si>
  <si>
    <t>53260955</t>
  </si>
  <si>
    <t>7213001102</t>
  </si>
  <si>
    <t>00524760</t>
  </si>
  <si>
    <t>57212730530</t>
  </si>
  <si>
    <t>7213001055</t>
  </si>
  <si>
    <t>PUR0962733</t>
  </si>
  <si>
    <t>00524754</t>
  </si>
  <si>
    <t>53247681</t>
  </si>
  <si>
    <t>7213001049</t>
  </si>
  <si>
    <t>00524759</t>
  </si>
  <si>
    <t>BCBS10042021</t>
  </si>
  <si>
    <t>7213001054</t>
  </si>
  <si>
    <t>00525513</t>
  </si>
  <si>
    <t>BCBS10122021</t>
  </si>
  <si>
    <t>7213001078</t>
  </si>
  <si>
    <t>PUR0963003</t>
  </si>
  <si>
    <t>00525518</t>
  </si>
  <si>
    <t>363931037</t>
  </si>
  <si>
    <t>7213001080</t>
  </si>
  <si>
    <t>00527526</t>
  </si>
  <si>
    <t>365919477</t>
  </si>
  <si>
    <t>7213001131</t>
  </si>
  <si>
    <t>PUR0963362</t>
  </si>
  <si>
    <t>00526907</t>
  </si>
  <si>
    <t>57212880187</t>
  </si>
  <si>
    <t>7213001100</t>
  </si>
  <si>
    <t>PUR0962741</t>
  </si>
  <si>
    <t>00525464</t>
  </si>
  <si>
    <t>3252966</t>
  </si>
  <si>
    <t>7213001066</t>
  </si>
  <si>
    <t>00527524</t>
  </si>
  <si>
    <t>57212950171</t>
  </si>
  <si>
    <t>7213001130</t>
  </si>
  <si>
    <t>00526908</t>
  </si>
  <si>
    <t>364756861</t>
  </si>
  <si>
    <t>7213001101</t>
  </si>
  <si>
    <t>00524761</t>
  </si>
  <si>
    <t>363062844</t>
  </si>
  <si>
    <t>7213001056</t>
  </si>
  <si>
    <t>00525514</t>
  </si>
  <si>
    <t>57212840246</t>
  </si>
  <si>
    <t>7213001079</t>
  </si>
  <si>
    <t>00527878</t>
  </si>
  <si>
    <t>53267784</t>
  </si>
  <si>
    <t>7213001145</t>
  </si>
  <si>
    <t>PUR0962860</t>
  </si>
  <si>
    <t>00527523</t>
  </si>
  <si>
    <t>BCBS10252021</t>
  </si>
  <si>
    <t>7213001129</t>
  </si>
  <si>
    <t>00527870</t>
  </si>
  <si>
    <t>53266834</t>
  </si>
  <si>
    <t>7213001136</t>
  </si>
  <si>
    <t>00531187</t>
  </si>
  <si>
    <t>BCBS11152021</t>
  </si>
  <si>
    <t>7213001221</t>
  </si>
  <si>
    <t>PUR0964278</t>
  </si>
  <si>
    <t>00531036</t>
  </si>
  <si>
    <t>53282609</t>
  </si>
  <si>
    <t>7213001205</t>
  </si>
  <si>
    <t>PUR0964271</t>
  </si>
  <si>
    <t>00531988</t>
  </si>
  <si>
    <t>53289700</t>
  </si>
  <si>
    <t>7213001234</t>
  </si>
  <si>
    <t>PUR0964415</t>
  </si>
  <si>
    <t>00532032</t>
  </si>
  <si>
    <t>57213230168</t>
  </si>
  <si>
    <t>7213001244</t>
  </si>
  <si>
    <t>00531984</t>
  </si>
  <si>
    <t>53287090</t>
  </si>
  <si>
    <t>7213001233</t>
  </si>
  <si>
    <t>00529128</t>
  </si>
  <si>
    <t>367101757</t>
  </si>
  <si>
    <t>7213001168</t>
  </si>
  <si>
    <t>PUR0963862</t>
  </si>
  <si>
    <t>00529558</t>
  </si>
  <si>
    <t>3254449</t>
  </si>
  <si>
    <t>7213001188</t>
  </si>
  <si>
    <t>PUR0963968</t>
  </si>
  <si>
    <t>00532205</t>
  </si>
  <si>
    <t>53292625</t>
  </si>
  <si>
    <t>7213001254</t>
  </si>
  <si>
    <t>PUR0964489</t>
  </si>
  <si>
    <t>00532440</t>
  </si>
  <si>
    <t>370497772</t>
  </si>
  <si>
    <t>7213001265</t>
  </si>
  <si>
    <t>PUR0964481</t>
  </si>
  <si>
    <t>00531189</t>
  </si>
  <si>
    <t>57213160176</t>
  </si>
  <si>
    <t>7213001222</t>
  </si>
  <si>
    <t>00532037</t>
  </si>
  <si>
    <t>369670534</t>
  </si>
  <si>
    <t>7213001245</t>
  </si>
  <si>
    <t>00532206</t>
  </si>
  <si>
    <t>3255352</t>
  </si>
  <si>
    <t>7213001255</t>
  </si>
  <si>
    <t>00531156</t>
  </si>
  <si>
    <t>3255177</t>
  </si>
  <si>
    <t>7213001206</t>
  </si>
  <si>
    <t>00531989</t>
  </si>
  <si>
    <t>ONCORMETLTDNOV21</t>
  </si>
  <si>
    <t>7213001235</t>
  </si>
  <si>
    <t>00532411</t>
  </si>
  <si>
    <t>3255886</t>
  </si>
  <si>
    <t>7213001268</t>
  </si>
  <si>
    <t>PUR0964421</t>
  </si>
  <si>
    <t>00529123</t>
  </si>
  <si>
    <t>57213020531</t>
  </si>
  <si>
    <t>7213001167</t>
  </si>
  <si>
    <t>00532408</t>
  </si>
  <si>
    <t>53293560</t>
  </si>
  <si>
    <t>7213001267</t>
  </si>
  <si>
    <t>00531192</t>
  </si>
  <si>
    <t>368543740</t>
  </si>
  <si>
    <t>7213001223</t>
  </si>
  <si>
    <t>00530177</t>
  </si>
  <si>
    <t>BCBS11082021</t>
  </si>
  <si>
    <t>0213001194</t>
  </si>
  <si>
    <t>PUR0964039</t>
  </si>
  <si>
    <t>00530180</t>
  </si>
  <si>
    <t>57213090172</t>
  </si>
  <si>
    <t>7213001195</t>
  </si>
  <si>
    <t>PUR0964033</t>
  </si>
  <si>
    <t>00530186</t>
  </si>
  <si>
    <t>53281690</t>
  </si>
  <si>
    <t>7213001200</t>
  </si>
  <si>
    <t>00532400</t>
  </si>
  <si>
    <t>BCBS11292021</t>
  </si>
  <si>
    <t>7213001263</t>
  </si>
  <si>
    <t>00532403</t>
  </si>
  <si>
    <t>57213300245</t>
  </si>
  <si>
    <t>7213001264</t>
  </si>
  <si>
    <t>00529538</t>
  </si>
  <si>
    <t>53274037</t>
  </si>
  <si>
    <t>7213001179</t>
  </si>
  <si>
    <t>PUR0963931</t>
  </si>
  <si>
    <t>PUR0963867</t>
  </si>
  <si>
    <t>00530181</t>
  </si>
  <si>
    <t>367755310</t>
  </si>
  <si>
    <t>0213001196</t>
  </si>
  <si>
    <t>PUR0963925</t>
  </si>
  <si>
    <t>00532031</t>
  </si>
  <si>
    <t>BCBS11222021</t>
  </si>
  <si>
    <t>7213001243</t>
  </si>
  <si>
    <t>00529553</t>
  </si>
  <si>
    <t>53278644</t>
  </si>
  <si>
    <t>7213001186</t>
  </si>
  <si>
    <t>PUR0963964</t>
  </si>
  <si>
    <t>00529122</t>
  </si>
  <si>
    <t>BCBS11012021</t>
  </si>
  <si>
    <t>7213001166</t>
  </si>
  <si>
    <t>00534142</t>
  </si>
  <si>
    <t>BCBS12062021</t>
  </si>
  <si>
    <t>7213001316</t>
  </si>
  <si>
    <t>PUR0965095</t>
  </si>
  <si>
    <t>00534140</t>
  </si>
  <si>
    <t>3256034</t>
  </si>
  <si>
    <t>7213001315</t>
  </si>
  <si>
    <t>PUR0965101</t>
  </si>
  <si>
    <t>00534144</t>
  </si>
  <si>
    <t>57213340513</t>
  </si>
  <si>
    <t>7213001317</t>
  </si>
  <si>
    <t>00535910</t>
  </si>
  <si>
    <t>371956902</t>
  </si>
  <si>
    <t>7213001342</t>
  </si>
  <si>
    <t>PUR0965394</t>
  </si>
  <si>
    <t>00534148</t>
  </si>
  <si>
    <t>371066657</t>
  </si>
  <si>
    <t>7213001318</t>
  </si>
  <si>
    <t>00535209</t>
  </si>
  <si>
    <t>53308154</t>
  </si>
  <si>
    <t>7213001337</t>
  </si>
  <si>
    <t>PUR0965365</t>
  </si>
  <si>
    <t>00535909</t>
  </si>
  <si>
    <t>57213440189</t>
  </si>
  <si>
    <t>7213001341</t>
  </si>
  <si>
    <t>PUR0965398</t>
  </si>
  <si>
    <t>00537320</t>
  </si>
  <si>
    <t>53318202</t>
  </si>
  <si>
    <t>7213001391</t>
  </si>
  <si>
    <t>PUR0965719</t>
  </si>
  <si>
    <t>PUR0965359</t>
  </si>
  <si>
    <t>00536789</t>
  </si>
  <si>
    <t>372778657</t>
  </si>
  <si>
    <t>7213001373</t>
  </si>
  <si>
    <t>PUR0965550</t>
  </si>
  <si>
    <t>00537171</t>
  </si>
  <si>
    <t>3256846</t>
  </si>
  <si>
    <t>7213001377</t>
  </si>
  <si>
    <t>PUR0965653</t>
  </si>
  <si>
    <t>00537392</t>
  </si>
  <si>
    <t>3257385</t>
  </si>
  <si>
    <t>7213001396</t>
  </si>
  <si>
    <t>PUR0965723</t>
  </si>
  <si>
    <t>00537314</t>
  </si>
  <si>
    <t>373906265</t>
  </si>
  <si>
    <t>7213001389</t>
  </si>
  <si>
    <t>00537311</t>
  </si>
  <si>
    <t>BCBS12272021</t>
  </si>
  <si>
    <t>7213001387</t>
  </si>
  <si>
    <t>00537312</t>
  </si>
  <si>
    <t>57213580212</t>
  </si>
  <si>
    <t>7213001388</t>
  </si>
  <si>
    <t>PUR0965554</t>
  </si>
  <si>
    <t>00536779</t>
  </si>
  <si>
    <t>53315320</t>
  </si>
  <si>
    <t>7213001368</t>
  </si>
  <si>
    <t>00536792</t>
  </si>
  <si>
    <t>BCBS12202021</t>
  </si>
  <si>
    <t>7213001375</t>
  </si>
  <si>
    <t>00534063</t>
  </si>
  <si>
    <t>53304193</t>
  </si>
  <si>
    <t>7213001310</t>
  </si>
  <si>
    <t>PUR0965072</t>
  </si>
  <si>
    <t>00535908</t>
  </si>
  <si>
    <t>BCBS12132021</t>
  </si>
  <si>
    <t>7213001340</t>
  </si>
  <si>
    <t>00535117</t>
  </si>
  <si>
    <t>53307233</t>
  </si>
  <si>
    <t>7213001334</t>
  </si>
  <si>
    <t>PUR0965068</t>
  </si>
  <si>
    <t>00533935</t>
  </si>
  <si>
    <t>53299729</t>
  </si>
  <si>
    <t>7213001307</t>
  </si>
  <si>
    <t>00535907</t>
  </si>
  <si>
    <t>3256706</t>
  </si>
  <si>
    <t>7213001339</t>
  </si>
  <si>
    <t>PUR0965659</t>
  </si>
  <si>
    <t>00536791</t>
  </si>
  <si>
    <t>57213510165</t>
  </si>
  <si>
    <t>7213001374</t>
  </si>
  <si>
    <t>00536775</t>
  </si>
  <si>
    <t>53312718</t>
  </si>
  <si>
    <t>7213001364</t>
  </si>
  <si>
    <t>00536378</t>
  </si>
  <si>
    <t>ONCORMETLTDDEC21</t>
  </si>
  <si>
    <t>7213001358</t>
  </si>
  <si>
    <t>00537324</t>
  </si>
  <si>
    <t>53319141</t>
  </si>
  <si>
    <t>7213001392</t>
  </si>
  <si>
    <t>00484896</t>
  </si>
  <si>
    <t>ACC86797DENTALMAR21</t>
  </si>
  <si>
    <t>0000247055</t>
  </si>
  <si>
    <t>JPR0955100</t>
  </si>
  <si>
    <t>00479072</t>
  </si>
  <si>
    <t>BCBSDEC20</t>
  </si>
  <si>
    <t>0000244396</t>
  </si>
  <si>
    <t>PUR0953798</t>
  </si>
  <si>
    <t>PUR0953805</t>
  </si>
  <si>
    <t>00484897</t>
  </si>
  <si>
    <t>BCBSJAN21</t>
  </si>
  <si>
    <t>0000247056</t>
  </si>
  <si>
    <t>00476383</t>
  </si>
  <si>
    <t>325126075</t>
  </si>
  <si>
    <t>0000243058</t>
  </si>
  <si>
    <t>00480142</t>
  </si>
  <si>
    <t>329224426</t>
  </si>
  <si>
    <t>0000245833</t>
  </si>
  <si>
    <t>00479068</t>
  </si>
  <si>
    <t>ONCOR2101</t>
  </si>
  <si>
    <t>2200375763</t>
  </si>
  <si>
    <t>00483576</t>
  </si>
  <si>
    <t>ONCOR2102</t>
  </si>
  <si>
    <t>2200378164</t>
  </si>
  <si>
    <t>PUR0954717</t>
  </si>
  <si>
    <t>PUR0954725</t>
  </si>
  <si>
    <t>00479914</t>
  </si>
  <si>
    <t>ADDLTDLIFEJAN21</t>
  </si>
  <si>
    <t>7213000090</t>
  </si>
  <si>
    <t>00484856</t>
  </si>
  <si>
    <t>ADDLTDLIFEFEB21</t>
  </si>
  <si>
    <t>7213000178</t>
  </si>
  <si>
    <t>00475369</t>
  </si>
  <si>
    <t>5922</t>
  </si>
  <si>
    <t>2200373493</t>
  </si>
  <si>
    <t>PUR0953184</t>
  </si>
  <si>
    <t>PUR0953181</t>
  </si>
  <si>
    <t>00481450</t>
  </si>
  <si>
    <t>6070</t>
  </si>
  <si>
    <t>2200376851</t>
  </si>
  <si>
    <t>PUR0954455</t>
  </si>
  <si>
    <t>PUR0954451</t>
  </si>
  <si>
    <t>00479095</t>
  </si>
  <si>
    <t>3240653</t>
  </si>
  <si>
    <t>0000244615</t>
  </si>
  <si>
    <t>00485768</t>
  </si>
  <si>
    <t>6163</t>
  </si>
  <si>
    <t>2200379488</t>
  </si>
  <si>
    <t>PUR0955234</t>
  </si>
  <si>
    <t>00487612</t>
  </si>
  <si>
    <t>3241950</t>
  </si>
  <si>
    <t>0000248295</t>
  </si>
  <si>
    <t>PUR0955525</t>
  </si>
  <si>
    <t>00489923</t>
  </si>
  <si>
    <t>BCBSFEB21</t>
  </si>
  <si>
    <t>0000250043</t>
  </si>
  <si>
    <t>PUR0955836</t>
  </si>
  <si>
    <t>PUR0955228</t>
  </si>
  <si>
    <t>PUR0955518</t>
  </si>
  <si>
    <t>00489917</t>
  </si>
  <si>
    <t>337444771</t>
  </si>
  <si>
    <t>0000251086</t>
  </si>
  <si>
    <t>00489915</t>
  </si>
  <si>
    <t>3143170</t>
  </si>
  <si>
    <t>0000250218</t>
  </si>
  <si>
    <t>00489934</t>
  </si>
  <si>
    <t>ACC867976DENTALAPR21</t>
  </si>
  <si>
    <t>0000250042</t>
  </si>
  <si>
    <t>PUR0955840</t>
  </si>
  <si>
    <t>00490037</t>
  </si>
  <si>
    <t>ADDLTDLIFEMAR21</t>
  </si>
  <si>
    <t>7213000264</t>
  </si>
  <si>
    <t>00488033</t>
  </si>
  <si>
    <t>ONCOR2103</t>
  </si>
  <si>
    <t>2200381115</t>
  </si>
  <si>
    <t>00486938</t>
  </si>
  <si>
    <t>333966461</t>
  </si>
  <si>
    <t>0000248734</t>
  </si>
  <si>
    <t>PUR0955401</t>
  </si>
  <si>
    <t>PUR0955404</t>
  </si>
  <si>
    <t>00496969</t>
  </si>
  <si>
    <t>BCBSMAR21</t>
  </si>
  <si>
    <t>0000253450</t>
  </si>
  <si>
    <t>PUR0956924</t>
  </si>
  <si>
    <t>00497058</t>
  </si>
  <si>
    <t>ADDLTDLIFEAPR21</t>
  </si>
  <si>
    <t>7213000394</t>
  </si>
  <si>
    <t>00497609</t>
  </si>
  <si>
    <t>6519</t>
  </si>
  <si>
    <t>2200384428</t>
  </si>
  <si>
    <t>00495711</t>
  </si>
  <si>
    <t>ONCOR2104</t>
  </si>
  <si>
    <t>2200383593</t>
  </si>
  <si>
    <t>PUR0956728</t>
  </si>
  <si>
    <t>00491466</t>
  </si>
  <si>
    <t>6395</t>
  </si>
  <si>
    <t>2200382244</t>
  </si>
  <si>
    <t>PUR0956204</t>
  </si>
  <si>
    <t>PUR0956737</t>
  </si>
  <si>
    <t>PUR0956935</t>
  </si>
  <si>
    <t>00496967</t>
  </si>
  <si>
    <t>ACC867976DENTALMAY21</t>
  </si>
  <si>
    <t>0000253448</t>
  </si>
  <si>
    <t>PUR0956207</t>
  </si>
  <si>
    <t>00498708</t>
  </si>
  <si>
    <t>53014756</t>
  </si>
  <si>
    <t>0000254313</t>
  </si>
  <si>
    <t>PUR0957416</t>
  </si>
  <si>
    <t>00499162</t>
  </si>
  <si>
    <t>341971478</t>
  </si>
  <si>
    <t>0000254995</t>
  </si>
  <si>
    <t>PUR0957421</t>
  </si>
  <si>
    <t>00503224</t>
  </si>
  <si>
    <t>6673</t>
  </si>
  <si>
    <t>2200386603</t>
  </si>
  <si>
    <t>00503321</t>
  </si>
  <si>
    <t>345888039</t>
  </si>
  <si>
    <t>0000257684</t>
  </si>
  <si>
    <t>00502624</t>
  </si>
  <si>
    <t>ACC867976DENTALJUN21</t>
  </si>
  <si>
    <t>0000256260</t>
  </si>
  <si>
    <t>00503318</t>
  </si>
  <si>
    <t>ONCOR2105</t>
  </si>
  <si>
    <t>2200386356</t>
  </si>
  <si>
    <t>00503284</t>
  </si>
  <si>
    <t>ADDLTDLIFEMAY21</t>
  </si>
  <si>
    <t>7213000535</t>
  </si>
  <si>
    <t>00501823</t>
  </si>
  <si>
    <t>3245792</t>
  </si>
  <si>
    <t>0000256266</t>
  </si>
  <si>
    <t>00502622</t>
  </si>
  <si>
    <t>BCBSAP21</t>
  </si>
  <si>
    <t>0000256262</t>
  </si>
  <si>
    <t>00505141</t>
  </si>
  <si>
    <t>CYC2020FILE</t>
  </si>
  <si>
    <t>0000257372</t>
  </si>
  <si>
    <t>PUR0958467</t>
  </si>
  <si>
    <t>00508071</t>
  </si>
  <si>
    <t>ADDLTDLIFEJUN21</t>
  </si>
  <si>
    <t>7213000658</t>
  </si>
  <si>
    <t>00508098</t>
  </si>
  <si>
    <t>ACC867926DENTALJUL21</t>
  </si>
  <si>
    <t>0000259445</t>
  </si>
  <si>
    <t>00506550</t>
  </si>
  <si>
    <t>3247068</t>
  </si>
  <si>
    <t>0000259852</t>
  </si>
  <si>
    <t>PUR0958650</t>
  </si>
  <si>
    <t>00507652</t>
  </si>
  <si>
    <t>BCBSMAY21</t>
  </si>
  <si>
    <t>0000259447</t>
  </si>
  <si>
    <t>PUR0958781</t>
  </si>
  <si>
    <t>PUR0958785</t>
  </si>
  <si>
    <t>PUR0958463</t>
  </si>
  <si>
    <t>00508108</t>
  </si>
  <si>
    <t>6846</t>
  </si>
  <si>
    <t>2200389117</t>
  </si>
  <si>
    <t>PUR0958872</t>
  </si>
  <si>
    <t>PUR0958877</t>
  </si>
  <si>
    <t>PUR0958646</t>
  </si>
  <si>
    <t>00507514</t>
  </si>
  <si>
    <t>ONCOR2106</t>
  </si>
  <si>
    <t>2200388529</t>
  </si>
  <si>
    <t>PUR0958761</t>
  </si>
  <si>
    <t>PUR0958755</t>
  </si>
  <si>
    <t>00510115</t>
  </si>
  <si>
    <t>CYC2021FILE</t>
  </si>
  <si>
    <t>0000260796</t>
  </si>
  <si>
    <t>PUR0959521</t>
  </si>
  <si>
    <t>00511164</t>
  </si>
  <si>
    <t>ONCOR2107</t>
  </si>
  <si>
    <t>2200390671</t>
  </si>
  <si>
    <t>00513047</t>
  </si>
  <si>
    <t>349650127</t>
  </si>
  <si>
    <t>0000262639</t>
  </si>
  <si>
    <t>00513053</t>
  </si>
  <si>
    <t>ACC867976DENTALALAUG21</t>
  </si>
  <si>
    <t>0000262446</t>
  </si>
  <si>
    <t>00512835</t>
  </si>
  <si>
    <t>ADDLTDLIFEJUL21</t>
  </si>
  <si>
    <t>7213000763</t>
  </si>
  <si>
    <t>00513050</t>
  </si>
  <si>
    <t>BCBSJUN21</t>
  </si>
  <si>
    <t>0000262448</t>
  </si>
  <si>
    <t>00510605</t>
  </si>
  <si>
    <t>6978</t>
  </si>
  <si>
    <t>2200391216</t>
  </si>
  <si>
    <t>PUR0959548</t>
  </si>
  <si>
    <t>00509944</t>
  </si>
  <si>
    <t>3248344</t>
  </si>
  <si>
    <t>0000262715</t>
  </si>
  <si>
    <t>PUR0959472</t>
  </si>
  <si>
    <t>PUR0959525</t>
  </si>
  <si>
    <t>PUR0959468</t>
  </si>
  <si>
    <t>PUR0959554</t>
  </si>
  <si>
    <t>00515439</t>
  </si>
  <si>
    <t>3249855</t>
  </si>
  <si>
    <t>0000265733</t>
  </si>
  <si>
    <t>PUR0960421</t>
  </si>
  <si>
    <t>00517393</t>
  </si>
  <si>
    <t>BCBSJUL21</t>
  </si>
  <si>
    <t>0000265614</t>
  </si>
  <si>
    <t>PUR0960733</t>
  </si>
  <si>
    <t>00516017</t>
  </si>
  <si>
    <t>ONCOR2108</t>
  </si>
  <si>
    <t>2200392794</t>
  </si>
  <si>
    <t>PUR0960516</t>
  </si>
  <si>
    <t>00514713</t>
  </si>
  <si>
    <t>353622116</t>
  </si>
  <si>
    <t>0000263989</t>
  </si>
  <si>
    <t>PUR0960727</t>
  </si>
  <si>
    <t>PUR0960426</t>
  </si>
  <si>
    <t>00517512</t>
  </si>
  <si>
    <t>7147</t>
  </si>
  <si>
    <t>2200394625</t>
  </si>
  <si>
    <t>00517300</t>
  </si>
  <si>
    <t>ADDLTDLIFEAUG21</t>
  </si>
  <si>
    <t>7213000868</t>
  </si>
  <si>
    <t>PUR0960511</t>
  </si>
  <si>
    <t>00517060</t>
  </si>
  <si>
    <t>3573365143</t>
  </si>
  <si>
    <t>0000266548</t>
  </si>
  <si>
    <t>PUR0960703</t>
  </si>
  <si>
    <t>PUR0960696</t>
  </si>
  <si>
    <t>00517513</t>
  </si>
  <si>
    <t>ACC867976DENTALSEP21</t>
  </si>
  <si>
    <t>0000265613</t>
  </si>
  <si>
    <t>00521000</t>
  </si>
  <si>
    <t>7298</t>
  </si>
  <si>
    <t>2200398503</t>
  </si>
  <si>
    <t>PUR0961597</t>
  </si>
  <si>
    <t>00522411</t>
  </si>
  <si>
    <t>BCBSAUG21</t>
  </si>
  <si>
    <t>0000270390</t>
  </si>
  <si>
    <t>00521784</t>
  </si>
  <si>
    <t>ONCOR2109</t>
  </si>
  <si>
    <t>2200396632</t>
  </si>
  <si>
    <t>PUR0961784</t>
  </si>
  <si>
    <t>PUR0961788</t>
  </si>
  <si>
    <t>00522619</t>
  </si>
  <si>
    <t>ADDLTDLIFESEP21</t>
  </si>
  <si>
    <t>7213001007</t>
  </si>
  <si>
    <t>PUR0961593</t>
  </si>
  <si>
    <t>00522237</t>
  </si>
  <si>
    <t>ACC867976DENTALOCT21</t>
  </si>
  <si>
    <t>0000270388</t>
  </si>
  <si>
    <t>PUR0961863</t>
  </si>
  <si>
    <t>PUR0961856</t>
  </si>
  <si>
    <t>00520915</t>
  </si>
  <si>
    <t>3251375</t>
  </si>
  <si>
    <t>0000270839</t>
  </si>
  <si>
    <t>00527130</t>
  </si>
  <si>
    <t>3252965</t>
  </si>
  <si>
    <t>0000276850</t>
  </si>
  <si>
    <t>PUR0963133</t>
  </si>
  <si>
    <t>00527188</t>
  </si>
  <si>
    <t>ACC867976DENTALNOV21</t>
  </si>
  <si>
    <t>0000276507</t>
  </si>
  <si>
    <t>00525463</t>
  </si>
  <si>
    <t>7499</t>
  </si>
  <si>
    <t>2200403055</t>
  </si>
  <si>
    <t>PUR0962892</t>
  </si>
  <si>
    <t>00523872</t>
  </si>
  <si>
    <t>361422160</t>
  </si>
  <si>
    <t>0000273042</t>
  </si>
  <si>
    <t>PUR0962516</t>
  </si>
  <si>
    <t>PUR0962888</t>
  </si>
  <si>
    <t>00527468</t>
  </si>
  <si>
    <t>ADDLTDLIFEOCT21</t>
  </si>
  <si>
    <t>7213001118</t>
  </si>
  <si>
    <t>00525327</t>
  </si>
  <si>
    <t>ONCOR2110</t>
  </si>
  <si>
    <t>2200401174</t>
  </si>
  <si>
    <t>PUR0962829</t>
  </si>
  <si>
    <t>PUR0962835</t>
  </si>
  <si>
    <t>PUR0963139</t>
  </si>
  <si>
    <t>PUR0962522</t>
  </si>
  <si>
    <t>00526635</t>
  </si>
  <si>
    <t>BCBSSEP21</t>
  </si>
  <si>
    <t>0000278129</t>
  </si>
  <si>
    <t>PUR0963801</t>
  </si>
  <si>
    <t>00531878</t>
  </si>
  <si>
    <t>3254448</t>
  </si>
  <si>
    <t>0000283162</t>
  </si>
  <si>
    <t>00527706</t>
  </si>
  <si>
    <t>364843733</t>
  </si>
  <si>
    <t>0000279298</t>
  </si>
  <si>
    <t>00531731</t>
  </si>
  <si>
    <t>ACC867976DENTALDEC21</t>
  </si>
  <si>
    <t>0000283160</t>
  </si>
  <si>
    <t>00531729</t>
  </si>
  <si>
    <t>BCBSOCT21</t>
  </si>
  <si>
    <t>0000283161</t>
  </si>
  <si>
    <t>00531403</t>
  </si>
  <si>
    <t>ADDLTDLIFENOV21</t>
  </si>
  <si>
    <t>7213001228</t>
  </si>
  <si>
    <t>PUR0963797</t>
  </si>
  <si>
    <t>00529604</t>
  </si>
  <si>
    <t>ONCOR2111</t>
  </si>
  <si>
    <t>2200405839</t>
  </si>
  <si>
    <t>00530909</t>
  </si>
  <si>
    <t>7601</t>
  </si>
  <si>
    <t>2200407387</t>
  </si>
  <si>
    <t>PUR0964183</t>
  </si>
  <si>
    <t>PUR0964187</t>
  </si>
  <si>
    <t>00534096</t>
  </si>
  <si>
    <t>53299728</t>
  </si>
  <si>
    <t>0000288676</t>
  </si>
  <si>
    <t>00535259</t>
  </si>
  <si>
    <t>7779</t>
  </si>
  <si>
    <t>2200411998</t>
  </si>
  <si>
    <t>PUR0965193</t>
  </si>
  <si>
    <t>00536234</t>
  </si>
  <si>
    <t>7856</t>
  </si>
  <si>
    <t>2200412304</t>
  </si>
  <si>
    <t>PUR0965293</t>
  </si>
  <si>
    <t>00535914</t>
  </si>
  <si>
    <t>ADDLTDLIFEDEC21</t>
  </si>
  <si>
    <t>7213001346</t>
  </si>
  <si>
    <t>00535377</t>
  </si>
  <si>
    <t>BCBSNOV21</t>
  </si>
  <si>
    <t>0000288692</t>
  </si>
  <si>
    <t>PUR0965228</t>
  </si>
  <si>
    <t>00531271</t>
  </si>
  <si>
    <t>369097685</t>
  </si>
  <si>
    <t>0000286833</t>
  </si>
  <si>
    <t>PUR0965253</t>
  </si>
  <si>
    <t>00536717</t>
  </si>
  <si>
    <t>ACC86797DENTALJAN22</t>
  </si>
  <si>
    <t>0000288354</t>
  </si>
  <si>
    <t>PUR0965232</t>
  </si>
  <si>
    <t>PUR0965189</t>
  </si>
  <si>
    <t>00534097</t>
  </si>
  <si>
    <t>3256033</t>
  </si>
  <si>
    <t>0000288694</t>
  </si>
  <si>
    <t>PUR0965257</t>
  </si>
  <si>
    <t>PUR0965298</t>
  </si>
  <si>
    <t>00480149</t>
  </si>
  <si>
    <t>HMOSWFEB2021</t>
  </si>
  <si>
    <t>0000244609</t>
  </si>
  <si>
    <t>00484895</t>
  </si>
  <si>
    <t>HMOSWMAR2021</t>
  </si>
  <si>
    <t>0000247052</t>
  </si>
  <si>
    <t>00486618</t>
  </si>
  <si>
    <t>2021TAKEOVERLTD</t>
  </si>
  <si>
    <t>7213000192</t>
  </si>
  <si>
    <t>PUR0955345</t>
  </si>
  <si>
    <t>00489929</t>
  </si>
  <si>
    <t>HMOSWAPR2021</t>
  </si>
  <si>
    <t>0000250036</t>
  </si>
  <si>
    <t>PUR0955341</t>
  </si>
  <si>
    <t>00496972</t>
  </si>
  <si>
    <t>HMOSWMAY2021</t>
  </si>
  <si>
    <t>0000253437</t>
  </si>
  <si>
    <t>00502627</t>
  </si>
  <si>
    <t>HMOSWJUN2021</t>
  </si>
  <si>
    <t>0000256255</t>
  </si>
  <si>
    <t>00508104</t>
  </si>
  <si>
    <t>HMOSWJUL21</t>
  </si>
  <si>
    <t>0000259440</t>
  </si>
  <si>
    <t>00513055</t>
  </si>
  <si>
    <t>HMOSWAUG2021</t>
  </si>
  <si>
    <t>0000262438</t>
  </si>
  <si>
    <t>00517396</t>
  </si>
  <si>
    <t>HMOSWSEP221</t>
  </si>
  <si>
    <t>0000265608</t>
  </si>
  <si>
    <t>00522392</t>
  </si>
  <si>
    <t>HMOSWOCT2021</t>
  </si>
  <si>
    <t>0000270384</t>
  </si>
  <si>
    <t>00527196</t>
  </si>
  <si>
    <t>HMOSWNOV2021</t>
  </si>
  <si>
    <t>0000276498</t>
  </si>
  <si>
    <t>00531733</t>
  </si>
  <si>
    <t>HMOSWDEC2021</t>
  </si>
  <si>
    <t>0000282414</t>
  </si>
  <si>
    <t>PUR0964364</t>
  </si>
  <si>
    <t>PUR0964358</t>
  </si>
  <si>
    <t>Accrue BCBS Mar WK4</t>
  </si>
  <si>
    <t>Accrue Aetna Claims WK4 Mar</t>
  </si>
  <si>
    <t>Accrue CYC Claims WK4 Mar</t>
  </si>
  <si>
    <t>Accrue BCBS Sep WK4</t>
  </si>
  <si>
    <t>Accrue Aetna Claims WK4 Sep</t>
  </si>
  <si>
    <t>To accrue Q1 2021 Benefits</t>
  </si>
  <si>
    <t>To accrue Q2 2021 Benefits</t>
  </si>
  <si>
    <t>To accrue Q3 2021 Benefits</t>
  </si>
  <si>
    <t>To accrue Q4 2021 Benefits</t>
  </si>
  <si>
    <t>Accrue BCBS Fee Mar</t>
  </si>
  <si>
    <t>Accrue BCBS Fee Jun</t>
  </si>
  <si>
    <t>Accrue BCBS Fee Sep</t>
  </si>
  <si>
    <t>Accrue CVS ASO Fee Dec</t>
  </si>
  <si>
    <t>Accrue CYC Admin Fee Dec</t>
  </si>
  <si>
    <t>00477384</t>
  </si>
  <si>
    <t>HEK0306145</t>
  </si>
  <si>
    <t>0000245578</t>
  </si>
  <si>
    <t>Consulting svc 4Q2020</t>
  </si>
  <si>
    <t>00486752</t>
  </si>
  <si>
    <t>2644757</t>
  </si>
  <si>
    <t>0000248139</t>
  </si>
  <si>
    <t>PUR0955492</t>
  </si>
  <si>
    <t>00494994</t>
  </si>
  <si>
    <t>HEK-0307349</t>
  </si>
  <si>
    <t>0000254974</t>
  </si>
  <si>
    <t>00497700</t>
  </si>
  <si>
    <t>2694472</t>
  </si>
  <si>
    <t>0000256397</t>
  </si>
  <si>
    <t>00510479</t>
  </si>
  <si>
    <t>007558750</t>
  </si>
  <si>
    <t>HEK-0308263</t>
  </si>
  <si>
    <t>0000263526</t>
  </si>
  <si>
    <t>00515743</t>
  </si>
  <si>
    <t>2743098</t>
  </si>
  <si>
    <t>0000266769</t>
  </si>
  <si>
    <t>PUR0960479</t>
  </si>
  <si>
    <t>00522554</t>
  </si>
  <si>
    <t>2787129</t>
  </si>
  <si>
    <t>0000273853</t>
  </si>
  <si>
    <t>PUR0961953</t>
  </si>
  <si>
    <t>00527558</t>
  </si>
  <si>
    <t>2792180</t>
  </si>
  <si>
    <t>00525939</t>
  </si>
  <si>
    <t>HEK-0309301</t>
  </si>
  <si>
    <t>0000279147</t>
  </si>
  <si>
    <t>PUR0962930</t>
  </si>
  <si>
    <t>00526442</t>
  </si>
  <si>
    <t>2821530</t>
  </si>
  <si>
    <t>0000279643</t>
  </si>
  <si>
    <t>00531505</t>
  </si>
  <si>
    <t>2826116</t>
  </si>
  <si>
    <t>0000286567</t>
  </si>
  <si>
    <t>data integrity project</t>
  </si>
  <si>
    <t>Fidelity Thrift Plan Q420 Serv</t>
  </si>
  <si>
    <t>Aon Hewitt Inves Q420 Fees</t>
  </si>
  <si>
    <t>Aon Hewitt InvestQ1 2021 Fees</t>
  </si>
  <si>
    <t>Fidelity Thft Plan Q1 20 Serv</t>
  </si>
  <si>
    <t>Fidelity Thft Plan Q1 21 Serv</t>
  </si>
  <si>
    <t>Aon Hewitt Invest Q221 Fees</t>
  </si>
  <si>
    <t>Fidelity Thrift Plan Q221 Ser</t>
  </si>
  <si>
    <t>Aon Hewitt Invest Q3 2021 Fees</t>
  </si>
  <si>
    <t>Fidelity Thrift Plan Q3 Serv21</t>
  </si>
  <si>
    <t>Aon Hewitt Inves Q3 2021 Fees</t>
  </si>
  <si>
    <t>Fidelity Thrift Plan Q321 Serv</t>
  </si>
  <si>
    <t>Aon Hewitt InvesQ4 21</t>
  </si>
  <si>
    <t>Fidelity Thrift PlanQ421 Ser</t>
  </si>
  <si>
    <t>0000954146</t>
  </si>
  <si>
    <t>0000955071</t>
  </si>
  <si>
    <t>0000956189</t>
  </si>
  <si>
    <t>0000957073</t>
  </si>
  <si>
    <t>0000959173</t>
  </si>
  <si>
    <t>0000960191</t>
  </si>
  <si>
    <t>0000962192</t>
  </si>
  <si>
    <t>0000963565</t>
  </si>
  <si>
    <t>0000965896</t>
  </si>
  <si>
    <t>To accrue HR expense Pension and Thrift in January business.</t>
  </si>
  <si>
    <t>To accrue HR expense Pension and Thrift in February business.</t>
  </si>
  <si>
    <t>To accrue HR expense Pension and Thrift in September.</t>
  </si>
  <si>
    <t>METLIFE (FMLA)</t>
  </si>
  <si>
    <t>JAN&amp;FEB FEE HOLIDAY</t>
  </si>
  <si>
    <t>includes DEC20 pd JAN21</t>
  </si>
  <si>
    <t>CVS Wrap refund in MAR21 ??</t>
  </si>
  <si>
    <t>Includes DEC20</t>
  </si>
  <si>
    <t>OCT21 - $529 keyed by Poland should have been $232  297 diff</t>
  </si>
  <si>
    <t>Includes $7K</t>
  </si>
  <si>
    <t>BRETT</t>
  </si>
  <si>
    <t>Low in 2021 due to large Perf Gu</t>
  </si>
  <si>
    <t>fee in JAN21 total</t>
  </si>
  <si>
    <t>BRETT ?</t>
  </si>
  <si>
    <t>DEC21 - SScript $4453 accrued for CVS in errror, s/b $232</t>
  </si>
  <si>
    <t>and $13K Fees</t>
  </si>
  <si>
    <t>and net 7.5K in accruals</t>
  </si>
  <si>
    <t>credits.  (usually ~$6K/mo.</t>
  </si>
  <si>
    <t>(see CVS Adm Fee CR tab)</t>
  </si>
  <si>
    <t xml:space="preserve">Customer ID 1785 </t>
  </si>
  <si>
    <t>CVS Caremark Admin Fee Invoice:</t>
  </si>
  <si>
    <t>*</t>
  </si>
  <si>
    <t>Credit was then offset against CVS Claims.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</si>
</sst>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4">
    <font>
      <sz val="10"/>
      <name val="Arial Unicode MS"/>
      <family val="2"/>
    </font>
    <font>
      <sz val="10"/>
      <color theme="1"/>
      <name val="Arial"/>
      <family val="2"/>
    </font>
    <font>
      <b/>
      <sz val="10"/>
      <name val="Arial Unicode MS"/>
      <family val="2"/>
    </font>
    <font>
      <sz val="8"/>
      <name val="Arial Unicode MS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12"/>
      <color indexed="10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sz val="9"/>
      <name val="Tahoma"/>
      <family val="2"/>
    </font>
    <font>
      <b/>
      <sz val="9"/>
      <name val="Tahoma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"/>
        <bgColor indexed="64"/>
      </patternFill>
    </fill>
    <fill>
      <patternFill patternType="solid">
        <fgColor theme="5" tint="0.39998"/>
        <bgColor indexed="64"/>
      </patternFill>
    </fill>
    <fill>
      <patternFill patternType="solid">
        <fgColor theme="4" tint="0.39998"/>
        <bgColor indexed="64"/>
      </patternFill>
    </fill>
  </fills>
  <borders count="14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</border>
    <border>
      <left style="thin">
        <color rgb="FFABABAB"/>
      </left>
      <right/>
      <top style="thin">
        <color rgb="FFABABAB"/>
      </top>
      <bottom/>
    </border>
    <border>
      <left>
        <color indexed="65"/>
      </left>
      <right/>
      <top style="thin">
        <color rgb="FFABABAB"/>
      </top>
      <bottom/>
    </border>
    <border>
      <left>
        <color indexed="65"/>
      </left>
      <right style="thin">
        <color rgb="FFABABAB"/>
      </right>
      <top style="thin">
        <color rgb="FFABABAB"/>
      </top>
      <bottom/>
    </border>
    <border>
      <left style="thin">
        <color rgb="FFABABAB"/>
      </left>
      <right/>
      <top/>
      <bottom/>
    </border>
    <border>
      <left/>
      <right/>
      <top style="thin">
        <color rgb="FFABABAB"/>
      </top>
      <bottom/>
    </border>
    <border>
      <left style="thin">
        <color rgb="FFABABAB"/>
      </left>
      <right style="thin">
        <color rgb="FFABABAB"/>
      </right>
      <top style="thin">
        <color rgb="FFABABAB"/>
      </top>
      <bottom/>
    </border>
    <border>
      <left style="thin">
        <color rgb="FFABABAB"/>
      </left>
      <right style="thin">
        <color rgb="FFABABAB"/>
      </right>
      <top/>
      <bottom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</border>
    <border>
      <left style="thin">
        <color rgb="FFABABAB"/>
      </left>
      <right/>
      <top style="thin">
        <color rgb="FFABABAB"/>
      </top>
      <bottom style="thin">
        <color rgb="FFABABAB"/>
      </bottom>
    </border>
    <border>
      <left/>
      <right/>
      <top style="thin">
        <color rgb="FFABABAB"/>
      </top>
      <bottom style="thin">
        <color rgb="FFABABAB"/>
      </bottom>
    </border>
    <border>
      <left style="thin">
        <color rgb="FFABABAB"/>
      </left>
      <right/>
      <top style="thin">
        <color indexed="9"/>
      </top>
      <bottom/>
    </border>
    <border>
      <left style="thin">
        <color rgb="FFABABAB"/>
      </left>
      <right style="thin">
        <color rgb="FFABABAB"/>
      </right>
      <top style="thin">
        <color indexed="9"/>
      </top>
      <bottom/>
    </border>
  </borders>
  <cellStyleXfs count="22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4" fillId="0" borderId="0">
      <alignment/>
      <protection/>
    </xf>
  </cellStyleXfs>
  <cellXfs count="71">
    <xf numFmtId="0" fontId="0" fillId="0" borderId="0" xfId="0"/>
    <xf numFmtId="43" fontId="0" fillId="0" borderId="0" xfId="0" applyNumberFormat="1"/>
    <xf numFmtId="14" fontId="0" fillId="0" borderId="0" xfId="0" applyNumberFormat="1"/>
    <xf numFmtId="49" fontId="2" fillId="2" borderId="1" xfId="0" applyNumberFormat="1" applyFont="1" applyFill="1" applyBorder="1"/>
    <xf numFmtId="49" fontId="0" fillId="0" borderId="0" xfId="0" applyNumberFormat="1"/>
    <xf numFmtId="43" fontId="0" fillId="0" borderId="0" xfId="18" applyFont="1"/>
    <xf numFmtId="43" fontId="2" fillId="2" borderId="1" xfId="18" applyFont="1" applyFill="1" applyBorder="1"/>
    <xf numFmtId="43" fontId="0" fillId="0" borderId="0" xfId="18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43" fontId="0" fillId="0" borderId="2" xfId="0" applyNumberFormat="1" applyBorder="1"/>
    <xf numFmtId="43" fontId="0" fillId="0" borderId="6" xfId="0" applyNumberFormat="1" applyBorder="1"/>
    <xf numFmtId="43" fontId="0" fillId="0" borderId="7" xfId="0" applyNumberFormat="1" applyBorder="1"/>
    <xf numFmtId="43" fontId="0" fillId="0" borderId="5" xfId="0" applyNumberFormat="1" applyBorder="1"/>
    <xf numFmtId="43" fontId="0" fillId="0" borderId="8" xfId="0" applyNumberFormat="1" applyBorder="1"/>
    <xf numFmtId="0" fontId="2" fillId="0" borderId="0" xfId="0" applyFont="1"/>
    <xf numFmtId="0" fontId="13" fillId="0" borderId="0" xfId="0" applyFont="1"/>
    <xf numFmtId="0" fontId="0" fillId="0" borderId="9" xfId="0" applyBorder="1"/>
    <xf numFmtId="0" fontId="0" fillId="0" borderId="3" xfId="0" applyBorder="1"/>
    <xf numFmtId="0" fontId="2" fillId="0" borderId="0" xfId="0" applyFont="1" applyFill="1"/>
    <xf numFmtId="0" fontId="0" fillId="0" borderId="9" xfId="0" applyBorder="1" applyAlignment="1">
      <alignment horizontal="left"/>
    </xf>
    <xf numFmtId="0" fontId="0" fillId="0" borderId="9" xfId="0" applyBorder="1"/>
    <xf numFmtId="1" fontId="0" fillId="0" borderId="0" xfId="0" applyNumberFormat="1"/>
    <xf numFmtId="0" fontId="2" fillId="0" borderId="2" xfId="0" applyFont="1" applyBorder="1"/>
    <xf numFmtId="0" fontId="2" fillId="0" borderId="2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6" xfId="0" applyFont="1" applyBorder="1" applyAlignment="1">
      <alignment horizontal="center" wrapText="1"/>
    </xf>
    <xf numFmtId="43" fontId="2" fillId="0" borderId="10" xfId="0" applyNumberFormat="1" applyFont="1" applyBorder="1"/>
    <xf numFmtId="43" fontId="2" fillId="0" borderId="11" xfId="0" applyNumberFormat="1" applyFont="1" applyBorder="1"/>
    <xf numFmtId="43" fontId="2" fillId="0" borderId="9" xfId="0" applyNumberFormat="1" applyFont="1" applyBorder="1"/>
    <xf numFmtId="0" fontId="2" fillId="0" borderId="10" xfId="0" applyFont="1" applyBorder="1"/>
    <xf numFmtId="0" fontId="0" fillId="0" borderId="12" xfId="0" applyBorder="1"/>
    <xf numFmtId="0" fontId="2" fillId="0" borderId="3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2" xfId="0" applyFont="1" applyFill="1" applyBorder="1"/>
    <xf numFmtId="0" fontId="2" fillId="0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center"/>
    </xf>
    <xf numFmtId="0" fontId="2" fillId="0" borderId="2" xfId="0" applyFont="1" applyBorder="1" applyAlignment="1">
      <alignment horizontal="center" wrapText="1"/>
    </xf>
    <xf numFmtId="0" fontId="2" fillId="0" borderId="7" xfId="0" applyFont="1" applyBorder="1" applyAlignment="1">
      <alignment wrapText="1"/>
    </xf>
    <xf numFmtId="0" fontId="2" fillId="0" borderId="2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2" fillId="3" borderId="6" xfId="0" applyFont="1" applyFill="1" applyBorder="1" applyAlignment="1">
      <alignment horizontal="center" wrapText="1"/>
    </xf>
    <xf numFmtId="43" fontId="0" fillId="4" borderId="2" xfId="0" applyNumberFormat="1" applyFill="1" applyBorder="1"/>
    <xf numFmtId="43" fontId="0" fillId="3" borderId="6" xfId="0" applyNumberFormat="1" applyFill="1" applyBorder="1"/>
    <xf numFmtId="43" fontId="0" fillId="3" borderId="5" xfId="0" applyNumberFormat="1" applyFill="1" applyBorder="1"/>
    <xf numFmtId="43" fontId="0" fillId="3" borderId="0" xfId="0" applyNumberFormat="1" applyFill="1"/>
    <xf numFmtId="43" fontId="0" fillId="5" borderId="5" xfId="0" applyNumberFormat="1" applyFill="1" applyBorder="1"/>
    <xf numFmtId="43" fontId="2" fillId="3" borderId="10" xfId="0" applyNumberFormat="1" applyFont="1" applyFill="1" applyBorder="1"/>
    <xf numFmtId="43" fontId="2" fillId="3" borderId="11" xfId="0" applyNumberFormat="1" applyFont="1" applyFill="1" applyBorder="1"/>
    <xf numFmtId="0" fontId="3" fillId="4" borderId="0" xfId="0" applyFont="1" applyFill="1"/>
    <xf numFmtId="0" fontId="0" fillId="0" borderId="0" xfId="0" applyFont="1"/>
    <xf numFmtId="43" fontId="0" fillId="0" borderId="0" xfId="0" applyNumberFormat="1" applyFont="1"/>
    <xf numFmtId="0" fontId="0" fillId="5" borderId="0" xfId="0" applyFont="1" applyFill="1"/>
    <xf numFmtId="0" fontId="2" fillId="6" borderId="0" xfId="0" applyFont="1" applyFill="1" applyAlignment="1">
      <alignment horizontal="center"/>
    </xf>
    <xf numFmtId="0" fontId="2" fillId="0" borderId="2" xfId="0" applyFont="1" applyFill="1" applyBorder="1"/>
    <xf numFmtId="0" fontId="5" fillId="0" borderId="0" xfId="21" applyFont="1" applyBorder="1" applyAlignment="1">
      <alignment horizontal="left"/>
      <protection/>
    </xf>
    <xf numFmtId="0" fontId="6" fillId="0" borderId="0" xfId="21" applyFont="1" applyBorder="1" applyAlignment="1">
      <alignment horizontal="left"/>
      <protection/>
    </xf>
    <xf numFmtId="43" fontId="6" fillId="0" borderId="0" xfId="20" applyFont="1" applyBorder="1" applyAlignment="1">
      <alignment horizontal="left"/>
    </xf>
    <xf numFmtId="0" fontId="8" fillId="0" borderId="0" xfId="21" applyFont="1" applyAlignment="1" quotePrefix="1">
      <alignment horizontal="center"/>
      <protection/>
    </xf>
    <xf numFmtId="16" fontId="8" fillId="0" borderId="0" xfId="21" applyNumberFormat="1" applyFont="1" applyAlignment="1" quotePrefix="1">
      <alignment horizontal="center"/>
      <protection/>
    </xf>
    <xf numFmtId="43" fontId="9" fillId="0" borderId="0" xfId="20" applyFont="1" applyBorder="1" applyAlignment="1">
      <alignment horizontal="left"/>
    </xf>
    <xf numFmtId="43" fontId="10" fillId="0" borderId="0" xfId="20" applyFont="1" applyFill="1" applyBorder="1"/>
    <xf numFmtId="49" fontId="2" fillId="0" borderId="1" xfId="0" applyNumberFormat="1" applyFont="1" applyFill="1" applyBorder="1"/>
    <xf numFmtId="43" fontId="0" fillId="0" borderId="0" xfId="0" applyNumberFormat="1" applyFill="1"/>
    <xf numFmtId="0" fontId="0" fillId="0" borderId="0" xfId="0" applyFill="1"/>
    <xf numFmtId="43" fontId="2" fillId="0" borderId="1" xfId="18" applyFont="1" applyFill="1" applyBorder="1"/>
  </cellXfs>
  <cellStyles count="8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Comma 2" xfId="20"/>
    <cellStyle name="Normal_AETNA1.07.11" xfId="21"/>
  </cellStyles>
  <dxfs count="79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43" formatCode="_(* #,##0.00_);_(* \(#,##0.0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9" tint="0.59999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39998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/>
      </fill>
    </dxf>
    <dxf>
      <alignment wrapText="1" readingOrder="0"/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numFmt numFmtId="43" formatCode="_(* #,##0.00_);_(* \(#,##0.00\);_(* &quot;-&quot;??_);_(@_)"/>
    </dxf>
    <dxf>
      <fill>
        <patternFill patternType="none"/>
      </fill>
    </dxf>
    <dxf>
      <alignment wrapText="1" readingOrder="0"/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numFmt numFmtId="43" formatCode="_(* #,##0.00_);_(* \(#,##0.00\);_(* &quot;-&quot;??_);_(@_)"/>
    </dxf>
    <dxf>
      <alignment wrapText="1" readingOrder="0"/>
    </dxf>
    <dxf>
      <alignment wrapText="1" readingOrder="0"/>
    </dxf>
    <dxf>
      <font>
        <b/>
      </font>
    </dxf>
    <dxf>
      <font>
        <b/>
      </font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numFmt numFmtId="43" formatCode="_(* #,##0.00_);_(* \(#,##0.00\);_(* &quot;-&quot;??_);_(@_)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pivotCacheDefinition" Target="pivotCache/pivotCacheDefinition2.xml" /><Relationship Id="rId5" Type="http://schemas.openxmlformats.org/officeDocument/2006/relationships/pivotCacheDefinition" Target="pivotCache/pivotCacheDefinition4.xml" /><Relationship Id="rId7" Type="http://schemas.openxmlformats.org/officeDocument/2006/relationships/worksheet" Target="worksheets/sheet2.xml" /><Relationship Id="rId9" Type="http://schemas.openxmlformats.org/officeDocument/2006/relationships/worksheet" Target="worksheets/sheet4.xml" /><Relationship Id="rId2" Type="http://schemas.openxmlformats.org/officeDocument/2006/relationships/pivotCacheDefinition" Target="pivotCache/pivotCacheDefinition1.xml" /><Relationship Id="rId14" Type="http://schemas.openxmlformats.org/officeDocument/2006/relationships/sharedStrings" Target="sharedStrings.xml" /><Relationship Id="rId15" Type="http://schemas.openxmlformats.org/officeDocument/2006/relationships/calcChain" Target="calcChain.xml" /><Relationship Id="rId10" Type="http://schemas.openxmlformats.org/officeDocument/2006/relationships/worksheet" Target="worksheets/sheet5.xml" /><Relationship Id="rId11" Type="http://schemas.openxmlformats.org/officeDocument/2006/relationships/worksheet" Target="worksheets/sheet6.xml" /><Relationship Id="rId12" Type="http://schemas.openxmlformats.org/officeDocument/2006/relationships/worksheet" Target="worksheets/sheet7.xml" /><Relationship Id="rId1" Type="http://schemas.openxmlformats.org/officeDocument/2006/relationships/theme" Target="theme/theme1.xml" /><Relationship Id="rId4" Type="http://schemas.openxmlformats.org/officeDocument/2006/relationships/pivotCacheDefinition" Target="pivotCache/pivotCacheDefinition3.xml" /><Relationship Id="rId6" Type="http://schemas.openxmlformats.org/officeDocument/2006/relationships/worksheet" Target="worksheets/sheet1.xml" /><Relationship Id="rId8" Type="http://schemas.openxmlformats.org/officeDocument/2006/relationships/worksheet" Target="worksheets/sheet3.xml" /><Relationship Id="rId13" Type="http://schemas.openxmlformats.org/officeDocument/2006/relationships/styles" Target="styles.xml" /></Relationships>
</file>

<file path=xl/pivotCache/_rels/pivotCacheDefinition1.xml.rels><?xml version="1.0" encoding="UTF-8" standalone="yes"?>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_rels/pivotCacheDefinition2.xml.rels><?xml version="1.0" encoding="UTF-8" standalone="yes"?><Relationships xmlns="http://schemas.openxmlformats.org/package/2006/relationships"><Relationship Id="rId1" Type="http://schemas.openxmlformats.org/officeDocument/2006/relationships/pivotCacheRecords" Target="pivotCacheRecords2.xml" /></Relationships>
</file>

<file path=xl/pivotCache/_rels/pivotCacheDefinition3.xml.rels><?xml version="1.0" encoding="UTF-8" standalone="yes"?><Relationships xmlns="http://schemas.openxmlformats.org/package/2006/relationships"><Relationship Id="rId1" Type="http://schemas.openxmlformats.org/officeDocument/2006/relationships/pivotCacheRecords" Target="pivotCacheRecords3.xml" /></Relationships>
</file>

<file path=xl/pivotCache/_rels/pivotCacheDefinition4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Users\e5jc\AppData\Local\Microsoft\Windows\INetCache\Content.Outlook\GCP3A402\Copy of 2021 Medical Claims Premuims  Admin Fee_MA.xls" TargetMode="External" /><Relationship Id="rId2" Type="http://schemas.openxmlformats.org/officeDocument/2006/relationships/pivotCacheRecords" Target="pivotCacheRecords4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1" refreshedVersion="4" refreshedBy="Allen, Masheka" refreshedDate="44579.4636556713" recordCount="256">
  <cacheSource type="worksheet">
    <worksheetSource ref="A2:S258" sheet="Admin Fee Query"/>
  </cacheSource>
  <cacheFields count="19">
    <cacheField name="Acctg Date" numFmtId="0">
      <sharedItems containsSemiMixedTypes="0" containsNonDate="0" containsDate="1" containsString="0" minDate="2021-01-04T00:00:00" maxDate="2022-01-06T00:00:00" count="0"/>
    </cacheField>
    <cacheField name="Period" numFmtId="0">
      <sharedItems containsSemiMixedTypes="0" containsString="0" containsNumber="1" containsInteger="1" count="12">
        <n v="2"/>
        <n v="1"/>
        <n v="3"/>
        <n v="4"/>
        <n v="5"/>
        <n v="6"/>
        <n v="7"/>
        <n v="8"/>
        <n v="9"/>
        <n v="10"/>
        <n v="11"/>
        <n v="12"/>
      </sharedItems>
    </cacheField>
    <cacheField name="Year" numFmtId="0">
      <sharedItems containsSemiMixedTypes="0" containsString="0" containsNumber="1" containsInteger="1" count="1">
        <n v="2021"/>
      </sharedItems>
    </cacheField>
    <cacheField name="Sum Amount" numFmtId="0">
      <sharedItems containsSemiMixedTypes="0" containsString="0" containsNumber="1" count="0"/>
    </cacheField>
    <cacheField name="voucher" numFmtId="0">
      <sharedItems count="0"/>
    </cacheField>
    <cacheField name="vendor" numFmtId="0">
      <sharedItems containsBlank="1" count="0"/>
    </cacheField>
    <cacheField name="vend name" numFmtId="0">
      <sharedItems count="10">
        <s v="AETNA"/>
        <s v="BLUE CROSS BLUE SHIELD OF TX"/>
        <s v="CONNECT YOUR CARE"/>
        <s v="CONSUMER MEDICAL"/>
        <s v="METLIFE"/>
        <s v="NAVIGATE WELLBEING SOLUTIONS"/>
        <s v="SILVERSCRIPT INSURANCE CO"/>
        <s v="CAREMARK"/>
        <s v="AON INVESTMENTS USA INC"/>
        <s v="FIDELITY INVESTMENTS INSTITUTIONAL"/>
      </sharedItems>
    </cacheField>
    <cacheField name="invoice" numFmtId="0">
      <sharedItems count="0"/>
    </cacheField>
    <cacheField name="checkno" numFmtId="0">
      <sharedItems containsBlank="1" count="0"/>
    </cacheField>
    <cacheField name="GL Unit" numFmtId="0">
      <sharedItems count="0"/>
    </cacheField>
    <cacheField name="Journal ID" numFmtId="0">
      <sharedItems count="0"/>
    </cacheField>
    <cacheField name="Descr" numFmtId="0">
      <sharedItems containsBlank="1" count="0"/>
    </cacheField>
    <cacheField name="Account" numFmtId="0">
      <sharedItems count="0"/>
    </cacheField>
    <cacheField name="Dept" numFmtId="0">
      <sharedItems count="0"/>
    </cacheField>
    <cacheField name="Activity" numFmtId="0">
      <sharedItems count="0"/>
    </cacheField>
    <cacheField name="EC" numFmtId="0">
      <sharedItems count="0"/>
    </cacheField>
    <cacheField name="Project" numFmtId="0">
      <sharedItems count="0"/>
    </cacheField>
    <cacheField name="Location" numFmtId="0">
      <sharedItems count="0"/>
    </cacheField>
    <cacheField name="po" numFmtId="0">
      <sharedItems containsBlank="1" count="0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1" refreshedVersion="4" refreshedBy="Allen, Masheka" refreshedDate="44579.4636559028" recordCount="96">
  <cacheSource type="worksheet">
    <worksheetSource ref="A2:S98" sheet="Premiums Query"/>
  </cacheSource>
  <cacheFields count="19">
    <cacheField name="Acctg Date" numFmtId="0">
      <sharedItems containsSemiMixedTypes="0" containsNonDate="0" containsDate="1" containsString="0" minDate="2021-01-28T00:00:00" maxDate="2021-12-22T00:00:00" count="0"/>
    </cacheField>
    <cacheField name="Period" numFmtId="0">
      <sharedItems containsSemiMixedTypes="0" containsString="0" containsNumber="1" containsInteger="1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Year" numFmtId="0">
      <sharedItems containsSemiMixedTypes="0" containsString="0" containsNumber="1" containsInteger="1" count="2">
        <n v="2021"/>
        <n v="2020" u="1"/>
      </sharedItems>
    </cacheField>
    <cacheField name="Sum Amount" numFmtId="0">
      <sharedItems containsSemiMixedTypes="0" containsString="0" containsNumber="1" count="0"/>
    </cacheField>
    <cacheField name="voucher" numFmtId="0">
      <sharedItems count="0"/>
    </cacheField>
    <cacheField name="vendor" numFmtId="0">
      <sharedItems count="0"/>
    </cacheField>
    <cacheField name="vend name" numFmtId="0">
      <sharedItems count="2">
        <s v="METLIFE"/>
        <s v="SCOTT &amp; WHITE"/>
      </sharedItems>
    </cacheField>
    <cacheField name="invoice" numFmtId="0">
      <sharedItems count="0"/>
    </cacheField>
    <cacheField name="checkno" numFmtId="0">
      <sharedItems count="0"/>
    </cacheField>
    <cacheField name="GL Unit" numFmtId="0">
      <sharedItems count="0"/>
    </cacheField>
    <cacheField name="Journal ID" numFmtId="0">
      <sharedItems count="0"/>
    </cacheField>
    <cacheField name="Descr" numFmtId="0">
      <sharedItems containsBlank="1" count="0"/>
    </cacheField>
    <cacheField name="Account" numFmtId="0">
      <sharedItems count="0"/>
    </cacheField>
    <cacheField name="Dept" numFmtId="0">
      <sharedItems count="0"/>
    </cacheField>
    <cacheField name="Activity" numFmtId="0">
      <sharedItems count="0"/>
    </cacheField>
    <cacheField name="EC" numFmtId="0">
      <sharedItems count="5">
        <s v="557"/>
        <s v="552"/>
        <s v="551"/>
        <s v="556"/>
        <s v="554" u="1"/>
      </sharedItems>
    </cacheField>
    <cacheField name="Project" numFmtId="0">
      <sharedItems count="0"/>
    </cacheField>
    <cacheField name="Location" numFmtId="0">
      <sharedItems count="0"/>
    </cacheField>
    <cacheField name="po" numFmtId="0">
      <sharedItems containsBlank="1" count="0"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createdVersion="1" refreshedVersion="4" refreshedBy="Allen, Masheka" refreshedDate="44579.4636561343" recordCount="688">
  <cacheSource type="worksheet">
    <worksheetSource ref="A2:S690" sheet="Claims Query"/>
  </cacheSource>
  <cacheFields count="19">
    <cacheField name="Acctg Date" numFmtId="0">
      <sharedItems containsSemiMixedTypes="0" containsNonDate="0" containsDate="1" containsString="0" minDate="2021-01-05T00:00:00" maxDate="2022-01-06T00:00:00" count="0"/>
    </cacheField>
    <cacheField name="Period" numFmtId="0">
      <sharedItems containsSemiMixedTypes="0" containsString="0" containsNumber="1" containsInteger="1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Year" numFmtId="0">
      <sharedItems containsSemiMixedTypes="0" containsString="0" containsNumber="1" containsInteger="1" count="1">
        <n v="2021"/>
      </sharedItems>
    </cacheField>
    <cacheField name="Sum Amount" numFmtId="0">
      <sharedItems containsSemiMixedTypes="0" containsString="0" containsNumber="1" count="0"/>
    </cacheField>
    <cacheField name="voucher" numFmtId="0">
      <sharedItems count="0"/>
    </cacheField>
    <cacheField name="vendor" numFmtId="0">
      <sharedItems containsBlank="1" count="0"/>
    </cacheField>
    <cacheField name="vend name" numFmtId="0">
      <sharedItems count="6">
        <s v="AETNA INC"/>
        <s v="BLUE CROSS BLUE SHIELD OF TX"/>
        <s v="CAREMARK"/>
        <s v="CONNECT YOUR CARE"/>
        <s v="ONCOR ELECTRIC DELIVERY CO LLC"/>
        <s v="SILVERSCRIPT INSURANCE CO"/>
      </sharedItems>
    </cacheField>
    <cacheField name="invoice" numFmtId="0">
      <sharedItems count="0"/>
    </cacheField>
    <cacheField name="checkno" numFmtId="0">
      <sharedItems containsBlank="1" count="0"/>
    </cacheField>
    <cacheField name="GL Unit" numFmtId="0">
      <sharedItems count="0"/>
    </cacheField>
    <cacheField name="Journal ID" numFmtId="0">
      <sharedItems count="0"/>
    </cacheField>
    <cacheField name="Descr" numFmtId="0">
      <sharedItems containsBlank="1" count="0"/>
    </cacheField>
    <cacheField name="Account" numFmtId="0">
      <sharedItems count="0"/>
    </cacheField>
    <cacheField name="Dept" numFmtId="0">
      <sharedItems count="0"/>
    </cacheField>
    <cacheField name="Activity" numFmtId="0">
      <sharedItems count="0"/>
    </cacheField>
    <cacheField name="EC" numFmtId="0">
      <sharedItems count="0"/>
    </cacheField>
    <cacheField name="Project" numFmtId="0">
      <sharedItems count="0"/>
    </cacheField>
    <cacheField name="Location" numFmtId="0">
      <sharedItems count="0"/>
    </cacheField>
    <cacheField name="po" numFmtId="0">
      <sharedItems containsBlank="1" count="0"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2" createdVersion="1" refreshedVersion="4" refreshedBy="Allen, Masheka" refreshedDate="44579.4636556713" recordCount="256">
  <cacheSource type="worksheet">
    <worksheetSource ref="$A$2:$S$258" sheet="Admin Fee Query" r:id="rId1"/>
  </cacheSource>
  <cacheFields count="19">
    <cacheField name="Acctg Date" numFmtId="0">
      <sharedItems containsSemiMixedTypes="0" containsNonDate="0" containsDate="1" containsString="0" minDate="2021-01-04T00:00:00" maxDate="2022-01-06T00:00:00" count="0"/>
    </cacheField>
    <cacheField name="Period" numFmtId="0">
      <sharedItems containsSemiMixedTypes="0" containsString="0" containsNumber="1" containsInteger="1" count="12">
        <n v="2"/>
        <n v="1"/>
        <n v="3"/>
        <n v="4"/>
        <n v="5"/>
        <n v="6"/>
        <n v="7"/>
        <n v="8"/>
        <n v="9"/>
        <n v="10"/>
        <n v="11"/>
        <n v="12"/>
      </sharedItems>
    </cacheField>
    <cacheField name="Year" numFmtId="0">
      <sharedItems containsSemiMixedTypes="0" containsString="0" containsNumber="1" containsInteger="1" count="1">
        <n v="2021"/>
      </sharedItems>
    </cacheField>
    <cacheField name="Sum Amount" numFmtId="0">
      <sharedItems containsSemiMixedTypes="0" containsString="0" containsNumber="1" count="0"/>
    </cacheField>
    <cacheField name="voucher" numFmtId="0">
      <sharedItems count="0"/>
    </cacheField>
    <cacheField name="vendor" numFmtId="0">
      <sharedItems containsBlank="1" count="0"/>
    </cacheField>
    <cacheField name="vend name" numFmtId="0">
      <sharedItems count="10">
        <s v="AETNA"/>
        <s v="BLUE CROSS BLUE SHIELD OF TX"/>
        <s v="CONNECT YOUR CARE"/>
        <s v="CONSUMER MEDICAL"/>
        <s v="METLIFE"/>
        <s v="NAVIGATE WELLBEING SOLUTIONS"/>
        <s v="SILVERSCRIPT INSURANCE CO"/>
        <s v="CAREMARK"/>
        <s v="AON INVESTMENTS USA INC"/>
        <s v="FIDELITY INVESTMENTS INSTITUTIONAL"/>
      </sharedItems>
    </cacheField>
    <cacheField name="invoice" numFmtId="0">
      <sharedItems count="0"/>
    </cacheField>
    <cacheField name="checkno" numFmtId="0">
      <sharedItems containsBlank="1" count="0"/>
    </cacheField>
    <cacheField name="GL Unit" numFmtId="0">
      <sharedItems count="0"/>
    </cacheField>
    <cacheField name="Journal ID" numFmtId="0">
      <sharedItems count="0"/>
    </cacheField>
    <cacheField name="Descr" numFmtId="0">
      <sharedItems containsBlank="1" count="0"/>
    </cacheField>
    <cacheField name="Account" numFmtId="0">
      <sharedItems count="0"/>
    </cacheField>
    <cacheField name="Dept" numFmtId="0">
      <sharedItems count="0"/>
    </cacheField>
    <cacheField name="Activity" numFmtId="0">
      <sharedItems count="0"/>
    </cacheField>
    <cacheField name="EC" numFmtId="0">
      <sharedItems count="0"/>
    </cacheField>
    <cacheField name="Project" numFmtId="0">
      <sharedItems count="0"/>
    </cacheField>
    <cacheField name="Location" numFmtId="0">
      <sharedItems count="0"/>
    </cacheField>
    <cacheField name="po" numFmtId="0">
      <sharedItems containsBlank="1" count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6">
  <r>
    <d v="2021-02-25T00:00:00"/>
    <x v="0"/>
    <x v="0"/>
    <n v="6910.1"/>
    <s v="00484896"/>
    <s v="012047066"/>
    <x v="0"/>
    <s v="ACC86797DENTALMAR21"/>
    <s v="0000247055"/>
    <s v="ESD"/>
    <s v="PUR0954892"/>
    <s v=""/>
    <s v="9260000"/>
    <s v="521900"/>
    <s v="0000"/>
    <s v="553"/>
    <s v="BENEFITS"/>
    <s v="0000"/>
    <s v=""/>
  </r>
  <r>
    <d v="2021-02-28T00:00:00"/>
    <x v="0"/>
    <x v="0"/>
    <n v="-74.8"/>
    <s v="00484896"/>
    <s v="012047066"/>
    <x v="0"/>
    <s v="ACC86797DENTALMAR21"/>
    <s v="0000247055"/>
    <s v="ESD"/>
    <s v="JPR0955100"/>
    <s v="To correct accounting"/>
    <s v="9260000"/>
    <s v="521900"/>
    <s v="0000"/>
    <s v="553"/>
    <s v="00000000"/>
    <s v="0000"/>
    <s v=""/>
  </r>
  <r>
    <d v="2021-02-28T00:00:00"/>
    <x v="0"/>
    <x v="0"/>
    <n v="-4.4000000000000004"/>
    <s v="00484896"/>
    <s v="012047066"/>
    <x v="0"/>
    <s v="ACC86797DENTALMAR21"/>
    <s v="0000247055"/>
    <s v="TRN"/>
    <s v="JPR0955100"/>
    <s v="To correct accounting"/>
    <s v="9260000"/>
    <s v="571900"/>
    <s v="9010"/>
    <s v="553"/>
    <s v="0000SUPT"/>
    <s v="0000"/>
    <s v=""/>
  </r>
  <r>
    <d v="2021-02-25T00:00:00"/>
    <x v="0"/>
    <x v="0"/>
    <n v="74.8"/>
    <s v="00484896"/>
    <s v="012047066"/>
    <x v="0"/>
    <s v="ACC86797DENTALMAR21"/>
    <s v="0000247055"/>
    <s v="ESD"/>
    <s v="PUR0954892"/>
    <s v=""/>
    <s v="9260000"/>
    <s v="521900"/>
    <s v="0000"/>
    <s v="553"/>
    <s v="00000000"/>
    <s v="0000"/>
    <s v=""/>
  </r>
  <r>
    <d v="2021-02-25T00:00:00"/>
    <x v="0"/>
    <x v="0"/>
    <n v="2283.6"/>
    <s v="00484896"/>
    <s v="012047066"/>
    <x v="0"/>
    <s v="ACC86797DENTALMAR21"/>
    <s v="0000247055"/>
    <s v="TRN"/>
    <s v="PUR0954887"/>
    <s v=""/>
    <s v="9260000"/>
    <s v="571900"/>
    <s v="9010"/>
    <s v="553"/>
    <s v="0000SUPT"/>
    <s v="0000"/>
    <s v=""/>
  </r>
  <r>
    <d v="2021-01-25T00:00:00"/>
    <x v="1"/>
    <x v="0"/>
    <n v="49396.66"/>
    <s v="00479072"/>
    <s v="012051699"/>
    <x v="1"/>
    <s v="BCBSDEC20"/>
    <s v="0000244396"/>
    <s v="TRN"/>
    <s v="PUR0953798"/>
    <s v=""/>
    <s v="9260000"/>
    <s v="571900"/>
    <s v="9010"/>
    <s v="554"/>
    <s v="0000SUPT"/>
    <s v="0000"/>
    <s v=""/>
  </r>
  <r>
    <d v="2021-01-25T00:00:00"/>
    <x v="1"/>
    <x v="0"/>
    <n v="150408.85999999999"/>
    <s v="00479072"/>
    <s v="012051699"/>
    <x v="1"/>
    <s v="BCBSDEC20"/>
    <s v="0000244396"/>
    <s v="ESD"/>
    <s v="PUR0953805"/>
    <s v=""/>
    <s v="9260000"/>
    <s v="521900"/>
    <s v="0000"/>
    <s v="554"/>
    <s v="BENEFITS"/>
    <s v="0000"/>
    <s v=""/>
  </r>
  <r>
    <d v="2021-02-25T00:00:00"/>
    <x v="0"/>
    <x v="0"/>
    <n v="1209.96"/>
    <s v="00484897"/>
    <s v="012051699"/>
    <x v="1"/>
    <s v="BCBSJAN21"/>
    <s v="0000247056"/>
    <s v="ESD"/>
    <s v="PUR0954892"/>
    <s v=""/>
    <s v="9260000"/>
    <s v="521900"/>
    <s v="0000"/>
    <s v="554"/>
    <s v="00000000"/>
    <s v="0000"/>
    <s v=""/>
  </r>
  <r>
    <d v="2021-02-28T00:00:00"/>
    <x v="0"/>
    <x v="0"/>
    <n v="-73.239999999999995"/>
    <s v="00484897"/>
    <s v="012051699"/>
    <x v="1"/>
    <s v="BCBSJAN21"/>
    <s v="0000247056"/>
    <s v="TRN"/>
    <s v="JPR0955100"/>
    <s v="To correct accounting"/>
    <s v="9260000"/>
    <s v="571900"/>
    <s v="9010"/>
    <s v="554"/>
    <s v="0000SUPT"/>
    <s v="0000"/>
    <s v=""/>
  </r>
  <r>
    <d v="2021-02-28T00:00:00"/>
    <x v="0"/>
    <x v="0"/>
    <n v="-1209.96"/>
    <s v="00484897"/>
    <s v="012051699"/>
    <x v="1"/>
    <s v="BCBSJAN21"/>
    <s v="0000247056"/>
    <s v="ESD"/>
    <s v="JPR0955100"/>
    <s v="To correct accounting"/>
    <s v="9260000"/>
    <s v="521900"/>
    <s v="0000"/>
    <s v="554"/>
    <s v="00000000"/>
    <s v="0000"/>
    <s v=""/>
  </r>
  <r>
    <d v="2021-02-25T00:00:00"/>
    <x v="0"/>
    <x v="0"/>
    <n v="54691.73"/>
    <s v="00484897"/>
    <s v="012051699"/>
    <x v="1"/>
    <s v="BCBSJAN21"/>
    <s v="0000247056"/>
    <s v="TRN"/>
    <s v="PUR0954887"/>
    <s v=""/>
    <s v="9260000"/>
    <s v="571900"/>
    <s v="9010"/>
    <s v="554"/>
    <s v="0000SUPT"/>
    <s v="0000"/>
    <s v=""/>
  </r>
  <r>
    <d v="2021-02-25T00:00:00"/>
    <x v="0"/>
    <x v="0"/>
    <n v="164965.60999999999"/>
    <s v="00484897"/>
    <s v="012051699"/>
    <x v="1"/>
    <s v="BCBSJAN21"/>
    <s v="0000247056"/>
    <s v="ESD"/>
    <s v="PUR0954892"/>
    <s v=""/>
    <s v="9260000"/>
    <s v="521900"/>
    <s v="0000"/>
    <s v="554"/>
    <s v="BENEFITS"/>
    <s v="0000"/>
    <s v=""/>
  </r>
  <r>
    <d v="2021-01-08T00:00:00"/>
    <x v="1"/>
    <x v="0"/>
    <n v="498.65"/>
    <s v="00476383"/>
    <s v="000841250"/>
    <x v="2"/>
    <s v="325126075"/>
    <s v="0000243058"/>
    <s v="TRN"/>
    <s v="PUR0953361"/>
    <s v=""/>
    <s v="9260000"/>
    <s v="571900"/>
    <s v="9010"/>
    <s v="554"/>
    <s v="0000SUPT"/>
    <s v="0000"/>
    <s v=""/>
  </r>
  <r>
    <d v="2021-01-08T00:00:00"/>
    <x v="1"/>
    <x v="0"/>
    <n v="2021.3"/>
    <s v="00476383"/>
    <s v="000841250"/>
    <x v="2"/>
    <s v="325126075"/>
    <s v="0000243058"/>
    <s v="ESD"/>
    <s v="PUR0953356"/>
    <s v=""/>
    <s v="9260000"/>
    <s v="521900"/>
    <s v="0000"/>
    <s v="554"/>
    <s v="BENEFITS"/>
    <s v="0000"/>
    <s v=""/>
  </r>
  <r>
    <d v="2021-01-28T00:00:00"/>
    <x v="1"/>
    <x v="0"/>
    <n v="557"/>
    <s v="00480142"/>
    <s v="000841250"/>
    <x v="2"/>
    <s v="329224426"/>
    <s v="0000245833"/>
    <s v="TRN"/>
    <s v="PUR0953951"/>
    <s v=""/>
    <s v="9260000"/>
    <s v="571900"/>
    <s v="9010"/>
    <s v="554"/>
    <s v="0000SUPT"/>
    <s v="0000"/>
    <s v=""/>
  </r>
  <r>
    <d v="2021-01-28T00:00:00"/>
    <x v="1"/>
    <x v="0"/>
    <n v="2213.35"/>
    <s v="00480142"/>
    <s v="000841250"/>
    <x v="2"/>
    <s v="329224426"/>
    <s v="0000245833"/>
    <s v="ESD"/>
    <s v="PUR0953956"/>
    <s v=""/>
    <s v="9260000"/>
    <s v="521900"/>
    <s v="0000"/>
    <s v="554"/>
    <s v="BENEFITS"/>
    <s v="0000"/>
    <s v=""/>
  </r>
  <r>
    <d v="2021-01-25T00:00:00"/>
    <x v="1"/>
    <x v="0"/>
    <n v="3860.64"/>
    <s v="00479068"/>
    <s v="000858150"/>
    <x v="3"/>
    <s v="ONCOR2101"/>
    <s v="2200375763"/>
    <s v="TRN"/>
    <s v="PUR0953798"/>
    <s v=""/>
    <s v="9260000"/>
    <s v="571900"/>
    <s v="9010"/>
    <s v="554"/>
    <s v="0000SUPT"/>
    <s v="0000"/>
    <s v=""/>
  </r>
  <r>
    <d v="2021-01-25T00:00:00"/>
    <x v="1"/>
    <x v="0"/>
    <n v="12079.24"/>
    <s v="00479068"/>
    <s v="000858150"/>
    <x v="3"/>
    <s v="ONCOR2101"/>
    <s v="2200375763"/>
    <s v="ESD"/>
    <s v="PUR0953805"/>
    <s v=""/>
    <s v="9260000"/>
    <s v="521900"/>
    <s v="0000"/>
    <s v="554"/>
    <s v="BENEFITS"/>
    <s v="0000"/>
    <s v=""/>
  </r>
  <r>
    <d v="2021-02-18T00:00:00"/>
    <x v="0"/>
    <x v="0"/>
    <n v="12093.41"/>
    <s v="00483576"/>
    <s v="000858150"/>
    <x v="3"/>
    <s v="ONCOR2102"/>
    <s v="2200378164"/>
    <s v="ESD"/>
    <s v="PUR0954717"/>
    <s v=""/>
    <s v="9260000"/>
    <s v="521900"/>
    <s v="0000"/>
    <s v="554"/>
    <s v="BENEFITS"/>
    <s v="0000"/>
    <s v=""/>
  </r>
  <r>
    <d v="2021-02-18T00:00:00"/>
    <x v="0"/>
    <x v="0"/>
    <n v="3865.17"/>
    <s v="00483576"/>
    <s v="000858150"/>
    <x v="3"/>
    <s v="ONCOR2102"/>
    <s v="2200378164"/>
    <s v="TRN"/>
    <s v="PUR0954725"/>
    <s v=""/>
    <s v="9260000"/>
    <s v="571900"/>
    <s v="9010"/>
    <s v="554"/>
    <s v="0000SUPT"/>
    <s v="0000"/>
    <s v=""/>
  </r>
  <r>
    <d v="2021-01-29T00:00:00"/>
    <x v="1"/>
    <x v="0"/>
    <n v="2004.5"/>
    <s v="00479914"/>
    <s v="012039670"/>
    <x v="4"/>
    <s v="ADDLTDLIFEJAN21"/>
    <s v="7213000090"/>
    <s v="TRN"/>
    <s v="PUR0954009"/>
    <s v=""/>
    <s v="9260000"/>
    <s v="571900"/>
    <s v="9010"/>
    <s v="557"/>
    <s v="FMLACHRG"/>
    <s v="0000"/>
    <s v=""/>
  </r>
  <r>
    <d v="2021-01-29T00:00:00"/>
    <x v="1"/>
    <x v="0"/>
    <n v="6503.02"/>
    <s v="00479914"/>
    <s v="012039670"/>
    <x v="4"/>
    <s v="ADDLTDLIFEJAN21"/>
    <s v="7213000090"/>
    <s v="ESD"/>
    <s v="PUR0954014"/>
    <s v=""/>
    <s v="9260000"/>
    <s v="521900"/>
    <s v="4500"/>
    <s v="557"/>
    <s v="FMLACHRG"/>
    <s v="0000"/>
    <s v=""/>
  </r>
  <r>
    <d v="2021-02-26T00:00:00"/>
    <x v="0"/>
    <x v="0"/>
    <n v="6376.42"/>
    <s v="00484856"/>
    <s v="012039670"/>
    <x v="4"/>
    <s v="ADDLTDLIFEFEB21"/>
    <s v="7213000178"/>
    <s v="ESD"/>
    <s v="PUR0954940"/>
    <s v=""/>
    <s v="9260000"/>
    <s v="521900"/>
    <s v="4500"/>
    <s v="557"/>
    <s v="FMLACHRG"/>
    <s v="0000"/>
    <s v=""/>
  </r>
  <r>
    <d v="2021-02-26T00:00:00"/>
    <x v="0"/>
    <x v="0"/>
    <n v="2057.25"/>
    <s v="00484856"/>
    <s v="012039670"/>
    <x v="4"/>
    <s v="ADDLTDLIFEFEB21"/>
    <s v="7213000178"/>
    <s v="TRN"/>
    <s v="PUR0954937"/>
    <s v=""/>
    <s v="9260000"/>
    <s v="571900"/>
    <s v="9010"/>
    <s v="557"/>
    <s v="FMLACHRG"/>
    <s v="0000"/>
    <s v=""/>
  </r>
  <r>
    <d v="2021-01-06T00:00:00"/>
    <x v="1"/>
    <x v="0"/>
    <n v="1345"/>
    <s v="00475369"/>
    <s v="003319350"/>
    <x v="5"/>
    <s v="5922"/>
    <s v="2200373493"/>
    <s v="TRN"/>
    <s v="PUR0953184"/>
    <s v=""/>
    <s v="9260000"/>
    <s v="571900"/>
    <s v="9010"/>
    <s v="554"/>
    <s v="BENEFITS"/>
    <s v="0000"/>
    <s v=""/>
  </r>
  <r>
    <d v="2021-01-06T00:00:00"/>
    <x v="1"/>
    <x v="0"/>
    <n v="4196.25"/>
    <s v="00475369"/>
    <s v="003319350"/>
    <x v="5"/>
    <s v="5922"/>
    <s v="2200373493"/>
    <s v="ESD"/>
    <s v="PUR0953181"/>
    <s v=""/>
    <s v="9260000"/>
    <s v="521900"/>
    <s v="0000"/>
    <s v="554"/>
    <s v="BENEFITS"/>
    <s v="0000"/>
    <s v=""/>
  </r>
  <r>
    <d v="2021-02-05T00:00:00"/>
    <x v="0"/>
    <x v="0"/>
    <n v="12836.33"/>
    <s v="00481450"/>
    <s v="003319350"/>
    <x v="5"/>
    <s v="6070"/>
    <s v="2200376851"/>
    <s v="ESD"/>
    <s v="PUR0954455"/>
    <s v=""/>
    <s v="9260000"/>
    <s v="521900"/>
    <s v="0000"/>
    <s v="554"/>
    <s v="BENEFITS"/>
    <s v="0000"/>
    <s v=""/>
  </r>
  <r>
    <d v="2021-02-05T00:00:00"/>
    <x v="0"/>
    <x v="0"/>
    <n v="4137.3"/>
    <s v="00481450"/>
    <s v="003319350"/>
    <x v="5"/>
    <s v="6070"/>
    <s v="2200376851"/>
    <s v="TRN"/>
    <s v="PUR0954451"/>
    <s v=""/>
    <s v="9260000"/>
    <s v="571900"/>
    <s v="9010"/>
    <s v="554"/>
    <s v="BENEFITS"/>
    <s v="0000"/>
    <s v=""/>
  </r>
  <r>
    <d v="2021-01-25T00:00:00"/>
    <x v="1"/>
    <x v="0"/>
    <n v="240.75"/>
    <s v="00479095"/>
    <s v="012061960"/>
    <x v="6"/>
    <s v="3240653"/>
    <s v="0000244615"/>
    <s v="ESD"/>
    <s v="PUR0953805"/>
    <s v=""/>
    <s v="9260000"/>
    <s v="521900"/>
    <s v="0000"/>
    <s v="554"/>
    <s v="BENEFITS"/>
    <s v="0000"/>
    <s v=""/>
  </r>
  <r>
    <d v="2021-01-25T00:00:00"/>
    <x v="1"/>
    <x v="0"/>
    <n v="80.25"/>
    <s v="00479095"/>
    <s v="012061960"/>
    <x v="6"/>
    <s v="3240653"/>
    <s v="0000244615"/>
    <s v="TRN"/>
    <s v="PUR0953798"/>
    <s v=""/>
    <s v="9260000"/>
    <s v="571900"/>
    <s v="9010"/>
    <s v="554"/>
    <s v="0000SUPT"/>
    <s v="0000"/>
    <s v=""/>
  </r>
  <r>
    <d v="2021-03-03T00:00:00"/>
    <x v="2"/>
    <x v="0"/>
    <n v="1577.6"/>
    <s v="00485768"/>
    <s v="003319350"/>
    <x v="5"/>
    <s v="6163"/>
    <s v="2200379488"/>
    <s v="TRN"/>
    <s v="PUR0955234"/>
    <s v=""/>
    <s v="9260000"/>
    <s v="571900"/>
    <s v="9010"/>
    <s v="554"/>
    <s v="BENEFITS"/>
    <s v="0000"/>
    <s v=""/>
  </r>
  <r>
    <d v="2021-03-10T00:00:00"/>
    <x v="2"/>
    <x v="0"/>
    <n v="65.25"/>
    <s v="00487612"/>
    <s v="012061960"/>
    <x v="6"/>
    <s v="3241950"/>
    <s v="0000248295"/>
    <s v="TRN"/>
    <s v="PUR0955525"/>
    <s v=""/>
    <s v="9260000"/>
    <s v="571900"/>
    <s v="9010"/>
    <s v="554"/>
    <s v="0000SUPT"/>
    <s v="0000"/>
    <s v=""/>
  </r>
  <r>
    <d v="2021-03-24T00:00:00"/>
    <x v="2"/>
    <x v="0"/>
    <n v="157147.92000000001"/>
    <s v="00489923"/>
    <s v="012051699"/>
    <x v="1"/>
    <s v="BCBSFEB21"/>
    <s v="0000250043"/>
    <s v="ESD"/>
    <s v="PUR0955836"/>
    <s v=""/>
    <s v="9260000"/>
    <s v="521900"/>
    <s v="0000"/>
    <s v="554"/>
    <s v="BENEFITS"/>
    <s v="0000"/>
    <s v=""/>
  </r>
  <r>
    <d v="2021-03-03T00:00:00"/>
    <x v="2"/>
    <x v="0"/>
    <n v="4780.6499999999996"/>
    <s v="00485768"/>
    <s v="003319350"/>
    <x v="5"/>
    <s v="6163"/>
    <s v="2200379488"/>
    <s v="ESD"/>
    <s v="PUR0955228"/>
    <s v=""/>
    <s v="9260000"/>
    <s v="521900"/>
    <s v="0000"/>
    <s v="554"/>
    <s v="BENEFITS"/>
    <s v="0000"/>
    <s v=""/>
  </r>
  <r>
    <d v="2021-03-10T00:00:00"/>
    <x v="2"/>
    <x v="0"/>
    <n v="181.25"/>
    <s v="00487612"/>
    <s v="012061960"/>
    <x v="6"/>
    <s v="3241950"/>
    <s v="0000248295"/>
    <s v="ESD"/>
    <s v="PUR0955518"/>
    <s v=""/>
    <s v="9260000"/>
    <s v="521900"/>
    <s v="0000"/>
    <s v="554"/>
    <s v="BENEFITS"/>
    <s v="0000"/>
    <s v=""/>
  </r>
  <r>
    <d v="2021-03-24T00:00:00"/>
    <x v="2"/>
    <x v="0"/>
    <n v="2193.1"/>
    <s v="00489917"/>
    <s v="000841250"/>
    <x v="2"/>
    <s v="337444771"/>
    <s v="0000251086"/>
    <s v="ESD"/>
    <s v="PUR0955836"/>
    <s v=""/>
    <s v="9260000"/>
    <s v="521900"/>
    <s v="0000"/>
    <s v="554"/>
    <s v="BENEFITS"/>
    <s v="0000"/>
    <s v=""/>
  </r>
  <r>
    <d v="2021-03-24T00:00:00"/>
    <x v="2"/>
    <x v="0"/>
    <n v="181.25"/>
    <s v="00489915"/>
    <s v="012061960"/>
    <x v="6"/>
    <s v="3143170"/>
    <s v="0000250218"/>
    <s v="ESD"/>
    <s v="PUR0955836"/>
    <s v=""/>
    <s v="9260000"/>
    <s v="521900"/>
    <s v="0000"/>
    <s v="554"/>
    <s v="BENEFITS"/>
    <s v="0000"/>
    <s v=""/>
  </r>
  <r>
    <d v="2021-03-24T00:00:00"/>
    <x v="2"/>
    <x v="0"/>
    <n v="2303.4"/>
    <s v="00489934"/>
    <s v="012047066"/>
    <x v="0"/>
    <s v="ACC867976DENTALAPR21"/>
    <s v="0000250042"/>
    <s v="TRN"/>
    <s v="PUR0955840"/>
    <s v=""/>
    <s v="9260000"/>
    <s v="571900"/>
    <s v="9010"/>
    <s v="553"/>
    <s v="0000SUPT"/>
    <s v="0000"/>
    <s v=""/>
  </r>
  <r>
    <d v="2021-03-24T00:00:00"/>
    <x v="2"/>
    <x v="0"/>
    <n v="65.25"/>
    <s v="00489915"/>
    <s v="012061960"/>
    <x v="6"/>
    <s v="3143170"/>
    <s v="0000250218"/>
    <s v="TRN"/>
    <s v="PUR0955840"/>
    <s v=""/>
    <s v="9260000"/>
    <s v="571900"/>
    <s v="9010"/>
    <s v="554"/>
    <s v="0000SUPT"/>
    <s v="0000"/>
    <s v=""/>
  </r>
  <r>
    <d v="2021-03-24T00:00:00"/>
    <x v="2"/>
    <x v="0"/>
    <n v="6919"/>
    <s v="00489934"/>
    <s v="012047066"/>
    <x v="0"/>
    <s v="ACC867976DENTALAPR21"/>
    <s v="0000250042"/>
    <s v="ESD"/>
    <s v="PUR0955836"/>
    <s v=""/>
    <s v="9260000"/>
    <s v="521900"/>
    <s v="0000"/>
    <s v="553"/>
    <s v="BENEFITS"/>
    <s v="0000"/>
    <s v=""/>
  </r>
  <r>
    <d v="2021-03-25T00:00:00"/>
    <x v="2"/>
    <x v="0"/>
    <n v="1987.62"/>
    <s v="00490037"/>
    <s v="012039670"/>
    <x v="4"/>
    <s v="ADDLTDLIFEMAR21"/>
    <s v="7213000264"/>
    <s v="TRN"/>
    <s v="PUR0955870"/>
    <s v=""/>
    <s v="9260000"/>
    <s v="571900"/>
    <s v="9010"/>
    <s v="557"/>
    <s v="FMLACHRG"/>
    <s v="0000"/>
    <s v=""/>
  </r>
  <r>
    <d v="2021-03-12T00:00:00"/>
    <x v="2"/>
    <x v="0"/>
    <n v="11909.39"/>
    <s v="00488033"/>
    <s v="000858150"/>
    <x v="3"/>
    <s v="ONCOR2103"/>
    <s v="2200381115"/>
    <s v="ESD"/>
    <s v="PUR0955580"/>
    <s v=""/>
    <s v="9260000"/>
    <s v="521900"/>
    <s v="0000"/>
    <s v="554"/>
    <s v="BENEFITS"/>
    <s v="0000"/>
    <s v=""/>
  </r>
  <r>
    <d v="2021-03-24T00:00:00"/>
    <x v="2"/>
    <x v="0"/>
    <n v="558.04999999999995"/>
    <s v="00489917"/>
    <s v="000841250"/>
    <x v="2"/>
    <s v="337444771"/>
    <s v="0000251086"/>
    <s v="TRN"/>
    <s v="PUR0955840"/>
    <s v=""/>
    <s v="9260000"/>
    <s v="571900"/>
    <s v="9010"/>
    <s v="554"/>
    <s v="0000SUPT"/>
    <s v="0000"/>
    <s v=""/>
  </r>
  <r>
    <d v="2021-03-05T00:00:00"/>
    <x v="2"/>
    <x v="0"/>
    <n v="2189"/>
    <s v="00486938"/>
    <s v="000841250"/>
    <x v="2"/>
    <s v="333966461"/>
    <s v="0000248734"/>
    <s v="ESD"/>
    <s v="PUR0955401"/>
    <s v=""/>
    <s v="9260000"/>
    <s v="521900"/>
    <s v="0000"/>
    <s v="554"/>
    <s v="BENEFITS"/>
    <s v="0000"/>
    <s v=""/>
  </r>
  <r>
    <d v="2021-03-12T00:00:00"/>
    <x v="2"/>
    <x v="0"/>
    <n v="3981.87"/>
    <s v="00488033"/>
    <s v="000858150"/>
    <x v="3"/>
    <s v="ONCOR2103"/>
    <s v="2200381115"/>
    <s v="TRN"/>
    <s v="PUR0955586"/>
    <s v=""/>
    <s v="9260000"/>
    <s v="571900"/>
    <s v="9010"/>
    <s v="554"/>
    <s v="0000SUPT"/>
    <s v="0000"/>
    <s v=""/>
  </r>
  <r>
    <d v="2021-03-05T00:00:00"/>
    <x v="2"/>
    <x v="0"/>
    <n v="557.5"/>
    <s v="00486938"/>
    <s v="000841250"/>
    <x v="2"/>
    <s v="333966461"/>
    <s v="0000248734"/>
    <s v="TRN"/>
    <s v="PUR0955404"/>
    <s v=""/>
    <s v="9260000"/>
    <s v="571900"/>
    <s v="9010"/>
    <s v="554"/>
    <s v="0000SUPT"/>
    <s v="0000"/>
    <s v=""/>
  </r>
  <r>
    <d v="2021-03-24T00:00:00"/>
    <x v="2"/>
    <x v="0"/>
    <n v="53555.56"/>
    <s v="00489923"/>
    <s v="012051699"/>
    <x v="1"/>
    <s v="BCBSFEB21"/>
    <s v="0000250043"/>
    <s v="TRN"/>
    <s v="PUR0955840"/>
    <s v=""/>
    <s v="9260000"/>
    <s v="571900"/>
    <s v="9010"/>
    <s v="554"/>
    <s v="0000SUPT"/>
    <s v="0000"/>
    <s v=""/>
  </r>
  <r>
    <d v="2021-03-25T00:00:00"/>
    <x v="2"/>
    <x v="0"/>
    <n v="6327.89"/>
    <s v="00490037"/>
    <s v="012039670"/>
    <x v="4"/>
    <s v="ADDLTDLIFEMAR21"/>
    <s v="7213000264"/>
    <s v="ESD"/>
    <s v="PUR0955873"/>
    <s v=""/>
    <s v="9260000"/>
    <s v="521900"/>
    <s v="4500"/>
    <s v="557"/>
    <s v="FMLACHRG"/>
    <s v="0000"/>
    <s v=""/>
  </r>
  <r>
    <d v="2021-04-27T00:00:00"/>
    <x v="3"/>
    <x v="0"/>
    <n v="49531.6"/>
    <s v="00496969"/>
    <s v="012051699"/>
    <x v="1"/>
    <s v="BCBSMAR21"/>
    <s v="0000253450"/>
    <s v="TRN"/>
    <s v="PUR0956924"/>
    <s v=""/>
    <s v="9260000"/>
    <s v="571900"/>
    <s v="9010"/>
    <s v="554"/>
    <s v="0000SUPT"/>
    <s v="0000"/>
    <s v=""/>
  </r>
  <r>
    <d v="2021-04-29T00:00:00"/>
    <x v="3"/>
    <x v="0"/>
    <n v="2036.15"/>
    <s v="00497058"/>
    <s v="012039670"/>
    <x v="4"/>
    <s v="ADDLTDLIFEAPR21"/>
    <s v="7213000394"/>
    <s v="TRN"/>
    <s v="PUR0957001"/>
    <s v=""/>
    <s v="9260000"/>
    <s v="571900"/>
    <s v="9010"/>
    <s v="557"/>
    <s v="FMLACHRG"/>
    <s v="0000"/>
    <s v=""/>
  </r>
  <r>
    <d v="2021-04-29T00:00:00"/>
    <x v="3"/>
    <x v="0"/>
    <n v="1584.85"/>
    <s v="00497609"/>
    <s v="003319350"/>
    <x v="5"/>
    <s v="6519"/>
    <s v="2200384428"/>
    <s v="TRN"/>
    <s v="PUR0957001"/>
    <s v=""/>
    <s v="9260000"/>
    <s v="571900"/>
    <s v="9010"/>
    <s v="554"/>
    <s v="BENEFITS"/>
    <s v="0000"/>
    <s v=""/>
  </r>
  <r>
    <d v="2021-04-20T00:00:00"/>
    <x v="3"/>
    <x v="0"/>
    <n v="3989.37"/>
    <s v="00495711"/>
    <s v="000858150"/>
    <x v="3"/>
    <s v="ONCOR2104"/>
    <s v="2200383593"/>
    <s v="TRN"/>
    <s v="PUR0956728"/>
    <s v=""/>
    <s v="9260000"/>
    <s v="571900"/>
    <s v="9010"/>
    <s v="554"/>
    <s v="0000SUPT"/>
    <s v="0000"/>
    <s v=""/>
  </r>
  <r>
    <d v="2021-04-29T00:00:00"/>
    <x v="3"/>
    <x v="0"/>
    <n v="6408.07"/>
    <s v="00497058"/>
    <s v="012039670"/>
    <x v="4"/>
    <s v="ADDLTDLIFEAPR21"/>
    <s v="7213000394"/>
    <s v="ESD"/>
    <s v="PUR0956996"/>
    <s v=""/>
    <s v="9260000"/>
    <s v="521900"/>
    <s v="4500"/>
    <s v="557"/>
    <s v="FMLACHRG"/>
    <s v="0000"/>
    <s v=""/>
  </r>
  <r>
    <d v="2021-04-05T00:00:00"/>
    <x v="3"/>
    <x v="0"/>
    <n v="1584.85"/>
    <s v="00491466"/>
    <s v="003319350"/>
    <x v="5"/>
    <s v="6395"/>
    <s v="2200382244"/>
    <s v="TRN"/>
    <s v="PUR0956204"/>
    <s v=""/>
    <s v="9260000"/>
    <s v="571900"/>
    <s v="9010"/>
    <s v="554"/>
    <s v="BENEFITS"/>
    <s v="0000"/>
    <s v=""/>
  </r>
  <r>
    <d v="2021-04-20T00:00:00"/>
    <x v="3"/>
    <x v="0"/>
    <n v="11931.81"/>
    <s v="00495711"/>
    <s v="000858150"/>
    <x v="3"/>
    <s v="ONCOR2104"/>
    <s v="2200383593"/>
    <s v="ESD"/>
    <s v="PUR0956737"/>
    <s v=""/>
    <s v="9260000"/>
    <s v="521900"/>
    <s v="0000"/>
    <s v="554"/>
    <s v="BENEFITS"/>
    <s v="0000"/>
    <s v=""/>
  </r>
  <r>
    <d v="2021-04-29T00:00:00"/>
    <x v="3"/>
    <x v="0"/>
    <n v="4786.45"/>
    <s v="00497609"/>
    <s v="003319350"/>
    <x v="5"/>
    <s v="6519"/>
    <s v="2200384428"/>
    <s v="ESD"/>
    <s v="PUR0956996"/>
    <s v=""/>
    <s v="9260000"/>
    <s v="521900"/>
    <s v="0000"/>
    <s v="554"/>
    <s v="BENEFITS"/>
    <s v="0000"/>
    <s v=""/>
  </r>
  <r>
    <d v="2021-04-27T00:00:00"/>
    <x v="3"/>
    <x v="0"/>
    <n v="145504.29999999999"/>
    <s v="00496969"/>
    <s v="012051699"/>
    <x v="1"/>
    <s v="BCBSMAR21"/>
    <s v="0000253450"/>
    <s v="ESD"/>
    <s v="PUR0956935"/>
    <s v=""/>
    <s v="9260000"/>
    <s v="521900"/>
    <s v="0000"/>
    <s v="554"/>
    <s v="BENEFITS"/>
    <s v="0000"/>
    <s v=""/>
  </r>
  <r>
    <d v="2021-04-27T00:00:00"/>
    <x v="3"/>
    <x v="0"/>
    <n v="2266"/>
    <s v="00496967"/>
    <s v="012047066"/>
    <x v="0"/>
    <s v="ACC867976DENTALMAY21"/>
    <s v="0000253448"/>
    <s v="TRN"/>
    <s v="PUR0956924"/>
    <s v=""/>
    <s v="9260000"/>
    <s v="571900"/>
    <s v="9010"/>
    <s v="553"/>
    <s v="0000SUPT"/>
    <s v="0000"/>
    <s v=""/>
  </r>
  <r>
    <d v="2021-04-27T00:00:00"/>
    <x v="3"/>
    <x v="0"/>
    <n v="6901.4"/>
    <s v="00496967"/>
    <s v="012047066"/>
    <x v="0"/>
    <s v="ACC867976DENTALMAY21"/>
    <s v="0000253448"/>
    <s v="ESD"/>
    <s v="PUR0956935"/>
    <s v=""/>
    <s v="9260000"/>
    <s v="521900"/>
    <s v="0000"/>
    <s v="553"/>
    <s v="BENEFITS"/>
    <s v="0000"/>
    <s v=""/>
  </r>
  <r>
    <d v="2021-04-05T00:00:00"/>
    <x v="3"/>
    <x v="0"/>
    <n v="4776.3"/>
    <s v="00491466"/>
    <s v="003319350"/>
    <x v="5"/>
    <s v="6395"/>
    <s v="2200382244"/>
    <s v="ESD"/>
    <s v="PUR0956207"/>
    <s v=""/>
    <s v="9260000"/>
    <s v="521900"/>
    <s v="0000"/>
    <s v="554"/>
    <s v="BENEFITS"/>
    <s v="0000"/>
    <s v=""/>
  </r>
  <r>
    <d v="2021-05-06T00:00:00"/>
    <x v="4"/>
    <x v="0"/>
    <n v="3"/>
    <s v="00498708"/>
    <s v="006639552"/>
    <x v="7"/>
    <s v="53014756"/>
    <s v="0000254313"/>
    <s v="ESD"/>
    <s v="PUR0957416"/>
    <s v=""/>
    <s v="9260000"/>
    <s v="521900"/>
    <s v="0000"/>
    <s v="554"/>
    <s v="BENEFITS"/>
    <s v="0000"/>
    <s v=""/>
  </r>
  <r>
    <d v="2021-05-06T00:00:00"/>
    <x v="4"/>
    <x v="0"/>
    <n v="553.9"/>
    <s v="00499162"/>
    <s v="000841250"/>
    <x v="2"/>
    <s v="341971478"/>
    <s v="0000254995"/>
    <s v="TRN"/>
    <s v="PUR0957421"/>
    <s v=""/>
    <s v="9260000"/>
    <s v="571900"/>
    <s v="9010"/>
    <s v="554"/>
    <s v="0000SUPT"/>
    <s v="0000"/>
    <s v=""/>
  </r>
  <r>
    <d v="2021-05-06T00:00:00"/>
    <x v="4"/>
    <x v="0"/>
    <n v="0.5"/>
    <s v="00498708"/>
    <s v="006639552"/>
    <x v="7"/>
    <s v="53014756"/>
    <s v="0000254313"/>
    <s v="TRN"/>
    <s v="PUR0957421"/>
    <s v=""/>
    <s v="9260000"/>
    <s v="571900"/>
    <s v="9010"/>
    <s v="554"/>
    <s v="0000SUPT"/>
    <s v="0000"/>
    <s v=""/>
  </r>
  <r>
    <d v="2021-05-28T00:00:00"/>
    <x v="4"/>
    <x v="0"/>
    <n v="1576.15"/>
    <s v="00503224"/>
    <s v="003319350"/>
    <x v="5"/>
    <s v="6673"/>
    <s v="2200386603"/>
    <s v="TRN"/>
    <s v="PUR0957999"/>
    <s v=""/>
    <s v="9260000"/>
    <s v="571900"/>
    <s v="9010"/>
    <s v="554"/>
    <s v="BENEFITS"/>
    <s v="0000"/>
    <s v=""/>
  </r>
  <r>
    <d v="2021-05-28T00:00:00"/>
    <x v="4"/>
    <x v="0"/>
    <n v="552.9"/>
    <s v="00503321"/>
    <s v="000841250"/>
    <x v="2"/>
    <s v="345888039"/>
    <s v="0000257684"/>
    <s v="TRN"/>
    <s v="PUR0957999"/>
    <s v=""/>
    <s v="9260000"/>
    <s v="571900"/>
    <s v="9010"/>
    <s v="554"/>
    <s v="0000SUPT"/>
    <s v="0000"/>
    <s v=""/>
  </r>
  <r>
    <d v="2021-05-06T00:00:00"/>
    <x v="4"/>
    <x v="0"/>
    <n v="2184.6999999999998"/>
    <s v="00499162"/>
    <s v="000841250"/>
    <x v="2"/>
    <s v="341971478"/>
    <s v="0000254995"/>
    <s v="ESD"/>
    <s v="PUR0957416"/>
    <s v=""/>
    <s v="9260000"/>
    <s v="521900"/>
    <s v="0000"/>
    <s v="554"/>
    <s v="BENEFITS"/>
    <s v="0000"/>
    <s v=""/>
  </r>
  <r>
    <d v="2021-05-26T00:00:00"/>
    <x v="4"/>
    <x v="0"/>
    <n v="2299"/>
    <s v="00502624"/>
    <s v="012047066"/>
    <x v="0"/>
    <s v="ACC867976DENTALJUN21"/>
    <s v="0000256260"/>
    <s v="TRN"/>
    <s v="PUR0957923"/>
    <s v=""/>
    <s v="9260000"/>
    <s v="571900"/>
    <s v="9010"/>
    <s v="553"/>
    <s v="0000SUPT"/>
    <s v="0000"/>
    <s v=""/>
  </r>
  <r>
    <d v="2021-05-28T00:00:00"/>
    <x v="4"/>
    <x v="0"/>
    <n v="3973.44"/>
    <s v="00503318"/>
    <s v="000858150"/>
    <x v="3"/>
    <s v="ONCOR2105"/>
    <s v="2200386356"/>
    <s v="ESD"/>
    <s v="PUR0958004"/>
    <s v=""/>
    <s v="9260000"/>
    <s v="521900"/>
    <s v="0000"/>
    <s v="554"/>
    <s v="00000000"/>
    <s v="0000"/>
    <s v=""/>
  </r>
  <r>
    <d v="2021-05-28T00:00:00"/>
    <x v="4"/>
    <x v="0"/>
    <n v="4763.25"/>
    <s v="00503224"/>
    <s v="003319350"/>
    <x v="5"/>
    <s v="6673"/>
    <s v="2200386603"/>
    <s v="ESD"/>
    <s v="PUR0958004"/>
    <s v=""/>
    <s v="9260000"/>
    <s v="521900"/>
    <s v="0000"/>
    <s v="554"/>
    <s v="BENEFITS"/>
    <s v="0000"/>
    <s v=""/>
  </r>
  <r>
    <d v="2021-05-28T00:00:00"/>
    <x v="4"/>
    <x v="0"/>
    <n v="2006.61"/>
    <s v="00503284"/>
    <s v="012039670"/>
    <x v="4"/>
    <s v="ADDLTDLIFEMAY21"/>
    <s v="7213000535"/>
    <s v="TRN"/>
    <s v="PUR0957999"/>
    <s v=""/>
    <s v="9260000"/>
    <s v="571900"/>
    <s v="9010"/>
    <s v="557"/>
    <s v="FMLACHRG"/>
    <s v="0000"/>
    <s v=""/>
  </r>
  <r>
    <d v="2021-05-28T00:00:00"/>
    <x v="4"/>
    <x v="0"/>
    <n v="2180.0500000000002"/>
    <s v="00503321"/>
    <s v="000841250"/>
    <x v="2"/>
    <s v="345888039"/>
    <s v="0000257684"/>
    <s v="ESD"/>
    <s v="PUR0958004"/>
    <s v=""/>
    <s v="9260000"/>
    <s v="521900"/>
    <s v="0000"/>
    <s v="554"/>
    <s v="BENEFITS"/>
    <s v="0000"/>
    <s v=""/>
  </r>
  <r>
    <d v="2021-05-20T00:00:00"/>
    <x v="4"/>
    <x v="0"/>
    <n v="65.25"/>
    <s v="00501823"/>
    <s v="012061960"/>
    <x v="6"/>
    <s v="3245792"/>
    <s v="0000256266"/>
    <s v="TRN"/>
    <s v="PUR0957762"/>
    <s v=""/>
    <s v="9260000"/>
    <s v="571900"/>
    <s v="9010"/>
    <s v="554"/>
    <s v="0000SUPT"/>
    <s v="0000"/>
    <s v=""/>
  </r>
  <r>
    <d v="2021-05-26T00:00:00"/>
    <x v="4"/>
    <x v="0"/>
    <n v="155467.29999999999"/>
    <s v="00502622"/>
    <s v="012051699"/>
    <x v="1"/>
    <s v="BCBSAP21"/>
    <s v="0000256262"/>
    <s v="ESD"/>
    <s v="PUR0957919"/>
    <s v=""/>
    <s v="9260000"/>
    <s v="521900"/>
    <s v="0000"/>
    <s v="554"/>
    <s v="BENEFITS"/>
    <s v="0000"/>
    <s v=""/>
  </r>
  <r>
    <d v="2021-05-28T00:00:00"/>
    <x v="4"/>
    <x v="0"/>
    <n v="6384.86"/>
    <s v="00503284"/>
    <s v="012039670"/>
    <x v="4"/>
    <s v="ADDLTDLIFEMAY21"/>
    <s v="7213000535"/>
    <s v="ESD"/>
    <s v="PUR0958004"/>
    <s v=""/>
    <s v="9260000"/>
    <s v="521900"/>
    <s v="4500"/>
    <s v="557"/>
    <s v="FMLACHRG"/>
    <s v="0000"/>
    <s v=""/>
  </r>
  <r>
    <d v="2021-05-20T00:00:00"/>
    <x v="4"/>
    <x v="0"/>
    <n v="174"/>
    <s v="00501823"/>
    <s v="012061960"/>
    <x v="6"/>
    <s v="3245792"/>
    <s v="0000256266"/>
    <s v="ESD"/>
    <s v="PUR0957768"/>
    <s v=""/>
    <s v="9260000"/>
    <s v="521900"/>
    <s v="0000"/>
    <s v="554"/>
    <s v="BENEFITS"/>
    <s v="0000"/>
    <s v=""/>
  </r>
  <r>
    <d v="2021-05-26T00:00:00"/>
    <x v="4"/>
    <x v="0"/>
    <n v="6901.4"/>
    <s v="00502624"/>
    <s v="012047066"/>
    <x v="0"/>
    <s v="ACC867976DENTALJUN21"/>
    <s v="0000256260"/>
    <s v="ESD"/>
    <s v="PUR0957919"/>
    <s v=""/>
    <s v="9260000"/>
    <s v="521900"/>
    <s v="0000"/>
    <s v="553"/>
    <s v="BENEFITS"/>
    <s v="0000"/>
    <s v=""/>
  </r>
  <r>
    <d v="2021-05-26T00:00:00"/>
    <x v="4"/>
    <x v="0"/>
    <n v="53088.02"/>
    <s v="00502622"/>
    <s v="012051699"/>
    <x v="1"/>
    <s v="BCBSAP21"/>
    <s v="0000256262"/>
    <s v="TRN"/>
    <s v="PUR0957923"/>
    <s v=""/>
    <s v="9260000"/>
    <s v="571900"/>
    <s v="9010"/>
    <s v="554"/>
    <s v="0000SUPT"/>
    <s v="0000"/>
    <s v=""/>
  </r>
  <r>
    <d v="2021-05-28T00:00:00"/>
    <x v="4"/>
    <x v="0"/>
    <n v="11884.16"/>
    <s v="00503318"/>
    <s v="000858150"/>
    <x v="3"/>
    <s v="ONCOR2105"/>
    <s v="2200386356"/>
    <s v="ESD"/>
    <s v="PUR0958004"/>
    <s v=""/>
    <s v="9260000"/>
    <s v="521900"/>
    <s v="0000"/>
    <s v="554"/>
    <s v="BENEFITS"/>
    <s v="0000"/>
    <s v=""/>
  </r>
  <r>
    <d v="2021-06-08T00:00:00"/>
    <x v="5"/>
    <x v="0"/>
    <n v="1656.8"/>
    <s v="00505141"/>
    <s v="011835450"/>
    <x v="0"/>
    <s v="CYC2020FILE"/>
    <s v="0000257372"/>
    <s v="TRN"/>
    <s v="PUR0958467"/>
    <s v=""/>
    <s v="9260000"/>
    <s v="571900"/>
    <s v="9010"/>
    <s v="553"/>
    <s v="BENEFITS"/>
    <s v="0000"/>
    <s v=""/>
  </r>
  <r>
    <d v="2021-06-30T00:00:00"/>
    <x v="5"/>
    <x v="0"/>
    <n v="6467.15"/>
    <s v="00508071"/>
    <s v="012039670"/>
    <x v="4"/>
    <s v="ADDLTDLIFEJUN21"/>
    <s v="7213000658"/>
    <s v="ESD"/>
    <s v="PUR0959026"/>
    <s v=""/>
    <s v="9260000"/>
    <s v="521900"/>
    <s v="4500"/>
    <s v="557"/>
    <s v="FMLACHRG"/>
    <s v="0000"/>
    <s v=""/>
  </r>
  <r>
    <d v="2021-06-25T00:00:00"/>
    <x v="5"/>
    <x v="0"/>
    <n v="2314.4"/>
    <s v="00508098"/>
    <s v="012047066"/>
    <x v="0"/>
    <s v="ACC867926DENTALJUL21"/>
    <s v="0000259445"/>
    <s v="TRN"/>
    <s v="PUR0958842"/>
    <s v=""/>
    <s v="9260000"/>
    <s v="571900"/>
    <s v="9010"/>
    <s v="553"/>
    <s v="0000SUPT"/>
    <s v="0000"/>
    <s v=""/>
  </r>
  <r>
    <d v="2021-06-16T00:00:00"/>
    <x v="5"/>
    <x v="0"/>
    <n v="65.25"/>
    <s v="00506550"/>
    <s v="012061960"/>
    <x v="6"/>
    <s v="3247068"/>
    <s v="0000259852"/>
    <s v="TRN"/>
    <s v="PUR0958650"/>
    <s v=""/>
    <s v="9260000"/>
    <s v="571900"/>
    <s v="9010"/>
    <s v="554"/>
    <s v="0000SUPT"/>
    <s v="0000"/>
    <s v=""/>
  </r>
  <r>
    <d v="2021-06-23T00:00:00"/>
    <x v="5"/>
    <x v="0"/>
    <n v="154479.66"/>
    <s v="00507652"/>
    <s v="012051699"/>
    <x v="1"/>
    <s v="BCBSMAY21"/>
    <s v="0000259447"/>
    <s v="ESD"/>
    <s v="PUR0958781"/>
    <s v=""/>
    <s v="9260000"/>
    <s v="521900"/>
    <s v="0000"/>
    <s v="554"/>
    <s v="BENEFITS"/>
    <s v="0000"/>
    <s v=""/>
  </r>
  <r>
    <d v="2021-06-23T00:00:00"/>
    <x v="5"/>
    <x v="0"/>
    <n v="51127.78"/>
    <s v="00507652"/>
    <s v="012051699"/>
    <x v="1"/>
    <s v="BCBSMAY21"/>
    <s v="0000259447"/>
    <s v="TRN"/>
    <s v="PUR0958785"/>
    <s v=""/>
    <s v="9260000"/>
    <s v="571900"/>
    <s v="9010"/>
    <s v="554"/>
    <s v="0000SUPT"/>
    <s v="0000"/>
    <s v=""/>
  </r>
  <r>
    <d v="2021-06-08T00:00:00"/>
    <x v="5"/>
    <x v="0"/>
    <n v="5343.2"/>
    <s v="00505141"/>
    <s v="011835450"/>
    <x v="0"/>
    <s v="CYC2020FILE"/>
    <s v="0000257372"/>
    <s v="ESD"/>
    <s v="PUR0958463"/>
    <s v=""/>
    <s v="9260000"/>
    <s v="521900"/>
    <s v="0000"/>
    <s v="553"/>
    <s v="BENEFITS"/>
    <s v="0000"/>
    <s v=""/>
  </r>
  <r>
    <d v="2021-06-28T00:00:00"/>
    <x v="5"/>
    <x v="0"/>
    <n v="2451.21"/>
    <s v="00508108"/>
    <s v="003319350"/>
    <x v="5"/>
    <s v="6846"/>
    <s v="2200389117"/>
    <s v="TRN"/>
    <s v="PUR0958872"/>
    <s v=""/>
    <s v="9260000"/>
    <s v="571900"/>
    <s v="9010"/>
    <s v="554"/>
    <s v="BENEFITS"/>
    <s v="0000"/>
    <s v=""/>
  </r>
  <r>
    <d v="2021-06-28T00:00:00"/>
    <x v="5"/>
    <x v="0"/>
    <n v="7378.24"/>
    <s v="00508108"/>
    <s v="003319350"/>
    <x v="5"/>
    <s v="6846"/>
    <s v="2200389117"/>
    <s v="ESD"/>
    <s v="PUR0958877"/>
    <s v=""/>
    <s v="9260000"/>
    <s v="521900"/>
    <s v="0000"/>
    <s v="554"/>
    <s v="BENEFITS"/>
    <s v="0000"/>
    <s v=""/>
  </r>
  <r>
    <d v="2021-06-16T00:00:00"/>
    <x v="5"/>
    <x v="0"/>
    <n v="174"/>
    <s v="00506550"/>
    <s v="012061960"/>
    <x v="6"/>
    <s v="3247068"/>
    <s v="0000259852"/>
    <s v="ESD"/>
    <s v="PUR0958646"/>
    <s v=""/>
    <s v="9260000"/>
    <s v="521900"/>
    <s v="0000"/>
    <s v="554"/>
    <s v="BENEFITS"/>
    <s v="0000"/>
    <s v=""/>
  </r>
  <r>
    <d v="2021-06-22T00:00:00"/>
    <x v="5"/>
    <x v="0"/>
    <n v="3982.81"/>
    <s v="00507514"/>
    <s v="000858150"/>
    <x v="3"/>
    <s v="ONCOR2106"/>
    <s v="2200388529"/>
    <s v="TRN"/>
    <s v="PUR0958761"/>
    <s v=""/>
    <s v="9260000"/>
    <s v="571900"/>
    <s v="9010"/>
    <s v="554"/>
    <s v="0000SUPT"/>
    <s v="0000"/>
    <s v=""/>
  </r>
  <r>
    <d v="2021-06-22T00:00:00"/>
    <x v="5"/>
    <x v="0"/>
    <n v="11912.19"/>
    <s v="00507514"/>
    <s v="000858150"/>
    <x v="3"/>
    <s v="ONCOR2106"/>
    <s v="2200388529"/>
    <s v="ESD"/>
    <s v="PUR0958755"/>
    <s v=""/>
    <s v="9260000"/>
    <s v="521900"/>
    <s v="0000"/>
    <s v="554"/>
    <s v="BENEFITS"/>
    <s v="0000"/>
    <s v=""/>
  </r>
  <r>
    <d v="2021-06-30T00:00:00"/>
    <x v="5"/>
    <x v="0"/>
    <n v="2053.0300000000002"/>
    <s v="00508071"/>
    <s v="012039670"/>
    <x v="4"/>
    <s v="ADDLTDLIFEJUN21"/>
    <s v="7213000658"/>
    <s v="TRN"/>
    <s v="PUR0959031"/>
    <s v=""/>
    <s v="9260000"/>
    <s v="571900"/>
    <s v="9010"/>
    <s v="557"/>
    <s v="FMLACHRG"/>
    <s v="0000"/>
    <s v=""/>
  </r>
  <r>
    <d v="2021-06-25T00:00:00"/>
    <x v="5"/>
    <x v="0"/>
    <n v="6897"/>
    <s v="00508098"/>
    <s v="012047066"/>
    <x v="0"/>
    <s v="ACC867926DENTALJUL21"/>
    <s v="0000259445"/>
    <s v="ESD"/>
    <s v="PUR0958838"/>
    <s v=""/>
    <s v="9260000"/>
    <s v="521900"/>
    <s v="0000"/>
    <s v="553"/>
    <s v="BENEFITS"/>
    <s v="0000"/>
    <s v=""/>
  </r>
  <r>
    <d v="2021-07-12T00:00:00"/>
    <x v="6"/>
    <x v="0"/>
    <n v="9813.9599999999991"/>
    <s v="00510115"/>
    <s v="012047066"/>
    <x v="0"/>
    <s v="CYC2021FILE"/>
    <s v="0000260796"/>
    <s v="ESD"/>
    <s v="PUR0959521"/>
    <s v=""/>
    <s v="9260000"/>
    <s v="521900"/>
    <s v="0000"/>
    <s v="553"/>
    <s v="BENEFITS"/>
    <s v="0000"/>
    <s v=""/>
  </r>
  <r>
    <d v="2021-07-16T00:00:00"/>
    <x v="6"/>
    <x v="0"/>
    <n v="3991.25"/>
    <s v="00511164"/>
    <s v="000858150"/>
    <x v="3"/>
    <s v="ONCOR2107"/>
    <s v="2200390671"/>
    <s v="TRN"/>
    <s v="PUR0959649"/>
    <s v=""/>
    <s v="9260000"/>
    <s v="571900"/>
    <s v="9010"/>
    <s v="554"/>
    <s v="0000SUPT"/>
    <s v="0000"/>
    <s v=""/>
  </r>
  <r>
    <d v="2021-07-28T00:00:00"/>
    <x v="6"/>
    <x v="0"/>
    <n v="2111"/>
    <s v="00513047"/>
    <s v="000841250"/>
    <x v="2"/>
    <s v="349650127"/>
    <s v="0000262639"/>
    <s v="ESD"/>
    <s v="PUR0959894"/>
    <s v=""/>
    <s v="9260000"/>
    <s v="521900"/>
    <s v="0000"/>
    <s v="554"/>
    <s v="BENEFITS"/>
    <s v="0000"/>
    <s v=""/>
  </r>
  <r>
    <d v="2021-07-16T00:00:00"/>
    <x v="6"/>
    <x v="0"/>
    <n v="11937.41"/>
    <s v="00511164"/>
    <s v="000858150"/>
    <x v="3"/>
    <s v="ONCOR2107"/>
    <s v="2200390671"/>
    <s v="ESD"/>
    <s v="PUR0959641"/>
    <s v=""/>
    <s v="9260000"/>
    <s v="521900"/>
    <s v="0000"/>
    <s v="554"/>
    <s v="00000000"/>
    <s v="0000"/>
    <s v=""/>
  </r>
  <r>
    <d v="2021-07-28T00:00:00"/>
    <x v="6"/>
    <x v="0"/>
    <n v="6317.38"/>
    <s v="00513053"/>
    <s v="012047066"/>
    <x v="0"/>
    <s v="ACC867976DENTALALAUG21"/>
    <s v="0000262446"/>
    <s v="ESD"/>
    <s v="PUR0959894"/>
    <s v=""/>
    <s v="9260000"/>
    <s v="521900"/>
    <s v="0000"/>
    <s v="554"/>
    <s v="BENEFITS"/>
    <s v="0000"/>
    <s v=""/>
  </r>
  <r>
    <d v="2021-07-28T00:00:00"/>
    <x v="6"/>
    <x v="0"/>
    <n v="6547.33"/>
    <s v="00512835"/>
    <s v="012039670"/>
    <x v="4"/>
    <s v="ADDLTDLIFEJUL21"/>
    <s v="7213000763"/>
    <s v="ESD"/>
    <s v="PUR0959894"/>
    <s v=""/>
    <s v="9260000"/>
    <s v="521900"/>
    <s v="4500"/>
    <s v="557"/>
    <s v="FMLACHRG"/>
    <s v="0000"/>
    <s v=""/>
  </r>
  <r>
    <d v="2021-07-28T00:00:00"/>
    <x v="6"/>
    <x v="0"/>
    <n v="544.9"/>
    <s v="00513047"/>
    <s v="000841250"/>
    <x v="2"/>
    <s v="349650127"/>
    <s v="0000262639"/>
    <s v="TRN"/>
    <s v="PUR0959887"/>
    <s v=""/>
    <s v="9260000"/>
    <s v="571900"/>
    <s v="9010"/>
    <s v="554"/>
    <s v="0000SUPT"/>
    <s v="0000"/>
    <s v=""/>
  </r>
  <r>
    <d v="2021-07-28T00:00:00"/>
    <x v="6"/>
    <x v="0"/>
    <n v="155106.06"/>
    <s v="00513050"/>
    <s v="012051699"/>
    <x v="1"/>
    <s v="BCBSJUN21"/>
    <s v="0000262448"/>
    <s v="ESD"/>
    <s v="PUR0959894"/>
    <s v=""/>
    <s v="9260000"/>
    <s v="521900"/>
    <s v="0000"/>
    <s v="554"/>
    <s v="BENEFITS"/>
    <s v="0000"/>
    <s v=""/>
  </r>
  <r>
    <d v="2021-07-13T00:00:00"/>
    <x v="6"/>
    <x v="0"/>
    <n v="6457.08"/>
    <s v="00510605"/>
    <s v="003319350"/>
    <x v="5"/>
    <s v="6978"/>
    <s v="2200391216"/>
    <s v="ESD"/>
    <s v="PUR0959548"/>
    <s v=""/>
    <s v="9260000"/>
    <s v="521900"/>
    <s v="0000"/>
    <s v="554"/>
    <s v="BENEFITS"/>
    <s v="0000"/>
    <s v=""/>
  </r>
  <r>
    <d v="2021-07-08T00:00:00"/>
    <x v="6"/>
    <x v="0"/>
    <n v="174"/>
    <s v="00509944"/>
    <s v="012061960"/>
    <x v="6"/>
    <s v="3248344"/>
    <s v="0000262715"/>
    <s v="ESD"/>
    <s v="PUR0959472"/>
    <s v=""/>
    <s v="9260000"/>
    <s v="521900"/>
    <s v="0000"/>
    <s v="554"/>
    <s v="BENEFITS"/>
    <s v="0000"/>
    <s v=""/>
  </r>
  <r>
    <d v="2021-07-12T00:00:00"/>
    <x v="6"/>
    <x v="0"/>
    <n v="3186.04"/>
    <s v="00510115"/>
    <s v="012047066"/>
    <x v="0"/>
    <s v="CYC2021FILE"/>
    <s v="0000260796"/>
    <s v="TRN"/>
    <s v="PUR0959525"/>
    <s v=""/>
    <s v="9260000"/>
    <s v="571900"/>
    <s v="9010"/>
    <s v="553"/>
    <s v="BENEFITS"/>
    <s v="0000"/>
    <s v=""/>
  </r>
  <r>
    <d v="2021-07-28T00:00:00"/>
    <x v="6"/>
    <x v="0"/>
    <n v="2169.08"/>
    <s v="00512835"/>
    <s v="012039670"/>
    <x v="4"/>
    <s v="ADDLTDLIFEJUL21"/>
    <s v="7213000763"/>
    <s v="TRN"/>
    <s v="PUR0959887"/>
    <s v=""/>
    <s v="9260000"/>
    <s v="571900"/>
    <s v="9010"/>
    <s v="557"/>
    <s v="FMLACHRG"/>
    <s v="0000"/>
    <s v=""/>
  </r>
  <r>
    <d v="2021-07-28T00:00:00"/>
    <x v="6"/>
    <x v="0"/>
    <n v="2126.4299999999998"/>
    <s v="00513053"/>
    <s v="012047066"/>
    <x v="0"/>
    <s v="ACC867976DENTALALAUG21"/>
    <s v="0000262446"/>
    <s v="TRN"/>
    <s v="PUR0959887"/>
    <s v=""/>
    <s v="9260000"/>
    <s v="571900"/>
    <s v="9010"/>
    <s v="553"/>
    <s v="0000SUPT"/>
    <s v="0000"/>
    <s v=""/>
  </r>
  <r>
    <d v="2021-07-08T00:00:00"/>
    <x v="6"/>
    <x v="0"/>
    <n v="65.25"/>
    <s v="00509944"/>
    <s v="012061960"/>
    <x v="6"/>
    <s v="3248344"/>
    <s v="0000262715"/>
    <s v="TRN"/>
    <s v="PUR0959468"/>
    <s v=""/>
    <s v="9260000"/>
    <s v="571900"/>
    <s v="9010"/>
    <s v="554"/>
    <s v="0000SUPT"/>
    <s v="0000"/>
    <s v=""/>
  </r>
  <r>
    <d v="2021-07-28T00:00:00"/>
    <x v="6"/>
    <x v="0"/>
    <n v="52589.32"/>
    <s v="00513050"/>
    <s v="012051699"/>
    <x v="1"/>
    <s v="BCBSJUN21"/>
    <s v="0000262448"/>
    <s v="TRN"/>
    <s v="PUR0959887"/>
    <s v=""/>
    <s v="9260000"/>
    <s v="571900"/>
    <s v="9010"/>
    <s v="554"/>
    <s v="0000SUPT"/>
    <s v="0000"/>
    <s v=""/>
  </r>
  <r>
    <d v="2021-07-13T00:00:00"/>
    <x v="6"/>
    <x v="0"/>
    <n v="2157.5700000000002"/>
    <s v="00510605"/>
    <s v="003319350"/>
    <x v="5"/>
    <s v="6978"/>
    <s v="2200391216"/>
    <s v="TRN"/>
    <s v="PUR0959554"/>
    <s v=""/>
    <s v="9260000"/>
    <s v="571900"/>
    <s v="9010"/>
    <s v="554"/>
    <s v="BENEFITS"/>
    <s v="0000"/>
    <s v=""/>
  </r>
  <r>
    <d v="2021-08-10T00:00:00"/>
    <x v="7"/>
    <x v="0"/>
    <n v="174"/>
    <s v="00515439"/>
    <s v="012061960"/>
    <x v="6"/>
    <s v="3249855"/>
    <s v="0000265733"/>
    <s v="ESD"/>
    <s v="PUR0960421"/>
    <m/>
    <s v="9260000"/>
    <s v="521900"/>
    <s v="0000"/>
    <s v="554"/>
    <s v="BENEFITS"/>
    <s v="0000"/>
    <m/>
  </r>
  <r>
    <d v="2021-08-24T00:00:00"/>
    <x v="7"/>
    <x v="0"/>
    <n v="53511.24"/>
    <s v="00517393"/>
    <s v="012051699"/>
    <x v="1"/>
    <s v="BCBSJUL21"/>
    <s v="0000265614"/>
    <s v="TRN"/>
    <s v="PUR0960733"/>
    <m/>
    <s v="9260000"/>
    <s v="571900"/>
    <s v="9010"/>
    <s v="554"/>
    <s v="0000SUPT"/>
    <s v="0000"/>
    <m/>
  </r>
  <r>
    <d v="2021-08-13T00:00:00"/>
    <x v="7"/>
    <x v="0"/>
    <n v="11957.03"/>
    <s v="00516017"/>
    <s v="000858150"/>
    <x v="3"/>
    <s v="ONCOR2108"/>
    <s v="2200392794"/>
    <s v="ESD"/>
    <s v="PUR0960516"/>
    <m/>
    <s v="9260000"/>
    <s v="521900"/>
    <s v="0000"/>
    <s v="554"/>
    <s v="BENEFITS"/>
    <s v="0000"/>
    <m/>
  </r>
  <r>
    <d v="2021-08-05T00:00:00"/>
    <x v="7"/>
    <x v="0"/>
    <n v="544.9"/>
    <s v="00514713"/>
    <s v="000841250"/>
    <x v="2"/>
    <s v="353622116"/>
    <s v="0000263989"/>
    <s v="TRN"/>
    <s v="PUR0960317"/>
    <m/>
    <s v="9260000"/>
    <s v="571900"/>
    <s v="9010"/>
    <s v="554"/>
    <s v="0000SUPT"/>
    <s v="0000"/>
    <m/>
  </r>
  <r>
    <d v="2021-08-24T00:00:00"/>
    <x v="7"/>
    <x v="0"/>
    <n v="154102.07999999999"/>
    <s v="00517393"/>
    <s v="012051699"/>
    <x v="1"/>
    <s v="BCBSJUL21"/>
    <s v="0000265614"/>
    <s v="ESD"/>
    <s v="PUR0960727"/>
    <m/>
    <s v="9260000"/>
    <s v="521900"/>
    <s v="0000"/>
    <s v="554"/>
    <s v="BENEFITS"/>
    <s v="0000"/>
    <m/>
  </r>
  <r>
    <d v="2021-08-10T00:00:00"/>
    <x v="7"/>
    <x v="0"/>
    <n v="58"/>
    <s v="00515439"/>
    <s v="012061960"/>
    <x v="6"/>
    <s v="3249855"/>
    <s v="0000265733"/>
    <s v="TRN"/>
    <s v="PUR0960426"/>
    <m/>
    <s v="9260000"/>
    <s v="571900"/>
    <s v="9010"/>
    <s v="554"/>
    <s v="0000SUPT"/>
    <s v="0000"/>
    <m/>
  </r>
  <r>
    <d v="2021-08-25T00:00:00"/>
    <x v="7"/>
    <x v="0"/>
    <n v="2248.0500000000002"/>
    <s v="00517512"/>
    <s v="003319350"/>
    <x v="5"/>
    <s v="7147"/>
    <s v="2200394625"/>
    <s v="TRN"/>
    <s v="PUR0960766"/>
    <m/>
    <s v="9260000"/>
    <s v="571900"/>
    <s v="9010"/>
    <s v="554"/>
    <s v="0000SUPT"/>
    <s v="0000"/>
    <m/>
  </r>
  <r>
    <d v="2021-08-25T00:00:00"/>
    <x v="7"/>
    <x v="0"/>
    <n v="6446.05"/>
    <s v="00517300"/>
    <s v="012039670"/>
    <x v="4"/>
    <s v="ADDLTDLIFEAUG21"/>
    <s v="7213000868"/>
    <s v="ESD"/>
    <s v="PUR0960770"/>
    <m/>
    <s v="9260000"/>
    <s v="521900"/>
    <s v="4500"/>
    <s v="557"/>
    <s v="FMLACHRG"/>
    <s v="0000"/>
    <m/>
  </r>
  <r>
    <d v="2021-08-25T00:00:00"/>
    <x v="7"/>
    <x v="0"/>
    <n v="6669.5"/>
    <s v="00517512"/>
    <s v="003319350"/>
    <x v="5"/>
    <s v="7147"/>
    <s v="2200394625"/>
    <s v="ESD"/>
    <s v="PUR0960770"/>
    <m/>
    <s v="9260000"/>
    <s v="521900"/>
    <s v="0000"/>
    <s v="554"/>
    <s v="BENEFITS"/>
    <s v="0000"/>
    <m/>
  </r>
  <r>
    <d v="2021-08-13T00:00:00"/>
    <x v="7"/>
    <x v="0"/>
    <n v="3997.81"/>
    <s v="00516017"/>
    <s v="000858150"/>
    <x v="3"/>
    <s v="ONCOR2108"/>
    <s v="2200392794"/>
    <s v="TRN"/>
    <s v="PUR0960511"/>
    <m/>
    <s v="9260000"/>
    <s v="571900"/>
    <s v="9010"/>
    <s v="554"/>
    <s v="0000SUPT"/>
    <s v="0000"/>
    <m/>
  </r>
  <r>
    <d v="2021-08-23T00:00:00"/>
    <x v="7"/>
    <x v="0"/>
    <n v="2119.4"/>
    <s v="00517060"/>
    <s v="000841250"/>
    <x v="2"/>
    <s v="3573365143"/>
    <s v="0000266548"/>
    <s v="ESD"/>
    <s v="PUR0960703"/>
    <m/>
    <s v="9260000"/>
    <s v="521900"/>
    <s v="0000"/>
    <s v="554"/>
    <s v="BENEFITS"/>
    <s v="0000"/>
    <m/>
  </r>
  <r>
    <d v="2021-08-23T00:00:00"/>
    <x v="7"/>
    <x v="0"/>
    <n v="543.29999999999995"/>
    <s v="00517060"/>
    <s v="000841250"/>
    <x v="2"/>
    <s v="3573365143"/>
    <s v="0000266548"/>
    <s v="TRN"/>
    <s v="PUR0960696"/>
    <m/>
    <s v="9260000"/>
    <s v="571900"/>
    <s v="9010"/>
    <s v="554"/>
    <s v="BENEFITS"/>
    <s v="0000"/>
    <m/>
  </r>
  <r>
    <d v="2021-08-05T00:00:00"/>
    <x v="7"/>
    <x v="0"/>
    <n v="2127.6"/>
    <s v="00514713"/>
    <s v="000841250"/>
    <x v="2"/>
    <s v="353622116"/>
    <s v="0000263989"/>
    <s v="ESD"/>
    <s v="PUR0960324"/>
    <m/>
    <s v="9260000"/>
    <s v="521900"/>
    <s v="0000"/>
    <s v="554"/>
    <s v="BENEFITS"/>
    <s v="0000"/>
    <m/>
  </r>
  <r>
    <d v="2021-08-25T00:00:00"/>
    <x v="7"/>
    <x v="0"/>
    <n v="2318.8000000000002"/>
    <s v="00517513"/>
    <s v="012047066"/>
    <x v="0"/>
    <s v="ACC867976DENTALSEP21"/>
    <s v="0000265613"/>
    <s v="TRN"/>
    <s v="PUR0960766"/>
    <m/>
    <s v="9260000"/>
    <s v="571900"/>
    <s v="9010"/>
    <s v="553"/>
    <s v="0000SUPT"/>
    <s v="0000"/>
    <m/>
  </r>
  <r>
    <d v="2021-08-25T00:00:00"/>
    <x v="7"/>
    <x v="0"/>
    <n v="6936.6"/>
    <s v="00517513"/>
    <s v="012047066"/>
    <x v="0"/>
    <s v="ACC867976DENTALSEP21"/>
    <s v="0000265613"/>
    <s v="ESD"/>
    <s v="PUR0960770"/>
    <m/>
    <s v="9260000"/>
    <s v="521900"/>
    <s v="0000"/>
    <s v="553"/>
    <s v="BENEFITS"/>
    <s v="0000"/>
    <m/>
  </r>
  <r>
    <d v="2021-08-25T00:00:00"/>
    <x v="7"/>
    <x v="0"/>
    <n v="2137.4299999999998"/>
    <s v="00517300"/>
    <s v="012039670"/>
    <x v="4"/>
    <s v="ADDLTDLIFEAUG21"/>
    <s v="7213000868"/>
    <s v="TRN"/>
    <s v="PUR0960766"/>
    <m/>
    <s v="9260000"/>
    <s v="571900"/>
    <s v="9010"/>
    <s v="557"/>
    <s v="FMLACHRG"/>
    <s v="0000"/>
    <m/>
  </r>
  <r>
    <d v="2021-09-15T00:00:00"/>
    <x v="8"/>
    <x v="0"/>
    <n v="4741.5"/>
    <s v="00521000"/>
    <s v="003319350"/>
    <x v="5"/>
    <s v="7298"/>
    <s v="2200398503"/>
    <s v="ESD"/>
    <s v="PUR0961597"/>
    <m/>
    <s v="9260000"/>
    <s v="521900"/>
    <s v="0000"/>
    <s v="554"/>
    <s v="BENEFITS"/>
    <s v="0000"/>
    <m/>
  </r>
  <r>
    <d v="2021-09-24T00:00:00"/>
    <x v="8"/>
    <x v="0"/>
    <n v="54256.639999999999"/>
    <s v="00522411"/>
    <s v="012051699"/>
    <x v="1"/>
    <s v="BCBSAUG21"/>
    <s v="0000270390"/>
    <s v="TRN"/>
    <s v="PUR0961903"/>
    <m/>
    <s v="9260000"/>
    <s v="571900"/>
    <s v="9010"/>
    <s v="554"/>
    <s v="0000SUPT"/>
    <s v="0000"/>
    <m/>
  </r>
  <r>
    <d v="2021-09-21T00:00:00"/>
    <x v="8"/>
    <x v="0"/>
    <n v="3989.37"/>
    <s v="00521784"/>
    <s v="000858150"/>
    <x v="3"/>
    <s v="ONCOR2109"/>
    <s v="2200396632"/>
    <s v="TRN"/>
    <s v="PUR0961784"/>
    <m/>
    <s v="9260000"/>
    <s v="571900"/>
    <s v="9010"/>
    <s v="554"/>
    <s v="0000SUPT"/>
    <s v="0000"/>
    <m/>
  </r>
  <r>
    <d v="2021-09-21T00:00:00"/>
    <x v="8"/>
    <x v="0"/>
    <n v="11931.81"/>
    <s v="00521784"/>
    <s v="000858150"/>
    <x v="3"/>
    <s v="ONCOR2109"/>
    <s v="2200396632"/>
    <s v="ESD"/>
    <s v="PUR0961788"/>
    <m/>
    <s v="9260000"/>
    <s v="521900"/>
    <s v="0000"/>
    <s v="554"/>
    <s v="BENEFITS"/>
    <s v="0000"/>
    <m/>
  </r>
  <r>
    <d v="2021-09-29T00:00:00"/>
    <x v="8"/>
    <x v="0"/>
    <n v="6473.48"/>
    <s v="00522619"/>
    <s v="012039670"/>
    <x v="4"/>
    <s v="ADDLTDLIFESEP21"/>
    <s v="7213001007"/>
    <s v="ESD"/>
    <s v="PUR0962084"/>
    <m/>
    <s v="9260000"/>
    <s v="521900"/>
    <s v="4500"/>
    <s v="557"/>
    <s v="FMLACHRG"/>
    <s v="0000"/>
    <m/>
  </r>
  <r>
    <d v="2021-09-15T00:00:00"/>
    <x v="8"/>
    <x v="0"/>
    <n v="1599.35"/>
    <s v="00521000"/>
    <s v="003319350"/>
    <x v="5"/>
    <s v="7298"/>
    <s v="2200398503"/>
    <s v="TRN"/>
    <s v="PUR0961593"/>
    <m/>
    <s v="9260000"/>
    <s v="571900"/>
    <s v="9010"/>
    <s v="554"/>
    <s v="BENEFITS"/>
    <s v="0000"/>
    <m/>
  </r>
  <r>
    <d v="2021-09-23T00:00:00"/>
    <x v="8"/>
    <x v="0"/>
    <n v="2336.4"/>
    <s v="00522237"/>
    <s v="012047066"/>
    <x v="0"/>
    <s v="ACC867976DENTALOCT21"/>
    <s v="0000270388"/>
    <s v="TRN"/>
    <s v="PUR0961863"/>
    <m/>
    <s v="9260000"/>
    <s v="571900"/>
    <s v="9010"/>
    <s v="553"/>
    <s v="0000SUPT"/>
    <s v="0000"/>
    <m/>
  </r>
  <r>
    <d v="2021-09-24T00:00:00"/>
    <x v="8"/>
    <x v="0"/>
    <n v="156189.56"/>
    <s v="00522411"/>
    <s v="012051699"/>
    <x v="1"/>
    <s v="BCBSAUG21"/>
    <s v="0000270390"/>
    <s v="ESD"/>
    <s v="PUR0961909"/>
    <m/>
    <s v="9260000"/>
    <s v="521900"/>
    <s v="0000"/>
    <s v="554"/>
    <s v="BENEFITS"/>
    <s v="0000"/>
    <m/>
  </r>
  <r>
    <d v="2021-09-29T00:00:00"/>
    <x v="8"/>
    <x v="0"/>
    <n v="2221.83"/>
    <s v="00522619"/>
    <s v="012039670"/>
    <x v="4"/>
    <s v="ADDLTDLIFESEP21"/>
    <s v="7213001007"/>
    <s v="TRN"/>
    <s v="PUR0962092"/>
    <m/>
    <s v="9260000"/>
    <s v="571900"/>
    <s v="9010"/>
    <s v="557"/>
    <s v="FMLACHRG"/>
    <s v="0000"/>
    <m/>
  </r>
  <r>
    <d v="2021-09-23T00:00:00"/>
    <x v="8"/>
    <x v="0"/>
    <n v="6894.8"/>
    <s v="00522237"/>
    <s v="012047066"/>
    <x v="0"/>
    <s v="ACC867976DENTALOCT21"/>
    <s v="0000270388"/>
    <s v="ESD"/>
    <s v="PUR0961856"/>
    <m/>
    <s v="9260000"/>
    <s v="521900"/>
    <s v="0000"/>
    <s v="553"/>
    <s v="BENEFITS"/>
    <s v="0000"/>
    <m/>
  </r>
  <r>
    <d v="2021-09-15T00:00:00"/>
    <x v="8"/>
    <x v="0"/>
    <n v="58"/>
    <s v="00520915"/>
    <s v="012061960"/>
    <x v="6"/>
    <s v="3251375"/>
    <s v="0000270839"/>
    <s v="TRN"/>
    <s v="PUR0961593"/>
    <m/>
    <s v="9260000"/>
    <s v="571900"/>
    <s v="9010"/>
    <s v="554"/>
    <s v="0000SUPT"/>
    <s v="0000"/>
    <m/>
  </r>
  <r>
    <d v="2021-09-15T00:00:00"/>
    <x v="8"/>
    <x v="0"/>
    <n v="174"/>
    <s v="00520915"/>
    <s v="012061960"/>
    <x v="6"/>
    <s v="3251375"/>
    <s v="0000270839"/>
    <s v="ESD"/>
    <s v="PUR0961597"/>
    <m/>
    <s v="9260000"/>
    <s v="521900"/>
    <s v="0000"/>
    <s v="554"/>
    <s v="BENEFITS"/>
    <s v="0000"/>
    <m/>
  </r>
  <r>
    <d v="2021-10-25T00:00:00"/>
    <x v="9"/>
    <x v="0"/>
    <n v="529.25"/>
    <s v="00527130"/>
    <s v="012061960"/>
    <x v="6"/>
    <s v="3252965"/>
    <s v="0000276850"/>
    <s v="ESD"/>
    <s v="PUR0963133"/>
    <m/>
    <s v="9260000"/>
    <s v="521900"/>
    <s v="0000"/>
    <s v="554"/>
    <s v="BENEFITS"/>
    <s v="0000"/>
    <m/>
  </r>
  <r>
    <d v="2021-10-25T00:00:00"/>
    <x v="9"/>
    <x v="0"/>
    <n v="6850.8"/>
    <s v="00527188"/>
    <s v="012047066"/>
    <x v="0"/>
    <s v="ACC867976DENTALNOV21"/>
    <s v="0000276507"/>
    <s v="ESD"/>
    <s v="PUR0963133"/>
    <m/>
    <s v="9260000"/>
    <s v="521900"/>
    <s v="0000"/>
    <s v="553"/>
    <s v="BENEFITS"/>
    <s v="0000"/>
    <m/>
  </r>
  <r>
    <d v="2021-10-15T00:00:00"/>
    <x v="9"/>
    <x v="0"/>
    <n v="1606.6"/>
    <s v="00525463"/>
    <s v="003319350"/>
    <x v="5"/>
    <s v="7499"/>
    <s v="2200403055"/>
    <s v="TRN"/>
    <s v="PUR0962892"/>
    <m/>
    <s v="9260000"/>
    <s v="571900"/>
    <s v="9010"/>
    <s v="554"/>
    <s v="BENEFITS"/>
    <s v="0000"/>
    <m/>
  </r>
  <r>
    <d v="2021-10-05T00:00:00"/>
    <x v="9"/>
    <x v="0"/>
    <n v="2119.4"/>
    <s v="00523872"/>
    <s v="000841250"/>
    <x v="2"/>
    <s v="361422160"/>
    <s v="0000273042"/>
    <s v="ESD"/>
    <s v="PUR0962516"/>
    <m/>
    <s v="9260000"/>
    <s v="521900"/>
    <s v="0000"/>
    <s v="554"/>
    <s v="BENEFITS"/>
    <s v="0000"/>
    <m/>
  </r>
  <r>
    <d v="2021-10-15T00:00:00"/>
    <x v="9"/>
    <x v="0"/>
    <n v="4771.95"/>
    <s v="00525463"/>
    <s v="003319350"/>
    <x v="5"/>
    <s v="7499"/>
    <s v="2200403055"/>
    <s v="ESD"/>
    <s v="PUR0962888"/>
    <m/>
    <s v="9260000"/>
    <s v="521900"/>
    <s v="0000"/>
    <s v="554"/>
    <s v="BENEFITS"/>
    <s v="0000"/>
    <m/>
  </r>
  <r>
    <d v="2021-10-27T00:00:00"/>
    <x v="9"/>
    <x v="0"/>
    <n v="2190.1799999999998"/>
    <s v="00527468"/>
    <s v="012039670"/>
    <x v="4"/>
    <s v="ADDLTDLIFEOCT21"/>
    <s v="7213001118"/>
    <s v="TRN"/>
    <s v="PUR0963253"/>
    <m/>
    <s v="9260000"/>
    <s v="571900"/>
    <s v="9010"/>
    <s v="557"/>
    <s v="FMLACHRG"/>
    <s v="0000"/>
    <m/>
  </r>
  <r>
    <d v="2021-10-27T00:00:00"/>
    <x v="9"/>
    <x v="0"/>
    <n v="6500.91"/>
    <s v="00527468"/>
    <s v="012039670"/>
    <x v="4"/>
    <s v="ADDLTDLIFEOCT21"/>
    <s v="7213001118"/>
    <s v="ESD"/>
    <s v="PUR0963259"/>
    <m/>
    <s v="9260000"/>
    <s v="521900"/>
    <s v="4500"/>
    <s v="557"/>
    <s v="FMLACHRG"/>
    <s v="0000"/>
    <m/>
  </r>
  <r>
    <d v="2021-10-13T00:00:00"/>
    <x v="9"/>
    <x v="0"/>
    <n v="3984.69"/>
    <s v="00525327"/>
    <s v="000858150"/>
    <x v="3"/>
    <s v="ONCOR2110"/>
    <s v="2200401174"/>
    <s v="TRN"/>
    <s v="PUR0962829"/>
    <m/>
    <s v="9260000"/>
    <s v="571900"/>
    <s v="9010"/>
    <s v="554"/>
    <s v="0000SUPT"/>
    <s v="0000"/>
    <m/>
  </r>
  <r>
    <d v="2021-10-13T00:00:00"/>
    <x v="9"/>
    <x v="0"/>
    <n v="11917.79"/>
    <s v="00525327"/>
    <s v="000858150"/>
    <x v="3"/>
    <s v="ONCOR2110"/>
    <s v="2200401174"/>
    <s v="ESD"/>
    <s v="PUR0962835"/>
    <m/>
    <s v="9260000"/>
    <s v="521900"/>
    <s v="0000"/>
    <s v="554"/>
    <s v="BENEFITS"/>
    <s v="0000"/>
    <m/>
  </r>
  <r>
    <d v="2021-10-25T00:00:00"/>
    <x v="9"/>
    <x v="0"/>
    <n v="2281.4"/>
    <s v="00527188"/>
    <s v="012047066"/>
    <x v="0"/>
    <s v="ACC867976DENTALNOV21"/>
    <s v="0000276507"/>
    <s v="TRN"/>
    <s v="PUR0963139"/>
    <m/>
    <s v="9260000"/>
    <s v="571900"/>
    <s v="9010"/>
    <s v="553"/>
    <s v="0000SUPT"/>
    <s v="0000"/>
    <m/>
  </r>
  <r>
    <d v="2021-10-05T00:00:00"/>
    <x v="9"/>
    <x v="0"/>
    <n v="543.29999999999995"/>
    <s v="00523872"/>
    <s v="000841250"/>
    <x v="2"/>
    <s v="361422160"/>
    <s v="0000273042"/>
    <s v="TRN"/>
    <s v="PUR0962522"/>
    <m/>
    <s v="9260000"/>
    <s v="571900"/>
    <s v="9010"/>
    <s v="554"/>
    <s v="0000SUPT"/>
    <s v="0000"/>
    <m/>
  </r>
  <r>
    <d v="2021-11-04T00:00:00"/>
    <x v="10"/>
    <x v="0"/>
    <n v="157888.28"/>
    <s v="00526635"/>
    <s v="012051699"/>
    <x v="1"/>
    <s v="BCBSSEP21"/>
    <s v="0000278129"/>
    <s v="ESD"/>
    <s v="PUR0963801"/>
    <m/>
    <s v="9260000"/>
    <s v="521900"/>
    <s v="0000"/>
    <s v="554"/>
    <s v="BENEFITS"/>
    <s v="0000"/>
    <m/>
  </r>
  <r>
    <d v="2021-11-29T00:00:00"/>
    <x v="10"/>
    <x v="0"/>
    <n v="174"/>
    <s v="00531878"/>
    <s v="012061960"/>
    <x v="6"/>
    <s v="3254448"/>
    <s v="0000283162"/>
    <s v="ESD"/>
    <s v="PUR0964415"/>
    <m/>
    <s v="9260000"/>
    <s v="521900"/>
    <s v="0000"/>
    <s v="554"/>
    <s v="BENEFITS"/>
    <s v="0000"/>
    <m/>
  </r>
  <r>
    <d v="2021-11-10T00:00:00"/>
    <x v="10"/>
    <x v="0"/>
    <n v="2124.4499999999998"/>
    <s v="00527706"/>
    <s v="000841250"/>
    <x v="2"/>
    <s v="364843733"/>
    <s v="0000279298"/>
    <s v="ESD"/>
    <s v="PUR0963964"/>
    <m/>
    <s v="9260000"/>
    <s v="521900"/>
    <s v="0000"/>
    <s v="554"/>
    <s v="BENEFITS"/>
    <s v="0000"/>
    <m/>
  </r>
  <r>
    <d v="2021-11-30T00:00:00"/>
    <x v="10"/>
    <x v="0"/>
    <n v="7011.4"/>
    <s v="00531731"/>
    <s v="012047066"/>
    <x v="0"/>
    <s v="ACC867976DENTALDEC21"/>
    <s v="0000283160"/>
    <s v="ESD"/>
    <s v="PUR0964489"/>
    <m/>
    <s v="9260000"/>
    <s v="521900"/>
    <s v="0000"/>
    <s v="553"/>
    <s v="BENEFITS"/>
    <s v="0000"/>
    <m/>
  </r>
  <r>
    <d v="2021-11-30T00:00:00"/>
    <x v="10"/>
    <x v="0"/>
    <n v="53519.76"/>
    <s v="00531729"/>
    <s v="012051699"/>
    <x v="1"/>
    <s v="BCBSOCT21"/>
    <s v="0000283161"/>
    <s v="TRN"/>
    <s v="PUR0964481"/>
    <m/>
    <s v="9260000"/>
    <s v="571900"/>
    <s v="9010"/>
    <s v="554"/>
    <s v="0000SUPT"/>
    <s v="0000"/>
    <m/>
  </r>
  <r>
    <d v="2021-11-10T00:00:00"/>
    <x v="10"/>
    <x v="0"/>
    <n v="538.65"/>
    <s v="00527706"/>
    <s v="000841250"/>
    <x v="2"/>
    <s v="364843733"/>
    <s v="0000279298"/>
    <s v="TRN"/>
    <s v="PUR0963968"/>
    <m/>
    <s v="9260000"/>
    <s v="571900"/>
    <s v="9010"/>
    <s v="554"/>
    <s v="0000SUPT"/>
    <s v="0000"/>
    <m/>
  </r>
  <r>
    <d v="2021-11-30T00:00:00"/>
    <x v="10"/>
    <x v="0"/>
    <n v="2299"/>
    <s v="00531731"/>
    <s v="012047066"/>
    <x v="0"/>
    <s v="ACC867976DENTALDEC21"/>
    <s v="0000283160"/>
    <s v="TRN"/>
    <s v="PUR0964481"/>
    <m/>
    <s v="9260000"/>
    <s v="571900"/>
    <s v="9010"/>
    <s v="553"/>
    <s v="0000SUPT"/>
    <s v="0000"/>
    <m/>
  </r>
  <r>
    <d v="2021-11-29T00:00:00"/>
    <x v="10"/>
    <x v="0"/>
    <n v="58"/>
    <s v="00531878"/>
    <s v="012061960"/>
    <x v="6"/>
    <s v="3254448"/>
    <s v="0000283162"/>
    <s v="TRN"/>
    <s v="PUR0964421"/>
    <m/>
    <s v="9260000"/>
    <s v="571900"/>
    <s v="9010"/>
    <s v="554"/>
    <s v="0000SUPT"/>
    <s v="0000"/>
    <m/>
  </r>
  <r>
    <d v="2021-11-22T00:00:00"/>
    <x v="10"/>
    <x v="0"/>
    <n v="2095.23"/>
    <s v="00531403"/>
    <s v="012039670"/>
    <x v="4"/>
    <s v="ADDLTDLIFENOV21"/>
    <s v="7213001228"/>
    <s v="TRN"/>
    <s v="PUR0964278"/>
    <m/>
    <s v="9260000"/>
    <s v="571900"/>
    <s v="9010"/>
    <s v="557"/>
    <s v="FMLACHRG"/>
    <s v="0000"/>
    <m/>
  </r>
  <r>
    <d v="2021-11-04T00:00:00"/>
    <x v="10"/>
    <x v="0"/>
    <n v="53936.42"/>
    <s v="00526635"/>
    <s v="012051699"/>
    <x v="1"/>
    <s v="BCBSSEP21"/>
    <s v="0000278129"/>
    <s v="TRN"/>
    <s v="PUR0963797"/>
    <m/>
    <s v="9260000"/>
    <s v="571900"/>
    <s v="9010"/>
    <s v="554"/>
    <s v="0000SUPT"/>
    <s v="0000"/>
    <m/>
  </r>
  <r>
    <d v="2021-11-09T00:00:00"/>
    <x v="10"/>
    <x v="0"/>
    <n v="3993.12"/>
    <s v="00529604"/>
    <s v="000858150"/>
    <x v="3"/>
    <s v="ONCOR2111"/>
    <s v="2200405839"/>
    <s v="TRN"/>
    <s v="PUR0963931"/>
    <m/>
    <s v="9260000"/>
    <s v="571900"/>
    <s v="9010"/>
    <s v="554"/>
    <s v="0000SUPT"/>
    <s v="0000"/>
    <m/>
  </r>
  <r>
    <d v="2021-11-09T00:00:00"/>
    <x v="10"/>
    <x v="0"/>
    <n v="11943.02"/>
    <s v="00529604"/>
    <s v="000858150"/>
    <x v="3"/>
    <s v="ONCOR2111"/>
    <s v="2200405839"/>
    <s v="ESD"/>
    <s v="PUR0963925"/>
    <m/>
    <s v="9260000"/>
    <s v="521900"/>
    <s v="0000"/>
    <s v="554"/>
    <s v="BENEFITS"/>
    <s v="0000"/>
    <m/>
  </r>
  <r>
    <d v="2021-11-22T00:00:00"/>
    <x v="10"/>
    <x v="0"/>
    <n v="6492.47"/>
    <s v="00531403"/>
    <s v="012039670"/>
    <x v="4"/>
    <s v="ADDLTDLIFENOV21"/>
    <s v="7213001228"/>
    <s v="ESD"/>
    <s v="PUR0964271"/>
    <m/>
    <s v="9260000"/>
    <s v="521900"/>
    <s v="4500"/>
    <s v="557"/>
    <s v="FMLACHRG"/>
    <s v="0000"/>
    <m/>
  </r>
  <r>
    <d v="2021-11-18T00:00:00"/>
    <x v="10"/>
    <x v="0"/>
    <n v="2176.81"/>
    <s v="00530909"/>
    <s v="003319350"/>
    <x v="5"/>
    <s v="7601"/>
    <s v="2200407387"/>
    <s v="TRN"/>
    <s v="PUR0964183"/>
    <m/>
    <s v="9260000"/>
    <s v="571900"/>
    <s v="9010"/>
    <s v="554"/>
    <s v="BENEFITS"/>
    <s v="0000"/>
    <m/>
  </r>
  <r>
    <d v="2021-11-18T00:00:00"/>
    <x v="10"/>
    <x v="0"/>
    <n v="6518.59"/>
    <s v="00530909"/>
    <s v="003319350"/>
    <x v="5"/>
    <s v="7601"/>
    <s v="2200407387"/>
    <s v="ESD"/>
    <s v="PUR0964187"/>
    <m/>
    <s v="9260000"/>
    <s v="521900"/>
    <s v="0000"/>
    <s v="554"/>
    <s v="BENEFITS"/>
    <s v="0000"/>
    <m/>
  </r>
  <r>
    <d v="2021-11-30T00:00:00"/>
    <x v="10"/>
    <x v="0"/>
    <n v="155943.24"/>
    <s v="00531729"/>
    <s v="012051699"/>
    <x v="1"/>
    <s v="BCBSOCT21"/>
    <s v="0000283161"/>
    <s v="ESD"/>
    <s v="PUR0964489"/>
    <m/>
    <s v="9260000"/>
    <s v="521900"/>
    <s v="0000"/>
    <s v="554"/>
    <s v="BENEFITS"/>
    <s v="0000"/>
    <m/>
  </r>
  <r>
    <d v="2021-12-09T00:00:00"/>
    <x v="11"/>
    <x v="0"/>
    <n v="998.63"/>
    <s v="00534096"/>
    <s v="006639552"/>
    <x v="7"/>
    <s v="53299728"/>
    <s v="0000288676"/>
    <s v="TRN"/>
    <s v="PUR0965068"/>
    <m/>
    <s v="9260000"/>
    <s v="571900"/>
    <s v="9010"/>
    <s v="554"/>
    <s v="0000SUPT"/>
    <s v="0000"/>
    <m/>
  </r>
  <r>
    <d v="2021-12-14T00:00:00"/>
    <x v="11"/>
    <x v="0"/>
    <n v="1740.84"/>
    <s v="00535259"/>
    <s v="003319350"/>
    <x v="5"/>
    <s v="7779"/>
    <s v="2200411998"/>
    <s v="TRN"/>
    <s v="PUR0965193"/>
    <m/>
    <s v="9260000"/>
    <s v="571900"/>
    <s v="9010"/>
    <s v="554"/>
    <s v="BENEFITS"/>
    <s v="0000"/>
    <m/>
  </r>
  <r>
    <d v="2021-12-17T00:00:00"/>
    <x v="11"/>
    <x v="0"/>
    <n v="924.41"/>
    <s v="00536234"/>
    <s v="003319350"/>
    <x v="5"/>
    <s v="7856"/>
    <s v="2200412304"/>
    <s v="TRN"/>
    <s v="PUR0965293"/>
    <m/>
    <s v="9260000"/>
    <s v="571900"/>
    <s v="9010"/>
    <s v="554"/>
    <s v="BENEFITS"/>
    <s v="0000"/>
    <m/>
  </r>
  <r>
    <d v="2021-12-21T00:00:00"/>
    <x v="11"/>
    <x v="0"/>
    <n v="2152.1999999999998"/>
    <s v="00535914"/>
    <s v="012039670"/>
    <x v="4"/>
    <s v="ADDLTDLIFEDEC21"/>
    <s v="7213001346"/>
    <s v="TRN"/>
    <s v="PUR0965398"/>
    <m/>
    <s v="9260000"/>
    <s v="571900"/>
    <s v="9010"/>
    <s v="557"/>
    <s v="FMLACHRG"/>
    <s v="0000"/>
    <m/>
  </r>
  <r>
    <d v="2021-12-15T00:00:00"/>
    <x v="11"/>
    <x v="0"/>
    <n v="52428.3"/>
    <s v="00535377"/>
    <s v="012051699"/>
    <x v="1"/>
    <s v="BCBSNOV21"/>
    <s v="0000288692"/>
    <s v="TRN"/>
    <s v="PUR0965228"/>
    <m/>
    <s v="9260000"/>
    <s v="571900"/>
    <s v="9010"/>
    <s v="554"/>
    <s v="0000SUPT"/>
    <s v="0000"/>
    <m/>
  </r>
  <r>
    <d v="2021-12-09T00:00:00"/>
    <x v="11"/>
    <x v="0"/>
    <n v="8876.33"/>
    <s v="00534096"/>
    <s v="006639552"/>
    <x v="7"/>
    <s v="53299728"/>
    <s v="0000288676"/>
    <s v="ESD"/>
    <s v="PUR0965072"/>
    <m/>
    <s v="9260000"/>
    <s v="521900"/>
    <s v="0000"/>
    <s v="554"/>
    <s v="BENEFITS"/>
    <s v="0000"/>
    <m/>
  </r>
  <r>
    <d v="2021-12-16T00:00:00"/>
    <x v="11"/>
    <x v="0"/>
    <n v="535.6"/>
    <s v="00531271"/>
    <s v="000841250"/>
    <x v="2"/>
    <s v="369097685"/>
    <s v="0000286833"/>
    <s v="TRN"/>
    <s v="PUR0965253"/>
    <m/>
    <s v="9260000"/>
    <s v="571900"/>
    <s v="9010"/>
    <s v="554"/>
    <s v="0000SUPT"/>
    <s v="0000"/>
    <m/>
  </r>
  <r>
    <d v="2021-12-21T00:00:00"/>
    <x v="11"/>
    <x v="0"/>
    <n v="6528.34"/>
    <s v="00535914"/>
    <s v="012039670"/>
    <x v="4"/>
    <s v="ADDLTDLIFEDEC21"/>
    <s v="7213001346"/>
    <s v="ESD"/>
    <s v="PUR0965394"/>
    <m/>
    <s v="9260000"/>
    <s v="521900"/>
    <s v="4500"/>
    <s v="557"/>
    <s v="FMLACHRG"/>
    <s v="0000"/>
    <m/>
  </r>
  <r>
    <d v="2021-12-21T00:00:00"/>
    <x v="11"/>
    <x v="0"/>
    <n v="7449.9"/>
    <s v="00536717"/>
    <s v="012047066"/>
    <x v="0"/>
    <s v="ACC86797DENTALJAN22"/>
    <s v="0000288354"/>
    <s v="ESD"/>
    <s v="PUR0965394"/>
    <m/>
    <s v="9260000"/>
    <s v="521900"/>
    <s v="0000"/>
    <s v="553"/>
    <s v="BENEFITS"/>
    <s v="0000"/>
    <m/>
  </r>
  <r>
    <d v="2021-12-15T00:00:00"/>
    <x v="11"/>
    <x v="0"/>
    <n v="154515.79999999999"/>
    <s v="00535377"/>
    <s v="012051699"/>
    <x v="1"/>
    <s v="BCBSNOV21"/>
    <s v="0000288692"/>
    <s v="ESD"/>
    <s v="PUR0965232"/>
    <m/>
    <s v="9260000"/>
    <s v="521900"/>
    <s v="0000"/>
    <s v="554"/>
    <s v="BENEFITS"/>
    <s v="0000"/>
    <m/>
  </r>
  <r>
    <d v="2021-12-14T00:00:00"/>
    <x v="11"/>
    <x v="0"/>
    <n v="5230.41"/>
    <s v="00535259"/>
    <s v="003319350"/>
    <x v="5"/>
    <s v="7779"/>
    <s v="2200411998"/>
    <s v="ESD"/>
    <s v="PUR0965189"/>
    <m/>
    <s v="9260000"/>
    <s v="521900"/>
    <s v="0000"/>
    <s v="554"/>
    <s v="BENEFITS"/>
    <s v="0000"/>
    <m/>
  </r>
  <r>
    <d v="2021-12-09T00:00:00"/>
    <x v="11"/>
    <x v="0"/>
    <n v="174"/>
    <s v="00534097"/>
    <s v="012061960"/>
    <x v="6"/>
    <s v="3256033"/>
    <s v="0000288694"/>
    <s v="ESD"/>
    <s v="PUR0965072"/>
    <m/>
    <s v="9260000"/>
    <s v="521900"/>
    <s v="0000"/>
    <s v="554"/>
    <s v="BENEFITS"/>
    <s v="0000"/>
    <m/>
  </r>
  <r>
    <d v="2021-12-09T00:00:00"/>
    <x v="11"/>
    <x v="0"/>
    <n v="58"/>
    <s v="00534097"/>
    <s v="012061960"/>
    <x v="6"/>
    <s v="3256033"/>
    <s v="0000288694"/>
    <s v="TRN"/>
    <s v="PUR0965068"/>
    <m/>
    <s v="9260000"/>
    <s v="571900"/>
    <s v="9010"/>
    <s v="554"/>
    <s v="0000SUPT"/>
    <s v="0000"/>
    <m/>
  </r>
  <r>
    <d v="2021-12-16T00:00:00"/>
    <x v="11"/>
    <x v="0"/>
    <n v="2112.0500000000002"/>
    <s v="00531271"/>
    <s v="000841250"/>
    <x v="2"/>
    <s v="369097685"/>
    <s v="0000286833"/>
    <s v="ESD"/>
    <s v="PUR0965257"/>
    <m/>
    <s v="9260000"/>
    <s v="521900"/>
    <s v="0000"/>
    <s v="554"/>
    <s v="BENEFITS"/>
    <s v="0000"/>
    <m/>
  </r>
  <r>
    <d v="2021-12-17T00:00:00"/>
    <x v="11"/>
    <x v="0"/>
    <n v="2847.44"/>
    <s v="00536234"/>
    <s v="003319350"/>
    <x v="5"/>
    <s v="7856"/>
    <s v="2200412304"/>
    <s v="ESD"/>
    <s v="PUR0965298"/>
    <m/>
    <s v="9260000"/>
    <s v="521900"/>
    <s v="0000"/>
    <s v="554"/>
    <s v="BENEFITS"/>
    <s v="0000"/>
    <m/>
  </r>
  <r>
    <d v="2021-12-21T00:00:00"/>
    <x v="11"/>
    <x v="0"/>
    <n v="2442.1"/>
    <s v="00536717"/>
    <s v="012047066"/>
    <x v="0"/>
    <s v="ACC86797DENTALJAN22"/>
    <s v="0000288354"/>
    <s v="TRN"/>
    <s v="PUR0965398"/>
    <m/>
    <s v="9260000"/>
    <s v="571900"/>
    <s v="9010"/>
    <s v="553"/>
    <s v="0000SUPT"/>
    <s v="0000"/>
    <m/>
  </r>
  <r>
    <d v="2021-01-05T00:00:00"/>
    <x v="1"/>
    <x v="0"/>
    <n v="-233.75"/>
    <s v="UJE"/>
    <m/>
    <x v="6"/>
    <s v="Accrue Silverscript Fee Dec"/>
    <m/>
    <s v="ESD"/>
    <s v="0000894243"/>
    <s v="To accrue Q4 2020 Benefits"/>
    <s v="9260000"/>
    <s v="521900"/>
    <s v="0000"/>
    <s v="554"/>
    <s v="BENEFITS"/>
    <s v="0000"/>
    <m/>
  </r>
  <r>
    <d v="2021-01-05T00:00:00"/>
    <x v="1"/>
    <x v="0"/>
    <n v="-150024.51999999999"/>
    <s v="UJE"/>
    <m/>
    <x v="1"/>
    <s v="Accrue BCBS Fee Dec"/>
    <m/>
    <s v="ESD"/>
    <s v="0000894243"/>
    <s v="To accrue Q4 2020 Benefits"/>
    <s v="9260000"/>
    <s v="521900"/>
    <s v="0000"/>
    <s v="554"/>
    <s v="BENEFITS"/>
    <s v="0000"/>
    <m/>
  </r>
  <r>
    <d v="2021-01-05T00:00:00"/>
    <x v="1"/>
    <x v="0"/>
    <n v="-2.5"/>
    <s v="UJE"/>
    <m/>
    <x v="7"/>
    <s v="Accrue CVS WP ASO Fee Dec"/>
    <m/>
    <s v="ESD"/>
    <s v="0000894243"/>
    <s v="To accrue Q4 2020 Benefits"/>
    <s v="9260000"/>
    <s v="521900"/>
    <s v="0000"/>
    <s v="554"/>
    <s v="BENEFITS"/>
    <s v="0000"/>
    <m/>
  </r>
  <r>
    <d v="2021-01-05T00:00:00"/>
    <x v="1"/>
    <x v="0"/>
    <n v="-4196.25"/>
    <s v="UJE"/>
    <m/>
    <x v="5"/>
    <s v="Accrue Navigate Wellness Dec"/>
    <m/>
    <s v="ESD"/>
    <s v="0000894243"/>
    <s v="To accrue Q4 2020 Benefits"/>
    <s v="9260000"/>
    <s v="521900"/>
    <s v="0000"/>
    <s v="554"/>
    <s v="BENEFITS"/>
    <s v="0000"/>
    <m/>
  </r>
  <r>
    <d v="2021-01-05T00:00:00"/>
    <x v="1"/>
    <x v="0"/>
    <n v="-78.25"/>
    <s v="UJE"/>
    <m/>
    <x v="6"/>
    <s v="Accrue Silverscript Fee Dec"/>
    <m/>
    <s v="TRN"/>
    <s v="0000894243"/>
    <s v="To accrue Q4 2020 Benefits"/>
    <s v="9260000"/>
    <s v="571900"/>
    <s v="9010"/>
    <s v="554"/>
    <s v="0000SUPT"/>
    <s v="0000"/>
    <m/>
  </r>
  <r>
    <d v="2021-01-05T00:00:00"/>
    <x v="1"/>
    <x v="0"/>
    <n v="-49346.82"/>
    <s v="UJE"/>
    <m/>
    <x v="1"/>
    <s v="Accrue BCBS Fee Dec"/>
    <m/>
    <s v="TRN"/>
    <s v="0000894243"/>
    <s v="To accrue Q4 2020 Benefits"/>
    <s v="9260000"/>
    <s v="571900"/>
    <s v="9010"/>
    <s v="554"/>
    <s v="0000SUPT"/>
    <s v="0000"/>
    <m/>
  </r>
  <r>
    <d v="2021-01-05T00:00:00"/>
    <x v="1"/>
    <x v="0"/>
    <n v="-1"/>
    <s v="UJE"/>
    <m/>
    <x v="7"/>
    <s v="Accrue CVS WP ASO Fee Dec"/>
    <m/>
    <s v="TRN"/>
    <s v="0000894243"/>
    <s v="To accrue Q4 2020 Benefits"/>
    <s v="9260000"/>
    <s v="571900"/>
    <s v="9010"/>
    <s v="554"/>
    <s v="0000SUPT"/>
    <s v="0000"/>
    <m/>
  </r>
  <r>
    <d v="2021-01-05T00:00:00"/>
    <x v="1"/>
    <x v="0"/>
    <n v="-1345"/>
    <s v="UJE"/>
    <m/>
    <x v="5"/>
    <s v="Accrue Navigate Wellness Dec"/>
    <m/>
    <s v="TRN"/>
    <s v="0000894243"/>
    <s v="To accrue Q4 2020 Benefits"/>
    <s v="9260000"/>
    <s v="571900"/>
    <s v="9010"/>
    <s v="554"/>
    <s v="0000SUPT"/>
    <s v="0000"/>
    <m/>
  </r>
  <r>
    <d v="2021-04-05T00:00:00"/>
    <x v="2"/>
    <x v="0"/>
    <n v="157147.92000000001"/>
    <s v="UJE"/>
    <m/>
    <x v="1"/>
    <s v="Accrue BCBS Fee Mar"/>
    <m/>
    <s v="ESD"/>
    <s v="0000894243"/>
    <s v="To accrue Q1 2021 Benefits"/>
    <s v="9260000"/>
    <s v="521900"/>
    <s v="0000"/>
    <s v="554"/>
    <s v="BENEFITS"/>
    <s v="0000"/>
    <m/>
  </r>
  <r>
    <d v="2021-04-05T00:00:00"/>
    <x v="2"/>
    <x v="0"/>
    <n v="53555.56"/>
    <s v="UJE"/>
    <m/>
    <x v="1"/>
    <s v="Accrue BCBS Fee Mar"/>
    <m/>
    <s v="TRN"/>
    <s v="0000894243"/>
    <s v="To accrue Q1 2021 Benefits"/>
    <s v="9260000"/>
    <s v="571900"/>
    <s v="9010"/>
    <s v="554"/>
    <s v="0000SUPT"/>
    <s v="0000"/>
    <m/>
  </r>
  <r>
    <d v="2021-04-05T00:00:00"/>
    <x v="3"/>
    <x v="0"/>
    <n v="-157147.92000000001"/>
    <s v="UJE"/>
    <m/>
    <x v="1"/>
    <s v="Accrue BCBS Fee Mar"/>
    <m/>
    <s v="ESD"/>
    <s v="0000894243"/>
    <s v="To accrue Q1 2021 Benefits"/>
    <s v="9260000"/>
    <s v="521900"/>
    <s v="0000"/>
    <s v="554"/>
    <s v="BENEFITS"/>
    <s v="0000"/>
    <m/>
  </r>
  <r>
    <d v="2021-04-05T00:00:00"/>
    <x v="3"/>
    <x v="0"/>
    <n v="-53555.56"/>
    <s v="UJE"/>
    <m/>
    <x v="1"/>
    <s v="Accrue BCBS Fee Mar"/>
    <m/>
    <s v="TRN"/>
    <s v="0000894243"/>
    <s v="To accrue Q1 2021 Benefits"/>
    <s v="9260000"/>
    <s v="571900"/>
    <s v="9010"/>
    <s v="554"/>
    <s v="0000SUPT"/>
    <s v="0000"/>
    <m/>
  </r>
  <r>
    <d v="2021-07-01T00:00:00"/>
    <x v="5"/>
    <x v="0"/>
    <n v="154479.66"/>
    <s v="UJE"/>
    <m/>
    <x v="1"/>
    <s v="Accrue BCBS Fee Jun"/>
    <m/>
    <s v="ESD"/>
    <s v="0000894243"/>
    <s v="To accrue Q2 2021 Benefits"/>
    <s v="9260000"/>
    <s v="521900"/>
    <s v="0000"/>
    <s v="554"/>
    <s v="BENEFITS"/>
    <s v="0000"/>
    <m/>
  </r>
  <r>
    <d v="2021-07-01T00:00:00"/>
    <x v="5"/>
    <x v="0"/>
    <n v="51127.78"/>
    <s v="UJE"/>
    <m/>
    <x v="1"/>
    <s v="Accrue BCBS Fee Jun"/>
    <m/>
    <s v="TRN"/>
    <s v="0000894243"/>
    <s v="To accrue Q2 2021 Benefits"/>
    <s v="9260000"/>
    <s v="571900"/>
    <s v="9010"/>
    <s v="554"/>
    <s v="0000SUPT"/>
    <s v="0000"/>
    <m/>
  </r>
  <r>
    <d v="2021-07-01T00:00:00"/>
    <x v="6"/>
    <x v="0"/>
    <n v="-154479.66"/>
    <s v="UJE"/>
    <m/>
    <x v="1"/>
    <s v="Accrue BCBS Fee Jun"/>
    <m/>
    <s v="ESD"/>
    <s v="0000894243"/>
    <s v="To accrue Q2 2021 Benefits"/>
    <s v="9260000"/>
    <s v="521900"/>
    <s v="0000"/>
    <s v="554"/>
    <s v="BENEFITS"/>
    <s v="0000"/>
    <m/>
  </r>
  <r>
    <d v="2021-07-01T00:00:00"/>
    <x v="6"/>
    <x v="0"/>
    <n v="-51127.78"/>
    <s v="UJE"/>
    <m/>
    <x v="1"/>
    <s v="Accrue BCBS Fee Jun"/>
    <m/>
    <s v="TRN"/>
    <s v="0000894243"/>
    <s v="To accrue Q2 2021 Benefits"/>
    <s v="9260000"/>
    <s v="571900"/>
    <s v="9010"/>
    <s v="554"/>
    <s v="0000SUPT"/>
    <s v="0000"/>
    <m/>
  </r>
  <r>
    <d v="2021-10-04T00:00:00"/>
    <x v="8"/>
    <x v="0"/>
    <n v="174"/>
    <s v="UJE"/>
    <m/>
    <x v="6"/>
    <s v="Accrue Silverscript Fee Sep"/>
    <m/>
    <s v="ESD"/>
    <s v="0000894243"/>
    <s v="To accrue Q3 2021 Benefits"/>
    <s v="9260000"/>
    <s v="521900"/>
    <s v="0000"/>
    <s v="554"/>
    <s v="BENEFITS"/>
    <s v="0000"/>
    <m/>
  </r>
  <r>
    <d v="2021-10-04T00:00:00"/>
    <x v="8"/>
    <x v="0"/>
    <n v="156189.56"/>
    <s v="UJE"/>
    <m/>
    <x v="1"/>
    <s v="Accrue BCBS Fee Sep"/>
    <m/>
    <s v="ESD"/>
    <s v="0000894243"/>
    <s v="To accrue Q3 2021 Benefits"/>
    <s v="9260000"/>
    <s v="521900"/>
    <s v="0000"/>
    <s v="554"/>
    <s v="BENEFITS"/>
    <s v="0000"/>
    <m/>
  </r>
  <r>
    <d v="2021-10-04T00:00:00"/>
    <x v="8"/>
    <x v="0"/>
    <n v="58"/>
    <s v="UJE"/>
    <m/>
    <x v="6"/>
    <s v="Accrue Silverscript Fee Sep"/>
    <m/>
    <s v="TRN"/>
    <s v="0000894243"/>
    <s v="To accrue Q3 2021 Benefits"/>
    <s v="9260000"/>
    <s v="571900"/>
    <s v="9010"/>
    <s v="554"/>
    <s v="0000SUPT"/>
    <s v="0000"/>
    <m/>
  </r>
  <r>
    <d v="2021-10-04T00:00:00"/>
    <x v="8"/>
    <x v="0"/>
    <n v="54256.639999999999"/>
    <s v="UJE"/>
    <m/>
    <x v="1"/>
    <s v="Accrue BCBS Fee Sep"/>
    <m/>
    <s v="TRN"/>
    <s v="0000894243"/>
    <s v="To accrue Q3 2021 Benefits"/>
    <s v="9260000"/>
    <s v="571900"/>
    <s v="9010"/>
    <s v="554"/>
    <s v="0000SUPT"/>
    <s v="0000"/>
    <m/>
  </r>
  <r>
    <d v="2021-10-04T00:00:00"/>
    <x v="9"/>
    <x v="0"/>
    <n v="-174"/>
    <s v="UJE"/>
    <m/>
    <x v="6"/>
    <s v="Accrue Silverscript Fee Sep"/>
    <m/>
    <s v="ESD"/>
    <s v="0000894243"/>
    <s v="To accrue Q3 2021 Benefits"/>
    <s v="9260000"/>
    <s v="521900"/>
    <s v="0000"/>
    <s v="554"/>
    <s v="BENEFITS"/>
    <s v="0000"/>
    <m/>
  </r>
  <r>
    <d v="2021-10-04T00:00:00"/>
    <x v="9"/>
    <x v="0"/>
    <n v="-156189.56"/>
    <s v="UJE"/>
    <m/>
    <x v="1"/>
    <s v="Accrue BCBS Fee Sep"/>
    <m/>
    <s v="ESD"/>
    <s v="0000894243"/>
    <s v="To accrue Q3 2021 Benefits"/>
    <s v="9260000"/>
    <s v="521900"/>
    <s v="0000"/>
    <s v="554"/>
    <s v="BENEFITS"/>
    <s v="0000"/>
    <m/>
  </r>
  <r>
    <d v="2021-10-04T00:00:00"/>
    <x v="9"/>
    <x v="0"/>
    <n v="-58"/>
    <s v="UJE"/>
    <m/>
    <x v="6"/>
    <s v="Accrue Silverscript Fee Sep"/>
    <m/>
    <s v="TRN"/>
    <s v="0000894243"/>
    <s v="To accrue Q3 2021 Benefits"/>
    <s v="9260000"/>
    <s v="571900"/>
    <s v="9010"/>
    <s v="554"/>
    <s v="0000SUPT"/>
    <s v="0000"/>
    <m/>
  </r>
  <r>
    <d v="2021-10-04T00:00:00"/>
    <x v="9"/>
    <x v="0"/>
    <n v="-54256.639999999999"/>
    <s v="UJE"/>
    <m/>
    <x v="1"/>
    <s v="Accrue BCBS Fee Sep"/>
    <m/>
    <s v="TRN"/>
    <s v="0000894243"/>
    <s v="To accrue Q3 2021 Benefits"/>
    <s v="9260000"/>
    <s v="571900"/>
    <s v="9010"/>
    <s v="554"/>
    <s v="0000SUPT"/>
    <s v="0000"/>
    <m/>
  </r>
  <r>
    <d v="2022-01-05T00:00:00"/>
    <x v="11"/>
    <x v="0"/>
    <n v="3729.33"/>
    <s v="UJE"/>
    <m/>
    <x v="6"/>
    <s v="Accrue Silverscript Fee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154515.79999999999"/>
    <s v="UJE"/>
    <m/>
    <x v="1"/>
    <s v="Accrue BCBS Fee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3729.33"/>
    <s v="UJE"/>
    <m/>
    <x v="7"/>
    <s v="Accrue CVS ASO Fee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2090.3000000000002"/>
    <s v="UJE"/>
    <m/>
    <x v="2"/>
    <s v="Accrue CYC Admin Fee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2847.44"/>
    <s v="UJE"/>
    <m/>
    <x v="5"/>
    <s v="Accrue Navigate Wellness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723.85"/>
    <s v="UJE"/>
    <m/>
    <x v="6"/>
    <s v="Accrue Silverscript Fee Dec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52428.3"/>
    <s v="UJE"/>
    <m/>
    <x v="1"/>
    <s v="Accrue BCBS Fee Dec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723.85"/>
    <s v="UJE"/>
    <m/>
    <x v="7"/>
    <s v="Accrue CVS ASO Fee Dec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532.4"/>
    <s v="UJE"/>
    <m/>
    <x v="2"/>
    <s v="Accrue CYC Admin Fee Dec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924.41"/>
    <s v="UJE"/>
    <m/>
    <x v="5"/>
    <s v="Accrue Navigate Wellness Dec"/>
    <m/>
    <s v="TRN"/>
    <s v="0000894243"/>
    <s v="To accrue Q4 2021 Benefits"/>
    <s v="9260000"/>
    <s v="571900"/>
    <s v="9010"/>
    <s v="554"/>
    <s v="0000SUPT"/>
    <s v="0000"/>
    <m/>
  </r>
  <r>
    <d v="2021-01-14T00:00:00"/>
    <x v="1"/>
    <x v="0"/>
    <n v="31010.57"/>
    <s v="00477384"/>
    <s v="000174950"/>
    <x v="8"/>
    <s v="HEK0306145"/>
    <s v="0000245578"/>
    <s v="ESD"/>
    <s v="PUR0953587"/>
    <s v="Consulting svc 4Q2020"/>
    <s v="9260000"/>
    <s v="521900"/>
    <s v="0000"/>
    <s v="563"/>
    <s v="BENEFITS"/>
    <s v="0000"/>
    <s v=""/>
  </r>
  <r>
    <d v="2021-03-09T00:00:00"/>
    <x v="2"/>
    <x v="0"/>
    <n v="78452.039999999994"/>
    <s v="00486752"/>
    <s v="000168350"/>
    <x v="9"/>
    <s v="2644757"/>
    <s v="0000248139"/>
    <s v="ESD"/>
    <s v="PUR0955492"/>
    <s v=""/>
    <s v="9260000"/>
    <s v="521900"/>
    <s v="4500"/>
    <s v="563"/>
    <s v="00004500"/>
    <s v="0000"/>
    <s v=""/>
  </r>
  <r>
    <d v="2021-04-19T00:00:00"/>
    <x v="3"/>
    <x v="0"/>
    <n v="31940.91"/>
    <s v="00494994"/>
    <s v="000174950"/>
    <x v="8"/>
    <s v="HEK-0307349"/>
    <s v="0000254974"/>
    <s v="ESD"/>
    <s v="PUR0956677"/>
    <s v=""/>
    <s v="9260000"/>
    <s v="521900"/>
    <s v="0000"/>
    <s v="563"/>
    <s v="BENEFITS"/>
    <s v="0000"/>
    <s v=""/>
  </r>
  <r>
    <d v="2021-04-30T00:00:00"/>
    <x v="3"/>
    <x v="0"/>
    <n v="72468"/>
    <s v="00497700"/>
    <s v="000168350"/>
    <x v="9"/>
    <s v="2694472"/>
    <s v="0000256397"/>
    <s v="ESD"/>
    <s v="PUR0957038"/>
    <s v=""/>
    <s v="9260000"/>
    <s v="521900"/>
    <s v="4500"/>
    <s v="563"/>
    <s v="00004500"/>
    <s v="0000"/>
    <s v=""/>
  </r>
  <r>
    <d v="2021-07-13T00:00:00"/>
    <x v="6"/>
    <x v="0"/>
    <n v="31940.89"/>
    <s v="00510479"/>
    <s v="007558750"/>
    <x v="8"/>
    <s v="HEK-0308263"/>
    <s v="0000263526"/>
    <s v="ESD"/>
    <s v="PUR0959548"/>
    <s v=""/>
    <s v="9260000"/>
    <s v="521900"/>
    <s v="0000"/>
    <s v="563"/>
    <s v="BENEFITS"/>
    <s v="0000"/>
    <s v=""/>
  </r>
  <r>
    <d v="2021-08-12T00:00:00"/>
    <x v="7"/>
    <x v="0"/>
    <n v="75371.31"/>
    <s v="00515743"/>
    <s v="000168350"/>
    <x v="9"/>
    <s v="2743098"/>
    <s v="0000266769"/>
    <s v="ESD"/>
    <s v="PUR0960479"/>
    <m/>
    <s v="9260000"/>
    <s v="521900"/>
    <s v="4500"/>
    <s v="563"/>
    <s v="00004500"/>
    <s v="0000"/>
    <m/>
  </r>
  <r>
    <d v="2021-09-27T00:00:00"/>
    <x v="8"/>
    <x v="0"/>
    <n v="12587.31"/>
    <s v="00522554"/>
    <s v="000168350"/>
    <x v="9"/>
    <s v="2787129"/>
    <s v="0000273853"/>
    <s v="ESD"/>
    <s v="PUR0961953"/>
    <m/>
    <s v="9260000"/>
    <s v="521900"/>
    <s v="4500"/>
    <s v="563"/>
    <s v="00004500"/>
    <s v="0000"/>
    <m/>
  </r>
  <r>
    <d v="2021-10-27T00:00:00"/>
    <x v="9"/>
    <x v="0"/>
    <n v="72799.88"/>
    <s v="00527558"/>
    <s v="000168350"/>
    <x v="9"/>
    <s v="2792180"/>
    <m/>
    <s v="ESD"/>
    <s v="PUR0963259"/>
    <m/>
    <s v="9260000"/>
    <s v="521900"/>
    <s v="4500"/>
    <s v="563"/>
    <s v="00004500"/>
    <s v="0000"/>
    <m/>
  </r>
  <r>
    <d v="2021-10-18T00:00:00"/>
    <x v="9"/>
    <x v="0"/>
    <n v="31940.91"/>
    <s v="00525939"/>
    <s v="007558750"/>
    <x v="8"/>
    <s v="HEK-0309301"/>
    <s v="0000279147"/>
    <s v="ESD"/>
    <s v="PUR0962930"/>
    <m/>
    <s v="9260000"/>
    <s v="521900"/>
    <s v="0000"/>
    <s v="563"/>
    <s v="BENEFITS"/>
    <s v="0000"/>
    <m/>
  </r>
  <r>
    <d v="2021-10-20T00:00:00"/>
    <x v="9"/>
    <x v="0"/>
    <n v="12971.42"/>
    <s v="00526442"/>
    <s v="000168350"/>
    <x v="9"/>
    <s v="2821530"/>
    <s v="0000279643"/>
    <s v="ESD"/>
    <s v="PUR0963003"/>
    <m/>
    <s v="9260000"/>
    <s v="521900"/>
    <s v="4500"/>
    <s v="563"/>
    <s v="00004500"/>
    <s v="0000"/>
    <m/>
  </r>
  <r>
    <d v="2021-11-22T00:00:00"/>
    <x v="10"/>
    <x v="0"/>
    <n v="7133.75"/>
    <s v="00531505"/>
    <s v="000168350"/>
    <x v="9"/>
    <s v="2826116"/>
    <s v="0000286567"/>
    <s v="ESD"/>
    <s v="PUR0964271"/>
    <s v="data integrity project"/>
    <s v="9260000"/>
    <s v="521900"/>
    <s v="4500"/>
    <s v="563"/>
    <s v="00004500"/>
    <s v="0000"/>
    <m/>
  </r>
  <r>
    <d v="2021-01-04T00:00:00"/>
    <x v="1"/>
    <x v="0"/>
    <n v="-69663.179999999993"/>
    <s v="UJE"/>
    <m/>
    <x v="8"/>
    <s v="Aon Hewitt Invest Q420 Fees"/>
    <m/>
    <s v="ESD"/>
    <s v="0000952906"/>
    <s v="To accrue HR expense Pension and Thrift in December business."/>
    <s v="9260000"/>
    <s v="521900"/>
    <s v="0000"/>
    <s v="563"/>
    <s v="BENEFITS"/>
    <s v="0000"/>
    <m/>
  </r>
  <r>
    <d v="2021-01-04T00:00:00"/>
    <x v="1"/>
    <x v="0"/>
    <n v="-71131.44"/>
    <s v="UJE"/>
    <m/>
    <x v="9"/>
    <s v="Fidelity Thrift Pl Q420 Serv"/>
    <m/>
    <s v="ESD"/>
    <s v="0000952906"/>
    <s v="To accrue HR expense Pension and Thrift in December business."/>
    <s v="9260000"/>
    <s v="521900"/>
    <s v="4500"/>
    <s v="563"/>
    <s v="00004500"/>
    <s v="0000"/>
    <m/>
  </r>
  <r>
    <d v="2021-02-02T00:00:00"/>
    <x v="1"/>
    <x v="0"/>
    <n v="69663.179999999993"/>
    <s v="UJE"/>
    <m/>
    <x v="8"/>
    <s v="Aon Hewitt Invest Q420 Fees"/>
    <m/>
    <s v="ESD"/>
    <s v="0000954146"/>
    <s v="To accrue HR expense Pension and Thrift in January business."/>
    <s v="9260000"/>
    <s v="521900"/>
    <s v="0000"/>
    <s v="563"/>
    <s v="BENEFITS"/>
    <s v="0000"/>
    <m/>
  </r>
  <r>
    <d v="2021-02-02T00:00:00"/>
    <x v="1"/>
    <x v="0"/>
    <n v="71131.44"/>
    <s v="UJE"/>
    <m/>
    <x v="9"/>
    <s v="Fidelity Thrift Plan Q420 Serv"/>
    <m/>
    <s v="ESD"/>
    <s v="0000954146"/>
    <s v="To accrue HR expense Pension and Thrift in January business."/>
    <s v="9260000"/>
    <s v="521900"/>
    <s v="4500"/>
    <s v="563"/>
    <s v="00004500"/>
    <s v="0000"/>
    <m/>
  </r>
  <r>
    <d v="2021-02-02T00:00:00"/>
    <x v="0"/>
    <x v="0"/>
    <n v="-69663.179999999993"/>
    <s v="UJE"/>
    <m/>
    <x v="8"/>
    <s v="Aon Hewitt Invest Q420 Fees"/>
    <m/>
    <s v="ESD"/>
    <s v="0000954146"/>
    <s v="To accrue HR expense Pension and Thrift in January business."/>
    <s v="9260000"/>
    <s v="521900"/>
    <s v="0000"/>
    <s v="563"/>
    <s v="BENEFITS"/>
    <s v="0000"/>
    <m/>
  </r>
  <r>
    <d v="2021-02-02T00:00:00"/>
    <x v="0"/>
    <x v="0"/>
    <n v="-71131.44"/>
    <s v="UJE"/>
    <m/>
    <x v="9"/>
    <s v="Fidelity Thrift Plan Q420 Serv"/>
    <m/>
    <s v="ESD"/>
    <s v="0000954146"/>
    <s v="To accrue HR expense Pension and Thrift in January business."/>
    <s v="9260000"/>
    <s v="521900"/>
    <s v="4500"/>
    <s v="563"/>
    <s v="00004500"/>
    <s v="0000"/>
    <m/>
  </r>
  <r>
    <d v="2021-03-02T00:00:00"/>
    <x v="0"/>
    <x v="0"/>
    <n v="69663.179999999993"/>
    <s v="UJE"/>
    <m/>
    <x v="8"/>
    <s v="Aon Hewitt Inves Q420 Fees"/>
    <m/>
    <s v="ESD"/>
    <s v="0000955071"/>
    <s v="To accrue HR expense Pension and Thrift in February business."/>
    <s v="9260000"/>
    <s v="521900"/>
    <s v="0000"/>
    <s v="563"/>
    <s v="BENEFITS"/>
    <s v="0000"/>
    <m/>
  </r>
  <r>
    <d v="2021-03-02T00:00:00"/>
    <x v="0"/>
    <x v="0"/>
    <n v="71131.44"/>
    <s v="UJE"/>
    <m/>
    <x v="9"/>
    <s v="Fidelity Thrift Plan Q420 Serv"/>
    <m/>
    <s v="ESD"/>
    <s v="0000955071"/>
    <s v="To accrue HR expense Pension and Thrift in February business."/>
    <s v="9260000"/>
    <s v="521900"/>
    <s v="4500"/>
    <s v="563"/>
    <s v="00004500"/>
    <s v="0000"/>
    <m/>
  </r>
  <r>
    <d v="2021-03-02T00:00:00"/>
    <x v="2"/>
    <x v="0"/>
    <n v="-69663.179999999993"/>
    <s v="UJE"/>
    <m/>
    <x v="8"/>
    <s v="Aon Hewitt Inves Q420 Fees"/>
    <m/>
    <s v="ESD"/>
    <s v="0000955071"/>
    <s v="To accrue HR expense Pension and Thrift in February business."/>
    <s v="9260000"/>
    <s v="521900"/>
    <s v="0000"/>
    <s v="563"/>
    <s v="BENEFITS"/>
    <s v="0000"/>
    <m/>
  </r>
  <r>
    <d v="2021-03-02T00:00:00"/>
    <x v="2"/>
    <x v="0"/>
    <n v="-71131.44"/>
    <s v="UJE"/>
    <m/>
    <x v="9"/>
    <s v="Fidelity Thrift Plan Q420 Serv"/>
    <m/>
    <s v="ESD"/>
    <s v="0000955071"/>
    <s v="To accrue HR expense Pension and Thrift in February business."/>
    <s v="9260000"/>
    <s v="521900"/>
    <s v="4500"/>
    <s v="563"/>
    <s v="00004500"/>
    <s v="0000"/>
    <m/>
  </r>
  <r>
    <d v="2021-04-05T00:00:00"/>
    <x v="2"/>
    <x v="0"/>
    <n v="31010.57"/>
    <s v="UJE"/>
    <m/>
    <x v="8"/>
    <s v="Aon Hewitt InvestQ1 2021 Fees"/>
    <m/>
    <s v="ESD"/>
    <s v="0000956189"/>
    <s v="To accrue HR expense Pension and Thrift in March business."/>
    <s v="9260000"/>
    <s v="521900"/>
    <s v="0000"/>
    <s v="563"/>
    <s v="BENEFITS"/>
    <s v="0000"/>
    <m/>
  </r>
  <r>
    <d v="2021-04-05T00:00:00"/>
    <x v="2"/>
    <x v="0"/>
    <n v="71131.44"/>
    <s v="UJE"/>
    <m/>
    <x v="9"/>
    <s v="Fidelity Thft Plan Q1 20 Serv"/>
    <m/>
    <s v="ESD"/>
    <s v="0000956189"/>
    <s v="To accrue HR expense Pension and Thrift in March business."/>
    <s v="9260000"/>
    <s v="521900"/>
    <s v="4500"/>
    <s v="563"/>
    <s v="00004500"/>
    <s v="0000"/>
    <m/>
  </r>
  <r>
    <d v="2021-04-05T00:00:00"/>
    <x v="3"/>
    <x v="0"/>
    <n v="-31010.57"/>
    <s v="UJE"/>
    <m/>
    <x v="8"/>
    <s v="Aon Hewitt InvestQ1 2021 Fees"/>
    <m/>
    <s v="ESD"/>
    <s v="0000956189"/>
    <s v="To accrue HR expense Pension and Thrift in March business."/>
    <s v="9260000"/>
    <s v="521900"/>
    <s v="0000"/>
    <s v="563"/>
    <s v="BENEFITS"/>
    <s v="0000"/>
    <m/>
  </r>
  <r>
    <d v="2021-04-05T00:00:00"/>
    <x v="3"/>
    <x v="0"/>
    <n v="-71131.44"/>
    <s v="UJE"/>
    <m/>
    <x v="9"/>
    <s v="Fidelity Thft Plan Q1 20 Serv"/>
    <m/>
    <s v="ESD"/>
    <s v="0000956189"/>
    <s v="To accrue HR expense Pension and Thrift in March business."/>
    <s v="9260000"/>
    <s v="521900"/>
    <s v="4500"/>
    <s v="563"/>
    <s v="00004500"/>
    <s v="0000"/>
    <m/>
  </r>
  <r>
    <d v="2021-05-03T00:00:00"/>
    <x v="3"/>
    <x v="0"/>
    <n v="72468"/>
    <s v="UJE"/>
    <m/>
    <x v="9"/>
    <s v="Fidelity Thft Plan Q1 21 Serv"/>
    <m/>
    <s v="ESD"/>
    <s v="0000957073"/>
    <s v="To accrue HR expense Pension and Thrift in April business."/>
    <s v="9260000"/>
    <s v="521900"/>
    <s v="4500"/>
    <s v="563"/>
    <s v="00004500"/>
    <s v="0000"/>
    <m/>
  </r>
  <r>
    <d v="2021-05-03T00:00:00"/>
    <x v="4"/>
    <x v="0"/>
    <n v="-72468"/>
    <s v="UJE"/>
    <m/>
    <x v="9"/>
    <s v="Fidelity Thft Plan Q1 21 Serv"/>
    <m/>
    <s v="ESD"/>
    <s v="0000957073"/>
    <s v="To accrue HR expense Pension and Thrift in April business."/>
    <s v="9260000"/>
    <s v="521900"/>
    <s v="4500"/>
    <s v="563"/>
    <s v="00004500"/>
    <s v="0000"/>
    <m/>
  </r>
  <r>
    <d v="2021-07-02T00:00:00"/>
    <x v="5"/>
    <x v="0"/>
    <n v="31010.57"/>
    <s v="UJE"/>
    <m/>
    <x v="8"/>
    <s v="Aon Hewitt Invest Q221 Fees"/>
    <m/>
    <s v="ESD"/>
    <s v="0000959173"/>
    <s v="To accrue HR expense Pension and Thrift in June business."/>
    <s v="9260000"/>
    <s v="521900"/>
    <s v="0000"/>
    <s v="563"/>
    <s v="BENEFITS"/>
    <s v="0000"/>
    <m/>
  </r>
  <r>
    <d v="2021-07-02T00:00:00"/>
    <x v="5"/>
    <x v="0"/>
    <n v="71131.44"/>
    <s v="UJE"/>
    <m/>
    <x v="9"/>
    <s v="Fidelity Thrift Plan Q221 Ser"/>
    <m/>
    <s v="ESD"/>
    <s v="0000959173"/>
    <s v="To accrue HR expense Pension and Thrift in June business."/>
    <s v="9260000"/>
    <s v="521900"/>
    <s v="4500"/>
    <s v="563"/>
    <s v="00004500"/>
    <s v="0000"/>
    <m/>
  </r>
  <r>
    <d v="2021-07-02T00:00:00"/>
    <x v="6"/>
    <x v="0"/>
    <n v="-31010.57"/>
    <s v="UJE"/>
    <m/>
    <x v="8"/>
    <s v="Aon Hewitt Invest Q221 Fees"/>
    <m/>
    <s v="ESD"/>
    <s v="0000959173"/>
    <s v="To accrue HR expense Pension and Thrift in June business."/>
    <s v="9260000"/>
    <s v="521900"/>
    <s v="0000"/>
    <s v="563"/>
    <s v="BENEFITS"/>
    <s v="0000"/>
    <m/>
  </r>
  <r>
    <d v="2021-07-02T00:00:00"/>
    <x v="6"/>
    <x v="0"/>
    <n v="-71131.44"/>
    <s v="UJE"/>
    <m/>
    <x v="9"/>
    <s v="Fidelity Thrift Plan Q221 Ser"/>
    <m/>
    <s v="ESD"/>
    <s v="0000959173"/>
    <s v="To accrue HR expense Pension and Thrift in June business."/>
    <s v="9260000"/>
    <s v="521900"/>
    <s v="4500"/>
    <s v="563"/>
    <s v="00004500"/>
    <s v="0000"/>
    <m/>
  </r>
  <r>
    <d v="2021-08-04T00:00:00"/>
    <x v="6"/>
    <x v="0"/>
    <n v="71131.44"/>
    <s v="UJE"/>
    <m/>
    <x v="9"/>
    <s v="Fidelity Thrift Plan Q221 Ser"/>
    <m/>
    <s v="ESD"/>
    <s v="0000960191"/>
    <s v="To accrue HR expense Pension and Thrift in July business."/>
    <s v="9260000"/>
    <s v="521900"/>
    <s v="4500"/>
    <s v="563"/>
    <s v="00004500"/>
    <s v="0000"/>
    <m/>
  </r>
  <r>
    <d v="2021-08-04T00:00:00"/>
    <x v="7"/>
    <x v="0"/>
    <n v="-71131.44"/>
    <s v="UJE"/>
    <m/>
    <x v="9"/>
    <s v="Fidelity Thrift Plan Q221 Ser"/>
    <m/>
    <s v="ESD"/>
    <s v="0000960191"/>
    <s v="To accrue HR expense Pension and Thrift in July business."/>
    <s v="9260000"/>
    <s v="521900"/>
    <s v="4500"/>
    <s v="563"/>
    <s v="00004500"/>
    <s v="0000"/>
    <m/>
  </r>
  <r>
    <d v="2021-10-01T00:00:00"/>
    <x v="8"/>
    <x v="0"/>
    <n v="31940.89"/>
    <s v="UJE"/>
    <m/>
    <x v="8"/>
    <s v="Aon Hewitt Invest Q3 2021 Fees"/>
    <m/>
    <s v="ESD"/>
    <s v="0000962192"/>
    <s v="To accrue HR expense Pension and Thrift in September."/>
    <s v="9260000"/>
    <s v="521900"/>
    <s v="0000"/>
    <s v="563"/>
    <s v="BENEFITS"/>
    <s v="0000"/>
    <m/>
  </r>
  <r>
    <d v="2021-10-01T00:00:00"/>
    <x v="8"/>
    <x v="0"/>
    <n v="75371.31"/>
    <s v="UJE"/>
    <m/>
    <x v="9"/>
    <s v="Fidelity Thrift Plan Q3 Serv21"/>
    <m/>
    <s v="ESD"/>
    <s v="0000962192"/>
    <s v="To accrue HR expense Pension and Thrift in September."/>
    <s v="9260000"/>
    <s v="521900"/>
    <s v="4500"/>
    <s v="563"/>
    <s v="00004500"/>
    <s v="0000"/>
    <m/>
  </r>
  <r>
    <d v="2021-10-01T00:00:00"/>
    <x v="9"/>
    <x v="0"/>
    <n v="-31940.89"/>
    <s v="UJE"/>
    <m/>
    <x v="8"/>
    <s v="Aon Hewitt Invest Q3 2021 Fees"/>
    <m/>
    <s v="ESD"/>
    <s v="0000962192"/>
    <s v="To accrue HR expense Pension and Thrift in September."/>
    <s v="9260000"/>
    <s v="521900"/>
    <s v="0000"/>
    <s v="563"/>
    <s v="BENEFITS"/>
    <s v="0000"/>
    <m/>
  </r>
  <r>
    <d v="2021-10-01T00:00:00"/>
    <x v="9"/>
    <x v="0"/>
    <n v="-75371.31"/>
    <s v="UJE"/>
    <m/>
    <x v="9"/>
    <s v="Fidelity Thrift Plan Q3 Serv21"/>
    <m/>
    <s v="ESD"/>
    <s v="0000962192"/>
    <s v="To accrue HR expense Pension and Thrift in September."/>
    <s v="9260000"/>
    <s v="521900"/>
    <s v="4500"/>
    <s v="563"/>
    <s v="00004500"/>
    <s v="0000"/>
    <m/>
  </r>
  <r>
    <d v="2021-11-02T00:00:00"/>
    <x v="9"/>
    <x v="0"/>
    <n v="31940.91"/>
    <s v="UJE"/>
    <m/>
    <x v="8"/>
    <s v="Aon Hewitt Inves Q3 2021 Fees"/>
    <m/>
    <s v="ESD"/>
    <s v="0000963565"/>
    <s v="To accrue HR expense Pension and Thrift in October business."/>
    <s v="9260000"/>
    <s v="521900"/>
    <s v="0000"/>
    <s v="563"/>
    <s v="BENEFITS"/>
    <s v="0000"/>
    <m/>
  </r>
  <r>
    <d v="2021-11-02T00:00:00"/>
    <x v="9"/>
    <x v="0"/>
    <n v="72799.88"/>
    <s v="UJE"/>
    <m/>
    <x v="9"/>
    <s v="Fidelity Thrift Plan Q321 Serv"/>
    <m/>
    <s v="ESD"/>
    <s v="0000963565"/>
    <s v="To accrue HR expense Pension and Thrift in October business."/>
    <s v="9260000"/>
    <s v="521900"/>
    <s v="4500"/>
    <s v="563"/>
    <s v="00004500"/>
    <s v="0000"/>
    <m/>
  </r>
  <r>
    <d v="2021-11-02T00:00:00"/>
    <x v="10"/>
    <x v="0"/>
    <n v="-31940.91"/>
    <s v="UJE"/>
    <m/>
    <x v="8"/>
    <s v="Aon Hewitt Inves Q3 2021 Fees"/>
    <m/>
    <s v="ESD"/>
    <s v="0000963565"/>
    <s v="To accrue HR expense Pension and Thrift in October business."/>
    <s v="9260000"/>
    <s v="521900"/>
    <s v="0000"/>
    <s v="563"/>
    <s v="BENEFITS"/>
    <s v="0000"/>
    <m/>
  </r>
  <r>
    <d v="2021-11-02T00:00:00"/>
    <x v="10"/>
    <x v="0"/>
    <n v="-72799.88"/>
    <s v="UJE"/>
    <m/>
    <x v="9"/>
    <s v="Fidelity Thrift Plan Q321 Serv"/>
    <m/>
    <s v="ESD"/>
    <s v="0000963565"/>
    <s v="To accrue HR expense Pension and Thrift in October business."/>
    <s v="9260000"/>
    <s v="521900"/>
    <s v="4500"/>
    <s v="563"/>
    <s v="00004500"/>
    <s v="0000"/>
    <m/>
  </r>
  <r>
    <d v="2022-01-04T00:00:00"/>
    <x v="11"/>
    <x v="0"/>
    <n v="31940.91"/>
    <s v="UJE"/>
    <m/>
    <x v="8"/>
    <s v="Aon Hewitt InvesQ4 21"/>
    <m/>
    <s v="ESD"/>
    <s v="0000965896"/>
    <s v="To accrue HR expense Pension and Thrift in December business."/>
    <s v="9260000"/>
    <s v="521900"/>
    <s v="0000"/>
    <s v="563"/>
    <s v="BENEFITS"/>
    <s v="0000"/>
    <m/>
  </r>
  <r>
    <d v="2022-01-04T00:00:00"/>
    <x v="11"/>
    <x v="0"/>
    <n v="72799.88"/>
    <s v="UJE"/>
    <m/>
    <x v="9"/>
    <s v="Fidelity Thrift PlanQ421 Ser"/>
    <m/>
    <s v="ESD"/>
    <s v="0000965896"/>
    <s v="To accrue HR expense Pension and Thrift in December business."/>
    <s v="9260000"/>
    <s v="521900"/>
    <s v="4500"/>
    <s v="563"/>
    <s v="00004500"/>
    <s v="00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6">
  <r>
    <d v="2021-01-29T00:00:00"/>
    <x v="0"/>
    <x v="0"/>
    <n v="93147.32"/>
    <s v="00479914"/>
    <s v="012039670"/>
    <x v="0"/>
    <s v="ADDLTDLIFEJAN21"/>
    <s v="7213000090"/>
    <s v="ESD"/>
    <s v="PUR0954014"/>
    <s v=""/>
    <s v="9260000"/>
    <s v="521900"/>
    <s v="4500"/>
    <x v="0"/>
    <s v="00004500"/>
    <s v="0000"/>
    <s v=""/>
  </r>
  <r>
    <d v="2021-01-29T00:00:00"/>
    <x v="0"/>
    <x v="0"/>
    <n v="20988.9"/>
    <s v="00479914"/>
    <s v="012039670"/>
    <x v="0"/>
    <s v="ADDLTDLIFEJAN21"/>
    <s v="7213000090"/>
    <s v="TRN"/>
    <s v="PUR0954009"/>
    <s v=""/>
    <s v="9260000"/>
    <s v="571900"/>
    <s v="9010"/>
    <x v="1"/>
    <s v="0000SUPT"/>
    <s v="0000"/>
    <s v=""/>
  </r>
  <r>
    <d v="2021-01-29T00:00:00"/>
    <x v="0"/>
    <x v="0"/>
    <n v="383542.42"/>
    <s v="00479914"/>
    <s v="012039670"/>
    <x v="0"/>
    <s v="ADDLTDLIFEJAN21"/>
    <s v="7213000090"/>
    <s v="ESD"/>
    <s v="PUR0954014"/>
    <s v=""/>
    <s v="9260000"/>
    <s v="521900"/>
    <s v="0000"/>
    <x v="2"/>
    <s v="00000000"/>
    <s v="0000"/>
    <s v=""/>
  </r>
  <r>
    <d v="2021-01-29T00:00:00"/>
    <x v="0"/>
    <x v="0"/>
    <n v="30835.25"/>
    <s v="00479914"/>
    <s v="012039670"/>
    <x v="0"/>
    <s v="ADDLTDLIFEJAN21"/>
    <s v="7213000090"/>
    <s v="TRN"/>
    <s v="PUR0954009"/>
    <s v=""/>
    <s v="9260000"/>
    <s v="571900"/>
    <s v="9010"/>
    <x v="0"/>
    <s v="0000SUPT"/>
    <s v="0000"/>
    <s v=""/>
  </r>
  <r>
    <d v="2021-01-29T00:00:00"/>
    <x v="0"/>
    <x v="0"/>
    <n v="66810.47"/>
    <s v="00479914"/>
    <s v="012039670"/>
    <x v="0"/>
    <s v="ADDLTDLIFEJAN21"/>
    <s v="7213000090"/>
    <s v="ESD"/>
    <s v="PUR0954014"/>
    <s v=""/>
    <s v="9260000"/>
    <s v="521900"/>
    <s v="4500"/>
    <x v="1"/>
    <s v="00004500"/>
    <s v="0000"/>
    <s v=""/>
  </r>
  <r>
    <d v="2021-01-29T00:00:00"/>
    <x v="0"/>
    <x v="0"/>
    <n v="98000.49"/>
    <s v="00479914"/>
    <s v="012039670"/>
    <x v="0"/>
    <s v="ADDLTDLIFEJAN21"/>
    <s v="7213000090"/>
    <s v="TRN"/>
    <s v="PUR0954009"/>
    <s v=""/>
    <s v="9260000"/>
    <s v="571900"/>
    <s v="9010"/>
    <x v="2"/>
    <s v="0000SUPT"/>
    <s v="0000"/>
    <s v=""/>
  </r>
  <r>
    <d v="2021-02-26T00:00:00"/>
    <x v="1"/>
    <x v="0"/>
    <n v="21412.080000000002"/>
    <s v="00484856"/>
    <s v="012039670"/>
    <x v="0"/>
    <s v="ADDLTDLIFEFEB21"/>
    <s v="7213000178"/>
    <s v="TRN"/>
    <s v="PUR0954937"/>
    <s v=""/>
    <s v="9260000"/>
    <s v="571900"/>
    <s v="9010"/>
    <x v="1"/>
    <s v="0000SUPT"/>
    <s v="0000"/>
    <s v=""/>
  </r>
  <r>
    <d v="2021-02-26T00:00:00"/>
    <x v="1"/>
    <x v="0"/>
    <n v="98117.55"/>
    <s v="00484856"/>
    <s v="012039670"/>
    <x v="0"/>
    <s v="ADDLTDLIFEFEB21"/>
    <s v="7213000178"/>
    <s v="TRN"/>
    <s v="PUR0954937"/>
    <s v=""/>
    <s v="9260000"/>
    <s v="571900"/>
    <s v="9010"/>
    <x v="2"/>
    <s v="0000SUPT"/>
    <s v="0000"/>
    <s v=""/>
  </r>
  <r>
    <d v="2021-02-26T00:00:00"/>
    <x v="1"/>
    <x v="0"/>
    <n v="66483.95"/>
    <s v="00484856"/>
    <s v="012039670"/>
    <x v="0"/>
    <s v="ADDLTDLIFEFEB21"/>
    <s v="7213000178"/>
    <s v="ESD"/>
    <s v="PUR0954940"/>
    <s v=""/>
    <s v="9260000"/>
    <s v="521900"/>
    <s v="4500"/>
    <x v="1"/>
    <s v="00004500"/>
    <s v="0000"/>
    <s v=""/>
  </r>
  <r>
    <d v="2021-02-26T00:00:00"/>
    <x v="1"/>
    <x v="0"/>
    <n v="92723.59"/>
    <s v="00484856"/>
    <s v="012039670"/>
    <x v="0"/>
    <s v="ADDLTDLIFEFEB21"/>
    <s v="7213000178"/>
    <s v="ESD"/>
    <s v="PUR0954940"/>
    <s v=""/>
    <s v="9260000"/>
    <s v="521900"/>
    <s v="4500"/>
    <x v="0"/>
    <s v="00004500"/>
    <s v="0000"/>
    <s v=""/>
  </r>
  <r>
    <d v="2021-02-26T00:00:00"/>
    <x v="1"/>
    <x v="0"/>
    <n v="32204.83"/>
    <s v="00484856"/>
    <s v="012039670"/>
    <x v="0"/>
    <s v="ADDLTDLIFEFEB21"/>
    <s v="7213000178"/>
    <s v="TRN"/>
    <s v="PUR0954937"/>
    <s v=""/>
    <s v="9260000"/>
    <s v="571900"/>
    <s v="9010"/>
    <x v="0"/>
    <s v="0000SUPT"/>
    <s v="0000"/>
    <s v=""/>
  </r>
  <r>
    <d v="2021-02-26T00:00:00"/>
    <x v="1"/>
    <x v="0"/>
    <n v="380212.03"/>
    <s v="00484856"/>
    <s v="012039670"/>
    <x v="0"/>
    <s v="ADDLTDLIFEFEB21"/>
    <s v="7213000178"/>
    <s v="ESD"/>
    <s v="PUR0954940"/>
    <s v=""/>
    <s v="9260000"/>
    <s v="521900"/>
    <s v="0000"/>
    <x v="2"/>
    <s v="00000000"/>
    <s v="0000"/>
    <s v=""/>
  </r>
  <r>
    <d v="2021-01-28T00:00:00"/>
    <x v="0"/>
    <x v="0"/>
    <n v="104614.85"/>
    <s v="00480149"/>
    <s v="012013790"/>
    <x v="1"/>
    <s v="HMOSWFEB2021"/>
    <s v="0000244609"/>
    <s v="ESD"/>
    <s v="PUR0953956"/>
    <s v=""/>
    <s v="9260000"/>
    <s v="521900"/>
    <s v="0000"/>
    <x v="3"/>
    <s v="BENEFITS"/>
    <s v="0000"/>
    <s v=""/>
  </r>
  <r>
    <d v="2021-01-28T00:00:00"/>
    <x v="0"/>
    <x v="0"/>
    <n v="12545.68"/>
    <s v="00480149"/>
    <s v="012013790"/>
    <x v="1"/>
    <s v="HMOSWFEB2021"/>
    <s v="0000244609"/>
    <s v="TRN"/>
    <s v="PUR0953951"/>
    <s v=""/>
    <s v="9260000"/>
    <s v="571900"/>
    <s v="9010"/>
    <x v="3"/>
    <s v="0000SUPT"/>
    <s v="0000"/>
    <s v=""/>
  </r>
  <r>
    <d v="2021-02-25T00:00:00"/>
    <x v="1"/>
    <x v="0"/>
    <n v="12545.68"/>
    <s v="00484895"/>
    <s v="012013790"/>
    <x v="1"/>
    <s v="HMOSWMAR2021"/>
    <s v="0000247052"/>
    <s v="TRN"/>
    <s v="PUR0954887"/>
    <s v=""/>
    <s v="9260000"/>
    <s v="571900"/>
    <s v="9010"/>
    <x v="3"/>
    <s v="0000SUPT"/>
    <s v="0000"/>
    <s v=""/>
  </r>
  <r>
    <d v="2021-02-25T00:00:00"/>
    <x v="1"/>
    <x v="0"/>
    <n v="105390.41"/>
    <s v="00484895"/>
    <s v="012013790"/>
    <x v="1"/>
    <s v="HMOSWMAR2021"/>
    <s v="0000247052"/>
    <s v="ESD"/>
    <s v="PUR0954892"/>
    <s v=""/>
    <s v="9260000"/>
    <s v="521900"/>
    <s v="0000"/>
    <x v="3"/>
    <s v="BENEFITS"/>
    <s v="0000"/>
    <s v=""/>
  </r>
  <r>
    <d v="2021-03-04T00:00:00"/>
    <x v="2"/>
    <x v="0"/>
    <n v="525"/>
    <s v="00486618"/>
    <s v="012039670"/>
    <x v="0"/>
    <s v="2021TAKEOVERLTD"/>
    <s v="7213000192"/>
    <s v="TRN"/>
    <s v="PUR0955345"/>
    <s v=""/>
    <s v="9260000"/>
    <s v="571900"/>
    <s v="9010"/>
    <x v="0"/>
    <s v="0000SUPT"/>
    <s v="0000"/>
    <s v=""/>
  </r>
  <r>
    <d v="2021-03-24T00:00:00"/>
    <x v="2"/>
    <x v="0"/>
    <n v="105390.41"/>
    <s v="00489929"/>
    <s v="012013790"/>
    <x v="1"/>
    <s v="HMOSWAPR2021"/>
    <s v="0000250036"/>
    <s v="ESD"/>
    <s v="PUR0955836"/>
    <s v=""/>
    <s v="9260000"/>
    <s v="521900"/>
    <s v="0000"/>
    <x v="3"/>
    <s v="BENEFITS"/>
    <s v="0000"/>
    <s v=""/>
  </r>
  <r>
    <d v="2021-03-24T00:00:00"/>
    <x v="2"/>
    <x v="0"/>
    <n v="12545.68"/>
    <s v="00489929"/>
    <s v="012013790"/>
    <x v="1"/>
    <s v="HMOSWAPR2021"/>
    <s v="0000250036"/>
    <s v="TRN"/>
    <s v="PUR0955840"/>
    <s v=""/>
    <s v="9260000"/>
    <s v="571900"/>
    <s v="9010"/>
    <x v="3"/>
    <s v="0000SUPT"/>
    <s v="0000"/>
    <s v=""/>
  </r>
  <r>
    <d v="2021-03-04T00:00:00"/>
    <x v="2"/>
    <x v="0"/>
    <n v="3150"/>
    <s v="00486618"/>
    <s v="012039670"/>
    <x v="0"/>
    <s v="2021TAKEOVERLTD"/>
    <s v="7213000192"/>
    <s v="ESD"/>
    <s v="PUR0955341"/>
    <s v=""/>
    <s v="9260000"/>
    <s v="521900"/>
    <s v="4500"/>
    <x v="0"/>
    <s v="00004500"/>
    <s v="0000"/>
    <s v=""/>
  </r>
  <r>
    <d v="2021-03-25T00:00:00"/>
    <x v="2"/>
    <x v="0"/>
    <n v="94102.14"/>
    <s v="00490037"/>
    <s v="012039670"/>
    <x v="0"/>
    <s v="ADDLTDLIFEMAR21"/>
    <s v="7213000264"/>
    <s v="TRN"/>
    <s v="PUR0955870"/>
    <s v=""/>
    <s v="9260000"/>
    <s v="571900"/>
    <s v="9010"/>
    <x v="2"/>
    <s v="0000SUPT"/>
    <s v="0000"/>
    <s v=""/>
  </r>
  <r>
    <d v="2021-03-25T00:00:00"/>
    <x v="2"/>
    <x v="0"/>
    <n v="20934.64"/>
    <s v="00490037"/>
    <s v="012039670"/>
    <x v="0"/>
    <s v="ADDLTDLIFEMAR21"/>
    <s v="7213000264"/>
    <s v="TRN"/>
    <s v="PUR0955870"/>
    <s v=""/>
    <s v="9260000"/>
    <s v="571900"/>
    <s v="9010"/>
    <x v="1"/>
    <s v="0000SUPT"/>
    <s v="0000"/>
    <s v=""/>
  </r>
  <r>
    <d v="2021-03-25T00:00:00"/>
    <x v="2"/>
    <x v="0"/>
    <n v="372052.83"/>
    <s v="00490037"/>
    <s v="012039670"/>
    <x v="0"/>
    <s v="ADDLTDLIFEMAR21"/>
    <s v="7213000264"/>
    <s v="ESD"/>
    <s v="PUR0955873"/>
    <s v=""/>
    <s v="9260000"/>
    <s v="521900"/>
    <s v="0000"/>
    <x v="2"/>
    <s v="00000000"/>
    <s v="0000"/>
    <s v=""/>
  </r>
  <r>
    <d v="2021-03-25T00:00:00"/>
    <x v="2"/>
    <x v="0"/>
    <n v="91537.47"/>
    <s v="00490037"/>
    <s v="012039670"/>
    <x v="0"/>
    <s v="ADDLTDLIFEMAR21"/>
    <s v="7213000264"/>
    <s v="ESD"/>
    <s v="PUR0955873"/>
    <s v=""/>
    <s v="9260000"/>
    <s v="521900"/>
    <s v="4500"/>
    <x v="0"/>
    <s v="00004500"/>
    <s v="0000"/>
    <s v=""/>
  </r>
  <r>
    <d v="2021-03-25T00:00:00"/>
    <x v="2"/>
    <x v="0"/>
    <n v="65814.34"/>
    <s v="00490037"/>
    <s v="012039670"/>
    <x v="0"/>
    <s v="ADDLTDLIFEMAR21"/>
    <s v="7213000264"/>
    <s v="ESD"/>
    <s v="PUR0955873"/>
    <s v=""/>
    <s v="9260000"/>
    <s v="521900"/>
    <s v="4500"/>
    <x v="1"/>
    <s v="00004500"/>
    <s v="0000"/>
    <s v=""/>
  </r>
  <r>
    <d v="2021-03-25T00:00:00"/>
    <x v="2"/>
    <x v="0"/>
    <n v="30998.34"/>
    <s v="00490037"/>
    <s v="012039670"/>
    <x v="0"/>
    <s v="ADDLTDLIFEMAR21"/>
    <s v="7213000264"/>
    <s v="TRN"/>
    <s v="PUR0955870"/>
    <s v=""/>
    <s v="9260000"/>
    <s v="571900"/>
    <s v="9010"/>
    <x v="0"/>
    <s v="0000SUPT"/>
    <s v="0000"/>
    <s v=""/>
  </r>
  <r>
    <d v="2021-04-29T00:00:00"/>
    <x v="3"/>
    <x v="0"/>
    <n v="95455.14"/>
    <s v="00497058"/>
    <s v="012039670"/>
    <x v="0"/>
    <s v="ADDLTDLIFEAPR21"/>
    <s v="7213000394"/>
    <s v="TRN"/>
    <s v="PUR0957001"/>
    <s v=""/>
    <s v="9260000"/>
    <s v="571900"/>
    <s v="9010"/>
    <x v="2"/>
    <s v="0000SUPT"/>
    <s v="0000"/>
    <s v=""/>
  </r>
  <r>
    <d v="2021-04-29T00:00:00"/>
    <x v="3"/>
    <x v="0"/>
    <n v="31440.17"/>
    <s v="00497058"/>
    <s v="012039670"/>
    <x v="0"/>
    <s v="ADDLTDLIFEAPR21"/>
    <s v="7213000394"/>
    <s v="TRN"/>
    <s v="PUR0957001"/>
    <s v=""/>
    <s v="9260000"/>
    <s v="571900"/>
    <s v="9010"/>
    <x v="0"/>
    <s v="0000SUPT"/>
    <s v="0000"/>
    <s v=""/>
  </r>
  <r>
    <d v="2021-04-29T00:00:00"/>
    <x v="3"/>
    <x v="0"/>
    <n v="65503.94"/>
    <s v="00497058"/>
    <s v="012039670"/>
    <x v="0"/>
    <s v="ADDLTDLIFEAPR21"/>
    <s v="7213000394"/>
    <s v="ESD"/>
    <s v="PUR0956996"/>
    <s v=""/>
    <s v="9260000"/>
    <s v="521900"/>
    <s v="4500"/>
    <x v="1"/>
    <s v="00004500"/>
    <s v="0000"/>
    <s v=""/>
  </r>
  <r>
    <d v="2021-04-29T00:00:00"/>
    <x v="3"/>
    <x v="0"/>
    <n v="21134.65"/>
    <s v="00497058"/>
    <s v="012039670"/>
    <x v="0"/>
    <s v="ADDLTDLIFEAPR21"/>
    <s v="7213000394"/>
    <s v="TRN"/>
    <s v="PUR0957001"/>
    <s v=""/>
    <s v="9260000"/>
    <s v="571900"/>
    <s v="9010"/>
    <x v="1"/>
    <s v="0000SUPT"/>
    <s v="0000"/>
    <s v=""/>
  </r>
  <r>
    <d v="2021-04-29T00:00:00"/>
    <x v="3"/>
    <x v="0"/>
    <n v="91521.33"/>
    <s v="00497058"/>
    <s v="012039670"/>
    <x v="0"/>
    <s v="ADDLTDLIFEAPR21"/>
    <s v="7213000394"/>
    <s v="ESD"/>
    <s v="PUR0956996"/>
    <s v=""/>
    <s v="9260000"/>
    <s v="521900"/>
    <s v="4500"/>
    <x v="0"/>
    <s v="00004500"/>
    <s v="0000"/>
    <s v=""/>
  </r>
  <r>
    <d v="2021-04-29T00:00:00"/>
    <x v="3"/>
    <x v="0"/>
    <n v="368491.11"/>
    <s v="00497058"/>
    <s v="012039670"/>
    <x v="0"/>
    <s v="ADDLTDLIFEAPR21"/>
    <s v="7213000394"/>
    <s v="ESD"/>
    <s v="PUR0956996"/>
    <s v=""/>
    <s v="9260000"/>
    <s v="521900"/>
    <s v="0000"/>
    <x v="2"/>
    <s v="00000000"/>
    <s v="0000"/>
    <s v=""/>
  </r>
  <r>
    <d v="2021-04-27T00:00:00"/>
    <x v="3"/>
    <x v="0"/>
    <n v="12545.68"/>
    <s v="00496972"/>
    <s v="012013790"/>
    <x v="1"/>
    <s v="HMOSWMAY2021"/>
    <s v="0000253437"/>
    <s v="TRN"/>
    <s v="PUR0956924"/>
    <s v=""/>
    <s v="9260000"/>
    <s v="571900"/>
    <s v="9010"/>
    <x v="3"/>
    <s v="0000SUPT"/>
    <s v="0000"/>
    <s v=""/>
  </r>
  <r>
    <d v="2021-04-27T00:00:00"/>
    <x v="3"/>
    <x v="0"/>
    <n v="102495.33"/>
    <s v="00496972"/>
    <s v="012013790"/>
    <x v="1"/>
    <s v="HMOSWMAY2021"/>
    <s v="0000253437"/>
    <s v="ESD"/>
    <s v="PUR0956935"/>
    <s v=""/>
    <s v="9260000"/>
    <s v="521900"/>
    <s v="0000"/>
    <x v="3"/>
    <s v="BENEFITS"/>
    <s v="0000"/>
    <s v=""/>
  </r>
  <r>
    <d v="2021-05-26T00:00:00"/>
    <x v="4"/>
    <x v="0"/>
    <n v="103942.87"/>
    <s v="00502627"/>
    <s v="012013790"/>
    <x v="1"/>
    <s v="HMOSWJUN2021"/>
    <s v="0000256255"/>
    <s v="ESD"/>
    <s v="PUR0957919"/>
    <s v=""/>
    <s v="9260000"/>
    <s v="521900"/>
    <s v="0000"/>
    <x v="3"/>
    <s v="BENEFITS"/>
    <s v="0000"/>
    <s v=""/>
  </r>
  <r>
    <d v="2021-05-28T00:00:00"/>
    <x v="4"/>
    <x v="0"/>
    <n v="30831.72"/>
    <s v="00503284"/>
    <s v="012039670"/>
    <x v="0"/>
    <s v="ADDLTDLIFEMAY21"/>
    <s v="7213000535"/>
    <s v="TRN"/>
    <s v="PUR0957999"/>
    <s v=""/>
    <s v="9260000"/>
    <s v="571900"/>
    <s v="9010"/>
    <x v="0"/>
    <s v="0000SUPT"/>
    <s v="0000"/>
    <s v=""/>
  </r>
  <r>
    <d v="2021-05-28T00:00:00"/>
    <x v="4"/>
    <x v="0"/>
    <n v="95974.49"/>
    <s v="00503284"/>
    <s v="012039670"/>
    <x v="0"/>
    <s v="ADDLTDLIFEMAY21"/>
    <s v="7213000535"/>
    <s v="TRN"/>
    <s v="PUR0957999"/>
    <s v=""/>
    <s v="9260000"/>
    <s v="571900"/>
    <s v="9010"/>
    <x v="2"/>
    <s v="0000SUPT"/>
    <s v="0000"/>
    <s v=""/>
  </r>
  <r>
    <d v="2021-05-28T00:00:00"/>
    <x v="4"/>
    <x v="0"/>
    <n v="20762.560000000001"/>
    <s v="00503284"/>
    <s v="012039670"/>
    <x v="0"/>
    <s v="ADDLTDLIFEMAY21"/>
    <s v="7213000535"/>
    <s v="TRN"/>
    <s v="PUR0957999"/>
    <s v=""/>
    <s v="9260000"/>
    <s v="571900"/>
    <s v="9010"/>
    <x v="1"/>
    <s v="0000SUPT"/>
    <s v="0000"/>
    <s v=""/>
  </r>
  <r>
    <d v="2021-05-26T00:00:00"/>
    <x v="4"/>
    <x v="0"/>
    <n v="12545.68"/>
    <s v="00502627"/>
    <s v="012013790"/>
    <x v="1"/>
    <s v="HMOSWJUN2021"/>
    <s v="0000256255"/>
    <s v="TRN"/>
    <s v="PUR0957923"/>
    <s v=""/>
    <s v="9260000"/>
    <s v="571900"/>
    <s v="9010"/>
    <x v="3"/>
    <s v="0000SUPT"/>
    <s v="0000"/>
    <s v=""/>
  </r>
  <r>
    <d v="2021-05-28T00:00:00"/>
    <x v="4"/>
    <x v="0"/>
    <n v="64953.4"/>
    <s v="00503284"/>
    <s v="012039670"/>
    <x v="0"/>
    <s v="ADDLTDLIFEMAY21"/>
    <s v="7213000535"/>
    <s v="ESD"/>
    <s v="PUR0958004"/>
    <s v=""/>
    <s v="9260000"/>
    <s v="521900"/>
    <s v="4500"/>
    <x v="1"/>
    <s v="00004500"/>
    <s v="0000"/>
    <s v=""/>
  </r>
  <r>
    <d v="2021-05-28T00:00:00"/>
    <x v="4"/>
    <x v="0"/>
    <n v="367082.97"/>
    <s v="00503284"/>
    <s v="012039670"/>
    <x v="0"/>
    <s v="ADDLTDLIFEMAY21"/>
    <s v="7213000535"/>
    <s v="ESD"/>
    <s v="PUR0958004"/>
    <s v=""/>
    <s v="9260000"/>
    <s v="521900"/>
    <s v="0000"/>
    <x v="2"/>
    <s v="00000000"/>
    <s v="0000"/>
    <s v=""/>
  </r>
  <r>
    <d v="2021-05-28T00:00:00"/>
    <x v="4"/>
    <x v="0"/>
    <n v="90852.5"/>
    <s v="00503284"/>
    <s v="012039670"/>
    <x v="0"/>
    <s v="ADDLTDLIFEMAY21"/>
    <s v="7213000535"/>
    <s v="ESD"/>
    <s v="PUR0958004"/>
    <s v=""/>
    <s v="9260000"/>
    <s v="521900"/>
    <s v="4500"/>
    <x v="0"/>
    <s v="00004500"/>
    <s v="0000"/>
    <s v=""/>
  </r>
  <r>
    <d v="2021-06-30T00:00:00"/>
    <x v="5"/>
    <x v="0"/>
    <n v="362142.67"/>
    <s v="00508071"/>
    <s v="012039670"/>
    <x v="0"/>
    <s v="ADDLTDLIFEJUN21"/>
    <s v="7213000658"/>
    <s v="ESD"/>
    <s v="PUR0959026"/>
    <s v=""/>
    <s v="9260000"/>
    <s v="521900"/>
    <s v="0000"/>
    <x v="2"/>
    <s v="00000000"/>
    <s v="0000"/>
    <s v=""/>
  </r>
  <r>
    <d v="2021-06-25T00:00:00"/>
    <x v="5"/>
    <x v="0"/>
    <n v="102615.93"/>
    <s v="00508104"/>
    <s v="012013790"/>
    <x v="1"/>
    <s v="HMOSWJUL21"/>
    <s v="0000259440"/>
    <s v="ESD"/>
    <s v="PUR0958838"/>
    <s v=""/>
    <s v="9260000"/>
    <s v="521900"/>
    <s v="0000"/>
    <x v="3"/>
    <s v="BENEFITS"/>
    <s v="0000"/>
    <s v=""/>
  </r>
  <r>
    <d v="2021-06-30T00:00:00"/>
    <x v="5"/>
    <x v="0"/>
    <n v="65041.440000000002"/>
    <s v="00508071"/>
    <s v="012039670"/>
    <x v="0"/>
    <s v="ADDLTDLIFEJUN21"/>
    <s v="7213000658"/>
    <s v="ESD"/>
    <s v="PUR0959026"/>
    <s v=""/>
    <s v="9260000"/>
    <s v="521900"/>
    <s v="4500"/>
    <x v="1"/>
    <s v="00004500"/>
    <s v="0000"/>
    <s v=""/>
  </r>
  <r>
    <d v="2021-06-25T00:00:00"/>
    <x v="5"/>
    <x v="0"/>
    <n v="12545.68"/>
    <s v="00508104"/>
    <s v="012013790"/>
    <x v="1"/>
    <s v="HMOSWJUL21"/>
    <s v="0000259440"/>
    <s v="TRN"/>
    <s v="PUR0958842"/>
    <s v=""/>
    <s v="9260000"/>
    <s v="571900"/>
    <s v="9010"/>
    <x v="3"/>
    <s v="0000SUPT"/>
    <s v="0000"/>
    <s v=""/>
  </r>
  <r>
    <d v="2021-06-30T00:00:00"/>
    <x v="5"/>
    <x v="0"/>
    <n v="91309.48"/>
    <s v="00508071"/>
    <s v="012039670"/>
    <x v="0"/>
    <s v="ADDLTDLIFEJUN21"/>
    <s v="7213000658"/>
    <s v="ESD"/>
    <s v="PUR0959026"/>
    <s v=""/>
    <s v="9260000"/>
    <s v="521900"/>
    <s v="4500"/>
    <x v="0"/>
    <s v="00004500"/>
    <s v="0000"/>
    <s v=""/>
  </r>
  <r>
    <d v="2021-06-30T00:00:00"/>
    <x v="5"/>
    <x v="0"/>
    <n v="95242.6"/>
    <s v="00508071"/>
    <s v="012039670"/>
    <x v="0"/>
    <s v="ADDLTDLIFEJUN21"/>
    <s v="7213000658"/>
    <s v="TRN"/>
    <s v="PUR0959031"/>
    <s v=""/>
    <s v="9260000"/>
    <s v="571900"/>
    <s v="9010"/>
    <x v="2"/>
    <s v="0000SUPT"/>
    <s v="0000"/>
    <s v=""/>
  </r>
  <r>
    <d v="2021-06-30T00:00:00"/>
    <x v="5"/>
    <x v="0"/>
    <n v="31400.68"/>
    <s v="00508071"/>
    <s v="012039670"/>
    <x v="0"/>
    <s v="ADDLTDLIFEJUN21"/>
    <s v="7213000658"/>
    <s v="TRN"/>
    <s v="PUR0959031"/>
    <s v=""/>
    <s v="9260000"/>
    <s v="571900"/>
    <s v="9010"/>
    <x v="0"/>
    <s v="0000SUPT"/>
    <s v="0000"/>
    <s v=""/>
  </r>
  <r>
    <d v="2021-06-30T00:00:00"/>
    <x v="5"/>
    <x v="0"/>
    <n v="20974.7"/>
    <s v="00508071"/>
    <s v="012039670"/>
    <x v="0"/>
    <s v="ADDLTDLIFEJUN21"/>
    <s v="7213000658"/>
    <s v="TRN"/>
    <s v="PUR0959031"/>
    <s v=""/>
    <s v="9260000"/>
    <s v="571900"/>
    <s v="9010"/>
    <x v="1"/>
    <s v="0000SUPT"/>
    <s v="0000"/>
    <s v=""/>
  </r>
  <r>
    <d v="2021-07-28T00:00:00"/>
    <x v="6"/>
    <x v="0"/>
    <n v="90843.77"/>
    <s v="00512835"/>
    <s v="012039670"/>
    <x v="0"/>
    <s v="ADDLTDLIFEJUL21"/>
    <s v="7213000763"/>
    <s v="ESD"/>
    <s v="PUR0959894"/>
    <s v=""/>
    <s v="9260000"/>
    <s v="521900"/>
    <s v="4500"/>
    <x v="0"/>
    <s v="00004500"/>
    <s v="0000"/>
    <s v=""/>
  </r>
  <r>
    <d v="2021-07-28T00:00:00"/>
    <x v="6"/>
    <x v="0"/>
    <n v="361134.76"/>
    <s v="00512835"/>
    <s v="012039670"/>
    <x v="0"/>
    <s v="ADDLTDLIFEJUL21"/>
    <s v="7213000763"/>
    <s v="ESD"/>
    <s v="PUR0959894"/>
    <s v=""/>
    <s v="9260000"/>
    <s v="521900"/>
    <s v="0000"/>
    <x v="2"/>
    <s v="00000000"/>
    <s v="0000"/>
    <s v=""/>
  </r>
  <r>
    <d v="2021-07-28T00:00:00"/>
    <x v="6"/>
    <x v="0"/>
    <n v="21047.67"/>
    <s v="00512835"/>
    <s v="012039670"/>
    <x v="0"/>
    <s v="ADDLTDLIFEJUL21"/>
    <s v="7213000763"/>
    <s v="TRN"/>
    <s v="PUR0959887"/>
    <s v=""/>
    <s v="9260000"/>
    <s v="571900"/>
    <s v="9010"/>
    <x v="1"/>
    <s v="0000SUPT"/>
    <s v="0000"/>
    <s v=""/>
  </r>
  <r>
    <d v="2021-07-28T00:00:00"/>
    <x v="6"/>
    <x v="0"/>
    <n v="64693.21"/>
    <s v="00512835"/>
    <s v="012039670"/>
    <x v="0"/>
    <s v="ADDLTDLIFEJUL21"/>
    <s v="7213000763"/>
    <s v="ESD"/>
    <s v="PUR0959894"/>
    <s v=""/>
    <s v="9260000"/>
    <s v="521900"/>
    <s v="4500"/>
    <x v="1"/>
    <s v="00004500"/>
    <s v="0000"/>
    <s v=""/>
  </r>
  <r>
    <d v="2021-07-28T00:00:00"/>
    <x v="6"/>
    <x v="0"/>
    <n v="94700.53"/>
    <s v="00512835"/>
    <s v="012039670"/>
    <x v="0"/>
    <s v="ADDLTDLIFEJUL21"/>
    <s v="7213000763"/>
    <s v="TRN"/>
    <s v="PUR0959887"/>
    <s v=""/>
    <s v="9260000"/>
    <s v="571900"/>
    <s v="9010"/>
    <x v="2"/>
    <s v="0000SUPT"/>
    <s v="0000"/>
    <s v=""/>
  </r>
  <r>
    <d v="2021-07-28T00:00:00"/>
    <x v="6"/>
    <x v="0"/>
    <n v="107173.86"/>
    <s v="00513055"/>
    <s v="012013790"/>
    <x v="1"/>
    <s v="HMOSWAUG2021"/>
    <s v="0000262438"/>
    <s v="ESD"/>
    <s v="PUR0959894"/>
    <s v=""/>
    <s v="9260000"/>
    <s v="521900"/>
    <s v="0000"/>
    <x v="3"/>
    <s v="BENEFITS"/>
    <s v="0000"/>
    <s v=""/>
  </r>
  <r>
    <d v="2021-07-28T00:00:00"/>
    <x v="6"/>
    <x v="0"/>
    <n v="12545.68"/>
    <s v="00513055"/>
    <s v="012013790"/>
    <x v="1"/>
    <s v="HMOSWAUG2021"/>
    <s v="0000262438"/>
    <s v="TRN"/>
    <s v="PUR0959887"/>
    <s v=""/>
    <s v="9260000"/>
    <s v="571900"/>
    <s v="9010"/>
    <x v="3"/>
    <s v="0000SUPT"/>
    <s v="0000"/>
    <s v=""/>
  </r>
  <r>
    <d v="2021-07-28T00:00:00"/>
    <x v="6"/>
    <x v="0"/>
    <n v="31638.97"/>
    <s v="00512835"/>
    <s v="012039670"/>
    <x v="0"/>
    <s v="ADDLTDLIFEJUL21"/>
    <s v="7213000763"/>
    <s v="TRN"/>
    <s v="PUR0959887"/>
    <s v=""/>
    <s v="9260000"/>
    <s v="571900"/>
    <s v="9010"/>
    <x v="0"/>
    <s v="0000SUPT"/>
    <s v="0000"/>
    <s v=""/>
  </r>
  <r>
    <d v="2021-08-25T00:00:00"/>
    <x v="7"/>
    <x v="0"/>
    <n v="20834.88"/>
    <s v="00517300"/>
    <s v="012039670"/>
    <x v="0"/>
    <s v="ADDLTDLIFEAUG21"/>
    <s v="7213000868"/>
    <s v="TRN"/>
    <s v="PUR0960766"/>
    <m/>
    <s v="9260000"/>
    <s v="571900"/>
    <s v="9010"/>
    <x v="1"/>
    <s v="0000SUPT"/>
    <s v="0000"/>
    <m/>
  </r>
  <r>
    <d v="2021-08-25T00:00:00"/>
    <x v="7"/>
    <x v="0"/>
    <n v="92406.01"/>
    <s v="00517300"/>
    <s v="012039670"/>
    <x v="0"/>
    <s v="ADDLTDLIFEAUG21"/>
    <s v="7213000868"/>
    <s v="TRN"/>
    <s v="PUR0960766"/>
    <m/>
    <s v="9260000"/>
    <s v="571900"/>
    <s v="9010"/>
    <x v="2"/>
    <s v="0000SUPT"/>
    <s v="0000"/>
    <m/>
  </r>
  <r>
    <d v="2021-08-24T00:00:00"/>
    <x v="7"/>
    <x v="0"/>
    <n v="12545.68"/>
    <s v="00517396"/>
    <s v="012013790"/>
    <x v="1"/>
    <s v="HMOSWSEP221"/>
    <s v="0000265608"/>
    <s v="TRN"/>
    <s v="PUR0960733"/>
    <m/>
    <s v="9260000"/>
    <s v="571900"/>
    <s v="9010"/>
    <x v="3"/>
    <s v="0000SUPT"/>
    <s v="0000"/>
    <m/>
  </r>
  <r>
    <d v="2021-08-24T00:00:00"/>
    <x v="7"/>
    <x v="0"/>
    <n v="106605.32"/>
    <s v="00517396"/>
    <s v="012013790"/>
    <x v="1"/>
    <s v="HMOSWSEP221"/>
    <s v="0000265608"/>
    <s v="ESD"/>
    <s v="PUR0960727"/>
    <m/>
    <s v="9260000"/>
    <s v="521900"/>
    <s v="0000"/>
    <x v="3"/>
    <s v="BENEFITS"/>
    <s v="0000"/>
    <m/>
  </r>
  <r>
    <d v="2021-08-25T00:00:00"/>
    <x v="7"/>
    <x v="0"/>
    <n v="356794.4"/>
    <s v="00517300"/>
    <s v="012039670"/>
    <x v="0"/>
    <s v="ADDLTDLIFEAUG21"/>
    <s v="7213000868"/>
    <s v="ESD"/>
    <s v="PUR0960770"/>
    <m/>
    <s v="9260000"/>
    <s v="521900"/>
    <s v="0000"/>
    <x v="2"/>
    <s v="00000000"/>
    <s v="0000"/>
    <m/>
  </r>
  <r>
    <d v="2021-08-25T00:00:00"/>
    <x v="7"/>
    <x v="0"/>
    <n v="91356.82"/>
    <s v="00517300"/>
    <s v="012039670"/>
    <x v="0"/>
    <s v="ADDLTDLIFEAUG21"/>
    <s v="7213000868"/>
    <s v="ESD"/>
    <s v="PUR0960770"/>
    <m/>
    <s v="9260000"/>
    <s v="521900"/>
    <s v="4500"/>
    <x v="0"/>
    <s v="00004500"/>
    <s v="0000"/>
    <m/>
  </r>
  <r>
    <d v="2021-08-25T00:00:00"/>
    <x v="7"/>
    <x v="0"/>
    <n v="64457.04"/>
    <s v="00517300"/>
    <s v="012039670"/>
    <x v="0"/>
    <s v="ADDLTDLIFEAUG21"/>
    <s v="7213000868"/>
    <s v="ESD"/>
    <s v="PUR0960770"/>
    <m/>
    <s v="9260000"/>
    <s v="521900"/>
    <s v="4500"/>
    <x v="1"/>
    <s v="00004500"/>
    <s v="0000"/>
    <m/>
  </r>
  <r>
    <d v="2021-08-25T00:00:00"/>
    <x v="7"/>
    <x v="0"/>
    <n v="31641.65"/>
    <s v="00517300"/>
    <s v="012039670"/>
    <x v="0"/>
    <s v="ADDLTDLIFEAUG21"/>
    <s v="7213000868"/>
    <s v="TRN"/>
    <s v="PUR0960766"/>
    <m/>
    <s v="9260000"/>
    <s v="571900"/>
    <s v="9010"/>
    <x v="0"/>
    <s v="0000SUPT"/>
    <s v="0000"/>
    <m/>
  </r>
  <r>
    <d v="2021-09-29T00:00:00"/>
    <x v="8"/>
    <x v="0"/>
    <n v="91171.46"/>
    <s v="00522619"/>
    <s v="012039670"/>
    <x v="0"/>
    <s v="ADDLTDLIFESEP21"/>
    <s v="7213001007"/>
    <s v="ESD"/>
    <s v="PUR0962084"/>
    <m/>
    <s v="9260000"/>
    <s v="521900"/>
    <s v="4500"/>
    <x v="0"/>
    <s v="00004500"/>
    <s v="0000"/>
    <m/>
  </r>
  <r>
    <d v="2021-09-24T00:00:00"/>
    <x v="8"/>
    <x v="0"/>
    <n v="12545.68"/>
    <s v="00522392"/>
    <s v="012013790"/>
    <x v="1"/>
    <s v="HMOSWOCT2021"/>
    <s v="0000270384"/>
    <s v="TRN"/>
    <s v="PUR0961903"/>
    <m/>
    <s v="9260000"/>
    <s v="571900"/>
    <s v="9010"/>
    <x v="3"/>
    <s v="0000SUPT"/>
    <s v="0000"/>
    <m/>
  </r>
  <r>
    <d v="2021-09-29T00:00:00"/>
    <x v="8"/>
    <x v="0"/>
    <n v="64286.44"/>
    <s v="00522619"/>
    <s v="012039670"/>
    <x v="0"/>
    <s v="ADDLTDLIFESEP21"/>
    <s v="7213001007"/>
    <s v="ESD"/>
    <s v="PUR0962084"/>
    <m/>
    <s v="9260000"/>
    <s v="521900"/>
    <s v="4500"/>
    <x v="1"/>
    <s v="00004500"/>
    <s v="0000"/>
    <m/>
  </r>
  <r>
    <d v="2021-09-29T00:00:00"/>
    <x v="8"/>
    <x v="0"/>
    <n v="93156.82"/>
    <s v="00522619"/>
    <s v="012039670"/>
    <x v="0"/>
    <s v="ADDLTDLIFESEP21"/>
    <s v="7213001007"/>
    <s v="TRN"/>
    <s v="PUR0962092"/>
    <m/>
    <s v="9260000"/>
    <s v="571900"/>
    <s v="9010"/>
    <x v="2"/>
    <s v="0000SUPT"/>
    <s v="0000"/>
    <m/>
  </r>
  <r>
    <d v="2021-09-29T00:00:00"/>
    <x v="8"/>
    <x v="0"/>
    <n v="357951.34"/>
    <s v="00522619"/>
    <s v="012039670"/>
    <x v="0"/>
    <s v="ADDLTDLIFESEP21"/>
    <s v="7213001007"/>
    <s v="ESD"/>
    <s v="PUR0962084"/>
    <m/>
    <s v="9260000"/>
    <s v="521900"/>
    <s v="0000"/>
    <x v="2"/>
    <s v="00000000"/>
    <s v="0000"/>
    <m/>
  </r>
  <r>
    <d v="2021-09-29T00:00:00"/>
    <x v="8"/>
    <x v="0"/>
    <n v="31462.21"/>
    <s v="00522619"/>
    <s v="012039670"/>
    <x v="0"/>
    <s v="ADDLTDLIFESEP21"/>
    <s v="7213001007"/>
    <s v="TRN"/>
    <s v="PUR0962092"/>
    <m/>
    <s v="9260000"/>
    <s v="571900"/>
    <s v="9010"/>
    <x v="0"/>
    <s v="0000SUPT"/>
    <s v="0000"/>
    <m/>
  </r>
  <r>
    <d v="2021-09-24T00:00:00"/>
    <x v="8"/>
    <x v="0"/>
    <n v="96653.23"/>
    <s v="00522392"/>
    <s v="012013790"/>
    <x v="1"/>
    <s v="HMOSWOCT2021"/>
    <s v="0000270384"/>
    <s v="ESD"/>
    <s v="PUR0961909"/>
    <m/>
    <s v="9260000"/>
    <s v="521900"/>
    <s v="0000"/>
    <x v="3"/>
    <s v="BENEFITS"/>
    <s v="0000"/>
    <m/>
  </r>
  <r>
    <d v="2021-09-29T00:00:00"/>
    <x v="8"/>
    <x v="0"/>
    <n v="20855.91"/>
    <s v="00522619"/>
    <s v="012039670"/>
    <x v="0"/>
    <s v="ADDLTDLIFESEP21"/>
    <s v="7213001007"/>
    <s v="TRN"/>
    <s v="PUR0962092"/>
    <m/>
    <s v="9260000"/>
    <s v="571900"/>
    <s v="9010"/>
    <x v="1"/>
    <s v="0000SUPT"/>
    <s v="0000"/>
    <m/>
  </r>
  <r>
    <d v="2021-10-27T00:00:00"/>
    <x v="9"/>
    <x v="0"/>
    <n v="92945.88"/>
    <s v="00527468"/>
    <s v="012039670"/>
    <x v="0"/>
    <s v="ADDLTDLIFEOCT21"/>
    <s v="7213001118"/>
    <s v="TRN"/>
    <s v="PUR0963253"/>
    <m/>
    <s v="9260000"/>
    <s v="571900"/>
    <s v="9010"/>
    <x v="2"/>
    <s v="0000SUPT"/>
    <s v="0000"/>
    <m/>
  </r>
  <r>
    <d v="2021-10-27T00:00:00"/>
    <x v="9"/>
    <x v="0"/>
    <n v="90359.44"/>
    <s v="00527468"/>
    <s v="012039670"/>
    <x v="0"/>
    <s v="ADDLTDLIFEOCT21"/>
    <s v="7213001118"/>
    <s v="ESD"/>
    <s v="PUR0963259"/>
    <m/>
    <s v="9260000"/>
    <s v="521900"/>
    <s v="4500"/>
    <x v="0"/>
    <s v="00004500"/>
    <s v="0000"/>
    <m/>
  </r>
  <r>
    <d v="2021-10-25T00:00:00"/>
    <x v="9"/>
    <x v="0"/>
    <n v="8564.83"/>
    <s v="00527196"/>
    <s v="012013790"/>
    <x v="1"/>
    <s v="HMOSWNOV2021"/>
    <s v="0000276498"/>
    <s v="TRN"/>
    <s v="PUR0963139"/>
    <m/>
    <s v="9260000"/>
    <s v="571900"/>
    <s v="9010"/>
    <x v="3"/>
    <s v="0000SUPT"/>
    <s v="0000"/>
    <m/>
  </r>
  <r>
    <d v="2021-10-25T00:00:00"/>
    <x v="9"/>
    <x v="0"/>
    <n v="100634.07"/>
    <s v="00527196"/>
    <s v="012013790"/>
    <x v="1"/>
    <s v="HMOSWNOV2021"/>
    <s v="0000276498"/>
    <s v="ESD"/>
    <s v="PUR0963133"/>
    <m/>
    <s v="9260000"/>
    <s v="521900"/>
    <s v="0000"/>
    <x v="3"/>
    <s v="BENEFITS"/>
    <s v="0000"/>
    <m/>
  </r>
  <r>
    <d v="2021-10-27T00:00:00"/>
    <x v="9"/>
    <x v="0"/>
    <n v="63520.82"/>
    <s v="00527468"/>
    <s v="012039670"/>
    <x v="0"/>
    <s v="ADDLTDLIFEOCT21"/>
    <s v="7213001118"/>
    <s v="ESD"/>
    <s v="PUR0963259"/>
    <m/>
    <s v="9260000"/>
    <s v="521900"/>
    <s v="4500"/>
    <x v="1"/>
    <s v="00004500"/>
    <s v="0000"/>
    <m/>
  </r>
  <r>
    <d v="2021-10-27T00:00:00"/>
    <x v="9"/>
    <x v="0"/>
    <n v="31323.79"/>
    <s v="00527468"/>
    <s v="012039670"/>
    <x v="0"/>
    <s v="ADDLTDLIFEOCT21"/>
    <s v="7213001118"/>
    <s v="TRN"/>
    <s v="PUR0963253"/>
    <m/>
    <s v="9260000"/>
    <s v="571900"/>
    <s v="9010"/>
    <x v="0"/>
    <s v="0000SUPT"/>
    <s v="0000"/>
    <m/>
  </r>
  <r>
    <d v="2021-10-27T00:00:00"/>
    <x v="9"/>
    <x v="0"/>
    <n v="20782.84"/>
    <s v="00527468"/>
    <s v="012039670"/>
    <x v="0"/>
    <s v="ADDLTDLIFEOCT21"/>
    <s v="7213001118"/>
    <s v="TRN"/>
    <s v="PUR0963253"/>
    <m/>
    <s v="9260000"/>
    <s v="571900"/>
    <s v="9010"/>
    <x v="1"/>
    <s v="0000SUPT"/>
    <s v="0000"/>
    <m/>
  </r>
  <r>
    <d v="2021-10-27T00:00:00"/>
    <x v="9"/>
    <x v="0"/>
    <n v="351675.74"/>
    <s v="00527468"/>
    <s v="012039670"/>
    <x v="0"/>
    <s v="ADDLTDLIFEOCT21"/>
    <s v="7213001118"/>
    <s v="ESD"/>
    <s v="PUR0963259"/>
    <m/>
    <s v="9260000"/>
    <s v="521900"/>
    <s v="0000"/>
    <x v="2"/>
    <s v="00000000"/>
    <s v="0000"/>
    <m/>
  </r>
  <r>
    <d v="2021-11-22T00:00:00"/>
    <x v="10"/>
    <x v="0"/>
    <n v="63579.93"/>
    <s v="00531403"/>
    <s v="012039670"/>
    <x v="0"/>
    <s v="ADDLTDLIFENOV21"/>
    <s v="7213001228"/>
    <s v="ESD"/>
    <s v="PUR0964271"/>
    <m/>
    <s v="9260000"/>
    <s v="521900"/>
    <s v="4500"/>
    <x v="1"/>
    <s v="00004500"/>
    <s v="0000"/>
    <m/>
  </r>
  <r>
    <d v="2021-11-22T00:00:00"/>
    <x v="10"/>
    <x v="0"/>
    <n v="30840.31"/>
    <s v="00531403"/>
    <s v="012039670"/>
    <x v="0"/>
    <s v="ADDLTDLIFENOV21"/>
    <s v="7213001228"/>
    <s v="TRN"/>
    <s v="PUR0964278"/>
    <m/>
    <s v="9260000"/>
    <s v="571900"/>
    <s v="9010"/>
    <x v="0"/>
    <s v="0000SUPT"/>
    <s v="0000"/>
    <m/>
  </r>
  <r>
    <d v="2021-11-22T00:00:00"/>
    <x v="10"/>
    <x v="0"/>
    <n v="90475.43"/>
    <s v="00531403"/>
    <s v="012039670"/>
    <x v="0"/>
    <s v="ADDLTDLIFENOV21"/>
    <s v="7213001228"/>
    <s v="ESD"/>
    <s v="PUR0964271"/>
    <m/>
    <s v="9260000"/>
    <s v="521900"/>
    <s v="4500"/>
    <x v="0"/>
    <s v="00004500"/>
    <s v="0000"/>
    <m/>
  </r>
  <r>
    <d v="2021-11-22T00:00:00"/>
    <x v="10"/>
    <x v="0"/>
    <n v="20499.509999999998"/>
    <s v="00531403"/>
    <s v="012039670"/>
    <x v="0"/>
    <s v="ADDLTDLIFENOV21"/>
    <s v="7213001228"/>
    <s v="TRN"/>
    <s v="PUR0964278"/>
    <m/>
    <s v="9260000"/>
    <s v="571900"/>
    <s v="9010"/>
    <x v="1"/>
    <s v="0000SUPT"/>
    <s v="0000"/>
    <m/>
  </r>
  <r>
    <d v="2021-11-24T00:00:00"/>
    <x v="10"/>
    <x v="0"/>
    <n v="11218.73"/>
    <s v="00531733"/>
    <s v="012013790"/>
    <x v="1"/>
    <s v="HMOSWDEC2021"/>
    <s v="0000282414"/>
    <s v="TRN"/>
    <s v="PUR0964364"/>
    <m/>
    <s v="9260000"/>
    <s v="571900"/>
    <s v="9010"/>
    <x v="3"/>
    <s v="0000SUPT"/>
    <s v="0000"/>
    <m/>
  </r>
  <r>
    <d v="2021-11-22T00:00:00"/>
    <x v="10"/>
    <x v="0"/>
    <n v="350645.46"/>
    <s v="00531403"/>
    <s v="012039670"/>
    <x v="0"/>
    <s v="ADDLTDLIFENOV21"/>
    <s v="7213001228"/>
    <s v="ESD"/>
    <s v="PUR0964271"/>
    <m/>
    <s v="9260000"/>
    <s v="521900"/>
    <s v="0000"/>
    <x v="2"/>
    <s v="00000000"/>
    <s v="0000"/>
    <m/>
  </r>
  <r>
    <d v="2021-11-24T00:00:00"/>
    <x v="10"/>
    <x v="0"/>
    <n v="97139.75"/>
    <s v="00531733"/>
    <s v="012013790"/>
    <x v="1"/>
    <s v="HMOSWDEC2021"/>
    <s v="0000282414"/>
    <s v="ESD"/>
    <s v="PUR0964358"/>
    <m/>
    <s v="9260000"/>
    <s v="521900"/>
    <s v="0000"/>
    <x v="3"/>
    <s v="BENEFITS"/>
    <s v="0000"/>
    <m/>
  </r>
  <r>
    <d v="2021-11-22T00:00:00"/>
    <x v="10"/>
    <x v="0"/>
    <n v="91377.02"/>
    <s v="00531403"/>
    <s v="012039670"/>
    <x v="0"/>
    <s v="ADDLTDLIFENOV21"/>
    <s v="7213001228"/>
    <s v="TRN"/>
    <s v="PUR0964278"/>
    <m/>
    <s v="9260000"/>
    <s v="571900"/>
    <s v="9010"/>
    <x v="2"/>
    <s v="0000SUPT"/>
    <s v="0000"/>
    <m/>
  </r>
  <r>
    <d v="2021-12-21T00:00:00"/>
    <x v="11"/>
    <x v="0"/>
    <n v="64423.71"/>
    <s v="00535914"/>
    <s v="012039670"/>
    <x v="0"/>
    <s v="ADDLTDLIFEDEC21"/>
    <s v="7213001346"/>
    <s v="ESD"/>
    <s v="PUR0965394"/>
    <m/>
    <s v="9260000"/>
    <s v="521900"/>
    <s v="4500"/>
    <x v="1"/>
    <s v="00004500"/>
    <s v="0000"/>
    <m/>
  </r>
  <r>
    <d v="2021-12-21T00:00:00"/>
    <x v="11"/>
    <x v="0"/>
    <n v="31131.01"/>
    <s v="00535914"/>
    <s v="012039670"/>
    <x v="0"/>
    <s v="ADDLTDLIFEDEC21"/>
    <s v="7213001346"/>
    <s v="TRN"/>
    <s v="PUR0965398"/>
    <m/>
    <s v="9260000"/>
    <s v="571900"/>
    <s v="9010"/>
    <x v="0"/>
    <s v="0000SUPT"/>
    <s v="0000"/>
    <m/>
  </r>
  <r>
    <d v="2021-12-21T00:00:00"/>
    <x v="11"/>
    <x v="0"/>
    <n v="20688.66"/>
    <s v="00535914"/>
    <s v="012039670"/>
    <x v="0"/>
    <s v="ADDLTDLIFEDEC21"/>
    <s v="7213001346"/>
    <s v="TRN"/>
    <s v="PUR0965398"/>
    <m/>
    <s v="9260000"/>
    <s v="571900"/>
    <s v="9010"/>
    <x v="1"/>
    <s v="0000SUPT"/>
    <s v="0000"/>
    <m/>
  </r>
  <r>
    <d v="2021-12-21T00:00:00"/>
    <x v="11"/>
    <x v="0"/>
    <n v="92794.11"/>
    <s v="00535914"/>
    <s v="012039670"/>
    <x v="0"/>
    <s v="ADDLTDLIFEDEC21"/>
    <s v="7213001346"/>
    <s v="TRN"/>
    <s v="PUR0965398"/>
    <m/>
    <s v="9260000"/>
    <s v="571900"/>
    <s v="9010"/>
    <x v="2"/>
    <s v="0000SUPT"/>
    <s v="0000"/>
    <m/>
  </r>
  <r>
    <d v="2021-12-21T00:00:00"/>
    <x v="11"/>
    <x v="0"/>
    <n v="351948.13"/>
    <s v="00535914"/>
    <s v="012039670"/>
    <x v="0"/>
    <s v="ADDLTDLIFEDEC21"/>
    <s v="7213001346"/>
    <s v="ESD"/>
    <s v="PUR0965394"/>
    <m/>
    <s v="9260000"/>
    <s v="521900"/>
    <s v="0000"/>
    <x v="2"/>
    <s v="00000000"/>
    <s v="0000"/>
    <m/>
  </r>
  <r>
    <d v="2021-12-21T00:00:00"/>
    <x v="11"/>
    <x v="0"/>
    <n v="91876.02"/>
    <s v="00535914"/>
    <s v="012039670"/>
    <x v="0"/>
    <s v="ADDLTDLIFEDEC21"/>
    <s v="7213001346"/>
    <s v="ESD"/>
    <s v="PUR0965394"/>
    <m/>
    <s v="9260000"/>
    <s v="521900"/>
    <s v="4500"/>
    <x v="0"/>
    <s v="00004500"/>
    <s v="000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88">
  <r>
    <d v="2021-01-28T00:00:00"/>
    <x v="0"/>
    <x v="0"/>
    <n v="51430.58"/>
    <s v="00478648"/>
    <s v="011835450"/>
    <x v="0"/>
    <s v="57210150206"/>
    <s v="7213000064"/>
    <s v="ESD"/>
    <s v="PUR0953956"/>
    <s v=""/>
    <s v="9260000"/>
    <s v="521900"/>
    <s v="0000"/>
    <s v="553"/>
    <s v="BENEFITS"/>
    <s v="0000"/>
    <s v=""/>
  </r>
  <r>
    <d v="2021-01-15T00:00:00"/>
    <x v="0"/>
    <x v="0"/>
    <n v="20665.689999999999"/>
    <s v="00477526"/>
    <s v="011835450"/>
    <x v="0"/>
    <s v="57210080199"/>
    <s v="7213000027"/>
    <s v="TRN"/>
    <s v="PUR0953616"/>
    <s v=""/>
    <s v="9260000"/>
    <s v="571900"/>
    <s v="9010"/>
    <s v="553"/>
    <s v="0000SUPT"/>
    <s v="0000"/>
    <s v=""/>
  </r>
  <r>
    <d v="2021-01-14T00:00:00"/>
    <x v="0"/>
    <x v="0"/>
    <n v="38196.400000000001"/>
    <s v="00476425"/>
    <s v="011835450"/>
    <x v="0"/>
    <s v="57203660545"/>
    <s v="7213000009"/>
    <s v="ESD"/>
    <s v="PUR0953587"/>
    <s v=""/>
    <s v="9260000"/>
    <s v="521900"/>
    <s v="0000"/>
    <s v="553"/>
    <s v="BENEFITS"/>
    <s v="0000"/>
    <s v=""/>
  </r>
  <r>
    <d v="2021-01-28T00:00:00"/>
    <x v="0"/>
    <x v="0"/>
    <n v="12189.67"/>
    <s v="00478648"/>
    <s v="011835450"/>
    <x v="0"/>
    <s v="57210150206"/>
    <s v="7213000064"/>
    <s v="TRN"/>
    <s v="PUR0953951"/>
    <s v=""/>
    <s v="9260000"/>
    <s v="571900"/>
    <s v="9010"/>
    <s v="553"/>
    <s v="0000SUPT"/>
    <s v="0000"/>
    <s v=""/>
  </r>
  <r>
    <d v="2021-01-14T00:00:00"/>
    <x v="0"/>
    <x v="0"/>
    <n v="6625.58"/>
    <s v="00476425"/>
    <s v="011835450"/>
    <x v="0"/>
    <s v="57203660545"/>
    <s v="7213000009"/>
    <s v="TRN"/>
    <s v="PUR0953583"/>
    <s v=""/>
    <s v="9260000"/>
    <s v="571900"/>
    <s v="9010"/>
    <s v="553"/>
    <s v="0000SUPT"/>
    <s v="0000"/>
    <s v=""/>
  </r>
  <r>
    <d v="2021-01-28T00:00:00"/>
    <x v="0"/>
    <x v="0"/>
    <n v="57458.12"/>
    <s v="00479885"/>
    <s v="011835450"/>
    <x v="0"/>
    <s v="57210220184"/>
    <s v="7213000084"/>
    <s v="ESD"/>
    <s v="PUR0953956"/>
    <s v=""/>
    <s v="9260000"/>
    <s v="521900"/>
    <s v="0000"/>
    <s v="553"/>
    <s v="BENEFITS"/>
    <s v="0000"/>
    <s v=""/>
  </r>
  <r>
    <d v="2021-01-15T00:00:00"/>
    <x v="0"/>
    <x v="0"/>
    <n v="68341.08"/>
    <s v="00477526"/>
    <s v="011835450"/>
    <x v="0"/>
    <s v="57210080199"/>
    <s v="7213000027"/>
    <s v="ESD"/>
    <s v="PUR0953613"/>
    <s v=""/>
    <s v="9260000"/>
    <s v="521900"/>
    <s v="0000"/>
    <s v="553"/>
    <s v="BENEFITS"/>
    <s v="0000"/>
    <s v=""/>
  </r>
  <r>
    <d v="2021-01-28T00:00:00"/>
    <x v="0"/>
    <x v="0"/>
    <n v="16592.53"/>
    <s v="00479885"/>
    <s v="011835450"/>
    <x v="0"/>
    <s v="57210220184"/>
    <s v="7213000084"/>
    <s v="TRN"/>
    <s v="PUR0953951"/>
    <s v=""/>
    <s v="9260000"/>
    <s v="571900"/>
    <s v="9010"/>
    <s v="553"/>
    <s v="0000SUPT"/>
    <s v="0000"/>
    <s v=""/>
  </r>
  <r>
    <d v="2021-02-26T00:00:00"/>
    <x v="1"/>
    <x v="0"/>
    <n v="3045.58"/>
    <s v="00484849"/>
    <s v="011835450"/>
    <x v="0"/>
    <s v="57210500171"/>
    <s v="7213000173"/>
    <s v="TRN"/>
    <s v="PUR0954937"/>
    <s v=""/>
    <s v="9260000"/>
    <s v="571900"/>
    <s v="9010"/>
    <s v="553"/>
    <s v="0000SUPT"/>
    <s v="0000"/>
    <s v=""/>
  </r>
  <r>
    <d v="2021-02-15T00:00:00"/>
    <x v="1"/>
    <x v="0"/>
    <n v="24465.74"/>
    <s v="00482882"/>
    <s v="011835450"/>
    <x v="0"/>
    <s v="57210360187"/>
    <s v="7213000130"/>
    <s v="TRN"/>
    <s v="PUR0954637"/>
    <s v=""/>
    <s v="9260000"/>
    <s v="571900"/>
    <s v="9010"/>
    <s v="553"/>
    <s v="0000SUPT"/>
    <s v="0000"/>
    <s v=""/>
  </r>
  <r>
    <d v="2021-02-24T00:00:00"/>
    <x v="1"/>
    <x v="0"/>
    <n v="93905.89"/>
    <s v="00483840"/>
    <s v="011835450"/>
    <x v="0"/>
    <s v="57210460251"/>
    <s v="7213000149"/>
    <s v="ESD"/>
    <s v="PUR0954856"/>
    <s v=""/>
    <s v="9260000"/>
    <s v="521900"/>
    <s v="0000"/>
    <s v="553"/>
    <s v="BENEFITS"/>
    <s v="0000"/>
    <s v=""/>
  </r>
  <r>
    <d v="2021-02-08T00:00:00"/>
    <x v="1"/>
    <x v="0"/>
    <n v="58141.38"/>
    <s v="00481524"/>
    <s v="011835450"/>
    <x v="0"/>
    <s v="57210290539"/>
    <s v="7213000107"/>
    <s v="ESD"/>
    <s v="PUR0954485"/>
    <s v=""/>
    <s v="9260000"/>
    <s v="521900"/>
    <s v="0000"/>
    <s v="553"/>
    <s v="BENEFITS"/>
    <s v="0000"/>
    <s v=""/>
  </r>
  <r>
    <d v="2021-02-24T00:00:00"/>
    <x v="1"/>
    <x v="0"/>
    <n v="25120.42"/>
    <s v="00483840"/>
    <s v="011835450"/>
    <x v="0"/>
    <s v="57210460251"/>
    <s v="7213000149"/>
    <s v="TRN"/>
    <s v="PUR0954863"/>
    <s v=""/>
    <s v="9260000"/>
    <s v="571900"/>
    <s v="9010"/>
    <s v="553"/>
    <s v="0000SUPT"/>
    <s v="0000"/>
    <s v=""/>
  </r>
  <r>
    <d v="2021-02-26T00:00:00"/>
    <x v="1"/>
    <x v="0"/>
    <n v="10563.86"/>
    <s v="00484849"/>
    <s v="011835450"/>
    <x v="0"/>
    <s v="57210500171"/>
    <s v="7213000173"/>
    <s v="ESD"/>
    <s v="PUR0954940"/>
    <s v=""/>
    <s v="9260000"/>
    <s v="521900"/>
    <s v="0000"/>
    <s v="553"/>
    <s v="BENEFITS"/>
    <s v="0000"/>
    <s v=""/>
  </r>
  <r>
    <d v="2021-02-15T00:00:00"/>
    <x v="1"/>
    <x v="0"/>
    <n v="70269.3"/>
    <s v="00482882"/>
    <s v="011835450"/>
    <x v="0"/>
    <s v="57210360187"/>
    <s v="7213000130"/>
    <s v="ESD"/>
    <s v="PUR0954642"/>
    <s v=""/>
    <s v="9260000"/>
    <s v="521900"/>
    <s v="0000"/>
    <s v="553"/>
    <s v="BENEFITS"/>
    <s v="0000"/>
    <s v=""/>
  </r>
  <r>
    <d v="2021-02-08T00:00:00"/>
    <x v="1"/>
    <x v="0"/>
    <n v="19949.37"/>
    <s v="00481524"/>
    <s v="011835450"/>
    <x v="0"/>
    <s v="57210290539"/>
    <s v="7213000107"/>
    <s v="TRN"/>
    <s v="PUR0954491"/>
    <s v=""/>
    <s v="9260000"/>
    <s v="571900"/>
    <s v="9010"/>
    <s v="553"/>
    <s v="0000SUPT"/>
    <s v="0000"/>
    <s v=""/>
  </r>
  <r>
    <d v="2021-01-28T00:00:00"/>
    <x v="0"/>
    <x v="0"/>
    <n v="129770.22"/>
    <s v="00479883"/>
    <s v="012051699"/>
    <x v="1"/>
    <s v="BCBS01252021"/>
    <s v="7213000083"/>
    <s v="TRN"/>
    <s v="PUR0953951"/>
    <s v=""/>
    <s v="9260000"/>
    <s v="571900"/>
    <s v="9010"/>
    <s v="554"/>
    <s v="0000SUPT"/>
    <s v="0000"/>
    <s v=""/>
  </r>
  <r>
    <d v="2021-01-28T00:00:00"/>
    <x v="0"/>
    <x v="0"/>
    <n v="357102.88"/>
    <s v="00479883"/>
    <s v="012051699"/>
    <x v="1"/>
    <s v="BCBS01252021"/>
    <s v="7213000083"/>
    <s v="ESD"/>
    <s v="PUR0953956"/>
    <s v=""/>
    <s v="9260000"/>
    <s v="521900"/>
    <s v="0000"/>
    <s v="554"/>
    <s v="BENEFITS"/>
    <s v="0000"/>
    <s v=""/>
  </r>
  <r>
    <d v="2021-01-15T00:00:00"/>
    <x v="0"/>
    <x v="0"/>
    <n v="755068.99"/>
    <s v="00477535"/>
    <s v="012051699"/>
    <x v="1"/>
    <s v="BCBS01112021"/>
    <s v="7213000029"/>
    <s v="ESD"/>
    <s v="PUR0953613"/>
    <s v=""/>
    <s v="9260000"/>
    <s v="521900"/>
    <s v="0000"/>
    <s v="554"/>
    <s v="BENEFITS"/>
    <s v="0000"/>
    <s v=""/>
  </r>
  <r>
    <d v="2021-01-14T00:00:00"/>
    <x v="0"/>
    <x v="0"/>
    <n v="607171.6"/>
    <s v="00476429"/>
    <s v="012051699"/>
    <x v="1"/>
    <s v="BCBS01042021"/>
    <s v="7213000006"/>
    <s v="ESD"/>
    <s v="PUR0953587"/>
    <s v=""/>
    <s v="9260000"/>
    <s v="521900"/>
    <s v="0000"/>
    <s v="554"/>
    <s v="BENEFITS"/>
    <s v="0000"/>
    <s v=""/>
  </r>
  <r>
    <d v="2021-01-28T00:00:00"/>
    <x v="0"/>
    <x v="0"/>
    <n v="649890.80000000005"/>
    <s v="00478654"/>
    <s v="012051699"/>
    <x v="1"/>
    <s v="BCBS01192021"/>
    <s v="7213000065"/>
    <s v="ESD"/>
    <s v="PUR0953956"/>
    <s v=""/>
    <s v="9260000"/>
    <s v="521900"/>
    <s v="0000"/>
    <s v="554"/>
    <s v="BENEFITS"/>
    <s v="0000"/>
    <s v=""/>
  </r>
  <r>
    <d v="2021-01-28T00:00:00"/>
    <x v="0"/>
    <x v="0"/>
    <n v="101335.93"/>
    <s v="00478654"/>
    <s v="012051699"/>
    <x v="1"/>
    <s v="BCBS01192021"/>
    <s v="7213000065"/>
    <s v="TRN"/>
    <s v="PUR0953951"/>
    <s v=""/>
    <s v="9260000"/>
    <s v="571900"/>
    <s v="9010"/>
    <s v="554"/>
    <s v="0000SUPT"/>
    <s v="0000"/>
    <s v=""/>
  </r>
  <r>
    <d v="2021-01-14T00:00:00"/>
    <x v="0"/>
    <x v="0"/>
    <n v="218008.78"/>
    <s v="00476429"/>
    <s v="012051699"/>
    <x v="1"/>
    <s v="BCBS01042021"/>
    <s v="7213000006"/>
    <s v="TRN"/>
    <s v="PUR0953583"/>
    <s v=""/>
    <s v="9260000"/>
    <s v="571900"/>
    <s v="9010"/>
    <s v="554"/>
    <s v="0000SUPT"/>
    <s v="0000"/>
    <s v=""/>
  </r>
  <r>
    <d v="2021-01-15T00:00:00"/>
    <x v="0"/>
    <x v="0"/>
    <n v="208786.58"/>
    <s v="00477535"/>
    <s v="012051699"/>
    <x v="1"/>
    <s v="BCBS01112021"/>
    <s v="7213000029"/>
    <s v="TRN"/>
    <s v="PUR0953616"/>
    <s v=""/>
    <s v="9260000"/>
    <s v="571900"/>
    <s v="9010"/>
    <s v="554"/>
    <s v="0000SUPT"/>
    <s v="0000"/>
    <s v=""/>
  </r>
  <r>
    <d v="2021-02-08T00:00:00"/>
    <x v="1"/>
    <x v="0"/>
    <n v="532229.39"/>
    <s v="00481523"/>
    <s v="012051699"/>
    <x v="1"/>
    <s v="BCBS02012021"/>
    <s v="7213000108"/>
    <s v="ESD"/>
    <s v="PUR0954485"/>
    <s v=""/>
    <s v="9260000"/>
    <s v="521900"/>
    <s v="0000"/>
    <s v="554"/>
    <s v="BENEFITS"/>
    <s v="0000"/>
    <s v=""/>
  </r>
  <r>
    <d v="2021-02-24T00:00:00"/>
    <x v="1"/>
    <x v="0"/>
    <n v="284463.58"/>
    <s v="00483837"/>
    <s v="012051699"/>
    <x v="1"/>
    <s v="BCBS02162021"/>
    <s v="7213000148"/>
    <s v="TRN"/>
    <s v="PUR0954863"/>
    <s v=""/>
    <s v="9260000"/>
    <s v="571900"/>
    <s v="9010"/>
    <s v="554"/>
    <s v="0000SUPT"/>
    <s v="0000"/>
    <s v=""/>
  </r>
  <r>
    <d v="2021-02-15T00:00:00"/>
    <x v="1"/>
    <x v="0"/>
    <n v="350306.75"/>
    <s v="00482884"/>
    <s v="012051699"/>
    <x v="1"/>
    <s v="BCBS02082021"/>
    <s v="7213000131"/>
    <s v="ESD"/>
    <s v="PUR0954642"/>
    <s v=""/>
    <s v="9260000"/>
    <s v="521900"/>
    <s v="0000"/>
    <s v="554"/>
    <s v="BENEFITS"/>
    <s v="0000"/>
    <s v=""/>
  </r>
  <r>
    <d v="2021-02-26T00:00:00"/>
    <x v="1"/>
    <x v="0"/>
    <n v="505585.35"/>
    <s v="00484850"/>
    <s v="012051699"/>
    <x v="1"/>
    <s v="BCBS02222021"/>
    <s v="7213000174"/>
    <s v="ESD"/>
    <s v="PUR0954940"/>
    <s v=""/>
    <s v="9260000"/>
    <s v="521900"/>
    <s v="0000"/>
    <s v="554"/>
    <s v="BENEFITS"/>
    <s v="0000"/>
    <s v=""/>
  </r>
  <r>
    <d v="2021-02-24T00:00:00"/>
    <x v="1"/>
    <x v="0"/>
    <n v="358087.05"/>
    <s v="00483837"/>
    <s v="012051699"/>
    <x v="1"/>
    <s v="BCBS02162021"/>
    <s v="7213000148"/>
    <s v="ESD"/>
    <s v="PUR0954856"/>
    <s v=""/>
    <s v="9260000"/>
    <s v="521900"/>
    <s v="0000"/>
    <s v="554"/>
    <s v="BENEFITS"/>
    <s v="0000"/>
    <s v=""/>
  </r>
  <r>
    <d v="2021-02-08T00:00:00"/>
    <x v="1"/>
    <x v="0"/>
    <n v="105751"/>
    <s v="00481523"/>
    <s v="012051699"/>
    <x v="1"/>
    <s v="BCBS02012021"/>
    <s v="7213000108"/>
    <s v="TRN"/>
    <s v="PUR0954491"/>
    <s v=""/>
    <s v="9260000"/>
    <s v="571900"/>
    <s v="9010"/>
    <s v="554"/>
    <s v="0000SUPT"/>
    <s v="0000"/>
    <s v=""/>
  </r>
  <r>
    <d v="2021-02-26T00:00:00"/>
    <x v="1"/>
    <x v="0"/>
    <n v="158262.37"/>
    <s v="00484850"/>
    <s v="012051699"/>
    <x v="1"/>
    <s v="BCBS02222021"/>
    <s v="7213000174"/>
    <s v="TRN"/>
    <s v="PUR0954937"/>
    <s v=""/>
    <s v="9260000"/>
    <s v="571900"/>
    <s v="9010"/>
    <s v="554"/>
    <s v="0000SUPT"/>
    <s v="0000"/>
    <s v=""/>
  </r>
  <r>
    <d v="2021-02-15T00:00:00"/>
    <x v="1"/>
    <x v="0"/>
    <n v="109881.14"/>
    <s v="00482884"/>
    <s v="012051699"/>
    <x v="1"/>
    <s v="BCBS02082021"/>
    <s v="7213000131"/>
    <s v="TRN"/>
    <s v="PUR0954637"/>
    <s v=""/>
    <s v="9260000"/>
    <s v="571900"/>
    <s v="9010"/>
    <s v="554"/>
    <s v="0000SUPT"/>
    <s v="0000"/>
    <s v=""/>
  </r>
  <r>
    <d v="2021-01-08T00:00:00"/>
    <x v="0"/>
    <x v="0"/>
    <n v="1.4"/>
    <s v="00476420"/>
    <s v="006639552"/>
    <x v="2"/>
    <s v="53014757"/>
    <s v="7213000014"/>
    <s v="TRN"/>
    <s v="PUR0953361"/>
    <s v=""/>
    <s v="9260000"/>
    <s v="571900"/>
    <s v="9010"/>
    <s v="554"/>
    <s v="0000SUPT"/>
    <s v="0000"/>
    <s v=""/>
  </r>
  <r>
    <d v="2021-01-15T00:00:00"/>
    <x v="0"/>
    <x v="0"/>
    <n v="38439.42"/>
    <s v="00477518"/>
    <s v="006639552"/>
    <x v="2"/>
    <s v="53018967"/>
    <s v="7213000024"/>
    <s v="ESD"/>
    <s v="PUR0953613"/>
    <s v=""/>
    <s v="9260000"/>
    <s v="521900"/>
    <s v="0000"/>
    <s v="554"/>
    <s v="BENEFITS"/>
    <s v="0000"/>
    <s v=""/>
  </r>
  <r>
    <d v="2021-01-29T00:00:00"/>
    <x v="0"/>
    <x v="0"/>
    <n v="26042.13"/>
    <s v="00479916"/>
    <s v="006639552"/>
    <x v="2"/>
    <s v="53030461"/>
    <s v="7213000089"/>
    <s v="TRN"/>
    <s v="PUR0954009"/>
    <s v=""/>
    <s v="9260000"/>
    <s v="571900"/>
    <s v="9010"/>
    <s v="554"/>
    <s v="0000SUPT"/>
    <s v="0000"/>
    <s v=""/>
  </r>
  <r>
    <d v="2021-01-28T00:00:00"/>
    <x v="0"/>
    <x v="0"/>
    <n v="164264.43"/>
    <s v="00478656"/>
    <s v="006639552"/>
    <x v="2"/>
    <s v="53024539"/>
    <s v="7213000067"/>
    <s v="ESD"/>
    <s v="PUR0953956"/>
    <s v=""/>
    <s v="9260000"/>
    <s v="521900"/>
    <s v="0000"/>
    <s v="554"/>
    <s v="BENEFITS"/>
    <s v="0000"/>
    <s v=""/>
  </r>
  <r>
    <d v="2021-01-15T00:00:00"/>
    <x v="0"/>
    <x v="0"/>
    <n v="9994.2000000000007"/>
    <s v="00477518"/>
    <s v="006639552"/>
    <x v="2"/>
    <s v="53018967"/>
    <s v="7213000024"/>
    <s v="TRN"/>
    <s v="PUR0953616"/>
    <s v=""/>
    <s v="9260000"/>
    <s v="571900"/>
    <s v="9010"/>
    <s v="554"/>
    <s v="0000SUPT"/>
    <s v="0000"/>
    <s v=""/>
  </r>
  <r>
    <d v="2021-01-28T00:00:00"/>
    <x v="0"/>
    <x v="0"/>
    <n v="35742.89"/>
    <s v="00478656"/>
    <s v="006639552"/>
    <x v="2"/>
    <s v="53024539"/>
    <s v="7213000067"/>
    <s v="TRN"/>
    <s v="PUR0953951"/>
    <s v=""/>
    <s v="9260000"/>
    <s v="571900"/>
    <s v="9010"/>
    <s v="554"/>
    <s v="0000SUPT"/>
    <s v="0000"/>
    <s v=""/>
  </r>
  <r>
    <d v="2021-01-14T00:00:00"/>
    <x v="0"/>
    <x v="0"/>
    <n v="104549.06"/>
    <s v="00476428"/>
    <s v="006639552"/>
    <x v="2"/>
    <s v="53009682"/>
    <s v="7213000007"/>
    <s v="TRN"/>
    <s v="PUR0953583"/>
    <s v=""/>
    <s v="9260000"/>
    <s v="571900"/>
    <s v="9010"/>
    <s v="554"/>
    <s v="0000SUPT"/>
    <s v="0000"/>
    <s v=""/>
  </r>
  <r>
    <d v="2021-01-19T00:00:00"/>
    <x v="0"/>
    <x v="0"/>
    <n v="3200.83"/>
    <s v="00477810"/>
    <s v="006639552"/>
    <x v="2"/>
    <s v="53019900"/>
    <s v="7213000037"/>
    <s v="ESD"/>
    <s v="PUR0953655"/>
    <s v=""/>
    <s v="9260000"/>
    <s v="521900"/>
    <s v="0000"/>
    <s v="554"/>
    <s v="BENEFITS"/>
    <s v="0000"/>
    <s v=""/>
  </r>
  <r>
    <d v="2021-01-29T00:00:00"/>
    <x v="0"/>
    <x v="0"/>
    <n v="1059.6400000000001"/>
    <s v="00480198"/>
    <s v="006639552"/>
    <x v="2"/>
    <s v="53031396"/>
    <s v="7213000098"/>
    <s v="ESD"/>
    <s v="PUR0954014"/>
    <s v=""/>
    <s v="9260000"/>
    <s v="521900"/>
    <s v="0000"/>
    <s v="554"/>
    <s v="BENEFITS"/>
    <s v="0000"/>
    <s v=""/>
  </r>
  <r>
    <d v="2021-01-08T00:00:00"/>
    <x v="0"/>
    <x v="0"/>
    <n v="306.04000000000002"/>
    <s v="00476420"/>
    <s v="006639552"/>
    <x v="2"/>
    <s v="53014757"/>
    <s v="7213000014"/>
    <s v="ESD"/>
    <s v="PUR0953356"/>
    <s v=""/>
    <s v="9260000"/>
    <s v="521900"/>
    <s v="0000"/>
    <s v="554"/>
    <s v="BENEFITS"/>
    <s v="0000"/>
    <s v=""/>
  </r>
  <r>
    <d v="2021-01-28T00:00:00"/>
    <x v="0"/>
    <x v="0"/>
    <n v="231.27"/>
    <s v="00479642"/>
    <s v="006639552"/>
    <x v="2"/>
    <s v="53027394"/>
    <s v="7213000076"/>
    <s v="ESD"/>
    <s v="PUR0953956"/>
    <s v=""/>
    <s v="9260000"/>
    <s v="521900"/>
    <s v="0000"/>
    <s v="554"/>
    <s v="BENEFITS"/>
    <s v="0000"/>
    <s v=""/>
  </r>
  <r>
    <d v="2021-01-14T00:00:00"/>
    <x v="0"/>
    <x v="0"/>
    <n v="260841.5"/>
    <s v="00476428"/>
    <s v="006639552"/>
    <x v="2"/>
    <s v="53009682"/>
    <s v="7213000007"/>
    <s v="ESD"/>
    <s v="PUR0953587"/>
    <s v=""/>
    <s v="9260000"/>
    <s v="521900"/>
    <s v="0000"/>
    <s v="554"/>
    <s v="BENEFITS"/>
    <s v="0000"/>
    <s v=""/>
  </r>
  <r>
    <d v="2021-01-29T00:00:00"/>
    <x v="0"/>
    <x v="0"/>
    <n v="6.44"/>
    <s v="00480198"/>
    <s v="006639552"/>
    <x v="2"/>
    <s v="53031396"/>
    <s v="7213000098"/>
    <s v="TRN"/>
    <s v="PUR0954009"/>
    <s v=""/>
    <s v="9260000"/>
    <s v="571900"/>
    <s v="9010"/>
    <s v="554"/>
    <s v="0000SUPT"/>
    <s v="0000"/>
    <s v=""/>
  </r>
  <r>
    <d v="2021-01-28T00:00:00"/>
    <x v="0"/>
    <x v="0"/>
    <n v="26.59"/>
    <s v="00479642"/>
    <s v="006639552"/>
    <x v="2"/>
    <s v="53027394"/>
    <s v="7213000076"/>
    <s v="TRN"/>
    <s v="PUR0953951"/>
    <s v=""/>
    <s v="9260000"/>
    <s v="571900"/>
    <s v="9010"/>
    <s v="554"/>
    <s v="0000SUPT"/>
    <s v="0000"/>
    <s v=""/>
  </r>
  <r>
    <d v="2021-01-29T00:00:00"/>
    <x v="0"/>
    <x v="0"/>
    <n v="141246.53"/>
    <s v="00479916"/>
    <s v="006639552"/>
    <x v="2"/>
    <s v="53030461"/>
    <s v="7213000089"/>
    <s v="ESD"/>
    <s v="PUR0954014"/>
    <s v=""/>
    <s v="9260000"/>
    <s v="521900"/>
    <s v="0000"/>
    <s v="554"/>
    <s v="BENEFITS"/>
    <s v="0000"/>
    <s v=""/>
  </r>
  <r>
    <d v="2021-02-26T00:00:00"/>
    <x v="1"/>
    <x v="0"/>
    <n v="29491.51"/>
    <s v="00484938"/>
    <s v="006639552"/>
    <x v="2"/>
    <s v="53057127"/>
    <s v="7213000186"/>
    <s v="TRN"/>
    <s v="PUR0954937"/>
    <s v=""/>
    <s v="9260000"/>
    <s v="571900"/>
    <s v="9010"/>
    <s v="554"/>
    <s v="0000SUPT"/>
    <s v="0000"/>
    <s v=""/>
  </r>
  <r>
    <d v="2021-02-09T00:00:00"/>
    <x v="1"/>
    <x v="0"/>
    <n v="127450.71"/>
    <s v="00481506"/>
    <s v="006639552"/>
    <x v="2"/>
    <s v="53038013"/>
    <s v="7213000118"/>
    <s v="ESD"/>
    <s v="PUR0954520"/>
    <s v=""/>
    <s v="9260000"/>
    <s v="521900"/>
    <s v="0000"/>
    <s v="554"/>
    <s v="BENEFITS"/>
    <s v="0000"/>
    <s v=""/>
  </r>
  <r>
    <d v="2021-02-16T00:00:00"/>
    <x v="1"/>
    <x v="0"/>
    <n v="27445.15"/>
    <s v="00482891"/>
    <s v="006639552"/>
    <x v="2"/>
    <s v="53046069"/>
    <s v="7213000136"/>
    <s v="TRN"/>
    <s v="PUR0954660"/>
    <s v=""/>
    <s v="9260000"/>
    <s v="571900"/>
    <s v="9010"/>
    <s v="554"/>
    <s v="0000SUPT"/>
    <s v="0000"/>
    <s v=""/>
  </r>
  <r>
    <d v="2021-02-25T00:00:00"/>
    <x v="1"/>
    <x v="0"/>
    <n v="295024.56"/>
    <s v="00484106"/>
    <s v="006639552"/>
    <x v="2"/>
    <s v="53051757"/>
    <s v="7213000160"/>
    <s v="ESD"/>
    <s v="PUR0954892"/>
    <s v=""/>
    <s v="9260000"/>
    <s v="521900"/>
    <s v="0000"/>
    <s v="554"/>
    <s v="BENEFITS"/>
    <s v="0000"/>
    <s v=""/>
  </r>
  <r>
    <d v="2021-02-25T00:00:00"/>
    <x v="1"/>
    <x v="0"/>
    <n v="373.84"/>
    <s v="00484122"/>
    <s v="006639552"/>
    <x v="2"/>
    <s v="53054474"/>
    <s v="7213000167"/>
    <s v="ESD"/>
    <s v="PUR0954892"/>
    <s v=""/>
    <s v="9260000"/>
    <s v="521900"/>
    <s v="0000"/>
    <s v="554"/>
    <s v="BENEFITS"/>
    <s v="0000"/>
    <s v=""/>
  </r>
  <r>
    <d v="2021-02-09T00:00:00"/>
    <x v="1"/>
    <x v="0"/>
    <n v="98288.67"/>
    <s v="00481506"/>
    <s v="006639552"/>
    <x v="2"/>
    <s v="53038013"/>
    <s v="7213000118"/>
    <s v="TRN"/>
    <s v="PUR0954524"/>
    <s v=""/>
    <s v="9260000"/>
    <s v="571900"/>
    <s v="9010"/>
    <s v="554"/>
    <s v="0000SUPT"/>
    <s v="0000"/>
    <s v=""/>
  </r>
  <r>
    <d v="2021-02-16T00:00:00"/>
    <x v="1"/>
    <x v="0"/>
    <n v="65.31"/>
    <s v="00483030"/>
    <s v="006639552"/>
    <x v="2"/>
    <s v="53047092"/>
    <s v="7213000140"/>
    <s v="TRN"/>
    <s v="PUR0954660"/>
    <s v=""/>
    <s v="9260000"/>
    <s v="571900"/>
    <s v="9010"/>
    <s v="554"/>
    <s v="0000SUPT"/>
    <s v="0000"/>
    <s v=""/>
  </r>
  <r>
    <d v="2021-02-25T00:00:00"/>
    <x v="1"/>
    <x v="0"/>
    <n v="51772.63"/>
    <s v="00484106"/>
    <s v="006639552"/>
    <x v="2"/>
    <s v="53051757"/>
    <s v="7213000160"/>
    <s v="TRN"/>
    <s v="PUR0954887"/>
    <s v=""/>
    <s v="9260000"/>
    <s v="571900"/>
    <s v="9010"/>
    <s v="554"/>
    <s v="0000SUPT"/>
    <s v="0000"/>
    <s v=""/>
  </r>
  <r>
    <d v="2021-02-26T00:00:00"/>
    <x v="1"/>
    <x v="0"/>
    <n v="142307.64000000001"/>
    <s v="00484938"/>
    <s v="006639552"/>
    <x v="2"/>
    <s v="53057127"/>
    <s v="7213000186"/>
    <s v="ESD"/>
    <s v="PUR0954940"/>
    <s v=""/>
    <s v="9260000"/>
    <s v="521900"/>
    <s v="0000"/>
    <s v="554"/>
    <s v="BENEFITS"/>
    <s v="0000"/>
    <s v=""/>
  </r>
  <r>
    <d v="2021-02-15T00:00:00"/>
    <x v="1"/>
    <x v="0"/>
    <n v="24.56"/>
    <s v="00482871"/>
    <s v="006639552"/>
    <x v="2"/>
    <s v="53042816"/>
    <s v="7213000123"/>
    <s v="TRN"/>
    <s v="PUR0954637"/>
    <s v=""/>
    <s v="9260000"/>
    <s v="571900"/>
    <s v="9010"/>
    <s v="554"/>
    <s v="0000SUPT"/>
    <s v="0000"/>
    <s v=""/>
  </r>
  <r>
    <d v="2021-02-16T00:00:00"/>
    <x v="1"/>
    <x v="0"/>
    <n v="140974.96"/>
    <s v="00482891"/>
    <s v="006639552"/>
    <x v="2"/>
    <s v="53046069"/>
    <s v="7213000136"/>
    <s v="ESD"/>
    <s v="PUR0954664"/>
    <s v=""/>
    <s v="9260000"/>
    <s v="521900"/>
    <s v="0000"/>
    <s v="554"/>
    <s v="BENEFITS"/>
    <s v="0000"/>
    <s v=""/>
  </r>
  <r>
    <d v="2021-02-25T00:00:00"/>
    <x v="1"/>
    <x v="0"/>
    <n v="26.59"/>
    <s v="00484122"/>
    <s v="006639552"/>
    <x v="2"/>
    <s v="53054474"/>
    <s v="7213000167"/>
    <s v="TRN"/>
    <s v="PUR0954887"/>
    <s v=""/>
    <s v="9260000"/>
    <s v="571900"/>
    <s v="9010"/>
    <s v="554"/>
    <s v="0000SUPT"/>
    <s v="0000"/>
    <s v=""/>
  </r>
  <r>
    <d v="2021-02-16T00:00:00"/>
    <x v="1"/>
    <x v="0"/>
    <n v="3281.87"/>
    <s v="00483030"/>
    <s v="006639552"/>
    <x v="2"/>
    <s v="53047092"/>
    <s v="7213000140"/>
    <s v="ESD"/>
    <s v="PUR0954664"/>
    <s v=""/>
    <s v="9260000"/>
    <s v="521900"/>
    <s v="0000"/>
    <s v="554"/>
    <s v="BENEFITS"/>
    <s v="0000"/>
    <s v=""/>
  </r>
  <r>
    <d v="2021-01-15T00:00:00"/>
    <x v="0"/>
    <x v="0"/>
    <n v="752.82"/>
    <s v="00477528"/>
    <s v="000841250"/>
    <x v="3"/>
    <s v="327616541"/>
    <s v="7213000028"/>
    <s v="TRN"/>
    <s v="PUR0953616"/>
    <s v=""/>
    <s v="9260000"/>
    <s v="571900"/>
    <s v="9010"/>
    <s v="554"/>
    <s v="BENEFITS"/>
    <s v="0000"/>
    <s v=""/>
  </r>
  <r>
    <d v="2021-01-28T00:00:00"/>
    <x v="0"/>
    <x v="0"/>
    <n v="2449.11"/>
    <s v="00479887"/>
    <s v="000841250"/>
    <x v="3"/>
    <s v="330061718"/>
    <s v="7213000085"/>
    <s v="ESD"/>
    <s v="PUR0953956"/>
    <s v=""/>
    <s v="9260000"/>
    <s v="521900"/>
    <s v="0000"/>
    <s v="554"/>
    <s v="BENEFITS"/>
    <s v="0000"/>
    <s v=""/>
  </r>
  <r>
    <d v="2021-01-14T00:00:00"/>
    <x v="0"/>
    <x v="0"/>
    <n v="3932.72"/>
    <s v="00476427"/>
    <s v="000841250"/>
    <x v="3"/>
    <s v="326708746"/>
    <s v="7213000008"/>
    <s v="ESD"/>
    <s v="PUR0953587"/>
    <s v=""/>
    <s v="9260000"/>
    <s v="521900"/>
    <s v="0000"/>
    <s v="554"/>
    <s v="BENEFITS"/>
    <s v="0000"/>
    <s v=""/>
  </r>
  <r>
    <d v="2021-01-14T00:00:00"/>
    <x v="0"/>
    <x v="0"/>
    <n v="1958.98"/>
    <s v="00476427"/>
    <s v="000841250"/>
    <x v="3"/>
    <s v="326708746"/>
    <s v="7213000008"/>
    <s v="TRN"/>
    <s v="PUR0953583"/>
    <s v=""/>
    <s v="9260000"/>
    <s v="571900"/>
    <s v="9010"/>
    <s v="554"/>
    <s v="BENEFITS"/>
    <s v="0000"/>
    <s v=""/>
  </r>
  <r>
    <d v="2021-01-28T00:00:00"/>
    <x v="0"/>
    <x v="0"/>
    <n v="897.49"/>
    <s v="00478657"/>
    <s v="000841250"/>
    <x v="3"/>
    <s v="328650741"/>
    <s v="7213000068"/>
    <s v="TRN"/>
    <s v="PUR0953951"/>
    <s v=""/>
    <s v="9260000"/>
    <s v="571900"/>
    <s v="9010"/>
    <s v="554"/>
    <s v="BENEFITS"/>
    <s v="0000"/>
    <s v=""/>
  </r>
  <r>
    <d v="2021-01-28T00:00:00"/>
    <x v="0"/>
    <x v="0"/>
    <n v="6023.9"/>
    <s v="00478657"/>
    <s v="000841250"/>
    <x v="3"/>
    <s v="328650741"/>
    <s v="7213000068"/>
    <s v="ESD"/>
    <s v="PUR0953956"/>
    <s v=""/>
    <s v="9260000"/>
    <s v="521900"/>
    <s v="0000"/>
    <s v="554"/>
    <s v="BENEFITS"/>
    <s v="0000"/>
    <s v=""/>
  </r>
  <r>
    <d v="2021-01-28T00:00:00"/>
    <x v="0"/>
    <x v="0"/>
    <n v="879.69"/>
    <s v="00479887"/>
    <s v="000841250"/>
    <x v="3"/>
    <s v="330061718"/>
    <s v="7213000085"/>
    <s v="TRN"/>
    <s v="PUR0953951"/>
    <s v=""/>
    <s v="9260000"/>
    <s v="571900"/>
    <s v="9010"/>
    <s v="554"/>
    <s v="BENEFITS"/>
    <s v="0000"/>
    <s v=""/>
  </r>
  <r>
    <d v="2021-01-15T00:00:00"/>
    <x v="0"/>
    <x v="0"/>
    <n v="2671.54"/>
    <s v="00477528"/>
    <s v="000841250"/>
    <x v="3"/>
    <s v="327616541"/>
    <s v="7213000028"/>
    <s v="ESD"/>
    <s v="PUR0953613"/>
    <s v=""/>
    <s v="9260000"/>
    <s v="521900"/>
    <s v="0000"/>
    <s v="554"/>
    <s v="BENEFITS"/>
    <s v="0000"/>
    <s v=""/>
  </r>
  <r>
    <d v="2021-02-26T00:00:00"/>
    <x v="1"/>
    <x v="0"/>
    <n v="2789.7"/>
    <s v="00484852"/>
    <s v="000841250"/>
    <x v="3"/>
    <s v="333658182"/>
    <s v="7213000175"/>
    <s v="ESD"/>
    <s v="PUR0954940"/>
    <s v=""/>
    <s v="9260000"/>
    <s v="521900"/>
    <s v="0000"/>
    <s v="554"/>
    <s v="BENEFITS"/>
    <s v="0000"/>
    <s v=""/>
  </r>
  <r>
    <d v="2021-02-24T00:00:00"/>
    <x v="1"/>
    <x v="0"/>
    <n v="5360"/>
    <s v="00483846"/>
    <s v="000841250"/>
    <x v="3"/>
    <s v="332677119"/>
    <s v="7213000150"/>
    <s v="ESD"/>
    <s v="PUR0954856"/>
    <s v=""/>
    <s v="9260000"/>
    <s v="521900"/>
    <s v="0000"/>
    <s v="554"/>
    <s v="BENEFITS"/>
    <s v="0000"/>
    <s v=""/>
  </r>
  <r>
    <d v="2021-02-26T00:00:00"/>
    <x v="1"/>
    <x v="0"/>
    <n v="113.45"/>
    <s v="00484852"/>
    <s v="000841250"/>
    <x v="3"/>
    <s v="333658182"/>
    <s v="7213000175"/>
    <s v="TRN"/>
    <s v="PUR0954937"/>
    <s v=""/>
    <s v="9260000"/>
    <s v="571900"/>
    <s v="9010"/>
    <s v="554"/>
    <s v="BENEFITS"/>
    <s v="0000"/>
    <s v=""/>
  </r>
  <r>
    <d v="2021-02-09T00:00:00"/>
    <x v="1"/>
    <x v="0"/>
    <n v="1151.23"/>
    <s v="00481520"/>
    <s v="000841250"/>
    <x v="3"/>
    <s v="330877450"/>
    <s v="7213000109"/>
    <s v="TRN"/>
    <s v="PUR0954524"/>
    <s v=""/>
    <s v="9260000"/>
    <s v="571900"/>
    <s v="9010"/>
    <s v="554"/>
    <s v="BENEFITS"/>
    <s v="0000"/>
    <s v=""/>
  </r>
  <r>
    <d v="2021-02-15T00:00:00"/>
    <x v="1"/>
    <x v="0"/>
    <n v="4555.42"/>
    <s v="00482886"/>
    <s v="000841250"/>
    <x v="3"/>
    <s v="331739121"/>
    <s v="7213000132"/>
    <s v="ESD"/>
    <s v="PUR0954642"/>
    <s v=""/>
    <s v="9260000"/>
    <s v="521900"/>
    <s v="0000"/>
    <s v="554"/>
    <s v="BENEFITS"/>
    <s v="0000"/>
    <s v=""/>
  </r>
  <r>
    <d v="2021-02-24T00:00:00"/>
    <x v="1"/>
    <x v="0"/>
    <n v="237.2"/>
    <s v="00483846"/>
    <s v="000841250"/>
    <x v="3"/>
    <s v="332677119"/>
    <s v="7213000150"/>
    <s v="TRN"/>
    <s v="PUR0954863"/>
    <s v=""/>
    <s v="9260000"/>
    <s v="571900"/>
    <s v="9010"/>
    <s v="554"/>
    <s v="BENEFITS"/>
    <s v="0000"/>
    <s v=""/>
  </r>
  <r>
    <d v="2021-02-09T00:00:00"/>
    <x v="1"/>
    <x v="0"/>
    <n v="2847.54"/>
    <s v="00481520"/>
    <s v="000841250"/>
    <x v="3"/>
    <s v="330877450"/>
    <s v="7213000109"/>
    <s v="ESD"/>
    <s v="PUR0954520"/>
    <s v=""/>
    <s v="9260000"/>
    <s v="521900"/>
    <s v="0000"/>
    <s v="554"/>
    <s v="BENEFITS"/>
    <s v="0000"/>
    <s v=""/>
  </r>
  <r>
    <d v="2021-02-15T00:00:00"/>
    <x v="1"/>
    <x v="0"/>
    <n v="2118.89"/>
    <s v="00482886"/>
    <s v="000841250"/>
    <x v="3"/>
    <s v="331739121"/>
    <s v="7213000132"/>
    <s v="TRN"/>
    <s v="PUR0954637"/>
    <s v=""/>
    <s v="9260000"/>
    <s v="571900"/>
    <s v="9010"/>
    <s v="554"/>
    <s v="BENEFITS"/>
    <s v="0000"/>
    <s v=""/>
  </r>
  <r>
    <d v="2021-01-28T00:00:00"/>
    <x v="0"/>
    <x v="0"/>
    <n v="5400"/>
    <s v="00478690"/>
    <s v="012015563"/>
    <x v="4"/>
    <s v="ONCORMETLTDJAN21"/>
    <s v="7213000072"/>
    <s v="ESD"/>
    <s v="PUR0953956"/>
    <s v=""/>
    <s v="9260000"/>
    <s v="521900"/>
    <s v="0000"/>
    <s v="557"/>
    <s v="00000000"/>
    <s v="0000"/>
    <s v=""/>
  </r>
  <r>
    <d v="2021-02-25T00:00:00"/>
    <x v="1"/>
    <x v="0"/>
    <n v="5400"/>
    <s v="00484138"/>
    <s v="012015563"/>
    <x v="4"/>
    <s v="ONCORMETLTDFEB21"/>
    <s v="7213000166"/>
    <s v="ESD"/>
    <s v="PUR0954892"/>
    <s v=""/>
    <s v="9260000"/>
    <s v="521900"/>
    <s v="0000"/>
    <s v="557"/>
    <s v="00000000"/>
    <s v="0000"/>
    <s v=""/>
  </r>
  <r>
    <d v="2021-01-29T00:00:00"/>
    <x v="0"/>
    <x v="0"/>
    <n v="3144.26"/>
    <s v="00480199"/>
    <s v="012061960"/>
    <x v="5"/>
    <s v="3241779"/>
    <s v="7213000099"/>
    <s v="ESD"/>
    <s v="PUR0954014"/>
    <s v=""/>
    <s v="9260000"/>
    <s v="521900"/>
    <s v="0000"/>
    <s v="554"/>
    <s v="BENEFITS"/>
    <s v="0000"/>
    <s v=""/>
  </r>
  <r>
    <d v="2021-01-29T00:00:00"/>
    <x v="0"/>
    <x v="0"/>
    <n v="43.38"/>
    <s v="00480199"/>
    <s v="012061960"/>
    <x v="5"/>
    <s v="3241779"/>
    <s v="7213000099"/>
    <s v="TRN"/>
    <s v="PUR0954009"/>
    <s v=""/>
    <s v="9260000"/>
    <s v="571900"/>
    <s v="9010"/>
    <s v="554"/>
    <s v="0000SUPT"/>
    <s v="0000"/>
    <s v=""/>
  </r>
  <r>
    <d v="2021-01-08T00:00:00"/>
    <x v="0"/>
    <x v="0"/>
    <n v="185.08"/>
    <s v="00476421"/>
    <s v="012061960"/>
    <x v="5"/>
    <s v="3240654"/>
    <s v="7213000015"/>
    <s v="TRN"/>
    <s v="PUR0953361"/>
    <s v=""/>
    <s v="9260000"/>
    <s v="571900"/>
    <s v="9010"/>
    <s v="554"/>
    <s v="0000SUPT"/>
    <s v="0000"/>
    <s v=""/>
  </r>
  <r>
    <d v="2021-01-28T00:00:00"/>
    <x v="0"/>
    <x v="0"/>
    <n v="689.28"/>
    <s v="00479638"/>
    <s v="012061960"/>
    <x v="5"/>
    <s v="3241260"/>
    <s v="7213000075"/>
    <s v="TRN"/>
    <s v="PUR0953951"/>
    <s v=""/>
    <s v="9260000"/>
    <s v="571900"/>
    <s v="9010"/>
    <s v="554"/>
    <s v="0000SUPT"/>
    <s v="0000"/>
    <s v=""/>
  </r>
  <r>
    <d v="2021-01-19T00:00:00"/>
    <x v="0"/>
    <x v="0"/>
    <n v="842.32"/>
    <s v="00477811"/>
    <s v="012061960"/>
    <x v="5"/>
    <s v="3241092"/>
    <s v="7213000038"/>
    <s v="ESD"/>
    <s v="PUR0953655"/>
    <s v=""/>
    <s v="9260000"/>
    <s v="521900"/>
    <s v="0000"/>
    <s v="554"/>
    <s v="BENEFITS"/>
    <s v="0000"/>
    <s v=""/>
  </r>
  <r>
    <d v="2021-01-08T00:00:00"/>
    <x v="0"/>
    <x v="0"/>
    <n v="2518.83"/>
    <s v="00476421"/>
    <s v="012061960"/>
    <x v="5"/>
    <s v="3240654"/>
    <s v="7213000015"/>
    <s v="ESD"/>
    <s v="PUR0953356"/>
    <s v=""/>
    <s v="9260000"/>
    <s v="521900"/>
    <s v="0000"/>
    <s v="554"/>
    <s v="BENEFITS"/>
    <s v="0000"/>
    <s v=""/>
  </r>
  <r>
    <d v="2021-01-28T00:00:00"/>
    <x v="0"/>
    <x v="0"/>
    <n v="330.8"/>
    <s v="00479638"/>
    <s v="012061960"/>
    <x v="5"/>
    <s v="3241260"/>
    <s v="7213000075"/>
    <s v="ESD"/>
    <s v="PUR0953956"/>
    <s v=""/>
    <s v="9260000"/>
    <s v="521900"/>
    <s v="0000"/>
    <s v="554"/>
    <s v="BENEFITS"/>
    <s v="0000"/>
    <s v=""/>
  </r>
  <r>
    <d v="2021-01-19T00:00:00"/>
    <x v="0"/>
    <x v="0"/>
    <n v="10.75"/>
    <s v="00477811"/>
    <s v="012061960"/>
    <x v="5"/>
    <s v="3241092"/>
    <s v="7213000038"/>
    <s v="TRN"/>
    <s v="PUR0953645"/>
    <s v=""/>
    <s v="9260000"/>
    <s v="571900"/>
    <s v="9010"/>
    <s v="554"/>
    <s v="0000SUPT"/>
    <s v="0000"/>
    <s v=""/>
  </r>
  <r>
    <d v="2021-02-15T00:00:00"/>
    <x v="1"/>
    <x v="0"/>
    <n v="860.3"/>
    <s v="00482870"/>
    <s v="012061960"/>
    <x v="5"/>
    <s v="3241951"/>
    <s v="7213000122"/>
    <s v="ESD"/>
    <s v="PUR0954642"/>
    <s v=""/>
    <s v="9260000"/>
    <s v="521900"/>
    <s v="0000"/>
    <s v="554"/>
    <s v="BENEFITS"/>
    <s v="0000"/>
    <s v=""/>
  </r>
  <r>
    <d v="2021-02-25T00:00:00"/>
    <x v="1"/>
    <x v="0"/>
    <n v="1381.9"/>
    <s v="00484142"/>
    <s v="012061960"/>
    <x v="5"/>
    <s v="3242364A"/>
    <s v="7213000171"/>
    <s v="ESD"/>
    <s v="PUR0954892"/>
    <s v=""/>
    <s v="9260000"/>
    <s v="521900"/>
    <s v="0000"/>
    <s v="554"/>
    <s v="BENEFITS"/>
    <s v="0000"/>
    <s v=""/>
  </r>
  <r>
    <d v="2021-02-15T00:00:00"/>
    <x v="1"/>
    <x v="0"/>
    <n v="178.79"/>
    <s v="00482870"/>
    <s v="012061960"/>
    <x v="5"/>
    <s v="3241951"/>
    <s v="7213000122"/>
    <s v="TRN"/>
    <s v="PUR0954637"/>
    <s v=""/>
    <s v="9260000"/>
    <s v="571900"/>
    <s v="9010"/>
    <s v="554"/>
    <s v="0000SUPT"/>
    <s v="0000"/>
    <s v=""/>
  </r>
  <r>
    <d v="2021-02-16T00:00:00"/>
    <x v="1"/>
    <x v="0"/>
    <n v="316.02"/>
    <s v="00483032"/>
    <s v="012061960"/>
    <x v="5"/>
    <s v="3242364"/>
    <s v="7213000142"/>
    <s v="TRN"/>
    <s v="PUR0954660"/>
    <s v=""/>
    <s v="9260000"/>
    <s v="571900"/>
    <s v="9010"/>
    <s v="554"/>
    <s v="0000SUPT"/>
    <s v="0000"/>
    <s v=""/>
  </r>
  <r>
    <d v="2021-02-25T00:00:00"/>
    <x v="1"/>
    <x v="0"/>
    <n v="2214.0300000000002"/>
    <s v="00484142"/>
    <s v="012061960"/>
    <x v="5"/>
    <s v="3242364A"/>
    <s v="7213000171"/>
    <s v="TRN"/>
    <s v="PUR0954887"/>
    <s v=""/>
    <s v="9260000"/>
    <s v="571900"/>
    <s v="9010"/>
    <s v="554"/>
    <s v="0000SUPT"/>
    <s v="0000"/>
    <s v=""/>
  </r>
  <r>
    <d v="2021-02-16T00:00:00"/>
    <x v="1"/>
    <x v="0"/>
    <n v="847.02"/>
    <s v="00483032"/>
    <s v="012061960"/>
    <x v="5"/>
    <s v="3242364"/>
    <s v="7213000142"/>
    <s v="ESD"/>
    <s v="PUR0954664"/>
    <s v=""/>
    <s v="9260000"/>
    <s v="521900"/>
    <s v="0000"/>
    <s v="554"/>
    <s v="BENEFITS"/>
    <s v="0000"/>
    <s v=""/>
  </r>
  <r>
    <d v="2021-03-08T00:00:00"/>
    <x v="2"/>
    <x v="0"/>
    <n v="16385.37"/>
    <s v="00486635"/>
    <s v="011835450"/>
    <x v="0"/>
    <s v="57210570530"/>
    <s v="7213000202"/>
    <s v="TRN"/>
    <s v="PUR0955445"/>
    <s v=""/>
    <s v="9260000"/>
    <s v="571900"/>
    <s v="9010"/>
    <s v="553"/>
    <s v="0000SUPT"/>
    <s v="0000"/>
    <s v=""/>
  </r>
  <r>
    <d v="2021-03-12T00:00:00"/>
    <x v="2"/>
    <x v="0"/>
    <n v="690067.25"/>
    <s v="00487902"/>
    <s v="012051699"/>
    <x v="1"/>
    <s v="BCBS03082021"/>
    <s v="7213000227"/>
    <s v="ESD"/>
    <s v="PUR0955580"/>
    <s v=""/>
    <s v="9260000"/>
    <s v="521900"/>
    <s v="0000"/>
    <s v="554"/>
    <s v="BENEFITS"/>
    <s v="0000"/>
    <s v=""/>
  </r>
  <r>
    <d v="2021-03-15T00:00:00"/>
    <x v="2"/>
    <x v="0"/>
    <n v="46.79"/>
    <s v="00487758"/>
    <s v="006639552"/>
    <x v="2"/>
    <s v="53068910"/>
    <s v="7213000214"/>
    <s v="TRN"/>
    <s v="PUR0955620"/>
    <s v=""/>
    <s v="9260000"/>
    <s v="571900"/>
    <s v="9010"/>
    <s v="554"/>
    <s v="0000SUPT"/>
    <s v="0000"/>
    <s v=""/>
  </r>
  <r>
    <d v="2021-03-19T00:00:00"/>
    <x v="2"/>
    <x v="0"/>
    <n v="18616.259999999998"/>
    <s v="00488703"/>
    <s v="011835450"/>
    <x v="0"/>
    <s v="57210710194"/>
    <s v="7213000251"/>
    <s v="TRN"/>
    <s v="PUR0955735"/>
    <s v=""/>
    <s v="9260000"/>
    <s v="571900"/>
    <s v="9010"/>
    <s v="553"/>
    <s v="0000SUPT"/>
    <s v="0000"/>
    <s v=""/>
  </r>
  <r>
    <d v="2021-03-19T00:00:00"/>
    <x v="2"/>
    <x v="0"/>
    <n v="1055.7"/>
    <s v="00488711"/>
    <s v="012061960"/>
    <x v="5"/>
    <s v="3243587"/>
    <s v="7213000239"/>
    <s v="ESD"/>
    <s v="PUR0955740"/>
    <s v=""/>
    <s v="9260000"/>
    <s v="521900"/>
    <s v="0000"/>
    <s v="554"/>
    <s v="BENEFITS"/>
    <s v="0000"/>
    <s v=""/>
  </r>
  <r>
    <d v="2021-03-26T00:00:00"/>
    <x v="2"/>
    <x v="0"/>
    <n v="340.76"/>
    <s v="00490019"/>
    <s v="012061960"/>
    <x v="5"/>
    <s v="3243746"/>
    <s v="7213000273"/>
    <s v="TRN"/>
    <s v="PUR0955903"/>
    <s v=""/>
    <s v="9260000"/>
    <s v="571900"/>
    <s v="9010"/>
    <s v="554"/>
    <s v="0000SUPT"/>
    <s v="0000"/>
    <s v=""/>
  </r>
  <r>
    <d v="2021-03-30T00:00:00"/>
    <x v="2"/>
    <x v="0"/>
    <n v="47435.87"/>
    <s v="00490992"/>
    <s v="006639552"/>
    <x v="2"/>
    <s v="53083492"/>
    <s v="7213000298"/>
    <s v="TRN"/>
    <s v="PUR0955990"/>
    <s v=""/>
    <s v="9260000"/>
    <s v="571900"/>
    <s v="9010"/>
    <s v="554"/>
    <s v="0000SUPT"/>
    <s v="0000"/>
    <s v=""/>
  </r>
  <r>
    <d v="2021-03-26T00:00:00"/>
    <x v="2"/>
    <x v="0"/>
    <n v="6785.8"/>
    <s v="00490023"/>
    <s v="000841250"/>
    <x v="3"/>
    <s v="338065011"/>
    <s v="7213000285"/>
    <s v="ESD"/>
    <s v="PUR0955909"/>
    <s v=""/>
    <s v="9260000"/>
    <s v="521900"/>
    <s v="0000"/>
    <s v="554"/>
    <s v="BENEFITS"/>
    <s v="0000"/>
    <s v=""/>
  </r>
  <r>
    <d v="2021-03-31T00:00:00"/>
    <x v="2"/>
    <x v="0"/>
    <n v="21010.61"/>
    <s v="00491206"/>
    <s v="011835450"/>
    <x v="0"/>
    <s v="57210850193"/>
    <s v="7213000308"/>
    <s v="TRN"/>
    <s v="PUR0956044"/>
    <s v=""/>
    <s v="9260000"/>
    <s v="571900"/>
    <s v="9010"/>
    <s v="553"/>
    <s v="0000SUPT"/>
    <s v="0000"/>
    <s v=""/>
  </r>
  <r>
    <d v="2021-03-08T00:00:00"/>
    <x v="2"/>
    <x v="0"/>
    <n v="2423.7800000000002"/>
    <s v="00486644"/>
    <s v="000841250"/>
    <x v="3"/>
    <s v="334842033"/>
    <s v="7213000204"/>
    <s v="TRN"/>
    <s v="PUR0955445"/>
    <s v=""/>
    <s v="9260000"/>
    <s v="571900"/>
    <s v="9010"/>
    <s v="554"/>
    <s v="BENEFITS"/>
    <s v="0000"/>
    <s v=""/>
  </r>
  <r>
    <d v="2021-03-12T00:00:00"/>
    <x v="2"/>
    <x v="0"/>
    <n v="56609.35"/>
    <s v="00487900"/>
    <s v="011835450"/>
    <x v="0"/>
    <s v="57210640182"/>
    <s v="7213000226"/>
    <s v="ESD"/>
    <s v="PUR0955580"/>
    <s v=""/>
    <s v="9260000"/>
    <s v="521900"/>
    <s v="0000"/>
    <s v="553"/>
    <s v="BENEFITS"/>
    <s v="0000"/>
    <s v=""/>
  </r>
  <r>
    <d v="2021-03-12T00:00:00"/>
    <x v="2"/>
    <x v="0"/>
    <n v="13939.61"/>
    <s v="00487900"/>
    <s v="011835450"/>
    <x v="0"/>
    <s v="57210640182"/>
    <s v="7213000226"/>
    <s v="TRN"/>
    <s v="PUR0955586"/>
    <s v=""/>
    <s v="9260000"/>
    <s v="571900"/>
    <s v="9010"/>
    <s v="553"/>
    <s v="0000SUPT"/>
    <s v="0000"/>
    <s v=""/>
  </r>
  <r>
    <d v="2021-03-15T00:00:00"/>
    <x v="2"/>
    <x v="0"/>
    <n v="20274.82"/>
    <s v="00487921"/>
    <s v="006639552"/>
    <x v="2"/>
    <s v="53064395"/>
    <s v="7213000208"/>
    <s v="TRN"/>
    <s v="PUR0955620"/>
    <s v=""/>
    <s v="9260000"/>
    <s v="571900"/>
    <s v="9010"/>
    <s v="554"/>
    <s v="0000SUPT"/>
    <s v="0000"/>
    <s v=""/>
  </r>
  <r>
    <d v="2021-03-30T00:00:00"/>
    <x v="2"/>
    <x v="0"/>
    <n v="169185.53"/>
    <s v="00490992"/>
    <s v="006639552"/>
    <x v="2"/>
    <s v="53083492"/>
    <s v="7213000298"/>
    <s v="ESD"/>
    <s v="PUR0955993"/>
    <s v=""/>
    <s v="9260000"/>
    <s v="521900"/>
    <s v="0000"/>
    <s v="554"/>
    <s v="BENEFITS"/>
    <s v="0000"/>
    <s v=""/>
  </r>
  <r>
    <d v="2021-03-26T00:00:00"/>
    <x v="2"/>
    <x v="0"/>
    <n v="275174.14"/>
    <s v="00490017"/>
    <s v="012051699"/>
    <x v="1"/>
    <s v="BCBS03222021"/>
    <s v="7213000284"/>
    <s v="TRN"/>
    <s v="PUR0955903"/>
    <s v=""/>
    <s v="9260000"/>
    <s v="571900"/>
    <s v="9010"/>
    <s v="554"/>
    <s v="0000SUPT"/>
    <s v="0000"/>
    <s v=""/>
  </r>
  <r>
    <d v="2021-03-08T00:00:00"/>
    <x v="2"/>
    <x v="0"/>
    <n v="6.44"/>
    <s v="00486632"/>
    <s v="006639552"/>
    <x v="2"/>
    <s v="53058116"/>
    <s v="7213000200"/>
    <s v="TRN"/>
    <s v="PUR0955445"/>
    <s v=""/>
    <s v="9260000"/>
    <s v="571900"/>
    <s v="9010"/>
    <s v="554"/>
    <s v="0000SUPT"/>
    <s v="0000"/>
    <s v=""/>
  </r>
  <r>
    <d v="2021-03-08T00:00:00"/>
    <x v="2"/>
    <x v="0"/>
    <n v="258.64999999999998"/>
    <s v="00486630"/>
    <s v="012061960"/>
    <x v="5"/>
    <s v="3243027"/>
    <s v="7213000199"/>
    <s v="ESD"/>
    <s v="PUR0955452"/>
    <s v=""/>
    <s v="9260000"/>
    <s v="521900"/>
    <s v="0000"/>
    <s v="554"/>
    <s v="BENEFITS"/>
    <s v="0000"/>
    <s v=""/>
  </r>
  <r>
    <d v="2021-03-08T00:00:00"/>
    <x v="2"/>
    <x v="0"/>
    <n v="408905.22"/>
    <s v="00486641"/>
    <s v="012051699"/>
    <x v="1"/>
    <s v="BCBS03012021"/>
    <s v="7213000203"/>
    <s v="ESD"/>
    <s v="PUR0955452"/>
    <s v=""/>
    <s v="9260000"/>
    <s v="521900"/>
    <s v="0000"/>
    <s v="554"/>
    <s v="BENEFITS"/>
    <s v="0000"/>
    <s v=""/>
  </r>
  <r>
    <d v="2021-03-19T00:00:00"/>
    <x v="2"/>
    <x v="0"/>
    <n v="516407.75"/>
    <s v="00488704"/>
    <s v="012051699"/>
    <x v="1"/>
    <s v="BCBS03152021"/>
    <s v="7213000252"/>
    <s v="ESD"/>
    <s v="PUR0955740"/>
    <s v=""/>
    <s v="9260000"/>
    <s v="521900"/>
    <s v="0000"/>
    <s v="554"/>
    <s v="BENEFITS"/>
    <s v="0000"/>
    <s v=""/>
  </r>
  <r>
    <d v="2021-03-31T00:00:00"/>
    <x v="2"/>
    <x v="0"/>
    <n v="4036.99"/>
    <s v="00491208"/>
    <s v="000841250"/>
    <x v="3"/>
    <s v="338904384"/>
    <s v="7213000310"/>
    <s v="ESD"/>
    <s v="PUR0956039"/>
    <s v=""/>
    <s v="9260000"/>
    <s v="521900"/>
    <s v="0000"/>
    <s v="554"/>
    <s v="BENEFITS"/>
    <s v="0000"/>
    <s v=""/>
  </r>
  <r>
    <d v="2021-03-08T00:00:00"/>
    <x v="2"/>
    <x v="0"/>
    <n v="58527.95"/>
    <s v="00486635"/>
    <s v="011835450"/>
    <x v="0"/>
    <s v="57210570530"/>
    <s v="7213000202"/>
    <s v="ESD"/>
    <s v="PUR0955452"/>
    <s v=""/>
    <s v="9260000"/>
    <s v="521900"/>
    <s v="0000"/>
    <s v="553"/>
    <s v="BENEFITS"/>
    <s v="0000"/>
    <s v=""/>
  </r>
  <r>
    <d v="2021-03-12T00:00:00"/>
    <x v="2"/>
    <x v="0"/>
    <n v="15239.25"/>
    <s v="00487918"/>
    <s v="006639552"/>
    <x v="2"/>
    <s v="53072186"/>
    <s v="7213000237"/>
    <s v="TRN"/>
    <s v="PUR0955586"/>
    <s v=""/>
    <s v="9260000"/>
    <s v="571900"/>
    <s v="9010"/>
    <s v="554"/>
    <s v="0000SUPT"/>
    <s v="0000"/>
    <s v=""/>
  </r>
  <r>
    <d v="2021-03-19T00:00:00"/>
    <x v="2"/>
    <x v="0"/>
    <n v="55596.23"/>
    <s v="00488703"/>
    <s v="011835450"/>
    <x v="0"/>
    <s v="57210710194"/>
    <s v="7213000251"/>
    <s v="ESD"/>
    <s v="PUR0955740"/>
    <s v=""/>
    <s v="9260000"/>
    <s v="521900"/>
    <s v="0000"/>
    <s v="553"/>
    <s v="BENEFITS"/>
    <s v="0000"/>
    <s v=""/>
  </r>
  <r>
    <d v="2021-03-19T00:00:00"/>
    <x v="2"/>
    <x v="0"/>
    <n v="1930.06"/>
    <s v="00488705"/>
    <s v="000841250"/>
    <x v="3"/>
    <s v="336626091"/>
    <s v="7213000253"/>
    <s v="TRN"/>
    <s v="PUR0955735"/>
    <s v=""/>
    <s v="9260000"/>
    <s v="571900"/>
    <s v="9010"/>
    <s v="554"/>
    <s v="BENEFITS"/>
    <s v="0000"/>
    <s v=""/>
  </r>
  <r>
    <d v="2021-03-26T00:00:00"/>
    <x v="2"/>
    <x v="0"/>
    <n v="1984"/>
    <s v="00490030"/>
    <s v="006639552"/>
    <x v="2"/>
    <s v="53080847"/>
    <s v="7213000279"/>
    <s v="ESD"/>
    <s v="PUR0955909"/>
    <s v=""/>
    <s v="9260000"/>
    <s v="521900"/>
    <s v="0000"/>
    <s v="554"/>
    <s v="BENEFITS"/>
    <s v="0000"/>
    <s v=""/>
  </r>
  <r>
    <d v="2021-03-31T00:00:00"/>
    <x v="2"/>
    <x v="0"/>
    <n v="458.3"/>
    <s v="00491211"/>
    <s v="012061960"/>
    <x v="5"/>
    <s v="3244284"/>
    <s v="7213000313"/>
    <s v="TRN"/>
    <s v="PUR0956044"/>
    <s v=""/>
    <s v="9260000"/>
    <s v="571900"/>
    <s v="9010"/>
    <s v="554"/>
    <s v="0000SUPT"/>
    <s v="0000"/>
    <s v=""/>
  </r>
  <r>
    <d v="2021-03-31T00:00:00"/>
    <x v="2"/>
    <x v="0"/>
    <n v="744.06"/>
    <s v="00491211"/>
    <s v="012061960"/>
    <x v="5"/>
    <s v="3244284"/>
    <s v="7213000313"/>
    <s v="ESD"/>
    <s v="PUR0956039"/>
    <s v=""/>
    <s v="9260000"/>
    <s v="521900"/>
    <s v="0000"/>
    <s v="554"/>
    <s v="BENEFITS"/>
    <s v="0000"/>
    <s v=""/>
  </r>
  <r>
    <d v="2021-03-08T00:00:00"/>
    <x v="2"/>
    <x v="0"/>
    <n v="527.61"/>
    <s v="00486632"/>
    <s v="006639552"/>
    <x v="2"/>
    <s v="53058116"/>
    <s v="7213000200"/>
    <s v="ESD"/>
    <s v="PUR0955452"/>
    <s v=""/>
    <s v="9260000"/>
    <s v="521900"/>
    <s v="0000"/>
    <s v="554"/>
    <s v="BENEFITS"/>
    <s v="0000"/>
    <s v=""/>
  </r>
  <r>
    <d v="2021-03-12T00:00:00"/>
    <x v="2"/>
    <x v="0"/>
    <n v="661.31"/>
    <s v="00487904"/>
    <s v="000841250"/>
    <x v="3"/>
    <s v="335745060"/>
    <s v="7213000228"/>
    <s v="TRN"/>
    <s v="PUR0955586"/>
    <s v=""/>
    <s v="9260000"/>
    <s v="571900"/>
    <s v="9010"/>
    <s v="554"/>
    <s v="BENEFITS"/>
    <s v="0000"/>
    <s v=""/>
  </r>
  <r>
    <d v="2021-03-12T00:00:00"/>
    <x v="2"/>
    <x v="0"/>
    <n v="195551.89"/>
    <s v="00487918"/>
    <s v="006639552"/>
    <x v="2"/>
    <s v="53072186"/>
    <s v="7213000237"/>
    <s v="ESD"/>
    <s v="PUR0955580"/>
    <s v=""/>
    <s v="9260000"/>
    <s v="521900"/>
    <s v="0000"/>
    <s v="554"/>
    <s v="BENEFITS"/>
    <s v="0000"/>
    <s v=""/>
  </r>
  <r>
    <d v="2021-03-12T00:00:00"/>
    <x v="2"/>
    <x v="0"/>
    <n v="2151.5100000000002"/>
    <s v="00487904"/>
    <s v="000841250"/>
    <x v="3"/>
    <s v="335745060"/>
    <s v="7213000228"/>
    <s v="ESD"/>
    <s v="PUR0955580"/>
    <s v=""/>
    <s v="9260000"/>
    <s v="521900"/>
    <s v="0000"/>
    <s v="554"/>
    <s v="BENEFITS"/>
    <s v="0000"/>
    <s v=""/>
  </r>
  <r>
    <d v="2021-03-15T00:00:00"/>
    <x v="2"/>
    <x v="0"/>
    <n v="596.32000000000005"/>
    <s v="00487761"/>
    <s v="012061960"/>
    <x v="5"/>
    <s v="3243171"/>
    <s v="7213000216"/>
    <s v="TRN"/>
    <s v="PUR0955620"/>
    <s v=""/>
    <s v="9260000"/>
    <s v="571900"/>
    <s v="9010"/>
    <s v="554"/>
    <s v="0000SUPT"/>
    <s v="0000"/>
    <s v=""/>
  </r>
  <r>
    <d v="2021-03-25T00:00:00"/>
    <x v="2"/>
    <x v="0"/>
    <n v="187566.75"/>
    <s v="00490042"/>
    <s v="006639552"/>
    <x v="2"/>
    <s v="53078123"/>
    <s v="7213000265"/>
    <s v="ESD"/>
    <s v="PUR0955873"/>
    <s v=""/>
    <s v="9260000"/>
    <s v="521900"/>
    <s v="0000"/>
    <s v="554"/>
    <s v="BENEFITS"/>
    <s v="0000"/>
    <s v=""/>
  </r>
  <r>
    <d v="2021-03-26T00:00:00"/>
    <x v="2"/>
    <x v="0"/>
    <n v="6365.55"/>
    <s v="00490019"/>
    <s v="012061960"/>
    <x v="5"/>
    <s v="3243746"/>
    <s v="7213000273"/>
    <s v="ESD"/>
    <s v="PUR0955909"/>
    <s v=""/>
    <s v="9260000"/>
    <s v="521900"/>
    <s v="0000"/>
    <s v="554"/>
    <s v="BENEFITS"/>
    <s v="0000"/>
    <s v=""/>
  </r>
  <r>
    <d v="2021-03-26T00:00:00"/>
    <x v="2"/>
    <x v="0"/>
    <n v="5400"/>
    <s v="00490018"/>
    <s v="012015563"/>
    <x v="4"/>
    <s v="ONCORMETLTDMAR21"/>
    <s v="7213000272"/>
    <s v="ESD"/>
    <s v="PUR0955909"/>
    <s v=""/>
    <s v="9260000"/>
    <s v="521900"/>
    <s v="0000"/>
    <s v="557"/>
    <s v="00000000"/>
    <s v="0000"/>
    <s v=""/>
  </r>
  <r>
    <d v="2021-03-31T00:00:00"/>
    <x v="2"/>
    <x v="0"/>
    <n v="777.83"/>
    <s v="00491208"/>
    <s v="000841250"/>
    <x v="3"/>
    <s v="338904384"/>
    <s v="7213000310"/>
    <s v="TRN"/>
    <s v="PUR0956044"/>
    <s v=""/>
    <s v="9260000"/>
    <s v="571900"/>
    <s v="9010"/>
    <s v="554"/>
    <s v="BENEFITS"/>
    <s v="0000"/>
    <s v=""/>
  </r>
  <r>
    <d v="2021-03-31T00:00:00"/>
    <x v="2"/>
    <x v="0"/>
    <n v="357749.09"/>
    <s v="00491207"/>
    <s v="012051699"/>
    <x v="1"/>
    <s v="BCBS03292021"/>
    <s v="7213000309"/>
    <s v="ESD"/>
    <s v="PUR0956039"/>
    <s v=""/>
    <s v="9260000"/>
    <s v="521900"/>
    <s v="0000"/>
    <s v="554"/>
    <s v="BENEFITS"/>
    <s v="0000"/>
    <s v=""/>
  </r>
  <r>
    <d v="2021-03-31T00:00:00"/>
    <x v="2"/>
    <x v="0"/>
    <n v="135.01"/>
    <s v="00491210"/>
    <s v="006639552"/>
    <x v="2"/>
    <s v="53084519"/>
    <s v="7213000312"/>
    <s v="ESD"/>
    <s v="PUR0956039"/>
    <s v=""/>
    <s v="9260000"/>
    <s v="521900"/>
    <s v="0000"/>
    <s v="554"/>
    <s v="BENEFITS"/>
    <s v="0000"/>
    <s v=""/>
  </r>
  <r>
    <d v="2021-03-12T00:00:00"/>
    <x v="2"/>
    <x v="0"/>
    <n v="276269.12"/>
    <s v="00487902"/>
    <s v="012051699"/>
    <x v="1"/>
    <s v="BCBS03082021"/>
    <s v="7213000227"/>
    <s v="TRN"/>
    <s v="PUR0955586"/>
    <s v=""/>
    <s v="9260000"/>
    <s v="571900"/>
    <s v="9010"/>
    <s v="554"/>
    <s v="0000SUPT"/>
    <s v="0000"/>
    <s v=""/>
  </r>
  <r>
    <d v="2021-03-19T00:00:00"/>
    <x v="2"/>
    <x v="0"/>
    <n v="4170.6000000000004"/>
    <s v="00488715"/>
    <s v="006639552"/>
    <x v="2"/>
    <s v="53073168"/>
    <s v="7213000242"/>
    <s v="ESD"/>
    <s v="PUR0955740"/>
    <s v=""/>
    <s v="9260000"/>
    <s v="521900"/>
    <s v="0000"/>
    <s v="554"/>
    <s v="BENEFITS"/>
    <s v="0000"/>
    <s v=""/>
  </r>
  <r>
    <d v="2021-03-31T00:00:00"/>
    <x v="2"/>
    <x v="0"/>
    <n v="220954.63"/>
    <s v="00491207"/>
    <s v="012051699"/>
    <x v="1"/>
    <s v="BCBS03292021"/>
    <s v="7213000309"/>
    <s v="TRN"/>
    <s v="PUR0956044"/>
    <s v=""/>
    <s v="9260000"/>
    <s v="571900"/>
    <s v="9010"/>
    <s v="554"/>
    <s v="0000SUPT"/>
    <s v="0000"/>
    <s v=""/>
  </r>
  <r>
    <d v="2021-03-08T00:00:00"/>
    <x v="2"/>
    <x v="0"/>
    <n v="1799.51"/>
    <s v="00486644"/>
    <s v="000841250"/>
    <x v="3"/>
    <s v="334842033"/>
    <s v="7213000204"/>
    <s v="ESD"/>
    <s v="PUR0955452"/>
    <s v=""/>
    <s v="9260000"/>
    <s v="521900"/>
    <s v="0000"/>
    <s v="554"/>
    <s v="BENEFITS"/>
    <s v="0000"/>
    <s v=""/>
  </r>
  <r>
    <d v="2021-03-19T00:00:00"/>
    <x v="2"/>
    <x v="0"/>
    <n v="1687.72"/>
    <s v="00488705"/>
    <s v="000841250"/>
    <x v="3"/>
    <s v="336626091"/>
    <s v="7213000253"/>
    <s v="ESD"/>
    <s v="PUR0955740"/>
    <s v=""/>
    <s v="9260000"/>
    <s v="521900"/>
    <s v="0000"/>
    <s v="554"/>
    <s v="BENEFITS"/>
    <s v="0000"/>
    <s v=""/>
  </r>
  <r>
    <d v="2021-03-19T00:00:00"/>
    <x v="2"/>
    <x v="0"/>
    <n v="283.18"/>
    <s v="00488711"/>
    <s v="012061960"/>
    <x v="5"/>
    <s v="3243587"/>
    <s v="7213000239"/>
    <s v="TRN"/>
    <s v="PUR0955735"/>
    <s v=""/>
    <s v="9260000"/>
    <s v="571900"/>
    <s v="9010"/>
    <s v="554"/>
    <s v="0000SUPT"/>
    <s v="0000"/>
    <s v=""/>
  </r>
  <r>
    <d v="2021-03-26T00:00:00"/>
    <x v="2"/>
    <x v="0"/>
    <n v="158.53"/>
    <s v="00490023"/>
    <s v="000841250"/>
    <x v="3"/>
    <s v="338065011"/>
    <s v="7213000285"/>
    <s v="TRN"/>
    <s v="PUR0955903"/>
    <s v=""/>
    <s v="9260000"/>
    <s v="571900"/>
    <s v="9010"/>
    <s v="554"/>
    <s v="BENEFITS"/>
    <s v="0000"/>
    <s v=""/>
  </r>
  <r>
    <d v="2021-03-26T00:00:00"/>
    <x v="2"/>
    <x v="0"/>
    <n v="21682.84"/>
    <s v="00490014"/>
    <s v="011835450"/>
    <x v="0"/>
    <s v="57210780169"/>
    <s v="7213000283"/>
    <s v="TRN"/>
    <s v="PUR0955903"/>
    <s v=""/>
    <s v="9260000"/>
    <s v="571900"/>
    <s v="9010"/>
    <s v="553"/>
    <s v="0000SUPT"/>
    <s v="0000"/>
    <s v=""/>
  </r>
  <r>
    <d v="2021-03-26T00:00:00"/>
    <x v="2"/>
    <x v="0"/>
    <n v="793906.76"/>
    <s v="00490017"/>
    <s v="012051699"/>
    <x v="1"/>
    <s v="BCBS03222021"/>
    <s v="7213000284"/>
    <s v="ESD"/>
    <s v="PUR0955909"/>
    <s v=""/>
    <s v="9260000"/>
    <s v="521900"/>
    <s v="0000"/>
    <s v="554"/>
    <s v="BENEFITS"/>
    <s v="0000"/>
    <s v=""/>
  </r>
  <r>
    <d v="2021-03-25T00:00:00"/>
    <x v="2"/>
    <x v="0"/>
    <n v="40468.339999999997"/>
    <s v="00490042"/>
    <s v="006639552"/>
    <x v="2"/>
    <s v="53078123"/>
    <s v="7213000265"/>
    <s v="TRN"/>
    <s v="PUR0955870"/>
    <s v=""/>
    <s v="9260000"/>
    <s v="571900"/>
    <s v="9010"/>
    <s v="554"/>
    <s v="0000SUPT"/>
    <s v="0000"/>
    <s v=""/>
  </r>
  <r>
    <d v="2021-03-26T00:00:00"/>
    <x v="2"/>
    <x v="0"/>
    <n v="5.21"/>
    <s v="00490030"/>
    <s v="006639552"/>
    <x v="2"/>
    <s v="53080847"/>
    <s v="7213000279"/>
    <s v="TRN"/>
    <s v="PUR0955903"/>
    <s v=""/>
    <s v="9260000"/>
    <s v="571900"/>
    <s v="9010"/>
    <s v="554"/>
    <s v="0000SUPT"/>
    <s v="0000"/>
    <s v=""/>
  </r>
  <r>
    <d v="2021-03-26T00:00:00"/>
    <x v="2"/>
    <x v="0"/>
    <n v="62158.96"/>
    <s v="00490014"/>
    <s v="011835450"/>
    <x v="0"/>
    <s v="57210780169"/>
    <s v="7213000283"/>
    <s v="ESD"/>
    <s v="PUR0955909"/>
    <s v=""/>
    <s v="9260000"/>
    <s v="521900"/>
    <s v="0000"/>
    <s v="553"/>
    <s v="BENEFITS"/>
    <s v="0000"/>
    <s v=""/>
  </r>
  <r>
    <d v="2021-03-08T00:00:00"/>
    <x v="2"/>
    <x v="0"/>
    <n v="186971.02"/>
    <s v="00486641"/>
    <s v="012051699"/>
    <x v="1"/>
    <s v="BCBS03012021"/>
    <s v="7213000203"/>
    <s v="TRN"/>
    <s v="PUR0955445"/>
    <s v=""/>
    <s v="9260000"/>
    <s v="571900"/>
    <s v="9010"/>
    <s v="554"/>
    <s v="0000SUPT"/>
    <s v="0000"/>
    <s v=""/>
  </r>
  <r>
    <d v="2021-03-08T00:00:00"/>
    <x v="2"/>
    <x v="0"/>
    <n v="46.16"/>
    <s v="00486630"/>
    <s v="012061960"/>
    <x v="5"/>
    <s v="3243027"/>
    <s v="7213000199"/>
    <s v="TRN"/>
    <s v="PUR0955445"/>
    <s v=""/>
    <s v="9260000"/>
    <s v="571900"/>
    <s v="9010"/>
    <s v="554"/>
    <s v="0000SUPT"/>
    <s v="0000"/>
    <s v=""/>
  </r>
  <r>
    <d v="2021-03-15T00:00:00"/>
    <x v="2"/>
    <x v="0"/>
    <n v="36.020000000000003"/>
    <s v="00487761"/>
    <s v="012061960"/>
    <x v="5"/>
    <s v="3243171"/>
    <s v="7213000216"/>
    <s v="ESD"/>
    <s v="PUR0955612"/>
    <s v=""/>
    <s v="9260000"/>
    <s v="521900"/>
    <s v="0000"/>
    <s v="554"/>
    <s v="BENEFITS"/>
    <s v="0000"/>
    <s v=""/>
  </r>
  <r>
    <d v="2021-03-15T00:00:00"/>
    <x v="2"/>
    <x v="0"/>
    <n v="43210.69"/>
    <s v="00487921"/>
    <s v="006639552"/>
    <x v="2"/>
    <s v="53064395"/>
    <s v="7213000208"/>
    <s v="ESD"/>
    <s v="PUR0955612"/>
    <s v=""/>
    <s v="9260000"/>
    <s v="521900"/>
    <s v="0000"/>
    <s v="554"/>
    <s v="BENEFITS"/>
    <s v="0000"/>
    <s v=""/>
  </r>
  <r>
    <d v="2021-03-19T00:00:00"/>
    <x v="2"/>
    <x v="0"/>
    <n v="690.93"/>
    <s v="00488715"/>
    <s v="006639552"/>
    <x v="2"/>
    <s v="53073168"/>
    <s v="7213000242"/>
    <s v="TRN"/>
    <s v="PUR0955735"/>
    <s v=""/>
    <s v="9260000"/>
    <s v="571900"/>
    <s v="9010"/>
    <s v="554"/>
    <s v="0000SUPT"/>
    <s v="0000"/>
    <s v=""/>
  </r>
  <r>
    <d v="2021-03-19T00:00:00"/>
    <x v="2"/>
    <x v="0"/>
    <n v="530246.12"/>
    <s v="00488704"/>
    <s v="012051699"/>
    <x v="1"/>
    <s v="BCBS03152021"/>
    <s v="7213000252"/>
    <s v="TRN"/>
    <s v="PUR0955735"/>
    <s v=""/>
    <s v="9260000"/>
    <s v="571900"/>
    <s v="9010"/>
    <s v="554"/>
    <s v="0000SUPT"/>
    <s v="0000"/>
    <s v=""/>
  </r>
  <r>
    <d v="2021-03-31T00:00:00"/>
    <x v="2"/>
    <x v="0"/>
    <n v="56652.38"/>
    <s v="00491206"/>
    <s v="011835450"/>
    <x v="0"/>
    <s v="57210850193"/>
    <s v="7213000308"/>
    <s v="ESD"/>
    <s v="PUR0956039"/>
    <s v=""/>
    <s v="9260000"/>
    <s v="521900"/>
    <s v="0000"/>
    <s v="553"/>
    <s v="BENEFITS"/>
    <s v="0000"/>
    <s v=""/>
  </r>
  <r>
    <d v="2021-03-31T00:00:00"/>
    <x v="2"/>
    <x v="0"/>
    <n v="37.369999999999997"/>
    <s v="00491210"/>
    <s v="006639552"/>
    <x v="2"/>
    <s v="53084519"/>
    <s v="7213000312"/>
    <s v="TRN"/>
    <s v="PUR0956044"/>
    <s v=""/>
    <s v="9260000"/>
    <s v="571900"/>
    <s v="9010"/>
    <s v="554"/>
    <s v="0000SUPT"/>
    <s v="0000"/>
    <s v=""/>
  </r>
  <r>
    <d v="2021-04-14T00:00:00"/>
    <x v="3"/>
    <x v="0"/>
    <n v="69656.179999999993"/>
    <s v="00493832"/>
    <s v="011835450"/>
    <x v="0"/>
    <s v="57210990226"/>
    <s v="7213000363"/>
    <s v="ESD"/>
    <s v="PUR0956593"/>
    <s v=""/>
    <s v="9260000"/>
    <s v="521900"/>
    <s v="0000"/>
    <s v="553"/>
    <s v="BENEFITS"/>
    <s v="0000"/>
    <s v=""/>
  </r>
  <r>
    <d v="2021-04-30T00:00:00"/>
    <x v="3"/>
    <x v="0"/>
    <n v="985.15"/>
    <s v="00497690"/>
    <s v="006639552"/>
    <x v="2"/>
    <s v="53111158"/>
    <s v="7213000430"/>
    <s v="ESD"/>
    <s v="PUR0957038"/>
    <s v=""/>
    <s v="9260000"/>
    <s v="521900"/>
    <s v="0000"/>
    <s v="554"/>
    <s v="BENEFITS"/>
    <s v="0000"/>
    <s v=""/>
  </r>
  <r>
    <d v="2021-04-19T00:00:00"/>
    <x v="3"/>
    <x v="0"/>
    <n v="328.87"/>
    <s v="00494745"/>
    <s v="012061960"/>
    <x v="5"/>
    <s v="3244890"/>
    <s v="7213000371"/>
    <s v="TRN"/>
    <s v="PUR0956672"/>
    <s v=""/>
    <s v="9260000"/>
    <s v="571900"/>
    <s v="9010"/>
    <s v="554"/>
    <s v="0000SUPT"/>
    <s v="0000"/>
    <s v=""/>
  </r>
  <r>
    <d v="2021-04-14T00:00:00"/>
    <x v="3"/>
    <x v="0"/>
    <n v="3091.47"/>
    <s v="00493821"/>
    <s v="000841250"/>
    <x v="3"/>
    <s v="339701349"/>
    <s v="7213000342"/>
    <s v="ESD"/>
    <s v="PUR0956593"/>
    <s v=""/>
    <s v="9260000"/>
    <s v="521900"/>
    <s v="0000"/>
    <s v="554"/>
    <s v="BENEFITS"/>
    <s v="0000"/>
    <s v=""/>
  </r>
  <r>
    <d v="2021-04-14T00:00:00"/>
    <x v="3"/>
    <x v="0"/>
    <n v="192780.47"/>
    <s v="00493830"/>
    <s v="012051699"/>
    <x v="1"/>
    <s v="BCBS04122021"/>
    <s v="7213000362"/>
    <s v="TRN"/>
    <s v="PUR0956600"/>
    <s v=""/>
    <s v="9260000"/>
    <s v="571900"/>
    <s v="9010"/>
    <s v="554"/>
    <s v="0000SUPT"/>
    <s v="0000"/>
    <s v=""/>
  </r>
  <r>
    <d v="2021-04-14T00:00:00"/>
    <x v="3"/>
    <x v="0"/>
    <n v="743088.77"/>
    <s v="00493819"/>
    <s v="012051699"/>
    <x v="1"/>
    <s v="BCBS04052021"/>
    <s v="7213000341"/>
    <s v="TRN"/>
    <s v="PUR0956600"/>
    <s v=""/>
    <s v="9260000"/>
    <s v="571900"/>
    <s v="9010"/>
    <s v="554"/>
    <s v="0000SUPT"/>
    <s v="0000"/>
    <s v=""/>
  </r>
  <r>
    <d v="2021-04-30T00:00:00"/>
    <x v="3"/>
    <x v="0"/>
    <n v="180827.25"/>
    <s v="00497617"/>
    <s v="006639552"/>
    <x v="2"/>
    <s v="53110143A"/>
    <s v="7213000422"/>
    <s v="ESD"/>
    <s v="PUR0957038"/>
    <s v=""/>
    <s v="9260000"/>
    <s v="521900"/>
    <s v="0000"/>
    <s v="554"/>
    <s v="BENEFITS"/>
    <s v="0000"/>
    <s v=""/>
  </r>
  <r>
    <d v="2021-04-29T00:00:00"/>
    <x v="3"/>
    <x v="0"/>
    <n v="14497.34"/>
    <s v="00497047"/>
    <s v="011835450"/>
    <x v="0"/>
    <s v="57211060227"/>
    <s v="7213000390"/>
    <s v="TRN"/>
    <s v="PUR0957001"/>
    <s v=""/>
    <s v="9260000"/>
    <s v="571900"/>
    <s v="9010"/>
    <s v="553"/>
    <s v="0000SUPT"/>
    <s v="0000"/>
    <s v=""/>
  </r>
  <r>
    <d v="2021-04-29T00:00:00"/>
    <x v="3"/>
    <x v="0"/>
    <n v="510.31"/>
    <s v="00497071"/>
    <s v="012061960"/>
    <x v="5"/>
    <s v="3225037"/>
    <s v="7213000400"/>
    <s v="ESD"/>
    <s v="PUR0956996"/>
    <s v=""/>
    <s v="9260000"/>
    <s v="521900"/>
    <s v="0000"/>
    <s v="554"/>
    <s v="BENEFITS"/>
    <s v="0000"/>
    <s v=""/>
  </r>
  <r>
    <d v="2021-04-29T00:00:00"/>
    <x v="3"/>
    <x v="0"/>
    <n v="2329.9899999999998"/>
    <s v="00497050"/>
    <s v="000841250"/>
    <x v="3"/>
    <s v="341569496"/>
    <s v="7213000391"/>
    <s v="TRN"/>
    <s v="PUR0957001"/>
    <s v=""/>
    <s v="9260000"/>
    <s v="571900"/>
    <s v="9010"/>
    <s v="554"/>
    <s v="BENEFITS"/>
    <s v="0000"/>
    <s v=""/>
  </r>
  <r>
    <d v="2021-04-29T00:00:00"/>
    <x v="3"/>
    <x v="0"/>
    <n v="18228.330000000002"/>
    <s v="00497345"/>
    <s v="011835450"/>
    <x v="0"/>
    <s v="57211130185"/>
    <s v="7213000418"/>
    <s v="TRN"/>
    <s v="PUR0957001"/>
    <s v=""/>
    <s v="9260000"/>
    <s v="571900"/>
    <s v="9010"/>
    <s v="553"/>
    <s v="0000SUPT"/>
    <s v="0000"/>
    <s v=""/>
  </r>
  <r>
    <d v="2021-04-29T00:00:00"/>
    <x v="3"/>
    <x v="0"/>
    <n v="5516.23"/>
    <s v="00497347"/>
    <s v="000841250"/>
    <x v="3"/>
    <s v="34241976"/>
    <s v="7213000420"/>
    <s v="ESD"/>
    <s v="PUR0956996"/>
    <s v=""/>
    <s v="9260000"/>
    <s v="521900"/>
    <s v="0000"/>
    <s v="554"/>
    <s v="BENEFITS"/>
    <s v="0000"/>
    <s v=""/>
  </r>
  <r>
    <d v="2021-04-29T00:00:00"/>
    <x v="3"/>
    <x v="0"/>
    <n v="23467.26"/>
    <s v="00497053"/>
    <s v="006639552"/>
    <x v="2"/>
    <s v="53104776"/>
    <s v="7213000392"/>
    <s v="TRN"/>
    <s v="PUR0957001"/>
    <s v=""/>
    <s v="9260000"/>
    <s v="571900"/>
    <s v="9010"/>
    <s v="554"/>
    <s v="0000SUPT"/>
    <s v="0000"/>
    <s v=""/>
  </r>
  <r>
    <d v="2021-04-29T00:00:00"/>
    <x v="3"/>
    <x v="0"/>
    <n v="1982760.58"/>
    <s v="00497348"/>
    <s v="012051699"/>
    <x v="1"/>
    <s v="BCBS04262021"/>
    <s v="7213000421"/>
    <s v="ESD"/>
    <s v="PUR0956996"/>
    <s v=""/>
    <s v="9260000"/>
    <s v="521900"/>
    <s v="0000"/>
    <s v="554"/>
    <s v="BENEFITS"/>
    <s v="0000"/>
    <s v=""/>
  </r>
  <r>
    <d v="2021-04-14T00:00:00"/>
    <x v="3"/>
    <x v="0"/>
    <n v="3399.36"/>
    <s v="00493837"/>
    <s v="000841250"/>
    <x v="3"/>
    <s v="340711185"/>
    <s v="7213000364"/>
    <s v="ESD"/>
    <s v="PUR0956593"/>
    <s v=""/>
    <s v="9260000"/>
    <s v="521900"/>
    <s v="0000"/>
    <s v="554"/>
    <s v="BENEFITS"/>
    <s v="0000"/>
    <s v=""/>
  </r>
  <r>
    <d v="2021-04-14T00:00:00"/>
    <x v="3"/>
    <x v="0"/>
    <n v="41.46"/>
    <s v="00493845"/>
    <s v="006639552"/>
    <x v="2"/>
    <s v="53095693"/>
    <s v="7213000347"/>
    <s v="TRN"/>
    <s v="PUR0956600"/>
    <s v=""/>
    <s v="9260000"/>
    <s v="571900"/>
    <s v="9010"/>
    <s v="554"/>
    <s v="0000SUPT"/>
    <s v="0000"/>
    <s v=""/>
  </r>
  <r>
    <d v="2021-04-14T00:00:00"/>
    <x v="3"/>
    <x v="0"/>
    <n v="3847.6"/>
    <s v="00493845"/>
    <s v="006639552"/>
    <x v="2"/>
    <s v="53095693"/>
    <s v="7213000347"/>
    <s v="ESD"/>
    <s v="PUR0956593"/>
    <s v=""/>
    <s v="9260000"/>
    <s v="521900"/>
    <s v="0000"/>
    <s v="554"/>
    <s v="BENEFITS"/>
    <s v="0000"/>
    <s v=""/>
  </r>
  <r>
    <d v="2021-04-30T00:00:00"/>
    <x v="3"/>
    <x v="0"/>
    <n v="659.79"/>
    <s v="00497688"/>
    <s v="012061960"/>
    <x v="5"/>
    <s v="3225566"/>
    <s v="7213000429"/>
    <s v="TRN"/>
    <s v="PUR0957045"/>
    <s v=""/>
    <s v="9260000"/>
    <s v="571900"/>
    <s v="9010"/>
    <s v="554"/>
    <s v="0000SUPT"/>
    <s v="0000"/>
    <s v=""/>
  </r>
  <r>
    <d v="2021-04-29T00:00:00"/>
    <x v="3"/>
    <x v="0"/>
    <n v="203511.85"/>
    <s v="00497045"/>
    <s v="012051699"/>
    <x v="1"/>
    <s v="BCBS04192021"/>
    <s v="7213000389"/>
    <s v="TRN"/>
    <s v="PUR0957001"/>
    <s v=""/>
    <s v="9260000"/>
    <s v="571900"/>
    <s v="9010"/>
    <s v="554"/>
    <s v="0000SUPT"/>
    <s v="0000"/>
    <s v=""/>
  </r>
  <r>
    <d v="2021-04-14T00:00:00"/>
    <x v="3"/>
    <x v="0"/>
    <n v="722306.6"/>
    <s v="00493819"/>
    <s v="012051699"/>
    <x v="1"/>
    <s v="BCBS04052021"/>
    <s v="7213000341"/>
    <s v="ESD"/>
    <s v="PUR0956593"/>
    <s v=""/>
    <s v="9260000"/>
    <s v="521900"/>
    <s v="0000"/>
    <s v="554"/>
    <s v="BENEFITS"/>
    <s v="0000"/>
    <s v=""/>
  </r>
  <r>
    <d v="2021-04-14T00:00:00"/>
    <x v="3"/>
    <x v="0"/>
    <n v="-274.23"/>
    <s v="00493821"/>
    <s v="000841250"/>
    <x v="3"/>
    <s v="339701349"/>
    <s v="7213000342"/>
    <s v="TRN"/>
    <s v="PUR0956600"/>
    <s v=""/>
    <s v="9260000"/>
    <s v="571900"/>
    <s v="9010"/>
    <s v="554"/>
    <s v="BENEFITS"/>
    <s v="0000"/>
    <s v=""/>
  </r>
  <r>
    <d v="2021-04-14T00:00:00"/>
    <x v="3"/>
    <x v="0"/>
    <n v="1406.89"/>
    <s v="00493835"/>
    <s v="012061960"/>
    <x v="5"/>
    <s v="3244452"/>
    <s v="7213000346"/>
    <s v="ESD"/>
    <s v="PUR0956593"/>
    <s v=""/>
    <s v="9260000"/>
    <s v="521900"/>
    <s v="0000"/>
    <s v="554"/>
    <s v="BENEFITS"/>
    <s v="0000"/>
    <s v=""/>
  </r>
  <r>
    <d v="2021-04-29T00:00:00"/>
    <x v="3"/>
    <x v="0"/>
    <n v="16.34"/>
    <s v="00497072"/>
    <s v="006639552"/>
    <x v="2"/>
    <s v="53107466"/>
    <s v="7213000401"/>
    <s v="TRN"/>
    <s v="PUR0957001"/>
    <s v=""/>
    <s v="9260000"/>
    <s v="571900"/>
    <s v="9010"/>
    <s v="554"/>
    <s v="0000SUPT"/>
    <s v="0000"/>
    <s v=""/>
  </r>
  <r>
    <d v="2021-04-29T00:00:00"/>
    <x v="3"/>
    <x v="0"/>
    <n v="180827.25"/>
    <s v="00497349"/>
    <s v="006639552"/>
    <x v="2"/>
    <s v="53110143"/>
    <s v=""/>
    <s v="ESD"/>
    <s v="PUR0956996"/>
    <s v=""/>
    <s v="9260000"/>
    <s v="521900"/>
    <s v="0000"/>
    <s v="554"/>
    <s v="BENEFITS"/>
    <s v="0000"/>
    <s v=""/>
  </r>
  <r>
    <d v="2021-04-29T00:00:00"/>
    <x v="3"/>
    <x v="0"/>
    <n v="653.55999999999995"/>
    <s v="00497347"/>
    <s v="000841250"/>
    <x v="3"/>
    <s v="34241976"/>
    <s v="7213000420"/>
    <s v="TRN"/>
    <s v="PUR0957001"/>
    <s v=""/>
    <s v="9260000"/>
    <s v="571900"/>
    <s v="9010"/>
    <s v="554"/>
    <s v="BENEFITS"/>
    <s v="0000"/>
    <s v=""/>
  </r>
  <r>
    <d v="2021-04-29T00:00:00"/>
    <x v="3"/>
    <x v="0"/>
    <n v="52335.37"/>
    <s v="00497345"/>
    <s v="011835450"/>
    <x v="0"/>
    <s v="57211130185"/>
    <s v="7213000418"/>
    <s v="ESD"/>
    <s v="PUR0956996"/>
    <s v=""/>
    <s v="9260000"/>
    <s v="521900"/>
    <s v="0000"/>
    <s v="553"/>
    <s v="BENEFITS"/>
    <s v="0000"/>
    <s v=""/>
  </r>
  <r>
    <d v="2021-04-29T00:00:00"/>
    <x v="3"/>
    <x v="0"/>
    <n v="1380.4"/>
    <s v="00497050"/>
    <s v="000841250"/>
    <x v="3"/>
    <s v="341569496"/>
    <s v="7213000391"/>
    <s v="ESD"/>
    <s v="PUR0956996"/>
    <s v=""/>
    <s v="9260000"/>
    <s v="521900"/>
    <s v="0000"/>
    <s v="554"/>
    <s v="BENEFITS"/>
    <s v="0000"/>
    <s v=""/>
  </r>
  <r>
    <d v="2021-04-14T00:00:00"/>
    <x v="3"/>
    <x v="0"/>
    <n v="59336.74"/>
    <s v="00493817"/>
    <s v="011835450"/>
    <x v="0"/>
    <s v="57210900545"/>
    <s v="7213000340"/>
    <s v="ESD"/>
    <s v="PUR0956593"/>
    <s v=""/>
    <s v="9260000"/>
    <s v="521900"/>
    <s v="0000"/>
    <s v="553"/>
    <s v="BENEFITS"/>
    <s v="0000"/>
    <s v=""/>
  </r>
  <r>
    <d v="2021-04-30T00:00:00"/>
    <x v="3"/>
    <x v="0"/>
    <n v="2457.61"/>
    <s v="00497688"/>
    <s v="012061960"/>
    <x v="5"/>
    <s v="3225566"/>
    <s v="7213000429"/>
    <s v="ESD"/>
    <s v="PUR0957038"/>
    <s v=""/>
    <s v="9260000"/>
    <s v="521900"/>
    <s v="0000"/>
    <s v="554"/>
    <s v="BENEFITS"/>
    <s v="0000"/>
    <s v=""/>
  </r>
  <r>
    <d v="2021-04-30T00:00:00"/>
    <x v="3"/>
    <x v="0"/>
    <n v="-42036.33"/>
    <s v="00497349"/>
    <s v="006639552"/>
    <x v="2"/>
    <s v="53110143"/>
    <s v=""/>
    <s v="TRN"/>
    <s v="PUR0957045"/>
    <s v=""/>
    <s v="9260000"/>
    <s v="571900"/>
    <s v="9010"/>
    <s v="554"/>
    <s v="0000SUPT"/>
    <s v="0000"/>
    <s v=""/>
  </r>
  <r>
    <d v="2021-04-19T00:00:00"/>
    <x v="3"/>
    <x v="0"/>
    <n v="4.88"/>
    <s v="00494747"/>
    <s v="006639552"/>
    <x v="2"/>
    <s v="53100050"/>
    <s v="7213000372"/>
    <s v="TRN"/>
    <s v="PUR0956672"/>
    <s v=""/>
    <s v="9260000"/>
    <s v="571900"/>
    <s v="9010"/>
    <s v="554"/>
    <s v="0000SUPT"/>
    <s v="0000"/>
    <s v=""/>
  </r>
  <r>
    <d v="2021-04-29T00:00:00"/>
    <x v="3"/>
    <x v="0"/>
    <n v="541.46"/>
    <s v="00497071"/>
    <s v="012061960"/>
    <x v="5"/>
    <s v="3225037"/>
    <s v="7213000400"/>
    <s v="TRN"/>
    <s v="PUR0957001"/>
    <s v=""/>
    <s v="9260000"/>
    <s v="571900"/>
    <s v="9010"/>
    <s v="554"/>
    <s v="0000SUPT"/>
    <s v="0000"/>
    <s v=""/>
  </r>
  <r>
    <d v="2021-04-29T00:00:00"/>
    <x v="3"/>
    <x v="0"/>
    <n v="73.040000000000006"/>
    <s v="00497072"/>
    <s v="006639552"/>
    <x v="2"/>
    <s v="53107466"/>
    <s v="7213000401"/>
    <s v="ESD"/>
    <s v="PUR0956996"/>
    <s v=""/>
    <s v="9260000"/>
    <s v="521900"/>
    <s v="0000"/>
    <s v="554"/>
    <s v="BENEFITS"/>
    <s v="0000"/>
    <s v=""/>
  </r>
  <r>
    <d v="2021-04-14T00:00:00"/>
    <x v="3"/>
    <x v="0"/>
    <n v="153951.67000000001"/>
    <s v="00493828"/>
    <s v="006639552"/>
    <x v="2"/>
    <s v="53099068"/>
    <s v="7213000360"/>
    <s v="ESD"/>
    <s v="PUR0956593"/>
    <s v=""/>
    <s v="9260000"/>
    <s v="521900"/>
    <s v="0000"/>
    <s v="554"/>
    <s v="BENEFITS"/>
    <s v="0000"/>
    <s v=""/>
  </r>
  <r>
    <d v="2021-04-14T00:00:00"/>
    <x v="3"/>
    <x v="0"/>
    <n v="184"/>
    <s v="00493835"/>
    <s v="012061960"/>
    <x v="5"/>
    <s v="3244452"/>
    <s v="7213000346"/>
    <s v="TRN"/>
    <s v="PUR0956600"/>
    <s v=""/>
    <s v="9260000"/>
    <s v="571900"/>
    <s v="9010"/>
    <s v="554"/>
    <s v="0000SUPT"/>
    <s v="0000"/>
    <s v=""/>
  </r>
  <r>
    <d v="2021-04-14T00:00:00"/>
    <x v="3"/>
    <x v="0"/>
    <n v="19934.78"/>
    <s v="00493832"/>
    <s v="011835450"/>
    <x v="0"/>
    <s v="57210990226"/>
    <s v="7213000363"/>
    <s v="TRN"/>
    <s v="PUR0956600"/>
    <s v=""/>
    <s v="9260000"/>
    <s v="571900"/>
    <s v="9010"/>
    <s v="553"/>
    <s v="0000SUPT"/>
    <s v="0000"/>
    <s v=""/>
  </r>
  <r>
    <d v="2021-04-14T00:00:00"/>
    <x v="3"/>
    <x v="0"/>
    <n v="20107.89"/>
    <s v="00493817"/>
    <s v="011835450"/>
    <x v="0"/>
    <s v="57210900545"/>
    <s v="7213000340"/>
    <s v="TRN"/>
    <s v="PUR0956600"/>
    <s v=""/>
    <s v="9260000"/>
    <s v="571900"/>
    <s v="9010"/>
    <s v="553"/>
    <s v="0000SUPT"/>
    <s v="0000"/>
    <s v=""/>
  </r>
  <r>
    <d v="2021-04-14T00:00:00"/>
    <x v="3"/>
    <x v="0"/>
    <n v="22157.16"/>
    <s v="00493828"/>
    <s v="006639552"/>
    <x v="2"/>
    <s v="53099068"/>
    <s v="7213000360"/>
    <s v="TRN"/>
    <s v="PUR0956600"/>
    <s v=""/>
    <s v="9260000"/>
    <s v="571900"/>
    <s v="9010"/>
    <s v="554"/>
    <s v="0000SUPT"/>
    <s v="0000"/>
    <s v=""/>
  </r>
  <r>
    <d v="2021-04-14T00:00:00"/>
    <x v="3"/>
    <x v="0"/>
    <n v="620509.80000000005"/>
    <s v="00493830"/>
    <s v="012051699"/>
    <x v="1"/>
    <s v="BCBS04122021"/>
    <s v="7213000362"/>
    <s v="ESD"/>
    <s v="PUR0956593"/>
    <s v=""/>
    <s v="9260000"/>
    <s v="521900"/>
    <s v="0000"/>
    <s v="554"/>
    <s v="BENEFITS"/>
    <s v="0000"/>
    <s v=""/>
  </r>
  <r>
    <d v="2021-04-30T00:00:00"/>
    <x v="3"/>
    <x v="0"/>
    <n v="-180827.25"/>
    <s v="00497349"/>
    <s v="006639552"/>
    <x v="2"/>
    <s v="53110143"/>
    <s v=""/>
    <s v="ESD"/>
    <s v="PUR0957038"/>
    <s v=""/>
    <s v="9260000"/>
    <s v="521900"/>
    <s v="0000"/>
    <s v="554"/>
    <s v="BENEFITS"/>
    <s v="0000"/>
    <s v=""/>
  </r>
  <r>
    <d v="2021-04-30T00:00:00"/>
    <x v="3"/>
    <x v="0"/>
    <n v="60.71"/>
    <s v="00497690"/>
    <s v="006639552"/>
    <x v="2"/>
    <s v="53111158"/>
    <s v="7213000430"/>
    <s v="TRN"/>
    <s v="PUR0957045"/>
    <s v=""/>
    <s v="9260000"/>
    <s v="571900"/>
    <s v="9010"/>
    <s v="554"/>
    <s v="0000SUPT"/>
    <s v="0000"/>
    <s v=""/>
  </r>
  <r>
    <d v="2021-04-13T00:00:00"/>
    <x v="3"/>
    <x v="0"/>
    <n v="341244.09"/>
    <s v="00493167"/>
    <s v="006639552"/>
    <x v="2"/>
    <s v="53091141"/>
    <s v="7213000332"/>
    <s v="ESD"/>
    <s v="PUR0956567"/>
    <s v=""/>
    <s v="9260000"/>
    <s v="521900"/>
    <s v="0000"/>
    <s v="554"/>
    <s v="BENEFITS"/>
    <s v="0000"/>
    <s v=""/>
  </r>
  <r>
    <d v="2021-04-19T00:00:00"/>
    <x v="3"/>
    <x v="0"/>
    <n v="24.5"/>
    <s v="00494745"/>
    <s v="012061960"/>
    <x v="5"/>
    <s v="3244890"/>
    <s v="7213000371"/>
    <s v="ESD"/>
    <s v="PUR0956677"/>
    <s v=""/>
    <s v="9260000"/>
    <s v="521900"/>
    <s v="0000"/>
    <s v="554"/>
    <s v="BENEFITS"/>
    <s v="0000"/>
    <s v=""/>
  </r>
  <r>
    <d v="2021-04-14T00:00:00"/>
    <x v="3"/>
    <x v="0"/>
    <n v="1330.21"/>
    <s v="00493837"/>
    <s v="000841250"/>
    <x v="3"/>
    <s v="340711185"/>
    <s v="7213000364"/>
    <s v="TRN"/>
    <s v="PUR0956600"/>
    <s v=""/>
    <s v="9260000"/>
    <s v="571900"/>
    <s v="9010"/>
    <s v="554"/>
    <s v="BENEFITS"/>
    <s v="0000"/>
    <s v=""/>
  </r>
  <r>
    <d v="2021-04-30T00:00:00"/>
    <x v="3"/>
    <x v="0"/>
    <n v="42036.33"/>
    <s v="00497617"/>
    <s v="006639552"/>
    <x v="2"/>
    <s v="53110143A"/>
    <s v="7213000422"/>
    <s v="TRN"/>
    <s v="PUR0957045"/>
    <s v=""/>
    <s v="9260000"/>
    <s v="571900"/>
    <s v="9010"/>
    <s v="554"/>
    <s v="0000SUPT"/>
    <s v="0000"/>
    <s v=""/>
  </r>
  <r>
    <d v="2021-04-13T00:00:00"/>
    <x v="3"/>
    <x v="0"/>
    <n v="37410.660000000003"/>
    <s v="00493167"/>
    <s v="006639552"/>
    <x v="2"/>
    <s v="53091141"/>
    <s v="7213000332"/>
    <s v="TRN"/>
    <s v="PUR0956561"/>
    <s v=""/>
    <s v="9260000"/>
    <s v="571900"/>
    <s v="9010"/>
    <s v="554"/>
    <s v="0000SUPT"/>
    <s v="0000"/>
    <s v=""/>
  </r>
  <r>
    <d v="2021-04-29T00:00:00"/>
    <x v="3"/>
    <x v="0"/>
    <n v="42036.33"/>
    <s v="00497349"/>
    <s v="006639552"/>
    <x v="2"/>
    <s v="53110143"/>
    <s v=""/>
    <s v="TRN"/>
    <s v="PUR0957001"/>
    <s v=""/>
    <s v="9260000"/>
    <s v="571900"/>
    <s v="9010"/>
    <s v="554"/>
    <s v="0000SUPT"/>
    <s v="0000"/>
    <s v=""/>
  </r>
  <r>
    <d v="2021-04-29T00:00:00"/>
    <x v="3"/>
    <x v="0"/>
    <n v="331942"/>
    <s v="00497053"/>
    <s v="006639552"/>
    <x v="2"/>
    <s v="53104776"/>
    <s v="7213000392"/>
    <s v="ESD"/>
    <s v="PUR0956996"/>
    <s v=""/>
    <s v="9260000"/>
    <s v="521900"/>
    <s v="0000"/>
    <s v="554"/>
    <s v="BENEFITS"/>
    <s v="0000"/>
    <s v=""/>
  </r>
  <r>
    <d v="2021-04-29T00:00:00"/>
    <x v="3"/>
    <x v="0"/>
    <n v="187558.46"/>
    <s v="00497348"/>
    <s v="012051699"/>
    <x v="1"/>
    <s v="BCBS04262021"/>
    <s v="7213000421"/>
    <s v="TRN"/>
    <s v="PUR0957001"/>
    <s v=""/>
    <s v="9260000"/>
    <s v="571900"/>
    <s v="9010"/>
    <s v="554"/>
    <s v="0000SUPT"/>
    <s v="0000"/>
    <s v=""/>
  </r>
  <r>
    <d v="2021-04-29T00:00:00"/>
    <x v="3"/>
    <x v="0"/>
    <n v="64428.55"/>
    <s v="00497047"/>
    <s v="011835450"/>
    <x v="0"/>
    <s v="57211060227"/>
    <s v="7213000390"/>
    <s v="ESD"/>
    <s v="PUR0956996"/>
    <s v=""/>
    <s v="9260000"/>
    <s v="521900"/>
    <s v="0000"/>
    <s v="553"/>
    <s v="BENEFITS"/>
    <s v="0000"/>
    <s v=""/>
  </r>
  <r>
    <d v="2021-04-29T00:00:00"/>
    <x v="3"/>
    <x v="0"/>
    <n v="475839.64"/>
    <s v="00497045"/>
    <s v="012051699"/>
    <x v="1"/>
    <s v="BCBS04192021"/>
    <s v="7213000389"/>
    <s v="ESD"/>
    <s v="PUR0956996"/>
    <s v=""/>
    <s v="9260000"/>
    <s v="521900"/>
    <s v="0000"/>
    <s v="554"/>
    <s v="BENEFITS"/>
    <s v="0000"/>
    <s v=""/>
  </r>
  <r>
    <d v="2021-05-14T00:00:00"/>
    <x v="4"/>
    <x v="0"/>
    <n v="3762.03"/>
    <s v="00500645"/>
    <s v="000841250"/>
    <x v="3"/>
    <s v="344618796"/>
    <s v="7213000478"/>
    <s v="ESD"/>
    <s v="PUR0957633"/>
    <s v=""/>
    <s v="9260000"/>
    <s v="521900"/>
    <s v="0000"/>
    <s v="554"/>
    <s v="BENEFITS"/>
    <s v="0000"/>
    <s v=""/>
  </r>
  <r>
    <d v="2021-05-14T00:00:00"/>
    <x v="4"/>
    <x v="0"/>
    <n v="186379.49"/>
    <s v="00500643"/>
    <s v="006639552"/>
    <x v="2"/>
    <s v="53124991"/>
    <s v="7213000477"/>
    <s v="ESD"/>
    <s v="PUR0957633"/>
    <s v=""/>
    <s v="9260000"/>
    <s v="521900"/>
    <s v="0000"/>
    <s v="554"/>
    <s v="BENEFITS"/>
    <s v="0000"/>
    <s v=""/>
  </r>
  <r>
    <d v="2021-05-25T00:00:00"/>
    <x v="4"/>
    <x v="0"/>
    <n v="7678.61"/>
    <s v="00501625"/>
    <s v="006639552"/>
    <x v="2"/>
    <s v="53130768"/>
    <s v="7213000504"/>
    <s v="TRN"/>
    <s v="PUR0957874"/>
    <s v=""/>
    <s v="9260000"/>
    <s v="571900"/>
    <s v="9010"/>
    <s v="554"/>
    <s v="0000SUPT"/>
    <s v="0000"/>
    <s v=""/>
  </r>
  <r>
    <d v="2021-05-20T00:00:00"/>
    <x v="4"/>
    <x v="0"/>
    <n v="36851.14"/>
    <s v="00500638"/>
    <s v="006639552"/>
    <x v="2"/>
    <s v="53117474"/>
    <s v="7213000455"/>
    <s v="TRN"/>
    <s v="PUR0957762"/>
    <s v=""/>
    <s v="9260000"/>
    <s v="571900"/>
    <s v="9010"/>
    <s v="554"/>
    <s v="0000SUPT"/>
    <s v="0000"/>
    <s v=""/>
  </r>
  <r>
    <d v="2021-05-20T00:00:00"/>
    <x v="4"/>
    <x v="0"/>
    <n v="240371.9"/>
    <s v="00501619"/>
    <s v="012051699"/>
    <x v="1"/>
    <s v="BCBS05172021"/>
    <s v="7213000501"/>
    <s v="TRN"/>
    <s v="PUR0957762"/>
    <s v=""/>
    <s v="9260000"/>
    <s v="571900"/>
    <s v="9010"/>
    <s v="554"/>
    <s v="0000SUPT"/>
    <s v="0000"/>
    <s v=""/>
  </r>
  <r>
    <d v="2021-05-20T00:00:00"/>
    <x v="4"/>
    <x v="0"/>
    <n v="191888.29"/>
    <s v="00500638"/>
    <s v="006639552"/>
    <x v="2"/>
    <s v="53117474"/>
    <s v="7213000455"/>
    <s v="ESD"/>
    <s v="PUR0957768"/>
    <s v=""/>
    <s v="9260000"/>
    <s v="521900"/>
    <s v="0000"/>
    <s v="554"/>
    <s v="BENEFITS"/>
    <s v="0000"/>
    <s v=""/>
  </r>
  <r>
    <d v="2021-05-14T00:00:00"/>
    <x v="4"/>
    <x v="0"/>
    <n v="528166.35"/>
    <s v="00500635"/>
    <s v="012051699"/>
    <x v="1"/>
    <s v="BCBS05102021"/>
    <s v="7213000473"/>
    <s v="ESD"/>
    <s v="PUR0957633"/>
    <s v=""/>
    <s v="9260000"/>
    <s v="521900"/>
    <s v="0000"/>
    <s v="554"/>
    <s v="BENEFITS"/>
    <s v="0000"/>
    <s v=""/>
  </r>
  <r>
    <d v="2021-05-17T00:00:00"/>
    <x v="4"/>
    <x v="0"/>
    <n v="534.59"/>
    <s v="00500657"/>
    <s v="012061960"/>
    <x v="5"/>
    <s v="3245793"/>
    <s v="7213000468"/>
    <s v="ESD"/>
    <s v="PUR0957682"/>
    <s v=""/>
    <s v="9260000"/>
    <s v="521900"/>
    <s v="0000"/>
    <s v="554"/>
    <s v="BENEFITS"/>
    <s v="0000"/>
    <s v=""/>
  </r>
  <r>
    <d v="2021-05-20T00:00:00"/>
    <x v="4"/>
    <x v="0"/>
    <n v="-2.29"/>
    <s v="00501189"/>
    <s v="006639552"/>
    <x v="2"/>
    <s v="53125957"/>
    <s v="7213000490"/>
    <s v="TRN"/>
    <s v="PUR0957762"/>
    <s v=""/>
    <s v="9260000"/>
    <s v="571900"/>
    <s v="9010"/>
    <s v="554"/>
    <s v="0000SUPT"/>
    <s v="0000"/>
    <s v=""/>
  </r>
  <r>
    <d v="2021-05-20T00:00:00"/>
    <x v="4"/>
    <x v="0"/>
    <n v="-81.93"/>
    <s v="00501189"/>
    <s v="006639552"/>
    <x v="2"/>
    <s v="53125957"/>
    <s v="7213000490"/>
    <s v="ESD"/>
    <s v="PUR0957768"/>
    <s v=""/>
    <s v="9260000"/>
    <s v="521900"/>
    <s v="0000"/>
    <s v="554"/>
    <s v="BENEFITS"/>
    <s v="0000"/>
    <s v=""/>
  </r>
  <r>
    <d v="2021-05-20T00:00:00"/>
    <x v="4"/>
    <x v="0"/>
    <n v="354.37"/>
    <s v="00501350"/>
    <s v="012061960"/>
    <x v="5"/>
    <s v="3246251"/>
    <s v="7213000491"/>
    <s v="ESD"/>
    <s v="PUR0957768"/>
    <s v=""/>
    <s v="9260000"/>
    <s v="521900"/>
    <s v="0000"/>
    <s v="554"/>
    <s v="BENEFITS"/>
    <s v="0000"/>
    <s v=""/>
  </r>
  <r>
    <d v="2021-05-26T00:00:00"/>
    <x v="4"/>
    <x v="0"/>
    <n v="62737.07"/>
    <s v="00502493"/>
    <s v="011835450"/>
    <x v="0"/>
    <s v="57211410192"/>
    <s v="7213000529"/>
    <s v="ESD"/>
    <s v="PUR0957919"/>
    <s v=""/>
    <s v="9260000"/>
    <s v="521900"/>
    <s v="0000"/>
    <s v="553"/>
    <s v="BENEFITS"/>
    <s v="0000"/>
    <s v=""/>
  </r>
  <r>
    <d v="2021-05-28T00:00:00"/>
    <x v="4"/>
    <x v="0"/>
    <n v="951.26"/>
    <s v="00503271"/>
    <s v="012061960"/>
    <x v="5"/>
    <s v="3246891"/>
    <s v="7213000539"/>
    <s v="ESD"/>
    <s v="PUR0958004"/>
    <s v=""/>
    <s v="9260000"/>
    <s v="521900"/>
    <s v="0000"/>
    <s v="554"/>
    <s v="BENEFITS"/>
    <s v="0000"/>
    <s v=""/>
  </r>
  <r>
    <d v="2021-05-14T00:00:00"/>
    <x v="4"/>
    <x v="0"/>
    <n v="872.32"/>
    <s v="00500645"/>
    <s v="000841250"/>
    <x v="3"/>
    <s v="344618796"/>
    <s v="7213000478"/>
    <s v="TRN"/>
    <s v="PUR0957637"/>
    <s v=""/>
    <s v="9260000"/>
    <s v="571900"/>
    <s v="9010"/>
    <s v="554"/>
    <s v="BENEFITS"/>
    <s v="0000"/>
    <s v=""/>
  </r>
  <r>
    <d v="2021-05-14T00:00:00"/>
    <x v="4"/>
    <x v="0"/>
    <n v="70258.990000000005"/>
    <s v="00500636"/>
    <s v="011835450"/>
    <x v="0"/>
    <s v="57211270187"/>
    <s v="7213000474"/>
    <s v="ESD"/>
    <s v="PUR0957633"/>
    <s v=""/>
    <s v="9260000"/>
    <s v="521900"/>
    <s v="0000"/>
    <s v="553"/>
    <s v="BENEFITS"/>
    <s v="0000"/>
    <s v=""/>
  </r>
  <r>
    <d v="2021-05-25T00:00:00"/>
    <x v="4"/>
    <x v="0"/>
    <n v="129471.9"/>
    <s v="00501625"/>
    <s v="006639552"/>
    <x v="2"/>
    <s v="53130768"/>
    <s v="7213000504"/>
    <s v="ESD"/>
    <s v="PUR0957883"/>
    <s v=""/>
    <s v="9260000"/>
    <s v="521900"/>
    <s v="0000"/>
    <s v="554"/>
    <s v="BENEFITS"/>
    <s v="0000"/>
    <s v=""/>
  </r>
  <r>
    <d v="2021-05-20T00:00:00"/>
    <x v="4"/>
    <x v="0"/>
    <n v="866686.43"/>
    <s v="00501619"/>
    <s v="012051699"/>
    <x v="1"/>
    <s v="BCBS05172021"/>
    <s v="7213000501"/>
    <s v="ESD"/>
    <s v="PUR0957768"/>
    <s v=""/>
    <s v="9260000"/>
    <s v="521900"/>
    <s v="0000"/>
    <s v="554"/>
    <s v="BENEFITS"/>
    <s v="0000"/>
    <s v=""/>
  </r>
  <r>
    <d v="2021-05-26T00:00:00"/>
    <x v="4"/>
    <x v="0"/>
    <n v="1745.99"/>
    <s v="00502495"/>
    <s v="000841250"/>
    <x v="3"/>
    <s v="346730624"/>
    <s v="7213000531"/>
    <s v="TRN"/>
    <s v="PUR0957923"/>
    <s v=""/>
    <s v="9260000"/>
    <s v="571900"/>
    <s v="9010"/>
    <s v="554"/>
    <s v="BENEFITS"/>
    <s v="0000"/>
    <s v=""/>
  </r>
  <r>
    <d v="2021-05-26T00:00:00"/>
    <x v="4"/>
    <x v="0"/>
    <n v="16442.91"/>
    <s v="00502493"/>
    <s v="011835450"/>
    <x v="0"/>
    <s v="57211410192"/>
    <s v="7213000529"/>
    <s v="TRN"/>
    <s v="PUR0957923"/>
    <s v=""/>
    <s v="9260000"/>
    <s v="571900"/>
    <s v="9010"/>
    <s v="553"/>
    <s v="0000SUPT"/>
    <s v="0000"/>
    <s v=""/>
  </r>
  <r>
    <d v="2021-05-28T00:00:00"/>
    <x v="4"/>
    <x v="0"/>
    <n v="34.14"/>
    <s v="00503329"/>
    <s v="006639552"/>
    <x v="2"/>
    <s v="53137305A"/>
    <s v="7213000549"/>
    <s v="TRN"/>
    <s v="PUR0957999"/>
    <s v=""/>
    <s v="9260000"/>
    <s v="571900"/>
    <s v="9010"/>
    <s v="554"/>
    <s v="0000SUPT"/>
    <s v="0000"/>
    <s v=""/>
  </r>
  <r>
    <d v="2021-05-28T00:00:00"/>
    <x v="4"/>
    <x v="0"/>
    <n v="162.77000000000001"/>
    <s v="00503329"/>
    <s v="006639552"/>
    <x v="2"/>
    <s v="53137305A"/>
    <s v="7213000549"/>
    <s v="ESD"/>
    <s v="PUR0958004"/>
    <s v=""/>
    <s v="9260000"/>
    <s v="521900"/>
    <s v="0000"/>
    <s v="554"/>
    <s v="BENEFITS"/>
    <s v="0000"/>
    <s v=""/>
  </r>
  <r>
    <d v="2021-05-28T00:00:00"/>
    <x v="4"/>
    <x v="0"/>
    <n v="206701.7"/>
    <s v="00503254"/>
    <s v="006639552"/>
    <x v="2"/>
    <s v="53136422"/>
    <s v="7213000544"/>
    <s v="ESD"/>
    <s v="PUR0958004"/>
    <s v=""/>
    <s v="9260000"/>
    <s v="521900"/>
    <s v="0000"/>
    <s v="554"/>
    <s v="BENEFITS"/>
    <s v="0000"/>
    <s v=""/>
  </r>
  <r>
    <d v="2021-05-25T00:00:00"/>
    <x v="4"/>
    <x v="0"/>
    <n v="421.77"/>
    <s v="00502012"/>
    <s v="006639552"/>
    <x v="2"/>
    <s v="53133394"/>
    <s v="7213000515"/>
    <s v="ESD"/>
    <s v="PUR0957883"/>
    <s v=""/>
    <s v="9260000"/>
    <s v="521900"/>
    <s v="0000"/>
    <s v="554"/>
    <s v="BENEFITS"/>
    <s v="0000"/>
    <s v=""/>
  </r>
  <r>
    <d v="2021-05-25T00:00:00"/>
    <x v="4"/>
    <x v="0"/>
    <n v="34.01"/>
    <s v="00502007"/>
    <s v="012061960"/>
    <x v="5"/>
    <s v="3246387"/>
    <s v="7213000514"/>
    <s v="TRN"/>
    <s v="PUR0957874"/>
    <s v=""/>
    <s v="9260000"/>
    <s v="571900"/>
    <s v="9010"/>
    <s v="554"/>
    <s v="0000SUPT"/>
    <s v="0000"/>
    <s v=""/>
  </r>
  <r>
    <d v="2021-05-25T00:00:00"/>
    <x v="4"/>
    <x v="0"/>
    <n v="3900"/>
    <s v="00502025"/>
    <s v="012015563"/>
    <x v="4"/>
    <s v="ONCORMETLTDMAY21"/>
    <s v="7213000521"/>
    <s v="ESD"/>
    <s v="PUR0957883"/>
    <s v=""/>
    <s v="9260000"/>
    <s v="521900"/>
    <s v="0000"/>
    <s v="557"/>
    <s v="00000000"/>
    <s v="0000"/>
    <s v=""/>
  </r>
  <r>
    <d v="2021-05-28T00:00:00"/>
    <x v="4"/>
    <x v="0"/>
    <n v="34.14"/>
    <s v="00503268"/>
    <s v="006639552"/>
    <x v="2"/>
    <s v="53137305"/>
    <s v="7213000538"/>
    <s v="TRN"/>
    <s v="PUR0957999"/>
    <s v=""/>
    <s v="9260000"/>
    <s v="571900"/>
    <s v="9010"/>
    <s v="554"/>
    <s v="0000SUPT"/>
    <s v="0000"/>
    <s v=""/>
  </r>
  <r>
    <d v="2021-05-14T00:00:00"/>
    <x v="4"/>
    <x v="0"/>
    <n v="5416.31"/>
    <s v="00499808"/>
    <s v="000841250"/>
    <x v="3"/>
    <s v="343790115"/>
    <s v="7213000449"/>
    <s v="ESD"/>
    <s v="PUR0957633"/>
    <s v=""/>
    <s v="9260000"/>
    <s v="521900"/>
    <s v="0000"/>
    <s v="554"/>
    <s v="BENEFITS"/>
    <s v="0000"/>
    <s v=""/>
  </r>
  <r>
    <d v="2021-05-20T00:00:00"/>
    <x v="4"/>
    <x v="0"/>
    <n v="994.23"/>
    <s v="00501617"/>
    <s v="000841250"/>
    <x v="3"/>
    <s v="345558327"/>
    <s v="7213000500"/>
    <s v="TRN"/>
    <s v="PUR0957762"/>
    <s v=""/>
    <s v="9260000"/>
    <s v="571900"/>
    <s v="9010"/>
    <s v="554"/>
    <s v="BENEFITS"/>
    <s v="0000"/>
    <s v=""/>
  </r>
  <r>
    <d v="2021-05-14T00:00:00"/>
    <x v="4"/>
    <x v="0"/>
    <n v="474450.54"/>
    <s v="00499801"/>
    <s v="012051699"/>
    <x v="1"/>
    <s v="BCBS05032021"/>
    <s v="7213000448"/>
    <s v="ESD"/>
    <s v="PUR0957633"/>
    <s v=""/>
    <s v="9260000"/>
    <s v="521900"/>
    <s v="0000"/>
    <s v="554"/>
    <s v="BENEFITS"/>
    <s v="0000"/>
    <s v=""/>
  </r>
  <r>
    <d v="2021-05-14T00:00:00"/>
    <x v="4"/>
    <x v="0"/>
    <n v="26373.55"/>
    <s v="00499810"/>
    <s v="011835450"/>
    <x v="0"/>
    <s v="57211200537"/>
    <s v="7213000450"/>
    <s v="TRN"/>
    <s v="PUR0957637"/>
    <s v=""/>
    <s v="9260000"/>
    <s v="571900"/>
    <s v="9010"/>
    <s v="553"/>
    <s v="0000SUPT"/>
    <s v="0000"/>
    <s v=""/>
  </r>
  <r>
    <d v="2021-05-14T00:00:00"/>
    <x v="4"/>
    <x v="0"/>
    <n v="133155.48000000001"/>
    <s v="00499801"/>
    <s v="012051699"/>
    <x v="1"/>
    <s v="BCBS05032021"/>
    <s v="7213000448"/>
    <s v="TRN"/>
    <s v="PUR0957637"/>
    <s v=""/>
    <s v="9260000"/>
    <s v="571900"/>
    <s v="9010"/>
    <s v="554"/>
    <s v="0000SUPT"/>
    <s v="0000"/>
    <s v=""/>
  </r>
  <r>
    <d v="2021-05-17T00:00:00"/>
    <x v="4"/>
    <x v="0"/>
    <n v="933.62"/>
    <s v="00500657"/>
    <s v="012061960"/>
    <x v="5"/>
    <s v="3245793"/>
    <s v="7213000468"/>
    <s v="TRN"/>
    <s v="PUR0957677"/>
    <s v=""/>
    <s v="9260000"/>
    <s v="571900"/>
    <s v="9010"/>
    <s v="554"/>
    <s v="0000SUPT"/>
    <s v="0000"/>
    <s v=""/>
  </r>
  <r>
    <d v="2021-05-17T00:00:00"/>
    <x v="4"/>
    <x v="0"/>
    <n v="3099.71"/>
    <s v="00500658"/>
    <s v="006639552"/>
    <x v="2"/>
    <s v="53121751"/>
    <s v="7213000469"/>
    <s v="ESD"/>
    <s v="PUR0957682"/>
    <s v=""/>
    <s v="9260000"/>
    <s v="521900"/>
    <s v="0000"/>
    <s v="554"/>
    <s v="BENEFITS"/>
    <s v="0000"/>
    <s v=""/>
  </r>
  <r>
    <d v="2021-05-20T00:00:00"/>
    <x v="4"/>
    <x v="0"/>
    <n v="3778.42"/>
    <s v="00501617"/>
    <s v="000841250"/>
    <x v="3"/>
    <s v="345558327"/>
    <s v="7213000500"/>
    <s v="ESD"/>
    <s v="PUR0957768"/>
    <s v=""/>
    <s v="9260000"/>
    <s v="521900"/>
    <s v="0000"/>
    <s v="554"/>
    <s v="BENEFITS"/>
    <s v="0000"/>
    <s v=""/>
  </r>
  <r>
    <d v="2021-05-26T00:00:00"/>
    <x v="4"/>
    <x v="0"/>
    <n v="3365.53"/>
    <s v="00502495"/>
    <s v="000841250"/>
    <x v="3"/>
    <s v="346730624"/>
    <s v="7213000531"/>
    <s v="ESD"/>
    <s v="PUR0957919"/>
    <s v=""/>
    <s v="9260000"/>
    <s v="521900"/>
    <s v="0000"/>
    <s v="554"/>
    <s v="BENEFITS"/>
    <s v="0000"/>
    <s v=""/>
  </r>
  <r>
    <d v="2021-05-14T00:00:00"/>
    <x v="4"/>
    <x v="0"/>
    <n v="63753.32"/>
    <s v="00499810"/>
    <s v="011835450"/>
    <x v="0"/>
    <s v="57211200537"/>
    <s v="7213000450"/>
    <s v="ESD"/>
    <s v="PUR0957633"/>
    <s v=""/>
    <s v="9260000"/>
    <s v="521900"/>
    <s v="0000"/>
    <s v="553"/>
    <s v="BENEFITS"/>
    <s v="0000"/>
    <s v=""/>
  </r>
  <r>
    <d v="2021-05-14T00:00:00"/>
    <x v="4"/>
    <x v="0"/>
    <n v="213365.56"/>
    <s v="00500635"/>
    <s v="012051699"/>
    <x v="1"/>
    <s v="BCBS05102021"/>
    <s v="7213000473"/>
    <s v="TRN"/>
    <s v="PUR0957637"/>
    <s v=""/>
    <s v="9260000"/>
    <s v="571900"/>
    <s v="9010"/>
    <s v="554"/>
    <s v="0000SUPT"/>
    <s v="0000"/>
    <s v=""/>
  </r>
  <r>
    <d v="2021-05-14T00:00:00"/>
    <x v="4"/>
    <x v="0"/>
    <n v="15426.41"/>
    <s v="00500636"/>
    <s v="011835450"/>
    <x v="0"/>
    <s v="57211270187"/>
    <s v="7213000474"/>
    <s v="TRN"/>
    <s v="PUR0957637"/>
    <s v=""/>
    <s v="9260000"/>
    <s v="571900"/>
    <s v="9010"/>
    <s v="553"/>
    <s v="0000SUPT"/>
    <s v="0000"/>
    <s v=""/>
  </r>
  <r>
    <d v="2021-05-17T00:00:00"/>
    <x v="4"/>
    <x v="0"/>
    <n v="72.03"/>
    <s v="00500658"/>
    <s v="006639552"/>
    <x v="2"/>
    <s v="53121751"/>
    <s v="7213000469"/>
    <s v="TRN"/>
    <s v="PUR0957677"/>
    <s v=""/>
    <s v="9260000"/>
    <s v="571900"/>
    <s v="9010"/>
    <s v="554"/>
    <s v="0000SUPT"/>
    <s v="0000"/>
    <s v=""/>
  </r>
  <r>
    <d v="2021-05-20T00:00:00"/>
    <x v="4"/>
    <x v="0"/>
    <n v="61604.12"/>
    <s v="00501609"/>
    <s v="011835450"/>
    <x v="0"/>
    <s v="57211340195"/>
    <s v="7213000499"/>
    <s v="ESD"/>
    <s v="PUR0957768"/>
    <s v=""/>
    <s v="9260000"/>
    <s v="521900"/>
    <s v="0000"/>
    <s v="553"/>
    <s v="BENEFITS"/>
    <s v="0000"/>
    <s v=""/>
  </r>
  <r>
    <d v="2021-05-20T00:00:00"/>
    <x v="4"/>
    <x v="0"/>
    <n v="353.17"/>
    <s v="00501350"/>
    <s v="012061960"/>
    <x v="5"/>
    <s v="3246251"/>
    <s v="7213000491"/>
    <s v="TRN"/>
    <s v="PUR0957762"/>
    <s v=""/>
    <s v="9260000"/>
    <s v="571900"/>
    <s v="9010"/>
    <s v="554"/>
    <s v="0000SUPT"/>
    <s v="0000"/>
    <s v=""/>
  </r>
  <r>
    <d v="2021-05-26T00:00:00"/>
    <x v="4"/>
    <x v="0"/>
    <n v="196986.61"/>
    <s v="00502494"/>
    <s v="012051699"/>
    <x v="1"/>
    <s v="BCBS05242021"/>
    <s v="7213000530"/>
    <s v="TRN"/>
    <s v="PUR0957923"/>
    <s v=""/>
    <s v="9260000"/>
    <s v="571900"/>
    <s v="9010"/>
    <s v="554"/>
    <s v="0000SUPT"/>
    <s v="0000"/>
    <s v=""/>
  </r>
  <r>
    <d v="2021-05-26T00:00:00"/>
    <x v="4"/>
    <x v="0"/>
    <n v="777302.26"/>
    <s v="00502494"/>
    <s v="012051699"/>
    <x v="1"/>
    <s v="BCBS05242021"/>
    <s v="7213000530"/>
    <s v="ESD"/>
    <s v="PUR0957919"/>
    <s v=""/>
    <s v="9260000"/>
    <s v="521900"/>
    <s v="0000"/>
    <s v="554"/>
    <s v="BENEFITS"/>
    <s v="0000"/>
    <s v=""/>
  </r>
  <r>
    <d v="2021-05-28T00:00:00"/>
    <x v="4"/>
    <x v="0"/>
    <n v="59729.42"/>
    <s v="00503254"/>
    <s v="006639552"/>
    <x v="2"/>
    <s v="53136422"/>
    <s v="7213000544"/>
    <s v="TRN"/>
    <s v="PUR0957999"/>
    <s v=""/>
    <s v="9260000"/>
    <s v="571900"/>
    <s v="9010"/>
    <s v="554"/>
    <s v="0000SUPT"/>
    <s v="0000"/>
    <s v=""/>
  </r>
  <r>
    <d v="2021-05-28T00:00:00"/>
    <x v="4"/>
    <x v="0"/>
    <n v="951.26"/>
    <s v="00503331"/>
    <s v="012061960"/>
    <x v="5"/>
    <s v="3246891A"/>
    <s v="7213000550"/>
    <s v="ESD"/>
    <s v="PUR0958004"/>
    <s v=""/>
    <s v="9260000"/>
    <s v="521900"/>
    <s v="0000"/>
    <s v="554"/>
    <s v="BENEFITS"/>
    <s v="0000"/>
    <s v=""/>
  </r>
  <r>
    <d v="2021-05-14T00:00:00"/>
    <x v="4"/>
    <x v="0"/>
    <n v="142.44"/>
    <s v="00499808"/>
    <s v="000841250"/>
    <x v="3"/>
    <s v="343790115"/>
    <s v="7213000449"/>
    <s v="TRN"/>
    <s v="PUR0957637"/>
    <s v=""/>
    <s v="9260000"/>
    <s v="571900"/>
    <s v="9010"/>
    <s v="554"/>
    <s v="BENEFITS"/>
    <s v="0000"/>
    <s v=""/>
  </r>
  <r>
    <d v="2021-05-14T00:00:00"/>
    <x v="4"/>
    <x v="0"/>
    <n v="58788.25"/>
    <s v="00500643"/>
    <s v="006639552"/>
    <x v="2"/>
    <s v="53124991"/>
    <s v="7213000477"/>
    <s v="TRN"/>
    <s v="PUR0957637"/>
    <s v=""/>
    <s v="9260000"/>
    <s v="571900"/>
    <s v="9010"/>
    <s v="554"/>
    <s v="0000SUPT"/>
    <s v="0000"/>
    <s v=""/>
  </r>
  <r>
    <d v="2021-05-25T00:00:00"/>
    <x v="4"/>
    <x v="0"/>
    <n v="1364.08"/>
    <s v="00502007"/>
    <s v="012061960"/>
    <x v="5"/>
    <s v="3246387"/>
    <s v="7213000514"/>
    <s v="ESD"/>
    <s v="PUR0957883"/>
    <s v=""/>
    <s v="9260000"/>
    <s v="521900"/>
    <s v="0000"/>
    <s v="554"/>
    <s v="BENEFITS"/>
    <s v="0000"/>
    <s v=""/>
  </r>
  <r>
    <d v="2021-05-20T00:00:00"/>
    <x v="4"/>
    <x v="0"/>
    <n v="13039.41"/>
    <s v="00501609"/>
    <s v="011835450"/>
    <x v="0"/>
    <s v="57211340195"/>
    <s v="7213000499"/>
    <s v="TRN"/>
    <s v="PUR0957762"/>
    <s v=""/>
    <s v="9260000"/>
    <s v="571900"/>
    <s v="9010"/>
    <s v="553"/>
    <s v="0000SUPT"/>
    <s v="0000"/>
    <s v=""/>
  </r>
  <r>
    <d v="2021-05-28T00:00:00"/>
    <x v="4"/>
    <x v="0"/>
    <n v="162.77000000000001"/>
    <s v="00503268"/>
    <s v="006639552"/>
    <x v="2"/>
    <s v="53137305"/>
    <s v="7213000538"/>
    <s v="ESD"/>
    <s v="PUR0958004"/>
    <s v=""/>
    <s v="9260000"/>
    <s v="521900"/>
    <s v="0000"/>
    <s v="554"/>
    <s v="BENEFITS"/>
    <s v="0000"/>
    <s v=""/>
  </r>
  <r>
    <d v="2021-05-28T00:00:00"/>
    <x v="4"/>
    <x v="0"/>
    <n v="955.22"/>
    <s v="00503271"/>
    <s v="012061960"/>
    <x v="5"/>
    <s v="3246891"/>
    <s v="7213000539"/>
    <s v="TRN"/>
    <s v="PUR0957999"/>
    <s v=""/>
    <s v="9260000"/>
    <s v="571900"/>
    <s v="9010"/>
    <s v="554"/>
    <s v="0000SUPT"/>
    <s v="0000"/>
    <s v=""/>
  </r>
  <r>
    <d v="2021-05-28T00:00:00"/>
    <x v="4"/>
    <x v="0"/>
    <n v="955.22"/>
    <s v="00503331"/>
    <s v="012061960"/>
    <x v="5"/>
    <s v="3246891A"/>
    <s v="7213000550"/>
    <s v="TRN"/>
    <s v="PUR0957999"/>
    <s v=""/>
    <s v="9260000"/>
    <s v="571900"/>
    <s v="9010"/>
    <s v="554"/>
    <s v="0000SUPT"/>
    <s v="0000"/>
    <s v=""/>
  </r>
  <r>
    <d v="2021-06-24T00:00:00"/>
    <x v="5"/>
    <x v="0"/>
    <n v="165702.95000000001"/>
    <s v="00507712"/>
    <s v="012051699"/>
    <x v="1"/>
    <s v="BCBS06212021"/>
    <s v="7213000650"/>
    <s v="TRN"/>
    <s v="PUR0958812"/>
    <s v=""/>
    <s v="9260000"/>
    <s v="571900"/>
    <s v="9010"/>
    <s v="554"/>
    <s v="0000SUPT"/>
    <s v="0000"/>
    <s v=""/>
  </r>
  <r>
    <d v="2021-06-24T00:00:00"/>
    <x v="5"/>
    <x v="0"/>
    <n v="421.85"/>
    <s v="00507717"/>
    <s v="012061960"/>
    <x v="5"/>
    <s v="3247657"/>
    <s v="7213000653"/>
    <s v="ESD"/>
    <s v="PUR0958807"/>
    <s v=""/>
    <s v="9260000"/>
    <s v="521900"/>
    <s v="0000"/>
    <s v="554"/>
    <s v="BENEFITS"/>
    <s v="0000"/>
    <s v=""/>
  </r>
  <r>
    <d v="2021-06-30T00:00:00"/>
    <x v="5"/>
    <x v="0"/>
    <n v="58125.93"/>
    <s v="00508509"/>
    <s v="011835450"/>
    <x v="0"/>
    <s v="57211760164"/>
    <s v="7213000677"/>
    <s v="ESD"/>
    <s v="PUR0959026"/>
    <s v=""/>
    <s v="9260000"/>
    <s v="521900"/>
    <s v="0000"/>
    <s v="553"/>
    <s v="BENEFITS"/>
    <s v="0000"/>
    <s v=""/>
  </r>
  <r>
    <d v="2021-06-07T00:00:00"/>
    <x v="5"/>
    <x v="0"/>
    <n v="1019990.67"/>
    <s v="00504389"/>
    <s v="012051699"/>
    <x v="1"/>
    <s v="BCBS06012021"/>
    <s v="7213000560"/>
    <s v="ESD"/>
    <s v="PUR0958432"/>
    <s v=""/>
    <s v="9260000"/>
    <s v="521900"/>
    <s v="0000"/>
    <s v="554"/>
    <s v="BENEFITS"/>
    <s v="0000"/>
    <s v=""/>
  </r>
  <r>
    <d v="2021-06-07T00:00:00"/>
    <x v="5"/>
    <x v="0"/>
    <n v="47585.5"/>
    <s v="00504390"/>
    <s v="011835450"/>
    <x v="0"/>
    <s v="57211480538"/>
    <s v="7213000561"/>
    <s v="ESD"/>
    <s v="PUR0958432"/>
    <s v=""/>
    <s v="9260000"/>
    <s v="521900"/>
    <s v="0000"/>
    <s v="553"/>
    <s v="BENEFITS"/>
    <s v="0000"/>
    <s v=""/>
  </r>
  <r>
    <d v="2021-06-25T00:00:00"/>
    <x v="5"/>
    <x v="0"/>
    <n v="304089.69"/>
    <s v="00507670"/>
    <s v="006639552"/>
    <x v="2"/>
    <s v="53151117"/>
    <s v="7213000617"/>
    <s v="ESD"/>
    <s v="PUR0958838"/>
    <s v=""/>
    <s v="9260000"/>
    <s v="521900"/>
    <s v="0000"/>
    <s v="554"/>
    <s v="BENEFITS"/>
    <s v="0000"/>
    <s v=""/>
  </r>
  <r>
    <d v="2021-06-11T00:00:00"/>
    <x v="5"/>
    <x v="0"/>
    <n v="15.42"/>
    <s v="00505443"/>
    <s v="000841250"/>
    <x v="3"/>
    <s v="348340411"/>
    <s v="7213000604"/>
    <s v="TRN"/>
    <s v="PUR0958555"/>
    <s v=""/>
    <s v="9260000"/>
    <s v="571900"/>
    <s v="9010"/>
    <s v="554"/>
    <s v="BENEFITS"/>
    <s v="0000"/>
    <s v=""/>
  </r>
  <r>
    <d v="2021-06-11T00:00:00"/>
    <x v="5"/>
    <x v="0"/>
    <n v="148223.74"/>
    <s v="00505435"/>
    <s v="006639552"/>
    <x v="2"/>
    <s v="53143556"/>
    <s v="7213000596"/>
    <s v="ESD"/>
    <s v="PUR0958546"/>
    <s v=""/>
    <s v="9260000"/>
    <s v="521900"/>
    <s v="0000"/>
    <s v="554"/>
    <s v="BENEFITS"/>
    <s v="0000"/>
    <s v=""/>
  </r>
  <r>
    <d v="2021-06-24T00:00:00"/>
    <x v="5"/>
    <x v="0"/>
    <n v="56096.55"/>
    <s v="00507713"/>
    <s v="011835450"/>
    <x v="0"/>
    <s v="57211690173"/>
    <s v="7213000651"/>
    <s v="ESD"/>
    <s v="PUR0958807"/>
    <s v=""/>
    <s v="9260000"/>
    <s v="521900"/>
    <s v="0000"/>
    <s v="553"/>
    <s v="BENEFITS"/>
    <s v="0000"/>
    <s v=""/>
  </r>
  <r>
    <d v="2021-06-24T00:00:00"/>
    <x v="5"/>
    <x v="0"/>
    <n v="6125.47"/>
    <s v="00507696"/>
    <s v="000841250"/>
    <x v="3"/>
    <s v="349039259"/>
    <s v="7213000630"/>
    <s v="ESD"/>
    <s v="PUR0958807"/>
    <s v=""/>
    <s v="9260000"/>
    <s v="521900"/>
    <s v="0000"/>
    <s v="554"/>
    <s v="BENEFITS"/>
    <s v="0000"/>
    <s v=""/>
  </r>
  <r>
    <d v="2021-06-24T00:00:00"/>
    <x v="5"/>
    <x v="0"/>
    <n v="908.05"/>
    <s v="00507716"/>
    <s v="006639552"/>
    <x v="2"/>
    <s v="53159490"/>
    <s v="7213000654"/>
    <s v="ESD"/>
    <s v="PUR0958807"/>
    <s v=""/>
    <s v="9260000"/>
    <s v="521900"/>
    <s v="0000"/>
    <s v="554"/>
    <s v="BENEFITS"/>
    <s v="0000"/>
    <s v=""/>
  </r>
  <r>
    <d v="2021-06-24T00:00:00"/>
    <x v="5"/>
    <x v="0"/>
    <n v="198742.92"/>
    <s v="00507704"/>
    <s v="006639552"/>
    <x v="2"/>
    <s v="53156754"/>
    <s v="7213000644"/>
    <s v="ESD"/>
    <s v="PUR0958807"/>
    <s v=""/>
    <s v="9260000"/>
    <s v="521900"/>
    <s v="0000"/>
    <s v="554"/>
    <s v="BENEFITS"/>
    <s v="0000"/>
    <s v=""/>
  </r>
  <r>
    <d v="2021-06-24T00:00:00"/>
    <x v="5"/>
    <x v="0"/>
    <n v="624466.37"/>
    <s v="00507712"/>
    <s v="012051699"/>
    <x v="1"/>
    <s v="BCBS06212021"/>
    <s v="7213000650"/>
    <s v="ESD"/>
    <s v="PUR0958807"/>
    <s v=""/>
    <s v="9260000"/>
    <s v="521900"/>
    <s v="0000"/>
    <s v="554"/>
    <s v="BENEFITS"/>
    <s v="0000"/>
    <s v=""/>
  </r>
  <r>
    <d v="2021-06-07T00:00:00"/>
    <x v="5"/>
    <x v="0"/>
    <n v="3756.58"/>
    <s v="00504392"/>
    <s v="000841250"/>
    <x v="3"/>
    <s v="347487875"/>
    <s v="7213000562"/>
    <s v="ESD"/>
    <s v="PUR0958432"/>
    <s v=""/>
    <s v="9260000"/>
    <s v="521900"/>
    <s v="0000"/>
    <s v="554"/>
    <s v="BENEFITS"/>
    <s v="0000"/>
    <s v=""/>
  </r>
  <r>
    <d v="2021-06-11T00:00:00"/>
    <x v="5"/>
    <x v="0"/>
    <n v="19121.759999999998"/>
    <s v="00505442"/>
    <s v="011835450"/>
    <x v="0"/>
    <s v="57211550184"/>
    <s v="7213000603"/>
    <s v="TRN"/>
    <s v="PUR0958555"/>
    <s v=""/>
    <s v="9260000"/>
    <s v="571900"/>
    <s v="9010"/>
    <s v="553"/>
    <s v="0000SUPT"/>
    <s v="0000"/>
    <s v=""/>
  </r>
  <r>
    <d v="2021-06-24T00:00:00"/>
    <x v="5"/>
    <x v="0"/>
    <n v="3900"/>
    <s v="00507691"/>
    <s v="012015563"/>
    <x v="4"/>
    <s v="ONCORMETLTDJUN21"/>
    <s v="7213000625"/>
    <s v="ESD"/>
    <s v="PUR0958807"/>
    <s v=""/>
    <s v="9260000"/>
    <s v="521900"/>
    <s v="0000"/>
    <s v="557"/>
    <s v="00000000"/>
    <s v="0000"/>
    <s v=""/>
  </r>
  <r>
    <d v="2021-06-24T00:00:00"/>
    <x v="5"/>
    <x v="0"/>
    <n v="630.96"/>
    <s v="00507696"/>
    <s v="000841250"/>
    <x v="3"/>
    <s v="349039259"/>
    <s v="7213000630"/>
    <s v="TRN"/>
    <s v="PUR0958812"/>
    <s v=""/>
    <s v="9260000"/>
    <s v="571900"/>
    <s v="9010"/>
    <s v="554"/>
    <s v="BENEFITS"/>
    <s v="0000"/>
    <s v=""/>
  </r>
  <r>
    <d v="2021-06-30T00:00:00"/>
    <x v="5"/>
    <x v="0"/>
    <n v="19791.47"/>
    <s v="00508509"/>
    <s v="011835450"/>
    <x v="0"/>
    <s v="57211760164"/>
    <s v="7213000677"/>
    <s v="TRN"/>
    <s v="PUR0959031"/>
    <s v=""/>
    <s v="9260000"/>
    <s v="571900"/>
    <s v="9010"/>
    <s v="553"/>
    <s v="0000SUPT"/>
    <s v="0000"/>
    <s v=""/>
  </r>
  <r>
    <d v="2021-06-11T00:00:00"/>
    <x v="5"/>
    <x v="0"/>
    <n v="-162.77000000000001"/>
    <s v="00505437"/>
    <s v="006639552"/>
    <x v="2"/>
    <s v="53148152"/>
    <s v="7213000598"/>
    <s v="ESD"/>
    <s v="PUR0958546"/>
    <s v=""/>
    <s v="9260000"/>
    <s v="521900"/>
    <s v="0000"/>
    <s v="554"/>
    <s v="BENEFITS"/>
    <s v="0000"/>
    <s v=""/>
  </r>
  <r>
    <d v="2021-06-11T00:00:00"/>
    <x v="5"/>
    <x v="0"/>
    <n v="3571.85"/>
    <s v="00505437"/>
    <s v="006639552"/>
    <x v="2"/>
    <s v="53148152"/>
    <s v="7213000598"/>
    <s v="ESD"/>
    <s v="PUR0958546"/>
    <s v=""/>
    <s v="9260000"/>
    <s v="521000"/>
    <s v="0000"/>
    <s v="554"/>
    <s v="BENEFITS"/>
    <s v="0000"/>
    <s v=""/>
  </r>
  <r>
    <d v="2021-06-24T00:00:00"/>
    <x v="5"/>
    <x v="0"/>
    <n v="167674.68"/>
    <s v="00507694"/>
    <s v="012051699"/>
    <x v="1"/>
    <s v="BCBS06142021"/>
    <s v="7213000628"/>
    <s v="TRN"/>
    <s v="PUR0958812"/>
    <s v=""/>
    <s v="9260000"/>
    <s v="571900"/>
    <s v="9010"/>
    <s v="554"/>
    <s v="0000SUPT"/>
    <s v="0000"/>
    <s v=""/>
  </r>
  <r>
    <d v="2021-06-30T00:00:00"/>
    <x v="5"/>
    <x v="0"/>
    <n v="82.41"/>
    <s v="00508508"/>
    <s v="000841250"/>
    <x v="3"/>
    <s v="351093882"/>
    <s v="7213000676"/>
    <s v="TRN"/>
    <s v="PUR0959031"/>
    <s v=""/>
    <s v="9260000"/>
    <s v="571900"/>
    <s v="9010"/>
    <s v="554"/>
    <s v="BENEFITS"/>
    <s v="0000"/>
    <s v=""/>
  </r>
  <r>
    <d v="2021-06-30T00:00:00"/>
    <x v="5"/>
    <x v="0"/>
    <n v="349.29"/>
    <s v="00508515"/>
    <s v="012061960"/>
    <x v="5"/>
    <s v="3248205"/>
    <s v="7213000681"/>
    <s v="TRN"/>
    <s v="PUR0959031"/>
    <s v=""/>
    <s v="9260000"/>
    <s v="571900"/>
    <s v="9010"/>
    <s v="554"/>
    <s v="0000SUPT"/>
    <s v="0000"/>
    <s v=""/>
  </r>
  <r>
    <d v="2021-06-30T00:00:00"/>
    <x v="5"/>
    <x v="0"/>
    <n v="6277.32"/>
    <s v="00508508"/>
    <s v="000841250"/>
    <x v="3"/>
    <s v="351093882"/>
    <s v="7213000676"/>
    <s v="ESD"/>
    <s v="PUR0959026"/>
    <s v=""/>
    <s v="9260000"/>
    <s v="521900"/>
    <s v="0000"/>
    <s v="554"/>
    <s v="BENEFITS"/>
    <s v="0000"/>
    <s v=""/>
  </r>
  <r>
    <d v="2021-06-30T00:00:00"/>
    <x v="5"/>
    <x v="0"/>
    <n v="121.7"/>
    <s v="00508514"/>
    <s v="006639552"/>
    <x v="2"/>
    <s v="53163379"/>
    <s v="7213000680"/>
    <s v="ESD"/>
    <s v="PUR0959026"/>
    <s v=""/>
    <s v="9260000"/>
    <s v="521900"/>
    <s v="0000"/>
    <s v="554"/>
    <s v="BENEFITS"/>
    <s v="0000"/>
    <s v=""/>
  </r>
  <r>
    <d v="2021-06-24T00:00:00"/>
    <x v="5"/>
    <x v="0"/>
    <n v="-802.86"/>
    <s v="00507717"/>
    <s v="012061960"/>
    <x v="5"/>
    <s v="3247657"/>
    <s v="7213000653"/>
    <s v="TRN"/>
    <s v="PUR0958812"/>
    <s v=""/>
    <s v="9260000"/>
    <s v="571900"/>
    <s v="9010"/>
    <s v="554"/>
    <s v="0000SUPT"/>
    <s v="0000"/>
    <s v=""/>
  </r>
  <r>
    <d v="2021-06-24T00:00:00"/>
    <x v="5"/>
    <x v="0"/>
    <n v="391.46"/>
    <s v="00507714"/>
    <s v="000841250"/>
    <x v="3"/>
    <s v="350290923"/>
    <s v="7213000652"/>
    <s v="TRN"/>
    <s v="PUR0958812"/>
    <s v=""/>
    <s v="9260000"/>
    <s v="571900"/>
    <s v="9010"/>
    <s v="554"/>
    <s v="BENEFITS"/>
    <s v="0000"/>
    <s v=""/>
  </r>
  <r>
    <d v="2021-06-24T00:00:00"/>
    <x v="5"/>
    <x v="0"/>
    <n v="12082.38"/>
    <s v="00507695"/>
    <s v="011835450"/>
    <x v="0"/>
    <s v="57211620183"/>
    <s v="7213000629"/>
    <s v="TRN"/>
    <s v="PUR0958812"/>
    <s v=""/>
    <s v="9260000"/>
    <s v="571900"/>
    <s v="9010"/>
    <s v="553"/>
    <s v="0000SUPT"/>
    <s v="0000"/>
    <s v=""/>
  </r>
  <r>
    <d v="2021-06-24T00:00:00"/>
    <x v="5"/>
    <x v="0"/>
    <n v="39371.54"/>
    <s v="00507704"/>
    <s v="006639552"/>
    <x v="2"/>
    <s v="53156754"/>
    <s v="7213000644"/>
    <s v="TRN"/>
    <s v="PUR0958812"/>
    <s v=""/>
    <s v="9260000"/>
    <s v="571900"/>
    <s v="9010"/>
    <s v="554"/>
    <s v="0000SUPT"/>
    <s v="0000"/>
    <s v=""/>
  </r>
  <r>
    <d v="2021-06-30T00:00:00"/>
    <x v="5"/>
    <x v="0"/>
    <n v="137248.9"/>
    <s v="00508489"/>
    <s v="006639552"/>
    <x v="2"/>
    <s v="53162413"/>
    <s v="7213000666"/>
    <s v="ESD"/>
    <s v="PUR0959026"/>
    <s v=""/>
    <s v="9260000"/>
    <s v="521900"/>
    <s v="0000"/>
    <s v="554"/>
    <s v="BENEFITS"/>
    <s v="0000"/>
    <s v=""/>
  </r>
  <r>
    <d v="2021-06-07T00:00:00"/>
    <x v="5"/>
    <x v="0"/>
    <n v="184664.63"/>
    <s v="00504389"/>
    <s v="012051699"/>
    <x v="1"/>
    <s v="BCBS06012021"/>
    <s v="7213000560"/>
    <s v="TRN"/>
    <s v="PUR0958441"/>
    <s v=""/>
    <s v="9260000"/>
    <s v="571900"/>
    <s v="9010"/>
    <s v="554"/>
    <s v="0000SUPT"/>
    <s v="0000"/>
    <s v=""/>
  </r>
  <r>
    <d v="2021-06-11T00:00:00"/>
    <x v="5"/>
    <x v="0"/>
    <n v="3327.05"/>
    <s v="00505443"/>
    <s v="000841250"/>
    <x v="3"/>
    <s v="348340411"/>
    <s v="7213000604"/>
    <s v="ESD"/>
    <s v="PUR0958546"/>
    <s v=""/>
    <s v="9260000"/>
    <s v="521900"/>
    <s v="0000"/>
    <s v="554"/>
    <s v="BENEFITS"/>
    <s v="0000"/>
    <s v=""/>
  </r>
  <r>
    <d v="2021-06-11T00:00:00"/>
    <x v="5"/>
    <x v="0"/>
    <n v="776.81"/>
    <s v="00505436"/>
    <s v="012061960"/>
    <x v="5"/>
    <s v="3247069"/>
    <s v="7213000597"/>
    <s v="TRN"/>
    <s v="PUR0958555"/>
    <s v=""/>
    <s v="9260000"/>
    <s v="571900"/>
    <s v="9010"/>
    <s v="554"/>
    <s v="0000SUPT"/>
    <s v="0000"/>
    <s v=""/>
  </r>
  <r>
    <d v="2021-06-11T00:00:00"/>
    <x v="5"/>
    <x v="0"/>
    <n v="57762.2"/>
    <s v="00505442"/>
    <s v="011835450"/>
    <x v="0"/>
    <s v="57211550184"/>
    <s v="7213000603"/>
    <s v="ESD"/>
    <s v="PUR0958546"/>
    <s v=""/>
    <s v="9260000"/>
    <s v="521900"/>
    <s v="0000"/>
    <s v="553"/>
    <s v="BENEFITS"/>
    <s v="0000"/>
    <s v=""/>
  </r>
  <r>
    <d v="2021-06-11T00:00:00"/>
    <x v="5"/>
    <x v="0"/>
    <n v="86.86"/>
    <s v="00505436"/>
    <s v="012061960"/>
    <x v="5"/>
    <s v="3247069"/>
    <s v="7213000597"/>
    <s v="ESD"/>
    <s v="PUR0958546"/>
    <s v=""/>
    <s v="9260000"/>
    <s v="521900"/>
    <s v="0000"/>
    <s v="554"/>
    <s v="BENEFITS"/>
    <s v="0000"/>
    <s v=""/>
  </r>
  <r>
    <d v="2021-06-24T00:00:00"/>
    <x v="5"/>
    <x v="0"/>
    <n v="19182.900000000001"/>
    <s v="00507713"/>
    <s v="011835450"/>
    <x v="0"/>
    <s v="57211690173"/>
    <s v="7213000651"/>
    <s v="TRN"/>
    <s v="PUR0958812"/>
    <s v=""/>
    <s v="9260000"/>
    <s v="571900"/>
    <s v="9010"/>
    <s v="553"/>
    <s v="0000SUPT"/>
    <s v="0000"/>
    <s v=""/>
  </r>
  <r>
    <d v="2021-06-24T00:00:00"/>
    <x v="5"/>
    <x v="0"/>
    <n v="-951.26"/>
    <s v="00507717"/>
    <s v="012061960"/>
    <x v="5"/>
    <s v="3247657"/>
    <s v="7213000653"/>
    <s v="ESD"/>
    <s v="PUR0958807"/>
    <s v=""/>
    <s v="9260000"/>
    <s v="521900"/>
    <s v="0000"/>
    <s v="554"/>
    <s v="00000000"/>
    <s v="0000"/>
    <s v=""/>
  </r>
  <r>
    <d v="2021-06-24T00:00:00"/>
    <x v="5"/>
    <x v="0"/>
    <n v="699166.06"/>
    <s v="00507694"/>
    <s v="012051699"/>
    <x v="1"/>
    <s v="BCBS06142021"/>
    <s v="7213000628"/>
    <s v="ESD"/>
    <s v="PUR0958807"/>
    <s v=""/>
    <s v="9260000"/>
    <s v="521900"/>
    <s v="0000"/>
    <s v="554"/>
    <s v="BENEFITS"/>
    <s v="0000"/>
    <s v=""/>
  </r>
  <r>
    <d v="2021-06-30T00:00:00"/>
    <x v="5"/>
    <x v="0"/>
    <n v="3.96"/>
    <s v="00508514"/>
    <s v="006639552"/>
    <x v="2"/>
    <s v="53163379"/>
    <s v="7213000680"/>
    <s v="TRN"/>
    <s v="PUR0959031"/>
    <s v=""/>
    <s v="9260000"/>
    <s v="571900"/>
    <s v="9010"/>
    <s v="554"/>
    <s v="0000SUPT"/>
    <s v="0000"/>
    <s v=""/>
  </r>
  <r>
    <d v="2021-06-07T00:00:00"/>
    <x v="5"/>
    <x v="0"/>
    <n v="460.68"/>
    <s v="00504392"/>
    <s v="000841250"/>
    <x v="3"/>
    <s v="347487875"/>
    <s v="7213000562"/>
    <s v="TRN"/>
    <s v="PUR0958441"/>
    <s v=""/>
    <s v="9260000"/>
    <s v="571900"/>
    <s v="9010"/>
    <s v="554"/>
    <s v="BENEFITS"/>
    <s v="0000"/>
    <s v=""/>
  </r>
  <r>
    <d v="2021-06-25T00:00:00"/>
    <x v="5"/>
    <x v="0"/>
    <n v="38375.29"/>
    <s v="00507670"/>
    <s v="006639552"/>
    <x v="2"/>
    <s v="53151117"/>
    <s v="7213000617"/>
    <s v="TRN"/>
    <s v="PUR0958842"/>
    <s v=""/>
    <s v="9260000"/>
    <s v="571900"/>
    <s v="9010"/>
    <s v="554"/>
    <s v="0000SUPT"/>
    <s v="0000"/>
    <s v=""/>
  </r>
  <r>
    <d v="2021-06-11T00:00:00"/>
    <x v="5"/>
    <x v="0"/>
    <n v="690843.75"/>
    <s v="00505441"/>
    <s v="012051699"/>
    <x v="1"/>
    <s v="BCBS06072021"/>
    <s v="7213000602"/>
    <s v="ESD"/>
    <s v="PUR0958546"/>
    <s v=""/>
    <s v="9260000"/>
    <s v="521900"/>
    <s v="0000"/>
    <s v="554"/>
    <s v="BENEFITS"/>
    <s v="0000"/>
    <s v=""/>
  </r>
  <r>
    <d v="2021-06-11T00:00:00"/>
    <x v="5"/>
    <x v="0"/>
    <n v="18370.71"/>
    <s v="00505435"/>
    <s v="006639552"/>
    <x v="2"/>
    <s v="53143556"/>
    <s v="7213000596"/>
    <s v="TRN"/>
    <s v="PUR0958555"/>
    <s v=""/>
    <s v="9260000"/>
    <s v="571900"/>
    <s v="9010"/>
    <s v="554"/>
    <s v="0000SUPT"/>
    <s v="0000"/>
    <s v=""/>
  </r>
  <r>
    <d v="2021-06-30T00:00:00"/>
    <x v="5"/>
    <x v="0"/>
    <n v="695712.94"/>
    <s v="00508511"/>
    <s v="012051699"/>
    <x v="1"/>
    <s v="BCBS06282021"/>
    <s v="7213000678"/>
    <s v="ESD"/>
    <s v="PUR0959026"/>
    <s v=""/>
    <s v="9260000"/>
    <s v="521900"/>
    <s v="0000"/>
    <s v="554"/>
    <s v="BENEFITS"/>
    <s v="0000"/>
    <s v=""/>
  </r>
  <r>
    <d v="2021-06-30T00:00:00"/>
    <x v="5"/>
    <x v="0"/>
    <n v="1183.29"/>
    <s v="00508515"/>
    <s v="012061960"/>
    <x v="5"/>
    <s v="3248205"/>
    <s v="7213000681"/>
    <s v="ESD"/>
    <s v="PUR0959026"/>
    <s v=""/>
    <s v="9260000"/>
    <s v="521900"/>
    <s v="0000"/>
    <s v="554"/>
    <s v="BENEFITS"/>
    <s v="0000"/>
    <s v=""/>
  </r>
  <r>
    <d v="2021-06-11T00:00:00"/>
    <x v="5"/>
    <x v="0"/>
    <n v="56.87"/>
    <s v="00505437"/>
    <s v="006639552"/>
    <x v="2"/>
    <s v="53148152"/>
    <s v="7213000598"/>
    <s v="TRN"/>
    <s v="PUR0958555"/>
    <s v=""/>
    <s v="9260000"/>
    <s v="571900"/>
    <s v="9010"/>
    <s v="554"/>
    <s v="0000SUPT"/>
    <s v="0000"/>
    <s v=""/>
  </r>
  <r>
    <d v="2021-06-11T00:00:00"/>
    <x v="5"/>
    <x v="0"/>
    <n v="94366.79"/>
    <s v="00505441"/>
    <s v="012051699"/>
    <x v="1"/>
    <s v="BCBS06072021"/>
    <s v="7213000602"/>
    <s v="TRN"/>
    <s v="PUR0958555"/>
    <s v=""/>
    <s v="9260000"/>
    <s v="571900"/>
    <s v="9010"/>
    <s v="554"/>
    <s v="0000SUPT"/>
    <s v="0000"/>
    <s v=""/>
  </r>
  <r>
    <d v="2021-06-24T00:00:00"/>
    <x v="5"/>
    <x v="0"/>
    <n v="59818.85"/>
    <s v="00507695"/>
    <s v="011835450"/>
    <x v="0"/>
    <s v="57211620183"/>
    <s v="7213000629"/>
    <s v="ESD"/>
    <s v="PUR0958807"/>
    <s v=""/>
    <s v="9260000"/>
    <s v="521900"/>
    <s v="0000"/>
    <s v="553"/>
    <s v="BENEFITS"/>
    <s v="0000"/>
    <s v=""/>
  </r>
  <r>
    <d v="2021-06-24T00:00:00"/>
    <x v="5"/>
    <x v="0"/>
    <n v="12.4"/>
    <s v="00507688"/>
    <s v="006639552"/>
    <x v="2"/>
    <s v="53152153"/>
    <s v="7213000622"/>
    <s v="TRN"/>
    <s v="PUR0958812"/>
    <s v=""/>
    <s v="9260000"/>
    <s v="571900"/>
    <s v="9010"/>
    <s v="554"/>
    <s v="0000SUPT"/>
    <s v="0000"/>
    <s v=""/>
  </r>
  <r>
    <d v="2021-06-24T00:00:00"/>
    <x v="5"/>
    <x v="0"/>
    <n v="7935.26"/>
    <s v="00507714"/>
    <s v="000841250"/>
    <x v="3"/>
    <s v="350290923"/>
    <s v="7213000652"/>
    <s v="ESD"/>
    <s v="PUR0958807"/>
    <s v=""/>
    <s v="9260000"/>
    <s v="521900"/>
    <s v="0000"/>
    <s v="554"/>
    <s v="BENEFITS"/>
    <s v="0000"/>
    <s v=""/>
  </r>
  <r>
    <d v="2021-06-24T00:00:00"/>
    <x v="5"/>
    <x v="0"/>
    <n v="21.12"/>
    <s v="00507688"/>
    <s v="006639552"/>
    <x v="2"/>
    <s v="53152153"/>
    <s v="7213000622"/>
    <s v="ESD"/>
    <s v="PUR0958807"/>
    <s v=""/>
    <s v="9260000"/>
    <s v="521900"/>
    <s v="0000"/>
    <s v="554"/>
    <s v="BENEFITS"/>
    <s v="0000"/>
    <s v=""/>
  </r>
  <r>
    <d v="2021-06-24T00:00:00"/>
    <x v="5"/>
    <x v="0"/>
    <n v="86.17"/>
    <s v="00507716"/>
    <s v="006639552"/>
    <x v="2"/>
    <s v="53159490"/>
    <s v="7213000654"/>
    <s v="TRN"/>
    <s v="PUR0958812"/>
    <s v=""/>
    <s v="9260000"/>
    <s v="571900"/>
    <s v="9010"/>
    <s v="554"/>
    <s v="0000SUPT"/>
    <s v="0000"/>
    <s v=""/>
  </r>
  <r>
    <d v="2021-06-30T00:00:00"/>
    <x v="5"/>
    <x v="0"/>
    <n v="225388.02"/>
    <s v="00508511"/>
    <s v="012051699"/>
    <x v="1"/>
    <s v="BCBS06282021"/>
    <s v="7213000678"/>
    <s v="TRN"/>
    <s v="PUR0959031"/>
    <s v=""/>
    <s v="9260000"/>
    <s v="571900"/>
    <s v="9010"/>
    <s v="554"/>
    <s v="0000SUPT"/>
    <s v="0000"/>
    <s v=""/>
  </r>
  <r>
    <d v="2021-06-30T00:00:00"/>
    <x v="5"/>
    <x v="0"/>
    <n v="44489.58"/>
    <s v="00508489"/>
    <s v="006639552"/>
    <x v="2"/>
    <s v="53162413"/>
    <s v="7213000666"/>
    <s v="TRN"/>
    <s v="PUR0959031"/>
    <s v=""/>
    <s v="9260000"/>
    <s v="571900"/>
    <s v="9010"/>
    <s v="554"/>
    <s v="0000SUPT"/>
    <s v="0000"/>
    <s v=""/>
  </r>
  <r>
    <d v="2021-06-07T00:00:00"/>
    <x v="5"/>
    <x v="0"/>
    <n v="13723.7"/>
    <s v="00504390"/>
    <s v="011835450"/>
    <x v="0"/>
    <s v="57211480538"/>
    <s v="7213000561"/>
    <s v="TRN"/>
    <s v="PUR0958441"/>
    <s v=""/>
    <s v="9260000"/>
    <s v="571900"/>
    <s v="9010"/>
    <s v="553"/>
    <s v="0000SUPT"/>
    <s v="0000"/>
    <s v=""/>
  </r>
  <r>
    <d v="2021-07-14T00:00:00"/>
    <x v="6"/>
    <x v="0"/>
    <n v="3097.16"/>
    <s v="00510679"/>
    <s v="006639552"/>
    <x v="2"/>
    <s v="53174246"/>
    <s v="7213000705"/>
    <s v="ESD"/>
    <s v="PUR0959593"/>
    <s v=""/>
    <s v="9260000"/>
    <s v="521900"/>
    <s v="0000"/>
    <s v="554"/>
    <s v="BENEFITS"/>
    <s v="0000"/>
    <s v=""/>
  </r>
  <r>
    <d v="2021-07-14T00:00:00"/>
    <x v="6"/>
    <x v="0"/>
    <n v="757.68"/>
    <s v="00510677"/>
    <s v="000841250"/>
    <x v="3"/>
    <s v="351790402"/>
    <s v="7213000703"/>
    <s v="TRN"/>
    <s v="PUR0959588"/>
    <s v=""/>
    <s v="9260000"/>
    <s v="571900"/>
    <s v="9010"/>
    <s v="554"/>
    <s v="BENEFITS"/>
    <s v="0000"/>
    <s v=""/>
  </r>
  <r>
    <d v="2021-07-16T00:00:00"/>
    <x v="6"/>
    <x v="0"/>
    <n v="48.27"/>
    <s v="00510849"/>
    <s v="012061960"/>
    <x v="5"/>
    <s v="3249046"/>
    <s v="7213000723"/>
    <s v="ESD"/>
    <s v="PUR0959641"/>
    <s v=""/>
    <s v="9260000"/>
    <s v="521900"/>
    <s v="0000"/>
    <s v="554"/>
    <s v="BENEFITS"/>
    <s v="0000"/>
    <s v=""/>
  </r>
  <r>
    <d v="2021-07-23T00:00:00"/>
    <x v="6"/>
    <x v="0"/>
    <n v="60457.3"/>
    <s v="00512399"/>
    <s v="006639552"/>
    <x v="2"/>
    <s v="53180951"/>
    <s v="7213000755"/>
    <s v="TRN"/>
    <s v="PUR0959783"/>
    <s v=""/>
    <s v="9260000"/>
    <s v="571900"/>
    <s v="9010"/>
    <s v="554"/>
    <s v="0000SUPT"/>
    <s v="0000"/>
    <s v=""/>
  </r>
  <r>
    <d v="2021-07-23T00:00:00"/>
    <x v="6"/>
    <x v="0"/>
    <n v="270452.08"/>
    <s v="00512399"/>
    <s v="006639552"/>
    <x v="2"/>
    <s v="53180951"/>
    <s v="7213000755"/>
    <s v="ESD"/>
    <s v="PUR0959787"/>
    <s v=""/>
    <s v="9260000"/>
    <s v="521900"/>
    <s v="0000"/>
    <s v="554"/>
    <s v="BENEFITS"/>
    <s v="0000"/>
    <s v=""/>
  </r>
  <r>
    <d v="2021-07-28T00:00:00"/>
    <x v="6"/>
    <x v="0"/>
    <n v="28052.16"/>
    <s v="00512925"/>
    <s v="011835450"/>
    <x v="0"/>
    <s v="57212040163"/>
    <s v="7213000779"/>
    <s v="TRN"/>
    <s v="PUR0959887"/>
    <s v=""/>
    <s v="9260000"/>
    <s v="571900"/>
    <s v="9010"/>
    <s v="553"/>
    <s v="0000SUPT"/>
    <s v="0000"/>
    <s v=""/>
  </r>
  <r>
    <d v="2021-07-28T00:00:00"/>
    <x v="6"/>
    <x v="0"/>
    <n v="58769.58"/>
    <s v="00512925"/>
    <s v="011835450"/>
    <x v="0"/>
    <s v="57212040163"/>
    <s v="7213000779"/>
    <s v="ESD"/>
    <s v="PUR0959894"/>
    <s v=""/>
    <s v="9260000"/>
    <s v="521900"/>
    <s v="0000"/>
    <s v="553"/>
    <s v="BENEFITS"/>
    <s v="0000"/>
    <s v=""/>
  </r>
  <r>
    <d v="2021-07-28T00:00:00"/>
    <x v="6"/>
    <x v="0"/>
    <n v="919.52"/>
    <s v="00512832"/>
    <s v="012061960"/>
    <x v="5"/>
    <s v="3249186"/>
    <s v="7213000762"/>
    <s v="ESD"/>
    <s v="PUR0959894"/>
    <s v=""/>
    <s v="9260000"/>
    <s v="521900"/>
    <s v="0000"/>
    <s v="554"/>
    <s v="BENEFITS"/>
    <s v="0000"/>
    <s v=""/>
  </r>
  <r>
    <d v="2021-07-30T00:00:00"/>
    <x v="6"/>
    <x v="0"/>
    <n v="11.84"/>
    <s v="00513191"/>
    <s v="006639552"/>
    <x v="2"/>
    <s v="53189198"/>
    <s v="7213000802"/>
    <s v="TRN"/>
    <s v="PUR0960002"/>
    <s v=""/>
    <s v="9260000"/>
    <s v="571900"/>
    <s v="9010"/>
    <s v="554"/>
    <s v="0000SUPT"/>
    <s v="0000"/>
    <s v=""/>
  </r>
  <r>
    <d v="2021-07-14T00:00:00"/>
    <x v="6"/>
    <x v="0"/>
    <n v="63831.08"/>
    <s v="00510676"/>
    <s v="011835450"/>
    <x v="0"/>
    <s v="57211810540"/>
    <s v="7213000702"/>
    <s v="ESD"/>
    <s v="PUR0959593"/>
    <s v=""/>
    <s v="9260000"/>
    <s v="521900"/>
    <s v="0000"/>
    <s v="553"/>
    <s v="BENEFITS"/>
    <s v="0000"/>
    <s v=""/>
  </r>
  <r>
    <d v="2021-07-14T00:00:00"/>
    <x v="6"/>
    <x v="0"/>
    <n v="173632.44"/>
    <s v="00510675"/>
    <s v="012051699"/>
    <x v="1"/>
    <s v="BCBS07062021"/>
    <s v="7213000701"/>
    <s v="TRN"/>
    <s v="PUR0959588"/>
    <s v=""/>
    <s v="9260000"/>
    <s v="571900"/>
    <s v="9010"/>
    <s v="554"/>
    <s v="0000SUPT"/>
    <s v="0000"/>
    <s v=""/>
  </r>
  <r>
    <d v="2021-07-14T00:00:00"/>
    <x v="6"/>
    <x v="0"/>
    <n v="25256.76"/>
    <s v="00510676"/>
    <s v="011835450"/>
    <x v="0"/>
    <s v="57211810540"/>
    <s v="7213000702"/>
    <s v="TRN"/>
    <s v="PUR0959588"/>
    <s v=""/>
    <s v="9260000"/>
    <s v="571900"/>
    <s v="9010"/>
    <s v="553"/>
    <s v="0000SUPT"/>
    <s v="0000"/>
    <s v=""/>
  </r>
  <r>
    <d v="2021-07-14T00:00:00"/>
    <x v="6"/>
    <x v="0"/>
    <n v="144.18"/>
    <s v="00510694"/>
    <s v="000841250"/>
    <x v="3"/>
    <s v="352632033"/>
    <s v="7213000717"/>
    <s v="TRN"/>
    <s v="PUR0959588"/>
    <s v=""/>
    <s v="9260000"/>
    <s v="571900"/>
    <s v="9010"/>
    <s v="554"/>
    <s v="BENEFITS"/>
    <s v="0000"/>
    <s v=""/>
  </r>
  <r>
    <d v="2021-07-23T00:00:00"/>
    <x v="6"/>
    <x v="0"/>
    <n v="791146.73"/>
    <s v="00512389"/>
    <s v="012051699"/>
    <x v="1"/>
    <s v="BCBS07192021"/>
    <s v="7213000752"/>
    <s v="ESD"/>
    <s v="PUR0959787"/>
    <s v=""/>
    <s v="9260000"/>
    <s v="521900"/>
    <s v="0000"/>
    <s v="554"/>
    <s v="BENEFITS"/>
    <s v="0000"/>
    <s v=""/>
  </r>
  <r>
    <d v="2021-07-23T00:00:00"/>
    <x v="6"/>
    <x v="0"/>
    <n v="54934.1"/>
    <s v="00512391"/>
    <s v="011835450"/>
    <x v="0"/>
    <s v="57211970212"/>
    <s v="7213000753"/>
    <s v="ESD"/>
    <s v="PUR0959787"/>
    <s v=""/>
    <s v="9260000"/>
    <s v="521900"/>
    <s v="0000"/>
    <s v="553"/>
    <s v="BENEFITS"/>
    <s v="0000"/>
    <s v=""/>
  </r>
  <r>
    <d v="2021-07-28T00:00:00"/>
    <x v="6"/>
    <x v="0"/>
    <n v="5179.24"/>
    <s v="00512922"/>
    <s v="000841250"/>
    <x v="3"/>
    <s v="354706651"/>
    <s v="7213000778"/>
    <s v="ESD"/>
    <s v="PUR0959894"/>
    <s v=""/>
    <s v="9260000"/>
    <s v="521900"/>
    <s v="0000"/>
    <s v="554"/>
    <s v="BENEFITS"/>
    <s v="0000"/>
    <s v=""/>
  </r>
  <r>
    <d v="2021-07-14T00:00:00"/>
    <x v="6"/>
    <x v="0"/>
    <n v="19006.84"/>
    <s v="00510690"/>
    <s v="011835450"/>
    <x v="0"/>
    <s v="57211900180"/>
    <s v="7213000716"/>
    <s v="TRN"/>
    <s v="PUR0959588"/>
    <s v=""/>
    <s v="9260000"/>
    <s v="571900"/>
    <s v="9010"/>
    <s v="553"/>
    <s v="0000SUPT"/>
    <s v="0000"/>
    <s v=""/>
  </r>
  <r>
    <d v="2021-07-16T00:00:00"/>
    <x v="6"/>
    <x v="0"/>
    <n v="23.82"/>
    <s v="00510849"/>
    <s v="012061960"/>
    <x v="5"/>
    <s v="3249046"/>
    <s v="7213000723"/>
    <s v="TRN"/>
    <s v="PUR0959649"/>
    <s v=""/>
    <s v="9260000"/>
    <s v="571900"/>
    <s v="9010"/>
    <s v="554"/>
    <s v="0000SUPT"/>
    <s v="0000"/>
    <s v=""/>
  </r>
  <r>
    <d v="2021-07-14T00:00:00"/>
    <x v="6"/>
    <x v="0"/>
    <n v="259.13"/>
    <s v="00510678"/>
    <s v="012061960"/>
    <x v="5"/>
    <s v="3248345"/>
    <s v="7213000704"/>
    <s v="ESD"/>
    <s v="PUR0959593"/>
    <s v=""/>
    <s v="9260000"/>
    <s v="521900"/>
    <s v="0000"/>
    <s v="554"/>
    <s v="BENEFITS"/>
    <s v="0000"/>
    <s v=""/>
  </r>
  <r>
    <d v="2021-07-14T00:00:00"/>
    <x v="6"/>
    <x v="0"/>
    <n v="49.98"/>
    <s v="00510679"/>
    <s v="006639552"/>
    <x v="2"/>
    <s v="53174246"/>
    <s v="7213000705"/>
    <s v="TRN"/>
    <s v="PUR0959588"/>
    <s v=""/>
    <s v="9260000"/>
    <s v="571900"/>
    <s v="9010"/>
    <s v="554"/>
    <s v="0000SUPT"/>
    <s v="0000"/>
    <s v=""/>
  </r>
  <r>
    <d v="2021-07-14T00:00:00"/>
    <x v="6"/>
    <x v="0"/>
    <n v="209429.06"/>
    <s v="00510269"/>
    <s v="006639552"/>
    <x v="2"/>
    <s v="53169611"/>
    <s v="7213000698"/>
    <s v="ESD"/>
    <s v="PUR0959593"/>
    <s v=""/>
    <s v="9260000"/>
    <s v="521900"/>
    <s v="0000"/>
    <s v="554"/>
    <s v="BENEFITS"/>
    <s v="0000"/>
    <s v=""/>
  </r>
  <r>
    <d v="2021-07-23T00:00:00"/>
    <x v="6"/>
    <x v="0"/>
    <n v="340.85"/>
    <s v="00512397"/>
    <s v="000841250"/>
    <x v="3"/>
    <s v="353459050"/>
    <s v="7213000754"/>
    <s v="TRN"/>
    <s v="PUR0959783"/>
    <s v=""/>
    <s v="9260000"/>
    <s v="571900"/>
    <s v="9010"/>
    <s v="554"/>
    <s v="BENEFITS"/>
    <s v="0000"/>
    <s v=""/>
  </r>
  <r>
    <d v="2021-07-28T00:00:00"/>
    <x v="6"/>
    <x v="0"/>
    <n v="36540.949999999997"/>
    <s v="00512914"/>
    <s v="006639552"/>
    <x v="2"/>
    <s v="53188250"/>
    <s v="7213000776"/>
    <s v="TRN"/>
    <s v="PUR0959887"/>
    <s v=""/>
    <s v="9260000"/>
    <s v="571900"/>
    <s v="9010"/>
    <s v="554"/>
    <s v="0000SUPT"/>
    <s v="0000"/>
    <s v=""/>
  </r>
  <r>
    <d v="2021-07-14T00:00:00"/>
    <x v="6"/>
    <x v="0"/>
    <n v="188630.82"/>
    <s v="00510689"/>
    <s v="012051699"/>
    <x v="1"/>
    <s v="BCBS07122021"/>
    <s v="7213000715"/>
    <s v="TRN"/>
    <s v="PUR0959588"/>
    <s v=""/>
    <s v="9260000"/>
    <s v="571900"/>
    <s v="9010"/>
    <s v="554"/>
    <s v="0000SUPT"/>
    <s v="0000"/>
    <s v=""/>
  </r>
  <r>
    <d v="2021-07-14T00:00:00"/>
    <x v="6"/>
    <x v="0"/>
    <n v="31513.200000000001"/>
    <s v="00510687"/>
    <s v="006639552"/>
    <x v="2"/>
    <s v="53177286"/>
    <s v="7213000713"/>
    <s v="TRN"/>
    <s v="PUR0959588"/>
    <s v=""/>
    <s v="9260000"/>
    <s v="571900"/>
    <s v="9010"/>
    <s v="554"/>
    <s v="0000SUPT"/>
    <s v="0000"/>
    <s v=""/>
  </r>
  <r>
    <d v="2021-07-14T00:00:00"/>
    <x v="6"/>
    <x v="0"/>
    <n v="65755.990000000005"/>
    <s v="00510690"/>
    <s v="011835450"/>
    <x v="0"/>
    <s v="57211900180"/>
    <s v="7213000716"/>
    <s v="ESD"/>
    <s v="PUR0959593"/>
    <s v=""/>
    <s v="9260000"/>
    <s v="521900"/>
    <s v="0000"/>
    <s v="553"/>
    <s v="BENEFITS"/>
    <s v="0000"/>
    <s v=""/>
  </r>
  <r>
    <d v="2021-07-16T00:00:00"/>
    <x v="6"/>
    <x v="0"/>
    <n v="834.48"/>
    <s v="00510853"/>
    <s v="006639552"/>
    <x v="2"/>
    <s v="53178208"/>
    <s v="7213000724"/>
    <s v="ESD"/>
    <s v="PUR0959641"/>
    <s v=""/>
    <s v="9260000"/>
    <s v="521900"/>
    <s v="0000"/>
    <s v="554"/>
    <s v="BENEFITS"/>
    <s v="0000"/>
    <s v=""/>
  </r>
  <r>
    <d v="2021-07-23T00:00:00"/>
    <x v="6"/>
    <x v="0"/>
    <n v="265030.28000000003"/>
    <s v="00512389"/>
    <s v="012051699"/>
    <x v="1"/>
    <s v="BCBS07192021"/>
    <s v="7213000752"/>
    <s v="TRN"/>
    <s v="PUR0959783"/>
    <s v=""/>
    <s v="9260000"/>
    <s v="571900"/>
    <s v="9010"/>
    <s v="554"/>
    <s v="0000SUPT"/>
    <s v="0000"/>
    <s v=""/>
  </r>
  <r>
    <d v="2021-07-23T00:00:00"/>
    <x v="6"/>
    <x v="0"/>
    <n v="20520.349999999999"/>
    <s v="00512391"/>
    <s v="011835450"/>
    <x v="0"/>
    <s v="57211970212"/>
    <s v="7213000753"/>
    <s v="TRN"/>
    <s v="PUR0959783"/>
    <s v=""/>
    <s v="9260000"/>
    <s v="571900"/>
    <s v="9010"/>
    <s v="553"/>
    <s v="0000SUPT"/>
    <s v="0000"/>
    <s v=""/>
  </r>
  <r>
    <d v="2021-07-28T00:00:00"/>
    <x v="6"/>
    <x v="0"/>
    <n v="988.06"/>
    <s v="00512832"/>
    <s v="012061960"/>
    <x v="5"/>
    <s v="3249186"/>
    <s v="7213000762"/>
    <s v="TRN"/>
    <s v="PUR0959887"/>
    <s v=""/>
    <s v="9260000"/>
    <s v="571900"/>
    <s v="9010"/>
    <s v="554"/>
    <s v="0000SUPT"/>
    <s v="0000"/>
    <s v=""/>
  </r>
  <r>
    <d v="2021-07-28T00:00:00"/>
    <x v="6"/>
    <x v="0"/>
    <n v="279654.65999999997"/>
    <s v="00512914"/>
    <s v="006639552"/>
    <x v="2"/>
    <s v="53188250"/>
    <s v="7213000776"/>
    <s v="ESD"/>
    <s v="PUR0959894"/>
    <s v=""/>
    <s v="9260000"/>
    <s v="521900"/>
    <s v="0000"/>
    <s v="554"/>
    <s v="BENEFITS"/>
    <s v="0000"/>
    <s v=""/>
  </r>
  <r>
    <d v="2021-07-30T00:00:00"/>
    <x v="6"/>
    <x v="0"/>
    <n v="553.87"/>
    <s v="00513191"/>
    <s v="006639552"/>
    <x v="2"/>
    <s v="53189198"/>
    <s v="7213000802"/>
    <s v="ESD"/>
    <s v="PUR0959993"/>
    <s v=""/>
    <s v="9260000"/>
    <s v="521900"/>
    <s v="0000"/>
    <s v="554"/>
    <s v="BENEFITS"/>
    <s v="0000"/>
    <s v=""/>
  </r>
  <r>
    <d v="2021-07-14T00:00:00"/>
    <x v="6"/>
    <x v="0"/>
    <n v="1541.15"/>
    <s v="00510678"/>
    <s v="012061960"/>
    <x v="5"/>
    <s v="3248345"/>
    <s v="7213000704"/>
    <s v="TRN"/>
    <s v="PUR0959588"/>
    <s v=""/>
    <s v="9260000"/>
    <s v="571900"/>
    <s v="9010"/>
    <s v="554"/>
    <s v="0000SUPT"/>
    <s v="0000"/>
    <s v=""/>
  </r>
  <r>
    <d v="2021-07-14T00:00:00"/>
    <x v="6"/>
    <x v="0"/>
    <n v="552504.41"/>
    <s v="00510675"/>
    <s v="012051699"/>
    <x v="1"/>
    <s v="BCBS07062021"/>
    <s v="7213000701"/>
    <s v="ESD"/>
    <s v="PUR0959593"/>
    <s v=""/>
    <s v="9260000"/>
    <s v="521900"/>
    <s v="0000"/>
    <s v="554"/>
    <s v="BENEFITS"/>
    <s v="0000"/>
    <s v=""/>
  </r>
  <r>
    <d v="2021-07-14T00:00:00"/>
    <x v="6"/>
    <x v="0"/>
    <n v="683717.66"/>
    <s v="00510689"/>
    <s v="012051699"/>
    <x v="1"/>
    <s v="BCBS07122021"/>
    <s v="7213000715"/>
    <s v="ESD"/>
    <s v="PUR0959593"/>
    <s v=""/>
    <s v="9260000"/>
    <s v="521900"/>
    <s v="0000"/>
    <s v="554"/>
    <s v="BENEFITS"/>
    <s v="0000"/>
    <s v=""/>
  </r>
  <r>
    <d v="2021-07-23T00:00:00"/>
    <x v="6"/>
    <x v="0"/>
    <n v="3900"/>
    <s v="00512404"/>
    <s v="012015563"/>
    <x v="4"/>
    <s v="ONCORMETLTDJUL21"/>
    <s v="7213000757"/>
    <s v="ESD"/>
    <s v="PUR0959787"/>
    <s v=""/>
    <s v="9260000"/>
    <s v="521900"/>
    <s v="0000"/>
    <s v="557"/>
    <s v="00000000"/>
    <s v="0000"/>
    <s v=""/>
  </r>
  <r>
    <d v="2021-07-28T00:00:00"/>
    <x v="6"/>
    <x v="0"/>
    <n v="175.51"/>
    <s v="00512829"/>
    <s v="006639552"/>
    <x v="2"/>
    <s v="53185419"/>
    <s v="7213000761"/>
    <s v="TRN"/>
    <s v="PUR0959887"/>
    <s v=""/>
    <s v="9260000"/>
    <s v="571900"/>
    <s v="9010"/>
    <s v="554"/>
    <s v="0000SUPT"/>
    <s v="0000"/>
    <s v=""/>
  </r>
  <r>
    <d v="2021-07-28T00:00:00"/>
    <x v="6"/>
    <x v="0"/>
    <n v="68.48"/>
    <s v="00512922"/>
    <s v="000841250"/>
    <x v="3"/>
    <s v="354706651"/>
    <s v="7213000778"/>
    <s v="TRN"/>
    <s v="PUR0959887"/>
    <s v=""/>
    <s v="9260000"/>
    <s v="571900"/>
    <s v="9010"/>
    <s v="554"/>
    <s v="BENEFITS"/>
    <s v="0000"/>
    <s v=""/>
  </r>
  <r>
    <d v="2021-07-28T00:00:00"/>
    <x v="6"/>
    <x v="0"/>
    <n v="517426.43"/>
    <s v="00512928"/>
    <s v="012051699"/>
    <x v="1"/>
    <s v="BCBS07262021"/>
    <s v="7213000780"/>
    <s v="ESD"/>
    <s v="PUR0959894"/>
    <s v=""/>
    <s v="9260000"/>
    <s v="521900"/>
    <s v="0000"/>
    <s v="554"/>
    <s v="BENEFITS"/>
    <s v="0000"/>
    <s v=""/>
  </r>
  <r>
    <d v="2021-07-28T00:00:00"/>
    <x v="6"/>
    <x v="0"/>
    <n v="423255.49"/>
    <s v="00512928"/>
    <s v="012051699"/>
    <x v="1"/>
    <s v="BCBS07262021"/>
    <s v="7213000780"/>
    <s v="TRN"/>
    <s v="PUR0959887"/>
    <s v=""/>
    <s v="9260000"/>
    <s v="571900"/>
    <s v="9010"/>
    <s v="554"/>
    <s v="0000SUPT"/>
    <s v="0000"/>
    <s v=""/>
  </r>
  <r>
    <d v="2021-07-14T00:00:00"/>
    <x v="6"/>
    <x v="0"/>
    <n v="5040.88"/>
    <s v="00510677"/>
    <s v="000841250"/>
    <x v="3"/>
    <s v="351790402"/>
    <s v="7213000703"/>
    <s v="ESD"/>
    <s v="PUR0959593"/>
    <s v=""/>
    <s v="9260000"/>
    <s v="521900"/>
    <s v="0000"/>
    <s v="554"/>
    <s v="BENEFITS"/>
    <s v="0000"/>
    <s v=""/>
  </r>
  <r>
    <d v="2021-07-14T00:00:00"/>
    <x v="6"/>
    <x v="0"/>
    <n v="2923.43"/>
    <s v="00510694"/>
    <s v="000841250"/>
    <x v="3"/>
    <s v="352632033"/>
    <s v="7213000717"/>
    <s v="ESD"/>
    <s v="PUR0959593"/>
    <s v=""/>
    <s v="9260000"/>
    <s v="521900"/>
    <s v="0000"/>
    <s v="554"/>
    <s v="BENEFITS"/>
    <s v="0000"/>
    <s v=""/>
  </r>
  <r>
    <d v="2021-07-14T00:00:00"/>
    <x v="6"/>
    <x v="0"/>
    <n v="19177.759999999998"/>
    <s v="00510269"/>
    <s v="006639552"/>
    <x v="2"/>
    <s v="53169611"/>
    <s v="7213000698"/>
    <s v="TRN"/>
    <s v="PUR0959588"/>
    <s v=""/>
    <s v="9260000"/>
    <s v="571900"/>
    <s v="9010"/>
    <s v="554"/>
    <s v="0000SUPT"/>
    <s v="0000"/>
    <s v=""/>
  </r>
  <r>
    <d v="2021-07-14T00:00:00"/>
    <x v="6"/>
    <x v="0"/>
    <n v="230211.03"/>
    <s v="00510687"/>
    <s v="006639552"/>
    <x v="2"/>
    <s v="53177286"/>
    <s v="7213000713"/>
    <s v="ESD"/>
    <s v="PUR0959593"/>
    <s v=""/>
    <s v="9260000"/>
    <s v="521900"/>
    <s v="0000"/>
    <s v="554"/>
    <s v="BENEFITS"/>
    <s v="0000"/>
    <s v=""/>
  </r>
  <r>
    <d v="2021-07-23T00:00:00"/>
    <x v="6"/>
    <x v="0"/>
    <n v="3330.73"/>
    <s v="00512397"/>
    <s v="000841250"/>
    <x v="3"/>
    <s v="353459050"/>
    <s v="7213000754"/>
    <s v="ESD"/>
    <s v="PUR0959787"/>
    <s v=""/>
    <s v="9260000"/>
    <s v="521900"/>
    <s v="0000"/>
    <s v="554"/>
    <s v="BENEFITS"/>
    <s v="0000"/>
    <s v=""/>
  </r>
  <r>
    <d v="2021-07-28T00:00:00"/>
    <x v="6"/>
    <x v="0"/>
    <n v="134.93"/>
    <s v="00512829"/>
    <s v="006639552"/>
    <x v="2"/>
    <s v="53185419"/>
    <s v="7213000761"/>
    <s v="ESD"/>
    <s v="PUR0959894"/>
    <s v=""/>
    <s v="9260000"/>
    <s v="521900"/>
    <s v="0000"/>
    <s v="554"/>
    <s v="BENEFITS"/>
    <s v="0000"/>
    <s v=""/>
  </r>
  <r>
    <d v="2021-07-30T00:00:00"/>
    <x v="6"/>
    <x v="0"/>
    <n v="367.17"/>
    <s v="00513193"/>
    <s v="012061960"/>
    <x v="5"/>
    <s v="3249706"/>
    <s v="7213000804"/>
    <s v="TRN"/>
    <s v="PUR0960002"/>
    <s v=""/>
    <s v="9260000"/>
    <s v="571900"/>
    <s v="9010"/>
    <s v="554"/>
    <s v="0000SUPT"/>
    <s v="0000"/>
    <s v=""/>
  </r>
  <r>
    <d v="2021-07-30T00:00:00"/>
    <x v="6"/>
    <x v="0"/>
    <n v="532.64"/>
    <s v="00513193"/>
    <s v="012061960"/>
    <x v="5"/>
    <s v="3249706"/>
    <s v="7213000804"/>
    <s v="ESD"/>
    <s v="PUR0959993"/>
    <s v=""/>
    <s v="9260000"/>
    <s v="521900"/>
    <s v="0000"/>
    <s v="554"/>
    <s v="BENEFITS"/>
    <s v="0000"/>
    <s v=""/>
  </r>
  <r>
    <d v="2021-08-26T00:00:00"/>
    <x v="7"/>
    <x v="0"/>
    <n v="20670.77"/>
    <s v="00517547"/>
    <s v="011835450"/>
    <x v="0"/>
    <s v="57212320176"/>
    <s v="7213000886"/>
    <s v="TRN"/>
    <s v="PUR0960803"/>
    <m/>
    <s v="9260000"/>
    <s v="571900"/>
    <s v="9010"/>
    <s v="553"/>
    <s v="0000SUPT"/>
    <s v="0000"/>
    <m/>
  </r>
  <r>
    <d v="2021-08-31T00:00:00"/>
    <x v="7"/>
    <x v="0"/>
    <n v="20.38"/>
    <s v="00518350"/>
    <s v="006639552"/>
    <x v="2"/>
    <s v="53215543"/>
    <s v="7213000915"/>
    <s v="TRN"/>
    <s v="PUR0960966"/>
    <m/>
    <s v="9260000"/>
    <s v="571900"/>
    <s v="9010"/>
    <s v="554"/>
    <s v="0000SUPT"/>
    <s v="0000"/>
    <m/>
  </r>
  <r>
    <d v="2021-08-05T00:00:00"/>
    <x v="7"/>
    <x v="0"/>
    <n v="3565.04"/>
    <s v="00514242"/>
    <s v="000841250"/>
    <x v="3"/>
    <s v="355464442"/>
    <s v="7213000814"/>
    <s v="ESD"/>
    <s v="PUR0960324"/>
    <m/>
    <s v="9260000"/>
    <s v="521900"/>
    <s v="0000"/>
    <s v="554"/>
    <s v="BENEFITS"/>
    <s v="0000"/>
    <m/>
  </r>
  <r>
    <d v="2021-08-17T00:00:00"/>
    <x v="7"/>
    <x v="0"/>
    <n v="148.32"/>
    <s v="00516128"/>
    <s v="000841250"/>
    <x v="3"/>
    <s v="356293281"/>
    <s v="7213000835"/>
    <s v="TRN"/>
    <s v="PUR0960575"/>
    <m/>
    <s v="9260000"/>
    <s v="571900"/>
    <s v="9010"/>
    <s v="554"/>
    <s v="BENEFITS"/>
    <s v="0000"/>
    <m/>
  </r>
  <r>
    <d v="2021-08-17T00:00:00"/>
    <x v="7"/>
    <x v="0"/>
    <n v="66540.87"/>
    <s v="00516122"/>
    <s v="011835450"/>
    <x v="0"/>
    <s v="57212180186"/>
    <s v="7213000834"/>
    <s v="ESD"/>
    <s v="PUR0960569"/>
    <m/>
    <s v="9260000"/>
    <s v="521900"/>
    <s v="0000"/>
    <s v="553"/>
    <s v="BENEFITS"/>
    <s v="0000"/>
    <m/>
  </r>
  <r>
    <d v="2021-08-17T00:00:00"/>
    <x v="7"/>
    <x v="0"/>
    <n v="3066.5"/>
    <s v="00516112"/>
    <s v="006639552"/>
    <x v="2"/>
    <s v="53200614"/>
    <s v="7213000829"/>
    <s v="ESD"/>
    <s v="PUR0960569"/>
    <m/>
    <s v="9260000"/>
    <s v="521900"/>
    <s v="0000"/>
    <s v="554"/>
    <s v="BENEFITS"/>
    <s v="0000"/>
    <m/>
  </r>
  <r>
    <d v="2021-08-17T00:00:00"/>
    <x v="7"/>
    <x v="0"/>
    <n v="447.71"/>
    <s v="00516240"/>
    <s v="012061960"/>
    <x v="5"/>
    <s v="3250586"/>
    <s v="7213000847"/>
    <s v="ESD"/>
    <s v="PUR0960569"/>
    <m/>
    <s v="9260000"/>
    <s v="521900"/>
    <s v="0000"/>
    <s v="554"/>
    <s v="BENEFITS"/>
    <s v="0000"/>
    <m/>
  </r>
  <r>
    <d v="2021-08-19T00:00:00"/>
    <x v="7"/>
    <x v="0"/>
    <n v="614789.53"/>
    <s v="00516630"/>
    <s v="012051699"/>
    <x v="1"/>
    <s v="BCBS08162021"/>
    <s v="7213000857"/>
    <s v="ESD"/>
    <s v="PUR0960642"/>
    <m/>
    <s v="9260000"/>
    <s v="521900"/>
    <s v="0000"/>
    <s v="554"/>
    <s v="BENEFITS"/>
    <s v="0000"/>
    <m/>
  </r>
  <r>
    <d v="2021-08-17T00:00:00"/>
    <x v="7"/>
    <x v="0"/>
    <n v="171884.45"/>
    <s v="00516119"/>
    <s v="012051699"/>
    <x v="1"/>
    <s v="BCBS08092021"/>
    <s v="7213000833"/>
    <s v="TRN"/>
    <s v="PUR0960575"/>
    <m/>
    <s v="9260000"/>
    <s v="571900"/>
    <s v="9010"/>
    <s v="554"/>
    <s v="0000SUPT"/>
    <s v="0000"/>
    <m/>
  </r>
  <r>
    <d v="2021-08-17T00:00:00"/>
    <x v="7"/>
    <x v="0"/>
    <n v="748.26"/>
    <s v="00516111"/>
    <s v="012061960"/>
    <x v="5"/>
    <s v="3249856"/>
    <s v="7213000828"/>
    <s v="TRN"/>
    <s v="PUR0960575"/>
    <m/>
    <s v="9260000"/>
    <s v="571900"/>
    <s v="9010"/>
    <s v="554"/>
    <s v="0000SUPT"/>
    <s v="0000"/>
    <m/>
  </r>
  <r>
    <d v="2021-08-25T00:00:00"/>
    <x v="7"/>
    <x v="0"/>
    <n v="76442.7"/>
    <s v="00517289"/>
    <s v="006639552"/>
    <x v="2"/>
    <s v="53209175"/>
    <s v="7213000863"/>
    <s v="TRN"/>
    <s v="PUR0960766"/>
    <m/>
    <s v="9260000"/>
    <s v="571900"/>
    <s v="9010"/>
    <s v="554"/>
    <s v="0000SUPT"/>
    <s v="0000"/>
    <m/>
  </r>
  <r>
    <d v="2021-08-25T00:00:00"/>
    <x v="7"/>
    <x v="0"/>
    <n v="43.09"/>
    <s v="00517336"/>
    <s v="006639552"/>
    <x v="2"/>
    <s v="53211875"/>
    <s v="7213000874"/>
    <s v="TRN"/>
    <s v="PUR0960766"/>
    <m/>
    <s v="9260000"/>
    <s v="571900"/>
    <s v="9010"/>
    <s v="554"/>
    <s v="0000SUPT"/>
    <s v="0000"/>
    <m/>
  </r>
  <r>
    <d v="2021-08-26T00:00:00"/>
    <x v="7"/>
    <x v="0"/>
    <n v="549.48"/>
    <s v="00517548"/>
    <s v="000841250"/>
    <x v="3"/>
    <s v="358279173"/>
    <s v="7213000887"/>
    <s v="TRN"/>
    <s v="PUR0960803"/>
    <m/>
    <s v="9260000"/>
    <s v="571900"/>
    <s v="9010"/>
    <s v="554"/>
    <s v="BENEFITS"/>
    <s v="0000"/>
    <m/>
  </r>
  <r>
    <d v="2021-08-31T00:00:00"/>
    <x v="7"/>
    <x v="0"/>
    <n v="67869.67"/>
    <s v="00518385"/>
    <s v="011835450"/>
    <x v="0"/>
    <s v="57212390181"/>
    <s v="7213000926"/>
    <s v="ESD"/>
    <s v="PUR0960958"/>
    <m/>
    <s v="9260000"/>
    <s v="521900"/>
    <s v="0000"/>
    <s v="553"/>
    <s v="BENEFITS"/>
    <s v="0000"/>
    <m/>
  </r>
  <r>
    <d v="2021-08-05T00:00:00"/>
    <x v="7"/>
    <x v="0"/>
    <n v="29280.57"/>
    <s v="00514320"/>
    <s v="006639552"/>
    <x v="2"/>
    <s v="53195881"/>
    <s v="7213000817"/>
    <s v="TRN"/>
    <s v="PUR0960317"/>
    <m/>
    <s v="9260000"/>
    <s v="571900"/>
    <s v="9010"/>
    <s v="554"/>
    <s v="0000SUPT"/>
    <s v="0000"/>
    <m/>
  </r>
  <r>
    <d v="2021-08-17T00:00:00"/>
    <x v="7"/>
    <x v="0"/>
    <n v="71.28"/>
    <s v="00516111"/>
    <s v="012061960"/>
    <x v="5"/>
    <s v="3249856"/>
    <s v="7213000828"/>
    <s v="ESD"/>
    <s v="PUR0960569"/>
    <m/>
    <s v="9260000"/>
    <s v="521900"/>
    <s v="0000"/>
    <s v="554"/>
    <s v="BENEFITS"/>
    <s v="0000"/>
    <m/>
  </r>
  <r>
    <d v="2021-08-17T00:00:00"/>
    <x v="7"/>
    <x v="0"/>
    <n v="1014.82"/>
    <s v="00516240"/>
    <s v="012061960"/>
    <x v="5"/>
    <s v="3250586"/>
    <s v="7213000847"/>
    <s v="TRN"/>
    <s v="PUR0960575"/>
    <m/>
    <s v="9260000"/>
    <s v="571900"/>
    <s v="9010"/>
    <s v="554"/>
    <s v="0000SUPT"/>
    <s v="0000"/>
    <m/>
  </r>
  <r>
    <d v="2021-08-17T00:00:00"/>
    <x v="7"/>
    <x v="0"/>
    <n v="65178.21"/>
    <s v="00516134"/>
    <s v="006639552"/>
    <x v="2"/>
    <s v="53203643"/>
    <s v="7213000839"/>
    <s v="TRN"/>
    <s v="PUR0960575"/>
    <m/>
    <s v="9260000"/>
    <s v="571900"/>
    <s v="9010"/>
    <s v="554"/>
    <s v="0000SUPT"/>
    <s v="0000"/>
    <m/>
  </r>
  <r>
    <d v="2021-08-26T00:00:00"/>
    <x v="7"/>
    <x v="0"/>
    <n v="60589.5"/>
    <s v="00517547"/>
    <s v="011835450"/>
    <x v="0"/>
    <s v="57212320176"/>
    <s v="7213000886"/>
    <s v="ESD"/>
    <s v="PUR0960807"/>
    <m/>
    <s v="9260000"/>
    <s v="521900"/>
    <s v="0000"/>
    <s v="553"/>
    <s v="BENEFITS"/>
    <s v="0000"/>
    <m/>
  </r>
  <r>
    <d v="2021-08-31T00:00:00"/>
    <x v="7"/>
    <x v="0"/>
    <n v="54068.91"/>
    <s v="00518306"/>
    <s v="006639552"/>
    <x v="2"/>
    <s v="53214618"/>
    <s v="7213000903"/>
    <s v="TRN"/>
    <s v="PUR0960966"/>
    <m/>
    <s v="9260000"/>
    <s v="571900"/>
    <s v="9010"/>
    <s v="554"/>
    <s v="0000SUPT"/>
    <s v="0000"/>
    <m/>
  </r>
  <r>
    <d v="2021-08-31T00:00:00"/>
    <x v="7"/>
    <x v="0"/>
    <n v="271254.46999999997"/>
    <s v="00518306"/>
    <s v="006639552"/>
    <x v="2"/>
    <s v="53214618"/>
    <s v="7213000903"/>
    <s v="ESD"/>
    <s v="PUR0960958"/>
    <m/>
    <s v="9260000"/>
    <s v="521900"/>
    <s v="0000"/>
    <s v="554"/>
    <s v="BENEFITS"/>
    <s v="0000"/>
    <m/>
  </r>
  <r>
    <d v="2021-08-31T00:00:00"/>
    <x v="7"/>
    <x v="0"/>
    <n v="1494.4"/>
    <s v="00518352"/>
    <s v="012061960"/>
    <x v="5"/>
    <s v="3251233"/>
    <s v="7213000916"/>
    <s v="ESD"/>
    <s v="PUR0960958"/>
    <m/>
    <s v="9260000"/>
    <s v="521900"/>
    <s v="0000"/>
    <s v="554"/>
    <s v="BENEFITS"/>
    <s v="0000"/>
    <m/>
  </r>
  <r>
    <d v="2021-08-05T00:00:00"/>
    <x v="7"/>
    <x v="0"/>
    <n v="179832.71"/>
    <s v="00514236"/>
    <s v="012051699"/>
    <x v="1"/>
    <s v="BCBS08022021"/>
    <s v="7213000812"/>
    <s v="TRN"/>
    <s v="PUR0960317"/>
    <m/>
    <s v="9260000"/>
    <s v="571900"/>
    <s v="9010"/>
    <s v="554"/>
    <s v="0000SUPT"/>
    <s v="0000"/>
    <m/>
  </r>
  <r>
    <d v="2021-08-05T00:00:00"/>
    <x v="7"/>
    <x v="0"/>
    <n v="56810.01"/>
    <s v="00514238"/>
    <s v="011835450"/>
    <x v="0"/>
    <s v="57212110529"/>
    <s v="7213000813"/>
    <s v="ESD"/>
    <s v="PUR0960324"/>
    <m/>
    <s v="9260000"/>
    <s v="521900"/>
    <s v="0000"/>
    <s v="553"/>
    <s v="BENEFITS"/>
    <s v="0000"/>
    <m/>
  </r>
  <r>
    <d v="2021-08-19T00:00:00"/>
    <x v="7"/>
    <x v="0"/>
    <n v="65304.12"/>
    <s v="00516629"/>
    <s v="011835450"/>
    <x v="0"/>
    <s v="57212250174"/>
    <s v="7213000856"/>
    <s v="ESD"/>
    <s v="PUR0960642"/>
    <m/>
    <s v="9260000"/>
    <s v="521900"/>
    <s v="0000"/>
    <s v="553"/>
    <s v="BENEFITS"/>
    <s v="0000"/>
    <m/>
  </r>
  <r>
    <d v="2021-08-25T00:00:00"/>
    <x v="7"/>
    <x v="0"/>
    <n v="220172.38"/>
    <s v="00517289"/>
    <s v="006639552"/>
    <x v="2"/>
    <s v="53209175"/>
    <s v="7213000863"/>
    <s v="ESD"/>
    <s v="PUR0960770"/>
    <m/>
    <s v="9260000"/>
    <s v="521900"/>
    <s v="0000"/>
    <s v="554"/>
    <s v="BENEFITS"/>
    <s v="0000"/>
    <m/>
  </r>
  <r>
    <d v="2021-08-26T00:00:00"/>
    <x v="7"/>
    <x v="0"/>
    <n v="6905.3"/>
    <s v="00517548"/>
    <s v="000841250"/>
    <x v="3"/>
    <s v="358279173"/>
    <s v="7213000887"/>
    <s v="ESD"/>
    <s v="PUR0960807"/>
    <m/>
    <s v="9260000"/>
    <s v="521900"/>
    <s v="0000"/>
    <s v="554"/>
    <s v="BENEFITS"/>
    <s v="0000"/>
    <m/>
  </r>
  <r>
    <d v="2021-08-26T00:00:00"/>
    <x v="7"/>
    <x v="0"/>
    <n v="170627.44"/>
    <s v="00517546"/>
    <s v="012051699"/>
    <x v="1"/>
    <s v="BCBS08232021"/>
    <s v="7213000885"/>
    <s v="TRN"/>
    <s v="PUR0960803"/>
    <m/>
    <s v="9260000"/>
    <s v="571900"/>
    <s v="9010"/>
    <s v="554"/>
    <s v="0000SUPT"/>
    <s v="0000"/>
    <m/>
  </r>
  <r>
    <d v="2021-08-26T00:00:00"/>
    <x v="7"/>
    <x v="0"/>
    <n v="1119145.46"/>
    <s v="00517546"/>
    <s v="012051699"/>
    <x v="1"/>
    <s v="BCBS08232021"/>
    <s v="7213000885"/>
    <s v="ESD"/>
    <s v="PUR0960807"/>
    <m/>
    <s v="9260000"/>
    <s v="521900"/>
    <s v="0000"/>
    <s v="554"/>
    <s v="BENEFITS"/>
    <s v="0000"/>
    <m/>
  </r>
  <r>
    <d v="2021-08-31T00:00:00"/>
    <x v="7"/>
    <x v="0"/>
    <n v="302.31"/>
    <s v="00518388"/>
    <s v="000841250"/>
    <x v="3"/>
    <s v="358966997"/>
    <s v="7213000928"/>
    <s v="TRN"/>
    <s v="PUR0960966"/>
    <m/>
    <s v="9260000"/>
    <s v="571900"/>
    <s v="9010"/>
    <s v="554"/>
    <s v="BENEFITS"/>
    <s v="0000"/>
    <m/>
  </r>
  <r>
    <d v="2021-08-31T00:00:00"/>
    <x v="7"/>
    <x v="0"/>
    <n v="541078.65"/>
    <s v="00518383"/>
    <s v="012051699"/>
    <x v="1"/>
    <s v="BCBS083021"/>
    <s v="7213000925"/>
    <s v="ESD"/>
    <s v="PUR0960958"/>
    <m/>
    <s v="9260000"/>
    <s v="521900"/>
    <s v="0000"/>
    <s v="554"/>
    <s v="BENEFITS"/>
    <s v="0000"/>
    <m/>
  </r>
  <r>
    <d v="2021-08-17T00:00:00"/>
    <x v="7"/>
    <x v="0"/>
    <n v="201.67"/>
    <s v="00516112"/>
    <s v="006639552"/>
    <x v="2"/>
    <s v="53200614"/>
    <s v="7213000829"/>
    <s v="TRN"/>
    <s v="PUR0960575"/>
    <m/>
    <s v="9260000"/>
    <s v="571900"/>
    <s v="9010"/>
    <s v="554"/>
    <s v="0000SUPT"/>
    <s v="0000"/>
    <m/>
  </r>
  <r>
    <d v="2021-08-25T00:00:00"/>
    <x v="7"/>
    <x v="0"/>
    <n v="821.9"/>
    <s v="00517331"/>
    <s v="012061960"/>
    <x v="5"/>
    <s v="3250719"/>
    <s v="7213000873"/>
    <s v="ESD"/>
    <s v="PUR0960770"/>
    <m/>
    <s v="9260000"/>
    <s v="521900"/>
    <s v="0000"/>
    <s v="554"/>
    <s v="BENEFITS"/>
    <s v="0000"/>
    <m/>
  </r>
  <r>
    <d v="2021-08-25T00:00:00"/>
    <x v="7"/>
    <x v="0"/>
    <n v="33.5"/>
    <s v="00517336"/>
    <s v="006639552"/>
    <x v="2"/>
    <s v="53211875"/>
    <s v="7213000874"/>
    <s v="ESD"/>
    <s v="PUR0960770"/>
    <m/>
    <s v="9260000"/>
    <s v="521900"/>
    <s v="0000"/>
    <s v="554"/>
    <s v="BENEFITS"/>
    <s v="0000"/>
    <m/>
  </r>
  <r>
    <d v="2021-08-25T00:00:00"/>
    <x v="7"/>
    <x v="0"/>
    <n v="3900"/>
    <s v="00517316"/>
    <s v="012015563"/>
    <x v="4"/>
    <s v="ONCORMETLTDAUG21"/>
    <s v="7213000871"/>
    <s v="ESD"/>
    <s v="PUR0960770"/>
    <m/>
    <s v="9260000"/>
    <s v="521900"/>
    <s v="0000"/>
    <s v="557"/>
    <s v="00000000"/>
    <s v="0000"/>
    <m/>
  </r>
  <r>
    <d v="2021-08-31T00:00:00"/>
    <x v="7"/>
    <x v="0"/>
    <n v="8096.84"/>
    <s v="00518388"/>
    <s v="000841250"/>
    <x v="3"/>
    <s v="358966997"/>
    <s v="7213000928"/>
    <s v="ESD"/>
    <s v="PUR0960958"/>
    <m/>
    <s v="9260000"/>
    <s v="521900"/>
    <s v="0000"/>
    <s v="554"/>
    <s v="BENEFITS"/>
    <s v="0000"/>
    <m/>
  </r>
  <r>
    <d v="2021-08-31T00:00:00"/>
    <x v="7"/>
    <x v="0"/>
    <n v="4033.25"/>
    <s v="00518350"/>
    <s v="006639552"/>
    <x v="2"/>
    <s v="53215543"/>
    <s v="7213000915"/>
    <s v="ESD"/>
    <s v="PUR0960958"/>
    <m/>
    <s v="9260000"/>
    <s v="521900"/>
    <s v="0000"/>
    <s v="554"/>
    <s v="BENEFITS"/>
    <s v="0000"/>
    <m/>
  </r>
  <r>
    <d v="2021-08-05T00:00:00"/>
    <x v="7"/>
    <x v="0"/>
    <n v="132027.26"/>
    <s v="00514320"/>
    <s v="006639552"/>
    <x v="2"/>
    <s v="53195881"/>
    <s v="7213000817"/>
    <s v="ESD"/>
    <s v="PUR0960324"/>
    <m/>
    <s v="9260000"/>
    <s v="521900"/>
    <s v="0000"/>
    <s v="554"/>
    <s v="BENEFITS"/>
    <s v="0000"/>
    <m/>
  </r>
  <r>
    <d v="2021-08-05T00:00:00"/>
    <x v="7"/>
    <x v="0"/>
    <n v="16629.3"/>
    <s v="00514238"/>
    <s v="011835450"/>
    <x v="0"/>
    <s v="57212110529"/>
    <s v="7213000813"/>
    <s v="TRN"/>
    <s v="PUR0960317"/>
    <m/>
    <s v="9260000"/>
    <s v="571900"/>
    <s v="9010"/>
    <s v="553"/>
    <s v="0000SUPT"/>
    <s v="0000"/>
    <m/>
  </r>
  <r>
    <d v="2021-08-05T00:00:00"/>
    <x v="7"/>
    <x v="0"/>
    <n v="552395.5"/>
    <s v="00514236"/>
    <s v="012051699"/>
    <x v="1"/>
    <s v="BCBS08022021"/>
    <s v="7213000812"/>
    <s v="ESD"/>
    <s v="PUR0960324"/>
    <m/>
    <s v="9260000"/>
    <s v="521900"/>
    <s v="0000"/>
    <s v="554"/>
    <s v="BENEFITS"/>
    <s v="0000"/>
    <m/>
  </r>
  <r>
    <d v="2021-08-17T00:00:00"/>
    <x v="7"/>
    <x v="0"/>
    <n v="73.38"/>
    <s v="00516241"/>
    <s v="006639552"/>
    <x v="2"/>
    <s v="53204568"/>
    <s v="7213000848"/>
    <s v="ESD"/>
    <s v="PUR0960569"/>
    <m/>
    <s v="9260000"/>
    <s v="521900"/>
    <s v="0000"/>
    <s v="554"/>
    <s v="BENEFITS"/>
    <s v="0000"/>
    <m/>
  </r>
  <r>
    <d v="2021-08-17T00:00:00"/>
    <x v="7"/>
    <x v="0"/>
    <n v="239465.9"/>
    <s v="00516134"/>
    <s v="006639552"/>
    <x v="2"/>
    <s v="53203643"/>
    <s v="7213000839"/>
    <s v="ESD"/>
    <s v="PUR0960569"/>
    <m/>
    <s v="9260000"/>
    <s v="521900"/>
    <s v="0000"/>
    <s v="554"/>
    <s v="BENEFITS"/>
    <s v="0000"/>
    <m/>
  </r>
  <r>
    <d v="2021-08-17T00:00:00"/>
    <x v="7"/>
    <x v="0"/>
    <n v="31.54"/>
    <s v="00516241"/>
    <s v="006639552"/>
    <x v="2"/>
    <s v="53204568"/>
    <s v="7213000848"/>
    <s v="TRN"/>
    <s v="PUR0960575"/>
    <m/>
    <s v="9260000"/>
    <s v="571900"/>
    <s v="9010"/>
    <s v="554"/>
    <s v="0000SUPT"/>
    <s v="0000"/>
    <m/>
  </r>
  <r>
    <d v="2021-08-19T00:00:00"/>
    <x v="7"/>
    <x v="0"/>
    <n v="2310.16"/>
    <s v="00516631"/>
    <s v="000841250"/>
    <x v="3"/>
    <s v="357179714"/>
    <s v="7213000858"/>
    <s v="ESD"/>
    <s v="PUR0960642"/>
    <m/>
    <s v="9260000"/>
    <s v="521900"/>
    <s v="0000"/>
    <s v="554"/>
    <s v="BENEFITS"/>
    <s v="0000"/>
    <m/>
  </r>
  <r>
    <d v="2021-08-19T00:00:00"/>
    <x v="7"/>
    <x v="0"/>
    <n v="198499.44"/>
    <s v="00516630"/>
    <s v="012051699"/>
    <x v="1"/>
    <s v="BCBS08162021"/>
    <s v="7213000857"/>
    <s v="TRN"/>
    <s v="PUR0960636"/>
    <m/>
    <s v="9260000"/>
    <s v="571900"/>
    <s v="9010"/>
    <s v="554"/>
    <s v="0000SUPT"/>
    <s v="0000"/>
    <m/>
  </r>
  <r>
    <d v="2021-08-19T00:00:00"/>
    <x v="7"/>
    <x v="0"/>
    <n v="183.63"/>
    <s v="00516631"/>
    <s v="000841250"/>
    <x v="3"/>
    <s v="357179714"/>
    <s v="7213000858"/>
    <s v="TRN"/>
    <s v="PUR0960636"/>
    <m/>
    <s v="9260000"/>
    <s v="571900"/>
    <s v="9010"/>
    <s v="554"/>
    <s v="BENEFITS"/>
    <s v="0000"/>
    <m/>
  </r>
  <r>
    <d v="2021-08-25T00:00:00"/>
    <x v="7"/>
    <x v="0"/>
    <n v="14.28"/>
    <s v="00517331"/>
    <s v="012061960"/>
    <x v="5"/>
    <s v="3250719"/>
    <s v="7213000873"/>
    <s v="TRN"/>
    <s v="PUR0960766"/>
    <m/>
    <s v="9260000"/>
    <s v="571900"/>
    <s v="9010"/>
    <s v="554"/>
    <s v="0000SUPT"/>
    <s v="0000"/>
    <m/>
  </r>
  <r>
    <d v="2021-08-31T00:00:00"/>
    <x v="7"/>
    <x v="0"/>
    <n v="390.69"/>
    <s v="00518352"/>
    <s v="012061960"/>
    <x v="5"/>
    <s v="3251233"/>
    <s v="7213000916"/>
    <s v="TRN"/>
    <s v="PUR0960966"/>
    <m/>
    <s v="9260000"/>
    <s v="571900"/>
    <s v="9010"/>
    <s v="554"/>
    <s v="0000SUPT"/>
    <s v="0000"/>
    <m/>
  </r>
  <r>
    <d v="2021-08-31T00:00:00"/>
    <x v="7"/>
    <x v="0"/>
    <n v="216165.25"/>
    <s v="00518383"/>
    <s v="012051699"/>
    <x v="1"/>
    <s v="BCBS083021"/>
    <s v="7213000925"/>
    <s v="TRN"/>
    <s v="PUR0960966"/>
    <m/>
    <s v="9260000"/>
    <s v="571900"/>
    <s v="9010"/>
    <s v="554"/>
    <s v="0000SUPT"/>
    <s v="0000"/>
    <m/>
  </r>
  <r>
    <d v="2021-08-31T00:00:00"/>
    <x v="7"/>
    <x v="0"/>
    <n v="21716.41"/>
    <s v="00518385"/>
    <s v="011835450"/>
    <x v="0"/>
    <s v="57212390181"/>
    <s v="7213000926"/>
    <s v="TRN"/>
    <s v="PUR0960966"/>
    <m/>
    <s v="9260000"/>
    <s v="571900"/>
    <s v="9010"/>
    <s v="553"/>
    <s v="0000SUPT"/>
    <s v="0000"/>
    <m/>
  </r>
  <r>
    <d v="2021-08-05T00:00:00"/>
    <x v="7"/>
    <x v="0"/>
    <n v="1206.28"/>
    <s v="00514242"/>
    <s v="000841250"/>
    <x v="3"/>
    <s v="355464442"/>
    <s v="7213000814"/>
    <s v="TRN"/>
    <s v="PUR0960317"/>
    <m/>
    <s v="9260000"/>
    <s v="571900"/>
    <s v="9010"/>
    <s v="554"/>
    <s v="BENEFITS"/>
    <s v="0000"/>
    <m/>
  </r>
  <r>
    <d v="2021-08-17T00:00:00"/>
    <x v="7"/>
    <x v="0"/>
    <n v="816186.64"/>
    <s v="00516119"/>
    <s v="012051699"/>
    <x v="1"/>
    <s v="BCBS08092021"/>
    <s v="7213000833"/>
    <s v="ESD"/>
    <s v="PUR0960569"/>
    <m/>
    <s v="9260000"/>
    <s v="521900"/>
    <s v="0000"/>
    <s v="554"/>
    <s v="BENEFITS"/>
    <s v="0000"/>
    <m/>
  </r>
  <r>
    <d v="2021-08-17T00:00:00"/>
    <x v="7"/>
    <x v="0"/>
    <n v="17702.61"/>
    <s v="00516122"/>
    <s v="011835450"/>
    <x v="0"/>
    <s v="57212180186"/>
    <s v="7213000834"/>
    <s v="TRN"/>
    <s v="PUR0960575"/>
    <m/>
    <s v="9260000"/>
    <s v="571900"/>
    <s v="9010"/>
    <s v="553"/>
    <s v="0000SUPT"/>
    <s v="0000"/>
    <m/>
  </r>
  <r>
    <d v="2021-08-19T00:00:00"/>
    <x v="7"/>
    <x v="0"/>
    <n v="15559.95"/>
    <s v="00516629"/>
    <s v="011835450"/>
    <x v="0"/>
    <s v="57212250174"/>
    <s v="7213000856"/>
    <s v="TRN"/>
    <s v="PUR0960636"/>
    <m/>
    <s v="9260000"/>
    <s v="571900"/>
    <s v="9010"/>
    <s v="553"/>
    <s v="0000SUPT"/>
    <s v="0000"/>
    <m/>
  </r>
  <r>
    <d v="2021-08-17T00:00:00"/>
    <x v="7"/>
    <x v="0"/>
    <n v="6089.23"/>
    <s v="00516128"/>
    <s v="000841250"/>
    <x v="3"/>
    <s v="356293281"/>
    <s v="7213000835"/>
    <s v="ESD"/>
    <s v="PUR0960569"/>
    <m/>
    <s v="9260000"/>
    <s v="521900"/>
    <s v="0000"/>
    <s v="554"/>
    <s v="BENEFITS"/>
    <s v="0000"/>
    <m/>
  </r>
  <r>
    <d v="2021-09-30T00:00:00"/>
    <x v="8"/>
    <x v="0"/>
    <n v="17974.189999999999"/>
    <s v="00523089"/>
    <s v="011835450"/>
    <x v="0"/>
    <s v="57212670211"/>
    <s v="7213001024"/>
    <s v="TRN"/>
    <s v="PUR0962144"/>
    <m/>
    <s v="9260000"/>
    <s v="571900"/>
    <s v="9010"/>
    <s v="553"/>
    <s v="0000SUPT"/>
    <s v="0000"/>
    <m/>
  </r>
  <r>
    <d v="2021-09-30T00:00:00"/>
    <x v="8"/>
    <x v="0"/>
    <n v="3627.35"/>
    <s v="00523094"/>
    <s v="006639552"/>
    <x v="2"/>
    <s v="53241340"/>
    <s v="7213001029"/>
    <s v="ESD"/>
    <s v="PUR0962150"/>
    <m/>
    <s v="9260000"/>
    <s v="521900"/>
    <s v="0000"/>
    <s v="554"/>
    <s v="BENEFITS"/>
    <s v="0000"/>
    <m/>
  </r>
  <r>
    <d v="2021-09-22T00:00:00"/>
    <x v="8"/>
    <x v="0"/>
    <n v="3900"/>
    <s v="00521884"/>
    <s v="012015563"/>
    <x v="4"/>
    <s v="ONCORMETLTDSEP21"/>
    <s v="7213000991"/>
    <s v="ESD"/>
    <s v="PUR0961829"/>
    <m/>
    <s v="9260000"/>
    <s v="521900"/>
    <s v="0000"/>
    <s v="557"/>
    <s v="00000000"/>
    <s v="0000"/>
    <m/>
  </r>
  <r>
    <d v="2021-09-22T00:00:00"/>
    <x v="8"/>
    <x v="0"/>
    <n v="13427.04"/>
    <s v="00521040"/>
    <s v="011835450"/>
    <x v="0"/>
    <s v="57212430537"/>
    <s v="7213000948"/>
    <s v="TRN"/>
    <s v="PUR0961823"/>
    <m/>
    <s v="9260000"/>
    <s v="571900"/>
    <s v="9010"/>
    <s v="553"/>
    <s v="0000SUPT"/>
    <s v="0000"/>
    <m/>
  </r>
  <r>
    <d v="2021-09-22T00:00:00"/>
    <x v="8"/>
    <x v="0"/>
    <n v="1320511.49"/>
    <s v="00521039"/>
    <s v="012051699"/>
    <x v="1"/>
    <s v="BCBS09072021"/>
    <s v="7213000947"/>
    <s v="ESD"/>
    <s v="PUR0961829"/>
    <m/>
    <s v="9260000"/>
    <s v="521900"/>
    <s v="0000"/>
    <s v="554"/>
    <s v="BENEFITS"/>
    <s v="0000"/>
    <m/>
  </r>
  <r>
    <d v="2021-09-22T00:00:00"/>
    <x v="8"/>
    <x v="0"/>
    <n v="786931.52"/>
    <s v="00521803"/>
    <s v="012051699"/>
    <x v="1"/>
    <s v="BCBS09132021"/>
    <s v="7213000968"/>
    <s v="ESD"/>
    <s v="PUR0961829"/>
    <m/>
    <s v="9260000"/>
    <s v="521900"/>
    <s v="0000"/>
    <s v="554"/>
    <s v="BENEFITS"/>
    <s v="0000"/>
    <m/>
  </r>
  <r>
    <d v="2021-09-22T00:00:00"/>
    <x v="8"/>
    <x v="0"/>
    <n v="50984.44"/>
    <s v="00521031"/>
    <s v="006639552"/>
    <x v="2"/>
    <s v="53221946"/>
    <s v="7213000939"/>
    <s v="TRN"/>
    <s v="PUR0961823"/>
    <m/>
    <s v="9260000"/>
    <s v="571900"/>
    <s v="9010"/>
    <s v="554"/>
    <s v="0000SUPT"/>
    <s v="0000"/>
    <m/>
  </r>
  <r>
    <d v="2021-09-24T00:00:00"/>
    <x v="8"/>
    <x v="0"/>
    <n v="16681.259999999998"/>
    <s v="00522125"/>
    <s v="011835450"/>
    <x v="0"/>
    <s v="57212600184"/>
    <s v="7213000997"/>
    <s v="TRN"/>
    <s v="PUR0961903"/>
    <m/>
    <s v="9260000"/>
    <s v="571900"/>
    <s v="9010"/>
    <s v="553"/>
    <s v="0000SUPT"/>
    <s v="0000"/>
    <m/>
  </r>
  <r>
    <d v="2021-09-24T00:00:00"/>
    <x v="8"/>
    <x v="0"/>
    <n v="60307"/>
    <s v="00522125"/>
    <s v="011835450"/>
    <x v="0"/>
    <s v="57212600184"/>
    <s v="7213000997"/>
    <s v="ESD"/>
    <s v="PUR0961909"/>
    <m/>
    <s v="9260000"/>
    <s v="521900"/>
    <s v="0000"/>
    <s v="553"/>
    <s v="BENEFITS"/>
    <s v="0000"/>
    <m/>
  </r>
  <r>
    <d v="2021-09-22T00:00:00"/>
    <x v="8"/>
    <x v="0"/>
    <n v="154.16999999999999"/>
    <s v="00521045"/>
    <s v="000841250"/>
    <x v="3"/>
    <s v="359650254"/>
    <s v="7213000953"/>
    <s v="TRN"/>
    <s v="PUR0961823"/>
    <m/>
    <s v="9260000"/>
    <s v="571900"/>
    <s v="9010"/>
    <s v="554"/>
    <s v="BENEFITS"/>
    <s v="0000"/>
    <m/>
  </r>
  <r>
    <d v="2021-09-22T00:00:00"/>
    <x v="8"/>
    <x v="0"/>
    <n v="437.12"/>
    <s v="00521801"/>
    <s v="012061960"/>
    <x v="5"/>
    <s v="3252145"/>
    <s v="7213000966"/>
    <s v="TRN"/>
    <s v="PUR0961823"/>
    <m/>
    <s v="9260000"/>
    <s v="571900"/>
    <s v="9010"/>
    <s v="554"/>
    <s v="0000SUPT"/>
    <s v="0000"/>
    <m/>
  </r>
  <r>
    <d v="2021-09-22T00:00:00"/>
    <x v="8"/>
    <x v="0"/>
    <n v="508.89"/>
    <s v="00521035"/>
    <s v="012061960"/>
    <x v="5"/>
    <s v="3251376"/>
    <s v="7213000943"/>
    <s v="ESD"/>
    <s v="PUR0961829"/>
    <m/>
    <s v="9260000"/>
    <s v="521900"/>
    <s v="0000"/>
    <s v="554"/>
    <s v="BENEFITS"/>
    <s v="0000"/>
    <m/>
  </r>
  <r>
    <d v="2021-09-30T00:00:00"/>
    <x v="8"/>
    <x v="0"/>
    <n v="792.89"/>
    <s v="00523097"/>
    <s v="012061960"/>
    <x v="5"/>
    <s v="3252806"/>
    <s v="7213001032"/>
    <s v="TRN"/>
    <s v="PUR0962144"/>
    <m/>
    <s v="9260000"/>
    <s v="571900"/>
    <s v="9010"/>
    <s v="554"/>
    <s v="0000SUPT"/>
    <s v="0000"/>
    <m/>
  </r>
  <r>
    <d v="2021-09-30T00:00:00"/>
    <x v="8"/>
    <x v="0"/>
    <n v="249.79"/>
    <s v="00523090"/>
    <s v="000841250"/>
    <x v="3"/>
    <s v="362418497"/>
    <s v="7213001025"/>
    <s v="TRN"/>
    <s v="PUR0962144"/>
    <m/>
    <s v="9260000"/>
    <s v="571900"/>
    <s v="9010"/>
    <s v="554"/>
    <s v="BENEFITS"/>
    <s v="0000"/>
    <m/>
  </r>
  <r>
    <d v="2021-09-22T00:00:00"/>
    <x v="8"/>
    <x v="0"/>
    <n v="107.56"/>
    <s v="00521036"/>
    <s v="006639552"/>
    <x v="2"/>
    <s v="53226207"/>
    <s v="7213000944"/>
    <s v="ESD"/>
    <s v="PUR0961829"/>
    <m/>
    <s v="9260000"/>
    <s v="521900"/>
    <s v="0000"/>
    <s v="554"/>
    <s v="BENEFITS"/>
    <s v="0000"/>
    <m/>
  </r>
  <r>
    <d v="2021-09-22T00:00:00"/>
    <x v="8"/>
    <x v="0"/>
    <n v="158660.51"/>
    <s v="00521047"/>
    <s v="006639552"/>
    <x v="2"/>
    <s v="53229521"/>
    <s v="7213000956"/>
    <s v="ESD"/>
    <s v="PUR0961829"/>
    <m/>
    <s v="9260000"/>
    <s v="521900"/>
    <s v="0000"/>
    <s v="554"/>
    <s v="BENEFITS"/>
    <s v="0000"/>
    <m/>
  </r>
  <r>
    <d v="2021-09-22T00:00:00"/>
    <x v="8"/>
    <x v="0"/>
    <n v="55570.720000000001"/>
    <s v="00521804"/>
    <s v="011835450"/>
    <x v="0"/>
    <s v="57212530221"/>
    <s v="7213000969"/>
    <s v="ESD"/>
    <s v="PUR0961829"/>
    <m/>
    <s v="9260000"/>
    <s v="521900"/>
    <s v="0000"/>
    <s v="553"/>
    <s v="BENEFITS"/>
    <s v="0000"/>
    <m/>
  </r>
  <r>
    <d v="2021-09-29T00:00:00"/>
    <x v="8"/>
    <x v="0"/>
    <n v="251158.49"/>
    <s v="00522693"/>
    <s v="006639552"/>
    <x v="2"/>
    <s v="53240412"/>
    <s v="7213001020"/>
    <s v="ESD"/>
    <s v="PUR0962084"/>
    <m/>
    <s v="9260000"/>
    <s v="521900"/>
    <s v="0000"/>
    <s v="554"/>
    <s v="BENEFITS"/>
    <s v="0000"/>
    <m/>
  </r>
  <r>
    <d v="2021-09-24T00:00:00"/>
    <x v="8"/>
    <x v="0"/>
    <n v="34.25"/>
    <s v="00522132"/>
    <s v="006639552"/>
    <x v="2"/>
    <s v="53237634"/>
    <s v="7213001001"/>
    <s v="ESD"/>
    <s v="PUR0961909"/>
    <m/>
    <s v="9260000"/>
    <s v="521900"/>
    <s v="0000"/>
    <s v="554"/>
    <s v="BENEFITS"/>
    <s v="0000"/>
    <m/>
  </r>
  <r>
    <d v="2021-09-24T00:00:00"/>
    <x v="8"/>
    <x v="0"/>
    <n v="935485.82"/>
    <s v="00522123"/>
    <s v="012051699"/>
    <x v="1"/>
    <s v="BCBS09202021"/>
    <s v="7213000996"/>
    <s v="ESD"/>
    <s v="PUR0961909"/>
    <m/>
    <s v="9260000"/>
    <s v="521900"/>
    <s v="0000"/>
    <s v="554"/>
    <s v="BENEFITS"/>
    <s v="0000"/>
    <m/>
  </r>
  <r>
    <d v="2021-09-30T00:00:00"/>
    <x v="8"/>
    <x v="0"/>
    <n v="63859.5"/>
    <s v="00523089"/>
    <s v="011835450"/>
    <x v="0"/>
    <s v="57212670211"/>
    <s v="7213001024"/>
    <s v="ESD"/>
    <s v="PUR0962150"/>
    <m/>
    <s v="9260000"/>
    <s v="521900"/>
    <s v="0000"/>
    <s v="553"/>
    <s v="BENEFITS"/>
    <s v="0000"/>
    <m/>
  </r>
  <r>
    <d v="2021-09-30T00:00:00"/>
    <x v="8"/>
    <x v="0"/>
    <n v="662273.22"/>
    <s v="00523088"/>
    <s v="012051699"/>
    <x v="1"/>
    <s v="BCBS09272021"/>
    <s v="7213001023"/>
    <s v="TRN"/>
    <s v="PUR0962144"/>
    <m/>
    <s v="9260000"/>
    <s v="571900"/>
    <s v="9010"/>
    <s v="554"/>
    <s v="0000SUPT"/>
    <s v="0000"/>
    <m/>
  </r>
  <r>
    <d v="2021-09-22T00:00:00"/>
    <x v="8"/>
    <x v="0"/>
    <n v="1.47"/>
    <s v="00521802"/>
    <s v="006639552"/>
    <x v="2"/>
    <s v="53230430"/>
    <s v="7213000967"/>
    <s v="TRN"/>
    <s v="PUR0961823"/>
    <m/>
    <s v="9260000"/>
    <s v="571900"/>
    <s v="9010"/>
    <s v="554"/>
    <s v="0000SUPT"/>
    <s v="0000"/>
    <m/>
  </r>
  <r>
    <d v="2021-09-22T00:00:00"/>
    <x v="8"/>
    <x v="0"/>
    <n v="261664.45"/>
    <s v="00521803"/>
    <s v="012051699"/>
    <x v="1"/>
    <s v="BCBS09132021"/>
    <s v="7213000968"/>
    <s v="TRN"/>
    <s v="PUR0961823"/>
    <m/>
    <s v="9260000"/>
    <s v="571900"/>
    <s v="9010"/>
    <s v="554"/>
    <s v="0000SUPT"/>
    <s v="0000"/>
    <m/>
  </r>
  <r>
    <d v="2021-09-22T00:00:00"/>
    <x v="8"/>
    <x v="0"/>
    <n v="61384.959999999999"/>
    <s v="00521040"/>
    <s v="011835450"/>
    <x v="0"/>
    <s v="57212430537"/>
    <s v="7213000948"/>
    <s v="ESD"/>
    <s v="PUR0961829"/>
    <m/>
    <s v="9260000"/>
    <s v="521900"/>
    <s v="0000"/>
    <s v="553"/>
    <s v="BENEFITS"/>
    <s v="0000"/>
    <m/>
  </r>
  <r>
    <d v="2021-09-22T00:00:00"/>
    <x v="8"/>
    <x v="0"/>
    <n v="73.459999999999994"/>
    <s v="00521802"/>
    <s v="006639552"/>
    <x v="2"/>
    <s v="53230430"/>
    <s v="7213000967"/>
    <s v="ESD"/>
    <s v="PUR0961829"/>
    <m/>
    <s v="9260000"/>
    <s v="521900"/>
    <s v="0000"/>
    <s v="554"/>
    <s v="BENEFITS"/>
    <s v="0000"/>
    <m/>
  </r>
  <r>
    <d v="2021-09-29T00:00:00"/>
    <x v="8"/>
    <x v="0"/>
    <n v="45077.05"/>
    <s v="00522693"/>
    <s v="006639552"/>
    <x v="2"/>
    <s v="53240412"/>
    <s v="7213001020"/>
    <s v="TRN"/>
    <s v="PUR0962092"/>
    <m/>
    <s v="9260000"/>
    <s v="571900"/>
    <s v="9010"/>
    <s v="554"/>
    <s v="0000SUPT"/>
    <s v="0000"/>
    <m/>
  </r>
  <r>
    <d v="2021-09-24T00:00:00"/>
    <x v="8"/>
    <x v="0"/>
    <n v="91.59"/>
    <s v="00522132"/>
    <s v="006639552"/>
    <x v="2"/>
    <s v="53237634"/>
    <s v="7213001001"/>
    <s v="TRN"/>
    <s v="PUR0961903"/>
    <m/>
    <s v="9260000"/>
    <s v="571900"/>
    <s v="9010"/>
    <s v="554"/>
    <s v="0000SUPT"/>
    <s v="0000"/>
    <m/>
  </r>
  <r>
    <d v="2021-09-24T00:00:00"/>
    <x v="8"/>
    <x v="0"/>
    <n v="123630.37"/>
    <s v="00522123"/>
    <s v="012051699"/>
    <x v="1"/>
    <s v="BCBS09202021"/>
    <s v="7213000996"/>
    <s v="TRN"/>
    <s v="PUR0961903"/>
    <m/>
    <s v="9260000"/>
    <s v="571900"/>
    <s v="9010"/>
    <s v="554"/>
    <s v="0000SUPT"/>
    <s v="0000"/>
    <m/>
  </r>
  <r>
    <d v="2021-09-30T00:00:00"/>
    <x v="8"/>
    <x v="0"/>
    <n v="1037542.71"/>
    <s v="00523088"/>
    <s v="012051699"/>
    <x v="1"/>
    <s v="BCBS09272021"/>
    <s v="7213001023"/>
    <s v="ESD"/>
    <s v="PUR0962150"/>
    <m/>
    <s v="9260000"/>
    <s v="521900"/>
    <s v="0000"/>
    <s v="554"/>
    <s v="BENEFITS"/>
    <s v="0000"/>
    <m/>
  </r>
  <r>
    <d v="2021-09-30T00:00:00"/>
    <x v="8"/>
    <x v="0"/>
    <n v="3903.28"/>
    <s v="00523090"/>
    <s v="000841250"/>
    <x v="3"/>
    <s v="362418497"/>
    <s v="7213001025"/>
    <s v="ESD"/>
    <s v="PUR0962150"/>
    <m/>
    <s v="9260000"/>
    <s v="521900"/>
    <s v="0000"/>
    <s v="554"/>
    <s v="BENEFITS"/>
    <s v="0000"/>
    <m/>
  </r>
  <r>
    <d v="2021-09-30T00:00:00"/>
    <x v="8"/>
    <x v="0"/>
    <n v="59.15"/>
    <s v="00523094"/>
    <s v="006639552"/>
    <x v="2"/>
    <s v="53241340"/>
    <s v="7213001029"/>
    <s v="TRN"/>
    <s v="PUR0962144"/>
    <m/>
    <s v="9260000"/>
    <s v="571900"/>
    <s v="9010"/>
    <s v="554"/>
    <s v="0000SUPT"/>
    <s v="0000"/>
    <m/>
  </r>
  <r>
    <d v="2021-09-30T00:00:00"/>
    <x v="8"/>
    <x v="0"/>
    <n v="515.74"/>
    <s v="00523097"/>
    <s v="012061960"/>
    <x v="5"/>
    <s v="3252806"/>
    <s v="7213001032"/>
    <s v="ESD"/>
    <s v="PUR0962150"/>
    <m/>
    <s v="9260000"/>
    <s v="521900"/>
    <s v="0000"/>
    <s v="554"/>
    <s v="BENEFITS"/>
    <s v="0000"/>
    <m/>
  </r>
  <r>
    <d v="2021-09-22T00:00:00"/>
    <x v="8"/>
    <x v="0"/>
    <n v="501.7"/>
    <s v="00521035"/>
    <s v="012061960"/>
    <x v="5"/>
    <s v="3251376"/>
    <s v="7213000943"/>
    <s v="TRN"/>
    <s v="PUR0961823"/>
    <m/>
    <s v="9260000"/>
    <s v="571900"/>
    <s v="9010"/>
    <s v="554"/>
    <s v="0000SUPT"/>
    <s v="0000"/>
    <m/>
  </r>
  <r>
    <d v="2021-09-22T00:00:00"/>
    <x v="8"/>
    <x v="0"/>
    <n v="61079.09"/>
    <s v="00521886"/>
    <s v="006639552"/>
    <x v="2"/>
    <s v="53235006"/>
    <s v="7213000992"/>
    <s v="TRN"/>
    <s v="PUR0961823"/>
    <m/>
    <s v="9260000"/>
    <s v="571900"/>
    <s v="9010"/>
    <s v="554"/>
    <s v="0000SUPT"/>
    <s v="0000"/>
    <m/>
  </r>
  <r>
    <d v="2021-09-22T00:00:00"/>
    <x v="8"/>
    <x v="0"/>
    <n v="343.5"/>
    <s v="00521801"/>
    <s v="012061960"/>
    <x v="5"/>
    <s v="3252145"/>
    <s v="7213000966"/>
    <s v="ESD"/>
    <s v="PUR0961829"/>
    <m/>
    <s v="9260000"/>
    <s v="521900"/>
    <s v="0000"/>
    <s v="554"/>
    <s v="BENEFITS"/>
    <s v="0000"/>
    <m/>
  </r>
  <r>
    <d v="2021-09-24T00:00:00"/>
    <x v="8"/>
    <x v="0"/>
    <n v="844.25"/>
    <s v="00522134"/>
    <s v="012061960"/>
    <x v="5"/>
    <s v="3252287"/>
    <s v="7213001002"/>
    <s v="ESD"/>
    <s v="PUR0961909"/>
    <m/>
    <s v="9260000"/>
    <s v="521900"/>
    <s v="0000"/>
    <s v="554"/>
    <s v="BENEFITS"/>
    <s v="0000"/>
    <m/>
  </r>
  <r>
    <d v="2021-09-22T00:00:00"/>
    <x v="8"/>
    <x v="0"/>
    <n v="4132.8599999999997"/>
    <s v="00521809"/>
    <s v="000841250"/>
    <x v="3"/>
    <s v="360424166"/>
    <s v="7213000970"/>
    <s v="ESD"/>
    <s v="PUR0961829"/>
    <m/>
    <s v="9260000"/>
    <s v="521900"/>
    <s v="0000"/>
    <s v="554"/>
    <s v="BENEFITS"/>
    <s v="0000"/>
    <m/>
  </r>
  <r>
    <d v="2021-09-22T00:00:00"/>
    <x v="8"/>
    <x v="0"/>
    <n v="5714.55"/>
    <s v="00521045"/>
    <s v="000841250"/>
    <x v="3"/>
    <s v="359650254"/>
    <s v="7213000953"/>
    <s v="ESD"/>
    <s v="PUR0961829"/>
    <m/>
    <s v="9260000"/>
    <s v="521900"/>
    <s v="0000"/>
    <s v="554"/>
    <s v="BENEFITS"/>
    <s v="0000"/>
    <m/>
  </r>
  <r>
    <d v="2021-09-22T00:00:00"/>
    <x v="8"/>
    <x v="0"/>
    <n v="285424.45"/>
    <s v="00521886"/>
    <s v="006639552"/>
    <x v="2"/>
    <s v="53235006"/>
    <s v="7213000992"/>
    <s v="ESD"/>
    <s v="PUR0961829"/>
    <m/>
    <s v="9260000"/>
    <s v="521900"/>
    <s v="0000"/>
    <s v="554"/>
    <s v="BENEFITS"/>
    <s v="0000"/>
    <m/>
  </r>
  <r>
    <d v="2021-09-22T00:00:00"/>
    <x v="8"/>
    <x v="0"/>
    <n v="17708.740000000002"/>
    <s v="00521804"/>
    <s v="011835450"/>
    <x v="0"/>
    <s v="57212530221"/>
    <s v="7213000969"/>
    <s v="TRN"/>
    <s v="PUR0961823"/>
    <m/>
    <s v="9260000"/>
    <s v="571900"/>
    <s v="9010"/>
    <s v="553"/>
    <s v="0000SUPT"/>
    <s v="0000"/>
    <m/>
  </r>
  <r>
    <d v="2021-09-24T00:00:00"/>
    <x v="8"/>
    <x v="0"/>
    <n v="791.89"/>
    <s v="00522134"/>
    <s v="012061960"/>
    <x v="5"/>
    <s v="3252287"/>
    <s v="7213001002"/>
    <s v="TRN"/>
    <s v="PUR0961903"/>
    <m/>
    <s v="9260000"/>
    <s v="571900"/>
    <s v="9010"/>
    <s v="554"/>
    <s v="0000SUPT"/>
    <s v="0000"/>
    <m/>
  </r>
  <r>
    <d v="2021-09-24T00:00:00"/>
    <x v="8"/>
    <x v="0"/>
    <n v="2932.35"/>
    <s v="00522128"/>
    <s v="000841250"/>
    <x v="3"/>
    <s v="361270516"/>
    <s v="7213000998"/>
    <s v="ESD"/>
    <s v="PUR0961909"/>
    <m/>
    <s v="9260000"/>
    <s v="521900"/>
    <s v="0000"/>
    <s v="554"/>
    <s v="BENEFITS"/>
    <s v="0000"/>
    <m/>
  </r>
  <r>
    <d v="2021-09-22T00:00:00"/>
    <x v="8"/>
    <x v="0"/>
    <n v="446.58"/>
    <s v="00521809"/>
    <s v="000841250"/>
    <x v="3"/>
    <s v="360424166"/>
    <s v="7213000970"/>
    <s v="TRN"/>
    <s v="PUR0961823"/>
    <m/>
    <s v="9260000"/>
    <s v="571900"/>
    <s v="9010"/>
    <s v="554"/>
    <s v="BENEFITS"/>
    <s v="0000"/>
    <m/>
  </r>
  <r>
    <d v="2021-09-22T00:00:00"/>
    <x v="8"/>
    <x v="0"/>
    <n v="254700.16"/>
    <s v="00521031"/>
    <s v="006639552"/>
    <x v="2"/>
    <s v="53221946"/>
    <s v="7213000939"/>
    <s v="ESD"/>
    <s v="PUR0961829"/>
    <m/>
    <s v="9260000"/>
    <s v="521900"/>
    <s v="0000"/>
    <s v="554"/>
    <s v="BENEFITS"/>
    <s v="0000"/>
    <m/>
  </r>
  <r>
    <d v="2021-09-22T00:00:00"/>
    <x v="8"/>
    <x v="0"/>
    <n v="42544.92"/>
    <s v="00521047"/>
    <s v="006639552"/>
    <x v="2"/>
    <s v="53229521"/>
    <s v="7213000956"/>
    <s v="TRN"/>
    <s v="PUR0961823"/>
    <m/>
    <s v="9260000"/>
    <s v="571900"/>
    <s v="9010"/>
    <s v="554"/>
    <s v="0000SUPT"/>
    <s v="0000"/>
    <m/>
  </r>
  <r>
    <d v="2021-09-24T00:00:00"/>
    <x v="8"/>
    <x v="0"/>
    <n v="266.55"/>
    <s v="00522128"/>
    <s v="000841250"/>
    <x v="3"/>
    <s v="361270516"/>
    <s v="7213000998"/>
    <s v="TRN"/>
    <s v="PUR0961903"/>
    <m/>
    <s v="9260000"/>
    <s v="571900"/>
    <s v="9010"/>
    <s v="554"/>
    <s v="BENEFITS"/>
    <s v="0000"/>
    <m/>
  </r>
  <r>
    <d v="2021-09-22T00:00:00"/>
    <x v="8"/>
    <x v="0"/>
    <n v="218712.92"/>
    <s v="00521039"/>
    <s v="012051699"/>
    <x v="1"/>
    <s v="BCBS09072021"/>
    <s v="7213000947"/>
    <s v="TRN"/>
    <s v="PUR0961823"/>
    <m/>
    <s v="9260000"/>
    <s v="571900"/>
    <s v="9010"/>
    <s v="554"/>
    <s v="0000SUPT"/>
    <s v="0000"/>
    <m/>
  </r>
  <r>
    <d v="2021-09-22T00:00:00"/>
    <x v="8"/>
    <x v="0"/>
    <n v="46.49"/>
    <s v="00521036"/>
    <s v="006639552"/>
    <x v="2"/>
    <s v="53226207"/>
    <s v="7213000944"/>
    <s v="TRN"/>
    <s v="PUR0961823"/>
    <m/>
    <s v="9260000"/>
    <s v="571900"/>
    <s v="9010"/>
    <s v="554"/>
    <s v="0000SUPT"/>
    <s v="0000"/>
    <m/>
  </r>
  <r>
    <d v="2021-10-27T00:00:00"/>
    <x v="9"/>
    <x v="0"/>
    <n v="3900"/>
    <s v="00527470"/>
    <s v="012015563"/>
    <x v="4"/>
    <s v="ONCORMETLTDOCT21"/>
    <s v="7213001121"/>
    <s v="ESD"/>
    <s v="PUR0963259"/>
    <m/>
    <s v="9260000"/>
    <s v="521900"/>
    <s v="0000"/>
    <s v="557"/>
    <s v="00000000"/>
    <s v="0000"/>
    <m/>
  </r>
  <r>
    <d v="2021-10-14T00:00:00"/>
    <x v="9"/>
    <x v="0"/>
    <n v="26.13"/>
    <s v="00524762"/>
    <s v="006639552"/>
    <x v="2"/>
    <s v="53252284"/>
    <s v="7213001057"/>
    <s v="TRN"/>
    <s v="PUR0962856"/>
    <m/>
    <s v="9260000"/>
    <s v="571900"/>
    <s v="9010"/>
    <s v="554"/>
    <s v="0000SUPT"/>
    <s v="0000"/>
    <m/>
  </r>
  <r>
    <d v="2021-10-20T00:00:00"/>
    <x v="9"/>
    <x v="0"/>
    <n v="28956.21"/>
    <s v="00525522"/>
    <s v="006639552"/>
    <x v="2"/>
    <s v="53255317"/>
    <s v="7213001082"/>
    <s v="TRN"/>
    <s v="PUR0962999"/>
    <m/>
    <s v="9260000"/>
    <s v="571900"/>
    <s v="9010"/>
    <s v="554"/>
    <s v="0000SUPT"/>
    <s v="0000"/>
    <m/>
  </r>
  <r>
    <d v="2021-10-29T00:00:00"/>
    <x v="9"/>
    <x v="0"/>
    <n v="447.15"/>
    <s v="00527879"/>
    <s v="012061960"/>
    <x v="5"/>
    <s v="3254283"/>
    <s v="7213001146"/>
    <s v="TRN"/>
    <s v="PUR0963356"/>
    <m/>
    <s v="9260000"/>
    <s v="571900"/>
    <s v="9010"/>
    <s v="554"/>
    <s v="0000SUPT"/>
    <s v="0000"/>
    <m/>
  </r>
  <r>
    <d v="2021-10-27T00:00:00"/>
    <x v="9"/>
    <x v="0"/>
    <n v="818.85"/>
    <s v="00527463"/>
    <s v="012061960"/>
    <x v="5"/>
    <s v="3253782"/>
    <s v="7213001117"/>
    <s v="TRN"/>
    <s v="PUR0963253"/>
    <m/>
    <s v="9260000"/>
    <s v="571900"/>
    <s v="9010"/>
    <s v="554"/>
    <s v="0000SUPT"/>
    <s v="0000"/>
    <m/>
  </r>
  <r>
    <d v="2021-10-27T00:00:00"/>
    <x v="9"/>
    <x v="0"/>
    <n v="89.89"/>
    <s v="00526914"/>
    <s v="006639552"/>
    <x v="2"/>
    <s v="53263712"/>
    <s v="7213001105"/>
    <s v="TRN"/>
    <s v="PUR0963253"/>
    <m/>
    <s v="9260000"/>
    <s v="571900"/>
    <s v="9010"/>
    <s v="554"/>
    <s v="0000SUPT"/>
    <s v="0000"/>
    <m/>
  </r>
  <r>
    <d v="2021-10-27T00:00:00"/>
    <x v="9"/>
    <x v="0"/>
    <n v="285926.8"/>
    <s v="00526905"/>
    <s v="012051699"/>
    <x v="1"/>
    <s v="BCBS10182021"/>
    <s v="7213001099"/>
    <s v="TRN"/>
    <s v="PUR0963253"/>
    <m/>
    <s v="9260000"/>
    <s v="571900"/>
    <s v="9010"/>
    <s v="554"/>
    <s v="0000SUPT"/>
    <s v="0000"/>
    <m/>
  </r>
  <r>
    <d v="2021-10-27T00:00:00"/>
    <x v="9"/>
    <x v="0"/>
    <n v="243820.65"/>
    <s v="00526909"/>
    <s v="006639552"/>
    <x v="2"/>
    <s v="53260955"/>
    <s v="7213001102"/>
    <s v="ESD"/>
    <s v="PUR0963259"/>
    <m/>
    <s v="9260000"/>
    <s v="521900"/>
    <s v="0000"/>
    <s v="554"/>
    <s v="BENEFITS"/>
    <s v="0000"/>
    <m/>
  </r>
  <r>
    <d v="2021-10-08T00:00:00"/>
    <x v="9"/>
    <x v="0"/>
    <n v="23903"/>
    <s v="00524760"/>
    <s v="011835450"/>
    <x v="0"/>
    <s v="57212730530"/>
    <s v="7213001055"/>
    <s v="TRN"/>
    <s v="PUR0962733"/>
    <m/>
    <s v="9260000"/>
    <s v="571900"/>
    <s v="9010"/>
    <s v="553"/>
    <s v="0000SUPT"/>
    <s v="0000"/>
    <m/>
  </r>
  <r>
    <d v="2021-10-08T00:00:00"/>
    <x v="9"/>
    <x v="0"/>
    <n v="27150.79"/>
    <s v="00524754"/>
    <s v="006639552"/>
    <x v="2"/>
    <s v="53247681"/>
    <s v="7213001049"/>
    <s v="TRN"/>
    <s v="PUR0962733"/>
    <m/>
    <s v="9260000"/>
    <s v="571900"/>
    <s v="9010"/>
    <s v="554"/>
    <s v="0000SUPT"/>
    <s v="0000"/>
    <m/>
  </r>
  <r>
    <d v="2021-10-08T00:00:00"/>
    <x v="9"/>
    <x v="0"/>
    <n v="143461.49"/>
    <s v="00524759"/>
    <s v="012051699"/>
    <x v="1"/>
    <s v="BCBS10042021"/>
    <s v="7213001054"/>
    <s v="TRN"/>
    <s v="PUR0962733"/>
    <m/>
    <s v="9260000"/>
    <s v="571900"/>
    <s v="9010"/>
    <s v="554"/>
    <s v="0000SUPT"/>
    <s v="0000"/>
    <m/>
  </r>
  <r>
    <d v="2021-10-20T00:00:00"/>
    <x v="9"/>
    <x v="0"/>
    <n v="1007314.87"/>
    <s v="00525513"/>
    <s v="012051699"/>
    <x v="1"/>
    <s v="BCBS10122021"/>
    <s v="7213001078"/>
    <s v="ESD"/>
    <s v="PUR0963003"/>
    <m/>
    <s v="9260000"/>
    <s v="521900"/>
    <s v="0000"/>
    <s v="554"/>
    <s v="BENEFITS"/>
    <s v="0000"/>
    <m/>
  </r>
  <r>
    <d v="2021-10-20T00:00:00"/>
    <x v="9"/>
    <x v="0"/>
    <n v="252592.49"/>
    <s v="00525522"/>
    <s v="006639552"/>
    <x v="2"/>
    <s v="53255317"/>
    <s v="7213001082"/>
    <s v="ESD"/>
    <s v="PUR0963003"/>
    <m/>
    <s v="9260000"/>
    <s v="521900"/>
    <s v="0000"/>
    <s v="554"/>
    <s v="BENEFITS"/>
    <s v="0000"/>
    <m/>
  </r>
  <r>
    <d v="2021-10-20T00:00:00"/>
    <x v="9"/>
    <x v="0"/>
    <n v="2912.13"/>
    <s v="00525518"/>
    <s v="000841250"/>
    <x v="3"/>
    <s v="363931037"/>
    <s v="7213001080"/>
    <s v="ESD"/>
    <s v="PUR0963003"/>
    <m/>
    <s v="9260000"/>
    <s v="521900"/>
    <s v="0000"/>
    <s v="554"/>
    <s v="BENEFITS"/>
    <s v="0000"/>
    <m/>
  </r>
  <r>
    <d v="2021-10-20T00:00:00"/>
    <x v="9"/>
    <x v="0"/>
    <n v="629.62"/>
    <s v="00525518"/>
    <s v="000841250"/>
    <x v="3"/>
    <s v="363931037"/>
    <s v="7213001080"/>
    <s v="TRN"/>
    <s v="PUR0962999"/>
    <m/>
    <s v="9260000"/>
    <s v="571900"/>
    <s v="9010"/>
    <s v="554"/>
    <s v="BENEFITS"/>
    <s v="0000"/>
    <m/>
  </r>
  <r>
    <d v="2021-10-20T00:00:00"/>
    <x v="9"/>
    <x v="0"/>
    <n v="345909.1"/>
    <s v="00525513"/>
    <s v="012051699"/>
    <x v="1"/>
    <s v="BCBS10122021"/>
    <s v="7213001078"/>
    <s v="TRN"/>
    <s v="PUR0962999"/>
    <m/>
    <s v="9260000"/>
    <s v="571900"/>
    <s v="9010"/>
    <s v="554"/>
    <s v="0000SUPT"/>
    <s v="0000"/>
    <m/>
  </r>
  <r>
    <d v="2021-10-29T00:00:00"/>
    <x v="9"/>
    <x v="0"/>
    <n v="2602.4299999999998"/>
    <s v="00527526"/>
    <s v="000841250"/>
    <x v="3"/>
    <s v="365919477"/>
    <s v="7213001131"/>
    <s v="ESD"/>
    <s v="PUR0963362"/>
    <m/>
    <s v="9260000"/>
    <s v="521900"/>
    <s v="0000"/>
    <s v="554"/>
    <s v="BENEFITS"/>
    <s v="0000"/>
    <m/>
  </r>
  <r>
    <d v="2021-10-27T00:00:00"/>
    <x v="9"/>
    <x v="0"/>
    <n v="30947.08"/>
    <s v="00526907"/>
    <s v="011835450"/>
    <x v="0"/>
    <s v="57212880187"/>
    <s v="7213001100"/>
    <s v="ESD"/>
    <s v="PUR0963259"/>
    <m/>
    <s v="9260000"/>
    <s v="521900"/>
    <s v="0000"/>
    <s v="553"/>
    <s v="BENEFITS"/>
    <s v="0000"/>
    <m/>
  </r>
  <r>
    <d v="2021-10-08T00:00:00"/>
    <x v="9"/>
    <x v="0"/>
    <n v="70882.759999999995"/>
    <s v="00524760"/>
    <s v="011835450"/>
    <x v="0"/>
    <s v="57212730530"/>
    <s v="7213001055"/>
    <s v="ESD"/>
    <s v="PUR0962741"/>
    <m/>
    <s v="9260000"/>
    <s v="521900"/>
    <s v="0000"/>
    <s v="553"/>
    <s v="BENEFITS"/>
    <s v="0000"/>
    <m/>
  </r>
  <r>
    <d v="2021-10-20T00:00:00"/>
    <x v="9"/>
    <x v="0"/>
    <n v="7370.91"/>
    <s v="00525464"/>
    <s v="012061960"/>
    <x v="5"/>
    <s v="3252966"/>
    <s v="7213001066"/>
    <s v="ESD"/>
    <s v="PUR0963003"/>
    <m/>
    <s v="9260000"/>
    <s v="521900"/>
    <s v="0000"/>
    <s v="554"/>
    <s v="BENEFITS"/>
    <s v="0000"/>
    <m/>
  </r>
  <r>
    <d v="2021-10-29T00:00:00"/>
    <x v="9"/>
    <x v="0"/>
    <n v="54948.77"/>
    <s v="00527524"/>
    <s v="011835450"/>
    <x v="0"/>
    <s v="57212950171"/>
    <s v="7213001130"/>
    <s v="ESD"/>
    <s v="PUR0963362"/>
    <m/>
    <s v="9260000"/>
    <s v="521900"/>
    <s v="0000"/>
    <s v="553"/>
    <s v="BENEFITS"/>
    <s v="0000"/>
    <m/>
  </r>
  <r>
    <d v="2021-10-27T00:00:00"/>
    <x v="9"/>
    <x v="0"/>
    <n v="4055.66"/>
    <s v="00526908"/>
    <s v="000841250"/>
    <x v="3"/>
    <s v="364756861"/>
    <s v="7213001101"/>
    <s v="ESD"/>
    <s v="PUR0963259"/>
    <m/>
    <s v="9260000"/>
    <s v="521900"/>
    <s v="0000"/>
    <s v="554"/>
    <s v="BENEFITS"/>
    <s v="0000"/>
    <m/>
  </r>
  <r>
    <d v="2021-10-27T00:00:00"/>
    <x v="9"/>
    <x v="0"/>
    <n v="595.73"/>
    <s v="00526908"/>
    <s v="000841250"/>
    <x v="3"/>
    <s v="364756861"/>
    <s v="7213001101"/>
    <s v="TRN"/>
    <s v="PUR0963253"/>
    <m/>
    <s v="9260000"/>
    <s v="571900"/>
    <s v="9010"/>
    <s v="554"/>
    <s v="BENEFITS"/>
    <s v="0000"/>
    <m/>
  </r>
  <r>
    <d v="2021-10-14T00:00:00"/>
    <x v="9"/>
    <x v="0"/>
    <n v="414.1"/>
    <s v="00524761"/>
    <s v="000841250"/>
    <x v="3"/>
    <s v="363062844"/>
    <s v="7213001056"/>
    <s v="TRN"/>
    <s v="PUR0962856"/>
    <m/>
    <s v="9260000"/>
    <s v="571900"/>
    <s v="9010"/>
    <s v="554"/>
    <s v="BENEFITS"/>
    <s v="0000"/>
    <m/>
  </r>
  <r>
    <d v="2021-10-20T00:00:00"/>
    <x v="9"/>
    <x v="0"/>
    <n v="94424.01"/>
    <s v="00525514"/>
    <s v="011835450"/>
    <x v="0"/>
    <s v="57212840246"/>
    <s v="7213001079"/>
    <s v="ESD"/>
    <s v="PUR0963003"/>
    <m/>
    <s v="9260000"/>
    <s v="521900"/>
    <s v="0000"/>
    <s v="553"/>
    <s v="BENEFITS"/>
    <s v="0000"/>
    <m/>
  </r>
  <r>
    <d v="2021-10-29T00:00:00"/>
    <x v="9"/>
    <x v="0"/>
    <n v="112.72"/>
    <s v="00527878"/>
    <s v="006639552"/>
    <x v="2"/>
    <s v="53267784"/>
    <s v="7213001145"/>
    <s v="TRN"/>
    <s v="PUR0963356"/>
    <m/>
    <s v="9260000"/>
    <s v="571900"/>
    <s v="9010"/>
    <s v="554"/>
    <s v="0000SUPT"/>
    <s v="0000"/>
    <m/>
  </r>
  <r>
    <d v="2021-10-27T00:00:00"/>
    <x v="9"/>
    <x v="0"/>
    <n v="-5995.95"/>
    <s v="00527463"/>
    <s v="012061960"/>
    <x v="5"/>
    <s v="3253782"/>
    <s v="7213001117"/>
    <s v="ESD"/>
    <s v="PUR0963259"/>
    <m/>
    <s v="9260000"/>
    <s v="521900"/>
    <s v="0000"/>
    <s v="554"/>
    <s v="BENEFITS"/>
    <s v="0000"/>
    <m/>
  </r>
  <r>
    <d v="2021-10-27T00:00:00"/>
    <x v="9"/>
    <x v="0"/>
    <n v="2080.2199999999998"/>
    <s v="00526914"/>
    <s v="006639552"/>
    <x v="2"/>
    <s v="53263712"/>
    <s v="7213001105"/>
    <s v="ESD"/>
    <s v="PUR0963259"/>
    <m/>
    <s v="9260000"/>
    <s v="521900"/>
    <s v="0000"/>
    <s v="554"/>
    <s v="BENEFITS"/>
    <s v="0000"/>
    <m/>
  </r>
  <r>
    <d v="2021-10-14T00:00:00"/>
    <x v="9"/>
    <x v="0"/>
    <n v="2028.84"/>
    <s v="00524762"/>
    <s v="006639552"/>
    <x v="2"/>
    <s v="53252284"/>
    <s v="7213001057"/>
    <s v="ESD"/>
    <s v="PUR0962860"/>
    <m/>
    <s v="9260000"/>
    <s v="521900"/>
    <s v="0000"/>
    <s v="554"/>
    <s v="BENEFITS"/>
    <s v="0000"/>
    <m/>
  </r>
  <r>
    <d v="2021-10-29T00:00:00"/>
    <x v="9"/>
    <x v="0"/>
    <n v="743.28"/>
    <s v="00527878"/>
    <s v="006639552"/>
    <x v="2"/>
    <s v="53267784"/>
    <s v="7213001145"/>
    <s v="ESD"/>
    <s v="PUR0963362"/>
    <m/>
    <s v="9260000"/>
    <s v="521900"/>
    <s v="0000"/>
    <s v="554"/>
    <s v="BENEFITS"/>
    <s v="0000"/>
    <m/>
  </r>
  <r>
    <d v="2021-10-29T00:00:00"/>
    <x v="9"/>
    <x v="0"/>
    <n v="203315.35"/>
    <s v="00527523"/>
    <s v="012051699"/>
    <x v="1"/>
    <s v="BCBS10252021"/>
    <s v="7213001129"/>
    <s v="TRN"/>
    <s v="PUR0963356"/>
    <m/>
    <s v="9260000"/>
    <s v="571900"/>
    <s v="9010"/>
    <s v="554"/>
    <s v="0000SUPT"/>
    <s v="0000"/>
    <m/>
  </r>
  <r>
    <d v="2021-10-27T00:00:00"/>
    <x v="9"/>
    <x v="0"/>
    <n v="9432.2800000000007"/>
    <s v="00526907"/>
    <s v="011835450"/>
    <x v="0"/>
    <s v="57212880187"/>
    <s v="7213001100"/>
    <s v="TRN"/>
    <s v="PUR0963253"/>
    <m/>
    <s v="9260000"/>
    <s v="571900"/>
    <s v="9010"/>
    <s v="553"/>
    <s v="0000SUPT"/>
    <s v="0000"/>
    <m/>
  </r>
  <r>
    <d v="2021-10-27T00:00:00"/>
    <x v="9"/>
    <x v="0"/>
    <n v="806856.81"/>
    <s v="00526905"/>
    <s v="012051699"/>
    <x v="1"/>
    <s v="BCBS10182021"/>
    <s v="7213001099"/>
    <s v="ESD"/>
    <s v="PUR0963259"/>
    <m/>
    <s v="9260000"/>
    <s v="521900"/>
    <s v="0000"/>
    <s v="554"/>
    <s v="BENEFITS"/>
    <s v="0000"/>
    <m/>
  </r>
  <r>
    <d v="2021-10-08T00:00:00"/>
    <x v="9"/>
    <x v="0"/>
    <n v="225247.61"/>
    <s v="00524754"/>
    <s v="006639552"/>
    <x v="2"/>
    <s v="53247681"/>
    <s v="7213001049"/>
    <s v="ESD"/>
    <s v="PUR0962741"/>
    <m/>
    <s v="9260000"/>
    <s v="521900"/>
    <s v="0000"/>
    <s v="554"/>
    <s v="BENEFITS"/>
    <s v="0000"/>
    <m/>
  </r>
  <r>
    <d v="2021-10-29T00:00:00"/>
    <x v="9"/>
    <x v="0"/>
    <n v="17002.02"/>
    <s v="00527524"/>
    <s v="011835450"/>
    <x v="0"/>
    <s v="57212950171"/>
    <s v="7213001130"/>
    <s v="TRN"/>
    <s v="PUR0963356"/>
    <m/>
    <s v="9260000"/>
    <s v="571900"/>
    <s v="9010"/>
    <s v="553"/>
    <s v="0000SUPT"/>
    <s v="0000"/>
    <m/>
  </r>
  <r>
    <d v="2021-10-20T00:00:00"/>
    <x v="9"/>
    <x v="0"/>
    <n v="516.41"/>
    <s v="00525464"/>
    <s v="012061960"/>
    <x v="5"/>
    <s v="3252966"/>
    <s v="7213001066"/>
    <s v="TRN"/>
    <s v="PUR0962999"/>
    <m/>
    <s v="9260000"/>
    <s v="571900"/>
    <s v="9010"/>
    <s v="554"/>
    <s v="0000SUPT"/>
    <s v="0000"/>
    <m/>
  </r>
  <r>
    <d v="2021-10-29T00:00:00"/>
    <x v="9"/>
    <x v="0"/>
    <n v="576.79999999999995"/>
    <s v="00527526"/>
    <s v="000841250"/>
    <x v="3"/>
    <s v="365919477"/>
    <s v="7213001131"/>
    <s v="TRN"/>
    <s v="PUR0963356"/>
    <m/>
    <s v="9260000"/>
    <s v="571900"/>
    <s v="9010"/>
    <s v="554"/>
    <s v="BENEFITS"/>
    <s v="0000"/>
    <m/>
  </r>
  <r>
    <d v="2021-10-29T00:00:00"/>
    <x v="9"/>
    <x v="0"/>
    <n v="1106460.17"/>
    <s v="00527523"/>
    <s v="012051699"/>
    <x v="1"/>
    <s v="BCBS10252021"/>
    <s v="7213001129"/>
    <s v="ESD"/>
    <s v="PUR0963362"/>
    <m/>
    <s v="9260000"/>
    <s v="521900"/>
    <s v="0000"/>
    <s v="554"/>
    <s v="BENEFITS"/>
    <s v="0000"/>
    <m/>
  </r>
  <r>
    <d v="2021-10-29T00:00:00"/>
    <x v="9"/>
    <x v="0"/>
    <n v="159069.45000000001"/>
    <s v="00527870"/>
    <s v="006639552"/>
    <x v="2"/>
    <s v="53266834"/>
    <s v="7213001136"/>
    <s v="ESD"/>
    <s v="PUR0963362"/>
    <m/>
    <s v="9260000"/>
    <s v="521900"/>
    <s v="0000"/>
    <s v="554"/>
    <s v="BENEFITS"/>
    <s v="0000"/>
    <m/>
  </r>
  <r>
    <d v="2021-10-27T00:00:00"/>
    <x v="9"/>
    <x v="0"/>
    <n v="88497.600000000006"/>
    <s v="00526909"/>
    <s v="006639552"/>
    <x v="2"/>
    <s v="53260955"/>
    <s v="7213001102"/>
    <s v="TRN"/>
    <s v="PUR0963253"/>
    <m/>
    <s v="9260000"/>
    <s v="571900"/>
    <s v="9010"/>
    <s v="554"/>
    <s v="0000SUPT"/>
    <s v="0000"/>
    <m/>
  </r>
  <r>
    <d v="2021-10-08T00:00:00"/>
    <x v="9"/>
    <x v="0"/>
    <n v="661567.64"/>
    <s v="00524759"/>
    <s v="012051699"/>
    <x v="1"/>
    <s v="BCBS10042021"/>
    <s v="7213001054"/>
    <s v="ESD"/>
    <s v="PUR0962741"/>
    <m/>
    <s v="9260000"/>
    <s v="521900"/>
    <s v="0000"/>
    <s v="554"/>
    <s v="BENEFITS"/>
    <s v="0000"/>
    <m/>
  </r>
  <r>
    <d v="2021-10-14T00:00:00"/>
    <x v="9"/>
    <x v="0"/>
    <n v="6207.17"/>
    <s v="00524761"/>
    <s v="000841250"/>
    <x v="3"/>
    <s v="363062844"/>
    <s v="7213001056"/>
    <s v="ESD"/>
    <s v="PUR0962860"/>
    <m/>
    <s v="9260000"/>
    <s v="521900"/>
    <s v="0000"/>
    <s v="554"/>
    <s v="BENEFITS"/>
    <s v="0000"/>
    <m/>
  </r>
  <r>
    <d v="2021-10-20T00:00:00"/>
    <x v="9"/>
    <x v="0"/>
    <n v="29998.07"/>
    <s v="00525514"/>
    <s v="011835450"/>
    <x v="0"/>
    <s v="57212840246"/>
    <s v="7213001079"/>
    <s v="TRN"/>
    <s v="PUR0962999"/>
    <m/>
    <s v="9260000"/>
    <s v="571900"/>
    <s v="9010"/>
    <s v="553"/>
    <s v="0000SUPT"/>
    <s v="0000"/>
    <m/>
  </r>
  <r>
    <d v="2021-10-29T00:00:00"/>
    <x v="9"/>
    <x v="0"/>
    <n v="779.81"/>
    <s v="00527879"/>
    <s v="012061960"/>
    <x v="5"/>
    <s v="3254283"/>
    <s v="7213001146"/>
    <s v="ESD"/>
    <s v="PUR0963362"/>
    <m/>
    <s v="9260000"/>
    <s v="521900"/>
    <s v="0000"/>
    <s v="554"/>
    <s v="BENEFITS"/>
    <s v="0000"/>
    <m/>
  </r>
  <r>
    <d v="2021-10-29T00:00:00"/>
    <x v="9"/>
    <x v="0"/>
    <n v="63190.43"/>
    <s v="00527870"/>
    <s v="006639552"/>
    <x v="2"/>
    <s v="53266834"/>
    <s v="7213001136"/>
    <s v="TRN"/>
    <s v="PUR0963356"/>
    <m/>
    <s v="9260000"/>
    <s v="571900"/>
    <s v="9010"/>
    <s v="554"/>
    <s v="0000SUPT"/>
    <s v="0000"/>
    <m/>
  </r>
  <r>
    <d v="2021-11-22T00:00:00"/>
    <x v="10"/>
    <x v="0"/>
    <n v="195047.03"/>
    <s v="00531187"/>
    <s v="012051699"/>
    <x v="1"/>
    <s v="BCBS11152021"/>
    <s v="7213001221"/>
    <s v="TRN"/>
    <s v="PUR0964278"/>
    <m/>
    <s v="9260000"/>
    <s v="571900"/>
    <s v="9010"/>
    <s v="554"/>
    <s v="0000SUPT"/>
    <s v="0000"/>
    <m/>
  </r>
  <r>
    <d v="2021-11-22T00:00:00"/>
    <x v="10"/>
    <x v="0"/>
    <n v="3543.28"/>
    <s v="00531036"/>
    <s v="006639552"/>
    <x v="2"/>
    <s v="53282609"/>
    <s v="7213001205"/>
    <s v="ESD"/>
    <s v="PUR0964271"/>
    <m/>
    <s v="9260000"/>
    <s v="521900"/>
    <s v="0000"/>
    <s v="554"/>
    <s v="BENEFITS"/>
    <s v="0000"/>
    <m/>
  </r>
  <r>
    <d v="2021-11-29T00:00:00"/>
    <x v="10"/>
    <x v="0"/>
    <n v="11.56"/>
    <s v="00531988"/>
    <s v="006639552"/>
    <x v="2"/>
    <s v="53289700"/>
    <s v="7213001234"/>
    <s v="ESD"/>
    <s v="PUR0964415"/>
    <m/>
    <s v="9260000"/>
    <s v="521900"/>
    <s v="0000"/>
    <s v="554"/>
    <s v="BENEFITS"/>
    <s v="0000"/>
    <m/>
  </r>
  <r>
    <d v="2021-11-29T00:00:00"/>
    <x v="10"/>
    <x v="0"/>
    <n v="64813.19"/>
    <s v="00532032"/>
    <s v="011835450"/>
    <x v="0"/>
    <s v="57213230168"/>
    <s v="7213001244"/>
    <s v="ESD"/>
    <s v="PUR0964415"/>
    <m/>
    <s v="9260000"/>
    <s v="521900"/>
    <s v="0000"/>
    <s v="553"/>
    <s v="BENEFITS"/>
    <s v="0000"/>
    <m/>
  </r>
  <r>
    <d v="2021-11-29T00:00:00"/>
    <x v="10"/>
    <x v="0"/>
    <n v="209594.66"/>
    <s v="00531984"/>
    <s v="006639552"/>
    <x v="2"/>
    <s v="53287090"/>
    <s v="7213001233"/>
    <s v="ESD"/>
    <s v="PUR0964415"/>
    <m/>
    <s v="9260000"/>
    <s v="521900"/>
    <s v="0000"/>
    <s v="554"/>
    <s v="BENEFITS"/>
    <s v="0000"/>
    <m/>
  </r>
  <r>
    <d v="2021-11-05T00:00:00"/>
    <x v="10"/>
    <x v="0"/>
    <n v="3361.77"/>
    <s v="00529128"/>
    <s v="000841250"/>
    <x v="3"/>
    <s v="367101757"/>
    <s v="7213001168"/>
    <s v="ESD"/>
    <s v="PUR0963862"/>
    <m/>
    <s v="9260000"/>
    <s v="521900"/>
    <s v="0000"/>
    <s v="554"/>
    <s v="BENEFITS"/>
    <s v="0000"/>
    <m/>
  </r>
  <r>
    <d v="2021-11-10T00:00:00"/>
    <x v="10"/>
    <x v="0"/>
    <n v="343.34"/>
    <s v="00529558"/>
    <s v="012061960"/>
    <x v="5"/>
    <s v="3254449"/>
    <s v="7213001188"/>
    <s v="TRN"/>
    <s v="PUR0963968"/>
    <m/>
    <s v="9260000"/>
    <s v="571900"/>
    <s v="9010"/>
    <s v="554"/>
    <s v="0000SUPT"/>
    <s v="0000"/>
    <m/>
  </r>
  <r>
    <d v="2021-11-30T00:00:00"/>
    <x v="10"/>
    <x v="0"/>
    <n v="221568.53"/>
    <s v="00532205"/>
    <s v="006639552"/>
    <x v="2"/>
    <s v="53292625"/>
    <s v="7213001254"/>
    <s v="ESD"/>
    <s v="PUR0964489"/>
    <m/>
    <s v="9260000"/>
    <s v="521900"/>
    <s v="0000"/>
    <s v="554"/>
    <s v="BENEFITS"/>
    <s v="0000"/>
    <m/>
  </r>
  <r>
    <d v="2021-11-30T00:00:00"/>
    <x v="10"/>
    <x v="0"/>
    <n v="236.18"/>
    <s v="00532440"/>
    <s v="000841250"/>
    <x v="3"/>
    <s v="370497772"/>
    <s v="7213001265"/>
    <s v="TRN"/>
    <s v="PUR0964481"/>
    <m/>
    <s v="9260000"/>
    <s v="571900"/>
    <s v="9010"/>
    <s v="554"/>
    <s v="BENEFITS"/>
    <s v="0000"/>
    <m/>
  </r>
  <r>
    <d v="2021-11-30T00:00:00"/>
    <x v="10"/>
    <x v="0"/>
    <n v="41605.949999999997"/>
    <s v="00532205"/>
    <s v="006639552"/>
    <x v="2"/>
    <s v="53292625"/>
    <s v="7213001254"/>
    <s v="TRN"/>
    <s v="PUR0964481"/>
    <m/>
    <s v="9260000"/>
    <s v="571900"/>
    <s v="9010"/>
    <s v="554"/>
    <s v="0000SUPT"/>
    <s v="0000"/>
    <m/>
  </r>
  <r>
    <d v="2021-11-22T00:00:00"/>
    <x v="10"/>
    <x v="0"/>
    <n v="49.22"/>
    <s v="00531036"/>
    <s v="006639552"/>
    <x v="2"/>
    <s v="53282609"/>
    <s v="7213001205"/>
    <s v="TRN"/>
    <s v="PUR0964278"/>
    <m/>
    <s v="9260000"/>
    <s v="571900"/>
    <s v="9010"/>
    <s v="554"/>
    <s v="0000SUPT"/>
    <s v="0000"/>
    <m/>
  </r>
  <r>
    <d v="2021-11-22T00:00:00"/>
    <x v="10"/>
    <x v="0"/>
    <n v="56386.95"/>
    <s v="00531189"/>
    <s v="011835450"/>
    <x v="0"/>
    <s v="57213160176"/>
    <s v="7213001222"/>
    <s v="ESD"/>
    <s v="PUR0964271"/>
    <m/>
    <s v="9260000"/>
    <s v="521900"/>
    <s v="0000"/>
    <s v="553"/>
    <s v="BENEFITS"/>
    <s v="0000"/>
    <m/>
  </r>
  <r>
    <d v="2021-11-29T00:00:00"/>
    <x v="10"/>
    <x v="0"/>
    <n v="4026.63"/>
    <s v="00532037"/>
    <s v="000841250"/>
    <x v="3"/>
    <s v="369670534"/>
    <s v="7213001245"/>
    <s v="ESD"/>
    <s v="PUR0964415"/>
    <m/>
    <s v="9260000"/>
    <s v="521900"/>
    <s v="0000"/>
    <s v="554"/>
    <s v="BENEFITS"/>
    <s v="0000"/>
    <m/>
  </r>
  <r>
    <d v="2021-11-30T00:00:00"/>
    <x v="10"/>
    <x v="0"/>
    <n v="3882.55"/>
    <s v="00532440"/>
    <s v="000841250"/>
    <x v="3"/>
    <s v="370497772"/>
    <s v="7213001265"/>
    <s v="ESD"/>
    <s v="PUR0964489"/>
    <m/>
    <s v="9260000"/>
    <s v="521900"/>
    <s v="0000"/>
    <s v="554"/>
    <s v="BENEFITS"/>
    <s v="0000"/>
    <m/>
  </r>
  <r>
    <d v="2021-11-30T00:00:00"/>
    <x v="10"/>
    <x v="0"/>
    <n v="87.48"/>
    <s v="00532206"/>
    <s v="012061960"/>
    <x v="5"/>
    <s v="3255352"/>
    <s v="7213001255"/>
    <s v="TRN"/>
    <s v="PUR0964481"/>
    <m/>
    <s v="9260000"/>
    <s v="571900"/>
    <s v="9010"/>
    <s v="554"/>
    <s v="0000SUPT"/>
    <s v="0000"/>
    <m/>
  </r>
  <r>
    <d v="2021-11-22T00:00:00"/>
    <x v="10"/>
    <x v="0"/>
    <n v="1607.02"/>
    <s v="00531156"/>
    <s v="012061960"/>
    <x v="5"/>
    <s v="3255177"/>
    <s v="7213001206"/>
    <s v="ESD"/>
    <s v="PUR0964271"/>
    <m/>
    <s v="9260000"/>
    <s v="521900"/>
    <s v="0000"/>
    <s v="554"/>
    <s v="BENEFITS"/>
    <s v="0000"/>
    <m/>
  </r>
  <r>
    <d v="2021-11-29T00:00:00"/>
    <x v="10"/>
    <x v="0"/>
    <n v="3900"/>
    <s v="00531989"/>
    <s v="012015563"/>
    <x v="4"/>
    <s v="ONCORMETLTDNOV21"/>
    <s v="7213001235"/>
    <s v="ESD"/>
    <s v="PUR0964415"/>
    <m/>
    <s v="9260000"/>
    <s v="521900"/>
    <s v="0000"/>
    <s v="557"/>
    <s v="00000000"/>
    <s v="0000"/>
    <m/>
  </r>
  <r>
    <d v="2021-11-30T00:00:00"/>
    <x v="10"/>
    <x v="0"/>
    <n v="622.48"/>
    <s v="00532411"/>
    <s v="012061960"/>
    <x v="5"/>
    <s v="3255886"/>
    <s v="7213001268"/>
    <s v="TRN"/>
    <s v="PUR0964481"/>
    <m/>
    <s v="9260000"/>
    <s v="571900"/>
    <s v="9010"/>
    <s v="554"/>
    <s v="0000SUPT"/>
    <s v="0000"/>
    <m/>
  </r>
  <r>
    <d v="2021-11-29T00:00:00"/>
    <x v="10"/>
    <x v="0"/>
    <n v="405.51"/>
    <s v="00532037"/>
    <s v="000841250"/>
    <x v="3"/>
    <s v="369670534"/>
    <s v="7213001245"/>
    <s v="TRN"/>
    <s v="PUR0964421"/>
    <m/>
    <s v="9260000"/>
    <s v="571900"/>
    <s v="9010"/>
    <s v="554"/>
    <s v="BENEFITS"/>
    <s v="0000"/>
    <m/>
  </r>
  <r>
    <d v="2021-11-05T00:00:00"/>
    <x v="10"/>
    <x v="0"/>
    <n v="68728.149999999994"/>
    <s v="00529123"/>
    <s v="011835450"/>
    <x v="0"/>
    <s v="57213020531"/>
    <s v="7213001167"/>
    <s v="ESD"/>
    <s v="PUR0963862"/>
    <m/>
    <s v="9260000"/>
    <s v="521900"/>
    <s v="0000"/>
    <s v="553"/>
    <s v="BENEFITS"/>
    <s v="0000"/>
    <m/>
  </r>
  <r>
    <d v="2021-11-30T00:00:00"/>
    <x v="10"/>
    <x v="0"/>
    <n v="736.82"/>
    <s v="00532408"/>
    <s v="006639552"/>
    <x v="2"/>
    <s v="53293560"/>
    <s v="7213001267"/>
    <s v="ESD"/>
    <s v="PUR0964489"/>
    <m/>
    <s v="9260000"/>
    <s v="521900"/>
    <s v="0000"/>
    <s v="554"/>
    <s v="BENEFITS"/>
    <s v="0000"/>
    <m/>
  </r>
  <r>
    <d v="2021-11-22T00:00:00"/>
    <x v="10"/>
    <x v="0"/>
    <n v="3743.57"/>
    <s v="00531192"/>
    <s v="000841250"/>
    <x v="3"/>
    <s v="368543740"/>
    <s v="7213001223"/>
    <s v="ESD"/>
    <s v="PUR0964271"/>
    <m/>
    <s v="9260000"/>
    <s v="521900"/>
    <s v="0000"/>
    <s v="554"/>
    <s v="BENEFITS"/>
    <s v="0000"/>
    <m/>
  </r>
  <r>
    <d v="2021-11-29T00:00:00"/>
    <x v="10"/>
    <x v="0"/>
    <n v="19984.3"/>
    <s v="00532032"/>
    <s v="011835450"/>
    <x v="0"/>
    <s v="57213230168"/>
    <s v="7213001244"/>
    <s v="TRN"/>
    <s v="PUR0964421"/>
    <m/>
    <s v="9260000"/>
    <s v="571900"/>
    <s v="9010"/>
    <s v="553"/>
    <s v="0000SUPT"/>
    <s v="0000"/>
    <m/>
  </r>
  <r>
    <d v="2021-11-12T00:00:00"/>
    <x v="10"/>
    <x v="0"/>
    <n v="568670.88"/>
    <s v="00530177"/>
    <s v="012051699"/>
    <x v="1"/>
    <s v="BCBS11082021"/>
    <s v="0213001194"/>
    <s v="TRN"/>
    <s v="PUR0964039"/>
    <m/>
    <s v="9260000"/>
    <s v="571900"/>
    <s v="9010"/>
    <s v="554"/>
    <s v="0000SUPT"/>
    <s v="0000"/>
    <m/>
  </r>
  <r>
    <d v="2021-11-12T00:00:00"/>
    <x v="10"/>
    <x v="0"/>
    <n v="61195.71"/>
    <s v="00530180"/>
    <s v="011835450"/>
    <x v="0"/>
    <s v="57213090172"/>
    <s v="7213001195"/>
    <s v="ESD"/>
    <s v="PUR0964033"/>
    <m/>
    <s v="9260000"/>
    <s v="521900"/>
    <s v="0000"/>
    <s v="553"/>
    <s v="BENEFITS"/>
    <s v="0000"/>
    <m/>
  </r>
  <r>
    <d v="2021-11-12T00:00:00"/>
    <x v="10"/>
    <x v="0"/>
    <n v="206634.98"/>
    <s v="00530186"/>
    <s v="006639552"/>
    <x v="2"/>
    <s v="53281690"/>
    <s v="7213001200"/>
    <s v="ESD"/>
    <s v="PUR0964033"/>
    <m/>
    <s v="9260000"/>
    <s v="521900"/>
    <s v="0000"/>
    <s v="554"/>
    <s v="BENEFITS"/>
    <s v="0000"/>
    <m/>
  </r>
  <r>
    <d v="2021-11-30T00:00:00"/>
    <x v="10"/>
    <x v="0"/>
    <n v="1423.54"/>
    <s v="00532206"/>
    <s v="012061960"/>
    <x v="5"/>
    <s v="3255352"/>
    <s v="7213001255"/>
    <s v="ESD"/>
    <s v="PUR0964489"/>
    <m/>
    <s v="9260000"/>
    <s v="521900"/>
    <s v="0000"/>
    <s v="554"/>
    <s v="BENEFITS"/>
    <s v="0000"/>
    <m/>
  </r>
  <r>
    <d v="2021-11-30T00:00:00"/>
    <x v="10"/>
    <x v="0"/>
    <n v="174609.21"/>
    <s v="00532400"/>
    <s v="012051699"/>
    <x v="1"/>
    <s v="BCBS11292021"/>
    <s v="7213001263"/>
    <s v="TRN"/>
    <s v="PUR0964481"/>
    <m/>
    <s v="9260000"/>
    <s v="571900"/>
    <s v="9010"/>
    <s v="554"/>
    <s v="0000SUPT"/>
    <s v="0000"/>
    <m/>
  </r>
  <r>
    <d v="2021-11-30T00:00:00"/>
    <x v="10"/>
    <x v="0"/>
    <n v="60503.8"/>
    <s v="00532403"/>
    <s v="011835450"/>
    <x v="0"/>
    <s v="57213300245"/>
    <s v="7213001264"/>
    <s v="ESD"/>
    <s v="PUR0964489"/>
    <m/>
    <s v="9260000"/>
    <s v="521900"/>
    <s v="0000"/>
    <s v="553"/>
    <s v="BENEFITS"/>
    <s v="0000"/>
    <m/>
  </r>
  <r>
    <d v="2021-11-09T00:00:00"/>
    <x v="10"/>
    <x v="0"/>
    <n v="34354.080000000002"/>
    <s v="00529538"/>
    <s v="006639552"/>
    <x v="2"/>
    <s v="53274037"/>
    <s v="7213001179"/>
    <s v="TRN"/>
    <s v="PUR0963931"/>
    <m/>
    <s v="9260000"/>
    <s v="571900"/>
    <s v="9010"/>
    <s v="554"/>
    <s v="0000SUPT"/>
    <s v="0000"/>
    <m/>
  </r>
  <r>
    <d v="2021-11-22T00:00:00"/>
    <x v="10"/>
    <x v="0"/>
    <n v="1078.8699999999999"/>
    <s v="00531192"/>
    <s v="000841250"/>
    <x v="3"/>
    <s v="368543740"/>
    <s v="7213001223"/>
    <s v="TRN"/>
    <s v="PUR0964278"/>
    <m/>
    <s v="9260000"/>
    <s v="571900"/>
    <s v="9010"/>
    <s v="554"/>
    <s v="BENEFITS"/>
    <s v="0000"/>
    <m/>
  </r>
  <r>
    <d v="2021-11-29T00:00:00"/>
    <x v="10"/>
    <x v="0"/>
    <n v="80520.3"/>
    <s v="00531984"/>
    <s v="006639552"/>
    <x v="2"/>
    <s v="53287090"/>
    <s v="7213001233"/>
    <s v="TRN"/>
    <s v="PUR0964421"/>
    <m/>
    <s v="9260000"/>
    <s v="571900"/>
    <s v="9010"/>
    <s v="554"/>
    <s v="0000SUPT"/>
    <s v="0000"/>
    <m/>
  </r>
  <r>
    <d v="2021-11-05T00:00:00"/>
    <x v="10"/>
    <x v="0"/>
    <n v="1534.29"/>
    <s v="00529128"/>
    <s v="000841250"/>
    <x v="3"/>
    <s v="367101757"/>
    <s v="7213001168"/>
    <s v="TRN"/>
    <s v="PUR0963867"/>
    <m/>
    <s v="9260000"/>
    <s v="571900"/>
    <s v="9010"/>
    <s v="554"/>
    <s v="BENEFITS"/>
    <s v="0000"/>
    <m/>
  </r>
  <r>
    <d v="2021-11-12T00:00:00"/>
    <x v="10"/>
    <x v="0"/>
    <n v="6014.42"/>
    <s v="00530181"/>
    <s v="000841250"/>
    <x v="3"/>
    <s v="367755310"/>
    <s v="0213001196"/>
    <s v="ESD"/>
    <s v="PUR0964033"/>
    <m/>
    <s v="9260000"/>
    <s v="521900"/>
    <s v="0000"/>
    <s v="554"/>
    <s v="BENEFITS"/>
    <s v="0000"/>
    <m/>
  </r>
  <r>
    <d v="2021-11-12T00:00:00"/>
    <x v="10"/>
    <x v="0"/>
    <n v="191.63"/>
    <s v="00530181"/>
    <s v="000841250"/>
    <x v="3"/>
    <s v="367755310"/>
    <s v="0213001196"/>
    <s v="TRN"/>
    <s v="PUR0964039"/>
    <m/>
    <s v="9260000"/>
    <s v="571900"/>
    <s v="9010"/>
    <s v="554"/>
    <s v="BENEFITS"/>
    <s v="0000"/>
    <m/>
  </r>
  <r>
    <d v="2021-11-30T00:00:00"/>
    <x v="10"/>
    <x v="0"/>
    <n v="75.19"/>
    <s v="00532408"/>
    <s v="006639552"/>
    <x v="2"/>
    <s v="53293560"/>
    <s v="7213001267"/>
    <s v="TRN"/>
    <s v="PUR0964481"/>
    <m/>
    <s v="9260000"/>
    <s v="571900"/>
    <s v="9010"/>
    <s v="554"/>
    <s v="0000SUPT"/>
    <s v="0000"/>
    <m/>
  </r>
  <r>
    <d v="2021-11-09T00:00:00"/>
    <x v="10"/>
    <x v="0"/>
    <n v="229214.9"/>
    <s v="00529538"/>
    <s v="006639552"/>
    <x v="2"/>
    <s v="53274037"/>
    <s v="7213001179"/>
    <s v="ESD"/>
    <s v="PUR0963925"/>
    <m/>
    <s v="9260000"/>
    <s v="521900"/>
    <s v="0000"/>
    <s v="554"/>
    <s v="BENEFITS"/>
    <s v="0000"/>
    <m/>
  </r>
  <r>
    <d v="2021-11-22T00:00:00"/>
    <x v="10"/>
    <x v="0"/>
    <n v="14540.2"/>
    <s v="00531189"/>
    <s v="011835450"/>
    <x v="0"/>
    <s v="57213160176"/>
    <s v="7213001222"/>
    <s v="TRN"/>
    <s v="PUR0964278"/>
    <m/>
    <s v="9260000"/>
    <s v="571900"/>
    <s v="9010"/>
    <s v="553"/>
    <s v="0000SUPT"/>
    <s v="0000"/>
    <m/>
  </r>
  <r>
    <d v="2021-11-22T00:00:00"/>
    <x v="10"/>
    <x v="0"/>
    <n v="1047.67"/>
    <s v="00531156"/>
    <s v="012061960"/>
    <x v="5"/>
    <s v="3255177"/>
    <s v="7213001206"/>
    <s v="TRN"/>
    <s v="PUR0964278"/>
    <m/>
    <s v="9260000"/>
    <s v="571900"/>
    <s v="9010"/>
    <s v="554"/>
    <s v="0000SUPT"/>
    <s v="0000"/>
    <m/>
  </r>
  <r>
    <d v="2021-11-29T00:00:00"/>
    <x v="10"/>
    <x v="0"/>
    <n v="1408512.75"/>
    <s v="00532031"/>
    <s v="012051699"/>
    <x v="1"/>
    <s v="BCBS11222021"/>
    <s v="7213001243"/>
    <s v="ESD"/>
    <s v="PUR0964415"/>
    <m/>
    <s v="9260000"/>
    <s v="521900"/>
    <s v="0000"/>
    <s v="554"/>
    <s v="BENEFITS"/>
    <s v="0000"/>
    <m/>
  </r>
  <r>
    <d v="2021-11-05T00:00:00"/>
    <x v="10"/>
    <x v="0"/>
    <n v="22775.77"/>
    <s v="00529123"/>
    <s v="011835450"/>
    <x v="0"/>
    <s v="57213020531"/>
    <s v="7213001167"/>
    <s v="TRN"/>
    <s v="PUR0963867"/>
    <m/>
    <s v="9260000"/>
    <s v="571900"/>
    <s v="9010"/>
    <s v="553"/>
    <s v="0000SUPT"/>
    <s v="0000"/>
    <m/>
  </r>
  <r>
    <d v="2021-11-10T00:00:00"/>
    <x v="10"/>
    <x v="0"/>
    <n v="27.16"/>
    <s v="00529553"/>
    <s v="006639552"/>
    <x v="2"/>
    <s v="53278644"/>
    <s v="7213001186"/>
    <s v="ESD"/>
    <s v="PUR0963964"/>
    <m/>
    <s v="9260000"/>
    <s v="521900"/>
    <s v="0000"/>
    <s v="554"/>
    <s v="BENEFITS"/>
    <s v="0000"/>
    <m/>
  </r>
  <r>
    <d v="2021-11-10T00:00:00"/>
    <x v="10"/>
    <x v="0"/>
    <n v="23.19"/>
    <s v="00529553"/>
    <s v="006639552"/>
    <x v="2"/>
    <s v="53278644"/>
    <s v="7213001186"/>
    <s v="TRN"/>
    <s v="PUR0963968"/>
    <m/>
    <s v="9260000"/>
    <s v="571900"/>
    <s v="9010"/>
    <s v="554"/>
    <s v="0000SUPT"/>
    <s v="0000"/>
    <m/>
  </r>
  <r>
    <d v="2021-11-12T00:00:00"/>
    <x v="10"/>
    <x v="0"/>
    <n v="79326.69"/>
    <s v="00530186"/>
    <s v="006639552"/>
    <x v="2"/>
    <s v="53281690"/>
    <s v="7213001200"/>
    <s v="TRN"/>
    <s v="PUR0964039"/>
    <m/>
    <s v="9260000"/>
    <s v="571900"/>
    <s v="9010"/>
    <s v="554"/>
    <s v="0000SUPT"/>
    <s v="0000"/>
    <m/>
  </r>
  <r>
    <d v="2021-11-30T00:00:00"/>
    <x v="10"/>
    <x v="0"/>
    <n v="587324.74"/>
    <s v="00532400"/>
    <s v="012051699"/>
    <x v="1"/>
    <s v="BCBS11292021"/>
    <s v="7213001263"/>
    <s v="ESD"/>
    <s v="PUR0964489"/>
    <m/>
    <s v="9260000"/>
    <s v="521900"/>
    <s v="0000"/>
    <s v="554"/>
    <s v="BENEFITS"/>
    <s v="0000"/>
    <m/>
  </r>
  <r>
    <d v="2021-11-30T00:00:00"/>
    <x v="10"/>
    <x v="0"/>
    <n v="16130.18"/>
    <s v="00532403"/>
    <s v="011835450"/>
    <x v="0"/>
    <s v="57213300245"/>
    <s v="7213001264"/>
    <s v="TRN"/>
    <s v="PUR0964481"/>
    <m/>
    <s v="9260000"/>
    <s v="571900"/>
    <s v="9010"/>
    <s v="553"/>
    <s v="0000SUPT"/>
    <s v="0000"/>
    <m/>
  </r>
  <r>
    <d v="2021-11-22T00:00:00"/>
    <x v="10"/>
    <x v="0"/>
    <n v="858457.13"/>
    <s v="00531187"/>
    <s v="012051699"/>
    <x v="1"/>
    <s v="BCBS11152021"/>
    <s v="7213001221"/>
    <s v="ESD"/>
    <s v="PUR0964271"/>
    <m/>
    <s v="9260000"/>
    <s v="521900"/>
    <s v="0000"/>
    <s v="554"/>
    <s v="BENEFITS"/>
    <s v="0000"/>
    <m/>
  </r>
  <r>
    <d v="2021-11-29T00:00:00"/>
    <x v="10"/>
    <x v="0"/>
    <n v="232132.29"/>
    <s v="00532031"/>
    <s v="012051699"/>
    <x v="1"/>
    <s v="BCBS11222021"/>
    <s v="7213001243"/>
    <s v="TRN"/>
    <s v="PUR0964421"/>
    <m/>
    <s v="9260000"/>
    <s v="571900"/>
    <s v="9010"/>
    <s v="554"/>
    <s v="0000SUPT"/>
    <s v="0000"/>
    <m/>
  </r>
  <r>
    <d v="2021-11-05T00:00:00"/>
    <x v="10"/>
    <x v="0"/>
    <n v="144059.34"/>
    <s v="00529122"/>
    <s v="012051699"/>
    <x v="1"/>
    <s v="BCBS11012021"/>
    <s v="7213001166"/>
    <s v="TRN"/>
    <s v="PUR0963867"/>
    <m/>
    <s v="9260000"/>
    <s v="571900"/>
    <s v="9010"/>
    <s v="554"/>
    <s v="0000SUPT"/>
    <s v="0000"/>
    <m/>
  </r>
  <r>
    <d v="2021-11-05T00:00:00"/>
    <x v="10"/>
    <x v="0"/>
    <n v="1228003.6200000001"/>
    <s v="00529122"/>
    <s v="012051699"/>
    <x v="1"/>
    <s v="BCBS11012021"/>
    <s v="7213001166"/>
    <s v="ESD"/>
    <s v="PUR0963862"/>
    <m/>
    <s v="9260000"/>
    <s v="521900"/>
    <s v="0000"/>
    <s v="554"/>
    <s v="BENEFITS"/>
    <s v="0000"/>
    <m/>
  </r>
  <r>
    <d v="2021-11-10T00:00:00"/>
    <x v="10"/>
    <x v="0"/>
    <n v="661.61"/>
    <s v="00529558"/>
    <s v="012061960"/>
    <x v="5"/>
    <s v="3254449"/>
    <s v="7213001188"/>
    <s v="ESD"/>
    <s v="PUR0963964"/>
    <m/>
    <s v="9260000"/>
    <s v="521900"/>
    <s v="0000"/>
    <s v="554"/>
    <s v="BENEFITS"/>
    <s v="0000"/>
    <m/>
  </r>
  <r>
    <d v="2021-11-12T00:00:00"/>
    <x v="10"/>
    <x v="0"/>
    <n v="18536.71"/>
    <s v="00530180"/>
    <s v="011835450"/>
    <x v="0"/>
    <s v="57213090172"/>
    <s v="7213001195"/>
    <s v="TRN"/>
    <s v="PUR0964039"/>
    <m/>
    <s v="9260000"/>
    <s v="571900"/>
    <s v="9010"/>
    <s v="553"/>
    <s v="0000SUPT"/>
    <s v="0000"/>
    <m/>
  </r>
  <r>
    <d v="2021-11-12T00:00:00"/>
    <x v="10"/>
    <x v="0"/>
    <n v="728869.2"/>
    <s v="00530177"/>
    <s v="012051699"/>
    <x v="1"/>
    <s v="BCBS11082021"/>
    <s v="0213001194"/>
    <s v="ESD"/>
    <s v="PUR0964033"/>
    <m/>
    <s v="9260000"/>
    <s v="521900"/>
    <s v="0000"/>
    <s v="554"/>
    <s v="BENEFITS"/>
    <s v="0000"/>
    <m/>
  </r>
  <r>
    <d v="2021-11-30T00:00:00"/>
    <x v="10"/>
    <x v="0"/>
    <n v="1301.8"/>
    <s v="00532411"/>
    <s v="012061960"/>
    <x v="5"/>
    <s v="3255886"/>
    <s v="7213001268"/>
    <s v="ESD"/>
    <s v="PUR0964489"/>
    <m/>
    <s v="9260000"/>
    <s v="521900"/>
    <s v="0000"/>
    <s v="554"/>
    <s v="BENEFITS"/>
    <s v="0000"/>
    <m/>
  </r>
  <r>
    <d v="2021-12-10T00:00:00"/>
    <x v="11"/>
    <x v="0"/>
    <n v="4521043.3899999997"/>
    <s v="00534142"/>
    <s v="012051699"/>
    <x v="1"/>
    <s v="BCBS12062021"/>
    <s v="7213001316"/>
    <s v="ESD"/>
    <s v="PUR0965095"/>
    <m/>
    <s v="9260000"/>
    <s v="521900"/>
    <s v="0000"/>
    <s v="554"/>
    <s v="BENEFITS"/>
    <s v="0000"/>
    <m/>
  </r>
  <r>
    <d v="2021-12-10T00:00:00"/>
    <x v="11"/>
    <x v="0"/>
    <n v="392.26"/>
    <s v="00534140"/>
    <s v="012061960"/>
    <x v="5"/>
    <s v="3256034"/>
    <s v="7213001315"/>
    <s v="TRN"/>
    <s v="PUR0965101"/>
    <m/>
    <s v="9260000"/>
    <s v="571900"/>
    <s v="9010"/>
    <s v="554"/>
    <s v="0000SUPT"/>
    <s v="0000"/>
    <m/>
  </r>
  <r>
    <d v="2021-12-10T00:00:00"/>
    <x v="11"/>
    <x v="0"/>
    <n v="67761.41"/>
    <s v="00534144"/>
    <s v="011835450"/>
    <x v="0"/>
    <s v="57213340513"/>
    <s v="7213001317"/>
    <s v="ESD"/>
    <s v="PUR0965095"/>
    <m/>
    <s v="9260000"/>
    <s v="521900"/>
    <s v="0000"/>
    <s v="553"/>
    <s v="BENEFITS"/>
    <s v="0000"/>
    <m/>
  </r>
  <r>
    <d v="2021-12-21T00:00:00"/>
    <x v="11"/>
    <x v="0"/>
    <n v="2553.31"/>
    <s v="00535910"/>
    <s v="000841250"/>
    <x v="3"/>
    <s v="371956902"/>
    <s v="7213001342"/>
    <s v="ESD"/>
    <s v="PUR0965394"/>
    <m/>
    <s v="9260000"/>
    <s v="521900"/>
    <s v="0000"/>
    <s v="554"/>
    <s v="BENEFITS"/>
    <s v="0000"/>
    <m/>
  </r>
  <r>
    <d v="2021-12-10T00:00:00"/>
    <x v="11"/>
    <x v="0"/>
    <n v="474.04"/>
    <s v="00534140"/>
    <s v="012061960"/>
    <x v="5"/>
    <s v="3256034"/>
    <s v="7213001315"/>
    <s v="ESD"/>
    <s v="PUR0965095"/>
    <m/>
    <s v="9260000"/>
    <s v="521900"/>
    <s v="0000"/>
    <s v="554"/>
    <s v="BENEFITS"/>
    <s v="0000"/>
    <m/>
  </r>
  <r>
    <d v="2021-12-10T00:00:00"/>
    <x v="11"/>
    <x v="0"/>
    <n v="4180.6099999999997"/>
    <s v="00534148"/>
    <s v="000841250"/>
    <x v="3"/>
    <s v="371066657"/>
    <s v="7213001318"/>
    <s v="ESD"/>
    <s v="PUR0965095"/>
    <m/>
    <s v="9260000"/>
    <s v="521900"/>
    <s v="0000"/>
    <s v="554"/>
    <s v="BENEFITS"/>
    <s v="0000"/>
    <m/>
  </r>
  <r>
    <d v="2021-12-10T00:00:00"/>
    <x v="11"/>
    <x v="0"/>
    <n v="1305.4100000000001"/>
    <s v="00534148"/>
    <s v="000841250"/>
    <x v="3"/>
    <s v="371066657"/>
    <s v="7213001318"/>
    <s v="TRN"/>
    <s v="PUR0965101"/>
    <m/>
    <s v="9260000"/>
    <s v="571900"/>
    <s v="9010"/>
    <s v="554"/>
    <s v="BENEFITS"/>
    <s v="0000"/>
    <m/>
  </r>
  <r>
    <d v="2021-12-20T00:00:00"/>
    <x v="11"/>
    <x v="0"/>
    <n v="3095.02"/>
    <s v="00535209"/>
    <s v="006639552"/>
    <x v="2"/>
    <s v="53308154"/>
    <s v="7213001337"/>
    <s v="ESD"/>
    <s v="PUR0965365"/>
    <m/>
    <s v="9260000"/>
    <s v="521900"/>
    <s v="0000"/>
    <s v="554"/>
    <s v="BENEFITS"/>
    <s v="0000"/>
    <m/>
  </r>
  <r>
    <d v="2021-12-21T00:00:00"/>
    <x v="11"/>
    <x v="0"/>
    <n v="17328.37"/>
    <s v="00535909"/>
    <s v="011835450"/>
    <x v="0"/>
    <s v="57213440189"/>
    <s v="7213001341"/>
    <s v="TRN"/>
    <s v="PUR0965398"/>
    <m/>
    <s v="9260000"/>
    <s v="571900"/>
    <s v="9010"/>
    <s v="553"/>
    <s v="0000SUPT"/>
    <s v="0000"/>
    <m/>
  </r>
  <r>
    <d v="2021-12-30T00:00:00"/>
    <x v="11"/>
    <x v="0"/>
    <n v="320191.88"/>
    <s v="00537320"/>
    <s v="006639552"/>
    <x v="2"/>
    <s v="53318202"/>
    <s v="7213001391"/>
    <s v="ESD"/>
    <s v="PUR0965719"/>
    <m/>
    <s v="9260000"/>
    <s v="521900"/>
    <s v="0000"/>
    <s v="554"/>
    <s v="BENEFITS"/>
    <s v="0000"/>
    <m/>
  </r>
  <r>
    <d v="2021-12-10T00:00:00"/>
    <x v="11"/>
    <x v="0"/>
    <n v="181082.54"/>
    <s v="00534142"/>
    <s v="012051699"/>
    <x v="1"/>
    <s v="BCBS12062021"/>
    <s v="7213001316"/>
    <s v="TRN"/>
    <s v="PUR0965101"/>
    <m/>
    <s v="9260000"/>
    <s v="571900"/>
    <s v="9010"/>
    <s v="554"/>
    <s v="0000SUPT"/>
    <s v="0000"/>
    <m/>
  </r>
  <r>
    <d v="2021-12-20T00:00:00"/>
    <x v="11"/>
    <x v="0"/>
    <n v="30.6"/>
    <s v="00535209"/>
    <s v="006639552"/>
    <x v="2"/>
    <s v="53308154"/>
    <s v="7213001337"/>
    <s v="TRN"/>
    <s v="PUR0965359"/>
    <m/>
    <s v="9260000"/>
    <s v="571900"/>
    <s v="9010"/>
    <s v="554"/>
    <s v="0000SUPT"/>
    <s v="0000"/>
    <m/>
  </r>
  <r>
    <d v="2021-12-27T00:00:00"/>
    <x v="11"/>
    <x v="0"/>
    <n v="3570.29"/>
    <s v="00536789"/>
    <s v="000841250"/>
    <x v="3"/>
    <s v="372778657"/>
    <s v="7213001373"/>
    <s v="ESD"/>
    <s v="PUR0965550"/>
    <m/>
    <s v="9260000"/>
    <s v="521900"/>
    <s v="0000"/>
    <s v="554"/>
    <s v="BENEFITS"/>
    <s v="0000"/>
    <m/>
  </r>
  <r>
    <d v="2021-12-29T00:00:00"/>
    <x v="11"/>
    <x v="0"/>
    <n v="1478.42"/>
    <s v="00537171"/>
    <s v="012061960"/>
    <x v="5"/>
    <s v="3256846"/>
    <s v="7213001377"/>
    <s v="ESD"/>
    <s v="PUR0965653"/>
    <m/>
    <s v="9260000"/>
    <s v="521900"/>
    <s v="0000"/>
    <s v="554"/>
    <s v="BENEFITS"/>
    <s v="0000"/>
    <m/>
  </r>
  <r>
    <d v="2021-12-30T00:00:00"/>
    <x v="11"/>
    <x v="0"/>
    <n v="605.99"/>
    <s v="00537392"/>
    <s v="012061960"/>
    <x v="5"/>
    <s v="3257385"/>
    <s v="7213001396"/>
    <s v="TRN"/>
    <s v="PUR0965723"/>
    <m/>
    <s v="9260000"/>
    <s v="571900"/>
    <s v="9010"/>
    <s v="554"/>
    <s v="0000SUPT"/>
    <s v="0000"/>
    <m/>
  </r>
  <r>
    <d v="2021-12-30T00:00:00"/>
    <x v="11"/>
    <x v="0"/>
    <n v="8250.01"/>
    <s v="00537314"/>
    <s v="000841250"/>
    <x v="3"/>
    <s v="373906265"/>
    <s v="7213001389"/>
    <s v="ESD"/>
    <s v="PUR0965719"/>
    <m/>
    <s v="9260000"/>
    <s v="521900"/>
    <s v="0000"/>
    <s v="554"/>
    <s v="BENEFITS"/>
    <s v="0000"/>
    <m/>
  </r>
  <r>
    <d v="2021-12-30T00:00:00"/>
    <x v="11"/>
    <x v="0"/>
    <n v="7028.54"/>
    <s v="00537392"/>
    <s v="012061960"/>
    <x v="5"/>
    <s v="3257385"/>
    <s v="7213001396"/>
    <s v="ESD"/>
    <s v="PUR0965719"/>
    <m/>
    <s v="9260000"/>
    <s v="521900"/>
    <s v="0000"/>
    <s v="554"/>
    <s v="BENEFITS"/>
    <s v="0000"/>
    <m/>
  </r>
  <r>
    <d v="2021-12-30T00:00:00"/>
    <x v="11"/>
    <x v="0"/>
    <n v="165873.97"/>
    <s v="00537311"/>
    <s v="012051699"/>
    <x v="1"/>
    <s v="BCBS12272021"/>
    <s v="7213001387"/>
    <s v="TRN"/>
    <s v="PUR0965723"/>
    <m/>
    <s v="9260000"/>
    <s v="571900"/>
    <s v="9010"/>
    <s v="554"/>
    <s v="0000SUPT"/>
    <s v="0000"/>
    <m/>
  </r>
  <r>
    <d v="2021-12-30T00:00:00"/>
    <x v="11"/>
    <x v="0"/>
    <n v="14009.61"/>
    <s v="00537312"/>
    <s v="011835450"/>
    <x v="0"/>
    <s v="57213580212"/>
    <s v="7213001388"/>
    <s v="TRN"/>
    <s v="PUR0965723"/>
    <m/>
    <s v="9260000"/>
    <s v="571900"/>
    <s v="9010"/>
    <s v="553"/>
    <s v="0000SUPT"/>
    <s v="0000"/>
    <m/>
  </r>
  <r>
    <d v="2021-12-10T00:00:00"/>
    <x v="11"/>
    <x v="0"/>
    <n v="15667.6"/>
    <s v="00534144"/>
    <s v="011835450"/>
    <x v="0"/>
    <s v="57213340513"/>
    <s v="7213001317"/>
    <s v="TRN"/>
    <s v="PUR0965101"/>
    <m/>
    <s v="9260000"/>
    <s v="571900"/>
    <s v="9010"/>
    <s v="553"/>
    <s v="0000SUPT"/>
    <s v="0000"/>
    <m/>
  </r>
  <r>
    <d v="2021-12-27T00:00:00"/>
    <x v="11"/>
    <x v="0"/>
    <n v="831.71"/>
    <s v="00536789"/>
    <s v="000841250"/>
    <x v="3"/>
    <s v="372778657"/>
    <s v="7213001373"/>
    <s v="TRN"/>
    <s v="PUR0965554"/>
    <m/>
    <s v="9260000"/>
    <s v="571900"/>
    <s v="9010"/>
    <s v="554"/>
    <s v="BENEFITS"/>
    <s v="0000"/>
    <m/>
  </r>
  <r>
    <d v="2021-12-27T00:00:00"/>
    <x v="11"/>
    <x v="0"/>
    <n v="187.54"/>
    <s v="00536779"/>
    <s v="006639552"/>
    <x v="2"/>
    <s v="53315320"/>
    <s v="7213001368"/>
    <s v="ESD"/>
    <s v="PUR0965550"/>
    <m/>
    <s v="9260000"/>
    <s v="521900"/>
    <s v="0000"/>
    <s v="554"/>
    <s v="BENEFITS"/>
    <s v="0000"/>
    <m/>
  </r>
  <r>
    <d v="2021-12-27T00:00:00"/>
    <x v="11"/>
    <x v="0"/>
    <n v="825013.32"/>
    <s v="00536792"/>
    <s v="012051699"/>
    <x v="1"/>
    <s v="BCBS12202021"/>
    <s v="7213001375"/>
    <s v="ESD"/>
    <s v="PUR0965550"/>
    <m/>
    <s v="9260000"/>
    <s v="521900"/>
    <s v="0000"/>
    <s v="554"/>
    <s v="BENEFITS"/>
    <s v="0000"/>
    <m/>
  </r>
  <r>
    <d v="2021-12-09T00:00:00"/>
    <x v="11"/>
    <x v="0"/>
    <n v="20.92"/>
    <s v="00534063"/>
    <s v="006639552"/>
    <x v="2"/>
    <s v="53304193"/>
    <s v="7213001310"/>
    <s v="ESD"/>
    <s v="PUR0965072"/>
    <m/>
    <s v="9260000"/>
    <s v="521900"/>
    <s v="0000"/>
    <s v="554"/>
    <s v="BENEFITS"/>
    <s v="0000"/>
    <m/>
  </r>
  <r>
    <d v="2021-12-21T00:00:00"/>
    <x v="11"/>
    <x v="0"/>
    <n v="1097998.7"/>
    <s v="00535908"/>
    <s v="012051699"/>
    <x v="1"/>
    <s v="BCBS12132021"/>
    <s v="7213001340"/>
    <s v="ESD"/>
    <s v="PUR0965394"/>
    <m/>
    <s v="9260000"/>
    <s v="521900"/>
    <s v="0000"/>
    <s v="554"/>
    <s v="BENEFITS"/>
    <s v="0000"/>
    <m/>
  </r>
  <r>
    <d v="2021-12-20T00:00:00"/>
    <x v="11"/>
    <x v="0"/>
    <n v="203964.23"/>
    <s v="00535117"/>
    <s v="006639552"/>
    <x v="2"/>
    <s v="53307233"/>
    <s v="7213001334"/>
    <s v="ESD"/>
    <s v="PUR0965365"/>
    <m/>
    <s v="9260000"/>
    <s v="521900"/>
    <s v="0000"/>
    <s v="554"/>
    <s v="BENEFITS"/>
    <s v="0000"/>
    <m/>
  </r>
  <r>
    <d v="2021-12-20T00:00:00"/>
    <x v="11"/>
    <x v="0"/>
    <n v="49423.65"/>
    <s v="00535117"/>
    <s v="006639552"/>
    <x v="2"/>
    <s v="53307233"/>
    <s v="7213001334"/>
    <s v="TRN"/>
    <s v="PUR0965359"/>
    <m/>
    <s v="9260000"/>
    <s v="571900"/>
    <s v="9010"/>
    <s v="554"/>
    <s v="0000SUPT"/>
    <s v="0000"/>
    <m/>
  </r>
  <r>
    <d v="2021-12-09T00:00:00"/>
    <x v="11"/>
    <x v="0"/>
    <n v="26.55"/>
    <s v="00534063"/>
    <s v="006639552"/>
    <x v="2"/>
    <s v="53304193"/>
    <s v="7213001310"/>
    <s v="TRN"/>
    <s v="PUR0965068"/>
    <m/>
    <s v="9260000"/>
    <s v="571900"/>
    <s v="9010"/>
    <s v="554"/>
    <s v="0000SUPT"/>
    <s v="0000"/>
    <m/>
  </r>
  <r>
    <d v="2021-12-09T00:00:00"/>
    <x v="11"/>
    <x v="0"/>
    <n v="196817.28"/>
    <s v="00533935"/>
    <s v="006639552"/>
    <x v="2"/>
    <s v="53299729"/>
    <s v="7213001307"/>
    <s v="ESD"/>
    <s v="PUR0965072"/>
    <m/>
    <s v="9260000"/>
    <s v="521900"/>
    <s v="0000"/>
    <s v="554"/>
    <s v="BENEFITS"/>
    <s v="0000"/>
    <m/>
  </r>
  <r>
    <d v="2021-12-21T00:00:00"/>
    <x v="11"/>
    <x v="0"/>
    <n v="-191.76"/>
    <s v="00535907"/>
    <s v="012061960"/>
    <x v="5"/>
    <s v="3256706"/>
    <s v="7213001339"/>
    <s v="ESD"/>
    <s v="PUR0965394"/>
    <m/>
    <s v="9260000"/>
    <s v="521900"/>
    <s v="0000"/>
    <s v="554"/>
    <s v="BENEFITS"/>
    <s v="0000"/>
    <m/>
  </r>
  <r>
    <d v="2021-12-29T00:00:00"/>
    <x v="11"/>
    <x v="0"/>
    <n v="142.63999999999999"/>
    <s v="00537171"/>
    <s v="012061960"/>
    <x v="5"/>
    <s v="3256846"/>
    <s v="7213001377"/>
    <s v="TRN"/>
    <s v="PUR0965659"/>
    <m/>
    <s v="9260000"/>
    <s v="571900"/>
    <s v="9010"/>
    <s v="554"/>
    <s v="0000SUPT"/>
    <s v="0000"/>
    <m/>
  </r>
  <r>
    <d v="2021-12-30T00:00:00"/>
    <x v="11"/>
    <x v="0"/>
    <n v="57027.95"/>
    <s v="00537312"/>
    <s v="011835450"/>
    <x v="0"/>
    <s v="57213580212"/>
    <s v="7213001388"/>
    <s v="ESD"/>
    <s v="PUR0965719"/>
    <m/>
    <s v="9260000"/>
    <s v="521900"/>
    <s v="0000"/>
    <s v="553"/>
    <s v="BENEFITS"/>
    <s v="0000"/>
    <m/>
  </r>
  <r>
    <d v="2021-12-27T00:00:00"/>
    <x v="11"/>
    <x v="0"/>
    <n v="259217.71"/>
    <s v="00536792"/>
    <s v="012051699"/>
    <x v="1"/>
    <s v="BCBS12202021"/>
    <s v="7213001375"/>
    <s v="TRN"/>
    <s v="PUR0965554"/>
    <m/>
    <s v="9260000"/>
    <s v="571900"/>
    <s v="9010"/>
    <s v="554"/>
    <s v="0000SUPT"/>
    <s v="0000"/>
    <m/>
  </r>
  <r>
    <d v="2021-12-27T00:00:00"/>
    <x v="11"/>
    <x v="0"/>
    <n v="14474.18"/>
    <s v="00536791"/>
    <s v="011835450"/>
    <x v="0"/>
    <s v="57213510165"/>
    <s v="7213001374"/>
    <s v="TRN"/>
    <s v="PUR0965554"/>
    <m/>
    <s v="9260000"/>
    <s v="571900"/>
    <s v="9010"/>
    <s v="553"/>
    <s v="0000SUPT"/>
    <s v="0000"/>
    <m/>
  </r>
  <r>
    <d v="2021-12-27T00:00:00"/>
    <x v="11"/>
    <x v="0"/>
    <n v="74308.41"/>
    <s v="00536775"/>
    <s v="006639552"/>
    <x v="2"/>
    <s v="53312718"/>
    <s v="7213001364"/>
    <s v="TRN"/>
    <s v="PUR0965554"/>
    <m/>
    <s v="9260000"/>
    <s v="571900"/>
    <s v="9010"/>
    <s v="554"/>
    <s v="0000SUPT"/>
    <s v="0000"/>
    <m/>
  </r>
  <r>
    <d v="2021-12-27T00:00:00"/>
    <x v="11"/>
    <x v="0"/>
    <n v="279383.06"/>
    <s v="00536775"/>
    <s v="006639552"/>
    <x v="2"/>
    <s v="53312718"/>
    <s v="7213001364"/>
    <s v="ESD"/>
    <s v="PUR0965550"/>
    <m/>
    <s v="9260000"/>
    <s v="521900"/>
    <s v="0000"/>
    <s v="554"/>
    <s v="BENEFITS"/>
    <s v="0000"/>
    <m/>
  </r>
  <r>
    <d v="2021-12-27T00:00:00"/>
    <x v="11"/>
    <x v="0"/>
    <n v="27.54"/>
    <s v="00536779"/>
    <s v="006639552"/>
    <x v="2"/>
    <s v="53315320"/>
    <s v="7213001368"/>
    <s v="TRN"/>
    <s v="PUR0965554"/>
    <m/>
    <s v="9260000"/>
    <s v="571900"/>
    <s v="9010"/>
    <s v="554"/>
    <s v="0000SUPT"/>
    <s v="0000"/>
    <m/>
  </r>
  <r>
    <d v="2021-12-21T00:00:00"/>
    <x v="11"/>
    <x v="0"/>
    <n v="3900"/>
    <s v="00536378"/>
    <s v="012015563"/>
    <x v="4"/>
    <s v="ONCORMETLTDDEC21"/>
    <s v="7213001358"/>
    <s v="ESD"/>
    <s v="PUR0965394"/>
    <m/>
    <s v="9260000"/>
    <s v="521900"/>
    <s v="0000"/>
    <s v="557"/>
    <s v="00000000"/>
    <s v="0000"/>
    <m/>
  </r>
  <r>
    <d v="2021-12-30T00:00:00"/>
    <x v="11"/>
    <x v="0"/>
    <n v="3407.11"/>
    <s v="00537324"/>
    <s v="006639552"/>
    <x v="2"/>
    <s v="53319141"/>
    <s v="7213001392"/>
    <s v="ESD"/>
    <s v="PUR0965719"/>
    <m/>
    <s v="9260000"/>
    <s v="521900"/>
    <s v="0000"/>
    <s v="554"/>
    <s v="BENEFITS"/>
    <s v="0000"/>
    <m/>
  </r>
  <r>
    <d v="2021-12-30T00:00:00"/>
    <x v="11"/>
    <x v="0"/>
    <n v="446.59"/>
    <s v="00537314"/>
    <s v="000841250"/>
    <x v="3"/>
    <s v="373906265"/>
    <s v="7213001389"/>
    <s v="TRN"/>
    <s v="PUR0965723"/>
    <m/>
    <s v="9260000"/>
    <s v="571900"/>
    <s v="9010"/>
    <s v="554"/>
    <s v="BENEFITS"/>
    <s v="0000"/>
    <m/>
  </r>
  <r>
    <d v="2021-12-21T00:00:00"/>
    <x v="11"/>
    <x v="0"/>
    <n v="161.24"/>
    <s v="00535910"/>
    <s v="000841250"/>
    <x v="3"/>
    <s v="371956902"/>
    <s v="7213001342"/>
    <s v="TRN"/>
    <s v="PUR0965398"/>
    <m/>
    <s v="9260000"/>
    <s v="571900"/>
    <s v="9010"/>
    <s v="554"/>
    <s v="BENEFITS"/>
    <s v="0000"/>
    <m/>
  </r>
  <r>
    <d v="2021-12-30T00:00:00"/>
    <x v="11"/>
    <x v="0"/>
    <n v="843154.86"/>
    <s v="00537311"/>
    <s v="012051699"/>
    <x v="1"/>
    <s v="BCBS12272021"/>
    <s v="7213001387"/>
    <s v="ESD"/>
    <s v="PUR0965719"/>
    <m/>
    <s v="9260000"/>
    <s v="521900"/>
    <s v="0000"/>
    <s v="554"/>
    <s v="BENEFITS"/>
    <s v="0000"/>
    <m/>
  </r>
  <r>
    <d v="2021-12-30T00:00:00"/>
    <x v="11"/>
    <x v="0"/>
    <n v="73.7"/>
    <s v="00537324"/>
    <s v="006639552"/>
    <x v="2"/>
    <s v="53319141"/>
    <s v="7213001392"/>
    <s v="TRN"/>
    <s v="PUR0965723"/>
    <m/>
    <s v="9260000"/>
    <s v="571900"/>
    <s v="9010"/>
    <s v="554"/>
    <s v="0000SUPT"/>
    <s v="0000"/>
    <m/>
  </r>
  <r>
    <d v="2021-12-27T00:00:00"/>
    <x v="11"/>
    <x v="0"/>
    <n v="58474.99"/>
    <s v="00536791"/>
    <s v="011835450"/>
    <x v="0"/>
    <s v="57213510165"/>
    <s v="7213001374"/>
    <s v="ESD"/>
    <s v="PUR0965550"/>
    <m/>
    <s v="9260000"/>
    <s v="521900"/>
    <s v="0000"/>
    <s v="553"/>
    <s v="BENEFITS"/>
    <s v="0000"/>
    <m/>
  </r>
  <r>
    <d v="2021-12-09T00:00:00"/>
    <x v="11"/>
    <x v="0"/>
    <n v="25259.46"/>
    <s v="00533935"/>
    <s v="006639552"/>
    <x v="2"/>
    <s v="53299729"/>
    <s v="7213001307"/>
    <s v="TRN"/>
    <s v="PUR0965068"/>
    <m/>
    <s v="9260000"/>
    <s v="571900"/>
    <s v="9010"/>
    <s v="554"/>
    <s v="0000SUPT"/>
    <s v="0000"/>
    <m/>
  </r>
  <r>
    <d v="2021-12-21T00:00:00"/>
    <x v="11"/>
    <x v="0"/>
    <n v="210932.67"/>
    <s v="00535908"/>
    <s v="012051699"/>
    <x v="1"/>
    <s v="BCBS12132021"/>
    <s v="7213001340"/>
    <s v="TRN"/>
    <s v="PUR0965398"/>
    <m/>
    <s v="9260000"/>
    <s v="571900"/>
    <s v="9010"/>
    <s v="554"/>
    <s v="0000SUPT"/>
    <s v="0000"/>
    <m/>
  </r>
  <r>
    <d v="2021-12-21T00:00:00"/>
    <x v="11"/>
    <x v="0"/>
    <n v="61732.76"/>
    <s v="00535909"/>
    <s v="011835450"/>
    <x v="0"/>
    <s v="57213440189"/>
    <s v="7213001341"/>
    <s v="ESD"/>
    <s v="PUR0965394"/>
    <m/>
    <s v="9260000"/>
    <s v="521900"/>
    <s v="0000"/>
    <s v="553"/>
    <s v="BENEFITS"/>
    <s v="0000"/>
    <m/>
  </r>
  <r>
    <d v="2021-12-21T00:00:00"/>
    <x v="11"/>
    <x v="0"/>
    <n v="136.88"/>
    <s v="00535907"/>
    <s v="012061960"/>
    <x v="5"/>
    <s v="3256706"/>
    <s v="7213001339"/>
    <s v="TRN"/>
    <s v="PUR0965398"/>
    <m/>
    <s v="9260000"/>
    <s v="571900"/>
    <s v="9010"/>
    <s v="554"/>
    <s v="0000SUPT"/>
    <s v="0000"/>
    <m/>
  </r>
  <r>
    <d v="2021-12-30T00:00:00"/>
    <x v="11"/>
    <x v="0"/>
    <n v="26571.439999999999"/>
    <s v="00537320"/>
    <s v="006639552"/>
    <x v="2"/>
    <s v="53318202"/>
    <s v="7213001391"/>
    <s v="TRN"/>
    <s v="PUR0965723"/>
    <m/>
    <s v="9260000"/>
    <s v="571900"/>
    <s v="9010"/>
    <s v="554"/>
    <s v="0000SUPT"/>
    <s v="0000"/>
    <m/>
  </r>
  <r>
    <d v="2021-01-05T00:00:00"/>
    <x v="0"/>
    <x v="0"/>
    <n v="-260841.5"/>
    <s v="UJE"/>
    <m/>
    <x v="2"/>
    <s v="Accrue CVS Claims Dec WK4"/>
    <m/>
    <s v="ESD"/>
    <s v="0000894243"/>
    <s v="To accrue Q4 2020 Benefits"/>
    <s v="9260000"/>
    <s v="521900"/>
    <s v="0000"/>
    <s v="554"/>
    <s v="BENEFITS"/>
    <s v="0000"/>
    <m/>
  </r>
  <r>
    <d v="2021-01-05T00:00:00"/>
    <x v="0"/>
    <x v="0"/>
    <n v="-306.04000000000002"/>
    <s v="UJE"/>
    <m/>
    <x v="2"/>
    <s v="Accrue CVS WP Dec WK4"/>
    <m/>
    <s v="ESD"/>
    <s v="0000894243"/>
    <s v="To accrue Q4 2020 Benefits"/>
    <s v="9260000"/>
    <s v="521900"/>
    <s v="0000"/>
    <s v="554"/>
    <s v="BENEFITS"/>
    <s v="0000"/>
    <m/>
  </r>
  <r>
    <d v="2021-01-05T00:00:00"/>
    <x v="0"/>
    <x v="0"/>
    <n v="-2518.83"/>
    <s v="UJE"/>
    <m/>
    <x v="5"/>
    <s v="Accrue Silverscript Dec WK4"/>
    <m/>
    <s v="ESD"/>
    <s v="0000894243"/>
    <s v="To accrue Q4 2020 Benefits"/>
    <s v="9260000"/>
    <s v="521900"/>
    <s v="0000"/>
    <s v="554"/>
    <s v="BENEFITS"/>
    <s v="0000"/>
    <m/>
  </r>
  <r>
    <d v="2021-01-05T00:00:00"/>
    <x v="0"/>
    <x v="0"/>
    <n v="-607171.6"/>
    <s v="UJE"/>
    <m/>
    <x v="1"/>
    <s v="Accrue BCBS Dec WK4"/>
    <m/>
    <s v="ESD"/>
    <s v="0000894243"/>
    <s v="To accrue Q4 2020 Benefits"/>
    <s v="9260000"/>
    <s v="521900"/>
    <s v="0000"/>
    <s v="554"/>
    <s v="BENEFITS"/>
    <s v="0000"/>
    <m/>
  </r>
  <r>
    <d v="2021-01-05T00:00:00"/>
    <x v="0"/>
    <x v="0"/>
    <n v="-38196.400000000001"/>
    <s v="UJE"/>
    <m/>
    <x v="0"/>
    <s v="Accrue Aetna Claims WK4 Dec"/>
    <m/>
    <s v="ESD"/>
    <s v="0000894243"/>
    <s v="To accrue Q4 2020 Benefits"/>
    <s v="9260000"/>
    <s v="521900"/>
    <s v="0000"/>
    <s v="553"/>
    <s v="BENEFITS"/>
    <s v="0000"/>
    <m/>
  </r>
  <r>
    <d v="2021-01-05T00:00:00"/>
    <x v="0"/>
    <x v="0"/>
    <n v="-3932.72"/>
    <s v="UJE"/>
    <m/>
    <x v="3"/>
    <s v="Accrue CYC Claims WK4 Dec"/>
    <m/>
    <s v="ESD"/>
    <s v="0000894243"/>
    <s v="To accrue Q4 2020 Benefits"/>
    <s v="9260000"/>
    <s v="521900"/>
    <s v="0000"/>
    <s v="554"/>
    <s v="BENEFITS"/>
    <s v="0000"/>
    <m/>
  </r>
  <r>
    <d v="2021-01-05T00:00:00"/>
    <x v="0"/>
    <x v="0"/>
    <n v="-104549.06"/>
    <s v="UJE"/>
    <m/>
    <x v="2"/>
    <s v="Accrue CVS Claims Dec WK4"/>
    <m/>
    <s v="TRN"/>
    <s v="0000894243"/>
    <s v="To accrue Q4 2020 Benefits"/>
    <s v="9260000"/>
    <s v="571900"/>
    <s v="9010"/>
    <s v="554"/>
    <s v="0000SUPT"/>
    <s v="0000"/>
    <m/>
  </r>
  <r>
    <d v="2021-01-05T00:00:00"/>
    <x v="0"/>
    <x v="0"/>
    <n v="-1.4"/>
    <s v="UJE"/>
    <m/>
    <x v="2"/>
    <s v="Accrue CVS WP Dec WK4"/>
    <m/>
    <s v="TRN"/>
    <s v="0000894243"/>
    <s v="To accrue Q4 2020 Benefits"/>
    <s v="9260000"/>
    <s v="571900"/>
    <s v="9010"/>
    <s v="554"/>
    <s v="0000SUPT"/>
    <s v="0000"/>
    <m/>
  </r>
  <r>
    <d v="2021-01-05T00:00:00"/>
    <x v="0"/>
    <x v="0"/>
    <n v="-185.08"/>
    <s v="UJE"/>
    <m/>
    <x v="5"/>
    <s v="Accrue Silverscript Dec WK4"/>
    <m/>
    <s v="TRN"/>
    <s v="0000894243"/>
    <s v="To accrue Q4 2020 Benefits"/>
    <s v="9260000"/>
    <s v="571900"/>
    <s v="9010"/>
    <s v="554"/>
    <s v="0000SUPT"/>
    <s v="0000"/>
    <m/>
  </r>
  <r>
    <d v="2021-01-05T00:00:00"/>
    <x v="0"/>
    <x v="0"/>
    <n v="-218008.78"/>
    <s v="UJE"/>
    <m/>
    <x v="1"/>
    <s v="Accrue BCBS Dec WK4"/>
    <m/>
    <s v="TRN"/>
    <s v="0000894243"/>
    <s v="To accrue Q4 2020 Benefits"/>
    <s v="9260000"/>
    <s v="571900"/>
    <s v="9010"/>
    <s v="554"/>
    <s v="0000SUPT"/>
    <s v="0000"/>
    <m/>
  </r>
  <r>
    <d v="2021-01-05T00:00:00"/>
    <x v="0"/>
    <x v="0"/>
    <n v="-6625.58"/>
    <s v="UJE"/>
    <m/>
    <x v="0"/>
    <s v="Accrue Aetna Claims WK4 Dec"/>
    <m/>
    <s v="TRN"/>
    <s v="0000894243"/>
    <s v="To accrue Q4 2020 Benefits"/>
    <s v="9260000"/>
    <s v="571900"/>
    <s v="9010"/>
    <s v="553"/>
    <s v="0000SUPT"/>
    <s v="0000"/>
    <m/>
  </r>
  <r>
    <d v="2021-01-05T00:00:00"/>
    <x v="0"/>
    <x v="0"/>
    <n v="-1958.98"/>
    <s v="UJE"/>
    <m/>
    <x v="3"/>
    <s v="Accrue CYC Claims WK4 Dec"/>
    <m/>
    <s v="TRN"/>
    <s v="0000894243"/>
    <s v="To accrue Q4 2020 Benefits"/>
    <s v="9260000"/>
    <s v="571900"/>
    <s v="9010"/>
    <s v="554"/>
    <s v="0000SUPT"/>
    <s v="0000"/>
    <m/>
  </r>
  <r>
    <d v="2021-04-05T00:00:00"/>
    <x v="2"/>
    <x v="0"/>
    <n v="341244.09"/>
    <s v="UJE"/>
    <m/>
    <x v="2"/>
    <s v="Accrue CVS Claims Mar WK4"/>
    <m/>
    <s v="ESD"/>
    <s v="0000894243"/>
    <s v="To accrue Q1 2021 Benefits"/>
    <s v="9260000"/>
    <s v="521900"/>
    <s v="0000"/>
    <s v="554"/>
    <s v="BENEFITS"/>
    <s v="0000"/>
    <m/>
  </r>
  <r>
    <d v="2021-04-05T00:00:00"/>
    <x v="2"/>
    <x v="0"/>
    <n v="3847.6"/>
    <s v="UJE"/>
    <m/>
    <x v="2"/>
    <s v="Accrue CVS WP Mar WK4"/>
    <m/>
    <s v="ESD"/>
    <s v="0000894243"/>
    <s v="To accrue Q1 2021 Benefits"/>
    <s v="9260000"/>
    <s v="521900"/>
    <s v="0000"/>
    <s v="554"/>
    <s v="BENEFITS"/>
    <s v="0000"/>
    <m/>
  </r>
  <r>
    <d v="2021-04-05T00:00:00"/>
    <x v="2"/>
    <x v="0"/>
    <n v="1406.89"/>
    <s v="UJE"/>
    <m/>
    <x v="5"/>
    <s v="Accrue Silverscript Mar WK4"/>
    <m/>
    <s v="ESD"/>
    <s v="0000894243"/>
    <s v="To accrue Q1 2021 Benefits"/>
    <s v="9260000"/>
    <s v="521900"/>
    <s v="0000"/>
    <s v="554"/>
    <s v="BENEFITS"/>
    <s v="0000"/>
    <m/>
  </r>
  <r>
    <d v="2021-04-05T00:00:00"/>
    <x v="2"/>
    <x v="0"/>
    <n v="722306.6"/>
    <s v="UJE"/>
    <m/>
    <x v="1"/>
    <s v="Accrue BCBS Mar WK4"/>
    <m/>
    <s v="ESD"/>
    <s v="0000894243"/>
    <s v="To accrue Q1 2021 Benefits"/>
    <s v="9260000"/>
    <s v="521900"/>
    <s v="0000"/>
    <s v="554"/>
    <s v="BENEFITS"/>
    <s v="0000"/>
    <m/>
  </r>
  <r>
    <d v="2021-04-05T00:00:00"/>
    <x v="2"/>
    <x v="0"/>
    <n v="59336.74"/>
    <s v="UJE"/>
    <m/>
    <x v="0"/>
    <s v="Accrue Aetna Claims WK4 Mar"/>
    <m/>
    <s v="ESD"/>
    <s v="0000894243"/>
    <s v="To accrue Q1 2021 Benefits"/>
    <s v="9260000"/>
    <s v="521900"/>
    <s v="0000"/>
    <s v="553"/>
    <s v="BENEFITS"/>
    <s v="0000"/>
    <m/>
  </r>
  <r>
    <d v="2021-04-05T00:00:00"/>
    <x v="2"/>
    <x v="0"/>
    <n v="3091.47"/>
    <s v="UJE"/>
    <m/>
    <x v="3"/>
    <s v="Accrue CYC Claims WK4 Mar"/>
    <m/>
    <s v="ESD"/>
    <s v="0000894243"/>
    <s v="To accrue Q1 2021 Benefits"/>
    <s v="9260000"/>
    <s v="521900"/>
    <s v="0000"/>
    <s v="554"/>
    <s v="BENEFITS"/>
    <s v="0000"/>
    <m/>
  </r>
  <r>
    <d v="2021-04-05T00:00:00"/>
    <x v="2"/>
    <x v="0"/>
    <n v="37410.660000000003"/>
    <s v="UJE"/>
    <m/>
    <x v="2"/>
    <s v="Accrue CVS Claims Mar WK4"/>
    <m/>
    <s v="TRN"/>
    <s v="0000894243"/>
    <s v="To accrue Q1 2021 Benefits"/>
    <s v="9260000"/>
    <s v="571900"/>
    <s v="9010"/>
    <s v="554"/>
    <s v="0000SUPT"/>
    <s v="0000"/>
    <m/>
  </r>
  <r>
    <d v="2021-04-05T00:00:00"/>
    <x v="2"/>
    <x v="0"/>
    <n v="41.46"/>
    <s v="UJE"/>
    <m/>
    <x v="2"/>
    <s v="Accrue CVS WP Mar WK4"/>
    <m/>
    <s v="TRN"/>
    <s v="0000894243"/>
    <s v="To accrue Q1 2021 Benefits"/>
    <s v="9260000"/>
    <s v="571900"/>
    <s v="9010"/>
    <s v="554"/>
    <s v="0000SUPT"/>
    <s v="0000"/>
    <m/>
  </r>
  <r>
    <d v="2021-04-05T00:00:00"/>
    <x v="2"/>
    <x v="0"/>
    <n v="184"/>
    <s v="UJE"/>
    <m/>
    <x v="5"/>
    <s v="Accrue Silverscript Mar WK4"/>
    <m/>
    <s v="TRN"/>
    <s v="0000894243"/>
    <s v="To accrue Q1 2021 Benefits"/>
    <s v="9260000"/>
    <s v="571900"/>
    <s v="9010"/>
    <s v="554"/>
    <s v="0000SUPT"/>
    <s v="0000"/>
    <m/>
  </r>
  <r>
    <d v="2021-04-05T00:00:00"/>
    <x v="2"/>
    <x v="0"/>
    <n v="743088.77"/>
    <s v="UJE"/>
    <m/>
    <x v="1"/>
    <s v="Accrue BCBS Mar WK4"/>
    <m/>
    <s v="TRN"/>
    <s v="0000894243"/>
    <s v="To accrue Q1 2021 Benefits"/>
    <s v="9260000"/>
    <s v="571900"/>
    <s v="9010"/>
    <s v="554"/>
    <s v="0000SUPT"/>
    <s v="0000"/>
    <m/>
  </r>
  <r>
    <d v="2021-04-05T00:00:00"/>
    <x v="2"/>
    <x v="0"/>
    <n v="20107.89"/>
    <s v="UJE"/>
    <m/>
    <x v="0"/>
    <s v="Accrue Aetna Claims WK4 Mar"/>
    <m/>
    <s v="TRN"/>
    <s v="0000894243"/>
    <s v="To accrue Q1 2021 Benefits"/>
    <s v="9260000"/>
    <s v="571900"/>
    <s v="9010"/>
    <s v="553"/>
    <s v="0000SUPT"/>
    <s v="0000"/>
    <m/>
  </r>
  <r>
    <d v="2021-04-05T00:00:00"/>
    <x v="2"/>
    <x v="0"/>
    <n v="-274.23"/>
    <s v="UJE"/>
    <m/>
    <x v="3"/>
    <s v="Accrue CYC Claims WK4 Mar"/>
    <m/>
    <s v="TRN"/>
    <s v="0000894243"/>
    <s v="To accrue Q1 2021 Benefits"/>
    <s v="9260000"/>
    <s v="571900"/>
    <s v="9010"/>
    <s v="554"/>
    <s v="0000SUPT"/>
    <s v="0000"/>
    <m/>
  </r>
  <r>
    <d v="2021-04-05T00:00:00"/>
    <x v="3"/>
    <x v="0"/>
    <n v="-341244.09"/>
    <s v="UJE"/>
    <m/>
    <x v="2"/>
    <s v="Accrue CVS Claims Mar WK4"/>
    <m/>
    <s v="ESD"/>
    <s v="0000894243"/>
    <s v="To accrue Q1 2021 Benefits"/>
    <s v="9260000"/>
    <s v="521900"/>
    <s v="0000"/>
    <s v="554"/>
    <s v="BENEFITS"/>
    <s v="0000"/>
    <m/>
  </r>
  <r>
    <d v="2021-04-05T00:00:00"/>
    <x v="3"/>
    <x v="0"/>
    <n v="-3847.6"/>
    <s v="UJE"/>
    <m/>
    <x v="2"/>
    <s v="Accrue CVS WP Mar WK4"/>
    <m/>
    <s v="ESD"/>
    <s v="0000894243"/>
    <s v="To accrue Q1 2021 Benefits"/>
    <s v="9260000"/>
    <s v="521900"/>
    <s v="0000"/>
    <s v="554"/>
    <s v="BENEFITS"/>
    <s v="0000"/>
    <m/>
  </r>
  <r>
    <d v="2021-04-05T00:00:00"/>
    <x v="3"/>
    <x v="0"/>
    <n v="-1406.89"/>
    <s v="UJE"/>
    <m/>
    <x v="5"/>
    <s v="Accrue Silverscript Mar WK4"/>
    <m/>
    <s v="ESD"/>
    <s v="0000894243"/>
    <s v="To accrue Q1 2021 Benefits"/>
    <s v="9260000"/>
    <s v="521900"/>
    <s v="0000"/>
    <s v="554"/>
    <s v="BENEFITS"/>
    <s v="0000"/>
    <m/>
  </r>
  <r>
    <d v="2021-04-05T00:00:00"/>
    <x v="3"/>
    <x v="0"/>
    <n v="-722306.6"/>
    <s v="UJE"/>
    <m/>
    <x v="1"/>
    <s v="Accrue BCBS Mar WK4"/>
    <m/>
    <s v="ESD"/>
    <s v="0000894243"/>
    <s v="To accrue Q1 2021 Benefits"/>
    <s v="9260000"/>
    <s v="521900"/>
    <s v="0000"/>
    <s v="554"/>
    <s v="BENEFITS"/>
    <s v="0000"/>
    <m/>
  </r>
  <r>
    <d v="2021-04-05T00:00:00"/>
    <x v="3"/>
    <x v="0"/>
    <n v="-59336.74"/>
    <s v="UJE"/>
    <m/>
    <x v="0"/>
    <s v="Accrue Aetna Claims WK4 Mar"/>
    <m/>
    <s v="ESD"/>
    <s v="0000894243"/>
    <s v="To accrue Q1 2021 Benefits"/>
    <s v="9260000"/>
    <s v="521900"/>
    <s v="0000"/>
    <s v="553"/>
    <s v="BENEFITS"/>
    <s v="0000"/>
    <m/>
  </r>
  <r>
    <d v="2021-04-05T00:00:00"/>
    <x v="3"/>
    <x v="0"/>
    <n v="-3091.47"/>
    <s v="UJE"/>
    <m/>
    <x v="3"/>
    <s v="Accrue CYC Claims WK4 Mar"/>
    <m/>
    <s v="ESD"/>
    <s v="0000894243"/>
    <s v="To accrue Q1 2021 Benefits"/>
    <s v="9260000"/>
    <s v="521900"/>
    <s v="0000"/>
    <s v="554"/>
    <s v="BENEFITS"/>
    <s v="0000"/>
    <m/>
  </r>
  <r>
    <d v="2021-04-05T00:00:00"/>
    <x v="3"/>
    <x v="0"/>
    <n v="-37410.660000000003"/>
    <s v="UJE"/>
    <m/>
    <x v="2"/>
    <s v="Accrue CVS Claims Mar WK4"/>
    <m/>
    <s v="TRN"/>
    <s v="0000894243"/>
    <s v="To accrue Q1 2021 Benefits"/>
    <s v="9260000"/>
    <s v="571900"/>
    <s v="9010"/>
    <s v="554"/>
    <s v="0000SUPT"/>
    <s v="0000"/>
    <m/>
  </r>
  <r>
    <d v="2021-04-05T00:00:00"/>
    <x v="3"/>
    <x v="0"/>
    <n v="-41.46"/>
    <s v="UJE"/>
    <m/>
    <x v="2"/>
    <s v="Accrue CVS WP Mar WK4"/>
    <m/>
    <s v="TRN"/>
    <s v="0000894243"/>
    <s v="To accrue Q1 2021 Benefits"/>
    <s v="9260000"/>
    <s v="571900"/>
    <s v="9010"/>
    <s v="554"/>
    <s v="0000SUPT"/>
    <s v="0000"/>
    <m/>
  </r>
  <r>
    <d v="2021-04-05T00:00:00"/>
    <x v="3"/>
    <x v="0"/>
    <n v="-184"/>
    <s v="UJE"/>
    <m/>
    <x v="5"/>
    <s v="Accrue Silverscript Mar WK4"/>
    <m/>
    <s v="TRN"/>
    <s v="0000894243"/>
    <s v="To accrue Q1 2021 Benefits"/>
    <s v="9260000"/>
    <s v="571900"/>
    <s v="9010"/>
    <s v="554"/>
    <s v="0000SUPT"/>
    <s v="0000"/>
    <m/>
  </r>
  <r>
    <d v="2021-04-05T00:00:00"/>
    <x v="3"/>
    <x v="0"/>
    <n v="-743088.77"/>
    <s v="UJE"/>
    <m/>
    <x v="1"/>
    <s v="Accrue BCBS Mar WK4"/>
    <m/>
    <s v="TRN"/>
    <s v="0000894243"/>
    <s v="To accrue Q1 2021 Benefits"/>
    <s v="9260000"/>
    <s v="571900"/>
    <s v="9010"/>
    <s v="554"/>
    <s v="0000SUPT"/>
    <s v="0000"/>
    <m/>
  </r>
  <r>
    <d v="2021-04-05T00:00:00"/>
    <x v="3"/>
    <x v="0"/>
    <n v="-20107.89"/>
    <s v="UJE"/>
    <m/>
    <x v="0"/>
    <s v="Accrue Aetna Claims WK4 Mar"/>
    <m/>
    <s v="TRN"/>
    <s v="0000894243"/>
    <s v="To accrue Q1 2021 Benefits"/>
    <s v="9260000"/>
    <s v="571900"/>
    <s v="9010"/>
    <s v="553"/>
    <s v="0000SUPT"/>
    <s v="0000"/>
    <m/>
  </r>
  <r>
    <d v="2021-04-05T00:00:00"/>
    <x v="3"/>
    <x v="0"/>
    <n v="274.23"/>
    <s v="UJE"/>
    <m/>
    <x v="3"/>
    <s v="Accrue CYC Claims WK4 Mar"/>
    <m/>
    <s v="TRN"/>
    <s v="0000894243"/>
    <s v="To accrue Q1 2021 Benefits"/>
    <s v="9260000"/>
    <s v="571900"/>
    <s v="9010"/>
    <s v="554"/>
    <s v="0000SUPT"/>
    <s v="0000"/>
    <m/>
  </r>
  <r>
    <d v="2021-07-01T00:00:00"/>
    <x v="5"/>
    <x v="0"/>
    <n v="137248.9"/>
    <s v="UJE"/>
    <m/>
    <x v="2"/>
    <s v="Accrue CVS Claims Jun WK4"/>
    <m/>
    <s v="ESD"/>
    <s v="0000894243"/>
    <s v="To accrue Q2 2021 Benefits"/>
    <s v="9260000"/>
    <s v="521900"/>
    <s v="0000"/>
    <s v="554"/>
    <s v="BENEFITS"/>
    <s v="0000"/>
    <m/>
  </r>
  <r>
    <d v="2021-07-01T00:00:00"/>
    <x v="5"/>
    <x v="0"/>
    <n v="121.7"/>
    <s v="UJE"/>
    <m/>
    <x v="2"/>
    <s v="Accrue CVS WP Jun WK4"/>
    <m/>
    <s v="ESD"/>
    <s v="0000894243"/>
    <s v="To accrue Q2 2021 Benefits"/>
    <s v="9260000"/>
    <s v="521900"/>
    <s v="0000"/>
    <s v="554"/>
    <s v="BENEFITS"/>
    <s v="0000"/>
    <m/>
  </r>
  <r>
    <d v="2021-07-01T00:00:00"/>
    <x v="5"/>
    <x v="0"/>
    <n v="1183.29"/>
    <s v="UJE"/>
    <m/>
    <x v="5"/>
    <s v="Accrue Silverscript Jun WK4"/>
    <m/>
    <s v="ESD"/>
    <s v="0000894243"/>
    <s v="To accrue Q2 2021 Benefits"/>
    <s v="9260000"/>
    <s v="521900"/>
    <s v="0000"/>
    <s v="554"/>
    <s v="BENEFITS"/>
    <s v="0000"/>
    <m/>
  </r>
  <r>
    <d v="2021-07-01T00:00:00"/>
    <x v="5"/>
    <x v="0"/>
    <n v="44489.58"/>
    <s v="UJE"/>
    <m/>
    <x v="2"/>
    <s v="Accrue CVS Claims Jun WK4"/>
    <m/>
    <s v="TRN"/>
    <s v="0000894243"/>
    <s v="To accrue Q2 2021 Benefits"/>
    <s v="9260000"/>
    <s v="571900"/>
    <s v="9010"/>
    <s v="554"/>
    <s v="0000SUPT"/>
    <s v="0000"/>
    <m/>
  </r>
  <r>
    <d v="2021-07-01T00:00:00"/>
    <x v="5"/>
    <x v="0"/>
    <n v="3.96"/>
    <s v="UJE"/>
    <m/>
    <x v="2"/>
    <s v="Accrue CVS WP Jun WK4"/>
    <m/>
    <s v="TRN"/>
    <s v="0000894243"/>
    <s v="To accrue Q2 2021 Benefits"/>
    <s v="9260000"/>
    <s v="571900"/>
    <s v="9010"/>
    <s v="554"/>
    <s v="0000SUPT"/>
    <s v="0000"/>
    <m/>
  </r>
  <r>
    <d v="2021-07-01T00:00:00"/>
    <x v="5"/>
    <x v="0"/>
    <n v="349.29"/>
    <s v="UJE"/>
    <m/>
    <x v="5"/>
    <s v="Accrue Silverscript Jun WK4"/>
    <m/>
    <s v="TRN"/>
    <s v="0000894243"/>
    <s v="To accrue Q2 2021 Benefits"/>
    <s v="9260000"/>
    <s v="571900"/>
    <s v="9010"/>
    <s v="554"/>
    <s v="0000SUPT"/>
    <s v="0000"/>
    <m/>
  </r>
  <r>
    <d v="2021-07-01T00:00:00"/>
    <x v="6"/>
    <x v="0"/>
    <n v="-137248.9"/>
    <s v="UJE"/>
    <m/>
    <x v="2"/>
    <s v="Accrue CVS Claims Jun WK4"/>
    <m/>
    <s v="ESD"/>
    <s v="0000894243"/>
    <s v="To accrue Q2 2021 Benefits"/>
    <s v="9260000"/>
    <s v="521900"/>
    <s v="0000"/>
    <s v="554"/>
    <s v="BENEFITS"/>
    <s v="0000"/>
    <m/>
  </r>
  <r>
    <d v="2021-07-01T00:00:00"/>
    <x v="6"/>
    <x v="0"/>
    <n v="-121.7"/>
    <s v="UJE"/>
    <m/>
    <x v="2"/>
    <s v="Accrue CVS WP Jun WK4"/>
    <m/>
    <s v="ESD"/>
    <s v="0000894243"/>
    <s v="To accrue Q2 2021 Benefits"/>
    <s v="9260000"/>
    <s v="521900"/>
    <s v="0000"/>
    <s v="554"/>
    <s v="BENEFITS"/>
    <s v="0000"/>
    <m/>
  </r>
  <r>
    <d v="2021-07-01T00:00:00"/>
    <x v="6"/>
    <x v="0"/>
    <n v="-1183.29"/>
    <s v="UJE"/>
    <m/>
    <x v="5"/>
    <s v="Accrue Silverscript Jun WK4"/>
    <m/>
    <s v="ESD"/>
    <s v="0000894243"/>
    <s v="To accrue Q2 2021 Benefits"/>
    <s v="9260000"/>
    <s v="521900"/>
    <s v="0000"/>
    <s v="554"/>
    <s v="BENEFITS"/>
    <s v="0000"/>
    <m/>
  </r>
  <r>
    <d v="2021-07-01T00:00:00"/>
    <x v="6"/>
    <x v="0"/>
    <n v="-44489.58"/>
    <s v="UJE"/>
    <m/>
    <x v="2"/>
    <s v="Accrue CVS Claims Jun WK4"/>
    <m/>
    <s v="TRN"/>
    <s v="0000894243"/>
    <s v="To accrue Q2 2021 Benefits"/>
    <s v="9260000"/>
    <s v="571900"/>
    <s v="9010"/>
    <s v="554"/>
    <s v="0000SUPT"/>
    <s v="0000"/>
    <m/>
  </r>
  <r>
    <d v="2021-07-01T00:00:00"/>
    <x v="6"/>
    <x v="0"/>
    <n v="-3.96"/>
    <s v="UJE"/>
    <m/>
    <x v="2"/>
    <s v="Accrue CVS WP Jun WK4"/>
    <m/>
    <s v="TRN"/>
    <s v="0000894243"/>
    <s v="To accrue Q2 2021 Benefits"/>
    <s v="9260000"/>
    <s v="571900"/>
    <s v="9010"/>
    <s v="554"/>
    <s v="0000SUPT"/>
    <s v="0000"/>
    <m/>
  </r>
  <r>
    <d v="2021-07-01T00:00:00"/>
    <x v="6"/>
    <x v="0"/>
    <n v="-349.29"/>
    <s v="UJE"/>
    <m/>
    <x v="5"/>
    <s v="Accrue Silverscript Jun WK4"/>
    <m/>
    <s v="TRN"/>
    <s v="0000894243"/>
    <s v="To accrue Q2 2021 Benefits"/>
    <s v="9260000"/>
    <s v="571900"/>
    <s v="9010"/>
    <s v="554"/>
    <s v="0000SUPT"/>
    <s v="0000"/>
    <m/>
  </r>
  <r>
    <d v="2021-10-04T00:00:00"/>
    <x v="8"/>
    <x v="0"/>
    <n v="225247.61"/>
    <s v="UJE"/>
    <m/>
    <x v="2"/>
    <s v="Accrue CVS Claims Sep WK4"/>
    <m/>
    <s v="ESD"/>
    <s v="0000894243"/>
    <s v="To accrue Q3 2021 Benefits"/>
    <s v="9260000"/>
    <s v="521900"/>
    <s v="0000"/>
    <s v="554"/>
    <s v="BENEFITS"/>
    <s v="0000"/>
    <m/>
  </r>
  <r>
    <d v="2021-10-04T00:00:00"/>
    <x v="8"/>
    <x v="0"/>
    <n v="2028.84"/>
    <s v="UJE"/>
    <m/>
    <x v="2"/>
    <s v="Accrue CVS WP Sep WK4"/>
    <m/>
    <s v="ESD"/>
    <s v="0000894243"/>
    <s v="To accrue Q3 2021 Benefits"/>
    <s v="9260000"/>
    <s v="521900"/>
    <s v="0000"/>
    <s v="554"/>
    <s v="BENEFITS"/>
    <s v="0000"/>
    <m/>
  </r>
  <r>
    <d v="2021-10-04T00:00:00"/>
    <x v="8"/>
    <x v="0"/>
    <n v="7370.91"/>
    <s v="UJE"/>
    <m/>
    <x v="5"/>
    <s v="Accrue Silverscript Sep WK4"/>
    <m/>
    <s v="ESD"/>
    <s v="0000894243"/>
    <s v="To accrue Q3 2021 Benefits"/>
    <s v="9260000"/>
    <s v="521900"/>
    <s v="0000"/>
    <s v="554"/>
    <s v="BENEFITS"/>
    <s v="0000"/>
    <m/>
  </r>
  <r>
    <d v="2021-10-04T00:00:00"/>
    <x v="8"/>
    <x v="0"/>
    <n v="661567.64"/>
    <s v="UJE"/>
    <m/>
    <x v="1"/>
    <s v="Accrue BCBS Sep WK4"/>
    <m/>
    <s v="ESD"/>
    <s v="0000894243"/>
    <s v="To accrue Q3 2021 Benefits"/>
    <s v="9260000"/>
    <s v="521900"/>
    <s v="0000"/>
    <s v="554"/>
    <s v="BENEFITS"/>
    <s v="0000"/>
    <m/>
  </r>
  <r>
    <d v="2021-10-04T00:00:00"/>
    <x v="8"/>
    <x v="0"/>
    <n v="70882.759999999995"/>
    <s v="UJE"/>
    <m/>
    <x v="0"/>
    <s v="Accrue Aetna Claims WK4 Sep"/>
    <m/>
    <s v="ESD"/>
    <s v="0000894243"/>
    <s v="To accrue Q3 2021 Benefits"/>
    <s v="9260000"/>
    <s v="521900"/>
    <s v="0000"/>
    <s v="553"/>
    <s v="BENEFITS"/>
    <s v="0000"/>
    <m/>
  </r>
  <r>
    <d v="2021-10-04T00:00:00"/>
    <x v="8"/>
    <x v="0"/>
    <n v="27150.79"/>
    <s v="UJE"/>
    <m/>
    <x v="2"/>
    <s v="Accrue CVS Claims Sep WK4"/>
    <m/>
    <s v="TRN"/>
    <s v="0000894243"/>
    <s v="To accrue Q3 2021 Benefits"/>
    <s v="9260000"/>
    <s v="571900"/>
    <s v="9010"/>
    <s v="554"/>
    <s v="0000SUPT"/>
    <s v="0000"/>
    <m/>
  </r>
  <r>
    <d v="2021-10-04T00:00:00"/>
    <x v="8"/>
    <x v="0"/>
    <n v="26.13"/>
    <s v="UJE"/>
    <m/>
    <x v="2"/>
    <s v="Accrue CVS WP Sep WK4"/>
    <m/>
    <s v="TRN"/>
    <s v="0000894243"/>
    <s v="To accrue Q3 2021 Benefits"/>
    <s v="9260000"/>
    <s v="571900"/>
    <s v="9010"/>
    <s v="554"/>
    <s v="0000SUPT"/>
    <s v="0000"/>
    <m/>
  </r>
  <r>
    <d v="2021-10-04T00:00:00"/>
    <x v="8"/>
    <x v="0"/>
    <n v="516.41"/>
    <s v="UJE"/>
    <m/>
    <x v="5"/>
    <s v="Accrue Silverscript Sep WK4"/>
    <m/>
    <s v="TRN"/>
    <s v="0000894243"/>
    <s v="To accrue Q3 2021 Benefits"/>
    <s v="9260000"/>
    <s v="571900"/>
    <s v="9010"/>
    <s v="554"/>
    <s v="0000SUPT"/>
    <s v="0000"/>
    <m/>
  </r>
  <r>
    <d v="2021-10-04T00:00:00"/>
    <x v="8"/>
    <x v="0"/>
    <n v="143461.49"/>
    <s v="UJE"/>
    <m/>
    <x v="1"/>
    <s v="Accrue BCBS Sep WK4"/>
    <m/>
    <s v="TRN"/>
    <s v="0000894243"/>
    <s v="To accrue Q3 2021 Benefits"/>
    <s v="9260000"/>
    <s v="571900"/>
    <s v="9010"/>
    <s v="554"/>
    <s v="0000SUPT"/>
    <s v="0000"/>
    <m/>
  </r>
  <r>
    <d v="2021-10-04T00:00:00"/>
    <x v="8"/>
    <x v="0"/>
    <n v="23903"/>
    <s v="UJE"/>
    <m/>
    <x v="0"/>
    <s v="Accrue Aetna Claims WK4 Sep"/>
    <m/>
    <s v="TRN"/>
    <s v="0000894243"/>
    <s v="To accrue Q3 2021 Benefits"/>
    <s v="9260000"/>
    <s v="571900"/>
    <s v="9010"/>
    <s v="553"/>
    <s v="0000SUPT"/>
    <s v="0000"/>
    <m/>
  </r>
  <r>
    <d v="2021-10-04T00:00:00"/>
    <x v="9"/>
    <x v="0"/>
    <n v="-225247.61"/>
    <s v="UJE"/>
    <m/>
    <x v="2"/>
    <s v="Accrue CVS Claims Sep WK4"/>
    <m/>
    <s v="ESD"/>
    <s v="0000894243"/>
    <s v="To accrue Q3 2021 Benefits"/>
    <s v="9260000"/>
    <s v="521900"/>
    <s v="0000"/>
    <s v="554"/>
    <s v="BENEFITS"/>
    <s v="0000"/>
    <m/>
  </r>
  <r>
    <d v="2021-10-04T00:00:00"/>
    <x v="9"/>
    <x v="0"/>
    <n v="-2028.84"/>
    <s v="UJE"/>
    <m/>
    <x v="2"/>
    <s v="Accrue CVS WP Sep WK4"/>
    <m/>
    <s v="ESD"/>
    <s v="0000894243"/>
    <s v="To accrue Q3 2021 Benefits"/>
    <s v="9260000"/>
    <s v="521900"/>
    <s v="0000"/>
    <s v="554"/>
    <s v="BENEFITS"/>
    <s v="0000"/>
    <m/>
  </r>
  <r>
    <d v="2021-10-04T00:00:00"/>
    <x v="9"/>
    <x v="0"/>
    <n v="-7370.91"/>
    <s v="UJE"/>
    <m/>
    <x v="5"/>
    <s v="Accrue Silverscript Sep WK4"/>
    <m/>
    <s v="ESD"/>
    <s v="0000894243"/>
    <s v="To accrue Q3 2021 Benefits"/>
    <s v="9260000"/>
    <s v="521900"/>
    <s v="0000"/>
    <s v="554"/>
    <s v="BENEFITS"/>
    <s v="0000"/>
    <m/>
  </r>
  <r>
    <d v="2021-10-04T00:00:00"/>
    <x v="9"/>
    <x v="0"/>
    <n v="-661567.64"/>
    <s v="UJE"/>
    <m/>
    <x v="1"/>
    <s v="Accrue BCBS Sep WK4"/>
    <m/>
    <s v="ESD"/>
    <s v="0000894243"/>
    <s v="To accrue Q3 2021 Benefits"/>
    <s v="9260000"/>
    <s v="521900"/>
    <s v="0000"/>
    <s v="554"/>
    <s v="BENEFITS"/>
    <s v="0000"/>
    <m/>
  </r>
  <r>
    <d v="2021-10-04T00:00:00"/>
    <x v="9"/>
    <x v="0"/>
    <n v="-70882.759999999995"/>
    <s v="UJE"/>
    <m/>
    <x v="0"/>
    <s v="Accrue Aetna Claims WK4 Sep"/>
    <m/>
    <s v="ESD"/>
    <s v="0000894243"/>
    <s v="To accrue Q3 2021 Benefits"/>
    <s v="9260000"/>
    <s v="521900"/>
    <s v="0000"/>
    <s v="553"/>
    <s v="BENEFITS"/>
    <s v="0000"/>
    <m/>
  </r>
  <r>
    <d v="2021-10-04T00:00:00"/>
    <x v="9"/>
    <x v="0"/>
    <n v="-27150.79"/>
    <s v="UJE"/>
    <m/>
    <x v="2"/>
    <s v="Accrue CVS Claims Sep WK4"/>
    <m/>
    <s v="TRN"/>
    <s v="0000894243"/>
    <s v="To accrue Q3 2021 Benefits"/>
    <s v="9260000"/>
    <s v="571900"/>
    <s v="9010"/>
    <s v="554"/>
    <s v="0000SUPT"/>
    <s v="0000"/>
    <m/>
  </r>
  <r>
    <d v="2021-10-04T00:00:00"/>
    <x v="9"/>
    <x v="0"/>
    <n v="-26.13"/>
    <s v="UJE"/>
    <m/>
    <x v="2"/>
    <s v="Accrue CVS WP Sep WK4"/>
    <m/>
    <s v="TRN"/>
    <s v="0000894243"/>
    <s v="To accrue Q3 2021 Benefits"/>
    <s v="9260000"/>
    <s v="571900"/>
    <s v="9010"/>
    <s v="554"/>
    <s v="0000SUPT"/>
    <s v="0000"/>
    <m/>
  </r>
  <r>
    <d v="2021-10-04T00:00:00"/>
    <x v="9"/>
    <x v="0"/>
    <n v="-516.41"/>
    <s v="UJE"/>
    <m/>
    <x v="5"/>
    <s v="Accrue Silverscript Sep WK4"/>
    <m/>
    <s v="TRN"/>
    <s v="0000894243"/>
    <s v="To accrue Q3 2021 Benefits"/>
    <s v="9260000"/>
    <s v="571900"/>
    <s v="9010"/>
    <s v="554"/>
    <s v="0000SUPT"/>
    <s v="0000"/>
    <m/>
  </r>
  <r>
    <d v="2021-10-04T00:00:00"/>
    <x v="9"/>
    <x v="0"/>
    <n v="-143461.49"/>
    <s v="UJE"/>
    <m/>
    <x v="1"/>
    <s v="Accrue BCBS Sep WK4"/>
    <m/>
    <s v="TRN"/>
    <s v="0000894243"/>
    <s v="To accrue Q3 2021 Benefits"/>
    <s v="9260000"/>
    <s v="571900"/>
    <s v="9010"/>
    <s v="554"/>
    <s v="0000SUPT"/>
    <s v="0000"/>
    <m/>
  </r>
  <r>
    <d v="2021-10-04T00:00:00"/>
    <x v="9"/>
    <x v="0"/>
    <n v="-23903"/>
    <s v="UJE"/>
    <m/>
    <x v="0"/>
    <s v="Accrue Aetna Claims WK4 Sep"/>
    <m/>
    <s v="TRN"/>
    <s v="0000894243"/>
    <s v="To accrue Q3 2021 Benefits"/>
    <s v="9260000"/>
    <s v="571900"/>
    <s v="9010"/>
    <s v="553"/>
    <s v="0000SUPT"/>
    <s v="0000"/>
    <m/>
  </r>
  <r>
    <d v="2022-01-05T00:00:00"/>
    <x v="11"/>
    <x v="0"/>
    <n v="233907.77"/>
    <s v="UJE"/>
    <m/>
    <x v="2"/>
    <s v="Accrue CVS Claims Dec WK4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75.849999999999994"/>
    <s v="UJE"/>
    <m/>
    <x v="2"/>
    <s v="Accrue CVS WP Dec WK4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811.1"/>
    <s v="UJE"/>
    <m/>
    <x v="5"/>
    <s v="Accrue Silverscript Dec WK4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616121"/>
    <s v="UJE"/>
    <m/>
    <x v="1"/>
    <s v="Accrue BCBS Dec WK4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59320.800000000003"/>
    <s v="UJE"/>
    <m/>
    <x v="0"/>
    <s v="Accrue Aetna Claims WK4 Dec"/>
    <m/>
    <s v="ESD"/>
    <s v="0000894243"/>
    <s v="To accrue Q4 2021 Benefits"/>
    <s v="9260000"/>
    <s v="521900"/>
    <s v="0000"/>
    <s v="553"/>
    <s v="BENEFITS"/>
    <s v="0000"/>
    <m/>
  </r>
  <r>
    <d v="2022-01-05T00:00:00"/>
    <x v="11"/>
    <x v="0"/>
    <n v="1195.3399999999999"/>
    <s v="UJE"/>
    <m/>
    <x v="3"/>
    <s v="Accrue CYC Claims WK4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75421.509999999995"/>
    <s v="UJE"/>
    <m/>
    <x v="2"/>
    <s v="Accrue CVS Claims Dec WK4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106.03"/>
    <s v="UJE"/>
    <m/>
    <x v="2"/>
    <s v="Accrue CVS WP Dec WK4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708.01"/>
    <s v="UJE"/>
    <m/>
    <x v="5"/>
    <s v="Accrue Silverscript Dec WK4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235810.43"/>
    <s v="UJE"/>
    <m/>
    <x v="1"/>
    <s v="Accrue BCBS Dec WK4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21488.2"/>
    <s v="UJE"/>
    <m/>
    <x v="0"/>
    <s v="Accrue Aetna Claims WK4 Dec"/>
    <m/>
    <s v="TRN"/>
    <s v="0000894243"/>
    <s v="To accrue Q4 2021 Benefits"/>
    <s v="9260000"/>
    <s v="571900"/>
    <s v="9010"/>
    <s v="553"/>
    <s v="0000SUPT"/>
    <s v="0000"/>
    <m/>
  </r>
  <r>
    <d v="2022-01-05T00:00:00"/>
    <x v="11"/>
    <x v="0"/>
    <n v="446.5"/>
    <s v="UJE"/>
    <m/>
    <x v="3"/>
    <s v="Accrue CYC Claims WK4 Dec"/>
    <m/>
    <s v="TRN"/>
    <s v="0000894243"/>
    <s v="To accrue Q4 2021 Benefits"/>
    <s v="9260000"/>
    <s v="571900"/>
    <s v="9010"/>
    <s v="554"/>
    <s v="0000SUPT"/>
    <s v="000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56">
  <r>
    <d v="2021-02-25T00:00:00"/>
    <x v="0"/>
    <x v="0"/>
    <n v="6910.1"/>
    <s v="00484896"/>
    <s v="012047066"/>
    <x v="0"/>
    <s v="ACC86797DENTALMAR21"/>
    <s v="0000247055"/>
    <s v="ESD"/>
    <s v="PUR0954892"/>
    <s v=""/>
    <s v="9260000"/>
    <s v="521900"/>
    <s v="0000"/>
    <s v="553"/>
    <s v="BENEFITS"/>
    <s v="0000"/>
    <s v=""/>
  </r>
  <r>
    <d v="2021-02-28T00:00:00"/>
    <x v="0"/>
    <x v="0"/>
    <n v="-74.8"/>
    <s v="00484896"/>
    <s v="012047066"/>
    <x v="0"/>
    <s v="ACC86797DENTALMAR21"/>
    <s v="0000247055"/>
    <s v="ESD"/>
    <s v="JPR0955100"/>
    <s v="To correct accounting"/>
    <s v="9260000"/>
    <s v="521900"/>
    <s v="0000"/>
    <s v="553"/>
    <s v="00000000"/>
    <s v="0000"/>
    <s v=""/>
  </r>
  <r>
    <d v="2021-02-28T00:00:00"/>
    <x v="0"/>
    <x v="0"/>
    <n v="-4.4000000000000004"/>
    <s v="00484896"/>
    <s v="012047066"/>
    <x v="0"/>
    <s v="ACC86797DENTALMAR21"/>
    <s v="0000247055"/>
    <s v="TRN"/>
    <s v="JPR0955100"/>
    <s v="To correct accounting"/>
    <s v="9260000"/>
    <s v="571900"/>
    <s v="9010"/>
    <s v="553"/>
    <s v="0000SUPT"/>
    <s v="0000"/>
    <s v=""/>
  </r>
  <r>
    <d v="2021-02-25T00:00:00"/>
    <x v="0"/>
    <x v="0"/>
    <n v="74.8"/>
    <s v="00484896"/>
    <s v="012047066"/>
    <x v="0"/>
    <s v="ACC86797DENTALMAR21"/>
    <s v="0000247055"/>
    <s v="ESD"/>
    <s v="PUR0954892"/>
    <s v=""/>
    <s v="9260000"/>
    <s v="521900"/>
    <s v="0000"/>
    <s v="553"/>
    <s v="00000000"/>
    <s v="0000"/>
    <s v=""/>
  </r>
  <r>
    <d v="2021-02-25T00:00:00"/>
    <x v="0"/>
    <x v="0"/>
    <n v="2283.6"/>
    <s v="00484896"/>
    <s v="012047066"/>
    <x v="0"/>
    <s v="ACC86797DENTALMAR21"/>
    <s v="0000247055"/>
    <s v="TRN"/>
    <s v="PUR0954887"/>
    <s v=""/>
    <s v="9260000"/>
    <s v="571900"/>
    <s v="9010"/>
    <s v="553"/>
    <s v="0000SUPT"/>
    <s v="0000"/>
    <s v=""/>
  </r>
  <r>
    <d v="2021-01-25T00:00:00"/>
    <x v="1"/>
    <x v="0"/>
    <n v="49396.66"/>
    <s v="00479072"/>
    <s v="012051699"/>
    <x v="1"/>
    <s v="BCBSDEC20"/>
    <s v="0000244396"/>
    <s v="TRN"/>
    <s v="PUR0953798"/>
    <s v=""/>
    <s v="9260000"/>
    <s v="571900"/>
    <s v="9010"/>
    <s v="554"/>
    <s v="0000SUPT"/>
    <s v="0000"/>
    <s v=""/>
  </r>
  <r>
    <d v="2021-01-25T00:00:00"/>
    <x v="1"/>
    <x v="0"/>
    <n v="150408.85999999999"/>
    <s v="00479072"/>
    <s v="012051699"/>
    <x v="1"/>
    <s v="BCBSDEC20"/>
    <s v="0000244396"/>
    <s v="ESD"/>
    <s v="PUR0953805"/>
    <s v=""/>
    <s v="9260000"/>
    <s v="521900"/>
    <s v="0000"/>
    <s v="554"/>
    <s v="BENEFITS"/>
    <s v="0000"/>
    <s v=""/>
  </r>
  <r>
    <d v="2021-02-25T00:00:00"/>
    <x v="0"/>
    <x v="0"/>
    <n v="1209.96"/>
    <s v="00484897"/>
    <s v="012051699"/>
    <x v="1"/>
    <s v="BCBSJAN21"/>
    <s v="0000247056"/>
    <s v="ESD"/>
    <s v="PUR0954892"/>
    <s v=""/>
    <s v="9260000"/>
    <s v="521900"/>
    <s v="0000"/>
    <s v="554"/>
    <s v="00000000"/>
    <s v="0000"/>
    <s v=""/>
  </r>
  <r>
    <d v="2021-02-28T00:00:00"/>
    <x v="0"/>
    <x v="0"/>
    <n v="-73.239999999999995"/>
    <s v="00484897"/>
    <s v="012051699"/>
    <x v="1"/>
    <s v="BCBSJAN21"/>
    <s v="0000247056"/>
    <s v="TRN"/>
    <s v="JPR0955100"/>
    <s v="To correct accounting"/>
    <s v="9260000"/>
    <s v="571900"/>
    <s v="9010"/>
    <s v="554"/>
    <s v="0000SUPT"/>
    <s v="0000"/>
    <s v=""/>
  </r>
  <r>
    <d v="2021-02-28T00:00:00"/>
    <x v="0"/>
    <x v="0"/>
    <n v="-1209.96"/>
    <s v="00484897"/>
    <s v="012051699"/>
    <x v="1"/>
    <s v="BCBSJAN21"/>
    <s v="0000247056"/>
    <s v="ESD"/>
    <s v="JPR0955100"/>
    <s v="To correct accounting"/>
    <s v="9260000"/>
    <s v="521900"/>
    <s v="0000"/>
    <s v="554"/>
    <s v="00000000"/>
    <s v="0000"/>
    <s v=""/>
  </r>
  <r>
    <d v="2021-02-25T00:00:00"/>
    <x v="0"/>
    <x v="0"/>
    <n v="54691.73"/>
    <s v="00484897"/>
    <s v="012051699"/>
    <x v="1"/>
    <s v="BCBSJAN21"/>
    <s v="0000247056"/>
    <s v="TRN"/>
    <s v="PUR0954887"/>
    <s v=""/>
    <s v="9260000"/>
    <s v="571900"/>
    <s v="9010"/>
    <s v="554"/>
    <s v="0000SUPT"/>
    <s v="0000"/>
    <s v=""/>
  </r>
  <r>
    <d v="2021-02-25T00:00:00"/>
    <x v="0"/>
    <x v="0"/>
    <n v="164965.60999999999"/>
    <s v="00484897"/>
    <s v="012051699"/>
    <x v="1"/>
    <s v="BCBSJAN21"/>
    <s v="0000247056"/>
    <s v="ESD"/>
    <s v="PUR0954892"/>
    <s v=""/>
    <s v="9260000"/>
    <s v="521900"/>
    <s v="0000"/>
    <s v="554"/>
    <s v="BENEFITS"/>
    <s v="0000"/>
    <s v=""/>
  </r>
  <r>
    <d v="2021-01-08T00:00:00"/>
    <x v="1"/>
    <x v="0"/>
    <n v="498.65"/>
    <s v="00476383"/>
    <s v="000841250"/>
    <x v="2"/>
    <s v="325126075"/>
    <s v="0000243058"/>
    <s v="TRN"/>
    <s v="PUR0953361"/>
    <s v=""/>
    <s v="9260000"/>
    <s v="571900"/>
    <s v="9010"/>
    <s v="554"/>
    <s v="0000SUPT"/>
    <s v="0000"/>
    <s v=""/>
  </r>
  <r>
    <d v="2021-01-08T00:00:00"/>
    <x v="1"/>
    <x v="0"/>
    <n v="2021.3"/>
    <s v="00476383"/>
    <s v="000841250"/>
    <x v="2"/>
    <s v="325126075"/>
    <s v="0000243058"/>
    <s v="ESD"/>
    <s v="PUR0953356"/>
    <s v=""/>
    <s v="9260000"/>
    <s v="521900"/>
    <s v="0000"/>
    <s v="554"/>
    <s v="BENEFITS"/>
    <s v="0000"/>
    <s v=""/>
  </r>
  <r>
    <d v="2021-01-28T00:00:00"/>
    <x v="1"/>
    <x v="0"/>
    <n v="557"/>
    <s v="00480142"/>
    <s v="000841250"/>
    <x v="2"/>
    <s v="329224426"/>
    <s v="0000245833"/>
    <s v="TRN"/>
    <s v="PUR0953951"/>
    <s v=""/>
    <s v="9260000"/>
    <s v="571900"/>
    <s v="9010"/>
    <s v="554"/>
    <s v="0000SUPT"/>
    <s v="0000"/>
    <s v=""/>
  </r>
  <r>
    <d v="2021-01-28T00:00:00"/>
    <x v="1"/>
    <x v="0"/>
    <n v="2213.35"/>
    <s v="00480142"/>
    <s v="000841250"/>
    <x v="2"/>
    <s v="329224426"/>
    <s v="0000245833"/>
    <s v="ESD"/>
    <s v="PUR0953956"/>
    <s v=""/>
    <s v="9260000"/>
    <s v="521900"/>
    <s v="0000"/>
    <s v="554"/>
    <s v="BENEFITS"/>
    <s v="0000"/>
    <s v=""/>
  </r>
  <r>
    <d v="2021-01-25T00:00:00"/>
    <x v="1"/>
    <x v="0"/>
    <n v="3860.64"/>
    <s v="00479068"/>
    <s v="000858150"/>
    <x v="3"/>
    <s v="ONCOR2101"/>
    <s v="2200375763"/>
    <s v="TRN"/>
    <s v="PUR0953798"/>
    <s v=""/>
    <s v="9260000"/>
    <s v="571900"/>
    <s v="9010"/>
    <s v="554"/>
    <s v="0000SUPT"/>
    <s v="0000"/>
    <s v=""/>
  </r>
  <r>
    <d v="2021-01-25T00:00:00"/>
    <x v="1"/>
    <x v="0"/>
    <n v="12079.24"/>
    <s v="00479068"/>
    <s v="000858150"/>
    <x v="3"/>
    <s v="ONCOR2101"/>
    <s v="2200375763"/>
    <s v="ESD"/>
    <s v="PUR0953805"/>
    <s v=""/>
    <s v="9260000"/>
    <s v="521900"/>
    <s v="0000"/>
    <s v="554"/>
    <s v="BENEFITS"/>
    <s v="0000"/>
    <s v=""/>
  </r>
  <r>
    <d v="2021-02-18T00:00:00"/>
    <x v="0"/>
    <x v="0"/>
    <n v="12093.41"/>
    <s v="00483576"/>
    <s v="000858150"/>
    <x v="3"/>
    <s v="ONCOR2102"/>
    <s v="2200378164"/>
    <s v="ESD"/>
    <s v="PUR0954717"/>
    <s v=""/>
    <s v="9260000"/>
    <s v="521900"/>
    <s v="0000"/>
    <s v="554"/>
    <s v="BENEFITS"/>
    <s v="0000"/>
    <s v=""/>
  </r>
  <r>
    <d v="2021-02-18T00:00:00"/>
    <x v="0"/>
    <x v="0"/>
    <n v="3865.17"/>
    <s v="00483576"/>
    <s v="000858150"/>
    <x v="3"/>
    <s v="ONCOR2102"/>
    <s v="2200378164"/>
    <s v="TRN"/>
    <s v="PUR0954725"/>
    <s v=""/>
    <s v="9260000"/>
    <s v="571900"/>
    <s v="9010"/>
    <s v="554"/>
    <s v="0000SUPT"/>
    <s v="0000"/>
    <s v=""/>
  </r>
  <r>
    <d v="2021-01-29T00:00:00"/>
    <x v="1"/>
    <x v="0"/>
    <n v="2004.5"/>
    <s v="00479914"/>
    <s v="012039670"/>
    <x v="4"/>
    <s v="ADDLTDLIFEJAN21"/>
    <s v="7213000090"/>
    <s v="TRN"/>
    <s v="PUR0954009"/>
    <s v=""/>
    <s v="9260000"/>
    <s v="571900"/>
    <s v="9010"/>
    <s v="557"/>
    <s v="FMLACHRG"/>
    <s v="0000"/>
    <s v=""/>
  </r>
  <r>
    <d v="2021-01-29T00:00:00"/>
    <x v="1"/>
    <x v="0"/>
    <n v="6503.02"/>
    <s v="00479914"/>
    <s v="012039670"/>
    <x v="4"/>
    <s v="ADDLTDLIFEJAN21"/>
    <s v="7213000090"/>
    <s v="ESD"/>
    <s v="PUR0954014"/>
    <s v=""/>
    <s v="9260000"/>
    <s v="521900"/>
    <s v="4500"/>
    <s v="557"/>
    <s v="FMLACHRG"/>
    <s v="0000"/>
    <s v=""/>
  </r>
  <r>
    <d v="2021-02-26T00:00:00"/>
    <x v="0"/>
    <x v="0"/>
    <n v="6376.42"/>
    <s v="00484856"/>
    <s v="012039670"/>
    <x v="4"/>
    <s v="ADDLTDLIFEFEB21"/>
    <s v="7213000178"/>
    <s v="ESD"/>
    <s v="PUR0954940"/>
    <s v=""/>
    <s v="9260000"/>
    <s v="521900"/>
    <s v="4500"/>
    <s v="557"/>
    <s v="FMLACHRG"/>
    <s v="0000"/>
    <s v=""/>
  </r>
  <r>
    <d v="2021-02-26T00:00:00"/>
    <x v="0"/>
    <x v="0"/>
    <n v="2057.25"/>
    <s v="00484856"/>
    <s v="012039670"/>
    <x v="4"/>
    <s v="ADDLTDLIFEFEB21"/>
    <s v="7213000178"/>
    <s v="TRN"/>
    <s v="PUR0954937"/>
    <s v=""/>
    <s v="9260000"/>
    <s v="571900"/>
    <s v="9010"/>
    <s v="557"/>
    <s v="FMLACHRG"/>
    <s v="0000"/>
    <s v=""/>
  </r>
  <r>
    <d v="2021-01-06T00:00:00"/>
    <x v="1"/>
    <x v="0"/>
    <n v="1345"/>
    <s v="00475369"/>
    <s v="003319350"/>
    <x v="5"/>
    <s v="5922"/>
    <s v="2200373493"/>
    <s v="TRN"/>
    <s v="PUR0953184"/>
    <s v=""/>
    <s v="9260000"/>
    <s v="571900"/>
    <s v="9010"/>
    <s v="554"/>
    <s v="BENEFITS"/>
    <s v="0000"/>
    <s v=""/>
  </r>
  <r>
    <d v="2021-01-06T00:00:00"/>
    <x v="1"/>
    <x v="0"/>
    <n v="4196.25"/>
    <s v="00475369"/>
    <s v="003319350"/>
    <x v="5"/>
    <s v="5922"/>
    <s v="2200373493"/>
    <s v="ESD"/>
    <s v="PUR0953181"/>
    <s v=""/>
    <s v="9260000"/>
    <s v="521900"/>
    <s v="0000"/>
    <s v="554"/>
    <s v="BENEFITS"/>
    <s v="0000"/>
    <s v=""/>
  </r>
  <r>
    <d v="2021-02-05T00:00:00"/>
    <x v="0"/>
    <x v="0"/>
    <n v="12836.33"/>
    <s v="00481450"/>
    <s v="003319350"/>
    <x v="5"/>
    <s v="6070"/>
    <s v="2200376851"/>
    <s v="ESD"/>
    <s v="PUR0954455"/>
    <s v=""/>
    <s v="9260000"/>
    <s v="521900"/>
    <s v="0000"/>
    <s v="554"/>
    <s v="BENEFITS"/>
    <s v="0000"/>
    <s v=""/>
  </r>
  <r>
    <d v="2021-02-05T00:00:00"/>
    <x v="0"/>
    <x v="0"/>
    <n v="4137.3"/>
    <s v="00481450"/>
    <s v="003319350"/>
    <x v="5"/>
    <s v="6070"/>
    <s v="2200376851"/>
    <s v="TRN"/>
    <s v="PUR0954451"/>
    <s v=""/>
    <s v="9260000"/>
    <s v="571900"/>
    <s v="9010"/>
    <s v="554"/>
    <s v="BENEFITS"/>
    <s v="0000"/>
    <s v=""/>
  </r>
  <r>
    <d v="2021-01-25T00:00:00"/>
    <x v="1"/>
    <x v="0"/>
    <n v="240.75"/>
    <s v="00479095"/>
    <s v="012061960"/>
    <x v="6"/>
    <s v="3240653"/>
    <s v="0000244615"/>
    <s v="ESD"/>
    <s v="PUR0953805"/>
    <s v=""/>
    <s v="9260000"/>
    <s v="521900"/>
    <s v="0000"/>
    <s v="554"/>
    <s v="BENEFITS"/>
    <s v="0000"/>
    <s v=""/>
  </r>
  <r>
    <d v="2021-01-25T00:00:00"/>
    <x v="1"/>
    <x v="0"/>
    <n v="80.25"/>
    <s v="00479095"/>
    <s v="012061960"/>
    <x v="6"/>
    <s v="3240653"/>
    <s v="0000244615"/>
    <s v="TRN"/>
    <s v="PUR0953798"/>
    <s v=""/>
    <s v="9260000"/>
    <s v="571900"/>
    <s v="9010"/>
    <s v="554"/>
    <s v="0000SUPT"/>
    <s v="0000"/>
    <s v=""/>
  </r>
  <r>
    <d v="2021-03-03T00:00:00"/>
    <x v="2"/>
    <x v="0"/>
    <n v="1577.6"/>
    <s v="00485768"/>
    <s v="003319350"/>
    <x v="5"/>
    <s v="6163"/>
    <s v="2200379488"/>
    <s v="TRN"/>
    <s v="PUR0955234"/>
    <s v=""/>
    <s v="9260000"/>
    <s v="571900"/>
    <s v="9010"/>
    <s v="554"/>
    <s v="BENEFITS"/>
    <s v="0000"/>
    <s v=""/>
  </r>
  <r>
    <d v="2021-03-10T00:00:00"/>
    <x v="2"/>
    <x v="0"/>
    <n v="65.25"/>
    <s v="00487612"/>
    <s v="012061960"/>
    <x v="6"/>
    <s v="3241950"/>
    <s v="0000248295"/>
    <s v="TRN"/>
    <s v="PUR0955525"/>
    <s v=""/>
    <s v="9260000"/>
    <s v="571900"/>
    <s v="9010"/>
    <s v="554"/>
    <s v="0000SUPT"/>
    <s v="0000"/>
    <s v=""/>
  </r>
  <r>
    <d v="2021-03-24T00:00:00"/>
    <x v="2"/>
    <x v="0"/>
    <n v="157147.92000000001"/>
    <s v="00489923"/>
    <s v="012051699"/>
    <x v="1"/>
    <s v="BCBSFEB21"/>
    <s v="0000250043"/>
    <s v="ESD"/>
    <s v="PUR0955836"/>
    <s v=""/>
    <s v="9260000"/>
    <s v="521900"/>
    <s v="0000"/>
    <s v="554"/>
    <s v="BENEFITS"/>
    <s v="0000"/>
    <s v=""/>
  </r>
  <r>
    <d v="2021-03-03T00:00:00"/>
    <x v="2"/>
    <x v="0"/>
    <n v="4780.6499999999996"/>
    <s v="00485768"/>
    <s v="003319350"/>
    <x v="5"/>
    <s v="6163"/>
    <s v="2200379488"/>
    <s v="ESD"/>
    <s v="PUR0955228"/>
    <s v=""/>
    <s v="9260000"/>
    <s v="521900"/>
    <s v="0000"/>
    <s v="554"/>
    <s v="BENEFITS"/>
    <s v="0000"/>
    <s v=""/>
  </r>
  <r>
    <d v="2021-03-10T00:00:00"/>
    <x v="2"/>
    <x v="0"/>
    <n v="181.25"/>
    <s v="00487612"/>
    <s v="012061960"/>
    <x v="6"/>
    <s v="3241950"/>
    <s v="0000248295"/>
    <s v="ESD"/>
    <s v="PUR0955518"/>
    <s v=""/>
    <s v="9260000"/>
    <s v="521900"/>
    <s v="0000"/>
    <s v="554"/>
    <s v="BENEFITS"/>
    <s v="0000"/>
    <s v=""/>
  </r>
  <r>
    <d v="2021-03-24T00:00:00"/>
    <x v="2"/>
    <x v="0"/>
    <n v="2193.1"/>
    <s v="00489917"/>
    <s v="000841250"/>
    <x v="2"/>
    <s v="337444771"/>
    <s v="0000251086"/>
    <s v="ESD"/>
    <s v="PUR0955836"/>
    <s v=""/>
    <s v="9260000"/>
    <s v="521900"/>
    <s v="0000"/>
    <s v="554"/>
    <s v="BENEFITS"/>
    <s v="0000"/>
    <s v=""/>
  </r>
  <r>
    <d v="2021-03-24T00:00:00"/>
    <x v="2"/>
    <x v="0"/>
    <n v="181.25"/>
    <s v="00489915"/>
    <s v="012061960"/>
    <x v="6"/>
    <s v="3143170"/>
    <s v="0000250218"/>
    <s v="ESD"/>
    <s v="PUR0955836"/>
    <s v=""/>
    <s v="9260000"/>
    <s v="521900"/>
    <s v="0000"/>
    <s v="554"/>
    <s v="BENEFITS"/>
    <s v="0000"/>
    <s v=""/>
  </r>
  <r>
    <d v="2021-03-24T00:00:00"/>
    <x v="2"/>
    <x v="0"/>
    <n v="2303.4"/>
    <s v="00489934"/>
    <s v="012047066"/>
    <x v="0"/>
    <s v="ACC867976DENTALAPR21"/>
    <s v="0000250042"/>
    <s v="TRN"/>
    <s v="PUR0955840"/>
    <s v=""/>
    <s v="9260000"/>
    <s v="571900"/>
    <s v="9010"/>
    <s v="553"/>
    <s v="0000SUPT"/>
    <s v="0000"/>
    <s v=""/>
  </r>
  <r>
    <d v="2021-03-24T00:00:00"/>
    <x v="2"/>
    <x v="0"/>
    <n v="65.25"/>
    <s v="00489915"/>
    <s v="012061960"/>
    <x v="6"/>
    <s v="3143170"/>
    <s v="0000250218"/>
    <s v="TRN"/>
    <s v="PUR0955840"/>
    <s v=""/>
    <s v="9260000"/>
    <s v="571900"/>
    <s v="9010"/>
    <s v="554"/>
    <s v="0000SUPT"/>
    <s v="0000"/>
    <s v=""/>
  </r>
  <r>
    <d v="2021-03-24T00:00:00"/>
    <x v="2"/>
    <x v="0"/>
    <n v="6919"/>
    <s v="00489934"/>
    <s v="012047066"/>
    <x v="0"/>
    <s v="ACC867976DENTALAPR21"/>
    <s v="0000250042"/>
    <s v="ESD"/>
    <s v="PUR0955836"/>
    <s v=""/>
    <s v="9260000"/>
    <s v="521900"/>
    <s v="0000"/>
    <s v="553"/>
    <s v="BENEFITS"/>
    <s v="0000"/>
    <s v=""/>
  </r>
  <r>
    <d v="2021-03-25T00:00:00"/>
    <x v="2"/>
    <x v="0"/>
    <n v="1987.62"/>
    <s v="00490037"/>
    <s v="012039670"/>
    <x v="4"/>
    <s v="ADDLTDLIFEMAR21"/>
    <s v="7213000264"/>
    <s v="TRN"/>
    <s v="PUR0955870"/>
    <s v=""/>
    <s v="9260000"/>
    <s v="571900"/>
    <s v="9010"/>
    <s v="557"/>
    <s v="FMLACHRG"/>
    <s v="0000"/>
    <s v=""/>
  </r>
  <r>
    <d v="2021-03-12T00:00:00"/>
    <x v="2"/>
    <x v="0"/>
    <n v="11909.39"/>
    <s v="00488033"/>
    <s v="000858150"/>
    <x v="3"/>
    <s v="ONCOR2103"/>
    <s v="2200381115"/>
    <s v="ESD"/>
    <s v="PUR0955580"/>
    <s v=""/>
    <s v="9260000"/>
    <s v="521900"/>
    <s v="0000"/>
    <s v="554"/>
    <s v="BENEFITS"/>
    <s v="0000"/>
    <s v=""/>
  </r>
  <r>
    <d v="2021-03-24T00:00:00"/>
    <x v="2"/>
    <x v="0"/>
    <n v="558.04999999999995"/>
    <s v="00489917"/>
    <s v="000841250"/>
    <x v="2"/>
    <s v="337444771"/>
    <s v="0000251086"/>
    <s v="TRN"/>
    <s v="PUR0955840"/>
    <s v=""/>
    <s v="9260000"/>
    <s v="571900"/>
    <s v="9010"/>
    <s v="554"/>
    <s v="0000SUPT"/>
    <s v="0000"/>
    <s v=""/>
  </r>
  <r>
    <d v="2021-03-05T00:00:00"/>
    <x v="2"/>
    <x v="0"/>
    <n v="2189"/>
    <s v="00486938"/>
    <s v="000841250"/>
    <x v="2"/>
    <s v="333966461"/>
    <s v="0000248734"/>
    <s v="ESD"/>
    <s v="PUR0955401"/>
    <s v=""/>
    <s v="9260000"/>
    <s v="521900"/>
    <s v="0000"/>
    <s v="554"/>
    <s v="BENEFITS"/>
    <s v="0000"/>
    <s v=""/>
  </r>
  <r>
    <d v="2021-03-12T00:00:00"/>
    <x v="2"/>
    <x v="0"/>
    <n v="3981.87"/>
    <s v="00488033"/>
    <s v="000858150"/>
    <x v="3"/>
    <s v="ONCOR2103"/>
    <s v="2200381115"/>
    <s v="TRN"/>
    <s v="PUR0955586"/>
    <s v=""/>
    <s v="9260000"/>
    <s v="571900"/>
    <s v="9010"/>
    <s v="554"/>
    <s v="0000SUPT"/>
    <s v="0000"/>
    <s v=""/>
  </r>
  <r>
    <d v="2021-03-05T00:00:00"/>
    <x v="2"/>
    <x v="0"/>
    <n v="557.5"/>
    <s v="00486938"/>
    <s v="000841250"/>
    <x v="2"/>
    <s v="333966461"/>
    <s v="0000248734"/>
    <s v="TRN"/>
    <s v="PUR0955404"/>
    <s v=""/>
    <s v="9260000"/>
    <s v="571900"/>
    <s v="9010"/>
    <s v="554"/>
    <s v="0000SUPT"/>
    <s v="0000"/>
    <s v=""/>
  </r>
  <r>
    <d v="2021-03-24T00:00:00"/>
    <x v="2"/>
    <x v="0"/>
    <n v="53555.56"/>
    <s v="00489923"/>
    <s v="012051699"/>
    <x v="1"/>
    <s v="BCBSFEB21"/>
    <s v="0000250043"/>
    <s v="TRN"/>
    <s v="PUR0955840"/>
    <s v=""/>
    <s v="9260000"/>
    <s v="571900"/>
    <s v="9010"/>
    <s v="554"/>
    <s v="0000SUPT"/>
    <s v="0000"/>
    <s v=""/>
  </r>
  <r>
    <d v="2021-03-25T00:00:00"/>
    <x v="2"/>
    <x v="0"/>
    <n v="6327.89"/>
    <s v="00490037"/>
    <s v="012039670"/>
    <x v="4"/>
    <s v="ADDLTDLIFEMAR21"/>
    <s v="7213000264"/>
    <s v="ESD"/>
    <s v="PUR0955873"/>
    <s v=""/>
    <s v="9260000"/>
    <s v="521900"/>
    <s v="4500"/>
    <s v="557"/>
    <s v="FMLACHRG"/>
    <s v="0000"/>
    <s v=""/>
  </r>
  <r>
    <d v="2021-04-27T00:00:00"/>
    <x v="3"/>
    <x v="0"/>
    <n v="49531.6"/>
    <s v="00496969"/>
    <s v="012051699"/>
    <x v="1"/>
    <s v="BCBSMAR21"/>
    <s v="0000253450"/>
    <s v="TRN"/>
    <s v="PUR0956924"/>
    <s v=""/>
    <s v="9260000"/>
    <s v="571900"/>
    <s v="9010"/>
    <s v="554"/>
    <s v="0000SUPT"/>
    <s v="0000"/>
    <s v=""/>
  </r>
  <r>
    <d v="2021-04-29T00:00:00"/>
    <x v="3"/>
    <x v="0"/>
    <n v="2036.15"/>
    <s v="00497058"/>
    <s v="012039670"/>
    <x v="4"/>
    <s v="ADDLTDLIFEAPR21"/>
    <s v="7213000394"/>
    <s v="TRN"/>
    <s v="PUR0957001"/>
    <s v=""/>
    <s v="9260000"/>
    <s v="571900"/>
    <s v="9010"/>
    <s v="557"/>
    <s v="FMLACHRG"/>
    <s v="0000"/>
    <s v=""/>
  </r>
  <r>
    <d v="2021-04-29T00:00:00"/>
    <x v="3"/>
    <x v="0"/>
    <n v="1584.85"/>
    <s v="00497609"/>
    <s v="003319350"/>
    <x v="5"/>
    <s v="6519"/>
    <s v="2200384428"/>
    <s v="TRN"/>
    <s v="PUR0957001"/>
    <s v=""/>
    <s v="9260000"/>
    <s v="571900"/>
    <s v="9010"/>
    <s v="554"/>
    <s v="BENEFITS"/>
    <s v="0000"/>
    <s v=""/>
  </r>
  <r>
    <d v="2021-04-20T00:00:00"/>
    <x v="3"/>
    <x v="0"/>
    <n v="3989.37"/>
    <s v="00495711"/>
    <s v="000858150"/>
    <x v="3"/>
    <s v="ONCOR2104"/>
    <s v="2200383593"/>
    <s v="TRN"/>
    <s v="PUR0956728"/>
    <s v=""/>
    <s v="9260000"/>
    <s v="571900"/>
    <s v="9010"/>
    <s v="554"/>
    <s v="0000SUPT"/>
    <s v="0000"/>
    <s v=""/>
  </r>
  <r>
    <d v="2021-04-29T00:00:00"/>
    <x v="3"/>
    <x v="0"/>
    <n v="6408.07"/>
    <s v="00497058"/>
    <s v="012039670"/>
    <x v="4"/>
    <s v="ADDLTDLIFEAPR21"/>
    <s v="7213000394"/>
    <s v="ESD"/>
    <s v="PUR0956996"/>
    <s v=""/>
    <s v="9260000"/>
    <s v="521900"/>
    <s v="4500"/>
    <s v="557"/>
    <s v="FMLACHRG"/>
    <s v="0000"/>
    <s v=""/>
  </r>
  <r>
    <d v="2021-04-05T00:00:00"/>
    <x v="3"/>
    <x v="0"/>
    <n v="1584.85"/>
    <s v="00491466"/>
    <s v="003319350"/>
    <x v="5"/>
    <s v="6395"/>
    <s v="2200382244"/>
    <s v="TRN"/>
    <s v="PUR0956204"/>
    <s v=""/>
    <s v="9260000"/>
    <s v="571900"/>
    <s v="9010"/>
    <s v="554"/>
    <s v="BENEFITS"/>
    <s v="0000"/>
    <s v=""/>
  </r>
  <r>
    <d v="2021-04-20T00:00:00"/>
    <x v="3"/>
    <x v="0"/>
    <n v="11931.81"/>
    <s v="00495711"/>
    <s v="000858150"/>
    <x v="3"/>
    <s v="ONCOR2104"/>
    <s v="2200383593"/>
    <s v="ESD"/>
    <s v="PUR0956737"/>
    <s v=""/>
    <s v="9260000"/>
    <s v="521900"/>
    <s v="0000"/>
    <s v="554"/>
    <s v="BENEFITS"/>
    <s v="0000"/>
    <s v=""/>
  </r>
  <r>
    <d v="2021-04-29T00:00:00"/>
    <x v="3"/>
    <x v="0"/>
    <n v="4786.45"/>
    <s v="00497609"/>
    <s v="003319350"/>
    <x v="5"/>
    <s v="6519"/>
    <s v="2200384428"/>
    <s v="ESD"/>
    <s v="PUR0956996"/>
    <s v=""/>
    <s v="9260000"/>
    <s v="521900"/>
    <s v="0000"/>
    <s v="554"/>
    <s v="BENEFITS"/>
    <s v="0000"/>
    <s v=""/>
  </r>
  <r>
    <d v="2021-04-27T00:00:00"/>
    <x v="3"/>
    <x v="0"/>
    <n v="145504.29999999999"/>
    <s v="00496969"/>
    <s v="012051699"/>
    <x v="1"/>
    <s v="BCBSMAR21"/>
    <s v="0000253450"/>
    <s v="ESD"/>
    <s v="PUR0956935"/>
    <s v=""/>
    <s v="9260000"/>
    <s v="521900"/>
    <s v="0000"/>
    <s v="554"/>
    <s v="BENEFITS"/>
    <s v="0000"/>
    <s v=""/>
  </r>
  <r>
    <d v="2021-04-27T00:00:00"/>
    <x v="3"/>
    <x v="0"/>
    <n v="2266"/>
    <s v="00496967"/>
    <s v="012047066"/>
    <x v="0"/>
    <s v="ACC867976DENTALMAY21"/>
    <s v="0000253448"/>
    <s v="TRN"/>
    <s v="PUR0956924"/>
    <s v=""/>
    <s v="9260000"/>
    <s v="571900"/>
    <s v="9010"/>
    <s v="553"/>
    <s v="0000SUPT"/>
    <s v="0000"/>
    <s v=""/>
  </r>
  <r>
    <d v="2021-04-27T00:00:00"/>
    <x v="3"/>
    <x v="0"/>
    <n v="6901.4"/>
    <s v="00496967"/>
    <s v="012047066"/>
    <x v="0"/>
    <s v="ACC867976DENTALMAY21"/>
    <s v="0000253448"/>
    <s v="ESD"/>
    <s v="PUR0956935"/>
    <s v=""/>
    <s v="9260000"/>
    <s v="521900"/>
    <s v="0000"/>
    <s v="553"/>
    <s v="BENEFITS"/>
    <s v="0000"/>
    <s v=""/>
  </r>
  <r>
    <d v="2021-04-05T00:00:00"/>
    <x v="3"/>
    <x v="0"/>
    <n v="4776.3"/>
    <s v="00491466"/>
    <s v="003319350"/>
    <x v="5"/>
    <s v="6395"/>
    <s v="2200382244"/>
    <s v="ESD"/>
    <s v="PUR0956207"/>
    <s v=""/>
    <s v="9260000"/>
    <s v="521900"/>
    <s v="0000"/>
    <s v="554"/>
    <s v="BENEFITS"/>
    <s v="0000"/>
    <s v=""/>
  </r>
  <r>
    <d v="2021-05-06T00:00:00"/>
    <x v="4"/>
    <x v="0"/>
    <n v="3"/>
    <s v="00498708"/>
    <s v="006639552"/>
    <x v="7"/>
    <s v="53014756"/>
    <s v="0000254313"/>
    <s v="ESD"/>
    <s v="PUR0957416"/>
    <s v=""/>
    <s v="9260000"/>
    <s v="521900"/>
    <s v="0000"/>
    <s v="554"/>
    <s v="BENEFITS"/>
    <s v="0000"/>
    <s v=""/>
  </r>
  <r>
    <d v="2021-05-06T00:00:00"/>
    <x v="4"/>
    <x v="0"/>
    <n v="553.9"/>
    <s v="00499162"/>
    <s v="000841250"/>
    <x v="2"/>
    <s v="341971478"/>
    <s v="0000254995"/>
    <s v="TRN"/>
    <s v="PUR0957421"/>
    <s v=""/>
    <s v="9260000"/>
    <s v="571900"/>
    <s v="9010"/>
    <s v="554"/>
    <s v="0000SUPT"/>
    <s v="0000"/>
    <s v=""/>
  </r>
  <r>
    <d v="2021-05-06T00:00:00"/>
    <x v="4"/>
    <x v="0"/>
    <n v="0.5"/>
    <s v="00498708"/>
    <s v="006639552"/>
    <x v="7"/>
    <s v="53014756"/>
    <s v="0000254313"/>
    <s v="TRN"/>
    <s v="PUR0957421"/>
    <s v=""/>
    <s v="9260000"/>
    <s v="571900"/>
    <s v="9010"/>
    <s v="554"/>
    <s v="0000SUPT"/>
    <s v="0000"/>
    <s v=""/>
  </r>
  <r>
    <d v="2021-05-28T00:00:00"/>
    <x v="4"/>
    <x v="0"/>
    <n v="1576.15"/>
    <s v="00503224"/>
    <s v="003319350"/>
    <x v="5"/>
    <s v="6673"/>
    <s v="2200386603"/>
    <s v="TRN"/>
    <s v="PUR0957999"/>
    <s v=""/>
    <s v="9260000"/>
    <s v="571900"/>
    <s v="9010"/>
    <s v="554"/>
    <s v="BENEFITS"/>
    <s v="0000"/>
    <s v=""/>
  </r>
  <r>
    <d v="2021-05-28T00:00:00"/>
    <x v="4"/>
    <x v="0"/>
    <n v="552.9"/>
    <s v="00503321"/>
    <s v="000841250"/>
    <x v="2"/>
    <s v="345888039"/>
    <s v="0000257684"/>
    <s v="TRN"/>
    <s v="PUR0957999"/>
    <s v=""/>
    <s v="9260000"/>
    <s v="571900"/>
    <s v="9010"/>
    <s v="554"/>
    <s v="0000SUPT"/>
    <s v="0000"/>
    <s v=""/>
  </r>
  <r>
    <d v="2021-05-06T00:00:00"/>
    <x v="4"/>
    <x v="0"/>
    <n v="2184.6999999999998"/>
    <s v="00499162"/>
    <s v="000841250"/>
    <x v="2"/>
    <s v="341971478"/>
    <s v="0000254995"/>
    <s v="ESD"/>
    <s v="PUR0957416"/>
    <s v=""/>
    <s v="9260000"/>
    <s v="521900"/>
    <s v="0000"/>
    <s v="554"/>
    <s v="BENEFITS"/>
    <s v="0000"/>
    <s v=""/>
  </r>
  <r>
    <d v="2021-05-26T00:00:00"/>
    <x v="4"/>
    <x v="0"/>
    <n v="2299"/>
    <s v="00502624"/>
    <s v="012047066"/>
    <x v="0"/>
    <s v="ACC867976DENTALJUN21"/>
    <s v="0000256260"/>
    <s v="TRN"/>
    <s v="PUR0957923"/>
    <s v=""/>
    <s v="9260000"/>
    <s v="571900"/>
    <s v="9010"/>
    <s v="553"/>
    <s v="0000SUPT"/>
    <s v="0000"/>
    <s v=""/>
  </r>
  <r>
    <d v="2021-05-28T00:00:00"/>
    <x v="4"/>
    <x v="0"/>
    <n v="3973.44"/>
    <s v="00503318"/>
    <s v="000858150"/>
    <x v="3"/>
    <s v="ONCOR2105"/>
    <s v="2200386356"/>
    <s v="ESD"/>
    <s v="PUR0958004"/>
    <s v=""/>
    <s v="9260000"/>
    <s v="521900"/>
    <s v="0000"/>
    <s v="554"/>
    <s v="00000000"/>
    <s v="0000"/>
    <s v=""/>
  </r>
  <r>
    <d v="2021-05-28T00:00:00"/>
    <x v="4"/>
    <x v="0"/>
    <n v="4763.25"/>
    <s v="00503224"/>
    <s v="003319350"/>
    <x v="5"/>
    <s v="6673"/>
    <s v="2200386603"/>
    <s v="ESD"/>
    <s v="PUR0958004"/>
    <s v=""/>
    <s v="9260000"/>
    <s v="521900"/>
    <s v="0000"/>
    <s v="554"/>
    <s v="BENEFITS"/>
    <s v="0000"/>
    <s v=""/>
  </r>
  <r>
    <d v="2021-05-28T00:00:00"/>
    <x v="4"/>
    <x v="0"/>
    <n v="2006.61"/>
    <s v="00503284"/>
    <s v="012039670"/>
    <x v="4"/>
    <s v="ADDLTDLIFEMAY21"/>
    <s v="7213000535"/>
    <s v="TRN"/>
    <s v="PUR0957999"/>
    <s v=""/>
    <s v="9260000"/>
    <s v="571900"/>
    <s v="9010"/>
    <s v="557"/>
    <s v="FMLACHRG"/>
    <s v="0000"/>
    <s v=""/>
  </r>
  <r>
    <d v="2021-05-28T00:00:00"/>
    <x v="4"/>
    <x v="0"/>
    <n v="2180.0500000000002"/>
    <s v="00503321"/>
    <s v="000841250"/>
    <x v="2"/>
    <s v="345888039"/>
    <s v="0000257684"/>
    <s v="ESD"/>
    <s v="PUR0958004"/>
    <s v=""/>
    <s v="9260000"/>
    <s v="521900"/>
    <s v="0000"/>
    <s v="554"/>
    <s v="BENEFITS"/>
    <s v="0000"/>
    <s v=""/>
  </r>
  <r>
    <d v="2021-05-20T00:00:00"/>
    <x v="4"/>
    <x v="0"/>
    <n v="65.25"/>
    <s v="00501823"/>
    <s v="012061960"/>
    <x v="6"/>
    <s v="3245792"/>
    <s v="0000256266"/>
    <s v="TRN"/>
    <s v="PUR0957762"/>
    <s v=""/>
    <s v="9260000"/>
    <s v="571900"/>
    <s v="9010"/>
    <s v="554"/>
    <s v="0000SUPT"/>
    <s v="0000"/>
    <s v=""/>
  </r>
  <r>
    <d v="2021-05-26T00:00:00"/>
    <x v="4"/>
    <x v="0"/>
    <n v="155467.29999999999"/>
    <s v="00502622"/>
    <s v="012051699"/>
    <x v="1"/>
    <s v="BCBSAP21"/>
    <s v="0000256262"/>
    <s v="ESD"/>
    <s v="PUR0957919"/>
    <s v=""/>
    <s v="9260000"/>
    <s v="521900"/>
    <s v="0000"/>
    <s v="554"/>
    <s v="BENEFITS"/>
    <s v="0000"/>
    <s v=""/>
  </r>
  <r>
    <d v="2021-05-28T00:00:00"/>
    <x v="4"/>
    <x v="0"/>
    <n v="6384.86"/>
    <s v="00503284"/>
    <s v="012039670"/>
    <x v="4"/>
    <s v="ADDLTDLIFEMAY21"/>
    <s v="7213000535"/>
    <s v="ESD"/>
    <s v="PUR0958004"/>
    <s v=""/>
    <s v="9260000"/>
    <s v="521900"/>
    <s v="4500"/>
    <s v="557"/>
    <s v="FMLACHRG"/>
    <s v="0000"/>
    <s v=""/>
  </r>
  <r>
    <d v="2021-05-20T00:00:00"/>
    <x v="4"/>
    <x v="0"/>
    <n v="174"/>
    <s v="00501823"/>
    <s v="012061960"/>
    <x v="6"/>
    <s v="3245792"/>
    <s v="0000256266"/>
    <s v="ESD"/>
    <s v="PUR0957768"/>
    <s v=""/>
    <s v="9260000"/>
    <s v="521900"/>
    <s v="0000"/>
    <s v="554"/>
    <s v="BENEFITS"/>
    <s v="0000"/>
    <s v=""/>
  </r>
  <r>
    <d v="2021-05-26T00:00:00"/>
    <x v="4"/>
    <x v="0"/>
    <n v="6901.4"/>
    <s v="00502624"/>
    <s v="012047066"/>
    <x v="0"/>
    <s v="ACC867976DENTALJUN21"/>
    <s v="0000256260"/>
    <s v="ESD"/>
    <s v="PUR0957919"/>
    <s v=""/>
    <s v="9260000"/>
    <s v="521900"/>
    <s v="0000"/>
    <s v="553"/>
    <s v="BENEFITS"/>
    <s v="0000"/>
    <s v=""/>
  </r>
  <r>
    <d v="2021-05-26T00:00:00"/>
    <x v="4"/>
    <x v="0"/>
    <n v="53088.02"/>
    <s v="00502622"/>
    <s v="012051699"/>
    <x v="1"/>
    <s v="BCBSAP21"/>
    <s v="0000256262"/>
    <s v="TRN"/>
    <s v="PUR0957923"/>
    <s v=""/>
    <s v="9260000"/>
    <s v="571900"/>
    <s v="9010"/>
    <s v="554"/>
    <s v="0000SUPT"/>
    <s v="0000"/>
    <s v=""/>
  </r>
  <r>
    <d v="2021-05-28T00:00:00"/>
    <x v="4"/>
    <x v="0"/>
    <n v="11884.16"/>
    <s v="00503318"/>
    <s v="000858150"/>
    <x v="3"/>
    <s v="ONCOR2105"/>
    <s v="2200386356"/>
    <s v="ESD"/>
    <s v="PUR0958004"/>
    <s v=""/>
    <s v="9260000"/>
    <s v="521900"/>
    <s v="0000"/>
    <s v="554"/>
    <s v="BENEFITS"/>
    <s v="0000"/>
    <s v=""/>
  </r>
  <r>
    <d v="2021-06-08T00:00:00"/>
    <x v="5"/>
    <x v="0"/>
    <n v="1656.8"/>
    <s v="00505141"/>
    <s v="011835450"/>
    <x v="0"/>
    <s v="CYC2020FILE"/>
    <s v="0000257372"/>
    <s v="TRN"/>
    <s v="PUR0958467"/>
    <s v=""/>
    <s v="9260000"/>
    <s v="571900"/>
    <s v="9010"/>
    <s v="553"/>
    <s v="BENEFITS"/>
    <s v="0000"/>
    <s v=""/>
  </r>
  <r>
    <d v="2021-06-30T00:00:00"/>
    <x v="5"/>
    <x v="0"/>
    <n v="6467.15"/>
    <s v="00508071"/>
    <s v="012039670"/>
    <x v="4"/>
    <s v="ADDLTDLIFEJUN21"/>
    <s v="7213000658"/>
    <s v="ESD"/>
    <s v="PUR0959026"/>
    <s v=""/>
    <s v="9260000"/>
    <s v="521900"/>
    <s v="4500"/>
    <s v="557"/>
    <s v="FMLACHRG"/>
    <s v="0000"/>
    <s v=""/>
  </r>
  <r>
    <d v="2021-06-25T00:00:00"/>
    <x v="5"/>
    <x v="0"/>
    <n v="2314.4"/>
    <s v="00508098"/>
    <s v="012047066"/>
    <x v="0"/>
    <s v="ACC867926DENTALJUL21"/>
    <s v="0000259445"/>
    <s v="TRN"/>
    <s v="PUR0958842"/>
    <s v=""/>
    <s v="9260000"/>
    <s v="571900"/>
    <s v="9010"/>
    <s v="553"/>
    <s v="0000SUPT"/>
    <s v="0000"/>
    <s v=""/>
  </r>
  <r>
    <d v="2021-06-16T00:00:00"/>
    <x v="5"/>
    <x v="0"/>
    <n v="65.25"/>
    <s v="00506550"/>
    <s v="012061960"/>
    <x v="6"/>
    <s v="3247068"/>
    <s v="0000259852"/>
    <s v="TRN"/>
    <s v="PUR0958650"/>
    <s v=""/>
    <s v="9260000"/>
    <s v="571900"/>
    <s v="9010"/>
    <s v="554"/>
    <s v="0000SUPT"/>
    <s v="0000"/>
    <s v=""/>
  </r>
  <r>
    <d v="2021-06-23T00:00:00"/>
    <x v="5"/>
    <x v="0"/>
    <n v="154479.66"/>
    <s v="00507652"/>
    <s v="012051699"/>
    <x v="1"/>
    <s v="BCBSMAY21"/>
    <s v="0000259447"/>
    <s v="ESD"/>
    <s v="PUR0958781"/>
    <s v=""/>
    <s v="9260000"/>
    <s v="521900"/>
    <s v="0000"/>
    <s v="554"/>
    <s v="BENEFITS"/>
    <s v="0000"/>
    <s v=""/>
  </r>
  <r>
    <d v="2021-06-23T00:00:00"/>
    <x v="5"/>
    <x v="0"/>
    <n v="51127.78"/>
    <s v="00507652"/>
    <s v="012051699"/>
    <x v="1"/>
    <s v="BCBSMAY21"/>
    <s v="0000259447"/>
    <s v="TRN"/>
    <s v="PUR0958785"/>
    <s v=""/>
    <s v="9260000"/>
    <s v="571900"/>
    <s v="9010"/>
    <s v="554"/>
    <s v="0000SUPT"/>
    <s v="0000"/>
    <s v=""/>
  </r>
  <r>
    <d v="2021-06-08T00:00:00"/>
    <x v="5"/>
    <x v="0"/>
    <n v="5343.2"/>
    <s v="00505141"/>
    <s v="011835450"/>
    <x v="0"/>
    <s v="CYC2020FILE"/>
    <s v="0000257372"/>
    <s v="ESD"/>
    <s v="PUR0958463"/>
    <s v=""/>
    <s v="9260000"/>
    <s v="521900"/>
    <s v="0000"/>
    <s v="553"/>
    <s v="BENEFITS"/>
    <s v="0000"/>
    <s v=""/>
  </r>
  <r>
    <d v="2021-06-28T00:00:00"/>
    <x v="5"/>
    <x v="0"/>
    <n v="2451.21"/>
    <s v="00508108"/>
    <s v="003319350"/>
    <x v="5"/>
    <s v="6846"/>
    <s v="2200389117"/>
    <s v="TRN"/>
    <s v="PUR0958872"/>
    <s v=""/>
    <s v="9260000"/>
    <s v="571900"/>
    <s v="9010"/>
    <s v="554"/>
    <s v="BENEFITS"/>
    <s v="0000"/>
    <s v=""/>
  </r>
  <r>
    <d v="2021-06-28T00:00:00"/>
    <x v="5"/>
    <x v="0"/>
    <n v="7378.24"/>
    <s v="00508108"/>
    <s v="003319350"/>
    <x v="5"/>
    <s v="6846"/>
    <s v="2200389117"/>
    <s v="ESD"/>
    <s v="PUR0958877"/>
    <s v=""/>
    <s v="9260000"/>
    <s v="521900"/>
    <s v="0000"/>
    <s v="554"/>
    <s v="BENEFITS"/>
    <s v="0000"/>
    <s v=""/>
  </r>
  <r>
    <d v="2021-06-16T00:00:00"/>
    <x v="5"/>
    <x v="0"/>
    <n v="174"/>
    <s v="00506550"/>
    <s v="012061960"/>
    <x v="6"/>
    <s v="3247068"/>
    <s v="0000259852"/>
    <s v="ESD"/>
    <s v="PUR0958646"/>
    <s v=""/>
    <s v="9260000"/>
    <s v="521900"/>
    <s v="0000"/>
    <s v="554"/>
    <s v="BENEFITS"/>
    <s v="0000"/>
    <s v=""/>
  </r>
  <r>
    <d v="2021-06-22T00:00:00"/>
    <x v="5"/>
    <x v="0"/>
    <n v="3982.81"/>
    <s v="00507514"/>
    <s v="000858150"/>
    <x v="3"/>
    <s v="ONCOR2106"/>
    <s v="2200388529"/>
    <s v="TRN"/>
    <s v="PUR0958761"/>
    <s v=""/>
    <s v="9260000"/>
    <s v="571900"/>
    <s v="9010"/>
    <s v="554"/>
    <s v="0000SUPT"/>
    <s v="0000"/>
    <s v=""/>
  </r>
  <r>
    <d v="2021-06-22T00:00:00"/>
    <x v="5"/>
    <x v="0"/>
    <n v="11912.19"/>
    <s v="00507514"/>
    <s v="000858150"/>
    <x v="3"/>
    <s v="ONCOR2106"/>
    <s v="2200388529"/>
    <s v="ESD"/>
    <s v="PUR0958755"/>
    <s v=""/>
    <s v="9260000"/>
    <s v="521900"/>
    <s v="0000"/>
    <s v="554"/>
    <s v="BENEFITS"/>
    <s v="0000"/>
    <s v=""/>
  </r>
  <r>
    <d v="2021-06-30T00:00:00"/>
    <x v="5"/>
    <x v="0"/>
    <n v="2053.0300000000002"/>
    <s v="00508071"/>
    <s v="012039670"/>
    <x v="4"/>
    <s v="ADDLTDLIFEJUN21"/>
    <s v="7213000658"/>
    <s v="TRN"/>
    <s v="PUR0959031"/>
    <s v=""/>
    <s v="9260000"/>
    <s v="571900"/>
    <s v="9010"/>
    <s v="557"/>
    <s v="FMLACHRG"/>
    <s v="0000"/>
    <s v=""/>
  </r>
  <r>
    <d v="2021-06-25T00:00:00"/>
    <x v="5"/>
    <x v="0"/>
    <n v="6897"/>
    <s v="00508098"/>
    <s v="012047066"/>
    <x v="0"/>
    <s v="ACC867926DENTALJUL21"/>
    <s v="0000259445"/>
    <s v="ESD"/>
    <s v="PUR0958838"/>
    <s v=""/>
    <s v="9260000"/>
    <s v="521900"/>
    <s v="0000"/>
    <s v="553"/>
    <s v="BENEFITS"/>
    <s v="0000"/>
    <s v=""/>
  </r>
  <r>
    <d v="2021-07-12T00:00:00"/>
    <x v="6"/>
    <x v="0"/>
    <n v="9813.9599999999991"/>
    <s v="00510115"/>
    <s v="012047066"/>
    <x v="0"/>
    <s v="CYC2021FILE"/>
    <s v="0000260796"/>
    <s v="ESD"/>
    <s v="PUR0959521"/>
    <s v=""/>
    <s v="9260000"/>
    <s v="521900"/>
    <s v="0000"/>
    <s v="553"/>
    <s v="BENEFITS"/>
    <s v="0000"/>
    <s v=""/>
  </r>
  <r>
    <d v="2021-07-16T00:00:00"/>
    <x v="6"/>
    <x v="0"/>
    <n v="3991.25"/>
    <s v="00511164"/>
    <s v="000858150"/>
    <x v="3"/>
    <s v="ONCOR2107"/>
    <s v="2200390671"/>
    <s v="TRN"/>
    <s v="PUR0959649"/>
    <s v=""/>
    <s v="9260000"/>
    <s v="571900"/>
    <s v="9010"/>
    <s v="554"/>
    <s v="0000SUPT"/>
    <s v="0000"/>
    <s v=""/>
  </r>
  <r>
    <d v="2021-07-28T00:00:00"/>
    <x v="6"/>
    <x v="0"/>
    <n v="2111"/>
    <s v="00513047"/>
    <s v="000841250"/>
    <x v="2"/>
    <s v="349650127"/>
    <s v="0000262639"/>
    <s v="ESD"/>
    <s v="PUR0959894"/>
    <s v=""/>
    <s v="9260000"/>
    <s v="521900"/>
    <s v="0000"/>
    <s v="554"/>
    <s v="BENEFITS"/>
    <s v="0000"/>
    <s v=""/>
  </r>
  <r>
    <d v="2021-07-16T00:00:00"/>
    <x v="6"/>
    <x v="0"/>
    <n v="11937.41"/>
    <s v="00511164"/>
    <s v="000858150"/>
    <x v="3"/>
    <s v="ONCOR2107"/>
    <s v="2200390671"/>
    <s v="ESD"/>
    <s v="PUR0959641"/>
    <s v=""/>
    <s v="9260000"/>
    <s v="521900"/>
    <s v="0000"/>
    <s v="554"/>
    <s v="00000000"/>
    <s v="0000"/>
    <s v=""/>
  </r>
  <r>
    <d v="2021-07-28T00:00:00"/>
    <x v="6"/>
    <x v="0"/>
    <n v="6317.38"/>
    <s v="00513053"/>
    <s v="012047066"/>
    <x v="0"/>
    <s v="ACC867976DENTALALAUG21"/>
    <s v="0000262446"/>
    <s v="ESD"/>
    <s v="PUR0959894"/>
    <s v=""/>
    <s v="9260000"/>
    <s v="521900"/>
    <s v="0000"/>
    <s v="554"/>
    <s v="BENEFITS"/>
    <s v="0000"/>
    <s v=""/>
  </r>
  <r>
    <d v="2021-07-28T00:00:00"/>
    <x v="6"/>
    <x v="0"/>
    <n v="6547.33"/>
    <s v="00512835"/>
    <s v="012039670"/>
    <x v="4"/>
    <s v="ADDLTDLIFEJUL21"/>
    <s v="7213000763"/>
    <s v="ESD"/>
    <s v="PUR0959894"/>
    <s v=""/>
    <s v="9260000"/>
    <s v="521900"/>
    <s v="4500"/>
    <s v="557"/>
    <s v="FMLACHRG"/>
    <s v="0000"/>
    <s v=""/>
  </r>
  <r>
    <d v="2021-07-28T00:00:00"/>
    <x v="6"/>
    <x v="0"/>
    <n v="544.9"/>
    <s v="00513047"/>
    <s v="000841250"/>
    <x v="2"/>
    <s v="349650127"/>
    <s v="0000262639"/>
    <s v="TRN"/>
    <s v="PUR0959887"/>
    <s v=""/>
    <s v="9260000"/>
    <s v="571900"/>
    <s v="9010"/>
    <s v="554"/>
    <s v="0000SUPT"/>
    <s v="0000"/>
    <s v=""/>
  </r>
  <r>
    <d v="2021-07-28T00:00:00"/>
    <x v="6"/>
    <x v="0"/>
    <n v="155106.06"/>
    <s v="00513050"/>
    <s v="012051699"/>
    <x v="1"/>
    <s v="BCBSJUN21"/>
    <s v="0000262448"/>
    <s v="ESD"/>
    <s v="PUR0959894"/>
    <s v=""/>
    <s v="9260000"/>
    <s v="521900"/>
    <s v="0000"/>
    <s v="554"/>
    <s v="BENEFITS"/>
    <s v="0000"/>
    <s v=""/>
  </r>
  <r>
    <d v="2021-07-13T00:00:00"/>
    <x v="6"/>
    <x v="0"/>
    <n v="6457.08"/>
    <s v="00510605"/>
    <s v="003319350"/>
    <x v="5"/>
    <s v="6978"/>
    <s v="2200391216"/>
    <s v="ESD"/>
    <s v="PUR0959548"/>
    <s v=""/>
    <s v="9260000"/>
    <s v="521900"/>
    <s v="0000"/>
    <s v="554"/>
    <s v="BENEFITS"/>
    <s v="0000"/>
    <s v=""/>
  </r>
  <r>
    <d v="2021-07-08T00:00:00"/>
    <x v="6"/>
    <x v="0"/>
    <n v="174"/>
    <s v="00509944"/>
    <s v="012061960"/>
    <x v="6"/>
    <s v="3248344"/>
    <s v="0000262715"/>
    <s v="ESD"/>
    <s v="PUR0959472"/>
    <s v=""/>
    <s v="9260000"/>
    <s v="521900"/>
    <s v="0000"/>
    <s v="554"/>
    <s v="BENEFITS"/>
    <s v="0000"/>
    <s v=""/>
  </r>
  <r>
    <d v="2021-07-12T00:00:00"/>
    <x v="6"/>
    <x v="0"/>
    <n v="3186.04"/>
    <s v="00510115"/>
    <s v="012047066"/>
    <x v="0"/>
    <s v="CYC2021FILE"/>
    <s v="0000260796"/>
    <s v="TRN"/>
    <s v="PUR0959525"/>
    <s v=""/>
    <s v="9260000"/>
    <s v="571900"/>
    <s v="9010"/>
    <s v="553"/>
    <s v="BENEFITS"/>
    <s v="0000"/>
    <s v=""/>
  </r>
  <r>
    <d v="2021-07-28T00:00:00"/>
    <x v="6"/>
    <x v="0"/>
    <n v="2169.08"/>
    <s v="00512835"/>
    <s v="012039670"/>
    <x v="4"/>
    <s v="ADDLTDLIFEJUL21"/>
    <s v="7213000763"/>
    <s v="TRN"/>
    <s v="PUR0959887"/>
    <s v=""/>
    <s v="9260000"/>
    <s v="571900"/>
    <s v="9010"/>
    <s v="557"/>
    <s v="FMLACHRG"/>
    <s v="0000"/>
    <s v=""/>
  </r>
  <r>
    <d v="2021-07-28T00:00:00"/>
    <x v="6"/>
    <x v="0"/>
    <n v="2126.4299999999998"/>
    <s v="00513053"/>
    <s v="012047066"/>
    <x v="0"/>
    <s v="ACC867976DENTALALAUG21"/>
    <s v="0000262446"/>
    <s v="TRN"/>
    <s v="PUR0959887"/>
    <s v=""/>
    <s v="9260000"/>
    <s v="571900"/>
    <s v="9010"/>
    <s v="553"/>
    <s v="0000SUPT"/>
    <s v="0000"/>
    <s v=""/>
  </r>
  <r>
    <d v="2021-07-08T00:00:00"/>
    <x v="6"/>
    <x v="0"/>
    <n v="65.25"/>
    <s v="00509944"/>
    <s v="012061960"/>
    <x v="6"/>
    <s v="3248344"/>
    <s v="0000262715"/>
    <s v="TRN"/>
    <s v="PUR0959468"/>
    <s v=""/>
    <s v="9260000"/>
    <s v="571900"/>
    <s v="9010"/>
    <s v="554"/>
    <s v="0000SUPT"/>
    <s v="0000"/>
    <s v=""/>
  </r>
  <r>
    <d v="2021-07-28T00:00:00"/>
    <x v="6"/>
    <x v="0"/>
    <n v="52589.32"/>
    <s v="00513050"/>
    <s v="012051699"/>
    <x v="1"/>
    <s v="BCBSJUN21"/>
    <s v="0000262448"/>
    <s v="TRN"/>
    <s v="PUR0959887"/>
    <s v=""/>
    <s v="9260000"/>
    <s v="571900"/>
    <s v="9010"/>
    <s v="554"/>
    <s v="0000SUPT"/>
    <s v="0000"/>
    <s v=""/>
  </r>
  <r>
    <d v="2021-07-13T00:00:00"/>
    <x v="6"/>
    <x v="0"/>
    <n v="2157.5700000000002"/>
    <s v="00510605"/>
    <s v="003319350"/>
    <x v="5"/>
    <s v="6978"/>
    <s v="2200391216"/>
    <s v="TRN"/>
    <s v="PUR0959554"/>
    <s v=""/>
    <s v="9260000"/>
    <s v="571900"/>
    <s v="9010"/>
    <s v="554"/>
    <s v="BENEFITS"/>
    <s v="0000"/>
    <s v=""/>
  </r>
  <r>
    <d v="2021-08-10T00:00:00"/>
    <x v="7"/>
    <x v="0"/>
    <n v="174"/>
    <s v="00515439"/>
    <s v="012061960"/>
    <x v="6"/>
    <s v="3249855"/>
    <s v="0000265733"/>
    <s v="ESD"/>
    <s v="PUR0960421"/>
    <m/>
    <s v="9260000"/>
    <s v="521900"/>
    <s v="0000"/>
    <s v="554"/>
    <s v="BENEFITS"/>
    <s v="0000"/>
    <m/>
  </r>
  <r>
    <d v="2021-08-24T00:00:00"/>
    <x v="7"/>
    <x v="0"/>
    <n v="53511.24"/>
    <s v="00517393"/>
    <s v="012051699"/>
    <x v="1"/>
    <s v="BCBSJUL21"/>
    <s v="0000265614"/>
    <s v="TRN"/>
    <s v="PUR0960733"/>
    <m/>
    <s v="9260000"/>
    <s v="571900"/>
    <s v="9010"/>
    <s v="554"/>
    <s v="0000SUPT"/>
    <s v="0000"/>
    <m/>
  </r>
  <r>
    <d v="2021-08-13T00:00:00"/>
    <x v="7"/>
    <x v="0"/>
    <n v="11957.03"/>
    <s v="00516017"/>
    <s v="000858150"/>
    <x v="3"/>
    <s v="ONCOR2108"/>
    <s v="2200392794"/>
    <s v="ESD"/>
    <s v="PUR0960516"/>
    <m/>
    <s v="9260000"/>
    <s v="521900"/>
    <s v="0000"/>
    <s v="554"/>
    <s v="BENEFITS"/>
    <s v="0000"/>
    <m/>
  </r>
  <r>
    <d v="2021-08-05T00:00:00"/>
    <x v="7"/>
    <x v="0"/>
    <n v="544.9"/>
    <s v="00514713"/>
    <s v="000841250"/>
    <x v="2"/>
    <s v="353622116"/>
    <s v="0000263989"/>
    <s v="TRN"/>
    <s v="PUR0960317"/>
    <m/>
    <s v="9260000"/>
    <s v="571900"/>
    <s v="9010"/>
    <s v="554"/>
    <s v="0000SUPT"/>
    <s v="0000"/>
    <m/>
  </r>
  <r>
    <d v="2021-08-24T00:00:00"/>
    <x v="7"/>
    <x v="0"/>
    <n v="154102.07999999999"/>
    <s v="00517393"/>
    <s v="012051699"/>
    <x v="1"/>
    <s v="BCBSJUL21"/>
    <s v="0000265614"/>
    <s v="ESD"/>
    <s v="PUR0960727"/>
    <m/>
    <s v="9260000"/>
    <s v="521900"/>
    <s v="0000"/>
    <s v="554"/>
    <s v="BENEFITS"/>
    <s v="0000"/>
    <m/>
  </r>
  <r>
    <d v="2021-08-10T00:00:00"/>
    <x v="7"/>
    <x v="0"/>
    <n v="58"/>
    <s v="00515439"/>
    <s v="012061960"/>
    <x v="6"/>
    <s v="3249855"/>
    <s v="0000265733"/>
    <s v="TRN"/>
    <s v="PUR0960426"/>
    <m/>
    <s v="9260000"/>
    <s v="571900"/>
    <s v="9010"/>
    <s v="554"/>
    <s v="0000SUPT"/>
    <s v="0000"/>
    <m/>
  </r>
  <r>
    <d v="2021-08-25T00:00:00"/>
    <x v="7"/>
    <x v="0"/>
    <n v="2248.0500000000002"/>
    <s v="00517512"/>
    <s v="003319350"/>
    <x v="5"/>
    <s v="7147"/>
    <s v="2200394625"/>
    <s v="TRN"/>
    <s v="PUR0960766"/>
    <m/>
    <s v="9260000"/>
    <s v="571900"/>
    <s v="9010"/>
    <s v="554"/>
    <s v="0000SUPT"/>
    <s v="0000"/>
    <m/>
  </r>
  <r>
    <d v="2021-08-25T00:00:00"/>
    <x v="7"/>
    <x v="0"/>
    <n v="6446.05"/>
    <s v="00517300"/>
    <s v="012039670"/>
    <x v="4"/>
    <s v="ADDLTDLIFEAUG21"/>
    <s v="7213000868"/>
    <s v="ESD"/>
    <s v="PUR0960770"/>
    <m/>
    <s v="9260000"/>
    <s v="521900"/>
    <s v="4500"/>
    <s v="557"/>
    <s v="FMLACHRG"/>
    <s v="0000"/>
    <m/>
  </r>
  <r>
    <d v="2021-08-25T00:00:00"/>
    <x v="7"/>
    <x v="0"/>
    <n v="6669.5"/>
    <s v="00517512"/>
    <s v="003319350"/>
    <x v="5"/>
    <s v="7147"/>
    <s v="2200394625"/>
    <s v="ESD"/>
    <s v="PUR0960770"/>
    <m/>
    <s v="9260000"/>
    <s v="521900"/>
    <s v="0000"/>
    <s v="554"/>
    <s v="BENEFITS"/>
    <s v="0000"/>
    <m/>
  </r>
  <r>
    <d v="2021-08-13T00:00:00"/>
    <x v="7"/>
    <x v="0"/>
    <n v="3997.81"/>
    <s v="00516017"/>
    <s v="000858150"/>
    <x v="3"/>
    <s v="ONCOR2108"/>
    <s v="2200392794"/>
    <s v="TRN"/>
    <s v="PUR0960511"/>
    <m/>
    <s v="9260000"/>
    <s v="571900"/>
    <s v="9010"/>
    <s v="554"/>
    <s v="0000SUPT"/>
    <s v="0000"/>
    <m/>
  </r>
  <r>
    <d v="2021-08-23T00:00:00"/>
    <x v="7"/>
    <x v="0"/>
    <n v="2119.4"/>
    <s v="00517060"/>
    <s v="000841250"/>
    <x v="2"/>
    <s v="3573365143"/>
    <s v="0000266548"/>
    <s v="ESD"/>
    <s v="PUR0960703"/>
    <m/>
    <s v="9260000"/>
    <s v="521900"/>
    <s v="0000"/>
    <s v="554"/>
    <s v="BENEFITS"/>
    <s v="0000"/>
    <m/>
  </r>
  <r>
    <d v="2021-08-23T00:00:00"/>
    <x v="7"/>
    <x v="0"/>
    <n v="543.29999999999995"/>
    <s v="00517060"/>
    <s v="000841250"/>
    <x v="2"/>
    <s v="3573365143"/>
    <s v="0000266548"/>
    <s v="TRN"/>
    <s v="PUR0960696"/>
    <m/>
    <s v="9260000"/>
    <s v="571900"/>
    <s v="9010"/>
    <s v="554"/>
    <s v="BENEFITS"/>
    <s v="0000"/>
    <m/>
  </r>
  <r>
    <d v="2021-08-05T00:00:00"/>
    <x v="7"/>
    <x v="0"/>
    <n v="2127.6"/>
    <s v="00514713"/>
    <s v="000841250"/>
    <x v="2"/>
    <s v="353622116"/>
    <s v="0000263989"/>
    <s v="ESD"/>
    <s v="PUR0960324"/>
    <m/>
    <s v="9260000"/>
    <s v="521900"/>
    <s v="0000"/>
    <s v="554"/>
    <s v="BENEFITS"/>
    <s v="0000"/>
    <m/>
  </r>
  <r>
    <d v="2021-08-25T00:00:00"/>
    <x v="7"/>
    <x v="0"/>
    <n v="2318.8000000000002"/>
    <s v="00517513"/>
    <s v="012047066"/>
    <x v="0"/>
    <s v="ACC867976DENTALSEP21"/>
    <s v="0000265613"/>
    <s v="TRN"/>
    <s v="PUR0960766"/>
    <m/>
    <s v="9260000"/>
    <s v="571900"/>
    <s v="9010"/>
    <s v="553"/>
    <s v="0000SUPT"/>
    <s v="0000"/>
    <m/>
  </r>
  <r>
    <d v="2021-08-25T00:00:00"/>
    <x v="7"/>
    <x v="0"/>
    <n v="6936.6"/>
    <s v="00517513"/>
    <s v="012047066"/>
    <x v="0"/>
    <s v="ACC867976DENTALSEP21"/>
    <s v="0000265613"/>
    <s v="ESD"/>
    <s v="PUR0960770"/>
    <m/>
    <s v="9260000"/>
    <s v="521900"/>
    <s v="0000"/>
    <s v="553"/>
    <s v="BENEFITS"/>
    <s v="0000"/>
    <m/>
  </r>
  <r>
    <d v="2021-08-25T00:00:00"/>
    <x v="7"/>
    <x v="0"/>
    <n v="2137.4299999999998"/>
    <s v="00517300"/>
    <s v="012039670"/>
    <x v="4"/>
    <s v="ADDLTDLIFEAUG21"/>
    <s v="7213000868"/>
    <s v="TRN"/>
    <s v="PUR0960766"/>
    <m/>
    <s v="9260000"/>
    <s v="571900"/>
    <s v="9010"/>
    <s v="557"/>
    <s v="FMLACHRG"/>
    <s v="0000"/>
    <m/>
  </r>
  <r>
    <d v="2021-09-15T00:00:00"/>
    <x v="8"/>
    <x v="0"/>
    <n v="4741.5"/>
    <s v="00521000"/>
    <s v="003319350"/>
    <x v="5"/>
    <s v="7298"/>
    <s v="2200398503"/>
    <s v="ESD"/>
    <s v="PUR0961597"/>
    <m/>
    <s v="9260000"/>
    <s v="521900"/>
    <s v="0000"/>
    <s v="554"/>
    <s v="BENEFITS"/>
    <s v="0000"/>
    <m/>
  </r>
  <r>
    <d v="2021-09-24T00:00:00"/>
    <x v="8"/>
    <x v="0"/>
    <n v="54256.639999999999"/>
    <s v="00522411"/>
    <s v="012051699"/>
    <x v="1"/>
    <s v="BCBSAUG21"/>
    <s v="0000270390"/>
    <s v="TRN"/>
    <s v="PUR0961903"/>
    <m/>
    <s v="9260000"/>
    <s v="571900"/>
    <s v="9010"/>
    <s v="554"/>
    <s v="0000SUPT"/>
    <s v="0000"/>
    <m/>
  </r>
  <r>
    <d v="2021-09-21T00:00:00"/>
    <x v="8"/>
    <x v="0"/>
    <n v="3989.37"/>
    <s v="00521784"/>
    <s v="000858150"/>
    <x v="3"/>
    <s v="ONCOR2109"/>
    <s v="2200396632"/>
    <s v="TRN"/>
    <s v="PUR0961784"/>
    <m/>
    <s v="9260000"/>
    <s v="571900"/>
    <s v="9010"/>
    <s v="554"/>
    <s v="0000SUPT"/>
    <s v="0000"/>
    <m/>
  </r>
  <r>
    <d v="2021-09-21T00:00:00"/>
    <x v="8"/>
    <x v="0"/>
    <n v="11931.81"/>
    <s v="00521784"/>
    <s v="000858150"/>
    <x v="3"/>
    <s v="ONCOR2109"/>
    <s v="2200396632"/>
    <s v="ESD"/>
    <s v="PUR0961788"/>
    <m/>
    <s v="9260000"/>
    <s v="521900"/>
    <s v="0000"/>
    <s v="554"/>
    <s v="BENEFITS"/>
    <s v="0000"/>
    <m/>
  </r>
  <r>
    <d v="2021-09-29T00:00:00"/>
    <x v="8"/>
    <x v="0"/>
    <n v="6473.48"/>
    <s v="00522619"/>
    <s v="012039670"/>
    <x v="4"/>
    <s v="ADDLTDLIFESEP21"/>
    <s v="7213001007"/>
    <s v="ESD"/>
    <s v="PUR0962084"/>
    <m/>
    <s v="9260000"/>
    <s v="521900"/>
    <s v="4500"/>
    <s v="557"/>
    <s v="FMLACHRG"/>
    <s v="0000"/>
    <m/>
  </r>
  <r>
    <d v="2021-09-15T00:00:00"/>
    <x v="8"/>
    <x v="0"/>
    <n v="1599.35"/>
    <s v="00521000"/>
    <s v="003319350"/>
    <x v="5"/>
    <s v="7298"/>
    <s v="2200398503"/>
    <s v="TRN"/>
    <s v="PUR0961593"/>
    <m/>
    <s v="9260000"/>
    <s v="571900"/>
    <s v="9010"/>
    <s v="554"/>
    <s v="BENEFITS"/>
    <s v="0000"/>
    <m/>
  </r>
  <r>
    <d v="2021-09-23T00:00:00"/>
    <x v="8"/>
    <x v="0"/>
    <n v="2336.4"/>
    <s v="00522237"/>
    <s v="012047066"/>
    <x v="0"/>
    <s v="ACC867976DENTALOCT21"/>
    <s v="0000270388"/>
    <s v="TRN"/>
    <s v="PUR0961863"/>
    <m/>
    <s v="9260000"/>
    <s v="571900"/>
    <s v="9010"/>
    <s v="553"/>
    <s v="0000SUPT"/>
    <s v="0000"/>
    <m/>
  </r>
  <r>
    <d v="2021-09-24T00:00:00"/>
    <x v="8"/>
    <x v="0"/>
    <n v="156189.56"/>
    <s v="00522411"/>
    <s v="012051699"/>
    <x v="1"/>
    <s v="BCBSAUG21"/>
    <s v="0000270390"/>
    <s v="ESD"/>
    <s v="PUR0961909"/>
    <m/>
    <s v="9260000"/>
    <s v="521900"/>
    <s v="0000"/>
    <s v="554"/>
    <s v="BENEFITS"/>
    <s v="0000"/>
    <m/>
  </r>
  <r>
    <d v="2021-09-29T00:00:00"/>
    <x v="8"/>
    <x v="0"/>
    <n v="2221.83"/>
    <s v="00522619"/>
    <s v="012039670"/>
    <x v="4"/>
    <s v="ADDLTDLIFESEP21"/>
    <s v="7213001007"/>
    <s v="TRN"/>
    <s v="PUR0962092"/>
    <m/>
    <s v="9260000"/>
    <s v="571900"/>
    <s v="9010"/>
    <s v="557"/>
    <s v="FMLACHRG"/>
    <s v="0000"/>
    <m/>
  </r>
  <r>
    <d v="2021-09-23T00:00:00"/>
    <x v="8"/>
    <x v="0"/>
    <n v="6894.8"/>
    <s v="00522237"/>
    <s v="012047066"/>
    <x v="0"/>
    <s v="ACC867976DENTALOCT21"/>
    <s v="0000270388"/>
    <s v="ESD"/>
    <s v="PUR0961856"/>
    <m/>
    <s v="9260000"/>
    <s v="521900"/>
    <s v="0000"/>
    <s v="553"/>
    <s v="BENEFITS"/>
    <s v="0000"/>
    <m/>
  </r>
  <r>
    <d v="2021-09-15T00:00:00"/>
    <x v="8"/>
    <x v="0"/>
    <n v="58"/>
    <s v="00520915"/>
    <s v="012061960"/>
    <x v="6"/>
    <s v="3251375"/>
    <s v="0000270839"/>
    <s v="TRN"/>
    <s v="PUR0961593"/>
    <m/>
    <s v="9260000"/>
    <s v="571900"/>
    <s v="9010"/>
    <s v="554"/>
    <s v="0000SUPT"/>
    <s v="0000"/>
    <m/>
  </r>
  <r>
    <d v="2021-09-15T00:00:00"/>
    <x v="8"/>
    <x v="0"/>
    <n v="174"/>
    <s v="00520915"/>
    <s v="012061960"/>
    <x v="6"/>
    <s v="3251375"/>
    <s v="0000270839"/>
    <s v="ESD"/>
    <s v="PUR0961597"/>
    <m/>
    <s v="9260000"/>
    <s v="521900"/>
    <s v="0000"/>
    <s v="554"/>
    <s v="BENEFITS"/>
    <s v="0000"/>
    <m/>
  </r>
  <r>
    <d v="2021-10-25T00:00:00"/>
    <x v="9"/>
    <x v="0"/>
    <n v="529.25"/>
    <s v="00527130"/>
    <s v="012061960"/>
    <x v="6"/>
    <s v="3252965"/>
    <s v="0000276850"/>
    <s v="ESD"/>
    <s v="PUR0963133"/>
    <m/>
    <s v="9260000"/>
    <s v="521900"/>
    <s v="0000"/>
    <s v="554"/>
    <s v="BENEFITS"/>
    <s v="0000"/>
    <m/>
  </r>
  <r>
    <d v="2021-10-25T00:00:00"/>
    <x v="9"/>
    <x v="0"/>
    <n v="6850.8"/>
    <s v="00527188"/>
    <s v="012047066"/>
    <x v="0"/>
    <s v="ACC867976DENTALNOV21"/>
    <s v="0000276507"/>
    <s v="ESD"/>
    <s v="PUR0963133"/>
    <m/>
    <s v="9260000"/>
    <s v="521900"/>
    <s v="0000"/>
    <s v="553"/>
    <s v="BENEFITS"/>
    <s v="0000"/>
    <m/>
  </r>
  <r>
    <d v="2021-10-15T00:00:00"/>
    <x v="9"/>
    <x v="0"/>
    <n v="1606.6"/>
    <s v="00525463"/>
    <s v="003319350"/>
    <x v="5"/>
    <s v="7499"/>
    <s v="2200403055"/>
    <s v="TRN"/>
    <s v="PUR0962892"/>
    <m/>
    <s v="9260000"/>
    <s v="571900"/>
    <s v="9010"/>
    <s v="554"/>
    <s v="BENEFITS"/>
    <s v="0000"/>
    <m/>
  </r>
  <r>
    <d v="2021-10-05T00:00:00"/>
    <x v="9"/>
    <x v="0"/>
    <n v="2119.4"/>
    <s v="00523872"/>
    <s v="000841250"/>
    <x v="2"/>
    <s v="361422160"/>
    <s v="0000273042"/>
    <s v="ESD"/>
    <s v="PUR0962516"/>
    <m/>
    <s v="9260000"/>
    <s v="521900"/>
    <s v="0000"/>
    <s v="554"/>
    <s v="BENEFITS"/>
    <s v="0000"/>
    <m/>
  </r>
  <r>
    <d v="2021-10-15T00:00:00"/>
    <x v="9"/>
    <x v="0"/>
    <n v="4771.95"/>
    <s v="00525463"/>
    <s v="003319350"/>
    <x v="5"/>
    <s v="7499"/>
    <s v="2200403055"/>
    <s v="ESD"/>
    <s v="PUR0962888"/>
    <m/>
    <s v="9260000"/>
    <s v="521900"/>
    <s v="0000"/>
    <s v="554"/>
    <s v="BENEFITS"/>
    <s v="0000"/>
    <m/>
  </r>
  <r>
    <d v="2021-10-27T00:00:00"/>
    <x v="9"/>
    <x v="0"/>
    <n v="2190.1799999999998"/>
    <s v="00527468"/>
    <s v="012039670"/>
    <x v="4"/>
    <s v="ADDLTDLIFEOCT21"/>
    <s v="7213001118"/>
    <s v="TRN"/>
    <s v="PUR0963253"/>
    <m/>
    <s v="9260000"/>
    <s v="571900"/>
    <s v="9010"/>
    <s v="557"/>
    <s v="FMLACHRG"/>
    <s v="0000"/>
    <m/>
  </r>
  <r>
    <d v="2021-10-27T00:00:00"/>
    <x v="9"/>
    <x v="0"/>
    <n v="6500.91"/>
    <s v="00527468"/>
    <s v="012039670"/>
    <x v="4"/>
    <s v="ADDLTDLIFEOCT21"/>
    <s v="7213001118"/>
    <s v="ESD"/>
    <s v="PUR0963259"/>
    <m/>
    <s v="9260000"/>
    <s v="521900"/>
    <s v="4500"/>
    <s v="557"/>
    <s v="FMLACHRG"/>
    <s v="0000"/>
    <m/>
  </r>
  <r>
    <d v="2021-10-13T00:00:00"/>
    <x v="9"/>
    <x v="0"/>
    <n v="3984.69"/>
    <s v="00525327"/>
    <s v="000858150"/>
    <x v="3"/>
    <s v="ONCOR2110"/>
    <s v="2200401174"/>
    <s v="TRN"/>
    <s v="PUR0962829"/>
    <m/>
    <s v="9260000"/>
    <s v="571900"/>
    <s v="9010"/>
    <s v="554"/>
    <s v="0000SUPT"/>
    <s v="0000"/>
    <m/>
  </r>
  <r>
    <d v="2021-10-13T00:00:00"/>
    <x v="9"/>
    <x v="0"/>
    <n v="11917.79"/>
    <s v="00525327"/>
    <s v="000858150"/>
    <x v="3"/>
    <s v="ONCOR2110"/>
    <s v="2200401174"/>
    <s v="ESD"/>
    <s v="PUR0962835"/>
    <m/>
    <s v="9260000"/>
    <s v="521900"/>
    <s v="0000"/>
    <s v="554"/>
    <s v="BENEFITS"/>
    <s v="0000"/>
    <m/>
  </r>
  <r>
    <d v="2021-10-25T00:00:00"/>
    <x v="9"/>
    <x v="0"/>
    <n v="2281.4"/>
    <s v="00527188"/>
    <s v="012047066"/>
    <x v="0"/>
    <s v="ACC867976DENTALNOV21"/>
    <s v="0000276507"/>
    <s v="TRN"/>
    <s v="PUR0963139"/>
    <m/>
    <s v="9260000"/>
    <s v="571900"/>
    <s v="9010"/>
    <s v="553"/>
    <s v="0000SUPT"/>
    <s v="0000"/>
    <m/>
  </r>
  <r>
    <d v="2021-10-05T00:00:00"/>
    <x v="9"/>
    <x v="0"/>
    <n v="543.29999999999995"/>
    <s v="00523872"/>
    <s v="000841250"/>
    <x v="2"/>
    <s v="361422160"/>
    <s v="0000273042"/>
    <s v="TRN"/>
    <s v="PUR0962522"/>
    <m/>
    <s v="9260000"/>
    <s v="571900"/>
    <s v="9010"/>
    <s v="554"/>
    <s v="0000SUPT"/>
    <s v="0000"/>
    <m/>
  </r>
  <r>
    <d v="2021-11-04T00:00:00"/>
    <x v="10"/>
    <x v="0"/>
    <n v="157888.28"/>
    <s v="00526635"/>
    <s v="012051699"/>
    <x v="1"/>
    <s v="BCBSSEP21"/>
    <s v="0000278129"/>
    <s v="ESD"/>
    <s v="PUR0963801"/>
    <m/>
    <s v="9260000"/>
    <s v="521900"/>
    <s v="0000"/>
    <s v="554"/>
    <s v="BENEFITS"/>
    <s v="0000"/>
    <m/>
  </r>
  <r>
    <d v="2021-11-29T00:00:00"/>
    <x v="10"/>
    <x v="0"/>
    <n v="174"/>
    <s v="00531878"/>
    <s v="012061960"/>
    <x v="6"/>
    <s v="3254448"/>
    <s v="0000283162"/>
    <s v="ESD"/>
    <s v="PUR0964415"/>
    <m/>
    <s v="9260000"/>
    <s v="521900"/>
    <s v="0000"/>
    <s v="554"/>
    <s v="BENEFITS"/>
    <s v="0000"/>
    <m/>
  </r>
  <r>
    <d v="2021-11-10T00:00:00"/>
    <x v="10"/>
    <x v="0"/>
    <n v="2124.4499999999998"/>
    <s v="00527706"/>
    <s v="000841250"/>
    <x v="2"/>
    <s v="364843733"/>
    <s v="0000279298"/>
    <s v="ESD"/>
    <s v="PUR0963964"/>
    <m/>
    <s v="9260000"/>
    <s v="521900"/>
    <s v="0000"/>
    <s v="554"/>
    <s v="BENEFITS"/>
    <s v="0000"/>
    <m/>
  </r>
  <r>
    <d v="2021-11-30T00:00:00"/>
    <x v="10"/>
    <x v="0"/>
    <n v="7011.4"/>
    <s v="00531731"/>
    <s v="012047066"/>
    <x v="0"/>
    <s v="ACC867976DENTALDEC21"/>
    <s v="0000283160"/>
    <s v="ESD"/>
    <s v="PUR0964489"/>
    <m/>
    <s v="9260000"/>
    <s v="521900"/>
    <s v="0000"/>
    <s v="553"/>
    <s v="BENEFITS"/>
    <s v="0000"/>
    <m/>
  </r>
  <r>
    <d v="2021-11-30T00:00:00"/>
    <x v="10"/>
    <x v="0"/>
    <n v="53519.76"/>
    <s v="00531729"/>
    <s v="012051699"/>
    <x v="1"/>
    <s v="BCBSOCT21"/>
    <s v="0000283161"/>
    <s v="TRN"/>
    <s v="PUR0964481"/>
    <m/>
    <s v="9260000"/>
    <s v="571900"/>
    <s v="9010"/>
    <s v="554"/>
    <s v="0000SUPT"/>
    <s v="0000"/>
    <m/>
  </r>
  <r>
    <d v="2021-11-10T00:00:00"/>
    <x v="10"/>
    <x v="0"/>
    <n v="538.65"/>
    <s v="00527706"/>
    <s v="000841250"/>
    <x v="2"/>
    <s v="364843733"/>
    <s v="0000279298"/>
    <s v="TRN"/>
    <s v="PUR0963968"/>
    <m/>
    <s v="9260000"/>
    <s v="571900"/>
    <s v="9010"/>
    <s v="554"/>
    <s v="0000SUPT"/>
    <s v="0000"/>
    <m/>
  </r>
  <r>
    <d v="2021-11-30T00:00:00"/>
    <x v="10"/>
    <x v="0"/>
    <n v="2299"/>
    <s v="00531731"/>
    <s v="012047066"/>
    <x v="0"/>
    <s v="ACC867976DENTALDEC21"/>
    <s v="0000283160"/>
    <s v="TRN"/>
    <s v="PUR0964481"/>
    <m/>
    <s v="9260000"/>
    <s v="571900"/>
    <s v="9010"/>
    <s v="553"/>
    <s v="0000SUPT"/>
    <s v="0000"/>
    <m/>
  </r>
  <r>
    <d v="2021-11-29T00:00:00"/>
    <x v="10"/>
    <x v="0"/>
    <n v="58"/>
    <s v="00531878"/>
    <s v="012061960"/>
    <x v="6"/>
    <s v="3254448"/>
    <s v="0000283162"/>
    <s v="TRN"/>
    <s v="PUR0964421"/>
    <m/>
    <s v="9260000"/>
    <s v="571900"/>
    <s v="9010"/>
    <s v="554"/>
    <s v="0000SUPT"/>
    <s v="0000"/>
    <m/>
  </r>
  <r>
    <d v="2021-11-22T00:00:00"/>
    <x v="10"/>
    <x v="0"/>
    <n v="2095.23"/>
    <s v="00531403"/>
    <s v="012039670"/>
    <x v="4"/>
    <s v="ADDLTDLIFENOV21"/>
    <s v="7213001228"/>
    <s v="TRN"/>
    <s v="PUR0964278"/>
    <m/>
    <s v="9260000"/>
    <s v="571900"/>
    <s v="9010"/>
    <s v="557"/>
    <s v="FMLACHRG"/>
    <s v="0000"/>
    <m/>
  </r>
  <r>
    <d v="2021-11-04T00:00:00"/>
    <x v="10"/>
    <x v="0"/>
    <n v="53936.42"/>
    <s v="00526635"/>
    <s v="012051699"/>
    <x v="1"/>
    <s v="BCBSSEP21"/>
    <s v="0000278129"/>
    <s v="TRN"/>
    <s v="PUR0963797"/>
    <m/>
    <s v="9260000"/>
    <s v="571900"/>
    <s v="9010"/>
    <s v="554"/>
    <s v="0000SUPT"/>
    <s v="0000"/>
    <m/>
  </r>
  <r>
    <d v="2021-11-09T00:00:00"/>
    <x v="10"/>
    <x v="0"/>
    <n v="3993.12"/>
    <s v="00529604"/>
    <s v="000858150"/>
    <x v="3"/>
    <s v="ONCOR2111"/>
    <s v="2200405839"/>
    <s v="TRN"/>
    <s v="PUR0963931"/>
    <m/>
    <s v="9260000"/>
    <s v="571900"/>
    <s v="9010"/>
    <s v="554"/>
    <s v="0000SUPT"/>
    <s v="0000"/>
    <m/>
  </r>
  <r>
    <d v="2021-11-09T00:00:00"/>
    <x v="10"/>
    <x v="0"/>
    <n v="11943.02"/>
    <s v="00529604"/>
    <s v="000858150"/>
    <x v="3"/>
    <s v="ONCOR2111"/>
    <s v="2200405839"/>
    <s v="ESD"/>
    <s v="PUR0963925"/>
    <m/>
    <s v="9260000"/>
    <s v="521900"/>
    <s v="0000"/>
    <s v="554"/>
    <s v="BENEFITS"/>
    <s v="0000"/>
    <m/>
  </r>
  <r>
    <d v="2021-11-22T00:00:00"/>
    <x v="10"/>
    <x v="0"/>
    <n v="6492.47"/>
    <s v="00531403"/>
    <s v="012039670"/>
    <x v="4"/>
    <s v="ADDLTDLIFENOV21"/>
    <s v="7213001228"/>
    <s v="ESD"/>
    <s v="PUR0964271"/>
    <m/>
    <s v="9260000"/>
    <s v="521900"/>
    <s v="4500"/>
    <s v="557"/>
    <s v="FMLACHRG"/>
    <s v="0000"/>
    <m/>
  </r>
  <r>
    <d v="2021-11-18T00:00:00"/>
    <x v="10"/>
    <x v="0"/>
    <n v="2176.81"/>
    <s v="00530909"/>
    <s v="003319350"/>
    <x v="5"/>
    <s v="7601"/>
    <s v="2200407387"/>
    <s v="TRN"/>
    <s v="PUR0964183"/>
    <m/>
    <s v="9260000"/>
    <s v="571900"/>
    <s v="9010"/>
    <s v="554"/>
    <s v="BENEFITS"/>
    <s v="0000"/>
    <m/>
  </r>
  <r>
    <d v="2021-11-18T00:00:00"/>
    <x v="10"/>
    <x v="0"/>
    <n v="6518.59"/>
    <s v="00530909"/>
    <s v="003319350"/>
    <x v="5"/>
    <s v="7601"/>
    <s v="2200407387"/>
    <s v="ESD"/>
    <s v="PUR0964187"/>
    <m/>
    <s v="9260000"/>
    <s v="521900"/>
    <s v="0000"/>
    <s v="554"/>
    <s v="BENEFITS"/>
    <s v="0000"/>
    <m/>
  </r>
  <r>
    <d v="2021-11-30T00:00:00"/>
    <x v="10"/>
    <x v="0"/>
    <n v="155943.24"/>
    <s v="00531729"/>
    <s v="012051699"/>
    <x v="1"/>
    <s v="BCBSOCT21"/>
    <s v="0000283161"/>
    <s v="ESD"/>
    <s v="PUR0964489"/>
    <m/>
    <s v="9260000"/>
    <s v="521900"/>
    <s v="0000"/>
    <s v="554"/>
    <s v="BENEFITS"/>
    <s v="0000"/>
    <m/>
  </r>
  <r>
    <d v="2021-12-09T00:00:00"/>
    <x v="11"/>
    <x v="0"/>
    <n v="998.63"/>
    <s v="00534096"/>
    <s v="006639552"/>
    <x v="7"/>
    <s v="53299728"/>
    <s v="0000288676"/>
    <s v="TRN"/>
    <s v="PUR0965068"/>
    <m/>
    <s v="9260000"/>
    <s v="571900"/>
    <s v="9010"/>
    <s v="554"/>
    <s v="0000SUPT"/>
    <s v="0000"/>
    <m/>
  </r>
  <r>
    <d v="2021-12-14T00:00:00"/>
    <x v="11"/>
    <x v="0"/>
    <n v="1740.84"/>
    <s v="00535259"/>
    <s v="003319350"/>
    <x v="5"/>
    <s v="7779"/>
    <s v="2200411998"/>
    <s v="TRN"/>
    <s v="PUR0965193"/>
    <m/>
    <s v="9260000"/>
    <s v="571900"/>
    <s v="9010"/>
    <s v="554"/>
    <s v="BENEFITS"/>
    <s v="0000"/>
    <m/>
  </r>
  <r>
    <d v="2021-12-17T00:00:00"/>
    <x v="11"/>
    <x v="0"/>
    <n v="924.41"/>
    <s v="00536234"/>
    <s v="003319350"/>
    <x v="5"/>
    <s v="7856"/>
    <s v="2200412304"/>
    <s v="TRN"/>
    <s v="PUR0965293"/>
    <m/>
    <s v="9260000"/>
    <s v="571900"/>
    <s v="9010"/>
    <s v="554"/>
    <s v="BENEFITS"/>
    <s v="0000"/>
    <m/>
  </r>
  <r>
    <d v="2021-12-21T00:00:00"/>
    <x v="11"/>
    <x v="0"/>
    <n v="2152.1999999999998"/>
    <s v="00535914"/>
    <s v="012039670"/>
    <x v="4"/>
    <s v="ADDLTDLIFEDEC21"/>
    <s v="7213001346"/>
    <s v="TRN"/>
    <s v="PUR0965398"/>
    <m/>
    <s v="9260000"/>
    <s v="571900"/>
    <s v="9010"/>
    <s v="557"/>
    <s v="FMLACHRG"/>
    <s v="0000"/>
    <m/>
  </r>
  <r>
    <d v="2021-12-15T00:00:00"/>
    <x v="11"/>
    <x v="0"/>
    <n v="52428.3"/>
    <s v="00535377"/>
    <s v="012051699"/>
    <x v="1"/>
    <s v="BCBSNOV21"/>
    <s v="0000288692"/>
    <s v="TRN"/>
    <s v="PUR0965228"/>
    <m/>
    <s v="9260000"/>
    <s v="571900"/>
    <s v="9010"/>
    <s v="554"/>
    <s v="0000SUPT"/>
    <s v="0000"/>
    <m/>
  </r>
  <r>
    <d v="2021-12-09T00:00:00"/>
    <x v="11"/>
    <x v="0"/>
    <n v="8876.33"/>
    <s v="00534096"/>
    <s v="006639552"/>
    <x v="7"/>
    <s v="53299728"/>
    <s v="0000288676"/>
    <s v="ESD"/>
    <s v="PUR0965072"/>
    <m/>
    <s v="9260000"/>
    <s v="521900"/>
    <s v="0000"/>
    <s v="554"/>
    <s v="BENEFITS"/>
    <s v="0000"/>
    <m/>
  </r>
  <r>
    <d v="2021-12-16T00:00:00"/>
    <x v="11"/>
    <x v="0"/>
    <n v="535.6"/>
    <s v="00531271"/>
    <s v="000841250"/>
    <x v="2"/>
    <s v="369097685"/>
    <s v="0000286833"/>
    <s v="TRN"/>
    <s v="PUR0965253"/>
    <m/>
    <s v="9260000"/>
    <s v="571900"/>
    <s v="9010"/>
    <s v="554"/>
    <s v="0000SUPT"/>
    <s v="0000"/>
    <m/>
  </r>
  <r>
    <d v="2021-12-21T00:00:00"/>
    <x v="11"/>
    <x v="0"/>
    <n v="6528.34"/>
    <s v="00535914"/>
    <s v="012039670"/>
    <x v="4"/>
    <s v="ADDLTDLIFEDEC21"/>
    <s v="7213001346"/>
    <s v="ESD"/>
    <s v="PUR0965394"/>
    <m/>
    <s v="9260000"/>
    <s v="521900"/>
    <s v="4500"/>
    <s v="557"/>
    <s v="FMLACHRG"/>
    <s v="0000"/>
    <m/>
  </r>
  <r>
    <d v="2021-12-21T00:00:00"/>
    <x v="11"/>
    <x v="0"/>
    <n v="7449.9"/>
    <s v="00536717"/>
    <s v="012047066"/>
    <x v="0"/>
    <s v="ACC86797DENTALJAN22"/>
    <s v="0000288354"/>
    <s v="ESD"/>
    <s v="PUR0965394"/>
    <m/>
    <s v="9260000"/>
    <s v="521900"/>
    <s v="0000"/>
    <s v="553"/>
    <s v="BENEFITS"/>
    <s v="0000"/>
    <m/>
  </r>
  <r>
    <d v="2021-12-15T00:00:00"/>
    <x v="11"/>
    <x v="0"/>
    <n v="154515.79999999999"/>
    <s v="00535377"/>
    <s v="012051699"/>
    <x v="1"/>
    <s v="BCBSNOV21"/>
    <s v="0000288692"/>
    <s v="ESD"/>
    <s v="PUR0965232"/>
    <m/>
    <s v="9260000"/>
    <s v="521900"/>
    <s v="0000"/>
    <s v="554"/>
    <s v="BENEFITS"/>
    <s v="0000"/>
    <m/>
  </r>
  <r>
    <d v="2021-12-14T00:00:00"/>
    <x v="11"/>
    <x v="0"/>
    <n v="5230.41"/>
    <s v="00535259"/>
    <s v="003319350"/>
    <x v="5"/>
    <s v="7779"/>
    <s v="2200411998"/>
    <s v="ESD"/>
    <s v="PUR0965189"/>
    <m/>
    <s v="9260000"/>
    <s v="521900"/>
    <s v="0000"/>
    <s v="554"/>
    <s v="BENEFITS"/>
    <s v="0000"/>
    <m/>
  </r>
  <r>
    <d v="2021-12-09T00:00:00"/>
    <x v="11"/>
    <x v="0"/>
    <n v="174"/>
    <s v="00534097"/>
    <s v="012061960"/>
    <x v="6"/>
    <s v="3256033"/>
    <s v="0000288694"/>
    <s v="ESD"/>
    <s v="PUR0965072"/>
    <m/>
    <s v="9260000"/>
    <s v="521900"/>
    <s v="0000"/>
    <s v="554"/>
    <s v="BENEFITS"/>
    <s v="0000"/>
    <m/>
  </r>
  <r>
    <d v="2021-12-09T00:00:00"/>
    <x v="11"/>
    <x v="0"/>
    <n v="58"/>
    <s v="00534097"/>
    <s v="012061960"/>
    <x v="6"/>
    <s v="3256033"/>
    <s v="0000288694"/>
    <s v="TRN"/>
    <s v="PUR0965068"/>
    <m/>
    <s v="9260000"/>
    <s v="571900"/>
    <s v="9010"/>
    <s v="554"/>
    <s v="0000SUPT"/>
    <s v="0000"/>
    <m/>
  </r>
  <r>
    <d v="2021-12-16T00:00:00"/>
    <x v="11"/>
    <x v="0"/>
    <n v="2112.0500000000002"/>
    <s v="00531271"/>
    <s v="000841250"/>
    <x v="2"/>
    <s v="369097685"/>
    <s v="0000286833"/>
    <s v="ESD"/>
    <s v="PUR0965257"/>
    <m/>
    <s v="9260000"/>
    <s v="521900"/>
    <s v="0000"/>
    <s v="554"/>
    <s v="BENEFITS"/>
    <s v="0000"/>
    <m/>
  </r>
  <r>
    <d v="2021-12-17T00:00:00"/>
    <x v="11"/>
    <x v="0"/>
    <n v="2847.44"/>
    <s v="00536234"/>
    <s v="003319350"/>
    <x v="5"/>
    <s v="7856"/>
    <s v="2200412304"/>
    <s v="ESD"/>
    <s v="PUR0965298"/>
    <m/>
    <s v="9260000"/>
    <s v="521900"/>
    <s v="0000"/>
    <s v="554"/>
    <s v="BENEFITS"/>
    <s v="0000"/>
    <m/>
  </r>
  <r>
    <d v="2021-12-21T00:00:00"/>
    <x v="11"/>
    <x v="0"/>
    <n v="2442.1"/>
    <s v="00536717"/>
    <s v="012047066"/>
    <x v="0"/>
    <s v="ACC86797DENTALJAN22"/>
    <s v="0000288354"/>
    <s v="TRN"/>
    <s v="PUR0965398"/>
    <m/>
    <s v="9260000"/>
    <s v="571900"/>
    <s v="9010"/>
    <s v="553"/>
    <s v="0000SUPT"/>
    <s v="0000"/>
    <m/>
  </r>
  <r>
    <d v="2021-01-05T00:00:00"/>
    <x v="1"/>
    <x v="0"/>
    <n v="-233.75"/>
    <s v="UJE"/>
    <m/>
    <x v="6"/>
    <s v="Accrue Silverscript Fee Dec"/>
    <m/>
    <s v="ESD"/>
    <s v="0000894243"/>
    <s v="To accrue Q4 2020 Benefits"/>
    <s v="9260000"/>
    <s v="521900"/>
    <s v="0000"/>
    <s v="554"/>
    <s v="BENEFITS"/>
    <s v="0000"/>
    <m/>
  </r>
  <r>
    <d v="2021-01-05T00:00:00"/>
    <x v="1"/>
    <x v="0"/>
    <n v="-150024.51999999999"/>
    <s v="UJE"/>
    <m/>
    <x v="1"/>
    <s v="Accrue BCBS Fee Dec"/>
    <m/>
    <s v="ESD"/>
    <s v="0000894243"/>
    <s v="To accrue Q4 2020 Benefits"/>
    <s v="9260000"/>
    <s v="521900"/>
    <s v="0000"/>
    <s v="554"/>
    <s v="BENEFITS"/>
    <s v="0000"/>
    <m/>
  </r>
  <r>
    <d v="2021-01-05T00:00:00"/>
    <x v="1"/>
    <x v="0"/>
    <n v="-2.5"/>
    <s v="UJE"/>
    <m/>
    <x v="7"/>
    <s v="Accrue CVS WP ASO Fee Dec"/>
    <m/>
    <s v="ESD"/>
    <s v="0000894243"/>
    <s v="To accrue Q4 2020 Benefits"/>
    <s v="9260000"/>
    <s v="521900"/>
    <s v="0000"/>
    <s v="554"/>
    <s v="BENEFITS"/>
    <s v="0000"/>
    <m/>
  </r>
  <r>
    <d v="2021-01-05T00:00:00"/>
    <x v="1"/>
    <x v="0"/>
    <n v="-4196.25"/>
    <s v="UJE"/>
    <m/>
    <x v="5"/>
    <s v="Accrue Navigate Wellness Dec"/>
    <m/>
    <s v="ESD"/>
    <s v="0000894243"/>
    <s v="To accrue Q4 2020 Benefits"/>
    <s v="9260000"/>
    <s v="521900"/>
    <s v="0000"/>
    <s v="554"/>
    <s v="BENEFITS"/>
    <s v="0000"/>
    <m/>
  </r>
  <r>
    <d v="2021-01-05T00:00:00"/>
    <x v="1"/>
    <x v="0"/>
    <n v="-78.25"/>
    <s v="UJE"/>
    <m/>
    <x v="6"/>
    <s v="Accrue Silverscript Fee Dec"/>
    <m/>
    <s v="TRN"/>
    <s v="0000894243"/>
    <s v="To accrue Q4 2020 Benefits"/>
    <s v="9260000"/>
    <s v="571900"/>
    <s v="9010"/>
    <s v="554"/>
    <s v="0000SUPT"/>
    <s v="0000"/>
    <m/>
  </r>
  <r>
    <d v="2021-01-05T00:00:00"/>
    <x v="1"/>
    <x v="0"/>
    <n v="-49346.82"/>
    <s v="UJE"/>
    <m/>
    <x v="1"/>
    <s v="Accrue BCBS Fee Dec"/>
    <m/>
    <s v="TRN"/>
    <s v="0000894243"/>
    <s v="To accrue Q4 2020 Benefits"/>
    <s v="9260000"/>
    <s v="571900"/>
    <s v="9010"/>
    <s v="554"/>
    <s v="0000SUPT"/>
    <s v="0000"/>
    <m/>
  </r>
  <r>
    <d v="2021-01-05T00:00:00"/>
    <x v="1"/>
    <x v="0"/>
    <n v="-1"/>
    <s v="UJE"/>
    <m/>
    <x v="7"/>
    <s v="Accrue CVS WP ASO Fee Dec"/>
    <m/>
    <s v="TRN"/>
    <s v="0000894243"/>
    <s v="To accrue Q4 2020 Benefits"/>
    <s v="9260000"/>
    <s v="571900"/>
    <s v="9010"/>
    <s v="554"/>
    <s v="0000SUPT"/>
    <s v="0000"/>
    <m/>
  </r>
  <r>
    <d v="2021-01-05T00:00:00"/>
    <x v="1"/>
    <x v="0"/>
    <n v="-1345"/>
    <s v="UJE"/>
    <m/>
    <x v="5"/>
    <s v="Accrue Navigate Wellness Dec"/>
    <m/>
    <s v="TRN"/>
    <s v="0000894243"/>
    <s v="To accrue Q4 2020 Benefits"/>
    <s v="9260000"/>
    <s v="571900"/>
    <s v="9010"/>
    <s v="554"/>
    <s v="0000SUPT"/>
    <s v="0000"/>
    <m/>
  </r>
  <r>
    <d v="2021-04-05T00:00:00"/>
    <x v="2"/>
    <x v="0"/>
    <n v="157147.92000000001"/>
    <s v="UJE"/>
    <m/>
    <x v="1"/>
    <s v="Accrue BCBS Fee Mar"/>
    <m/>
    <s v="ESD"/>
    <s v="0000894243"/>
    <s v="To accrue Q1 2021 Benefits"/>
    <s v="9260000"/>
    <s v="521900"/>
    <s v="0000"/>
    <s v="554"/>
    <s v="BENEFITS"/>
    <s v="0000"/>
    <m/>
  </r>
  <r>
    <d v="2021-04-05T00:00:00"/>
    <x v="2"/>
    <x v="0"/>
    <n v="53555.56"/>
    <s v="UJE"/>
    <m/>
    <x v="1"/>
    <s v="Accrue BCBS Fee Mar"/>
    <m/>
    <s v="TRN"/>
    <s v="0000894243"/>
    <s v="To accrue Q1 2021 Benefits"/>
    <s v="9260000"/>
    <s v="571900"/>
    <s v="9010"/>
    <s v="554"/>
    <s v="0000SUPT"/>
    <s v="0000"/>
    <m/>
  </r>
  <r>
    <d v="2021-04-05T00:00:00"/>
    <x v="3"/>
    <x v="0"/>
    <n v="-157147.92000000001"/>
    <s v="UJE"/>
    <m/>
    <x v="1"/>
    <s v="Accrue BCBS Fee Mar"/>
    <m/>
    <s v="ESD"/>
    <s v="0000894243"/>
    <s v="To accrue Q1 2021 Benefits"/>
    <s v="9260000"/>
    <s v="521900"/>
    <s v="0000"/>
    <s v="554"/>
    <s v="BENEFITS"/>
    <s v="0000"/>
    <m/>
  </r>
  <r>
    <d v="2021-04-05T00:00:00"/>
    <x v="3"/>
    <x v="0"/>
    <n v="-53555.56"/>
    <s v="UJE"/>
    <m/>
    <x v="1"/>
    <s v="Accrue BCBS Fee Mar"/>
    <m/>
    <s v="TRN"/>
    <s v="0000894243"/>
    <s v="To accrue Q1 2021 Benefits"/>
    <s v="9260000"/>
    <s v="571900"/>
    <s v="9010"/>
    <s v="554"/>
    <s v="0000SUPT"/>
    <s v="0000"/>
    <m/>
  </r>
  <r>
    <d v="2021-07-01T00:00:00"/>
    <x v="5"/>
    <x v="0"/>
    <n v="154479.66"/>
    <s v="UJE"/>
    <m/>
    <x v="1"/>
    <s v="Accrue BCBS Fee Jun"/>
    <m/>
    <s v="ESD"/>
    <s v="0000894243"/>
    <s v="To accrue Q2 2021 Benefits"/>
    <s v="9260000"/>
    <s v="521900"/>
    <s v="0000"/>
    <s v="554"/>
    <s v="BENEFITS"/>
    <s v="0000"/>
    <m/>
  </r>
  <r>
    <d v="2021-07-01T00:00:00"/>
    <x v="5"/>
    <x v="0"/>
    <n v="51127.78"/>
    <s v="UJE"/>
    <m/>
    <x v="1"/>
    <s v="Accrue BCBS Fee Jun"/>
    <m/>
    <s v="TRN"/>
    <s v="0000894243"/>
    <s v="To accrue Q2 2021 Benefits"/>
    <s v="9260000"/>
    <s v="571900"/>
    <s v="9010"/>
    <s v="554"/>
    <s v="0000SUPT"/>
    <s v="0000"/>
    <m/>
  </r>
  <r>
    <d v="2021-07-01T00:00:00"/>
    <x v="6"/>
    <x v="0"/>
    <n v="-154479.66"/>
    <s v="UJE"/>
    <m/>
    <x v="1"/>
    <s v="Accrue BCBS Fee Jun"/>
    <m/>
    <s v="ESD"/>
    <s v="0000894243"/>
    <s v="To accrue Q2 2021 Benefits"/>
    <s v="9260000"/>
    <s v="521900"/>
    <s v="0000"/>
    <s v="554"/>
    <s v="BENEFITS"/>
    <s v="0000"/>
    <m/>
  </r>
  <r>
    <d v="2021-07-01T00:00:00"/>
    <x v="6"/>
    <x v="0"/>
    <n v="-51127.78"/>
    <s v="UJE"/>
    <m/>
    <x v="1"/>
    <s v="Accrue BCBS Fee Jun"/>
    <m/>
    <s v="TRN"/>
    <s v="0000894243"/>
    <s v="To accrue Q2 2021 Benefits"/>
    <s v="9260000"/>
    <s v="571900"/>
    <s v="9010"/>
    <s v="554"/>
    <s v="0000SUPT"/>
    <s v="0000"/>
    <m/>
  </r>
  <r>
    <d v="2021-10-04T00:00:00"/>
    <x v="8"/>
    <x v="0"/>
    <n v="174"/>
    <s v="UJE"/>
    <m/>
    <x v="6"/>
    <s v="Accrue Silverscript Fee Sep"/>
    <m/>
    <s v="ESD"/>
    <s v="0000894243"/>
    <s v="To accrue Q3 2021 Benefits"/>
    <s v="9260000"/>
    <s v="521900"/>
    <s v="0000"/>
    <s v="554"/>
    <s v="BENEFITS"/>
    <s v="0000"/>
    <m/>
  </r>
  <r>
    <d v="2021-10-04T00:00:00"/>
    <x v="8"/>
    <x v="0"/>
    <n v="156189.56"/>
    <s v="UJE"/>
    <m/>
    <x v="1"/>
    <s v="Accrue BCBS Fee Sep"/>
    <m/>
    <s v="ESD"/>
    <s v="0000894243"/>
    <s v="To accrue Q3 2021 Benefits"/>
    <s v="9260000"/>
    <s v="521900"/>
    <s v="0000"/>
    <s v="554"/>
    <s v="BENEFITS"/>
    <s v="0000"/>
    <m/>
  </r>
  <r>
    <d v="2021-10-04T00:00:00"/>
    <x v="8"/>
    <x v="0"/>
    <n v="58"/>
    <s v="UJE"/>
    <m/>
    <x v="6"/>
    <s v="Accrue Silverscript Fee Sep"/>
    <m/>
    <s v="TRN"/>
    <s v="0000894243"/>
    <s v="To accrue Q3 2021 Benefits"/>
    <s v="9260000"/>
    <s v="571900"/>
    <s v="9010"/>
    <s v="554"/>
    <s v="0000SUPT"/>
    <s v="0000"/>
    <m/>
  </r>
  <r>
    <d v="2021-10-04T00:00:00"/>
    <x v="8"/>
    <x v="0"/>
    <n v="54256.639999999999"/>
    <s v="UJE"/>
    <m/>
    <x v="1"/>
    <s v="Accrue BCBS Fee Sep"/>
    <m/>
    <s v="TRN"/>
    <s v="0000894243"/>
    <s v="To accrue Q3 2021 Benefits"/>
    <s v="9260000"/>
    <s v="571900"/>
    <s v="9010"/>
    <s v="554"/>
    <s v="0000SUPT"/>
    <s v="0000"/>
    <m/>
  </r>
  <r>
    <d v="2021-10-04T00:00:00"/>
    <x v="9"/>
    <x v="0"/>
    <n v="-174"/>
    <s v="UJE"/>
    <m/>
    <x v="6"/>
    <s v="Accrue Silverscript Fee Sep"/>
    <m/>
    <s v="ESD"/>
    <s v="0000894243"/>
    <s v="To accrue Q3 2021 Benefits"/>
    <s v="9260000"/>
    <s v="521900"/>
    <s v="0000"/>
    <s v="554"/>
    <s v="BENEFITS"/>
    <s v="0000"/>
    <m/>
  </r>
  <r>
    <d v="2021-10-04T00:00:00"/>
    <x v="9"/>
    <x v="0"/>
    <n v="-156189.56"/>
    <s v="UJE"/>
    <m/>
    <x v="1"/>
    <s v="Accrue BCBS Fee Sep"/>
    <m/>
    <s v="ESD"/>
    <s v="0000894243"/>
    <s v="To accrue Q3 2021 Benefits"/>
    <s v="9260000"/>
    <s v="521900"/>
    <s v="0000"/>
    <s v="554"/>
    <s v="BENEFITS"/>
    <s v="0000"/>
    <m/>
  </r>
  <r>
    <d v="2021-10-04T00:00:00"/>
    <x v="9"/>
    <x v="0"/>
    <n v="-58"/>
    <s v="UJE"/>
    <m/>
    <x v="6"/>
    <s v="Accrue Silverscript Fee Sep"/>
    <m/>
    <s v="TRN"/>
    <s v="0000894243"/>
    <s v="To accrue Q3 2021 Benefits"/>
    <s v="9260000"/>
    <s v="571900"/>
    <s v="9010"/>
    <s v="554"/>
    <s v="0000SUPT"/>
    <s v="0000"/>
    <m/>
  </r>
  <r>
    <d v="2021-10-04T00:00:00"/>
    <x v="9"/>
    <x v="0"/>
    <n v="-54256.639999999999"/>
    <s v="UJE"/>
    <m/>
    <x v="1"/>
    <s v="Accrue BCBS Fee Sep"/>
    <m/>
    <s v="TRN"/>
    <s v="0000894243"/>
    <s v="To accrue Q3 2021 Benefits"/>
    <s v="9260000"/>
    <s v="571900"/>
    <s v="9010"/>
    <s v="554"/>
    <s v="0000SUPT"/>
    <s v="0000"/>
    <m/>
  </r>
  <r>
    <d v="2022-01-05T00:00:00"/>
    <x v="11"/>
    <x v="0"/>
    <n v="3729.33"/>
    <s v="UJE"/>
    <m/>
    <x v="6"/>
    <s v="Accrue Silverscript Fee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154515.79999999999"/>
    <s v="UJE"/>
    <m/>
    <x v="1"/>
    <s v="Accrue BCBS Fee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3729.33"/>
    <s v="UJE"/>
    <m/>
    <x v="7"/>
    <s v="Accrue CVS ASO Fee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2090.3000000000002"/>
    <s v="UJE"/>
    <m/>
    <x v="2"/>
    <s v="Accrue CYC Admin Fee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2847.44"/>
    <s v="UJE"/>
    <m/>
    <x v="5"/>
    <s v="Accrue Navigate Wellness Dec"/>
    <m/>
    <s v="ESD"/>
    <s v="0000894243"/>
    <s v="To accrue Q4 2021 Benefits"/>
    <s v="9260000"/>
    <s v="521900"/>
    <s v="0000"/>
    <s v="554"/>
    <s v="BENEFITS"/>
    <s v="0000"/>
    <m/>
  </r>
  <r>
    <d v="2022-01-05T00:00:00"/>
    <x v="11"/>
    <x v="0"/>
    <n v="723.85"/>
    <s v="UJE"/>
    <m/>
    <x v="6"/>
    <s v="Accrue Silverscript Fee Dec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52428.3"/>
    <s v="UJE"/>
    <m/>
    <x v="1"/>
    <s v="Accrue BCBS Fee Dec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723.85"/>
    <s v="UJE"/>
    <m/>
    <x v="7"/>
    <s v="Accrue CVS ASO Fee Dec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532.4"/>
    <s v="UJE"/>
    <m/>
    <x v="2"/>
    <s v="Accrue CYC Admin Fee Dec"/>
    <m/>
    <s v="TRN"/>
    <s v="0000894243"/>
    <s v="To accrue Q4 2021 Benefits"/>
    <s v="9260000"/>
    <s v="571900"/>
    <s v="9010"/>
    <s v="554"/>
    <s v="0000SUPT"/>
    <s v="0000"/>
    <m/>
  </r>
  <r>
    <d v="2022-01-05T00:00:00"/>
    <x v="11"/>
    <x v="0"/>
    <n v="924.41"/>
    <s v="UJE"/>
    <m/>
    <x v="5"/>
    <s v="Accrue Navigate Wellness Dec"/>
    <m/>
    <s v="TRN"/>
    <s v="0000894243"/>
    <s v="To accrue Q4 2021 Benefits"/>
    <s v="9260000"/>
    <s v="571900"/>
    <s v="9010"/>
    <s v="554"/>
    <s v="0000SUPT"/>
    <s v="0000"/>
    <m/>
  </r>
  <r>
    <d v="2021-01-14T00:00:00"/>
    <x v="1"/>
    <x v="0"/>
    <n v="31010.57"/>
    <s v="00477384"/>
    <s v="000174950"/>
    <x v="8"/>
    <s v="HEK0306145"/>
    <s v="0000245578"/>
    <s v="ESD"/>
    <s v="PUR0953587"/>
    <s v="Consulting svc 4Q2020"/>
    <s v="9260000"/>
    <s v="521900"/>
    <s v="0000"/>
    <s v="563"/>
    <s v="BENEFITS"/>
    <s v="0000"/>
    <s v=""/>
  </r>
  <r>
    <d v="2021-03-09T00:00:00"/>
    <x v="2"/>
    <x v="0"/>
    <n v="78452.039999999994"/>
    <s v="00486752"/>
    <s v="000168350"/>
    <x v="9"/>
    <s v="2644757"/>
    <s v="0000248139"/>
    <s v="ESD"/>
    <s v="PUR0955492"/>
    <s v=""/>
    <s v="9260000"/>
    <s v="521900"/>
    <s v="4500"/>
    <s v="563"/>
    <s v="00004500"/>
    <s v="0000"/>
    <s v=""/>
  </r>
  <r>
    <d v="2021-04-19T00:00:00"/>
    <x v="3"/>
    <x v="0"/>
    <n v="31940.91"/>
    <s v="00494994"/>
    <s v="000174950"/>
    <x v="8"/>
    <s v="HEK-0307349"/>
    <s v="0000254974"/>
    <s v="ESD"/>
    <s v="PUR0956677"/>
    <s v=""/>
    <s v="9260000"/>
    <s v="521900"/>
    <s v="0000"/>
    <s v="563"/>
    <s v="BENEFITS"/>
    <s v="0000"/>
    <s v=""/>
  </r>
  <r>
    <d v="2021-04-30T00:00:00"/>
    <x v="3"/>
    <x v="0"/>
    <n v="72468"/>
    <s v="00497700"/>
    <s v="000168350"/>
    <x v="9"/>
    <s v="2694472"/>
    <s v="0000256397"/>
    <s v="ESD"/>
    <s v="PUR0957038"/>
    <s v=""/>
    <s v="9260000"/>
    <s v="521900"/>
    <s v="4500"/>
    <s v="563"/>
    <s v="00004500"/>
    <s v="0000"/>
    <s v=""/>
  </r>
  <r>
    <d v="2021-07-13T00:00:00"/>
    <x v="6"/>
    <x v="0"/>
    <n v="31940.89"/>
    <s v="00510479"/>
    <s v="007558750"/>
    <x v="8"/>
    <s v="HEK-0308263"/>
    <s v="0000263526"/>
    <s v="ESD"/>
    <s v="PUR0959548"/>
    <s v=""/>
    <s v="9260000"/>
    <s v="521900"/>
    <s v="0000"/>
    <s v="563"/>
    <s v="BENEFITS"/>
    <s v="0000"/>
    <s v=""/>
  </r>
  <r>
    <d v="2021-08-12T00:00:00"/>
    <x v="7"/>
    <x v="0"/>
    <n v="75371.31"/>
    <s v="00515743"/>
    <s v="000168350"/>
    <x v="9"/>
    <s v="2743098"/>
    <s v="0000266769"/>
    <s v="ESD"/>
    <s v="PUR0960479"/>
    <m/>
    <s v="9260000"/>
    <s v="521900"/>
    <s v="4500"/>
    <s v="563"/>
    <s v="00004500"/>
    <s v="0000"/>
    <m/>
  </r>
  <r>
    <d v="2021-09-27T00:00:00"/>
    <x v="8"/>
    <x v="0"/>
    <n v="12587.31"/>
    <s v="00522554"/>
    <s v="000168350"/>
    <x v="9"/>
    <s v="2787129"/>
    <s v="0000273853"/>
    <s v="ESD"/>
    <s v="PUR0961953"/>
    <m/>
    <s v="9260000"/>
    <s v="521900"/>
    <s v="4500"/>
    <s v="563"/>
    <s v="00004500"/>
    <s v="0000"/>
    <m/>
  </r>
  <r>
    <d v="2021-10-27T00:00:00"/>
    <x v="9"/>
    <x v="0"/>
    <n v="72799.88"/>
    <s v="00527558"/>
    <s v="000168350"/>
    <x v="9"/>
    <s v="2792180"/>
    <m/>
    <s v="ESD"/>
    <s v="PUR0963259"/>
    <m/>
    <s v="9260000"/>
    <s v="521900"/>
    <s v="4500"/>
    <s v="563"/>
    <s v="00004500"/>
    <s v="0000"/>
    <m/>
  </r>
  <r>
    <d v="2021-10-18T00:00:00"/>
    <x v="9"/>
    <x v="0"/>
    <n v="31940.91"/>
    <s v="00525939"/>
    <s v="007558750"/>
    <x v="8"/>
    <s v="HEK-0309301"/>
    <s v="0000279147"/>
    <s v="ESD"/>
    <s v="PUR0962930"/>
    <m/>
    <s v="9260000"/>
    <s v="521900"/>
    <s v="0000"/>
    <s v="563"/>
    <s v="BENEFITS"/>
    <s v="0000"/>
    <m/>
  </r>
  <r>
    <d v="2021-10-20T00:00:00"/>
    <x v="9"/>
    <x v="0"/>
    <n v="12971.42"/>
    <s v="00526442"/>
    <s v="000168350"/>
    <x v="9"/>
    <s v="2821530"/>
    <s v="0000279643"/>
    <s v="ESD"/>
    <s v="PUR0963003"/>
    <m/>
    <s v="9260000"/>
    <s v="521900"/>
    <s v="4500"/>
    <s v="563"/>
    <s v="00004500"/>
    <s v="0000"/>
    <m/>
  </r>
  <r>
    <d v="2021-11-22T00:00:00"/>
    <x v="10"/>
    <x v="0"/>
    <n v="7133.75"/>
    <s v="00531505"/>
    <s v="000168350"/>
    <x v="9"/>
    <s v="2826116"/>
    <s v="0000286567"/>
    <s v="ESD"/>
    <s v="PUR0964271"/>
    <s v="data integrity project"/>
    <s v="9260000"/>
    <s v="521900"/>
    <s v="4500"/>
    <s v="563"/>
    <s v="00004500"/>
    <s v="0000"/>
    <m/>
  </r>
  <r>
    <d v="2021-01-04T00:00:00"/>
    <x v="1"/>
    <x v="0"/>
    <n v="-69663.179999999993"/>
    <s v="UJE"/>
    <m/>
    <x v="8"/>
    <s v="Aon Hewitt Invest Q420 Fees"/>
    <m/>
    <s v="ESD"/>
    <s v="0000952906"/>
    <s v="To accrue HR expense Pension and Thrift in December business."/>
    <s v="9260000"/>
    <s v="521900"/>
    <s v="0000"/>
    <s v="563"/>
    <s v="BENEFITS"/>
    <s v="0000"/>
    <m/>
  </r>
  <r>
    <d v="2021-01-04T00:00:00"/>
    <x v="1"/>
    <x v="0"/>
    <n v="-71131.44"/>
    <s v="UJE"/>
    <m/>
    <x v="9"/>
    <s v="Fidelity Thrift Pl Q420 Serv"/>
    <m/>
    <s v="ESD"/>
    <s v="0000952906"/>
    <s v="To accrue HR expense Pension and Thrift in December business."/>
    <s v="9260000"/>
    <s v="521900"/>
    <s v="4500"/>
    <s v="563"/>
    <s v="00004500"/>
    <s v="0000"/>
    <m/>
  </r>
  <r>
    <d v="2021-02-02T00:00:00"/>
    <x v="1"/>
    <x v="0"/>
    <n v="69663.179999999993"/>
    <s v="UJE"/>
    <m/>
    <x v="8"/>
    <s v="Aon Hewitt Invest Q420 Fees"/>
    <m/>
    <s v="ESD"/>
    <s v="0000954146"/>
    <s v="To accrue HR expense Pension and Thrift in January business."/>
    <s v="9260000"/>
    <s v="521900"/>
    <s v="0000"/>
    <s v="563"/>
    <s v="BENEFITS"/>
    <s v="0000"/>
    <m/>
  </r>
  <r>
    <d v="2021-02-02T00:00:00"/>
    <x v="1"/>
    <x v="0"/>
    <n v="71131.44"/>
    <s v="UJE"/>
    <m/>
    <x v="9"/>
    <s v="Fidelity Thrift Plan Q420 Serv"/>
    <m/>
    <s v="ESD"/>
    <s v="0000954146"/>
    <s v="To accrue HR expense Pension and Thrift in January business."/>
    <s v="9260000"/>
    <s v="521900"/>
    <s v="4500"/>
    <s v="563"/>
    <s v="00004500"/>
    <s v="0000"/>
    <m/>
  </r>
  <r>
    <d v="2021-02-02T00:00:00"/>
    <x v="0"/>
    <x v="0"/>
    <n v="-69663.179999999993"/>
    <s v="UJE"/>
    <m/>
    <x v="8"/>
    <s v="Aon Hewitt Invest Q420 Fees"/>
    <m/>
    <s v="ESD"/>
    <s v="0000954146"/>
    <s v="To accrue HR expense Pension and Thrift in January business."/>
    <s v="9260000"/>
    <s v="521900"/>
    <s v="0000"/>
    <s v="563"/>
    <s v="BENEFITS"/>
    <s v="0000"/>
    <m/>
  </r>
  <r>
    <d v="2021-02-02T00:00:00"/>
    <x v="0"/>
    <x v="0"/>
    <n v="-71131.44"/>
    <s v="UJE"/>
    <m/>
    <x v="9"/>
    <s v="Fidelity Thrift Plan Q420 Serv"/>
    <m/>
    <s v="ESD"/>
    <s v="0000954146"/>
    <s v="To accrue HR expense Pension and Thrift in January business."/>
    <s v="9260000"/>
    <s v="521900"/>
    <s v="4500"/>
    <s v="563"/>
    <s v="00004500"/>
    <s v="0000"/>
    <m/>
  </r>
  <r>
    <d v="2021-03-02T00:00:00"/>
    <x v="0"/>
    <x v="0"/>
    <n v="69663.179999999993"/>
    <s v="UJE"/>
    <m/>
    <x v="8"/>
    <s v="Aon Hewitt Inves Q420 Fees"/>
    <m/>
    <s v="ESD"/>
    <s v="0000955071"/>
    <s v="To accrue HR expense Pension and Thrift in February business."/>
    <s v="9260000"/>
    <s v="521900"/>
    <s v="0000"/>
    <s v="563"/>
    <s v="BENEFITS"/>
    <s v="0000"/>
    <m/>
  </r>
  <r>
    <d v="2021-03-02T00:00:00"/>
    <x v="0"/>
    <x v="0"/>
    <n v="71131.44"/>
    <s v="UJE"/>
    <m/>
    <x v="9"/>
    <s v="Fidelity Thrift Plan Q420 Serv"/>
    <m/>
    <s v="ESD"/>
    <s v="0000955071"/>
    <s v="To accrue HR expense Pension and Thrift in February business."/>
    <s v="9260000"/>
    <s v="521900"/>
    <s v="4500"/>
    <s v="563"/>
    <s v="00004500"/>
    <s v="0000"/>
    <m/>
  </r>
  <r>
    <d v="2021-03-02T00:00:00"/>
    <x v="2"/>
    <x v="0"/>
    <n v="-69663.179999999993"/>
    <s v="UJE"/>
    <m/>
    <x v="8"/>
    <s v="Aon Hewitt Inves Q420 Fees"/>
    <m/>
    <s v="ESD"/>
    <s v="0000955071"/>
    <s v="To accrue HR expense Pension and Thrift in February business."/>
    <s v="9260000"/>
    <s v="521900"/>
    <s v="0000"/>
    <s v="563"/>
    <s v="BENEFITS"/>
    <s v="0000"/>
    <m/>
  </r>
  <r>
    <d v="2021-03-02T00:00:00"/>
    <x v="2"/>
    <x v="0"/>
    <n v="-71131.44"/>
    <s v="UJE"/>
    <m/>
    <x v="9"/>
    <s v="Fidelity Thrift Plan Q420 Serv"/>
    <m/>
    <s v="ESD"/>
    <s v="0000955071"/>
    <s v="To accrue HR expense Pension and Thrift in February business."/>
    <s v="9260000"/>
    <s v="521900"/>
    <s v="4500"/>
    <s v="563"/>
    <s v="00004500"/>
    <s v="0000"/>
    <m/>
  </r>
  <r>
    <d v="2021-04-05T00:00:00"/>
    <x v="2"/>
    <x v="0"/>
    <n v="31010.57"/>
    <s v="UJE"/>
    <m/>
    <x v="8"/>
    <s v="Aon Hewitt InvestQ1 2021 Fees"/>
    <m/>
    <s v="ESD"/>
    <s v="0000956189"/>
    <s v="To accrue HR expense Pension and Thrift in March business."/>
    <s v="9260000"/>
    <s v="521900"/>
    <s v="0000"/>
    <s v="563"/>
    <s v="BENEFITS"/>
    <s v="0000"/>
    <m/>
  </r>
  <r>
    <d v="2021-04-05T00:00:00"/>
    <x v="2"/>
    <x v="0"/>
    <n v="71131.44"/>
    <s v="UJE"/>
    <m/>
    <x v="9"/>
    <s v="Fidelity Thft Plan Q1 20 Serv"/>
    <m/>
    <s v="ESD"/>
    <s v="0000956189"/>
    <s v="To accrue HR expense Pension and Thrift in March business."/>
    <s v="9260000"/>
    <s v="521900"/>
    <s v="4500"/>
    <s v="563"/>
    <s v="00004500"/>
    <s v="0000"/>
    <m/>
  </r>
  <r>
    <d v="2021-04-05T00:00:00"/>
    <x v="3"/>
    <x v="0"/>
    <n v="-31010.57"/>
    <s v="UJE"/>
    <m/>
    <x v="8"/>
    <s v="Aon Hewitt InvestQ1 2021 Fees"/>
    <m/>
    <s v="ESD"/>
    <s v="0000956189"/>
    <s v="To accrue HR expense Pension and Thrift in March business."/>
    <s v="9260000"/>
    <s v="521900"/>
    <s v="0000"/>
    <s v="563"/>
    <s v="BENEFITS"/>
    <s v="0000"/>
    <m/>
  </r>
  <r>
    <d v="2021-04-05T00:00:00"/>
    <x v="3"/>
    <x v="0"/>
    <n v="-71131.44"/>
    <s v="UJE"/>
    <m/>
    <x v="9"/>
    <s v="Fidelity Thft Plan Q1 20 Serv"/>
    <m/>
    <s v="ESD"/>
    <s v="0000956189"/>
    <s v="To accrue HR expense Pension and Thrift in March business."/>
    <s v="9260000"/>
    <s v="521900"/>
    <s v="4500"/>
    <s v="563"/>
    <s v="00004500"/>
    <s v="0000"/>
    <m/>
  </r>
  <r>
    <d v="2021-05-03T00:00:00"/>
    <x v="3"/>
    <x v="0"/>
    <n v="72468"/>
    <s v="UJE"/>
    <m/>
    <x v="9"/>
    <s v="Fidelity Thft Plan Q1 21 Serv"/>
    <m/>
    <s v="ESD"/>
    <s v="0000957073"/>
    <s v="To accrue HR expense Pension and Thrift in April business."/>
    <s v="9260000"/>
    <s v="521900"/>
    <s v="4500"/>
    <s v="563"/>
    <s v="00004500"/>
    <s v="0000"/>
    <m/>
  </r>
  <r>
    <d v="2021-05-03T00:00:00"/>
    <x v="4"/>
    <x v="0"/>
    <n v="-72468"/>
    <s v="UJE"/>
    <m/>
    <x v="9"/>
    <s v="Fidelity Thft Plan Q1 21 Serv"/>
    <m/>
    <s v="ESD"/>
    <s v="0000957073"/>
    <s v="To accrue HR expense Pension and Thrift in April business."/>
    <s v="9260000"/>
    <s v="521900"/>
    <s v="4500"/>
    <s v="563"/>
    <s v="00004500"/>
    <s v="0000"/>
    <m/>
  </r>
  <r>
    <d v="2021-07-02T00:00:00"/>
    <x v="5"/>
    <x v="0"/>
    <n v="31010.57"/>
    <s v="UJE"/>
    <m/>
    <x v="8"/>
    <s v="Aon Hewitt Invest Q221 Fees"/>
    <m/>
    <s v="ESD"/>
    <s v="0000959173"/>
    <s v="To accrue HR expense Pension and Thrift in June business."/>
    <s v="9260000"/>
    <s v="521900"/>
    <s v="0000"/>
    <s v="563"/>
    <s v="BENEFITS"/>
    <s v="0000"/>
    <m/>
  </r>
  <r>
    <d v="2021-07-02T00:00:00"/>
    <x v="5"/>
    <x v="0"/>
    <n v="71131.44"/>
    <s v="UJE"/>
    <m/>
    <x v="9"/>
    <s v="Fidelity Thrift Plan Q221 Ser"/>
    <m/>
    <s v="ESD"/>
    <s v="0000959173"/>
    <s v="To accrue HR expense Pension and Thrift in June business."/>
    <s v="9260000"/>
    <s v="521900"/>
    <s v="4500"/>
    <s v="563"/>
    <s v="00004500"/>
    <s v="0000"/>
    <m/>
  </r>
  <r>
    <d v="2021-07-02T00:00:00"/>
    <x v="6"/>
    <x v="0"/>
    <n v="-31010.57"/>
    <s v="UJE"/>
    <m/>
    <x v="8"/>
    <s v="Aon Hewitt Invest Q221 Fees"/>
    <m/>
    <s v="ESD"/>
    <s v="0000959173"/>
    <s v="To accrue HR expense Pension and Thrift in June business."/>
    <s v="9260000"/>
    <s v="521900"/>
    <s v="0000"/>
    <s v="563"/>
    <s v="BENEFITS"/>
    <s v="0000"/>
    <m/>
  </r>
  <r>
    <d v="2021-07-02T00:00:00"/>
    <x v="6"/>
    <x v="0"/>
    <n v="-71131.44"/>
    <s v="UJE"/>
    <m/>
    <x v="9"/>
    <s v="Fidelity Thrift Plan Q221 Ser"/>
    <m/>
    <s v="ESD"/>
    <s v="0000959173"/>
    <s v="To accrue HR expense Pension and Thrift in June business."/>
    <s v="9260000"/>
    <s v="521900"/>
    <s v="4500"/>
    <s v="563"/>
    <s v="00004500"/>
    <s v="0000"/>
    <m/>
  </r>
  <r>
    <d v="2021-08-04T00:00:00"/>
    <x v="6"/>
    <x v="0"/>
    <n v="71131.44"/>
    <s v="UJE"/>
    <m/>
    <x v="9"/>
    <s v="Fidelity Thrift Plan Q221 Ser"/>
    <m/>
    <s v="ESD"/>
    <s v="0000960191"/>
    <s v="To accrue HR expense Pension and Thrift in July business."/>
    <s v="9260000"/>
    <s v="521900"/>
    <s v="4500"/>
    <s v="563"/>
    <s v="00004500"/>
    <s v="0000"/>
    <m/>
  </r>
  <r>
    <d v="2021-08-04T00:00:00"/>
    <x v="7"/>
    <x v="0"/>
    <n v="-71131.44"/>
    <s v="UJE"/>
    <m/>
    <x v="9"/>
    <s v="Fidelity Thrift Plan Q221 Ser"/>
    <m/>
    <s v="ESD"/>
    <s v="0000960191"/>
    <s v="To accrue HR expense Pension and Thrift in July business."/>
    <s v="9260000"/>
    <s v="521900"/>
    <s v="4500"/>
    <s v="563"/>
    <s v="00004500"/>
    <s v="0000"/>
    <m/>
  </r>
  <r>
    <d v="2021-10-01T00:00:00"/>
    <x v="8"/>
    <x v="0"/>
    <n v="31940.89"/>
    <s v="UJE"/>
    <m/>
    <x v="8"/>
    <s v="Aon Hewitt Invest Q3 2021 Fees"/>
    <m/>
    <s v="ESD"/>
    <s v="0000962192"/>
    <s v="To accrue HR expense Pension and Thrift in September."/>
    <s v="9260000"/>
    <s v="521900"/>
    <s v="0000"/>
    <s v="563"/>
    <s v="BENEFITS"/>
    <s v="0000"/>
    <m/>
  </r>
  <r>
    <d v="2021-10-01T00:00:00"/>
    <x v="8"/>
    <x v="0"/>
    <n v="75371.31"/>
    <s v="UJE"/>
    <m/>
    <x v="9"/>
    <s v="Fidelity Thrift Plan Q3 Serv21"/>
    <m/>
    <s v="ESD"/>
    <s v="0000962192"/>
    <s v="To accrue HR expense Pension and Thrift in September."/>
    <s v="9260000"/>
    <s v="521900"/>
    <s v="4500"/>
    <s v="563"/>
    <s v="00004500"/>
    <s v="0000"/>
    <m/>
  </r>
  <r>
    <d v="2021-10-01T00:00:00"/>
    <x v="9"/>
    <x v="0"/>
    <n v="-31940.89"/>
    <s v="UJE"/>
    <m/>
    <x v="8"/>
    <s v="Aon Hewitt Invest Q3 2021 Fees"/>
    <m/>
    <s v="ESD"/>
    <s v="0000962192"/>
    <s v="To accrue HR expense Pension and Thrift in September."/>
    <s v="9260000"/>
    <s v="521900"/>
    <s v="0000"/>
    <s v="563"/>
    <s v="BENEFITS"/>
    <s v="0000"/>
    <m/>
  </r>
  <r>
    <d v="2021-10-01T00:00:00"/>
    <x v="9"/>
    <x v="0"/>
    <n v="-75371.31"/>
    <s v="UJE"/>
    <m/>
    <x v="9"/>
    <s v="Fidelity Thrift Plan Q3 Serv21"/>
    <m/>
    <s v="ESD"/>
    <s v="0000962192"/>
    <s v="To accrue HR expense Pension and Thrift in September."/>
    <s v="9260000"/>
    <s v="521900"/>
    <s v="4500"/>
    <s v="563"/>
    <s v="00004500"/>
    <s v="0000"/>
    <m/>
  </r>
  <r>
    <d v="2021-11-02T00:00:00"/>
    <x v="9"/>
    <x v="0"/>
    <n v="31940.91"/>
    <s v="UJE"/>
    <m/>
    <x v="8"/>
    <s v="Aon Hewitt Inves Q3 2021 Fees"/>
    <m/>
    <s v="ESD"/>
    <s v="0000963565"/>
    <s v="To accrue HR expense Pension and Thrift in October business."/>
    <s v="9260000"/>
    <s v="521900"/>
    <s v="0000"/>
    <s v="563"/>
    <s v="BENEFITS"/>
    <s v="0000"/>
    <m/>
  </r>
  <r>
    <d v="2021-11-02T00:00:00"/>
    <x v="9"/>
    <x v="0"/>
    <n v="72799.88"/>
    <s v="UJE"/>
    <m/>
    <x v="9"/>
    <s v="Fidelity Thrift Plan Q321 Serv"/>
    <m/>
    <s v="ESD"/>
    <s v="0000963565"/>
    <s v="To accrue HR expense Pension and Thrift in October business."/>
    <s v="9260000"/>
    <s v="521900"/>
    <s v="4500"/>
    <s v="563"/>
    <s v="00004500"/>
    <s v="0000"/>
    <m/>
  </r>
  <r>
    <d v="2021-11-02T00:00:00"/>
    <x v="10"/>
    <x v="0"/>
    <n v="-31940.91"/>
    <s v="UJE"/>
    <m/>
    <x v="8"/>
    <s v="Aon Hewitt Inves Q3 2021 Fees"/>
    <m/>
    <s v="ESD"/>
    <s v="0000963565"/>
    <s v="To accrue HR expense Pension and Thrift in October business."/>
    <s v="9260000"/>
    <s v="521900"/>
    <s v="0000"/>
    <s v="563"/>
    <s v="BENEFITS"/>
    <s v="0000"/>
    <m/>
  </r>
  <r>
    <d v="2021-11-02T00:00:00"/>
    <x v="10"/>
    <x v="0"/>
    <n v="-72799.88"/>
    <s v="UJE"/>
    <m/>
    <x v="9"/>
    <s v="Fidelity Thrift Plan Q321 Serv"/>
    <m/>
    <s v="ESD"/>
    <s v="0000963565"/>
    <s v="To accrue HR expense Pension and Thrift in October business."/>
    <s v="9260000"/>
    <s v="521900"/>
    <s v="4500"/>
    <s v="563"/>
    <s v="00004500"/>
    <s v="0000"/>
    <m/>
  </r>
  <r>
    <d v="2022-01-04T00:00:00"/>
    <x v="11"/>
    <x v="0"/>
    <n v="31940.91"/>
    <s v="UJE"/>
    <m/>
    <x v="8"/>
    <s v="Aon Hewitt InvesQ4 21"/>
    <m/>
    <s v="ESD"/>
    <s v="0000965896"/>
    <s v="To accrue HR expense Pension and Thrift in December business."/>
    <s v="9260000"/>
    <s v="521900"/>
    <s v="0000"/>
    <s v="563"/>
    <s v="BENEFITS"/>
    <s v="0000"/>
    <m/>
  </r>
  <r>
    <d v="2022-01-04T00:00:00"/>
    <x v="11"/>
    <x v="0"/>
    <n v="72799.88"/>
    <s v="UJE"/>
    <m/>
    <x v="9"/>
    <s v="Fidelity Thrift PlanQ421 Ser"/>
    <m/>
    <s v="ESD"/>
    <s v="0000965896"/>
    <s v="To accrue HR expense Pension and Thrift in December business."/>
    <s v="9260000"/>
    <s v="521900"/>
    <s v="4500"/>
    <s v="563"/>
    <s v="00004500"/>
    <s v="0000"/>
    <m/>
  </r>
</pivotCacheRecords>
</file>

<file path=xl/pivotTables/_rels/pivotTable1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3.xml" /></Relationships>
</file>

<file path=xl/pivotTables/_rels/pivotTable2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_rels/pivotTable3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4.xml" /></Relationships>
</file>

<file path=xl/pivotTables/_rels/pivotTable4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2.xml" 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Data" showMissing="1" preserveFormatting="1" useAutoFormatting="1" itemPrintTitles="1" compact="0" compactData="0" createdVersion="1" updatedVersion="5" indent="0" gridDropZones="1" showMemberPropertyTips="0">
  <location ref="A6:H20" firstHeaderRow="1" firstDataRow="2" firstDataCol="1" rowPageCount="1" colPageCount="1"/>
  <pivotFields count="19">
    <pivotField compact="0" outline="0" subtotalTop="0" showAll="0" includeNewItemsInFilter="1" numFmtId="14"/>
    <pivotField axis="axisRow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dataField="1" compact="0" outline="0" subtotalTop="0" showAll="0" includeNewItemsInFilter="1" numFmtId="43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7">
        <item x="0"/>
        <item x="1"/>
        <item x="2"/>
        <item x="3"/>
        <item x="5"/>
        <item x="4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2" hier="0"/>
  </pageFields>
  <dataFields count="1">
    <dataField name="Sum of Sum Amount" fld="3" baseField="0" baseItem="0" numFmtId="43"/>
  </dataFields>
  <formats count="9">
    <format dxfId="78">
      <pivotArea outline="0" fieldPosition="0"/>
    </format>
    <format dxfId="77">
      <pivotArea outline="0" fieldPosition="0" axis="axisRow" dataOnly="0" field="1" labelOnly="1" type="button"/>
    </format>
    <format dxfId="76">
      <pivotArea outline="0" fieldPosition="0" dataOnly="0" labelOnly="1">
        <references count="1">
          <reference field="6" count="0"/>
        </references>
      </pivotArea>
    </format>
    <format dxfId="75">
      <pivotArea outline="0" fieldPosition="0" dataOnly="0" grandCol="1" labelOnly="1"/>
    </format>
    <format dxfId="74">
      <pivotArea outline="0" fieldPosition="0" dataOnly="0" labelOnly="1">
        <references count="1">
          <reference field="6" count="0"/>
        </references>
      </pivotArea>
    </format>
    <format dxfId="73">
      <pivotArea outline="0" fieldPosition="0" grandRow="1"/>
    </format>
    <format dxfId="72">
      <pivotArea outline="0" fieldPosition="0" dataOnly="0" grandRow="1" labelOnly="1"/>
    </format>
    <format dxfId="71">
      <pivotArea outline="0" fieldPosition="0" dataOnly="0" labelOnly="1">
        <references count="1">
          <reference field="6" count="0"/>
        </references>
      </pivotArea>
    </format>
    <format dxfId="70">
      <pivotArea outline="0" fieldPosition="0" dataOnly="0" grandCol="1" labelOnly="1"/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Data" showMissing="1" preserveFormatting="1" useAutoFormatting="1" itemPrintTitles="1" compact="0" compactData="0" createdVersion="1" updatedVersion="5" indent="0" gridDropZones="1" showMemberPropertyTips="0">
  <location ref="A6:L20" firstHeaderRow="1" firstDataRow="2" firstDataCol="1" rowPageCount="1" colPageCount="1"/>
  <pivotFields count="19">
    <pivotField compact="0" outline="0" subtotalTop="0" showAll="0" includeNewItemsInFilter="1" numFmtId="14"/>
    <pivotField axis="axisRow" compact="0" outline="0" subtotalTop="0" showAll="0" includeNewItemsInFilter="1">
      <items count="1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dataField="1" compact="0" outline="0" subtotalTop="0" showAll="0" includeNewItemsInFilter="1" numFmtId="43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 sortType="ascending">
      <items count="11">
        <item x="0"/>
        <item x="8"/>
        <item x="1"/>
        <item x="7"/>
        <item x="2"/>
        <item x="3"/>
        <item x="9"/>
        <item x="4"/>
        <item x="5"/>
        <item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" hier="0"/>
  </pageFields>
  <dataFields count="1">
    <dataField name="Sum of Sum Amount" fld="3" baseField="0" baseItem="0" numFmtId="43"/>
  </dataFields>
  <formats count="18">
    <format dxfId="69">
      <pivotArea outline="0" fieldPosition="0"/>
    </format>
    <format dxfId="68">
      <pivotArea outline="0" fieldPosition="0" dataOnly="0" labelOnly="1">
        <references count="1">
          <reference field="6" count="0"/>
        </references>
      </pivotArea>
    </format>
    <format dxfId="67">
      <pivotArea outline="0" fieldPosition="0" dataOnly="0" grandCol="1" labelOnly="1"/>
    </format>
    <format dxfId="66">
      <pivotArea outline="0" fieldPosition="0" dataOnly="0" labelOnly="1">
        <references count="1">
          <reference field="6" count="1">
            <x v="2"/>
          </reference>
        </references>
      </pivotArea>
    </format>
    <format dxfId="65">
      <pivotArea outline="0" fieldPosition="0" dataOnly="0" labelOnly="1">
        <references count="1">
          <reference field="6" count="1">
            <x v="4"/>
          </reference>
        </references>
      </pivotArea>
    </format>
    <format dxfId="64">
      <pivotArea outline="0" fieldPosition="0" dataOnly="0" labelOnly="1">
        <references count="1">
          <reference field="6" count="1">
            <x v="5"/>
          </reference>
        </references>
      </pivotArea>
    </format>
    <format dxfId="63">
      <pivotArea outline="0" fieldPosition="0" dataOnly="0" labelOnly="1">
        <references count="1">
          <reference field="6" count="1">
            <x v="8"/>
          </reference>
        </references>
      </pivotArea>
    </format>
    <format dxfId="62">
      <pivotArea outline="0" fieldPosition="0" dataOnly="0" labelOnly="1">
        <references count="1">
          <reference field="6" count="1">
            <x v="9"/>
          </reference>
        </references>
      </pivotArea>
    </format>
    <format dxfId="61">
      <pivotArea outline="0" fieldPosition="0" grandRow="1"/>
    </format>
    <format dxfId="60">
      <pivotArea outline="0" fieldPosition="0" dataOnly="0" grandRow="1" labelOnly="1"/>
    </format>
    <format dxfId="59">
      <pivotArea outline="0" fieldPosition="0" axis="axisRow" dataOnly="0" field="1" labelOnly="1" type="button"/>
    </format>
    <format dxfId="58">
      <pivotArea outline="0" fieldPosition="0" dataOnly="0" labelOnly="1">
        <references count="1">
          <reference field="6" count="0"/>
        </references>
      </pivotArea>
    </format>
    <format dxfId="57">
      <pivotArea outline="0" fieldPosition="0" dataOnly="0" grandCol="1" labelOnly="1"/>
    </format>
    <format dxfId="56">
      <pivotArea outline="0" fieldPosition="0" axis="axisRow" dataOnly="0" field="1" labelOnly="1" type="button"/>
    </format>
    <format dxfId="55">
      <pivotArea outline="0" fieldPosition="0" dataOnly="0" labelOnly="1">
        <references count="1">
          <reference field="6" count="0"/>
        </references>
      </pivotArea>
    </format>
    <format dxfId="54">
      <pivotArea outline="0" fieldPosition="0" dataOnly="0" grandCol="1" labelOnly="1"/>
    </format>
    <format dxfId="53">
      <pivotArea outline="0" fieldPosition="0" dataOnly="0" labelOnly="1">
        <references count="1">
          <reference field="6" count="0"/>
        </references>
      </pivotArea>
    </format>
    <format dxfId="52">
      <pivotArea outline="0" fieldPosition="0" dataOnly="0" labelOnly="1">
        <references count="1">
          <reference field="6" count="6">
            <x v="1"/>
            <x v="2"/>
            <x v="3"/>
            <x v="4"/>
            <x v="5"/>
            <x v="6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Data" showMissing="1" preserveFormatting="1" useAutoFormatting="1" itemPrintTitles="1" compact="0" compactData="0" createdVersion="1" updatedVersion="5" indent="0" gridDropZones="1" showMemberPropertyTips="0">
  <location ref="A6:L20" firstHeaderRow="1" firstDataRow="2" firstDataCol="1" rowPageCount="1" colPageCount="1"/>
  <pivotFields count="19">
    <pivotField compact="0" outline="0" subtotalTop="0" showAll="0" includeNewItemsInFilter="1" numFmtId="14"/>
    <pivotField axis="axisRow" compact="0" outline="0" subtotalTop="0" showAll="0" includeNewItemsInFilter="1">
      <items count="1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dataField="1" compact="0" outline="0" subtotalTop="0" showAll="0" includeNewItemsInFilter="1" numFmtId="43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 sortType="ascending">
      <items count="11">
        <item x="0"/>
        <item x="8"/>
        <item x="1"/>
        <item x="7"/>
        <item x="2"/>
        <item x="3"/>
        <item x="9"/>
        <item n="METLIFE (FMLA)" x="4"/>
        <item x="5"/>
        <item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" hier="0"/>
  </pageFields>
  <dataFields count="1">
    <dataField name="Sum of Sum Amount" fld="3" baseField="0" baseItem="0" numFmtId="43"/>
  </dataFields>
  <formats count="44">
    <format dxfId="51">
      <pivotArea outline="0" fieldPosition="0"/>
    </format>
    <format dxfId="50">
      <pivotArea outline="0" fieldPosition="0" dataOnly="0" labelOnly="1">
        <references count="1">
          <reference field="6" count="0"/>
        </references>
      </pivotArea>
    </format>
    <format dxfId="49">
      <pivotArea outline="0" fieldPosition="0" dataOnly="0" grandCol="1" labelOnly="1"/>
    </format>
    <format dxfId="48">
      <pivotArea outline="0" fieldPosition="0" dataOnly="0" labelOnly="1">
        <references count="1">
          <reference field="6" count="1">
            <x v="2"/>
          </reference>
        </references>
      </pivotArea>
    </format>
    <format dxfId="47">
      <pivotArea outline="0" fieldPosition="0" dataOnly="0" labelOnly="1">
        <references count="1">
          <reference field="6" count="1">
            <x v="4"/>
          </reference>
        </references>
      </pivotArea>
    </format>
    <format dxfId="46">
      <pivotArea outline="0" fieldPosition="0" dataOnly="0" labelOnly="1">
        <references count="1">
          <reference field="6" count="1">
            <x v="5"/>
          </reference>
        </references>
      </pivotArea>
    </format>
    <format dxfId="45">
      <pivotArea outline="0" fieldPosition="0" dataOnly="0" labelOnly="1">
        <references count="1">
          <reference field="6" count="1">
            <x v="8"/>
          </reference>
        </references>
      </pivotArea>
    </format>
    <format dxfId="44">
      <pivotArea outline="0" fieldPosition="0" dataOnly="0" labelOnly="1">
        <references count="1">
          <reference field="6" count="1">
            <x v="9"/>
          </reference>
        </references>
      </pivotArea>
    </format>
    <format dxfId="43">
      <pivotArea outline="0" fieldPosition="0" grandRow="1"/>
    </format>
    <format dxfId="42">
      <pivotArea outline="0" fieldPosition="0" dataOnly="0" grandRow="1" labelOnly="1"/>
    </format>
    <format dxfId="41">
      <pivotArea outline="0" fieldPosition="0" axis="axisRow" dataOnly="0" field="1" labelOnly="1" type="button"/>
    </format>
    <format dxfId="40">
      <pivotArea outline="0" fieldPosition="0" dataOnly="0" labelOnly="1">
        <references count="1">
          <reference field="6" count="0"/>
        </references>
      </pivotArea>
    </format>
    <format dxfId="39">
      <pivotArea outline="0" fieldPosition="0" dataOnly="0" grandCol="1" labelOnly="1"/>
    </format>
    <format dxfId="38">
      <pivotArea outline="0" fieldPosition="0" axis="axisRow" dataOnly="0" field="1" labelOnly="1" type="button"/>
    </format>
    <format dxfId="37">
      <pivotArea outline="0" fieldPosition="0" dataOnly="0" labelOnly="1">
        <references count="1">
          <reference field="6" count="0"/>
        </references>
      </pivotArea>
    </format>
    <format dxfId="36">
      <pivotArea outline="0" fieldPosition="0" dataOnly="0" grandCol="1" labelOnly="1"/>
    </format>
    <format dxfId="35">
      <pivotArea outline="0" fieldPosition="0" dataOnly="0" labelOnly="1">
        <references count="1">
          <reference field="6" count="0"/>
        </references>
      </pivotArea>
    </format>
    <format dxfId="34">
      <pivotArea outline="0" fieldPosition="0" dataOnly="0" labelOnly="1">
        <references count="1">
          <reference field="6" count="6">
            <x v="1"/>
            <x v="2"/>
            <x v="3"/>
            <x v="4"/>
            <x v="5"/>
            <x v="6"/>
          </reference>
        </references>
      </pivotArea>
    </format>
    <format dxfId="33">
      <pivotArea outline="0" fieldPosition="0" dataOnly="0" labelOnly="1">
        <references count="1">
          <reference field="6" count="1">
            <x v="7"/>
          </reference>
        </references>
      </pivotArea>
    </format>
    <format dxfId="32">
      <pivotArea outline="0" fieldPosition="0">
        <references count="1">
          <reference field="6" selected="0" count="1">
            <x v="7"/>
          </reference>
        </references>
      </pivotArea>
    </format>
    <format dxfId="31">
      <pivotArea outline="0" fieldPosition="0" dataOnly="0">
        <references count="1">
          <reference field="6" count="1">
            <x v="3"/>
          </reference>
        </references>
      </pivotArea>
    </format>
    <format dxfId="30">
      <pivotArea outline="0" fieldPosition="0">
        <references count="2">
          <reference field="1" selected="0" count="2">
            <x v="5"/>
            <x v="6"/>
          </reference>
          <reference field="6" selected="0" count="1">
            <x v="0"/>
          </reference>
        </references>
      </pivotArea>
    </format>
    <format dxfId="29">
      <pivotArea outline="0" fieldPosition="0">
        <references count="2">
          <reference field="1" selected="0" count="4">
            <x v="1"/>
            <x v="2"/>
            <x v="3"/>
            <x v="4"/>
          </reference>
          <reference field="6" selected="0" count="1">
            <x v="0"/>
          </reference>
        </references>
      </pivotArea>
    </format>
    <format dxfId="28">
      <pivotArea outline="0" fieldPosition="0" dataOnly="0" labelOnly="1">
        <references count="1">
          <reference field="6" count="1">
            <x v="0"/>
          </reference>
        </references>
      </pivotArea>
    </format>
    <format dxfId="27">
      <pivotArea outline="0" fieldPosition="0">
        <references count="2">
          <reference field="1" selected="0" count="1">
            <x v="0"/>
          </reference>
          <reference field="6" selected="0" count="1">
            <x v="0"/>
          </reference>
        </references>
      </pivotArea>
    </format>
    <format dxfId="26">
      <pivotArea outline="0" fieldPosition="0">
        <references count="2">
          <reference field="1" selected="0" count="5">
            <x v="7"/>
            <x v="8"/>
            <x v="9"/>
            <x v="10"/>
            <x v="11"/>
          </reference>
          <reference field="6" selected="0" count="1">
            <x v="0"/>
          </reference>
        </references>
      </pivotArea>
    </format>
    <format dxfId="25">
      <pivotArea outline="0" fieldPosition="0" axis="axisCol" field="6" grandRow="1">
        <references count="1">
          <reference field="6" selected="0" count="1">
            <x v="0"/>
          </reference>
        </references>
      </pivotArea>
    </format>
    <format dxfId="24">
      <pivotArea outline="0" fieldPosition="0">
        <references count="2">
          <reference field="1" selected="0" count="1">
            <x v="0"/>
          </reference>
          <reference field="6" selected="0" count="1">
            <x v="0"/>
          </reference>
        </references>
      </pivotArea>
    </format>
    <format dxfId="23">
      <pivotArea outline="0" fieldPosition="0" dataOnly="0">
        <references count="1">
          <reference field="6" count="1">
            <x v="8"/>
          </reference>
        </references>
      </pivotArea>
    </format>
    <format dxfId="22">
      <pivotArea outline="0" fieldPosition="0">
        <references count="1">
          <reference field="6" selected="0" count="1">
            <x v="5"/>
          </reference>
        </references>
      </pivotArea>
    </format>
    <format dxfId="21">
      <pivotArea outline="0" fieldPosition="0" dataOnly="0" labelOnly="1">
        <references count="1">
          <reference field="6" count="1">
            <x v="5"/>
          </reference>
        </references>
      </pivotArea>
    </format>
    <format dxfId="20">
      <pivotArea outline="0" fieldPosition="0">
        <references count="2">
          <reference field="1" selected="0" count="1">
            <x v="11"/>
          </reference>
          <reference field="6" selected="0" count="1">
            <x v="4"/>
          </reference>
        </references>
      </pivotArea>
    </format>
    <format dxfId="19">
      <pivotArea outline="0" fieldPosition="0">
        <references count="2">
          <reference field="1" selected="0" count="1">
            <x v="10"/>
          </reference>
          <reference field="6" selected="0" count="1">
            <x v="4"/>
          </reference>
        </references>
      </pivotArea>
    </format>
    <format dxfId="18">
      <pivotArea outline="0" fieldPosition="0">
        <references count="2">
          <reference field="1" selected="0" count="1">
            <x v="9"/>
          </reference>
          <reference field="6" selected="0" count="1">
            <x v="4"/>
          </reference>
        </references>
      </pivotArea>
    </format>
    <format dxfId="17">
      <pivotArea outline="0" fieldPosition="0">
        <references count="2">
          <reference field="1" selected="0" count="1">
            <x v="7"/>
          </reference>
          <reference field="6" selected="0" count="1">
            <x v="4"/>
          </reference>
        </references>
      </pivotArea>
    </format>
    <format dxfId="16">
      <pivotArea outline="0" fieldPosition="0">
        <references count="2">
          <reference field="1" selected="0" count="1">
            <x v="6"/>
          </reference>
          <reference field="6" selected="0" count="1">
            <x v="4"/>
          </reference>
        </references>
      </pivotArea>
    </format>
    <format dxfId="15">
      <pivotArea outline="0" fieldPosition="0">
        <references count="2">
          <reference field="1" selected="0" count="1">
            <x v="4"/>
          </reference>
          <reference field="6" selected="0" count="1">
            <x v="4"/>
          </reference>
        </references>
      </pivotArea>
    </format>
    <format dxfId="14">
      <pivotArea outline="0" fieldPosition="0">
        <references count="2">
          <reference field="1" selected="0" count="1">
            <x v="2"/>
          </reference>
          <reference field="6" selected="0" count="1">
            <x v="4"/>
          </reference>
        </references>
      </pivotArea>
    </format>
    <format dxfId="13">
      <pivotArea outline="0" fieldPosition="0" dataOnly="0">
        <references count="1">
          <reference field="6" count="1">
            <x v="4"/>
          </reference>
        </references>
      </pivotArea>
    </format>
    <format dxfId="12">
      <pivotArea outline="0" fieldPosition="0" dataOnly="0">
        <references count="1">
          <reference field="6" count="1">
            <x v="2"/>
          </reference>
        </references>
      </pivotArea>
    </format>
    <format dxfId="11">
      <pivotArea outline="0" fieldPosition="0">
        <references count="2">
          <reference field="1" selected="0" count="1">
            <x v="2"/>
          </reference>
          <reference field="6" selected="0" count="1">
            <x v="9"/>
          </reference>
        </references>
      </pivotArea>
    </format>
    <format dxfId="10">
      <pivotArea outline="0" fieldPosition="0">
        <references count="2">
          <reference field="1" selected="0" count="3">
            <x v="4"/>
            <x v="5"/>
            <x v="6"/>
          </reference>
          <reference field="6" selected="0" count="1">
            <x v="9"/>
          </reference>
        </references>
      </pivotArea>
    </format>
    <format dxfId="9">
      <pivotArea outline="0" fieldPosition="0">
        <references count="2">
          <reference field="1" selected="0" count="2">
            <x v="7"/>
            <x v="8"/>
          </reference>
          <reference field="6" selected="0" count="1">
            <x v="9"/>
          </reference>
        </references>
      </pivotArea>
    </format>
    <format dxfId="8">
      <pivotArea outline="0" fieldPosition="0" dataOnly="0" labelOnly="1">
        <references count="1">
          <reference field="6" count="1">
            <x v="9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Data" showMissing="1" preserveFormatting="1" useAutoFormatting="1" itemPrintTitles="1" compact="0" compactData="0" createdVersion="1" updatedVersion="5" indent="0" gridDropZones="1" showMemberPropertyTips="0">
  <location ref="A6:H21" firstHeaderRow="1" firstDataRow="3" firstDataCol="1" rowPageCount="1" colPageCount="1"/>
  <pivotFields count="19">
    <pivotField compact="0" outline="0" subtotalTop="0" showAll="0" includeNewItemsInFilter="1" numFmtId="14"/>
    <pivotField axis="axisRow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ubtotalTop="0" showAll="0" includeNewItemsInFilter="1">
      <items count="3">
        <item m="1" x="1"/>
        <item x="0"/>
        <item t="default"/>
      </items>
    </pivotField>
    <pivotField dataField="1" compact="0" outline="0" subtotalTop="0" showAll="0" includeNewItemsInFilter="1" numFmtId="43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6">
        <item n="EC 551 Life" x="2"/>
        <item n="EC 552 AD&amp;D" x="1"/>
        <item m="1" x="4"/>
        <item x="3"/>
        <item n="EC 557 LTD"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6"/>
    <field x="15"/>
  </colFields>
  <colItems count="7">
    <i>
      <x/>
      <x/>
    </i>
    <i r="1">
      <x v="1"/>
    </i>
    <i r="1">
      <x v="4"/>
    </i>
    <i t="default">
      <x/>
    </i>
    <i>
      <x v="1"/>
      <x v="3"/>
    </i>
    <i t="default">
      <x v="1"/>
    </i>
    <i t="grand">
      <x/>
    </i>
  </colItems>
  <pageFields count="1">
    <pageField fld="2" hier="0"/>
  </pageFields>
  <dataFields count="1">
    <dataField name="Sum of Sum Amount" fld="3" baseField="0" baseItem="0" numFmtId="43"/>
  </dataFields>
  <formats count="8">
    <format dxfId="7">
      <pivotArea outline="0" fieldPosition="0"/>
    </format>
    <format dxfId="6">
      <pivotArea outline="0" fieldPosition="0" grandRow="1"/>
    </format>
    <format dxfId="5">
      <pivotArea outline="0" fieldPosition="0" dataOnly="0" grandRow="1" labelOnly="1"/>
    </format>
    <format dxfId="4">
      <pivotArea outline="0" fieldPosition="0" dataOnly="0" labelOnly="1">
        <references count="1">
          <reference field="6" count="0"/>
        </references>
      </pivotArea>
    </format>
    <format dxfId="3">
      <pivotArea outline="0" fieldPosition="0" dataOnly="0" labelOnly="1">
        <references count="1">
          <reference field="6" defaultSubtotal="1" count="0"/>
        </references>
      </pivotArea>
    </format>
    <format dxfId="2">
      <pivotArea outline="0" fieldPosition="0" dataOnly="0" grandCol="1" labelOnly="1"/>
    </format>
    <format dxfId="1">
      <pivotArea outline="0" fieldPosition="0" dataOnly="0" labelOnly="1">
        <references count="2">
          <reference field="6" selected="0" count="1">
            <x v="0"/>
          </reference>
          <reference field="15" count="3">
            <x v="0"/>
            <x v="1"/>
            <x v="4"/>
          </reference>
        </references>
      </pivotArea>
    </format>
    <format dxfId="0">
      <pivotArea outline="0" fieldPosition="0" dataOnly="0" labelOnly="1">
        <references count="2">
          <reference field="6" selected="0" count="1">
            <x v="1"/>
          </reference>
          <reference field="15" count="2">
            <x v="2"/>
            <x v="3"/>
          </reference>
        </references>
      </pivotArea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pivotTable" Target="../pivotTables/pivotTable1.xml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Relationship Id="rId2" Type="http://schemas.openxmlformats.org/officeDocument/2006/relationships/pivotTable" Target="../pivotTables/pivotTable2.xml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ivotTable" Target="../pivotTables/pivotTable3.xml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ivotTable" Target="../pivotTables/pivotTable4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tabColor rgb="FFFF0000"/>
  </sheetPr>
  <dimension ref="A1:L20"/>
  <sheetViews>
    <sheetView workbookViewId="0" topLeftCell="A1">
      <selection pane="topLeft" activeCell="C5" sqref="C5"/>
    </sheetView>
  </sheetViews>
  <sheetFormatPr defaultRowHeight="15"/>
  <cols>
    <col min="1" max="1" width="18.7142857142857" customWidth="1"/>
    <col min="2" max="2" width="20.8571428571429" bestFit="1" customWidth="1"/>
    <col min="3" max="3" width="20.8571428571429" customWidth="1"/>
    <col min="4" max="4" width="20.8571428571429" bestFit="1" customWidth="1"/>
    <col min="5" max="7" width="20.8571428571429" customWidth="1"/>
    <col min="8" max="8" width="16.1428571428571" bestFit="1" customWidth="1"/>
    <col min="9" max="9" width="12.8571428571429" bestFit="1" customWidth="1"/>
    <col min="10" max="10" width="3" customWidth="1"/>
    <col min="11" max="11" width="14" bestFit="1" customWidth="1"/>
    <col min="12" max="12" width="12.8571428571429" bestFit="1" customWidth="1"/>
  </cols>
  <sheetData>
    <row r="1" spans="1:1" ht="15.75">
      <c r="A1" s="19" t="s">
        <v>70</v>
      </c>
    </row>
    <row r="2" spans="1:1" ht="15.75">
      <c r="A2" s="19" t="s">
        <v>71</v>
      </c>
    </row>
    <row r="3" spans="1:1" ht="15.75">
      <c r="A3" s="19" t="s">
        <v>112</v>
      </c>
    </row>
    <row r="4" spans="1:2" ht="15">
      <c r="A4" s="20" t="s">
        <v>4</v>
      </c>
      <c r="B4" s="23">
        <v>2021</v>
      </c>
    </row>
    <row r="5" spans="1:1" ht="15.75">
      <c r="A5" s="19"/>
    </row>
    <row r="6" spans="1:8" ht="15">
      <c r="A6" s="11" t="s">
        <v>69</v>
      </c>
      <c r="B6" s="11" t="s">
        <v>8</v>
      </c>
      <c r="C6" s="9"/>
      <c r="D6" s="9"/>
      <c r="E6" s="9"/>
      <c r="F6" s="9"/>
      <c r="G6" s="9"/>
      <c r="H6" s="10"/>
    </row>
    <row r="7" spans="1:8" s="18" customFormat="1" ht="51" customHeight="1">
      <c r="A7" s="26" t="s">
        <v>3</v>
      </c>
      <c r="B7" s="42" t="s">
        <v>42</v>
      </c>
      <c r="C7" s="30" t="s">
        <v>45</v>
      </c>
      <c r="D7" s="30" t="s">
        <v>39</v>
      </c>
      <c r="E7" s="30" t="s">
        <v>30</v>
      </c>
      <c r="F7" s="30" t="s">
        <v>37</v>
      </c>
      <c r="G7" s="30" t="s">
        <v>256</v>
      </c>
      <c r="H7" s="43" t="s">
        <v>68</v>
      </c>
    </row>
    <row r="8" spans="1:12" ht="15">
      <c r="A8" s="8">
        <v>1</v>
      </c>
      <c r="B8" s="13">
        <v>226677.67000000004</v>
      </c>
      <c r="C8" s="14">
        <v>2201955.4000000004</v>
      </c>
      <c r="D8" s="14">
        <v>420254.36999999994</v>
      </c>
      <c r="E8" s="14">
        <v>13674.550000000001</v>
      </c>
      <c r="F8" s="14">
        <v>5060.79</v>
      </c>
      <c r="G8" s="14">
        <v>5400</v>
      </c>
      <c r="H8" s="15">
        <v>2873022.7800000003</v>
      </c>
      <c r="I8" s="1"/>
      <c r="K8" s="5"/>
      <c r="L8" s="1"/>
    </row>
    <row r="9" spans="1:12" ht="15">
      <c r="A9" s="12">
        <v>2</v>
      </c>
      <c r="B9" s="16">
        <v>305461.53999999998</v>
      </c>
      <c r="C9" s="1">
        <v>2404566.6300000004</v>
      </c>
      <c r="D9" s="1">
        <v>916528.00000000012</v>
      </c>
      <c r="E9" s="1">
        <v>19173.43</v>
      </c>
      <c r="F9" s="1">
        <v>5798.0599999999995</v>
      </c>
      <c r="G9" s="1">
        <v>5400</v>
      </c>
      <c r="H9" s="17">
        <v>3656927.6600000006</v>
      </c>
      <c r="I9" s="1"/>
      <c r="K9" s="5"/>
      <c r="L9" s="1"/>
    </row>
    <row r="10" spans="1:12" ht="15">
      <c r="A10" s="12">
        <v>3</v>
      </c>
      <c r="B10" s="16">
        <v>460624.19000000006</v>
      </c>
      <c r="C10" s="1">
        <v>5722046.4699999988</v>
      </c>
      <c r="D10" s="1">
        <v>1109080.9099999999</v>
      </c>
      <c r="E10" s="1">
        <v>25230.279999999999</v>
      </c>
      <c r="F10" s="1">
        <v>11775.59</v>
      </c>
      <c r="G10" s="1">
        <v>5400</v>
      </c>
      <c r="H10" s="17">
        <v>7334157.4399999995</v>
      </c>
      <c r="I10" s="1"/>
      <c r="K10" s="5"/>
      <c r="L10" s="1"/>
    </row>
    <row r="11" spans="1:12" ht="15">
      <c r="A11" s="12">
        <v>4</v>
      </c>
      <c r="B11" s="16">
        <v>239080.54999999999</v>
      </c>
      <c r="C11" s="1">
        <v>3662960.8000000003</v>
      </c>
      <c r="D11" s="1">
        <v>755521.79000000004</v>
      </c>
      <c r="E11" s="1">
        <v>14609.749999999998</v>
      </c>
      <c r="F11" s="1">
        <v>4522.54</v>
      </c>
      <c r="G11" s="1"/>
      <c r="H11" s="17">
        <v>4676695.4300000006</v>
      </c>
      <c r="I11" s="1"/>
      <c r="K11" s="5"/>
      <c r="L11" s="1"/>
    </row>
    <row r="12" spans="1:12" ht="15">
      <c r="A12" s="12">
        <v>5</v>
      </c>
      <c r="B12" s="16">
        <v>329635.77999999997</v>
      </c>
      <c r="C12" s="1">
        <v>3430485.1299999999</v>
      </c>
      <c r="D12" s="1">
        <v>881391.91000000015</v>
      </c>
      <c r="E12" s="1">
        <v>20077.27</v>
      </c>
      <c r="F12" s="1">
        <v>7386.8000000000002</v>
      </c>
      <c r="G12" s="1">
        <v>3900</v>
      </c>
      <c r="H12" s="17">
        <v>4672876.8899999997</v>
      </c>
      <c r="I12" s="1"/>
      <c r="K12" s="5"/>
      <c r="L12" s="1"/>
    </row>
    <row r="13" spans="1:12" ht="15">
      <c r="A13" s="12">
        <v>6</v>
      </c>
      <c r="B13" s="16">
        <v>363291.23999999999</v>
      </c>
      <c r="C13" s="1">
        <v>4567976.8600000003</v>
      </c>
      <c r="D13" s="1">
        <v>1115395.8599999999</v>
      </c>
      <c r="E13" s="1">
        <v>29002.610000000001</v>
      </c>
      <c r="F13" s="1">
        <v>2596.5599999999999</v>
      </c>
      <c r="G13" s="1">
        <v>3900</v>
      </c>
      <c r="H13" s="17">
        <v>6082163.1300000008</v>
      </c>
      <c r="I13" s="1"/>
      <c r="K13" s="5"/>
      <c r="L13" s="1"/>
    </row>
    <row r="14" spans="1:12" ht="15">
      <c r="A14" s="12">
        <v>7</v>
      </c>
      <c r="B14" s="16">
        <v>336126.85999999999</v>
      </c>
      <c r="C14" s="1">
        <v>3595344.2600000007</v>
      </c>
      <c r="D14" s="1">
        <v>960429.66999999993</v>
      </c>
      <c r="E14" s="1">
        <v>17785.470000000001</v>
      </c>
      <c r="F14" s="1">
        <v>3147.1800000000003</v>
      </c>
      <c r="G14" s="1">
        <v>3900</v>
      </c>
      <c r="H14" s="17">
        <v>4916733.4400000004</v>
      </c>
      <c r="I14" s="1"/>
      <c r="K14" s="5"/>
      <c r="L14" s="1"/>
    </row>
    <row r="15" spans="1:12" ht="15">
      <c r="A15" s="12">
        <v>8</v>
      </c>
      <c r="B15" s="16">
        <v>409393.20999999996</v>
      </c>
      <c r="C15" s="1">
        <v>4580605.0699999994</v>
      </c>
      <c r="D15" s="1">
        <v>1095393.71</v>
      </c>
      <c r="E15" s="1">
        <v>29356.59</v>
      </c>
      <c r="F15" s="1">
        <v>5003.3399999999992</v>
      </c>
      <c r="G15" s="1">
        <v>3900</v>
      </c>
      <c r="H15" s="17">
        <v>6123651.919999999</v>
      </c>
      <c r="I15" s="1"/>
      <c r="K15" s="5"/>
      <c r="L15" s="1"/>
    </row>
    <row r="16" spans="1:12" ht="15">
      <c r="A16" s="12">
        <v>9</v>
      </c>
      <c r="B16" s="16">
        <v>401699.16999999998</v>
      </c>
      <c r="C16" s="1">
        <v>6151781.6299999999</v>
      </c>
      <c r="D16" s="1">
        <v>1408123.8000000001</v>
      </c>
      <c r="E16" s="1">
        <v>17800.129999999997</v>
      </c>
      <c r="F16" s="1">
        <v>12623.299999999999</v>
      </c>
      <c r="G16" s="1">
        <v>3900</v>
      </c>
      <c r="H16" s="17">
        <v>7995928.0299999993</v>
      </c>
      <c r="I16" s="1"/>
      <c r="K16" s="5"/>
      <c r="L16" s="1"/>
    </row>
    <row r="17" spans="1:12" ht="15">
      <c r="A17" s="12">
        <v>10</v>
      </c>
      <c r="B17" s="16">
        <v>236752.23000000004</v>
      </c>
      <c r="C17" s="1">
        <v>3755783.0999999996</v>
      </c>
      <c r="D17" s="1">
        <v>839152.93999999983</v>
      </c>
      <c r="E17" s="1">
        <v>17993.639999999999</v>
      </c>
      <c r="F17" s="1">
        <v>-3950.1399999999999</v>
      </c>
      <c r="G17" s="1">
        <v>3900</v>
      </c>
      <c r="H17" s="17">
        <v>4849631.7699999996</v>
      </c>
      <c r="I17" s="1"/>
      <c r="K17" s="5"/>
      <c r="L17" s="1"/>
    </row>
    <row r="18" spans="1:12" ht="15">
      <c r="A18" s="12">
        <v>11</v>
      </c>
      <c r="B18" s="16">
        <v>403594.96000000002</v>
      </c>
      <c r="C18" s="1">
        <v>6125686.1900000004</v>
      </c>
      <c r="D18" s="1">
        <v>1107286.51</v>
      </c>
      <c r="E18" s="1">
        <v>24475.420000000002</v>
      </c>
      <c r="F18" s="1">
        <v>7094.9399999999996</v>
      </c>
      <c r="G18" s="1">
        <v>3900</v>
      </c>
      <c r="H18" s="17">
        <v>7672038.0200000005</v>
      </c>
      <c r="I18" s="1"/>
      <c r="K18" s="5"/>
      <c r="L18" s="1"/>
    </row>
    <row r="19" spans="1:12" ht="15">
      <c r="A19" s="12">
        <v>12</v>
      </c>
      <c r="B19" s="16">
        <v>387285.87</v>
      </c>
      <c r="C19" s="1">
        <v>8956248.5899999999</v>
      </c>
      <c r="D19" s="1">
        <v>1492299.5500000003</v>
      </c>
      <c r="E19" s="1">
        <v>22941.009999999998</v>
      </c>
      <c r="F19" s="1">
        <v>11586.119999999999</v>
      </c>
      <c r="G19" s="1">
        <v>3900</v>
      </c>
      <c r="H19" s="17">
        <v>10874261.139999999</v>
      </c>
      <c r="I19" s="1"/>
      <c r="K19" s="5"/>
      <c r="L19" s="1"/>
    </row>
    <row r="20" spans="1:8" ht="15">
      <c r="A20" s="34" t="s">
        <v>68</v>
      </c>
      <c r="B20" s="31">
        <v>4099623.27</v>
      </c>
      <c r="C20" s="32">
        <v>55155440.129999995</v>
      </c>
      <c r="D20" s="32">
        <v>12100859.02</v>
      </c>
      <c r="E20" s="32">
        <v>252120.14999999999</v>
      </c>
      <c r="F20" s="32">
        <v>72645.079999999987</v>
      </c>
      <c r="G20" s="32">
        <v>47400</v>
      </c>
      <c r="H20" s="33">
        <v>71728087.650000006</v>
      </c>
    </row>
  </sheetData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dimension ref="A1:S690"/>
  <sheetViews>
    <sheetView workbookViewId="0" topLeftCell="A1">
      <pane ySplit="2" topLeftCell="A509" activePane="bottomLeft" state="frozen"/>
      <selection pane="topLeft" activeCell="A1" sqref="A1"/>
      <selection pane="bottomLeft" activeCell="E550" sqref="E550"/>
    </sheetView>
  </sheetViews>
  <sheetFormatPr defaultColWidth="10.2842857142857" defaultRowHeight="15"/>
  <cols>
    <col min="1" max="1" width="14.8571428571429" customWidth="1"/>
    <col min="2" max="2" width="7.14285714285714" bestFit="1" customWidth="1"/>
    <col min="3" max="3" width="5.42857142857143" bestFit="1" customWidth="1"/>
    <col min="4" max="4" width="14.8571428571429" style="5" bestFit="1" customWidth="1"/>
    <col min="5" max="5" width="9" bestFit="1" customWidth="1"/>
    <col min="6" max="6" width="10" bestFit="1" customWidth="1"/>
    <col min="7" max="7" width="42.2857142857143" bestFit="1" customWidth="1"/>
    <col min="8" max="8" width="26.8571428571429" customWidth="1"/>
    <col min="9" max="9" width="11.2857142857143" customWidth="1"/>
    <col min="10" max="10" width="10.5714285714286" customWidth="1"/>
    <col min="11" max="11" width="13" customWidth="1"/>
    <col min="12" max="12" width="29.1428571428571" customWidth="1"/>
    <col min="13" max="13" width="11.1428571428571" customWidth="1"/>
    <col min="14" max="14" width="7.71428571428571" customWidth="1"/>
    <col min="15" max="15" width="10.7142857142857" customWidth="1"/>
    <col min="16" max="16" width="6.14285714285714" customWidth="1"/>
    <col min="17" max="17" width="11.2857142857143" customWidth="1"/>
    <col min="18" max="18" width="11.4285714285714" customWidth="1"/>
    <col min="19" max="19" width="5.57142857142857" bestFit="1" customWidth="1"/>
  </cols>
  <sheetData>
    <row r="1" spans="1:2" ht="15" thickTop="1" thickBot="1">
      <c r="A1" s="3" t="s">
        <v>0</v>
      </c>
      <c r="B1" s="1" t="s">
        <v>1</v>
      </c>
    </row>
    <row r="2" spans="1:19" ht="15" thickTop="1" thickBot="1">
      <c r="A2" s="3" t="s">
        <v>2</v>
      </c>
      <c r="B2" s="3" t="s">
        <v>3</v>
      </c>
      <c r="C2" s="3" t="s">
        <v>4</v>
      </c>
      <c r="D2" s="6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 ht="15" hidden="1" thickTop="1">
      <c r="A3" s="2">
        <v>44224</v>
      </c>
      <c r="B3">
        <v>1</v>
      </c>
      <c r="C3">
        <v>2021</v>
      </c>
      <c r="D3" s="5">
        <v>51430.580000000002</v>
      </c>
      <c r="E3" s="4" t="s">
        <v>113</v>
      </c>
      <c r="F3" s="4" t="s">
        <v>41</v>
      </c>
      <c r="G3" s="4" t="s">
        <v>42</v>
      </c>
      <c r="H3" s="4" t="s">
        <v>114</v>
      </c>
      <c r="I3" s="4" t="s">
        <v>115</v>
      </c>
      <c r="J3" s="4" t="s">
        <v>31</v>
      </c>
      <c r="K3" s="4" t="s">
        <v>116</v>
      </c>
      <c r="L3" s="4" t="s">
        <v>22</v>
      </c>
      <c r="M3" s="4" t="s">
        <v>23</v>
      </c>
      <c r="N3" s="4" t="s">
        <v>32</v>
      </c>
      <c r="O3" s="4" t="s">
        <v>28</v>
      </c>
      <c r="P3" s="4" t="s">
        <v>43</v>
      </c>
      <c r="Q3" s="4" t="s">
        <v>27</v>
      </c>
      <c r="R3" s="4" t="s">
        <v>28</v>
      </c>
      <c r="S3" s="4" t="s">
        <v>22</v>
      </c>
    </row>
    <row r="4" spans="1:19" ht="15" hidden="1">
      <c r="A4" s="2">
        <v>44211</v>
      </c>
      <c r="B4">
        <v>1</v>
      </c>
      <c r="C4">
        <v>2021</v>
      </c>
      <c r="D4" s="5">
        <v>20665.689999999999</v>
      </c>
      <c r="E4" s="4" t="s">
        <v>117</v>
      </c>
      <c r="F4" s="4" t="s">
        <v>41</v>
      </c>
      <c r="G4" s="4" t="s">
        <v>42</v>
      </c>
      <c r="H4" s="4" t="s">
        <v>118</v>
      </c>
      <c r="I4" s="4" t="s">
        <v>119</v>
      </c>
      <c r="J4" s="4" t="s">
        <v>21</v>
      </c>
      <c r="K4" s="4" t="s">
        <v>120</v>
      </c>
      <c r="L4" s="4" t="s">
        <v>22</v>
      </c>
      <c r="M4" s="4" t="s">
        <v>23</v>
      </c>
      <c r="N4" s="4" t="s">
        <v>24</v>
      </c>
      <c r="O4" s="4" t="s">
        <v>25</v>
      </c>
      <c r="P4" s="4" t="s">
        <v>43</v>
      </c>
      <c r="Q4" s="4" t="s">
        <v>40</v>
      </c>
      <c r="R4" s="4" t="s">
        <v>28</v>
      </c>
      <c r="S4" s="4" t="s">
        <v>22</v>
      </c>
    </row>
    <row r="5" spans="1:19" ht="15" hidden="1">
      <c r="A5" s="2">
        <v>44210</v>
      </c>
      <c r="B5">
        <v>1</v>
      </c>
      <c r="C5">
        <v>2021</v>
      </c>
      <c r="D5" s="5">
        <v>38196.400000000001</v>
      </c>
      <c r="E5" s="4" t="s">
        <v>121</v>
      </c>
      <c r="F5" s="4" t="s">
        <v>41</v>
      </c>
      <c r="G5" s="4" t="s">
        <v>42</v>
      </c>
      <c r="H5" s="4" t="s">
        <v>122</v>
      </c>
      <c r="I5" s="4" t="s">
        <v>123</v>
      </c>
      <c r="J5" s="4" t="s">
        <v>31</v>
      </c>
      <c r="K5" s="4" t="s">
        <v>124</v>
      </c>
      <c r="L5" s="4" t="s">
        <v>22</v>
      </c>
      <c r="M5" s="4" t="s">
        <v>23</v>
      </c>
      <c r="N5" s="4" t="s">
        <v>32</v>
      </c>
      <c r="O5" s="4" t="s">
        <v>28</v>
      </c>
      <c r="P5" s="4" t="s">
        <v>43</v>
      </c>
      <c r="Q5" s="4" t="s">
        <v>27</v>
      </c>
      <c r="R5" s="4" t="s">
        <v>28</v>
      </c>
      <c r="S5" s="4" t="s">
        <v>22</v>
      </c>
    </row>
    <row r="6" spans="1:19" ht="15" hidden="1">
      <c r="A6" s="2">
        <v>44224</v>
      </c>
      <c r="B6">
        <v>1</v>
      </c>
      <c r="C6">
        <v>2021</v>
      </c>
      <c r="D6" s="5">
        <v>12189.67</v>
      </c>
      <c r="E6" s="4" t="s">
        <v>113</v>
      </c>
      <c r="F6" s="4" t="s">
        <v>41</v>
      </c>
      <c r="G6" s="4" t="s">
        <v>42</v>
      </c>
      <c r="H6" s="4" t="s">
        <v>114</v>
      </c>
      <c r="I6" s="4" t="s">
        <v>115</v>
      </c>
      <c r="J6" s="4" t="s">
        <v>21</v>
      </c>
      <c r="K6" s="4" t="s">
        <v>125</v>
      </c>
      <c r="L6" s="4" t="s">
        <v>22</v>
      </c>
      <c r="M6" s="4" t="s">
        <v>23</v>
      </c>
      <c r="N6" s="4" t="s">
        <v>24</v>
      </c>
      <c r="O6" s="4" t="s">
        <v>25</v>
      </c>
      <c r="P6" s="4" t="s">
        <v>43</v>
      </c>
      <c r="Q6" s="4" t="s">
        <v>40</v>
      </c>
      <c r="R6" s="4" t="s">
        <v>28</v>
      </c>
      <c r="S6" s="4" t="s">
        <v>22</v>
      </c>
    </row>
    <row r="7" spans="1:19" ht="15" hidden="1">
      <c r="A7" s="2">
        <v>44210</v>
      </c>
      <c r="B7">
        <v>1</v>
      </c>
      <c r="C7">
        <v>2021</v>
      </c>
      <c r="D7" s="5">
        <v>6625.5799999999999</v>
      </c>
      <c r="E7" s="4" t="s">
        <v>121</v>
      </c>
      <c r="F7" s="4" t="s">
        <v>41</v>
      </c>
      <c r="G7" s="4" t="s">
        <v>42</v>
      </c>
      <c r="H7" s="4" t="s">
        <v>122</v>
      </c>
      <c r="I7" s="4" t="s">
        <v>123</v>
      </c>
      <c r="J7" s="4" t="s">
        <v>21</v>
      </c>
      <c r="K7" s="4" t="s">
        <v>126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43</v>
      </c>
      <c r="Q7" s="4" t="s">
        <v>40</v>
      </c>
      <c r="R7" s="4" t="s">
        <v>28</v>
      </c>
      <c r="S7" s="4" t="s">
        <v>22</v>
      </c>
    </row>
    <row r="8" spans="1:19" ht="15" hidden="1">
      <c r="A8" s="2">
        <v>44224</v>
      </c>
      <c r="B8">
        <v>1</v>
      </c>
      <c r="C8">
        <v>2021</v>
      </c>
      <c r="D8" s="5">
        <v>57458.120000000003</v>
      </c>
      <c r="E8" s="4" t="s">
        <v>127</v>
      </c>
      <c r="F8" s="4" t="s">
        <v>41</v>
      </c>
      <c r="G8" s="4" t="s">
        <v>42</v>
      </c>
      <c r="H8" s="4" t="s">
        <v>128</v>
      </c>
      <c r="I8" s="4" t="s">
        <v>129</v>
      </c>
      <c r="J8" s="4" t="s">
        <v>31</v>
      </c>
      <c r="K8" s="4" t="s">
        <v>116</v>
      </c>
      <c r="L8" s="4" t="s">
        <v>22</v>
      </c>
      <c r="M8" s="4" t="s">
        <v>23</v>
      </c>
      <c r="N8" s="4" t="s">
        <v>32</v>
      </c>
      <c r="O8" s="4" t="s">
        <v>28</v>
      </c>
      <c r="P8" s="4" t="s">
        <v>43</v>
      </c>
      <c r="Q8" s="4" t="s">
        <v>27</v>
      </c>
      <c r="R8" s="4" t="s">
        <v>28</v>
      </c>
      <c r="S8" s="4" t="s">
        <v>22</v>
      </c>
    </row>
    <row r="9" spans="1:19" ht="15" hidden="1">
      <c r="A9" s="2">
        <v>44211</v>
      </c>
      <c r="B9">
        <v>1</v>
      </c>
      <c r="C9">
        <v>2021</v>
      </c>
      <c r="D9" s="5">
        <v>68341.080000000002</v>
      </c>
      <c r="E9" s="4" t="s">
        <v>117</v>
      </c>
      <c r="F9" s="4" t="s">
        <v>41</v>
      </c>
      <c r="G9" s="4" t="s">
        <v>42</v>
      </c>
      <c r="H9" s="4" t="s">
        <v>118</v>
      </c>
      <c r="I9" s="4" t="s">
        <v>119</v>
      </c>
      <c r="J9" s="4" t="s">
        <v>31</v>
      </c>
      <c r="K9" s="4" t="s">
        <v>130</v>
      </c>
      <c r="L9" s="4" t="s">
        <v>22</v>
      </c>
      <c r="M9" s="4" t="s">
        <v>23</v>
      </c>
      <c r="N9" s="4" t="s">
        <v>32</v>
      </c>
      <c r="O9" s="4" t="s">
        <v>28</v>
      </c>
      <c r="P9" s="4" t="s">
        <v>43</v>
      </c>
      <c r="Q9" s="4" t="s">
        <v>27</v>
      </c>
      <c r="R9" s="4" t="s">
        <v>28</v>
      </c>
      <c r="S9" s="4" t="s">
        <v>22</v>
      </c>
    </row>
    <row r="10" spans="1:19" ht="15" hidden="1">
      <c r="A10" s="2">
        <v>44224</v>
      </c>
      <c r="B10">
        <v>1</v>
      </c>
      <c r="C10">
        <v>2021</v>
      </c>
      <c r="D10" s="5">
        <v>16592.529999999999</v>
      </c>
      <c r="E10" s="4" t="s">
        <v>127</v>
      </c>
      <c r="F10" s="4" t="s">
        <v>41</v>
      </c>
      <c r="G10" s="4" t="s">
        <v>42</v>
      </c>
      <c r="H10" s="4" t="s">
        <v>128</v>
      </c>
      <c r="I10" s="4" t="s">
        <v>129</v>
      </c>
      <c r="J10" s="4" t="s">
        <v>21</v>
      </c>
      <c r="K10" s="4" t="s">
        <v>125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43</v>
      </c>
      <c r="Q10" s="4" t="s">
        <v>40</v>
      </c>
      <c r="R10" s="4" t="s">
        <v>28</v>
      </c>
      <c r="S10" s="4" t="s">
        <v>22</v>
      </c>
    </row>
    <row r="11" spans="1:19" ht="15" hidden="1">
      <c r="A11" s="2">
        <v>44253</v>
      </c>
      <c r="B11">
        <v>2</v>
      </c>
      <c r="C11">
        <v>2021</v>
      </c>
      <c r="D11" s="5">
        <v>3045.5799999999999</v>
      </c>
      <c r="E11" s="4" t="s">
        <v>131</v>
      </c>
      <c r="F11" s="4" t="s">
        <v>41</v>
      </c>
      <c r="G11" s="4" t="s">
        <v>42</v>
      </c>
      <c r="H11" s="4" t="s">
        <v>132</v>
      </c>
      <c r="I11" s="4" t="s">
        <v>133</v>
      </c>
      <c r="J11" s="4" t="s">
        <v>21</v>
      </c>
      <c r="K11" s="4" t="s">
        <v>134</v>
      </c>
      <c r="L11" s="4" t="s">
        <v>22</v>
      </c>
      <c r="M11" s="4" t="s">
        <v>23</v>
      </c>
      <c r="N11" s="4" t="s">
        <v>24</v>
      </c>
      <c r="O11" s="4" t="s">
        <v>25</v>
      </c>
      <c r="P11" s="4" t="s">
        <v>43</v>
      </c>
      <c r="Q11" s="4" t="s">
        <v>40</v>
      </c>
      <c r="R11" s="4" t="s">
        <v>28</v>
      </c>
      <c r="S11" s="4" t="s">
        <v>22</v>
      </c>
    </row>
    <row r="12" spans="1:19" ht="15" hidden="1">
      <c r="A12" s="2">
        <v>44242</v>
      </c>
      <c r="B12">
        <v>2</v>
      </c>
      <c r="C12">
        <v>2021</v>
      </c>
      <c r="D12" s="5">
        <v>24465.740000000002</v>
      </c>
      <c r="E12" s="4" t="s">
        <v>135</v>
      </c>
      <c r="F12" s="4" t="s">
        <v>41</v>
      </c>
      <c r="G12" s="4" t="s">
        <v>42</v>
      </c>
      <c r="H12" s="4" t="s">
        <v>136</v>
      </c>
      <c r="I12" s="4" t="s">
        <v>137</v>
      </c>
      <c r="J12" s="4" t="s">
        <v>21</v>
      </c>
      <c r="K12" s="4" t="s">
        <v>138</v>
      </c>
      <c r="L12" s="4" t="s">
        <v>22</v>
      </c>
      <c r="M12" s="4" t="s">
        <v>23</v>
      </c>
      <c r="N12" s="4" t="s">
        <v>24</v>
      </c>
      <c r="O12" s="4" t="s">
        <v>25</v>
      </c>
      <c r="P12" s="4" t="s">
        <v>43</v>
      </c>
      <c r="Q12" s="4" t="s">
        <v>40</v>
      </c>
      <c r="R12" s="4" t="s">
        <v>28</v>
      </c>
      <c r="S12" s="4" t="s">
        <v>22</v>
      </c>
    </row>
    <row r="13" spans="1:19" ht="15" hidden="1">
      <c r="A13" s="2">
        <v>44251</v>
      </c>
      <c r="B13">
        <v>2</v>
      </c>
      <c r="C13">
        <v>2021</v>
      </c>
      <c r="D13" s="5">
        <v>93905.889999999999</v>
      </c>
      <c r="E13" s="4" t="s">
        <v>139</v>
      </c>
      <c r="F13" s="4" t="s">
        <v>41</v>
      </c>
      <c r="G13" s="4" t="s">
        <v>42</v>
      </c>
      <c r="H13" s="4" t="s">
        <v>140</v>
      </c>
      <c r="I13" s="4" t="s">
        <v>141</v>
      </c>
      <c r="J13" s="4" t="s">
        <v>31</v>
      </c>
      <c r="K13" s="4" t="s">
        <v>142</v>
      </c>
      <c r="L13" s="4" t="s">
        <v>22</v>
      </c>
      <c r="M13" s="4" t="s">
        <v>23</v>
      </c>
      <c r="N13" s="4" t="s">
        <v>32</v>
      </c>
      <c r="O13" s="4" t="s">
        <v>28</v>
      </c>
      <c r="P13" s="4" t="s">
        <v>43</v>
      </c>
      <c r="Q13" s="4" t="s">
        <v>27</v>
      </c>
      <c r="R13" s="4" t="s">
        <v>28</v>
      </c>
      <c r="S13" s="4" t="s">
        <v>22</v>
      </c>
    </row>
    <row r="14" spans="1:19" ht="15" hidden="1">
      <c r="A14" s="2">
        <v>44235</v>
      </c>
      <c r="B14">
        <v>2</v>
      </c>
      <c r="C14">
        <v>2021</v>
      </c>
      <c r="D14" s="5">
        <v>58141.379999999997</v>
      </c>
      <c r="E14" s="4" t="s">
        <v>143</v>
      </c>
      <c r="F14" s="4" t="s">
        <v>41</v>
      </c>
      <c r="G14" s="4" t="s">
        <v>42</v>
      </c>
      <c r="H14" s="4" t="s">
        <v>144</v>
      </c>
      <c r="I14" s="4" t="s">
        <v>145</v>
      </c>
      <c r="J14" s="4" t="s">
        <v>31</v>
      </c>
      <c r="K14" s="4" t="s">
        <v>146</v>
      </c>
      <c r="L14" s="4" t="s">
        <v>22</v>
      </c>
      <c r="M14" s="4" t="s">
        <v>23</v>
      </c>
      <c r="N14" s="4" t="s">
        <v>32</v>
      </c>
      <c r="O14" s="4" t="s">
        <v>28</v>
      </c>
      <c r="P14" s="4" t="s">
        <v>43</v>
      </c>
      <c r="Q14" s="4" t="s">
        <v>27</v>
      </c>
      <c r="R14" s="4" t="s">
        <v>28</v>
      </c>
      <c r="S14" s="4" t="s">
        <v>22</v>
      </c>
    </row>
    <row r="15" spans="1:19" ht="15" hidden="1">
      <c r="A15" s="2">
        <v>44251</v>
      </c>
      <c r="B15">
        <v>2</v>
      </c>
      <c r="C15">
        <v>2021</v>
      </c>
      <c r="D15" s="5">
        <v>25120.419999999998</v>
      </c>
      <c r="E15" s="4" t="s">
        <v>139</v>
      </c>
      <c r="F15" s="4" t="s">
        <v>41</v>
      </c>
      <c r="G15" s="4" t="s">
        <v>42</v>
      </c>
      <c r="H15" s="4" t="s">
        <v>140</v>
      </c>
      <c r="I15" s="4" t="s">
        <v>141</v>
      </c>
      <c r="J15" s="4" t="s">
        <v>21</v>
      </c>
      <c r="K15" s="4" t="s">
        <v>147</v>
      </c>
      <c r="L15" s="4" t="s">
        <v>22</v>
      </c>
      <c r="M15" s="4" t="s">
        <v>23</v>
      </c>
      <c r="N15" s="4" t="s">
        <v>24</v>
      </c>
      <c r="O15" s="4" t="s">
        <v>25</v>
      </c>
      <c r="P15" s="4" t="s">
        <v>43</v>
      </c>
      <c r="Q15" s="4" t="s">
        <v>40</v>
      </c>
      <c r="R15" s="4" t="s">
        <v>28</v>
      </c>
      <c r="S15" s="4" t="s">
        <v>22</v>
      </c>
    </row>
    <row r="16" spans="1:19" ht="15" hidden="1">
      <c r="A16" s="2">
        <v>44253</v>
      </c>
      <c r="B16">
        <v>2</v>
      </c>
      <c r="C16">
        <v>2021</v>
      </c>
      <c r="D16" s="5">
        <v>10563.860000000001</v>
      </c>
      <c r="E16" s="4" t="s">
        <v>131</v>
      </c>
      <c r="F16" s="4" t="s">
        <v>41</v>
      </c>
      <c r="G16" s="4" t="s">
        <v>42</v>
      </c>
      <c r="H16" s="4" t="s">
        <v>132</v>
      </c>
      <c r="I16" s="4" t="s">
        <v>133</v>
      </c>
      <c r="J16" s="4" t="s">
        <v>31</v>
      </c>
      <c r="K16" s="4" t="s">
        <v>148</v>
      </c>
      <c r="L16" s="4" t="s">
        <v>22</v>
      </c>
      <c r="M16" s="4" t="s">
        <v>23</v>
      </c>
      <c r="N16" s="4" t="s">
        <v>32</v>
      </c>
      <c r="O16" s="4" t="s">
        <v>28</v>
      </c>
      <c r="P16" s="4" t="s">
        <v>43</v>
      </c>
      <c r="Q16" s="4" t="s">
        <v>27</v>
      </c>
      <c r="R16" s="4" t="s">
        <v>28</v>
      </c>
      <c r="S16" s="4" t="s">
        <v>22</v>
      </c>
    </row>
    <row r="17" spans="1:19" ht="15" hidden="1">
      <c r="A17" s="2">
        <v>44242</v>
      </c>
      <c r="B17">
        <v>2</v>
      </c>
      <c r="C17">
        <v>2021</v>
      </c>
      <c r="D17" s="5">
        <v>70269.300000000003</v>
      </c>
      <c r="E17" s="4" t="s">
        <v>135</v>
      </c>
      <c r="F17" s="4" t="s">
        <v>41</v>
      </c>
      <c r="G17" s="4" t="s">
        <v>42</v>
      </c>
      <c r="H17" s="4" t="s">
        <v>136</v>
      </c>
      <c r="I17" s="4" t="s">
        <v>137</v>
      </c>
      <c r="J17" s="4" t="s">
        <v>31</v>
      </c>
      <c r="K17" s="4" t="s">
        <v>149</v>
      </c>
      <c r="L17" s="4" t="s">
        <v>22</v>
      </c>
      <c r="M17" s="4" t="s">
        <v>23</v>
      </c>
      <c r="N17" s="4" t="s">
        <v>32</v>
      </c>
      <c r="O17" s="4" t="s">
        <v>28</v>
      </c>
      <c r="P17" s="4" t="s">
        <v>43</v>
      </c>
      <c r="Q17" s="4" t="s">
        <v>27</v>
      </c>
      <c r="R17" s="4" t="s">
        <v>28</v>
      </c>
      <c r="S17" s="4" t="s">
        <v>22</v>
      </c>
    </row>
    <row r="18" spans="1:19" ht="15" hidden="1">
      <c r="A18" s="2">
        <v>44235</v>
      </c>
      <c r="B18">
        <v>2</v>
      </c>
      <c r="C18">
        <v>2021</v>
      </c>
      <c r="D18" s="5">
        <v>19949.369999999999</v>
      </c>
      <c r="E18" s="4" t="s">
        <v>143</v>
      </c>
      <c r="F18" s="4" t="s">
        <v>41</v>
      </c>
      <c r="G18" s="4" t="s">
        <v>42</v>
      </c>
      <c r="H18" s="4" t="s">
        <v>144</v>
      </c>
      <c r="I18" s="4" t="s">
        <v>145</v>
      </c>
      <c r="J18" s="4" t="s">
        <v>21</v>
      </c>
      <c r="K18" s="4" t="s">
        <v>150</v>
      </c>
      <c r="L18" s="4" t="s">
        <v>22</v>
      </c>
      <c r="M18" s="4" t="s">
        <v>23</v>
      </c>
      <c r="N18" s="4" t="s">
        <v>24</v>
      </c>
      <c r="O18" s="4" t="s">
        <v>25</v>
      </c>
      <c r="P18" s="4" t="s">
        <v>43</v>
      </c>
      <c r="Q18" s="4" t="s">
        <v>40</v>
      </c>
      <c r="R18" s="4" t="s">
        <v>28</v>
      </c>
      <c r="S18" s="4" t="s">
        <v>22</v>
      </c>
    </row>
    <row r="19" spans="1:19" ht="15" hidden="1">
      <c r="A19" s="2">
        <v>44224</v>
      </c>
      <c r="B19">
        <v>1</v>
      </c>
      <c r="C19">
        <v>2021</v>
      </c>
      <c r="D19" s="5">
        <v>129770.22</v>
      </c>
      <c r="E19" s="4" t="s">
        <v>151</v>
      </c>
      <c r="F19" s="4" t="s">
        <v>44</v>
      </c>
      <c r="G19" s="4" t="s">
        <v>45</v>
      </c>
      <c r="H19" s="4" t="s">
        <v>152</v>
      </c>
      <c r="I19" s="4" t="s">
        <v>153</v>
      </c>
      <c r="J19" s="4" t="s">
        <v>21</v>
      </c>
      <c r="K19" s="4" t="s">
        <v>125</v>
      </c>
      <c r="L19" s="4" t="s">
        <v>22</v>
      </c>
      <c r="M19" s="4" t="s">
        <v>23</v>
      </c>
      <c r="N19" s="4" t="s">
        <v>24</v>
      </c>
      <c r="O19" s="4" t="s">
        <v>25</v>
      </c>
      <c r="P19" s="4" t="s">
        <v>26</v>
      </c>
      <c r="Q19" s="4" t="s">
        <v>40</v>
      </c>
      <c r="R19" s="4" t="s">
        <v>28</v>
      </c>
      <c r="S19" s="4" t="s">
        <v>22</v>
      </c>
    </row>
    <row r="20" spans="1:19" ht="15" hidden="1">
      <c r="A20" s="2">
        <v>44224</v>
      </c>
      <c r="B20">
        <v>1</v>
      </c>
      <c r="C20">
        <v>2021</v>
      </c>
      <c r="D20" s="5">
        <v>357102.88</v>
      </c>
      <c r="E20" s="4" t="s">
        <v>151</v>
      </c>
      <c r="F20" s="4" t="s">
        <v>44</v>
      </c>
      <c r="G20" s="4" t="s">
        <v>45</v>
      </c>
      <c r="H20" s="4" t="s">
        <v>152</v>
      </c>
      <c r="I20" s="4" t="s">
        <v>153</v>
      </c>
      <c r="J20" s="4" t="s">
        <v>31</v>
      </c>
      <c r="K20" s="4" t="s">
        <v>116</v>
      </c>
      <c r="L20" s="4" t="s">
        <v>22</v>
      </c>
      <c r="M20" s="4" t="s">
        <v>23</v>
      </c>
      <c r="N20" s="4" t="s">
        <v>32</v>
      </c>
      <c r="O20" s="4" t="s">
        <v>28</v>
      </c>
      <c r="P20" s="4" t="s">
        <v>26</v>
      </c>
      <c r="Q20" s="4" t="s">
        <v>27</v>
      </c>
      <c r="R20" s="4" t="s">
        <v>28</v>
      </c>
      <c r="S20" s="4" t="s">
        <v>22</v>
      </c>
    </row>
    <row r="21" spans="1:19" ht="15" hidden="1">
      <c r="A21" s="2">
        <v>44211</v>
      </c>
      <c r="B21">
        <v>1</v>
      </c>
      <c r="C21">
        <v>2021</v>
      </c>
      <c r="D21" s="5">
        <v>755068.98999999999</v>
      </c>
      <c r="E21" s="4" t="s">
        <v>154</v>
      </c>
      <c r="F21" s="4" t="s">
        <v>44</v>
      </c>
      <c r="G21" s="4" t="s">
        <v>45</v>
      </c>
      <c r="H21" s="4" t="s">
        <v>155</v>
      </c>
      <c r="I21" s="4" t="s">
        <v>156</v>
      </c>
      <c r="J21" s="4" t="s">
        <v>31</v>
      </c>
      <c r="K21" s="4" t="s">
        <v>130</v>
      </c>
      <c r="L21" s="4" t="s">
        <v>22</v>
      </c>
      <c r="M21" s="4" t="s">
        <v>23</v>
      </c>
      <c r="N21" s="4" t="s">
        <v>32</v>
      </c>
      <c r="O21" s="4" t="s">
        <v>28</v>
      </c>
      <c r="P21" s="4" t="s">
        <v>26</v>
      </c>
      <c r="Q21" s="4" t="s">
        <v>27</v>
      </c>
      <c r="R21" s="4" t="s">
        <v>28</v>
      </c>
      <c r="S21" s="4" t="s">
        <v>22</v>
      </c>
    </row>
    <row r="22" spans="1:19" ht="15" hidden="1">
      <c r="A22" s="2">
        <v>44210</v>
      </c>
      <c r="B22">
        <v>1</v>
      </c>
      <c r="C22">
        <v>2021</v>
      </c>
      <c r="D22" s="5">
        <v>607171.59999999998</v>
      </c>
      <c r="E22" s="4" t="s">
        <v>157</v>
      </c>
      <c r="F22" s="4" t="s">
        <v>44</v>
      </c>
      <c r="G22" s="4" t="s">
        <v>45</v>
      </c>
      <c r="H22" s="4" t="s">
        <v>158</v>
      </c>
      <c r="I22" s="4" t="s">
        <v>159</v>
      </c>
      <c r="J22" s="4" t="s">
        <v>31</v>
      </c>
      <c r="K22" s="4" t="s">
        <v>124</v>
      </c>
      <c r="L22" s="4" t="s">
        <v>22</v>
      </c>
      <c r="M22" s="4" t="s">
        <v>23</v>
      </c>
      <c r="N22" s="4" t="s">
        <v>32</v>
      </c>
      <c r="O22" s="4" t="s">
        <v>28</v>
      </c>
      <c r="P22" s="4" t="s">
        <v>26</v>
      </c>
      <c r="Q22" s="4" t="s">
        <v>27</v>
      </c>
      <c r="R22" s="4" t="s">
        <v>28</v>
      </c>
      <c r="S22" s="4" t="s">
        <v>22</v>
      </c>
    </row>
    <row r="23" spans="1:19" ht="15" hidden="1">
      <c r="A23" s="2">
        <v>44224</v>
      </c>
      <c r="B23">
        <v>1</v>
      </c>
      <c r="C23">
        <v>2021</v>
      </c>
      <c r="D23" s="5">
        <v>649890.80000000005</v>
      </c>
      <c r="E23" s="4" t="s">
        <v>160</v>
      </c>
      <c r="F23" s="4" t="s">
        <v>44</v>
      </c>
      <c r="G23" s="4" t="s">
        <v>45</v>
      </c>
      <c r="H23" s="4" t="s">
        <v>161</v>
      </c>
      <c r="I23" s="4" t="s">
        <v>162</v>
      </c>
      <c r="J23" s="4" t="s">
        <v>31</v>
      </c>
      <c r="K23" s="4" t="s">
        <v>116</v>
      </c>
      <c r="L23" s="4" t="s">
        <v>22</v>
      </c>
      <c r="M23" s="4" t="s">
        <v>23</v>
      </c>
      <c r="N23" s="4" t="s">
        <v>32</v>
      </c>
      <c r="O23" s="4" t="s">
        <v>28</v>
      </c>
      <c r="P23" s="4" t="s">
        <v>26</v>
      </c>
      <c r="Q23" s="4" t="s">
        <v>27</v>
      </c>
      <c r="R23" s="4" t="s">
        <v>28</v>
      </c>
      <c r="S23" s="4" t="s">
        <v>22</v>
      </c>
    </row>
    <row r="24" spans="1:19" ht="15" hidden="1">
      <c r="A24" s="2">
        <v>44224</v>
      </c>
      <c r="B24">
        <v>1</v>
      </c>
      <c r="C24">
        <v>2021</v>
      </c>
      <c r="D24" s="5">
        <v>101335.92999999999</v>
      </c>
      <c r="E24" s="4" t="s">
        <v>160</v>
      </c>
      <c r="F24" s="4" t="s">
        <v>44</v>
      </c>
      <c r="G24" s="4" t="s">
        <v>45</v>
      </c>
      <c r="H24" s="4" t="s">
        <v>161</v>
      </c>
      <c r="I24" s="4" t="s">
        <v>162</v>
      </c>
      <c r="J24" s="4" t="s">
        <v>21</v>
      </c>
      <c r="K24" s="4" t="s">
        <v>125</v>
      </c>
      <c r="L24" s="4" t="s">
        <v>22</v>
      </c>
      <c r="M24" s="4" t="s">
        <v>23</v>
      </c>
      <c r="N24" s="4" t="s">
        <v>24</v>
      </c>
      <c r="O24" s="4" t="s">
        <v>25</v>
      </c>
      <c r="P24" s="4" t="s">
        <v>26</v>
      </c>
      <c r="Q24" s="4" t="s">
        <v>40</v>
      </c>
      <c r="R24" s="4" t="s">
        <v>28</v>
      </c>
      <c r="S24" s="4" t="s">
        <v>22</v>
      </c>
    </row>
    <row r="25" spans="1:19" ht="15" hidden="1">
      <c r="A25" s="2">
        <v>44210</v>
      </c>
      <c r="B25">
        <v>1</v>
      </c>
      <c r="C25">
        <v>2021</v>
      </c>
      <c r="D25" s="5">
        <v>218008.78</v>
      </c>
      <c r="E25" s="4" t="s">
        <v>157</v>
      </c>
      <c r="F25" s="4" t="s">
        <v>44</v>
      </c>
      <c r="G25" s="4" t="s">
        <v>45</v>
      </c>
      <c r="H25" s="4" t="s">
        <v>158</v>
      </c>
      <c r="I25" s="4" t="s">
        <v>159</v>
      </c>
      <c r="J25" s="4" t="s">
        <v>21</v>
      </c>
      <c r="K25" s="4" t="s">
        <v>126</v>
      </c>
      <c r="L25" s="4" t="s">
        <v>22</v>
      </c>
      <c r="M25" s="4" t="s">
        <v>23</v>
      </c>
      <c r="N25" s="4" t="s">
        <v>24</v>
      </c>
      <c r="O25" s="4" t="s">
        <v>25</v>
      </c>
      <c r="P25" s="4" t="s">
        <v>26</v>
      </c>
      <c r="Q25" s="4" t="s">
        <v>40</v>
      </c>
      <c r="R25" s="4" t="s">
        <v>28</v>
      </c>
      <c r="S25" s="4" t="s">
        <v>22</v>
      </c>
    </row>
    <row r="26" spans="1:19" ht="15" hidden="1">
      <c r="A26" s="2">
        <v>44211</v>
      </c>
      <c r="B26">
        <v>1</v>
      </c>
      <c r="C26">
        <v>2021</v>
      </c>
      <c r="D26" s="5">
        <v>208786.57999999999</v>
      </c>
      <c r="E26" s="4" t="s">
        <v>154</v>
      </c>
      <c r="F26" s="4" t="s">
        <v>44</v>
      </c>
      <c r="G26" s="4" t="s">
        <v>45</v>
      </c>
      <c r="H26" s="4" t="s">
        <v>155</v>
      </c>
      <c r="I26" s="4" t="s">
        <v>156</v>
      </c>
      <c r="J26" s="4" t="s">
        <v>21</v>
      </c>
      <c r="K26" s="4" t="s">
        <v>120</v>
      </c>
      <c r="L26" s="4" t="s">
        <v>22</v>
      </c>
      <c r="M26" s="4" t="s">
        <v>23</v>
      </c>
      <c r="N26" s="4" t="s">
        <v>24</v>
      </c>
      <c r="O26" s="4" t="s">
        <v>25</v>
      </c>
      <c r="P26" s="4" t="s">
        <v>26</v>
      </c>
      <c r="Q26" s="4" t="s">
        <v>40</v>
      </c>
      <c r="R26" s="4" t="s">
        <v>28</v>
      </c>
      <c r="S26" s="4" t="s">
        <v>22</v>
      </c>
    </row>
    <row r="27" spans="1:19" ht="15" hidden="1">
      <c r="A27" s="2">
        <v>44235</v>
      </c>
      <c r="B27">
        <v>2</v>
      </c>
      <c r="C27">
        <v>2021</v>
      </c>
      <c r="D27" s="5">
        <v>532229.39000000001</v>
      </c>
      <c r="E27" s="4" t="s">
        <v>163</v>
      </c>
      <c r="F27" s="4" t="s">
        <v>44</v>
      </c>
      <c r="G27" s="4" t="s">
        <v>45</v>
      </c>
      <c r="H27" s="4" t="s">
        <v>164</v>
      </c>
      <c r="I27" s="4" t="s">
        <v>165</v>
      </c>
      <c r="J27" s="4" t="s">
        <v>31</v>
      </c>
      <c r="K27" s="4" t="s">
        <v>146</v>
      </c>
      <c r="L27" s="4" t="s">
        <v>22</v>
      </c>
      <c r="M27" s="4" t="s">
        <v>23</v>
      </c>
      <c r="N27" s="4" t="s">
        <v>32</v>
      </c>
      <c r="O27" s="4" t="s">
        <v>28</v>
      </c>
      <c r="P27" s="4" t="s">
        <v>26</v>
      </c>
      <c r="Q27" s="4" t="s">
        <v>27</v>
      </c>
      <c r="R27" s="4" t="s">
        <v>28</v>
      </c>
      <c r="S27" s="4" t="s">
        <v>22</v>
      </c>
    </row>
    <row r="28" spans="1:19" ht="15" hidden="1">
      <c r="A28" s="2">
        <v>44251</v>
      </c>
      <c r="B28">
        <v>2</v>
      </c>
      <c r="C28">
        <v>2021</v>
      </c>
      <c r="D28" s="5">
        <v>284463.58000000002</v>
      </c>
      <c r="E28" s="4" t="s">
        <v>166</v>
      </c>
      <c r="F28" s="4" t="s">
        <v>44</v>
      </c>
      <c r="G28" s="4" t="s">
        <v>45</v>
      </c>
      <c r="H28" s="4" t="s">
        <v>167</v>
      </c>
      <c r="I28" s="4" t="s">
        <v>168</v>
      </c>
      <c r="J28" s="4" t="s">
        <v>21</v>
      </c>
      <c r="K28" s="4" t="s">
        <v>147</v>
      </c>
      <c r="L28" s="4" t="s">
        <v>22</v>
      </c>
      <c r="M28" s="4" t="s">
        <v>23</v>
      </c>
      <c r="N28" s="4" t="s">
        <v>24</v>
      </c>
      <c r="O28" s="4" t="s">
        <v>25</v>
      </c>
      <c r="P28" s="4" t="s">
        <v>26</v>
      </c>
      <c r="Q28" s="4" t="s">
        <v>40</v>
      </c>
      <c r="R28" s="4" t="s">
        <v>28</v>
      </c>
      <c r="S28" s="4" t="s">
        <v>22</v>
      </c>
    </row>
    <row r="29" spans="1:19" ht="15" hidden="1">
      <c r="A29" s="2">
        <v>44242</v>
      </c>
      <c r="B29">
        <v>2</v>
      </c>
      <c r="C29">
        <v>2021</v>
      </c>
      <c r="D29" s="5">
        <v>350306.75</v>
      </c>
      <c r="E29" s="4" t="s">
        <v>169</v>
      </c>
      <c r="F29" s="4" t="s">
        <v>44</v>
      </c>
      <c r="G29" s="4" t="s">
        <v>45</v>
      </c>
      <c r="H29" s="4" t="s">
        <v>170</v>
      </c>
      <c r="I29" s="4" t="s">
        <v>171</v>
      </c>
      <c r="J29" s="4" t="s">
        <v>31</v>
      </c>
      <c r="K29" s="4" t="s">
        <v>149</v>
      </c>
      <c r="L29" s="4" t="s">
        <v>22</v>
      </c>
      <c r="M29" s="4" t="s">
        <v>23</v>
      </c>
      <c r="N29" s="4" t="s">
        <v>32</v>
      </c>
      <c r="O29" s="4" t="s">
        <v>28</v>
      </c>
      <c r="P29" s="4" t="s">
        <v>26</v>
      </c>
      <c r="Q29" s="4" t="s">
        <v>27</v>
      </c>
      <c r="R29" s="4" t="s">
        <v>28</v>
      </c>
      <c r="S29" s="4" t="s">
        <v>22</v>
      </c>
    </row>
    <row r="30" spans="1:19" ht="15" hidden="1">
      <c r="A30" s="2">
        <v>44253</v>
      </c>
      <c r="B30">
        <v>2</v>
      </c>
      <c r="C30">
        <v>2021</v>
      </c>
      <c r="D30" s="5">
        <v>505585.34999999998</v>
      </c>
      <c r="E30" s="4" t="s">
        <v>172</v>
      </c>
      <c r="F30" s="4" t="s">
        <v>44</v>
      </c>
      <c r="G30" s="4" t="s">
        <v>45</v>
      </c>
      <c r="H30" s="4" t="s">
        <v>173</v>
      </c>
      <c r="I30" s="4" t="s">
        <v>174</v>
      </c>
      <c r="J30" s="4" t="s">
        <v>31</v>
      </c>
      <c r="K30" s="4" t="s">
        <v>148</v>
      </c>
      <c r="L30" s="4" t="s">
        <v>22</v>
      </c>
      <c r="M30" s="4" t="s">
        <v>23</v>
      </c>
      <c r="N30" s="4" t="s">
        <v>32</v>
      </c>
      <c r="O30" s="4" t="s">
        <v>28</v>
      </c>
      <c r="P30" s="4" t="s">
        <v>26</v>
      </c>
      <c r="Q30" s="4" t="s">
        <v>27</v>
      </c>
      <c r="R30" s="4" t="s">
        <v>28</v>
      </c>
      <c r="S30" s="4" t="s">
        <v>22</v>
      </c>
    </row>
    <row r="31" spans="1:19" ht="15" hidden="1">
      <c r="A31" s="2">
        <v>44251</v>
      </c>
      <c r="B31">
        <v>2</v>
      </c>
      <c r="C31">
        <v>2021</v>
      </c>
      <c r="D31" s="5">
        <v>358087.04999999999</v>
      </c>
      <c r="E31" s="4" t="s">
        <v>166</v>
      </c>
      <c r="F31" s="4" t="s">
        <v>44</v>
      </c>
      <c r="G31" s="4" t="s">
        <v>45</v>
      </c>
      <c r="H31" s="4" t="s">
        <v>167</v>
      </c>
      <c r="I31" s="4" t="s">
        <v>168</v>
      </c>
      <c r="J31" s="4" t="s">
        <v>31</v>
      </c>
      <c r="K31" s="4" t="s">
        <v>142</v>
      </c>
      <c r="L31" s="4" t="s">
        <v>22</v>
      </c>
      <c r="M31" s="4" t="s">
        <v>23</v>
      </c>
      <c r="N31" s="4" t="s">
        <v>32</v>
      </c>
      <c r="O31" s="4" t="s">
        <v>28</v>
      </c>
      <c r="P31" s="4" t="s">
        <v>26</v>
      </c>
      <c r="Q31" s="4" t="s">
        <v>27</v>
      </c>
      <c r="R31" s="4" t="s">
        <v>28</v>
      </c>
      <c r="S31" s="4" t="s">
        <v>22</v>
      </c>
    </row>
    <row r="32" spans="1:19" ht="15" hidden="1">
      <c r="A32" s="2">
        <v>44235</v>
      </c>
      <c r="B32">
        <v>2</v>
      </c>
      <c r="C32">
        <v>2021</v>
      </c>
      <c r="D32" s="5">
        <v>105751</v>
      </c>
      <c r="E32" s="4" t="s">
        <v>163</v>
      </c>
      <c r="F32" s="4" t="s">
        <v>44</v>
      </c>
      <c r="G32" s="4" t="s">
        <v>45</v>
      </c>
      <c r="H32" s="4" t="s">
        <v>164</v>
      </c>
      <c r="I32" s="4" t="s">
        <v>165</v>
      </c>
      <c r="J32" s="4" t="s">
        <v>21</v>
      </c>
      <c r="K32" s="4" t="s">
        <v>150</v>
      </c>
      <c r="L32" s="4" t="s">
        <v>22</v>
      </c>
      <c r="M32" s="4" t="s">
        <v>23</v>
      </c>
      <c r="N32" s="4" t="s">
        <v>24</v>
      </c>
      <c r="O32" s="4" t="s">
        <v>25</v>
      </c>
      <c r="P32" s="4" t="s">
        <v>26</v>
      </c>
      <c r="Q32" s="4" t="s">
        <v>40</v>
      </c>
      <c r="R32" s="4" t="s">
        <v>28</v>
      </c>
      <c r="S32" s="4" t="s">
        <v>22</v>
      </c>
    </row>
    <row r="33" spans="1:19" ht="15" hidden="1">
      <c r="A33" s="2">
        <v>44253</v>
      </c>
      <c r="B33">
        <v>2</v>
      </c>
      <c r="C33">
        <v>2021</v>
      </c>
      <c r="D33" s="5">
        <v>158262.37</v>
      </c>
      <c r="E33" s="4" t="s">
        <v>172</v>
      </c>
      <c r="F33" s="4" t="s">
        <v>44</v>
      </c>
      <c r="G33" s="4" t="s">
        <v>45</v>
      </c>
      <c r="H33" s="4" t="s">
        <v>173</v>
      </c>
      <c r="I33" s="4" t="s">
        <v>174</v>
      </c>
      <c r="J33" s="4" t="s">
        <v>21</v>
      </c>
      <c r="K33" s="4" t="s">
        <v>134</v>
      </c>
      <c r="L33" s="4" t="s">
        <v>22</v>
      </c>
      <c r="M33" s="4" t="s">
        <v>23</v>
      </c>
      <c r="N33" s="4" t="s">
        <v>24</v>
      </c>
      <c r="O33" s="4" t="s">
        <v>25</v>
      </c>
      <c r="P33" s="4" t="s">
        <v>26</v>
      </c>
      <c r="Q33" s="4" t="s">
        <v>40</v>
      </c>
      <c r="R33" s="4" t="s">
        <v>28</v>
      </c>
      <c r="S33" s="4" t="s">
        <v>22</v>
      </c>
    </row>
    <row r="34" spans="1:19" ht="15" hidden="1">
      <c r="A34" s="2">
        <v>44242</v>
      </c>
      <c r="B34">
        <v>2</v>
      </c>
      <c r="C34">
        <v>2021</v>
      </c>
      <c r="D34" s="5">
        <v>109881.14</v>
      </c>
      <c r="E34" s="4" t="s">
        <v>169</v>
      </c>
      <c r="F34" s="4" t="s">
        <v>44</v>
      </c>
      <c r="G34" s="4" t="s">
        <v>45</v>
      </c>
      <c r="H34" s="4" t="s">
        <v>170</v>
      </c>
      <c r="I34" s="4" t="s">
        <v>171</v>
      </c>
      <c r="J34" s="4" t="s">
        <v>21</v>
      </c>
      <c r="K34" s="4" t="s">
        <v>138</v>
      </c>
      <c r="L34" s="4" t="s">
        <v>22</v>
      </c>
      <c r="M34" s="4" t="s">
        <v>23</v>
      </c>
      <c r="N34" s="4" t="s">
        <v>24</v>
      </c>
      <c r="O34" s="4" t="s">
        <v>25</v>
      </c>
      <c r="P34" s="4" t="s">
        <v>26</v>
      </c>
      <c r="Q34" s="4" t="s">
        <v>40</v>
      </c>
      <c r="R34" s="4" t="s">
        <v>28</v>
      </c>
      <c r="S34" s="4" t="s">
        <v>22</v>
      </c>
    </row>
    <row r="35" spans="1:19" ht="15" hidden="1">
      <c r="A35" s="2">
        <v>44204</v>
      </c>
      <c r="B35">
        <v>1</v>
      </c>
      <c r="C35">
        <v>2021</v>
      </c>
      <c r="D35" s="5">
        <v>1.3999999999999999</v>
      </c>
      <c r="E35" s="4" t="s">
        <v>175</v>
      </c>
      <c r="F35" s="4" t="s">
        <v>38</v>
      </c>
      <c r="G35" s="4" t="s">
        <v>39</v>
      </c>
      <c r="H35" s="4" t="s">
        <v>176</v>
      </c>
      <c r="I35" s="4" t="s">
        <v>177</v>
      </c>
      <c r="J35" s="4" t="s">
        <v>21</v>
      </c>
      <c r="K35" s="4" t="s">
        <v>178</v>
      </c>
      <c r="L35" s="4" t="s">
        <v>22</v>
      </c>
      <c r="M35" s="4" t="s">
        <v>23</v>
      </c>
      <c r="N35" s="4" t="s">
        <v>24</v>
      </c>
      <c r="O35" s="4" t="s">
        <v>25</v>
      </c>
      <c r="P35" s="4" t="s">
        <v>26</v>
      </c>
      <c r="Q35" s="4" t="s">
        <v>40</v>
      </c>
      <c r="R35" s="4" t="s">
        <v>28</v>
      </c>
      <c r="S35" s="4" t="s">
        <v>22</v>
      </c>
    </row>
    <row r="36" spans="1:19" ht="15" hidden="1">
      <c r="A36" s="2">
        <v>44211</v>
      </c>
      <c r="B36">
        <v>1</v>
      </c>
      <c r="C36">
        <v>2021</v>
      </c>
      <c r="D36" s="5">
        <v>38439.419999999998</v>
      </c>
      <c r="E36" s="4" t="s">
        <v>179</v>
      </c>
      <c r="F36" s="4" t="s">
        <v>38</v>
      </c>
      <c r="G36" s="4" t="s">
        <v>39</v>
      </c>
      <c r="H36" s="4" t="s">
        <v>180</v>
      </c>
      <c r="I36" s="4" t="s">
        <v>181</v>
      </c>
      <c r="J36" s="4" t="s">
        <v>31</v>
      </c>
      <c r="K36" s="4" t="s">
        <v>130</v>
      </c>
      <c r="L36" s="4" t="s">
        <v>22</v>
      </c>
      <c r="M36" s="4" t="s">
        <v>23</v>
      </c>
      <c r="N36" s="4" t="s">
        <v>32</v>
      </c>
      <c r="O36" s="4" t="s">
        <v>28</v>
      </c>
      <c r="P36" s="4" t="s">
        <v>26</v>
      </c>
      <c r="Q36" s="4" t="s">
        <v>27</v>
      </c>
      <c r="R36" s="4" t="s">
        <v>28</v>
      </c>
      <c r="S36" s="4" t="s">
        <v>22</v>
      </c>
    </row>
    <row r="37" spans="1:19" ht="15" hidden="1">
      <c r="A37" s="2">
        <v>44225</v>
      </c>
      <c r="B37">
        <v>1</v>
      </c>
      <c r="C37">
        <v>2021</v>
      </c>
      <c r="D37" s="5">
        <v>26042.130000000001</v>
      </c>
      <c r="E37" s="4" t="s">
        <v>182</v>
      </c>
      <c r="F37" s="4" t="s">
        <v>38</v>
      </c>
      <c r="G37" s="4" t="s">
        <v>39</v>
      </c>
      <c r="H37" s="4" t="s">
        <v>183</v>
      </c>
      <c r="I37" s="4" t="s">
        <v>184</v>
      </c>
      <c r="J37" s="4" t="s">
        <v>21</v>
      </c>
      <c r="K37" s="4" t="s">
        <v>185</v>
      </c>
      <c r="L37" s="4" t="s">
        <v>22</v>
      </c>
      <c r="M37" s="4" t="s">
        <v>23</v>
      </c>
      <c r="N37" s="4" t="s">
        <v>24</v>
      </c>
      <c r="O37" s="4" t="s">
        <v>25</v>
      </c>
      <c r="P37" s="4" t="s">
        <v>26</v>
      </c>
      <c r="Q37" s="4" t="s">
        <v>40</v>
      </c>
      <c r="R37" s="4" t="s">
        <v>28</v>
      </c>
      <c r="S37" s="4" t="s">
        <v>22</v>
      </c>
    </row>
    <row r="38" spans="1:19" ht="15" hidden="1">
      <c r="A38" s="2">
        <v>44224</v>
      </c>
      <c r="B38">
        <v>1</v>
      </c>
      <c r="C38">
        <v>2021</v>
      </c>
      <c r="D38" s="5">
        <v>164264.42999999999</v>
      </c>
      <c r="E38" s="4" t="s">
        <v>186</v>
      </c>
      <c r="F38" s="4" t="s">
        <v>38</v>
      </c>
      <c r="G38" s="4" t="s">
        <v>39</v>
      </c>
      <c r="H38" s="4" t="s">
        <v>187</v>
      </c>
      <c r="I38" s="4" t="s">
        <v>188</v>
      </c>
      <c r="J38" s="4" t="s">
        <v>31</v>
      </c>
      <c r="K38" s="4" t="s">
        <v>116</v>
      </c>
      <c r="L38" s="4" t="s">
        <v>22</v>
      </c>
      <c r="M38" s="4" t="s">
        <v>23</v>
      </c>
      <c r="N38" s="4" t="s">
        <v>32</v>
      </c>
      <c r="O38" s="4" t="s">
        <v>28</v>
      </c>
      <c r="P38" s="4" t="s">
        <v>26</v>
      </c>
      <c r="Q38" s="4" t="s">
        <v>27</v>
      </c>
      <c r="R38" s="4" t="s">
        <v>28</v>
      </c>
      <c r="S38" s="4" t="s">
        <v>22</v>
      </c>
    </row>
    <row r="39" spans="1:19" ht="15" hidden="1">
      <c r="A39" s="2">
        <v>44211</v>
      </c>
      <c r="B39">
        <v>1</v>
      </c>
      <c r="C39">
        <v>2021</v>
      </c>
      <c r="D39" s="5">
        <v>9994.2000000000007</v>
      </c>
      <c r="E39" s="4" t="s">
        <v>179</v>
      </c>
      <c r="F39" s="4" t="s">
        <v>38</v>
      </c>
      <c r="G39" s="4" t="s">
        <v>39</v>
      </c>
      <c r="H39" s="4" t="s">
        <v>180</v>
      </c>
      <c r="I39" s="4" t="s">
        <v>181</v>
      </c>
      <c r="J39" s="4" t="s">
        <v>21</v>
      </c>
      <c r="K39" s="4" t="s">
        <v>120</v>
      </c>
      <c r="L39" s="4" t="s">
        <v>22</v>
      </c>
      <c r="M39" s="4" t="s">
        <v>23</v>
      </c>
      <c r="N39" s="4" t="s">
        <v>24</v>
      </c>
      <c r="O39" s="4" t="s">
        <v>25</v>
      </c>
      <c r="P39" s="4" t="s">
        <v>26</v>
      </c>
      <c r="Q39" s="4" t="s">
        <v>40</v>
      </c>
      <c r="R39" s="4" t="s">
        <v>28</v>
      </c>
      <c r="S39" s="4" t="s">
        <v>22</v>
      </c>
    </row>
    <row r="40" spans="1:19" ht="15" hidden="1">
      <c r="A40" s="2">
        <v>44224</v>
      </c>
      <c r="B40">
        <v>1</v>
      </c>
      <c r="C40">
        <v>2021</v>
      </c>
      <c r="D40" s="5">
        <v>35742.889999999999</v>
      </c>
      <c r="E40" s="4" t="s">
        <v>186</v>
      </c>
      <c r="F40" s="4" t="s">
        <v>38</v>
      </c>
      <c r="G40" s="4" t="s">
        <v>39</v>
      </c>
      <c r="H40" s="4" t="s">
        <v>187</v>
      </c>
      <c r="I40" s="4" t="s">
        <v>188</v>
      </c>
      <c r="J40" s="4" t="s">
        <v>21</v>
      </c>
      <c r="K40" s="4" t="s">
        <v>125</v>
      </c>
      <c r="L40" s="4" t="s">
        <v>22</v>
      </c>
      <c r="M40" s="4" t="s">
        <v>23</v>
      </c>
      <c r="N40" s="4" t="s">
        <v>24</v>
      </c>
      <c r="O40" s="4" t="s">
        <v>25</v>
      </c>
      <c r="P40" s="4" t="s">
        <v>26</v>
      </c>
      <c r="Q40" s="4" t="s">
        <v>40</v>
      </c>
      <c r="R40" s="4" t="s">
        <v>28</v>
      </c>
      <c r="S40" s="4" t="s">
        <v>22</v>
      </c>
    </row>
    <row r="41" spans="1:19" ht="15" hidden="1">
      <c r="A41" s="2">
        <v>44210</v>
      </c>
      <c r="B41">
        <v>1</v>
      </c>
      <c r="C41">
        <v>2021</v>
      </c>
      <c r="D41" s="5">
        <v>104549.06</v>
      </c>
      <c r="E41" s="4" t="s">
        <v>189</v>
      </c>
      <c r="F41" s="4" t="s">
        <v>38</v>
      </c>
      <c r="G41" s="4" t="s">
        <v>39</v>
      </c>
      <c r="H41" s="4" t="s">
        <v>190</v>
      </c>
      <c r="I41" s="4" t="s">
        <v>191</v>
      </c>
      <c r="J41" s="4" t="s">
        <v>21</v>
      </c>
      <c r="K41" s="4" t="s">
        <v>126</v>
      </c>
      <c r="L41" s="4" t="s">
        <v>22</v>
      </c>
      <c r="M41" s="4" t="s">
        <v>23</v>
      </c>
      <c r="N41" s="4" t="s">
        <v>24</v>
      </c>
      <c r="O41" s="4" t="s">
        <v>25</v>
      </c>
      <c r="P41" s="4" t="s">
        <v>26</v>
      </c>
      <c r="Q41" s="4" t="s">
        <v>40</v>
      </c>
      <c r="R41" s="4" t="s">
        <v>28</v>
      </c>
      <c r="S41" s="4" t="s">
        <v>22</v>
      </c>
    </row>
    <row r="42" spans="1:19" ht="15" hidden="1">
      <c r="A42" s="2">
        <v>44215</v>
      </c>
      <c r="B42">
        <v>1</v>
      </c>
      <c r="C42">
        <v>2021</v>
      </c>
      <c r="D42" s="5">
        <v>3200.8299999999999</v>
      </c>
      <c r="E42" s="4" t="s">
        <v>192</v>
      </c>
      <c r="F42" s="4" t="s">
        <v>38</v>
      </c>
      <c r="G42" s="4" t="s">
        <v>39</v>
      </c>
      <c r="H42" s="4" t="s">
        <v>193</v>
      </c>
      <c r="I42" s="4" t="s">
        <v>194</v>
      </c>
      <c r="J42" s="4" t="s">
        <v>31</v>
      </c>
      <c r="K42" s="4" t="s">
        <v>195</v>
      </c>
      <c r="L42" s="4" t="s">
        <v>22</v>
      </c>
      <c r="M42" s="4" t="s">
        <v>23</v>
      </c>
      <c r="N42" s="4" t="s">
        <v>32</v>
      </c>
      <c r="O42" s="4" t="s">
        <v>28</v>
      </c>
      <c r="P42" s="4" t="s">
        <v>26</v>
      </c>
      <c r="Q42" s="4" t="s">
        <v>27</v>
      </c>
      <c r="R42" s="4" t="s">
        <v>28</v>
      </c>
      <c r="S42" s="4" t="s">
        <v>22</v>
      </c>
    </row>
    <row r="43" spans="1:19" ht="15" hidden="1">
      <c r="A43" s="2">
        <v>44225</v>
      </c>
      <c r="B43">
        <v>1</v>
      </c>
      <c r="C43">
        <v>2021</v>
      </c>
      <c r="D43" s="5">
        <v>1059.6400000000001</v>
      </c>
      <c r="E43" s="4" t="s">
        <v>196</v>
      </c>
      <c r="F43" s="4" t="s">
        <v>38</v>
      </c>
      <c r="G43" s="4" t="s">
        <v>39</v>
      </c>
      <c r="H43" s="4" t="s">
        <v>197</v>
      </c>
      <c r="I43" s="4" t="s">
        <v>198</v>
      </c>
      <c r="J43" s="4" t="s">
        <v>31</v>
      </c>
      <c r="K43" s="4" t="s">
        <v>199</v>
      </c>
      <c r="L43" s="4" t="s">
        <v>22</v>
      </c>
      <c r="M43" s="4" t="s">
        <v>23</v>
      </c>
      <c r="N43" s="4" t="s">
        <v>32</v>
      </c>
      <c r="O43" s="4" t="s">
        <v>28</v>
      </c>
      <c r="P43" s="4" t="s">
        <v>26</v>
      </c>
      <c r="Q43" s="4" t="s">
        <v>27</v>
      </c>
      <c r="R43" s="4" t="s">
        <v>28</v>
      </c>
      <c r="S43" s="4" t="s">
        <v>22</v>
      </c>
    </row>
    <row r="44" spans="1:19" ht="15" hidden="1">
      <c r="A44" s="2">
        <v>44204</v>
      </c>
      <c r="B44">
        <v>1</v>
      </c>
      <c r="C44">
        <v>2021</v>
      </c>
      <c r="D44" s="5">
        <v>306.04000000000002</v>
      </c>
      <c r="E44" s="4" t="s">
        <v>175</v>
      </c>
      <c r="F44" s="4" t="s">
        <v>38</v>
      </c>
      <c r="G44" s="4" t="s">
        <v>39</v>
      </c>
      <c r="H44" s="4" t="s">
        <v>176</v>
      </c>
      <c r="I44" s="4" t="s">
        <v>177</v>
      </c>
      <c r="J44" s="4" t="s">
        <v>31</v>
      </c>
      <c r="K44" s="4" t="s">
        <v>200</v>
      </c>
      <c r="L44" s="4" t="s">
        <v>22</v>
      </c>
      <c r="M44" s="4" t="s">
        <v>23</v>
      </c>
      <c r="N44" s="4" t="s">
        <v>32</v>
      </c>
      <c r="O44" s="4" t="s">
        <v>28</v>
      </c>
      <c r="P44" s="4" t="s">
        <v>26</v>
      </c>
      <c r="Q44" s="4" t="s">
        <v>27</v>
      </c>
      <c r="R44" s="4" t="s">
        <v>28</v>
      </c>
      <c r="S44" s="4" t="s">
        <v>22</v>
      </c>
    </row>
    <row r="45" spans="1:19" ht="15" hidden="1">
      <c r="A45" s="2">
        <v>44224</v>
      </c>
      <c r="B45">
        <v>1</v>
      </c>
      <c r="C45">
        <v>2021</v>
      </c>
      <c r="D45" s="5">
        <v>231.27000000000001</v>
      </c>
      <c r="E45" s="4" t="s">
        <v>201</v>
      </c>
      <c r="F45" s="4" t="s">
        <v>38</v>
      </c>
      <c r="G45" s="4" t="s">
        <v>39</v>
      </c>
      <c r="H45" s="4" t="s">
        <v>202</v>
      </c>
      <c r="I45" s="4" t="s">
        <v>203</v>
      </c>
      <c r="J45" s="4" t="s">
        <v>31</v>
      </c>
      <c r="K45" s="4" t="s">
        <v>116</v>
      </c>
      <c r="L45" s="4" t="s">
        <v>22</v>
      </c>
      <c r="M45" s="4" t="s">
        <v>23</v>
      </c>
      <c r="N45" s="4" t="s">
        <v>32</v>
      </c>
      <c r="O45" s="4" t="s">
        <v>28</v>
      </c>
      <c r="P45" s="4" t="s">
        <v>26</v>
      </c>
      <c r="Q45" s="4" t="s">
        <v>27</v>
      </c>
      <c r="R45" s="4" t="s">
        <v>28</v>
      </c>
      <c r="S45" s="4" t="s">
        <v>22</v>
      </c>
    </row>
    <row r="46" spans="1:19" ht="15" hidden="1">
      <c r="A46" s="2">
        <v>44210</v>
      </c>
      <c r="B46">
        <v>1</v>
      </c>
      <c r="C46">
        <v>2021</v>
      </c>
      <c r="D46" s="5">
        <v>260841.5</v>
      </c>
      <c r="E46" s="4" t="s">
        <v>189</v>
      </c>
      <c r="F46" s="4" t="s">
        <v>38</v>
      </c>
      <c r="G46" s="4" t="s">
        <v>39</v>
      </c>
      <c r="H46" s="4" t="s">
        <v>190</v>
      </c>
      <c r="I46" s="4" t="s">
        <v>191</v>
      </c>
      <c r="J46" s="4" t="s">
        <v>31</v>
      </c>
      <c r="K46" s="4" t="s">
        <v>124</v>
      </c>
      <c r="L46" s="4" t="s">
        <v>22</v>
      </c>
      <c r="M46" s="4" t="s">
        <v>23</v>
      </c>
      <c r="N46" s="4" t="s">
        <v>32</v>
      </c>
      <c r="O46" s="4" t="s">
        <v>28</v>
      </c>
      <c r="P46" s="4" t="s">
        <v>26</v>
      </c>
      <c r="Q46" s="4" t="s">
        <v>27</v>
      </c>
      <c r="R46" s="4" t="s">
        <v>28</v>
      </c>
      <c r="S46" s="4" t="s">
        <v>22</v>
      </c>
    </row>
    <row r="47" spans="1:19" ht="15" hidden="1">
      <c r="A47" s="2">
        <v>44225</v>
      </c>
      <c r="B47">
        <v>1</v>
      </c>
      <c r="C47">
        <v>2021</v>
      </c>
      <c r="D47" s="5">
        <v>6.4400000000000004</v>
      </c>
      <c r="E47" s="4" t="s">
        <v>196</v>
      </c>
      <c r="F47" s="4" t="s">
        <v>38</v>
      </c>
      <c r="G47" s="4" t="s">
        <v>39</v>
      </c>
      <c r="H47" s="4" t="s">
        <v>197</v>
      </c>
      <c r="I47" s="4" t="s">
        <v>198</v>
      </c>
      <c r="J47" s="4" t="s">
        <v>21</v>
      </c>
      <c r="K47" s="4" t="s">
        <v>185</v>
      </c>
      <c r="L47" s="4" t="s">
        <v>22</v>
      </c>
      <c r="M47" s="4" t="s">
        <v>23</v>
      </c>
      <c r="N47" s="4" t="s">
        <v>24</v>
      </c>
      <c r="O47" s="4" t="s">
        <v>25</v>
      </c>
      <c r="P47" s="4" t="s">
        <v>26</v>
      </c>
      <c r="Q47" s="4" t="s">
        <v>40</v>
      </c>
      <c r="R47" s="4" t="s">
        <v>28</v>
      </c>
      <c r="S47" s="4" t="s">
        <v>22</v>
      </c>
    </row>
    <row r="48" spans="1:19" ht="15" hidden="1">
      <c r="A48" s="2">
        <v>44224</v>
      </c>
      <c r="B48">
        <v>1</v>
      </c>
      <c r="C48">
        <v>2021</v>
      </c>
      <c r="D48" s="5">
        <v>26.59</v>
      </c>
      <c r="E48" s="4" t="s">
        <v>201</v>
      </c>
      <c r="F48" s="4" t="s">
        <v>38</v>
      </c>
      <c r="G48" s="4" t="s">
        <v>39</v>
      </c>
      <c r="H48" s="4" t="s">
        <v>202</v>
      </c>
      <c r="I48" s="4" t="s">
        <v>203</v>
      </c>
      <c r="J48" s="4" t="s">
        <v>21</v>
      </c>
      <c r="K48" s="4" t="s">
        <v>125</v>
      </c>
      <c r="L48" s="4" t="s">
        <v>22</v>
      </c>
      <c r="M48" s="4" t="s">
        <v>23</v>
      </c>
      <c r="N48" s="4" t="s">
        <v>24</v>
      </c>
      <c r="O48" s="4" t="s">
        <v>25</v>
      </c>
      <c r="P48" s="4" t="s">
        <v>26</v>
      </c>
      <c r="Q48" s="4" t="s">
        <v>40</v>
      </c>
      <c r="R48" s="4" t="s">
        <v>28</v>
      </c>
      <c r="S48" s="4" t="s">
        <v>22</v>
      </c>
    </row>
    <row r="49" spans="1:19" ht="15" hidden="1">
      <c r="A49" s="2">
        <v>44225</v>
      </c>
      <c r="B49">
        <v>1</v>
      </c>
      <c r="C49">
        <v>2021</v>
      </c>
      <c r="D49" s="5">
        <v>141246.53</v>
      </c>
      <c r="E49" s="4" t="s">
        <v>182</v>
      </c>
      <c r="F49" s="4" t="s">
        <v>38</v>
      </c>
      <c r="G49" s="4" t="s">
        <v>39</v>
      </c>
      <c r="H49" s="4" t="s">
        <v>183</v>
      </c>
      <c r="I49" s="4" t="s">
        <v>184</v>
      </c>
      <c r="J49" s="4" t="s">
        <v>31</v>
      </c>
      <c r="K49" s="4" t="s">
        <v>199</v>
      </c>
      <c r="L49" s="4" t="s">
        <v>22</v>
      </c>
      <c r="M49" s="4" t="s">
        <v>23</v>
      </c>
      <c r="N49" s="4" t="s">
        <v>32</v>
      </c>
      <c r="O49" s="4" t="s">
        <v>28</v>
      </c>
      <c r="P49" s="4" t="s">
        <v>26</v>
      </c>
      <c r="Q49" s="4" t="s">
        <v>27</v>
      </c>
      <c r="R49" s="4" t="s">
        <v>28</v>
      </c>
      <c r="S49" s="4" t="s">
        <v>22</v>
      </c>
    </row>
    <row r="50" spans="1:19" ht="15" hidden="1">
      <c r="A50" s="2">
        <v>44253</v>
      </c>
      <c r="B50">
        <v>2</v>
      </c>
      <c r="C50">
        <v>2021</v>
      </c>
      <c r="D50" s="5">
        <v>29491.509999999998</v>
      </c>
      <c r="E50" s="4" t="s">
        <v>204</v>
      </c>
      <c r="F50" s="4" t="s">
        <v>38</v>
      </c>
      <c r="G50" s="4" t="s">
        <v>39</v>
      </c>
      <c r="H50" s="4" t="s">
        <v>205</v>
      </c>
      <c r="I50" s="4" t="s">
        <v>206</v>
      </c>
      <c r="J50" s="4" t="s">
        <v>21</v>
      </c>
      <c r="K50" s="4" t="s">
        <v>134</v>
      </c>
      <c r="L50" s="4" t="s">
        <v>22</v>
      </c>
      <c r="M50" s="4" t="s">
        <v>23</v>
      </c>
      <c r="N50" s="4" t="s">
        <v>24</v>
      </c>
      <c r="O50" s="4" t="s">
        <v>25</v>
      </c>
      <c r="P50" s="4" t="s">
        <v>26</v>
      </c>
      <c r="Q50" s="4" t="s">
        <v>40</v>
      </c>
      <c r="R50" s="4" t="s">
        <v>28</v>
      </c>
      <c r="S50" s="4" t="s">
        <v>22</v>
      </c>
    </row>
    <row r="51" spans="1:19" ht="15" hidden="1">
      <c r="A51" s="2">
        <v>44236</v>
      </c>
      <c r="B51">
        <v>2</v>
      </c>
      <c r="C51">
        <v>2021</v>
      </c>
      <c r="D51" s="5">
        <v>127450.71000000001</v>
      </c>
      <c r="E51" s="4" t="s">
        <v>207</v>
      </c>
      <c r="F51" s="4" t="s">
        <v>38</v>
      </c>
      <c r="G51" s="4" t="s">
        <v>39</v>
      </c>
      <c r="H51" s="4" t="s">
        <v>208</v>
      </c>
      <c r="I51" s="4" t="s">
        <v>209</v>
      </c>
      <c r="J51" s="4" t="s">
        <v>31</v>
      </c>
      <c r="K51" s="4" t="s">
        <v>210</v>
      </c>
      <c r="L51" s="4" t="s">
        <v>22</v>
      </c>
      <c r="M51" s="4" t="s">
        <v>23</v>
      </c>
      <c r="N51" s="4" t="s">
        <v>32</v>
      </c>
      <c r="O51" s="4" t="s">
        <v>28</v>
      </c>
      <c r="P51" s="4" t="s">
        <v>26</v>
      </c>
      <c r="Q51" s="4" t="s">
        <v>27</v>
      </c>
      <c r="R51" s="4" t="s">
        <v>28</v>
      </c>
      <c r="S51" s="4" t="s">
        <v>22</v>
      </c>
    </row>
    <row r="52" spans="1:19" ht="15" hidden="1">
      <c r="A52" s="2">
        <v>44243</v>
      </c>
      <c r="B52">
        <v>2</v>
      </c>
      <c r="C52">
        <v>2021</v>
      </c>
      <c r="D52" s="5">
        <v>27445.150000000001</v>
      </c>
      <c r="E52" s="4" t="s">
        <v>211</v>
      </c>
      <c r="F52" s="4" t="s">
        <v>38</v>
      </c>
      <c r="G52" s="4" t="s">
        <v>39</v>
      </c>
      <c r="H52" s="4" t="s">
        <v>212</v>
      </c>
      <c r="I52" s="4" t="s">
        <v>213</v>
      </c>
      <c r="J52" s="4" t="s">
        <v>21</v>
      </c>
      <c r="K52" s="4" t="s">
        <v>214</v>
      </c>
      <c r="L52" s="4" t="s">
        <v>22</v>
      </c>
      <c r="M52" s="4" t="s">
        <v>23</v>
      </c>
      <c r="N52" s="4" t="s">
        <v>24</v>
      </c>
      <c r="O52" s="4" t="s">
        <v>25</v>
      </c>
      <c r="P52" s="4" t="s">
        <v>26</v>
      </c>
      <c r="Q52" s="4" t="s">
        <v>40</v>
      </c>
      <c r="R52" s="4" t="s">
        <v>28</v>
      </c>
      <c r="S52" s="4" t="s">
        <v>22</v>
      </c>
    </row>
    <row r="53" spans="1:19" ht="15" hidden="1">
      <c r="A53" s="2">
        <v>44252</v>
      </c>
      <c r="B53">
        <v>2</v>
      </c>
      <c r="C53">
        <v>2021</v>
      </c>
      <c r="D53" s="5">
        <v>295024.56</v>
      </c>
      <c r="E53" s="4" t="s">
        <v>215</v>
      </c>
      <c r="F53" s="4" t="s">
        <v>38</v>
      </c>
      <c r="G53" s="4" t="s">
        <v>39</v>
      </c>
      <c r="H53" s="4" t="s">
        <v>216</v>
      </c>
      <c r="I53" s="4" t="s">
        <v>217</v>
      </c>
      <c r="J53" s="4" t="s">
        <v>31</v>
      </c>
      <c r="K53" s="4" t="s">
        <v>218</v>
      </c>
      <c r="L53" s="4" t="s">
        <v>22</v>
      </c>
      <c r="M53" s="4" t="s">
        <v>23</v>
      </c>
      <c r="N53" s="4" t="s">
        <v>32</v>
      </c>
      <c r="O53" s="4" t="s">
        <v>28</v>
      </c>
      <c r="P53" s="4" t="s">
        <v>26</v>
      </c>
      <c r="Q53" s="4" t="s">
        <v>27</v>
      </c>
      <c r="R53" s="4" t="s">
        <v>28</v>
      </c>
      <c r="S53" s="4" t="s">
        <v>22</v>
      </c>
    </row>
    <row r="54" spans="1:19" ht="15" hidden="1">
      <c r="A54" s="2">
        <v>44252</v>
      </c>
      <c r="B54">
        <v>2</v>
      </c>
      <c r="C54">
        <v>2021</v>
      </c>
      <c r="D54" s="5">
        <v>373.83999999999998</v>
      </c>
      <c r="E54" s="4" t="s">
        <v>219</v>
      </c>
      <c r="F54" s="4" t="s">
        <v>38</v>
      </c>
      <c r="G54" s="4" t="s">
        <v>39</v>
      </c>
      <c r="H54" s="4" t="s">
        <v>220</v>
      </c>
      <c r="I54" s="4" t="s">
        <v>221</v>
      </c>
      <c r="J54" s="4" t="s">
        <v>31</v>
      </c>
      <c r="K54" s="4" t="s">
        <v>218</v>
      </c>
      <c r="L54" s="4" t="s">
        <v>22</v>
      </c>
      <c r="M54" s="4" t="s">
        <v>23</v>
      </c>
      <c r="N54" s="4" t="s">
        <v>32</v>
      </c>
      <c r="O54" s="4" t="s">
        <v>28</v>
      </c>
      <c r="P54" s="4" t="s">
        <v>26</v>
      </c>
      <c r="Q54" s="4" t="s">
        <v>27</v>
      </c>
      <c r="R54" s="4" t="s">
        <v>28</v>
      </c>
      <c r="S54" s="4" t="s">
        <v>22</v>
      </c>
    </row>
    <row r="55" spans="1:19" ht="15" hidden="1">
      <c r="A55" s="2">
        <v>44236</v>
      </c>
      <c r="B55">
        <v>2</v>
      </c>
      <c r="C55">
        <v>2021</v>
      </c>
      <c r="D55" s="5">
        <v>98288.669999999998</v>
      </c>
      <c r="E55" s="4" t="s">
        <v>207</v>
      </c>
      <c r="F55" s="4" t="s">
        <v>38</v>
      </c>
      <c r="G55" s="4" t="s">
        <v>39</v>
      </c>
      <c r="H55" s="4" t="s">
        <v>208</v>
      </c>
      <c r="I55" s="4" t="s">
        <v>209</v>
      </c>
      <c r="J55" s="4" t="s">
        <v>21</v>
      </c>
      <c r="K55" s="4" t="s">
        <v>222</v>
      </c>
      <c r="L55" s="4" t="s">
        <v>22</v>
      </c>
      <c r="M55" s="4" t="s">
        <v>23</v>
      </c>
      <c r="N55" s="4" t="s">
        <v>24</v>
      </c>
      <c r="O55" s="4" t="s">
        <v>25</v>
      </c>
      <c r="P55" s="4" t="s">
        <v>26</v>
      </c>
      <c r="Q55" s="4" t="s">
        <v>40</v>
      </c>
      <c r="R55" s="4" t="s">
        <v>28</v>
      </c>
      <c r="S55" s="4" t="s">
        <v>22</v>
      </c>
    </row>
    <row r="56" spans="1:19" ht="15" hidden="1">
      <c r="A56" s="2">
        <v>44243</v>
      </c>
      <c r="B56">
        <v>2</v>
      </c>
      <c r="C56">
        <v>2021</v>
      </c>
      <c r="D56" s="5">
        <v>65.310000000000002</v>
      </c>
      <c r="E56" s="4" t="s">
        <v>223</v>
      </c>
      <c r="F56" s="4" t="s">
        <v>38</v>
      </c>
      <c r="G56" s="4" t="s">
        <v>39</v>
      </c>
      <c r="H56" s="4" t="s">
        <v>224</v>
      </c>
      <c r="I56" s="4" t="s">
        <v>225</v>
      </c>
      <c r="J56" s="4" t="s">
        <v>21</v>
      </c>
      <c r="K56" s="4" t="s">
        <v>214</v>
      </c>
      <c r="L56" s="4" t="s">
        <v>22</v>
      </c>
      <c r="M56" s="4" t="s">
        <v>23</v>
      </c>
      <c r="N56" s="4" t="s">
        <v>24</v>
      </c>
      <c r="O56" s="4" t="s">
        <v>25</v>
      </c>
      <c r="P56" s="4" t="s">
        <v>26</v>
      </c>
      <c r="Q56" s="4" t="s">
        <v>40</v>
      </c>
      <c r="R56" s="4" t="s">
        <v>28</v>
      </c>
      <c r="S56" s="4" t="s">
        <v>22</v>
      </c>
    </row>
    <row r="57" spans="1:19" ht="15" hidden="1">
      <c r="A57" s="2">
        <v>44252</v>
      </c>
      <c r="B57">
        <v>2</v>
      </c>
      <c r="C57">
        <v>2021</v>
      </c>
      <c r="D57" s="5">
        <v>51772.629999999997</v>
      </c>
      <c r="E57" s="4" t="s">
        <v>215</v>
      </c>
      <c r="F57" s="4" t="s">
        <v>38</v>
      </c>
      <c r="G57" s="4" t="s">
        <v>39</v>
      </c>
      <c r="H57" s="4" t="s">
        <v>216</v>
      </c>
      <c r="I57" s="4" t="s">
        <v>217</v>
      </c>
      <c r="J57" s="4" t="s">
        <v>21</v>
      </c>
      <c r="K57" s="4" t="s">
        <v>226</v>
      </c>
      <c r="L57" s="4" t="s">
        <v>22</v>
      </c>
      <c r="M57" s="4" t="s">
        <v>23</v>
      </c>
      <c r="N57" s="4" t="s">
        <v>24</v>
      </c>
      <c r="O57" s="4" t="s">
        <v>25</v>
      </c>
      <c r="P57" s="4" t="s">
        <v>26</v>
      </c>
      <c r="Q57" s="4" t="s">
        <v>40</v>
      </c>
      <c r="R57" s="4" t="s">
        <v>28</v>
      </c>
      <c r="S57" s="4" t="s">
        <v>22</v>
      </c>
    </row>
    <row r="58" spans="1:19" ht="15" hidden="1">
      <c r="A58" s="2">
        <v>44253</v>
      </c>
      <c r="B58">
        <v>2</v>
      </c>
      <c r="C58">
        <v>2021</v>
      </c>
      <c r="D58" s="5">
        <v>142307.64000000001</v>
      </c>
      <c r="E58" s="4" t="s">
        <v>204</v>
      </c>
      <c r="F58" s="4" t="s">
        <v>38</v>
      </c>
      <c r="G58" s="4" t="s">
        <v>39</v>
      </c>
      <c r="H58" s="4" t="s">
        <v>205</v>
      </c>
      <c r="I58" s="4" t="s">
        <v>206</v>
      </c>
      <c r="J58" s="4" t="s">
        <v>31</v>
      </c>
      <c r="K58" s="4" t="s">
        <v>148</v>
      </c>
      <c r="L58" s="4" t="s">
        <v>22</v>
      </c>
      <c r="M58" s="4" t="s">
        <v>23</v>
      </c>
      <c r="N58" s="4" t="s">
        <v>32</v>
      </c>
      <c r="O58" s="4" t="s">
        <v>28</v>
      </c>
      <c r="P58" s="4" t="s">
        <v>26</v>
      </c>
      <c r="Q58" s="4" t="s">
        <v>27</v>
      </c>
      <c r="R58" s="4" t="s">
        <v>28</v>
      </c>
      <c r="S58" s="4" t="s">
        <v>22</v>
      </c>
    </row>
    <row r="59" spans="1:19" ht="15" hidden="1">
      <c r="A59" s="2">
        <v>44242</v>
      </c>
      <c r="B59">
        <v>2</v>
      </c>
      <c r="C59">
        <v>2021</v>
      </c>
      <c r="D59" s="5">
        <v>24.559999999999999</v>
      </c>
      <c r="E59" s="4" t="s">
        <v>227</v>
      </c>
      <c r="F59" s="4" t="s">
        <v>38</v>
      </c>
      <c r="G59" s="4" t="s">
        <v>39</v>
      </c>
      <c r="H59" s="4" t="s">
        <v>228</v>
      </c>
      <c r="I59" s="4" t="s">
        <v>229</v>
      </c>
      <c r="J59" s="4" t="s">
        <v>21</v>
      </c>
      <c r="K59" s="4" t="s">
        <v>138</v>
      </c>
      <c r="L59" s="4" t="s">
        <v>22</v>
      </c>
      <c r="M59" s="4" t="s">
        <v>23</v>
      </c>
      <c r="N59" s="4" t="s">
        <v>24</v>
      </c>
      <c r="O59" s="4" t="s">
        <v>25</v>
      </c>
      <c r="P59" s="4" t="s">
        <v>26</v>
      </c>
      <c r="Q59" s="4" t="s">
        <v>40</v>
      </c>
      <c r="R59" s="4" t="s">
        <v>28</v>
      </c>
      <c r="S59" s="4" t="s">
        <v>22</v>
      </c>
    </row>
    <row r="60" spans="1:19" ht="15" hidden="1">
      <c r="A60" s="2">
        <v>44243</v>
      </c>
      <c r="B60">
        <v>2</v>
      </c>
      <c r="C60">
        <v>2021</v>
      </c>
      <c r="D60" s="5">
        <v>140974.95999999999</v>
      </c>
      <c r="E60" s="4" t="s">
        <v>211</v>
      </c>
      <c r="F60" s="4" t="s">
        <v>38</v>
      </c>
      <c r="G60" s="4" t="s">
        <v>39</v>
      </c>
      <c r="H60" s="4" t="s">
        <v>212</v>
      </c>
      <c r="I60" s="4" t="s">
        <v>213</v>
      </c>
      <c r="J60" s="4" t="s">
        <v>31</v>
      </c>
      <c r="K60" s="4" t="s">
        <v>230</v>
      </c>
      <c r="L60" s="4" t="s">
        <v>22</v>
      </c>
      <c r="M60" s="4" t="s">
        <v>23</v>
      </c>
      <c r="N60" s="4" t="s">
        <v>32</v>
      </c>
      <c r="O60" s="4" t="s">
        <v>28</v>
      </c>
      <c r="P60" s="4" t="s">
        <v>26</v>
      </c>
      <c r="Q60" s="4" t="s">
        <v>27</v>
      </c>
      <c r="R60" s="4" t="s">
        <v>28</v>
      </c>
      <c r="S60" s="4" t="s">
        <v>22</v>
      </c>
    </row>
    <row r="61" spans="1:19" ht="15" hidden="1">
      <c r="A61" s="2">
        <v>44252</v>
      </c>
      <c r="B61">
        <v>2</v>
      </c>
      <c r="C61">
        <v>2021</v>
      </c>
      <c r="D61" s="5">
        <v>26.59</v>
      </c>
      <c r="E61" s="4" t="s">
        <v>219</v>
      </c>
      <c r="F61" s="4" t="s">
        <v>38</v>
      </c>
      <c r="G61" s="4" t="s">
        <v>39</v>
      </c>
      <c r="H61" s="4" t="s">
        <v>220</v>
      </c>
      <c r="I61" s="4" t="s">
        <v>221</v>
      </c>
      <c r="J61" s="4" t="s">
        <v>21</v>
      </c>
      <c r="K61" s="4" t="s">
        <v>226</v>
      </c>
      <c r="L61" s="4" t="s">
        <v>22</v>
      </c>
      <c r="M61" s="4" t="s">
        <v>23</v>
      </c>
      <c r="N61" s="4" t="s">
        <v>24</v>
      </c>
      <c r="O61" s="4" t="s">
        <v>25</v>
      </c>
      <c r="P61" s="4" t="s">
        <v>26</v>
      </c>
      <c r="Q61" s="4" t="s">
        <v>40</v>
      </c>
      <c r="R61" s="4" t="s">
        <v>28</v>
      </c>
      <c r="S61" s="4" t="s">
        <v>22</v>
      </c>
    </row>
    <row r="62" spans="1:19" ht="15" hidden="1">
      <c r="A62" s="2">
        <v>44243</v>
      </c>
      <c r="B62">
        <v>2</v>
      </c>
      <c r="C62">
        <v>2021</v>
      </c>
      <c r="D62" s="5">
        <v>3281.8699999999999</v>
      </c>
      <c r="E62" s="4" t="s">
        <v>223</v>
      </c>
      <c r="F62" s="4" t="s">
        <v>38</v>
      </c>
      <c r="G62" s="4" t="s">
        <v>39</v>
      </c>
      <c r="H62" s="4" t="s">
        <v>224</v>
      </c>
      <c r="I62" s="4" t="s">
        <v>225</v>
      </c>
      <c r="J62" s="4" t="s">
        <v>31</v>
      </c>
      <c r="K62" s="4" t="s">
        <v>230</v>
      </c>
      <c r="L62" s="4" t="s">
        <v>22</v>
      </c>
      <c r="M62" s="4" t="s">
        <v>23</v>
      </c>
      <c r="N62" s="4" t="s">
        <v>32</v>
      </c>
      <c r="O62" s="4" t="s">
        <v>28</v>
      </c>
      <c r="P62" s="4" t="s">
        <v>26</v>
      </c>
      <c r="Q62" s="4" t="s">
        <v>27</v>
      </c>
      <c r="R62" s="4" t="s">
        <v>28</v>
      </c>
      <c r="S62" s="4" t="s">
        <v>22</v>
      </c>
    </row>
    <row r="63" spans="1:19" ht="15" hidden="1">
      <c r="A63" s="2">
        <v>44211</v>
      </c>
      <c r="B63">
        <v>1</v>
      </c>
      <c r="C63">
        <v>2021</v>
      </c>
      <c r="D63" s="5">
        <v>752.82000000000005</v>
      </c>
      <c r="E63" s="4" t="s">
        <v>231</v>
      </c>
      <c r="F63" s="4" t="s">
        <v>29</v>
      </c>
      <c r="G63" s="4" t="s">
        <v>30</v>
      </c>
      <c r="H63" s="4" t="s">
        <v>232</v>
      </c>
      <c r="I63" s="4" t="s">
        <v>233</v>
      </c>
      <c r="J63" s="4" t="s">
        <v>21</v>
      </c>
      <c r="K63" s="4" t="s">
        <v>120</v>
      </c>
      <c r="L63" s="4" t="s">
        <v>22</v>
      </c>
      <c r="M63" s="4" t="s">
        <v>23</v>
      </c>
      <c r="N63" s="4" t="s">
        <v>24</v>
      </c>
      <c r="O63" s="4" t="s">
        <v>25</v>
      </c>
      <c r="P63" s="4" t="s">
        <v>26</v>
      </c>
      <c r="Q63" s="4" t="s">
        <v>27</v>
      </c>
      <c r="R63" s="4" t="s">
        <v>28</v>
      </c>
      <c r="S63" s="4" t="s">
        <v>22</v>
      </c>
    </row>
    <row r="64" spans="1:19" ht="15" hidden="1">
      <c r="A64" s="2">
        <v>44224</v>
      </c>
      <c r="B64">
        <v>1</v>
      </c>
      <c r="C64">
        <v>2021</v>
      </c>
      <c r="D64" s="7">
        <v>2449.1100000000001</v>
      </c>
      <c r="E64" s="4" t="s">
        <v>234</v>
      </c>
      <c r="F64" s="4" t="s">
        <v>29</v>
      </c>
      <c r="G64" s="4" t="s">
        <v>30</v>
      </c>
      <c r="H64" s="4" t="s">
        <v>235</v>
      </c>
      <c r="I64" s="4" t="s">
        <v>236</v>
      </c>
      <c r="J64" s="4" t="s">
        <v>31</v>
      </c>
      <c r="K64" s="4" t="s">
        <v>116</v>
      </c>
      <c r="L64" s="4" t="s">
        <v>22</v>
      </c>
      <c r="M64" s="4" t="s">
        <v>23</v>
      </c>
      <c r="N64" s="4" t="s">
        <v>32</v>
      </c>
      <c r="O64" s="4" t="s">
        <v>28</v>
      </c>
      <c r="P64" s="4" t="s">
        <v>26</v>
      </c>
      <c r="Q64" s="4" t="s">
        <v>27</v>
      </c>
      <c r="R64" s="4" t="s">
        <v>28</v>
      </c>
      <c r="S64" s="4" t="s">
        <v>22</v>
      </c>
    </row>
    <row r="65" spans="1:19" ht="15" hidden="1">
      <c r="A65" s="2">
        <v>44210</v>
      </c>
      <c r="B65">
        <v>1</v>
      </c>
      <c r="C65">
        <v>2021</v>
      </c>
      <c r="D65" s="7">
        <v>3932.7199999999998</v>
      </c>
      <c r="E65" s="4" t="s">
        <v>237</v>
      </c>
      <c r="F65" s="4" t="s">
        <v>29</v>
      </c>
      <c r="G65" s="4" t="s">
        <v>30</v>
      </c>
      <c r="H65" s="4" t="s">
        <v>238</v>
      </c>
      <c r="I65" s="4" t="s">
        <v>239</v>
      </c>
      <c r="J65" s="4" t="s">
        <v>31</v>
      </c>
      <c r="K65" s="4" t="s">
        <v>124</v>
      </c>
      <c r="L65" s="4" t="s">
        <v>22</v>
      </c>
      <c r="M65" s="4" t="s">
        <v>23</v>
      </c>
      <c r="N65" s="4" t="s">
        <v>32</v>
      </c>
      <c r="O65" s="4" t="s">
        <v>28</v>
      </c>
      <c r="P65" s="4" t="s">
        <v>26</v>
      </c>
      <c r="Q65" s="4" t="s">
        <v>27</v>
      </c>
      <c r="R65" s="4" t="s">
        <v>28</v>
      </c>
      <c r="S65" s="4" t="s">
        <v>22</v>
      </c>
    </row>
    <row r="66" spans="1:19" ht="15" hidden="1">
      <c r="A66" s="2">
        <v>44210</v>
      </c>
      <c r="B66">
        <v>1</v>
      </c>
      <c r="C66">
        <v>2021</v>
      </c>
      <c r="D66" s="7">
        <v>1958.98</v>
      </c>
      <c r="E66" s="4" t="s">
        <v>237</v>
      </c>
      <c r="F66" s="4" t="s">
        <v>29</v>
      </c>
      <c r="G66" s="4" t="s">
        <v>30</v>
      </c>
      <c r="H66" s="4" t="s">
        <v>238</v>
      </c>
      <c r="I66" s="4" t="s">
        <v>239</v>
      </c>
      <c r="J66" s="4" t="s">
        <v>21</v>
      </c>
      <c r="K66" s="4" t="s">
        <v>126</v>
      </c>
      <c r="L66" s="4" t="s">
        <v>22</v>
      </c>
      <c r="M66" s="4" t="s">
        <v>23</v>
      </c>
      <c r="N66" s="4" t="s">
        <v>24</v>
      </c>
      <c r="O66" s="4" t="s">
        <v>25</v>
      </c>
      <c r="P66" s="4" t="s">
        <v>26</v>
      </c>
      <c r="Q66" s="4" t="s">
        <v>27</v>
      </c>
      <c r="R66" s="4" t="s">
        <v>28</v>
      </c>
      <c r="S66" s="4" t="s">
        <v>22</v>
      </c>
    </row>
    <row r="67" spans="1:19" ht="15" hidden="1">
      <c r="A67" s="2">
        <v>44224</v>
      </c>
      <c r="B67">
        <v>1</v>
      </c>
      <c r="C67">
        <v>2021</v>
      </c>
      <c r="D67" s="7">
        <v>897.49000000000001</v>
      </c>
      <c r="E67" s="4" t="s">
        <v>240</v>
      </c>
      <c r="F67" s="4" t="s">
        <v>29</v>
      </c>
      <c r="G67" s="4" t="s">
        <v>30</v>
      </c>
      <c r="H67" s="4" t="s">
        <v>241</v>
      </c>
      <c r="I67" s="4" t="s">
        <v>242</v>
      </c>
      <c r="J67" s="4" t="s">
        <v>21</v>
      </c>
      <c r="K67" s="4" t="s">
        <v>125</v>
      </c>
      <c r="L67" s="4" t="s">
        <v>22</v>
      </c>
      <c r="M67" s="4" t="s">
        <v>23</v>
      </c>
      <c r="N67" s="4" t="s">
        <v>24</v>
      </c>
      <c r="O67" s="4" t="s">
        <v>25</v>
      </c>
      <c r="P67" s="4" t="s">
        <v>26</v>
      </c>
      <c r="Q67" s="4" t="s">
        <v>27</v>
      </c>
      <c r="R67" s="4" t="s">
        <v>28</v>
      </c>
      <c r="S67" s="4" t="s">
        <v>22</v>
      </c>
    </row>
    <row r="68" spans="1:19" ht="15" hidden="1">
      <c r="A68" s="2">
        <v>44224</v>
      </c>
      <c r="B68">
        <v>1</v>
      </c>
      <c r="C68">
        <v>2021</v>
      </c>
      <c r="D68" s="7">
        <v>6023.8999999999996</v>
      </c>
      <c r="E68" s="4" t="s">
        <v>240</v>
      </c>
      <c r="F68" s="4" t="s">
        <v>29</v>
      </c>
      <c r="G68" s="4" t="s">
        <v>30</v>
      </c>
      <c r="H68" s="4" t="s">
        <v>241</v>
      </c>
      <c r="I68" s="4" t="s">
        <v>242</v>
      </c>
      <c r="J68" s="4" t="s">
        <v>31</v>
      </c>
      <c r="K68" s="4" t="s">
        <v>116</v>
      </c>
      <c r="L68" s="4" t="s">
        <v>22</v>
      </c>
      <c r="M68" s="4" t="s">
        <v>23</v>
      </c>
      <c r="N68" s="4" t="s">
        <v>32</v>
      </c>
      <c r="O68" s="4" t="s">
        <v>28</v>
      </c>
      <c r="P68" s="4" t="s">
        <v>26</v>
      </c>
      <c r="Q68" s="4" t="s">
        <v>27</v>
      </c>
      <c r="R68" s="4" t="s">
        <v>28</v>
      </c>
      <c r="S68" s="4" t="s">
        <v>22</v>
      </c>
    </row>
    <row r="69" spans="1:19" ht="15" hidden="1">
      <c r="A69" s="2">
        <v>44224</v>
      </c>
      <c r="B69">
        <v>1</v>
      </c>
      <c r="C69">
        <v>2021</v>
      </c>
      <c r="D69" s="7">
        <v>879.69000000000005</v>
      </c>
      <c r="E69" s="4" t="s">
        <v>234</v>
      </c>
      <c r="F69" s="4" t="s">
        <v>29</v>
      </c>
      <c r="G69" s="4" t="s">
        <v>30</v>
      </c>
      <c r="H69" s="4" t="s">
        <v>235</v>
      </c>
      <c r="I69" s="4" t="s">
        <v>236</v>
      </c>
      <c r="J69" s="4" t="s">
        <v>21</v>
      </c>
      <c r="K69" s="4" t="s">
        <v>125</v>
      </c>
      <c r="L69" s="4" t="s">
        <v>22</v>
      </c>
      <c r="M69" s="4" t="s">
        <v>23</v>
      </c>
      <c r="N69" s="4" t="s">
        <v>24</v>
      </c>
      <c r="O69" s="4" t="s">
        <v>25</v>
      </c>
      <c r="P69" s="4" t="s">
        <v>26</v>
      </c>
      <c r="Q69" s="4" t="s">
        <v>27</v>
      </c>
      <c r="R69" s="4" t="s">
        <v>28</v>
      </c>
      <c r="S69" s="4" t="s">
        <v>22</v>
      </c>
    </row>
    <row r="70" spans="1:19" ht="15" hidden="1">
      <c r="A70" s="2">
        <v>44211</v>
      </c>
      <c r="B70">
        <v>1</v>
      </c>
      <c r="C70">
        <v>2021</v>
      </c>
      <c r="D70" s="7">
        <v>2671.54</v>
      </c>
      <c r="E70" s="4" t="s">
        <v>231</v>
      </c>
      <c r="F70" s="4" t="s">
        <v>29</v>
      </c>
      <c r="G70" s="4" t="s">
        <v>30</v>
      </c>
      <c r="H70" s="4" t="s">
        <v>232</v>
      </c>
      <c r="I70" s="4" t="s">
        <v>233</v>
      </c>
      <c r="J70" s="4" t="s">
        <v>31</v>
      </c>
      <c r="K70" s="4" t="s">
        <v>130</v>
      </c>
      <c r="L70" s="4" t="s">
        <v>22</v>
      </c>
      <c r="M70" s="4" t="s">
        <v>23</v>
      </c>
      <c r="N70" s="4" t="s">
        <v>32</v>
      </c>
      <c r="O70" s="4" t="s">
        <v>28</v>
      </c>
      <c r="P70" s="4" t="s">
        <v>26</v>
      </c>
      <c r="Q70" s="4" t="s">
        <v>27</v>
      </c>
      <c r="R70" s="4" t="s">
        <v>28</v>
      </c>
      <c r="S70" s="4" t="s">
        <v>22</v>
      </c>
    </row>
    <row r="71" spans="1:19" ht="15" hidden="1">
      <c r="A71" s="2">
        <v>44253</v>
      </c>
      <c r="B71">
        <v>2</v>
      </c>
      <c r="C71">
        <v>2021</v>
      </c>
      <c r="D71" s="7">
        <v>2789.6999999999998</v>
      </c>
      <c r="E71" s="4" t="s">
        <v>243</v>
      </c>
      <c r="F71" s="4" t="s">
        <v>29</v>
      </c>
      <c r="G71" s="4" t="s">
        <v>30</v>
      </c>
      <c r="H71" s="4" t="s">
        <v>244</v>
      </c>
      <c r="I71" s="4" t="s">
        <v>245</v>
      </c>
      <c r="J71" s="4" t="s">
        <v>31</v>
      </c>
      <c r="K71" s="4" t="s">
        <v>148</v>
      </c>
      <c r="L71" s="4" t="s">
        <v>22</v>
      </c>
      <c r="M71" s="4" t="s">
        <v>23</v>
      </c>
      <c r="N71" s="4" t="s">
        <v>32</v>
      </c>
      <c r="O71" s="4" t="s">
        <v>28</v>
      </c>
      <c r="P71" s="4" t="s">
        <v>26</v>
      </c>
      <c r="Q71" s="4" t="s">
        <v>27</v>
      </c>
      <c r="R71" s="4" t="s">
        <v>28</v>
      </c>
      <c r="S71" s="4" t="s">
        <v>22</v>
      </c>
    </row>
    <row r="72" spans="1:19" ht="15" hidden="1">
      <c r="A72" s="2">
        <v>44251</v>
      </c>
      <c r="B72">
        <v>2</v>
      </c>
      <c r="C72">
        <v>2021</v>
      </c>
      <c r="D72" s="7">
        <v>5360</v>
      </c>
      <c r="E72" s="4" t="s">
        <v>246</v>
      </c>
      <c r="F72" s="4" t="s">
        <v>29</v>
      </c>
      <c r="G72" s="4" t="s">
        <v>30</v>
      </c>
      <c r="H72" s="4" t="s">
        <v>247</v>
      </c>
      <c r="I72" s="4" t="s">
        <v>248</v>
      </c>
      <c r="J72" s="4" t="s">
        <v>31</v>
      </c>
      <c r="K72" s="4" t="s">
        <v>142</v>
      </c>
      <c r="L72" s="4" t="s">
        <v>22</v>
      </c>
      <c r="M72" s="4" t="s">
        <v>23</v>
      </c>
      <c r="N72" s="4" t="s">
        <v>32</v>
      </c>
      <c r="O72" s="4" t="s">
        <v>28</v>
      </c>
      <c r="P72" s="4" t="s">
        <v>26</v>
      </c>
      <c r="Q72" s="4" t="s">
        <v>27</v>
      </c>
      <c r="R72" s="4" t="s">
        <v>28</v>
      </c>
      <c r="S72" s="4" t="s">
        <v>22</v>
      </c>
    </row>
    <row r="73" spans="1:19" ht="15" hidden="1">
      <c r="A73" s="2">
        <v>44253</v>
      </c>
      <c r="B73">
        <v>2</v>
      </c>
      <c r="C73">
        <v>2021</v>
      </c>
      <c r="D73" s="7">
        <v>113.45</v>
      </c>
      <c r="E73" s="4" t="s">
        <v>243</v>
      </c>
      <c r="F73" s="4" t="s">
        <v>29</v>
      </c>
      <c r="G73" s="4" t="s">
        <v>30</v>
      </c>
      <c r="H73" s="4" t="s">
        <v>244</v>
      </c>
      <c r="I73" s="4" t="s">
        <v>245</v>
      </c>
      <c r="J73" s="4" t="s">
        <v>21</v>
      </c>
      <c r="K73" s="4" t="s">
        <v>134</v>
      </c>
      <c r="L73" s="4" t="s">
        <v>22</v>
      </c>
      <c r="M73" s="4" t="s">
        <v>23</v>
      </c>
      <c r="N73" s="4" t="s">
        <v>24</v>
      </c>
      <c r="O73" s="4" t="s">
        <v>25</v>
      </c>
      <c r="P73" s="4" t="s">
        <v>26</v>
      </c>
      <c r="Q73" s="4" t="s">
        <v>27</v>
      </c>
      <c r="R73" s="4" t="s">
        <v>28</v>
      </c>
      <c r="S73" s="4" t="s">
        <v>22</v>
      </c>
    </row>
    <row r="74" spans="1:19" ht="15" hidden="1">
      <c r="A74" s="2">
        <v>44236</v>
      </c>
      <c r="B74">
        <v>2</v>
      </c>
      <c r="C74">
        <v>2021</v>
      </c>
      <c r="D74" s="7">
        <v>1151.23</v>
      </c>
      <c r="E74" s="4" t="s">
        <v>249</v>
      </c>
      <c r="F74" s="4" t="s">
        <v>29</v>
      </c>
      <c r="G74" s="4" t="s">
        <v>30</v>
      </c>
      <c r="H74" s="4" t="s">
        <v>250</v>
      </c>
      <c r="I74" s="4" t="s">
        <v>251</v>
      </c>
      <c r="J74" s="4" t="s">
        <v>21</v>
      </c>
      <c r="K74" s="4" t="s">
        <v>222</v>
      </c>
      <c r="L74" s="4" t="s">
        <v>22</v>
      </c>
      <c r="M74" s="4" t="s">
        <v>23</v>
      </c>
      <c r="N74" s="4" t="s">
        <v>24</v>
      </c>
      <c r="O74" s="4" t="s">
        <v>25</v>
      </c>
      <c r="P74" s="4" t="s">
        <v>26</v>
      </c>
      <c r="Q74" s="4" t="s">
        <v>27</v>
      </c>
      <c r="R74" s="4" t="s">
        <v>28</v>
      </c>
      <c r="S74" s="4" t="s">
        <v>22</v>
      </c>
    </row>
    <row r="75" spans="1:19" ht="15" hidden="1">
      <c r="A75" s="2">
        <v>44242</v>
      </c>
      <c r="B75">
        <v>2</v>
      </c>
      <c r="C75">
        <v>2021</v>
      </c>
      <c r="D75" s="7">
        <v>4555.4200000000001</v>
      </c>
      <c r="E75" s="4" t="s">
        <v>252</v>
      </c>
      <c r="F75" s="4" t="s">
        <v>29</v>
      </c>
      <c r="G75" s="4" t="s">
        <v>30</v>
      </c>
      <c r="H75" s="4" t="s">
        <v>253</v>
      </c>
      <c r="I75" s="4" t="s">
        <v>254</v>
      </c>
      <c r="J75" s="4" t="s">
        <v>31</v>
      </c>
      <c r="K75" s="4" t="s">
        <v>149</v>
      </c>
      <c r="L75" s="4" t="s">
        <v>22</v>
      </c>
      <c r="M75" s="4" t="s">
        <v>23</v>
      </c>
      <c r="N75" s="4" t="s">
        <v>32</v>
      </c>
      <c r="O75" s="4" t="s">
        <v>28</v>
      </c>
      <c r="P75" s="4" t="s">
        <v>26</v>
      </c>
      <c r="Q75" s="4" t="s">
        <v>27</v>
      </c>
      <c r="R75" s="4" t="s">
        <v>28</v>
      </c>
      <c r="S75" s="4" t="s">
        <v>22</v>
      </c>
    </row>
    <row r="76" spans="1:19" ht="15" hidden="1">
      <c r="A76" s="2">
        <v>44251</v>
      </c>
      <c r="B76">
        <v>2</v>
      </c>
      <c r="C76">
        <v>2021</v>
      </c>
      <c r="D76" s="7">
        <v>237.19999999999999</v>
      </c>
      <c r="E76" s="4" t="s">
        <v>246</v>
      </c>
      <c r="F76" s="4" t="s">
        <v>29</v>
      </c>
      <c r="G76" s="4" t="s">
        <v>30</v>
      </c>
      <c r="H76" s="4" t="s">
        <v>247</v>
      </c>
      <c r="I76" s="4" t="s">
        <v>248</v>
      </c>
      <c r="J76" s="4" t="s">
        <v>21</v>
      </c>
      <c r="K76" s="4" t="s">
        <v>147</v>
      </c>
      <c r="L76" s="4" t="s">
        <v>22</v>
      </c>
      <c r="M76" s="4" t="s">
        <v>23</v>
      </c>
      <c r="N76" s="4" t="s">
        <v>24</v>
      </c>
      <c r="O76" s="4" t="s">
        <v>25</v>
      </c>
      <c r="P76" s="4" t="s">
        <v>26</v>
      </c>
      <c r="Q76" s="4" t="s">
        <v>27</v>
      </c>
      <c r="R76" s="4" t="s">
        <v>28</v>
      </c>
      <c r="S76" s="4" t="s">
        <v>22</v>
      </c>
    </row>
    <row r="77" spans="1:19" ht="15" hidden="1">
      <c r="A77" s="2">
        <v>44236</v>
      </c>
      <c r="B77">
        <v>2</v>
      </c>
      <c r="C77">
        <v>2021</v>
      </c>
      <c r="D77" s="7">
        <v>2847.54</v>
      </c>
      <c r="E77" s="4" t="s">
        <v>249</v>
      </c>
      <c r="F77" s="4" t="s">
        <v>29</v>
      </c>
      <c r="G77" s="4" t="s">
        <v>30</v>
      </c>
      <c r="H77" s="4" t="s">
        <v>250</v>
      </c>
      <c r="I77" s="4" t="s">
        <v>251</v>
      </c>
      <c r="J77" s="4" t="s">
        <v>31</v>
      </c>
      <c r="K77" s="4" t="s">
        <v>210</v>
      </c>
      <c r="L77" s="4" t="s">
        <v>22</v>
      </c>
      <c r="M77" s="4" t="s">
        <v>23</v>
      </c>
      <c r="N77" s="4" t="s">
        <v>32</v>
      </c>
      <c r="O77" s="4" t="s">
        <v>28</v>
      </c>
      <c r="P77" s="4" t="s">
        <v>26</v>
      </c>
      <c r="Q77" s="4" t="s">
        <v>27</v>
      </c>
      <c r="R77" s="4" t="s">
        <v>28</v>
      </c>
      <c r="S77" s="4" t="s">
        <v>22</v>
      </c>
    </row>
    <row r="78" spans="1:19" ht="15" hidden="1">
      <c r="A78" s="2">
        <v>44242</v>
      </c>
      <c r="B78">
        <v>2</v>
      </c>
      <c r="C78">
        <v>2021</v>
      </c>
      <c r="D78" s="7">
        <v>2118.8899999999999</v>
      </c>
      <c r="E78" s="4" t="s">
        <v>252</v>
      </c>
      <c r="F78" s="4" t="s">
        <v>29</v>
      </c>
      <c r="G78" s="4" t="s">
        <v>30</v>
      </c>
      <c r="H78" s="4" t="s">
        <v>253</v>
      </c>
      <c r="I78" s="4" t="s">
        <v>254</v>
      </c>
      <c r="J78" s="4" t="s">
        <v>21</v>
      </c>
      <c r="K78" s="4" t="s">
        <v>138</v>
      </c>
      <c r="L78" s="4" t="s">
        <v>22</v>
      </c>
      <c r="M78" s="4" t="s">
        <v>23</v>
      </c>
      <c r="N78" s="4" t="s">
        <v>24</v>
      </c>
      <c r="O78" s="4" t="s">
        <v>25</v>
      </c>
      <c r="P78" s="4" t="s">
        <v>26</v>
      </c>
      <c r="Q78" s="4" t="s">
        <v>27</v>
      </c>
      <c r="R78" s="4" t="s">
        <v>28</v>
      </c>
      <c r="S78" s="4" t="s">
        <v>22</v>
      </c>
    </row>
    <row r="79" spans="1:19" ht="15" hidden="1">
      <c r="A79" s="2">
        <v>44224</v>
      </c>
      <c r="B79">
        <v>1</v>
      </c>
      <c r="C79">
        <v>2021</v>
      </c>
      <c r="D79" s="5">
        <v>5400</v>
      </c>
      <c r="E79" s="4" t="s">
        <v>255</v>
      </c>
      <c r="F79" s="4" t="s">
        <v>48</v>
      </c>
      <c r="G79" s="4" t="s">
        <v>256</v>
      </c>
      <c r="H79" s="4" t="s">
        <v>257</v>
      </c>
      <c r="I79" s="4" t="s">
        <v>258</v>
      </c>
      <c r="J79" s="4" t="s">
        <v>31</v>
      </c>
      <c r="K79" s="4" t="s">
        <v>116</v>
      </c>
      <c r="L79" s="4" t="s">
        <v>22</v>
      </c>
      <c r="M79" s="4" t="s">
        <v>23</v>
      </c>
      <c r="N79" s="4" t="s">
        <v>32</v>
      </c>
      <c r="O79" s="4" t="s">
        <v>28</v>
      </c>
      <c r="P79" s="4" t="s">
        <v>49</v>
      </c>
      <c r="Q79" s="4" t="s">
        <v>50</v>
      </c>
      <c r="R79" s="4" t="s">
        <v>28</v>
      </c>
      <c r="S79" s="4" t="s">
        <v>22</v>
      </c>
    </row>
    <row r="80" spans="1:19" ht="15" hidden="1">
      <c r="A80" s="2">
        <v>44252</v>
      </c>
      <c r="B80">
        <v>2</v>
      </c>
      <c r="C80">
        <v>2021</v>
      </c>
      <c r="D80" s="5">
        <v>5400</v>
      </c>
      <c r="E80" s="4" t="s">
        <v>259</v>
      </c>
      <c r="F80" s="4" t="s">
        <v>48</v>
      </c>
      <c r="G80" s="4" t="s">
        <v>256</v>
      </c>
      <c r="H80" s="4" t="s">
        <v>260</v>
      </c>
      <c r="I80" s="4" t="s">
        <v>261</v>
      </c>
      <c r="J80" s="4" t="s">
        <v>31</v>
      </c>
      <c r="K80" s="4" t="s">
        <v>218</v>
      </c>
      <c r="L80" s="4" t="s">
        <v>22</v>
      </c>
      <c r="M80" s="4" t="s">
        <v>23</v>
      </c>
      <c r="N80" s="4" t="s">
        <v>32</v>
      </c>
      <c r="O80" s="4" t="s">
        <v>28</v>
      </c>
      <c r="P80" s="4" t="s">
        <v>49</v>
      </c>
      <c r="Q80" s="4" t="s">
        <v>50</v>
      </c>
      <c r="R80" s="4" t="s">
        <v>28</v>
      </c>
      <c r="S80" s="4" t="s">
        <v>22</v>
      </c>
    </row>
    <row r="81" spans="1:19" ht="15" hidden="1">
      <c r="A81" s="2">
        <v>44225</v>
      </c>
      <c r="B81">
        <v>1</v>
      </c>
      <c r="C81">
        <v>2021</v>
      </c>
      <c r="D81" s="5">
        <v>3144.2600000000002</v>
      </c>
      <c r="E81" s="4" t="s">
        <v>262</v>
      </c>
      <c r="F81" s="4" t="s">
        <v>36</v>
      </c>
      <c r="G81" s="4" t="s">
        <v>37</v>
      </c>
      <c r="H81" s="4" t="s">
        <v>263</v>
      </c>
      <c r="I81" s="4" t="s">
        <v>264</v>
      </c>
      <c r="J81" s="4" t="s">
        <v>31</v>
      </c>
      <c r="K81" s="4" t="s">
        <v>199</v>
      </c>
      <c r="L81" s="4" t="s">
        <v>22</v>
      </c>
      <c r="M81" s="4" t="s">
        <v>23</v>
      </c>
      <c r="N81" s="4" t="s">
        <v>32</v>
      </c>
      <c r="O81" s="4" t="s">
        <v>28</v>
      </c>
      <c r="P81" s="4" t="s">
        <v>26</v>
      </c>
      <c r="Q81" s="4" t="s">
        <v>27</v>
      </c>
      <c r="R81" s="4" t="s">
        <v>28</v>
      </c>
      <c r="S81" s="4" t="s">
        <v>22</v>
      </c>
    </row>
    <row r="82" spans="1:19" ht="15" hidden="1">
      <c r="A82" s="2">
        <v>44225</v>
      </c>
      <c r="B82">
        <v>1</v>
      </c>
      <c r="C82">
        <v>2021</v>
      </c>
      <c r="D82" s="5">
        <v>43.380000000000003</v>
      </c>
      <c r="E82" s="4" t="s">
        <v>262</v>
      </c>
      <c r="F82" s="4" t="s">
        <v>36</v>
      </c>
      <c r="G82" s="4" t="s">
        <v>37</v>
      </c>
      <c r="H82" s="4" t="s">
        <v>263</v>
      </c>
      <c r="I82" s="4" t="s">
        <v>264</v>
      </c>
      <c r="J82" s="4" t="s">
        <v>21</v>
      </c>
      <c r="K82" s="4" t="s">
        <v>185</v>
      </c>
      <c r="L82" s="4" t="s">
        <v>22</v>
      </c>
      <c r="M82" s="4" t="s">
        <v>23</v>
      </c>
      <c r="N82" s="4" t="s">
        <v>24</v>
      </c>
      <c r="O82" s="4" t="s">
        <v>25</v>
      </c>
      <c r="P82" s="4" t="s">
        <v>26</v>
      </c>
      <c r="Q82" s="4" t="s">
        <v>40</v>
      </c>
      <c r="R82" s="4" t="s">
        <v>28</v>
      </c>
      <c r="S82" s="4" t="s">
        <v>22</v>
      </c>
    </row>
    <row r="83" spans="1:19" ht="15" hidden="1">
      <c r="A83" s="2">
        <v>44204</v>
      </c>
      <c r="B83">
        <v>1</v>
      </c>
      <c r="C83">
        <v>2021</v>
      </c>
      <c r="D83" s="5">
        <v>185.08000000000001</v>
      </c>
      <c r="E83" s="4" t="s">
        <v>265</v>
      </c>
      <c r="F83" s="4" t="s">
        <v>36</v>
      </c>
      <c r="G83" s="4" t="s">
        <v>37</v>
      </c>
      <c r="H83" s="4" t="s">
        <v>266</v>
      </c>
      <c r="I83" s="4" t="s">
        <v>267</v>
      </c>
      <c r="J83" s="4" t="s">
        <v>21</v>
      </c>
      <c r="K83" s="4" t="s">
        <v>178</v>
      </c>
      <c r="L83" s="4" t="s">
        <v>22</v>
      </c>
      <c r="M83" s="4" t="s">
        <v>23</v>
      </c>
      <c r="N83" s="4" t="s">
        <v>24</v>
      </c>
      <c r="O83" s="4" t="s">
        <v>25</v>
      </c>
      <c r="P83" s="4" t="s">
        <v>26</v>
      </c>
      <c r="Q83" s="4" t="s">
        <v>40</v>
      </c>
      <c r="R83" s="4" t="s">
        <v>28</v>
      </c>
      <c r="S83" s="4" t="s">
        <v>22</v>
      </c>
    </row>
    <row r="84" spans="1:19" ht="15" hidden="1">
      <c r="A84" s="2">
        <v>44224</v>
      </c>
      <c r="B84">
        <v>1</v>
      </c>
      <c r="C84">
        <v>2021</v>
      </c>
      <c r="D84" s="7">
        <v>689.27999999999997</v>
      </c>
      <c r="E84" s="4" t="s">
        <v>268</v>
      </c>
      <c r="F84" s="4" t="s">
        <v>36</v>
      </c>
      <c r="G84" s="4" t="s">
        <v>37</v>
      </c>
      <c r="H84" s="4" t="s">
        <v>269</v>
      </c>
      <c r="I84" s="4" t="s">
        <v>270</v>
      </c>
      <c r="J84" s="4" t="s">
        <v>21</v>
      </c>
      <c r="K84" s="4" t="s">
        <v>125</v>
      </c>
      <c r="L84" s="4" t="s">
        <v>22</v>
      </c>
      <c r="M84" s="4" t="s">
        <v>23</v>
      </c>
      <c r="N84" s="4" t="s">
        <v>24</v>
      </c>
      <c r="O84" s="4" t="s">
        <v>25</v>
      </c>
      <c r="P84" s="4" t="s">
        <v>26</v>
      </c>
      <c r="Q84" s="4" t="s">
        <v>40</v>
      </c>
      <c r="R84" s="4" t="s">
        <v>28</v>
      </c>
      <c r="S84" s="4" t="s">
        <v>22</v>
      </c>
    </row>
    <row r="85" spans="1:19" ht="15" hidden="1">
      <c r="A85" s="2">
        <v>44215</v>
      </c>
      <c r="B85">
        <v>1</v>
      </c>
      <c r="C85">
        <v>2021</v>
      </c>
      <c r="D85" s="7">
        <v>842.32000000000005</v>
      </c>
      <c r="E85" s="4" t="s">
        <v>271</v>
      </c>
      <c r="F85" s="4" t="s">
        <v>36</v>
      </c>
      <c r="G85" s="4" t="s">
        <v>37</v>
      </c>
      <c r="H85" s="4" t="s">
        <v>272</v>
      </c>
      <c r="I85" s="4" t="s">
        <v>273</v>
      </c>
      <c r="J85" s="4" t="s">
        <v>31</v>
      </c>
      <c r="K85" s="4" t="s">
        <v>195</v>
      </c>
      <c r="L85" s="4" t="s">
        <v>22</v>
      </c>
      <c r="M85" s="4" t="s">
        <v>23</v>
      </c>
      <c r="N85" s="4" t="s">
        <v>32</v>
      </c>
      <c r="O85" s="4" t="s">
        <v>28</v>
      </c>
      <c r="P85" s="4" t="s">
        <v>26</v>
      </c>
      <c r="Q85" s="4" t="s">
        <v>27</v>
      </c>
      <c r="R85" s="4" t="s">
        <v>28</v>
      </c>
      <c r="S85" s="4" t="s">
        <v>22</v>
      </c>
    </row>
    <row r="86" spans="1:19" ht="15" hidden="1">
      <c r="A86" s="2">
        <v>44204</v>
      </c>
      <c r="B86">
        <v>1</v>
      </c>
      <c r="C86">
        <v>2021</v>
      </c>
      <c r="D86" s="7">
        <v>2518.8299999999999</v>
      </c>
      <c r="E86" s="4" t="s">
        <v>265</v>
      </c>
      <c r="F86" s="4" t="s">
        <v>36</v>
      </c>
      <c r="G86" s="4" t="s">
        <v>37</v>
      </c>
      <c r="H86" s="4" t="s">
        <v>266</v>
      </c>
      <c r="I86" s="4" t="s">
        <v>267</v>
      </c>
      <c r="J86" s="4" t="s">
        <v>31</v>
      </c>
      <c r="K86" s="4" t="s">
        <v>200</v>
      </c>
      <c r="L86" s="4" t="s">
        <v>22</v>
      </c>
      <c r="M86" s="4" t="s">
        <v>23</v>
      </c>
      <c r="N86" s="4" t="s">
        <v>32</v>
      </c>
      <c r="O86" s="4" t="s">
        <v>28</v>
      </c>
      <c r="P86" s="4" t="s">
        <v>26</v>
      </c>
      <c r="Q86" s="4" t="s">
        <v>27</v>
      </c>
      <c r="R86" s="4" t="s">
        <v>28</v>
      </c>
      <c r="S86" s="4" t="s">
        <v>22</v>
      </c>
    </row>
    <row r="87" spans="1:19" ht="15" hidden="1">
      <c r="A87" s="2">
        <v>44224</v>
      </c>
      <c r="B87">
        <v>1</v>
      </c>
      <c r="C87">
        <v>2021</v>
      </c>
      <c r="D87" s="7">
        <v>330.80000000000001</v>
      </c>
      <c r="E87" s="4" t="s">
        <v>268</v>
      </c>
      <c r="F87" s="4" t="s">
        <v>36</v>
      </c>
      <c r="G87" s="4" t="s">
        <v>37</v>
      </c>
      <c r="H87" s="4" t="s">
        <v>269</v>
      </c>
      <c r="I87" s="4" t="s">
        <v>270</v>
      </c>
      <c r="J87" s="4" t="s">
        <v>31</v>
      </c>
      <c r="K87" s="4" t="s">
        <v>116</v>
      </c>
      <c r="L87" s="4" t="s">
        <v>22</v>
      </c>
      <c r="M87" s="4" t="s">
        <v>23</v>
      </c>
      <c r="N87" s="4" t="s">
        <v>32</v>
      </c>
      <c r="O87" s="4" t="s">
        <v>28</v>
      </c>
      <c r="P87" s="4" t="s">
        <v>26</v>
      </c>
      <c r="Q87" s="4" t="s">
        <v>27</v>
      </c>
      <c r="R87" s="4" t="s">
        <v>28</v>
      </c>
      <c r="S87" s="4" t="s">
        <v>22</v>
      </c>
    </row>
    <row r="88" spans="1:19" ht="15" hidden="1">
      <c r="A88" s="2">
        <v>44215</v>
      </c>
      <c r="B88">
        <v>1</v>
      </c>
      <c r="C88">
        <v>2021</v>
      </c>
      <c r="D88" s="7">
        <v>10.75</v>
      </c>
      <c r="E88" s="4" t="s">
        <v>271</v>
      </c>
      <c r="F88" s="4" t="s">
        <v>36</v>
      </c>
      <c r="G88" s="4" t="s">
        <v>37</v>
      </c>
      <c r="H88" s="4" t="s">
        <v>272</v>
      </c>
      <c r="I88" s="4" t="s">
        <v>273</v>
      </c>
      <c r="J88" s="4" t="s">
        <v>21</v>
      </c>
      <c r="K88" s="4" t="s">
        <v>274</v>
      </c>
      <c r="L88" s="4" t="s">
        <v>22</v>
      </c>
      <c r="M88" s="4" t="s">
        <v>23</v>
      </c>
      <c r="N88" s="4" t="s">
        <v>24</v>
      </c>
      <c r="O88" s="4" t="s">
        <v>25</v>
      </c>
      <c r="P88" s="4" t="s">
        <v>26</v>
      </c>
      <c r="Q88" s="4" t="s">
        <v>40</v>
      </c>
      <c r="R88" s="4" t="s">
        <v>28</v>
      </c>
      <c r="S88" s="4" t="s">
        <v>22</v>
      </c>
    </row>
    <row r="89" spans="1:19" ht="15" hidden="1">
      <c r="A89" s="2">
        <v>44242</v>
      </c>
      <c r="B89">
        <v>2</v>
      </c>
      <c r="C89">
        <v>2021</v>
      </c>
      <c r="D89" s="7">
        <v>860.29999999999995</v>
      </c>
      <c r="E89" s="4" t="s">
        <v>275</v>
      </c>
      <c r="F89" s="4" t="s">
        <v>36</v>
      </c>
      <c r="G89" s="4" t="s">
        <v>37</v>
      </c>
      <c r="H89" s="4" t="s">
        <v>276</v>
      </c>
      <c r="I89" s="4" t="s">
        <v>277</v>
      </c>
      <c r="J89" s="4" t="s">
        <v>31</v>
      </c>
      <c r="K89" s="4" t="s">
        <v>149</v>
      </c>
      <c r="L89" s="4" t="s">
        <v>22</v>
      </c>
      <c r="M89" s="4" t="s">
        <v>23</v>
      </c>
      <c r="N89" s="4" t="s">
        <v>32</v>
      </c>
      <c r="O89" s="4" t="s">
        <v>28</v>
      </c>
      <c r="P89" s="4" t="s">
        <v>26</v>
      </c>
      <c r="Q89" s="4" t="s">
        <v>27</v>
      </c>
      <c r="R89" s="4" t="s">
        <v>28</v>
      </c>
      <c r="S89" s="4" t="s">
        <v>22</v>
      </c>
    </row>
    <row r="90" spans="1:19" ht="15" hidden="1">
      <c r="A90" s="2">
        <v>44252</v>
      </c>
      <c r="B90">
        <v>2</v>
      </c>
      <c r="C90">
        <v>2021</v>
      </c>
      <c r="D90" s="7">
        <v>1381.9000000000001</v>
      </c>
      <c r="E90" s="4" t="s">
        <v>278</v>
      </c>
      <c r="F90" s="4" t="s">
        <v>36</v>
      </c>
      <c r="G90" s="4" t="s">
        <v>37</v>
      </c>
      <c r="H90" s="4" t="s">
        <v>279</v>
      </c>
      <c r="I90" s="4" t="s">
        <v>280</v>
      </c>
      <c r="J90" s="4" t="s">
        <v>31</v>
      </c>
      <c r="K90" s="4" t="s">
        <v>218</v>
      </c>
      <c r="L90" s="4" t="s">
        <v>22</v>
      </c>
      <c r="M90" s="4" t="s">
        <v>23</v>
      </c>
      <c r="N90" s="4" t="s">
        <v>32</v>
      </c>
      <c r="O90" s="4" t="s">
        <v>28</v>
      </c>
      <c r="P90" s="4" t="s">
        <v>26</v>
      </c>
      <c r="Q90" s="4" t="s">
        <v>27</v>
      </c>
      <c r="R90" s="4" t="s">
        <v>28</v>
      </c>
      <c r="S90" s="4" t="s">
        <v>22</v>
      </c>
    </row>
    <row r="91" spans="1:19" ht="15" hidden="1">
      <c r="A91" s="2">
        <v>44242</v>
      </c>
      <c r="B91">
        <v>2</v>
      </c>
      <c r="C91">
        <v>2021</v>
      </c>
      <c r="D91" s="7">
        <v>178.78999999999999</v>
      </c>
      <c r="E91" s="4" t="s">
        <v>275</v>
      </c>
      <c r="F91" s="4" t="s">
        <v>36</v>
      </c>
      <c r="G91" s="4" t="s">
        <v>37</v>
      </c>
      <c r="H91" s="4" t="s">
        <v>276</v>
      </c>
      <c r="I91" s="4" t="s">
        <v>277</v>
      </c>
      <c r="J91" s="4" t="s">
        <v>21</v>
      </c>
      <c r="K91" s="4" t="s">
        <v>138</v>
      </c>
      <c r="L91" s="4" t="s">
        <v>22</v>
      </c>
      <c r="M91" s="4" t="s">
        <v>23</v>
      </c>
      <c r="N91" s="4" t="s">
        <v>24</v>
      </c>
      <c r="O91" s="4" t="s">
        <v>25</v>
      </c>
      <c r="P91" s="4" t="s">
        <v>26</v>
      </c>
      <c r="Q91" s="4" t="s">
        <v>40</v>
      </c>
      <c r="R91" s="4" t="s">
        <v>28</v>
      </c>
      <c r="S91" s="4" t="s">
        <v>22</v>
      </c>
    </row>
    <row r="92" spans="1:19" ht="15" hidden="1">
      <c r="A92" s="2">
        <v>44243</v>
      </c>
      <c r="B92">
        <v>2</v>
      </c>
      <c r="C92">
        <v>2021</v>
      </c>
      <c r="D92" s="7">
        <v>316.01999999999998</v>
      </c>
      <c r="E92" s="4" t="s">
        <v>281</v>
      </c>
      <c r="F92" s="4" t="s">
        <v>36</v>
      </c>
      <c r="G92" s="4" t="s">
        <v>37</v>
      </c>
      <c r="H92" s="4" t="s">
        <v>282</v>
      </c>
      <c r="I92" s="4" t="s">
        <v>283</v>
      </c>
      <c r="J92" s="4" t="s">
        <v>21</v>
      </c>
      <c r="K92" s="4" t="s">
        <v>214</v>
      </c>
      <c r="L92" s="4" t="s">
        <v>22</v>
      </c>
      <c r="M92" s="4" t="s">
        <v>23</v>
      </c>
      <c r="N92" s="4" t="s">
        <v>24</v>
      </c>
      <c r="O92" s="4" t="s">
        <v>25</v>
      </c>
      <c r="P92" s="4" t="s">
        <v>26</v>
      </c>
      <c r="Q92" s="4" t="s">
        <v>40</v>
      </c>
      <c r="R92" s="4" t="s">
        <v>28</v>
      </c>
      <c r="S92" s="4" t="s">
        <v>22</v>
      </c>
    </row>
    <row r="93" spans="1:19" ht="15" hidden="1">
      <c r="A93" s="2">
        <v>44252</v>
      </c>
      <c r="B93">
        <v>2</v>
      </c>
      <c r="C93">
        <v>2021</v>
      </c>
      <c r="D93" s="7">
        <v>2214.0300000000002</v>
      </c>
      <c r="E93" s="4" t="s">
        <v>278</v>
      </c>
      <c r="F93" s="4" t="s">
        <v>36</v>
      </c>
      <c r="G93" s="4" t="s">
        <v>37</v>
      </c>
      <c r="H93" s="4" t="s">
        <v>279</v>
      </c>
      <c r="I93" s="4" t="s">
        <v>280</v>
      </c>
      <c r="J93" s="4" t="s">
        <v>21</v>
      </c>
      <c r="K93" s="4" t="s">
        <v>226</v>
      </c>
      <c r="L93" s="4" t="s">
        <v>22</v>
      </c>
      <c r="M93" s="4" t="s">
        <v>23</v>
      </c>
      <c r="N93" s="4" t="s">
        <v>24</v>
      </c>
      <c r="O93" s="4" t="s">
        <v>25</v>
      </c>
      <c r="P93" s="4" t="s">
        <v>26</v>
      </c>
      <c r="Q93" s="4" t="s">
        <v>40</v>
      </c>
      <c r="R93" s="4" t="s">
        <v>28</v>
      </c>
      <c r="S93" s="4" t="s">
        <v>22</v>
      </c>
    </row>
    <row r="94" spans="1:19" ht="15" hidden="1">
      <c r="A94" s="2">
        <v>44243</v>
      </c>
      <c r="B94">
        <v>2</v>
      </c>
      <c r="C94">
        <v>2021</v>
      </c>
      <c r="D94" s="7">
        <v>847.01999999999998</v>
      </c>
      <c r="E94" s="4" t="s">
        <v>281</v>
      </c>
      <c r="F94" s="4" t="s">
        <v>36</v>
      </c>
      <c r="G94" s="4" t="s">
        <v>37</v>
      </c>
      <c r="H94" s="4" t="s">
        <v>282</v>
      </c>
      <c r="I94" s="4" t="s">
        <v>283</v>
      </c>
      <c r="J94" s="4" t="s">
        <v>31</v>
      </c>
      <c r="K94" s="4" t="s">
        <v>230</v>
      </c>
      <c r="L94" s="4" t="s">
        <v>22</v>
      </c>
      <c r="M94" s="4" t="s">
        <v>23</v>
      </c>
      <c r="N94" s="4" t="s">
        <v>32</v>
      </c>
      <c r="O94" s="4" t="s">
        <v>28</v>
      </c>
      <c r="P94" s="4" t="s">
        <v>26</v>
      </c>
      <c r="Q94" s="4" t="s">
        <v>27</v>
      </c>
      <c r="R94" s="4" t="s">
        <v>28</v>
      </c>
      <c r="S94" s="4" t="s">
        <v>22</v>
      </c>
    </row>
    <row r="95" spans="1:19" ht="15" hidden="1">
      <c r="A95" s="2">
        <v>44263</v>
      </c>
      <c r="B95">
        <v>3</v>
      </c>
      <c r="C95">
        <v>2021</v>
      </c>
      <c r="D95" s="5">
        <v>16385.369999999999</v>
      </c>
      <c r="E95" s="4" t="s">
        <v>284</v>
      </c>
      <c r="F95" s="4" t="s">
        <v>41</v>
      </c>
      <c r="G95" s="4" t="s">
        <v>42</v>
      </c>
      <c r="H95" s="4" t="s">
        <v>285</v>
      </c>
      <c r="I95" s="4" t="s">
        <v>286</v>
      </c>
      <c r="J95" s="4" t="s">
        <v>21</v>
      </c>
      <c r="K95" s="4" t="s">
        <v>287</v>
      </c>
      <c r="L95" s="4" t="s">
        <v>22</v>
      </c>
      <c r="M95" s="4" t="s">
        <v>23</v>
      </c>
      <c r="N95" s="4" t="s">
        <v>24</v>
      </c>
      <c r="O95" s="4" t="s">
        <v>25</v>
      </c>
      <c r="P95" s="4" t="s">
        <v>43</v>
      </c>
      <c r="Q95" s="4" t="s">
        <v>40</v>
      </c>
      <c r="R95" s="4" t="s">
        <v>28</v>
      </c>
      <c r="S95" s="4" t="s">
        <v>22</v>
      </c>
    </row>
    <row r="96" spans="1:19" ht="15" hidden="1">
      <c r="A96" s="2">
        <v>44267</v>
      </c>
      <c r="B96">
        <v>3</v>
      </c>
      <c r="C96">
        <v>2021</v>
      </c>
      <c r="D96" s="5">
        <v>690067.25</v>
      </c>
      <c r="E96" s="4" t="s">
        <v>288</v>
      </c>
      <c r="F96" s="4" t="s">
        <v>44</v>
      </c>
      <c r="G96" s="4" t="s">
        <v>45</v>
      </c>
      <c r="H96" s="4" t="s">
        <v>289</v>
      </c>
      <c r="I96" s="4" t="s">
        <v>290</v>
      </c>
      <c r="J96" s="4" t="s">
        <v>31</v>
      </c>
      <c r="K96" s="4" t="s">
        <v>291</v>
      </c>
      <c r="L96" s="4" t="s">
        <v>22</v>
      </c>
      <c r="M96" s="4" t="s">
        <v>23</v>
      </c>
      <c r="N96" s="4" t="s">
        <v>32</v>
      </c>
      <c r="O96" s="4" t="s">
        <v>28</v>
      </c>
      <c r="P96" s="4" t="s">
        <v>26</v>
      </c>
      <c r="Q96" s="4" t="s">
        <v>27</v>
      </c>
      <c r="R96" s="4" t="s">
        <v>28</v>
      </c>
      <c r="S96" s="4" t="s">
        <v>22</v>
      </c>
    </row>
    <row r="97" spans="1:19" ht="15" hidden="1">
      <c r="A97" s="2">
        <v>44270</v>
      </c>
      <c r="B97">
        <v>3</v>
      </c>
      <c r="C97">
        <v>2021</v>
      </c>
      <c r="D97" s="5">
        <v>46.789999999999999</v>
      </c>
      <c r="E97" s="4" t="s">
        <v>292</v>
      </c>
      <c r="F97" s="4" t="s">
        <v>38</v>
      </c>
      <c r="G97" s="4" t="s">
        <v>39</v>
      </c>
      <c r="H97" s="4" t="s">
        <v>293</v>
      </c>
      <c r="I97" s="4" t="s">
        <v>294</v>
      </c>
      <c r="J97" s="4" t="s">
        <v>21</v>
      </c>
      <c r="K97" s="4" t="s">
        <v>295</v>
      </c>
      <c r="L97" s="4" t="s">
        <v>22</v>
      </c>
      <c r="M97" s="4" t="s">
        <v>23</v>
      </c>
      <c r="N97" s="4" t="s">
        <v>24</v>
      </c>
      <c r="O97" s="4" t="s">
        <v>25</v>
      </c>
      <c r="P97" s="4" t="s">
        <v>26</v>
      </c>
      <c r="Q97" s="4" t="s">
        <v>40</v>
      </c>
      <c r="R97" s="4" t="s">
        <v>28</v>
      </c>
      <c r="S97" s="4" t="s">
        <v>22</v>
      </c>
    </row>
    <row r="98" spans="1:19" ht="15" hidden="1">
      <c r="A98" s="2">
        <v>44274</v>
      </c>
      <c r="B98">
        <v>3</v>
      </c>
      <c r="C98">
        <v>2021</v>
      </c>
      <c r="D98" s="5">
        <v>18616.259999999998</v>
      </c>
      <c r="E98" s="4" t="s">
        <v>296</v>
      </c>
      <c r="F98" s="4" t="s">
        <v>41</v>
      </c>
      <c r="G98" s="4" t="s">
        <v>42</v>
      </c>
      <c r="H98" s="4" t="s">
        <v>297</v>
      </c>
      <c r="I98" s="4" t="s">
        <v>298</v>
      </c>
      <c r="J98" s="4" t="s">
        <v>21</v>
      </c>
      <c r="K98" s="4" t="s">
        <v>299</v>
      </c>
      <c r="L98" s="4" t="s">
        <v>22</v>
      </c>
      <c r="M98" s="4" t="s">
        <v>23</v>
      </c>
      <c r="N98" s="4" t="s">
        <v>24</v>
      </c>
      <c r="O98" s="4" t="s">
        <v>25</v>
      </c>
      <c r="P98" s="4" t="s">
        <v>43</v>
      </c>
      <c r="Q98" s="4" t="s">
        <v>40</v>
      </c>
      <c r="R98" s="4" t="s">
        <v>28</v>
      </c>
      <c r="S98" s="4" t="s">
        <v>22</v>
      </c>
    </row>
    <row r="99" spans="1:19" ht="15" hidden="1">
      <c r="A99" s="2">
        <v>44274</v>
      </c>
      <c r="B99">
        <v>3</v>
      </c>
      <c r="C99">
        <v>2021</v>
      </c>
      <c r="D99" s="7">
        <v>1055.7000000000001</v>
      </c>
      <c r="E99" s="4" t="s">
        <v>300</v>
      </c>
      <c r="F99" s="4" t="s">
        <v>36</v>
      </c>
      <c r="G99" s="4" t="s">
        <v>37</v>
      </c>
      <c r="H99" s="4" t="s">
        <v>301</v>
      </c>
      <c r="I99" s="4" t="s">
        <v>302</v>
      </c>
      <c r="J99" s="4" t="s">
        <v>31</v>
      </c>
      <c r="K99" s="4" t="s">
        <v>303</v>
      </c>
      <c r="L99" s="4" t="s">
        <v>22</v>
      </c>
      <c r="M99" s="4" t="s">
        <v>23</v>
      </c>
      <c r="N99" s="4" t="s">
        <v>32</v>
      </c>
      <c r="O99" s="4" t="s">
        <v>28</v>
      </c>
      <c r="P99" s="4" t="s">
        <v>26</v>
      </c>
      <c r="Q99" s="4" t="s">
        <v>27</v>
      </c>
      <c r="R99" s="4" t="s">
        <v>28</v>
      </c>
      <c r="S99" s="4" t="s">
        <v>22</v>
      </c>
    </row>
    <row r="100" spans="1:19" ht="15" hidden="1">
      <c r="A100" s="2">
        <v>44281</v>
      </c>
      <c r="B100">
        <v>3</v>
      </c>
      <c r="C100">
        <v>2021</v>
      </c>
      <c r="D100" s="7">
        <v>340.75999999999999</v>
      </c>
      <c r="E100" s="4" t="s">
        <v>304</v>
      </c>
      <c r="F100" s="4" t="s">
        <v>36</v>
      </c>
      <c r="G100" s="4" t="s">
        <v>37</v>
      </c>
      <c r="H100" s="4" t="s">
        <v>305</v>
      </c>
      <c r="I100" s="4" t="s">
        <v>306</v>
      </c>
      <c r="J100" s="4" t="s">
        <v>21</v>
      </c>
      <c r="K100" s="4" t="s">
        <v>307</v>
      </c>
      <c r="L100" s="4" t="s">
        <v>22</v>
      </c>
      <c r="M100" s="4" t="s">
        <v>23</v>
      </c>
      <c r="N100" s="4" t="s">
        <v>24</v>
      </c>
      <c r="O100" s="4" t="s">
        <v>25</v>
      </c>
      <c r="P100" s="4" t="s">
        <v>26</v>
      </c>
      <c r="Q100" s="4" t="s">
        <v>40</v>
      </c>
      <c r="R100" s="4" t="s">
        <v>28</v>
      </c>
      <c r="S100" s="4" t="s">
        <v>22</v>
      </c>
    </row>
    <row r="101" spans="1:19" ht="15" hidden="1">
      <c r="A101" s="2">
        <v>44285</v>
      </c>
      <c r="B101">
        <v>3</v>
      </c>
      <c r="C101">
        <v>2021</v>
      </c>
      <c r="D101" s="5">
        <v>47435.870000000003</v>
      </c>
      <c r="E101" s="4" t="s">
        <v>308</v>
      </c>
      <c r="F101" s="4" t="s">
        <v>38</v>
      </c>
      <c r="G101" s="4" t="s">
        <v>39</v>
      </c>
      <c r="H101" s="4" t="s">
        <v>309</v>
      </c>
      <c r="I101" s="4" t="s">
        <v>310</v>
      </c>
      <c r="J101" s="4" t="s">
        <v>21</v>
      </c>
      <c r="K101" s="4" t="s">
        <v>311</v>
      </c>
      <c r="L101" s="4" t="s">
        <v>22</v>
      </c>
      <c r="M101" s="4" t="s">
        <v>23</v>
      </c>
      <c r="N101" s="4" t="s">
        <v>24</v>
      </c>
      <c r="O101" s="4" t="s">
        <v>25</v>
      </c>
      <c r="P101" s="4" t="s">
        <v>26</v>
      </c>
      <c r="Q101" s="4" t="s">
        <v>40</v>
      </c>
      <c r="R101" s="4" t="s">
        <v>28</v>
      </c>
      <c r="S101" s="4" t="s">
        <v>22</v>
      </c>
    </row>
    <row r="102" spans="1:19" ht="15" hidden="1">
      <c r="A102" s="2">
        <v>44281</v>
      </c>
      <c r="B102">
        <v>3</v>
      </c>
      <c r="C102">
        <v>2021</v>
      </c>
      <c r="D102" s="7">
        <v>6785.8000000000002</v>
      </c>
      <c r="E102" s="4" t="s">
        <v>312</v>
      </c>
      <c r="F102" s="4" t="s">
        <v>29</v>
      </c>
      <c r="G102" s="4" t="s">
        <v>30</v>
      </c>
      <c r="H102" s="4" t="s">
        <v>313</v>
      </c>
      <c r="I102" s="4" t="s">
        <v>314</v>
      </c>
      <c r="J102" s="4" t="s">
        <v>31</v>
      </c>
      <c r="K102" s="4" t="s">
        <v>315</v>
      </c>
      <c r="L102" s="4" t="s">
        <v>22</v>
      </c>
      <c r="M102" s="4" t="s">
        <v>23</v>
      </c>
      <c r="N102" s="4" t="s">
        <v>32</v>
      </c>
      <c r="O102" s="4" t="s">
        <v>28</v>
      </c>
      <c r="P102" s="4" t="s">
        <v>26</v>
      </c>
      <c r="Q102" s="4" t="s">
        <v>27</v>
      </c>
      <c r="R102" s="4" t="s">
        <v>28</v>
      </c>
      <c r="S102" s="4" t="s">
        <v>22</v>
      </c>
    </row>
    <row r="103" spans="1:19" ht="15" hidden="1">
      <c r="A103" s="2">
        <v>44286</v>
      </c>
      <c r="B103">
        <v>3</v>
      </c>
      <c r="C103">
        <v>2021</v>
      </c>
      <c r="D103" s="5">
        <v>21010.610000000001</v>
      </c>
      <c r="E103" s="4" t="s">
        <v>316</v>
      </c>
      <c r="F103" s="4" t="s">
        <v>41</v>
      </c>
      <c r="G103" s="4" t="s">
        <v>42</v>
      </c>
      <c r="H103" s="4" t="s">
        <v>317</v>
      </c>
      <c r="I103" s="4" t="s">
        <v>318</v>
      </c>
      <c r="J103" s="4" t="s">
        <v>21</v>
      </c>
      <c r="K103" s="4" t="s">
        <v>319</v>
      </c>
      <c r="L103" s="4" t="s">
        <v>22</v>
      </c>
      <c r="M103" s="4" t="s">
        <v>23</v>
      </c>
      <c r="N103" s="4" t="s">
        <v>24</v>
      </c>
      <c r="O103" s="4" t="s">
        <v>25</v>
      </c>
      <c r="P103" s="4" t="s">
        <v>43</v>
      </c>
      <c r="Q103" s="4" t="s">
        <v>40</v>
      </c>
      <c r="R103" s="4" t="s">
        <v>28</v>
      </c>
      <c r="S103" s="4" t="s">
        <v>22</v>
      </c>
    </row>
    <row r="104" spans="1:19" ht="15" hidden="1">
      <c r="A104" s="2">
        <v>44263</v>
      </c>
      <c r="B104">
        <v>3</v>
      </c>
      <c r="C104">
        <v>2021</v>
      </c>
      <c r="D104" s="7">
        <v>2423.7800000000002</v>
      </c>
      <c r="E104" s="4" t="s">
        <v>320</v>
      </c>
      <c r="F104" s="4" t="s">
        <v>29</v>
      </c>
      <c r="G104" s="4" t="s">
        <v>30</v>
      </c>
      <c r="H104" s="4" t="s">
        <v>321</v>
      </c>
      <c r="I104" s="4" t="s">
        <v>322</v>
      </c>
      <c r="J104" s="4" t="s">
        <v>21</v>
      </c>
      <c r="K104" s="4" t="s">
        <v>287</v>
      </c>
      <c r="L104" s="4" t="s">
        <v>22</v>
      </c>
      <c r="M104" s="4" t="s">
        <v>23</v>
      </c>
      <c r="N104" s="4" t="s">
        <v>24</v>
      </c>
      <c r="O104" s="4" t="s">
        <v>25</v>
      </c>
      <c r="P104" s="4" t="s">
        <v>26</v>
      </c>
      <c r="Q104" s="4" t="s">
        <v>27</v>
      </c>
      <c r="R104" s="4" t="s">
        <v>28</v>
      </c>
      <c r="S104" s="4" t="s">
        <v>22</v>
      </c>
    </row>
    <row r="105" spans="1:19" ht="15" hidden="1">
      <c r="A105" s="2">
        <v>44267</v>
      </c>
      <c r="B105">
        <v>3</v>
      </c>
      <c r="C105">
        <v>2021</v>
      </c>
      <c r="D105" s="5">
        <v>56609.349999999999</v>
      </c>
      <c r="E105" s="4" t="s">
        <v>323</v>
      </c>
      <c r="F105" s="4" t="s">
        <v>41</v>
      </c>
      <c r="G105" s="4" t="s">
        <v>42</v>
      </c>
      <c r="H105" s="4" t="s">
        <v>324</v>
      </c>
      <c r="I105" s="4" t="s">
        <v>325</v>
      </c>
      <c r="J105" s="4" t="s">
        <v>31</v>
      </c>
      <c r="K105" s="4" t="s">
        <v>291</v>
      </c>
      <c r="L105" s="4" t="s">
        <v>22</v>
      </c>
      <c r="M105" s="4" t="s">
        <v>23</v>
      </c>
      <c r="N105" s="4" t="s">
        <v>32</v>
      </c>
      <c r="O105" s="4" t="s">
        <v>28</v>
      </c>
      <c r="P105" s="4" t="s">
        <v>43</v>
      </c>
      <c r="Q105" s="4" t="s">
        <v>27</v>
      </c>
      <c r="R105" s="4" t="s">
        <v>28</v>
      </c>
      <c r="S105" s="4" t="s">
        <v>22</v>
      </c>
    </row>
    <row r="106" spans="1:19" ht="15" hidden="1">
      <c r="A106" s="2">
        <v>44267</v>
      </c>
      <c r="B106">
        <v>3</v>
      </c>
      <c r="C106">
        <v>2021</v>
      </c>
      <c r="D106" s="5">
        <v>13939.610000000001</v>
      </c>
      <c r="E106" s="4" t="s">
        <v>323</v>
      </c>
      <c r="F106" s="4" t="s">
        <v>41</v>
      </c>
      <c r="G106" s="4" t="s">
        <v>42</v>
      </c>
      <c r="H106" s="4" t="s">
        <v>324</v>
      </c>
      <c r="I106" s="4" t="s">
        <v>325</v>
      </c>
      <c r="J106" s="4" t="s">
        <v>21</v>
      </c>
      <c r="K106" s="4" t="s">
        <v>326</v>
      </c>
      <c r="L106" s="4" t="s">
        <v>22</v>
      </c>
      <c r="M106" s="4" t="s">
        <v>23</v>
      </c>
      <c r="N106" s="4" t="s">
        <v>24</v>
      </c>
      <c r="O106" s="4" t="s">
        <v>25</v>
      </c>
      <c r="P106" s="4" t="s">
        <v>43</v>
      </c>
      <c r="Q106" s="4" t="s">
        <v>40</v>
      </c>
      <c r="R106" s="4" t="s">
        <v>28</v>
      </c>
      <c r="S106" s="4" t="s">
        <v>22</v>
      </c>
    </row>
    <row r="107" spans="1:19" ht="15" hidden="1">
      <c r="A107" s="2">
        <v>44270</v>
      </c>
      <c r="B107">
        <v>3</v>
      </c>
      <c r="C107">
        <v>2021</v>
      </c>
      <c r="D107" s="5">
        <v>20274.82</v>
      </c>
      <c r="E107" s="4" t="s">
        <v>327</v>
      </c>
      <c r="F107" s="4" t="s">
        <v>38</v>
      </c>
      <c r="G107" s="4" t="s">
        <v>39</v>
      </c>
      <c r="H107" s="4" t="s">
        <v>328</v>
      </c>
      <c r="I107" s="4" t="s">
        <v>329</v>
      </c>
      <c r="J107" s="4" t="s">
        <v>21</v>
      </c>
      <c r="K107" s="4" t="s">
        <v>295</v>
      </c>
      <c r="L107" s="4" t="s">
        <v>22</v>
      </c>
      <c r="M107" s="4" t="s">
        <v>23</v>
      </c>
      <c r="N107" s="4" t="s">
        <v>24</v>
      </c>
      <c r="O107" s="4" t="s">
        <v>25</v>
      </c>
      <c r="P107" s="4" t="s">
        <v>26</v>
      </c>
      <c r="Q107" s="4" t="s">
        <v>40</v>
      </c>
      <c r="R107" s="4" t="s">
        <v>28</v>
      </c>
      <c r="S107" s="4" t="s">
        <v>22</v>
      </c>
    </row>
    <row r="108" spans="1:19" ht="15" hidden="1">
      <c r="A108" s="2">
        <v>44285</v>
      </c>
      <c r="B108">
        <v>3</v>
      </c>
      <c r="C108">
        <v>2021</v>
      </c>
      <c r="D108" s="5">
        <v>169185.53</v>
      </c>
      <c r="E108" s="4" t="s">
        <v>308</v>
      </c>
      <c r="F108" s="4" t="s">
        <v>38</v>
      </c>
      <c r="G108" s="4" t="s">
        <v>39</v>
      </c>
      <c r="H108" s="4" t="s">
        <v>309</v>
      </c>
      <c r="I108" s="4" t="s">
        <v>310</v>
      </c>
      <c r="J108" s="4" t="s">
        <v>31</v>
      </c>
      <c r="K108" s="4" t="s">
        <v>330</v>
      </c>
      <c r="L108" s="4" t="s">
        <v>22</v>
      </c>
      <c r="M108" s="4" t="s">
        <v>23</v>
      </c>
      <c r="N108" s="4" t="s">
        <v>32</v>
      </c>
      <c r="O108" s="4" t="s">
        <v>28</v>
      </c>
      <c r="P108" s="4" t="s">
        <v>26</v>
      </c>
      <c r="Q108" s="4" t="s">
        <v>27</v>
      </c>
      <c r="R108" s="4" t="s">
        <v>28</v>
      </c>
      <c r="S108" s="4" t="s">
        <v>22</v>
      </c>
    </row>
    <row r="109" spans="1:19" ht="15" hidden="1">
      <c r="A109" s="2">
        <v>44281</v>
      </c>
      <c r="B109">
        <v>3</v>
      </c>
      <c r="C109">
        <v>2021</v>
      </c>
      <c r="D109" s="5">
        <v>275174.14000000001</v>
      </c>
      <c r="E109" s="4" t="s">
        <v>331</v>
      </c>
      <c r="F109" s="4" t="s">
        <v>44</v>
      </c>
      <c r="G109" s="4" t="s">
        <v>45</v>
      </c>
      <c r="H109" s="4" t="s">
        <v>332</v>
      </c>
      <c r="I109" s="4" t="s">
        <v>333</v>
      </c>
      <c r="J109" s="4" t="s">
        <v>21</v>
      </c>
      <c r="K109" s="4" t="s">
        <v>307</v>
      </c>
      <c r="L109" s="4" t="s">
        <v>22</v>
      </c>
      <c r="M109" s="4" t="s">
        <v>23</v>
      </c>
      <c r="N109" s="4" t="s">
        <v>24</v>
      </c>
      <c r="O109" s="4" t="s">
        <v>25</v>
      </c>
      <c r="P109" s="4" t="s">
        <v>26</v>
      </c>
      <c r="Q109" s="4" t="s">
        <v>40</v>
      </c>
      <c r="R109" s="4" t="s">
        <v>28</v>
      </c>
      <c r="S109" s="4" t="s">
        <v>22</v>
      </c>
    </row>
    <row r="110" spans="1:19" ht="15" hidden="1">
      <c r="A110" s="2">
        <v>44263</v>
      </c>
      <c r="B110">
        <v>3</v>
      </c>
      <c r="C110">
        <v>2021</v>
      </c>
      <c r="D110" s="5">
        <v>6.4400000000000004</v>
      </c>
      <c r="E110" s="4" t="s">
        <v>334</v>
      </c>
      <c r="F110" s="4" t="s">
        <v>38</v>
      </c>
      <c r="G110" s="4" t="s">
        <v>39</v>
      </c>
      <c r="H110" s="4" t="s">
        <v>335</v>
      </c>
      <c r="I110" s="4" t="s">
        <v>336</v>
      </c>
      <c r="J110" s="4" t="s">
        <v>21</v>
      </c>
      <c r="K110" s="4" t="s">
        <v>287</v>
      </c>
      <c r="L110" s="4" t="s">
        <v>22</v>
      </c>
      <c r="M110" s="4" t="s">
        <v>23</v>
      </c>
      <c r="N110" s="4" t="s">
        <v>24</v>
      </c>
      <c r="O110" s="4" t="s">
        <v>25</v>
      </c>
      <c r="P110" s="4" t="s">
        <v>26</v>
      </c>
      <c r="Q110" s="4" t="s">
        <v>40</v>
      </c>
      <c r="R110" s="4" t="s">
        <v>28</v>
      </c>
      <c r="S110" s="4" t="s">
        <v>22</v>
      </c>
    </row>
    <row r="111" spans="1:19" ht="15" hidden="1">
      <c r="A111" s="2">
        <v>44263</v>
      </c>
      <c r="B111">
        <v>3</v>
      </c>
      <c r="C111">
        <v>2021</v>
      </c>
      <c r="D111" s="7">
        <v>258.64999999999998</v>
      </c>
      <c r="E111" s="4" t="s">
        <v>337</v>
      </c>
      <c r="F111" s="4" t="s">
        <v>36</v>
      </c>
      <c r="G111" s="4" t="s">
        <v>37</v>
      </c>
      <c r="H111" s="4" t="s">
        <v>338</v>
      </c>
      <c r="I111" s="4" t="s">
        <v>339</v>
      </c>
      <c r="J111" s="4" t="s">
        <v>31</v>
      </c>
      <c r="K111" s="4" t="s">
        <v>340</v>
      </c>
      <c r="L111" s="4" t="s">
        <v>22</v>
      </c>
      <c r="M111" s="4" t="s">
        <v>23</v>
      </c>
      <c r="N111" s="4" t="s">
        <v>32</v>
      </c>
      <c r="O111" s="4" t="s">
        <v>28</v>
      </c>
      <c r="P111" s="4" t="s">
        <v>26</v>
      </c>
      <c r="Q111" s="4" t="s">
        <v>27</v>
      </c>
      <c r="R111" s="4" t="s">
        <v>28</v>
      </c>
      <c r="S111" s="4" t="s">
        <v>22</v>
      </c>
    </row>
    <row r="112" spans="1:19" ht="15" hidden="1">
      <c r="A112" s="2">
        <v>44263</v>
      </c>
      <c r="B112">
        <v>3</v>
      </c>
      <c r="C112">
        <v>2021</v>
      </c>
      <c r="D112" s="5">
        <v>408905.21999999997</v>
      </c>
      <c r="E112" s="4" t="s">
        <v>341</v>
      </c>
      <c r="F112" s="4" t="s">
        <v>44</v>
      </c>
      <c r="G112" s="4" t="s">
        <v>45</v>
      </c>
      <c r="H112" s="4" t="s">
        <v>342</v>
      </c>
      <c r="I112" s="4" t="s">
        <v>343</v>
      </c>
      <c r="J112" s="4" t="s">
        <v>31</v>
      </c>
      <c r="K112" s="4" t="s">
        <v>340</v>
      </c>
      <c r="L112" s="4" t="s">
        <v>22</v>
      </c>
      <c r="M112" s="4" t="s">
        <v>23</v>
      </c>
      <c r="N112" s="4" t="s">
        <v>32</v>
      </c>
      <c r="O112" s="4" t="s">
        <v>28</v>
      </c>
      <c r="P112" s="4" t="s">
        <v>26</v>
      </c>
      <c r="Q112" s="4" t="s">
        <v>27</v>
      </c>
      <c r="R112" s="4" t="s">
        <v>28</v>
      </c>
      <c r="S112" s="4" t="s">
        <v>22</v>
      </c>
    </row>
    <row r="113" spans="1:19" ht="15" hidden="1">
      <c r="A113" s="2">
        <v>44274</v>
      </c>
      <c r="B113">
        <v>3</v>
      </c>
      <c r="C113">
        <v>2021</v>
      </c>
      <c r="D113" s="5">
        <v>516407.75</v>
      </c>
      <c r="E113" s="4" t="s">
        <v>344</v>
      </c>
      <c r="F113" s="4" t="s">
        <v>44</v>
      </c>
      <c r="G113" s="4" t="s">
        <v>45</v>
      </c>
      <c r="H113" s="4" t="s">
        <v>345</v>
      </c>
      <c r="I113" s="4" t="s">
        <v>346</v>
      </c>
      <c r="J113" s="4" t="s">
        <v>31</v>
      </c>
      <c r="K113" s="4" t="s">
        <v>303</v>
      </c>
      <c r="L113" s="4" t="s">
        <v>22</v>
      </c>
      <c r="M113" s="4" t="s">
        <v>23</v>
      </c>
      <c r="N113" s="4" t="s">
        <v>32</v>
      </c>
      <c r="O113" s="4" t="s">
        <v>28</v>
      </c>
      <c r="P113" s="4" t="s">
        <v>26</v>
      </c>
      <c r="Q113" s="4" t="s">
        <v>27</v>
      </c>
      <c r="R113" s="4" t="s">
        <v>28</v>
      </c>
      <c r="S113" s="4" t="s">
        <v>22</v>
      </c>
    </row>
    <row r="114" spans="1:19" ht="15" hidden="1">
      <c r="A114" s="2">
        <v>44286</v>
      </c>
      <c r="B114">
        <v>3</v>
      </c>
      <c r="C114">
        <v>2021</v>
      </c>
      <c r="D114" s="7">
        <v>4036.9899999999998</v>
      </c>
      <c r="E114" s="4" t="s">
        <v>347</v>
      </c>
      <c r="F114" s="4" t="s">
        <v>29</v>
      </c>
      <c r="G114" s="4" t="s">
        <v>30</v>
      </c>
      <c r="H114" s="4" t="s">
        <v>348</v>
      </c>
      <c r="I114" s="4" t="s">
        <v>349</v>
      </c>
      <c r="J114" s="4" t="s">
        <v>31</v>
      </c>
      <c r="K114" s="4" t="s">
        <v>350</v>
      </c>
      <c r="L114" s="4" t="s">
        <v>22</v>
      </c>
      <c r="M114" s="4" t="s">
        <v>23</v>
      </c>
      <c r="N114" s="4" t="s">
        <v>32</v>
      </c>
      <c r="O114" s="4" t="s">
        <v>28</v>
      </c>
      <c r="P114" s="4" t="s">
        <v>26</v>
      </c>
      <c r="Q114" s="4" t="s">
        <v>27</v>
      </c>
      <c r="R114" s="4" t="s">
        <v>28</v>
      </c>
      <c r="S114" s="4" t="s">
        <v>22</v>
      </c>
    </row>
    <row r="115" spans="1:19" ht="15" hidden="1">
      <c r="A115" s="2">
        <v>44263</v>
      </c>
      <c r="B115">
        <v>3</v>
      </c>
      <c r="C115">
        <v>2021</v>
      </c>
      <c r="D115" s="5">
        <v>58527.949999999997</v>
      </c>
      <c r="E115" s="4" t="s">
        <v>284</v>
      </c>
      <c r="F115" s="4" t="s">
        <v>41</v>
      </c>
      <c r="G115" s="4" t="s">
        <v>42</v>
      </c>
      <c r="H115" s="4" t="s">
        <v>285</v>
      </c>
      <c r="I115" s="4" t="s">
        <v>286</v>
      </c>
      <c r="J115" s="4" t="s">
        <v>31</v>
      </c>
      <c r="K115" s="4" t="s">
        <v>340</v>
      </c>
      <c r="L115" s="4" t="s">
        <v>22</v>
      </c>
      <c r="M115" s="4" t="s">
        <v>23</v>
      </c>
      <c r="N115" s="4" t="s">
        <v>32</v>
      </c>
      <c r="O115" s="4" t="s">
        <v>28</v>
      </c>
      <c r="P115" s="4" t="s">
        <v>43</v>
      </c>
      <c r="Q115" s="4" t="s">
        <v>27</v>
      </c>
      <c r="R115" s="4" t="s">
        <v>28</v>
      </c>
      <c r="S115" s="4" t="s">
        <v>22</v>
      </c>
    </row>
    <row r="116" spans="1:19" ht="15" hidden="1">
      <c r="A116" s="2">
        <v>44267</v>
      </c>
      <c r="B116">
        <v>3</v>
      </c>
      <c r="C116">
        <v>2021</v>
      </c>
      <c r="D116" s="5">
        <v>15239.25</v>
      </c>
      <c r="E116" s="4" t="s">
        <v>351</v>
      </c>
      <c r="F116" s="4" t="s">
        <v>38</v>
      </c>
      <c r="G116" s="4" t="s">
        <v>39</v>
      </c>
      <c r="H116" s="4" t="s">
        <v>352</v>
      </c>
      <c r="I116" s="4" t="s">
        <v>353</v>
      </c>
      <c r="J116" s="4" t="s">
        <v>21</v>
      </c>
      <c r="K116" s="4" t="s">
        <v>326</v>
      </c>
      <c r="L116" s="4" t="s">
        <v>22</v>
      </c>
      <c r="M116" s="4" t="s">
        <v>23</v>
      </c>
      <c r="N116" s="4" t="s">
        <v>24</v>
      </c>
      <c r="O116" s="4" t="s">
        <v>25</v>
      </c>
      <c r="P116" s="4" t="s">
        <v>26</v>
      </c>
      <c r="Q116" s="4" t="s">
        <v>40</v>
      </c>
      <c r="R116" s="4" t="s">
        <v>28</v>
      </c>
      <c r="S116" s="4" t="s">
        <v>22</v>
      </c>
    </row>
    <row r="117" spans="1:19" ht="15" hidden="1">
      <c r="A117" s="2">
        <v>44274</v>
      </c>
      <c r="B117">
        <v>3</v>
      </c>
      <c r="C117">
        <v>2021</v>
      </c>
      <c r="D117" s="5">
        <v>55596.230000000003</v>
      </c>
      <c r="E117" s="4" t="s">
        <v>296</v>
      </c>
      <c r="F117" s="4" t="s">
        <v>41</v>
      </c>
      <c r="G117" s="4" t="s">
        <v>42</v>
      </c>
      <c r="H117" s="4" t="s">
        <v>297</v>
      </c>
      <c r="I117" s="4" t="s">
        <v>298</v>
      </c>
      <c r="J117" s="4" t="s">
        <v>31</v>
      </c>
      <c r="K117" s="4" t="s">
        <v>303</v>
      </c>
      <c r="L117" s="4" t="s">
        <v>22</v>
      </c>
      <c r="M117" s="4" t="s">
        <v>23</v>
      </c>
      <c r="N117" s="4" t="s">
        <v>32</v>
      </c>
      <c r="O117" s="4" t="s">
        <v>28</v>
      </c>
      <c r="P117" s="4" t="s">
        <v>43</v>
      </c>
      <c r="Q117" s="4" t="s">
        <v>27</v>
      </c>
      <c r="R117" s="4" t="s">
        <v>28</v>
      </c>
      <c r="S117" s="4" t="s">
        <v>22</v>
      </c>
    </row>
    <row r="118" spans="1:19" ht="15" hidden="1">
      <c r="A118" s="2">
        <v>44274</v>
      </c>
      <c r="B118">
        <v>3</v>
      </c>
      <c r="C118">
        <v>2021</v>
      </c>
      <c r="D118" s="7">
        <v>1930.06</v>
      </c>
      <c r="E118" s="4" t="s">
        <v>354</v>
      </c>
      <c r="F118" s="4" t="s">
        <v>29</v>
      </c>
      <c r="G118" s="4" t="s">
        <v>30</v>
      </c>
      <c r="H118" s="4" t="s">
        <v>355</v>
      </c>
      <c r="I118" s="4" t="s">
        <v>356</v>
      </c>
      <c r="J118" s="4" t="s">
        <v>21</v>
      </c>
      <c r="K118" s="4" t="s">
        <v>299</v>
      </c>
      <c r="L118" s="4" t="s">
        <v>22</v>
      </c>
      <c r="M118" s="4" t="s">
        <v>23</v>
      </c>
      <c r="N118" s="4" t="s">
        <v>24</v>
      </c>
      <c r="O118" s="4" t="s">
        <v>25</v>
      </c>
      <c r="P118" s="4" t="s">
        <v>26</v>
      </c>
      <c r="Q118" s="4" t="s">
        <v>27</v>
      </c>
      <c r="R118" s="4" t="s">
        <v>28</v>
      </c>
      <c r="S118" s="4" t="s">
        <v>22</v>
      </c>
    </row>
    <row r="119" spans="1:19" ht="15" hidden="1">
      <c r="A119" s="2">
        <v>44281</v>
      </c>
      <c r="B119">
        <v>3</v>
      </c>
      <c r="C119">
        <v>2021</v>
      </c>
      <c r="D119" s="5">
        <v>1984</v>
      </c>
      <c r="E119" s="4" t="s">
        <v>357</v>
      </c>
      <c r="F119" s="4" t="s">
        <v>38</v>
      </c>
      <c r="G119" s="4" t="s">
        <v>39</v>
      </c>
      <c r="H119" s="4" t="s">
        <v>358</v>
      </c>
      <c r="I119" s="4" t="s">
        <v>359</v>
      </c>
      <c r="J119" s="4" t="s">
        <v>31</v>
      </c>
      <c r="K119" s="4" t="s">
        <v>315</v>
      </c>
      <c r="L119" s="4" t="s">
        <v>22</v>
      </c>
      <c r="M119" s="4" t="s">
        <v>23</v>
      </c>
      <c r="N119" s="4" t="s">
        <v>32</v>
      </c>
      <c r="O119" s="4" t="s">
        <v>28</v>
      </c>
      <c r="P119" s="4" t="s">
        <v>26</v>
      </c>
      <c r="Q119" s="4" t="s">
        <v>27</v>
      </c>
      <c r="R119" s="4" t="s">
        <v>28</v>
      </c>
      <c r="S119" s="4" t="s">
        <v>22</v>
      </c>
    </row>
    <row r="120" spans="1:19" ht="15" hidden="1">
      <c r="A120" s="2">
        <v>44286</v>
      </c>
      <c r="B120">
        <v>3</v>
      </c>
      <c r="C120">
        <v>2021</v>
      </c>
      <c r="D120" s="7">
        <v>458.30000000000001</v>
      </c>
      <c r="E120" s="4" t="s">
        <v>360</v>
      </c>
      <c r="F120" s="4" t="s">
        <v>36</v>
      </c>
      <c r="G120" s="4" t="s">
        <v>37</v>
      </c>
      <c r="H120" s="4" t="s">
        <v>361</v>
      </c>
      <c r="I120" s="4" t="s">
        <v>362</v>
      </c>
      <c r="J120" s="4" t="s">
        <v>21</v>
      </c>
      <c r="K120" s="4" t="s">
        <v>319</v>
      </c>
      <c r="L120" s="4" t="s">
        <v>22</v>
      </c>
      <c r="M120" s="4" t="s">
        <v>23</v>
      </c>
      <c r="N120" s="4" t="s">
        <v>24</v>
      </c>
      <c r="O120" s="4" t="s">
        <v>25</v>
      </c>
      <c r="P120" s="4" t="s">
        <v>26</v>
      </c>
      <c r="Q120" s="4" t="s">
        <v>40</v>
      </c>
      <c r="R120" s="4" t="s">
        <v>28</v>
      </c>
      <c r="S120" s="4" t="s">
        <v>22</v>
      </c>
    </row>
    <row r="121" spans="1:19" ht="15" hidden="1">
      <c r="A121" s="2">
        <v>44286</v>
      </c>
      <c r="B121">
        <v>3</v>
      </c>
      <c r="C121">
        <v>2021</v>
      </c>
      <c r="D121" s="7">
        <v>744.05999999999995</v>
      </c>
      <c r="E121" s="4" t="s">
        <v>360</v>
      </c>
      <c r="F121" s="4" t="s">
        <v>36</v>
      </c>
      <c r="G121" s="4" t="s">
        <v>37</v>
      </c>
      <c r="H121" s="4" t="s">
        <v>361</v>
      </c>
      <c r="I121" s="4" t="s">
        <v>362</v>
      </c>
      <c r="J121" s="4" t="s">
        <v>31</v>
      </c>
      <c r="K121" s="4" t="s">
        <v>350</v>
      </c>
      <c r="L121" s="4" t="s">
        <v>22</v>
      </c>
      <c r="M121" s="4" t="s">
        <v>23</v>
      </c>
      <c r="N121" s="4" t="s">
        <v>32</v>
      </c>
      <c r="O121" s="4" t="s">
        <v>28</v>
      </c>
      <c r="P121" s="4" t="s">
        <v>26</v>
      </c>
      <c r="Q121" s="4" t="s">
        <v>27</v>
      </c>
      <c r="R121" s="4" t="s">
        <v>28</v>
      </c>
      <c r="S121" s="4" t="s">
        <v>22</v>
      </c>
    </row>
    <row r="122" spans="1:19" ht="15" hidden="1">
      <c r="A122" s="2">
        <v>44263</v>
      </c>
      <c r="B122">
        <v>3</v>
      </c>
      <c r="C122">
        <v>2021</v>
      </c>
      <c r="D122" s="5">
        <v>527.61000000000001</v>
      </c>
      <c r="E122" s="4" t="s">
        <v>334</v>
      </c>
      <c r="F122" s="4" t="s">
        <v>38</v>
      </c>
      <c r="G122" s="4" t="s">
        <v>39</v>
      </c>
      <c r="H122" s="4" t="s">
        <v>335</v>
      </c>
      <c r="I122" s="4" t="s">
        <v>336</v>
      </c>
      <c r="J122" s="4" t="s">
        <v>31</v>
      </c>
      <c r="K122" s="4" t="s">
        <v>340</v>
      </c>
      <c r="L122" s="4" t="s">
        <v>22</v>
      </c>
      <c r="M122" s="4" t="s">
        <v>23</v>
      </c>
      <c r="N122" s="4" t="s">
        <v>32</v>
      </c>
      <c r="O122" s="4" t="s">
        <v>28</v>
      </c>
      <c r="P122" s="4" t="s">
        <v>26</v>
      </c>
      <c r="Q122" s="4" t="s">
        <v>27</v>
      </c>
      <c r="R122" s="4" t="s">
        <v>28</v>
      </c>
      <c r="S122" s="4" t="s">
        <v>22</v>
      </c>
    </row>
    <row r="123" spans="1:19" ht="15" hidden="1">
      <c r="A123" s="2">
        <v>44267</v>
      </c>
      <c r="B123">
        <v>3</v>
      </c>
      <c r="C123">
        <v>2021</v>
      </c>
      <c r="D123" s="7">
        <v>661.30999999999995</v>
      </c>
      <c r="E123" s="4" t="s">
        <v>363</v>
      </c>
      <c r="F123" s="4" t="s">
        <v>29</v>
      </c>
      <c r="G123" s="4" t="s">
        <v>30</v>
      </c>
      <c r="H123" s="4" t="s">
        <v>364</v>
      </c>
      <c r="I123" s="4" t="s">
        <v>365</v>
      </c>
      <c r="J123" s="4" t="s">
        <v>21</v>
      </c>
      <c r="K123" s="4" t="s">
        <v>326</v>
      </c>
      <c r="L123" s="4" t="s">
        <v>22</v>
      </c>
      <c r="M123" s="4" t="s">
        <v>23</v>
      </c>
      <c r="N123" s="4" t="s">
        <v>24</v>
      </c>
      <c r="O123" s="4" t="s">
        <v>25</v>
      </c>
      <c r="P123" s="4" t="s">
        <v>26</v>
      </c>
      <c r="Q123" s="4" t="s">
        <v>27</v>
      </c>
      <c r="R123" s="4" t="s">
        <v>28</v>
      </c>
      <c r="S123" s="4" t="s">
        <v>22</v>
      </c>
    </row>
    <row r="124" spans="1:19" ht="15" hidden="1">
      <c r="A124" s="2">
        <v>44267</v>
      </c>
      <c r="B124">
        <v>3</v>
      </c>
      <c r="C124">
        <v>2021</v>
      </c>
      <c r="D124" s="5">
        <v>195551.89000000001</v>
      </c>
      <c r="E124" s="4" t="s">
        <v>351</v>
      </c>
      <c r="F124" s="4" t="s">
        <v>38</v>
      </c>
      <c r="G124" s="4" t="s">
        <v>39</v>
      </c>
      <c r="H124" s="4" t="s">
        <v>352</v>
      </c>
      <c r="I124" s="4" t="s">
        <v>353</v>
      </c>
      <c r="J124" s="4" t="s">
        <v>31</v>
      </c>
      <c r="K124" s="4" t="s">
        <v>291</v>
      </c>
      <c r="L124" s="4" t="s">
        <v>22</v>
      </c>
      <c r="M124" s="4" t="s">
        <v>23</v>
      </c>
      <c r="N124" s="4" t="s">
        <v>32</v>
      </c>
      <c r="O124" s="4" t="s">
        <v>28</v>
      </c>
      <c r="P124" s="4" t="s">
        <v>26</v>
      </c>
      <c r="Q124" s="4" t="s">
        <v>27</v>
      </c>
      <c r="R124" s="4" t="s">
        <v>28</v>
      </c>
      <c r="S124" s="4" t="s">
        <v>22</v>
      </c>
    </row>
    <row r="125" spans="1:19" ht="15" hidden="1">
      <c r="A125" s="2">
        <v>44267</v>
      </c>
      <c r="B125">
        <v>3</v>
      </c>
      <c r="C125">
        <v>2021</v>
      </c>
      <c r="D125" s="7">
        <v>2151.5100000000002</v>
      </c>
      <c r="E125" s="4" t="s">
        <v>363</v>
      </c>
      <c r="F125" s="4" t="s">
        <v>29</v>
      </c>
      <c r="G125" s="4" t="s">
        <v>30</v>
      </c>
      <c r="H125" s="4" t="s">
        <v>364</v>
      </c>
      <c r="I125" s="4" t="s">
        <v>365</v>
      </c>
      <c r="J125" s="4" t="s">
        <v>31</v>
      </c>
      <c r="K125" s="4" t="s">
        <v>291</v>
      </c>
      <c r="L125" s="4" t="s">
        <v>22</v>
      </c>
      <c r="M125" s="4" t="s">
        <v>23</v>
      </c>
      <c r="N125" s="4" t="s">
        <v>32</v>
      </c>
      <c r="O125" s="4" t="s">
        <v>28</v>
      </c>
      <c r="P125" s="4" t="s">
        <v>26</v>
      </c>
      <c r="Q125" s="4" t="s">
        <v>27</v>
      </c>
      <c r="R125" s="4" t="s">
        <v>28</v>
      </c>
      <c r="S125" s="4" t="s">
        <v>22</v>
      </c>
    </row>
    <row r="126" spans="1:19" ht="15" hidden="1">
      <c r="A126" s="2">
        <v>44270</v>
      </c>
      <c r="B126">
        <v>3</v>
      </c>
      <c r="C126">
        <v>2021</v>
      </c>
      <c r="D126" s="7">
        <v>596.32000000000005</v>
      </c>
      <c r="E126" s="4" t="s">
        <v>366</v>
      </c>
      <c r="F126" s="4" t="s">
        <v>36</v>
      </c>
      <c r="G126" s="4" t="s">
        <v>37</v>
      </c>
      <c r="H126" s="4" t="s">
        <v>367</v>
      </c>
      <c r="I126" s="4" t="s">
        <v>368</v>
      </c>
      <c r="J126" s="4" t="s">
        <v>21</v>
      </c>
      <c r="K126" s="4" t="s">
        <v>295</v>
      </c>
      <c r="L126" s="4" t="s">
        <v>22</v>
      </c>
      <c r="M126" s="4" t="s">
        <v>23</v>
      </c>
      <c r="N126" s="4" t="s">
        <v>24</v>
      </c>
      <c r="O126" s="4" t="s">
        <v>25</v>
      </c>
      <c r="P126" s="4" t="s">
        <v>26</v>
      </c>
      <c r="Q126" s="4" t="s">
        <v>40</v>
      </c>
      <c r="R126" s="4" t="s">
        <v>28</v>
      </c>
      <c r="S126" s="4" t="s">
        <v>22</v>
      </c>
    </row>
    <row r="127" spans="1:19" ht="15" hidden="1">
      <c r="A127" s="2">
        <v>44280</v>
      </c>
      <c r="B127">
        <v>3</v>
      </c>
      <c r="C127">
        <v>2021</v>
      </c>
      <c r="D127" s="5">
        <v>187566.75</v>
      </c>
      <c r="E127" s="4" t="s">
        <v>369</v>
      </c>
      <c r="F127" s="4" t="s">
        <v>38</v>
      </c>
      <c r="G127" s="4" t="s">
        <v>39</v>
      </c>
      <c r="H127" s="4" t="s">
        <v>370</v>
      </c>
      <c r="I127" s="4" t="s">
        <v>371</v>
      </c>
      <c r="J127" s="4" t="s">
        <v>31</v>
      </c>
      <c r="K127" s="4" t="s">
        <v>372</v>
      </c>
      <c r="L127" s="4" t="s">
        <v>22</v>
      </c>
      <c r="M127" s="4" t="s">
        <v>23</v>
      </c>
      <c r="N127" s="4" t="s">
        <v>32</v>
      </c>
      <c r="O127" s="4" t="s">
        <v>28</v>
      </c>
      <c r="P127" s="4" t="s">
        <v>26</v>
      </c>
      <c r="Q127" s="4" t="s">
        <v>27</v>
      </c>
      <c r="R127" s="4" t="s">
        <v>28</v>
      </c>
      <c r="S127" s="4" t="s">
        <v>22</v>
      </c>
    </row>
    <row r="128" spans="1:19" ht="15" hidden="1">
      <c r="A128" s="2">
        <v>44281</v>
      </c>
      <c r="B128">
        <v>3</v>
      </c>
      <c r="C128">
        <v>2021</v>
      </c>
      <c r="D128" s="7">
        <v>6365.5500000000002</v>
      </c>
      <c r="E128" s="4" t="s">
        <v>304</v>
      </c>
      <c r="F128" s="4" t="s">
        <v>36</v>
      </c>
      <c r="G128" s="4" t="s">
        <v>37</v>
      </c>
      <c r="H128" s="4" t="s">
        <v>305</v>
      </c>
      <c r="I128" s="4" t="s">
        <v>306</v>
      </c>
      <c r="J128" s="4" t="s">
        <v>31</v>
      </c>
      <c r="K128" s="4" t="s">
        <v>315</v>
      </c>
      <c r="L128" s="4" t="s">
        <v>22</v>
      </c>
      <c r="M128" s="4" t="s">
        <v>23</v>
      </c>
      <c r="N128" s="4" t="s">
        <v>32</v>
      </c>
      <c r="O128" s="4" t="s">
        <v>28</v>
      </c>
      <c r="P128" s="4" t="s">
        <v>26</v>
      </c>
      <c r="Q128" s="4" t="s">
        <v>27</v>
      </c>
      <c r="R128" s="4" t="s">
        <v>28</v>
      </c>
      <c r="S128" s="4" t="s">
        <v>22</v>
      </c>
    </row>
    <row r="129" spans="1:19" ht="15" hidden="1">
      <c r="A129" s="2">
        <v>44281</v>
      </c>
      <c r="B129">
        <v>3</v>
      </c>
      <c r="C129">
        <v>2021</v>
      </c>
      <c r="D129" s="5">
        <v>5400</v>
      </c>
      <c r="E129" s="4" t="s">
        <v>373</v>
      </c>
      <c r="F129" s="4" t="s">
        <v>48</v>
      </c>
      <c r="G129" s="4" t="s">
        <v>256</v>
      </c>
      <c r="H129" s="4" t="s">
        <v>374</v>
      </c>
      <c r="I129" s="4" t="s">
        <v>375</v>
      </c>
      <c r="J129" s="4" t="s">
        <v>31</v>
      </c>
      <c r="K129" s="4" t="s">
        <v>315</v>
      </c>
      <c r="L129" s="4" t="s">
        <v>22</v>
      </c>
      <c r="M129" s="4" t="s">
        <v>23</v>
      </c>
      <c r="N129" s="4" t="s">
        <v>32</v>
      </c>
      <c r="O129" s="4" t="s">
        <v>28</v>
      </c>
      <c r="P129" s="4" t="s">
        <v>49</v>
      </c>
      <c r="Q129" s="4" t="s">
        <v>50</v>
      </c>
      <c r="R129" s="4" t="s">
        <v>28</v>
      </c>
      <c r="S129" s="4" t="s">
        <v>22</v>
      </c>
    </row>
    <row r="130" spans="1:19" ht="15" hidden="1">
      <c r="A130" s="2">
        <v>44286</v>
      </c>
      <c r="B130">
        <v>3</v>
      </c>
      <c r="C130">
        <v>2021</v>
      </c>
      <c r="D130" s="7">
        <v>777.83000000000004</v>
      </c>
      <c r="E130" s="4" t="s">
        <v>347</v>
      </c>
      <c r="F130" s="4" t="s">
        <v>29</v>
      </c>
      <c r="G130" s="4" t="s">
        <v>30</v>
      </c>
      <c r="H130" s="4" t="s">
        <v>348</v>
      </c>
      <c r="I130" s="4" t="s">
        <v>349</v>
      </c>
      <c r="J130" s="4" t="s">
        <v>21</v>
      </c>
      <c r="K130" s="4" t="s">
        <v>319</v>
      </c>
      <c r="L130" s="4" t="s">
        <v>22</v>
      </c>
      <c r="M130" s="4" t="s">
        <v>23</v>
      </c>
      <c r="N130" s="4" t="s">
        <v>24</v>
      </c>
      <c r="O130" s="4" t="s">
        <v>25</v>
      </c>
      <c r="P130" s="4" t="s">
        <v>26</v>
      </c>
      <c r="Q130" s="4" t="s">
        <v>27</v>
      </c>
      <c r="R130" s="4" t="s">
        <v>28</v>
      </c>
      <c r="S130" s="4" t="s">
        <v>22</v>
      </c>
    </row>
    <row r="131" spans="1:19" ht="15" hidden="1">
      <c r="A131" s="2">
        <v>44286</v>
      </c>
      <c r="B131">
        <v>3</v>
      </c>
      <c r="C131">
        <v>2021</v>
      </c>
      <c r="D131" s="5">
        <v>357749.09000000003</v>
      </c>
      <c r="E131" s="4" t="s">
        <v>376</v>
      </c>
      <c r="F131" s="4" t="s">
        <v>44</v>
      </c>
      <c r="G131" s="4" t="s">
        <v>45</v>
      </c>
      <c r="H131" s="4" t="s">
        <v>377</v>
      </c>
      <c r="I131" s="4" t="s">
        <v>378</v>
      </c>
      <c r="J131" s="4" t="s">
        <v>31</v>
      </c>
      <c r="K131" s="4" t="s">
        <v>350</v>
      </c>
      <c r="L131" s="4" t="s">
        <v>22</v>
      </c>
      <c r="M131" s="4" t="s">
        <v>23</v>
      </c>
      <c r="N131" s="4" t="s">
        <v>32</v>
      </c>
      <c r="O131" s="4" t="s">
        <v>28</v>
      </c>
      <c r="P131" s="4" t="s">
        <v>26</v>
      </c>
      <c r="Q131" s="4" t="s">
        <v>27</v>
      </c>
      <c r="R131" s="4" t="s">
        <v>28</v>
      </c>
      <c r="S131" s="4" t="s">
        <v>22</v>
      </c>
    </row>
    <row r="132" spans="1:19" ht="15" hidden="1">
      <c r="A132" s="2">
        <v>44286</v>
      </c>
      <c r="B132">
        <v>3</v>
      </c>
      <c r="C132">
        <v>2021</v>
      </c>
      <c r="D132" s="5">
        <v>135.00999999999999</v>
      </c>
      <c r="E132" s="4" t="s">
        <v>379</v>
      </c>
      <c r="F132" s="4" t="s">
        <v>38</v>
      </c>
      <c r="G132" s="4" t="s">
        <v>39</v>
      </c>
      <c r="H132" s="4" t="s">
        <v>380</v>
      </c>
      <c r="I132" s="4" t="s">
        <v>381</v>
      </c>
      <c r="J132" s="4" t="s">
        <v>31</v>
      </c>
      <c r="K132" s="4" t="s">
        <v>350</v>
      </c>
      <c r="L132" s="4" t="s">
        <v>22</v>
      </c>
      <c r="M132" s="4" t="s">
        <v>23</v>
      </c>
      <c r="N132" s="4" t="s">
        <v>32</v>
      </c>
      <c r="O132" s="4" t="s">
        <v>28</v>
      </c>
      <c r="P132" s="4" t="s">
        <v>26</v>
      </c>
      <c r="Q132" s="4" t="s">
        <v>27</v>
      </c>
      <c r="R132" s="4" t="s">
        <v>28</v>
      </c>
      <c r="S132" s="4" t="s">
        <v>22</v>
      </c>
    </row>
    <row r="133" spans="1:19" ht="15" hidden="1">
      <c r="A133" s="2">
        <v>44267</v>
      </c>
      <c r="B133">
        <v>3</v>
      </c>
      <c r="C133">
        <v>2021</v>
      </c>
      <c r="D133" s="5">
        <v>276269.12</v>
      </c>
      <c r="E133" s="4" t="s">
        <v>288</v>
      </c>
      <c r="F133" s="4" t="s">
        <v>44</v>
      </c>
      <c r="G133" s="4" t="s">
        <v>45</v>
      </c>
      <c r="H133" s="4" t="s">
        <v>289</v>
      </c>
      <c r="I133" s="4" t="s">
        <v>290</v>
      </c>
      <c r="J133" s="4" t="s">
        <v>21</v>
      </c>
      <c r="K133" s="4" t="s">
        <v>326</v>
      </c>
      <c r="L133" s="4" t="s">
        <v>22</v>
      </c>
      <c r="M133" s="4" t="s">
        <v>23</v>
      </c>
      <c r="N133" s="4" t="s">
        <v>24</v>
      </c>
      <c r="O133" s="4" t="s">
        <v>25</v>
      </c>
      <c r="P133" s="4" t="s">
        <v>26</v>
      </c>
      <c r="Q133" s="4" t="s">
        <v>40</v>
      </c>
      <c r="R133" s="4" t="s">
        <v>28</v>
      </c>
      <c r="S133" s="4" t="s">
        <v>22</v>
      </c>
    </row>
    <row r="134" spans="1:19" ht="15" hidden="1">
      <c r="A134" s="2">
        <v>44274</v>
      </c>
      <c r="B134">
        <v>3</v>
      </c>
      <c r="C134">
        <v>2021</v>
      </c>
      <c r="D134" s="5">
        <v>4170.6000000000004</v>
      </c>
      <c r="E134" s="4" t="s">
        <v>382</v>
      </c>
      <c r="F134" s="4" t="s">
        <v>38</v>
      </c>
      <c r="G134" s="4" t="s">
        <v>39</v>
      </c>
      <c r="H134" s="4" t="s">
        <v>383</v>
      </c>
      <c r="I134" s="4" t="s">
        <v>384</v>
      </c>
      <c r="J134" s="4" t="s">
        <v>31</v>
      </c>
      <c r="K134" s="4" t="s">
        <v>303</v>
      </c>
      <c r="L134" s="4" t="s">
        <v>22</v>
      </c>
      <c r="M134" s="4" t="s">
        <v>23</v>
      </c>
      <c r="N134" s="4" t="s">
        <v>32</v>
      </c>
      <c r="O134" s="4" t="s">
        <v>28</v>
      </c>
      <c r="P134" s="4" t="s">
        <v>26</v>
      </c>
      <c r="Q134" s="4" t="s">
        <v>27</v>
      </c>
      <c r="R134" s="4" t="s">
        <v>28</v>
      </c>
      <c r="S134" s="4" t="s">
        <v>22</v>
      </c>
    </row>
    <row r="135" spans="1:19" ht="15" hidden="1">
      <c r="A135" s="2">
        <v>44286</v>
      </c>
      <c r="B135">
        <v>3</v>
      </c>
      <c r="C135">
        <v>2021</v>
      </c>
      <c r="D135" s="5">
        <v>220954.63000000001</v>
      </c>
      <c r="E135" s="4" t="s">
        <v>376</v>
      </c>
      <c r="F135" s="4" t="s">
        <v>44</v>
      </c>
      <c r="G135" s="4" t="s">
        <v>45</v>
      </c>
      <c r="H135" s="4" t="s">
        <v>377</v>
      </c>
      <c r="I135" s="4" t="s">
        <v>378</v>
      </c>
      <c r="J135" s="4" t="s">
        <v>21</v>
      </c>
      <c r="K135" s="4" t="s">
        <v>319</v>
      </c>
      <c r="L135" s="4" t="s">
        <v>22</v>
      </c>
      <c r="M135" s="4" t="s">
        <v>23</v>
      </c>
      <c r="N135" s="4" t="s">
        <v>24</v>
      </c>
      <c r="O135" s="4" t="s">
        <v>25</v>
      </c>
      <c r="P135" s="4" t="s">
        <v>26</v>
      </c>
      <c r="Q135" s="4" t="s">
        <v>40</v>
      </c>
      <c r="R135" s="4" t="s">
        <v>28</v>
      </c>
      <c r="S135" s="4" t="s">
        <v>22</v>
      </c>
    </row>
    <row r="136" spans="1:19" ht="15" hidden="1">
      <c r="A136" s="2">
        <v>44263</v>
      </c>
      <c r="B136">
        <v>3</v>
      </c>
      <c r="C136">
        <v>2021</v>
      </c>
      <c r="D136" s="7">
        <v>1799.51</v>
      </c>
      <c r="E136" s="4" t="s">
        <v>320</v>
      </c>
      <c r="F136" s="4" t="s">
        <v>29</v>
      </c>
      <c r="G136" s="4" t="s">
        <v>30</v>
      </c>
      <c r="H136" s="4" t="s">
        <v>321</v>
      </c>
      <c r="I136" s="4" t="s">
        <v>322</v>
      </c>
      <c r="J136" s="4" t="s">
        <v>31</v>
      </c>
      <c r="K136" s="4" t="s">
        <v>340</v>
      </c>
      <c r="L136" s="4" t="s">
        <v>22</v>
      </c>
      <c r="M136" s="4" t="s">
        <v>23</v>
      </c>
      <c r="N136" s="4" t="s">
        <v>32</v>
      </c>
      <c r="O136" s="4" t="s">
        <v>28</v>
      </c>
      <c r="P136" s="4" t="s">
        <v>26</v>
      </c>
      <c r="Q136" s="4" t="s">
        <v>27</v>
      </c>
      <c r="R136" s="4" t="s">
        <v>28</v>
      </c>
      <c r="S136" s="4" t="s">
        <v>22</v>
      </c>
    </row>
    <row r="137" spans="1:19" ht="15" hidden="1">
      <c r="A137" s="2">
        <v>44274</v>
      </c>
      <c r="B137">
        <v>3</v>
      </c>
      <c r="C137">
        <v>2021</v>
      </c>
      <c r="D137" s="7">
        <v>1687.72</v>
      </c>
      <c r="E137" s="4" t="s">
        <v>354</v>
      </c>
      <c r="F137" s="4" t="s">
        <v>29</v>
      </c>
      <c r="G137" s="4" t="s">
        <v>30</v>
      </c>
      <c r="H137" s="4" t="s">
        <v>355</v>
      </c>
      <c r="I137" s="4" t="s">
        <v>356</v>
      </c>
      <c r="J137" s="4" t="s">
        <v>31</v>
      </c>
      <c r="K137" s="4" t="s">
        <v>303</v>
      </c>
      <c r="L137" s="4" t="s">
        <v>22</v>
      </c>
      <c r="M137" s="4" t="s">
        <v>23</v>
      </c>
      <c r="N137" s="4" t="s">
        <v>32</v>
      </c>
      <c r="O137" s="4" t="s">
        <v>28</v>
      </c>
      <c r="P137" s="4" t="s">
        <v>26</v>
      </c>
      <c r="Q137" s="4" t="s">
        <v>27</v>
      </c>
      <c r="R137" s="4" t="s">
        <v>28</v>
      </c>
      <c r="S137" s="4" t="s">
        <v>22</v>
      </c>
    </row>
    <row r="138" spans="1:19" ht="15" hidden="1">
      <c r="A138" s="2">
        <v>44274</v>
      </c>
      <c r="B138">
        <v>3</v>
      </c>
      <c r="C138">
        <v>2021</v>
      </c>
      <c r="D138" s="7">
        <v>283.18000000000001</v>
      </c>
      <c r="E138" s="4" t="s">
        <v>300</v>
      </c>
      <c r="F138" s="4" t="s">
        <v>36</v>
      </c>
      <c r="G138" s="4" t="s">
        <v>37</v>
      </c>
      <c r="H138" s="4" t="s">
        <v>301</v>
      </c>
      <c r="I138" s="4" t="s">
        <v>302</v>
      </c>
      <c r="J138" s="4" t="s">
        <v>21</v>
      </c>
      <c r="K138" s="4" t="s">
        <v>299</v>
      </c>
      <c r="L138" s="4" t="s">
        <v>22</v>
      </c>
      <c r="M138" s="4" t="s">
        <v>23</v>
      </c>
      <c r="N138" s="4" t="s">
        <v>24</v>
      </c>
      <c r="O138" s="4" t="s">
        <v>25</v>
      </c>
      <c r="P138" s="4" t="s">
        <v>26</v>
      </c>
      <c r="Q138" s="4" t="s">
        <v>40</v>
      </c>
      <c r="R138" s="4" t="s">
        <v>28</v>
      </c>
      <c r="S138" s="4" t="s">
        <v>22</v>
      </c>
    </row>
    <row r="139" spans="1:19" ht="15" hidden="1">
      <c r="A139" s="2">
        <v>44281</v>
      </c>
      <c r="B139">
        <v>3</v>
      </c>
      <c r="C139">
        <v>2021</v>
      </c>
      <c r="D139" s="7">
        <v>158.53</v>
      </c>
      <c r="E139" s="4" t="s">
        <v>312</v>
      </c>
      <c r="F139" s="4" t="s">
        <v>29</v>
      </c>
      <c r="G139" s="4" t="s">
        <v>30</v>
      </c>
      <c r="H139" s="4" t="s">
        <v>313</v>
      </c>
      <c r="I139" s="4" t="s">
        <v>314</v>
      </c>
      <c r="J139" s="4" t="s">
        <v>21</v>
      </c>
      <c r="K139" s="4" t="s">
        <v>307</v>
      </c>
      <c r="L139" s="4" t="s">
        <v>22</v>
      </c>
      <c r="M139" s="4" t="s">
        <v>23</v>
      </c>
      <c r="N139" s="4" t="s">
        <v>24</v>
      </c>
      <c r="O139" s="4" t="s">
        <v>25</v>
      </c>
      <c r="P139" s="4" t="s">
        <v>26</v>
      </c>
      <c r="Q139" s="4" t="s">
        <v>27</v>
      </c>
      <c r="R139" s="4" t="s">
        <v>28</v>
      </c>
      <c r="S139" s="4" t="s">
        <v>22</v>
      </c>
    </row>
    <row r="140" spans="1:19" ht="15" hidden="1">
      <c r="A140" s="2">
        <v>44281</v>
      </c>
      <c r="B140">
        <v>3</v>
      </c>
      <c r="C140">
        <v>2021</v>
      </c>
      <c r="D140" s="5">
        <v>21682.84</v>
      </c>
      <c r="E140" s="4" t="s">
        <v>385</v>
      </c>
      <c r="F140" s="4" t="s">
        <v>41</v>
      </c>
      <c r="G140" s="4" t="s">
        <v>42</v>
      </c>
      <c r="H140" s="4" t="s">
        <v>386</v>
      </c>
      <c r="I140" s="4" t="s">
        <v>387</v>
      </c>
      <c r="J140" s="4" t="s">
        <v>21</v>
      </c>
      <c r="K140" s="4" t="s">
        <v>307</v>
      </c>
      <c r="L140" s="4" t="s">
        <v>22</v>
      </c>
      <c r="M140" s="4" t="s">
        <v>23</v>
      </c>
      <c r="N140" s="4" t="s">
        <v>24</v>
      </c>
      <c r="O140" s="4" t="s">
        <v>25</v>
      </c>
      <c r="P140" s="4" t="s">
        <v>43</v>
      </c>
      <c r="Q140" s="4" t="s">
        <v>40</v>
      </c>
      <c r="R140" s="4" t="s">
        <v>28</v>
      </c>
      <c r="S140" s="4" t="s">
        <v>22</v>
      </c>
    </row>
    <row r="141" spans="1:19" ht="15" hidden="1">
      <c r="A141" s="2">
        <v>44281</v>
      </c>
      <c r="B141">
        <v>3</v>
      </c>
      <c r="C141">
        <v>2021</v>
      </c>
      <c r="D141" s="5">
        <v>793906.76000000001</v>
      </c>
      <c r="E141" s="4" t="s">
        <v>331</v>
      </c>
      <c r="F141" s="4" t="s">
        <v>44</v>
      </c>
      <c r="G141" s="4" t="s">
        <v>45</v>
      </c>
      <c r="H141" s="4" t="s">
        <v>332</v>
      </c>
      <c r="I141" s="4" t="s">
        <v>333</v>
      </c>
      <c r="J141" s="4" t="s">
        <v>31</v>
      </c>
      <c r="K141" s="4" t="s">
        <v>315</v>
      </c>
      <c r="L141" s="4" t="s">
        <v>22</v>
      </c>
      <c r="M141" s="4" t="s">
        <v>23</v>
      </c>
      <c r="N141" s="4" t="s">
        <v>32</v>
      </c>
      <c r="O141" s="4" t="s">
        <v>28</v>
      </c>
      <c r="P141" s="4" t="s">
        <v>26</v>
      </c>
      <c r="Q141" s="4" t="s">
        <v>27</v>
      </c>
      <c r="R141" s="4" t="s">
        <v>28</v>
      </c>
      <c r="S141" s="4" t="s">
        <v>22</v>
      </c>
    </row>
    <row r="142" spans="1:19" ht="15" hidden="1">
      <c r="A142" s="2">
        <v>44280</v>
      </c>
      <c r="B142">
        <v>3</v>
      </c>
      <c r="C142">
        <v>2021</v>
      </c>
      <c r="D142" s="5">
        <v>40468.339999999997</v>
      </c>
      <c r="E142" s="4" t="s">
        <v>369</v>
      </c>
      <c r="F142" s="4" t="s">
        <v>38</v>
      </c>
      <c r="G142" s="4" t="s">
        <v>39</v>
      </c>
      <c r="H142" s="4" t="s">
        <v>370</v>
      </c>
      <c r="I142" s="4" t="s">
        <v>371</v>
      </c>
      <c r="J142" s="4" t="s">
        <v>21</v>
      </c>
      <c r="K142" s="4" t="s">
        <v>388</v>
      </c>
      <c r="L142" s="4" t="s">
        <v>22</v>
      </c>
      <c r="M142" s="4" t="s">
        <v>23</v>
      </c>
      <c r="N142" s="4" t="s">
        <v>24</v>
      </c>
      <c r="O142" s="4" t="s">
        <v>25</v>
      </c>
      <c r="P142" s="4" t="s">
        <v>26</v>
      </c>
      <c r="Q142" s="4" t="s">
        <v>40</v>
      </c>
      <c r="R142" s="4" t="s">
        <v>28</v>
      </c>
      <c r="S142" s="4" t="s">
        <v>22</v>
      </c>
    </row>
    <row r="143" spans="1:19" ht="15" hidden="1">
      <c r="A143" s="2">
        <v>44281</v>
      </c>
      <c r="B143">
        <v>3</v>
      </c>
      <c r="C143">
        <v>2021</v>
      </c>
      <c r="D143" s="5">
        <v>5.21</v>
      </c>
      <c r="E143" s="4" t="s">
        <v>357</v>
      </c>
      <c r="F143" s="4" t="s">
        <v>38</v>
      </c>
      <c r="G143" s="4" t="s">
        <v>39</v>
      </c>
      <c r="H143" s="4" t="s">
        <v>358</v>
      </c>
      <c r="I143" s="4" t="s">
        <v>359</v>
      </c>
      <c r="J143" s="4" t="s">
        <v>21</v>
      </c>
      <c r="K143" s="4" t="s">
        <v>307</v>
      </c>
      <c r="L143" s="4" t="s">
        <v>22</v>
      </c>
      <c r="M143" s="4" t="s">
        <v>23</v>
      </c>
      <c r="N143" s="4" t="s">
        <v>24</v>
      </c>
      <c r="O143" s="4" t="s">
        <v>25</v>
      </c>
      <c r="P143" s="4" t="s">
        <v>26</v>
      </c>
      <c r="Q143" s="4" t="s">
        <v>40</v>
      </c>
      <c r="R143" s="4" t="s">
        <v>28</v>
      </c>
      <c r="S143" s="4" t="s">
        <v>22</v>
      </c>
    </row>
    <row r="144" spans="1:19" ht="15" hidden="1">
      <c r="A144" s="2">
        <v>44281</v>
      </c>
      <c r="B144">
        <v>3</v>
      </c>
      <c r="C144">
        <v>2021</v>
      </c>
      <c r="D144" s="5">
        <v>62158.959999999999</v>
      </c>
      <c r="E144" s="4" t="s">
        <v>385</v>
      </c>
      <c r="F144" s="4" t="s">
        <v>41</v>
      </c>
      <c r="G144" s="4" t="s">
        <v>42</v>
      </c>
      <c r="H144" s="4" t="s">
        <v>386</v>
      </c>
      <c r="I144" s="4" t="s">
        <v>387</v>
      </c>
      <c r="J144" s="4" t="s">
        <v>31</v>
      </c>
      <c r="K144" s="4" t="s">
        <v>315</v>
      </c>
      <c r="L144" s="4" t="s">
        <v>22</v>
      </c>
      <c r="M144" s="4" t="s">
        <v>23</v>
      </c>
      <c r="N144" s="4" t="s">
        <v>32</v>
      </c>
      <c r="O144" s="4" t="s">
        <v>28</v>
      </c>
      <c r="P144" s="4" t="s">
        <v>43</v>
      </c>
      <c r="Q144" s="4" t="s">
        <v>27</v>
      </c>
      <c r="R144" s="4" t="s">
        <v>28</v>
      </c>
      <c r="S144" s="4" t="s">
        <v>22</v>
      </c>
    </row>
    <row r="145" spans="1:19" ht="15" hidden="1">
      <c r="A145" s="2">
        <v>44263</v>
      </c>
      <c r="B145">
        <v>3</v>
      </c>
      <c r="C145">
        <v>2021</v>
      </c>
      <c r="D145" s="5">
        <v>186971.01999999999</v>
      </c>
      <c r="E145" s="4" t="s">
        <v>341</v>
      </c>
      <c r="F145" s="4" t="s">
        <v>44</v>
      </c>
      <c r="G145" s="4" t="s">
        <v>45</v>
      </c>
      <c r="H145" s="4" t="s">
        <v>342</v>
      </c>
      <c r="I145" s="4" t="s">
        <v>343</v>
      </c>
      <c r="J145" s="4" t="s">
        <v>21</v>
      </c>
      <c r="K145" s="4" t="s">
        <v>287</v>
      </c>
      <c r="L145" s="4" t="s">
        <v>22</v>
      </c>
      <c r="M145" s="4" t="s">
        <v>23</v>
      </c>
      <c r="N145" s="4" t="s">
        <v>24</v>
      </c>
      <c r="O145" s="4" t="s">
        <v>25</v>
      </c>
      <c r="P145" s="4" t="s">
        <v>26</v>
      </c>
      <c r="Q145" s="4" t="s">
        <v>40</v>
      </c>
      <c r="R145" s="4" t="s">
        <v>28</v>
      </c>
      <c r="S145" s="4" t="s">
        <v>22</v>
      </c>
    </row>
    <row r="146" spans="1:19" ht="15" hidden="1">
      <c r="A146" s="2">
        <v>44263</v>
      </c>
      <c r="B146">
        <v>3</v>
      </c>
      <c r="C146">
        <v>2021</v>
      </c>
      <c r="D146" s="7">
        <v>46.159999999999997</v>
      </c>
      <c r="E146" s="4" t="s">
        <v>337</v>
      </c>
      <c r="F146" s="4" t="s">
        <v>36</v>
      </c>
      <c r="G146" s="4" t="s">
        <v>37</v>
      </c>
      <c r="H146" s="4" t="s">
        <v>338</v>
      </c>
      <c r="I146" s="4" t="s">
        <v>339</v>
      </c>
      <c r="J146" s="4" t="s">
        <v>21</v>
      </c>
      <c r="K146" s="4" t="s">
        <v>287</v>
      </c>
      <c r="L146" s="4" t="s">
        <v>22</v>
      </c>
      <c r="M146" s="4" t="s">
        <v>23</v>
      </c>
      <c r="N146" s="4" t="s">
        <v>24</v>
      </c>
      <c r="O146" s="4" t="s">
        <v>25</v>
      </c>
      <c r="P146" s="4" t="s">
        <v>26</v>
      </c>
      <c r="Q146" s="4" t="s">
        <v>40</v>
      </c>
      <c r="R146" s="4" t="s">
        <v>28</v>
      </c>
      <c r="S146" s="4" t="s">
        <v>22</v>
      </c>
    </row>
    <row r="147" spans="1:19" ht="15" hidden="1">
      <c r="A147" s="2">
        <v>44270</v>
      </c>
      <c r="B147">
        <v>3</v>
      </c>
      <c r="C147">
        <v>2021</v>
      </c>
      <c r="D147" s="7">
        <v>36.020000000000003</v>
      </c>
      <c r="E147" s="4" t="s">
        <v>366</v>
      </c>
      <c r="F147" s="4" t="s">
        <v>36</v>
      </c>
      <c r="G147" s="4" t="s">
        <v>37</v>
      </c>
      <c r="H147" s="4" t="s">
        <v>367</v>
      </c>
      <c r="I147" s="4" t="s">
        <v>368</v>
      </c>
      <c r="J147" s="4" t="s">
        <v>31</v>
      </c>
      <c r="K147" s="4" t="s">
        <v>389</v>
      </c>
      <c r="L147" s="4" t="s">
        <v>22</v>
      </c>
      <c r="M147" s="4" t="s">
        <v>23</v>
      </c>
      <c r="N147" s="4" t="s">
        <v>32</v>
      </c>
      <c r="O147" s="4" t="s">
        <v>28</v>
      </c>
      <c r="P147" s="4" t="s">
        <v>26</v>
      </c>
      <c r="Q147" s="4" t="s">
        <v>27</v>
      </c>
      <c r="R147" s="4" t="s">
        <v>28</v>
      </c>
      <c r="S147" s="4" t="s">
        <v>22</v>
      </c>
    </row>
    <row r="148" spans="1:19" ht="15" hidden="1">
      <c r="A148" s="2">
        <v>44270</v>
      </c>
      <c r="B148">
        <v>3</v>
      </c>
      <c r="C148">
        <v>2021</v>
      </c>
      <c r="D148" s="5">
        <v>43210.690000000002</v>
      </c>
      <c r="E148" s="4" t="s">
        <v>327</v>
      </c>
      <c r="F148" s="4" t="s">
        <v>38</v>
      </c>
      <c r="G148" s="4" t="s">
        <v>39</v>
      </c>
      <c r="H148" s="4" t="s">
        <v>328</v>
      </c>
      <c r="I148" s="4" t="s">
        <v>329</v>
      </c>
      <c r="J148" s="4" t="s">
        <v>31</v>
      </c>
      <c r="K148" s="4" t="s">
        <v>389</v>
      </c>
      <c r="L148" s="4" t="s">
        <v>22</v>
      </c>
      <c r="M148" s="4" t="s">
        <v>23</v>
      </c>
      <c r="N148" s="4" t="s">
        <v>32</v>
      </c>
      <c r="O148" s="4" t="s">
        <v>28</v>
      </c>
      <c r="P148" s="4" t="s">
        <v>26</v>
      </c>
      <c r="Q148" s="4" t="s">
        <v>27</v>
      </c>
      <c r="R148" s="4" t="s">
        <v>28</v>
      </c>
      <c r="S148" s="4" t="s">
        <v>22</v>
      </c>
    </row>
    <row r="149" spans="1:19" ht="15" hidden="1">
      <c r="A149" s="2">
        <v>44274</v>
      </c>
      <c r="B149">
        <v>3</v>
      </c>
      <c r="C149">
        <v>2021</v>
      </c>
      <c r="D149" s="5">
        <v>690.92999999999995</v>
      </c>
      <c r="E149" s="4" t="s">
        <v>382</v>
      </c>
      <c r="F149" s="4" t="s">
        <v>38</v>
      </c>
      <c r="G149" s="4" t="s">
        <v>39</v>
      </c>
      <c r="H149" s="4" t="s">
        <v>383</v>
      </c>
      <c r="I149" s="4" t="s">
        <v>384</v>
      </c>
      <c r="J149" s="4" t="s">
        <v>21</v>
      </c>
      <c r="K149" s="4" t="s">
        <v>299</v>
      </c>
      <c r="L149" s="4" t="s">
        <v>22</v>
      </c>
      <c r="M149" s="4" t="s">
        <v>23</v>
      </c>
      <c r="N149" s="4" t="s">
        <v>24</v>
      </c>
      <c r="O149" s="4" t="s">
        <v>25</v>
      </c>
      <c r="P149" s="4" t="s">
        <v>26</v>
      </c>
      <c r="Q149" s="4" t="s">
        <v>40</v>
      </c>
      <c r="R149" s="4" t="s">
        <v>28</v>
      </c>
      <c r="S149" s="4" t="s">
        <v>22</v>
      </c>
    </row>
    <row r="150" spans="1:19" ht="15" hidden="1">
      <c r="A150" s="2">
        <v>44274</v>
      </c>
      <c r="B150">
        <v>3</v>
      </c>
      <c r="C150">
        <v>2021</v>
      </c>
      <c r="D150" s="5">
        <v>530246.12</v>
      </c>
      <c r="E150" s="4" t="s">
        <v>344</v>
      </c>
      <c r="F150" s="4" t="s">
        <v>44</v>
      </c>
      <c r="G150" s="4" t="s">
        <v>45</v>
      </c>
      <c r="H150" s="4" t="s">
        <v>345</v>
      </c>
      <c r="I150" s="4" t="s">
        <v>346</v>
      </c>
      <c r="J150" s="4" t="s">
        <v>21</v>
      </c>
      <c r="K150" s="4" t="s">
        <v>299</v>
      </c>
      <c r="L150" s="4" t="s">
        <v>22</v>
      </c>
      <c r="M150" s="4" t="s">
        <v>23</v>
      </c>
      <c r="N150" s="4" t="s">
        <v>24</v>
      </c>
      <c r="O150" s="4" t="s">
        <v>25</v>
      </c>
      <c r="P150" s="4" t="s">
        <v>26</v>
      </c>
      <c r="Q150" s="4" t="s">
        <v>40</v>
      </c>
      <c r="R150" s="4" t="s">
        <v>28</v>
      </c>
      <c r="S150" s="4" t="s">
        <v>22</v>
      </c>
    </row>
    <row r="151" spans="1:19" ht="15" hidden="1">
      <c r="A151" s="2">
        <v>44286</v>
      </c>
      <c r="B151">
        <v>3</v>
      </c>
      <c r="C151">
        <v>2021</v>
      </c>
      <c r="D151" s="5">
        <v>56652.379999999997</v>
      </c>
      <c r="E151" s="4" t="s">
        <v>316</v>
      </c>
      <c r="F151" s="4" t="s">
        <v>41</v>
      </c>
      <c r="G151" s="4" t="s">
        <v>42</v>
      </c>
      <c r="H151" s="4" t="s">
        <v>317</v>
      </c>
      <c r="I151" s="4" t="s">
        <v>318</v>
      </c>
      <c r="J151" s="4" t="s">
        <v>31</v>
      </c>
      <c r="K151" s="4" t="s">
        <v>350</v>
      </c>
      <c r="L151" s="4" t="s">
        <v>22</v>
      </c>
      <c r="M151" s="4" t="s">
        <v>23</v>
      </c>
      <c r="N151" s="4" t="s">
        <v>32</v>
      </c>
      <c r="O151" s="4" t="s">
        <v>28</v>
      </c>
      <c r="P151" s="4" t="s">
        <v>43</v>
      </c>
      <c r="Q151" s="4" t="s">
        <v>27</v>
      </c>
      <c r="R151" s="4" t="s">
        <v>28</v>
      </c>
      <c r="S151" s="4" t="s">
        <v>22</v>
      </c>
    </row>
    <row r="152" spans="1:19" ht="15" hidden="1">
      <c r="A152" s="2">
        <v>44286</v>
      </c>
      <c r="B152">
        <v>3</v>
      </c>
      <c r="C152">
        <v>2021</v>
      </c>
      <c r="D152" s="5">
        <v>37.369999999999997</v>
      </c>
      <c r="E152" s="4" t="s">
        <v>379</v>
      </c>
      <c r="F152" s="4" t="s">
        <v>38</v>
      </c>
      <c r="G152" s="4" t="s">
        <v>39</v>
      </c>
      <c r="H152" s="4" t="s">
        <v>380</v>
      </c>
      <c r="I152" s="4" t="s">
        <v>381</v>
      </c>
      <c r="J152" s="4" t="s">
        <v>21</v>
      </c>
      <c r="K152" s="4" t="s">
        <v>319</v>
      </c>
      <c r="L152" s="4" t="s">
        <v>22</v>
      </c>
      <c r="M152" s="4" t="s">
        <v>23</v>
      </c>
      <c r="N152" s="4" t="s">
        <v>24</v>
      </c>
      <c r="O152" s="4" t="s">
        <v>25</v>
      </c>
      <c r="P152" s="4" t="s">
        <v>26</v>
      </c>
      <c r="Q152" s="4" t="s">
        <v>40</v>
      </c>
      <c r="R152" s="4" t="s">
        <v>28</v>
      </c>
      <c r="S152" s="4" t="s">
        <v>22</v>
      </c>
    </row>
    <row r="153" spans="1:19" ht="15" hidden="1">
      <c r="A153" s="2">
        <v>44300</v>
      </c>
      <c r="B153">
        <v>4</v>
      </c>
      <c r="C153">
        <v>2021</v>
      </c>
      <c r="D153" s="5">
        <v>69656.179999999993</v>
      </c>
      <c r="E153" s="4" t="s">
        <v>390</v>
      </c>
      <c r="F153" s="4" t="s">
        <v>41</v>
      </c>
      <c r="G153" s="4" t="s">
        <v>42</v>
      </c>
      <c r="H153" s="4" t="s">
        <v>391</v>
      </c>
      <c r="I153" s="4" t="s">
        <v>392</v>
      </c>
      <c r="J153" s="4" t="s">
        <v>31</v>
      </c>
      <c r="K153" s="4" t="s">
        <v>393</v>
      </c>
      <c r="L153" s="4" t="s">
        <v>22</v>
      </c>
      <c r="M153" s="4" t="s">
        <v>23</v>
      </c>
      <c r="N153" s="4" t="s">
        <v>32</v>
      </c>
      <c r="O153" s="4" t="s">
        <v>28</v>
      </c>
      <c r="P153" s="4" t="s">
        <v>43</v>
      </c>
      <c r="Q153" s="4" t="s">
        <v>27</v>
      </c>
      <c r="R153" s="4" t="s">
        <v>28</v>
      </c>
      <c r="S153" s="4" t="s">
        <v>22</v>
      </c>
    </row>
    <row r="154" spans="1:19" ht="15" hidden="1">
      <c r="A154" s="2">
        <v>44316</v>
      </c>
      <c r="B154">
        <v>4</v>
      </c>
      <c r="C154">
        <v>2021</v>
      </c>
      <c r="D154" s="5">
        <v>985.14999999999998</v>
      </c>
      <c r="E154" s="4" t="s">
        <v>394</v>
      </c>
      <c r="F154" s="4" t="s">
        <v>38</v>
      </c>
      <c r="G154" s="4" t="s">
        <v>39</v>
      </c>
      <c r="H154" s="4" t="s">
        <v>395</v>
      </c>
      <c r="I154" s="4" t="s">
        <v>396</v>
      </c>
      <c r="J154" s="4" t="s">
        <v>31</v>
      </c>
      <c r="K154" s="4" t="s">
        <v>397</v>
      </c>
      <c r="L154" s="4" t="s">
        <v>22</v>
      </c>
      <c r="M154" s="4" t="s">
        <v>23</v>
      </c>
      <c r="N154" s="4" t="s">
        <v>32</v>
      </c>
      <c r="O154" s="4" t="s">
        <v>28</v>
      </c>
      <c r="P154" s="4" t="s">
        <v>26</v>
      </c>
      <c r="Q154" s="4" t="s">
        <v>27</v>
      </c>
      <c r="R154" s="4" t="s">
        <v>28</v>
      </c>
      <c r="S154" s="4" t="s">
        <v>22</v>
      </c>
    </row>
    <row r="155" spans="1:19" ht="15" hidden="1">
      <c r="A155" s="2">
        <v>44305</v>
      </c>
      <c r="B155">
        <v>4</v>
      </c>
      <c r="C155">
        <v>2021</v>
      </c>
      <c r="D155" s="7">
        <v>328.87</v>
      </c>
      <c r="E155" s="4" t="s">
        <v>398</v>
      </c>
      <c r="F155" s="4" t="s">
        <v>36</v>
      </c>
      <c r="G155" s="4" t="s">
        <v>37</v>
      </c>
      <c r="H155" s="4" t="s">
        <v>399</v>
      </c>
      <c r="I155" s="4" t="s">
        <v>400</v>
      </c>
      <c r="J155" s="4" t="s">
        <v>21</v>
      </c>
      <c r="K155" s="4" t="s">
        <v>401</v>
      </c>
      <c r="L155" s="4" t="s">
        <v>22</v>
      </c>
      <c r="M155" s="4" t="s">
        <v>23</v>
      </c>
      <c r="N155" s="4" t="s">
        <v>24</v>
      </c>
      <c r="O155" s="4" t="s">
        <v>25</v>
      </c>
      <c r="P155" s="4" t="s">
        <v>26</v>
      </c>
      <c r="Q155" s="4" t="s">
        <v>40</v>
      </c>
      <c r="R155" s="4" t="s">
        <v>28</v>
      </c>
      <c r="S155" s="4" t="s">
        <v>22</v>
      </c>
    </row>
    <row r="156" spans="1:19" ht="15" hidden="1">
      <c r="A156" s="2">
        <v>44300</v>
      </c>
      <c r="B156">
        <v>4</v>
      </c>
      <c r="C156">
        <v>2021</v>
      </c>
      <c r="D156" s="7">
        <v>3091.4699999999998</v>
      </c>
      <c r="E156" s="4" t="s">
        <v>402</v>
      </c>
      <c r="F156" s="4" t="s">
        <v>29</v>
      </c>
      <c r="G156" s="4" t="s">
        <v>30</v>
      </c>
      <c r="H156" s="4" t="s">
        <v>403</v>
      </c>
      <c r="I156" s="4" t="s">
        <v>404</v>
      </c>
      <c r="J156" s="4" t="s">
        <v>31</v>
      </c>
      <c r="K156" s="4" t="s">
        <v>393</v>
      </c>
      <c r="L156" s="4" t="s">
        <v>22</v>
      </c>
      <c r="M156" s="4" t="s">
        <v>23</v>
      </c>
      <c r="N156" s="4" t="s">
        <v>32</v>
      </c>
      <c r="O156" s="4" t="s">
        <v>28</v>
      </c>
      <c r="P156" s="4" t="s">
        <v>26</v>
      </c>
      <c r="Q156" s="4" t="s">
        <v>27</v>
      </c>
      <c r="R156" s="4" t="s">
        <v>28</v>
      </c>
      <c r="S156" s="4" t="s">
        <v>22</v>
      </c>
    </row>
    <row r="157" spans="1:19" ht="15" hidden="1">
      <c r="A157" s="2">
        <v>44300</v>
      </c>
      <c r="B157">
        <v>4</v>
      </c>
      <c r="C157">
        <v>2021</v>
      </c>
      <c r="D157" s="5">
        <v>192780.47</v>
      </c>
      <c r="E157" s="4" t="s">
        <v>405</v>
      </c>
      <c r="F157" s="4" t="s">
        <v>44</v>
      </c>
      <c r="G157" s="4" t="s">
        <v>45</v>
      </c>
      <c r="H157" s="4" t="s">
        <v>406</v>
      </c>
      <c r="I157" s="4" t="s">
        <v>407</v>
      </c>
      <c r="J157" s="4" t="s">
        <v>21</v>
      </c>
      <c r="K157" s="4" t="s">
        <v>408</v>
      </c>
      <c r="L157" s="4" t="s">
        <v>22</v>
      </c>
      <c r="M157" s="4" t="s">
        <v>23</v>
      </c>
      <c r="N157" s="4" t="s">
        <v>24</v>
      </c>
      <c r="O157" s="4" t="s">
        <v>25</v>
      </c>
      <c r="P157" s="4" t="s">
        <v>26</v>
      </c>
      <c r="Q157" s="4" t="s">
        <v>40</v>
      </c>
      <c r="R157" s="4" t="s">
        <v>28</v>
      </c>
      <c r="S157" s="4" t="s">
        <v>22</v>
      </c>
    </row>
    <row r="158" spans="1:19" ht="15" hidden="1">
      <c r="A158" s="2">
        <v>44300</v>
      </c>
      <c r="B158">
        <v>4</v>
      </c>
      <c r="C158">
        <v>2021</v>
      </c>
      <c r="D158" s="5">
        <v>743088.77000000002</v>
      </c>
      <c r="E158" s="4" t="s">
        <v>409</v>
      </c>
      <c r="F158" s="4" t="s">
        <v>44</v>
      </c>
      <c r="G158" s="4" t="s">
        <v>45</v>
      </c>
      <c r="H158" s="4" t="s">
        <v>410</v>
      </c>
      <c r="I158" s="4" t="s">
        <v>411</v>
      </c>
      <c r="J158" s="4" t="s">
        <v>21</v>
      </c>
      <c r="K158" s="4" t="s">
        <v>408</v>
      </c>
      <c r="L158" s="4" t="s">
        <v>22</v>
      </c>
      <c r="M158" s="4" t="s">
        <v>23</v>
      </c>
      <c r="N158" s="4" t="s">
        <v>24</v>
      </c>
      <c r="O158" s="4" t="s">
        <v>25</v>
      </c>
      <c r="P158" s="4" t="s">
        <v>26</v>
      </c>
      <c r="Q158" s="4" t="s">
        <v>40</v>
      </c>
      <c r="R158" s="4" t="s">
        <v>28</v>
      </c>
      <c r="S158" s="4" t="s">
        <v>22</v>
      </c>
    </row>
    <row r="159" spans="1:19" ht="15" hidden="1">
      <c r="A159" s="2">
        <v>44316</v>
      </c>
      <c r="B159">
        <v>4</v>
      </c>
      <c r="C159">
        <v>2021</v>
      </c>
      <c r="D159" s="5">
        <v>180827.25</v>
      </c>
      <c r="E159" s="4" t="s">
        <v>412</v>
      </c>
      <c r="F159" s="4" t="s">
        <v>38</v>
      </c>
      <c r="G159" s="4" t="s">
        <v>39</v>
      </c>
      <c r="H159" s="4" t="s">
        <v>413</v>
      </c>
      <c r="I159" s="4" t="s">
        <v>414</v>
      </c>
      <c r="J159" s="4" t="s">
        <v>31</v>
      </c>
      <c r="K159" s="4" t="s">
        <v>397</v>
      </c>
      <c r="L159" s="4" t="s">
        <v>22</v>
      </c>
      <c r="M159" s="4" t="s">
        <v>23</v>
      </c>
      <c r="N159" s="4" t="s">
        <v>32</v>
      </c>
      <c r="O159" s="4" t="s">
        <v>28</v>
      </c>
      <c r="P159" s="4" t="s">
        <v>26</v>
      </c>
      <c r="Q159" s="4" t="s">
        <v>27</v>
      </c>
      <c r="R159" s="4" t="s">
        <v>28</v>
      </c>
      <c r="S159" s="4" t="s">
        <v>22</v>
      </c>
    </row>
    <row r="160" spans="1:19" ht="15" hidden="1">
      <c r="A160" s="2">
        <v>44315</v>
      </c>
      <c r="B160">
        <v>4</v>
      </c>
      <c r="C160">
        <v>2021</v>
      </c>
      <c r="D160" s="5">
        <v>14497.34</v>
      </c>
      <c r="E160" s="4" t="s">
        <v>415</v>
      </c>
      <c r="F160" s="4" t="s">
        <v>41</v>
      </c>
      <c r="G160" s="4" t="s">
        <v>42</v>
      </c>
      <c r="H160" s="4" t="s">
        <v>416</v>
      </c>
      <c r="I160" s="4" t="s">
        <v>417</v>
      </c>
      <c r="J160" s="4" t="s">
        <v>21</v>
      </c>
      <c r="K160" s="4" t="s">
        <v>418</v>
      </c>
      <c r="L160" s="4" t="s">
        <v>22</v>
      </c>
      <c r="M160" s="4" t="s">
        <v>23</v>
      </c>
      <c r="N160" s="4" t="s">
        <v>24</v>
      </c>
      <c r="O160" s="4" t="s">
        <v>25</v>
      </c>
      <c r="P160" s="4" t="s">
        <v>43</v>
      </c>
      <c r="Q160" s="4" t="s">
        <v>40</v>
      </c>
      <c r="R160" s="4" t="s">
        <v>28</v>
      </c>
      <c r="S160" s="4" t="s">
        <v>22</v>
      </c>
    </row>
    <row r="161" spans="1:19" ht="15" hidden="1">
      <c r="A161" s="2">
        <v>44315</v>
      </c>
      <c r="B161">
        <v>4</v>
      </c>
      <c r="C161">
        <v>2021</v>
      </c>
      <c r="D161" s="7">
        <v>510.31</v>
      </c>
      <c r="E161" s="4" t="s">
        <v>419</v>
      </c>
      <c r="F161" s="4" t="s">
        <v>36</v>
      </c>
      <c r="G161" s="4" t="s">
        <v>37</v>
      </c>
      <c r="H161" s="4" t="s">
        <v>420</v>
      </c>
      <c r="I161" s="4" t="s">
        <v>421</v>
      </c>
      <c r="J161" s="4" t="s">
        <v>31</v>
      </c>
      <c r="K161" s="4" t="s">
        <v>422</v>
      </c>
      <c r="L161" s="4" t="s">
        <v>22</v>
      </c>
      <c r="M161" s="4" t="s">
        <v>23</v>
      </c>
      <c r="N161" s="4" t="s">
        <v>32</v>
      </c>
      <c r="O161" s="4" t="s">
        <v>28</v>
      </c>
      <c r="P161" s="4" t="s">
        <v>26</v>
      </c>
      <c r="Q161" s="4" t="s">
        <v>27</v>
      </c>
      <c r="R161" s="4" t="s">
        <v>28</v>
      </c>
      <c r="S161" s="4" t="s">
        <v>22</v>
      </c>
    </row>
    <row r="162" spans="1:19" ht="15" hidden="1">
      <c r="A162" s="2">
        <v>44315</v>
      </c>
      <c r="B162">
        <v>4</v>
      </c>
      <c r="C162">
        <v>2021</v>
      </c>
      <c r="D162" s="7">
        <v>2329.9899999999998</v>
      </c>
      <c r="E162" s="4" t="s">
        <v>423</v>
      </c>
      <c r="F162" s="4" t="s">
        <v>29</v>
      </c>
      <c r="G162" s="4" t="s">
        <v>30</v>
      </c>
      <c r="H162" s="4" t="s">
        <v>424</v>
      </c>
      <c r="I162" s="4" t="s">
        <v>425</v>
      </c>
      <c r="J162" s="4" t="s">
        <v>21</v>
      </c>
      <c r="K162" s="4" t="s">
        <v>418</v>
      </c>
      <c r="L162" s="4" t="s">
        <v>22</v>
      </c>
      <c r="M162" s="4" t="s">
        <v>23</v>
      </c>
      <c r="N162" s="4" t="s">
        <v>24</v>
      </c>
      <c r="O162" s="4" t="s">
        <v>25</v>
      </c>
      <c r="P162" s="4" t="s">
        <v>26</v>
      </c>
      <c r="Q162" s="4" t="s">
        <v>27</v>
      </c>
      <c r="R162" s="4" t="s">
        <v>28</v>
      </c>
      <c r="S162" s="4" t="s">
        <v>22</v>
      </c>
    </row>
    <row r="163" spans="1:19" ht="15" hidden="1">
      <c r="A163" s="2">
        <v>44315</v>
      </c>
      <c r="B163">
        <v>4</v>
      </c>
      <c r="C163">
        <v>2021</v>
      </c>
      <c r="D163" s="5">
        <v>18228.330000000002</v>
      </c>
      <c r="E163" s="4" t="s">
        <v>426</v>
      </c>
      <c r="F163" s="4" t="s">
        <v>41</v>
      </c>
      <c r="G163" s="4" t="s">
        <v>42</v>
      </c>
      <c r="H163" s="4" t="s">
        <v>427</v>
      </c>
      <c r="I163" s="4" t="s">
        <v>428</v>
      </c>
      <c r="J163" s="4" t="s">
        <v>21</v>
      </c>
      <c r="K163" s="4" t="s">
        <v>418</v>
      </c>
      <c r="L163" s="4" t="s">
        <v>22</v>
      </c>
      <c r="M163" s="4" t="s">
        <v>23</v>
      </c>
      <c r="N163" s="4" t="s">
        <v>24</v>
      </c>
      <c r="O163" s="4" t="s">
        <v>25</v>
      </c>
      <c r="P163" s="4" t="s">
        <v>43</v>
      </c>
      <c r="Q163" s="4" t="s">
        <v>40</v>
      </c>
      <c r="R163" s="4" t="s">
        <v>28</v>
      </c>
      <c r="S163" s="4" t="s">
        <v>22</v>
      </c>
    </row>
    <row r="164" spans="1:19" ht="15" hidden="1">
      <c r="A164" s="2">
        <v>44315</v>
      </c>
      <c r="B164">
        <v>4</v>
      </c>
      <c r="C164">
        <v>2021</v>
      </c>
      <c r="D164" s="7">
        <v>5516.2299999999996</v>
      </c>
      <c r="E164" s="4" t="s">
        <v>429</v>
      </c>
      <c r="F164" s="4" t="s">
        <v>29</v>
      </c>
      <c r="G164" s="4" t="s">
        <v>30</v>
      </c>
      <c r="H164" s="4" t="s">
        <v>430</v>
      </c>
      <c r="I164" s="4" t="s">
        <v>431</v>
      </c>
      <c r="J164" s="4" t="s">
        <v>31</v>
      </c>
      <c r="K164" s="4" t="s">
        <v>422</v>
      </c>
      <c r="L164" s="4" t="s">
        <v>22</v>
      </c>
      <c r="M164" s="4" t="s">
        <v>23</v>
      </c>
      <c r="N164" s="4" t="s">
        <v>32</v>
      </c>
      <c r="O164" s="4" t="s">
        <v>28</v>
      </c>
      <c r="P164" s="4" t="s">
        <v>26</v>
      </c>
      <c r="Q164" s="4" t="s">
        <v>27</v>
      </c>
      <c r="R164" s="4" t="s">
        <v>28</v>
      </c>
      <c r="S164" s="4" t="s">
        <v>22</v>
      </c>
    </row>
    <row r="165" spans="1:19" ht="15" hidden="1">
      <c r="A165" s="2">
        <v>44315</v>
      </c>
      <c r="B165">
        <v>4</v>
      </c>
      <c r="C165">
        <v>2021</v>
      </c>
      <c r="D165" s="5">
        <v>23467.259999999998</v>
      </c>
      <c r="E165" s="4" t="s">
        <v>432</v>
      </c>
      <c r="F165" s="4" t="s">
        <v>38</v>
      </c>
      <c r="G165" s="4" t="s">
        <v>39</v>
      </c>
      <c r="H165" s="4" t="s">
        <v>433</v>
      </c>
      <c r="I165" s="4" t="s">
        <v>434</v>
      </c>
      <c r="J165" s="4" t="s">
        <v>21</v>
      </c>
      <c r="K165" s="4" t="s">
        <v>418</v>
      </c>
      <c r="L165" s="4" t="s">
        <v>22</v>
      </c>
      <c r="M165" s="4" t="s">
        <v>23</v>
      </c>
      <c r="N165" s="4" t="s">
        <v>24</v>
      </c>
      <c r="O165" s="4" t="s">
        <v>25</v>
      </c>
      <c r="P165" s="4" t="s">
        <v>26</v>
      </c>
      <c r="Q165" s="4" t="s">
        <v>40</v>
      </c>
      <c r="R165" s="4" t="s">
        <v>28</v>
      </c>
      <c r="S165" s="4" t="s">
        <v>22</v>
      </c>
    </row>
    <row r="166" spans="1:19" ht="15" hidden="1">
      <c r="A166" s="2">
        <v>44315</v>
      </c>
      <c r="B166">
        <v>4</v>
      </c>
      <c r="C166">
        <v>2021</v>
      </c>
      <c r="D166" s="5">
        <v>1982760.5800000001</v>
      </c>
      <c r="E166" s="4" t="s">
        <v>435</v>
      </c>
      <c r="F166" s="4" t="s">
        <v>44</v>
      </c>
      <c r="G166" s="4" t="s">
        <v>45</v>
      </c>
      <c r="H166" s="4" t="s">
        <v>436</v>
      </c>
      <c r="I166" s="4" t="s">
        <v>437</v>
      </c>
      <c r="J166" s="4" t="s">
        <v>31</v>
      </c>
      <c r="K166" s="4" t="s">
        <v>422</v>
      </c>
      <c r="L166" s="4" t="s">
        <v>22</v>
      </c>
      <c r="M166" s="4" t="s">
        <v>23</v>
      </c>
      <c r="N166" s="4" t="s">
        <v>32</v>
      </c>
      <c r="O166" s="4" t="s">
        <v>28</v>
      </c>
      <c r="P166" s="4" t="s">
        <v>26</v>
      </c>
      <c r="Q166" s="4" t="s">
        <v>27</v>
      </c>
      <c r="R166" s="4" t="s">
        <v>28</v>
      </c>
      <c r="S166" s="4" t="s">
        <v>22</v>
      </c>
    </row>
    <row r="167" spans="1:19" ht="15" hidden="1">
      <c r="A167" s="2">
        <v>44300</v>
      </c>
      <c r="B167">
        <v>4</v>
      </c>
      <c r="C167">
        <v>2021</v>
      </c>
      <c r="D167" s="7">
        <v>3399.3600000000001</v>
      </c>
      <c r="E167" s="4" t="s">
        <v>438</v>
      </c>
      <c r="F167" s="4" t="s">
        <v>29</v>
      </c>
      <c r="G167" s="4" t="s">
        <v>30</v>
      </c>
      <c r="H167" s="4" t="s">
        <v>439</v>
      </c>
      <c r="I167" s="4" t="s">
        <v>440</v>
      </c>
      <c r="J167" s="4" t="s">
        <v>31</v>
      </c>
      <c r="K167" s="4" t="s">
        <v>393</v>
      </c>
      <c r="L167" s="4" t="s">
        <v>22</v>
      </c>
      <c r="M167" s="4" t="s">
        <v>23</v>
      </c>
      <c r="N167" s="4" t="s">
        <v>32</v>
      </c>
      <c r="O167" s="4" t="s">
        <v>28</v>
      </c>
      <c r="P167" s="4" t="s">
        <v>26</v>
      </c>
      <c r="Q167" s="4" t="s">
        <v>27</v>
      </c>
      <c r="R167" s="4" t="s">
        <v>28</v>
      </c>
      <c r="S167" s="4" t="s">
        <v>22</v>
      </c>
    </row>
    <row r="168" spans="1:19" ht="15" hidden="1">
      <c r="A168" s="2">
        <v>44300</v>
      </c>
      <c r="B168">
        <v>4</v>
      </c>
      <c r="C168">
        <v>2021</v>
      </c>
      <c r="D168" s="5">
        <v>41.460000000000001</v>
      </c>
      <c r="E168" s="4" t="s">
        <v>441</v>
      </c>
      <c r="F168" s="4" t="s">
        <v>38</v>
      </c>
      <c r="G168" s="4" t="s">
        <v>39</v>
      </c>
      <c r="H168" s="4" t="s">
        <v>442</v>
      </c>
      <c r="I168" s="4" t="s">
        <v>443</v>
      </c>
      <c r="J168" s="4" t="s">
        <v>21</v>
      </c>
      <c r="K168" s="4" t="s">
        <v>408</v>
      </c>
      <c r="L168" s="4" t="s">
        <v>22</v>
      </c>
      <c r="M168" s="4" t="s">
        <v>23</v>
      </c>
      <c r="N168" s="4" t="s">
        <v>24</v>
      </c>
      <c r="O168" s="4" t="s">
        <v>25</v>
      </c>
      <c r="P168" s="4" t="s">
        <v>26</v>
      </c>
      <c r="Q168" s="4" t="s">
        <v>40</v>
      </c>
      <c r="R168" s="4" t="s">
        <v>28</v>
      </c>
      <c r="S168" s="4" t="s">
        <v>22</v>
      </c>
    </row>
    <row r="169" spans="1:19" ht="15" hidden="1">
      <c r="A169" s="2">
        <v>44300</v>
      </c>
      <c r="B169">
        <v>4</v>
      </c>
      <c r="C169">
        <v>2021</v>
      </c>
      <c r="D169" s="5">
        <v>3847.5999999999999</v>
      </c>
      <c r="E169" s="4" t="s">
        <v>441</v>
      </c>
      <c r="F169" s="4" t="s">
        <v>38</v>
      </c>
      <c r="G169" s="4" t="s">
        <v>39</v>
      </c>
      <c r="H169" s="4" t="s">
        <v>442</v>
      </c>
      <c r="I169" s="4" t="s">
        <v>443</v>
      </c>
      <c r="J169" s="4" t="s">
        <v>31</v>
      </c>
      <c r="K169" s="4" t="s">
        <v>393</v>
      </c>
      <c r="L169" s="4" t="s">
        <v>22</v>
      </c>
      <c r="M169" s="4" t="s">
        <v>23</v>
      </c>
      <c r="N169" s="4" t="s">
        <v>32</v>
      </c>
      <c r="O169" s="4" t="s">
        <v>28</v>
      </c>
      <c r="P169" s="4" t="s">
        <v>26</v>
      </c>
      <c r="Q169" s="4" t="s">
        <v>27</v>
      </c>
      <c r="R169" s="4" t="s">
        <v>28</v>
      </c>
      <c r="S169" s="4" t="s">
        <v>22</v>
      </c>
    </row>
    <row r="170" spans="1:19" ht="15" hidden="1">
      <c r="A170" s="2">
        <v>44316</v>
      </c>
      <c r="B170">
        <v>4</v>
      </c>
      <c r="C170">
        <v>2021</v>
      </c>
      <c r="D170" s="7">
        <v>659.78999999999996</v>
      </c>
      <c r="E170" s="4" t="s">
        <v>444</v>
      </c>
      <c r="F170" s="4" t="s">
        <v>36</v>
      </c>
      <c r="G170" s="4" t="s">
        <v>37</v>
      </c>
      <c r="H170" s="4" t="s">
        <v>445</v>
      </c>
      <c r="I170" s="4" t="s">
        <v>446</v>
      </c>
      <c r="J170" s="4" t="s">
        <v>21</v>
      </c>
      <c r="K170" s="4" t="s">
        <v>447</v>
      </c>
      <c r="L170" s="4" t="s">
        <v>22</v>
      </c>
      <c r="M170" s="4" t="s">
        <v>23</v>
      </c>
      <c r="N170" s="4" t="s">
        <v>24</v>
      </c>
      <c r="O170" s="4" t="s">
        <v>25</v>
      </c>
      <c r="P170" s="4" t="s">
        <v>26</v>
      </c>
      <c r="Q170" s="4" t="s">
        <v>40</v>
      </c>
      <c r="R170" s="4" t="s">
        <v>28</v>
      </c>
      <c r="S170" s="4" t="s">
        <v>22</v>
      </c>
    </row>
    <row r="171" spans="1:19" ht="15" hidden="1">
      <c r="A171" s="2">
        <v>44315</v>
      </c>
      <c r="B171">
        <v>4</v>
      </c>
      <c r="C171">
        <v>2021</v>
      </c>
      <c r="D171" s="5">
        <v>203511.85000000001</v>
      </c>
      <c r="E171" s="4" t="s">
        <v>448</v>
      </c>
      <c r="F171" s="4" t="s">
        <v>44</v>
      </c>
      <c r="G171" s="4" t="s">
        <v>45</v>
      </c>
      <c r="H171" s="4" t="s">
        <v>449</v>
      </c>
      <c r="I171" s="4" t="s">
        <v>450</v>
      </c>
      <c r="J171" s="4" t="s">
        <v>21</v>
      </c>
      <c r="K171" s="4" t="s">
        <v>418</v>
      </c>
      <c r="L171" s="4" t="s">
        <v>22</v>
      </c>
      <c r="M171" s="4" t="s">
        <v>23</v>
      </c>
      <c r="N171" s="4" t="s">
        <v>24</v>
      </c>
      <c r="O171" s="4" t="s">
        <v>25</v>
      </c>
      <c r="P171" s="4" t="s">
        <v>26</v>
      </c>
      <c r="Q171" s="4" t="s">
        <v>40</v>
      </c>
      <c r="R171" s="4" t="s">
        <v>28</v>
      </c>
      <c r="S171" s="4" t="s">
        <v>22</v>
      </c>
    </row>
    <row r="172" spans="1:19" ht="15" hidden="1">
      <c r="A172" s="2">
        <v>44300</v>
      </c>
      <c r="B172">
        <v>4</v>
      </c>
      <c r="C172">
        <v>2021</v>
      </c>
      <c r="D172" s="5">
        <v>722306.59999999998</v>
      </c>
      <c r="E172" s="4" t="s">
        <v>409</v>
      </c>
      <c r="F172" s="4" t="s">
        <v>44</v>
      </c>
      <c r="G172" s="4" t="s">
        <v>45</v>
      </c>
      <c r="H172" s="4" t="s">
        <v>410</v>
      </c>
      <c r="I172" s="4" t="s">
        <v>411</v>
      </c>
      <c r="J172" s="4" t="s">
        <v>31</v>
      </c>
      <c r="K172" s="4" t="s">
        <v>393</v>
      </c>
      <c r="L172" s="4" t="s">
        <v>22</v>
      </c>
      <c r="M172" s="4" t="s">
        <v>23</v>
      </c>
      <c r="N172" s="4" t="s">
        <v>32</v>
      </c>
      <c r="O172" s="4" t="s">
        <v>28</v>
      </c>
      <c r="P172" s="4" t="s">
        <v>26</v>
      </c>
      <c r="Q172" s="4" t="s">
        <v>27</v>
      </c>
      <c r="R172" s="4" t="s">
        <v>28</v>
      </c>
      <c r="S172" s="4" t="s">
        <v>22</v>
      </c>
    </row>
    <row r="173" spans="1:19" ht="15" hidden="1">
      <c r="A173" s="2">
        <v>44300</v>
      </c>
      <c r="B173">
        <v>4</v>
      </c>
      <c r="C173">
        <v>2021</v>
      </c>
      <c r="D173" s="7">
        <v>-274.23000000000002</v>
      </c>
      <c r="E173" s="4" t="s">
        <v>402</v>
      </c>
      <c r="F173" s="4" t="s">
        <v>29</v>
      </c>
      <c r="G173" s="4" t="s">
        <v>30</v>
      </c>
      <c r="H173" s="4" t="s">
        <v>403</v>
      </c>
      <c r="I173" s="4" t="s">
        <v>404</v>
      </c>
      <c r="J173" s="4" t="s">
        <v>21</v>
      </c>
      <c r="K173" s="4" t="s">
        <v>408</v>
      </c>
      <c r="L173" s="4" t="s">
        <v>22</v>
      </c>
      <c r="M173" s="4" t="s">
        <v>23</v>
      </c>
      <c r="N173" s="4" t="s">
        <v>24</v>
      </c>
      <c r="O173" s="4" t="s">
        <v>25</v>
      </c>
      <c r="P173" s="4" t="s">
        <v>26</v>
      </c>
      <c r="Q173" s="4" t="s">
        <v>27</v>
      </c>
      <c r="R173" s="4" t="s">
        <v>28</v>
      </c>
      <c r="S173" s="4" t="s">
        <v>22</v>
      </c>
    </row>
    <row r="174" spans="1:19" ht="15" hidden="1">
      <c r="A174" s="2">
        <v>44300</v>
      </c>
      <c r="B174">
        <v>4</v>
      </c>
      <c r="C174">
        <v>2021</v>
      </c>
      <c r="D174" s="7">
        <v>1406.8900000000001</v>
      </c>
      <c r="E174" s="4" t="s">
        <v>451</v>
      </c>
      <c r="F174" s="4" t="s">
        <v>36</v>
      </c>
      <c r="G174" s="4" t="s">
        <v>37</v>
      </c>
      <c r="H174" s="4" t="s">
        <v>452</v>
      </c>
      <c r="I174" s="4" t="s">
        <v>453</v>
      </c>
      <c r="J174" s="4" t="s">
        <v>31</v>
      </c>
      <c r="K174" s="4" t="s">
        <v>393</v>
      </c>
      <c r="L174" s="4" t="s">
        <v>22</v>
      </c>
      <c r="M174" s="4" t="s">
        <v>23</v>
      </c>
      <c r="N174" s="4" t="s">
        <v>32</v>
      </c>
      <c r="O174" s="4" t="s">
        <v>28</v>
      </c>
      <c r="P174" s="4" t="s">
        <v>26</v>
      </c>
      <c r="Q174" s="4" t="s">
        <v>27</v>
      </c>
      <c r="R174" s="4" t="s">
        <v>28</v>
      </c>
      <c r="S174" s="4" t="s">
        <v>22</v>
      </c>
    </row>
    <row r="175" spans="1:19" ht="15" hidden="1">
      <c r="A175" s="2">
        <v>44315</v>
      </c>
      <c r="B175">
        <v>4</v>
      </c>
      <c r="C175">
        <v>2021</v>
      </c>
      <c r="D175" s="5">
        <v>16.34</v>
      </c>
      <c r="E175" s="4" t="s">
        <v>454</v>
      </c>
      <c r="F175" s="4" t="s">
        <v>38</v>
      </c>
      <c r="G175" s="4" t="s">
        <v>39</v>
      </c>
      <c r="H175" s="4" t="s">
        <v>455</v>
      </c>
      <c r="I175" s="4" t="s">
        <v>456</v>
      </c>
      <c r="J175" s="4" t="s">
        <v>21</v>
      </c>
      <c r="K175" s="4" t="s">
        <v>418</v>
      </c>
      <c r="L175" s="4" t="s">
        <v>22</v>
      </c>
      <c r="M175" s="4" t="s">
        <v>23</v>
      </c>
      <c r="N175" s="4" t="s">
        <v>24</v>
      </c>
      <c r="O175" s="4" t="s">
        <v>25</v>
      </c>
      <c r="P175" s="4" t="s">
        <v>26</v>
      </c>
      <c r="Q175" s="4" t="s">
        <v>40</v>
      </c>
      <c r="R175" s="4" t="s">
        <v>28</v>
      </c>
      <c r="S175" s="4" t="s">
        <v>22</v>
      </c>
    </row>
    <row r="176" spans="1:19" ht="15" hidden="1">
      <c r="A176" s="2">
        <v>44315</v>
      </c>
      <c r="B176">
        <v>4</v>
      </c>
      <c r="C176">
        <v>2021</v>
      </c>
      <c r="D176" s="5">
        <v>180827.25</v>
      </c>
      <c r="E176" s="4" t="s">
        <v>457</v>
      </c>
      <c r="F176" s="4" t="s">
        <v>38</v>
      </c>
      <c r="G176" s="4" t="s">
        <v>39</v>
      </c>
      <c r="H176" s="4" t="s">
        <v>458</v>
      </c>
      <c r="I176" s="4" t="s">
        <v>22</v>
      </c>
      <c r="J176" s="4" t="s">
        <v>31</v>
      </c>
      <c r="K176" s="4" t="s">
        <v>422</v>
      </c>
      <c r="L176" s="4" t="s">
        <v>22</v>
      </c>
      <c r="M176" s="4" t="s">
        <v>23</v>
      </c>
      <c r="N176" s="4" t="s">
        <v>32</v>
      </c>
      <c r="O176" s="4" t="s">
        <v>28</v>
      </c>
      <c r="P176" s="4" t="s">
        <v>26</v>
      </c>
      <c r="Q176" s="4" t="s">
        <v>27</v>
      </c>
      <c r="R176" s="4" t="s">
        <v>28</v>
      </c>
      <c r="S176" s="4" t="s">
        <v>22</v>
      </c>
    </row>
    <row r="177" spans="1:19" ht="15" hidden="1">
      <c r="A177" s="2">
        <v>44315</v>
      </c>
      <c r="B177">
        <v>4</v>
      </c>
      <c r="C177">
        <v>2021</v>
      </c>
      <c r="D177" s="7">
        <v>653.55999999999995</v>
      </c>
      <c r="E177" s="4" t="s">
        <v>429</v>
      </c>
      <c r="F177" s="4" t="s">
        <v>29</v>
      </c>
      <c r="G177" s="4" t="s">
        <v>30</v>
      </c>
      <c r="H177" s="4" t="s">
        <v>430</v>
      </c>
      <c r="I177" s="4" t="s">
        <v>431</v>
      </c>
      <c r="J177" s="4" t="s">
        <v>21</v>
      </c>
      <c r="K177" s="4" t="s">
        <v>418</v>
      </c>
      <c r="L177" s="4" t="s">
        <v>22</v>
      </c>
      <c r="M177" s="4" t="s">
        <v>23</v>
      </c>
      <c r="N177" s="4" t="s">
        <v>24</v>
      </c>
      <c r="O177" s="4" t="s">
        <v>25</v>
      </c>
      <c r="P177" s="4" t="s">
        <v>26</v>
      </c>
      <c r="Q177" s="4" t="s">
        <v>27</v>
      </c>
      <c r="R177" s="4" t="s">
        <v>28</v>
      </c>
      <c r="S177" s="4" t="s">
        <v>22</v>
      </c>
    </row>
    <row r="178" spans="1:19" ht="15" hidden="1">
      <c r="A178" s="2">
        <v>44315</v>
      </c>
      <c r="B178">
        <v>4</v>
      </c>
      <c r="C178">
        <v>2021</v>
      </c>
      <c r="D178" s="5">
        <v>52335.370000000003</v>
      </c>
      <c r="E178" s="4" t="s">
        <v>426</v>
      </c>
      <c r="F178" s="4" t="s">
        <v>41</v>
      </c>
      <c r="G178" s="4" t="s">
        <v>42</v>
      </c>
      <c r="H178" s="4" t="s">
        <v>427</v>
      </c>
      <c r="I178" s="4" t="s">
        <v>428</v>
      </c>
      <c r="J178" s="4" t="s">
        <v>31</v>
      </c>
      <c r="K178" s="4" t="s">
        <v>422</v>
      </c>
      <c r="L178" s="4" t="s">
        <v>22</v>
      </c>
      <c r="M178" s="4" t="s">
        <v>23</v>
      </c>
      <c r="N178" s="4" t="s">
        <v>32</v>
      </c>
      <c r="O178" s="4" t="s">
        <v>28</v>
      </c>
      <c r="P178" s="4" t="s">
        <v>43</v>
      </c>
      <c r="Q178" s="4" t="s">
        <v>27</v>
      </c>
      <c r="R178" s="4" t="s">
        <v>28</v>
      </c>
      <c r="S178" s="4" t="s">
        <v>22</v>
      </c>
    </row>
    <row r="179" spans="1:19" ht="15" hidden="1">
      <c r="A179" s="2">
        <v>44315</v>
      </c>
      <c r="B179">
        <v>4</v>
      </c>
      <c r="C179">
        <v>2021</v>
      </c>
      <c r="D179" s="7">
        <v>1380.4000000000001</v>
      </c>
      <c r="E179" s="4" t="s">
        <v>423</v>
      </c>
      <c r="F179" s="4" t="s">
        <v>29</v>
      </c>
      <c r="G179" s="4" t="s">
        <v>30</v>
      </c>
      <c r="H179" s="4" t="s">
        <v>424</v>
      </c>
      <c r="I179" s="4" t="s">
        <v>425</v>
      </c>
      <c r="J179" s="4" t="s">
        <v>31</v>
      </c>
      <c r="K179" s="4" t="s">
        <v>422</v>
      </c>
      <c r="L179" s="4" t="s">
        <v>22</v>
      </c>
      <c r="M179" s="4" t="s">
        <v>23</v>
      </c>
      <c r="N179" s="4" t="s">
        <v>32</v>
      </c>
      <c r="O179" s="4" t="s">
        <v>28</v>
      </c>
      <c r="P179" s="4" t="s">
        <v>26</v>
      </c>
      <c r="Q179" s="4" t="s">
        <v>27</v>
      </c>
      <c r="R179" s="4" t="s">
        <v>28</v>
      </c>
      <c r="S179" s="4" t="s">
        <v>22</v>
      </c>
    </row>
    <row r="180" spans="1:19" ht="15" hidden="1">
      <c r="A180" s="2">
        <v>44300</v>
      </c>
      <c r="B180">
        <v>4</v>
      </c>
      <c r="C180">
        <v>2021</v>
      </c>
      <c r="D180" s="5">
        <v>59336.739999999998</v>
      </c>
      <c r="E180" s="4" t="s">
        <v>459</v>
      </c>
      <c r="F180" s="4" t="s">
        <v>41</v>
      </c>
      <c r="G180" s="4" t="s">
        <v>42</v>
      </c>
      <c r="H180" s="4" t="s">
        <v>460</v>
      </c>
      <c r="I180" s="4" t="s">
        <v>461</v>
      </c>
      <c r="J180" s="4" t="s">
        <v>31</v>
      </c>
      <c r="K180" s="4" t="s">
        <v>393</v>
      </c>
      <c r="L180" s="4" t="s">
        <v>22</v>
      </c>
      <c r="M180" s="4" t="s">
        <v>23</v>
      </c>
      <c r="N180" s="4" t="s">
        <v>32</v>
      </c>
      <c r="O180" s="4" t="s">
        <v>28</v>
      </c>
      <c r="P180" s="4" t="s">
        <v>43</v>
      </c>
      <c r="Q180" s="4" t="s">
        <v>27</v>
      </c>
      <c r="R180" s="4" t="s">
        <v>28</v>
      </c>
      <c r="S180" s="4" t="s">
        <v>22</v>
      </c>
    </row>
    <row r="181" spans="1:19" ht="15" hidden="1">
      <c r="A181" s="2">
        <v>44316</v>
      </c>
      <c r="B181">
        <v>4</v>
      </c>
      <c r="C181">
        <v>2021</v>
      </c>
      <c r="D181" s="7">
        <v>2457.6100000000001</v>
      </c>
      <c r="E181" s="4" t="s">
        <v>444</v>
      </c>
      <c r="F181" s="4" t="s">
        <v>36</v>
      </c>
      <c r="G181" s="4" t="s">
        <v>37</v>
      </c>
      <c r="H181" s="4" t="s">
        <v>445</v>
      </c>
      <c r="I181" s="4" t="s">
        <v>446</v>
      </c>
      <c r="J181" s="4" t="s">
        <v>31</v>
      </c>
      <c r="K181" s="4" t="s">
        <v>397</v>
      </c>
      <c r="L181" s="4" t="s">
        <v>22</v>
      </c>
      <c r="M181" s="4" t="s">
        <v>23</v>
      </c>
      <c r="N181" s="4" t="s">
        <v>32</v>
      </c>
      <c r="O181" s="4" t="s">
        <v>28</v>
      </c>
      <c r="P181" s="4" t="s">
        <v>26</v>
      </c>
      <c r="Q181" s="4" t="s">
        <v>27</v>
      </c>
      <c r="R181" s="4" t="s">
        <v>28</v>
      </c>
      <c r="S181" s="4" t="s">
        <v>22</v>
      </c>
    </row>
    <row r="182" spans="1:19" ht="15" hidden="1">
      <c r="A182" s="2">
        <v>44316</v>
      </c>
      <c r="B182">
        <v>4</v>
      </c>
      <c r="C182">
        <v>2021</v>
      </c>
      <c r="D182" s="5">
        <v>-42036.330000000002</v>
      </c>
      <c r="E182" s="4" t="s">
        <v>457</v>
      </c>
      <c r="F182" s="4" t="s">
        <v>38</v>
      </c>
      <c r="G182" s="4" t="s">
        <v>39</v>
      </c>
      <c r="H182" s="4" t="s">
        <v>458</v>
      </c>
      <c r="I182" s="4" t="s">
        <v>22</v>
      </c>
      <c r="J182" s="4" t="s">
        <v>21</v>
      </c>
      <c r="K182" s="4" t="s">
        <v>447</v>
      </c>
      <c r="L182" s="4" t="s">
        <v>22</v>
      </c>
      <c r="M182" s="4" t="s">
        <v>23</v>
      </c>
      <c r="N182" s="4" t="s">
        <v>24</v>
      </c>
      <c r="O182" s="4" t="s">
        <v>25</v>
      </c>
      <c r="P182" s="4" t="s">
        <v>26</v>
      </c>
      <c r="Q182" s="4" t="s">
        <v>40</v>
      </c>
      <c r="R182" s="4" t="s">
        <v>28</v>
      </c>
      <c r="S182" s="4" t="s">
        <v>22</v>
      </c>
    </row>
    <row r="183" spans="1:19" ht="15" hidden="1">
      <c r="A183" s="2">
        <v>44305</v>
      </c>
      <c r="B183">
        <v>4</v>
      </c>
      <c r="C183">
        <v>2021</v>
      </c>
      <c r="D183" s="5">
        <v>4.8799999999999999</v>
      </c>
      <c r="E183" s="4" t="s">
        <v>462</v>
      </c>
      <c r="F183" s="4" t="s">
        <v>38</v>
      </c>
      <c r="G183" s="4" t="s">
        <v>39</v>
      </c>
      <c r="H183" s="4" t="s">
        <v>463</v>
      </c>
      <c r="I183" s="4" t="s">
        <v>464</v>
      </c>
      <c r="J183" s="4" t="s">
        <v>21</v>
      </c>
      <c r="K183" s="4" t="s">
        <v>401</v>
      </c>
      <c r="L183" s="4" t="s">
        <v>22</v>
      </c>
      <c r="M183" s="4" t="s">
        <v>23</v>
      </c>
      <c r="N183" s="4" t="s">
        <v>24</v>
      </c>
      <c r="O183" s="4" t="s">
        <v>25</v>
      </c>
      <c r="P183" s="4" t="s">
        <v>26</v>
      </c>
      <c r="Q183" s="4" t="s">
        <v>40</v>
      </c>
      <c r="R183" s="4" t="s">
        <v>28</v>
      </c>
      <c r="S183" s="4" t="s">
        <v>22</v>
      </c>
    </row>
    <row r="184" spans="1:19" ht="15" hidden="1">
      <c r="A184" s="2">
        <v>44315</v>
      </c>
      <c r="B184">
        <v>4</v>
      </c>
      <c r="C184">
        <v>2021</v>
      </c>
      <c r="D184" s="7">
        <v>541.46000000000004</v>
      </c>
      <c r="E184" s="4" t="s">
        <v>419</v>
      </c>
      <c r="F184" s="4" t="s">
        <v>36</v>
      </c>
      <c r="G184" s="4" t="s">
        <v>37</v>
      </c>
      <c r="H184" s="4" t="s">
        <v>420</v>
      </c>
      <c r="I184" s="4" t="s">
        <v>421</v>
      </c>
      <c r="J184" s="4" t="s">
        <v>21</v>
      </c>
      <c r="K184" s="4" t="s">
        <v>418</v>
      </c>
      <c r="L184" s="4" t="s">
        <v>22</v>
      </c>
      <c r="M184" s="4" t="s">
        <v>23</v>
      </c>
      <c r="N184" s="4" t="s">
        <v>24</v>
      </c>
      <c r="O184" s="4" t="s">
        <v>25</v>
      </c>
      <c r="P184" s="4" t="s">
        <v>26</v>
      </c>
      <c r="Q184" s="4" t="s">
        <v>40</v>
      </c>
      <c r="R184" s="4" t="s">
        <v>28</v>
      </c>
      <c r="S184" s="4" t="s">
        <v>22</v>
      </c>
    </row>
    <row r="185" spans="1:19" ht="15" hidden="1">
      <c r="A185" s="2">
        <v>44315</v>
      </c>
      <c r="B185">
        <v>4</v>
      </c>
      <c r="C185">
        <v>2021</v>
      </c>
      <c r="D185" s="5">
        <v>73.040000000000006</v>
      </c>
      <c r="E185" s="4" t="s">
        <v>454</v>
      </c>
      <c r="F185" s="4" t="s">
        <v>38</v>
      </c>
      <c r="G185" s="4" t="s">
        <v>39</v>
      </c>
      <c r="H185" s="4" t="s">
        <v>455</v>
      </c>
      <c r="I185" s="4" t="s">
        <v>456</v>
      </c>
      <c r="J185" s="4" t="s">
        <v>31</v>
      </c>
      <c r="K185" s="4" t="s">
        <v>422</v>
      </c>
      <c r="L185" s="4" t="s">
        <v>22</v>
      </c>
      <c r="M185" s="4" t="s">
        <v>23</v>
      </c>
      <c r="N185" s="4" t="s">
        <v>32</v>
      </c>
      <c r="O185" s="4" t="s">
        <v>28</v>
      </c>
      <c r="P185" s="4" t="s">
        <v>26</v>
      </c>
      <c r="Q185" s="4" t="s">
        <v>27</v>
      </c>
      <c r="R185" s="4" t="s">
        <v>28</v>
      </c>
      <c r="S185" s="4" t="s">
        <v>22</v>
      </c>
    </row>
    <row r="186" spans="1:19" ht="15" hidden="1">
      <c r="A186" s="2">
        <v>44300</v>
      </c>
      <c r="B186">
        <v>4</v>
      </c>
      <c r="C186">
        <v>2021</v>
      </c>
      <c r="D186" s="5">
        <v>153951.67000000001</v>
      </c>
      <c r="E186" s="4" t="s">
        <v>465</v>
      </c>
      <c r="F186" s="4" t="s">
        <v>38</v>
      </c>
      <c r="G186" s="4" t="s">
        <v>39</v>
      </c>
      <c r="H186" s="4" t="s">
        <v>466</v>
      </c>
      <c r="I186" s="4" t="s">
        <v>467</v>
      </c>
      <c r="J186" s="4" t="s">
        <v>31</v>
      </c>
      <c r="K186" s="4" t="s">
        <v>393</v>
      </c>
      <c r="L186" s="4" t="s">
        <v>22</v>
      </c>
      <c r="M186" s="4" t="s">
        <v>23</v>
      </c>
      <c r="N186" s="4" t="s">
        <v>32</v>
      </c>
      <c r="O186" s="4" t="s">
        <v>28</v>
      </c>
      <c r="P186" s="4" t="s">
        <v>26</v>
      </c>
      <c r="Q186" s="4" t="s">
        <v>27</v>
      </c>
      <c r="R186" s="4" t="s">
        <v>28</v>
      </c>
      <c r="S186" s="4" t="s">
        <v>22</v>
      </c>
    </row>
    <row r="187" spans="1:19" ht="15" hidden="1">
      <c r="A187" s="2">
        <v>44300</v>
      </c>
      <c r="B187">
        <v>4</v>
      </c>
      <c r="C187">
        <v>2021</v>
      </c>
      <c r="D187" s="7">
        <v>184</v>
      </c>
      <c r="E187" s="4" t="s">
        <v>451</v>
      </c>
      <c r="F187" s="4" t="s">
        <v>36</v>
      </c>
      <c r="G187" s="4" t="s">
        <v>37</v>
      </c>
      <c r="H187" s="4" t="s">
        <v>452</v>
      </c>
      <c r="I187" s="4" t="s">
        <v>453</v>
      </c>
      <c r="J187" s="4" t="s">
        <v>21</v>
      </c>
      <c r="K187" s="4" t="s">
        <v>408</v>
      </c>
      <c r="L187" s="4" t="s">
        <v>22</v>
      </c>
      <c r="M187" s="4" t="s">
        <v>23</v>
      </c>
      <c r="N187" s="4" t="s">
        <v>24</v>
      </c>
      <c r="O187" s="4" t="s">
        <v>25</v>
      </c>
      <c r="P187" s="4" t="s">
        <v>26</v>
      </c>
      <c r="Q187" s="4" t="s">
        <v>40</v>
      </c>
      <c r="R187" s="4" t="s">
        <v>28</v>
      </c>
      <c r="S187" s="4" t="s">
        <v>22</v>
      </c>
    </row>
    <row r="188" spans="1:19" ht="15" hidden="1">
      <c r="A188" s="2">
        <v>44300</v>
      </c>
      <c r="B188">
        <v>4</v>
      </c>
      <c r="C188">
        <v>2021</v>
      </c>
      <c r="D188" s="5">
        <v>19934.779999999999</v>
      </c>
      <c r="E188" s="4" t="s">
        <v>390</v>
      </c>
      <c r="F188" s="4" t="s">
        <v>41</v>
      </c>
      <c r="G188" s="4" t="s">
        <v>42</v>
      </c>
      <c r="H188" s="4" t="s">
        <v>391</v>
      </c>
      <c r="I188" s="4" t="s">
        <v>392</v>
      </c>
      <c r="J188" s="4" t="s">
        <v>21</v>
      </c>
      <c r="K188" s="4" t="s">
        <v>408</v>
      </c>
      <c r="L188" s="4" t="s">
        <v>22</v>
      </c>
      <c r="M188" s="4" t="s">
        <v>23</v>
      </c>
      <c r="N188" s="4" t="s">
        <v>24</v>
      </c>
      <c r="O188" s="4" t="s">
        <v>25</v>
      </c>
      <c r="P188" s="4" t="s">
        <v>43</v>
      </c>
      <c r="Q188" s="4" t="s">
        <v>40</v>
      </c>
      <c r="R188" s="4" t="s">
        <v>28</v>
      </c>
      <c r="S188" s="4" t="s">
        <v>22</v>
      </c>
    </row>
    <row r="189" spans="1:19" ht="15" hidden="1">
      <c r="A189" s="2">
        <v>44300</v>
      </c>
      <c r="B189">
        <v>4</v>
      </c>
      <c r="C189">
        <v>2021</v>
      </c>
      <c r="D189" s="5">
        <v>20107.889999999999</v>
      </c>
      <c r="E189" s="4" t="s">
        <v>459</v>
      </c>
      <c r="F189" s="4" t="s">
        <v>41</v>
      </c>
      <c r="G189" s="4" t="s">
        <v>42</v>
      </c>
      <c r="H189" s="4" t="s">
        <v>460</v>
      </c>
      <c r="I189" s="4" t="s">
        <v>461</v>
      </c>
      <c r="J189" s="4" t="s">
        <v>21</v>
      </c>
      <c r="K189" s="4" t="s">
        <v>408</v>
      </c>
      <c r="L189" s="4" t="s">
        <v>22</v>
      </c>
      <c r="M189" s="4" t="s">
        <v>23</v>
      </c>
      <c r="N189" s="4" t="s">
        <v>24</v>
      </c>
      <c r="O189" s="4" t="s">
        <v>25</v>
      </c>
      <c r="P189" s="4" t="s">
        <v>43</v>
      </c>
      <c r="Q189" s="4" t="s">
        <v>40</v>
      </c>
      <c r="R189" s="4" t="s">
        <v>28</v>
      </c>
      <c r="S189" s="4" t="s">
        <v>22</v>
      </c>
    </row>
    <row r="190" spans="1:19" ht="15" hidden="1">
      <c r="A190" s="2">
        <v>44300</v>
      </c>
      <c r="B190">
        <v>4</v>
      </c>
      <c r="C190">
        <v>2021</v>
      </c>
      <c r="D190" s="5">
        <v>22157.16</v>
      </c>
      <c r="E190" s="4" t="s">
        <v>465</v>
      </c>
      <c r="F190" s="4" t="s">
        <v>38</v>
      </c>
      <c r="G190" s="4" t="s">
        <v>39</v>
      </c>
      <c r="H190" s="4" t="s">
        <v>466</v>
      </c>
      <c r="I190" s="4" t="s">
        <v>467</v>
      </c>
      <c r="J190" s="4" t="s">
        <v>21</v>
      </c>
      <c r="K190" s="4" t="s">
        <v>408</v>
      </c>
      <c r="L190" s="4" t="s">
        <v>22</v>
      </c>
      <c r="M190" s="4" t="s">
        <v>23</v>
      </c>
      <c r="N190" s="4" t="s">
        <v>24</v>
      </c>
      <c r="O190" s="4" t="s">
        <v>25</v>
      </c>
      <c r="P190" s="4" t="s">
        <v>26</v>
      </c>
      <c r="Q190" s="4" t="s">
        <v>40</v>
      </c>
      <c r="R190" s="4" t="s">
        <v>28</v>
      </c>
      <c r="S190" s="4" t="s">
        <v>22</v>
      </c>
    </row>
    <row r="191" spans="1:19" ht="15" hidden="1">
      <c r="A191" s="2">
        <v>44300</v>
      </c>
      <c r="B191">
        <v>4</v>
      </c>
      <c r="C191">
        <v>2021</v>
      </c>
      <c r="D191" s="5">
        <v>620509.80000000005</v>
      </c>
      <c r="E191" s="4" t="s">
        <v>405</v>
      </c>
      <c r="F191" s="4" t="s">
        <v>44</v>
      </c>
      <c r="G191" s="4" t="s">
        <v>45</v>
      </c>
      <c r="H191" s="4" t="s">
        <v>406</v>
      </c>
      <c r="I191" s="4" t="s">
        <v>407</v>
      </c>
      <c r="J191" s="4" t="s">
        <v>31</v>
      </c>
      <c r="K191" s="4" t="s">
        <v>393</v>
      </c>
      <c r="L191" s="4" t="s">
        <v>22</v>
      </c>
      <c r="M191" s="4" t="s">
        <v>23</v>
      </c>
      <c r="N191" s="4" t="s">
        <v>32</v>
      </c>
      <c r="O191" s="4" t="s">
        <v>28</v>
      </c>
      <c r="P191" s="4" t="s">
        <v>26</v>
      </c>
      <c r="Q191" s="4" t="s">
        <v>27</v>
      </c>
      <c r="R191" s="4" t="s">
        <v>28</v>
      </c>
      <c r="S191" s="4" t="s">
        <v>22</v>
      </c>
    </row>
    <row r="192" spans="1:19" ht="15" hidden="1">
      <c r="A192" s="2">
        <v>44316</v>
      </c>
      <c r="B192">
        <v>4</v>
      </c>
      <c r="C192">
        <v>2021</v>
      </c>
      <c r="D192" s="5">
        <v>-180827.25</v>
      </c>
      <c r="E192" s="4" t="s">
        <v>457</v>
      </c>
      <c r="F192" s="4" t="s">
        <v>38</v>
      </c>
      <c r="G192" s="4" t="s">
        <v>39</v>
      </c>
      <c r="H192" s="4" t="s">
        <v>458</v>
      </c>
      <c r="I192" s="4" t="s">
        <v>22</v>
      </c>
      <c r="J192" s="4" t="s">
        <v>31</v>
      </c>
      <c r="K192" s="4" t="s">
        <v>397</v>
      </c>
      <c r="L192" s="4" t="s">
        <v>22</v>
      </c>
      <c r="M192" s="4" t="s">
        <v>23</v>
      </c>
      <c r="N192" s="4" t="s">
        <v>32</v>
      </c>
      <c r="O192" s="4" t="s">
        <v>28</v>
      </c>
      <c r="P192" s="4" t="s">
        <v>26</v>
      </c>
      <c r="Q192" s="4" t="s">
        <v>27</v>
      </c>
      <c r="R192" s="4" t="s">
        <v>28</v>
      </c>
      <c r="S192" s="4" t="s">
        <v>22</v>
      </c>
    </row>
    <row r="193" spans="1:19" ht="15" hidden="1">
      <c r="A193" s="2">
        <v>44316</v>
      </c>
      <c r="B193">
        <v>4</v>
      </c>
      <c r="C193">
        <v>2021</v>
      </c>
      <c r="D193" s="5">
        <v>60.710000000000001</v>
      </c>
      <c r="E193" s="4" t="s">
        <v>394</v>
      </c>
      <c r="F193" s="4" t="s">
        <v>38</v>
      </c>
      <c r="G193" s="4" t="s">
        <v>39</v>
      </c>
      <c r="H193" s="4" t="s">
        <v>395</v>
      </c>
      <c r="I193" s="4" t="s">
        <v>396</v>
      </c>
      <c r="J193" s="4" t="s">
        <v>21</v>
      </c>
      <c r="K193" s="4" t="s">
        <v>447</v>
      </c>
      <c r="L193" s="4" t="s">
        <v>22</v>
      </c>
      <c r="M193" s="4" t="s">
        <v>23</v>
      </c>
      <c r="N193" s="4" t="s">
        <v>24</v>
      </c>
      <c r="O193" s="4" t="s">
        <v>25</v>
      </c>
      <c r="P193" s="4" t="s">
        <v>26</v>
      </c>
      <c r="Q193" s="4" t="s">
        <v>40</v>
      </c>
      <c r="R193" s="4" t="s">
        <v>28</v>
      </c>
      <c r="S193" s="4" t="s">
        <v>22</v>
      </c>
    </row>
    <row r="194" spans="1:19" ht="15" hidden="1">
      <c r="A194" s="2">
        <v>44299</v>
      </c>
      <c r="B194">
        <v>4</v>
      </c>
      <c r="C194">
        <v>2021</v>
      </c>
      <c r="D194" s="5">
        <v>341244.09000000003</v>
      </c>
      <c r="E194" s="4" t="s">
        <v>468</v>
      </c>
      <c r="F194" s="4" t="s">
        <v>38</v>
      </c>
      <c r="G194" s="4" t="s">
        <v>39</v>
      </c>
      <c r="H194" s="4" t="s">
        <v>469</v>
      </c>
      <c r="I194" s="4" t="s">
        <v>470</v>
      </c>
      <c r="J194" s="4" t="s">
        <v>31</v>
      </c>
      <c r="K194" s="4" t="s">
        <v>471</v>
      </c>
      <c r="L194" s="4" t="s">
        <v>22</v>
      </c>
      <c r="M194" s="4" t="s">
        <v>23</v>
      </c>
      <c r="N194" s="4" t="s">
        <v>32</v>
      </c>
      <c r="O194" s="4" t="s">
        <v>28</v>
      </c>
      <c r="P194" s="4" t="s">
        <v>26</v>
      </c>
      <c r="Q194" s="4" t="s">
        <v>27</v>
      </c>
      <c r="R194" s="4" t="s">
        <v>28</v>
      </c>
      <c r="S194" s="4" t="s">
        <v>22</v>
      </c>
    </row>
    <row r="195" spans="1:19" ht="15" hidden="1">
      <c r="A195" s="2">
        <v>44305</v>
      </c>
      <c r="B195">
        <v>4</v>
      </c>
      <c r="C195">
        <v>2021</v>
      </c>
      <c r="D195" s="7">
        <v>24.5</v>
      </c>
      <c r="E195" s="4" t="s">
        <v>398</v>
      </c>
      <c r="F195" s="4" t="s">
        <v>36</v>
      </c>
      <c r="G195" s="4" t="s">
        <v>37</v>
      </c>
      <c r="H195" s="4" t="s">
        <v>399</v>
      </c>
      <c r="I195" s="4" t="s">
        <v>400</v>
      </c>
      <c r="J195" s="4" t="s">
        <v>31</v>
      </c>
      <c r="K195" s="4" t="s">
        <v>472</v>
      </c>
      <c r="L195" s="4" t="s">
        <v>22</v>
      </c>
      <c r="M195" s="4" t="s">
        <v>23</v>
      </c>
      <c r="N195" s="4" t="s">
        <v>32</v>
      </c>
      <c r="O195" s="4" t="s">
        <v>28</v>
      </c>
      <c r="P195" s="4" t="s">
        <v>26</v>
      </c>
      <c r="Q195" s="4" t="s">
        <v>27</v>
      </c>
      <c r="R195" s="4" t="s">
        <v>28</v>
      </c>
      <c r="S195" s="4" t="s">
        <v>22</v>
      </c>
    </row>
    <row r="196" spans="1:19" ht="15" hidden="1">
      <c r="A196" s="2">
        <v>44300</v>
      </c>
      <c r="B196">
        <v>4</v>
      </c>
      <c r="C196">
        <v>2021</v>
      </c>
      <c r="D196" s="7">
        <v>1330.21</v>
      </c>
      <c r="E196" s="4" t="s">
        <v>438</v>
      </c>
      <c r="F196" s="4" t="s">
        <v>29</v>
      </c>
      <c r="G196" s="4" t="s">
        <v>30</v>
      </c>
      <c r="H196" s="4" t="s">
        <v>439</v>
      </c>
      <c r="I196" s="4" t="s">
        <v>440</v>
      </c>
      <c r="J196" s="4" t="s">
        <v>21</v>
      </c>
      <c r="K196" s="4" t="s">
        <v>408</v>
      </c>
      <c r="L196" s="4" t="s">
        <v>22</v>
      </c>
      <c r="M196" s="4" t="s">
        <v>23</v>
      </c>
      <c r="N196" s="4" t="s">
        <v>24</v>
      </c>
      <c r="O196" s="4" t="s">
        <v>25</v>
      </c>
      <c r="P196" s="4" t="s">
        <v>26</v>
      </c>
      <c r="Q196" s="4" t="s">
        <v>27</v>
      </c>
      <c r="R196" s="4" t="s">
        <v>28</v>
      </c>
      <c r="S196" s="4" t="s">
        <v>22</v>
      </c>
    </row>
    <row r="197" spans="1:19" ht="15" hidden="1">
      <c r="A197" s="2">
        <v>44316</v>
      </c>
      <c r="B197">
        <v>4</v>
      </c>
      <c r="C197">
        <v>2021</v>
      </c>
      <c r="D197" s="5">
        <v>42036.330000000002</v>
      </c>
      <c r="E197" s="4" t="s">
        <v>412</v>
      </c>
      <c r="F197" s="4" t="s">
        <v>38</v>
      </c>
      <c r="G197" s="4" t="s">
        <v>39</v>
      </c>
      <c r="H197" s="4" t="s">
        <v>413</v>
      </c>
      <c r="I197" s="4" t="s">
        <v>414</v>
      </c>
      <c r="J197" s="4" t="s">
        <v>21</v>
      </c>
      <c r="K197" s="4" t="s">
        <v>447</v>
      </c>
      <c r="L197" s="4" t="s">
        <v>22</v>
      </c>
      <c r="M197" s="4" t="s">
        <v>23</v>
      </c>
      <c r="N197" s="4" t="s">
        <v>24</v>
      </c>
      <c r="O197" s="4" t="s">
        <v>25</v>
      </c>
      <c r="P197" s="4" t="s">
        <v>26</v>
      </c>
      <c r="Q197" s="4" t="s">
        <v>40</v>
      </c>
      <c r="R197" s="4" t="s">
        <v>28</v>
      </c>
      <c r="S197" s="4" t="s">
        <v>22</v>
      </c>
    </row>
    <row r="198" spans="1:19" ht="15" hidden="1">
      <c r="A198" s="2">
        <v>44299</v>
      </c>
      <c r="B198">
        <v>4</v>
      </c>
      <c r="C198">
        <v>2021</v>
      </c>
      <c r="D198" s="5">
        <v>37410.660000000003</v>
      </c>
      <c r="E198" s="4" t="s">
        <v>468</v>
      </c>
      <c r="F198" s="4" t="s">
        <v>38</v>
      </c>
      <c r="G198" s="4" t="s">
        <v>39</v>
      </c>
      <c r="H198" s="4" t="s">
        <v>469</v>
      </c>
      <c r="I198" s="4" t="s">
        <v>470</v>
      </c>
      <c r="J198" s="4" t="s">
        <v>21</v>
      </c>
      <c r="K198" s="4" t="s">
        <v>473</v>
      </c>
      <c r="L198" s="4" t="s">
        <v>22</v>
      </c>
      <c r="M198" s="4" t="s">
        <v>23</v>
      </c>
      <c r="N198" s="4" t="s">
        <v>24</v>
      </c>
      <c r="O198" s="4" t="s">
        <v>25</v>
      </c>
      <c r="P198" s="4" t="s">
        <v>26</v>
      </c>
      <c r="Q198" s="4" t="s">
        <v>40</v>
      </c>
      <c r="R198" s="4" t="s">
        <v>28</v>
      </c>
      <c r="S198" s="4" t="s">
        <v>22</v>
      </c>
    </row>
    <row r="199" spans="1:19" ht="15" hidden="1">
      <c r="A199" s="2">
        <v>44315</v>
      </c>
      <c r="B199">
        <v>4</v>
      </c>
      <c r="C199">
        <v>2021</v>
      </c>
      <c r="D199" s="5">
        <v>42036.330000000002</v>
      </c>
      <c r="E199" s="4" t="s">
        <v>457</v>
      </c>
      <c r="F199" s="4" t="s">
        <v>38</v>
      </c>
      <c r="G199" s="4" t="s">
        <v>39</v>
      </c>
      <c r="H199" s="4" t="s">
        <v>458</v>
      </c>
      <c r="I199" s="4" t="s">
        <v>22</v>
      </c>
      <c r="J199" s="4" t="s">
        <v>21</v>
      </c>
      <c r="K199" s="4" t="s">
        <v>418</v>
      </c>
      <c r="L199" s="4" t="s">
        <v>22</v>
      </c>
      <c r="M199" s="4" t="s">
        <v>23</v>
      </c>
      <c r="N199" s="4" t="s">
        <v>24</v>
      </c>
      <c r="O199" s="4" t="s">
        <v>25</v>
      </c>
      <c r="P199" s="4" t="s">
        <v>26</v>
      </c>
      <c r="Q199" s="4" t="s">
        <v>40</v>
      </c>
      <c r="R199" s="4" t="s">
        <v>28</v>
      </c>
      <c r="S199" s="4" t="s">
        <v>22</v>
      </c>
    </row>
    <row r="200" spans="1:19" ht="15" hidden="1">
      <c r="A200" s="2">
        <v>44315</v>
      </c>
      <c r="B200">
        <v>4</v>
      </c>
      <c r="C200">
        <v>2021</v>
      </c>
      <c r="D200" s="5">
        <v>331942</v>
      </c>
      <c r="E200" s="4" t="s">
        <v>432</v>
      </c>
      <c r="F200" s="4" t="s">
        <v>38</v>
      </c>
      <c r="G200" s="4" t="s">
        <v>39</v>
      </c>
      <c r="H200" s="4" t="s">
        <v>433</v>
      </c>
      <c r="I200" s="4" t="s">
        <v>434</v>
      </c>
      <c r="J200" s="4" t="s">
        <v>31</v>
      </c>
      <c r="K200" s="4" t="s">
        <v>422</v>
      </c>
      <c r="L200" s="4" t="s">
        <v>22</v>
      </c>
      <c r="M200" s="4" t="s">
        <v>23</v>
      </c>
      <c r="N200" s="4" t="s">
        <v>32</v>
      </c>
      <c r="O200" s="4" t="s">
        <v>28</v>
      </c>
      <c r="P200" s="4" t="s">
        <v>26</v>
      </c>
      <c r="Q200" s="4" t="s">
        <v>27</v>
      </c>
      <c r="R200" s="4" t="s">
        <v>28</v>
      </c>
      <c r="S200" s="4" t="s">
        <v>22</v>
      </c>
    </row>
    <row r="201" spans="1:19" ht="15" hidden="1">
      <c r="A201" s="2">
        <v>44315</v>
      </c>
      <c r="B201">
        <v>4</v>
      </c>
      <c r="C201">
        <v>2021</v>
      </c>
      <c r="D201" s="5">
        <v>187558.45999999999</v>
      </c>
      <c r="E201" s="4" t="s">
        <v>435</v>
      </c>
      <c r="F201" s="4" t="s">
        <v>44</v>
      </c>
      <c r="G201" s="4" t="s">
        <v>45</v>
      </c>
      <c r="H201" s="4" t="s">
        <v>436</v>
      </c>
      <c r="I201" s="4" t="s">
        <v>437</v>
      </c>
      <c r="J201" s="4" t="s">
        <v>21</v>
      </c>
      <c r="K201" s="4" t="s">
        <v>418</v>
      </c>
      <c r="L201" s="4" t="s">
        <v>22</v>
      </c>
      <c r="M201" s="4" t="s">
        <v>23</v>
      </c>
      <c r="N201" s="4" t="s">
        <v>24</v>
      </c>
      <c r="O201" s="4" t="s">
        <v>25</v>
      </c>
      <c r="P201" s="4" t="s">
        <v>26</v>
      </c>
      <c r="Q201" s="4" t="s">
        <v>40</v>
      </c>
      <c r="R201" s="4" t="s">
        <v>28</v>
      </c>
      <c r="S201" s="4" t="s">
        <v>22</v>
      </c>
    </row>
    <row r="202" spans="1:19" ht="15" hidden="1">
      <c r="A202" s="2">
        <v>44315</v>
      </c>
      <c r="B202">
        <v>4</v>
      </c>
      <c r="C202">
        <v>2021</v>
      </c>
      <c r="D202" s="5">
        <v>64428.550000000003</v>
      </c>
      <c r="E202" s="4" t="s">
        <v>415</v>
      </c>
      <c r="F202" s="4" t="s">
        <v>41</v>
      </c>
      <c r="G202" s="4" t="s">
        <v>42</v>
      </c>
      <c r="H202" s="4" t="s">
        <v>416</v>
      </c>
      <c r="I202" s="4" t="s">
        <v>417</v>
      </c>
      <c r="J202" s="4" t="s">
        <v>31</v>
      </c>
      <c r="K202" s="4" t="s">
        <v>422</v>
      </c>
      <c r="L202" s="4" t="s">
        <v>22</v>
      </c>
      <c r="M202" s="4" t="s">
        <v>23</v>
      </c>
      <c r="N202" s="4" t="s">
        <v>32</v>
      </c>
      <c r="O202" s="4" t="s">
        <v>28</v>
      </c>
      <c r="P202" s="4" t="s">
        <v>43</v>
      </c>
      <c r="Q202" s="4" t="s">
        <v>27</v>
      </c>
      <c r="R202" s="4" t="s">
        <v>28</v>
      </c>
      <c r="S202" s="4" t="s">
        <v>22</v>
      </c>
    </row>
    <row r="203" spans="1:19" ht="15" hidden="1">
      <c r="A203" s="2">
        <v>44315</v>
      </c>
      <c r="B203">
        <v>4</v>
      </c>
      <c r="C203">
        <v>2021</v>
      </c>
      <c r="D203" s="5">
        <v>475839.64000000001</v>
      </c>
      <c r="E203" s="4" t="s">
        <v>448</v>
      </c>
      <c r="F203" s="4" t="s">
        <v>44</v>
      </c>
      <c r="G203" s="4" t="s">
        <v>45</v>
      </c>
      <c r="H203" s="4" t="s">
        <v>449</v>
      </c>
      <c r="I203" s="4" t="s">
        <v>450</v>
      </c>
      <c r="J203" s="4" t="s">
        <v>31</v>
      </c>
      <c r="K203" s="4" t="s">
        <v>422</v>
      </c>
      <c r="L203" s="4" t="s">
        <v>22</v>
      </c>
      <c r="M203" s="4" t="s">
        <v>23</v>
      </c>
      <c r="N203" s="4" t="s">
        <v>32</v>
      </c>
      <c r="O203" s="4" t="s">
        <v>28</v>
      </c>
      <c r="P203" s="4" t="s">
        <v>26</v>
      </c>
      <c r="Q203" s="4" t="s">
        <v>27</v>
      </c>
      <c r="R203" s="4" t="s">
        <v>28</v>
      </c>
      <c r="S203" s="4" t="s">
        <v>22</v>
      </c>
    </row>
    <row r="204" spans="1:19" ht="15" hidden="1">
      <c r="A204" s="2">
        <v>44330</v>
      </c>
      <c r="B204">
        <v>5</v>
      </c>
      <c r="C204">
        <v>2021</v>
      </c>
      <c r="D204" s="7">
        <v>3762.0300000000002</v>
      </c>
      <c r="E204" s="4" t="s">
        <v>474</v>
      </c>
      <c r="F204" s="4" t="s">
        <v>29</v>
      </c>
      <c r="G204" s="4" t="s">
        <v>30</v>
      </c>
      <c r="H204" s="4" t="s">
        <v>475</v>
      </c>
      <c r="I204" s="4" t="s">
        <v>476</v>
      </c>
      <c r="J204" s="4" t="s">
        <v>31</v>
      </c>
      <c r="K204" s="4" t="s">
        <v>477</v>
      </c>
      <c r="L204" s="4" t="s">
        <v>22</v>
      </c>
      <c r="M204" s="4" t="s">
        <v>23</v>
      </c>
      <c r="N204" s="4" t="s">
        <v>32</v>
      </c>
      <c r="O204" s="4" t="s">
        <v>28</v>
      </c>
      <c r="P204" s="4" t="s">
        <v>26</v>
      </c>
      <c r="Q204" s="4" t="s">
        <v>27</v>
      </c>
      <c r="R204" s="4" t="s">
        <v>28</v>
      </c>
      <c r="S204" s="4" t="s">
        <v>22</v>
      </c>
    </row>
    <row r="205" spans="1:19" ht="15" hidden="1">
      <c r="A205" s="2">
        <v>44330</v>
      </c>
      <c r="B205">
        <v>5</v>
      </c>
      <c r="C205">
        <v>2021</v>
      </c>
      <c r="D205" s="5">
        <v>186379.48999999999</v>
      </c>
      <c r="E205" s="4" t="s">
        <v>478</v>
      </c>
      <c r="F205" s="4" t="s">
        <v>38</v>
      </c>
      <c r="G205" s="4" t="s">
        <v>39</v>
      </c>
      <c r="H205" s="4" t="s">
        <v>479</v>
      </c>
      <c r="I205" s="4" t="s">
        <v>480</v>
      </c>
      <c r="J205" s="4" t="s">
        <v>31</v>
      </c>
      <c r="K205" s="4" t="s">
        <v>477</v>
      </c>
      <c r="L205" s="4" t="s">
        <v>22</v>
      </c>
      <c r="M205" s="4" t="s">
        <v>23</v>
      </c>
      <c r="N205" s="4" t="s">
        <v>32</v>
      </c>
      <c r="O205" s="4" t="s">
        <v>28</v>
      </c>
      <c r="P205" s="4" t="s">
        <v>26</v>
      </c>
      <c r="Q205" s="4" t="s">
        <v>27</v>
      </c>
      <c r="R205" s="4" t="s">
        <v>28</v>
      </c>
      <c r="S205" s="4" t="s">
        <v>22</v>
      </c>
    </row>
    <row r="206" spans="1:19" ht="15" hidden="1">
      <c r="A206" s="2">
        <v>44341</v>
      </c>
      <c r="B206">
        <v>5</v>
      </c>
      <c r="C206">
        <v>2021</v>
      </c>
      <c r="D206" s="5">
        <v>7678.6099999999997</v>
      </c>
      <c r="E206" s="4" t="s">
        <v>481</v>
      </c>
      <c r="F206" s="4" t="s">
        <v>38</v>
      </c>
      <c r="G206" s="4" t="s">
        <v>39</v>
      </c>
      <c r="H206" s="4" t="s">
        <v>482</v>
      </c>
      <c r="I206" s="4" t="s">
        <v>483</v>
      </c>
      <c r="J206" s="4" t="s">
        <v>21</v>
      </c>
      <c r="K206" s="4" t="s">
        <v>484</v>
      </c>
      <c r="L206" s="4" t="s">
        <v>22</v>
      </c>
      <c r="M206" s="4" t="s">
        <v>23</v>
      </c>
      <c r="N206" s="4" t="s">
        <v>24</v>
      </c>
      <c r="O206" s="4" t="s">
        <v>25</v>
      </c>
      <c r="P206" s="4" t="s">
        <v>26</v>
      </c>
      <c r="Q206" s="4" t="s">
        <v>40</v>
      </c>
      <c r="R206" s="4" t="s">
        <v>28</v>
      </c>
      <c r="S206" s="4" t="s">
        <v>22</v>
      </c>
    </row>
    <row r="207" spans="1:19" ht="15" hidden="1">
      <c r="A207" s="2">
        <v>44336</v>
      </c>
      <c r="B207">
        <v>5</v>
      </c>
      <c r="C207">
        <v>2021</v>
      </c>
      <c r="D207" s="5">
        <v>36851.139999999999</v>
      </c>
      <c r="E207" s="4" t="s">
        <v>485</v>
      </c>
      <c r="F207" s="4" t="s">
        <v>38</v>
      </c>
      <c r="G207" s="4" t="s">
        <v>39</v>
      </c>
      <c r="H207" s="4" t="s">
        <v>486</v>
      </c>
      <c r="I207" s="4" t="s">
        <v>487</v>
      </c>
      <c r="J207" s="4" t="s">
        <v>21</v>
      </c>
      <c r="K207" s="4" t="s">
        <v>488</v>
      </c>
      <c r="L207" s="4" t="s">
        <v>22</v>
      </c>
      <c r="M207" s="4" t="s">
        <v>23</v>
      </c>
      <c r="N207" s="4" t="s">
        <v>24</v>
      </c>
      <c r="O207" s="4" t="s">
        <v>25</v>
      </c>
      <c r="P207" s="4" t="s">
        <v>26</v>
      </c>
      <c r="Q207" s="4" t="s">
        <v>40</v>
      </c>
      <c r="R207" s="4" t="s">
        <v>28</v>
      </c>
      <c r="S207" s="4" t="s">
        <v>22</v>
      </c>
    </row>
    <row r="208" spans="1:19" ht="15" hidden="1">
      <c r="A208" s="2">
        <v>44336</v>
      </c>
      <c r="B208">
        <v>5</v>
      </c>
      <c r="C208">
        <v>2021</v>
      </c>
      <c r="D208" s="5">
        <v>240371.89999999999</v>
      </c>
      <c r="E208" s="4" t="s">
        <v>489</v>
      </c>
      <c r="F208" s="4" t="s">
        <v>44</v>
      </c>
      <c r="G208" s="4" t="s">
        <v>45</v>
      </c>
      <c r="H208" s="4" t="s">
        <v>490</v>
      </c>
      <c r="I208" s="4" t="s">
        <v>491</v>
      </c>
      <c r="J208" s="4" t="s">
        <v>21</v>
      </c>
      <c r="K208" s="4" t="s">
        <v>488</v>
      </c>
      <c r="L208" s="4" t="s">
        <v>22</v>
      </c>
      <c r="M208" s="4" t="s">
        <v>23</v>
      </c>
      <c r="N208" s="4" t="s">
        <v>24</v>
      </c>
      <c r="O208" s="4" t="s">
        <v>25</v>
      </c>
      <c r="P208" s="4" t="s">
        <v>26</v>
      </c>
      <c r="Q208" s="4" t="s">
        <v>40</v>
      </c>
      <c r="R208" s="4" t="s">
        <v>28</v>
      </c>
      <c r="S208" s="4" t="s">
        <v>22</v>
      </c>
    </row>
    <row r="209" spans="1:19" ht="15" hidden="1">
      <c r="A209" s="2">
        <v>44336</v>
      </c>
      <c r="B209">
        <v>5</v>
      </c>
      <c r="C209">
        <v>2021</v>
      </c>
      <c r="D209" s="5">
        <v>191888.29000000001</v>
      </c>
      <c r="E209" s="4" t="s">
        <v>485</v>
      </c>
      <c r="F209" s="4" t="s">
        <v>38</v>
      </c>
      <c r="G209" s="4" t="s">
        <v>39</v>
      </c>
      <c r="H209" s="4" t="s">
        <v>486</v>
      </c>
      <c r="I209" s="4" t="s">
        <v>487</v>
      </c>
      <c r="J209" s="4" t="s">
        <v>31</v>
      </c>
      <c r="K209" s="4" t="s">
        <v>492</v>
      </c>
      <c r="L209" s="4" t="s">
        <v>22</v>
      </c>
      <c r="M209" s="4" t="s">
        <v>23</v>
      </c>
      <c r="N209" s="4" t="s">
        <v>32</v>
      </c>
      <c r="O209" s="4" t="s">
        <v>28</v>
      </c>
      <c r="P209" s="4" t="s">
        <v>26</v>
      </c>
      <c r="Q209" s="4" t="s">
        <v>27</v>
      </c>
      <c r="R209" s="4" t="s">
        <v>28</v>
      </c>
      <c r="S209" s="4" t="s">
        <v>22</v>
      </c>
    </row>
    <row r="210" spans="1:19" ht="15" hidden="1">
      <c r="A210" s="2">
        <v>44330</v>
      </c>
      <c r="B210">
        <v>5</v>
      </c>
      <c r="C210">
        <v>2021</v>
      </c>
      <c r="D210" s="5">
        <v>528166.34999999998</v>
      </c>
      <c r="E210" s="4" t="s">
        <v>493</v>
      </c>
      <c r="F210" s="4" t="s">
        <v>44</v>
      </c>
      <c r="G210" s="4" t="s">
        <v>45</v>
      </c>
      <c r="H210" s="4" t="s">
        <v>494</v>
      </c>
      <c r="I210" s="4" t="s">
        <v>495</v>
      </c>
      <c r="J210" s="4" t="s">
        <v>31</v>
      </c>
      <c r="K210" s="4" t="s">
        <v>477</v>
      </c>
      <c r="L210" s="4" t="s">
        <v>22</v>
      </c>
      <c r="M210" s="4" t="s">
        <v>23</v>
      </c>
      <c r="N210" s="4" t="s">
        <v>32</v>
      </c>
      <c r="O210" s="4" t="s">
        <v>28</v>
      </c>
      <c r="P210" s="4" t="s">
        <v>26</v>
      </c>
      <c r="Q210" s="4" t="s">
        <v>27</v>
      </c>
      <c r="R210" s="4" t="s">
        <v>28</v>
      </c>
      <c r="S210" s="4" t="s">
        <v>22</v>
      </c>
    </row>
    <row r="211" spans="1:19" ht="15" hidden="1">
      <c r="A211" s="2">
        <v>44333</v>
      </c>
      <c r="B211">
        <v>5</v>
      </c>
      <c r="C211">
        <v>2021</v>
      </c>
      <c r="D211" s="7">
        <v>534.59000000000003</v>
      </c>
      <c r="E211" s="4" t="s">
        <v>496</v>
      </c>
      <c r="F211" s="4" t="s">
        <v>36</v>
      </c>
      <c r="G211" s="4" t="s">
        <v>37</v>
      </c>
      <c r="H211" s="4" t="s">
        <v>497</v>
      </c>
      <c r="I211" s="4" t="s">
        <v>498</v>
      </c>
      <c r="J211" s="4" t="s">
        <v>31</v>
      </c>
      <c r="K211" s="4" t="s">
        <v>499</v>
      </c>
      <c r="L211" s="4" t="s">
        <v>22</v>
      </c>
      <c r="M211" s="4" t="s">
        <v>23</v>
      </c>
      <c r="N211" s="4" t="s">
        <v>32</v>
      </c>
      <c r="O211" s="4" t="s">
        <v>28</v>
      </c>
      <c r="P211" s="4" t="s">
        <v>26</v>
      </c>
      <c r="Q211" s="4" t="s">
        <v>27</v>
      </c>
      <c r="R211" s="4" t="s">
        <v>28</v>
      </c>
      <c r="S211" s="4" t="s">
        <v>22</v>
      </c>
    </row>
    <row r="212" spans="1:19" ht="15" hidden="1">
      <c r="A212" s="2">
        <v>44336</v>
      </c>
      <c r="B212">
        <v>5</v>
      </c>
      <c r="C212">
        <v>2021</v>
      </c>
      <c r="D212" s="5">
        <v>-2.29</v>
      </c>
      <c r="E212" s="4" t="s">
        <v>500</v>
      </c>
      <c r="F212" s="4" t="s">
        <v>38</v>
      </c>
      <c r="G212" s="4" t="s">
        <v>39</v>
      </c>
      <c r="H212" s="4" t="s">
        <v>501</v>
      </c>
      <c r="I212" s="4" t="s">
        <v>502</v>
      </c>
      <c r="J212" s="4" t="s">
        <v>21</v>
      </c>
      <c r="K212" s="4" t="s">
        <v>488</v>
      </c>
      <c r="L212" s="4" t="s">
        <v>22</v>
      </c>
      <c r="M212" s="4" t="s">
        <v>23</v>
      </c>
      <c r="N212" s="4" t="s">
        <v>24</v>
      </c>
      <c r="O212" s="4" t="s">
        <v>25</v>
      </c>
      <c r="P212" s="4" t="s">
        <v>26</v>
      </c>
      <c r="Q212" s="4" t="s">
        <v>40</v>
      </c>
      <c r="R212" s="4" t="s">
        <v>28</v>
      </c>
      <c r="S212" s="4" t="s">
        <v>22</v>
      </c>
    </row>
    <row r="213" spans="1:19" ht="15" hidden="1">
      <c r="A213" s="2">
        <v>44336</v>
      </c>
      <c r="B213">
        <v>5</v>
      </c>
      <c r="C213">
        <v>2021</v>
      </c>
      <c r="D213" s="5">
        <v>-81.930000000000007</v>
      </c>
      <c r="E213" s="4" t="s">
        <v>500</v>
      </c>
      <c r="F213" s="4" t="s">
        <v>38</v>
      </c>
      <c r="G213" s="4" t="s">
        <v>39</v>
      </c>
      <c r="H213" s="4" t="s">
        <v>501</v>
      </c>
      <c r="I213" s="4" t="s">
        <v>502</v>
      </c>
      <c r="J213" s="4" t="s">
        <v>31</v>
      </c>
      <c r="K213" s="4" t="s">
        <v>492</v>
      </c>
      <c r="L213" s="4" t="s">
        <v>22</v>
      </c>
      <c r="M213" s="4" t="s">
        <v>23</v>
      </c>
      <c r="N213" s="4" t="s">
        <v>32</v>
      </c>
      <c r="O213" s="4" t="s">
        <v>28</v>
      </c>
      <c r="P213" s="4" t="s">
        <v>26</v>
      </c>
      <c r="Q213" s="4" t="s">
        <v>27</v>
      </c>
      <c r="R213" s="4" t="s">
        <v>28</v>
      </c>
      <c r="S213" s="4" t="s">
        <v>22</v>
      </c>
    </row>
    <row r="214" spans="1:19" ht="15" hidden="1">
      <c r="A214" s="2">
        <v>44336</v>
      </c>
      <c r="B214">
        <v>5</v>
      </c>
      <c r="C214">
        <v>2021</v>
      </c>
      <c r="D214" s="7">
        <v>354.37</v>
      </c>
      <c r="E214" s="4" t="s">
        <v>503</v>
      </c>
      <c r="F214" s="4" t="s">
        <v>36</v>
      </c>
      <c r="G214" s="4" t="s">
        <v>37</v>
      </c>
      <c r="H214" s="4" t="s">
        <v>504</v>
      </c>
      <c r="I214" s="4" t="s">
        <v>505</v>
      </c>
      <c r="J214" s="4" t="s">
        <v>31</v>
      </c>
      <c r="K214" s="4" t="s">
        <v>492</v>
      </c>
      <c r="L214" s="4" t="s">
        <v>22</v>
      </c>
      <c r="M214" s="4" t="s">
        <v>23</v>
      </c>
      <c r="N214" s="4" t="s">
        <v>32</v>
      </c>
      <c r="O214" s="4" t="s">
        <v>28</v>
      </c>
      <c r="P214" s="4" t="s">
        <v>26</v>
      </c>
      <c r="Q214" s="4" t="s">
        <v>27</v>
      </c>
      <c r="R214" s="4" t="s">
        <v>28</v>
      </c>
      <c r="S214" s="4" t="s">
        <v>22</v>
      </c>
    </row>
    <row r="215" spans="1:19" ht="15" hidden="1">
      <c r="A215" s="2">
        <v>44342</v>
      </c>
      <c r="B215">
        <v>5</v>
      </c>
      <c r="C215">
        <v>2021</v>
      </c>
      <c r="D215" s="5">
        <v>62737.07</v>
      </c>
      <c r="E215" s="4" t="s">
        <v>506</v>
      </c>
      <c r="F215" s="4" t="s">
        <v>41</v>
      </c>
      <c r="G215" s="4" t="s">
        <v>42</v>
      </c>
      <c r="H215" s="4" t="s">
        <v>507</v>
      </c>
      <c r="I215" s="4" t="s">
        <v>508</v>
      </c>
      <c r="J215" s="4" t="s">
        <v>31</v>
      </c>
      <c r="K215" s="4" t="s">
        <v>509</v>
      </c>
      <c r="L215" s="4" t="s">
        <v>22</v>
      </c>
      <c r="M215" s="4" t="s">
        <v>23</v>
      </c>
      <c r="N215" s="4" t="s">
        <v>32</v>
      </c>
      <c r="O215" s="4" t="s">
        <v>28</v>
      </c>
      <c r="P215" s="4" t="s">
        <v>43</v>
      </c>
      <c r="Q215" s="4" t="s">
        <v>27</v>
      </c>
      <c r="R215" s="4" t="s">
        <v>28</v>
      </c>
      <c r="S215" s="4" t="s">
        <v>22</v>
      </c>
    </row>
    <row r="216" spans="1:19" ht="15" hidden="1">
      <c r="A216" s="2">
        <v>44344</v>
      </c>
      <c r="B216">
        <v>5</v>
      </c>
      <c r="C216">
        <v>2021</v>
      </c>
      <c r="D216" s="7">
        <v>951.25999999999999</v>
      </c>
      <c r="E216" s="4" t="s">
        <v>510</v>
      </c>
      <c r="F216" s="4" t="s">
        <v>36</v>
      </c>
      <c r="G216" s="4" t="s">
        <v>37</v>
      </c>
      <c r="H216" s="4" t="s">
        <v>511</v>
      </c>
      <c r="I216" s="4" t="s">
        <v>512</v>
      </c>
      <c r="J216" s="4" t="s">
        <v>31</v>
      </c>
      <c r="K216" s="4" t="s">
        <v>513</v>
      </c>
      <c r="L216" s="4" t="s">
        <v>22</v>
      </c>
      <c r="M216" s="4" t="s">
        <v>23</v>
      </c>
      <c r="N216" s="4" t="s">
        <v>32</v>
      </c>
      <c r="O216" s="4" t="s">
        <v>28</v>
      </c>
      <c r="P216" s="4" t="s">
        <v>26</v>
      </c>
      <c r="Q216" s="4" t="s">
        <v>27</v>
      </c>
      <c r="R216" s="4" t="s">
        <v>28</v>
      </c>
      <c r="S216" s="4" t="s">
        <v>22</v>
      </c>
    </row>
    <row r="217" spans="1:19" ht="15" hidden="1">
      <c r="A217" s="2">
        <v>44330</v>
      </c>
      <c r="B217">
        <v>5</v>
      </c>
      <c r="C217">
        <v>2021</v>
      </c>
      <c r="D217" s="7">
        <v>872.32000000000005</v>
      </c>
      <c r="E217" s="4" t="s">
        <v>474</v>
      </c>
      <c r="F217" s="4" t="s">
        <v>29</v>
      </c>
      <c r="G217" s="4" t="s">
        <v>30</v>
      </c>
      <c r="H217" s="4" t="s">
        <v>475</v>
      </c>
      <c r="I217" s="4" t="s">
        <v>476</v>
      </c>
      <c r="J217" s="4" t="s">
        <v>21</v>
      </c>
      <c r="K217" s="4" t="s">
        <v>514</v>
      </c>
      <c r="L217" s="4" t="s">
        <v>22</v>
      </c>
      <c r="M217" s="4" t="s">
        <v>23</v>
      </c>
      <c r="N217" s="4" t="s">
        <v>24</v>
      </c>
      <c r="O217" s="4" t="s">
        <v>25</v>
      </c>
      <c r="P217" s="4" t="s">
        <v>26</v>
      </c>
      <c r="Q217" s="4" t="s">
        <v>27</v>
      </c>
      <c r="R217" s="4" t="s">
        <v>28</v>
      </c>
      <c r="S217" s="4" t="s">
        <v>22</v>
      </c>
    </row>
    <row r="218" spans="1:19" ht="15" hidden="1">
      <c r="A218" s="2">
        <v>44330</v>
      </c>
      <c r="B218">
        <v>5</v>
      </c>
      <c r="C218">
        <v>2021</v>
      </c>
      <c r="D218" s="5">
        <v>70258.990000000005</v>
      </c>
      <c r="E218" s="4" t="s">
        <v>515</v>
      </c>
      <c r="F218" s="4" t="s">
        <v>41</v>
      </c>
      <c r="G218" s="4" t="s">
        <v>42</v>
      </c>
      <c r="H218" s="4" t="s">
        <v>516</v>
      </c>
      <c r="I218" s="4" t="s">
        <v>517</v>
      </c>
      <c r="J218" s="4" t="s">
        <v>31</v>
      </c>
      <c r="K218" s="4" t="s">
        <v>477</v>
      </c>
      <c r="L218" s="4" t="s">
        <v>22</v>
      </c>
      <c r="M218" s="4" t="s">
        <v>23</v>
      </c>
      <c r="N218" s="4" t="s">
        <v>32</v>
      </c>
      <c r="O218" s="4" t="s">
        <v>28</v>
      </c>
      <c r="P218" s="4" t="s">
        <v>43</v>
      </c>
      <c r="Q218" s="4" t="s">
        <v>27</v>
      </c>
      <c r="R218" s="4" t="s">
        <v>28</v>
      </c>
      <c r="S218" s="4" t="s">
        <v>22</v>
      </c>
    </row>
    <row r="219" spans="1:19" ht="15" hidden="1">
      <c r="A219" s="2">
        <v>44341</v>
      </c>
      <c r="B219">
        <v>5</v>
      </c>
      <c r="C219">
        <v>2021</v>
      </c>
      <c r="D219" s="5">
        <v>129471.89999999999</v>
      </c>
      <c r="E219" s="4" t="s">
        <v>481</v>
      </c>
      <c r="F219" s="4" t="s">
        <v>38</v>
      </c>
      <c r="G219" s="4" t="s">
        <v>39</v>
      </c>
      <c r="H219" s="4" t="s">
        <v>482</v>
      </c>
      <c r="I219" s="4" t="s">
        <v>483</v>
      </c>
      <c r="J219" s="4" t="s">
        <v>31</v>
      </c>
      <c r="K219" s="4" t="s">
        <v>518</v>
      </c>
      <c r="L219" s="4" t="s">
        <v>22</v>
      </c>
      <c r="M219" s="4" t="s">
        <v>23</v>
      </c>
      <c r="N219" s="4" t="s">
        <v>32</v>
      </c>
      <c r="O219" s="4" t="s">
        <v>28</v>
      </c>
      <c r="P219" s="4" t="s">
        <v>26</v>
      </c>
      <c r="Q219" s="4" t="s">
        <v>27</v>
      </c>
      <c r="R219" s="4" t="s">
        <v>28</v>
      </c>
      <c r="S219" s="4" t="s">
        <v>22</v>
      </c>
    </row>
    <row r="220" spans="1:19" ht="15" hidden="1">
      <c r="A220" s="2">
        <v>44336</v>
      </c>
      <c r="B220">
        <v>5</v>
      </c>
      <c r="C220">
        <v>2021</v>
      </c>
      <c r="D220" s="5">
        <v>866686.43000000005</v>
      </c>
      <c r="E220" s="4" t="s">
        <v>489</v>
      </c>
      <c r="F220" s="4" t="s">
        <v>44</v>
      </c>
      <c r="G220" s="4" t="s">
        <v>45</v>
      </c>
      <c r="H220" s="4" t="s">
        <v>490</v>
      </c>
      <c r="I220" s="4" t="s">
        <v>491</v>
      </c>
      <c r="J220" s="4" t="s">
        <v>31</v>
      </c>
      <c r="K220" s="4" t="s">
        <v>492</v>
      </c>
      <c r="L220" s="4" t="s">
        <v>22</v>
      </c>
      <c r="M220" s="4" t="s">
        <v>23</v>
      </c>
      <c r="N220" s="4" t="s">
        <v>32</v>
      </c>
      <c r="O220" s="4" t="s">
        <v>28</v>
      </c>
      <c r="P220" s="4" t="s">
        <v>26</v>
      </c>
      <c r="Q220" s="4" t="s">
        <v>27</v>
      </c>
      <c r="R220" s="4" t="s">
        <v>28</v>
      </c>
      <c r="S220" s="4" t="s">
        <v>22</v>
      </c>
    </row>
    <row r="221" spans="1:19" ht="15" hidden="1">
      <c r="A221" s="2">
        <v>44342</v>
      </c>
      <c r="B221">
        <v>5</v>
      </c>
      <c r="C221">
        <v>2021</v>
      </c>
      <c r="D221" s="7">
        <v>1745.99</v>
      </c>
      <c r="E221" s="4" t="s">
        <v>519</v>
      </c>
      <c r="F221" s="4" t="s">
        <v>29</v>
      </c>
      <c r="G221" s="4" t="s">
        <v>30</v>
      </c>
      <c r="H221" s="4" t="s">
        <v>520</v>
      </c>
      <c r="I221" s="4" t="s">
        <v>521</v>
      </c>
      <c r="J221" s="4" t="s">
        <v>21</v>
      </c>
      <c r="K221" s="4" t="s">
        <v>522</v>
      </c>
      <c r="L221" s="4" t="s">
        <v>22</v>
      </c>
      <c r="M221" s="4" t="s">
        <v>23</v>
      </c>
      <c r="N221" s="4" t="s">
        <v>24</v>
      </c>
      <c r="O221" s="4" t="s">
        <v>25</v>
      </c>
      <c r="P221" s="4" t="s">
        <v>26</v>
      </c>
      <c r="Q221" s="4" t="s">
        <v>27</v>
      </c>
      <c r="R221" s="4" t="s">
        <v>28</v>
      </c>
      <c r="S221" s="4" t="s">
        <v>22</v>
      </c>
    </row>
    <row r="222" spans="1:19" ht="15" hidden="1">
      <c r="A222" s="2">
        <v>44342</v>
      </c>
      <c r="B222">
        <v>5</v>
      </c>
      <c r="C222">
        <v>2021</v>
      </c>
      <c r="D222" s="5">
        <v>16442.91</v>
      </c>
      <c r="E222" s="4" t="s">
        <v>506</v>
      </c>
      <c r="F222" s="4" t="s">
        <v>41</v>
      </c>
      <c r="G222" s="4" t="s">
        <v>42</v>
      </c>
      <c r="H222" s="4" t="s">
        <v>507</v>
      </c>
      <c r="I222" s="4" t="s">
        <v>508</v>
      </c>
      <c r="J222" s="4" t="s">
        <v>21</v>
      </c>
      <c r="K222" s="4" t="s">
        <v>522</v>
      </c>
      <c r="L222" s="4" t="s">
        <v>22</v>
      </c>
      <c r="M222" s="4" t="s">
        <v>23</v>
      </c>
      <c r="N222" s="4" t="s">
        <v>24</v>
      </c>
      <c r="O222" s="4" t="s">
        <v>25</v>
      </c>
      <c r="P222" s="4" t="s">
        <v>43</v>
      </c>
      <c r="Q222" s="4" t="s">
        <v>40</v>
      </c>
      <c r="R222" s="4" t="s">
        <v>28</v>
      </c>
      <c r="S222" s="4" t="s">
        <v>22</v>
      </c>
    </row>
    <row r="223" spans="1:19" ht="15" hidden="1">
      <c r="A223" s="2">
        <v>44344</v>
      </c>
      <c r="B223">
        <v>5</v>
      </c>
      <c r="C223">
        <v>2021</v>
      </c>
      <c r="D223" s="5">
        <v>34.140000000000001</v>
      </c>
      <c r="E223" s="4" t="s">
        <v>523</v>
      </c>
      <c r="F223" s="4" t="s">
        <v>38</v>
      </c>
      <c r="G223" s="4" t="s">
        <v>39</v>
      </c>
      <c r="H223" s="4" t="s">
        <v>524</v>
      </c>
      <c r="I223" s="4" t="s">
        <v>525</v>
      </c>
      <c r="J223" s="4" t="s">
        <v>21</v>
      </c>
      <c r="K223" s="4" t="s">
        <v>526</v>
      </c>
      <c r="L223" s="4" t="s">
        <v>22</v>
      </c>
      <c r="M223" s="4" t="s">
        <v>23</v>
      </c>
      <c r="N223" s="4" t="s">
        <v>24</v>
      </c>
      <c r="O223" s="4" t="s">
        <v>25</v>
      </c>
      <c r="P223" s="4" t="s">
        <v>26</v>
      </c>
      <c r="Q223" s="4" t="s">
        <v>40</v>
      </c>
      <c r="R223" s="4" t="s">
        <v>28</v>
      </c>
      <c r="S223" s="4" t="s">
        <v>22</v>
      </c>
    </row>
    <row r="224" spans="1:19" ht="15" hidden="1">
      <c r="A224" s="2">
        <v>44344</v>
      </c>
      <c r="B224">
        <v>5</v>
      </c>
      <c r="C224">
        <v>2021</v>
      </c>
      <c r="D224" s="5">
        <v>162.77000000000001</v>
      </c>
      <c r="E224" s="4" t="s">
        <v>523</v>
      </c>
      <c r="F224" s="4" t="s">
        <v>38</v>
      </c>
      <c r="G224" s="4" t="s">
        <v>39</v>
      </c>
      <c r="H224" s="4" t="s">
        <v>524</v>
      </c>
      <c r="I224" s="4" t="s">
        <v>525</v>
      </c>
      <c r="J224" s="4" t="s">
        <v>31</v>
      </c>
      <c r="K224" s="4" t="s">
        <v>513</v>
      </c>
      <c r="L224" s="4" t="s">
        <v>22</v>
      </c>
      <c r="M224" s="4" t="s">
        <v>23</v>
      </c>
      <c r="N224" s="4" t="s">
        <v>32</v>
      </c>
      <c r="O224" s="4" t="s">
        <v>28</v>
      </c>
      <c r="P224" s="4" t="s">
        <v>26</v>
      </c>
      <c r="Q224" s="4" t="s">
        <v>27</v>
      </c>
      <c r="R224" s="4" t="s">
        <v>28</v>
      </c>
      <c r="S224" s="4" t="s">
        <v>22</v>
      </c>
    </row>
    <row r="225" spans="1:19" ht="15" hidden="1">
      <c r="A225" s="2">
        <v>44344</v>
      </c>
      <c r="B225">
        <v>5</v>
      </c>
      <c r="C225">
        <v>2021</v>
      </c>
      <c r="D225" s="5">
        <v>206701.70000000001</v>
      </c>
      <c r="E225" s="4" t="s">
        <v>527</v>
      </c>
      <c r="F225" s="4" t="s">
        <v>38</v>
      </c>
      <c r="G225" s="4" t="s">
        <v>39</v>
      </c>
      <c r="H225" s="4" t="s">
        <v>528</v>
      </c>
      <c r="I225" s="4" t="s">
        <v>529</v>
      </c>
      <c r="J225" s="4" t="s">
        <v>31</v>
      </c>
      <c r="K225" s="4" t="s">
        <v>513</v>
      </c>
      <c r="L225" s="4" t="s">
        <v>22</v>
      </c>
      <c r="M225" s="4" t="s">
        <v>23</v>
      </c>
      <c r="N225" s="4" t="s">
        <v>32</v>
      </c>
      <c r="O225" s="4" t="s">
        <v>28</v>
      </c>
      <c r="P225" s="4" t="s">
        <v>26</v>
      </c>
      <c r="Q225" s="4" t="s">
        <v>27</v>
      </c>
      <c r="R225" s="4" t="s">
        <v>28</v>
      </c>
      <c r="S225" s="4" t="s">
        <v>22</v>
      </c>
    </row>
    <row r="226" spans="1:19" ht="15" hidden="1">
      <c r="A226" s="2">
        <v>44341</v>
      </c>
      <c r="B226">
        <v>5</v>
      </c>
      <c r="C226">
        <v>2021</v>
      </c>
      <c r="D226" s="5">
        <v>421.76999999999998</v>
      </c>
      <c r="E226" s="4" t="s">
        <v>530</v>
      </c>
      <c r="F226" s="4" t="s">
        <v>38</v>
      </c>
      <c r="G226" s="4" t="s">
        <v>39</v>
      </c>
      <c r="H226" s="4" t="s">
        <v>531</v>
      </c>
      <c r="I226" s="4" t="s">
        <v>532</v>
      </c>
      <c r="J226" s="4" t="s">
        <v>31</v>
      </c>
      <c r="K226" s="4" t="s">
        <v>518</v>
      </c>
      <c r="L226" s="4" t="s">
        <v>22</v>
      </c>
      <c r="M226" s="4" t="s">
        <v>23</v>
      </c>
      <c r="N226" s="4" t="s">
        <v>32</v>
      </c>
      <c r="O226" s="4" t="s">
        <v>28</v>
      </c>
      <c r="P226" s="4" t="s">
        <v>26</v>
      </c>
      <c r="Q226" s="4" t="s">
        <v>27</v>
      </c>
      <c r="R226" s="4" t="s">
        <v>28</v>
      </c>
      <c r="S226" s="4" t="s">
        <v>22</v>
      </c>
    </row>
    <row r="227" spans="1:19" ht="15" hidden="1">
      <c r="A227" s="2">
        <v>44341</v>
      </c>
      <c r="B227">
        <v>5</v>
      </c>
      <c r="C227">
        <v>2021</v>
      </c>
      <c r="D227" s="7">
        <v>34.009999999999998</v>
      </c>
      <c r="E227" s="4" t="s">
        <v>533</v>
      </c>
      <c r="F227" s="4" t="s">
        <v>36</v>
      </c>
      <c r="G227" s="4" t="s">
        <v>37</v>
      </c>
      <c r="H227" s="4" t="s">
        <v>534</v>
      </c>
      <c r="I227" s="4" t="s">
        <v>535</v>
      </c>
      <c r="J227" s="4" t="s">
        <v>21</v>
      </c>
      <c r="K227" s="4" t="s">
        <v>484</v>
      </c>
      <c r="L227" s="4" t="s">
        <v>22</v>
      </c>
      <c r="M227" s="4" t="s">
        <v>23</v>
      </c>
      <c r="N227" s="4" t="s">
        <v>24</v>
      </c>
      <c r="O227" s="4" t="s">
        <v>25</v>
      </c>
      <c r="P227" s="4" t="s">
        <v>26</v>
      </c>
      <c r="Q227" s="4" t="s">
        <v>40</v>
      </c>
      <c r="R227" s="4" t="s">
        <v>28</v>
      </c>
      <c r="S227" s="4" t="s">
        <v>22</v>
      </c>
    </row>
    <row r="228" spans="1:19" ht="15" hidden="1">
      <c r="A228" s="2">
        <v>44341</v>
      </c>
      <c r="B228">
        <v>5</v>
      </c>
      <c r="C228">
        <v>2021</v>
      </c>
      <c r="D228" s="5">
        <v>3900</v>
      </c>
      <c r="E228" s="4" t="s">
        <v>536</v>
      </c>
      <c r="F228" s="4" t="s">
        <v>48</v>
      </c>
      <c r="G228" s="4" t="s">
        <v>256</v>
      </c>
      <c r="H228" s="4" t="s">
        <v>537</v>
      </c>
      <c r="I228" s="4" t="s">
        <v>538</v>
      </c>
      <c r="J228" s="4" t="s">
        <v>31</v>
      </c>
      <c r="K228" s="4" t="s">
        <v>518</v>
      </c>
      <c r="L228" s="4" t="s">
        <v>22</v>
      </c>
      <c r="M228" s="4" t="s">
        <v>23</v>
      </c>
      <c r="N228" s="4" t="s">
        <v>32</v>
      </c>
      <c r="O228" s="4" t="s">
        <v>28</v>
      </c>
      <c r="P228" s="4" t="s">
        <v>49</v>
      </c>
      <c r="Q228" s="4" t="s">
        <v>50</v>
      </c>
      <c r="R228" s="4" t="s">
        <v>28</v>
      </c>
      <c r="S228" s="4" t="s">
        <v>22</v>
      </c>
    </row>
    <row r="229" spans="1:19" ht="15" hidden="1">
      <c r="A229" s="2">
        <v>44344</v>
      </c>
      <c r="B229">
        <v>5</v>
      </c>
      <c r="C229">
        <v>2021</v>
      </c>
      <c r="D229" s="5">
        <v>34.140000000000001</v>
      </c>
      <c r="E229" s="4" t="s">
        <v>539</v>
      </c>
      <c r="F229" s="4" t="s">
        <v>38</v>
      </c>
      <c r="G229" s="4" t="s">
        <v>39</v>
      </c>
      <c r="H229" s="4" t="s">
        <v>540</v>
      </c>
      <c r="I229" s="4" t="s">
        <v>541</v>
      </c>
      <c r="J229" s="4" t="s">
        <v>21</v>
      </c>
      <c r="K229" s="4" t="s">
        <v>526</v>
      </c>
      <c r="L229" s="4" t="s">
        <v>22</v>
      </c>
      <c r="M229" s="4" t="s">
        <v>23</v>
      </c>
      <c r="N229" s="4" t="s">
        <v>24</v>
      </c>
      <c r="O229" s="4" t="s">
        <v>25</v>
      </c>
      <c r="P229" s="4" t="s">
        <v>26</v>
      </c>
      <c r="Q229" s="4" t="s">
        <v>40</v>
      </c>
      <c r="R229" s="4" t="s">
        <v>28</v>
      </c>
      <c r="S229" s="4" t="s">
        <v>22</v>
      </c>
    </row>
    <row r="230" spans="1:19" ht="15" hidden="1">
      <c r="A230" s="2">
        <v>44330</v>
      </c>
      <c r="B230">
        <v>5</v>
      </c>
      <c r="C230">
        <v>2021</v>
      </c>
      <c r="D230" s="7">
        <v>5416.3100000000004</v>
      </c>
      <c r="E230" s="4" t="s">
        <v>542</v>
      </c>
      <c r="F230" s="4" t="s">
        <v>29</v>
      </c>
      <c r="G230" s="4" t="s">
        <v>30</v>
      </c>
      <c r="H230" s="4" t="s">
        <v>543</v>
      </c>
      <c r="I230" s="4" t="s">
        <v>544</v>
      </c>
      <c r="J230" s="4" t="s">
        <v>31</v>
      </c>
      <c r="K230" s="4" t="s">
        <v>477</v>
      </c>
      <c r="L230" s="4" t="s">
        <v>22</v>
      </c>
      <c r="M230" s="4" t="s">
        <v>23</v>
      </c>
      <c r="N230" s="4" t="s">
        <v>32</v>
      </c>
      <c r="O230" s="4" t="s">
        <v>28</v>
      </c>
      <c r="P230" s="4" t="s">
        <v>26</v>
      </c>
      <c r="Q230" s="4" t="s">
        <v>27</v>
      </c>
      <c r="R230" s="4" t="s">
        <v>28</v>
      </c>
      <c r="S230" s="4" t="s">
        <v>22</v>
      </c>
    </row>
    <row r="231" spans="1:19" ht="15" hidden="1">
      <c r="A231" s="2">
        <v>44336</v>
      </c>
      <c r="B231">
        <v>5</v>
      </c>
      <c r="C231">
        <v>2021</v>
      </c>
      <c r="D231" s="7">
        <v>994.23000000000002</v>
      </c>
      <c r="E231" s="4" t="s">
        <v>545</v>
      </c>
      <c r="F231" s="4" t="s">
        <v>29</v>
      </c>
      <c r="G231" s="4" t="s">
        <v>30</v>
      </c>
      <c r="H231" s="4" t="s">
        <v>546</v>
      </c>
      <c r="I231" s="4" t="s">
        <v>547</v>
      </c>
      <c r="J231" s="4" t="s">
        <v>21</v>
      </c>
      <c r="K231" s="4" t="s">
        <v>488</v>
      </c>
      <c r="L231" s="4" t="s">
        <v>22</v>
      </c>
      <c r="M231" s="4" t="s">
        <v>23</v>
      </c>
      <c r="N231" s="4" t="s">
        <v>24</v>
      </c>
      <c r="O231" s="4" t="s">
        <v>25</v>
      </c>
      <c r="P231" s="4" t="s">
        <v>26</v>
      </c>
      <c r="Q231" s="4" t="s">
        <v>27</v>
      </c>
      <c r="R231" s="4" t="s">
        <v>28</v>
      </c>
      <c r="S231" s="4" t="s">
        <v>22</v>
      </c>
    </row>
    <row r="232" spans="1:19" ht="15" hidden="1">
      <c r="A232" s="2">
        <v>44330</v>
      </c>
      <c r="B232">
        <v>5</v>
      </c>
      <c r="C232">
        <v>2021</v>
      </c>
      <c r="D232" s="5">
        <v>474450.53999999998</v>
      </c>
      <c r="E232" s="4" t="s">
        <v>548</v>
      </c>
      <c r="F232" s="4" t="s">
        <v>44</v>
      </c>
      <c r="G232" s="4" t="s">
        <v>45</v>
      </c>
      <c r="H232" s="4" t="s">
        <v>549</v>
      </c>
      <c r="I232" s="4" t="s">
        <v>550</v>
      </c>
      <c r="J232" s="4" t="s">
        <v>31</v>
      </c>
      <c r="K232" s="4" t="s">
        <v>477</v>
      </c>
      <c r="L232" s="4" t="s">
        <v>22</v>
      </c>
      <c r="M232" s="4" t="s">
        <v>23</v>
      </c>
      <c r="N232" s="4" t="s">
        <v>32</v>
      </c>
      <c r="O232" s="4" t="s">
        <v>28</v>
      </c>
      <c r="P232" s="4" t="s">
        <v>26</v>
      </c>
      <c r="Q232" s="4" t="s">
        <v>27</v>
      </c>
      <c r="R232" s="4" t="s">
        <v>28</v>
      </c>
      <c r="S232" s="4" t="s">
        <v>22</v>
      </c>
    </row>
    <row r="233" spans="1:19" ht="15" hidden="1">
      <c r="A233" s="2">
        <v>44330</v>
      </c>
      <c r="B233">
        <v>5</v>
      </c>
      <c r="C233">
        <v>2021</v>
      </c>
      <c r="D233" s="5">
        <v>26373.549999999999</v>
      </c>
      <c r="E233" s="4" t="s">
        <v>551</v>
      </c>
      <c r="F233" s="4" t="s">
        <v>41</v>
      </c>
      <c r="G233" s="4" t="s">
        <v>42</v>
      </c>
      <c r="H233" s="4" t="s">
        <v>552</v>
      </c>
      <c r="I233" s="4" t="s">
        <v>553</v>
      </c>
      <c r="J233" s="4" t="s">
        <v>21</v>
      </c>
      <c r="K233" s="4" t="s">
        <v>514</v>
      </c>
      <c r="L233" s="4" t="s">
        <v>22</v>
      </c>
      <c r="M233" s="4" t="s">
        <v>23</v>
      </c>
      <c r="N233" s="4" t="s">
        <v>24</v>
      </c>
      <c r="O233" s="4" t="s">
        <v>25</v>
      </c>
      <c r="P233" s="4" t="s">
        <v>43</v>
      </c>
      <c r="Q233" s="4" t="s">
        <v>40</v>
      </c>
      <c r="R233" s="4" t="s">
        <v>28</v>
      </c>
      <c r="S233" s="4" t="s">
        <v>22</v>
      </c>
    </row>
    <row r="234" spans="1:19" ht="15" hidden="1">
      <c r="A234" s="2">
        <v>44330</v>
      </c>
      <c r="B234">
        <v>5</v>
      </c>
      <c r="C234">
        <v>2021</v>
      </c>
      <c r="D234" s="5">
        <v>133155.48000000001</v>
      </c>
      <c r="E234" s="4" t="s">
        <v>548</v>
      </c>
      <c r="F234" s="4" t="s">
        <v>44</v>
      </c>
      <c r="G234" s="4" t="s">
        <v>45</v>
      </c>
      <c r="H234" s="4" t="s">
        <v>549</v>
      </c>
      <c r="I234" s="4" t="s">
        <v>550</v>
      </c>
      <c r="J234" s="4" t="s">
        <v>21</v>
      </c>
      <c r="K234" s="4" t="s">
        <v>514</v>
      </c>
      <c r="L234" s="4" t="s">
        <v>22</v>
      </c>
      <c r="M234" s="4" t="s">
        <v>23</v>
      </c>
      <c r="N234" s="4" t="s">
        <v>24</v>
      </c>
      <c r="O234" s="4" t="s">
        <v>25</v>
      </c>
      <c r="P234" s="4" t="s">
        <v>26</v>
      </c>
      <c r="Q234" s="4" t="s">
        <v>40</v>
      </c>
      <c r="R234" s="4" t="s">
        <v>28</v>
      </c>
      <c r="S234" s="4" t="s">
        <v>22</v>
      </c>
    </row>
    <row r="235" spans="1:19" ht="15" hidden="1">
      <c r="A235" s="2">
        <v>44333</v>
      </c>
      <c r="B235">
        <v>5</v>
      </c>
      <c r="C235">
        <v>2021</v>
      </c>
      <c r="D235" s="7">
        <v>933.62</v>
      </c>
      <c r="E235" s="4" t="s">
        <v>496</v>
      </c>
      <c r="F235" s="4" t="s">
        <v>36</v>
      </c>
      <c r="G235" s="4" t="s">
        <v>37</v>
      </c>
      <c r="H235" s="4" t="s">
        <v>497</v>
      </c>
      <c r="I235" s="4" t="s">
        <v>498</v>
      </c>
      <c r="J235" s="4" t="s">
        <v>21</v>
      </c>
      <c r="K235" s="4" t="s">
        <v>554</v>
      </c>
      <c r="L235" s="4" t="s">
        <v>22</v>
      </c>
      <c r="M235" s="4" t="s">
        <v>23</v>
      </c>
      <c r="N235" s="4" t="s">
        <v>24</v>
      </c>
      <c r="O235" s="4" t="s">
        <v>25</v>
      </c>
      <c r="P235" s="4" t="s">
        <v>26</v>
      </c>
      <c r="Q235" s="4" t="s">
        <v>40</v>
      </c>
      <c r="R235" s="4" t="s">
        <v>28</v>
      </c>
      <c r="S235" s="4" t="s">
        <v>22</v>
      </c>
    </row>
    <row r="236" spans="1:19" ht="15" hidden="1">
      <c r="A236" s="2">
        <v>44333</v>
      </c>
      <c r="B236">
        <v>5</v>
      </c>
      <c r="C236">
        <v>2021</v>
      </c>
      <c r="D236" s="5">
        <v>3099.71</v>
      </c>
      <c r="E236" s="4" t="s">
        <v>555</v>
      </c>
      <c r="F236" s="4" t="s">
        <v>38</v>
      </c>
      <c r="G236" s="4" t="s">
        <v>39</v>
      </c>
      <c r="H236" s="4" t="s">
        <v>556</v>
      </c>
      <c r="I236" s="4" t="s">
        <v>557</v>
      </c>
      <c r="J236" s="4" t="s">
        <v>31</v>
      </c>
      <c r="K236" s="4" t="s">
        <v>499</v>
      </c>
      <c r="L236" s="4" t="s">
        <v>22</v>
      </c>
      <c r="M236" s="4" t="s">
        <v>23</v>
      </c>
      <c r="N236" s="4" t="s">
        <v>32</v>
      </c>
      <c r="O236" s="4" t="s">
        <v>28</v>
      </c>
      <c r="P236" s="4" t="s">
        <v>26</v>
      </c>
      <c r="Q236" s="4" t="s">
        <v>27</v>
      </c>
      <c r="R236" s="4" t="s">
        <v>28</v>
      </c>
      <c r="S236" s="4" t="s">
        <v>22</v>
      </c>
    </row>
    <row r="237" spans="1:19" ht="15" hidden="1">
      <c r="A237" s="2">
        <v>44336</v>
      </c>
      <c r="B237">
        <v>5</v>
      </c>
      <c r="C237">
        <v>2021</v>
      </c>
      <c r="D237" s="7">
        <v>3778.4200000000001</v>
      </c>
      <c r="E237" s="4" t="s">
        <v>545</v>
      </c>
      <c r="F237" s="4" t="s">
        <v>29</v>
      </c>
      <c r="G237" s="4" t="s">
        <v>30</v>
      </c>
      <c r="H237" s="4" t="s">
        <v>546</v>
      </c>
      <c r="I237" s="4" t="s">
        <v>547</v>
      </c>
      <c r="J237" s="4" t="s">
        <v>31</v>
      </c>
      <c r="K237" s="4" t="s">
        <v>492</v>
      </c>
      <c r="L237" s="4" t="s">
        <v>22</v>
      </c>
      <c r="M237" s="4" t="s">
        <v>23</v>
      </c>
      <c r="N237" s="4" t="s">
        <v>32</v>
      </c>
      <c r="O237" s="4" t="s">
        <v>28</v>
      </c>
      <c r="P237" s="4" t="s">
        <v>26</v>
      </c>
      <c r="Q237" s="4" t="s">
        <v>27</v>
      </c>
      <c r="R237" s="4" t="s">
        <v>28</v>
      </c>
      <c r="S237" s="4" t="s">
        <v>22</v>
      </c>
    </row>
    <row r="238" spans="1:19" ht="15" hidden="1">
      <c r="A238" s="2">
        <v>44342</v>
      </c>
      <c r="B238">
        <v>5</v>
      </c>
      <c r="C238">
        <v>2021</v>
      </c>
      <c r="D238" s="7">
        <v>3365.5300000000002</v>
      </c>
      <c r="E238" s="4" t="s">
        <v>519</v>
      </c>
      <c r="F238" s="4" t="s">
        <v>29</v>
      </c>
      <c r="G238" s="4" t="s">
        <v>30</v>
      </c>
      <c r="H238" s="4" t="s">
        <v>520</v>
      </c>
      <c r="I238" s="4" t="s">
        <v>521</v>
      </c>
      <c r="J238" s="4" t="s">
        <v>31</v>
      </c>
      <c r="K238" s="4" t="s">
        <v>509</v>
      </c>
      <c r="L238" s="4" t="s">
        <v>22</v>
      </c>
      <c r="M238" s="4" t="s">
        <v>23</v>
      </c>
      <c r="N238" s="4" t="s">
        <v>32</v>
      </c>
      <c r="O238" s="4" t="s">
        <v>28</v>
      </c>
      <c r="P238" s="4" t="s">
        <v>26</v>
      </c>
      <c r="Q238" s="4" t="s">
        <v>27</v>
      </c>
      <c r="R238" s="4" t="s">
        <v>28</v>
      </c>
      <c r="S238" s="4" t="s">
        <v>22</v>
      </c>
    </row>
    <row r="239" spans="1:19" ht="15" hidden="1">
      <c r="A239" s="2">
        <v>44330</v>
      </c>
      <c r="B239">
        <v>5</v>
      </c>
      <c r="C239">
        <v>2021</v>
      </c>
      <c r="D239" s="5">
        <v>63753.32</v>
      </c>
      <c r="E239" s="4" t="s">
        <v>551</v>
      </c>
      <c r="F239" s="4" t="s">
        <v>41</v>
      </c>
      <c r="G239" s="4" t="s">
        <v>42</v>
      </c>
      <c r="H239" s="4" t="s">
        <v>552</v>
      </c>
      <c r="I239" s="4" t="s">
        <v>553</v>
      </c>
      <c r="J239" s="4" t="s">
        <v>31</v>
      </c>
      <c r="K239" s="4" t="s">
        <v>477</v>
      </c>
      <c r="L239" s="4" t="s">
        <v>22</v>
      </c>
      <c r="M239" s="4" t="s">
        <v>23</v>
      </c>
      <c r="N239" s="4" t="s">
        <v>32</v>
      </c>
      <c r="O239" s="4" t="s">
        <v>28</v>
      </c>
      <c r="P239" s="4" t="s">
        <v>43</v>
      </c>
      <c r="Q239" s="4" t="s">
        <v>27</v>
      </c>
      <c r="R239" s="4" t="s">
        <v>28</v>
      </c>
      <c r="S239" s="4" t="s">
        <v>22</v>
      </c>
    </row>
    <row r="240" spans="1:19" ht="15" hidden="1">
      <c r="A240" s="2">
        <v>44330</v>
      </c>
      <c r="B240">
        <v>5</v>
      </c>
      <c r="C240">
        <v>2021</v>
      </c>
      <c r="D240" s="5">
        <v>213365.56</v>
      </c>
      <c r="E240" s="4" t="s">
        <v>493</v>
      </c>
      <c r="F240" s="4" t="s">
        <v>44</v>
      </c>
      <c r="G240" s="4" t="s">
        <v>45</v>
      </c>
      <c r="H240" s="4" t="s">
        <v>494</v>
      </c>
      <c r="I240" s="4" t="s">
        <v>495</v>
      </c>
      <c r="J240" s="4" t="s">
        <v>21</v>
      </c>
      <c r="K240" s="4" t="s">
        <v>514</v>
      </c>
      <c r="L240" s="4" t="s">
        <v>22</v>
      </c>
      <c r="M240" s="4" t="s">
        <v>23</v>
      </c>
      <c r="N240" s="4" t="s">
        <v>24</v>
      </c>
      <c r="O240" s="4" t="s">
        <v>25</v>
      </c>
      <c r="P240" s="4" t="s">
        <v>26</v>
      </c>
      <c r="Q240" s="4" t="s">
        <v>40</v>
      </c>
      <c r="R240" s="4" t="s">
        <v>28</v>
      </c>
      <c r="S240" s="4" t="s">
        <v>22</v>
      </c>
    </row>
    <row r="241" spans="1:19" ht="15" hidden="1">
      <c r="A241" s="2">
        <v>44330</v>
      </c>
      <c r="B241">
        <v>5</v>
      </c>
      <c r="C241">
        <v>2021</v>
      </c>
      <c r="D241" s="5">
        <v>15426.41</v>
      </c>
      <c r="E241" s="4" t="s">
        <v>515</v>
      </c>
      <c r="F241" s="4" t="s">
        <v>41</v>
      </c>
      <c r="G241" s="4" t="s">
        <v>42</v>
      </c>
      <c r="H241" s="4" t="s">
        <v>516</v>
      </c>
      <c r="I241" s="4" t="s">
        <v>517</v>
      </c>
      <c r="J241" s="4" t="s">
        <v>21</v>
      </c>
      <c r="K241" s="4" t="s">
        <v>514</v>
      </c>
      <c r="L241" s="4" t="s">
        <v>22</v>
      </c>
      <c r="M241" s="4" t="s">
        <v>23</v>
      </c>
      <c r="N241" s="4" t="s">
        <v>24</v>
      </c>
      <c r="O241" s="4" t="s">
        <v>25</v>
      </c>
      <c r="P241" s="4" t="s">
        <v>43</v>
      </c>
      <c r="Q241" s="4" t="s">
        <v>40</v>
      </c>
      <c r="R241" s="4" t="s">
        <v>28</v>
      </c>
      <c r="S241" s="4" t="s">
        <v>22</v>
      </c>
    </row>
    <row r="242" spans="1:19" ht="15" hidden="1">
      <c r="A242" s="2">
        <v>44333</v>
      </c>
      <c r="B242">
        <v>5</v>
      </c>
      <c r="C242">
        <v>2021</v>
      </c>
      <c r="D242" s="5">
        <v>72.030000000000001</v>
      </c>
      <c r="E242" s="4" t="s">
        <v>555</v>
      </c>
      <c r="F242" s="4" t="s">
        <v>38</v>
      </c>
      <c r="G242" s="4" t="s">
        <v>39</v>
      </c>
      <c r="H242" s="4" t="s">
        <v>556</v>
      </c>
      <c r="I242" s="4" t="s">
        <v>557</v>
      </c>
      <c r="J242" s="4" t="s">
        <v>21</v>
      </c>
      <c r="K242" s="4" t="s">
        <v>554</v>
      </c>
      <c r="L242" s="4" t="s">
        <v>22</v>
      </c>
      <c r="M242" s="4" t="s">
        <v>23</v>
      </c>
      <c r="N242" s="4" t="s">
        <v>24</v>
      </c>
      <c r="O242" s="4" t="s">
        <v>25</v>
      </c>
      <c r="P242" s="4" t="s">
        <v>26</v>
      </c>
      <c r="Q242" s="4" t="s">
        <v>40</v>
      </c>
      <c r="R242" s="4" t="s">
        <v>28</v>
      </c>
      <c r="S242" s="4" t="s">
        <v>22</v>
      </c>
    </row>
    <row r="243" spans="1:19" ht="15" hidden="1">
      <c r="A243" s="2">
        <v>44336</v>
      </c>
      <c r="B243">
        <v>5</v>
      </c>
      <c r="C243">
        <v>2021</v>
      </c>
      <c r="D243" s="5">
        <v>61604.120000000003</v>
      </c>
      <c r="E243" s="4" t="s">
        <v>558</v>
      </c>
      <c r="F243" s="4" t="s">
        <v>41</v>
      </c>
      <c r="G243" s="4" t="s">
        <v>42</v>
      </c>
      <c r="H243" s="4" t="s">
        <v>559</v>
      </c>
      <c r="I243" s="4" t="s">
        <v>560</v>
      </c>
      <c r="J243" s="4" t="s">
        <v>31</v>
      </c>
      <c r="K243" s="4" t="s">
        <v>492</v>
      </c>
      <c r="L243" s="4" t="s">
        <v>22</v>
      </c>
      <c r="M243" s="4" t="s">
        <v>23</v>
      </c>
      <c r="N243" s="4" t="s">
        <v>32</v>
      </c>
      <c r="O243" s="4" t="s">
        <v>28</v>
      </c>
      <c r="P243" s="4" t="s">
        <v>43</v>
      </c>
      <c r="Q243" s="4" t="s">
        <v>27</v>
      </c>
      <c r="R243" s="4" t="s">
        <v>28</v>
      </c>
      <c r="S243" s="4" t="s">
        <v>22</v>
      </c>
    </row>
    <row r="244" spans="1:19" ht="15" hidden="1">
      <c r="A244" s="2">
        <v>44336</v>
      </c>
      <c r="B244">
        <v>5</v>
      </c>
      <c r="C244">
        <v>2021</v>
      </c>
      <c r="D244" s="7">
        <v>353.17000000000002</v>
      </c>
      <c r="E244" s="4" t="s">
        <v>503</v>
      </c>
      <c r="F244" s="4" t="s">
        <v>36</v>
      </c>
      <c r="G244" s="4" t="s">
        <v>37</v>
      </c>
      <c r="H244" s="4" t="s">
        <v>504</v>
      </c>
      <c r="I244" s="4" t="s">
        <v>505</v>
      </c>
      <c r="J244" s="4" t="s">
        <v>21</v>
      </c>
      <c r="K244" s="4" t="s">
        <v>488</v>
      </c>
      <c r="L244" s="4" t="s">
        <v>22</v>
      </c>
      <c r="M244" s="4" t="s">
        <v>23</v>
      </c>
      <c r="N244" s="4" t="s">
        <v>24</v>
      </c>
      <c r="O244" s="4" t="s">
        <v>25</v>
      </c>
      <c r="P244" s="4" t="s">
        <v>26</v>
      </c>
      <c r="Q244" s="4" t="s">
        <v>40</v>
      </c>
      <c r="R244" s="4" t="s">
        <v>28</v>
      </c>
      <c r="S244" s="4" t="s">
        <v>22</v>
      </c>
    </row>
    <row r="245" spans="1:19" ht="15" hidden="1">
      <c r="A245" s="2">
        <v>44342</v>
      </c>
      <c r="B245">
        <v>5</v>
      </c>
      <c r="C245">
        <v>2021</v>
      </c>
      <c r="D245" s="5">
        <v>196986.60999999999</v>
      </c>
      <c r="E245" s="4" t="s">
        <v>561</v>
      </c>
      <c r="F245" s="4" t="s">
        <v>44</v>
      </c>
      <c r="G245" s="4" t="s">
        <v>45</v>
      </c>
      <c r="H245" s="4" t="s">
        <v>562</v>
      </c>
      <c r="I245" s="4" t="s">
        <v>563</v>
      </c>
      <c r="J245" s="4" t="s">
        <v>21</v>
      </c>
      <c r="K245" s="4" t="s">
        <v>522</v>
      </c>
      <c r="L245" s="4" t="s">
        <v>22</v>
      </c>
      <c r="M245" s="4" t="s">
        <v>23</v>
      </c>
      <c r="N245" s="4" t="s">
        <v>24</v>
      </c>
      <c r="O245" s="4" t="s">
        <v>25</v>
      </c>
      <c r="P245" s="4" t="s">
        <v>26</v>
      </c>
      <c r="Q245" s="4" t="s">
        <v>40</v>
      </c>
      <c r="R245" s="4" t="s">
        <v>28</v>
      </c>
      <c r="S245" s="4" t="s">
        <v>22</v>
      </c>
    </row>
    <row r="246" spans="1:19" ht="15" hidden="1">
      <c r="A246" s="2">
        <v>44342</v>
      </c>
      <c r="B246">
        <v>5</v>
      </c>
      <c r="C246">
        <v>2021</v>
      </c>
      <c r="D246" s="5">
        <v>777302.26000000001</v>
      </c>
      <c r="E246" s="4" t="s">
        <v>561</v>
      </c>
      <c r="F246" s="4" t="s">
        <v>44</v>
      </c>
      <c r="G246" s="4" t="s">
        <v>45</v>
      </c>
      <c r="H246" s="4" t="s">
        <v>562</v>
      </c>
      <c r="I246" s="4" t="s">
        <v>563</v>
      </c>
      <c r="J246" s="4" t="s">
        <v>31</v>
      </c>
      <c r="K246" s="4" t="s">
        <v>509</v>
      </c>
      <c r="L246" s="4" t="s">
        <v>22</v>
      </c>
      <c r="M246" s="4" t="s">
        <v>23</v>
      </c>
      <c r="N246" s="4" t="s">
        <v>32</v>
      </c>
      <c r="O246" s="4" t="s">
        <v>28</v>
      </c>
      <c r="P246" s="4" t="s">
        <v>26</v>
      </c>
      <c r="Q246" s="4" t="s">
        <v>27</v>
      </c>
      <c r="R246" s="4" t="s">
        <v>28</v>
      </c>
      <c r="S246" s="4" t="s">
        <v>22</v>
      </c>
    </row>
    <row r="247" spans="1:19" ht="15" hidden="1">
      <c r="A247" s="2">
        <v>44344</v>
      </c>
      <c r="B247">
        <v>5</v>
      </c>
      <c r="C247">
        <v>2021</v>
      </c>
      <c r="D247" s="5">
        <v>59729.419999999998</v>
      </c>
      <c r="E247" s="4" t="s">
        <v>527</v>
      </c>
      <c r="F247" s="4" t="s">
        <v>38</v>
      </c>
      <c r="G247" s="4" t="s">
        <v>39</v>
      </c>
      <c r="H247" s="4" t="s">
        <v>528</v>
      </c>
      <c r="I247" s="4" t="s">
        <v>529</v>
      </c>
      <c r="J247" s="4" t="s">
        <v>21</v>
      </c>
      <c r="K247" s="4" t="s">
        <v>526</v>
      </c>
      <c r="L247" s="4" t="s">
        <v>22</v>
      </c>
      <c r="M247" s="4" t="s">
        <v>23</v>
      </c>
      <c r="N247" s="4" t="s">
        <v>24</v>
      </c>
      <c r="O247" s="4" t="s">
        <v>25</v>
      </c>
      <c r="P247" s="4" t="s">
        <v>26</v>
      </c>
      <c r="Q247" s="4" t="s">
        <v>40</v>
      </c>
      <c r="R247" s="4" t="s">
        <v>28</v>
      </c>
      <c r="S247" s="4" t="s">
        <v>22</v>
      </c>
    </row>
    <row r="248" spans="1:19" ht="15" hidden="1">
      <c r="A248" s="2">
        <v>44344</v>
      </c>
      <c r="B248">
        <v>5</v>
      </c>
      <c r="C248">
        <v>2021</v>
      </c>
      <c r="D248" s="7">
        <v>951.25999999999999</v>
      </c>
      <c r="E248" s="4" t="s">
        <v>564</v>
      </c>
      <c r="F248" s="4" t="s">
        <v>36</v>
      </c>
      <c r="G248" s="4" t="s">
        <v>37</v>
      </c>
      <c r="H248" s="4" t="s">
        <v>565</v>
      </c>
      <c r="I248" s="4" t="s">
        <v>566</v>
      </c>
      <c r="J248" s="4" t="s">
        <v>31</v>
      </c>
      <c r="K248" s="4" t="s">
        <v>513</v>
      </c>
      <c r="L248" s="4" t="s">
        <v>22</v>
      </c>
      <c r="M248" s="4" t="s">
        <v>23</v>
      </c>
      <c r="N248" s="4" t="s">
        <v>32</v>
      </c>
      <c r="O248" s="4" t="s">
        <v>28</v>
      </c>
      <c r="P248" s="4" t="s">
        <v>26</v>
      </c>
      <c r="Q248" s="4" t="s">
        <v>27</v>
      </c>
      <c r="R248" s="4" t="s">
        <v>28</v>
      </c>
      <c r="S248" s="4" t="s">
        <v>22</v>
      </c>
    </row>
    <row r="249" spans="1:19" ht="15" hidden="1">
      <c r="A249" s="2">
        <v>44330</v>
      </c>
      <c r="B249">
        <v>5</v>
      </c>
      <c r="C249">
        <v>2021</v>
      </c>
      <c r="D249" s="7">
        <v>142.44</v>
      </c>
      <c r="E249" s="4" t="s">
        <v>542</v>
      </c>
      <c r="F249" s="4" t="s">
        <v>29</v>
      </c>
      <c r="G249" s="4" t="s">
        <v>30</v>
      </c>
      <c r="H249" s="4" t="s">
        <v>543</v>
      </c>
      <c r="I249" s="4" t="s">
        <v>544</v>
      </c>
      <c r="J249" s="4" t="s">
        <v>21</v>
      </c>
      <c r="K249" s="4" t="s">
        <v>514</v>
      </c>
      <c r="L249" s="4" t="s">
        <v>22</v>
      </c>
      <c r="M249" s="4" t="s">
        <v>23</v>
      </c>
      <c r="N249" s="4" t="s">
        <v>24</v>
      </c>
      <c r="O249" s="4" t="s">
        <v>25</v>
      </c>
      <c r="P249" s="4" t="s">
        <v>26</v>
      </c>
      <c r="Q249" s="4" t="s">
        <v>27</v>
      </c>
      <c r="R249" s="4" t="s">
        <v>28</v>
      </c>
      <c r="S249" s="4" t="s">
        <v>22</v>
      </c>
    </row>
    <row r="250" spans="1:19" ht="15" hidden="1">
      <c r="A250" s="2">
        <v>44330</v>
      </c>
      <c r="B250">
        <v>5</v>
      </c>
      <c r="C250">
        <v>2021</v>
      </c>
      <c r="D250" s="5">
        <v>58788.25</v>
      </c>
      <c r="E250" s="4" t="s">
        <v>478</v>
      </c>
      <c r="F250" s="4" t="s">
        <v>38</v>
      </c>
      <c r="G250" s="4" t="s">
        <v>39</v>
      </c>
      <c r="H250" s="4" t="s">
        <v>479</v>
      </c>
      <c r="I250" s="4" t="s">
        <v>480</v>
      </c>
      <c r="J250" s="4" t="s">
        <v>21</v>
      </c>
      <c r="K250" s="4" t="s">
        <v>514</v>
      </c>
      <c r="L250" s="4" t="s">
        <v>22</v>
      </c>
      <c r="M250" s="4" t="s">
        <v>23</v>
      </c>
      <c r="N250" s="4" t="s">
        <v>24</v>
      </c>
      <c r="O250" s="4" t="s">
        <v>25</v>
      </c>
      <c r="P250" s="4" t="s">
        <v>26</v>
      </c>
      <c r="Q250" s="4" t="s">
        <v>40</v>
      </c>
      <c r="R250" s="4" t="s">
        <v>28</v>
      </c>
      <c r="S250" s="4" t="s">
        <v>22</v>
      </c>
    </row>
    <row r="251" spans="1:19" ht="15" hidden="1">
      <c r="A251" s="2">
        <v>44341</v>
      </c>
      <c r="B251">
        <v>5</v>
      </c>
      <c r="C251">
        <v>2021</v>
      </c>
      <c r="D251" s="7">
        <v>1364.0799999999999</v>
      </c>
      <c r="E251" s="4" t="s">
        <v>533</v>
      </c>
      <c r="F251" s="4" t="s">
        <v>36</v>
      </c>
      <c r="G251" s="4" t="s">
        <v>37</v>
      </c>
      <c r="H251" s="4" t="s">
        <v>534</v>
      </c>
      <c r="I251" s="4" t="s">
        <v>535</v>
      </c>
      <c r="J251" s="4" t="s">
        <v>31</v>
      </c>
      <c r="K251" s="4" t="s">
        <v>518</v>
      </c>
      <c r="L251" s="4" t="s">
        <v>22</v>
      </c>
      <c r="M251" s="4" t="s">
        <v>23</v>
      </c>
      <c r="N251" s="4" t="s">
        <v>32</v>
      </c>
      <c r="O251" s="4" t="s">
        <v>28</v>
      </c>
      <c r="P251" s="4" t="s">
        <v>26</v>
      </c>
      <c r="Q251" s="4" t="s">
        <v>27</v>
      </c>
      <c r="R251" s="4" t="s">
        <v>28</v>
      </c>
      <c r="S251" s="4" t="s">
        <v>22</v>
      </c>
    </row>
    <row r="252" spans="1:19" ht="15" hidden="1">
      <c r="A252" s="2">
        <v>44336</v>
      </c>
      <c r="B252">
        <v>5</v>
      </c>
      <c r="C252">
        <v>2021</v>
      </c>
      <c r="D252" s="5">
        <v>13039.41</v>
      </c>
      <c r="E252" s="4" t="s">
        <v>558</v>
      </c>
      <c r="F252" s="4" t="s">
        <v>41</v>
      </c>
      <c r="G252" s="4" t="s">
        <v>42</v>
      </c>
      <c r="H252" s="4" t="s">
        <v>559</v>
      </c>
      <c r="I252" s="4" t="s">
        <v>560</v>
      </c>
      <c r="J252" s="4" t="s">
        <v>21</v>
      </c>
      <c r="K252" s="4" t="s">
        <v>488</v>
      </c>
      <c r="L252" s="4" t="s">
        <v>22</v>
      </c>
      <c r="M252" s="4" t="s">
        <v>23</v>
      </c>
      <c r="N252" s="4" t="s">
        <v>24</v>
      </c>
      <c r="O252" s="4" t="s">
        <v>25</v>
      </c>
      <c r="P252" s="4" t="s">
        <v>43</v>
      </c>
      <c r="Q252" s="4" t="s">
        <v>40</v>
      </c>
      <c r="R252" s="4" t="s">
        <v>28</v>
      </c>
      <c r="S252" s="4" t="s">
        <v>22</v>
      </c>
    </row>
    <row r="253" spans="1:19" ht="15" hidden="1">
      <c r="A253" s="2">
        <v>44344</v>
      </c>
      <c r="B253">
        <v>5</v>
      </c>
      <c r="C253">
        <v>2021</v>
      </c>
      <c r="D253" s="5">
        <v>162.77000000000001</v>
      </c>
      <c r="E253" s="4" t="s">
        <v>539</v>
      </c>
      <c r="F253" s="4" t="s">
        <v>38</v>
      </c>
      <c r="G253" s="4" t="s">
        <v>39</v>
      </c>
      <c r="H253" s="4" t="s">
        <v>540</v>
      </c>
      <c r="I253" s="4" t="s">
        <v>541</v>
      </c>
      <c r="J253" s="4" t="s">
        <v>31</v>
      </c>
      <c r="K253" s="4" t="s">
        <v>513</v>
      </c>
      <c r="L253" s="4" t="s">
        <v>22</v>
      </c>
      <c r="M253" s="4" t="s">
        <v>23</v>
      </c>
      <c r="N253" s="4" t="s">
        <v>32</v>
      </c>
      <c r="O253" s="4" t="s">
        <v>28</v>
      </c>
      <c r="P253" s="4" t="s">
        <v>26</v>
      </c>
      <c r="Q253" s="4" t="s">
        <v>27</v>
      </c>
      <c r="R253" s="4" t="s">
        <v>28</v>
      </c>
      <c r="S253" s="4" t="s">
        <v>22</v>
      </c>
    </row>
    <row r="254" spans="1:19" ht="15" hidden="1">
      <c r="A254" s="2">
        <v>44344</v>
      </c>
      <c r="B254">
        <v>5</v>
      </c>
      <c r="C254">
        <v>2021</v>
      </c>
      <c r="D254" s="7">
        <v>955.22000000000003</v>
      </c>
      <c r="E254" s="4" t="s">
        <v>510</v>
      </c>
      <c r="F254" s="4" t="s">
        <v>36</v>
      </c>
      <c r="G254" s="4" t="s">
        <v>37</v>
      </c>
      <c r="H254" s="4" t="s">
        <v>511</v>
      </c>
      <c r="I254" s="4" t="s">
        <v>512</v>
      </c>
      <c r="J254" s="4" t="s">
        <v>21</v>
      </c>
      <c r="K254" s="4" t="s">
        <v>526</v>
      </c>
      <c r="L254" s="4" t="s">
        <v>22</v>
      </c>
      <c r="M254" s="4" t="s">
        <v>23</v>
      </c>
      <c r="N254" s="4" t="s">
        <v>24</v>
      </c>
      <c r="O254" s="4" t="s">
        <v>25</v>
      </c>
      <c r="P254" s="4" t="s">
        <v>26</v>
      </c>
      <c r="Q254" s="4" t="s">
        <v>40</v>
      </c>
      <c r="R254" s="4" t="s">
        <v>28</v>
      </c>
      <c r="S254" s="4" t="s">
        <v>22</v>
      </c>
    </row>
    <row r="255" spans="1:19" ht="15" hidden="1">
      <c r="A255" s="2">
        <v>44344</v>
      </c>
      <c r="B255">
        <v>5</v>
      </c>
      <c r="C255">
        <v>2021</v>
      </c>
      <c r="D255" s="7">
        <v>955.22000000000003</v>
      </c>
      <c r="E255" s="4" t="s">
        <v>564</v>
      </c>
      <c r="F255" s="4" t="s">
        <v>36</v>
      </c>
      <c r="G255" s="4" t="s">
        <v>37</v>
      </c>
      <c r="H255" s="4" t="s">
        <v>565</v>
      </c>
      <c r="I255" s="4" t="s">
        <v>566</v>
      </c>
      <c r="J255" s="4" t="s">
        <v>21</v>
      </c>
      <c r="K255" s="4" t="s">
        <v>526</v>
      </c>
      <c r="L255" s="4" t="s">
        <v>22</v>
      </c>
      <c r="M255" s="4" t="s">
        <v>23</v>
      </c>
      <c r="N255" s="4" t="s">
        <v>24</v>
      </c>
      <c r="O255" s="4" t="s">
        <v>25</v>
      </c>
      <c r="P255" s="4" t="s">
        <v>26</v>
      </c>
      <c r="Q255" s="4" t="s">
        <v>40</v>
      </c>
      <c r="R255" s="4" t="s">
        <v>28</v>
      </c>
      <c r="S255" s="4" t="s">
        <v>22</v>
      </c>
    </row>
    <row r="256" spans="1:19" ht="15" hidden="1">
      <c r="A256" s="2">
        <v>44371</v>
      </c>
      <c r="B256">
        <v>6</v>
      </c>
      <c r="C256">
        <v>2021</v>
      </c>
      <c r="D256" s="5">
        <v>165702.95000000001</v>
      </c>
      <c r="E256" s="4" t="s">
        <v>567</v>
      </c>
      <c r="F256" s="4" t="s">
        <v>44</v>
      </c>
      <c r="G256" s="4" t="s">
        <v>45</v>
      </c>
      <c r="H256" s="4" t="s">
        <v>568</v>
      </c>
      <c r="I256" s="4" t="s">
        <v>569</v>
      </c>
      <c r="J256" s="4" t="s">
        <v>21</v>
      </c>
      <c r="K256" s="4" t="s">
        <v>570</v>
      </c>
      <c r="L256" s="4" t="s">
        <v>22</v>
      </c>
      <c r="M256" s="4" t="s">
        <v>23</v>
      </c>
      <c r="N256" s="4" t="s">
        <v>24</v>
      </c>
      <c r="O256" s="4" t="s">
        <v>25</v>
      </c>
      <c r="P256" s="4" t="s">
        <v>26</v>
      </c>
      <c r="Q256" s="4" t="s">
        <v>40</v>
      </c>
      <c r="R256" s="4" t="s">
        <v>28</v>
      </c>
      <c r="S256" s="4" t="s">
        <v>22</v>
      </c>
    </row>
    <row r="257" spans="1:19" ht="15" hidden="1">
      <c r="A257" s="2">
        <v>44371</v>
      </c>
      <c r="B257">
        <v>6</v>
      </c>
      <c r="C257">
        <v>2021</v>
      </c>
      <c r="D257" s="7">
        <v>421.85000000000002</v>
      </c>
      <c r="E257" s="4" t="s">
        <v>571</v>
      </c>
      <c r="F257" s="4" t="s">
        <v>36</v>
      </c>
      <c r="G257" s="4" t="s">
        <v>37</v>
      </c>
      <c r="H257" s="4" t="s">
        <v>572</v>
      </c>
      <c r="I257" s="4" t="s">
        <v>573</v>
      </c>
      <c r="J257" s="4" t="s">
        <v>31</v>
      </c>
      <c r="K257" s="4" t="s">
        <v>574</v>
      </c>
      <c r="L257" s="4" t="s">
        <v>22</v>
      </c>
      <c r="M257" s="4" t="s">
        <v>23</v>
      </c>
      <c r="N257" s="4" t="s">
        <v>32</v>
      </c>
      <c r="O257" s="4" t="s">
        <v>28</v>
      </c>
      <c r="P257" s="4" t="s">
        <v>26</v>
      </c>
      <c r="Q257" s="4" t="s">
        <v>27</v>
      </c>
      <c r="R257" s="4" t="s">
        <v>28</v>
      </c>
      <c r="S257" s="4" t="s">
        <v>22</v>
      </c>
    </row>
    <row r="258" spans="1:19" ht="15" hidden="1">
      <c r="A258" s="2">
        <v>44377</v>
      </c>
      <c r="B258">
        <v>6</v>
      </c>
      <c r="C258">
        <v>2021</v>
      </c>
      <c r="D258" s="5">
        <v>58125.93</v>
      </c>
      <c r="E258" s="4" t="s">
        <v>575</v>
      </c>
      <c r="F258" s="4" t="s">
        <v>41</v>
      </c>
      <c r="G258" s="4" t="s">
        <v>42</v>
      </c>
      <c r="H258" s="4" t="s">
        <v>576</v>
      </c>
      <c r="I258" s="4" t="s">
        <v>577</v>
      </c>
      <c r="J258" s="4" t="s">
        <v>31</v>
      </c>
      <c r="K258" s="4" t="s">
        <v>578</v>
      </c>
      <c r="L258" s="4" t="s">
        <v>22</v>
      </c>
      <c r="M258" s="4" t="s">
        <v>23</v>
      </c>
      <c r="N258" s="4" t="s">
        <v>32</v>
      </c>
      <c r="O258" s="4" t="s">
        <v>28</v>
      </c>
      <c r="P258" s="4" t="s">
        <v>43</v>
      </c>
      <c r="Q258" s="4" t="s">
        <v>27</v>
      </c>
      <c r="R258" s="4" t="s">
        <v>28</v>
      </c>
      <c r="S258" s="4" t="s">
        <v>22</v>
      </c>
    </row>
    <row r="259" spans="1:19" ht="15" hidden="1">
      <c r="A259" s="2">
        <v>44354</v>
      </c>
      <c r="B259">
        <v>6</v>
      </c>
      <c r="C259">
        <v>2021</v>
      </c>
      <c r="D259" s="5">
        <v>1019990.67</v>
      </c>
      <c r="E259" s="4" t="s">
        <v>579</v>
      </c>
      <c r="F259" s="4" t="s">
        <v>44</v>
      </c>
      <c r="G259" s="4" t="s">
        <v>45</v>
      </c>
      <c r="H259" s="4" t="s">
        <v>580</v>
      </c>
      <c r="I259" s="4" t="s">
        <v>581</v>
      </c>
      <c r="J259" s="4" t="s">
        <v>31</v>
      </c>
      <c r="K259" s="4" t="s">
        <v>582</v>
      </c>
      <c r="L259" s="4" t="s">
        <v>22</v>
      </c>
      <c r="M259" s="4" t="s">
        <v>23</v>
      </c>
      <c r="N259" s="4" t="s">
        <v>32</v>
      </c>
      <c r="O259" s="4" t="s">
        <v>28</v>
      </c>
      <c r="P259" s="4" t="s">
        <v>26</v>
      </c>
      <c r="Q259" s="4" t="s">
        <v>27</v>
      </c>
      <c r="R259" s="4" t="s">
        <v>28</v>
      </c>
      <c r="S259" s="4" t="s">
        <v>22</v>
      </c>
    </row>
    <row r="260" spans="1:19" ht="15" hidden="1">
      <c r="A260" s="2">
        <v>44354</v>
      </c>
      <c r="B260">
        <v>6</v>
      </c>
      <c r="C260">
        <v>2021</v>
      </c>
      <c r="D260" s="5">
        <v>47585.5</v>
      </c>
      <c r="E260" s="4" t="s">
        <v>583</v>
      </c>
      <c r="F260" s="4" t="s">
        <v>41</v>
      </c>
      <c r="G260" s="4" t="s">
        <v>42</v>
      </c>
      <c r="H260" s="4" t="s">
        <v>584</v>
      </c>
      <c r="I260" s="4" t="s">
        <v>585</v>
      </c>
      <c r="J260" s="4" t="s">
        <v>31</v>
      </c>
      <c r="K260" s="4" t="s">
        <v>582</v>
      </c>
      <c r="L260" s="4" t="s">
        <v>22</v>
      </c>
      <c r="M260" s="4" t="s">
        <v>23</v>
      </c>
      <c r="N260" s="4" t="s">
        <v>32</v>
      </c>
      <c r="O260" s="4" t="s">
        <v>28</v>
      </c>
      <c r="P260" s="4" t="s">
        <v>43</v>
      </c>
      <c r="Q260" s="4" t="s">
        <v>27</v>
      </c>
      <c r="R260" s="4" t="s">
        <v>28</v>
      </c>
      <c r="S260" s="4" t="s">
        <v>22</v>
      </c>
    </row>
    <row r="261" spans="1:19" ht="15" hidden="1">
      <c r="A261" s="2">
        <v>44372</v>
      </c>
      <c r="B261">
        <v>6</v>
      </c>
      <c r="C261">
        <v>2021</v>
      </c>
      <c r="D261" s="5">
        <v>304089.69</v>
      </c>
      <c r="E261" s="4" t="s">
        <v>586</v>
      </c>
      <c r="F261" s="4" t="s">
        <v>38</v>
      </c>
      <c r="G261" s="4" t="s">
        <v>39</v>
      </c>
      <c r="H261" s="4" t="s">
        <v>587</v>
      </c>
      <c r="I261" s="4" t="s">
        <v>588</v>
      </c>
      <c r="J261" s="4" t="s">
        <v>31</v>
      </c>
      <c r="K261" s="4" t="s">
        <v>589</v>
      </c>
      <c r="L261" s="4" t="s">
        <v>22</v>
      </c>
      <c r="M261" s="4" t="s">
        <v>23</v>
      </c>
      <c r="N261" s="4" t="s">
        <v>32</v>
      </c>
      <c r="O261" s="4" t="s">
        <v>28</v>
      </c>
      <c r="P261" s="4" t="s">
        <v>26</v>
      </c>
      <c r="Q261" s="4" t="s">
        <v>27</v>
      </c>
      <c r="R261" s="4" t="s">
        <v>28</v>
      </c>
      <c r="S261" s="4" t="s">
        <v>22</v>
      </c>
    </row>
    <row r="262" spans="1:19" ht="15" hidden="1">
      <c r="A262" s="2">
        <v>44358</v>
      </c>
      <c r="B262">
        <v>6</v>
      </c>
      <c r="C262">
        <v>2021</v>
      </c>
      <c r="D262" s="7">
        <v>15.42</v>
      </c>
      <c r="E262" s="4" t="s">
        <v>590</v>
      </c>
      <c r="F262" s="4" t="s">
        <v>29</v>
      </c>
      <c r="G262" s="4" t="s">
        <v>30</v>
      </c>
      <c r="H262" s="4" t="s">
        <v>591</v>
      </c>
      <c r="I262" s="4" t="s">
        <v>592</v>
      </c>
      <c r="J262" s="4" t="s">
        <v>21</v>
      </c>
      <c r="K262" s="4" t="s">
        <v>593</v>
      </c>
      <c r="L262" s="4" t="s">
        <v>22</v>
      </c>
      <c r="M262" s="4" t="s">
        <v>23</v>
      </c>
      <c r="N262" s="4" t="s">
        <v>24</v>
      </c>
      <c r="O262" s="4" t="s">
        <v>25</v>
      </c>
      <c r="P262" s="4" t="s">
        <v>26</v>
      </c>
      <c r="Q262" s="4" t="s">
        <v>27</v>
      </c>
      <c r="R262" s="4" t="s">
        <v>28</v>
      </c>
      <c r="S262" s="4" t="s">
        <v>22</v>
      </c>
    </row>
    <row r="263" spans="1:19" ht="15" hidden="1">
      <c r="A263" s="2">
        <v>44358</v>
      </c>
      <c r="B263">
        <v>6</v>
      </c>
      <c r="C263">
        <v>2021</v>
      </c>
      <c r="D263" s="5">
        <v>148223.73999999999</v>
      </c>
      <c r="E263" s="4" t="s">
        <v>594</v>
      </c>
      <c r="F263" s="4" t="s">
        <v>38</v>
      </c>
      <c r="G263" s="4" t="s">
        <v>39</v>
      </c>
      <c r="H263" s="4" t="s">
        <v>595</v>
      </c>
      <c r="I263" s="4" t="s">
        <v>596</v>
      </c>
      <c r="J263" s="4" t="s">
        <v>31</v>
      </c>
      <c r="K263" s="4" t="s">
        <v>597</v>
      </c>
      <c r="L263" s="4" t="s">
        <v>22</v>
      </c>
      <c r="M263" s="4" t="s">
        <v>23</v>
      </c>
      <c r="N263" s="4" t="s">
        <v>32</v>
      </c>
      <c r="O263" s="4" t="s">
        <v>28</v>
      </c>
      <c r="P263" s="4" t="s">
        <v>26</v>
      </c>
      <c r="Q263" s="4" t="s">
        <v>27</v>
      </c>
      <c r="R263" s="4" t="s">
        <v>28</v>
      </c>
      <c r="S263" s="4" t="s">
        <v>22</v>
      </c>
    </row>
    <row r="264" spans="1:19" ht="15" hidden="1">
      <c r="A264" s="2">
        <v>44371</v>
      </c>
      <c r="B264">
        <v>6</v>
      </c>
      <c r="C264">
        <v>2021</v>
      </c>
      <c r="D264" s="5">
        <v>56096.550000000003</v>
      </c>
      <c r="E264" s="4" t="s">
        <v>598</v>
      </c>
      <c r="F264" s="4" t="s">
        <v>41</v>
      </c>
      <c r="G264" s="4" t="s">
        <v>42</v>
      </c>
      <c r="H264" s="4" t="s">
        <v>599</v>
      </c>
      <c r="I264" s="4" t="s">
        <v>600</v>
      </c>
      <c r="J264" s="4" t="s">
        <v>31</v>
      </c>
      <c r="K264" s="4" t="s">
        <v>574</v>
      </c>
      <c r="L264" s="4" t="s">
        <v>22</v>
      </c>
      <c r="M264" s="4" t="s">
        <v>23</v>
      </c>
      <c r="N264" s="4" t="s">
        <v>32</v>
      </c>
      <c r="O264" s="4" t="s">
        <v>28</v>
      </c>
      <c r="P264" s="4" t="s">
        <v>43</v>
      </c>
      <c r="Q264" s="4" t="s">
        <v>27</v>
      </c>
      <c r="R264" s="4" t="s">
        <v>28</v>
      </c>
      <c r="S264" s="4" t="s">
        <v>22</v>
      </c>
    </row>
    <row r="265" spans="1:19" ht="15" hidden="1">
      <c r="A265" s="2">
        <v>44371</v>
      </c>
      <c r="B265">
        <v>6</v>
      </c>
      <c r="C265">
        <v>2021</v>
      </c>
      <c r="D265" s="7">
        <v>6125.4700000000003</v>
      </c>
      <c r="E265" s="4" t="s">
        <v>601</v>
      </c>
      <c r="F265" s="4" t="s">
        <v>29</v>
      </c>
      <c r="G265" s="4" t="s">
        <v>30</v>
      </c>
      <c r="H265" s="4" t="s">
        <v>602</v>
      </c>
      <c r="I265" s="4" t="s">
        <v>603</v>
      </c>
      <c r="J265" s="4" t="s">
        <v>31</v>
      </c>
      <c r="K265" s="4" t="s">
        <v>574</v>
      </c>
      <c r="L265" s="4" t="s">
        <v>22</v>
      </c>
      <c r="M265" s="4" t="s">
        <v>23</v>
      </c>
      <c r="N265" s="4" t="s">
        <v>32</v>
      </c>
      <c r="O265" s="4" t="s">
        <v>28</v>
      </c>
      <c r="P265" s="4" t="s">
        <v>26</v>
      </c>
      <c r="Q265" s="4" t="s">
        <v>27</v>
      </c>
      <c r="R265" s="4" t="s">
        <v>28</v>
      </c>
      <c r="S265" s="4" t="s">
        <v>22</v>
      </c>
    </row>
    <row r="266" spans="1:19" ht="15" hidden="1">
      <c r="A266" s="2">
        <v>44371</v>
      </c>
      <c r="B266">
        <v>6</v>
      </c>
      <c r="C266">
        <v>2021</v>
      </c>
      <c r="D266" s="5">
        <v>908.04999999999995</v>
      </c>
      <c r="E266" s="4" t="s">
        <v>604</v>
      </c>
      <c r="F266" s="4" t="s">
        <v>38</v>
      </c>
      <c r="G266" s="4" t="s">
        <v>39</v>
      </c>
      <c r="H266" s="4" t="s">
        <v>605</v>
      </c>
      <c r="I266" s="4" t="s">
        <v>606</v>
      </c>
      <c r="J266" s="4" t="s">
        <v>31</v>
      </c>
      <c r="K266" s="4" t="s">
        <v>574</v>
      </c>
      <c r="L266" s="4" t="s">
        <v>22</v>
      </c>
      <c r="M266" s="4" t="s">
        <v>23</v>
      </c>
      <c r="N266" s="4" t="s">
        <v>32</v>
      </c>
      <c r="O266" s="4" t="s">
        <v>28</v>
      </c>
      <c r="P266" s="4" t="s">
        <v>26</v>
      </c>
      <c r="Q266" s="4" t="s">
        <v>27</v>
      </c>
      <c r="R266" s="4" t="s">
        <v>28</v>
      </c>
      <c r="S266" s="4" t="s">
        <v>22</v>
      </c>
    </row>
    <row r="267" spans="1:19" ht="15" hidden="1">
      <c r="A267" s="2">
        <v>44371</v>
      </c>
      <c r="B267">
        <v>6</v>
      </c>
      <c r="C267">
        <v>2021</v>
      </c>
      <c r="D267" s="5">
        <v>198742.92000000001</v>
      </c>
      <c r="E267" s="4" t="s">
        <v>607</v>
      </c>
      <c r="F267" s="4" t="s">
        <v>38</v>
      </c>
      <c r="G267" s="4" t="s">
        <v>39</v>
      </c>
      <c r="H267" s="4" t="s">
        <v>608</v>
      </c>
      <c r="I267" s="4" t="s">
        <v>609</v>
      </c>
      <c r="J267" s="4" t="s">
        <v>31</v>
      </c>
      <c r="K267" s="4" t="s">
        <v>574</v>
      </c>
      <c r="L267" s="4" t="s">
        <v>22</v>
      </c>
      <c r="M267" s="4" t="s">
        <v>23</v>
      </c>
      <c r="N267" s="4" t="s">
        <v>32</v>
      </c>
      <c r="O267" s="4" t="s">
        <v>28</v>
      </c>
      <c r="P267" s="4" t="s">
        <v>26</v>
      </c>
      <c r="Q267" s="4" t="s">
        <v>27</v>
      </c>
      <c r="R267" s="4" t="s">
        <v>28</v>
      </c>
      <c r="S267" s="4" t="s">
        <v>22</v>
      </c>
    </row>
    <row r="268" spans="1:19" ht="15" hidden="1">
      <c r="A268" s="2">
        <v>44371</v>
      </c>
      <c r="B268">
        <v>6</v>
      </c>
      <c r="C268">
        <v>2021</v>
      </c>
      <c r="D268" s="5">
        <v>624466.37</v>
      </c>
      <c r="E268" s="4" t="s">
        <v>567</v>
      </c>
      <c r="F268" s="4" t="s">
        <v>44</v>
      </c>
      <c r="G268" s="4" t="s">
        <v>45</v>
      </c>
      <c r="H268" s="4" t="s">
        <v>568</v>
      </c>
      <c r="I268" s="4" t="s">
        <v>569</v>
      </c>
      <c r="J268" s="4" t="s">
        <v>31</v>
      </c>
      <c r="K268" s="4" t="s">
        <v>574</v>
      </c>
      <c r="L268" s="4" t="s">
        <v>22</v>
      </c>
      <c r="M268" s="4" t="s">
        <v>23</v>
      </c>
      <c r="N268" s="4" t="s">
        <v>32</v>
      </c>
      <c r="O268" s="4" t="s">
        <v>28</v>
      </c>
      <c r="P268" s="4" t="s">
        <v>26</v>
      </c>
      <c r="Q268" s="4" t="s">
        <v>27</v>
      </c>
      <c r="R268" s="4" t="s">
        <v>28</v>
      </c>
      <c r="S268" s="4" t="s">
        <v>22</v>
      </c>
    </row>
    <row r="269" spans="1:19" ht="15" hidden="1">
      <c r="A269" s="2">
        <v>44354</v>
      </c>
      <c r="B269">
        <v>6</v>
      </c>
      <c r="C269">
        <v>2021</v>
      </c>
      <c r="D269" s="7">
        <v>3756.5799999999999</v>
      </c>
      <c r="E269" s="4" t="s">
        <v>610</v>
      </c>
      <c r="F269" s="4" t="s">
        <v>29</v>
      </c>
      <c r="G269" s="4" t="s">
        <v>30</v>
      </c>
      <c r="H269" s="4" t="s">
        <v>611</v>
      </c>
      <c r="I269" s="4" t="s">
        <v>612</v>
      </c>
      <c r="J269" s="4" t="s">
        <v>31</v>
      </c>
      <c r="K269" s="4" t="s">
        <v>582</v>
      </c>
      <c r="L269" s="4" t="s">
        <v>22</v>
      </c>
      <c r="M269" s="4" t="s">
        <v>23</v>
      </c>
      <c r="N269" s="4" t="s">
        <v>32</v>
      </c>
      <c r="O269" s="4" t="s">
        <v>28</v>
      </c>
      <c r="P269" s="4" t="s">
        <v>26</v>
      </c>
      <c r="Q269" s="4" t="s">
        <v>27</v>
      </c>
      <c r="R269" s="4" t="s">
        <v>28</v>
      </c>
      <c r="S269" s="4" t="s">
        <v>22</v>
      </c>
    </row>
    <row r="270" spans="1:19" ht="15" hidden="1">
      <c r="A270" s="2">
        <v>44358</v>
      </c>
      <c r="B270">
        <v>6</v>
      </c>
      <c r="C270">
        <v>2021</v>
      </c>
      <c r="D270" s="5">
        <v>19121.759999999998</v>
      </c>
      <c r="E270" s="4" t="s">
        <v>613</v>
      </c>
      <c r="F270" s="4" t="s">
        <v>41</v>
      </c>
      <c r="G270" s="4" t="s">
        <v>42</v>
      </c>
      <c r="H270" s="4" t="s">
        <v>614</v>
      </c>
      <c r="I270" s="4" t="s">
        <v>615</v>
      </c>
      <c r="J270" s="4" t="s">
        <v>21</v>
      </c>
      <c r="K270" s="4" t="s">
        <v>593</v>
      </c>
      <c r="L270" s="4" t="s">
        <v>22</v>
      </c>
      <c r="M270" s="4" t="s">
        <v>23</v>
      </c>
      <c r="N270" s="4" t="s">
        <v>24</v>
      </c>
      <c r="O270" s="4" t="s">
        <v>25</v>
      </c>
      <c r="P270" s="4" t="s">
        <v>43</v>
      </c>
      <c r="Q270" s="4" t="s">
        <v>40</v>
      </c>
      <c r="R270" s="4" t="s">
        <v>28</v>
      </c>
      <c r="S270" s="4" t="s">
        <v>22</v>
      </c>
    </row>
    <row r="271" spans="1:19" ht="15" hidden="1">
      <c r="A271" s="2">
        <v>44371</v>
      </c>
      <c r="B271">
        <v>6</v>
      </c>
      <c r="C271">
        <v>2021</v>
      </c>
      <c r="D271" s="5">
        <v>3900</v>
      </c>
      <c r="E271" s="4" t="s">
        <v>616</v>
      </c>
      <c r="F271" s="4" t="s">
        <v>48</v>
      </c>
      <c r="G271" s="4" t="s">
        <v>256</v>
      </c>
      <c r="H271" s="4" t="s">
        <v>617</v>
      </c>
      <c r="I271" s="4" t="s">
        <v>618</v>
      </c>
      <c r="J271" s="4" t="s">
        <v>31</v>
      </c>
      <c r="K271" s="4" t="s">
        <v>574</v>
      </c>
      <c r="L271" s="4" t="s">
        <v>22</v>
      </c>
      <c r="M271" s="4" t="s">
        <v>23</v>
      </c>
      <c r="N271" s="4" t="s">
        <v>32</v>
      </c>
      <c r="O271" s="4" t="s">
        <v>28</v>
      </c>
      <c r="P271" s="4" t="s">
        <v>49</v>
      </c>
      <c r="Q271" s="4" t="s">
        <v>50</v>
      </c>
      <c r="R271" s="4" t="s">
        <v>28</v>
      </c>
      <c r="S271" s="4" t="s">
        <v>22</v>
      </c>
    </row>
    <row r="272" spans="1:19" ht="15" hidden="1">
      <c r="A272" s="2">
        <v>44371</v>
      </c>
      <c r="B272">
        <v>6</v>
      </c>
      <c r="C272">
        <v>2021</v>
      </c>
      <c r="D272" s="7">
        <v>630.96000000000004</v>
      </c>
      <c r="E272" s="4" t="s">
        <v>601</v>
      </c>
      <c r="F272" s="4" t="s">
        <v>29</v>
      </c>
      <c r="G272" s="4" t="s">
        <v>30</v>
      </c>
      <c r="H272" s="4" t="s">
        <v>602</v>
      </c>
      <c r="I272" s="4" t="s">
        <v>603</v>
      </c>
      <c r="J272" s="4" t="s">
        <v>21</v>
      </c>
      <c r="K272" s="4" t="s">
        <v>570</v>
      </c>
      <c r="L272" s="4" t="s">
        <v>22</v>
      </c>
      <c r="M272" s="4" t="s">
        <v>23</v>
      </c>
      <c r="N272" s="4" t="s">
        <v>24</v>
      </c>
      <c r="O272" s="4" t="s">
        <v>25</v>
      </c>
      <c r="P272" s="4" t="s">
        <v>26</v>
      </c>
      <c r="Q272" s="4" t="s">
        <v>27</v>
      </c>
      <c r="R272" s="4" t="s">
        <v>28</v>
      </c>
      <c r="S272" s="4" t="s">
        <v>22</v>
      </c>
    </row>
    <row r="273" spans="1:19" ht="15" hidden="1">
      <c r="A273" s="2">
        <v>44377</v>
      </c>
      <c r="B273">
        <v>6</v>
      </c>
      <c r="C273">
        <v>2021</v>
      </c>
      <c r="D273" s="5">
        <v>19791.470000000001</v>
      </c>
      <c r="E273" s="4" t="s">
        <v>575</v>
      </c>
      <c r="F273" s="4" t="s">
        <v>41</v>
      </c>
      <c r="G273" s="4" t="s">
        <v>42</v>
      </c>
      <c r="H273" s="4" t="s">
        <v>576</v>
      </c>
      <c r="I273" s="4" t="s">
        <v>577</v>
      </c>
      <c r="J273" s="4" t="s">
        <v>21</v>
      </c>
      <c r="K273" s="4" t="s">
        <v>619</v>
      </c>
      <c r="L273" s="4" t="s">
        <v>22</v>
      </c>
      <c r="M273" s="4" t="s">
        <v>23</v>
      </c>
      <c r="N273" s="4" t="s">
        <v>24</v>
      </c>
      <c r="O273" s="4" t="s">
        <v>25</v>
      </c>
      <c r="P273" s="4" t="s">
        <v>43</v>
      </c>
      <c r="Q273" s="4" t="s">
        <v>40</v>
      </c>
      <c r="R273" s="4" t="s">
        <v>28</v>
      </c>
      <c r="S273" s="4" t="s">
        <v>22</v>
      </c>
    </row>
    <row r="274" spans="1:19" ht="15" hidden="1">
      <c r="A274" s="2">
        <v>44358</v>
      </c>
      <c r="B274">
        <v>6</v>
      </c>
      <c r="C274">
        <v>2021</v>
      </c>
      <c r="D274" s="5">
        <v>-162.77000000000001</v>
      </c>
      <c r="E274" s="4" t="s">
        <v>620</v>
      </c>
      <c r="F274" s="4" t="s">
        <v>38</v>
      </c>
      <c r="G274" s="4" t="s">
        <v>39</v>
      </c>
      <c r="H274" s="4" t="s">
        <v>621</v>
      </c>
      <c r="I274" s="4" t="s">
        <v>622</v>
      </c>
      <c r="J274" s="4" t="s">
        <v>31</v>
      </c>
      <c r="K274" s="4" t="s">
        <v>597</v>
      </c>
      <c r="L274" s="4" t="s">
        <v>22</v>
      </c>
      <c r="M274" s="4" t="s">
        <v>23</v>
      </c>
      <c r="N274" s="4" t="s">
        <v>32</v>
      </c>
      <c r="O274" s="4" t="s">
        <v>28</v>
      </c>
      <c r="P274" s="4" t="s">
        <v>26</v>
      </c>
      <c r="Q274" s="4" t="s">
        <v>27</v>
      </c>
      <c r="R274" s="4" t="s">
        <v>28</v>
      </c>
      <c r="S274" s="4" t="s">
        <v>22</v>
      </c>
    </row>
    <row r="275" spans="1:19" ht="15" hidden="1">
      <c r="A275" s="2">
        <v>44358</v>
      </c>
      <c r="B275">
        <v>6</v>
      </c>
      <c r="C275">
        <v>2021</v>
      </c>
      <c r="D275" s="5">
        <v>3571.8499999999999</v>
      </c>
      <c r="E275" s="4" t="s">
        <v>620</v>
      </c>
      <c r="F275" s="4" t="s">
        <v>38</v>
      </c>
      <c r="G275" s="4" t="s">
        <v>39</v>
      </c>
      <c r="H275" s="4" t="s">
        <v>621</v>
      </c>
      <c r="I275" s="4" t="s">
        <v>622</v>
      </c>
      <c r="J275" s="4" t="s">
        <v>31</v>
      </c>
      <c r="K275" s="4" t="s">
        <v>597</v>
      </c>
      <c r="L275" s="4" t="s">
        <v>22</v>
      </c>
      <c r="M275" s="4" t="s">
        <v>23</v>
      </c>
      <c r="N275" s="4" t="s">
        <v>623</v>
      </c>
      <c r="O275" s="4" t="s">
        <v>28</v>
      </c>
      <c r="P275" s="4" t="s">
        <v>26</v>
      </c>
      <c r="Q275" s="4" t="s">
        <v>27</v>
      </c>
      <c r="R275" s="4" t="s">
        <v>28</v>
      </c>
      <c r="S275" s="4" t="s">
        <v>22</v>
      </c>
    </row>
    <row r="276" spans="1:19" ht="15" hidden="1">
      <c r="A276" s="2">
        <v>44371</v>
      </c>
      <c r="B276">
        <v>6</v>
      </c>
      <c r="C276">
        <v>2021</v>
      </c>
      <c r="D276" s="5">
        <v>167674.67999999999</v>
      </c>
      <c r="E276" s="4" t="s">
        <v>624</v>
      </c>
      <c r="F276" s="4" t="s">
        <v>44</v>
      </c>
      <c r="G276" s="4" t="s">
        <v>45</v>
      </c>
      <c r="H276" s="4" t="s">
        <v>625</v>
      </c>
      <c r="I276" s="4" t="s">
        <v>626</v>
      </c>
      <c r="J276" s="4" t="s">
        <v>21</v>
      </c>
      <c r="K276" s="4" t="s">
        <v>570</v>
      </c>
      <c r="L276" s="4" t="s">
        <v>22</v>
      </c>
      <c r="M276" s="4" t="s">
        <v>23</v>
      </c>
      <c r="N276" s="4" t="s">
        <v>24</v>
      </c>
      <c r="O276" s="4" t="s">
        <v>25</v>
      </c>
      <c r="P276" s="4" t="s">
        <v>26</v>
      </c>
      <c r="Q276" s="4" t="s">
        <v>40</v>
      </c>
      <c r="R276" s="4" t="s">
        <v>28</v>
      </c>
      <c r="S276" s="4" t="s">
        <v>22</v>
      </c>
    </row>
    <row r="277" spans="1:19" ht="15" hidden="1">
      <c r="A277" s="2">
        <v>44377</v>
      </c>
      <c r="B277">
        <v>6</v>
      </c>
      <c r="C277">
        <v>2021</v>
      </c>
      <c r="D277" s="7">
        <v>82.409999999999997</v>
      </c>
      <c r="E277" s="4" t="s">
        <v>627</v>
      </c>
      <c r="F277" s="4" t="s">
        <v>29</v>
      </c>
      <c r="G277" s="4" t="s">
        <v>30</v>
      </c>
      <c r="H277" s="4" t="s">
        <v>628</v>
      </c>
      <c r="I277" s="4" t="s">
        <v>629</v>
      </c>
      <c r="J277" s="4" t="s">
        <v>21</v>
      </c>
      <c r="K277" s="4" t="s">
        <v>619</v>
      </c>
      <c r="L277" s="4" t="s">
        <v>22</v>
      </c>
      <c r="M277" s="4" t="s">
        <v>23</v>
      </c>
      <c r="N277" s="4" t="s">
        <v>24</v>
      </c>
      <c r="O277" s="4" t="s">
        <v>25</v>
      </c>
      <c r="P277" s="4" t="s">
        <v>26</v>
      </c>
      <c r="Q277" s="4" t="s">
        <v>27</v>
      </c>
      <c r="R277" s="4" t="s">
        <v>28</v>
      </c>
      <c r="S277" s="4" t="s">
        <v>22</v>
      </c>
    </row>
    <row r="278" spans="1:19" ht="15" hidden="1">
      <c r="A278" s="2">
        <v>44377</v>
      </c>
      <c r="B278">
        <v>6</v>
      </c>
      <c r="C278">
        <v>2021</v>
      </c>
      <c r="D278" s="7">
        <v>349.29000000000002</v>
      </c>
      <c r="E278" s="4" t="s">
        <v>630</v>
      </c>
      <c r="F278" s="4" t="s">
        <v>36</v>
      </c>
      <c r="G278" s="4" t="s">
        <v>37</v>
      </c>
      <c r="H278" s="4" t="s">
        <v>631</v>
      </c>
      <c r="I278" s="4" t="s">
        <v>632</v>
      </c>
      <c r="J278" s="4" t="s">
        <v>21</v>
      </c>
      <c r="K278" s="4" t="s">
        <v>619</v>
      </c>
      <c r="L278" s="4" t="s">
        <v>22</v>
      </c>
      <c r="M278" s="4" t="s">
        <v>23</v>
      </c>
      <c r="N278" s="4" t="s">
        <v>24</v>
      </c>
      <c r="O278" s="4" t="s">
        <v>25</v>
      </c>
      <c r="P278" s="4" t="s">
        <v>26</v>
      </c>
      <c r="Q278" s="4" t="s">
        <v>40</v>
      </c>
      <c r="R278" s="4" t="s">
        <v>28</v>
      </c>
      <c r="S278" s="4" t="s">
        <v>22</v>
      </c>
    </row>
    <row r="279" spans="1:19" ht="15" hidden="1">
      <c r="A279" s="2">
        <v>44377</v>
      </c>
      <c r="B279">
        <v>6</v>
      </c>
      <c r="C279">
        <v>2021</v>
      </c>
      <c r="D279" s="7">
        <v>6277.3199999999997</v>
      </c>
      <c r="E279" s="4" t="s">
        <v>627</v>
      </c>
      <c r="F279" s="4" t="s">
        <v>29</v>
      </c>
      <c r="G279" s="4" t="s">
        <v>30</v>
      </c>
      <c r="H279" s="4" t="s">
        <v>628</v>
      </c>
      <c r="I279" s="4" t="s">
        <v>629</v>
      </c>
      <c r="J279" s="4" t="s">
        <v>31</v>
      </c>
      <c r="K279" s="4" t="s">
        <v>578</v>
      </c>
      <c r="L279" s="4" t="s">
        <v>22</v>
      </c>
      <c r="M279" s="4" t="s">
        <v>23</v>
      </c>
      <c r="N279" s="4" t="s">
        <v>32</v>
      </c>
      <c r="O279" s="4" t="s">
        <v>28</v>
      </c>
      <c r="P279" s="4" t="s">
        <v>26</v>
      </c>
      <c r="Q279" s="4" t="s">
        <v>27</v>
      </c>
      <c r="R279" s="4" t="s">
        <v>28</v>
      </c>
      <c r="S279" s="4" t="s">
        <v>22</v>
      </c>
    </row>
    <row r="280" spans="1:19" ht="15" hidden="1">
      <c r="A280" s="2">
        <v>44377</v>
      </c>
      <c r="B280">
        <v>6</v>
      </c>
      <c r="C280">
        <v>2021</v>
      </c>
      <c r="D280" s="5">
        <v>121.7</v>
      </c>
      <c r="E280" s="4" t="s">
        <v>633</v>
      </c>
      <c r="F280" s="4" t="s">
        <v>38</v>
      </c>
      <c r="G280" s="4" t="s">
        <v>39</v>
      </c>
      <c r="H280" s="4" t="s">
        <v>634</v>
      </c>
      <c r="I280" s="4" t="s">
        <v>635</v>
      </c>
      <c r="J280" s="4" t="s">
        <v>31</v>
      </c>
      <c r="K280" s="4" t="s">
        <v>578</v>
      </c>
      <c r="L280" s="4" t="s">
        <v>22</v>
      </c>
      <c r="M280" s="4" t="s">
        <v>23</v>
      </c>
      <c r="N280" s="4" t="s">
        <v>32</v>
      </c>
      <c r="O280" s="4" t="s">
        <v>28</v>
      </c>
      <c r="P280" s="4" t="s">
        <v>26</v>
      </c>
      <c r="Q280" s="4" t="s">
        <v>27</v>
      </c>
      <c r="R280" s="4" t="s">
        <v>28</v>
      </c>
      <c r="S280" s="4" t="s">
        <v>22</v>
      </c>
    </row>
    <row r="281" spans="1:19" ht="15" hidden="1">
      <c r="A281" s="2">
        <v>44371</v>
      </c>
      <c r="B281">
        <v>6</v>
      </c>
      <c r="C281">
        <v>2021</v>
      </c>
      <c r="D281" s="7">
        <v>-802.86000000000001</v>
      </c>
      <c r="E281" s="4" t="s">
        <v>571</v>
      </c>
      <c r="F281" s="4" t="s">
        <v>36</v>
      </c>
      <c r="G281" s="4" t="s">
        <v>37</v>
      </c>
      <c r="H281" s="4" t="s">
        <v>572</v>
      </c>
      <c r="I281" s="4" t="s">
        <v>573</v>
      </c>
      <c r="J281" s="4" t="s">
        <v>21</v>
      </c>
      <c r="K281" s="4" t="s">
        <v>570</v>
      </c>
      <c r="L281" s="4" t="s">
        <v>22</v>
      </c>
      <c r="M281" s="4" t="s">
        <v>23</v>
      </c>
      <c r="N281" s="4" t="s">
        <v>24</v>
      </c>
      <c r="O281" s="4" t="s">
        <v>25</v>
      </c>
      <c r="P281" s="4" t="s">
        <v>26</v>
      </c>
      <c r="Q281" s="4" t="s">
        <v>40</v>
      </c>
      <c r="R281" s="4" t="s">
        <v>28</v>
      </c>
      <c r="S281" s="4" t="s">
        <v>22</v>
      </c>
    </row>
    <row r="282" spans="1:19" ht="15" hidden="1">
      <c r="A282" s="2">
        <v>44371</v>
      </c>
      <c r="B282">
        <v>6</v>
      </c>
      <c r="C282">
        <v>2021</v>
      </c>
      <c r="D282" s="7">
        <v>391.45999999999998</v>
      </c>
      <c r="E282" s="4" t="s">
        <v>636</v>
      </c>
      <c r="F282" s="4" t="s">
        <v>29</v>
      </c>
      <c r="G282" s="4" t="s">
        <v>30</v>
      </c>
      <c r="H282" s="4" t="s">
        <v>637</v>
      </c>
      <c r="I282" s="4" t="s">
        <v>638</v>
      </c>
      <c r="J282" s="4" t="s">
        <v>21</v>
      </c>
      <c r="K282" s="4" t="s">
        <v>570</v>
      </c>
      <c r="L282" s="4" t="s">
        <v>22</v>
      </c>
      <c r="M282" s="4" t="s">
        <v>23</v>
      </c>
      <c r="N282" s="4" t="s">
        <v>24</v>
      </c>
      <c r="O282" s="4" t="s">
        <v>25</v>
      </c>
      <c r="P282" s="4" t="s">
        <v>26</v>
      </c>
      <c r="Q282" s="4" t="s">
        <v>27</v>
      </c>
      <c r="R282" s="4" t="s">
        <v>28</v>
      </c>
      <c r="S282" s="4" t="s">
        <v>22</v>
      </c>
    </row>
    <row r="283" spans="1:19" ht="15" hidden="1">
      <c r="A283" s="2">
        <v>44371</v>
      </c>
      <c r="B283">
        <v>6</v>
      </c>
      <c r="C283">
        <v>2021</v>
      </c>
      <c r="D283" s="5">
        <v>12082.379999999999</v>
      </c>
      <c r="E283" s="4" t="s">
        <v>639</v>
      </c>
      <c r="F283" s="4" t="s">
        <v>41</v>
      </c>
      <c r="G283" s="4" t="s">
        <v>42</v>
      </c>
      <c r="H283" s="4" t="s">
        <v>640</v>
      </c>
      <c r="I283" s="4" t="s">
        <v>641</v>
      </c>
      <c r="J283" s="4" t="s">
        <v>21</v>
      </c>
      <c r="K283" s="4" t="s">
        <v>570</v>
      </c>
      <c r="L283" s="4" t="s">
        <v>22</v>
      </c>
      <c r="M283" s="4" t="s">
        <v>23</v>
      </c>
      <c r="N283" s="4" t="s">
        <v>24</v>
      </c>
      <c r="O283" s="4" t="s">
        <v>25</v>
      </c>
      <c r="P283" s="4" t="s">
        <v>43</v>
      </c>
      <c r="Q283" s="4" t="s">
        <v>40</v>
      </c>
      <c r="R283" s="4" t="s">
        <v>28</v>
      </c>
      <c r="S283" s="4" t="s">
        <v>22</v>
      </c>
    </row>
    <row r="284" spans="1:19" ht="15" hidden="1">
      <c r="A284" s="2">
        <v>44371</v>
      </c>
      <c r="B284">
        <v>6</v>
      </c>
      <c r="C284">
        <v>2021</v>
      </c>
      <c r="D284" s="5">
        <v>39371.540000000001</v>
      </c>
      <c r="E284" s="4" t="s">
        <v>607</v>
      </c>
      <c r="F284" s="4" t="s">
        <v>38</v>
      </c>
      <c r="G284" s="4" t="s">
        <v>39</v>
      </c>
      <c r="H284" s="4" t="s">
        <v>608</v>
      </c>
      <c r="I284" s="4" t="s">
        <v>609</v>
      </c>
      <c r="J284" s="4" t="s">
        <v>21</v>
      </c>
      <c r="K284" s="4" t="s">
        <v>570</v>
      </c>
      <c r="L284" s="4" t="s">
        <v>22</v>
      </c>
      <c r="M284" s="4" t="s">
        <v>23</v>
      </c>
      <c r="N284" s="4" t="s">
        <v>24</v>
      </c>
      <c r="O284" s="4" t="s">
        <v>25</v>
      </c>
      <c r="P284" s="4" t="s">
        <v>26</v>
      </c>
      <c r="Q284" s="4" t="s">
        <v>40</v>
      </c>
      <c r="R284" s="4" t="s">
        <v>28</v>
      </c>
      <c r="S284" s="4" t="s">
        <v>22</v>
      </c>
    </row>
    <row r="285" spans="1:19" ht="15" hidden="1">
      <c r="A285" s="2">
        <v>44377</v>
      </c>
      <c r="B285">
        <v>6</v>
      </c>
      <c r="C285">
        <v>2021</v>
      </c>
      <c r="D285" s="5">
        <v>137248.89999999999</v>
      </c>
      <c r="E285" s="4" t="s">
        <v>642</v>
      </c>
      <c r="F285" s="4" t="s">
        <v>38</v>
      </c>
      <c r="G285" s="4" t="s">
        <v>39</v>
      </c>
      <c r="H285" s="4" t="s">
        <v>643</v>
      </c>
      <c r="I285" s="4" t="s">
        <v>644</v>
      </c>
      <c r="J285" s="4" t="s">
        <v>31</v>
      </c>
      <c r="K285" s="4" t="s">
        <v>578</v>
      </c>
      <c r="L285" s="4" t="s">
        <v>22</v>
      </c>
      <c r="M285" s="4" t="s">
        <v>23</v>
      </c>
      <c r="N285" s="4" t="s">
        <v>32</v>
      </c>
      <c r="O285" s="4" t="s">
        <v>28</v>
      </c>
      <c r="P285" s="4" t="s">
        <v>26</v>
      </c>
      <c r="Q285" s="4" t="s">
        <v>27</v>
      </c>
      <c r="R285" s="4" t="s">
        <v>28</v>
      </c>
      <c r="S285" s="4" t="s">
        <v>22</v>
      </c>
    </row>
    <row r="286" spans="1:19" ht="15" hidden="1">
      <c r="A286" s="2">
        <v>44354</v>
      </c>
      <c r="B286">
        <v>6</v>
      </c>
      <c r="C286">
        <v>2021</v>
      </c>
      <c r="D286" s="5">
        <v>184664.63000000001</v>
      </c>
      <c r="E286" s="4" t="s">
        <v>579</v>
      </c>
      <c r="F286" s="4" t="s">
        <v>44</v>
      </c>
      <c r="G286" s="4" t="s">
        <v>45</v>
      </c>
      <c r="H286" s="4" t="s">
        <v>580</v>
      </c>
      <c r="I286" s="4" t="s">
        <v>581</v>
      </c>
      <c r="J286" s="4" t="s">
        <v>21</v>
      </c>
      <c r="K286" s="4" t="s">
        <v>645</v>
      </c>
      <c r="L286" s="4" t="s">
        <v>22</v>
      </c>
      <c r="M286" s="4" t="s">
        <v>23</v>
      </c>
      <c r="N286" s="4" t="s">
        <v>24</v>
      </c>
      <c r="O286" s="4" t="s">
        <v>25</v>
      </c>
      <c r="P286" s="4" t="s">
        <v>26</v>
      </c>
      <c r="Q286" s="4" t="s">
        <v>40</v>
      </c>
      <c r="R286" s="4" t="s">
        <v>28</v>
      </c>
      <c r="S286" s="4" t="s">
        <v>22</v>
      </c>
    </row>
    <row r="287" spans="1:19" ht="15" hidden="1">
      <c r="A287" s="2">
        <v>44358</v>
      </c>
      <c r="B287">
        <v>6</v>
      </c>
      <c r="C287">
        <v>2021</v>
      </c>
      <c r="D287" s="7">
        <v>3327.0500000000002</v>
      </c>
      <c r="E287" s="4" t="s">
        <v>590</v>
      </c>
      <c r="F287" s="4" t="s">
        <v>29</v>
      </c>
      <c r="G287" s="4" t="s">
        <v>30</v>
      </c>
      <c r="H287" s="4" t="s">
        <v>591</v>
      </c>
      <c r="I287" s="4" t="s">
        <v>592</v>
      </c>
      <c r="J287" s="4" t="s">
        <v>31</v>
      </c>
      <c r="K287" s="4" t="s">
        <v>597</v>
      </c>
      <c r="L287" s="4" t="s">
        <v>22</v>
      </c>
      <c r="M287" s="4" t="s">
        <v>23</v>
      </c>
      <c r="N287" s="4" t="s">
        <v>32</v>
      </c>
      <c r="O287" s="4" t="s">
        <v>28</v>
      </c>
      <c r="P287" s="4" t="s">
        <v>26</v>
      </c>
      <c r="Q287" s="4" t="s">
        <v>27</v>
      </c>
      <c r="R287" s="4" t="s">
        <v>28</v>
      </c>
      <c r="S287" s="4" t="s">
        <v>22</v>
      </c>
    </row>
    <row r="288" spans="1:19" ht="15" hidden="1">
      <c r="A288" s="2">
        <v>44358</v>
      </c>
      <c r="B288">
        <v>6</v>
      </c>
      <c r="C288">
        <v>2021</v>
      </c>
      <c r="D288" s="7">
        <v>776.80999999999995</v>
      </c>
      <c r="E288" s="4" t="s">
        <v>646</v>
      </c>
      <c r="F288" s="4" t="s">
        <v>36</v>
      </c>
      <c r="G288" s="4" t="s">
        <v>37</v>
      </c>
      <c r="H288" s="4" t="s">
        <v>647</v>
      </c>
      <c r="I288" s="4" t="s">
        <v>648</v>
      </c>
      <c r="J288" s="4" t="s">
        <v>21</v>
      </c>
      <c r="K288" s="4" t="s">
        <v>593</v>
      </c>
      <c r="L288" s="4" t="s">
        <v>22</v>
      </c>
      <c r="M288" s="4" t="s">
        <v>23</v>
      </c>
      <c r="N288" s="4" t="s">
        <v>24</v>
      </c>
      <c r="O288" s="4" t="s">
        <v>25</v>
      </c>
      <c r="P288" s="4" t="s">
        <v>26</v>
      </c>
      <c r="Q288" s="4" t="s">
        <v>40</v>
      </c>
      <c r="R288" s="4" t="s">
        <v>28</v>
      </c>
      <c r="S288" s="4" t="s">
        <v>22</v>
      </c>
    </row>
    <row r="289" spans="1:19" ht="15" hidden="1">
      <c r="A289" s="2">
        <v>44358</v>
      </c>
      <c r="B289">
        <v>6</v>
      </c>
      <c r="C289">
        <v>2021</v>
      </c>
      <c r="D289" s="5">
        <v>57762.199999999997</v>
      </c>
      <c r="E289" s="4" t="s">
        <v>613</v>
      </c>
      <c r="F289" s="4" t="s">
        <v>41</v>
      </c>
      <c r="G289" s="4" t="s">
        <v>42</v>
      </c>
      <c r="H289" s="4" t="s">
        <v>614</v>
      </c>
      <c r="I289" s="4" t="s">
        <v>615</v>
      </c>
      <c r="J289" s="4" t="s">
        <v>31</v>
      </c>
      <c r="K289" s="4" t="s">
        <v>597</v>
      </c>
      <c r="L289" s="4" t="s">
        <v>22</v>
      </c>
      <c r="M289" s="4" t="s">
        <v>23</v>
      </c>
      <c r="N289" s="4" t="s">
        <v>32</v>
      </c>
      <c r="O289" s="4" t="s">
        <v>28</v>
      </c>
      <c r="P289" s="4" t="s">
        <v>43</v>
      </c>
      <c r="Q289" s="4" t="s">
        <v>27</v>
      </c>
      <c r="R289" s="4" t="s">
        <v>28</v>
      </c>
      <c r="S289" s="4" t="s">
        <v>22</v>
      </c>
    </row>
    <row r="290" spans="1:19" ht="15" hidden="1">
      <c r="A290" s="2">
        <v>44358</v>
      </c>
      <c r="B290">
        <v>6</v>
      </c>
      <c r="C290">
        <v>2021</v>
      </c>
      <c r="D290" s="7">
        <v>86.859999999999999</v>
      </c>
      <c r="E290" s="4" t="s">
        <v>646</v>
      </c>
      <c r="F290" s="4" t="s">
        <v>36</v>
      </c>
      <c r="G290" s="4" t="s">
        <v>37</v>
      </c>
      <c r="H290" s="4" t="s">
        <v>647</v>
      </c>
      <c r="I290" s="4" t="s">
        <v>648</v>
      </c>
      <c r="J290" s="4" t="s">
        <v>31</v>
      </c>
      <c r="K290" s="4" t="s">
        <v>597</v>
      </c>
      <c r="L290" s="4" t="s">
        <v>22</v>
      </c>
      <c r="M290" s="4" t="s">
        <v>23</v>
      </c>
      <c r="N290" s="4" t="s">
        <v>32</v>
      </c>
      <c r="O290" s="4" t="s">
        <v>28</v>
      </c>
      <c r="P290" s="4" t="s">
        <v>26</v>
      </c>
      <c r="Q290" s="4" t="s">
        <v>27</v>
      </c>
      <c r="R290" s="4" t="s">
        <v>28</v>
      </c>
      <c r="S290" s="4" t="s">
        <v>22</v>
      </c>
    </row>
    <row r="291" spans="1:19" ht="15" hidden="1">
      <c r="A291" s="2">
        <v>44371</v>
      </c>
      <c r="B291">
        <v>6</v>
      </c>
      <c r="C291">
        <v>2021</v>
      </c>
      <c r="D291" s="5">
        <v>19182.900000000001</v>
      </c>
      <c r="E291" s="4" t="s">
        <v>598</v>
      </c>
      <c r="F291" s="4" t="s">
        <v>41</v>
      </c>
      <c r="G291" s="4" t="s">
        <v>42</v>
      </c>
      <c r="H291" s="4" t="s">
        <v>599</v>
      </c>
      <c r="I291" s="4" t="s">
        <v>600</v>
      </c>
      <c r="J291" s="4" t="s">
        <v>21</v>
      </c>
      <c r="K291" s="4" t="s">
        <v>570</v>
      </c>
      <c r="L291" s="4" t="s">
        <v>22</v>
      </c>
      <c r="M291" s="4" t="s">
        <v>23</v>
      </c>
      <c r="N291" s="4" t="s">
        <v>24</v>
      </c>
      <c r="O291" s="4" t="s">
        <v>25</v>
      </c>
      <c r="P291" s="4" t="s">
        <v>43</v>
      </c>
      <c r="Q291" s="4" t="s">
        <v>40</v>
      </c>
      <c r="R291" s="4" t="s">
        <v>28</v>
      </c>
      <c r="S291" s="4" t="s">
        <v>22</v>
      </c>
    </row>
    <row r="292" spans="1:19" ht="15" hidden="1">
      <c r="A292" s="2">
        <v>44371</v>
      </c>
      <c r="B292">
        <v>6</v>
      </c>
      <c r="C292">
        <v>2021</v>
      </c>
      <c r="D292" s="7">
        <v>-951.25999999999999</v>
      </c>
      <c r="E292" s="4" t="s">
        <v>571</v>
      </c>
      <c r="F292" s="4" t="s">
        <v>36</v>
      </c>
      <c r="G292" s="4" t="s">
        <v>37</v>
      </c>
      <c r="H292" s="4" t="s">
        <v>572</v>
      </c>
      <c r="I292" s="4" t="s">
        <v>573</v>
      </c>
      <c r="J292" s="4" t="s">
        <v>31</v>
      </c>
      <c r="K292" s="4" t="s">
        <v>574</v>
      </c>
      <c r="L292" s="4" t="s">
        <v>22</v>
      </c>
      <c r="M292" s="4" t="s">
        <v>23</v>
      </c>
      <c r="N292" s="4" t="s">
        <v>32</v>
      </c>
      <c r="O292" s="4" t="s">
        <v>28</v>
      </c>
      <c r="P292" s="4" t="s">
        <v>26</v>
      </c>
      <c r="Q292" s="4" t="s">
        <v>50</v>
      </c>
      <c r="R292" s="4" t="s">
        <v>28</v>
      </c>
      <c r="S292" s="4" t="s">
        <v>22</v>
      </c>
    </row>
    <row r="293" spans="1:19" ht="15" hidden="1">
      <c r="A293" s="2">
        <v>44371</v>
      </c>
      <c r="B293">
        <v>6</v>
      </c>
      <c r="C293">
        <v>2021</v>
      </c>
      <c r="D293" s="5">
        <v>699166.06000000006</v>
      </c>
      <c r="E293" s="4" t="s">
        <v>624</v>
      </c>
      <c r="F293" s="4" t="s">
        <v>44</v>
      </c>
      <c r="G293" s="4" t="s">
        <v>45</v>
      </c>
      <c r="H293" s="4" t="s">
        <v>625</v>
      </c>
      <c r="I293" s="4" t="s">
        <v>626</v>
      </c>
      <c r="J293" s="4" t="s">
        <v>31</v>
      </c>
      <c r="K293" s="4" t="s">
        <v>574</v>
      </c>
      <c r="L293" s="4" t="s">
        <v>22</v>
      </c>
      <c r="M293" s="4" t="s">
        <v>23</v>
      </c>
      <c r="N293" s="4" t="s">
        <v>32</v>
      </c>
      <c r="O293" s="4" t="s">
        <v>28</v>
      </c>
      <c r="P293" s="4" t="s">
        <v>26</v>
      </c>
      <c r="Q293" s="4" t="s">
        <v>27</v>
      </c>
      <c r="R293" s="4" t="s">
        <v>28</v>
      </c>
      <c r="S293" s="4" t="s">
        <v>22</v>
      </c>
    </row>
    <row r="294" spans="1:19" ht="15" hidden="1">
      <c r="A294" s="2">
        <v>44377</v>
      </c>
      <c r="B294">
        <v>6</v>
      </c>
      <c r="C294">
        <v>2021</v>
      </c>
      <c r="D294" s="5">
        <v>3.96</v>
      </c>
      <c r="E294" s="4" t="s">
        <v>633</v>
      </c>
      <c r="F294" s="4" t="s">
        <v>38</v>
      </c>
      <c r="G294" s="4" t="s">
        <v>39</v>
      </c>
      <c r="H294" s="4" t="s">
        <v>634</v>
      </c>
      <c r="I294" s="4" t="s">
        <v>635</v>
      </c>
      <c r="J294" s="4" t="s">
        <v>21</v>
      </c>
      <c r="K294" s="4" t="s">
        <v>619</v>
      </c>
      <c r="L294" s="4" t="s">
        <v>22</v>
      </c>
      <c r="M294" s="4" t="s">
        <v>23</v>
      </c>
      <c r="N294" s="4" t="s">
        <v>24</v>
      </c>
      <c r="O294" s="4" t="s">
        <v>25</v>
      </c>
      <c r="P294" s="4" t="s">
        <v>26</v>
      </c>
      <c r="Q294" s="4" t="s">
        <v>40</v>
      </c>
      <c r="R294" s="4" t="s">
        <v>28</v>
      </c>
      <c r="S294" s="4" t="s">
        <v>22</v>
      </c>
    </row>
    <row r="295" spans="1:19" ht="15" hidden="1">
      <c r="A295" s="2">
        <v>44354</v>
      </c>
      <c r="B295">
        <v>6</v>
      </c>
      <c r="C295">
        <v>2021</v>
      </c>
      <c r="D295" s="7">
        <v>460.68000000000001</v>
      </c>
      <c r="E295" s="4" t="s">
        <v>610</v>
      </c>
      <c r="F295" s="4" t="s">
        <v>29</v>
      </c>
      <c r="G295" s="4" t="s">
        <v>30</v>
      </c>
      <c r="H295" s="4" t="s">
        <v>611</v>
      </c>
      <c r="I295" s="4" t="s">
        <v>612</v>
      </c>
      <c r="J295" s="4" t="s">
        <v>21</v>
      </c>
      <c r="K295" s="4" t="s">
        <v>645</v>
      </c>
      <c r="L295" s="4" t="s">
        <v>22</v>
      </c>
      <c r="M295" s="4" t="s">
        <v>23</v>
      </c>
      <c r="N295" s="4" t="s">
        <v>24</v>
      </c>
      <c r="O295" s="4" t="s">
        <v>25</v>
      </c>
      <c r="P295" s="4" t="s">
        <v>26</v>
      </c>
      <c r="Q295" s="4" t="s">
        <v>27</v>
      </c>
      <c r="R295" s="4" t="s">
        <v>28</v>
      </c>
      <c r="S295" s="4" t="s">
        <v>22</v>
      </c>
    </row>
    <row r="296" spans="1:19" ht="15" hidden="1">
      <c r="A296" s="2">
        <v>44372</v>
      </c>
      <c r="B296">
        <v>6</v>
      </c>
      <c r="C296">
        <v>2021</v>
      </c>
      <c r="D296" s="5">
        <v>38375.290000000001</v>
      </c>
      <c r="E296" s="4" t="s">
        <v>586</v>
      </c>
      <c r="F296" s="4" t="s">
        <v>38</v>
      </c>
      <c r="G296" s="4" t="s">
        <v>39</v>
      </c>
      <c r="H296" s="4" t="s">
        <v>587</v>
      </c>
      <c r="I296" s="4" t="s">
        <v>588</v>
      </c>
      <c r="J296" s="4" t="s">
        <v>21</v>
      </c>
      <c r="K296" s="4" t="s">
        <v>649</v>
      </c>
      <c r="L296" s="4" t="s">
        <v>22</v>
      </c>
      <c r="M296" s="4" t="s">
        <v>23</v>
      </c>
      <c r="N296" s="4" t="s">
        <v>24</v>
      </c>
      <c r="O296" s="4" t="s">
        <v>25</v>
      </c>
      <c r="P296" s="4" t="s">
        <v>26</v>
      </c>
      <c r="Q296" s="4" t="s">
        <v>40</v>
      </c>
      <c r="R296" s="4" t="s">
        <v>28</v>
      </c>
      <c r="S296" s="4" t="s">
        <v>22</v>
      </c>
    </row>
    <row r="297" spans="1:19" ht="15" hidden="1">
      <c r="A297" s="2">
        <v>44358</v>
      </c>
      <c r="B297">
        <v>6</v>
      </c>
      <c r="C297">
        <v>2021</v>
      </c>
      <c r="D297" s="5">
        <v>690843.75</v>
      </c>
      <c r="E297" s="4" t="s">
        <v>650</v>
      </c>
      <c r="F297" s="4" t="s">
        <v>44</v>
      </c>
      <c r="G297" s="4" t="s">
        <v>45</v>
      </c>
      <c r="H297" s="4" t="s">
        <v>651</v>
      </c>
      <c r="I297" s="4" t="s">
        <v>652</v>
      </c>
      <c r="J297" s="4" t="s">
        <v>31</v>
      </c>
      <c r="K297" s="4" t="s">
        <v>597</v>
      </c>
      <c r="L297" s="4" t="s">
        <v>22</v>
      </c>
      <c r="M297" s="4" t="s">
        <v>23</v>
      </c>
      <c r="N297" s="4" t="s">
        <v>32</v>
      </c>
      <c r="O297" s="4" t="s">
        <v>28</v>
      </c>
      <c r="P297" s="4" t="s">
        <v>26</v>
      </c>
      <c r="Q297" s="4" t="s">
        <v>27</v>
      </c>
      <c r="R297" s="4" t="s">
        <v>28</v>
      </c>
      <c r="S297" s="4" t="s">
        <v>22</v>
      </c>
    </row>
    <row r="298" spans="1:19" ht="15" hidden="1">
      <c r="A298" s="2">
        <v>44358</v>
      </c>
      <c r="B298">
        <v>6</v>
      </c>
      <c r="C298">
        <v>2021</v>
      </c>
      <c r="D298" s="5">
        <v>18370.709999999999</v>
      </c>
      <c r="E298" s="4" t="s">
        <v>594</v>
      </c>
      <c r="F298" s="4" t="s">
        <v>38</v>
      </c>
      <c r="G298" s="4" t="s">
        <v>39</v>
      </c>
      <c r="H298" s="4" t="s">
        <v>595</v>
      </c>
      <c r="I298" s="4" t="s">
        <v>596</v>
      </c>
      <c r="J298" s="4" t="s">
        <v>21</v>
      </c>
      <c r="K298" s="4" t="s">
        <v>593</v>
      </c>
      <c r="L298" s="4" t="s">
        <v>22</v>
      </c>
      <c r="M298" s="4" t="s">
        <v>23</v>
      </c>
      <c r="N298" s="4" t="s">
        <v>24</v>
      </c>
      <c r="O298" s="4" t="s">
        <v>25</v>
      </c>
      <c r="P298" s="4" t="s">
        <v>26</v>
      </c>
      <c r="Q298" s="4" t="s">
        <v>40</v>
      </c>
      <c r="R298" s="4" t="s">
        <v>28</v>
      </c>
      <c r="S298" s="4" t="s">
        <v>22</v>
      </c>
    </row>
    <row r="299" spans="1:19" ht="15" hidden="1">
      <c r="A299" s="2">
        <v>44377</v>
      </c>
      <c r="B299">
        <v>6</v>
      </c>
      <c r="C299">
        <v>2021</v>
      </c>
      <c r="D299" s="5">
        <v>695712.93999999994</v>
      </c>
      <c r="E299" s="4" t="s">
        <v>653</v>
      </c>
      <c r="F299" s="4" t="s">
        <v>44</v>
      </c>
      <c r="G299" s="4" t="s">
        <v>45</v>
      </c>
      <c r="H299" s="4" t="s">
        <v>654</v>
      </c>
      <c r="I299" s="4" t="s">
        <v>655</v>
      </c>
      <c r="J299" s="4" t="s">
        <v>31</v>
      </c>
      <c r="K299" s="4" t="s">
        <v>578</v>
      </c>
      <c r="L299" s="4" t="s">
        <v>22</v>
      </c>
      <c r="M299" s="4" t="s">
        <v>23</v>
      </c>
      <c r="N299" s="4" t="s">
        <v>32</v>
      </c>
      <c r="O299" s="4" t="s">
        <v>28</v>
      </c>
      <c r="P299" s="4" t="s">
        <v>26</v>
      </c>
      <c r="Q299" s="4" t="s">
        <v>27</v>
      </c>
      <c r="R299" s="4" t="s">
        <v>28</v>
      </c>
      <c r="S299" s="4" t="s">
        <v>22</v>
      </c>
    </row>
    <row r="300" spans="1:19" ht="15" hidden="1">
      <c r="A300" s="2">
        <v>44377</v>
      </c>
      <c r="B300">
        <v>6</v>
      </c>
      <c r="C300">
        <v>2021</v>
      </c>
      <c r="D300" s="7">
        <v>1183.29</v>
      </c>
      <c r="E300" s="4" t="s">
        <v>630</v>
      </c>
      <c r="F300" s="4" t="s">
        <v>36</v>
      </c>
      <c r="G300" s="4" t="s">
        <v>37</v>
      </c>
      <c r="H300" s="4" t="s">
        <v>631</v>
      </c>
      <c r="I300" s="4" t="s">
        <v>632</v>
      </c>
      <c r="J300" s="4" t="s">
        <v>31</v>
      </c>
      <c r="K300" s="4" t="s">
        <v>578</v>
      </c>
      <c r="L300" s="4" t="s">
        <v>22</v>
      </c>
      <c r="M300" s="4" t="s">
        <v>23</v>
      </c>
      <c r="N300" s="4" t="s">
        <v>32</v>
      </c>
      <c r="O300" s="4" t="s">
        <v>28</v>
      </c>
      <c r="P300" s="4" t="s">
        <v>26</v>
      </c>
      <c r="Q300" s="4" t="s">
        <v>27</v>
      </c>
      <c r="R300" s="4" t="s">
        <v>28</v>
      </c>
      <c r="S300" s="4" t="s">
        <v>22</v>
      </c>
    </row>
    <row r="301" spans="1:19" ht="15" hidden="1">
      <c r="A301" s="2">
        <v>44358</v>
      </c>
      <c r="B301">
        <v>6</v>
      </c>
      <c r="C301">
        <v>2021</v>
      </c>
      <c r="D301" s="5">
        <v>56.869999999999997</v>
      </c>
      <c r="E301" s="4" t="s">
        <v>620</v>
      </c>
      <c r="F301" s="4" t="s">
        <v>38</v>
      </c>
      <c r="G301" s="4" t="s">
        <v>39</v>
      </c>
      <c r="H301" s="4" t="s">
        <v>621</v>
      </c>
      <c r="I301" s="4" t="s">
        <v>622</v>
      </c>
      <c r="J301" s="4" t="s">
        <v>21</v>
      </c>
      <c r="K301" s="4" t="s">
        <v>593</v>
      </c>
      <c r="L301" s="4" t="s">
        <v>22</v>
      </c>
      <c r="M301" s="4" t="s">
        <v>23</v>
      </c>
      <c r="N301" s="4" t="s">
        <v>24</v>
      </c>
      <c r="O301" s="4" t="s">
        <v>25</v>
      </c>
      <c r="P301" s="4" t="s">
        <v>26</v>
      </c>
      <c r="Q301" s="4" t="s">
        <v>40</v>
      </c>
      <c r="R301" s="4" t="s">
        <v>28</v>
      </c>
      <c r="S301" s="4" t="s">
        <v>22</v>
      </c>
    </row>
    <row r="302" spans="1:19" ht="15" hidden="1">
      <c r="A302" s="2">
        <v>44358</v>
      </c>
      <c r="B302">
        <v>6</v>
      </c>
      <c r="C302">
        <v>2021</v>
      </c>
      <c r="D302" s="5">
        <v>94366.789999999994</v>
      </c>
      <c r="E302" s="4" t="s">
        <v>650</v>
      </c>
      <c r="F302" s="4" t="s">
        <v>44</v>
      </c>
      <c r="G302" s="4" t="s">
        <v>45</v>
      </c>
      <c r="H302" s="4" t="s">
        <v>651</v>
      </c>
      <c r="I302" s="4" t="s">
        <v>652</v>
      </c>
      <c r="J302" s="4" t="s">
        <v>21</v>
      </c>
      <c r="K302" s="4" t="s">
        <v>593</v>
      </c>
      <c r="L302" s="4" t="s">
        <v>22</v>
      </c>
      <c r="M302" s="4" t="s">
        <v>23</v>
      </c>
      <c r="N302" s="4" t="s">
        <v>24</v>
      </c>
      <c r="O302" s="4" t="s">
        <v>25</v>
      </c>
      <c r="P302" s="4" t="s">
        <v>26</v>
      </c>
      <c r="Q302" s="4" t="s">
        <v>40</v>
      </c>
      <c r="R302" s="4" t="s">
        <v>28</v>
      </c>
      <c r="S302" s="4" t="s">
        <v>22</v>
      </c>
    </row>
    <row r="303" spans="1:19" ht="15" hidden="1">
      <c r="A303" s="2">
        <v>44371</v>
      </c>
      <c r="B303">
        <v>6</v>
      </c>
      <c r="C303">
        <v>2021</v>
      </c>
      <c r="D303" s="5">
        <v>59818.849999999999</v>
      </c>
      <c r="E303" s="4" t="s">
        <v>639</v>
      </c>
      <c r="F303" s="4" t="s">
        <v>41</v>
      </c>
      <c r="G303" s="4" t="s">
        <v>42</v>
      </c>
      <c r="H303" s="4" t="s">
        <v>640</v>
      </c>
      <c r="I303" s="4" t="s">
        <v>641</v>
      </c>
      <c r="J303" s="4" t="s">
        <v>31</v>
      </c>
      <c r="K303" s="4" t="s">
        <v>574</v>
      </c>
      <c r="L303" s="4" t="s">
        <v>22</v>
      </c>
      <c r="M303" s="4" t="s">
        <v>23</v>
      </c>
      <c r="N303" s="4" t="s">
        <v>32</v>
      </c>
      <c r="O303" s="4" t="s">
        <v>28</v>
      </c>
      <c r="P303" s="4" t="s">
        <v>43</v>
      </c>
      <c r="Q303" s="4" t="s">
        <v>27</v>
      </c>
      <c r="R303" s="4" t="s">
        <v>28</v>
      </c>
      <c r="S303" s="4" t="s">
        <v>22</v>
      </c>
    </row>
    <row r="304" spans="1:19" ht="15" hidden="1">
      <c r="A304" s="2">
        <v>44371</v>
      </c>
      <c r="B304">
        <v>6</v>
      </c>
      <c r="C304">
        <v>2021</v>
      </c>
      <c r="D304" s="5">
        <v>12.4</v>
      </c>
      <c r="E304" s="4" t="s">
        <v>656</v>
      </c>
      <c r="F304" s="4" t="s">
        <v>38</v>
      </c>
      <c r="G304" s="4" t="s">
        <v>39</v>
      </c>
      <c r="H304" s="4" t="s">
        <v>657</v>
      </c>
      <c r="I304" s="4" t="s">
        <v>658</v>
      </c>
      <c r="J304" s="4" t="s">
        <v>21</v>
      </c>
      <c r="K304" s="4" t="s">
        <v>570</v>
      </c>
      <c r="L304" s="4" t="s">
        <v>22</v>
      </c>
      <c r="M304" s="4" t="s">
        <v>23</v>
      </c>
      <c r="N304" s="4" t="s">
        <v>24</v>
      </c>
      <c r="O304" s="4" t="s">
        <v>25</v>
      </c>
      <c r="P304" s="4" t="s">
        <v>26</v>
      </c>
      <c r="Q304" s="4" t="s">
        <v>40</v>
      </c>
      <c r="R304" s="4" t="s">
        <v>28</v>
      </c>
      <c r="S304" s="4" t="s">
        <v>22</v>
      </c>
    </row>
    <row r="305" spans="1:19" ht="15" hidden="1">
      <c r="A305" s="2">
        <v>44371</v>
      </c>
      <c r="B305">
        <v>6</v>
      </c>
      <c r="C305">
        <v>2021</v>
      </c>
      <c r="D305" s="7">
        <v>7935.2600000000002</v>
      </c>
      <c r="E305" s="4" t="s">
        <v>636</v>
      </c>
      <c r="F305" s="4" t="s">
        <v>29</v>
      </c>
      <c r="G305" s="4" t="s">
        <v>30</v>
      </c>
      <c r="H305" s="4" t="s">
        <v>637</v>
      </c>
      <c r="I305" s="4" t="s">
        <v>638</v>
      </c>
      <c r="J305" s="4" t="s">
        <v>31</v>
      </c>
      <c r="K305" s="4" t="s">
        <v>574</v>
      </c>
      <c r="L305" s="4" t="s">
        <v>22</v>
      </c>
      <c r="M305" s="4" t="s">
        <v>23</v>
      </c>
      <c r="N305" s="4" t="s">
        <v>32</v>
      </c>
      <c r="O305" s="4" t="s">
        <v>28</v>
      </c>
      <c r="P305" s="4" t="s">
        <v>26</v>
      </c>
      <c r="Q305" s="4" t="s">
        <v>27</v>
      </c>
      <c r="R305" s="4" t="s">
        <v>28</v>
      </c>
      <c r="S305" s="4" t="s">
        <v>22</v>
      </c>
    </row>
    <row r="306" spans="1:19" ht="15" hidden="1">
      <c r="A306" s="2">
        <v>44371</v>
      </c>
      <c r="B306">
        <v>6</v>
      </c>
      <c r="C306">
        <v>2021</v>
      </c>
      <c r="D306" s="5">
        <v>21.120000000000001</v>
      </c>
      <c r="E306" s="4" t="s">
        <v>656</v>
      </c>
      <c r="F306" s="4" t="s">
        <v>38</v>
      </c>
      <c r="G306" s="4" t="s">
        <v>39</v>
      </c>
      <c r="H306" s="4" t="s">
        <v>657</v>
      </c>
      <c r="I306" s="4" t="s">
        <v>658</v>
      </c>
      <c r="J306" s="4" t="s">
        <v>31</v>
      </c>
      <c r="K306" s="4" t="s">
        <v>574</v>
      </c>
      <c r="L306" s="4" t="s">
        <v>22</v>
      </c>
      <c r="M306" s="4" t="s">
        <v>23</v>
      </c>
      <c r="N306" s="4" t="s">
        <v>32</v>
      </c>
      <c r="O306" s="4" t="s">
        <v>28</v>
      </c>
      <c r="P306" s="4" t="s">
        <v>26</v>
      </c>
      <c r="Q306" s="4" t="s">
        <v>27</v>
      </c>
      <c r="R306" s="4" t="s">
        <v>28</v>
      </c>
      <c r="S306" s="4" t="s">
        <v>22</v>
      </c>
    </row>
    <row r="307" spans="1:19" ht="15" hidden="1">
      <c r="A307" s="2">
        <v>44371</v>
      </c>
      <c r="B307">
        <v>6</v>
      </c>
      <c r="C307">
        <v>2021</v>
      </c>
      <c r="D307" s="5">
        <v>86.170000000000002</v>
      </c>
      <c r="E307" s="4" t="s">
        <v>604</v>
      </c>
      <c r="F307" s="4" t="s">
        <v>38</v>
      </c>
      <c r="G307" s="4" t="s">
        <v>39</v>
      </c>
      <c r="H307" s="4" t="s">
        <v>605</v>
      </c>
      <c r="I307" s="4" t="s">
        <v>606</v>
      </c>
      <c r="J307" s="4" t="s">
        <v>21</v>
      </c>
      <c r="K307" s="4" t="s">
        <v>570</v>
      </c>
      <c r="L307" s="4" t="s">
        <v>22</v>
      </c>
      <c r="M307" s="4" t="s">
        <v>23</v>
      </c>
      <c r="N307" s="4" t="s">
        <v>24</v>
      </c>
      <c r="O307" s="4" t="s">
        <v>25</v>
      </c>
      <c r="P307" s="4" t="s">
        <v>26</v>
      </c>
      <c r="Q307" s="4" t="s">
        <v>40</v>
      </c>
      <c r="R307" s="4" t="s">
        <v>28</v>
      </c>
      <c r="S307" s="4" t="s">
        <v>22</v>
      </c>
    </row>
    <row r="308" spans="1:19" ht="15" hidden="1">
      <c r="A308" s="2">
        <v>44377</v>
      </c>
      <c r="B308">
        <v>6</v>
      </c>
      <c r="C308">
        <v>2021</v>
      </c>
      <c r="D308" s="5">
        <v>225388.01999999999</v>
      </c>
      <c r="E308" s="4" t="s">
        <v>653</v>
      </c>
      <c r="F308" s="4" t="s">
        <v>44</v>
      </c>
      <c r="G308" s="4" t="s">
        <v>45</v>
      </c>
      <c r="H308" s="4" t="s">
        <v>654</v>
      </c>
      <c r="I308" s="4" t="s">
        <v>655</v>
      </c>
      <c r="J308" s="4" t="s">
        <v>21</v>
      </c>
      <c r="K308" s="4" t="s">
        <v>619</v>
      </c>
      <c r="L308" s="4" t="s">
        <v>22</v>
      </c>
      <c r="M308" s="4" t="s">
        <v>23</v>
      </c>
      <c r="N308" s="4" t="s">
        <v>24</v>
      </c>
      <c r="O308" s="4" t="s">
        <v>25</v>
      </c>
      <c r="P308" s="4" t="s">
        <v>26</v>
      </c>
      <c r="Q308" s="4" t="s">
        <v>40</v>
      </c>
      <c r="R308" s="4" t="s">
        <v>28</v>
      </c>
      <c r="S308" s="4" t="s">
        <v>22</v>
      </c>
    </row>
    <row r="309" spans="1:19" ht="15" hidden="1">
      <c r="A309" s="2">
        <v>44377</v>
      </c>
      <c r="B309">
        <v>6</v>
      </c>
      <c r="C309">
        <v>2021</v>
      </c>
      <c r="D309" s="5">
        <v>44489.580000000002</v>
      </c>
      <c r="E309" s="4" t="s">
        <v>642</v>
      </c>
      <c r="F309" s="4" t="s">
        <v>38</v>
      </c>
      <c r="G309" s="4" t="s">
        <v>39</v>
      </c>
      <c r="H309" s="4" t="s">
        <v>643</v>
      </c>
      <c r="I309" s="4" t="s">
        <v>644</v>
      </c>
      <c r="J309" s="4" t="s">
        <v>21</v>
      </c>
      <c r="K309" s="4" t="s">
        <v>619</v>
      </c>
      <c r="L309" s="4" t="s">
        <v>22</v>
      </c>
      <c r="M309" s="4" t="s">
        <v>23</v>
      </c>
      <c r="N309" s="4" t="s">
        <v>24</v>
      </c>
      <c r="O309" s="4" t="s">
        <v>25</v>
      </c>
      <c r="P309" s="4" t="s">
        <v>26</v>
      </c>
      <c r="Q309" s="4" t="s">
        <v>40</v>
      </c>
      <c r="R309" s="4" t="s">
        <v>28</v>
      </c>
      <c r="S309" s="4" t="s">
        <v>22</v>
      </c>
    </row>
    <row r="310" spans="1:19" ht="15" hidden="1">
      <c r="A310" s="2">
        <v>44354</v>
      </c>
      <c r="B310">
        <v>6</v>
      </c>
      <c r="C310">
        <v>2021</v>
      </c>
      <c r="D310" s="5">
        <v>13723.700000000001</v>
      </c>
      <c r="E310" s="4" t="s">
        <v>583</v>
      </c>
      <c r="F310" s="4" t="s">
        <v>41</v>
      </c>
      <c r="G310" s="4" t="s">
        <v>42</v>
      </c>
      <c r="H310" s="4" t="s">
        <v>584</v>
      </c>
      <c r="I310" s="4" t="s">
        <v>585</v>
      </c>
      <c r="J310" s="4" t="s">
        <v>21</v>
      </c>
      <c r="K310" s="4" t="s">
        <v>645</v>
      </c>
      <c r="L310" s="4" t="s">
        <v>22</v>
      </c>
      <c r="M310" s="4" t="s">
        <v>23</v>
      </c>
      <c r="N310" s="4" t="s">
        <v>24</v>
      </c>
      <c r="O310" s="4" t="s">
        <v>25</v>
      </c>
      <c r="P310" s="4" t="s">
        <v>43</v>
      </c>
      <c r="Q310" s="4" t="s">
        <v>40</v>
      </c>
      <c r="R310" s="4" t="s">
        <v>28</v>
      </c>
      <c r="S310" s="4" t="s">
        <v>22</v>
      </c>
    </row>
    <row r="311" spans="1:19" ht="15" hidden="1">
      <c r="A311" s="2">
        <v>44391</v>
      </c>
      <c r="B311">
        <v>7</v>
      </c>
      <c r="C311">
        <v>2021</v>
      </c>
      <c r="D311" s="5">
        <v>3097.1599999999999</v>
      </c>
      <c r="E311" s="4" t="s">
        <v>659</v>
      </c>
      <c r="F311" s="4" t="s">
        <v>38</v>
      </c>
      <c r="G311" s="4" t="s">
        <v>39</v>
      </c>
      <c r="H311" s="4" t="s">
        <v>660</v>
      </c>
      <c r="I311" s="4" t="s">
        <v>661</v>
      </c>
      <c r="J311" s="4" t="s">
        <v>31</v>
      </c>
      <c r="K311" s="4" t="s">
        <v>662</v>
      </c>
      <c r="L311" s="4" t="s">
        <v>22</v>
      </c>
      <c r="M311" s="4" t="s">
        <v>23</v>
      </c>
      <c r="N311" s="4" t="s">
        <v>32</v>
      </c>
      <c r="O311" s="4" t="s">
        <v>28</v>
      </c>
      <c r="P311" s="4" t="s">
        <v>26</v>
      </c>
      <c r="Q311" s="4" t="s">
        <v>27</v>
      </c>
      <c r="R311" s="4" t="s">
        <v>28</v>
      </c>
      <c r="S311" s="4" t="s">
        <v>22</v>
      </c>
    </row>
    <row r="312" spans="1:19" ht="15" hidden="1">
      <c r="A312" s="2">
        <v>44391</v>
      </c>
      <c r="B312">
        <v>7</v>
      </c>
      <c r="C312">
        <v>2021</v>
      </c>
      <c r="D312" s="5">
        <v>757.67999999999995</v>
      </c>
      <c r="E312" s="4" t="s">
        <v>663</v>
      </c>
      <c r="F312" s="4" t="s">
        <v>29</v>
      </c>
      <c r="G312" s="4" t="s">
        <v>30</v>
      </c>
      <c r="H312" s="4" t="s">
        <v>664</v>
      </c>
      <c r="I312" s="4" t="s">
        <v>665</v>
      </c>
      <c r="J312" s="4" t="s">
        <v>21</v>
      </c>
      <c r="K312" s="4" t="s">
        <v>666</v>
      </c>
      <c r="L312" s="4" t="s">
        <v>22</v>
      </c>
      <c r="M312" s="4" t="s">
        <v>23</v>
      </c>
      <c r="N312" s="4" t="s">
        <v>24</v>
      </c>
      <c r="O312" s="4" t="s">
        <v>25</v>
      </c>
      <c r="P312" s="4" t="s">
        <v>26</v>
      </c>
      <c r="Q312" s="4" t="s">
        <v>27</v>
      </c>
      <c r="R312" s="4" t="s">
        <v>28</v>
      </c>
      <c r="S312" s="4" t="s">
        <v>22</v>
      </c>
    </row>
    <row r="313" spans="1:19" ht="15" hidden="1">
      <c r="A313" s="2">
        <v>44393</v>
      </c>
      <c r="B313">
        <v>7</v>
      </c>
      <c r="C313">
        <v>2021</v>
      </c>
      <c r="D313" s="7">
        <v>48.270000000000003</v>
      </c>
      <c r="E313" s="4" t="s">
        <v>667</v>
      </c>
      <c r="F313" s="4" t="s">
        <v>36</v>
      </c>
      <c r="G313" s="4" t="s">
        <v>37</v>
      </c>
      <c r="H313" s="4" t="s">
        <v>668</v>
      </c>
      <c r="I313" s="4" t="s">
        <v>669</v>
      </c>
      <c r="J313" s="4" t="s">
        <v>31</v>
      </c>
      <c r="K313" s="4" t="s">
        <v>670</v>
      </c>
      <c r="L313" s="4" t="s">
        <v>22</v>
      </c>
      <c r="M313" s="4" t="s">
        <v>23</v>
      </c>
      <c r="N313" s="4" t="s">
        <v>32</v>
      </c>
      <c r="O313" s="4" t="s">
        <v>28</v>
      </c>
      <c r="P313" s="4" t="s">
        <v>26</v>
      </c>
      <c r="Q313" s="4" t="s">
        <v>27</v>
      </c>
      <c r="R313" s="4" t="s">
        <v>28</v>
      </c>
      <c r="S313" s="4" t="s">
        <v>22</v>
      </c>
    </row>
    <row r="314" spans="1:19" ht="15" hidden="1">
      <c r="A314" s="2">
        <v>44400</v>
      </c>
      <c r="B314">
        <v>7</v>
      </c>
      <c r="C314">
        <v>2021</v>
      </c>
      <c r="D314" s="5">
        <v>60457.300000000003</v>
      </c>
      <c r="E314" s="4" t="s">
        <v>671</v>
      </c>
      <c r="F314" s="4" t="s">
        <v>38</v>
      </c>
      <c r="G314" s="4" t="s">
        <v>39</v>
      </c>
      <c r="H314" s="4" t="s">
        <v>672</v>
      </c>
      <c r="I314" s="4" t="s">
        <v>673</v>
      </c>
      <c r="J314" s="4" t="s">
        <v>21</v>
      </c>
      <c r="K314" s="4" t="s">
        <v>674</v>
      </c>
      <c r="L314" s="4" t="s">
        <v>22</v>
      </c>
      <c r="M314" s="4" t="s">
        <v>23</v>
      </c>
      <c r="N314" s="4" t="s">
        <v>24</v>
      </c>
      <c r="O314" s="4" t="s">
        <v>25</v>
      </c>
      <c r="P314" s="4" t="s">
        <v>26</v>
      </c>
      <c r="Q314" s="4" t="s">
        <v>40</v>
      </c>
      <c r="R314" s="4" t="s">
        <v>28</v>
      </c>
      <c r="S314" s="4" t="s">
        <v>22</v>
      </c>
    </row>
    <row r="315" spans="1:19" ht="15" hidden="1">
      <c r="A315" s="2">
        <v>44400</v>
      </c>
      <c r="B315">
        <v>7</v>
      </c>
      <c r="C315">
        <v>2021</v>
      </c>
      <c r="D315" s="5">
        <v>270452.08000000002</v>
      </c>
      <c r="E315" s="4" t="s">
        <v>671</v>
      </c>
      <c r="F315" s="4" t="s">
        <v>38</v>
      </c>
      <c r="G315" s="4" t="s">
        <v>39</v>
      </c>
      <c r="H315" s="4" t="s">
        <v>672</v>
      </c>
      <c r="I315" s="4" t="s">
        <v>673</v>
      </c>
      <c r="J315" s="4" t="s">
        <v>31</v>
      </c>
      <c r="K315" s="4" t="s">
        <v>675</v>
      </c>
      <c r="L315" s="4" t="s">
        <v>22</v>
      </c>
      <c r="M315" s="4" t="s">
        <v>23</v>
      </c>
      <c r="N315" s="4" t="s">
        <v>32</v>
      </c>
      <c r="O315" s="4" t="s">
        <v>28</v>
      </c>
      <c r="P315" s="4" t="s">
        <v>26</v>
      </c>
      <c r="Q315" s="4" t="s">
        <v>27</v>
      </c>
      <c r="R315" s="4" t="s">
        <v>28</v>
      </c>
      <c r="S315" s="4" t="s">
        <v>22</v>
      </c>
    </row>
    <row r="316" spans="1:19" ht="15" hidden="1">
      <c r="A316" s="2">
        <v>44405</v>
      </c>
      <c r="B316">
        <v>7</v>
      </c>
      <c r="C316">
        <v>2021</v>
      </c>
      <c r="D316" s="5">
        <v>28052.16</v>
      </c>
      <c r="E316" s="4" t="s">
        <v>676</v>
      </c>
      <c r="F316" s="4" t="s">
        <v>41</v>
      </c>
      <c r="G316" s="4" t="s">
        <v>42</v>
      </c>
      <c r="H316" s="4" t="s">
        <v>677</v>
      </c>
      <c r="I316" s="4" t="s">
        <v>678</v>
      </c>
      <c r="J316" s="4" t="s">
        <v>21</v>
      </c>
      <c r="K316" s="4" t="s">
        <v>679</v>
      </c>
      <c r="L316" s="4" t="s">
        <v>22</v>
      </c>
      <c r="M316" s="4" t="s">
        <v>23</v>
      </c>
      <c r="N316" s="4" t="s">
        <v>24</v>
      </c>
      <c r="O316" s="4" t="s">
        <v>25</v>
      </c>
      <c r="P316" s="4" t="s">
        <v>43</v>
      </c>
      <c r="Q316" s="4" t="s">
        <v>40</v>
      </c>
      <c r="R316" s="4" t="s">
        <v>28</v>
      </c>
      <c r="S316" s="4" t="s">
        <v>22</v>
      </c>
    </row>
    <row r="317" spans="1:19" ht="15" hidden="1">
      <c r="A317" s="2">
        <v>44405</v>
      </c>
      <c r="B317">
        <v>7</v>
      </c>
      <c r="C317">
        <v>2021</v>
      </c>
      <c r="D317" s="5">
        <v>58769.580000000002</v>
      </c>
      <c r="E317" s="4" t="s">
        <v>676</v>
      </c>
      <c r="F317" s="4" t="s">
        <v>41</v>
      </c>
      <c r="G317" s="4" t="s">
        <v>42</v>
      </c>
      <c r="H317" s="4" t="s">
        <v>677</v>
      </c>
      <c r="I317" s="4" t="s">
        <v>678</v>
      </c>
      <c r="J317" s="4" t="s">
        <v>31</v>
      </c>
      <c r="K317" s="4" t="s">
        <v>680</v>
      </c>
      <c r="L317" s="4" t="s">
        <v>22</v>
      </c>
      <c r="M317" s="4" t="s">
        <v>23</v>
      </c>
      <c r="N317" s="4" t="s">
        <v>32</v>
      </c>
      <c r="O317" s="4" t="s">
        <v>28</v>
      </c>
      <c r="P317" s="4" t="s">
        <v>43</v>
      </c>
      <c r="Q317" s="4" t="s">
        <v>27</v>
      </c>
      <c r="R317" s="4" t="s">
        <v>28</v>
      </c>
      <c r="S317" s="4" t="s">
        <v>22</v>
      </c>
    </row>
    <row r="318" spans="1:19" ht="15" hidden="1">
      <c r="A318" s="2">
        <v>44405</v>
      </c>
      <c r="B318">
        <v>7</v>
      </c>
      <c r="C318">
        <v>2021</v>
      </c>
      <c r="D318" s="7">
        <v>919.51999999999998</v>
      </c>
      <c r="E318" s="4" t="s">
        <v>681</v>
      </c>
      <c r="F318" s="4" t="s">
        <v>36</v>
      </c>
      <c r="G318" s="4" t="s">
        <v>37</v>
      </c>
      <c r="H318" s="4" t="s">
        <v>682</v>
      </c>
      <c r="I318" s="4" t="s">
        <v>683</v>
      </c>
      <c r="J318" s="4" t="s">
        <v>31</v>
      </c>
      <c r="K318" s="4" t="s">
        <v>680</v>
      </c>
      <c r="L318" s="4" t="s">
        <v>22</v>
      </c>
      <c r="M318" s="4" t="s">
        <v>23</v>
      </c>
      <c r="N318" s="4" t="s">
        <v>32</v>
      </c>
      <c r="O318" s="4" t="s">
        <v>28</v>
      </c>
      <c r="P318" s="4" t="s">
        <v>26</v>
      </c>
      <c r="Q318" s="4" t="s">
        <v>27</v>
      </c>
      <c r="R318" s="4" t="s">
        <v>28</v>
      </c>
      <c r="S318" s="4" t="s">
        <v>22</v>
      </c>
    </row>
    <row r="319" spans="1:19" ht="15" hidden="1">
      <c r="A319" s="2">
        <v>44407</v>
      </c>
      <c r="B319">
        <v>7</v>
      </c>
      <c r="C319">
        <v>2021</v>
      </c>
      <c r="D319" s="5">
        <v>11.84</v>
      </c>
      <c r="E319" s="4" t="s">
        <v>684</v>
      </c>
      <c r="F319" s="4" t="s">
        <v>38</v>
      </c>
      <c r="G319" s="4" t="s">
        <v>39</v>
      </c>
      <c r="H319" s="4" t="s">
        <v>685</v>
      </c>
      <c r="I319" s="4" t="s">
        <v>686</v>
      </c>
      <c r="J319" s="4" t="s">
        <v>21</v>
      </c>
      <c r="K319" s="4" t="s">
        <v>687</v>
      </c>
      <c r="L319" s="4" t="s">
        <v>22</v>
      </c>
      <c r="M319" s="4" t="s">
        <v>23</v>
      </c>
      <c r="N319" s="4" t="s">
        <v>24</v>
      </c>
      <c r="O319" s="4" t="s">
        <v>25</v>
      </c>
      <c r="P319" s="4" t="s">
        <v>26</v>
      </c>
      <c r="Q319" s="4" t="s">
        <v>40</v>
      </c>
      <c r="R319" s="4" t="s">
        <v>28</v>
      </c>
      <c r="S319" s="4" t="s">
        <v>22</v>
      </c>
    </row>
    <row r="320" spans="1:19" ht="15" hidden="1">
      <c r="A320" s="2">
        <v>44391</v>
      </c>
      <c r="B320">
        <v>7</v>
      </c>
      <c r="C320">
        <v>2021</v>
      </c>
      <c r="D320" s="5">
        <v>63831.080000000002</v>
      </c>
      <c r="E320" s="4" t="s">
        <v>688</v>
      </c>
      <c r="F320" s="4" t="s">
        <v>41</v>
      </c>
      <c r="G320" s="4" t="s">
        <v>42</v>
      </c>
      <c r="H320" s="4" t="s">
        <v>689</v>
      </c>
      <c r="I320" s="4" t="s">
        <v>690</v>
      </c>
      <c r="J320" s="4" t="s">
        <v>31</v>
      </c>
      <c r="K320" s="4" t="s">
        <v>662</v>
      </c>
      <c r="L320" s="4" t="s">
        <v>22</v>
      </c>
      <c r="M320" s="4" t="s">
        <v>23</v>
      </c>
      <c r="N320" s="4" t="s">
        <v>32</v>
      </c>
      <c r="O320" s="4" t="s">
        <v>28</v>
      </c>
      <c r="P320" s="4" t="s">
        <v>43</v>
      </c>
      <c r="Q320" s="4" t="s">
        <v>27</v>
      </c>
      <c r="R320" s="4" t="s">
        <v>28</v>
      </c>
      <c r="S320" s="4" t="s">
        <v>22</v>
      </c>
    </row>
    <row r="321" spans="1:19" ht="15" hidden="1">
      <c r="A321" s="2">
        <v>44391</v>
      </c>
      <c r="B321">
        <v>7</v>
      </c>
      <c r="C321">
        <v>2021</v>
      </c>
      <c r="D321" s="5">
        <v>173632.44</v>
      </c>
      <c r="E321" s="4" t="s">
        <v>691</v>
      </c>
      <c r="F321" s="4" t="s">
        <v>44</v>
      </c>
      <c r="G321" s="4" t="s">
        <v>45</v>
      </c>
      <c r="H321" s="4" t="s">
        <v>692</v>
      </c>
      <c r="I321" s="4" t="s">
        <v>693</v>
      </c>
      <c r="J321" s="4" t="s">
        <v>21</v>
      </c>
      <c r="K321" s="4" t="s">
        <v>666</v>
      </c>
      <c r="L321" s="4" t="s">
        <v>22</v>
      </c>
      <c r="M321" s="4" t="s">
        <v>23</v>
      </c>
      <c r="N321" s="4" t="s">
        <v>24</v>
      </c>
      <c r="O321" s="4" t="s">
        <v>25</v>
      </c>
      <c r="P321" s="4" t="s">
        <v>26</v>
      </c>
      <c r="Q321" s="4" t="s">
        <v>40</v>
      </c>
      <c r="R321" s="4" t="s">
        <v>28</v>
      </c>
      <c r="S321" s="4" t="s">
        <v>22</v>
      </c>
    </row>
    <row r="322" spans="1:19" ht="15" hidden="1">
      <c r="A322" s="2">
        <v>44391</v>
      </c>
      <c r="B322">
        <v>7</v>
      </c>
      <c r="C322">
        <v>2021</v>
      </c>
      <c r="D322" s="5">
        <v>25256.759999999998</v>
      </c>
      <c r="E322" s="4" t="s">
        <v>688</v>
      </c>
      <c r="F322" s="4" t="s">
        <v>41</v>
      </c>
      <c r="G322" s="4" t="s">
        <v>42</v>
      </c>
      <c r="H322" s="4" t="s">
        <v>689</v>
      </c>
      <c r="I322" s="4" t="s">
        <v>690</v>
      </c>
      <c r="J322" s="4" t="s">
        <v>21</v>
      </c>
      <c r="K322" s="4" t="s">
        <v>666</v>
      </c>
      <c r="L322" s="4" t="s">
        <v>22</v>
      </c>
      <c r="M322" s="4" t="s">
        <v>23</v>
      </c>
      <c r="N322" s="4" t="s">
        <v>24</v>
      </c>
      <c r="O322" s="4" t="s">
        <v>25</v>
      </c>
      <c r="P322" s="4" t="s">
        <v>43</v>
      </c>
      <c r="Q322" s="4" t="s">
        <v>40</v>
      </c>
      <c r="R322" s="4" t="s">
        <v>28</v>
      </c>
      <c r="S322" s="4" t="s">
        <v>22</v>
      </c>
    </row>
    <row r="323" spans="1:19" ht="15" hidden="1">
      <c r="A323" s="2">
        <v>44391</v>
      </c>
      <c r="B323">
        <v>7</v>
      </c>
      <c r="C323">
        <v>2021</v>
      </c>
      <c r="D323" s="7">
        <v>144.18000000000001</v>
      </c>
      <c r="E323" s="4" t="s">
        <v>694</v>
      </c>
      <c r="F323" s="4" t="s">
        <v>29</v>
      </c>
      <c r="G323" s="4" t="s">
        <v>30</v>
      </c>
      <c r="H323" s="4" t="s">
        <v>695</v>
      </c>
      <c r="I323" s="4" t="s">
        <v>696</v>
      </c>
      <c r="J323" s="4" t="s">
        <v>21</v>
      </c>
      <c r="K323" s="4" t="s">
        <v>666</v>
      </c>
      <c r="L323" s="4" t="s">
        <v>22</v>
      </c>
      <c r="M323" s="4" t="s">
        <v>23</v>
      </c>
      <c r="N323" s="4" t="s">
        <v>24</v>
      </c>
      <c r="O323" s="4" t="s">
        <v>25</v>
      </c>
      <c r="P323" s="4" t="s">
        <v>26</v>
      </c>
      <c r="Q323" s="4" t="s">
        <v>27</v>
      </c>
      <c r="R323" s="4" t="s">
        <v>28</v>
      </c>
      <c r="S323" s="4" t="s">
        <v>22</v>
      </c>
    </row>
    <row r="324" spans="1:19" ht="15" hidden="1">
      <c r="A324" s="2">
        <v>44400</v>
      </c>
      <c r="B324">
        <v>7</v>
      </c>
      <c r="C324">
        <v>2021</v>
      </c>
      <c r="D324" s="5">
        <v>791146.72999999998</v>
      </c>
      <c r="E324" s="4" t="s">
        <v>697</v>
      </c>
      <c r="F324" s="4" t="s">
        <v>44</v>
      </c>
      <c r="G324" s="4" t="s">
        <v>45</v>
      </c>
      <c r="H324" s="4" t="s">
        <v>698</v>
      </c>
      <c r="I324" s="4" t="s">
        <v>699</v>
      </c>
      <c r="J324" s="4" t="s">
        <v>31</v>
      </c>
      <c r="K324" s="4" t="s">
        <v>675</v>
      </c>
      <c r="L324" s="4" t="s">
        <v>22</v>
      </c>
      <c r="M324" s="4" t="s">
        <v>23</v>
      </c>
      <c r="N324" s="4" t="s">
        <v>32</v>
      </c>
      <c r="O324" s="4" t="s">
        <v>28</v>
      </c>
      <c r="P324" s="4" t="s">
        <v>26</v>
      </c>
      <c r="Q324" s="4" t="s">
        <v>27</v>
      </c>
      <c r="R324" s="4" t="s">
        <v>28</v>
      </c>
      <c r="S324" s="4" t="s">
        <v>22</v>
      </c>
    </row>
    <row r="325" spans="1:19" ht="15" hidden="1">
      <c r="A325" s="2">
        <v>44400</v>
      </c>
      <c r="B325">
        <v>7</v>
      </c>
      <c r="C325">
        <v>2021</v>
      </c>
      <c r="D325" s="5">
        <v>54934.099999999999</v>
      </c>
      <c r="E325" s="4" t="s">
        <v>700</v>
      </c>
      <c r="F325" s="4" t="s">
        <v>41</v>
      </c>
      <c r="G325" s="4" t="s">
        <v>42</v>
      </c>
      <c r="H325" s="4" t="s">
        <v>701</v>
      </c>
      <c r="I325" s="4" t="s">
        <v>702</v>
      </c>
      <c r="J325" s="4" t="s">
        <v>31</v>
      </c>
      <c r="K325" s="4" t="s">
        <v>675</v>
      </c>
      <c r="L325" s="4" t="s">
        <v>22</v>
      </c>
      <c r="M325" s="4" t="s">
        <v>23</v>
      </c>
      <c r="N325" s="4" t="s">
        <v>32</v>
      </c>
      <c r="O325" s="4" t="s">
        <v>28</v>
      </c>
      <c r="P325" s="4" t="s">
        <v>43</v>
      </c>
      <c r="Q325" s="4" t="s">
        <v>27</v>
      </c>
      <c r="R325" s="4" t="s">
        <v>28</v>
      </c>
      <c r="S325" s="4" t="s">
        <v>22</v>
      </c>
    </row>
    <row r="326" spans="1:19" ht="15" hidden="1">
      <c r="A326" s="2">
        <v>44405</v>
      </c>
      <c r="B326">
        <v>7</v>
      </c>
      <c r="C326">
        <v>2021</v>
      </c>
      <c r="D326" s="7">
        <v>5179.2399999999998</v>
      </c>
      <c r="E326" s="4" t="s">
        <v>703</v>
      </c>
      <c r="F326" s="4" t="s">
        <v>29</v>
      </c>
      <c r="G326" s="4" t="s">
        <v>30</v>
      </c>
      <c r="H326" s="4" t="s">
        <v>704</v>
      </c>
      <c r="I326" s="4" t="s">
        <v>705</v>
      </c>
      <c r="J326" s="4" t="s">
        <v>31</v>
      </c>
      <c r="K326" s="4" t="s">
        <v>680</v>
      </c>
      <c r="L326" s="4" t="s">
        <v>22</v>
      </c>
      <c r="M326" s="4" t="s">
        <v>23</v>
      </c>
      <c r="N326" s="4" t="s">
        <v>32</v>
      </c>
      <c r="O326" s="4" t="s">
        <v>28</v>
      </c>
      <c r="P326" s="4" t="s">
        <v>26</v>
      </c>
      <c r="Q326" s="4" t="s">
        <v>27</v>
      </c>
      <c r="R326" s="4" t="s">
        <v>28</v>
      </c>
      <c r="S326" s="4" t="s">
        <v>22</v>
      </c>
    </row>
    <row r="327" spans="1:19" ht="15" hidden="1">
      <c r="A327" s="2">
        <v>44391</v>
      </c>
      <c r="B327">
        <v>7</v>
      </c>
      <c r="C327">
        <v>2021</v>
      </c>
      <c r="D327" s="5">
        <v>19006.84</v>
      </c>
      <c r="E327" s="4" t="s">
        <v>706</v>
      </c>
      <c r="F327" s="4" t="s">
        <v>41</v>
      </c>
      <c r="G327" s="4" t="s">
        <v>42</v>
      </c>
      <c r="H327" s="4" t="s">
        <v>707</v>
      </c>
      <c r="I327" s="4" t="s">
        <v>708</v>
      </c>
      <c r="J327" s="4" t="s">
        <v>21</v>
      </c>
      <c r="K327" s="4" t="s">
        <v>666</v>
      </c>
      <c r="L327" s="4" t="s">
        <v>22</v>
      </c>
      <c r="M327" s="4" t="s">
        <v>23</v>
      </c>
      <c r="N327" s="4" t="s">
        <v>24</v>
      </c>
      <c r="O327" s="4" t="s">
        <v>25</v>
      </c>
      <c r="P327" s="4" t="s">
        <v>43</v>
      </c>
      <c r="Q327" s="4" t="s">
        <v>40</v>
      </c>
      <c r="R327" s="4" t="s">
        <v>28</v>
      </c>
      <c r="S327" s="4" t="s">
        <v>22</v>
      </c>
    </row>
    <row r="328" spans="1:19" ht="15" hidden="1">
      <c r="A328" s="2">
        <v>44393</v>
      </c>
      <c r="B328">
        <v>7</v>
      </c>
      <c r="C328">
        <v>2021</v>
      </c>
      <c r="D328" s="7">
        <v>23.82</v>
      </c>
      <c r="E328" s="4" t="s">
        <v>667</v>
      </c>
      <c r="F328" s="4" t="s">
        <v>36</v>
      </c>
      <c r="G328" s="4" t="s">
        <v>37</v>
      </c>
      <c r="H328" s="4" t="s">
        <v>668</v>
      </c>
      <c r="I328" s="4" t="s">
        <v>669</v>
      </c>
      <c r="J328" s="4" t="s">
        <v>21</v>
      </c>
      <c r="K328" s="4" t="s">
        <v>709</v>
      </c>
      <c r="L328" s="4" t="s">
        <v>22</v>
      </c>
      <c r="M328" s="4" t="s">
        <v>23</v>
      </c>
      <c r="N328" s="4" t="s">
        <v>24</v>
      </c>
      <c r="O328" s="4" t="s">
        <v>25</v>
      </c>
      <c r="P328" s="4" t="s">
        <v>26</v>
      </c>
      <c r="Q328" s="4" t="s">
        <v>40</v>
      </c>
      <c r="R328" s="4" t="s">
        <v>28</v>
      </c>
      <c r="S328" s="4" t="s">
        <v>22</v>
      </c>
    </row>
    <row r="329" spans="1:19" ht="15" hidden="1">
      <c r="A329" s="2">
        <v>44391</v>
      </c>
      <c r="B329">
        <v>7</v>
      </c>
      <c r="C329">
        <v>2021</v>
      </c>
      <c r="D329" s="7">
        <v>259.13</v>
      </c>
      <c r="E329" s="4" t="s">
        <v>710</v>
      </c>
      <c r="F329" s="4" t="s">
        <v>36</v>
      </c>
      <c r="G329" s="4" t="s">
        <v>37</v>
      </c>
      <c r="H329" s="4" t="s">
        <v>711</v>
      </c>
      <c r="I329" s="4" t="s">
        <v>712</v>
      </c>
      <c r="J329" s="4" t="s">
        <v>31</v>
      </c>
      <c r="K329" s="4" t="s">
        <v>662</v>
      </c>
      <c r="L329" s="4" t="s">
        <v>22</v>
      </c>
      <c r="M329" s="4" t="s">
        <v>23</v>
      </c>
      <c r="N329" s="4" t="s">
        <v>32</v>
      </c>
      <c r="O329" s="4" t="s">
        <v>28</v>
      </c>
      <c r="P329" s="4" t="s">
        <v>26</v>
      </c>
      <c r="Q329" s="4" t="s">
        <v>27</v>
      </c>
      <c r="R329" s="4" t="s">
        <v>28</v>
      </c>
      <c r="S329" s="4" t="s">
        <v>22</v>
      </c>
    </row>
    <row r="330" spans="1:19" ht="15" hidden="1">
      <c r="A330" s="2">
        <v>44391</v>
      </c>
      <c r="B330">
        <v>7</v>
      </c>
      <c r="C330">
        <v>2021</v>
      </c>
      <c r="D330" s="5">
        <v>49.979999999999997</v>
      </c>
      <c r="E330" s="4" t="s">
        <v>659</v>
      </c>
      <c r="F330" s="4" t="s">
        <v>38</v>
      </c>
      <c r="G330" s="4" t="s">
        <v>39</v>
      </c>
      <c r="H330" s="4" t="s">
        <v>660</v>
      </c>
      <c r="I330" s="4" t="s">
        <v>661</v>
      </c>
      <c r="J330" s="4" t="s">
        <v>21</v>
      </c>
      <c r="K330" s="4" t="s">
        <v>666</v>
      </c>
      <c r="L330" s="4" t="s">
        <v>22</v>
      </c>
      <c r="M330" s="4" t="s">
        <v>23</v>
      </c>
      <c r="N330" s="4" t="s">
        <v>24</v>
      </c>
      <c r="O330" s="4" t="s">
        <v>25</v>
      </c>
      <c r="P330" s="4" t="s">
        <v>26</v>
      </c>
      <c r="Q330" s="4" t="s">
        <v>40</v>
      </c>
      <c r="R330" s="4" t="s">
        <v>28</v>
      </c>
      <c r="S330" s="4" t="s">
        <v>22</v>
      </c>
    </row>
    <row r="331" spans="1:19" ht="15" hidden="1">
      <c r="A331" s="2">
        <v>44391</v>
      </c>
      <c r="B331">
        <v>7</v>
      </c>
      <c r="C331">
        <v>2021</v>
      </c>
      <c r="D331" s="5">
        <v>209429.06</v>
      </c>
      <c r="E331" s="4" t="s">
        <v>713</v>
      </c>
      <c r="F331" s="4" t="s">
        <v>38</v>
      </c>
      <c r="G331" s="4" t="s">
        <v>39</v>
      </c>
      <c r="H331" s="4" t="s">
        <v>714</v>
      </c>
      <c r="I331" s="4" t="s">
        <v>715</v>
      </c>
      <c r="J331" s="4" t="s">
        <v>31</v>
      </c>
      <c r="K331" s="4" t="s">
        <v>662</v>
      </c>
      <c r="L331" s="4" t="s">
        <v>22</v>
      </c>
      <c r="M331" s="4" t="s">
        <v>23</v>
      </c>
      <c r="N331" s="4" t="s">
        <v>32</v>
      </c>
      <c r="O331" s="4" t="s">
        <v>28</v>
      </c>
      <c r="P331" s="4" t="s">
        <v>26</v>
      </c>
      <c r="Q331" s="4" t="s">
        <v>27</v>
      </c>
      <c r="R331" s="4" t="s">
        <v>28</v>
      </c>
      <c r="S331" s="4" t="s">
        <v>22</v>
      </c>
    </row>
    <row r="332" spans="1:19" ht="15" hidden="1">
      <c r="A332" s="2">
        <v>44400</v>
      </c>
      <c r="B332">
        <v>7</v>
      </c>
      <c r="C332">
        <v>2021</v>
      </c>
      <c r="D332" s="7">
        <v>340.85000000000002</v>
      </c>
      <c r="E332" s="4" t="s">
        <v>716</v>
      </c>
      <c r="F332" s="4" t="s">
        <v>29</v>
      </c>
      <c r="G332" s="4" t="s">
        <v>30</v>
      </c>
      <c r="H332" s="4" t="s">
        <v>717</v>
      </c>
      <c r="I332" s="4" t="s">
        <v>718</v>
      </c>
      <c r="J332" s="4" t="s">
        <v>21</v>
      </c>
      <c r="K332" s="4" t="s">
        <v>674</v>
      </c>
      <c r="L332" s="4" t="s">
        <v>22</v>
      </c>
      <c r="M332" s="4" t="s">
        <v>23</v>
      </c>
      <c r="N332" s="4" t="s">
        <v>24</v>
      </c>
      <c r="O332" s="4" t="s">
        <v>25</v>
      </c>
      <c r="P332" s="4" t="s">
        <v>26</v>
      </c>
      <c r="Q332" s="4" t="s">
        <v>27</v>
      </c>
      <c r="R332" s="4" t="s">
        <v>28</v>
      </c>
      <c r="S332" s="4" t="s">
        <v>22</v>
      </c>
    </row>
    <row r="333" spans="1:19" ht="15" hidden="1">
      <c r="A333" s="2">
        <v>44405</v>
      </c>
      <c r="B333">
        <v>7</v>
      </c>
      <c r="C333">
        <v>2021</v>
      </c>
      <c r="D333" s="5">
        <v>36540.949999999997</v>
      </c>
      <c r="E333" s="4" t="s">
        <v>719</v>
      </c>
      <c r="F333" s="4" t="s">
        <v>38</v>
      </c>
      <c r="G333" s="4" t="s">
        <v>39</v>
      </c>
      <c r="H333" s="4" t="s">
        <v>720</v>
      </c>
      <c r="I333" s="4" t="s">
        <v>721</v>
      </c>
      <c r="J333" s="4" t="s">
        <v>21</v>
      </c>
      <c r="K333" s="4" t="s">
        <v>679</v>
      </c>
      <c r="L333" s="4" t="s">
        <v>22</v>
      </c>
      <c r="M333" s="4" t="s">
        <v>23</v>
      </c>
      <c r="N333" s="4" t="s">
        <v>24</v>
      </c>
      <c r="O333" s="4" t="s">
        <v>25</v>
      </c>
      <c r="P333" s="4" t="s">
        <v>26</v>
      </c>
      <c r="Q333" s="4" t="s">
        <v>40</v>
      </c>
      <c r="R333" s="4" t="s">
        <v>28</v>
      </c>
      <c r="S333" s="4" t="s">
        <v>22</v>
      </c>
    </row>
    <row r="334" spans="1:19" ht="15" hidden="1">
      <c r="A334" s="2">
        <v>44391</v>
      </c>
      <c r="B334">
        <v>7</v>
      </c>
      <c r="C334">
        <v>2021</v>
      </c>
      <c r="D334" s="5">
        <v>188630.82000000001</v>
      </c>
      <c r="E334" s="4" t="s">
        <v>722</v>
      </c>
      <c r="F334" s="4" t="s">
        <v>44</v>
      </c>
      <c r="G334" s="4" t="s">
        <v>45</v>
      </c>
      <c r="H334" s="4" t="s">
        <v>723</v>
      </c>
      <c r="I334" s="4" t="s">
        <v>724</v>
      </c>
      <c r="J334" s="4" t="s">
        <v>21</v>
      </c>
      <c r="K334" s="4" t="s">
        <v>666</v>
      </c>
      <c r="L334" s="4" t="s">
        <v>22</v>
      </c>
      <c r="M334" s="4" t="s">
        <v>23</v>
      </c>
      <c r="N334" s="4" t="s">
        <v>24</v>
      </c>
      <c r="O334" s="4" t="s">
        <v>25</v>
      </c>
      <c r="P334" s="4" t="s">
        <v>26</v>
      </c>
      <c r="Q334" s="4" t="s">
        <v>40</v>
      </c>
      <c r="R334" s="4" t="s">
        <v>28</v>
      </c>
      <c r="S334" s="4" t="s">
        <v>22</v>
      </c>
    </row>
    <row r="335" spans="1:19" ht="15" hidden="1">
      <c r="A335" s="2">
        <v>44391</v>
      </c>
      <c r="B335">
        <v>7</v>
      </c>
      <c r="C335">
        <v>2021</v>
      </c>
      <c r="D335" s="5">
        <v>31513.200000000001</v>
      </c>
      <c r="E335" s="4" t="s">
        <v>725</v>
      </c>
      <c r="F335" s="4" t="s">
        <v>38</v>
      </c>
      <c r="G335" s="4" t="s">
        <v>39</v>
      </c>
      <c r="H335" s="4" t="s">
        <v>726</v>
      </c>
      <c r="I335" s="4" t="s">
        <v>727</v>
      </c>
      <c r="J335" s="4" t="s">
        <v>21</v>
      </c>
      <c r="K335" s="4" t="s">
        <v>666</v>
      </c>
      <c r="L335" s="4" t="s">
        <v>22</v>
      </c>
      <c r="M335" s="4" t="s">
        <v>23</v>
      </c>
      <c r="N335" s="4" t="s">
        <v>24</v>
      </c>
      <c r="O335" s="4" t="s">
        <v>25</v>
      </c>
      <c r="P335" s="4" t="s">
        <v>26</v>
      </c>
      <c r="Q335" s="4" t="s">
        <v>40</v>
      </c>
      <c r="R335" s="4" t="s">
        <v>28</v>
      </c>
      <c r="S335" s="4" t="s">
        <v>22</v>
      </c>
    </row>
    <row r="336" spans="1:19" ht="15" hidden="1">
      <c r="A336" s="2">
        <v>44391</v>
      </c>
      <c r="B336">
        <v>7</v>
      </c>
      <c r="C336">
        <v>2021</v>
      </c>
      <c r="D336" s="5">
        <v>65755.990000000005</v>
      </c>
      <c r="E336" s="4" t="s">
        <v>706</v>
      </c>
      <c r="F336" s="4" t="s">
        <v>41</v>
      </c>
      <c r="G336" s="4" t="s">
        <v>42</v>
      </c>
      <c r="H336" s="4" t="s">
        <v>707</v>
      </c>
      <c r="I336" s="4" t="s">
        <v>708</v>
      </c>
      <c r="J336" s="4" t="s">
        <v>31</v>
      </c>
      <c r="K336" s="4" t="s">
        <v>662</v>
      </c>
      <c r="L336" s="4" t="s">
        <v>22</v>
      </c>
      <c r="M336" s="4" t="s">
        <v>23</v>
      </c>
      <c r="N336" s="4" t="s">
        <v>32</v>
      </c>
      <c r="O336" s="4" t="s">
        <v>28</v>
      </c>
      <c r="P336" s="4" t="s">
        <v>43</v>
      </c>
      <c r="Q336" s="4" t="s">
        <v>27</v>
      </c>
      <c r="R336" s="4" t="s">
        <v>28</v>
      </c>
      <c r="S336" s="4" t="s">
        <v>22</v>
      </c>
    </row>
    <row r="337" spans="1:19" ht="15" hidden="1">
      <c r="A337" s="2">
        <v>44393</v>
      </c>
      <c r="B337">
        <v>7</v>
      </c>
      <c r="C337">
        <v>2021</v>
      </c>
      <c r="D337" s="5">
        <v>834.48000000000002</v>
      </c>
      <c r="E337" s="4" t="s">
        <v>728</v>
      </c>
      <c r="F337" s="4" t="s">
        <v>38</v>
      </c>
      <c r="G337" s="4" t="s">
        <v>39</v>
      </c>
      <c r="H337" s="4" t="s">
        <v>729</v>
      </c>
      <c r="I337" s="4" t="s">
        <v>730</v>
      </c>
      <c r="J337" s="4" t="s">
        <v>31</v>
      </c>
      <c r="K337" s="4" t="s">
        <v>670</v>
      </c>
      <c r="L337" s="4" t="s">
        <v>22</v>
      </c>
      <c r="M337" s="4" t="s">
        <v>23</v>
      </c>
      <c r="N337" s="4" t="s">
        <v>32</v>
      </c>
      <c r="O337" s="4" t="s">
        <v>28</v>
      </c>
      <c r="P337" s="4" t="s">
        <v>26</v>
      </c>
      <c r="Q337" s="4" t="s">
        <v>27</v>
      </c>
      <c r="R337" s="4" t="s">
        <v>28</v>
      </c>
      <c r="S337" s="4" t="s">
        <v>22</v>
      </c>
    </row>
    <row r="338" spans="1:19" ht="15" hidden="1">
      <c r="A338" s="2">
        <v>44400</v>
      </c>
      <c r="B338">
        <v>7</v>
      </c>
      <c r="C338">
        <v>2021</v>
      </c>
      <c r="D338" s="5">
        <v>265030.28000000003</v>
      </c>
      <c r="E338" s="4" t="s">
        <v>697</v>
      </c>
      <c r="F338" s="4" t="s">
        <v>44</v>
      </c>
      <c r="G338" s="4" t="s">
        <v>45</v>
      </c>
      <c r="H338" s="4" t="s">
        <v>698</v>
      </c>
      <c r="I338" s="4" t="s">
        <v>699</v>
      </c>
      <c r="J338" s="4" t="s">
        <v>21</v>
      </c>
      <c r="K338" s="4" t="s">
        <v>674</v>
      </c>
      <c r="L338" s="4" t="s">
        <v>22</v>
      </c>
      <c r="M338" s="4" t="s">
        <v>23</v>
      </c>
      <c r="N338" s="4" t="s">
        <v>24</v>
      </c>
      <c r="O338" s="4" t="s">
        <v>25</v>
      </c>
      <c r="P338" s="4" t="s">
        <v>26</v>
      </c>
      <c r="Q338" s="4" t="s">
        <v>40</v>
      </c>
      <c r="R338" s="4" t="s">
        <v>28</v>
      </c>
      <c r="S338" s="4" t="s">
        <v>22</v>
      </c>
    </row>
    <row r="339" spans="1:19" ht="15" hidden="1">
      <c r="A339" s="2">
        <v>44400</v>
      </c>
      <c r="B339">
        <v>7</v>
      </c>
      <c r="C339">
        <v>2021</v>
      </c>
      <c r="D339" s="5">
        <v>20520.349999999999</v>
      </c>
      <c r="E339" s="4" t="s">
        <v>700</v>
      </c>
      <c r="F339" s="4" t="s">
        <v>41</v>
      </c>
      <c r="G339" s="4" t="s">
        <v>42</v>
      </c>
      <c r="H339" s="4" t="s">
        <v>701</v>
      </c>
      <c r="I339" s="4" t="s">
        <v>702</v>
      </c>
      <c r="J339" s="4" t="s">
        <v>21</v>
      </c>
      <c r="K339" s="4" t="s">
        <v>674</v>
      </c>
      <c r="L339" s="4" t="s">
        <v>22</v>
      </c>
      <c r="M339" s="4" t="s">
        <v>23</v>
      </c>
      <c r="N339" s="4" t="s">
        <v>24</v>
      </c>
      <c r="O339" s="4" t="s">
        <v>25</v>
      </c>
      <c r="P339" s="4" t="s">
        <v>43</v>
      </c>
      <c r="Q339" s="4" t="s">
        <v>40</v>
      </c>
      <c r="R339" s="4" t="s">
        <v>28</v>
      </c>
      <c r="S339" s="4" t="s">
        <v>22</v>
      </c>
    </row>
    <row r="340" spans="1:19" ht="15" hidden="1">
      <c r="A340" s="2">
        <v>44405</v>
      </c>
      <c r="B340">
        <v>7</v>
      </c>
      <c r="C340">
        <v>2021</v>
      </c>
      <c r="D340" s="7">
        <v>988.05999999999995</v>
      </c>
      <c r="E340" s="4" t="s">
        <v>681</v>
      </c>
      <c r="F340" s="4" t="s">
        <v>36</v>
      </c>
      <c r="G340" s="4" t="s">
        <v>37</v>
      </c>
      <c r="H340" s="4" t="s">
        <v>682</v>
      </c>
      <c r="I340" s="4" t="s">
        <v>683</v>
      </c>
      <c r="J340" s="4" t="s">
        <v>21</v>
      </c>
      <c r="K340" s="4" t="s">
        <v>679</v>
      </c>
      <c r="L340" s="4" t="s">
        <v>22</v>
      </c>
      <c r="M340" s="4" t="s">
        <v>23</v>
      </c>
      <c r="N340" s="4" t="s">
        <v>24</v>
      </c>
      <c r="O340" s="4" t="s">
        <v>25</v>
      </c>
      <c r="P340" s="4" t="s">
        <v>26</v>
      </c>
      <c r="Q340" s="4" t="s">
        <v>40</v>
      </c>
      <c r="R340" s="4" t="s">
        <v>28</v>
      </c>
      <c r="S340" s="4" t="s">
        <v>22</v>
      </c>
    </row>
    <row r="341" spans="1:19" ht="15" hidden="1">
      <c r="A341" s="2">
        <v>44405</v>
      </c>
      <c r="B341">
        <v>7</v>
      </c>
      <c r="C341">
        <v>2021</v>
      </c>
      <c r="D341" s="5">
        <v>279654.65999999997</v>
      </c>
      <c r="E341" s="4" t="s">
        <v>719</v>
      </c>
      <c r="F341" s="4" t="s">
        <v>38</v>
      </c>
      <c r="G341" s="4" t="s">
        <v>39</v>
      </c>
      <c r="H341" s="4" t="s">
        <v>720</v>
      </c>
      <c r="I341" s="4" t="s">
        <v>721</v>
      </c>
      <c r="J341" s="4" t="s">
        <v>31</v>
      </c>
      <c r="K341" s="4" t="s">
        <v>680</v>
      </c>
      <c r="L341" s="4" t="s">
        <v>22</v>
      </c>
      <c r="M341" s="4" t="s">
        <v>23</v>
      </c>
      <c r="N341" s="4" t="s">
        <v>32</v>
      </c>
      <c r="O341" s="4" t="s">
        <v>28</v>
      </c>
      <c r="P341" s="4" t="s">
        <v>26</v>
      </c>
      <c r="Q341" s="4" t="s">
        <v>27</v>
      </c>
      <c r="R341" s="4" t="s">
        <v>28</v>
      </c>
      <c r="S341" s="4" t="s">
        <v>22</v>
      </c>
    </row>
    <row r="342" spans="1:19" ht="15" hidden="1">
      <c r="A342" s="2">
        <v>44407</v>
      </c>
      <c r="B342">
        <v>7</v>
      </c>
      <c r="C342">
        <v>2021</v>
      </c>
      <c r="D342" s="5">
        <v>553.87</v>
      </c>
      <c r="E342" s="4" t="s">
        <v>684</v>
      </c>
      <c r="F342" s="4" t="s">
        <v>38</v>
      </c>
      <c r="G342" s="4" t="s">
        <v>39</v>
      </c>
      <c r="H342" s="4" t="s">
        <v>685</v>
      </c>
      <c r="I342" s="4" t="s">
        <v>686</v>
      </c>
      <c r="J342" s="4" t="s">
        <v>31</v>
      </c>
      <c r="K342" s="4" t="s">
        <v>731</v>
      </c>
      <c r="L342" s="4" t="s">
        <v>22</v>
      </c>
      <c r="M342" s="4" t="s">
        <v>23</v>
      </c>
      <c r="N342" s="4" t="s">
        <v>32</v>
      </c>
      <c r="O342" s="4" t="s">
        <v>28</v>
      </c>
      <c r="P342" s="4" t="s">
        <v>26</v>
      </c>
      <c r="Q342" s="4" t="s">
        <v>27</v>
      </c>
      <c r="R342" s="4" t="s">
        <v>28</v>
      </c>
      <c r="S342" s="4" t="s">
        <v>22</v>
      </c>
    </row>
    <row r="343" spans="1:19" ht="15" hidden="1">
      <c r="A343" s="2">
        <v>44391</v>
      </c>
      <c r="B343">
        <v>7</v>
      </c>
      <c r="C343">
        <v>2021</v>
      </c>
      <c r="D343" s="7">
        <v>1541.1500000000001</v>
      </c>
      <c r="E343" s="4" t="s">
        <v>710</v>
      </c>
      <c r="F343" s="4" t="s">
        <v>36</v>
      </c>
      <c r="G343" s="4" t="s">
        <v>37</v>
      </c>
      <c r="H343" s="4" t="s">
        <v>711</v>
      </c>
      <c r="I343" s="4" t="s">
        <v>712</v>
      </c>
      <c r="J343" s="4" t="s">
        <v>21</v>
      </c>
      <c r="K343" s="4" t="s">
        <v>666</v>
      </c>
      <c r="L343" s="4" t="s">
        <v>22</v>
      </c>
      <c r="M343" s="4" t="s">
        <v>23</v>
      </c>
      <c r="N343" s="4" t="s">
        <v>24</v>
      </c>
      <c r="O343" s="4" t="s">
        <v>25</v>
      </c>
      <c r="P343" s="4" t="s">
        <v>26</v>
      </c>
      <c r="Q343" s="4" t="s">
        <v>40</v>
      </c>
      <c r="R343" s="4" t="s">
        <v>28</v>
      </c>
      <c r="S343" s="4" t="s">
        <v>22</v>
      </c>
    </row>
    <row r="344" spans="1:19" ht="15" hidden="1">
      <c r="A344" s="2">
        <v>44391</v>
      </c>
      <c r="B344">
        <v>7</v>
      </c>
      <c r="C344">
        <v>2021</v>
      </c>
      <c r="D344" s="5">
        <v>552504.41000000003</v>
      </c>
      <c r="E344" s="4" t="s">
        <v>691</v>
      </c>
      <c r="F344" s="4" t="s">
        <v>44</v>
      </c>
      <c r="G344" s="4" t="s">
        <v>45</v>
      </c>
      <c r="H344" s="4" t="s">
        <v>692</v>
      </c>
      <c r="I344" s="4" t="s">
        <v>693</v>
      </c>
      <c r="J344" s="4" t="s">
        <v>31</v>
      </c>
      <c r="K344" s="4" t="s">
        <v>662</v>
      </c>
      <c r="L344" s="4" t="s">
        <v>22</v>
      </c>
      <c r="M344" s="4" t="s">
        <v>23</v>
      </c>
      <c r="N344" s="4" t="s">
        <v>32</v>
      </c>
      <c r="O344" s="4" t="s">
        <v>28</v>
      </c>
      <c r="P344" s="4" t="s">
        <v>26</v>
      </c>
      <c r="Q344" s="4" t="s">
        <v>27</v>
      </c>
      <c r="R344" s="4" t="s">
        <v>28</v>
      </c>
      <c r="S344" s="4" t="s">
        <v>22</v>
      </c>
    </row>
    <row r="345" spans="1:19" ht="15" hidden="1">
      <c r="A345" s="2">
        <v>44391</v>
      </c>
      <c r="B345">
        <v>7</v>
      </c>
      <c r="C345">
        <v>2021</v>
      </c>
      <c r="D345" s="5">
        <v>683717.66000000003</v>
      </c>
      <c r="E345" s="4" t="s">
        <v>722</v>
      </c>
      <c r="F345" s="4" t="s">
        <v>44</v>
      </c>
      <c r="G345" s="4" t="s">
        <v>45</v>
      </c>
      <c r="H345" s="4" t="s">
        <v>723</v>
      </c>
      <c r="I345" s="4" t="s">
        <v>724</v>
      </c>
      <c r="J345" s="4" t="s">
        <v>31</v>
      </c>
      <c r="K345" s="4" t="s">
        <v>662</v>
      </c>
      <c r="L345" s="4" t="s">
        <v>22</v>
      </c>
      <c r="M345" s="4" t="s">
        <v>23</v>
      </c>
      <c r="N345" s="4" t="s">
        <v>32</v>
      </c>
      <c r="O345" s="4" t="s">
        <v>28</v>
      </c>
      <c r="P345" s="4" t="s">
        <v>26</v>
      </c>
      <c r="Q345" s="4" t="s">
        <v>27</v>
      </c>
      <c r="R345" s="4" t="s">
        <v>28</v>
      </c>
      <c r="S345" s="4" t="s">
        <v>22</v>
      </c>
    </row>
    <row r="346" spans="1:19" ht="15" hidden="1">
      <c r="A346" s="2">
        <v>44400</v>
      </c>
      <c r="B346">
        <v>7</v>
      </c>
      <c r="C346">
        <v>2021</v>
      </c>
      <c r="D346" s="5">
        <v>3900</v>
      </c>
      <c r="E346" s="4" t="s">
        <v>732</v>
      </c>
      <c r="F346" s="4" t="s">
        <v>48</v>
      </c>
      <c r="G346" s="4" t="s">
        <v>256</v>
      </c>
      <c r="H346" s="4" t="s">
        <v>733</v>
      </c>
      <c r="I346" s="4" t="s">
        <v>734</v>
      </c>
      <c r="J346" s="4" t="s">
        <v>31</v>
      </c>
      <c r="K346" s="4" t="s">
        <v>675</v>
      </c>
      <c r="L346" s="4" t="s">
        <v>22</v>
      </c>
      <c r="M346" s="4" t="s">
        <v>23</v>
      </c>
      <c r="N346" s="4" t="s">
        <v>32</v>
      </c>
      <c r="O346" s="4" t="s">
        <v>28</v>
      </c>
      <c r="P346" s="4" t="s">
        <v>49</v>
      </c>
      <c r="Q346" s="4" t="s">
        <v>50</v>
      </c>
      <c r="R346" s="4" t="s">
        <v>28</v>
      </c>
      <c r="S346" s="4" t="s">
        <v>22</v>
      </c>
    </row>
    <row r="347" spans="1:19" ht="15" hidden="1">
      <c r="A347" s="2">
        <v>44405</v>
      </c>
      <c r="B347">
        <v>7</v>
      </c>
      <c r="C347">
        <v>2021</v>
      </c>
      <c r="D347" s="5">
        <v>175.50999999999999</v>
      </c>
      <c r="E347" s="4" t="s">
        <v>735</v>
      </c>
      <c r="F347" s="4" t="s">
        <v>38</v>
      </c>
      <c r="G347" s="4" t="s">
        <v>39</v>
      </c>
      <c r="H347" s="4" t="s">
        <v>736</v>
      </c>
      <c r="I347" s="4" t="s">
        <v>737</v>
      </c>
      <c r="J347" s="4" t="s">
        <v>21</v>
      </c>
      <c r="K347" s="4" t="s">
        <v>679</v>
      </c>
      <c r="L347" s="4" t="s">
        <v>22</v>
      </c>
      <c r="M347" s="4" t="s">
        <v>23</v>
      </c>
      <c r="N347" s="4" t="s">
        <v>24</v>
      </c>
      <c r="O347" s="4" t="s">
        <v>25</v>
      </c>
      <c r="P347" s="4" t="s">
        <v>26</v>
      </c>
      <c r="Q347" s="4" t="s">
        <v>40</v>
      </c>
      <c r="R347" s="4" t="s">
        <v>28</v>
      </c>
      <c r="S347" s="4" t="s">
        <v>22</v>
      </c>
    </row>
    <row r="348" spans="1:19" ht="15" hidden="1">
      <c r="A348" s="2">
        <v>44405</v>
      </c>
      <c r="B348">
        <v>7</v>
      </c>
      <c r="C348">
        <v>2021</v>
      </c>
      <c r="D348" s="5">
        <v>68.480000000000004</v>
      </c>
      <c r="E348" s="4" t="s">
        <v>703</v>
      </c>
      <c r="F348" s="4" t="s">
        <v>29</v>
      </c>
      <c r="G348" s="4" t="s">
        <v>30</v>
      </c>
      <c r="H348" s="4" t="s">
        <v>704</v>
      </c>
      <c r="I348" s="4" t="s">
        <v>705</v>
      </c>
      <c r="J348" s="4" t="s">
        <v>21</v>
      </c>
      <c r="K348" s="4" t="s">
        <v>679</v>
      </c>
      <c r="L348" s="4" t="s">
        <v>22</v>
      </c>
      <c r="M348" s="4" t="s">
        <v>23</v>
      </c>
      <c r="N348" s="4" t="s">
        <v>24</v>
      </c>
      <c r="O348" s="4" t="s">
        <v>25</v>
      </c>
      <c r="P348" s="4" t="s">
        <v>26</v>
      </c>
      <c r="Q348" s="4" t="s">
        <v>27</v>
      </c>
      <c r="R348" s="4" t="s">
        <v>28</v>
      </c>
      <c r="S348" s="4" t="s">
        <v>22</v>
      </c>
    </row>
    <row r="349" spans="1:19" ht="15" hidden="1">
      <c r="A349" s="2">
        <v>44405</v>
      </c>
      <c r="B349">
        <v>7</v>
      </c>
      <c r="C349">
        <v>2021</v>
      </c>
      <c r="D349" s="5">
        <v>517426.42999999999</v>
      </c>
      <c r="E349" s="4" t="s">
        <v>738</v>
      </c>
      <c r="F349" s="4" t="s">
        <v>44</v>
      </c>
      <c r="G349" s="4" t="s">
        <v>45</v>
      </c>
      <c r="H349" s="4" t="s">
        <v>739</v>
      </c>
      <c r="I349" s="4" t="s">
        <v>740</v>
      </c>
      <c r="J349" s="4" t="s">
        <v>31</v>
      </c>
      <c r="K349" s="4" t="s">
        <v>680</v>
      </c>
      <c r="L349" s="4" t="s">
        <v>22</v>
      </c>
      <c r="M349" s="4" t="s">
        <v>23</v>
      </c>
      <c r="N349" s="4" t="s">
        <v>32</v>
      </c>
      <c r="O349" s="4" t="s">
        <v>28</v>
      </c>
      <c r="P349" s="4" t="s">
        <v>26</v>
      </c>
      <c r="Q349" s="4" t="s">
        <v>27</v>
      </c>
      <c r="R349" s="4" t="s">
        <v>28</v>
      </c>
      <c r="S349" s="4" t="s">
        <v>22</v>
      </c>
    </row>
    <row r="350" spans="1:19" ht="15" hidden="1">
      <c r="A350" s="2">
        <v>44405</v>
      </c>
      <c r="B350">
        <v>7</v>
      </c>
      <c r="C350">
        <v>2021</v>
      </c>
      <c r="D350" s="5">
        <v>423255.48999999999</v>
      </c>
      <c r="E350" s="4" t="s">
        <v>738</v>
      </c>
      <c r="F350" s="4" t="s">
        <v>44</v>
      </c>
      <c r="G350" s="4" t="s">
        <v>45</v>
      </c>
      <c r="H350" s="4" t="s">
        <v>739</v>
      </c>
      <c r="I350" s="4" t="s">
        <v>740</v>
      </c>
      <c r="J350" s="4" t="s">
        <v>21</v>
      </c>
      <c r="K350" s="4" t="s">
        <v>679</v>
      </c>
      <c r="L350" s="4" t="s">
        <v>22</v>
      </c>
      <c r="M350" s="4" t="s">
        <v>23</v>
      </c>
      <c r="N350" s="4" t="s">
        <v>24</v>
      </c>
      <c r="O350" s="4" t="s">
        <v>25</v>
      </c>
      <c r="P350" s="4" t="s">
        <v>26</v>
      </c>
      <c r="Q350" s="4" t="s">
        <v>40</v>
      </c>
      <c r="R350" s="4" t="s">
        <v>28</v>
      </c>
      <c r="S350" s="4" t="s">
        <v>22</v>
      </c>
    </row>
    <row r="351" spans="1:19" ht="15" hidden="1">
      <c r="A351" s="2">
        <v>44391</v>
      </c>
      <c r="B351">
        <v>7</v>
      </c>
      <c r="C351">
        <v>2021</v>
      </c>
      <c r="D351" s="5">
        <v>5040.8800000000001</v>
      </c>
      <c r="E351" s="4" t="s">
        <v>663</v>
      </c>
      <c r="F351" s="4" t="s">
        <v>29</v>
      </c>
      <c r="G351" s="4" t="s">
        <v>30</v>
      </c>
      <c r="H351" s="4" t="s">
        <v>664</v>
      </c>
      <c r="I351" s="4" t="s">
        <v>665</v>
      </c>
      <c r="J351" s="4" t="s">
        <v>31</v>
      </c>
      <c r="K351" s="4" t="s">
        <v>662</v>
      </c>
      <c r="L351" s="4" t="s">
        <v>22</v>
      </c>
      <c r="M351" s="4" t="s">
        <v>23</v>
      </c>
      <c r="N351" s="4" t="s">
        <v>32</v>
      </c>
      <c r="O351" s="4" t="s">
        <v>28</v>
      </c>
      <c r="P351" s="4" t="s">
        <v>26</v>
      </c>
      <c r="Q351" s="4" t="s">
        <v>27</v>
      </c>
      <c r="R351" s="4" t="s">
        <v>28</v>
      </c>
      <c r="S351" s="4" t="s">
        <v>22</v>
      </c>
    </row>
    <row r="352" spans="1:19" ht="15" hidden="1">
      <c r="A352" s="2">
        <v>44391</v>
      </c>
      <c r="B352">
        <v>7</v>
      </c>
      <c r="C352">
        <v>2021</v>
      </c>
      <c r="D352" s="5">
        <v>2923.4299999999998</v>
      </c>
      <c r="E352" s="4" t="s">
        <v>694</v>
      </c>
      <c r="F352" s="4" t="s">
        <v>29</v>
      </c>
      <c r="G352" s="4" t="s">
        <v>30</v>
      </c>
      <c r="H352" s="4" t="s">
        <v>695</v>
      </c>
      <c r="I352" s="4" t="s">
        <v>696</v>
      </c>
      <c r="J352" s="4" t="s">
        <v>31</v>
      </c>
      <c r="K352" s="4" t="s">
        <v>662</v>
      </c>
      <c r="L352" s="4" t="s">
        <v>22</v>
      </c>
      <c r="M352" s="4" t="s">
        <v>23</v>
      </c>
      <c r="N352" s="4" t="s">
        <v>32</v>
      </c>
      <c r="O352" s="4" t="s">
        <v>28</v>
      </c>
      <c r="P352" s="4" t="s">
        <v>26</v>
      </c>
      <c r="Q352" s="4" t="s">
        <v>27</v>
      </c>
      <c r="R352" s="4" t="s">
        <v>28</v>
      </c>
      <c r="S352" s="4" t="s">
        <v>22</v>
      </c>
    </row>
    <row r="353" spans="1:19" ht="15" hidden="1">
      <c r="A353" s="2">
        <v>44391</v>
      </c>
      <c r="B353">
        <v>7</v>
      </c>
      <c r="C353">
        <v>2021</v>
      </c>
      <c r="D353" s="5">
        <v>19177.759999999998</v>
      </c>
      <c r="E353" s="4" t="s">
        <v>713</v>
      </c>
      <c r="F353" s="4" t="s">
        <v>38</v>
      </c>
      <c r="G353" s="4" t="s">
        <v>39</v>
      </c>
      <c r="H353" s="4" t="s">
        <v>714</v>
      </c>
      <c r="I353" s="4" t="s">
        <v>715</v>
      </c>
      <c r="J353" s="4" t="s">
        <v>21</v>
      </c>
      <c r="K353" s="4" t="s">
        <v>666</v>
      </c>
      <c r="L353" s="4" t="s">
        <v>22</v>
      </c>
      <c r="M353" s="4" t="s">
        <v>23</v>
      </c>
      <c r="N353" s="4" t="s">
        <v>24</v>
      </c>
      <c r="O353" s="4" t="s">
        <v>25</v>
      </c>
      <c r="P353" s="4" t="s">
        <v>26</v>
      </c>
      <c r="Q353" s="4" t="s">
        <v>40</v>
      </c>
      <c r="R353" s="4" t="s">
        <v>28</v>
      </c>
      <c r="S353" s="4" t="s">
        <v>22</v>
      </c>
    </row>
    <row r="354" spans="1:19" ht="15" hidden="1">
      <c r="A354" s="2">
        <v>44391</v>
      </c>
      <c r="B354">
        <v>7</v>
      </c>
      <c r="C354">
        <v>2021</v>
      </c>
      <c r="D354" s="5">
        <v>230211.03</v>
      </c>
      <c r="E354" s="4" t="s">
        <v>725</v>
      </c>
      <c r="F354" s="4" t="s">
        <v>38</v>
      </c>
      <c r="G354" s="4" t="s">
        <v>39</v>
      </c>
      <c r="H354" s="4" t="s">
        <v>726</v>
      </c>
      <c r="I354" s="4" t="s">
        <v>727</v>
      </c>
      <c r="J354" s="4" t="s">
        <v>31</v>
      </c>
      <c r="K354" s="4" t="s">
        <v>662</v>
      </c>
      <c r="L354" s="4" t="s">
        <v>22</v>
      </c>
      <c r="M354" s="4" t="s">
        <v>23</v>
      </c>
      <c r="N354" s="4" t="s">
        <v>32</v>
      </c>
      <c r="O354" s="4" t="s">
        <v>28</v>
      </c>
      <c r="P354" s="4" t="s">
        <v>26</v>
      </c>
      <c r="Q354" s="4" t="s">
        <v>27</v>
      </c>
      <c r="R354" s="4" t="s">
        <v>28</v>
      </c>
      <c r="S354" s="4" t="s">
        <v>22</v>
      </c>
    </row>
    <row r="355" spans="1:19" ht="15" hidden="1">
      <c r="A355" s="2">
        <v>44400</v>
      </c>
      <c r="B355">
        <v>7</v>
      </c>
      <c r="C355">
        <v>2021</v>
      </c>
      <c r="D355" s="5">
        <v>3330.73</v>
      </c>
      <c r="E355" s="4" t="s">
        <v>716</v>
      </c>
      <c r="F355" s="4" t="s">
        <v>29</v>
      </c>
      <c r="G355" s="4" t="s">
        <v>30</v>
      </c>
      <c r="H355" s="4" t="s">
        <v>717</v>
      </c>
      <c r="I355" s="4" t="s">
        <v>718</v>
      </c>
      <c r="J355" s="4" t="s">
        <v>31</v>
      </c>
      <c r="K355" s="4" t="s">
        <v>675</v>
      </c>
      <c r="L355" s="4" t="s">
        <v>22</v>
      </c>
      <c r="M355" s="4" t="s">
        <v>23</v>
      </c>
      <c r="N355" s="4" t="s">
        <v>32</v>
      </c>
      <c r="O355" s="4" t="s">
        <v>28</v>
      </c>
      <c r="P355" s="4" t="s">
        <v>26</v>
      </c>
      <c r="Q355" s="4" t="s">
        <v>27</v>
      </c>
      <c r="R355" s="4" t="s">
        <v>28</v>
      </c>
      <c r="S355" s="4" t="s">
        <v>22</v>
      </c>
    </row>
    <row r="356" spans="1:19" ht="15" hidden="1">
      <c r="A356" s="2">
        <v>44405</v>
      </c>
      <c r="B356">
        <v>7</v>
      </c>
      <c r="C356">
        <v>2021</v>
      </c>
      <c r="D356" s="5">
        <v>134.93000000000001</v>
      </c>
      <c r="E356" s="4" t="s">
        <v>735</v>
      </c>
      <c r="F356" s="4" t="s">
        <v>38</v>
      </c>
      <c r="G356" s="4" t="s">
        <v>39</v>
      </c>
      <c r="H356" s="4" t="s">
        <v>736</v>
      </c>
      <c r="I356" s="4" t="s">
        <v>737</v>
      </c>
      <c r="J356" s="4" t="s">
        <v>31</v>
      </c>
      <c r="K356" s="4" t="s">
        <v>680</v>
      </c>
      <c r="L356" s="4" t="s">
        <v>22</v>
      </c>
      <c r="M356" s="4" t="s">
        <v>23</v>
      </c>
      <c r="N356" s="4" t="s">
        <v>32</v>
      </c>
      <c r="O356" s="4" t="s">
        <v>28</v>
      </c>
      <c r="P356" s="4" t="s">
        <v>26</v>
      </c>
      <c r="Q356" s="4" t="s">
        <v>27</v>
      </c>
      <c r="R356" s="4" t="s">
        <v>28</v>
      </c>
      <c r="S356" s="4" t="s">
        <v>22</v>
      </c>
    </row>
    <row r="357" spans="1:19" ht="15" hidden="1">
      <c r="A357" s="2">
        <v>44407</v>
      </c>
      <c r="B357">
        <v>7</v>
      </c>
      <c r="C357">
        <v>2021</v>
      </c>
      <c r="D357" s="7">
        <v>367.17000000000002</v>
      </c>
      <c r="E357" s="4" t="s">
        <v>741</v>
      </c>
      <c r="F357" s="4" t="s">
        <v>36</v>
      </c>
      <c r="G357" s="4" t="s">
        <v>37</v>
      </c>
      <c r="H357" s="4" t="s">
        <v>742</v>
      </c>
      <c r="I357" s="4" t="s">
        <v>743</v>
      </c>
      <c r="J357" s="4" t="s">
        <v>21</v>
      </c>
      <c r="K357" s="4" t="s">
        <v>687</v>
      </c>
      <c r="L357" s="4" t="s">
        <v>22</v>
      </c>
      <c r="M357" s="4" t="s">
        <v>23</v>
      </c>
      <c r="N357" s="4" t="s">
        <v>24</v>
      </c>
      <c r="O357" s="4" t="s">
        <v>25</v>
      </c>
      <c r="P357" s="4" t="s">
        <v>26</v>
      </c>
      <c r="Q357" s="4" t="s">
        <v>40</v>
      </c>
      <c r="R357" s="4" t="s">
        <v>28</v>
      </c>
      <c r="S357" s="4" t="s">
        <v>22</v>
      </c>
    </row>
    <row r="358" spans="1:19" ht="15" hidden="1">
      <c r="A358" s="2">
        <v>44407</v>
      </c>
      <c r="B358">
        <v>7</v>
      </c>
      <c r="C358">
        <v>2021</v>
      </c>
      <c r="D358" s="7">
        <v>532.63999999999999</v>
      </c>
      <c r="E358" s="4" t="s">
        <v>741</v>
      </c>
      <c r="F358" s="4" t="s">
        <v>36</v>
      </c>
      <c r="G358" s="4" t="s">
        <v>37</v>
      </c>
      <c r="H358" s="4" t="s">
        <v>742</v>
      </c>
      <c r="I358" s="4" t="s">
        <v>743</v>
      </c>
      <c r="J358" s="4" t="s">
        <v>31</v>
      </c>
      <c r="K358" s="4" t="s">
        <v>731</v>
      </c>
      <c r="L358" s="4" t="s">
        <v>22</v>
      </c>
      <c r="M358" s="4" t="s">
        <v>23</v>
      </c>
      <c r="N358" s="4" t="s">
        <v>32</v>
      </c>
      <c r="O358" s="4" t="s">
        <v>28</v>
      </c>
      <c r="P358" s="4" t="s">
        <v>26</v>
      </c>
      <c r="Q358" s="4" t="s">
        <v>27</v>
      </c>
      <c r="R358" s="4" t="s">
        <v>28</v>
      </c>
      <c r="S358" s="4" t="s">
        <v>22</v>
      </c>
    </row>
    <row r="359" spans="1:18" ht="15" hidden="1">
      <c r="A359" s="2">
        <v>44434</v>
      </c>
      <c r="B359" s="25">
        <v>8</v>
      </c>
      <c r="C359" s="25">
        <v>2021</v>
      </c>
      <c r="D359" s="5">
        <v>20670.77</v>
      </c>
      <c r="E359" t="s">
        <v>744</v>
      </c>
      <c r="F359" t="s">
        <v>41</v>
      </c>
      <c r="G359" t="s">
        <v>42</v>
      </c>
      <c r="H359" t="s">
        <v>745</v>
      </c>
      <c r="I359" t="s">
        <v>746</v>
      </c>
      <c r="J359" t="s">
        <v>21</v>
      </c>
      <c r="K359" t="s">
        <v>747</v>
      </c>
      <c r="M359" t="s">
        <v>23</v>
      </c>
      <c r="N359" t="s">
        <v>24</v>
      </c>
      <c r="O359" t="s">
        <v>25</v>
      </c>
      <c r="P359" t="s">
        <v>43</v>
      </c>
      <c r="Q359" t="s">
        <v>40</v>
      </c>
      <c r="R359" t="s">
        <v>28</v>
      </c>
    </row>
    <row r="360" spans="1:18" ht="15" hidden="1">
      <c r="A360" s="2">
        <v>44439</v>
      </c>
      <c r="B360" s="25">
        <v>8</v>
      </c>
      <c r="C360" s="25">
        <v>2021</v>
      </c>
      <c r="D360" s="5">
        <v>20.379999999999999</v>
      </c>
      <c r="E360" t="s">
        <v>748</v>
      </c>
      <c r="F360" t="s">
        <v>38</v>
      </c>
      <c r="G360" t="s">
        <v>39</v>
      </c>
      <c r="H360" t="s">
        <v>749</v>
      </c>
      <c r="I360" t="s">
        <v>750</v>
      </c>
      <c r="J360" t="s">
        <v>21</v>
      </c>
      <c r="K360" t="s">
        <v>751</v>
      </c>
      <c r="M360" t="s">
        <v>23</v>
      </c>
      <c r="N360" t="s">
        <v>24</v>
      </c>
      <c r="O360" t="s">
        <v>25</v>
      </c>
      <c r="P360" t="s">
        <v>26</v>
      </c>
      <c r="Q360" t="s">
        <v>40</v>
      </c>
      <c r="R360" t="s">
        <v>28</v>
      </c>
    </row>
    <row r="361" spans="1:18" ht="15" hidden="1">
      <c r="A361" s="2">
        <v>44413</v>
      </c>
      <c r="B361" s="25">
        <v>8</v>
      </c>
      <c r="C361" s="25">
        <v>2021</v>
      </c>
      <c r="D361" s="5">
        <v>3565.04</v>
      </c>
      <c r="E361" t="s">
        <v>752</v>
      </c>
      <c r="F361" t="s">
        <v>29</v>
      </c>
      <c r="G361" t="s">
        <v>30</v>
      </c>
      <c r="H361" t="s">
        <v>753</v>
      </c>
      <c r="I361" t="s">
        <v>754</v>
      </c>
      <c r="J361" t="s">
        <v>31</v>
      </c>
      <c r="K361" t="s">
        <v>755</v>
      </c>
      <c r="M361" t="s">
        <v>23</v>
      </c>
      <c r="N361" t="s">
        <v>32</v>
      </c>
      <c r="O361" t="s">
        <v>28</v>
      </c>
      <c r="P361" t="s">
        <v>26</v>
      </c>
      <c r="Q361" t="s">
        <v>27</v>
      </c>
      <c r="R361" t="s">
        <v>28</v>
      </c>
    </row>
    <row r="362" spans="1:18" ht="15" hidden="1">
      <c r="A362" s="2">
        <v>44425</v>
      </c>
      <c r="B362" s="25">
        <v>8</v>
      </c>
      <c r="C362" s="25">
        <v>2021</v>
      </c>
      <c r="D362" s="5">
        <v>148.31999999999999</v>
      </c>
      <c r="E362" t="s">
        <v>756</v>
      </c>
      <c r="F362" t="s">
        <v>29</v>
      </c>
      <c r="G362" t="s">
        <v>30</v>
      </c>
      <c r="H362" t="s">
        <v>757</v>
      </c>
      <c r="I362" t="s">
        <v>758</v>
      </c>
      <c r="J362" t="s">
        <v>21</v>
      </c>
      <c r="K362" t="s">
        <v>759</v>
      </c>
      <c r="M362" t="s">
        <v>23</v>
      </c>
      <c r="N362" t="s">
        <v>24</v>
      </c>
      <c r="O362" t="s">
        <v>25</v>
      </c>
      <c r="P362" t="s">
        <v>26</v>
      </c>
      <c r="Q362" t="s">
        <v>27</v>
      </c>
      <c r="R362" t="s">
        <v>28</v>
      </c>
    </row>
    <row r="363" spans="1:18" ht="15" hidden="1">
      <c r="A363" s="2">
        <v>44425</v>
      </c>
      <c r="B363" s="25">
        <v>8</v>
      </c>
      <c r="C363" s="25">
        <v>2021</v>
      </c>
      <c r="D363" s="5">
        <v>66540.869999999995</v>
      </c>
      <c r="E363" t="s">
        <v>760</v>
      </c>
      <c r="F363" t="s">
        <v>41</v>
      </c>
      <c r="G363" t="s">
        <v>42</v>
      </c>
      <c r="H363" t="s">
        <v>761</v>
      </c>
      <c r="I363" t="s">
        <v>762</v>
      </c>
      <c r="J363" t="s">
        <v>31</v>
      </c>
      <c r="K363" t="s">
        <v>763</v>
      </c>
      <c r="M363" t="s">
        <v>23</v>
      </c>
      <c r="N363" t="s">
        <v>32</v>
      </c>
      <c r="O363" t="s">
        <v>28</v>
      </c>
      <c r="P363" t="s">
        <v>43</v>
      </c>
      <c r="Q363" t="s">
        <v>27</v>
      </c>
      <c r="R363" t="s">
        <v>28</v>
      </c>
    </row>
    <row r="364" spans="1:18" ht="15" hidden="1">
      <c r="A364" s="2">
        <v>44425</v>
      </c>
      <c r="B364" s="25">
        <v>8</v>
      </c>
      <c r="C364" s="25">
        <v>2021</v>
      </c>
      <c r="D364" s="5">
        <v>3066.5</v>
      </c>
      <c r="E364" t="s">
        <v>764</v>
      </c>
      <c r="F364" t="s">
        <v>38</v>
      </c>
      <c r="G364" t="s">
        <v>39</v>
      </c>
      <c r="H364" t="s">
        <v>765</v>
      </c>
      <c r="I364" t="s">
        <v>766</v>
      </c>
      <c r="J364" t="s">
        <v>31</v>
      </c>
      <c r="K364" t="s">
        <v>763</v>
      </c>
      <c r="M364" t="s">
        <v>23</v>
      </c>
      <c r="N364" t="s">
        <v>32</v>
      </c>
      <c r="O364" t="s">
        <v>28</v>
      </c>
      <c r="P364" t="s">
        <v>26</v>
      </c>
      <c r="Q364" t="s">
        <v>27</v>
      </c>
      <c r="R364" t="s">
        <v>28</v>
      </c>
    </row>
    <row r="365" spans="1:18" ht="15" hidden="1">
      <c r="A365" s="2">
        <v>44425</v>
      </c>
      <c r="B365" s="25">
        <v>8</v>
      </c>
      <c r="C365" s="25">
        <v>2021</v>
      </c>
      <c r="D365" s="7">
        <v>447.70999999999998</v>
      </c>
      <c r="E365" t="s">
        <v>767</v>
      </c>
      <c r="F365" t="s">
        <v>36</v>
      </c>
      <c r="G365" t="s">
        <v>37</v>
      </c>
      <c r="H365" t="s">
        <v>768</v>
      </c>
      <c r="I365" t="s">
        <v>769</v>
      </c>
      <c r="J365" t="s">
        <v>31</v>
      </c>
      <c r="K365" t="s">
        <v>763</v>
      </c>
      <c r="M365" t="s">
        <v>23</v>
      </c>
      <c r="N365" t="s">
        <v>32</v>
      </c>
      <c r="O365" t="s">
        <v>28</v>
      </c>
      <c r="P365" t="s">
        <v>26</v>
      </c>
      <c r="Q365" t="s">
        <v>27</v>
      </c>
      <c r="R365" t="s">
        <v>28</v>
      </c>
    </row>
    <row r="366" spans="1:18" ht="15" hidden="1">
      <c r="A366" s="2">
        <v>44427</v>
      </c>
      <c r="B366" s="25">
        <v>8</v>
      </c>
      <c r="C366" s="25">
        <v>2021</v>
      </c>
      <c r="D366" s="5">
        <v>614789.53000000003</v>
      </c>
      <c r="E366" t="s">
        <v>770</v>
      </c>
      <c r="F366" t="s">
        <v>44</v>
      </c>
      <c r="G366" t="s">
        <v>45</v>
      </c>
      <c r="H366" t="s">
        <v>771</v>
      </c>
      <c r="I366" t="s">
        <v>772</v>
      </c>
      <c r="J366" t="s">
        <v>31</v>
      </c>
      <c r="K366" t="s">
        <v>773</v>
      </c>
      <c r="M366" t="s">
        <v>23</v>
      </c>
      <c r="N366" t="s">
        <v>32</v>
      </c>
      <c r="O366" t="s">
        <v>28</v>
      </c>
      <c r="P366" t="s">
        <v>26</v>
      </c>
      <c r="Q366" t="s">
        <v>27</v>
      </c>
      <c r="R366" t="s">
        <v>28</v>
      </c>
    </row>
    <row r="367" spans="1:18" ht="15" hidden="1">
      <c r="A367" s="2">
        <v>44425</v>
      </c>
      <c r="B367" s="25">
        <v>8</v>
      </c>
      <c r="C367" s="25">
        <v>2021</v>
      </c>
      <c r="D367" s="5">
        <v>171884.45000000001</v>
      </c>
      <c r="E367" t="s">
        <v>774</v>
      </c>
      <c r="F367" t="s">
        <v>44</v>
      </c>
      <c r="G367" t="s">
        <v>45</v>
      </c>
      <c r="H367" t="s">
        <v>775</v>
      </c>
      <c r="I367" t="s">
        <v>776</v>
      </c>
      <c r="J367" t="s">
        <v>21</v>
      </c>
      <c r="K367" t="s">
        <v>759</v>
      </c>
      <c r="M367" t="s">
        <v>23</v>
      </c>
      <c r="N367" t="s">
        <v>24</v>
      </c>
      <c r="O367" t="s">
        <v>25</v>
      </c>
      <c r="P367" t="s">
        <v>26</v>
      </c>
      <c r="Q367" t="s">
        <v>40</v>
      </c>
      <c r="R367" t="s">
        <v>28</v>
      </c>
    </row>
    <row r="368" spans="1:18" ht="15" hidden="1">
      <c r="A368" s="2">
        <v>44425</v>
      </c>
      <c r="B368" s="25">
        <v>8</v>
      </c>
      <c r="C368" s="25">
        <v>2021</v>
      </c>
      <c r="D368" s="7">
        <v>748.25999999999999</v>
      </c>
      <c r="E368" t="s">
        <v>777</v>
      </c>
      <c r="F368" t="s">
        <v>36</v>
      </c>
      <c r="G368" t="s">
        <v>37</v>
      </c>
      <c r="H368" t="s">
        <v>778</v>
      </c>
      <c r="I368" t="s">
        <v>779</v>
      </c>
      <c r="J368" t="s">
        <v>21</v>
      </c>
      <c r="K368" t="s">
        <v>759</v>
      </c>
      <c r="M368" t="s">
        <v>23</v>
      </c>
      <c r="N368" t="s">
        <v>24</v>
      </c>
      <c r="O368" t="s">
        <v>25</v>
      </c>
      <c r="P368" t="s">
        <v>26</v>
      </c>
      <c r="Q368" t="s">
        <v>40</v>
      </c>
      <c r="R368" t="s">
        <v>28</v>
      </c>
    </row>
    <row r="369" spans="1:18" ht="15" hidden="1">
      <c r="A369" s="2">
        <v>44433</v>
      </c>
      <c r="B369" s="25">
        <v>8</v>
      </c>
      <c r="C369" s="25">
        <v>2021</v>
      </c>
      <c r="D369" s="5">
        <v>76442.699999999997</v>
      </c>
      <c r="E369" t="s">
        <v>780</v>
      </c>
      <c r="F369" t="s">
        <v>38</v>
      </c>
      <c r="G369" t="s">
        <v>39</v>
      </c>
      <c r="H369" t="s">
        <v>781</v>
      </c>
      <c r="I369" t="s">
        <v>782</v>
      </c>
      <c r="J369" t="s">
        <v>21</v>
      </c>
      <c r="K369" t="s">
        <v>783</v>
      </c>
      <c r="M369" t="s">
        <v>23</v>
      </c>
      <c r="N369" t="s">
        <v>24</v>
      </c>
      <c r="O369" t="s">
        <v>25</v>
      </c>
      <c r="P369" t="s">
        <v>26</v>
      </c>
      <c r="Q369" t="s">
        <v>40</v>
      </c>
      <c r="R369" t="s">
        <v>28</v>
      </c>
    </row>
    <row r="370" spans="1:18" ht="15" hidden="1">
      <c r="A370" s="2">
        <v>44433</v>
      </c>
      <c r="B370" s="25">
        <v>8</v>
      </c>
      <c r="C370" s="25">
        <v>2021</v>
      </c>
      <c r="D370" s="5">
        <v>43.090000000000003</v>
      </c>
      <c r="E370" t="s">
        <v>784</v>
      </c>
      <c r="F370" t="s">
        <v>38</v>
      </c>
      <c r="G370" t="s">
        <v>39</v>
      </c>
      <c r="H370" t="s">
        <v>785</v>
      </c>
      <c r="I370" t="s">
        <v>786</v>
      </c>
      <c r="J370" t="s">
        <v>21</v>
      </c>
      <c r="K370" t="s">
        <v>783</v>
      </c>
      <c r="M370" t="s">
        <v>23</v>
      </c>
      <c r="N370" t="s">
        <v>24</v>
      </c>
      <c r="O370" t="s">
        <v>25</v>
      </c>
      <c r="P370" t="s">
        <v>26</v>
      </c>
      <c r="Q370" t="s">
        <v>40</v>
      </c>
      <c r="R370" t="s">
        <v>28</v>
      </c>
    </row>
    <row r="371" spans="1:18" ht="15" hidden="1">
      <c r="A371" s="2">
        <v>44434</v>
      </c>
      <c r="B371" s="25">
        <v>8</v>
      </c>
      <c r="C371" s="25">
        <v>2021</v>
      </c>
      <c r="D371" s="7">
        <v>549.48000000000002</v>
      </c>
      <c r="E371" t="s">
        <v>787</v>
      </c>
      <c r="F371" t="s">
        <v>29</v>
      </c>
      <c r="G371" t="s">
        <v>30</v>
      </c>
      <c r="H371" t="s">
        <v>788</v>
      </c>
      <c r="I371" t="s">
        <v>789</v>
      </c>
      <c r="J371" t="s">
        <v>21</v>
      </c>
      <c r="K371" t="s">
        <v>747</v>
      </c>
      <c r="M371" t="s">
        <v>23</v>
      </c>
      <c r="N371" t="s">
        <v>24</v>
      </c>
      <c r="O371" t="s">
        <v>25</v>
      </c>
      <c r="P371" t="s">
        <v>26</v>
      </c>
      <c r="Q371" t="s">
        <v>27</v>
      </c>
      <c r="R371" t="s">
        <v>28</v>
      </c>
    </row>
    <row r="372" spans="1:18" ht="15" hidden="1">
      <c r="A372" s="2">
        <v>44439</v>
      </c>
      <c r="B372" s="25">
        <v>8</v>
      </c>
      <c r="C372" s="25">
        <v>2021</v>
      </c>
      <c r="D372" s="5">
        <v>67869.669999999998</v>
      </c>
      <c r="E372" t="s">
        <v>790</v>
      </c>
      <c r="F372" t="s">
        <v>41</v>
      </c>
      <c r="G372" t="s">
        <v>42</v>
      </c>
      <c r="H372" t="s">
        <v>791</v>
      </c>
      <c r="I372" t="s">
        <v>792</v>
      </c>
      <c r="J372" t="s">
        <v>31</v>
      </c>
      <c r="K372" t="s">
        <v>793</v>
      </c>
      <c r="M372" t="s">
        <v>23</v>
      </c>
      <c r="N372" t="s">
        <v>32</v>
      </c>
      <c r="O372" t="s">
        <v>28</v>
      </c>
      <c r="P372" t="s">
        <v>43</v>
      </c>
      <c r="Q372" t="s">
        <v>27</v>
      </c>
      <c r="R372" t="s">
        <v>28</v>
      </c>
    </row>
    <row r="373" spans="1:18" ht="15" hidden="1">
      <c r="A373" s="2">
        <v>44413</v>
      </c>
      <c r="B373" s="25">
        <v>8</v>
      </c>
      <c r="C373" s="25">
        <v>2021</v>
      </c>
      <c r="D373" s="5">
        <v>29280.57</v>
      </c>
      <c r="E373" t="s">
        <v>794</v>
      </c>
      <c r="F373" t="s">
        <v>38</v>
      </c>
      <c r="G373" t="s">
        <v>39</v>
      </c>
      <c r="H373" t="s">
        <v>795</v>
      </c>
      <c r="I373" t="s">
        <v>796</v>
      </c>
      <c r="J373" t="s">
        <v>21</v>
      </c>
      <c r="K373" t="s">
        <v>797</v>
      </c>
      <c r="M373" t="s">
        <v>23</v>
      </c>
      <c r="N373" t="s">
        <v>24</v>
      </c>
      <c r="O373" t="s">
        <v>25</v>
      </c>
      <c r="P373" t="s">
        <v>26</v>
      </c>
      <c r="Q373" t="s">
        <v>40</v>
      </c>
      <c r="R373" t="s">
        <v>28</v>
      </c>
    </row>
    <row r="374" spans="1:18" ht="15" hidden="1">
      <c r="A374" s="2">
        <v>44425</v>
      </c>
      <c r="B374" s="25">
        <v>8</v>
      </c>
      <c r="C374" s="25">
        <v>2021</v>
      </c>
      <c r="D374" s="7">
        <v>71.280000000000001</v>
      </c>
      <c r="E374" t="s">
        <v>777</v>
      </c>
      <c r="F374" t="s">
        <v>36</v>
      </c>
      <c r="G374" t="s">
        <v>37</v>
      </c>
      <c r="H374" t="s">
        <v>778</v>
      </c>
      <c r="I374" t="s">
        <v>779</v>
      </c>
      <c r="J374" t="s">
        <v>31</v>
      </c>
      <c r="K374" t="s">
        <v>763</v>
      </c>
      <c r="M374" t="s">
        <v>23</v>
      </c>
      <c r="N374" t="s">
        <v>32</v>
      </c>
      <c r="O374" t="s">
        <v>28</v>
      </c>
      <c r="P374" t="s">
        <v>26</v>
      </c>
      <c r="Q374" t="s">
        <v>27</v>
      </c>
      <c r="R374" t="s">
        <v>28</v>
      </c>
    </row>
    <row r="375" spans="1:18" ht="15" hidden="1">
      <c r="A375" s="2">
        <v>44425</v>
      </c>
      <c r="B375" s="25">
        <v>8</v>
      </c>
      <c r="C375" s="25">
        <v>2021</v>
      </c>
      <c r="D375" s="7">
        <v>1014.8200000000001</v>
      </c>
      <c r="E375" t="s">
        <v>767</v>
      </c>
      <c r="F375" t="s">
        <v>36</v>
      </c>
      <c r="G375" t="s">
        <v>37</v>
      </c>
      <c r="H375" t="s">
        <v>768</v>
      </c>
      <c r="I375" t="s">
        <v>769</v>
      </c>
      <c r="J375" t="s">
        <v>21</v>
      </c>
      <c r="K375" t="s">
        <v>759</v>
      </c>
      <c r="M375" t="s">
        <v>23</v>
      </c>
      <c r="N375" t="s">
        <v>24</v>
      </c>
      <c r="O375" t="s">
        <v>25</v>
      </c>
      <c r="P375" t="s">
        <v>26</v>
      </c>
      <c r="Q375" t="s">
        <v>40</v>
      </c>
      <c r="R375" t="s">
        <v>28</v>
      </c>
    </row>
    <row r="376" spans="1:18" ht="15" hidden="1">
      <c r="A376" s="2">
        <v>44425</v>
      </c>
      <c r="B376" s="25">
        <v>8</v>
      </c>
      <c r="C376" s="25">
        <v>2021</v>
      </c>
      <c r="D376" s="5">
        <v>65178.209999999999</v>
      </c>
      <c r="E376" t="s">
        <v>798</v>
      </c>
      <c r="F376" t="s">
        <v>38</v>
      </c>
      <c r="G376" t="s">
        <v>39</v>
      </c>
      <c r="H376" t="s">
        <v>799</v>
      </c>
      <c r="I376" t="s">
        <v>800</v>
      </c>
      <c r="J376" t="s">
        <v>21</v>
      </c>
      <c r="K376" t="s">
        <v>759</v>
      </c>
      <c r="M376" t="s">
        <v>23</v>
      </c>
      <c r="N376" t="s">
        <v>24</v>
      </c>
      <c r="O376" t="s">
        <v>25</v>
      </c>
      <c r="P376" t="s">
        <v>26</v>
      </c>
      <c r="Q376" t="s">
        <v>40</v>
      </c>
      <c r="R376" t="s">
        <v>28</v>
      </c>
    </row>
    <row r="377" spans="1:18" ht="15" hidden="1">
      <c r="A377" s="2">
        <v>44434</v>
      </c>
      <c r="B377" s="25">
        <v>8</v>
      </c>
      <c r="C377" s="25">
        <v>2021</v>
      </c>
      <c r="D377" s="5">
        <v>60589.5</v>
      </c>
      <c r="E377" t="s">
        <v>744</v>
      </c>
      <c r="F377" t="s">
        <v>41</v>
      </c>
      <c r="G377" t="s">
        <v>42</v>
      </c>
      <c r="H377" t="s">
        <v>745</v>
      </c>
      <c r="I377" t="s">
        <v>746</v>
      </c>
      <c r="J377" t="s">
        <v>31</v>
      </c>
      <c r="K377" t="s">
        <v>801</v>
      </c>
      <c r="M377" t="s">
        <v>23</v>
      </c>
      <c r="N377" t="s">
        <v>32</v>
      </c>
      <c r="O377" t="s">
        <v>28</v>
      </c>
      <c r="P377" t="s">
        <v>43</v>
      </c>
      <c r="Q377" t="s">
        <v>27</v>
      </c>
      <c r="R377" t="s">
        <v>28</v>
      </c>
    </row>
    <row r="378" spans="1:18" ht="15" hidden="1">
      <c r="A378" s="2">
        <v>44439</v>
      </c>
      <c r="B378" s="25">
        <v>8</v>
      </c>
      <c r="C378" s="25">
        <v>2021</v>
      </c>
      <c r="D378" s="5">
        <v>54068.910000000003</v>
      </c>
      <c r="E378" t="s">
        <v>802</v>
      </c>
      <c r="F378" t="s">
        <v>38</v>
      </c>
      <c r="G378" t="s">
        <v>39</v>
      </c>
      <c r="H378" t="s">
        <v>803</v>
      </c>
      <c r="I378" t="s">
        <v>804</v>
      </c>
      <c r="J378" t="s">
        <v>21</v>
      </c>
      <c r="K378" t="s">
        <v>751</v>
      </c>
      <c r="M378" t="s">
        <v>23</v>
      </c>
      <c r="N378" t="s">
        <v>24</v>
      </c>
      <c r="O378" t="s">
        <v>25</v>
      </c>
      <c r="P378" t="s">
        <v>26</v>
      </c>
      <c r="Q378" t="s">
        <v>40</v>
      </c>
      <c r="R378" t="s">
        <v>28</v>
      </c>
    </row>
    <row r="379" spans="1:18" ht="15" hidden="1">
      <c r="A379" s="2">
        <v>44439</v>
      </c>
      <c r="B379" s="25">
        <v>8</v>
      </c>
      <c r="C379" s="25">
        <v>2021</v>
      </c>
      <c r="D379" s="5">
        <v>271254.46999999997</v>
      </c>
      <c r="E379" t="s">
        <v>802</v>
      </c>
      <c r="F379" t="s">
        <v>38</v>
      </c>
      <c r="G379" t="s">
        <v>39</v>
      </c>
      <c r="H379" t="s">
        <v>803</v>
      </c>
      <c r="I379" t="s">
        <v>804</v>
      </c>
      <c r="J379" t="s">
        <v>31</v>
      </c>
      <c r="K379" t="s">
        <v>793</v>
      </c>
      <c r="M379" t="s">
        <v>23</v>
      </c>
      <c r="N379" t="s">
        <v>32</v>
      </c>
      <c r="O379" t="s">
        <v>28</v>
      </c>
      <c r="P379" t="s">
        <v>26</v>
      </c>
      <c r="Q379" t="s">
        <v>27</v>
      </c>
      <c r="R379" t="s">
        <v>28</v>
      </c>
    </row>
    <row r="380" spans="1:18" ht="15" hidden="1">
      <c r="A380" s="2">
        <v>44439</v>
      </c>
      <c r="B380" s="25">
        <v>8</v>
      </c>
      <c r="C380" s="25">
        <v>2021</v>
      </c>
      <c r="D380" s="7">
        <v>1494.4000000000001</v>
      </c>
      <c r="E380" t="s">
        <v>805</v>
      </c>
      <c r="F380" t="s">
        <v>36</v>
      </c>
      <c r="G380" t="s">
        <v>37</v>
      </c>
      <c r="H380" t="s">
        <v>806</v>
      </c>
      <c r="I380" t="s">
        <v>807</v>
      </c>
      <c r="J380" t="s">
        <v>31</v>
      </c>
      <c r="K380" t="s">
        <v>793</v>
      </c>
      <c r="M380" t="s">
        <v>23</v>
      </c>
      <c r="N380" t="s">
        <v>32</v>
      </c>
      <c r="O380" t="s">
        <v>28</v>
      </c>
      <c r="P380" t="s">
        <v>26</v>
      </c>
      <c r="Q380" t="s">
        <v>27</v>
      </c>
      <c r="R380" t="s">
        <v>28</v>
      </c>
    </row>
    <row r="381" spans="1:18" ht="15" hidden="1">
      <c r="A381" s="2">
        <v>44413</v>
      </c>
      <c r="B381" s="25">
        <v>8</v>
      </c>
      <c r="C381" s="25">
        <v>2021</v>
      </c>
      <c r="D381" s="5">
        <v>179832.70999999999</v>
      </c>
      <c r="E381" t="s">
        <v>808</v>
      </c>
      <c r="F381" t="s">
        <v>44</v>
      </c>
      <c r="G381" t="s">
        <v>45</v>
      </c>
      <c r="H381" t="s">
        <v>809</v>
      </c>
      <c r="I381" t="s">
        <v>810</v>
      </c>
      <c r="J381" t="s">
        <v>21</v>
      </c>
      <c r="K381" t="s">
        <v>797</v>
      </c>
      <c r="M381" t="s">
        <v>23</v>
      </c>
      <c r="N381" t="s">
        <v>24</v>
      </c>
      <c r="O381" t="s">
        <v>25</v>
      </c>
      <c r="P381" t="s">
        <v>26</v>
      </c>
      <c r="Q381" t="s">
        <v>40</v>
      </c>
      <c r="R381" t="s">
        <v>28</v>
      </c>
    </row>
    <row r="382" spans="1:18" ht="15" hidden="1">
      <c r="A382" s="2">
        <v>44413</v>
      </c>
      <c r="B382" s="25">
        <v>8</v>
      </c>
      <c r="C382" s="25">
        <v>2021</v>
      </c>
      <c r="D382" s="5">
        <v>56810.010000000002</v>
      </c>
      <c r="E382" t="s">
        <v>811</v>
      </c>
      <c r="F382" t="s">
        <v>41</v>
      </c>
      <c r="G382" t="s">
        <v>42</v>
      </c>
      <c r="H382" t="s">
        <v>812</v>
      </c>
      <c r="I382" t="s">
        <v>813</v>
      </c>
      <c r="J382" t="s">
        <v>31</v>
      </c>
      <c r="K382" t="s">
        <v>755</v>
      </c>
      <c r="M382" t="s">
        <v>23</v>
      </c>
      <c r="N382" t="s">
        <v>32</v>
      </c>
      <c r="O382" t="s">
        <v>28</v>
      </c>
      <c r="P382" t="s">
        <v>43</v>
      </c>
      <c r="Q382" t="s">
        <v>27</v>
      </c>
      <c r="R382" t="s">
        <v>28</v>
      </c>
    </row>
    <row r="383" spans="1:18" ht="15" hidden="1">
      <c r="A383" s="2">
        <v>44427</v>
      </c>
      <c r="B383" s="25">
        <v>8</v>
      </c>
      <c r="C383" s="25">
        <v>2021</v>
      </c>
      <c r="D383" s="5">
        <v>65304.120000000003</v>
      </c>
      <c r="E383" t="s">
        <v>814</v>
      </c>
      <c r="F383" t="s">
        <v>41</v>
      </c>
      <c r="G383" t="s">
        <v>42</v>
      </c>
      <c r="H383" t="s">
        <v>815</v>
      </c>
      <c r="I383" t="s">
        <v>816</v>
      </c>
      <c r="J383" t="s">
        <v>31</v>
      </c>
      <c r="K383" t="s">
        <v>773</v>
      </c>
      <c r="M383" t="s">
        <v>23</v>
      </c>
      <c r="N383" t="s">
        <v>32</v>
      </c>
      <c r="O383" t="s">
        <v>28</v>
      </c>
      <c r="P383" t="s">
        <v>43</v>
      </c>
      <c r="Q383" t="s">
        <v>27</v>
      </c>
      <c r="R383" t="s">
        <v>28</v>
      </c>
    </row>
    <row r="384" spans="1:18" ht="15" hidden="1">
      <c r="A384" s="2">
        <v>44433</v>
      </c>
      <c r="B384" s="25">
        <v>8</v>
      </c>
      <c r="C384" s="25">
        <v>2021</v>
      </c>
      <c r="D384" s="5">
        <v>220172.38000000001</v>
      </c>
      <c r="E384" t="s">
        <v>780</v>
      </c>
      <c r="F384" t="s">
        <v>38</v>
      </c>
      <c r="G384" t="s">
        <v>39</v>
      </c>
      <c r="H384" t="s">
        <v>781</v>
      </c>
      <c r="I384" t="s">
        <v>782</v>
      </c>
      <c r="J384" t="s">
        <v>31</v>
      </c>
      <c r="K384" t="s">
        <v>817</v>
      </c>
      <c r="M384" t="s">
        <v>23</v>
      </c>
      <c r="N384" t="s">
        <v>32</v>
      </c>
      <c r="O384" t="s">
        <v>28</v>
      </c>
      <c r="P384" t="s">
        <v>26</v>
      </c>
      <c r="Q384" t="s">
        <v>27</v>
      </c>
      <c r="R384" t="s">
        <v>28</v>
      </c>
    </row>
    <row r="385" spans="1:18" ht="15" hidden="1">
      <c r="A385" s="2">
        <v>44434</v>
      </c>
      <c r="B385" s="25">
        <v>8</v>
      </c>
      <c r="C385" s="25">
        <v>2021</v>
      </c>
      <c r="D385" s="7">
        <v>6905.3000000000002</v>
      </c>
      <c r="E385" t="s">
        <v>787</v>
      </c>
      <c r="F385" t="s">
        <v>29</v>
      </c>
      <c r="G385" t="s">
        <v>30</v>
      </c>
      <c r="H385" t="s">
        <v>788</v>
      </c>
      <c r="I385" t="s">
        <v>789</v>
      </c>
      <c r="J385" t="s">
        <v>31</v>
      </c>
      <c r="K385" t="s">
        <v>801</v>
      </c>
      <c r="M385" t="s">
        <v>23</v>
      </c>
      <c r="N385" t="s">
        <v>32</v>
      </c>
      <c r="O385" t="s">
        <v>28</v>
      </c>
      <c r="P385" t="s">
        <v>26</v>
      </c>
      <c r="Q385" t="s">
        <v>27</v>
      </c>
      <c r="R385" t="s">
        <v>28</v>
      </c>
    </row>
    <row r="386" spans="1:18" ht="15" hidden="1">
      <c r="A386" s="2">
        <v>44434</v>
      </c>
      <c r="B386" s="25">
        <v>8</v>
      </c>
      <c r="C386" s="25">
        <v>2021</v>
      </c>
      <c r="D386" s="5">
        <v>170627.44</v>
      </c>
      <c r="E386" t="s">
        <v>818</v>
      </c>
      <c r="F386" t="s">
        <v>44</v>
      </c>
      <c r="G386" t="s">
        <v>45</v>
      </c>
      <c r="H386" t="s">
        <v>819</v>
      </c>
      <c r="I386" t="s">
        <v>820</v>
      </c>
      <c r="J386" t="s">
        <v>21</v>
      </c>
      <c r="K386" t="s">
        <v>747</v>
      </c>
      <c r="M386" t="s">
        <v>23</v>
      </c>
      <c r="N386" t="s">
        <v>24</v>
      </c>
      <c r="O386" t="s">
        <v>25</v>
      </c>
      <c r="P386" t="s">
        <v>26</v>
      </c>
      <c r="Q386" t="s">
        <v>40</v>
      </c>
      <c r="R386" t="s">
        <v>28</v>
      </c>
    </row>
    <row r="387" spans="1:18" ht="15" hidden="1">
      <c r="A387" s="2">
        <v>44434</v>
      </c>
      <c r="B387" s="25">
        <v>8</v>
      </c>
      <c r="C387" s="25">
        <v>2021</v>
      </c>
      <c r="D387" s="5">
        <v>1119145.46</v>
      </c>
      <c r="E387" t="s">
        <v>818</v>
      </c>
      <c r="F387" t="s">
        <v>44</v>
      </c>
      <c r="G387" t="s">
        <v>45</v>
      </c>
      <c r="H387" t="s">
        <v>819</v>
      </c>
      <c r="I387" t="s">
        <v>820</v>
      </c>
      <c r="J387" t="s">
        <v>31</v>
      </c>
      <c r="K387" t="s">
        <v>801</v>
      </c>
      <c r="M387" t="s">
        <v>23</v>
      </c>
      <c r="N387" t="s">
        <v>32</v>
      </c>
      <c r="O387" t="s">
        <v>28</v>
      </c>
      <c r="P387" t="s">
        <v>26</v>
      </c>
      <c r="Q387" t="s">
        <v>27</v>
      </c>
      <c r="R387" t="s">
        <v>28</v>
      </c>
    </row>
    <row r="388" spans="1:18" ht="15" hidden="1">
      <c r="A388" s="2">
        <v>44439</v>
      </c>
      <c r="B388" s="25">
        <v>8</v>
      </c>
      <c r="C388" s="25">
        <v>2021</v>
      </c>
      <c r="D388" s="7">
        <v>302.31</v>
      </c>
      <c r="E388" t="s">
        <v>821</v>
      </c>
      <c r="F388" t="s">
        <v>29</v>
      </c>
      <c r="G388" t="s">
        <v>30</v>
      </c>
      <c r="H388" t="s">
        <v>822</v>
      </c>
      <c r="I388" t="s">
        <v>823</v>
      </c>
      <c r="J388" t="s">
        <v>21</v>
      </c>
      <c r="K388" t="s">
        <v>751</v>
      </c>
      <c r="M388" t="s">
        <v>23</v>
      </c>
      <c r="N388" t="s">
        <v>24</v>
      </c>
      <c r="O388" t="s">
        <v>25</v>
      </c>
      <c r="P388" t="s">
        <v>26</v>
      </c>
      <c r="Q388" t="s">
        <v>27</v>
      </c>
      <c r="R388" t="s">
        <v>28</v>
      </c>
    </row>
    <row r="389" spans="1:18" ht="15" hidden="1">
      <c r="A389" s="2">
        <v>44439</v>
      </c>
      <c r="B389" s="25">
        <v>8</v>
      </c>
      <c r="C389" s="25">
        <v>2021</v>
      </c>
      <c r="D389" s="5">
        <v>541078.65000000002</v>
      </c>
      <c r="E389" t="s">
        <v>824</v>
      </c>
      <c r="F389" t="s">
        <v>44</v>
      </c>
      <c r="G389" t="s">
        <v>45</v>
      </c>
      <c r="H389" t="s">
        <v>825</v>
      </c>
      <c r="I389" t="s">
        <v>826</v>
      </c>
      <c r="J389" t="s">
        <v>31</v>
      </c>
      <c r="K389" t="s">
        <v>793</v>
      </c>
      <c r="M389" t="s">
        <v>23</v>
      </c>
      <c r="N389" t="s">
        <v>32</v>
      </c>
      <c r="O389" t="s">
        <v>28</v>
      </c>
      <c r="P389" t="s">
        <v>26</v>
      </c>
      <c r="Q389" t="s">
        <v>27</v>
      </c>
      <c r="R389" t="s">
        <v>28</v>
      </c>
    </row>
    <row r="390" spans="1:18" ht="15" hidden="1">
      <c r="A390" s="2">
        <v>44425</v>
      </c>
      <c r="B390" s="25">
        <v>8</v>
      </c>
      <c r="C390" s="25">
        <v>2021</v>
      </c>
      <c r="D390" s="5">
        <v>201.66999999999999</v>
      </c>
      <c r="E390" t="s">
        <v>764</v>
      </c>
      <c r="F390" t="s">
        <v>38</v>
      </c>
      <c r="G390" t="s">
        <v>39</v>
      </c>
      <c r="H390" t="s">
        <v>765</v>
      </c>
      <c r="I390" t="s">
        <v>766</v>
      </c>
      <c r="J390" t="s">
        <v>21</v>
      </c>
      <c r="K390" t="s">
        <v>759</v>
      </c>
      <c r="M390" t="s">
        <v>23</v>
      </c>
      <c r="N390" t="s">
        <v>24</v>
      </c>
      <c r="O390" t="s">
        <v>25</v>
      </c>
      <c r="P390" t="s">
        <v>26</v>
      </c>
      <c r="Q390" t="s">
        <v>40</v>
      </c>
      <c r="R390" t="s">
        <v>28</v>
      </c>
    </row>
    <row r="391" spans="1:18" ht="15" hidden="1">
      <c r="A391" s="2">
        <v>44433</v>
      </c>
      <c r="B391" s="25">
        <v>8</v>
      </c>
      <c r="C391" s="25">
        <v>2021</v>
      </c>
      <c r="D391" s="5">
        <v>821.89999999999998</v>
      </c>
      <c r="E391" t="s">
        <v>827</v>
      </c>
      <c r="F391" t="s">
        <v>36</v>
      </c>
      <c r="G391" t="s">
        <v>37</v>
      </c>
      <c r="H391" t="s">
        <v>828</v>
      </c>
      <c r="I391" t="s">
        <v>829</v>
      </c>
      <c r="J391" t="s">
        <v>31</v>
      </c>
      <c r="K391" t="s">
        <v>817</v>
      </c>
      <c r="M391" t="s">
        <v>23</v>
      </c>
      <c r="N391" t="s">
        <v>32</v>
      </c>
      <c r="O391" t="s">
        <v>28</v>
      </c>
      <c r="P391" t="s">
        <v>26</v>
      </c>
      <c r="Q391" t="s">
        <v>27</v>
      </c>
      <c r="R391" t="s">
        <v>28</v>
      </c>
    </row>
    <row r="392" spans="1:18" ht="15" hidden="1">
      <c r="A392" s="2">
        <v>44433</v>
      </c>
      <c r="B392" s="25">
        <v>8</v>
      </c>
      <c r="C392" s="25">
        <v>2021</v>
      </c>
      <c r="D392" s="5">
        <v>33.5</v>
      </c>
      <c r="E392" t="s">
        <v>784</v>
      </c>
      <c r="F392" t="s">
        <v>38</v>
      </c>
      <c r="G392" t="s">
        <v>39</v>
      </c>
      <c r="H392" t="s">
        <v>785</v>
      </c>
      <c r="I392" t="s">
        <v>786</v>
      </c>
      <c r="J392" t="s">
        <v>31</v>
      </c>
      <c r="K392" t="s">
        <v>817</v>
      </c>
      <c r="M392" t="s">
        <v>23</v>
      </c>
      <c r="N392" t="s">
        <v>32</v>
      </c>
      <c r="O392" t="s">
        <v>28</v>
      </c>
      <c r="P392" t="s">
        <v>26</v>
      </c>
      <c r="Q392" t="s">
        <v>27</v>
      </c>
      <c r="R392" t="s">
        <v>28</v>
      </c>
    </row>
    <row r="393" spans="1:18" ht="15" hidden="1">
      <c r="A393" s="2">
        <v>44433</v>
      </c>
      <c r="B393" s="25">
        <v>8</v>
      </c>
      <c r="C393" s="25">
        <v>2021</v>
      </c>
      <c r="D393" s="5">
        <v>3900</v>
      </c>
      <c r="E393" t="s">
        <v>830</v>
      </c>
      <c r="F393" t="s">
        <v>48</v>
      </c>
      <c r="G393" t="s">
        <v>256</v>
      </c>
      <c r="H393" t="s">
        <v>831</v>
      </c>
      <c r="I393" t="s">
        <v>832</v>
      </c>
      <c r="J393" t="s">
        <v>31</v>
      </c>
      <c r="K393" t="s">
        <v>817</v>
      </c>
      <c r="M393" t="s">
        <v>23</v>
      </c>
      <c r="N393" t="s">
        <v>32</v>
      </c>
      <c r="O393" t="s">
        <v>28</v>
      </c>
      <c r="P393" t="s">
        <v>49</v>
      </c>
      <c r="Q393" t="s">
        <v>50</v>
      </c>
      <c r="R393" t="s">
        <v>28</v>
      </c>
    </row>
    <row r="394" spans="1:18" ht="15" hidden="1">
      <c r="A394" s="2">
        <v>44439</v>
      </c>
      <c r="B394" s="25">
        <v>8</v>
      </c>
      <c r="C394" s="25">
        <v>2021</v>
      </c>
      <c r="D394" s="7">
        <v>8096.8400000000001</v>
      </c>
      <c r="E394" t="s">
        <v>821</v>
      </c>
      <c r="F394" t="s">
        <v>29</v>
      </c>
      <c r="G394" t="s">
        <v>30</v>
      </c>
      <c r="H394" t="s">
        <v>822</v>
      </c>
      <c r="I394" t="s">
        <v>823</v>
      </c>
      <c r="J394" t="s">
        <v>31</v>
      </c>
      <c r="K394" t="s">
        <v>793</v>
      </c>
      <c r="M394" t="s">
        <v>23</v>
      </c>
      <c r="N394" t="s">
        <v>32</v>
      </c>
      <c r="O394" t="s">
        <v>28</v>
      </c>
      <c r="P394" t="s">
        <v>26</v>
      </c>
      <c r="Q394" t="s">
        <v>27</v>
      </c>
      <c r="R394" t="s">
        <v>28</v>
      </c>
    </row>
    <row r="395" spans="1:18" ht="15" hidden="1">
      <c r="A395" s="2">
        <v>44439</v>
      </c>
      <c r="B395" s="25">
        <v>8</v>
      </c>
      <c r="C395" s="25">
        <v>2021</v>
      </c>
      <c r="D395" s="5">
        <v>4033.25</v>
      </c>
      <c r="E395" t="s">
        <v>748</v>
      </c>
      <c r="F395" t="s">
        <v>38</v>
      </c>
      <c r="G395" t="s">
        <v>39</v>
      </c>
      <c r="H395" t="s">
        <v>749</v>
      </c>
      <c r="I395" t="s">
        <v>750</v>
      </c>
      <c r="J395" t="s">
        <v>31</v>
      </c>
      <c r="K395" t="s">
        <v>793</v>
      </c>
      <c r="M395" t="s">
        <v>23</v>
      </c>
      <c r="N395" t="s">
        <v>32</v>
      </c>
      <c r="O395" t="s">
        <v>28</v>
      </c>
      <c r="P395" t="s">
        <v>26</v>
      </c>
      <c r="Q395" t="s">
        <v>27</v>
      </c>
      <c r="R395" t="s">
        <v>28</v>
      </c>
    </row>
    <row r="396" spans="1:18" ht="15" hidden="1">
      <c r="A396" s="2">
        <v>44413</v>
      </c>
      <c r="B396" s="25">
        <v>8</v>
      </c>
      <c r="C396" s="25">
        <v>2021</v>
      </c>
      <c r="D396" s="5">
        <v>132027.26000000001</v>
      </c>
      <c r="E396" t="s">
        <v>794</v>
      </c>
      <c r="F396" t="s">
        <v>38</v>
      </c>
      <c r="G396" t="s">
        <v>39</v>
      </c>
      <c r="H396" t="s">
        <v>795</v>
      </c>
      <c r="I396" t="s">
        <v>796</v>
      </c>
      <c r="J396" t="s">
        <v>31</v>
      </c>
      <c r="K396" t="s">
        <v>755</v>
      </c>
      <c r="M396" t="s">
        <v>23</v>
      </c>
      <c r="N396" t="s">
        <v>32</v>
      </c>
      <c r="O396" t="s">
        <v>28</v>
      </c>
      <c r="P396" t="s">
        <v>26</v>
      </c>
      <c r="Q396" t="s">
        <v>27</v>
      </c>
      <c r="R396" t="s">
        <v>28</v>
      </c>
    </row>
    <row r="397" spans="1:18" ht="15" hidden="1">
      <c r="A397" s="2">
        <v>44413</v>
      </c>
      <c r="B397" s="25">
        <v>8</v>
      </c>
      <c r="C397" s="25">
        <v>2021</v>
      </c>
      <c r="D397" s="5">
        <v>16629.299999999999</v>
      </c>
      <c r="E397" t="s">
        <v>811</v>
      </c>
      <c r="F397" t="s">
        <v>41</v>
      </c>
      <c r="G397" t="s">
        <v>42</v>
      </c>
      <c r="H397" t="s">
        <v>812</v>
      </c>
      <c r="I397" t="s">
        <v>813</v>
      </c>
      <c r="J397" t="s">
        <v>21</v>
      </c>
      <c r="K397" t="s">
        <v>797</v>
      </c>
      <c r="M397" t="s">
        <v>23</v>
      </c>
      <c r="N397" t="s">
        <v>24</v>
      </c>
      <c r="O397" t="s">
        <v>25</v>
      </c>
      <c r="P397" t="s">
        <v>43</v>
      </c>
      <c r="Q397" t="s">
        <v>40</v>
      </c>
      <c r="R397" t="s">
        <v>28</v>
      </c>
    </row>
    <row r="398" spans="1:18" ht="15" hidden="1">
      <c r="A398" s="2">
        <v>44413</v>
      </c>
      <c r="B398" s="25">
        <v>8</v>
      </c>
      <c r="C398" s="25">
        <v>2021</v>
      </c>
      <c r="D398" s="5">
        <v>552395.5</v>
      </c>
      <c r="E398" t="s">
        <v>808</v>
      </c>
      <c r="F398" t="s">
        <v>44</v>
      </c>
      <c r="G398" t="s">
        <v>45</v>
      </c>
      <c r="H398" t="s">
        <v>809</v>
      </c>
      <c r="I398" t="s">
        <v>810</v>
      </c>
      <c r="J398" t="s">
        <v>31</v>
      </c>
      <c r="K398" t="s">
        <v>755</v>
      </c>
      <c r="M398" t="s">
        <v>23</v>
      </c>
      <c r="N398" t="s">
        <v>32</v>
      </c>
      <c r="O398" t="s">
        <v>28</v>
      </c>
      <c r="P398" t="s">
        <v>26</v>
      </c>
      <c r="Q398" t="s">
        <v>27</v>
      </c>
      <c r="R398" t="s">
        <v>28</v>
      </c>
    </row>
    <row r="399" spans="1:18" ht="15" hidden="1">
      <c r="A399" s="2">
        <v>44425</v>
      </c>
      <c r="B399" s="25">
        <v>8</v>
      </c>
      <c r="C399" s="25">
        <v>2021</v>
      </c>
      <c r="D399" s="5">
        <v>73.379999999999995</v>
      </c>
      <c r="E399" t="s">
        <v>833</v>
      </c>
      <c r="F399" t="s">
        <v>38</v>
      </c>
      <c r="G399" t="s">
        <v>39</v>
      </c>
      <c r="H399" t="s">
        <v>834</v>
      </c>
      <c r="I399" t="s">
        <v>835</v>
      </c>
      <c r="J399" t="s">
        <v>31</v>
      </c>
      <c r="K399" t="s">
        <v>763</v>
      </c>
      <c r="M399" t="s">
        <v>23</v>
      </c>
      <c r="N399" t="s">
        <v>32</v>
      </c>
      <c r="O399" t="s">
        <v>28</v>
      </c>
      <c r="P399" t="s">
        <v>26</v>
      </c>
      <c r="Q399" t="s">
        <v>27</v>
      </c>
      <c r="R399" t="s">
        <v>28</v>
      </c>
    </row>
    <row r="400" spans="1:18" ht="15" hidden="1">
      <c r="A400" s="2">
        <v>44425</v>
      </c>
      <c r="B400" s="25">
        <v>8</v>
      </c>
      <c r="C400" s="25">
        <v>2021</v>
      </c>
      <c r="D400" s="5">
        <v>239465.89999999999</v>
      </c>
      <c r="E400" t="s">
        <v>798</v>
      </c>
      <c r="F400" t="s">
        <v>38</v>
      </c>
      <c r="G400" t="s">
        <v>39</v>
      </c>
      <c r="H400" t="s">
        <v>799</v>
      </c>
      <c r="I400" t="s">
        <v>800</v>
      </c>
      <c r="J400" t="s">
        <v>31</v>
      </c>
      <c r="K400" t="s">
        <v>763</v>
      </c>
      <c r="M400" t="s">
        <v>23</v>
      </c>
      <c r="N400" t="s">
        <v>32</v>
      </c>
      <c r="O400" t="s">
        <v>28</v>
      </c>
      <c r="P400" t="s">
        <v>26</v>
      </c>
      <c r="Q400" t="s">
        <v>27</v>
      </c>
      <c r="R400" t="s">
        <v>28</v>
      </c>
    </row>
    <row r="401" spans="1:18" ht="15" hidden="1">
      <c r="A401" s="2">
        <v>44425</v>
      </c>
      <c r="B401" s="25">
        <v>8</v>
      </c>
      <c r="C401" s="25">
        <v>2021</v>
      </c>
      <c r="D401" s="5">
        <v>31.539999999999999</v>
      </c>
      <c r="E401" t="s">
        <v>833</v>
      </c>
      <c r="F401" t="s">
        <v>38</v>
      </c>
      <c r="G401" t="s">
        <v>39</v>
      </c>
      <c r="H401" t="s">
        <v>834</v>
      </c>
      <c r="I401" t="s">
        <v>835</v>
      </c>
      <c r="J401" t="s">
        <v>21</v>
      </c>
      <c r="K401" t="s">
        <v>759</v>
      </c>
      <c r="M401" t="s">
        <v>23</v>
      </c>
      <c r="N401" t="s">
        <v>24</v>
      </c>
      <c r="O401" t="s">
        <v>25</v>
      </c>
      <c r="P401" t="s">
        <v>26</v>
      </c>
      <c r="Q401" t="s">
        <v>40</v>
      </c>
      <c r="R401" t="s">
        <v>28</v>
      </c>
    </row>
    <row r="402" spans="1:18" ht="15" hidden="1">
      <c r="A402" s="2">
        <v>44427</v>
      </c>
      <c r="B402" s="25">
        <v>8</v>
      </c>
      <c r="C402" s="25">
        <v>2021</v>
      </c>
      <c r="D402" s="7">
        <v>2310.1599999999999</v>
      </c>
      <c r="E402" t="s">
        <v>836</v>
      </c>
      <c r="F402" t="s">
        <v>29</v>
      </c>
      <c r="G402" t="s">
        <v>30</v>
      </c>
      <c r="H402" t="s">
        <v>837</v>
      </c>
      <c r="I402" t="s">
        <v>838</v>
      </c>
      <c r="J402" t="s">
        <v>31</v>
      </c>
      <c r="K402" t="s">
        <v>773</v>
      </c>
      <c r="M402" t="s">
        <v>23</v>
      </c>
      <c r="N402" t="s">
        <v>32</v>
      </c>
      <c r="O402" t="s">
        <v>28</v>
      </c>
      <c r="P402" t="s">
        <v>26</v>
      </c>
      <c r="Q402" t="s">
        <v>27</v>
      </c>
      <c r="R402" t="s">
        <v>28</v>
      </c>
    </row>
    <row r="403" spans="1:18" ht="15" hidden="1">
      <c r="A403" s="2">
        <v>44427</v>
      </c>
      <c r="B403" s="25">
        <v>8</v>
      </c>
      <c r="C403" s="25">
        <v>2021</v>
      </c>
      <c r="D403" s="5">
        <v>198499.44</v>
      </c>
      <c r="E403" t="s">
        <v>770</v>
      </c>
      <c r="F403" t="s">
        <v>44</v>
      </c>
      <c r="G403" t="s">
        <v>45</v>
      </c>
      <c r="H403" t="s">
        <v>771</v>
      </c>
      <c r="I403" t="s">
        <v>772</v>
      </c>
      <c r="J403" t="s">
        <v>21</v>
      </c>
      <c r="K403" t="s">
        <v>839</v>
      </c>
      <c r="M403" t="s">
        <v>23</v>
      </c>
      <c r="N403" t="s">
        <v>24</v>
      </c>
      <c r="O403" t="s">
        <v>25</v>
      </c>
      <c r="P403" t="s">
        <v>26</v>
      </c>
      <c r="Q403" t="s">
        <v>40</v>
      </c>
      <c r="R403" t="s">
        <v>28</v>
      </c>
    </row>
    <row r="404" spans="1:18" ht="15" hidden="1">
      <c r="A404" s="2">
        <v>44427</v>
      </c>
      <c r="B404" s="25">
        <v>8</v>
      </c>
      <c r="C404" s="25">
        <v>2021</v>
      </c>
      <c r="D404" s="7">
        <v>183.63</v>
      </c>
      <c r="E404" t="s">
        <v>836</v>
      </c>
      <c r="F404" t="s">
        <v>29</v>
      </c>
      <c r="G404" t="s">
        <v>30</v>
      </c>
      <c r="H404" t="s">
        <v>837</v>
      </c>
      <c r="I404" t="s">
        <v>838</v>
      </c>
      <c r="J404" t="s">
        <v>21</v>
      </c>
      <c r="K404" t="s">
        <v>839</v>
      </c>
      <c r="M404" t="s">
        <v>23</v>
      </c>
      <c r="N404" t="s">
        <v>24</v>
      </c>
      <c r="O404" t="s">
        <v>25</v>
      </c>
      <c r="P404" t="s">
        <v>26</v>
      </c>
      <c r="Q404" t="s">
        <v>27</v>
      </c>
      <c r="R404" t="s">
        <v>28</v>
      </c>
    </row>
    <row r="405" spans="1:18" ht="15" hidden="1">
      <c r="A405" s="2">
        <v>44433</v>
      </c>
      <c r="B405" s="25">
        <v>8</v>
      </c>
      <c r="C405" s="25">
        <v>2021</v>
      </c>
      <c r="D405" s="5">
        <v>14.279999999999999</v>
      </c>
      <c r="E405" t="s">
        <v>827</v>
      </c>
      <c r="F405" t="s">
        <v>36</v>
      </c>
      <c r="G405" t="s">
        <v>37</v>
      </c>
      <c r="H405" t="s">
        <v>828</v>
      </c>
      <c r="I405" t="s">
        <v>829</v>
      </c>
      <c r="J405" t="s">
        <v>21</v>
      </c>
      <c r="K405" t="s">
        <v>783</v>
      </c>
      <c r="M405" t="s">
        <v>23</v>
      </c>
      <c r="N405" t="s">
        <v>24</v>
      </c>
      <c r="O405" t="s">
        <v>25</v>
      </c>
      <c r="P405" t="s">
        <v>26</v>
      </c>
      <c r="Q405" t="s">
        <v>40</v>
      </c>
      <c r="R405" t="s">
        <v>28</v>
      </c>
    </row>
    <row r="406" spans="1:18" ht="15" hidden="1">
      <c r="A406" s="2">
        <v>44439</v>
      </c>
      <c r="B406" s="25">
        <v>8</v>
      </c>
      <c r="C406" s="25">
        <v>2021</v>
      </c>
      <c r="D406" s="5">
        <v>390.69</v>
      </c>
      <c r="E406" t="s">
        <v>805</v>
      </c>
      <c r="F406" t="s">
        <v>36</v>
      </c>
      <c r="G406" t="s">
        <v>37</v>
      </c>
      <c r="H406" t="s">
        <v>806</v>
      </c>
      <c r="I406" t="s">
        <v>807</v>
      </c>
      <c r="J406" t="s">
        <v>21</v>
      </c>
      <c r="K406" t="s">
        <v>751</v>
      </c>
      <c r="M406" t="s">
        <v>23</v>
      </c>
      <c r="N406" t="s">
        <v>24</v>
      </c>
      <c r="O406" t="s">
        <v>25</v>
      </c>
      <c r="P406" t="s">
        <v>26</v>
      </c>
      <c r="Q406" t="s">
        <v>40</v>
      </c>
      <c r="R406" t="s">
        <v>28</v>
      </c>
    </row>
    <row r="407" spans="1:18" ht="15" hidden="1">
      <c r="A407" s="2">
        <v>44439</v>
      </c>
      <c r="B407" s="25">
        <v>8</v>
      </c>
      <c r="C407" s="25">
        <v>2021</v>
      </c>
      <c r="D407" s="5">
        <v>216165.25</v>
      </c>
      <c r="E407" t="s">
        <v>824</v>
      </c>
      <c r="F407" t="s">
        <v>44</v>
      </c>
      <c r="G407" t="s">
        <v>45</v>
      </c>
      <c r="H407" t="s">
        <v>825</v>
      </c>
      <c r="I407" t="s">
        <v>826</v>
      </c>
      <c r="J407" t="s">
        <v>21</v>
      </c>
      <c r="K407" t="s">
        <v>751</v>
      </c>
      <c r="M407" t="s">
        <v>23</v>
      </c>
      <c r="N407" t="s">
        <v>24</v>
      </c>
      <c r="O407" t="s">
        <v>25</v>
      </c>
      <c r="P407" t="s">
        <v>26</v>
      </c>
      <c r="Q407" t="s">
        <v>40</v>
      </c>
      <c r="R407" t="s">
        <v>28</v>
      </c>
    </row>
    <row r="408" spans="1:18" ht="15" hidden="1">
      <c r="A408" s="2">
        <v>44439</v>
      </c>
      <c r="B408" s="25">
        <v>8</v>
      </c>
      <c r="C408" s="25">
        <v>2021</v>
      </c>
      <c r="D408" s="5">
        <v>21716.41</v>
      </c>
      <c r="E408" t="s">
        <v>790</v>
      </c>
      <c r="F408" t="s">
        <v>41</v>
      </c>
      <c r="G408" t="s">
        <v>42</v>
      </c>
      <c r="H408" t="s">
        <v>791</v>
      </c>
      <c r="I408" t="s">
        <v>792</v>
      </c>
      <c r="J408" t="s">
        <v>21</v>
      </c>
      <c r="K408" t="s">
        <v>751</v>
      </c>
      <c r="M408" t="s">
        <v>23</v>
      </c>
      <c r="N408" t="s">
        <v>24</v>
      </c>
      <c r="O408" t="s">
        <v>25</v>
      </c>
      <c r="P408" t="s">
        <v>43</v>
      </c>
      <c r="Q408" t="s">
        <v>40</v>
      </c>
      <c r="R408" t="s">
        <v>28</v>
      </c>
    </row>
    <row r="409" spans="1:18" ht="15" hidden="1">
      <c r="A409" s="2">
        <v>44413</v>
      </c>
      <c r="B409" s="25">
        <v>8</v>
      </c>
      <c r="C409" s="25">
        <v>2021</v>
      </c>
      <c r="D409" s="7">
        <v>1206.28</v>
      </c>
      <c r="E409" t="s">
        <v>752</v>
      </c>
      <c r="F409" t="s">
        <v>29</v>
      </c>
      <c r="G409" t="s">
        <v>30</v>
      </c>
      <c r="H409" t="s">
        <v>753</v>
      </c>
      <c r="I409" t="s">
        <v>754</v>
      </c>
      <c r="J409" t="s">
        <v>21</v>
      </c>
      <c r="K409" t="s">
        <v>797</v>
      </c>
      <c r="M409" t="s">
        <v>23</v>
      </c>
      <c r="N409" t="s">
        <v>24</v>
      </c>
      <c r="O409" t="s">
        <v>25</v>
      </c>
      <c r="P409" t="s">
        <v>26</v>
      </c>
      <c r="Q409" t="s">
        <v>27</v>
      </c>
      <c r="R409" t="s">
        <v>28</v>
      </c>
    </row>
    <row r="410" spans="1:18" ht="15" hidden="1">
      <c r="A410" s="2">
        <v>44425</v>
      </c>
      <c r="B410" s="25">
        <v>8</v>
      </c>
      <c r="C410" s="25">
        <v>2021</v>
      </c>
      <c r="D410" s="5">
        <v>816186.64000000001</v>
      </c>
      <c r="E410" t="s">
        <v>774</v>
      </c>
      <c r="F410" t="s">
        <v>44</v>
      </c>
      <c r="G410" t="s">
        <v>45</v>
      </c>
      <c r="H410" t="s">
        <v>775</v>
      </c>
      <c r="I410" t="s">
        <v>776</v>
      </c>
      <c r="J410" t="s">
        <v>31</v>
      </c>
      <c r="K410" t="s">
        <v>763</v>
      </c>
      <c r="M410" t="s">
        <v>23</v>
      </c>
      <c r="N410" t="s">
        <v>32</v>
      </c>
      <c r="O410" t="s">
        <v>28</v>
      </c>
      <c r="P410" t="s">
        <v>26</v>
      </c>
      <c r="Q410" t="s">
        <v>27</v>
      </c>
      <c r="R410" t="s">
        <v>28</v>
      </c>
    </row>
    <row r="411" spans="1:18" ht="15" hidden="1">
      <c r="A411" s="2">
        <v>44425</v>
      </c>
      <c r="B411" s="25">
        <v>8</v>
      </c>
      <c r="C411" s="25">
        <v>2021</v>
      </c>
      <c r="D411" s="5">
        <v>17702.610000000001</v>
      </c>
      <c r="E411" t="s">
        <v>760</v>
      </c>
      <c r="F411" t="s">
        <v>41</v>
      </c>
      <c r="G411" t="s">
        <v>42</v>
      </c>
      <c r="H411" t="s">
        <v>761</v>
      </c>
      <c r="I411" t="s">
        <v>762</v>
      </c>
      <c r="J411" t="s">
        <v>21</v>
      </c>
      <c r="K411" t="s">
        <v>759</v>
      </c>
      <c r="M411" t="s">
        <v>23</v>
      </c>
      <c r="N411" t="s">
        <v>24</v>
      </c>
      <c r="O411" t="s">
        <v>25</v>
      </c>
      <c r="P411" t="s">
        <v>43</v>
      </c>
      <c r="Q411" t="s">
        <v>40</v>
      </c>
      <c r="R411" t="s">
        <v>28</v>
      </c>
    </row>
    <row r="412" spans="1:18" ht="15" hidden="1">
      <c r="A412" s="2">
        <v>44427</v>
      </c>
      <c r="B412" s="25">
        <v>8</v>
      </c>
      <c r="C412" s="25">
        <v>2021</v>
      </c>
      <c r="D412" s="5">
        <v>15559.950000000001</v>
      </c>
      <c r="E412" t="s">
        <v>814</v>
      </c>
      <c r="F412" t="s">
        <v>41</v>
      </c>
      <c r="G412" t="s">
        <v>42</v>
      </c>
      <c r="H412" t="s">
        <v>815</v>
      </c>
      <c r="I412" t="s">
        <v>816</v>
      </c>
      <c r="J412" t="s">
        <v>21</v>
      </c>
      <c r="K412" t="s">
        <v>839</v>
      </c>
      <c r="M412" t="s">
        <v>23</v>
      </c>
      <c r="N412" t="s">
        <v>24</v>
      </c>
      <c r="O412" t="s">
        <v>25</v>
      </c>
      <c r="P412" t="s">
        <v>43</v>
      </c>
      <c r="Q412" t="s">
        <v>40</v>
      </c>
      <c r="R412" t="s">
        <v>28</v>
      </c>
    </row>
    <row r="413" spans="1:18" ht="15" hidden="1">
      <c r="A413" s="2">
        <v>44425</v>
      </c>
      <c r="B413" s="25">
        <v>8</v>
      </c>
      <c r="C413" s="25">
        <v>2021</v>
      </c>
      <c r="D413" s="5">
        <v>6089.2299999999996</v>
      </c>
      <c r="E413" t="s">
        <v>756</v>
      </c>
      <c r="F413" t="s">
        <v>29</v>
      </c>
      <c r="G413" t="s">
        <v>30</v>
      </c>
      <c r="H413" t="s">
        <v>757</v>
      </c>
      <c r="I413" t="s">
        <v>758</v>
      </c>
      <c r="J413" t="s">
        <v>31</v>
      </c>
      <c r="K413" t="s">
        <v>763</v>
      </c>
      <c r="M413" t="s">
        <v>23</v>
      </c>
      <c r="N413" t="s">
        <v>32</v>
      </c>
      <c r="O413" t="s">
        <v>28</v>
      </c>
      <c r="P413" t="s">
        <v>26</v>
      </c>
      <c r="Q413" t="s">
        <v>27</v>
      </c>
      <c r="R413" t="s">
        <v>28</v>
      </c>
    </row>
    <row r="414" spans="1:18" ht="15" hidden="1">
      <c r="A414" s="2">
        <v>44469</v>
      </c>
      <c r="B414" s="25">
        <v>9</v>
      </c>
      <c r="C414" s="25">
        <v>2021</v>
      </c>
      <c r="D414" s="5">
        <v>17974.189999999999</v>
      </c>
      <c r="E414" t="s">
        <v>840</v>
      </c>
      <c r="F414" t="s">
        <v>41</v>
      </c>
      <c r="G414" t="s">
        <v>42</v>
      </c>
      <c r="H414" t="s">
        <v>841</v>
      </c>
      <c r="I414" t="s">
        <v>842</v>
      </c>
      <c r="J414" t="s">
        <v>21</v>
      </c>
      <c r="K414" t="s">
        <v>843</v>
      </c>
      <c r="M414" t="s">
        <v>23</v>
      </c>
      <c r="N414" t="s">
        <v>24</v>
      </c>
      <c r="O414" t="s">
        <v>25</v>
      </c>
      <c r="P414" t="s">
        <v>43</v>
      </c>
      <c r="Q414" t="s">
        <v>40</v>
      </c>
      <c r="R414" t="s">
        <v>28</v>
      </c>
    </row>
    <row r="415" spans="1:18" ht="15" hidden="1">
      <c r="A415" s="2">
        <v>44469</v>
      </c>
      <c r="B415" s="25">
        <v>9</v>
      </c>
      <c r="C415" s="25">
        <v>2021</v>
      </c>
      <c r="D415" s="5">
        <v>3627.3499999999999</v>
      </c>
      <c r="E415" t="s">
        <v>844</v>
      </c>
      <c r="F415" t="s">
        <v>38</v>
      </c>
      <c r="G415" t="s">
        <v>39</v>
      </c>
      <c r="H415" t="s">
        <v>845</v>
      </c>
      <c r="I415" t="s">
        <v>846</v>
      </c>
      <c r="J415" t="s">
        <v>31</v>
      </c>
      <c r="K415" t="s">
        <v>847</v>
      </c>
      <c r="M415" t="s">
        <v>23</v>
      </c>
      <c r="N415" t="s">
        <v>32</v>
      </c>
      <c r="O415" t="s">
        <v>28</v>
      </c>
      <c r="P415" t="s">
        <v>26</v>
      </c>
      <c r="Q415" t="s">
        <v>27</v>
      </c>
      <c r="R415" t="s">
        <v>28</v>
      </c>
    </row>
    <row r="416" spans="1:18" ht="15" hidden="1">
      <c r="A416" s="2">
        <v>44461</v>
      </c>
      <c r="B416" s="25">
        <v>9</v>
      </c>
      <c r="C416" s="25">
        <v>2021</v>
      </c>
      <c r="D416" s="5">
        <v>3900</v>
      </c>
      <c r="E416" t="s">
        <v>848</v>
      </c>
      <c r="F416" t="s">
        <v>48</v>
      </c>
      <c r="G416" t="s">
        <v>256</v>
      </c>
      <c r="H416" t="s">
        <v>849</v>
      </c>
      <c r="I416" t="s">
        <v>850</v>
      </c>
      <c r="J416" t="s">
        <v>31</v>
      </c>
      <c r="K416" t="s">
        <v>851</v>
      </c>
      <c r="M416" t="s">
        <v>23</v>
      </c>
      <c r="N416" t="s">
        <v>32</v>
      </c>
      <c r="O416" t="s">
        <v>28</v>
      </c>
      <c r="P416" t="s">
        <v>49</v>
      </c>
      <c r="Q416" t="s">
        <v>50</v>
      </c>
      <c r="R416" t="s">
        <v>28</v>
      </c>
    </row>
    <row r="417" spans="1:18" ht="15" hidden="1">
      <c r="A417" s="2">
        <v>44461</v>
      </c>
      <c r="B417" s="25">
        <v>9</v>
      </c>
      <c r="C417" s="25">
        <v>2021</v>
      </c>
      <c r="D417" s="5">
        <v>13427.040000000001</v>
      </c>
      <c r="E417" t="s">
        <v>852</v>
      </c>
      <c r="F417" t="s">
        <v>41</v>
      </c>
      <c r="G417" t="s">
        <v>42</v>
      </c>
      <c r="H417" t="s">
        <v>853</v>
      </c>
      <c r="I417" t="s">
        <v>854</v>
      </c>
      <c r="J417" t="s">
        <v>21</v>
      </c>
      <c r="K417" t="s">
        <v>855</v>
      </c>
      <c r="M417" t="s">
        <v>23</v>
      </c>
      <c r="N417" t="s">
        <v>24</v>
      </c>
      <c r="O417" t="s">
        <v>25</v>
      </c>
      <c r="P417" t="s">
        <v>43</v>
      </c>
      <c r="Q417" t="s">
        <v>40</v>
      </c>
      <c r="R417" t="s">
        <v>28</v>
      </c>
    </row>
    <row r="418" spans="1:18" ht="15" hidden="1">
      <c r="A418" s="2">
        <v>44461</v>
      </c>
      <c r="B418" s="25">
        <v>9</v>
      </c>
      <c r="C418" s="25">
        <v>2021</v>
      </c>
      <c r="D418" s="5">
        <v>1320511.49</v>
      </c>
      <c r="E418" t="s">
        <v>856</v>
      </c>
      <c r="F418" t="s">
        <v>44</v>
      </c>
      <c r="G418" t="s">
        <v>45</v>
      </c>
      <c r="H418" t="s">
        <v>857</v>
      </c>
      <c r="I418" t="s">
        <v>858</v>
      </c>
      <c r="J418" t="s">
        <v>31</v>
      </c>
      <c r="K418" t="s">
        <v>851</v>
      </c>
      <c r="M418" t="s">
        <v>23</v>
      </c>
      <c r="N418" t="s">
        <v>32</v>
      </c>
      <c r="O418" t="s">
        <v>28</v>
      </c>
      <c r="P418" t="s">
        <v>26</v>
      </c>
      <c r="Q418" t="s">
        <v>27</v>
      </c>
      <c r="R418" t="s">
        <v>28</v>
      </c>
    </row>
    <row r="419" spans="1:18" ht="15" hidden="1">
      <c r="A419" s="2">
        <v>44461</v>
      </c>
      <c r="B419" s="25">
        <v>9</v>
      </c>
      <c r="C419" s="25">
        <v>2021</v>
      </c>
      <c r="D419" s="5">
        <v>786931.52000000002</v>
      </c>
      <c r="E419" t="s">
        <v>859</v>
      </c>
      <c r="F419" t="s">
        <v>44</v>
      </c>
      <c r="G419" t="s">
        <v>45</v>
      </c>
      <c r="H419" t="s">
        <v>860</v>
      </c>
      <c r="I419" t="s">
        <v>861</v>
      </c>
      <c r="J419" t="s">
        <v>31</v>
      </c>
      <c r="K419" t="s">
        <v>851</v>
      </c>
      <c r="M419" t="s">
        <v>23</v>
      </c>
      <c r="N419" t="s">
        <v>32</v>
      </c>
      <c r="O419" t="s">
        <v>28</v>
      </c>
      <c r="P419" t="s">
        <v>26</v>
      </c>
      <c r="Q419" t="s">
        <v>27</v>
      </c>
      <c r="R419" t="s">
        <v>28</v>
      </c>
    </row>
    <row r="420" spans="1:18" ht="15" hidden="1">
      <c r="A420" s="2">
        <v>44461</v>
      </c>
      <c r="B420" s="25">
        <v>9</v>
      </c>
      <c r="C420" s="25">
        <v>2021</v>
      </c>
      <c r="D420" s="5">
        <v>50984.440000000002</v>
      </c>
      <c r="E420" t="s">
        <v>862</v>
      </c>
      <c r="F420" t="s">
        <v>38</v>
      </c>
      <c r="G420" t="s">
        <v>39</v>
      </c>
      <c r="H420" t="s">
        <v>863</v>
      </c>
      <c r="I420" t="s">
        <v>864</v>
      </c>
      <c r="J420" t="s">
        <v>21</v>
      </c>
      <c r="K420" t="s">
        <v>855</v>
      </c>
      <c r="M420" t="s">
        <v>23</v>
      </c>
      <c r="N420" t="s">
        <v>24</v>
      </c>
      <c r="O420" t="s">
        <v>25</v>
      </c>
      <c r="P420" t="s">
        <v>26</v>
      </c>
      <c r="Q420" t="s">
        <v>40</v>
      </c>
      <c r="R420" t="s">
        <v>28</v>
      </c>
    </row>
    <row r="421" spans="1:18" ht="15" hidden="1">
      <c r="A421" s="2">
        <v>44463</v>
      </c>
      <c r="B421" s="25">
        <v>9</v>
      </c>
      <c r="C421" s="25">
        <v>2021</v>
      </c>
      <c r="D421" s="5">
        <v>16681.259999999998</v>
      </c>
      <c r="E421" t="s">
        <v>865</v>
      </c>
      <c r="F421" t="s">
        <v>41</v>
      </c>
      <c r="G421" t="s">
        <v>42</v>
      </c>
      <c r="H421" t="s">
        <v>866</v>
      </c>
      <c r="I421" t="s">
        <v>867</v>
      </c>
      <c r="J421" t="s">
        <v>21</v>
      </c>
      <c r="K421" t="s">
        <v>868</v>
      </c>
      <c r="M421" t="s">
        <v>23</v>
      </c>
      <c r="N421" t="s">
        <v>24</v>
      </c>
      <c r="O421" t="s">
        <v>25</v>
      </c>
      <c r="P421" t="s">
        <v>43</v>
      </c>
      <c r="Q421" t="s">
        <v>40</v>
      </c>
      <c r="R421" t="s">
        <v>28</v>
      </c>
    </row>
    <row r="422" spans="1:18" ht="15" hidden="1">
      <c r="A422" s="2">
        <v>44463</v>
      </c>
      <c r="B422" s="25">
        <v>9</v>
      </c>
      <c r="C422" s="25">
        <v>2021</v>
      </c>
      <c r="D422" s="5">
        <v>60307</v>
      </c>
      <c r="E422" t="s">
        <v>865</v>
      </c>
      <c r="F422" t="s">
        <v>41</v>
      </c>
      <c r="G422" t="s">
        <v>42</v>
      </c>
      <c r="H422" t="s">
        <v>866</v>
      </c>
      <c r="I422" t="s">
        <v>867</v>
      </c>
      <c r="J422" t="s">
        <v>31</v>
      </c>
      <c r="K422" t="s">
        <v>869</v>
      </c>
      <c r="M422" t="s">
        <v>23</v>
      </c>
      <c r="N422" t="s">
        <v>32</v>
      </c>
      <c r="O422" t="s">
        <v>28</v>
      </c>
      <c r="P422" t="s">
        <v>43</v>
      </c>
      <c r="Q422" t="s">
        <v>27</v>
      </c>
      <c r="R422" t="s">
        <v>28</v>
      </c>
    </row>
    <row r="423" spans="1:18" ht="15" hidden="1">
      <c r="A423" s="2">
        <v>44461</v>
      </c>
      <c r="B423" s="25">
        <v>9</v>
      </c>
      <c r="C423" s="25">
        <v>2021</v>
      </c>
      <c r="D423" s="5">
        <v>154.16999999999999</v>
      </c>
      <c r="E423" t="s">
        <v>870</v>
      </c>
      <c r="F423" t="s">
        <v>29</v>
      </c>
      <c r="G423" t="s">
        <v>30</v>
      </c>
      <c r="H423" t="s">
        <v>871</v>
      </c>
      <c r="I423" t="s">
        <v>872</v>
      </c>
      <c r="J423" t="s">
        <v>21</v>
      </c>
      <c r="K423" t="s">
        <v>855</v>
      </c>
      <c r="M423" t="s">
        <v>23</v>
      </c>
      <c r="N423" t="s">
        <v>24</v>
      </c>
      <c r="O423" t="s">
        <v>25</v>
      </c>
      <c r="P423" t="s">
        <v>26</v>
      </c>
      <c r="Q423" t="s">
        <v>27</v>
      </c>
      <c r="R423" t="s">
        <v>28</v>
      </c>
    </row>
    <row r="424" spans="1:18" ht="15" hidden="1">
      <c r="A424" s="2">
        <v>44461</v>
      </c>
      <c r="B424" s="25">
        <v>9</v>
      </c>
      <c r="C424" s="25">
        <v>2021</v>
      </c>
      <c r="D424" s="5">
        <v>437.12</v>
      </c>
      <c r="E424" t="s">
        <v>873</v>
      </c>
      <c r="F424" t="s">
        <v>36</v>
      </c>
      <c r="G424" t="s">
        <v>37</v>
      </c>
      <c r="H424" t="s">
        <v>874</v>
      </c>
      <c r="I424" t="s">
        <v>875</v>
      </c>
      <c r="J424" t="s">
        <v>21</v>
      </c>
      <c r="K424" t="s">
        <v>855</v>
      </c>
      <c r="M424" t="s">
        <v>23</v>
      </c>
      <c r="N424" t="s">
        <v>24</v>
      </c>
      <c r="O424" t="s">
        <v>25</v>
      </c>
      <c r="P424" t="s">
        <v>26</v>
      </c>
      <c r="Q424" t="s">
        <v>40</v>
      </c>
      <c r="R424" t="s">
        <v>28</v>
      </c>
    </row>
    <row r="425" spans="1:18" ht="15" hidden="1">
      <c r="A425" s="2">
        <v>44461</v>
      </c>
      <c r="B425" s="25">
        <v>9</v>
      </c>
      <c r="C425" s="25">
        <v>2021</v>
      </c>
      <c r="D425" s="5">
        <v>508.88999999999999</v>
      </c>
      <c r="E425" t="s">
        <v>876</v>
      </c>
      <c r="F425" t="s">
        <v>36</v>
      </c>
      <c r="G425" t="s">
        <v>37</v>
      </c>
      <c r="H425" t="s">
        <v>877</v>
      </c>
      <c r="I425" t="s">
        <v>878</v>
      </c>
      <c r="J425" t="s">
        <v>31</v>
      </c>
      <c r="K425" t="s">
        <v>851</v>
      </c>
      <c r="M425" t="s">
        <v>23</v>
      </c>
      <c r="N425" t="s">
        <v>32</v>
      </c>
      <c r="O425" t="s">
        <v>28</v>
      </c>
      <c r="P425" t="s">
        <v>26</v>
      </c>
      <c r="Q425" t="s">
        <v>27</v>
      </c>
      <c r="R425" t="s">
        <v>28</v>
      </c>
    </row>
    <row r="426" spans="1:18" ht="15" hidden="1">
      <c r="A426" s="2">
        <v>44469</v>
      </c>
      <c r="B426" s="25">
        <v>9</v>
      </c>
      <c r="C426" s="25">
        <v>2021</v>
      </c>
      <c r="D426" s="5">
        <v>792.88999999999999</v>
      </c>
      <c r="E426" t="s">
        <v>879</v>
      </c>
      <c r="F426" t="s">
        <v>36</v>
      </c>
      <c r="G426" t="s">
        <v>37</v>
      </c>
      <c r="H426" t="s">
        <v>880</v>
      </c>
      <c r="I426" t="s">
        <v>881</v>
      </c>
      <c r="J426" t="s">
        <v>21</v>
      </c>
      <c r="K426" t="s">
        <v>843</v>
      </c>
      <c r="M426" t="s">
        <v>23</v>
      </c>
      <c r="N426" t="s">
        <v>24</v>
      </c>
      <c r="O426" t="s">
        <v>25</v>
      </c>
      <c r="P426" t="s">
        <v>26</v>
      </c>
      <c r="Q426" t="s">
        <v>40</v>
      </c>
      <c r="R426" t="s">
        <v>28</v>
      </c>
    </row>
    <row r="427" spans="1:18" ht="15" hidden="1">
      <c r="A427" s="2">
        <v>44469</v>
      </c>
      <c r="B427" s="25">
        <v>9</v>
      </c>
      <c r="C427" s="25">
        <v>2021</v>
      </c>
      <c r="D427" s="5">
        <v>249.78999999999999</v>
      </c>
      <c r="E427" t="s">
        <v>882</v>
      </c>
      <c r="F427" t="s">
        <v>29</v>
      </c>
      <c r="G427" t="s">
        <v>30</v>
      </c>
      <c r="H427" t="s">
        <v>883</v>
      </c>
      <c r="I427" t="s">
        <v>884</v>
      </c>
      <c r="J427" t="s">
        <v>21</v>
      </c>
      <c r="K427" t="s">
        <v>843</v>
      </c>
      <c r="M427" t="s">
        <v>23</v>
      </c>
      <c r="N427" t="s">
        <v>24</v>
      </c>
      <c r="O427" t="s">
        <v>25</v>
      </c>
      <c r="P427" t="s">
        <v>26</v>
      </c>
      <c r="Q427" t="s">
        <v>27</v>
      </c>
      <c r="R427" t="s">
        <v>28</v>
      </c>
    </row>
    <row r="428" spans="1:18" ht="15" hidden="1">
      <c r="A428" s="2">
        <v>44461</v>
      </c>
      <c r="B428" s="25">
        <v>9</v>
      </c>
      <c r="C428" s="25">
        <v>2021</v>
      </c>
      <c r="D428" s="5">
        <v>107.56</v>
      </c>
      <c r="E428" t="s">
        <v>885</v>
      </c>
      <c r="F428" t="s">
        <v>38</v>
      </c>
      <c r="G428" t="s">
        <v>39</v>
      </c>
      <c r="H428" t="s">
        <v>886</v>
      </c>
      <c r="I428" t="s">
        <v>887</v>
      </c>
      <c r="J428" t="s">
        <v>31</v>
      </c>
      <c r="K428" t="s">
        <v>851</v>
      </c>
      <c r="M428" t="s">
        <v>23</v>
      </c>
      <c r="N428" t="s">
        <v>32</v>
      </c>
      <c r="O428" t="s">
        <v>28</v>
      </c>
      <c r="P428" t="s">
        <v>26</v>
      </c>
      <c r="Q428" t="s">
        <v>27</v>
      </c>
      <c r="R428" t="s">
        <v>28</v>
      </c>
    </row>
    <row r="429" spans="1:18" ht="15" hidden="1">
      <c r="A429" s="2">
        <v>44461</v>
      </c>
      <c r="B429" s="25">
        <v>9</v>
      </c>
      <c r="C429" s="25">
        <v>2021</v>
      </c>
      <c r="D429" s="5">
        <v>158660.51000000001</v>
      </c>
      <c r="E429" t="s">
        <v>888</v>
      </c>
      <c r="F429" t="s">
        <v>38</v>
      </c>
      <c r="G429" t="s">
        <v>39</v>
      </c>
      <c r="H429" t="s">
        <v>889</v>
      </c>
      <c r="I429" t="s">
        <v>890</v>
      </c>
      <c r="J429" t="s">
        <v>31</v>
      </c>
      <c r="K429" t="s">
        <v>851</v>
      </c>
      <c r="M429" t="s">
        <v>23</v>
      </c>
      <c r="N429" t="s">
        <v>32</v>
      </c>
      <c r="O429" t="s">
        <v>28</v>
      </c>
      <c r="P429" t="s">
        <v>26</v>
      </c>
      <c r="Q429" t="s">
        <v>27</v>
      </c>
      <c r="R429" t="s">
        <v>28</v>
      </c>
    </row>
    <row r="430" spans="1:18" ht="15" hidden="1">
      <c r="A430" s="2">
        <v>44461</v>
      </c>
      <c r="B430" s="25">
        <v>9</v>
      </c>
      <c r="C430" s="25">
        <v>2021</v>
      </c>
      <c r="D430" s="5">
        <v>55570.720000000001</v>
      </c>
      <c r="E430" t="s">
        <v>891</v>
      </c>
      <c r="F430" t="s">
        <v>41</v>
      </c>
      <c r="G430" t="s">
        <v>42</v>
      </c>
      <c r="H430" t="s">
        <v>892</v>
      </c>
      <c r="I430" t="s">
        <v>893</v>
      </c>
      <c r="J430" t="s">
        <v>31</v>
      </c>
      <c r="K430" t="s">
        <v>851</v>
      </c>
      <c r="M430" t="s">
        <v>23</v>
      </c>
      <c r="N430" t="s">
        <v>32</v>
      </c>
      <c r="O430" t="s">
        <v>28</v>
      </c>
      <c r="P430" t="s">
        <v>43</v>
      </c>
      <c r="Q430" t="s">
        <v>27</v>
      </c>
      <c r="R430" t="s">
        <v>28</v>
      </c>
    </row>
    <row r="431" spans="1:18" ht="15" hidden="1">
      <c r="A431" s="2">
        <v>44468</v>
      </c>
      <c r="B431" s="25">
        <v>9</v>
      </c>
      <c r="C431" s="25">
        <v>2021</v>
      </c>
      <c r="D431" s="5">
        <v>251158.48999999999</v>
      </c>
      <c r="E431" t="s">
        <v>894</v>
      </c>
      <c r="F431" t="s">
        <v>38</v>
      </c>
      <c r="G431" t="s">
        <v>39</v>
      </c>
      <c r="H431" t="s">
        <v>895</v>
      </c>
      <c r="I431" t="s">
        <v>896</v>
      </c>
      <c r="J431" t="s">
        <v>31</v>
      </c>
      <c r="K431" t="s">
        <v>897</v>
      </c>
      <c r="M431" t="s">
        <v>23</v>
      </c>
      <c r="N431" t="s">
        <v>32</v>
      </c>
      <c r="O431" t="s">
        <v>28</v>
      </c>
      <c r="P431" t="s">
        <v>26</v>
      </c>
      <c r="Q431" t="s">
        <v>27</v>
      </c>
      <c r="R431" t="s">
        <v>28</v>
      </c>
    </row>
    <row r="432" spans="1:18" ht="15" hidden="1">
      <c r="A432" s="2">
        <v>44463</v>
      </c>
      <c r="B432" s="25">
        <v>9</v>
      </c>
      <c r="C432" s="25">
        <v>2021</v>
      </c>
      <c r="D432" s="5">
        <v>34.25</v>
      </c>
      <c r="E432" t="s">
        <v>898</v>
      </c>
      <c r="F432" t="s">
        <v>38</v>
      </c>
      <c r="G432" t="s">
        <v>39</v>
      </c>
      <c r="H432" t="s">
        <v>899</v>
      </c>
      <c r="I432" t="s">
        <v>900</v>
      </c>
      <c r="J432" t="s">
        <v>31</v>
      </c>
      <c r="K432" t="s">
        <v>869</v>
      </c>
      <c r="M432" t="s">
        <v>23</v>
      </c>
      <c r="N432" t="s">
        <v>32</v>
      </c>
      <c r="O432" t="s">
        <v>28</v>
      </c>
      <c r="P432" t="s">
        <v>26</v>
      </c>
      <c r="Q432" t="s">
        <v>27</v>
      </c>
      <c r="R432" t="s">
        <v>28</v>
      </c>
    </row>
    <row r="433" spans="1:18" ht="15" hidden="1">
      <c r="A433" s="2">
        <v>44463</v>
      </c>
      <c r="B433" s="25">
        <v>9</v>
      </c>
      <c r="C433" s="25">
        <v>2021</v>
      </c>
      <c r="D433" s="5">
        <v>935485.81999999995</v>
      </c>
      <c r="E433" t="s">
        <v>901</v>
      </c>
      <c r="F433" t="s">
        <v>44</v>
      </c>
      <c r="G433" t="s">
        <v>45</v>
      </c>
      <c r="H433" t="s">
        <v>902</v>
      </c>
      <c r="I433" t="s">
        <v>903</v>
      </c>
      <c r="J433" t="s">
        <v>31</v>
      </c>
      <c r="K433" t="s">
        <v>869</v>
      </c>
      <c r="M433" t="s">
        <v>23</v>
      </c>
      <c r="N433" t="s">
        <v>32</v>
      </c>
      <c r="O433" t="s">
        <v>28</v>
      </c>
      <c r="P433" t="s">
        <v>26</v>
      </c>
      <c r="Q433" t="s">
        <v>27</v>
      </c>
      <c r="R433" t="s">
        <v>28</v>
      </c>
    </row>
    <row r="434" spans="1:18" ht="15" hidden="1">
      <c r="A434" s="2">
        <v>44469</v>
      </c>
      <c r="B434" s="25">
        <v>9</v>
      </c>
      <c r="C434" s="25">
        <v>2021</v>
      </c>
      <c r="D434" s="5">
        <v>63859.5</v>
      </c>
      <c r="E434" t="s">
        <v>840</v>
      </c>
      <c r="F434" t="s">
        <v>41</v>
      </c>
      <c r="G434" t="s">
        <v>42</v>
      </c>
      <c r="H434" t="s">
        <v>841</v>
      </c>
      <c r="I434" t="s">
        <v>842</v>
      </c>
      <c r="J434" t="s">
        <v>31</v>
      </c>
      <c r="K434" t="s">
        <v>847</v>
      </c>
      <c r="M434" t="s">
        <v>23</v>
      </c>
      <c r="N434" t="s">
        <v>32</v>
      </c>
      <c r="O434" t="s">
        <v>28</v>
      </c>
      <c r="P434" t="s">
        <v>43</v>
      </c>
      <c r="Q434" t="s">
        <v>27</v>
      </c>
      <c r="R434" t="s">
        <v>28</v>
      </c>
    </row>
    <row r="435" spans="1:18" ht="15" hidden="1">
      <c r="A435" s="2">
        <v>44469</v>
      </c>
      <c r="B435" s="25">
        <v>9</v>
      </c>
      <c r="C435" s="25">
        <v>2021</v>
      </c>
      <c r="D435" s="5">
        <v>662273.21999999997</v>
      </c>
      <c r="E435" t="s">
        <v>904</v>
      </c>
      <c r="F435" t="s">
        <v>44</v>
      </c>
      <c r="G435" t="s">
        <v>45</v>
      </c>
      <c r="H435" t="s">
        <v>905</v>
      </c>
      <c r="I435" t="s">
        <v>906</v>
      </c>
      <c r="J435" t="s">
        <v>21</v>
      </c>
      <c r="K435" t="s">
        <v>843</v>
      </c>
      <c r="M435" t="s">
        <v>23</v>
      </c>
      <c r="N435" t="s">
        <v>24</v>
      </c>
      <c r="O435" t="s">
        <v>25</v>
      </c>
      <c r="P435" t="s">
        <v>26</v>
      </c>
      <c r="Q435" t="s">
        <v>40</v>
      </c>
      <c r="R435" t="s">
        <v>28</v>
      </c>
    </row>
    <row r="436" spans="1:18" ht="15" hidden="1">
      <c r="A436" s="2">
        <v>44461</v>
      </c>
      <c r="B436" s="25">
        <v>9</v>
      </c>
      <c r="C436" s="25">
        <v>2021</v>
      </c>
      <c r="D436" s="5">
        <v>1.47</v>
      </c>
      <c r="E436" t="s">
        <v>907</v>
      </c>
      <c r="F436" t="s">
        <v>38</v>
      </c>
      <c r="G436" t="s">
        <v>39</v>
      </c>
      <c r="H436" t="s">
        <v>908</v>
      </c>
      <c r="I436" t="s">
        <v>909</v>
      </c>
      <c r="J436" t="s">
        <v>21</v>
      </c>
      <c r="K436" t="s">
        <v>855</v>
      </c>
      <c r="M436" t="s">
        <v>23</v>
      </c>
      <c r="N436" t="s">
        <v>24</v>
      </c>
      <c r="O436" t="s">
        <v>25</v>
      </c>
      <c r="P436" t="s">
        <v>26</v>
      </c>
      <c r="Q436" t="s">
        <v>40</v>
      </c>
      <c r="R436" t="s">
        <v>28</v>
      </c>
    </row>
    <row r="437" spans="1:18" ht="15" hidden="1">
      <c r="A437" s="2">
        <v>44461</v>
      </c>
      <c r="B437" s="25">
        <v>9</v>
      </c>
      <c r="C437" s="25">
        <v>2021</v>
      </c>
      <c r="D437" s="5">
        <v>261664.45000000001</v>
      </c>
      <c r="E437" t="s">
        <v>859</v>
      </c>
      <c r="F437" t="s">
        <v>44</v>
      </c>
      <c r="G437" t="s">
        <v>45</v>
      </c>
      <c r="H437" t="s">
        <v>860</v>
      </c>
      <c r="I437" t="s">
        <v>861</v>
      </c>
      <c r="J437" t="s">
        <v>21</v>
      </c>
      <c r="K437" t="s">
        <v>855</v>
      </c>
      <c r="M437" t="s">
        <v>23</v>
      </c>
      <c r="N437" t="s">
        <v>24</v>
      </c>
      <c r="O437" t="s">
        <v>25</v>
      </c>
      <c r="P437" t="s">
        <v>26</v>
      </c>
      <c r="Q437" t="s">
        <v>40</v>
      </c>
      <c r="R437" t="s">
        <v>28</v>
      </c>
    </row>
    <row r="438" spans="1:18" ht="15" hidden="1">
      <c r="A438" s="2">
        <v>44461</v>
      </c>
      <c r="B438" s="25">
        <v>9</v>
      </c>
      <c r="C438" s="25">
        <v>2021</v>
      </c>
      <c r="D438" s="5">
        <v>61384.959999999999</v>
      </c>
      <c r="E438" t="s">
        <v>852</v>
      </c>
      <c r="F438" t="s">
        <v>41</v>
      </c>
      <c r="G438" t="s">
        <v>42</v>
      </c>
      <c r="H438" t="s">
        <v>853</v>
      </c>
      <c r="I438" t="s">
        <v>854</v>
      </c>
      <c r="J438" t="s">
        <v>31</v>
      </c>
      <c r="K438" t="s">
        <v>851</v>
      </c>
      <c r="M438" t="s">
        <v>23</v>
      </c>
      <c r="N438" t="s">
        <v>32</v>
      </c>
      <c r="O438" t="s">
        <v>28</v>
      </c>
      <c r="P438" t="s">
        <v>43</v>
      </c>
      <c r="Q438" t="s">
        <v>27</v>
      </c>
      <c r="R438" t="s">
        <v>28</v>
      </c>
    </row>
    <row r="439" spans="1:18" ht="15" hidden="1">
      <c r="A439" s="2">
        <v>44461</v>
      </c>
      <c r="B439" s="25">
        <v>9</v>
      </c>
      <c r="C439" s="25">
        <v>2021</v>
      </c>
      <c r="D439" s="5">
        <v>73.459999999999994</v>
      </c>
      <c r="E439" t="s">
        <v>907</v>
      </c>
      <c r="F439" t="s">
        <v>38</v>
      </c>
      <c r="G439" t="s">
        <v>39</v>
      </c>
      <c r="H439" t="s">
        <v>908</v>
      </c>
      <c r="I439" t="s">
        <v>909</v>
      </c>
      <c r="J439" t="s">
        <v>31</v>
      </c>
      <c r="K439" t="s">
        <v>851</v>
      </c>
      <c r="M439" t="s">
        <v>23</v>
      </c>
      <c r="N439" t="s">
        <v>32</v>
      </c>
      <c r="O439" t="s">
        <v>28</v>
      </c>
      <c r="P439" t="s">
        <v>26</v>
      </c>
      <c r="Q439" t="s">
        <v>27</v>
      </c>
      <c r="R439" t="s">
        <v>28</v>
      </c>
    </row>
    <row r="440" spans="1:18" ht="15" hidden="1">
      <c r="A440" s="2">
        <v>44468</v>
      </c>
      <c r="B440" s="25">
        <v>9</v>
      </c>
      <c r="C440" s="25">
        <v>2021</v>
      </c>
      <c r="D440" s="5">
        <v>45077.050000000003</v>
      </c>
      <c r="E440" t="s">
        <v>894</v>
      </c>
      <c r="F440" t="s">
        <v>38</v>
      </c>
      <c r="G440" t="s">
        <v>39</v>
      </c>
      <c r="H440" t="s">
        <v>895</v>
      </c>
      <c r="I440" t="s">
        <v>896</v>
      </c>
      <c r="J440" t="s">
        <v>21</v>
      </c>
      <c r="K440" t="s">
        <v>910</v>
      </c>
      <c r="M440" t="s">
        <v>23</v>
      </c>
      <c r="N440" t="s">
        <v>24</v>
      </c>
      <c r="O440" t="s">
        <v>25</v>
      </c>
      <c r="P440" t="s">
        <v>26</v>
      </c>
      <c r="Q440" t="s">
        <v>40</v>
      </c>
      <c r="R440" t="s">
        <v>28</v>
      </c>
    </row>
    <row r="441" spans="1:18" ht="15" hidden="1">
      <c r="A441" s="2">
        <v>44463</v>
      </c>
      <c r="B441" s="25">
        <v>9</v>
      </c>
      <c r="C441" s="25">
        <v>2021</v>
      </c>
      <c r="D441" s="5">
        <v>91.590000000000003</v>
      </c>
      <c r="E441" t="s">
        <v>898</v>
      </c>
      <c r="F441" t="s">
        <v>38</v>
      </c>
      <c r="G441" t="s">
        <v>39</v>
      </c>
      <c r="H441" t="s">
        <v>899</v>
      </c>
      <c r="I441" t="s">
        <v>900</v>
      </c>
      <c r="J441" t="s">
        <v>21</v>
      </c>
      <c r="K441" t="s">
        <v>868</v>
      </c>
      <c r="M441" t="s">
        <v>23</v>
      </c>
      <c r="N441" t="s">
        <v>24</v>
      </c>
      <c r="O441" t="s">
        <v>25</v>
      </c>
      <c r="P441" t="s">
        <v>26</v>
      </c>
      <c r="Q441" t="s">
        <v>40</v>
      </c>
      <c r="R441" t="s">
        <v>28</v>
      </c>
    </row>
    <row r="442" spans="1:18" ht="15" hidden="1">
      <c r="A442" s="2">
        <v>44463</v>
      </c>
      <c r="B442" s="25">
        <v>9</v>
      </c>
      <c r="C442" s="25">
        <v>2021</v>
      </c>
      <c r="D442" s="5">
        <v>123630.37</v>
      </c>
      <c r="E442" t="s">
        <v>901</v>
      </c>
      <c r="F442" t="s">
        <v>44</v>
      </c>
      <c r="G442" t="s">
        <v>45</v>
      </c>
      <c r="H442" t="s">
        <v>902</v>
      </c>
      <c r="I442" t="s">
        <v>903</v>
      </c>
      <c r="J442" t="s">
        <v>21</v>
      </c>
      <c r="K442" t="s">
        <v>868</v>
      </c>
      <c r="M442" t="s">
        <v>23</v>
      </c>
      <c r="N442" t="s">
        <v>24</v>
      </c>
      <c r="O442" t="s">
        <v>25</v>
      </c>
      <c r="P442" t="s">
        <v>26</v>
      </c>
      <c r="Q442" t="s">
        <v>40</v>
      </c>
      <c r="R442" t="s">
        <v>28</v>
      </c>
    </row>
    <row r="443" spans="1:18" ht="15" hidden="1">
      <c r="A443" s="2">
        <v>44469</v>
      </c>
      <c r="B443" s="25">
        <v>9</v>
      </c>
      <c r="C443" s="25">
        <v>2021</v>
      </c>
      <c r="D443" s="5">
        <v>1037542.71</v>
      </c>
      <c r="E443" t="s">
        <v>904</v>
      </c>
      <c r="F443" t="s">
        <v>44</v>
      </c>
      <c r="G443" t="s">
        <v>45</v>
      </c>
      <c r="H443" t="s">
        <v>905</v>
      </c>
      <c r="I443" t="s">
        <v>906</v>
      </c>
      <c r="J443" t="s">
        <v>31</v>
      </c>
      <c r="K443" t="s">
        <v>847</v>
      </c>
      <c r="M443" t="s">
        <v>23</v>
      </c>
      <c r="N443" t="s">
        <v>32</v>
      </c>
      <c r="O443" t="s">
        <v>28</v>
      </c>
      <c r="P443" t="s">
        <v>26</v>
      </c>
      <c r="Q443" t="s">
        <v>27</v>
      </c>
      <c r="R443" t="s">
        <v>28</v>
      </c>
    </row>
    <row r="444" spans="1:18" ht="15" hidden="1">
      <c r="A444" s="2">
        <v>44469</v>
      </c>
      <c r="B444" s="25">
        <v>9</v>
      </c>
      <c r="C444" s="25">
        <v>2021</v>
      </c>
      <c r="D444" s="5">
        <v>3903.2800000000002</v>
      </c>
      <c r="E444" t="s">
        <v>882</v>
      </c>
      <c r="F444" t="s">
        <v>29</v>
      </c>
      <c r="G444" t="s">
        <v>30</v>
      </c>
      <c r="H444" t="s">
        <v>883</v>
      </c>
      <c r="I444" t="s">
        <v>884</v>
      </c>
      <c r="J444" t="s">
        <v>31</v>
      </c>
      <c r="K444" t="s">
        <v>847</v>
      </c>
      <c r="M444" t="s">
        <v>23</v>
      </c>
      <c r="N444" t="s">
        <v>32</v>
      </c>
      <c r="O444" t="s">
        <v>28</v>
      </c>
      <c r="P444" t="s">
        <v>26</v>
      </c>
      <c r="Q444" t="s">
        <v>27</v>
      </c>
      <c r="R444" t="s">
        <v>28</v>
      </c>
    </row>
    <row r="445" spans="1:18" ht="15" hidden="1">
      <c r="A445" s="2">
        <v>44469</v>
      </c>
      <c r="B445" s="25">
        <v>9</v>
      </c>
      <c r="C445" s="25">
        <v>2021</v>
      </c>
      <c r="D445" s="5">
        <v>59.149999999999999</v>
      </c>
      <c r="E445" t="s">
        <v>844</v>
      </c>
      <c r="F445" t="s">
        <v>38</v>
      </c>
      <c r="G445" t="s">
        <v>39</v>
      </c>
      <c r="H445" t="s">
        <v>845</v>
      </c>
      <c r="I445" t="s">
        <v>846</v>
      </c>
      <c r="J445" t="s">
        <v>21</v>
      </c>
      <c r="K445" t="s">
        <v>843</v>
      </c>
      <c r="M445" t="s">
        <v>23</v>
      </c>
      <c r="N445" t="s">
        <v>24</v>
      </c>
      <c r="O445" t="s">
        <v>25</v>
      </c>
      <c r="P445" t="s">
        <v>26</v>
      </c>
      <c r="Q445" t="s">
        <v>40</v>
      </c>
      <c r="R445" t="s">
        <v>28</v>
      </c>
    </row>
    <row r="446" spans="1:18" ht="15" hidden="1">
      <c r="A446" s="2">
        <v>44469</v>
      </c>
      <c r="B446" s="25">
        <v>9</v>
      </c>
      <c r="C446" s="25">
        <v>2021</v>
      </c>
      <c r="D446" s="5">
        <v>515.74000000000001</v>
      </c>
      <c r="E446" t="s">
        <v>879</v>
      </c>
      <c r="F446" t="s">
        <v>36</v>
      </c>
      <c r="G446" t="s">
        <v>37</v>
      </c>
      <c r="H446" t="s">
        <v>880</v>
      </c>
      <c r="I446" t="s">
        <v>881</v>
      </c>
      <c r="J446" t="s">
        <v>31</v>
      </c>
      <c r="K446" t="s">
        <v>847</v>
      </c>
      <c r="M446" t="s">
        <v>23</v>
      </c>
      <c r="N446" t="s">
        <v>32</v>
      </c>
      <c r="O446" t="s">
        <v>28</v>
      </c>
      <c r="P446" t="s">
        <v>26</v>
      </c>
      <c r="Q446" t="s">
        <v>27</v>
      </c>
      <c r="R446" t="s">
        <v>28</v>
      </c>
    </row>
    <row r="447" spans="1:18" ht="15" hidden="1">
      <c r="A447" s="2">
        <v>44461</v>
      </c>
      <c r="B447" s="25">
        <v>9</v>
      </c>
      <c r="C447" s="25">
        <v>2021</v>
      </c>
      <c r="D447" s="5">
        <v>501.69999999999999</v>
      </c>
      <c r="E447" t="s">
        <v>876</v>
      </c>
      <c r="F447" t="s">
        <v>36</v>
      </c>
      <c r="G447" t="s">
        <v>37</v>
      </c>
      <c r="H447" t="s">
        <v>877</v>
      </c>
      <c r="I447" t="s">
        <v>878</v>
      </c>
      <c r="J447" t="s">
        <v>21</v>
      </c>
      <c r="K447" t="s">
        <v>855</v>
      </c>
      <c r="M447" t="s">
        <v>23</v>
      </c>
      <c r="N447" t="s">
        <v>24</v>
      </c>
      <c r="O447" t="s">
        <v>25</v>
      </c>
      <c r="P447" t="s">
        <v>26</v>
      </c>
      <c r="Q447" t="s">
        <v>40</v>
      </c>
      <c r="R447" t="s">
        <v>28</v>
      </c>
    </row>
    <row r="448" spans="1:18" ht="15" hidden="1">
      <c r="A448" s="2">
        <v>44461</v>
      </c>
      <c r="B448" s="25">
        <v>9</v>
      </c>
      <c r="C448" s="25">
        <v>2021</v>
      </c>
      <c r="D448" s="5">
        <v>61079.089999999997</v>
      </c>
      <c r="E448" t="s">
        <v>911</v>
      </c>
      <c r="F448" t="s">
        <v>38</v>
      </c>
      <c r="G448" t="s">
        <v>39</v>
      </c>
      <c r="H448" t="s">
        <v>912</v>
      </c>
      <c r="I448" t="s">
        <v>913</v>
      </c>
      <c r="J448" t="s">
        <v>21</v>
      </c>
      <c r="K448" t="s">
        <v>855</v>
      </c>
      <c r="M448" t="s">
        <v>23</v>
      </c>
      <c r="N448" t="s">
        <v>24</v>
      </c>
      <c r="O448" t="s">
        <v>25</v>
      </c>
      <c r="P448" t="s">
        <v>26</v>
      </c>
      <c r="Q448" t="s">
        <v>40</v>
      </c>
      <c r="R448" t="s">
        <v>28</v>
      </c>
    </row>
    <row r="449" spans="1:18" ht="15" hidden="1">
      <c r="A449" s="2">
        <v>44461</v>
      </c>
      <c r="B449" s="25">
        <v>9</v>
      </c>
      <c r="C449" s="25">
        <v>2021</v>
      </c>
      <c r="D449" s="5">
        <v>343.5</v>
      </c>
      <c r="E449" t="s">
        <v>873</v>
      </c>
      <c r="F449" t="s">
        <v>36</v>
      </c>
      <c r="G449" t="s">
        <v>37</v>
      </c>
      <c r="H449" t="s">
        <v>874</v>
      </c>
      <c r="I449" t="s">
        <v>875</v>
      </c>
      <c r="J449" t="s">
        <v>31</v>
      </c>
      <c r="K449" t="s">
        <v>851</v>
      </c>
      <c r="M449" t="s">
        <v>23</v>
      </c>
      <c r="N449" t="s">
        <v>32</v>
      </c>
      <c r="O449" t="s">
        <v>28</v>
      </c>
      <c r="P449" t="s">
        <v>26</v>
      </c>
      <c r="Q449" t="s">
        <v>27</v>
      </c>
      <c r="R449" t="s">
        <v>28</v>
      </c>
    </row>
    <row r="450" spans="1:18" ht="15" hidden="1">
      <c r="A450" s="2">
        <v>44463</v>
      </c>
      <c r="B450" s="25">
        <v>9</v>
      </c>
      <c r="C450" s="25">
        <v>2021</v>
      </c>
      <c r="D450" s="5">
        <v>844.25</v>
      </c>
      <c r="E450" t="s">
        <v>914</v>
      </c>
      <c r="F450" t="s">
        <v>36</v>
      </c>
      <c r="G450" t="s">
        <v>37</v>
      </c>
      <c r="H450" t="s">
        <v>915</v>
      </c>
      <c r="I450" t="s">
        <v>916</v>
      </c>
      <c r="J450" t="s">
        <v>31</v>
      </c>
      <c r="K450" t="s">
        <v>869</v>
      </c>
      <c r="M450" t="s">
        <v>23</v>
      </c>
      <c r="N450" t="s">
        <v>32</v>
      </c>
      <c r="O450" t="s">
        <v>28</v>
      </c>
      <c r="P450" t="s">
        <v>26</v>
      </c>
      <c r="Q450" t="s">
        <v>27</v>
      </c>
      <c r="R450" t="s">
        <v>28</v>
      </c>
    </row>
    <row r="451" spans="1:18" ht="15" hidden="1">
      <c r="A451" s="2">
        <v>44461</v>
      </c>
      <c r="B451" s="25">
        <v>9</v>
      </c>
      <c r="C451" s="25">
        <v>2021</v>
      </c>
      <c r="D451" s="5">
        <v>4132.8599999999997</v>
      </c>
      <c r="E451" t="s">
        <v>917</v>
      </c>
      <c r="F451" t="s">
        <v>29</v>
      </c>
      <c r="G451" t="s">
        <v>30</v>
      </c>
      <c r="H451" t="s">
        <v>918</v>
      </c>
      <c r="I451" t="s">
        <v>919</v>
      </c>
      <c r="J451" t="s">
        <v>31</v>
      </c>
      <c r="K451" t="s">
        <v>851</v>
      </c>
      <c r="M451" t="s">
        <v>23</v>
      </c>
      <c r="N451" t="s">
        <v>32</v>
      </c>
      <c r="O451" t="s">
        <v>28</v>
      </c>
      <c r="P451" t="s">
        <v>26</v>
      </c>
      <c r="Q451" t="s">
        <v>27</v>
      </c>
      <c r="R451" t="s">
        <v>28</v>
      </c>
    </row>
    <row r="452" spans="1:18" ht="15" hidden="1">
      <c r="A452" s="2">
        <v>44461</v>
      </c>
      <c r="B452" s="25">
        <v>9</v>
      </c>
      <c r="C452" s="25">
        <v>2021</v>
      </c>
      <c r="D452" s="5">
        <v>5714.5500000000002</v>
      </c>
      <c r="E452" t="s">
        <v>870</v>
      </c>
      <c r="F452" t="s">
        <v>29</v>
      </c>
      <c r="G452" t="s">
        <v>30</v>
      </c>
      <c r="H452" t="s">
        <v>871</v>
      </c>
      <c r="I452" t="s">
        <v>872</v>
      </c>
      <c r="J452" t="s">
        <v>31</v>
      </c>
      <c r="K452" t="s">
        <v>851</v>
      </c>
      <c r="M452" t="s">
        <v>23</v>
      </c>
      <c r="N452" t="s">
        <v>32</v>
      </c>
      <c r="O452" t="s">
        <v>28</v>
      </c>
      <c r="P452" t="s">
        <v>26</v>
      </c>
      <c r="Q452" t="s">
        <v>27</v>
      </c>
      <c r="R452" t="s">
        <v>28</v>
      </c>
    </row>
    <row r="453" spans="1:18" ht="15" hidden="1">
      <c r="A453" s="2">
        <v>44461</v>
      </c>
      <c r="B453" s="25">
        <v>9</v>
      </c>
      <c r="C453" s="25">
        <v>2021</v>
      </c>
      <c r="D453" s="5">
        <v>285424.45000000001</v>
      </c>
      <c r="E453" t="s">
        <v>911</v>
      </c>
      <c r="F453" t="s">
        <v>38</v>
      </c>
      <c r="G453" t="s">
        <v>39</v>
      </c>
      <c r="H453" t="s">
        <v>912</v>
      </c>
      <c r="I453" t="s">
        <v>913</v>
      </c>
      <c r="J453" t="s">
        <v>31</v>
      </c>
      <c r="K453" t="s">
        <v>851</v>
      </c>
      <c r="M453" t="s">
        <v>23</v>
      </c>
      <c r="N453" t="s">
        <v>32</v>
      </c>
      <c r="O453" t="s">
        <v>28</v>
      </c>
      <c r="P453" t="s">
        <v>26</v>
      </c>
      <c r="Q453" t="s">
        <v>27</v>
      </c>
      <c r="R453" t="s">
        <v>28</v>
      </c>
    </row>
    <row r="454" spans="1:18" ht="15" hidden="1">
      <c r="A454" s="2">
        <v>44461</v>
      </c>
      <c r="B454" s="25">
        <v>9</v>
      </c>
      <c r="C454" s="25">
        <v>2021</v>
      </c>
      <c r="D454" s="5">
        <v>17708.740000000002</v>
      </c>
      <c r="E454" t="s">
        <v>891</v>
      </c>
      <c r="F454" t="s">
        <v>41</v>
      </c>
      <c r="G454" t="s">
        <v>42</v>
      </c>
      <c r="H454" t="s">
        <v>892</v>
      </c>
      <c r="I454" t="s">
        <v>893</v>
      </c>
      <c r="J454" t="s">
        <v>21</v>
      </c>
      <c r="K454" t="s">
        <v>855</v>
      </c>
      <c r="M454" t="s">
        <v>23</v>
      </c>
      <c r="N454" t="s">
        <v>24</v>
      </c>
      <c r="O454" t="s">
        <v>25</v>
      </c>
      <c r="P454" t="s">
        <v>43</v>
      </c>
      <c r="Q454" t="s">
        <v>40</v>
      </c>
      <c r="R454" t="s">
        <v>28</v>
      </c>
    </row>
    <row r="455" spans="1:18" ht="15" hidden="1">
      <c r="A455" s="2">
        <v>44463</v>
      </c>
      <c r="B455" s="25">
        <v>9</v>
      </c>
      <c r="C455" s="25">
        <v>2021</v>
      </c>
      <c r="D455" s="5">
        <v>791.88999999999999</v>
      </c>
      <c r="E455" t="s">
        <v>914</v>
      </c>
      <c r="F455" t="s">
        <v>36</v>
      </c>
      <c r="G455" t="s">
        <v>37</v>
      </c>
      <c r="H455" t="s">
        <v>915</v>
      </c>
      <c r="I455" t="s">
        <v>916</v>
      </c>
      <c r="J455" t="s">
        <v>21</v>
      </c>
      <c r="K455" t="s">
        <v>868</v>
      </c>
      <c r="M455" t="s">
        <v>23</v>
      </c>
      <c r="N455" t="s">
        <v>24</v>
      </c>
      <c r="O455" t="s">
        <v>25</v>
      </c>
      <c r="P455" t="s">
        <v>26</v>
      </c>
      <c r="Q455" t="s">
        <v>40</v>
      </c>
      <c r="R455" t="s">
        <v>28</v>
      </c>
    </row>
    <row r="456" spans="1:18" ht="15" hidden="1">
      <c r="A456" s="2">
        <v>44463</v>
      </c>
      <c r="B456" s="25">
        <v>9</v>
      </c>
      <c r="C456" s="25">
        <v>2021</v>
      </c>
      <c r="D456" s="5">
        <v>2932.3499999999999</v>
      </c>
      <c r="E456" t="s">
        <v>920</v>
      </c>
      <c r="F456" t="s">
        <v>29</v>
      </c>
      <c r="G456" t="s">
        <v>30</v>
      </c>
      <c r="H456" t="s">
        <v>921</v>
      </c>
      <c r="I456" t="s">
        <v>922</v>
      </c>
      <c r="J456" t="s">
        <v>31</v>
      </c>
      <c r="K456" t="s">
        <v>869</v>
      </c>
      <c r="M456" t="s">
        <v>23</v>
      </c>
      <c r="N456" t="s">
        <v>32</v>
      </c>
      <c r="O456" t="s">
        <v>28</v>
      </c>
      <c r="P456" t="s">
        <v>26</v>
      </c>
      <c r="Q456" t="s">
        <v>27</v>
      </c>
      <c r="R456" t="s">
        <v>28</v>
      </c>
    </row>
    <row r="457" spans="1:18" ht="15" hidden="1">
      <c r="A457" s="2">
        <v>44461</v>
      </c>
      <c r="B457" s="25">
        <v>9</v>
      </c>
      <c r="C457" s="25">
        <v>2021</v>
      </c>
      <c r="D457" s="5">
        <v>446.57999999999998</v>
      </c>
      <c r="E457" t="s">
        <v>917</v>
      </c>
      <c r="F457" t="s">
        <v>29</v>
      </c>
      <c r="G457" t="s">
        <v>30</v>
      </c>
      <c r="H457" t="s">
        <v>918</v>
      </c>
      <c r="I457" t="s">
        <v>919</v>
      </c>
      <c r="J457" t="s">
        <v>21</v>
      </c>
      <c r="K457" t="s">
        <v>855</v>
      </c>
      <c r="M457" t="s">
        <v>23</v>
      </c>
      <c r="N457" t="s">
        <v>24</v>
      </c>
      <c r="O457" t="s">
        <v>25</v>
      </c>
      <c r="P457" t="s">
        <v>26</v>
      </c>
      <c r="Q457" t="s">
        <v>27</v>
      </c>
      <c r="R457" t="s">
        <v>28</v>
      </c>
    </row>
    <row r="458" spans="1:18" ht="15" hidden="1">
      <c r="A458" s="2">
        <v>44461</v>
      </c>
      <c r="B458" s="25">
        <v>9</v>
      </c>
      <c r="C458" s="25">
        <v>2021</v>
      </c>
      <c r="D458" s="5">
        <v>254700.16</v>
      </c>
      <c r="E458" t="s">
        <v>862</v>
      </c>
      <c r="F458" t="s">
        <v>38</v>
      </c>
      <c r="G458" t="s">
        <v>39</v>
      </c>
      <c r="H458" t="s">
        <v>863</v>
      </c>
      <c r="I458" t="s">
        <v>864</v>
      </c>
      <c r="J458" t="s">
        <v>31</v>
      </c>
      <c r="K458" t="s">
        <v>851</v>
      </c>
      <c r="M458" t="s">
        <v>23</v>
      </c>
      <c r="N458" t="s">
        <v>32</v>
      </c>
      <c r="O458" t="s">
        <v>28</v>
      </c>
      <c r="P458" t="s">
        <v>26</v>
      </c>
      <c r="Q458" t="s">
        <v>27</v>
      </c>
      <c r="R458" t="s">
        <v>28</v>
      </c>
    </row>
    <row r="459" spans="1:18" ht="15" hidden="1">
      <c r="A459" s="2">
        <v>44461</v>
      </c>
      <c r="B459" s="25">
        <v>9</v>
      </c>
      <c r="C459" s="25">
        <v>2021</v>
      </c>
      <c r="D459" s="5">
        <v>42544.919999999998</v>
      </c>
      <c r="E459" t="s">
        <v>888</v>
      </c>
      <c r="F459" t="s">
        <v>38</v>
      </c>
      <c r="G459" t="s">
        <v>39</v>
      </c>
      <c r="H459" t="s">
        <v>889</v>
      </c>
      <c r="I459" t="s">
        <v>890</v>
      </c>
      <c r="J459" t="s">
        <v>21</v>
      </c>
      <c r="K459" t="s">
        <v>855</v>
      </c>
      <c r="M459" t="s">
        <v>23</v>
      </c>
      <c r="N459" t="s">
        <v>24</v>
      </c>
      <c r="O459" t="s">
        <v>25</v>
      </c>
      <c r="P459" t="s">
        <v>26</v>
      </c>
      <c r="Q459" t="s">
        <v>40</v>
      </c>
      <c r="R459" t="s">
        <v>28</v>
      </c>
    </row>
    <row r="460" spans="1:18" ht="15" hidden="1">
      <c r="A460" s="2">
        <v>44463</v>
      </c>
      <c r="B460" s="25">
        <v>9</v>
      </c>
      <c r="C460" s="25">
        <v>2021</v>
      </c>
      <c r="D460" s="5">
        <v>266.55000000000001</v>
      </c>
      <c r="E460" t="s">
        <v>920</v>
      </c>
      <c r="F460" t="s">
        <v>29</v>
      </c>
      <c r="G460" t="s">
        <v>30</v>
      </c>
      <c r="H460" t="s">
        <v>921</v>
      </c>
      <c r="I460" t="s">
        <v>922</v>
      </c>
      <c r="J460" t="s">
        <v>21</v>
      </c>
      <c r="K460" t="s">
        <v>868</v>
      </c>
      <c r="M460" t="s">
        <v>23</v>
      </c>
      <c r="N460" t="s">
        <v>24</v>
      </c>
      <c r="O460" t="s">
        <v>25</v>
      </c>
      <c r="P460" t="s">
        <v>26</v>
      </c>
      <c r="Q460" t="s">
        <v>27</v>
      </c>
      <c r="R460" t="s">
        <v>28</v>
      </c>
    </row>
    <row r="461" spans="1:18" ht="15" hidden="1">
      <c r="A461" s="2">
        <v>44461</v>
      </c>
      <c r="B461" s="25">
        <v>9</v>
      </c>
      <c r="C461" s="25">
        <v>2021</v>
      </c>
      <c r="D461" s="5">
        <v>218712.92000000001</v>
      </c>
      <c r="E461" t="s">
        <v>856</v>
      </c>
      <c r="F461" t="s">
        <v>44</v>
      </c>
      <c r="G461" t="s">
        <v>45</v>
      </c>
      <c r="H461" t="s">
        <v>857</v>
      </c>
      <c r="I461" t="s">
        <v>858</v>
      </c>
      <c r="J461" t="s">
        <v>21</v>
      </c>
      <c r="K461" t="s">
        <v>855</v>
      </c>
      <c r="M461" t="s">
        <v>23</v>
      </c>
      <c r="N461" t="s">
        <v>24</v>
      </c>
      <c r="O461" t="s">
        <v>25</v>
      </c>
      <c r="P461" t="s">
        <v>26</v>
      </c>
      <c r="Q461" t="s">
        <v>40</v>
      </c>
      <c r="R461" t="s">
        <v>28</v>
      </c>
    </row>
    <row r="462" spans="1:18" ht="15" hidden="1">
      <c r="A462" s="2">
        <v>44461</v>
      </c>
      <c r="B462" s="25">
        <v>9</v>
      </c>
      <c r="C462" s="25">
        <v>2021</v>
      </c>
      <c r="D462" s="5">
        <v>46.490000000000002</v>
      </c>
      <c r="E462" t="s">
        <v>885</v>
      </c>
      <c r="F462" t="s">
        <v>38</v>
      </c>
      <c r="G462" t="s">
        <v>39</v>
      </c>
      <c r="H462" t="s">
        <v>886</v>
      </c>
      <c r="I462" t="s">
        <v>887</v>
      </c>
      <c r="J462" t="s">
        <v>21</v>
      </c>
      <c r="K462" t="s">
        <v>855</v>
      </c>
      <c r="M462" t="s">
        <v>23</v>
      </c>
      <c r="N462" t="s">
        <v>24</v>
      </c>
      <c r="O462" t="s">
        <v>25</v>
      </c>
      <c r="P462" t="s">
        <v>26</v>
      </c>
      <c r="Q462" t="s">
        <v>40</v>
      </c>
      <c r="R462" t="s">
        <v>28</v>
      </c>
    </row>
    <row r="463" spans="1:18" ht="15" hidden="1">
      <c r="A463" s="2">
        <v>44496</v>
      </c>
      <c r="B463" s="25">
        <v>10</v>
      </c>
      <c r="C463" s="25">
        <v>2021</v>
      </c>
      <c r="D463" s="5">
        <v>3900</v>
      </c>
      <c r="E463" t="s">
        <v>923</v>
      </c>
      <c r="F463" t="s">
        <v>48</v>
      </c>
      <c r="G463" t="s">
        <v>256</v>
      </c>
      <c r="H463" t="s">
        <v>924</v>
      </c>
      <c r="I463" t="s">
        <v>925</v>
      </c>
      <c r="J463" t="s">
        <v>31</v>
      </c>
      <c r="K463" t="s">
        <v>926</v>
      </c>
      <c r="M463" t="s">
        <v>23</v>
      </c>
      <c r="N463" t="s">
        <v>32</v>
      </c>
      <c r="O463" t="s">
        <v>28</v>
      </c>
      <c r="P463" t="s">
        <v>49</v>
      </c>
      <c r="Q463" t="s">
        <v>50</v>
      </c>
      <c r="R463" t="s">
        <v>28</v>
      </c>
    </row>
    <row r="464" spans="1:18" ht="15" hidden="1">
      <c r="A464" s="2">
        <v>44483</v>
      </c>
      <c r="B464" s="25">
        <v>10</v>
      </c>
      <c r="C464" s="25">
        <v>2021</v>
      </c>
      <c r="D464" s="5">
        <v>26.129999999999999</v>
      </c>
      <c r="E464" t="s">
        <v>927</v>
      </c>
      <c r="F464" t="s">
        <v>38</v>
      </c>
      <c r="G464" t="s">
        <v>39</v>
      </c>
      <c r="H464" t="s">
        <v>928</v>
      </c>
      <c r="I464" t="s">
        <v>929</v>
      </c>
      <c r="J464" t="s">
        <v>21</v>
      </c>
      <c r="K464" t="s">
        <v>930</v>
      </c>
      <c r="M464" t="s">
        <v>23</v>
      </c>
      <c r="N464" t="s">
        <v>24</v>
      </c>
      <c r="O464" t="s">
        <v>25</v>
      </c>
      <c r="P464" t="s">
        <v>26</v>
      </c>
      <c r="Q464" t="s">
        <v>40</v>
      </c>
      <c r="R464" t="s">
        <v>28</v>
      </c>
    </row>
    <row r="465" spans="1:18" ht="15" hidden="1">
      <c r="A465" s="2">
        <v>44489</v>
      </c>
      <c r="B465" s="25">
        <v>10</v>
      </c>
      <c r="C465" s="25">
        <v>2021</v>
      </c>
      <c r="D465" s="5">
        <v>28956.209999999999</v>
      </c>
      <c r="E465" t="s">
        <v>931</v>
      </c>
      <c r="F465" t="s">
        <v>38</v>
      </c>
      <c r="G465" t="s">
        <v>39</v>
      </c>
      <c r="H465" t="s">
        <v>932</v>
      </c>
      <c r="I465" t="s">
        <v>933</v>
      </c>
      <c r="J465" t="s">
        <v>21</v>
      </c>
      <c r="K465" t="s">
        <v>934</v>
      </c>
      <c r="M465" t="s">
        <v>23</v>
      </c>
      <c r="N465" t="s">
        <v>24</v>
      </c>
      <c r="O465" t="s">
        <v>25</v>
      </c>
      <c r="P465" t="s">
        <v>26</v>
      </c>
      <c r="Q465" t="s">
        <v>40</v>
      </c>
      <c r="R465" t="s">
        <v>28</v>
      </c>
    </row>
    <row r="466" spans="1:18" ht="15" hidden="1">
      <c r="A466" s="2">
        <v>44498</v>
      </c>
      <c r="B466" s="25">
        <v>10</v>
      </c>
      <c r="C466" s="25">
        <v>2021</v>
      </c>
      <c r="D466" s="5">
        <v>447.14999999999998</v>
      </c>
      <c r="E466" t="s">
        <v>935</v>
      </c>
      <c r="F466" t="s">
        <v>36</v>
      </c>
      <c r="G466" t="s">
        <v>37</v>
      </c>
      <c r="H466" t="s">
        <v>936</v>
      </c>
      <c r="I466" t="s">
        <v>937</v>
      </c>
      <c r="J466" t="s">
        <v>21</v>
      </c>
      <c r="K466" t="s">
        <v>938</v>
      </c>
      <c r="M466" t="s">
        <v>23</v>
      </c>
      <c r="N466" t="s">
        <v>24</v>
      </c>
      <c r="O466" t="s">
        <v>25</v>
      </c>
      <c r="P466" t="s">
        <v>26</v>
      </c>
      <c r="Q466" t="s">
        <v>40</v>
      </c>
      <c r="R466" t="s">
        <v>28</v>
      </c>
    </row>
    <row r="467" spans="1:18" ht="15" hidden="1">
      <c r="A467" s="2">
        <v>44496</v>
      </c>
      <c r="B467" s="25">
        <v>10</v>
      </c>
      <c r="C467" s="25">
        <v>2021</v>
      </c>
      <c r="D467" s="5">
        <v>818.85000000000002</v>
      </c>
      <c r="E467" t="s">
        <v>939</v>
      </c>
      <c r="F467" t="s">
        <v>36</v>
      </c>
      <c r="G467" t="s">
        <v>37</v>
      </c>
      <c r="H467" t="s">
        <v>940</v>
      </c>
      <c r="I467" t="s">
        <v>941</v>
      </c>
      <c r="J467" t="s">
        <v>21</v>
      </c>
      <c r="K467" t="s">
        <v>942</v>
      </c>
      <c r="M467" t="s">
        <v>23</v>
      </c>
      <c r="N467" t="s">
        <v>24</v>
      </c>
      <c r="O467" t="s">
        <v>25</v>
      </c>
      <c r="P467" t="s">
        <v>26</v>
      </c>
      <c r="Q467" t="s">
        <v>40</v>
      </c>
      <c r="R467" t="s">
        <v>28</v>
      </c>
    </row>
    <row r="468" spans="1:18" ht="15" hidden="1">
      <c r="A468" s="2">
        <v>44496</v>
      </c>
      <c r="B468" s="25">
        <v>10</v>
      </c>
      <c r="C468" s="25">
        <v>2021</v>
      </c>
      <c r="D468" s="5">
        <v>89.890000000000001</v>
      </c>
      <c r="E468" t="s">
        <v>943</v>
      </c>
      <c r="F468" t="s">
        <v>38</v>
      </c>
      <c r="G468" t="s">
        <v>39</v>
      </c>
      <c r="H468" t="s">
        <v>944</v>
      </c>
      <c r="I468" t="s">
        <v>945</v>
      </c>
      <c r="J468" t="s">
        <v>21</v>
      </c>
      <c r="K468" t="s">
        <v>942</v>
      </c>
      <c r="M468" t="s">
        <v>23</v>
      </c>
      <c r="N468" t="s">
        <v>24</v>
      </c>
      <c r="O468" t="s">
        <v>25</v>
      </c>
      <c r="P468" t="s">
        <v>26</v>
      </c>
      <c r="Q468" t="s">
        <v>40</v>
      </c>
      <c r="R468" t="s">
        <v>28</v>
      </c>
    </row>
    <row r="469" spans="1:18" ht="15" hidden="1">
      <c r="A469" s="2">
        <v>44496</v>
      </c>
      <c r="B469" s="25">
        <v>10</v>
      </c>
      <c r="C469" s="25">
        <v>2021</v>
      </c>
      <c r="D469" s="5">
        <v>285926.79999999999</v>
      </c>
      <c r="E469" t="s">
        <v>946</v>
      </c>
      <c r="F469" t="s">
        <v>44</v>
      </c>
      <c r="G469" t="s">
        <v>45</v>
      </c>
      <c r="H469" t="s">
        <v>947</v>
      </c>
      <c r="I469" t="s">
        <v>948</v>
      </c>
      <c r="J469" t="s">
        <v>21</v>
      </c>
      <c r="K469" t="s">
        <v>942</v>
      </c>
      <c r="M469" t="s">
        <v>23</v>
      </c>
      <c r="N469" t="s">
        <v>24</v>
      </c>
      <c r="O469" t="s">
        <v>25</v>
      </c>
      <c r="P469" t="s">
        <v>26</v>
      </c>
      <c r="Q469" t="s">
        <v>40</v>
      </c>
      <c r="R469" t="s">
        <v>28</v>
      </c>
    </row>
    <row r="470" spans="1:18" ht="15" hidden="1">
      <c r="A470" s="2">
        <v>44496</v>
      </c>
      <c r="B470" s="25">
        <v>10</v>
      </c>
      <c r="C470" s="25">
        <v>2021</v>
      </c>
      <c r="D470" s="5">
        <v>243820.64999999999</v>
      </c>
      <c r="E470" t="s">
        <v>949</v>
      </c>
      <c r="F470" t="s">
        <v>38</v>
      </c>
      <c r="G470" t="s">
        <v>39</v>
      </c>
      <c r="H470" t="s">
        <v>950</v>
      </c>
      <c r="I470" t="s">
        <v>951</v>
      </c>
      <c r="J470" t="s">
        <v>31</v>
      </c>
      <c r="K470" t="s">
        <v>926</v>
      </c>
      <c r="M470" t="s">
        <v>23</v>
      </c>
      <c r="N470" t="s">
        <v>32</v>
      </c>
      <c r="O470" t="s">
        <v>28</v>
      </c>
      <c r="P470" t="s">
        <v>26</v>
      </c>
      <c r="Q470" t="s">
        <v>27</v>
      </c>
      <c r="R470" t="s">
        <v>28</v>
      </c>
    </row>
    <row r="471" spans="1:18" ht="15" hidden="1">
      <c r="A471" s="2">
        <v>44477</v>
      </c>
      <c r="B471" s="25">
        <v>10</v>
      </c>
      <c r="C471" s="25">
        <v>2021</v>
      </c>
      <c r="D471" s="5">
        <v>23903</v>
      </c>
      <c r="E471" t="s">
        <v>952</v>
      </c>
      <c r="F471" t="s">
        <v>41</v>
      </c>
      <c r="G471" t="s">
        <v>42</v>
      </c>
      <c r="H471" t="s">
        <v>953</v>
      </c>
      <c r="I471" t="s">
        <v>954</v>
      </c>
      <c r="J471" t="s">
        <v>21</v>
      </c>
      <c r="K471" t="s">
        <v>955</v>
      </c>
      <c r="M471" t="s">
        <v>23</v>
      </c>
      <c r="N471" t="s">
        <v>24</v>
      </c>
      <c r="O471" t="s">
        <v>25</v>
      </c>
      <c r="P471" t="s">
        <v>43</v>
      </c>
      <c r="Q471" t="s">
        <v>40</v>
      </c>
      <c r="R471" t="s">
        <v>28</v>
      </c>
    </row>
    <row r="472" spans="1:18" ht="15" hidden="1">
      <c r="A472" s="2">
        <v>44477</v>
      </c>
      <c r="B472" s="25">
        <v>10</v>
      </c>
      <c r="C472" s="25">
        <v>2021</v>
      </c>
      <c r="D472" s="5">
        <v>27150.790000000001</v>
      </c>
      <c r="E472" t="s">
        <v>956</v>
      </c>
      <c r="F472" t="s">
        <v>38</v>
      </c>
      <c r="G472" t="s">
        <v>39</v>
      </c>
      <c r="H472" t="s">
        <v>957</v>
      </c>
      <c r="I472" t="s">
        <v>958</v>
      </c>
      <c r="J472" t="s">
        <v>21</v>
      </c>
      <c r="K472" t="s">
        <v>955</v>
      </c>
      <c r="M472" t="s">
        <v>23</v>
      </c>
      <c r="N472" t="s">
        <v>24</v>
      </c>
      <c r="O472" t="s">
        <v>25</v>
      </c>
      <c r="P472" t="s">
        <v>26</v>
      </c>
      <c r="Q472" t="s">
        <v>40</v>
      </c>
      <c r="R472" t="s">
        <v>28</v>
      </c>
    </row>
    <row r="473" spans="1:18" ht="15" hidden="1">
      <c r="A473" s="2">
        <v>44477</v>
      </c>
      <c r="B473" s="25">
        <v>10</v>
      </c>
      <c r="C473" s="25">
        <v>2021</v>
      </c>
      <c r="D473" s="5">
        <v>143461.48999999999</v>
      </c>
      <c r="E473" t="s">
        <v>959</v>
      </c>
      <c r="F473" t="s">
        <v>44</v>
      </c>
      <c r="G473" t="s">
        <v>45</v>
      </c>
      <c r="H473" t="s">
        <v>960</v>
      </c>
      <c r="I473" t="s">
        <v>961</v>
      </c>
      <c r="J473" t="s">
        <v>21</v>
      </c>
      <c r="K473" t="s">
        <v>955</v>
      </c>
      <c r="M473" t="s">
        <v>23</v>
      </c>
      <c r="N473" t="s">
        <v>24</v>
      </c>
      <c r="O473" t="s">
        <v>25</v>
      </c>
      <c r="P473" t="s">
        <v>26</v>
      </c>
      <c r="Q473" t="s">
        <v>40</v>
      </c>
      <c r="R473" t="s">
        <v>28</v>
      </c>
    </row>
    <row r="474" spans="1:18" ht="15" hidden="1">
      <c r="A474" s="2">
        <v>44489</v>
      </c>
      <c r="B474" s="25">
        <v>10</v>
      </c>
      <c r="C474" s="25">
        <v>2021</v>
      </c>
      <c r="D474" s="5">
        <v>1007314.87</v>
      </c>
      <c r="E474" t="s">
        <v>962</v>
      </c>
      <c r="F474" t="s">
        <v>44</v>
      </c>
      <c r="G474" t="s">
        <v>45</v>
      </c>
      <c r="H474" t="s">
        <v>963</v>
      </c>
      <c r="I474" t="s">
        <v>964</v>
      </c>
      <c r="J474" t="s">
        <v>31</v>
      </c>
      <c r="K474" t="s">
        <v>965</v>
      </c>
      <c r="M474" t="s">
        <v>23</v>
      </c>
      <c r="N474" t="s">
        <v>32</v>
      </c>
      <c r="O474" t="s">
        <v>28</v>
      </c>
      <c r="P474" t="s">
        <v>26</v>
      </c>
      <c r="Q474" t="s">
        <v>27</v>
      </c>
      <c r="R474" t="s">
        <v>28</v>
      </c>
    </row>
    <row r="475" spans="1:18" ht="15" hidden="1">
      <c r="A475" s="2">
        <v>44489</v>
      </c>
      <c r="B475" s="25">
        <v>10</v>
      </c>
      <c r="C475" s="25">
        <v>2021</v>
      </c>
      <c r="D475" s="5">
        <v>252592.48999999999</v>
      </c>
      <c r="E475" t="s">
        <v>931</v>
      </c>
      <c r="F475" t="s">
        <v>38</v>
      </c>
      <c r="G475" t="s">
        <v>39</v>
      </c>
      <c r="H475" t="s">
        <v>932</v>
      </c>
      <c r="I475" t="s">
        <v>933</v>
      </c>
      <c r="J475" t="s">
        <v>31</v>
      </c>
      <c r="K475" t="s">
        <v>965</v>
      </c>
      <c r="M475" t="s">
        <v>23</v>
      </c>
      <c r="N475" t="s">
        <v>32</v>
      </c>
      <c r="O475" t="s">
        <v>28</v>
      </c>
      <c r="P475" t="s">
        <v>26</v>
      </c>
      <c r="Q475" t="s">
        <v>27</v>
      </c>
      <c r="R475" t="s">
        <v>28</v>
      </c>
    </row>
    <row r="476" spans="1:18" ht="15" hidden="1">
      <c r="A476" s="2">
        <v>44489</v>
      </c>
      <c r="B476" s="25">
        <v>10</v>
      </c>
      <c r="C476" s="25">
        <v>2021</v>
      </c>
      <c r="D476" s="5">
        <v>2912.1300000000001</v>
      </c>
      <c r="E476" t="s">
        <v>966</v>
      </c>
      <c r="F476" t="s">
        <v>29</v>
      </c>
      <c r="G476" t="s">
        <v>30</v>
      </c>
      <c r="H476" t="s">
        <v>967</v>
      </c>
      <c r="I476" t="s">
        <v>968</v>
      </c>
      <c r="J476" t="s">
        <v>31</v>
      </c>
      <c r="K476" t="s">
        <v>965</v>
      </c>
      <c r="M476" t="s">
        <v>23</v>
      </c>
      <c r="N476" t="s">
        <v>32</v>
      </c>
      <c r="O476" t="s">
        <v>28</v>
      </c>
      <c r="P476" t="s">
        <v>26</v>
      </c>
      <c r="Q476" t="s">
        <v>27</v>
      </c>
      <c r="R476" t="s">
        <v>28</v>
      </c>
    </row>
    <row r="477" spans="1:18" ht="15" hidden="1">
      <c r="A477" s="2">
        <v>44489</v>
      </c>
      <c r="B477" s="25">
        <v>10</v>
      </c>
      <c r="C477" s="25">
        <v>2021</v>
      </c>
      <c r="D477" s="5">
        <v>629.62</v>
      </c>
      <c r="E477" t="s">
        <v>966</v>
      </c>
      <c r="F477" t="s">
        <v>29</v>
      </c>
      <c r="G477" t="s">
        <v>30</v>
      </c>
      <c r="H477" t="s">
        <v>967</v>
      </c>
      <c r="I477" t="s">
        <v>968</v>
      </c>
      <c r="J477" t="s">
        <v>21</v>
      </c>
      <c r="K477" t="s">
        <v>934</v>
      </c>
      <c r="M477" t="s">
        <v>23</v>
      </c>
      <c r="N477" t="s">
        <v>24</v>
      </c>
      <c r="O477" t="s">
        <v>25</v>
      </c>
      <c r="P477" t="s">
        <v>26</v>
      </c>
      <c r="Q477" t="s">
        <v>27</v>
      </c>
      <c r="R477" t="s">
        <v>28</v>
      </c>
    </row>
    <row r="478" spans="1:18" ht="15" hidden="1">
      <c r="A478" s="2">
        <v>44489</v>
      </c>
      <c r="B478" s="25">
        <v>10</v>
      </c>
      <c r="C478" s="25">
        <v>2021</v>
      </c>
      <c r="D478" s="5">
        <v>345909.09999999998</v>
      </c>
      <c r="E478" t="s">
        <v>962</v>
      </c>
      <c r="F478" t="s">
        <v>44</v>
      </c>
      <c r="G478" t="s">
        <v>45</v>
      </c>
      <c r="H478" t="s">
        <v>963</v>
      </c>
      <c r="I478" t="s">
        <v>964</v>
      </c>
      <c r="J478" t="s">
        <v>21</v>
      </c>
      <c r="K478" t="s">
        <v>934</v>
      </c>
      <c r="M478" t="s">
        <v>23</v>
      </c>
      <c r="N478" t="s">
        <v>24</v>
      </c>
      <c r="O478" t="s">
        <v>25</v>
      </c>
      <c r="P478" t="s">
        <v>26</v>
      </c>
      <c r="Q478" t="s">
        <v>40</v>
      </c>
      <c r="R478" t="s">
        <v>28</v>
      </c>
    </row>
    <row r="479" spans="1:18" ht="15" hidden="1">
      <c r="A479" s="2">
        <v>44498</v>
      </c>
      <c r="B479" s="25">
        <v>10</v>
      </c>
      <c r="C479" s="25">
        <v>2021</v>
      </c>
      <c r="D479" s="5">
        <v>2602.4299999999998</v>
      </c>
      <c r="E479" t="s">
        <v>969</v>
      </c>
      <c r="F479" t="s">
        <v>29</v>
      </c>
      <c r="G479" t="s">
        <v>30</v>
      </c>
      <c r="H479" t="s">
        <v>970</v>
      </c>
      <c r="I479" t="s">
        <v>971</v>
      </c>
      <c r="J479" t="s">
        <v>31</v>
      </c>
      <c r="K479" t="s">
        <v>972</v>
      </c>
      <c r="M479" t="s">
        <v>23</v>
      </c>
      <c r="N479" t="s">
        <v>32</v>
      </c>
      <c r="O479" t="s">
        <v>28</v>
      </c>
      <c r="P479" t="s">
        <v>26</v>
      </c>
      <c r="Q479" t="s">
        <v>27</v>
      </c>
      <c r="R479" t="s">
        <v>28</v>
      </c>
    </row>
    <row r="480" spans="1:18" ht="15" hidden="1">
      <c r="A480" s="2">
        <v>44496</v>
      </c>
      <c r="B480" s="25">
        <v>10</v>
      </c>
      <c r="C480" s="25">
        <v>2021</v>
      </c>
      <c r="D480" s="5">
        <v>30947.080000000002</v>
      </c>
      <c r="E480" t="s">
        <v>973</v>
      </c>
      <c r="F480" t="s">
        <v>41</v>
      </c>
      <c r="G480" t="s">
        <v>42</v>
      </c>
      <c r="H480" t="s">
        <v>974</v>
      </c>
      <c r="I480" t="s">
        <v>975</v>
      </c>
      <c r="J480" t="s">
        <v>31</v>
      </c>
      <c r="K480" t="s">
        <v>926</v>
      </c>
      <c r="M480" t="s">
        <v>23</v>
      </c>
      <c r="N480" t="s">
        <v>32</v>
      </c>
      <c r="O480" t="s">
        <v>28</v>
      </c>
      <c r="P480" t="s">
        <v>43</v>
      </c>
      <c r="Q480" t="s">
        <v>27</v>
      </c>
      <c r="R480" t="s">
        <v>28</v>
      </c>
    </row>
    <row r="481" spans="1:18" ht="15" hidden="1">
      <c r="A481" s="2">
        <v>44477</v>
      </c>
      <c r="B481" s="25">
        <v>10</v>
      </c>
      <c r="C481" s="25">
        <v>2021</v>
      </c>
      <c r="D481" s="5">
        <v>70882.759999999995</v>
      </c>
      <c r="E481" t="s">
        <v>952</v>
      </c>
      <c r="F481" t="s">
        <v>41</v>
      </c>
      <c r="G481" t="s">
        <v>42</v>
      </c>
      <c r="H481" t="s">
        <v>953</v>
      </c>
      <c r="I481" t="s">
        <v>954</v>
      </c>
      <c r="J481" t="s">
        <v>31</v>
      </c>
      <c r="K481" t="s">
        <v>976</v>
      </c>
      <c r="M481" t="s">
        <v>23</v>
      </c>
      <c r="N481" t="s">
        <v>32</v>
      </c>
      <c r="O481" t="s">
        <v>28</v>
      </c>
      <c r="P481" t="s">
        <v>43</v>
      </c>
      <c r="Q481" t="s">
        <v>27</v>
      </c>
      <c r="R481" t="s">
        <v>28</v>
      </c>
    </row>
    <row r="482" spans="1:18" ht="15" hidden="1">
      <c r="A482" s="2">
        <v>44489</v>
      </c>
      <c r="B482" s="25">
        <v>10</v>
      </c>
      <c r="C482" s="25">
        <v>2021</v>
      </c>
      <c r="D482" s="5">
        <v>7370.9099999999999</v>
      </c>
      <c r="E482" t="s">
        <v>977</v>
      </c>
      <c r="F482" t="s">
        <v>36</v>
      </c>
      <c r="G482" t="s">
        <v>37</v>
      </c>
      <c r="H482" t="s">
        <v>978</v>
      </c>
      <c r="I482" t="s">
        <v>979</v>
      </c>
      <c r="J482" t="s">
        <v>31</v>
      </c>
      <c r="K482" t="s">
        <v>965</v>
      </c>
      <c r="M482" t="s">
        <v>23</v>
      </c>
      <c r="N482" t="s">
        <v>32</v>
      </c>
      <c r="O482" t="s">
        <v>28</v>
      </c>
      <c r="P482" t="s">
        <v>26</v>
      </c>
      <c r="Q482" t="s">
        <v>27</v>
      </c>
      <c r="R482" t="s">
        <v>28</v>
      </c>
    </row>
    <row r="483" spans="1:18" ht="15" hidden="1">
      <c r="A483" s="2">
        <v>44498</v>
      </c>
      <c r="B483" s="25">
        <v>10</v>
      </c>
      <c r="C483" s="25">
        <v>2021</v>
      </c>
      <c r="D483" s="5">
        <v>54948.769999999997</v>
      </c>
      <c r="E483" t="s">
        <v>980</v>
      </c>
      <c r="F483" t="s">
        <v>41</v>
      </c>
      <c r="G483" t="s">
        <v>42</v>
      </c>
      <c r="H483" t="s">
        <v>981</v>
      </c>
      <c r="I483" t="s">
        <v>982</v>
      </c>
      <c r="J483" t="s">
        <v>31</v>
      </c>
      <c r="K483" t="s">
        <v>972</v>
      </c>
      <c r="M483" t="s">
        <v>23</v>
      </c>
      <c r="N483" t="s">
        <v>32</v>
      </c>
      <c r="O483" t="s">
        <v>28</v>
      </c>
      <c r="P483" t="s">
        <v>43</v>
      </c>
      <c r="Q483" t="s">
        <v>27</v>
      </c>
      <c r="R483" t="s">
        <v>28</v>
      </c>
    </row>
    <row r="484" spans="1:18" ht="15" hidden="1">
      <c r="A484" s="2">
        <v>44496</v>
      </c>
      <c r="B484" s="25">
        <v>10</v>
      </c>
      <c r="C484" s="25">
        <v>2021</v>
      </c>
      <c r="D484" s="5">
        <v>4055.6599999999999</v>
      </c>
      <c r="E484" t="s">
        <v>983</v>
      </c>
      <c r="F484" t="s">
        <v>29</v>
      </c>
      <c r="G484" t="s">
        <v>30</v>
      </c>
      <c r="H484" t="s">
        <v>984</v>
      </c>
      <c r="I484" t="s">
        <v>985</v>
      </c>
      <c r="J484" t="s">
        <v>31</v>
      </c>
      <c r="K484" t="s">
        <v>926</v>
      </c>
      <c r="M484" t="s">
        <v>23</v>
      </c>
      <c r="N484" t="s">
        <v>32</v>
      </c>
      <c r="O484" t="s">
        <v>28</v>
      </c>
      <c r="P484" t="s">
        <v>26</v>
      </c>
      <c r="Q484" t="s">
        <v>27</v>
      </c>
      <c r="R484" t="s">
        <v>28</v>
      </c>
    </row>
    <row r="485" spans="1:18" ht="15" hidden="1">
      <c r="A485" s="2">
        <v>44496</v>
      </c>
      <c r="B485" s="25">
        <v>10</v>
      </c>
      <c r="C485" s="25">
        <v>2021</v>
      </c>
      <c r="D485" s="5">
        <v>595.73000000000002</v>
      </c>
      <c r="E485" t="s">
        <v>983</v>
      </c>
      <c r="F485" t="s">
        <v>29</v>
      </c>
      <c r="G485" t="s">
        <v>30</v>
      </c>
      <c r="H485" t="s">
        <v>984</v>
      </c>
      <c r="I485" t="s">
        <v>985</v>
      </c>
      <c r="J485" t="s">
        <v>21</v>
      </c>
      <c r="K485" t="s">
        <v>942</v>
      </c>
      <c r="M485" t="s">
        <v>23</v>
      </c>
      <c r="N485" t="s">
        <v>24</v>
      </c>
      <c r="O485" t="s">
        <v>25</v>
      </c>
      <c r="P485" t="s">
        <v>26</v>
      </c>
      <c r="Q485" t="s">
        <v>27</v>
      </c>
      <c r="R485" t="s">
        <v>28</v>
      </c>
    </row>
    <row r="486" spans="1:18" ht="15" hidden="1">
      <c r="A486" s="2">
        <v>44483</v>
      </c>
      <c r="B486" s="25">
        <v>10</v>
      </c>
      <c r="C486" s="25">
        <v>2021</v>
      </c>
      <c r="D486" s="5">
        <v>414.10000000000002</v>
      </c>
      <c r="E486" t="s">
        <v>986</v>
      </c>
      <c r="F486" t="s">
        <v>29</v>
      </c>
      <c r="G486" t="s">
        <v>30</v>
      </c>
      <c r="H486" t="s">
        <v>987</v>
      </c>
      <c r="I486" t="s">
        <v>988</v>
      </c>
      <c r="J486" t="s">
        <v>21</v>
      </c>
      <c r="K486" t="s">
        <v>930</v>
      </c>
      <c r="M486" t="s">
        <v>23</v>
      </c>
      <c r="N486" t="s">
        <v>24</v>
      </c>
      <c r="O486" t="s">
        <v>25</v>
      </c>
      <c r="P486" t="s">
        <v>26</v>
      </c>
      <c r="Q486" t="s">
        <v>27</v>
      </c>
      <c r="R486" t="s">
        <v>28</v>
      </c>
    </row>
    <row r="487" spans="1:18" ht="15" hidden="1">
      <c r="A487" s="2">
        <v>44489</v>
      </c>
      <c r="B487" s="25">
        <v>10</v>
      </c>
      <c r="C487" s="25">
        <v>2021</v>
      </c>
      <c r="D487" s="5">
        <v>94424.009999999995</v>
      </c>
      <c r="E487" t="s">
        <v>989</v>
      </c>
      <c r="F487" t="s">
        <v>41</v>
      </c>
      <c r="G487" t="s">
        <v>42</v>
      </c>
      <c r="H487" t="s">
        <v>990</v>
      </c>
      <c r="I487" t="s">
        <v>991</v>
      </c>
      <c r="J487" t="s">
        <v>31</v>
      </c>
      <c r="K487" t="s">
        <v>965</v>
      </c>
      <c r="M487" t="s">
        <v>23</v>
      </c>
      <c r="N487" t="s">
        <v>32</v>
      </c>
      <c r="O487" t="s">
        <v>28</v>
      </c>
      <c r="P487" t="s">
        <v>43</v>
      </c>
      <c r="Q487" t="s">
        <v>27</v>
      </c>
      <c r="R487" t="s">
        <v>28</v>
      </c>
    </row>
    <row r="488" spans="1:18" ht="15" hidden="1">
      <c r="A488" s="2">
        <v>44498</v>
      </c>
      <c r="B488" s="25">
        <v>10</v>
      </c>
      <c r="C488" s="25">
        <v>2021</v>
      </c>
      <c r="D488" s="5">
        <v>112.72</v>
      </c>
      <c r="E488" t="s">
        <v>992</v>
      </c>
      <c r="F488" t="s">
        <v>38</v>
      </c>
      <c r="G488" t="s">
        <v>39</v>
      </c>
      <c r="H488" t="s">
        <v>993</v>
      </c>
      <c r="I488" t="s">
        <v>994</v>
      </c>
      <c r="J488" t="s">
        <v>21</v>
      </c>
      <c r="K488" t="s">
        <v>938</v>
      </c>
      <c r="M488" t="s">
        <v>23</v>
      </c>
      <c r="N488" t="s">
        <v>24</v>
      </c>
      <c r="O488" t="s">
        <v>25</v>
      </c>
      <c r="P488" t="s">
        <v>26</v>
      </c>
      <c r="Q488" t="s">
        <v>40</v>
      </c>
      <c r="R488" t="s">
        <v>28</v>
      </c>
    </row>
    <row r="489" spans="1:18" ht="15" hidden="1">
      <c r="A489" s="2">
        <v>44496</v>
      </c>
      <c r="B489" s="25">
        <v>10</v>
      </c>
      <c r="C489" s="25">
        <v>2021</v>
      </c>
      <c r="D489" s="5">
        <v>-5995.9499999999998</v>
      </c>
      <c r="E489" t="s">
        <v>939</v>
      </c>
      <c r="F489" t="s">
        <v>36</v>
      </c>
      <c r="G489" t="s">
        <v>37</v>
      </c>
      <c r="H489" t="s">
        <v>940</v>
      </c>
      <c r="I489" t="s">
        <v>941</v>
      </c>
      <c r="J489" t="s">
        <v>31</v>
      </c>
      <c r="K489" t="s">
        <v>926</v>
      </c>
      <c r="M489" t="s">
        <v>23</v>
      </c>
      <c r="N489" t="s">
        <v>32</v>
      </c>
      <c r="O489" t="s">
        <v>28</v>
      </c>
      <c r="P489" t="s">
        <v>26</v>
      </c>
      <c r="Q489" t="s">
        <v>27</v>
      </c>
      <c r="R489" t="s">
        <v>28</v>
      </c>
    </row>
    <row r="490" spans="1:18" ht="15" hidden="1">
      <c r="A490" s="2">
        <v>44496</v>
      </c>
      <c r="B490" s="25">
        <v>10</v>
      </c>
      <c r="C490" s="25">
        <v>2021</v>
      </c>
      <c r="D490" s="5">
        <v>2080.2199999999998</v>
      </c>
      <c r="E490" t="s">
        <v>943</v>
      </c>
      <c r="F490" t="s">
        <v>38</v>
      </c>
      <c r="G490" t="s">
        <v>39</v>
      </c>
      <c r="H490" t="s">
        <v>944</v>
      </c>
      <c r="I490" t="s">
        <v>945</v>
      </c>
      <c r="J490" t="s">
        <v>31</v>
      </c>
      <c r="K490" t="s">
        <v>926</v>
      </c>
      <c r="M490" t="s">
        <v>23</v>
      </c>
      <c r="N490" t="s">
        <v>32</v>
      </c>
      <c r="O490" t="s">
        <v>28</v>
      </c>
      <c r="P490" t="s">
        <v>26</v>
      </c>
      <c r="Q490" t="s">
        <v>27</v>
      </c>
      <c r="R490" t="s">
        <v>28</v>
      </c>
    </row>
    <row r="491" spans="1:18" ht="15" hidden="1">
      <c r="A491" s="2">
        <v>44483</v>
      </c>
      <c r="B491" s="25">
        <v>10</v>
      </c>
      <c r="C491" s="25">
        <v>2021</v>
      </c>
      <c r="D491" s="5">
        <v>2028.8399999999999</v>
      </c>
      <c r="E491" t="s">
        <v>927</v>
      </c>
      <c r="F491" t="s">
        <v>38</v>
      </c>
      <c r="G491" t="s">
        <v>39</v>
      </c>
      <c r="H491" t="s">
        <v>928</v>
      </c>
      <c r="I491" t="s">
        <v>929</v>
      </c>
      <c r="J491" t="s">
        <v>31</v>
      </c>
      <c r="K491" t="s">
        <v>995</v>
      </c>
      <c r="M491" t="s">
        <v>23</v>
      </c>
      <c r="N491" t="s">
        <v>32</v>
      </c>
      <c r="O491" t="s">
        <v>28</v>
      </c>
      <c r="P491" t="s">
        <v>26</v>
      </c>
      <c r="Q491" t="s">
        <v>27</v>
      </c>
      <c r="R491" t="s">
        <v>28</v>
      </c>
    </row>
    <row r="492" spans="1:18" ht="15" hidden="1">
      <c r="A492" s="2">
        <v>44498</v>
      </c>
      <c r="B492" s="25">
        <v>10</v>
      </c>
      <c r="C492" s="25">
        <v>2021</v>
      </c>
      <c r="D492" s="5">
        <v>743.27999999999997</v>
      </c>
      <c r="E492" t="s">
        <v>992</v>
      </c>
      <c r="F492" t="s">
        <v>38</v>
      </c>
      <c r="G492" t="s">
        <v>39</v>
      </c>
      <c r="H492" t="s">
        <v>993</v>
      </c>
      <c r="I492" t="s">
        <v>994</v>
      </c>
      <c r="J492" t="s">
        <v>31</v>
      </c>
      <c r="K492" t="s">
        <v>972</v>
      </c>
      <c r="M492" t="s">
        <v>23</v>
      </c>
      <c r="N492" t="s">
        <v>32</v>
      </c>
      <c r="O492" t="s">
        <v>28</v>
      </c>
      <c r="P492" t="s">
        <v>26</v>
      </c>
      <c r="Q492" t="s">
        <v>27</v>
      </c>
      <c r="R492" t="s">
        <v>28</v>
      </c>
    </row>
    <row r="493" spans="1:18" ht="15" hidden="1">
      <c r="A493" s="2">
        <v>44498</v>
      </c>
      <c r="B493" s="25">
        <v>10</v>
      </c>
      <c r="C493" s="25">
        <v>2021</v>
      </c>
      <c r="D493" s="5">
        <v>203315.35000000001</v>
      </c>
      <c r="E493" t="s">
        <v>996</v>
      </c>
      <c r="F493" t="s">
        <v>44</v>
      </c>
      <c r="G493" t="s">
        <v>45</v>
      </c>
      <c r="H493" t="s">
        <v>997</v>
      </c>
      <c r="I493" t="s">
        <v>998</v>
      </c>
      <c r="J493" t="s">
        <v>21</v>
      </c>
      <c r="K493" t="s">
        <v>938</v>
      </c>
      <c r="M493" t="s">
        <v>23</v>
      </c>
      <c r="N493" t="s">
        <v>24</v>
      </c>
      <c r="O493" t="s">
        <v>25</v>
      </c>
      <c r="P493" t="s">
        <v>26</v>
      </c>
      <c r="Q493" t="s">
        <v>40</v>
      </c>
      <c r="R493" t="s">
        <v>28</v>
      </c>
    </row>
    <row r="494" spans="1:18" ht="15" hidden="1">
      <c r="A494" s="2">
        <v>44496</v>
      </c>
      <c r="B494" s="25">
        <v>10</v>
      </c>
      <c r="C494" s="25">
        <v>2021</v>
      </c>
      <c r="D494" s="5">
        <v>9432.2800000000007</v>
      </c>
      <c r="E494" t="s">
        <v>973</v>
      </c>
      <c r="F494" t="s">
        <v>41</v>
      </c>
      <c r="G494" t="s">
        <v>42</v>
      </c>
      <c r="H494" t="s">
        <v>974</v>
      </c>
      <c r="I494" t="s">
        <v>975</v>
      </c>
      <c r="J494" t="s">
        <v>21</v>
      </c>
      <c r="K494" t="s">
        <v>942</v>
      </c>
      <c r="M494" t="s">
        <v>23</v>
      </c>
      <c r="N494" t="s">
        <v>24</v>
      </c>
      <c r="O494" t="s">
        <v>25</v>
      </c>
      <c r="P494" t="s">
        <v>43</v>
      </c>
      <c r="Q494" t="s">
        <v>40</v>
      </c>
      <c r="R494" t="s">
        <v>28</v>
      </c>
    </row>
    <row r="495" spans="1:18" ht="15" hidden="1">
      <c r="A495" s="2">
        <v>44496</v>
      </c>
      <c r="B495" s="25">
        <v>10</v>
      </c>
      <c r="C495" s="25">
        <v>2021</v>
      </c>
      <c r="D495" s="5">
        <v>806856.81000000006</v>
      </c>
      <c r="E495" t="s">
        <v>946</v>
      </c>
      <c r="F495" t="s">
        <v>44</v>
      </c>
      <c r="G495" t="s">
        <v>45</v>
      </c>
      <c r="H495" t="s">
        <v>947</v>
      </c>
      <c r="I495" t="s">
        <v>948</v>
      </c>
      <c r="J495" t="s">
        <v>31</v>
      </c>
      <c r="K495" t="s">
        <v>926</v>
      </c>
      <c r="M495" t="s">
        <v>23</v>
      </c>
      <c r="N495" t="s">
        <v>32</v>
      </c>
      <c r="O495" t="s">
        <v>28</v>
      </c>
      <c r="P495" t="s">
        <v>26</v>
      </c>
      <c r="Q495" t="s">
        <v>27</v>
      </c>
      <c r="R495" t="s">
        <v>28</v>
      </c>
    </row>
    <row r="496" spans="1:18" ht="15" hidden="1">
      <c r="A496" s="2">
        <v>44477</v>
      </c>
      <c r="B496" s="25">
        <v>10</v>
      </c>
      <c r="C496" s="25">
        <v>2021</v>
      </c>
      <c r="D496" s="5">
        <v>225247.60999999999</v>
      </c>
      <c r="E496" t="s">
        <v>956</v>
      </c>
      <c r="F496" t="s">
        <v>38</v>
      </c>
      <c r="G496" t="s">
        <v>39</v>
      </c>
      <c r="H496" t="s">
        <v>957</v>
      </c>
      <c r="I496" t="s">
        <v>958</v>
      </c>
      <c r="J496" t="s">
        <v>31</v>
      </c>
      <c r="K496" t="s">
        <v>976</v>
      </c>
      <c r="M496" t="s">
        <v>23</v>
      </c>
      <c r="N496" t="s">
        <v>32</v>
      </c>
      <c r="O496" t="s">
        <v>28</v>
      </c>
      <c r="P496" t="s">
        <v>26</v>
      </c>
      <c r="Q496" t="s">
        <v>27</v>
      </c>
      <c r="R496" t="s">
        <v>28</v>
      </c>
    </row>
    <row r="497" spans="1:18" ht="15" hidden="1">
      <c r="A497" s="2">
        <v>44498</v>
      </c>
      <c r="B497" s="25">
        <v>10</v>
      </c>
      <c r="C497" s="25">
        <v>2021</v>
      </c>
      <c r="D497" s="5">
        <v>17002.02</v>
      </c>
      <c r="E497" t="s">
        <v>980</v>
      </c>
      <c r="F497" t="s">
        <v>41</v>
      </c>
      <c r="G497" t="s">
        <v>42</v>
      </c>
      <c r="H497" t="s">
        <v>981</v>
      </c>
      <c r="I497" t="s">
        <v>982</v>
      </c>
      <c r="J497" t="s">
        <v>21</v>
      </c>
      <c r="K497" t="s">
        <v>938</v>
      </c>
      <c r="M497" t="s">
        <v>23</v>
      </c>
      <c r="N497" t="s">
        <v>24</v>
      </c>
      <c r="O497" t="s">
        <v>25</v>
      </c>
      <c r="P497" t="s">
        <v>43</v>
      </c>
      <c r="Q497" t="s">
        <v>40</v>
      </c>
      <c r="R497" t="s">
        <v>28</v>
      </c>
    </row>
    <row r="498" spans="1:18" ht="15" hidden="1">
      <c r="A498" s="2">
        <v>44489</v>
      </c>
      <c r="B498" s="25">
        <v>10</v>
      </c>
      <c r="C498" s="25">
        <v>2021</v>
      </c>
      <c r="D498" s="5">
        <v>516.40999999999997</v>
      </c>
      <c r="E498" t="s">
        <v>977</v>
      </c>
      <c r="F498" t="s">
        <v>36</v>
      </c>
      <c r="G498" t="s">
        <v>37</v>
      </c>
      <c r="H498" t="s">
        <v>978</v>
      </c>
      <c r="I498" t="s">
        <v>979</v>
      </c>
      <c r="J498" t="s">
        <v>21</v>
      </c>
      <c r="K498" t="s">
        <v>934</v>
      </c>
      <c r="M498" t="s">
        <v>23</v>
      </c>
      <c r="N498" t="s">
        <v>24</v>
      </c>
      <c r="O498" t="s">
        <v>25</v>
      </c>
      <c r="P498" t="s">
        <v>26</v>
      </c>
      <c r="Q498" t="s">
        <v>40</v>
      </c>
      <c r="R498" t="s">
        <v>28</v>
      </c>
    </row>
    <row r="499" spans="1:18" ht="15" hidden="1">
      <c r="A499" s="2">
        <v>44498</v>
      </c>
      <c r="B499" s="25">
        <v>10</v>
      </c>
      <c r="C499" s="25">
        <v>2021</v>
      </c>
      <c r="D499" s="5">
        <v>576.79999999999995</v>
      </c>
      <c r="E499" t="s">
        <v>969</v>
      </c>
      <c r="F499" t="s">
        <v>29</v>
      </c>
      <c r="G499" t="s">
        <v>30</v>
      </c>
      <c r="H499" t="s">
        <v>970</v>
      </c>
      <c r="I499" t="s">
        <v>971</v>
      </c>
      <c r="J499" t="s">
        <v>21</v>
      </c>
      <c r="K499" t="s">
        <v>938</v>
      </c>
      <c r="M499" t="s">
        <v>23</v>
      </c>
      <c r="N499" t="s">
        <v>24</v>
      </c>
      <c r="O499" t="s">
        <v>25</v>
      </c>
      <c r="P499" t="s">
        <v>26</v>
      </c>
      <c r="Q499" t="s">
        <v>27</v>
      </c>
      <c r="R499" t="s">
        <v>28</v>
      </c>
    </row>
    <row r="500" spans="1:18" ht="15" hidden="1">
      <c r="A500" s="2">
        <v>44498</v>
      </c>
      <c r="B500" s="25">
        <v>10</v>
      </c>
      <c r="C500" s="25">
        <v>2021</v>
      </c>
      <c r="D500" s="5">
        <v>1106460.1699999999</v>
      </c>
      <c r="E500" t="s">
        <v>996</v>
      </c>
      <c r="F500" t="s">
        <v>44</v>
      </c>
      <c r="G500" t="s">
        <v>45</v>
      </c>
      <c r="H500" t="s">
        <v>997</v>
      </c>
      <c r="I500" t="s">
        <v>998</v>
      </c>
      <c r="J500" t="s">
        <v>31</v>
      </c>
      <c r="K500" t="s">
        <v>972</v>
      </c>
      <c r="M500" t="s">
        <v>23</v>
      </c>
      <c r="N500" t="s">
        <v>32</v>
      </c>
      <c r="O500" t="s">
        <v>28</v>
      </c>
      <c r="P500" t="s">
        <v>26</v>
      </c>
      <c r="Q500" t="s">
        <v>27</v>
      </c>
      <c r="R500" t="s">
        <v>28</v>
      </c>
    </row>
    <row r="501" spans="1:18" ht="15" hidden="1">
      <c r="A501" s="2">
        <v>44498</v>
      </c>
      <c r="B501" s="25">
        <v>10</v>
      </c>
      <c r="C501" s="25">
        <v>2021</v>
      </c>
      <c r="D501" s="5">
        <v>159069.45000000001</v>
      </c>
      <c r="E501" t="s">
        <v>999</v>
      </c>
      <c r="F501" t="s">
        <v>38</v>
      </c>
      <c r="G501" t="s">
        <v>39</v>
      </c>
      <c r="H501" t="s">
        <v>1000</v>
      </c>
      <c r="I501" t="s">
        <v>1001</v>
      </c>
      <c r="J501" t="s">
        <v>31</v>
      </c>
      <c r="K501" t="s">
        <v>972</v>
      </c>
      <c r="M501" t="s">
        <v>23</v>
      </c>
      <c r="N501" t="s">
        <v>32</v>
      </c>
      <c r="O501" t="s">
        <v>28</v>
      </c>
      <c r="P501" t="s">
        <v>26</v>
      </c>
      <c r="Q501" t="s">
        <v>27</v>
      </c>
      <c r="R501" t="s">
        <v>28</v>
      </c>
    </row>
    <row r="502" spans="1:18" ht="15" hidden="1">
      <c r="A502" s="2">
        <v>44496</v>
      </c>
      <c r="B502" s="25">
        <v>10</v>
      </c>
      <c r="C502" s="25">
        <v>2021</v>
      </c>
      <c r="D502" s="5">
        <v>88497.600000000006</v>
      </c>
      <c r="E502" t="s">
        <v>949</v>
      </c>
      <c r="F502" t="s">
        <v>38</v>
      </c>
      <c r="G502" t="s">
        <v>39</v>
      </c>
      <c r="H502" t="s">
        <v>950</v>
      </c>
      <c r="I502" t="s">
        <v>951</v>
      </c>
      <c r="J502" t="s">
        <v>21</v>
      </c>
      <c r="K502" t="s">
        <v>942</v>
      </c>
      <c r="M502" t="s">
        <v>23</v>
      </c>
      <c r="N502" t="s">
        <v>24</v>
      </c>
      <c r="O502" t="s">
        <v>25</v>
      </c>
      <c r="P502" t="s">
        <v>26</v>
      </c>
      <c r="Q502" t="s">
        <v>40</v>
      </c>
      <c r="R502" t="s">
        <v>28</v>
      </c>
    </row>
    <row r="503" spans="1:18" ht="15" hidden="1">
      <c r="A503" s="2">
        <v>44477</v>
      </c>
      <c r="B503" s="25">
        <v>10</v>
      </c>
      <c r="C503" s="25">
        <v>2021</v>
      </c>
      <c r="D503" s="5">
        <v>661567.64000000001</v>
      </c>
      <c r="E503" t="s">
        <v>959</v>
      </c>
      <c r="F503" t="s">
        <v>44</v>
      </c>
      <c r="G503" t="s">
        <v>45</v>
      </c>
      <c r="H503" t="s">
        <v>960</v>
      </c>
      <c r="I503" t="s">
        <v>961</v>
      </c>
      <c r="J503" t="s">
        <v>31</v>
      </c>
      <c r="K503" t="s">
        <v>976</v>
      </c>
      <c r="M503" t="s">
        <v>23</v>
      </c>
      <c r="N503" t="s">
        <v>32</v>
      </c>
      <c r="O503" t="s">
        <v>28</v>
      </c>
      <c r="P503" t="s">
        <v>26</v>
      </c>
      <c r="Q503" t="s">
        <v>27</v>
      </c>
      <c r="R503" t="s">
        <v>28</v>
      </c>
    </row>
    <row r="504" spans="1:18" ht="15" hidden="1">
      <c r="A504" s="2">
        <v>44483</v>
      </c>
      <c r="B504" s="25">
        <v>10</v>
      </c>
      <c r="C504" s="25">
        <v>2021</v>
      </c>
      <c r="D504" s="5">
        <v>6207.1700000000001</v>
      </c>
      <c r="E504" t="s">
        <v>986</v>
      </c>
      <c r="F504" t="s">
        <v>29</v>
      </c>
      <c r="G504" t="s">
        <v>30</v>
      </c>
      <c r="H504" t="s">
        <v>987</v>
      </c>
      <c r="I504" t="s">
        <v>988</v>
      </c>
      <c r="J504" t="s">
        <v>31</v>
      </c>
      <c r="K504" t="s">
        <v>995</v>
      </c>
      <c r="M504" t="s">
        <v>23</v>
      </c>
      <c r="N504" t="s">
        <v>32</v>
      </c>
      <c r="O504" t="s">
        <v>28</v>
      </c>
      <c r="P504" t="s">
        <v>26</v>
      </c>
      <c r="Q504" t="s">
        <v>27</v>
      </c>
      <c r="R504" t="s">
        <v>28</v>
      </c>
    </row>
    <row r="505" spans="1:18" ht="15" hidden="1">
      <c r="A505" s="2">
        <v>44489</v>
      </c>
      <c r="B505" s="25">
        <v>10</v>
      </c>
      <c r="C505" s="25">
        <v>2021</v>
      </c>
      <c r="D505" s="5">
        <v>29998.07</v>
      </c>
      <c r="E505" t="s">
        <v>989</v>
      </c>
      <c r="F505" t="s">
        <v>41</v>
      </c>
      <c r="G505" t="s">
        <v>42</v>
      </c>
      <c r="H505" t="s">
        <v>990</v>
      </c>
      <c r="I505" t="s">
        <v>991</v>
      </c>
      <c r="J505" t="s">
        <v>21</v>
      </c>
      <c r="K505" t="s">
        <v>934</v>
      </c>
      <c r="M505" t="s">
        <v>23</v>
      </c>
      <c r="N505" t="s">
        <v>24</v>
      </c>
      <c r="O505" t="s">
        <v>25</v>
      </c>
      <c r="P505" t="s">
        <v>43</v>
      </c>
      <c r="Q505" t="s">
        <v>40</v>
      </c>
      <c r="R505" t="s">
        <v>28</v>
      </c>
    </row>
    <row r="506" spans="1:18" ht="15" hidden="1">
      <c r="A506" s="2">
        <v>44498</v>
      </c>
      <c r="B506" s="25">
        <v>10</v>
      </c>
      <c r="C506" s="25">
        <v>2021</v>
      </c>
      <c r="D506" s="5">
        <v>779.80999999999995</v>
      </c>
      <c r="E506" t="s">
        <v>935</v>
      </c>
      <c r="F506" t="s">
        <v>36</v>
      </c>
      <c r="G506" t="s">
        <v>37</v>
      </c>
      <c r="H506" t="s">
        <v>936</v>
      </c>
      <c r="I506" t="s">
        <v>937</v>
      </c>
      <c r="J506" t="s">
        <v>31</v>
      </c>
      <c r="K506" t="s">
        <v>972</v>
      </c>
      <c r="M506" t="s">
        <v>23</v>
      </c>
      <c r="N506" t="s">
        <v>32</v>
      </c>
      <c r="O506" t="s">
        <v>28</v>
      </c>
      <c r="P506" t="s">
        <v>26</v>
      </c>
      <c r="Q506" t="s">
        <v>27</v>
      </c>
      <c r="R506" t="s">
        <v>28</v>
      </c>
    </row>
    <row r="507" spans="1:18" ht="15" hidden="1">
      <c r="A507" s="2">
        <v>44498</v>
      </c>
      <c r="B507" s="25">
        <v>10</v>
      </c>
      <c r="C507" s="25">
        <v>2021</v>
      </c>
      <c r="D507" s="5">
        <v>63190.43</v>
      </c>
      <c r="E507" t="s">
        <v>999</v>
      </c>
      <c r="F507" t="s">
        <v>38</v>
      </c>
      <c r="G507" t="s">
        <v>39</v>
      </c>
      <c r="H507" t="s">
        <v>1000</v>
      </c>
      <c r="I507" t="s">
        <v>1001</v>
      </c>
      <c r="J507" t="s">
        <v>21</v>
      </c>
      <c r="K507" t="s">
        <v>938</v>
      </c>
      <c r="M507" t="s">
        <v>23</v>
      </c>
      <c r="N507" t="s">
        <v>24</v>
      </c>
      <c r="O507" t="s">
        <v>25</v>
      </c>
      <c r="P507" t="s">
        <v>26</v>
      </c>
      <c r="Q507" t="s">
        <v>40</v>
      </c>
      <c r="R507" t="s">
        <v>28</v>
      </c>
    </row>
    <row r="508" spans="1:18" ht="15" hidden="1">
      <c r="A508" s="2">
        <v>44522</v>
      </c>
      <c r="B508" s="25">
        <v>11</v>
      </c>
      <c r="C508" s="25">
        <v>2021</v>
      </c>
      <c r="D508" s="5">
        <v>195047.03</v>
      </c>
      <c r="E508" t="s">
        <v>1002</v>
      </c>
      <c r="F508" t="s">
        <v>44</v>
      </c>
      <c r="G508" t="s">
        <v>45</v>
      </c>
      <c r="H508" t="s">
        <v>1003</v>
      </c>
      <c r="I508" t="s">
        <v>1004</v>
      </c>
      <c r="J508" t="s">
        <v>21</v>
      </c>
      <c r="K508" t="s">
        <v>1005</v>
      </c>
      <c r="M508" t="s">
        <v>23</v>
      </c>
      <c r="N508" t="s">
        <v>24</v>
      </c>
      <c r="O508" t="s">
        <v>25</v>
      </c>
      <c r="P508" t="s">
        <v>26</v>
      </c>
      <c r="Q508" t="s">
        <v>40</v>
      </c>
      <c r="R508" t="s">
        <v>28</v>
      </c>
    </row>
    <row r="509" spans="1:18" ht="15">
      <c r="A509" s="2">
        <v>44522</v>
      </c>
      <c r="B509" s="25">
        <v>11</v>
      </c>
      <c r="C509" s="25">
        <v>2021</v>
      </c>
      <c r="D509" s="5">
        <v>3543.2800000000002</v>
      </c>
      <c r="E509" t="s">
        <v>1006</v>
      </c>
      <c r="F509" t="s">
        <v>38</v>
      </c>
      <c r="G509" t="s">
        <v>39</v>
      </c>
      <c r="H509" t="s">
        <v>1007</v>
      </c>
      <c r="I509" t="s">
        <v>1008</v>
      </c>
      <c r="J509" t="s">
        <v>31</v>
      </c>
      <c r="K509" t="s">
        <v>1009</v>
      </c>
      <c r="M509" t="s">
        <v>23</v>
      </c>
      <c r="N509" t="s">
        <v>32</v>
      </c>
      <c r="O509" t="s">
        <v>28</v>
      </c>
      <c r="P509" t="s">
        <v>26</v>
      </c>
      <c r="Q509" t="s">
        <v>27</v>
      </c>
      <c r="R509" t="s">
        <v>28</v>
      </c>
    </row>
    <row r="510" spans="1:18" ht="15">
      <c r="A510" s="2">
        <v>44529</v>
      </c>
      <c r="B510" s="25">
        <v>11</v>
      </c>
      <c r="C510" s="25">
        <v>2021</v>
      </c>
      <c r="D510" s="5">
        <v>11.560000000000001</v>
      </c>
      <c r="E510" t="s">
        <v>1010</v>
      </c>
      <c r="F510" t="s">
        <v>38</v>
      </c>
      <c r="G510" t="s">
        <v>39</v>
      </c>
      <c r="H510" t="s">
        <v>1011</v>
      </c>
      <c r="I510" t="s">
        <v>1012</v>
      </c>
      <c r="J510" t="s">
        <v>31</v>
      </c>
      <c r="K510" t="s">
        <v>1013</v>
      </c>
      <c r="M510" t="s">
        <v>23</v>
      </c>
      <c r="N510" t="s">
        <v>32</v>
      </c>
      <c r="O510" t="s">
        <v>28</v>
      </c>
      <c r="P510" t="s">
        <v>26</v>
      </c>
      <c r="Q510" t="s">
        <v>27</v>
      </c>
      <c r="R510" t="s">
        <v>28</v>
      </c>
    </row>
    <row r="511" spans="1:18" ht="15" hidden="1">
      <c r="A511" s="2">
        <v>44529</v>
      </c>
      <c r="B511" s="25">
        <v>11</v>
      </c>
      <c r="C511" s="25">
        <v>2021</v>
      </c>
      <c r="D511" s="5">
        <v>64813.190000000002</v>
      </c>
      <c r="E511" t="s">
        <v>1014</v>
      </c>
      <c r="F511" t="s">
        <v>41</v>
      </c>
      <c r="G511" t="s">
        <v>42</v>
      </c>
      <c r="H511" t="s">
        <v>1015</v>
      </c>
      <c r="I511" t="s">
        <v>1016</v>
      </c>
      <c r="J511" t="s">
        <v>31</v>
      </c>
      <c r="K511" t="s">
        <v>1013</v>
      </c>
      <c r="M511" t="s">
        <v>23</v>
      </c>
      <c r="N511" t="s">
        <v>32</v>
      </c>
      <c r="O511" t="s">
        <v>28</v>
      </c>
      <c r="P511" t="s">
        <v>43</v>
      </c>
      <c r="Q511" t="s">
        <v>27</v>
      </c>
      <c r="R511" t="s">
        <v>28</v>
      </c>
    </row>
    <row r="512" spans="1:18" ht="15">
      <c r="A512" s="2">
        <v>44529</v>
      </c>
      <c r="B512" s="25">
        <v>11</v>
      </c>
      <c r="C512" s="25">
        <v>2021</v>
      </c>
      <c r="D512" s="5">
        <v>209594.66</v>
      </c>
      <c r="E512" t="s">
        <v>1017</v>
      </c>
      <c r="F512" t="s">
        <v>38</v>
      </c>
      <c r="G512" t="s">
        <v>39</v>
      </c>
      <c r="H512" t="s">
        <v>1018</v>
      </c>
      <c r="I512" t="s">
        <v>1019</v>
      </c>
      <c r="J512" t="s">
        <v>31</v>
      </c>
      <c r="K512" t="s">
        <v>1013</v>
      </c>
      <c r="M512" t="s">
        <v>23</v>
      </c>
      <c r="N512" t="s">
        <v>32</v>
      </c>
      <c r="O512" t="s">
        <v>28</v>
      </c>
      <c r="P512" t="s">
        <v>26</v>
      </c>
      <c r="Q512" t="s">
        <v>27</v>
      </c>
      <c r="R512" t="s">
        <v>28</v>
      </c>
    </row>
    <row r="513" spans="1:18" ht="15" hidden="1">
      <c r="A513" s="2">
        <v>44505</v>
      </c>
      <c r="B513" s="25">
        <v>11</v>
      </c>
      <c r="C513" s="25">
        <v>2021</v>
      </c>
      <c r="D513" s="5">
        <v>3361.77</v>
      </c>
      <c r="E513" t="s">
        <v>1020</v>
      </c>
      <c r="F513" t="s">
        <v>29</v>
      </c>
      <c r="G513" t="s">
        <v>30</v>
      </c>
      <c r="H513" t="s">
        <v>1021</v>
      </c>
      <c r="I513" t="s">
        <v>1022</v>
      </c>
      <c r="J513" t="s">
        <v>31</v>
      </c>
      <c r="K513" t="s">
        <v>1023</v>
      </c>
      <c r="M513" t="s">
        <v>23</v>
      </c>
      <c r="N513" t="s">
        <v>32</v>
      </c>
      <c r="O513" t="s">
        <v>28</v>
      </c>
      <c r="P513" t="s">
        <v>26</v>
      </c>
      <c r="Q513" t="s">
        <v>27</v>
      </c>
      <c r="R513" t="s">
        <v>28</v>
      </c>
    </row>
    <row r="514" spans="1:18" ht="15" hidden="1">
      <c r="A514" s="2">
        <v>44510</v>
      </c>
      <c r="B514" s="25">
        <v>11</v>
      </c>
      <c r="C514" s="25">
        <v>2021</v>
      </c>
      <c r="D514" s="5">
        <v>343.33999999999997</v>
      </c>
      <c r="E514" t="s">
        <v>1024</v>
      </c>
      <c r="F514" t="s">
        <v>36</v>
      </c>
      <c r="G514" t="s">
        <v>37</v>
      </c>
      <c r="H514" t="s">
        <v>1025</v>
      </c>
      <c r="I514" t="s">
        <v>1026</v>
      </c>
      <c r="J514" t="s">
        <v>21</v>
      </c>
      <c r="K514" t="s">
        <v>1027</v>
      </c>
      <c r="M514" t="s">
        <v>23</v>
      </c>
      <c r="N514" t="s">
        <v>24</v>
      </c>
      <c r="O514" t="s">
        <v>25</v>
      </c>
      <c r="P514" t="s">
        <v>26</v>
      </c>
      <c r="Q514" t="s">
        <v>40</v>
      </c>
      <c r="R514" t="s">
        <v>28</v>
      </c>
    </row>
    <row r="515" spans="1:18" ht="15">
      <c r="A515" s="2">
        <v>44530</v>
      </c>
      <c r="B515" s="25">
        <v>11</v>
      </c>
      <c r="C515" s="25">
        <v>2021</v>
      </c>
      <c r="D515" s="5">
        <v>221568.53</v>
      </c>
      <c r="E515" t="s">
        <v>1028</v>
      </c>
      <c r="F515" t="s">
        <v>38</v>
      </c>
      <c r="G515" t="s">
        <v>39</v>
      </c>
      <c r="H515" t="s">
        <v>1029</v>
      </c>
      <c r="I515" t="s">
        <v>1030</v>
      </c>
      <c r="J515" t="s">
        <v>31</v>
      </c>
      <c r="K515" t="s">
        <v>1031</v>
      </c>
      <c r="M515" t="s">
        <v>23</v>
      </c>
      <c r="N515" t="s">
        <v>32</v>
      </c>
      <c r="O515" t="s">
        <v>28</v>
      </c>
      <c r="P515" t="s">
        <v>26</v>
      </c>
      <c r="Q515" t="s">
        <v>27</v>
      </c>
      <c r="R515" t="s">
        <v>28</v>
      </c>
    </row>
    <row r="516" spans="1:18" ht="15" hidden="1">
      <c r="A516" s="2">
        <v>44530</v>
      </c>
      <c r="B516" s="25">
        <v>11</v>
      </c>
      <c r="C516" s="25">
        <v>2021</v>
      </c>
      <c r="D516" s="5">
        <v>236.18000000000001</v>
      </c>
      <c r="E516" t="s">
        <v>1032</v>
      </c>
      <c r="F516" t="s">
        <v>29</v>
      </c>
      <c r="G516" t="s">
        <v>30</v>
      </c>
      <c r="H516" t="s">
        <v>1033</v>
      </c>
      <c r="I516" t="s">
        <v>1034</v>
      </c>
      <c r="J516" t="s">
        <v>21</v>
      </c>
      <c r="K516" t="s">
        <v>1035</v>
      </c>
      <c r="M516" t="s">
        <v>23</v>
      </c>
      <c r="N516" t="s">
        <v>24</v>
      </c>
      <c r="O516" t="s">
        <v>25</v>
      </c>
      <c r="P516" t="s">
        <v>26</v>
      </c>
      <c r="Q516" t="s">
        <v>27</v>
      </c>
      <c r="R516" t="s">
        <v>28</v>
      </c>
    </row>
    <row r="517" spans="1:18" ht="15">
      <c r="A517" s="2">
        <v>44530</v>
      </c>
      <c r="B517" s="25">
        <v>11</v>
      </c>
      <c r="C517" s="25">
        <v>2021</v>
      </c>
      <c r="D517" s="5">
        <v>41605.949999999997</v>
      </c>
      <c r="E517" t="s">
        <v>1028</v>
      </c>
      <c r="F517" t="s">
        <v>38</v>
      </c>
      <c r="G517" t="s">
        <v>39</v>
      </c>
      <c r="H517" t="s">
        <v>1029</v>
      </c>
      <c r="I517" t="s">
        <v>1030</v>
      </c>
      <c r="J517" t="s">
        <v>21</v>
      </c>
      <c r="K517" t="s">
        <v>1035</v>
      </c>
      <c r="M517" t="s">
        <v>23</v>
      </c>
      <c r="N517" t="s">
        <v>24</v>
      </c>
      <c r="O517" t="s">
        <v>25</v>
      </c>
      <c r="P517" t="s">
        <v>26</v>
      </c>
      <c r="Q517" t="s">
        <v>40</v>
      </c>
      <c r="R517" t="s">
        <v>28</v>
      </c>
    </row>
    <row r="518" spans="1:18" ht="15">
      <c r="A518" s="2">
        <v>44522</v>
      </c>
      <c r="B518" s="25">
        <v>11</v>
      </c>
      <c r="C518" s="25">
        <v>2021</v>
      </c>
      <c r="D518" s="5">
        <v>49.219999999999999</v>
      </c>
      <c r="E518" t="s">
        <v>1006</v>
      </c>
      <c r="F518" t="s">
        <v>38</v>
      </c>
      <c r="G518" t="s">
        <v>39</v>
      </c>
      <c r="H518" t="s">
        <v>1007</v>
      </c>
      <c r="I518" t="s">
        <v>1008</v>
      </c>
      <c r="J518" t="s">
        <v>21</v>
      </c>
      <c r="K518" t="s">
        <v>1005</v>
      </c>
      <c r="M518" t="s">
        <v>23</v>
      </c>
      <c r="N518" t="s">
        <v>24</v>
      </c>
      <c r="O518" t="s">
        <v>25</v>
      </c>
      <c r="P518" t="s">
        <v>26</v>
      </c>
      <c r="Q518" t="s">
        <v>40</v>
      </c>
      <c r="R518" t="s">
        <v>28</v>
      </c>
    </row>
    <row r="519" spans="1:18" ht="15" hidden="1">
      <c r="A519" s="2">
        <v>44522</v>
      </c>
      <c r="B519" s="25">
        <v>11</v>
      </c>
      <c r="C519" s="25">
        <v>2021</v>
      </c>
      <c r="D519" s="5">
        <v>56386.949999999997</v>
      </c>
      <c r="E519" t="s">
        <v>1036</v>
      </c>
      <c r="F519" t="s">
        <v>41</v>
      </c>
      <c r="G519" t="s">
        <v>42</v>
      </c>
      <c r="H519" t="s">
        <v>1037</v>
      </c>
      <c r="I519" t="s">
        <v>1038</v>
      </c>
      <c r="J519" t="s">
        <v>31</v>
      </c>
      <c r="K519" t="s">
        <v>1009</v>
      </c>
      <c r="M519" t="s">
        <v>23</v>
      </c>
      <c r="N519" t="s">
        <v>32</v>
      </c>
      <c r="O519" t="s">
        <v>28</v>
      </c>
      <c r="P519" t="s">
        <v>43</v>
      </c>
      <c r="Q519" t="s">
        <v>27</v>
      </c>
      <c r="R519" t="s">
        <v>28</v>
      </c>
    </row>
    <row r="520" spans="1:18" ht="15" hidden="1">
      <c r="A520" s="2">
        <v>44529</v>
      </c>
      <c r="B520" s="25">
        <v>11</v>
      </c>
      <c r="C520" s="25">
        <v>2021</v>
      </c>
      <c r="D520" s="5">
        <v>4026.6300000000001</v>
      </c>
      <c r="E520" t="s">
        <v>1039</v>
      </c>
      <c r="F520" t="s">
        <v>29</v>
      </c>
      <c r="G520" t="s">
        <v>30</v>
      </c>
      <c r="H520" t="s">
        <v>1040</v>
      </c>
      <c r="I520" t="s">
        <v>1041</v>
      </c>
      <c r="J520" t="s">
        <v>31</v>
      </c>
      <c r="K520" t="s">
        <v>1013</v>
      </c>
      <c r="M520" t="s">
        <v>23</v>
      </c>
      <c r="N520" t="s">
        <v>32</v>
      </c>
      <c r="O520" t="s">
        <v>28</v>
      </c>
      <c r="P520" t="s">
        <v>26</v>
      </c>
      <c r="Q520" t="s">
        <v>27</v>
      </c>
      <c r="R520" t="s">
        <v>28</v>
      </c>
    </row>
    <row r="521" spans="1:18" ht="15" hidden="1">
      <c r="A521" s="2">
        <v>44530</v>
      </c>
      <c r="B521" s="25">
        <v>11</v>
      </c>
      <c r="C521" s="25">
        <v>2021</v>
      </c>
      <c r="D521" s="5">
        <v>3882.5500000000002</v>
      </c>
      <c r="E521" t="s">
        <v>1032</v>
      </c>
      <c r="F521" t="s">
        <v>29</v>
      </c>
      <c r="G521" t="s">
        <v>30</v>
      </c>
      <c r="H521" t="s">
        <v>1033</v>
      </c>
      <c r="I521" t="s">
        <v>1034</v>
      </c>
      <c r="J521" t="s">
        <v>31</v>
      </c>
      <c r="K521" t="s">
        <v>1031</v>
      </c>
      <c r="M521" t="s">
        <v>23</v>
      </c>
      <c r="N521" t="s">
        <v>32</v>
      </c>
      <c r="O521" t="s">
        <v>28</v>
      </c>
      <c r="P521" t="s">
        <v>26</v>
      </c>
      <c r="Q521" t="s">
        <v>27</v>
      </c>
      <c r="R521" t="s">
        <v>28</v>
      </c>
    </row>
    <row r="522" spans="1:18" ht="15" hidden="1">
      <c r="A522" s="2">
        <v>44530</v>
      </c>
      <c r="B522" s="25">
        <v>11</v>
      </c>
      <c r="C522" s="25">
        <v>2021</v>
      </c>
      <c r="D522" s="5">
        <v>87.480000000000004</v>
      </c>
      <c r="E522" t="s">
        <v>1042</v>
      </c>
      <c r="F522" t="s">
        <v>36</v>
      </c>
      <c r="G522" t="s">
        <v>37</v>
      </c>
      <c r="H522" t="s">
        <v>1043</v>
      </c>
      <c r="I522" t="s">
        <v>1044</v>
      </c>
      <c r="J522" t="s">
        <v>21</v>
      </c>
      <c r="K522" t="s">
        <v>1035</v>
      </c>
      <c r="M522" t="s">
        <v>23</v>
      </c>
      <c r="N522" t="s">
        <v>24</v>
      </c>
      <c r="O522" t="s">
        <v>25</v>
      </c>
      <c r="P522" t="s">
        <v>26</v>
      </c>
      <c r="Q522" t="s">
        <v>40</v>
      </c>
      <c r="R522" t="s">
        <v>28</v>
      </c>
    </row>
    <row r="523" spans="1:18" ht="15" hidden="1">
      <c r="A523" s="2">
        <v>44522</v>
      </c>
      <c r="B523" s="25">
        <v>11</v>
      </c>
      <c r="C523" s="25">
        <v>2021</v>
      </c>
      <c r="D523" s="5">
        <v>1607.02</v>
      </c>
      <c r="E523" t="s">
        <v>1045</v>
      </c>
      <c r="F523" t="s">
        <v>36</v>
      </c>
      <c r="G523" t="s">
        <v>37</v>
      </c>
      <c r="H523" t="s">
        <v>1046</v>
      </c>
      <c r="I523" t="s">
        <v>1047</v>
      </c>
      <c r="J523" t="s">
        <v>31</v>
      </c>
      <c r="K523" t="s">
        <v>1009</v>
      </c>
      <c r="M523" t="s">
        <v>23</v>
      </c>
      <c r="N523" t="s">
        <v>32</v>
      </c>
      <c r="O523" t="s">
        <v>28</v>
      </c>
      <c r="P523" t="s">
        <v>26</v>
      </c>
      <c r="Q523" t="s">
        <v>27</v>
      </c>
      <c r="R523" t="s">
        <v>28</v>
      </c>
    </row>
    <row r="524" spans="1:18" ht="15" hidden="1">
      <c r="A524" s="2">
        <v>44529</v>
      </c>
      <c r="B524" s="25">
        <v>11</v>
      </c>
      <c r="C524" s="25">
        <v>2021</v>
      </c>
      <c r="D524" s="5">
        <v>3900</v>
      </c>
      <c r="E524" t="s">
        <v>1048</v>
      </c>
      <c r="F524" t="s">
        <v>48</v>
      </c>
      <c r="G524" t="s">
        <v>256</v>
      </c>
      <c r="H524" t="s">
        <v>1049</v>
      </c>
      <c r="I524" t="s">
        <v>1050</v>
      </c>
      <c r="J524" t="s">
        <v>31</v>
      </c>
      <c r="K524" t="s">
        <v>1013</v>
      </c>
      <c r="M524" t="s">
        <v>23</v>
      </c>
      <c r="N524" t="s">
        <v>32</v>
      </c>
      <c r="O524" t="s">
        <v>28</v>
      </c>
      <c r="P524" t="s">
        <v>49</v>
      </c>
      <c r="Q524" t="s">
        <v>50</v>
      </c>
      <c r="R524" t="s">
        <v>28</v>
      </c>
    </row>
    <row r="525" spans="1:18" ht="15" hidden="1">
      <c r="A525" s="2">
        <v>44530</v>
      </c>
      <c r="B525" s="25">
        <v>11</v>
      </c>
      <c r="C525" s="25">
        <v>2021</v>
      </c>
      <c r="D525" s="5">
        <v>622.48000000000002</v>
      </c>
      <c r="E525" t="s">
        <v>1051</v>
      </c>
      <c r="F525" t="s">
        <v>36</v>
      </c>
      <c r="G525" t="s">
        <v>37</v>
      </c>
      <c r="H525" t="s">
        <v>1052</v>
      </c>
      <c r="I525" t="s">
        <v>1053</v>
      </c>
      <c r="J525" t="s">
        <v>21</v>
      </c>
      <c r="K525" t="s">
        <v>1035</v>
      </c>
      <c r="M525" t="s">
        <v>23</v>
      </c>
      <c r="N525" t="s">
        <v>24</v>
      </c>
      <c r="O525" t="s">
        <v>25</v>
      </c>
      <c r="P525" t="s">
        <v>26</v>
      </c>
      <c r="Q525" t="s">
        <v>40</v>
      </c>
      <c r="R525" t="s">
        <v>28</v>
      </c>
    </row>
    <row r="526" spans="1:18" ht="15" hidden="1">
      <c r="A526" s="2">
        <v>44529</v>
      </c>
      <c r="B526" s="25">
        <v>11</v>
      </c>
      <c r="C526" s="25">
        <v>2021</v>
      </c>
      <c r="D526" s="5">
        <v>405.50999999999999</v>
      </c>
      <c r="E526" t="s">
        <v>1039</v>
      </c>
      <c r="F526" t="s">
        <v>29</v>
      </c>
      <c r="G526" t="s">
        <v>30</v>
      </c>
      <c r="H526" t="s">
        <v>1040</v>
      </c>
      <c r="I526" t="s">
        <v>1041</v>
      </c>
      <c r="J526" t="s">
        <v>21</v>
      </c>
      <c r="K526" t="s">
        <v>1054</v>
      </c>
      <c r="M526" t="s">
        <v>23</v>
      </c>
      <c r="N526" t="s">
        <v>24</v>
      </c>
      <c r="O526" t="s">
        <v>25</v>
      </c>
      <c r="P526" t="s">
        <v>26</v>
      </c>
      <c r="Q526" t="s">
        <v>27</v>
      </c>
      <c r="R526" t="s">
        <v>28</v>
      </c>
    </row>
    <row r="527" spans="1:18" ht="15" hidden="1">
      <c r="A527" s="2">
        <v>44505</v>
      </c>
      <c r="B527" s="25">
        <v>11</v>
      </c>
      <c r="C527" s="25">
        <v>2021</v>
      </c>
      <c r="D527" s="5">
        <v>68728.149999999994</v>
      </c>
      <c r="E527" t="s">
        <v>1055</v>
      </c>
      <c r="F527" t="s">
        <v>41</v>
      </c>
      <c r="G527" t="s">
        <v>42</v>
      </c>
      <c r="H527" t="s">
        <v>1056</v>
      </c>
      <c r="I527" t="s">
        <v>1057</v>
      </c>
      <c r="J527" t="s">
        <v>31</v>
      </c>
      <c r="K527" t="s">
        <v>1023</v>
      </c>
      <c r="M527" t="s">
        <v>23</v>
      </c>
      <c r="N527" t="s">
        <v>32</v>
      </c>
      <c r="O527" t="s">
        <v>28</v>
      </c>
      <c r="P527" t="s">
        <v>43</v>
      </c>
      <c r="Q527" t="s">
        <v>27</v>
      </c>
      <c r="R527" t="s">
        <v>28</v>
      </c>
    </row>
    <row r="528" spans="1:18" ht="15">
      <c r="A528" s="2">
        <v>44530</v>
      </c>
      <c r="B528" s="25">
        <v>11</v>
      </c>
      <c r="C528" s="25">
        <v>2021</v>
      </c>
      <c r="D528" s="5">
        <v>736.82000000000005</v>
      </c>
      <c r="E528" t="s">
        <v>1058</v>
      </c>
      <c r="F528" t="s">
        <v>38</v>
      </c>
      <c r="G528" t="s">
        <v>39</v>
      </c>
      <c r="H528" t="s">
        <v>1059</v>
      </c>
      <c r="I528" t="s">
        <v>1060</v>
      </c>
      <c r="J528" t="s">
        <v>31</v>
      </c>
      <c r="K528" t="s">
        <v>1031</v>
      </c>
      <c r="M528" t="s">
        <v>23</v>
      </c>
      <c r="N528" t="s">
        <v>32</v>
      </c>
      <c r="O528" t="s">
        <v>28</v>
      </c>
      <c r="P528" t="s">
        <v>26</v>
      </c>
      <c r="Q528" t="s">
        <v>27</v>
      </c>
      <c r="R528" t="s">
        <v>28</v>
      </c>
    </row>
    <row r="529" spans="1:18" ht="15" hidden="1">
      <c r="A529" s="2">
        <v>44522</v>
      </c>
      <c r="B529" s="25">
        <v>11</v>
      </c>
      <c r="C529" s="25">
        <v>2021</v>
      </c>
      <c r="D529" s="5">
        <v>3743.5700000000002</v>
      </c>
      <c r="E529" t="s">
        <v>1061</v>
      </c>
      <c r="F529" t="s">
        <v>29</v>
      </c>
      <c r="G529" t="s">
        <v>30</v>
      </c>
      <c r="H529" t="s">
        <v>1062</v>
      </c>
      <c r="I529" t="s">
        <v>1063</v>
      </c>
      <c r="J529" t="s">
        <v>31</v>
      </c>
      <c r="K529" t="s">
        <v>1009</v>
      </c>
      <c r="M529" t="s">
        <v>23</v>
      </c>
      <c r="N529" t="s">
        <v>32</v>
      </c>
      <c r="O529" t="s">
        <v>28</v>
      </c>
      <c r="P529" t="s">
        <v>26</v>
      </c>
      <c r="Q529" t="s">
        <v>27</v>
      </c>
      <c r="R529" t="s">
        <v>28</v>
      </c>
    </row>
    <row r="530" spans="1:18" ht="15" hidden="1">
      <c r="A530" s="2">
        <v>44529</v>
      </c>
      <c r="B530" s="25">
        <v>11</v>
      </c>
      <c r="C530" s="25">
        <v>2021</v>
      </c>
      <c r="D530" s="5">
        <v>19984.299999999999</v>
      </c>
      <c r="E530" t="s">
        <v>1014</v>
      </c>
      <c r="F530" t="s">
        <v>41</v>
      </c>
      <c r="G530" t="s">
        <v>42</v>
      </c>
      <c r="H530" t="s">
        <v>1015</v>
      </c>
      <c r="I530" t="s">
        <v>1016</v>
      </c>
      <c r="J530" t="s">
        <v>21</v>
      </c>
      <c r="K530" t="s">
        <v>1054</v>
      </c>
      <c r="M530" t="s">
        <v>23</v>
      </c>
      <c r="N530" t="s">
        <v>24</v>
      </c>
      <c r="O530" t="s">
        <v>25</v>
      </c>
      <c r="P530" t="s">
        <v>43</v>
      </c>
      <c r="Q530" t="s">
        <v>40</v>
      </c>
      <c r="R530" t="s">
        <v>28</v>
      </c>
    </row>
    <row r="531" spans="1:18" ht="15" hidden="1">
      <c r="A531" s="2">
        <v>44512</v>
      </c>
      <c r="B531" s="25">
        <v>11</v>
      </c>
      <c r="C531" s="25">
        <v>2021</v>
      </c>
      <c r="D531" s="5">
        <v>568670.88</v>
      </c>
      <c r="E531" t="s">
        <v>1064</v>
      </c>
      <c r="F531" t="s">
        <v>44</v>
      </c>
      <c r="G531" t="s">
        <v>45</v>
      </c>
      <c r="H531" t="s">
        <v>1065</v>
      </c>
      <c r="I531" t="s">
        <v>1066</v>
      </c>
      <c r="J531" t="s">
        <v>21</v>
      </c>
      <c r="K531" t="s">
        <v>1067</v>
      </c>
      <c r="M531" t="s">
        <v>23</v>
      </c>
      <c r="N531" t="s">
        <v>24</v>
      </c>
      <c r="O531" t="s">
        <v>25</v>
      </c>
      <c r="P531" t="s">
        <v>26</v>
      </c>
      <c r="Q531" t="s">
        <v>40</v>
      </c>
      <c r="R531" t="s">
        <v>28</v>
      </c>
    </row>
    <row r="532" spans="1:18" ht="15" hidden="1">
      <c r="A532" s="2">
        <v>44512</v>
      </c>
      <c r="B532" s="25">
        <v>11</v>
      </c>
      <c r="C532" s="25">
        <v>2021</v>
      </c>
      <c r="D532" s="5">
        <v>61195.709999999999</v>
      </c>
      <c r="E532" t="s">
        <v>1068</v>
      </c>
      <c r="F532" t="s">
        <v>41</v>
      </c>
      <c r="G532" t="s">
        <v>42</v>
      </c>
      <c r="H532" t="s">
        <v>1069</v>
      </c>
      <c r="I532" t="s">
        <v>1070</v>
      </c>
      <c r="J532" t="s">
        <v>31</v>
      </c>
      <c r="K532" t="s">
        <v>1071</v>
      </c>
      <c r="M532" t="s">
        <v>23</v>
      </c>
      <c r="N532" t="s">
        <v>32</v>
      </c>
      <c r="O532" t="s">
        <v>28</v>
      </c>
      <c r="P532" t="s">
        <v>43</v>
      </c>
      <c r="Q532" t="s">
        <v>27</v>
      </c>
      <c r="R532" t="s">
        <v>28</v>
      </c>
    </row>
    <row r="533" spans="1:18" ht="15">
      <c r="A533" s="2">
        <v>44512</v>
      </c>
      <c r="B533" s="25">
        <v>11</v>
      </c>
      <c r="C533" s="25">
        <v>2021</v>
      </c>
      <c r="D533" s="5">
        <v>206634.98000000001</v>
      </c>
      <c r="E533" t="s">
        <v>1072</v>
      </c>
      <c r="F533" t="s">
        <v>38</v>
      </c>
      <c r="G533" t="s">
        <v>39</v>
      </c>
      <c r="H533" t="s">
        <v>1073</v>
      </c>
      <c r="I533" t="s">
        <v>1074</v>
      </c>
      <c r="J533" t="s">
        <v>31</v>
      </c>
      <c r="K533" t="s">
        <v>1071</v>
      </c>
      <c r="M533" t="s">
        <v>23</v>
      </c>
      <c r="N533" t="s">
        <v>32</v>
      </c>
      <c r="O533" t="s">
        <v>28</v>
      </c>
      <c r="P533" t="s">
        <v>26</v>
      </c>
      <c r="Q533" t="s">
        <v>27</v>
      </c>
      <c r="R533" t="s">
        <v>28</v>
      </c>
    </row>
    <row r="534" spans="1:18" ht="15" hidden="1">
      <c r="A534" s="2">
        <v>44530</v>
      </c>
      <c r="B534" s="25">
        <v>11</v>
      </c>
      <c r="C534" s="25">
        <v>2021</v>
      </c>
      <c r="D534" s="5">
        <v>1423.54</v>
      </c>
      <c r="E534" t="s">
        <v>1042</v>
      </c>
      <c r="F534" t="s">
        <v>36</v>
      </c>
      <c r="G534" t="s">
        <v>37</v>
      </c>
      <c r="H534" t="s">
        <v>1043</v>
      </c>
      <c r="I534" t="s">
        <v>1044</v>
      </c>
      <c r="J534" t="s">
        <v>31</v>
      </c>
      <c r="K534" t="s">
        <v>1031</v>
      </c>
      <c r="M534" t="s">
        <v>23</v>
      </c>
      <c r="N534" t="s">
        <v>32</v>
      </c>
      <c r="O534" t="s">
        <v>28</v>
      </c>
      <c r="P534" t="s">
        <v>26</v>
      </c>
      <c r="Q534" t="s">
        <v>27</v>
      </c>
      <c r="R534" t="s">
        <v>28</v>
      </c>
    </row>
    <row r="535" spans="1:18" ht="15" hidden="1">
      <c r="A535" s="2">
        <v>44530</v>
      </c>
      <c r="B535" s="25">
        <v>11</v>
      </c>
      <c r="C535" s="25">
        <v>2021</v>
      </c>
      <c r="D535" s="5">
        <v>174609.20999999999</v>
      </c>
      <c r="E535" t="s">
        <v>1075</v>
      </c>
      <c r="F535" t="s">
        <v>44</v>
      </c>
      <c r="G535" t="s">
        <v>45</v>
      </c>
      <c r="H535" t="s">
        <v>1076</v>
      </c>
      <c r="I535" t="s">
        <v>1077</v>
      </c>
      <c r="J535" t="s">
        <v>21</v>
      </c>
      <c r="K535" t="s">
        <v>1035</v>
      </c>
      <c r="M535" t="s">
        <v>23</v>
      </c>
      <c r="N535" t="s">
        <v>24</v>
      </c>
      <c r="O535" t="s">
        <v>25</v>
      </c>
      <c r="P535" t="s">
        <v>26</v>
      </c>
      <c r="Q535" t="s">
        <v>40</v>
      </c>
      <c r="R535" t="s">
        <v>28</v>
      </c>
    </row>
    <row r="536" spans="1:18" ht="15" hidden="1">
      <c r="A536" s="2">
        <v>44530</v>
      </c>
      <c r="B536" s="25">
        <v>11</v>
      </c>
      <c r="C536" s="25">
        <v>2021</v>
      </c>
      <c r="D536" s="5">
        <v>60503.800000000003</v>
      </c>
      <c r="E536" t="s">
        <v>1078</v>
      </c>
      <c r="F536" t="s">
        <v>41</v>
      </c>
      <c r="G536" t="s">
        <v>42</v>
      </c>
      <c r="H536" t="s">
        <v>1079</v>
      </c>
      <c r="I536" t="s">
        <v>1080</v>
      </c>
      <c r="J536" t="s">
        <v>31</v>
      </c>
      <c r="K536" t="s">
        <v>1031</v>
      </c>
      <c r="M536" t="s">
        <v>23</v>
      </c>
      <c r="N536" t="s">
        <v>32</v>
      </c>
      <c r="O536" t="s">
        <v>28</v>
      </c>
      <c r="P536" t="s">
        <v>43</v>
      </c>
      <c r="Q536" t="s">
        <v>27</v>
      </c>
      <c r="R536" t="s">
        <v>28</v>
      </c>
    </row>
    <row r="537" spans="1:18" ht="15">
      <c r="A537" s="2">
        <v>44509</v>
      </c>
      <c r="B537" s="25">
        <v>11</v>
      </c>
      <c r="C537" s="25">
        <v>2021</v>
      </c>
      <c r="D537" s="5">
        <v>34354.080000000002</v>
      </c>
      <c r="E537" t="s">
        <v>1081</v>
      </c>
      <c r="F537" t="s">
        <v>38</v>
      </c>
      <c r="G537" t="s">
        <v>39</v>
      </c>
      <c r="H537" t="s">
        <v>1082</v>
      </c>
      <c r="I537" t="s">
        <v>1083</v>
      </c>
      <c r="J537" t="s">
        <v>21</v>
      </c>
      <c r="K537" t="s">
        <v>1084</v>
      </c>
      <c r="M537" t="s">
        <v>23</v>
      </c>
      <c r="N537" t="s">
        <v>24</v>
      </c>
      <c r="O537" t="s">
        <v>25</v>
      </c>
      <c r="P537" t="s">
        <v>26</v>
      </c>
      <c r="Q537" t="s">
        <v>40</v>
      </c>
      <c r="R537" t="s">
        <v>28</v>
      </c>
    </row>
    <row r="538" spans="1:18" ht="15" hidden="1">
      <c r="A538" s="2">
        <v>44522</v>
      </c>
      <c r="B538" s="25">
        <v>11</v>
      </c>
      <c r="C538" s="25">
        <v>2021</v>
      </c>
      <c r="D538" s="5">
        <v>1078.8699999999999</v>
      </c>
      <c r="E538" t="s">
        <v>1061</v>
      </c>
      <c r="F538" t="s">
        <v>29</v>
      </c>
      <c r="G538" t="s">
        <v>30</v>
      </c>
      <c r="H538" t="s">
        <v>1062</v>
      </c>
      <c r="I538" t="s">
        <v>1063</v>
      </c>
      <c r="J538" t="s">
        <v>21</v>
      </c>
      <c r="K538" t="s">
        <v>1005</v>
      </c>
      <c r="M538" t="s">
        <v>23</v>
      </c>
      <c r="N538" t="s">
        <v>24</v>
      </c>
      <c r="O538" t="s">
        <v>25</v>
      </c>
      <c r="P538" t="s">
        <v>26</v>
      </c>
      <c r="Q538" t="s">
        <v>27</v>
      </c>
      <c r="R538" t="s">
        <v>28</v>
      </c>
    </row>
    <row r="539" spans="1:18" ht="15">
      <c r="A539" s="2">
        <v>44529</v>
      </c>
      <c r="B539" s="25">
        <v>11</v>
      </c>
      <c r="C539" s="25">
        <v>2021</v>
      </c>
      <c r="D539" s="5">
        <v>80520.300000000003</v>
      </c>
      <c r="E539" t="s">
        <v>1017</v>
      </c>
      <c r="F539" t="s">
        <v>38</v>
      </c>
      <c r="G539" t="s">
        <v>39</v>
      </c>
      <c r="H539" t="s">
        <v>1018</v>
      </c>
      <c r="I539" t="s">
        <v>1019</v>
      </c>
      <c r="J539" t="s">
        <v>21</v>
      </c>
      <c r="K539" t="s">
        <v>1054</v>
      </c>
      <c r="M539" t="s">
        <v>23</v>
      </c>
      <c r="N539" t="s">
        <v>24</v>
      </c>
      <c r="O539" t="s">
        <v>25</v>
      </c>
      <c r="P539" t="s">
        <v>26</v>
      </c>
      <c r="Q539" t="s">
        <v>40</v>
      </c>
      <c r="R539" t="s">
        <v>28</v>
      </c>
    </row>
    <row r="540" spans="1:18" ht="15" hidden="1">
      <c r="A540" s="2">
        <v>44505</v>
      </c>
      <c r="B540" s="25">
        <v>11</v>
      </c>
      <c r="C540" s="25">
        <v>2021</v>
      </c>
      <c r="D540" s="5">
        <v>1534.29</v>
      </c>
      <c r="E540" t="s">
        <v>1020</v>
      </c>
      <c r="F540" t="s">
        <v>29</v>
      </c>
      <c r="G540" t="s">
        <v>30</v>
      </c>
      <c r="H540" t="s">
        <v>1021</v>
      </c>
      <c r="I540" t="s">
        <v>1022</v>
      </c>
      <c r="J540" t="s">
        <v>21</v>
      </c>
      <c r="K540" t="s">
        <v>1085</v>
      </c>
      <c r="M540" t="s">
        <v>23</v>
      </c>
      <c r="N540" t="s">
        <v>24</v>
      </c>
      <c r="O540" t="s">
        <v>25</v>
      </c>
      <c r="P540" t="s">
        <v>26</v>
      </c>
      <c r="Q540" t="s">
        <v>27</v>
      </c>
      <c r="R540" t="s">
        <v>28</v>
      </c>
    </row>
    <row r="541" spans="1:18" ht="15" hidden="1">
      <c r="A541" s="2">
        <v>44512</v>
      </c>
      <c r="B541" s="25">
        <v>11</v>
      </c>
      <c r="C541" s="25">
        <v>2021</v>
      </c>
      <c r="D541" s="5">
        <v>6014.4200000000001</v>
      </c>
      <c r="E541" t="s">
        <v>1086</v>
      </c>
      <c r="F541" t="s">
        <v>29</v>
      </c>
      <c r="G541" t="s">
        <v>30</v>
      </c>
      <c r="H541" t="s">
        <v>1087</v>
      </c>
      <c r="I541" t="s">
        <v>1088</v>
      </c>
      <c r="J541" t="s">
        <v>31</v>
      </c>
      <c r="K541" t="s">
        <v>1071</v>
      </c>
      <c r="M541" t="s">
        <v>23</v>
      </c>
      <c r="N541" t="s">
        <v>32</v>
      </c>
      <c r="O541" t="s">
        <v>28</v>
      </c>
      <c r="P541" t="s">
        <v>26</v>
      </c>
      <c r="Q541" t="s">
        <v>27</v>
      </c>
      <c r="R541" t="s">
        <v>28</v>
      </c>
    </row>
    <row r="542" spans="1:18" ht="15" hidden="1">
      <c r="A542" s="2">
        <v>44512</v>
      </c>
      <c r="B542" s="25">
        <v>11</v>
      </c>
      <c r="C542" s="25">
        <v>2021</v>
      </c>
      <c r="D542" s="5">
        <v>191.63</v>
      </c>
      <c r="E542" t="s">
        <v>1086</v>
      </c>
      <c r="F542" t="s">
        <v>29</v>
      </c>
      <c r="G542" t="s">
        <v>30</v>
      </c>
      <c r="H542" t="s">
        <v>1087</v>
      </c>
      <c r="I542" t="s">
        <v>1088</v>
      </c>
      <c r="J542" t="s">
        <v>21</v>
      </c>
      <c r="K542" t="s">
        <v>1067</v>
      </c>
      <c r="M542" t="s">
        <v>23</v>
      </c>
      <c r="N542" t="s">
        <v>24</v>
      </c>
      <c r="O542" t="s">
        <v>25</v>
      </c>
      <c r="P542" t="s">
        <v>26</v>
      </c>
      <c r="Q542" t="s">
        <v>27</v>
      </c>
      <c r="R542" t="s">
        <v>28</v>
      </c>
    </row>
    <row r="543" spans="1:18" ht="15">
      <c r="A543" s="2">
        <v>44530</v>
      </c>
      <c r="B543" s="25">
        <v>11</v>
      </c>
      <c r="C543" s="25">
        <v>2021</v>
      </c>
      <c r="D543" s="5">
        <v>75.189999999999998</v>
      </c>
      <c r="E543" t="s">
        <v>1058</v>
      </c>
      <c r="F543" t="s">
        <v>38</v>
      </c>
      <c r="G543" t="s">
        <v>39</v>
      </c>
      <c r="H543" t="s">
        <v>1059</v>
      </c>
      <c r="I543" t="s">
        <v>1060</v>
      </c>
      <c r="J543" t="s">
        <v>21</v>
      </c>
      <c r="K543" t="s">
        <v>1035</v>
      </c>
      <c r="M543" t="s">
        <v>23</v>
      </c>
      <c r="N543" t="s">
        <v>24</v>
      </c>
      <c r="O543" t="s">
        <v>25</v>
      </c>
      <c r="P543" t="s">
        <v>26</v>
      </c>
      <c r="Q543" t="s">
        <v>40</v>
      </c>
      <c r="R543" t="s">
        <v>28</v>
      </c>
    </row>
    <row r="544" spans="1:18" ht="15">
      <c r="A544" s="2">
        <v>44509</v>
      </c>
      <c r="B544" s="25">
        <v>11</v>
      </c>
      <c r="C544" s="25">
        <v>2021</v>
      </c>
      <c r="D544" s="5">
        <v>229214.89999999999</v>
      </c>
      <c r="E544" t="s">
        <v>1081</v>
      </c>
      <c r="F544" t="s">
        <v>38</v>
      </c>
      <c r="G544" t="s">
        <v>39</v>
      </c>
      <c r="H544" t="s">
        <v>1082</v>
      </c>
      <c r="I544" t="s">
        <v>1083</v>
      </c>
      <c r="J544" t="s">
        <v>31</v>
      </c>
      <c r="K544" t="s">
        <v>1089</v>
      </c>
      <c r="M544" t="s">
        <v>23</v>
      </c>
      <c r="N544" t="s">
        <v>32</v>
      </c>
      <c r="O544" t="s">
        <v>28</v>
      </c>
      <c r="P544" t="s">
        <v>26</v>
      </c>
      <c r="Q544" t="s">
        <v>27</v>
      </c>
      <c r="R544" t="s">
        <v>28</v>
      </c>
    </row>
    <row r="545" spans="1:18" ht="15" hidden="1">
      <c r="A545" s="2">
        <v>44522</v>
      </c>
      <c r="B545" s="25">
        <v>11</v>
      </c>
      <c r="C545" s="25">
        <v>2021</v>
      </c>
      <c r="D545" s="5">
        <v>14540.200000000001</v>
      </c>
      <c r="E545" t="s">
        <v>1036</v>
      </c>
      <c r="F545" t="s">
        <v>41</v>
      </c>
      <c r="G545" t="s">
        <v>42</v>
      </c>
      <c r="H545" t="s">
        <v>1037</v>
      </c>
      <c r="I545" t="s">
        <v>1038</v>
      </c>
      <c r="J545" t="s">
        <v>21</v>
      </c>
      <c r="K545" t="s">
        <v>1005</v>
      </c>
      <c r="M545" t="s">
        <v>23</v>
      </c>
      <c r="N545" t="s">
        <v>24</v>
      </c>
      <c r="O545" t="s">
        <v>25</v>
      </c>
      <c r="P545" t="s">
        <v>43</v>
      </c>
      <c r="Q545" t="s">
        <v>40</v>
      </c>
      <c r="R545" t="s">
        <v>28</v>
      </c>
    </row>
    <row r="546" spans="1:18" ht="15" hidden="1">
      <c r="A546" s="2">
        <v>44522</v>
      </c>
      <c r="B546" s="25">
        <v>11</v>
      </c>
      <c r="C546" s="25">
        <v>2021</v>
      </c>
      <c r="D546" s="5">
        <v>1047.6700000000001</v>
      </c>
      <c r="E546" t="s">
        <v>1045</v>
      </c>
      <c r="F546" t="s">
        <v>36</v>
      </c>
      <c r="G546" t="s">
        <v>37</v>
      </c>
      <c r="H546" t="s">
        <v>1046</v>
      </c>
      <c r="I546" t="s">
        <v>1047</v>
      </c>
      <c r="J546" t="s">
        <v>21</v>
      </c>
      <c r="K546" t="s">
        <v>1005</v>
      </c>
      <c r="M546" t="s">
        <v>23</v>
      </c>
      <c r="N546" t="s">
        <v>24</v>
      </c>
      <c r="O546" t="s">
        <v>25</v>
      </c>
      <c r="P546" t="s">
        <v>26</v>
      </c>
      <c r="Q546" t="s">
        <v>40</v>
      </c>
      <c r="R546" t="s">
        <v>28</v>
      </c>
    </row>
    <row r="547" spans="1:18" ht="15" hidden="1">
      <c r="A547" s="2">
        <v>44529</v>
      </c>
      <c r="B547" s="25">
        <v>11</v>
      </c>
      <c r="C547" s="25">
        <v>2021</v>
      </c>
      <c r="D547" s="5">
        <v>1408512.75</v>
      </c>
      <c r="E547" t="s">
        <v>1090</v>
      </c>
      <c r="F547" t="s">
        <v>44</v>
      </c>
      <c r="G547" t="s">
        <v>45</v>
      </c>
      <c r="H547" t="s">
        <v>1091</v>
      </c>
      <c r="I547" t="s">
        <v>1092</v>
      </c>
      <c r="J547" t="s">
        <v>31</v>
      </c>
      <c r="K547" t="s">
        <v>1013</v>
      </c>
      <c r="M547" t="s">
        <v>23</v>
      </c>
      <c r="N547" t="s">
        <v>32</v>
      </c>
      <c r="O547" t="s">
        <v>28</v>
      </c>
      <c r="P547" t="s">
        <v>26</v>
      </c>
      <c r="Q547" t="s">
        <v>27</v>
      </c>
      <c r="R547" t="s">
        <v>28</v>
      </c>
    </row>
    <row r="548" spans="1:18" ht="15" hidden="1">
      <c r="A548" s="2">
        <v>44505</v>
      </c>
      <c r="B548" s="25">
        <v>11</v>
      </c>
      <c r="C548" s="25">
        <v>2021</v>
      </c>
      <c r="D548" s="5">
        <v>22775.77</v>
      </c>
      <c r="E548" t="s">
        <v>1055</v>
      </c>
      <c r="F548" t="s">
        <v>41</v>
      </c>
      <c r="G548" t="s">
        <v>42</v>
      </c>
      <c r="H548" t="s">
        <v>1056</v>
      </c>
      <c r="I548" t="s">
        <v>1057</v>
      </c>
      <c r="J548" t="s">
        <v>21</v>
      </c>
      <c r="K548" t="s">
        <v>1085</v>
      </c>
      <c r="M548" t="s">
        <v>23</v>
      </c>
      <c r="N548" t="s">
        <v>24</v>
      </c>
      <c r="O548" t="s">
        <v>25</v>
      </c>
      <c r="P548" t="s">
        <v>43</v>
      </c>
      <c r="Q548" t="s">
        <v>40</v>
      </c>
      <c r="R548" t="s">
        <v>28</v>
      </c>
    </row>
    <row r="549" spans="1:18" ht="15">
      <c r="A549" s="2">
        <v>44510</v>
      </c>
      <c r="B549" s="25">
        <v>11</v>
      </c>
      <c r="C549" s="25">
        <v>2021</v>
      </c>
      <c r="D549" s="5">
        <v>27.16</v>
      </c>
      <c r="E549" t="s">
        <v>1093</v>
      </c>
      <c r="F549" t="s">
        <v>38</v>
      </c>
      <c r="G549" t="s">
        <v>39</v>
      </c>
      <c r="H549" t="s">
        <v>1094</v>
      </c>
      <c r="I549" t="s">
        <v>1095</v>
      </c>
      <c r="J549" t="s">
        <v>31</v>
      </c>
      <c r="K549" t="s">
        <v>1096</v>
      </c>
      <c r="M549" t="s">
        <v>23</v>
      </c>
      <c r="N549" t="s">
        <v>32</v>
      </c>
      <c r="O549" t="s">
        <v>28</v>
      </c>
      <c r="P549" t="s">
        <v>26</v>
      </c>
      <c r="Q549" t="s">
        <v>27</v>
      </c>
      <c r="R549" t="s">
        <v>28</v>
      </c>
    </row>
    <row r="550" spans="1:18" ht="15">
      <c r="A550" s="2">
        <v>44510</v>
      </c>
      <c r="B550" s="25">
        <v>11</v>
      </c>
      <c r="C550" s="25">
        <v>2021</v>
      </c>
      <c r="D550" s="5">
        <v>23.190000000000001</v>
      </c>
      <c r="E550" t="s">
        <v>1093</v>
      </c>
      <c r="F550" t="s">
        <v>38</v>
      </c>
      <c r="G550" t="s">
        <v>39</v>
      </c>
      <c r="H550" t="s">
        <v>1094</v>
      </c>
      <c r="I550" t="s">
        <v>1095</v>
      </c>
      <c r="J550" t="s">
        <v>21</v>
      </c>
      <c r="K550" t="s">
        <v>1027</v>
      </c>
      <c r="M550" t="s">
        <v>23</v>
      </c>
      <c r="N550" t="s">
        <v>24</v>
      </c>
      <c r="O550" t="s">
        <v>25</v>
      </c>
      <c r="P550" t="s">
        <v>26</v>
      </c>
      <c r="Q550" t="s">
        <v>40</v>
      </c>
      <c r="R550" t="s">
        <v>28</v>
      </c>
    </row>
    <row r="551" spans="1:18" ht="15">
      <c r="A551" s="2">
        <v>44512</v>
      </c>
      <c r="B551" s="25">
        <v>11</v>
      </c>
      <c r="C551" s="25">
        <v>2021</v>
      </c>
      <c r="D551" s="5">
        <v>79326.690000000002</v>
      </c>
      <c r="E551" t="s">
        <v>1072</v>
      </c>
      <c r="F551" t="s">
        <v>38</v>
      </c>
      <c r="G551" t="s">
        <v>39</v>
      </c>
      <c r="H551" t="s">
        <v>1073</v>
      </c>
      <c r="I551" t="s">
        <v>1074</v>
      </c>
      <c r="J551" t="s">
        <v>21</v>
      </c>
      <c r="K551" t="s">
        <v>1067</v>
      </c>
      <c r="M551" t="s">
        <v>23</v>
      </c>
      <c r="N551" t="s">
        <v>24</v>
      </c>
      <c r="O551" t="s">
        <v>25</v>
      </c>
      <c r="P551" t="s">
        <v>26</v>
      </c>
      <c r="Q551" t="s">
        <v>40</v>
      </c>
      <c r="R551" t="s">
        <v>28</v>
      </c>
    </row>
    <row r="552" spans="1:18" ht="15" hidden="1">
      <c r="A552" s="2">
        <v>44530</v>
      </c>
      <c r="B552" s="25">
        <v>11</v>
      </c>
      <c r="C552" s="25">
        <v>2021</v>
      </c>
      <c r="D552" s="5">
        <v>587324.73999999999</v>
      </c>
      <c r="E552" t="s">
        <v>1075</v>
      </c>
      <c r="F552" t="s">
        <v>44</v>
      </c>
      <c r="G552" t="s">
        <v>45</v>
      </c>
      <c r="H552" t="s">
        <v>1076</v>
      </c>
      <c r="I552" t="s">
        <v>1077</v>
      </c>
      <c r="J552" t="s">
        <v>31</v>
      </c>
      <c r="K552" t="s">
        <v>1031</v>
      </c>
      <c r="M552" t="s">
        <v>23</v>
      </c>
      <c r="N552" t="s">
        <v>32</v>
      </c>
      <c r="O552" t="s">
        <v>28</v>
      </c>
      <c r="P552" t="s">
        <v>26</v>
      </c>
      <c r="Q552" t="s">
        <v>27</v>
      </c>
      <c r="R552" t="s">
        <v>28</v>
      </c>
    </row>
    <row r="553" spans="1:18" ht="15" hidden="1">
      <c r="A553" s="2">
        <v>44530</v>
      </c>
      <c r="B553" s="25">
        <v>11</v>
      </c>
      <c r="C553" s="25">
        <v>2021</v>
      </c>
      <c r="D553" s="5">
        <v>16130.18</v>
      </c>
      <c r="E553" t="s">
        <v>1078</v>
      </c>
      <c r="F553" t="s">
        <v>41</v>
      </c>
      <c r="G553" t="s">
        <v>42</v>
      </c>
      <c r="H553" t="s">
        <v>1079</v>
      </c>
      <c r="I553" t="s">
        <v>1080</v>
      </c>
      <c r="J553" t="s">
        <v>21</v>
      </c>
      <c r="K553" t="s">
        <v>1035</v>
      </c>
      <c r="M553" t="s">
        <v>23</v>
      </c>
      <c r="N553" t="s">
        <v>24</v>
      </c>
      <c r="O553" t="s">
        <v>25</v>
      </c>
      <c r="P553" t="s">
        <v>43</v>
      </c>
      <c r="Q553" t="s">
        <v>40</v>
      </c>
      <c r="R553" t="s">
        <v>28</v>
      </c>
    </row>
    <row r="554" spans="1:18" ht="15" hidden="1">
      <c r="A554" s="2">
        <v>44522</v>
      </c>
      <c r="B554" s="25">
        <v>11</v>
      </c>
      <c r="C554" s="25">
        <v>2021</v>
      </c>
      <c r="D554" s="5">
        <v>858457.13</v>
      </c>
      <c r="E554" t="s">
        <v>1002</v>
      </c>
      <c r="F554" t="s">
        <v>44</v>
      </c>
      <c r="G554" t="s">
        <v>45</v>
      </c>
      <c r="H554" t="s">
        <v>1003</v>
      </c>
      <c r="I554" t="s">
        <v>1004</v>
      </c>
      <c r="J554" t="s">
        <v>31</v>
      </c>
      <c r="K554" t="s">
        <v>1009</v>
      </c>
      <c r="M554" t="s">
        <v>23</v>
      </c>
      <c r="N554" t="s">
        <v>32</v>
      </c>
      <c r="O554" t="s">
        <v>28</v>
      </c>
      <c r="P554" t="s">
        <v>26</v>
      </c>
      <c r="Q554" t="s">
        <v>27</v>
      </c>
      <c r="R554" t="s">
        <v>28</v>
      </c>
    </row>
    <row r="555" spans="1:18" ht="15" hidden="1">
      <c r="A555" s="2">
        <v>44529</v>
      </c>
      <c r="B555" s="25">
        <v>11</v>
      </c>
      <c r="C555" s="25">
        <v>2021</v>
      </c>
      <c r="D555" s="5">
        <v>232132.29000000001</v>
      </c>
      <c r="E555" t="s">
        <v>1090</v>
      </c>
      <c r="F555" t="s">
        <v>44</v>
      </c>
      <c r="G555" t="s">
        <v>45</v>
      </c>
      <c r="H555" t="s">
        <v>1091</v>
      </c>
      <c r="I555" t="s">
        <v>1092</v>
      </c>
      <c r="J555" t="s">
        <v>21</v>
      </c>
      <c r="K555" t="s">
        <v>1054</v>
      </c>
      <c r="M555" t="s">
        <v>23</v>
      </c>
      <c r="N555" t="s">
        <v>24</v>
      </c>
      <c r="O555" t="s">
        <v>25</v>
      </c>
      <c r="P555" t="s">
        <v>26</v>
      </c>
      <c r="Q555" t="s">
        <v>40</v>
      </c>
      <c r="R555" t="s">
        <v>28</v>
      </c>
    </row>
    <row r="556" spans="1:18" ht="15" hidden="1">
      <c r="A556" s="2">
        <v>44505</v>
      </c>
      <c r="B556" s="25">
        <v>11</v>
      </c>
      <c r="C556" s="25">
        <v>2021</v>
      </c>
      <c r="D556" s="5">
        <v>144059.34</v>
      </c>
      <c r="E556" t="s">
        <v>1097</v>
      </c>
      <c r="F556" t="s">
        <v>44</v>
      </c>
      <c r="G556" t="s">
        <v>45</v>
      </c>
      <c r="H556" t="s">
        <v>1098</v>
      </c>
      <c r="I556" t="s">
        <v>1099</v>
      </c>
      <c r="J556" t="s">
        <v>21</v>
      </c>
      <c r="K556" t="s">
        <v>1085</v>
      </c>
      <c r="M556" t="s">
        <v>23</v>
      </c>
      <c r="N556" t="s">
        <v>24</v>
      </c>
      <c r="O556" t="s">
        <v>25</v>
      </c>
      <c r="P556" t="s">
        <v>26</v>
      </c>
      <c r="Q556" t="s">
        <v>40</v>
      </c>
      <c r="R556" t="s">
        <v>28</v>
      </c>
    </row>
    <row r="557" spans="1:18" ht="15" hidden="1">
      <c r="A557" s="2">
        <v>44505</v>
      </c>
      <c r="B557" s="25">
        <v>11</v>
      </c>
      <c r="C557" s="25">
        <v>2021</v>
      </c>
      <c r="D557" s="5">
        <v>1228003.6200000001</v>
      </c>
      <c r="E557" t="s">
        <v>1097</v>
      </c>
      <c r="F557" t="s">
        <v>44</v>
      </c>
      <c r="G557" t="s">
        <v>45</v>
      </c>
      <c r="H557" t="s">
        <v>1098</v>
      </c>
      <c r="I557" t="s">
        <v>1099</v>
      </c>
      <c r="J557" t="s">
        <v>31</v>
      </c>
      <c r="K557" t="s">
        <v>1023</v>
      </c>
      <c r="M557" t="s">
        <v>23</v>
      </c>
      <c r="N557" t="s">
        <v>32</v>
      </c>
      <c r="O557" t="s">
        <v>28</v>
      </c>
      <c r="P557" t="s">
        <v>26</v>
      </c>
      <c r="Q557" t="s">
        <v>27</v>
      </c>
      <c r="R557" t="s">
        <v>28</v>
      </c>
    </row>
    <row r="558" spans="1:18" ht="15" hidden="1">
      <c r="A558" s="2">
        <v>44510</v>
      </c>
      <c r="B558" s="25">
        <v>11</v>
      </c>
      <c r="C558" s="25">
        <v>2021</v>
      </c>
      <c r="D558" s="5">
        <v>661.61000000000001</v>
      </c>
      <c r="E558" t="s">
        <v>1024</v>
      </c>
      <c r="F558" t="s">
        <v>36</v>
      </c>
      <c r="G558" t="s">
        <v>37</v>
      </c>
      <c r="H558" t="s">
        <v>1025</v>
      </c>
      <c r="I558" t="s">
        <v>1026</v>
      </c>
      <c r="J558" t="s">
        <v>31</v>
      </c>
      <c r="K558" t="s">
        <v>1096</v>
      </c>
      <c r="M558" t="s">
        <v>23</v>
      </c>
      <c r="N558" t="s">
        <v>32</v>
      </c>
      <c r="O558" t="s">
        <v>28</v>
      </c>
      <c r="P558" t="s">
        <v>26</v>
      </c>
      <c r="Q558" t="s">
        <v>27</v>
      </c>
      <c r="R558" t="s">
        <v>28</v>
      </c>
    </row>
    <row r="559" spans="1:18" ht="15" hidden="1">
      <c r="A559" s="2">
        <v>44512</v>
      </c>
      <c r="B559" s="25">
        <v>11</v>
      </c>
      <c r="C559" s="25">
        <v>2021</v>
      </c>
      <c r="D559" s="5">
        <v>18536.709999999999</v>
      </c>
      <c r="E559" t="s">
        <v>1068</v>
      </c>
      <c r="F559" t="s">
        <v>41</v>
      </c>
      <c r="G559" t="s">
        <v>42</v>
      </c>
      <c r="H559" t="s">
        <v>1069</v>
      </c>
      <c r="I559" t="s">
        <v>1070</v>
      </c>
      <c r="J559" t="s">
        <v>21</v>
      </c>
      <c r="K559" t="s">
        <v>1067</v>
      </c>
      <c r="M559" t="s">
        <v>23</v>
      </c>
      <c r="N559" t="s">
        <v>24</v>
      </c>
      <c r="O559" t="s">
        <v>25</v>
      </c>
      <c r="P559" t="s">
        <v>43</v>
      </c>
      <c r="Q559" t="s">
        <v>40</v>
      </c>
      <c r="R559" t="s">
        <v>28</v>
      </c>
    </row>
    <row r="560" spans="1:18" ht="15" hidden="1">
      <c r="A560" s="2">
        <v>44512</v>
      </c>
      <c r="B560" s="25">
        <v>11</v>
      </c>
      <c r="C560" s="25">
        <v>2021</v>
      </c>
      <c r="D560" s="5">
        <v>728869.19999999995</v>
      </c>
      <c r="E560" t="s">
        <v>1064</v>
      </c>
      <c r="F560" t="s">
        <v>44</v>
      </c>
      <c r="G560" t="s">
        <v>45</v>
      </c>
      <c r="H560" t="s">
        <v>1065</v>
      </c>
      <c r="I560" t="s">
        <v>1066</v>
      </c>
      <c r="J560" t="s">
        <v>31</v>
      </c>
      <c r="K560" t="s">
        <v>1071</v>
      </c>
      <c r="M560" t="s">
        <v>23</v>
      </c>
      <c r="N560" t="s">
        <v>32</v>
      </c>
      <c r="O560" t="s">
        <v>28</v>
      </c>
      <c r="P560" t="s">
        <v>26</v>
      </c>
      <c r="Q560" t="s">
        <v>27</v>
      </c>
      <c r="R560" t="s">
        <v>28</v>
      </c>
    </row>
    <row r="561" spans="1:18" ht="15" hidden="1">
      <c r="A561" s="2">
        <v>44530</v>
      </c>
      <c r="B561" s="25">
        <v>11</v>
      </c>
      <c r="C561" s="25">
        <v>2021</v>
      </c>
      <c r="D561" s="5">
        <v>1301.8</v>
      </c>
      <c r="E561" t="s">
        <v>1051</v>
      </c>
      <c r="F561" t="s">
        <v>36</v>
      </c>
      <c r="G561" t="s">
        <v>37</v>
      </c>
      <c r="H561" t="s">
        <v>1052</v>
      </c>
      <c r="I561" t="s">
        <v>1053</v>
      </c>
      <c r="J561" t="s">
        <v>31</v>
      </c>
      <c r="K561" t="s">
        <v>1031</v>
      </c>
      <c r="M561" t="s">
        <v>23</v>
      </c>
      <c r="N561" t="s">
        <v>32</v>
      </c>
      <c r="O561" t="s">
        <v>28</v>
      </c>
      <c r="P561" t="s">
        <v>26</v>
      </c>
      <c r="Q561" t="s">
        <v>27</v>
      </c>
      <c r="R561" t="s">
        <v>28</v>
      </c>
    </row>
    <row r="562" spans="1:18" ht="15" hidden="1">
      <c r="A562" s="2">
        <v>44540</v>
      </c>
      <c r="B562" s="25">
        <v>12</v>
      </c>
      <c r="C562" s="25">
        <v>2021</v>
      </c>
      <c r="D562" s="5">
        <v>4521043.3899999997</v>
      </c>
      <c r="E562" t="s">
        <v>1100</v>
      </c>
      <c r="F562" t="s">
        <v>44</v>
      </c>
      <c r="G562" t="s">
        <v>45</v>
      </c>
      <c r="H562" t="s">
        <v>1101</v>
      </c>
      <c r="I562" t="s">
        <v>1102</v>
      </c>
      <c r="J562" t="s">
        <v>31</v>
      </c>
      <c r="K562" t="s">
        <v>1103</v>
      </c>
      <c r="M562" t="s">
        <v>23</v>
      </c>
      <c r="N562" t="s">
        <v>32</v>
      </c>
      <c r="O562" t="s">
        <v>28</v>
      </c>
      <c r="P562" t="s">
        <v>26</v>
      </c>
      <c r="Q562" t="s">
        <v>27</v>
      </c>
      <c r="R562" t="s">
        <v>28</v>
      </c>
    </row>
    <row r="563" spans="1:18" ht="15" hidden="1">
      <c r="A563" s="2">
        <v>44540</v>
      </c>
      <c r="B563" s="25">
        <v>12</v>
      </c>
      <c r="C563" s="25">
        <v>2021</v>
      </c>
      <c r="D563" s="5">
        <v>392.25999999999999</v>
      </c>
      <c r="E563" t="s">
        <v>1104</v>
      </c>
      <c r="F563" t="s">
        <v>36</v>
      </c>
      <c r="G563" t="s">
        <v>37</v>
      </c>
      <c r="H563" t="s">
        <v>1105</v>
      </c>
      <c r="I563" t="s">
        <v>1106</v>
      </c>
      <c r="J563" t="s">
        <v>21</v>
      </c>
      <c r="K563" t="s">
        <v>1107</v>
      </c>
      <c r="M563" t="s">
        <v>23</v>
      </c>
      <c r="N563" t="s">
        <v>24</v>
      </c>
      <c r="O563" t="s">
        <v>25</v>
      </c>
      <c r="P563" t="s">
        <v>26</v>
      </c>
      <c r="Q563" t="s">
        <v>40</v>
      </c>
      <c r="R563" t="s">
        <v>28</v>
      </c>
    </row>
    <row r="564" spans="1:18" ht="15" hidden="1">
      <c r="A564" s="2">
        <v>44540</v>
      </c>
      <c r="B564" s="25">
        <v>12</v>
      </c>
      <c r="C564" s="25">
        <v>2021</v>
      </c>
      <c r="D564" s="5">
        <v>67761.410000000003</v>
      </c>
      <c r="E564" t="s">
        <v>1108</v>
      </c>
      <c r="F564" t="s">
        <v>41</v>
      </c>
      <c r="G564" t="s">
        <v>42</v>
      </c>
      <c r="H564" t="s">
        <v>1109</v>
      </c>
      <c r="I564" t="s">
        <v>1110</v>
      </c>
      <c r="J564" t="s">
        <v>31</v>
      </c>
      <c r="K564" t="s">
        <v>1103</v>
      </c>
      <c r="M564" t="s">
        <v>23</v>
      </c>
      <c r="N564" t="s">
        <v>32</v>
      </c>
      <c r="O564" t="s">
        <v>28</v>
      </c>
      <c r="P564" t="s">
        <v>43</v>
      </c>
      <c r="Q564" t="s">
        <v>27</v>
      </c>
      <c r="R564" t="s">
        <v>28</v>
      </c>
    </row>
    <row r="565" spans="1:18" ht="15" hidden="1">
      <c r="A565" s="2">
        <v>44551</v>
      </c>
      <c r="B565" s="25">
        <v>12</v>
      </c>
      <c r="C565" s="25">
        <v>2021</v>
      </c>
      <c r="D565" s="5">
        <v>2553.3099999999999</v>
      </c>
      <c r="E565" t="s">
        <v>1111</v>
      </c>
      <c r="F565" t="s">
        <v>29</v>
      </c>
      <c r="G565" t="s">
        <v>30</v>
      </c>
      <c r="H565" t="s">
        <v>1112</v>
      </c>
      <c r="I565" t="s">
        <v>1113</v>
      </c>
      <c r="J565" t="s">
        <v>31</v>
      </c>
      <c r="K565" t="s">
        <v>1114</v>
      </c>
      <c r="M565" t="s">
        <v>23</v>
      </c>
      <c r="N565" t="s">
        <v>32</v>
      </c>
      <c r="O565" t="s">
        <v>28</v>
      </c>
      <c r="P565" t="s">
        <v>26</v>
      </c>
      <c r="Q565" t="s">
        <v>27</v>
      </c>
      <c r="R565" t="s">
        <v>28</v>
      </c>
    </row>
    <row r="566" spans="1:18" ht="15" hidden="1">
      <c r="A566" s="2">
        <v>44540</v>
      </c>
      <c r="B566" s="25">
        <v>12</v>
      </c>
      <c r="C566" s="25">
        <v>2021</v>
      </c>
      <c r="D566" s="5">
        <v>474.04000000000002</v>
      </c>
      <c r="E566" t="s">
        <v>1104</v>
      </c>
      <c r="F566" t="s">
        <v>36</v>
      </c>
      <c r="G566" t="s">
        <v>37</v>
      </c>
      <c r="H566" t="s">
        <v>1105</v>
      </c>
      <c r="I566" t="s">
        <v>1106</v>
      </c>
      <c r="J566" t="s">
        <v>31</v>
      </c>
      <c r="K566" t="s">
        <v>1103</v>
      </c>
      <c r="M566" t="s">
        <v>23</v>
      </c>
      <c r="N566" t="s">
        <v>32</v>
      </c>
      <c r="O566" t="s">
        <v>28</v>
      </c>
      <c r="P566" t="s">
        <v>26</v>
      </c>
      <c r="Q566" t="s">
        <v>27</v>
      </c>
      <c r="R566" t="s">
        <v>28</v>
      </c>
    </row>
    <row r="567" spans="1:18" ht="15" hidden="1">
      <c r="A567" s="2">
        <v>44540</v>
      </c>
      <c r="B567" s="25">
        <v>12</v>
      </c>
      <c r="C567" s="25">
        <v>2021</v>
      </c>
      <c r="D567" s="5">
        <v>4180.6099999999997</v>
      </c>
      <c r="E567" t="s">
        <v>1115</v>
      </c>
      <c r="F567" t="s">
        <v>29</v>
      </c>
      <c r="G567" t="s">
        <v>30</v>
      </c>
      <c r="H567" t="s">
        <v>1116</v>
      </c>
      <c r="I567" t="s">
        <v>1117</v>
      </c>
      <c r="J567" t="s">
        <v>31</v>
      </c>
      <c r="K567" t="s">
        <v>1103</v>
      </c>
      <c r="M567" t="s">
        <v>23</v>
      </c>
      <c r="N567" t="s">
        <v>32</v>
      </c>
      <c r="O567" t="s">
        <v>28</v>
      </c>
      <c r="P567" t="s">
        <v>26</v>
      </c>
      <c r="Q567" t="s">
        <v>27</v>
      </c>
      <c r="R567" t="s">
        <v>28</v>
      </c>
    </row>
    <row r="568" spans="1:18" ht="15" hidden="1">
      <c r="A568" s="2">
        <v>44540</v>
      </c>
      <c r="B568" s="25">
        <v>12</v>
      </c>
      <c r="C568" s="25">
        <v>2021</v>
      </c>
      <c r="D568" s="5">
        <v>1305.4100000000001</v>
      </c>
      <c r="E568" t="s">
        <v>1115</v>
      </c>
      <c r="F568" t="s">
        <v>29</v>
      </c>
      <c r="G568" t="s">
        <v>30</v>
      </c>
      <c r="H568" t="s">
        <v>1116</v>
      </c>
      <c r="I568" t="s">
        <v>1117</v>
      </c>
      <c r="J568" t="s">
        <v>21</v>
      </c>
      <c r="K568" t="s">
        <v>1107</v>
      </c>
      <c r="M568" t="s">
        <v>23</v>
      </c>
      <c r="N568" t="s">
        <v>24</v>
      </c>
      <c r="O568" t="s">
        <v>25</v>
      </c>
      <c r="P568" t="s">
        <v>26</v>
      </c>
      <c r="Q568" t="s">
        <v>27</v>
      </c>
      <c r="R568" t="s">
        <v>28</v>
      </c>
    </row>
    <row r="569" spans="1:18" ht="15" hidden="1">
      <c r="A569" s="2">
        <v>44550</v>
      </c>
      <c r="B569" s="25">
        <v>12</v>
      </c>
      <c r="C569" s="25">
        <v>2021</v>
      </c>
      <c r="D569" s="5">
        <v>3095.02</v>
      </c>
      <c r="E569" t="s">
        <v>1118</v>
      </c>
      <c r="F569" t="s">
        <v>38</v>
      </c>
      <c r="G569" t="s">
        <v>39</v>
      </c>
      <c r="H569" t="s">
        <v>1119</v>
      </c>
      <c r="I569" t="s">
        <v>1120</v>
      </c>
      <c r="J569" t="s">
        <v>31</v>
      </c>
      <c r="K569" t="s">
        <v>1121</v>
      </c>
      <c r="M569" t="s">
        <v>23</v>
      </c>
      <c r="N569" t="s">
        <v>32</v>
      </c>
      <c r="O569" t="s">
        <v>28</v>
      </c>
      <c r="P569" t="s">
        <v>26</v>
      </c>
      <c r="Q569" t="s">
        <v>27</v>
      </c>
      <c r="R569" t="s">
        <v>28</v>
      </c>
    </row>
    <row r="570" spans="1:18" ht="15" hidden="1">
      <c r="A570" s="2">
        <v>44551</v>
      </c>
      <c r="B570" s="25">
        <v>12</v>
      </c>
      <c r="C570" s="25">
        <v>2021</v>
      </c>
      <c r="D570" s="5">
        <v>17328.369999999999</v>
      </c>
      <c r="E570" t="s">
        <v>1122</v>
      </c>
      <c r="F570" t="s">
        <v>41</v>
      </c>
      <c r="G570" t="s">
        <v>42</v>
      </c>
      <c r="H570" t="s">
        <v>1123</v>
      </c>
      <c r="I570" t="s">
        <v>1124</v>
      </c>
      <c r="J570" t="s">
        <v>21</v>
      </c>
      <c r="K570" t="s">
        <v>1125</v>
      </c>
      <c r="M570" t="s">
        <v>23</v>
      </c>
      <c r="N570" t="s">
        <v>24</v>
      </c>
      <c r="O570" t="s">
        <v>25</v>
      </c>
      <c r="P570" t="s">
        <v>43</v>
      </c>
      <c r="Q570" t="s">
        <v>40</v>
      </c>
      <c r="R570" t="s">
        <v>28</v>
      </c>
    </row>
    <row r="571" spans="1:18" ht="15" hidden="1">
      <c r="A571" s="2">
        <v>44560</v>
      </c>
      <c r="B571" s="25">
        <v>12</v>
      </c>
      <c r="C571" s="25">
        <v>2021</v>
      </c>
      <c r="D571" s="5">
        <v>320191.88</v>
      </c>
      <c r="E571" t="s">
        <v>1126</v>
      </c>
      <c r="F571" t="s">
        <v>38</v>
      </c>
      <c r="G571" t="s">
        <v>39</v>
      </c>
      <c r="H571" t="s">
        <v>1127</v>
      </c>
      <c r="I571" t="s">
        <v>1128</v>
      </c>
      <c r="J571" t="s">
        <v>31</v>
      </c>
      <c r="K571" t="s">
        <v>1129</v>
      </c>
      <c r="M571" t="s">
        <v>23</v>
      </c>
      <c r="N571" t="s">
        <v>32</v>
      </c>
      <c r="O571" t="s">
        <v>28</v>
      </c>
      <c r="P571" t="s">
        <v>26</v>
      </c>
      <c r="Q571" t="s">
        <v>27</v>
      </c>
      <c r="R571" t="s">
        <v>28</v>
      </c>
    </row>
    <row r="572" spans="1:18" ht="15" hidden="1">
      <c r="A572" s="2">
        <v>44540</v>
      </c>
      <c r="B572" s="25">
        <v>12</v>
      </c>
      <c r="C572" s="25">
        <v>2021</v>
      </c>
      <c r="D572" s="5">
        <v>181082.54000000001</v>
      </c>
      <c r="E572" t="s">
        <v>1100</v>
      </c>
      <c r="F572" t="s">
        <v>44</v>
      </c>
      <c r="G572" t="s">
        <v>45</v>
      </c>
      <c r="H572" t="s">
        <v>1101</v>
      </c>
      <c r="I572" t="s">
        <v>1102</v>
      </c>
      <c r="J572" t="s">
        <v>21</v>
      </c>
      <c r="K572" t="s">
        <v>1107</v>
      </c>
      <c r="M572" t="s">
        <v>23</v>
      </c>
      <c r="N572" t="s">
        <v>24</v>
      </c>
      <c r="O572" t="s">
        <v>25</v>
      </c>
      <c r="P572" t="s">
        <v>26</v>
      </c>
      <c r="Q572" t="s">
        <v>40</v>
      </c>
      <c r="R572" t="s">
        <v>28</v>
      </c>
    </row>
    <row r="573" spans="1:18" ht="15" hidden="1">
      <c r="A573" s="2">
        <v>44550</v>
      </c>
      <c r="B573" s="25">
        <v>12</v>
      </c>
      <c r="C573" s="25">
        <v>2021</v>
      </c>
      <c r="D573" s="5">
        <v>30.600000000000001</v>
      </c>
      <c r="E573" t="s">
        <v>1118</v>
      </c>
      <c r="F573" t="s">
        <v>38</v>
      </c>
      <c r="G573" t="s">
        <v>39</v>
      </c>
      <c r="H573" t="s">
        <v>1119</v>
      </c>
      <c r="I573" t="s">
        <v>1120</v>
      </c>
      <c r="J573" t="s">
        <v>21</v>
      </c>
      <c r="K573" t="s">
        <v>1130</v>
      </c>
      <c r="M573" t="s">
        <v>23</v>
      </c>
      <c r="N573" t="s">
        <v>24</v>
      </c>
      <c r="O573" t="s">
        <v>25</v>
      </c>
      <c r="P573" t="s">
        <v>26</v>
      </c>
      <c r="Q573" t="s">
        <v>40</v>
      </c>
      <c r="R573" t="s">
        <v>28</v>
      </c>
    </row>
    <row r="574" spans="1:18" ht="15" hidden="1">
      <c r="A574" s="2">
        <v>44557</v>
      </c>
      <c r="B574" s="25">
        <v>12</v>
      </c>
      <c r="C574" s="25">
        <v>2021</v>
      </c>
      <c r="D574" s="5">
        <v>3570.29</v>
      </c>
      <c r="E574" t="s">
        <v>1131</v>
      </c>
      <c r="F574" t="s">
        <v>29</v>
      </c>
      <c r="G574" t="s">
        <v>30</v>
      </c>
      <c r="H574" t="s">
        <v>1132</v>
      </c>
      <c r="I574" t="s">
        <v>1133</v>
      </c>
      <c r="J574" t="s">
        <v>31</v>
      </c>
      <c r="K574" t="s">
        <v>1134</v>
      </c>
      <c r="M574" t="s">
        <v>23</v>
      </c>
      <c r="N574" t="s">
        <v>32</v>
      </c>
      <c r="O574" t="s">
        <v>28</v>
      </c>
      <c r="P574" t="s">
        <v>26</v>
      </c>
      <c r="Q574" t="s">
        <v>27</v>
      </c>
      <c r="R574" t="s">
        <v>28</v>
      </c>
    </row>
    <row r="575" spans="1:18" ht="15" hidden="1">
      <c r="A575" s="2">
        <v>44559</v>
      </c>
      <c r="B575" s="25">
        <v>12</v>
      </c>
      <c r="C575" s="25">
        <v>2021</v>
      </c>
      <c r="D575" s="5">
        <v>1478.4200000000001</v>
      </c>
      <c r="E575" t="s">
        <v>1135</v>
      </c>
      <c r="F575" t="s">
        <v>36</v>
      </c>
      <c r="G575" t="s">
        <v>37</v>
      </c>
      <c r="H575" t="s">
        <v>1136</v>
      </c>
      <c r="I575" t="s">
        <v>1137</v>
      </c>
      <c r="J575" t="s">
        <v>31</v>
      </c>
      <c r="K575" t="s">
        <v>1138</v>
      </c>
      <c r="M575" t="s">
        <v>23</v>
      </c>
      <c r="N575" t="s">
        <v>32</v>
      </c>
      <c r="O575" t="s">
        <v>28</v>
      </c>
      <c r="P575" t="s">
        <v>26</v>
      </c>
      <c r="Q575" t="s">
        <v>27</v>
      </c>
      <c r="R575" t="s">
        <v>28</v>
      </c>
    </row>
    <row r="576" spans="1:18" ht="15" hidden="1">
      <c r="A576" s="2">
        <v>44560</v>
      </c>
      <c r="B576" s="25">
        <v>12</v>
      </c>
      <c r="C576" s="25">
        <v>2021</v>
      </c>
      <c r="D576" s="5">
        <v>605.99000000000001</v>
      </c>
      <c r="E576" t="s">
        <v>1139</v>
      </c>
      <c r="F576" t="s">
        <v>36</v>
      </c>
      <c r="G576" t="s">
        <v>37</v>
      </c>
      <c r="H576" t="s">
        <v>1140</v>
      </c>
      <c r="I576" t="s">
        <v>1141</v>
      </c>
      <c r="J576" t="s">
        <v>21</v>
      </c>
      <c r="K576" t="s">
        <v>1142</v>
      </c>
      <c r="M576" t="s">
        <v>23</v>
      </c>
      <c r="N576" t="s">
        <v>24</v>
      </c>
      <c r="O576" t="s">
        <v>25</v>
      </c>
      <c r="P576" t="s">
        <v>26</v>
      </c>
      <c r="Q576" t="s">
        <v>40</v>
      </c>
      <c r="R576" t="s">
        <v>28</v>
      </c>
    </row>
    <row r="577" spans="1:18" ht="15" hidden="1">
      <c r="A577" s="2">
        <v>44560</v>
      </c>
      <c r="B577" s="25">
        <v>12</v>
      </c>
      <c r="C577" s="25">
        <v>2021</v>
      </c>
      <c r="D577" s="5">
        <v>8250.0100000000002</v>
      </c>
      <c r="E577" t="s">
        <v>1143</v>
      </c>
      <c r="F577" t="s">
        <v>29</v>
      </c>
      <c r="G577" t="s">
        <v>30</v>
      </c>
      <c r="H577" t="s">
        <v>1144</v>
      </c>
      <c r="I577" t="s">
        <v>1145</v>
      </c>
      <c r="J577" t="s">
        <v>31</v>
      </c>
      <c r="K577" t="s">
        <v>1129</v>
      </c>
      <c r="M577" t="s">
        <v>23</v>
      </c>
      <c r="N577" t="s">
        <v>32</v>
      </c>
      <c r="O577" t="s">
        <v>28</v>
      </c>
      <c r="P577" t="s">
        <v>26</v>
      </c>
      <c r="Q577" t="s">
        <v>27</v>
      </c>
      <c r="R577" t="s">
        <v>28</v>
      </c>
    </row>
    <row r="578" spans="1:18" ht="15" hidden="1">
      <c r="A578" s="2">
        <v>44560</v>
      </c>
      <c r="B578" s="25">
        <v>12</v>
      </c>
      <c r="C578" s="25">
        <v>2021</v>
      </c>
      <c r="D578" s="5">
        <v>7028.54</v>
      </c>
      <c r="E578" t="s">
        <v>1139</v>
      </c>
      <c r="F578" t="s">
        <v>36</v>
      </c>
      <c r="G578" t="s">
        <v>37</v>
      </c>
      <c r="H578" t="s">
        <v>1140</v>
      </c>
      <c r="I578" t="s">
        <v>1141</v>
      </c>
      <c r="J578" t="s">
        <v>31</v>
      </c>
      <c r="K578" t="s">
        <v>1129</v>
      </c>
      <c r="M578" t="s">
        <v>23</v>
      </c>
      <c r="N578" t="s">
        <v>32</v>
      </c>
      <c r="O578" t="s">
        <v>28</v>
      </c>
      <c r="P578" t="s">
        <v>26</v>
      </c>
      <c r="Q578" t="s">
        <v>27</v>
      </c>
      <c r="R578" t="s">
        <v>28</v>
      </c>
    </row>
    <row r="579" spans="1:18" ht="15" hidden="1">
      <c r="A579" s="2">
        <v>44560</v>
      </c>
      <c r="B579" s="25">
        <v>12</v>
      </c>
      <c r="C579" s="25">
        <v>2021</v>
      </c>
      <c r="D579" s="5">
        <v>165873.97</v>
      </c>
      <c r="E579" t="s">
        <v>1146</v>
      </c>
      <c r="F579" t="s">
        <v>44</v>
      </c>
      <c r="G579" t="s">
        <v>45</v>
      </c>
      <c r="H579" t="s">
        <v>1147</v>
      </c>
      <c r="I579" t="s">
        <v>1148</v>
      </c>
      <c r="J579" t="s">
        <v>21</v>
      </c>
      <c r="K579" t="s">
        <v>1142</v>
      </c>
      <c r="M579" t="s">
        <v>23</v>
      </c>
      <c r="N579" t="s">
        <v>24</v>
      </c>
      <c r="O579" t="s">
        <v>25</v>
      </c>
      <c r="P579" t="s">
        <v>26</v>
      </c>
      <c r="Q579" t="s">
        <v>40</v>
      </c>
      <c r="R579" t="s">
        <v>28</v>
      </c>
    </row>
    <row r="580" spans="1:18" ht="15" hidden="1">
      <c r="A580" s="2">
        <v>44560</v>
      </c>
      <c r="B580" s="25">
        <v>12</v>
      </c>
      <c r="C580" s="25">
        <v>2021</v>
      </c>
      <c r="D580" s="5">
        <v>14009.610000000001</v>
      </c>
      <c r="E580" t="s">
        <v>1149</v>
      </c>
      <c r="F580" t="s">
        <v>41</v>
      </c>
      <c r="G580" t="s">
        <v>42</v>
      </c>
      <c r="H580" t="s">
        <v>1150</v>
      </c>
      <c r="I580" t="s">
        <v>1151</v>
      </c>
      <c r="J580" t="s">
        <v>21</v>
      </c>
      <c r="K580" t="s">
        <v>1142</v>
      </c>
      <c r="M580" t="s">
        <v>23</v>
      </c>
      <c r="N580" t="s">
        <v>24</v>
      </c>
      <c r="O580" t="s">
        <v>25</v>
      </c>
      <c r="P580" t="s">
        <v>43</v>
      </c>
      <c r="Q580" t="s">
        <v>40</v>
      </c>
      <c r="R580" t="s">
        <v>28</v>
      </c>
    </row>
    <row r="581" spans="1:18" ht="15" hidden="1">
      <c r="A581" s="2">
        <v>44540</v>
      </c>
      <c r="B581" s="25">
        <v>12</v>
      </c>
      <c r="C581" s="25">
        <v>2021</v>
      </c>
      <c r="D581" s="5">
        <v>15667.6</v>
      </c>
      <c r="E581" t="s">
        <v>1108</v>
      </c>
      <c r="F581" t="s">
        <v>41</v>
      </c>
      <c r="G581" t="s">
        <v>42</v>
      </c>
      <c r="H581" t="s">
        <v>1109</v>
      </c>
      <c r="I581" t="s">
        <v>1110</v>
      </c>
      <c r="J581" t="s">
        <v>21</v>
      </c>
      <c r="K581" t="s">
        <v>1107</v>
      </c>
      <c r="M581" t="s">
        <v>23</v>
      </c>
      <c r="N581" t="s">
        <v>24</v>
      </c>
      <c r="O581" t="s">
        <v>25</v>
      </c>
      <c r="P581" t="s">
        <v>43</v>
      </c>
      <c r="Q581" t="s">
        <v>40</v>
      </c>
      <c r="R581" t="s">
        <v>28</v>
      </c>
    </row>
    <row r="582" spans="1:18" ht="15" hidden="1">
      <c r="A582" s="2">
        <v>44557</v>
      </c>
      <c r="B582" s="25">
        <v>12</v>
      </c>
      <c r="C582" s="25">
        <v>2021</v>
      </c>
      <c r="D582" s="5">
        <v>831.71000000000004</v>
      </c>
      <c r="E582" t="s">
        <v>1131</v>
      </c>
      <c r="F582" t="s">
        <v>29</v>
      </c>
      <c r="G582" t="s">
        <v>30</v>
      </c>
      <c r="H582" t="s">
        <v>1132</v>
      </c>
      <c r="I582" t="s">
        <v>1133</v>
      </c>
      <c r="J582" t="s">
        <v>21</v>
      </c>
      <c r="K582" t="s">
        <v>1152</v>
      </c>
      <c r="M582" t="s">
        <v>23</v>
      </c>
      <c r="N582" t="s">
        <v>24</v>
      </c>
      <c r="O582" t="s">
        <v>25</v>
      </c>
      <c r="P582" t="s">
        <v>26</v>
      </c>
      <c r="Q582" t="s">
        <v>27</v>
      </c>
      <c r="R582" t="s">
        <v>28</v>
      </c>
    </row>
    <row r="583" spans="1:18" ht="15" hidden="1">
      <c r="A583" s="2">
        <v>44557</v>
      </c>
      <c r="B583" s="25">
        <v>12</v>
      </c>
      <c r="C583" s="25">
        <v>2021</v>
      </c>
      <c r="D583" s="5">
        <v>187.53999999999999</v>
      </c>
      <c r="E583" t="s">
        <v>1153</v>
      </c>
      <c r="F583" t="s">
        <v>38</v>
      </c>
      <c r="G583" t="s">
        <v>39</v>
      </c>
      <c r="H583" t="s">
        <v>1154</v>
      </c>
      <c r="I583" t="s">
        <v>1155</v>
      </c>
      <c r="J583" t="s">
        <v>31</v>
      </c>
      <c r="K583" t="s">
        <v>1134</v>
      </c>
      <c r="M583" t="s">
        <v>23</v>
      </c>
      <c r="N583" t="s">
        <v>32</v>
      </c>
      <c r="O583" t="s">
        <v>28</v>
      </c>
      <c r="P583" t="s">
        <v>26</v>
      </c>
      <c r="Q583" t="s">
        <v>27</v>
      </c>
      <c r="R583" t="s">
        <v>28</v>
      </c>
    </row>
    <row r="584" spans="1:18" ht="15" hidden="1">
      <c r="A584" s="2">
        <v>44557</v>
      </c>
      <c r="B584" s="25">
        <v>12</v>
      </c>
      <c r="C584" s="25">
        <v>2021</v>
      </c>
      <c r="D584" s="5">
        <v>825013.31999999995</v>
      </c>
      <c r="E584" t="s">
        <v>1156</v>
      </c>
      <c r="F584" t="s">
        <v>44</v>
      </c>
      <c r="G584" t="s">
        <v>45</v>
      </c>
      <c r="H584" t="s">
        <v>1157</v>
      </c>
      <c r="I584" t="s">
        <v>1158</v>
      </c>
      <c r="J584" t="s">
        <v>31</v>
      </c>
      <c r="K584" t="s">
        <v>1134</v>
      </c>
      <c r="M584" t="s">
        <v>23</v>
      </c>
      <c r="N584" t="s">
        <v>32</v>
      </c>
      <c r="O584" t="s">
        <v>28</v>
      </c>
      <c r="P584" t="s">
        <v>26</v>
      </c>
      <c r="Q584" t="s">
        <v>27</v>
      </c>
      <c r="R584" t="s">
        <v>28</v>
      </c>
    </row>
    <row r="585" spans="1:18" ht="15" hidden="1">
      <c r="A585" s="2">
        <v>44539</v>
      </c>
      <c r="B585" s="25">
        <v>12</v>
      </c>
      <c r="C585" s="25">
        <v>2021</v>
      </c>
      <c r="D585" s="5">
        <v>20.920000000000002</v>
      </c>
      <c r="E585" t="s">
        <v>1159</v>
      </c>
      <c r="F585" t="s">
        <v>38</v>
      </c>
      <c r="G585" t="s">
        <v>39</v>
      </c>
      <c r="H585" t="s">
        <v>1160</v>
      </c>
      <c r="I585" t="s">
        <v>1161</v>
      </c>
      <c r="J585" t="s">
        <v>31</v>
      </c>
      <c r="K585" t="s">
        <v>1162</v>
      </c>
      <c r="M585" t="s">
        <v>23</v>
      </c>
      <c r="N585" t="s">
        <v>32</v>
      </c>
      <c r="O585" t="s">
        <v>28</v>
      </c>
      <c r="P585" t="s">
        <v>26</v>
      </c>
      <c r="Q585" t="s">
        <v>27</v>
      </c>
      <c r="R585" t="s">
        <v>28</v>
      </c>
    </row>
    <row r="586" spans="1:18" ht="15" hidden="1">
      <c r="A586" s="2">
        <v>44551</v>
      </c>
      <c r="B586" s="25">
        <v>12</v>
      </c>
      <c r="C586" s="25">
        <v>2021</v>
      </c>
      <c r="D586" s="5">
        <v>1097998.7</v>
      </c>
      <c r="E586" t="s">
        <v>1163</v>
      </c>
      <c r="F586" t="s">
        <v>44</v>
      </c>
      <c r="G586" t="s">
        <v>45</v>
      </c>
      <c r="H586" t="s">
        <v>1164</v>
      </c>
      <c r="I586" t="s">
        <v>1165</v>
      </c>
      <c r="J586" t="s">
        <v>31</v>
      </c>
      <c r="K586" t="s">
        <v>1114</v>
      </c>
      <c r="M586" t="s">
        <v>23</v>
      </c>
      <c r="N586" t="s">
        <v>32</v>
      </c>
      <c r="O586" t="s">
        <v>28</v>
      </c>
      <c r="P586" t="s">
        <v>26</v>
      </c>
      <c r="Q586" t="s">
        <v>27</v>
      </c>
      <c r="R586" t="s">
        <v>28</v>
      </c>
    </row>
    <row r="587" spans="1:18" ht="15" hidden="1">
      <c r="A587" s="2">
        <v>44550</v>
      </c>
      <c r="B587" s="25">
        <v>12</v>
      </c>
      <c r="C587" s="25">
        <v>2021</v>
      </c>
      <c r="D587" s="5">
        <v>203964.23000000001</v>
      </c>
      <c r="E587" t="s">
        <v>1166</v>
      </c>
      <c r="F587" t="s">
        <v>38</v>
      </c>
      <c r="G587" t="s">
        <v>39</v>
      </c>
      <c r="H587" t="s">
        <v>1167</v>
      </c>
      <c r="I587" t="s">
        <v>1168</v>
      </c>
      <c r="J587" t="s">
        <v>31</v>
      </c>
      <c r="K587" t="s">
        <v>1121</v>
      </c>
      <c r="M587" t="s">
        <v>23</v>
      </c>
      <c r="N587" t="s">
        <v>32</v>
      </c>
      <c r="O587" t="s">
        <v>28</v>
      </c>
      <c r="P587" t="s">
        <v>26</v>
      </c>
      <c r="Q587" t="s">
        <v>27</v>
      </c>
      <c r="R587" t="s">
        <v>28</v>
      </c>
    </row>
    <row r="588" spans="1:18" ht="15" hidden="1">
      <c r="A588" s="2">
        <v>44550</v>
      </c>
      <c r="B588" s="25">
        <v>12</v>
      </c>
      <c r="C588" s="25">
        <v>2021</v>
      </c>
      <c r="D588" s="5">
        <v>49423.650000000001</v>
      </c>
      <c r="E588" t="s">
        <v>1166</v>
      </c>
      <c r="F588" t="s">
        <v>38</v>
      </c>
      <c r="G588" t="s">
        <v>39</v>
      </c>
      <c r="H588" t="s">
        <v>1167</v>
      </c>
      <c r="I588" t="s">
        <v>1168</v>
      </c>
      <c r="J588" t="s">
        <v>21</v>
      </c>
      <c r="K588" t="s">
        <v>1130</v>
      </c>
      <c r="M588" t="s">
        <v>23</v>
      </c>
      <c r="N588" t="s">
        <v>24</v>
      </c>
      <c r="O588" t="s">
        <v>25</v>
      </c>
      <c r="P588" t="s">
        <v>26</v>
      </c>
      <c r="Q588" t="s">
        <v>40</v>
      </c>
      <c r="R588" t="s">
        <v>28</v>
      </c>
    </row>
    <row r="589" spans="1:18" ht="15" hidden="1">
      <c r="A589" s="2">
        <v>44539</v>
      </c>
      <c r="B589" s="25">
        <v>12</v>
      </c>
      <c r="C589" s="25">
        <v>2021</v>
      </c>
      <c r="D589" s="5">
        <v>26.550000000000001</v>
      </c>
      <c r="E589" t="s">
        <v>1159</v>
      </c>
      <c r="F589" t="s">
        <v>38</v>
      </c>
      <c r="G589" t="s">
        <v>39</v>
      </c>
      <c r="H589" t="s">
        <v>1160</v>
      </c>
      <c r="I589" t="s">
        <v>1161</v>
      </c>
      <c r="J589" t="s">
        <v>21</v>
      </c>
      <c r="K589" t="s">
        <v>1169</v>
      </c>
      <c r="M589" t="s">
        <v>23</v>
      </c>
      <c r="N589" t="s">
        <v>24</v>
      </c>
      <c r="O589" t="s">
        <v>25</v>
      </c>
      <c r="P589" t="s">
        <v>26</v>
      </c>
      <c r="Q589" t="s">
        <v>40</v>
      </c>
      <c r="R589" t="s">
        <v>28</v>
      </c>
    </row>
    <row r="590" spans="1:18" ht="15" hidden="1">
      <c r="A590" s="2">
        <v>44539</v>
      </c>
      <c r="B590" s="25">
        <v>12</v>
      </c>
      <c r="C590" s="25">
        <v>2021</v>
      </c>
      <c r="D590" s="5">
        <v>196817.28</v>
      </c>
      <c r="E590" t="s">
        <v>1170</v>
      </c>
      <c r="F590" t="s">
        <v>38</v>
      </c>
      <c r="G590" t="s">
        <v>39</v>
      </c>
      <c r="H590" t="s">
        <v>1171</v>
      </c>
      <c r="I590" t="s">
        <v>1172</v>
      </c>
      <c r="J590" t="s">
        <v>31</v>
      </c>
      <c r="K590" t="s">
        <v>1162</v>
      </c>
      <c r="M590" t="s">
        <v>23</v>
      </c>
      <c r="N590" t="s">
        <v>32</v>
      </c>
      <c r="O590" t="s">
        <v>28</v>
      </c>
      <c r="P590" t="s">
        <v>26</v>
      </c>
      <c r="Q590" t="s">
        <v>27</v>
      </c>
      <c r="R590" t="s">
        <v>28</v>
      </c>
    </row>
    <row r="591" spans="1:18" ht="15" hidden="1">
      <c r="A591" s="2">
        <v>44551</v>
      </c>
      <c r="B591" s="25">
        <v>12</v>
      </c>
      <c r="C591" s="25">
        <v>2021</v>
      </c>
      <c r="D591" s="5">
        <v>-191.75999999999999</v>
      </c>
      <c r="E591" t="s">
        <v>1173</v>
      </c>
      <c r="F591" t="s">
        <v>36</v>
      </c>
      <c r="G591" t="s">
        <v>37</v>
      </c>
      <c r="H591" t="s">
        <v>1174</v>
      </c>
      <c r="I591" t="s">
        <v>1175</v>
      </c>
      <c r="J591" t="s">
        <v>31</v>
      </c>
      <c r="K591" t="s">
        <v>1114</v>
      </c>
      <c r="M591" t="s">
        <v>23</v>
      </c>
      <c r="N591" t="s">
        <v>32</v>
      </c>
      <c r="O591" t="s">
        <v>28</v>
      </c>
      <c r="P591" t="s">
        <v>26</v>
      </c>
      <c r="Q591" t="s">
        <v>27</v>
      </c>
      <c r="R591" t="s">
        <v>28</v>
      </c>
    </row>
    <row r="592" spans="1:18" ht="15" hidden="1">
      <c r="A592" s="2">
        <v>44559</v>
      </c>
      <c r="B592" s="25">
        <v>12</v>
      </c>
      <c r="C592" s="25">
        <v>2021</v>
      </c>
      <c r="D592" s="5">
        <v>142.63999999999999</v>
      </c>
      <c r="E592" t="s">
        <v>1135</v>
      </c>
      <c r="F592" t="s">
        <v>36</v>
      </c>
      <c r="G592" t="s">
        <v>37</v>
      </c>
      <c r="H592" t="s">
        <v>1136</v>
      </c>
      <c r="I592" t="s">
        <v>1137</v>
      </c>
      <c r="J592" t="s">
        <v>21</v>
      </c>
      <c r="K592" t="s">
        <v>1176</v>
      </c>
      <c r="M592" t="s">
        <v>23</v>
      </c>
      <c r="N592" t="s">
        <v>24</v>
      </c>
      <c r="O592" t="s">
        <v>25</v>
      </c>
      <c r="P592" t="s">
        <v>26</v>
      </c>
      <c r="Q592" t="s">
        <v>40</v>
      </c>
      <c r="R592" t="s">
        <v>28</v>
      </c>
    </row>
    <row r="593" spans="1:18" ht="15" hidden="1">
      <c r="A593" s="2">
        <v>44560</v>
      </c>
      <c r="B593" s="25">
        <v>12</v>
      </c>
      <c r="C593" s="25">
        <v>2021</v>
      </c>
      <c r="D593" s="5">
        <v>57027.949999999997</v>
      </c>
      <c r="E593" t="s">
        <v>1149</v>
      </c>
      <c r="F593" t="s">
        <v>41</v>
      </c>
      <c r="G593" t="s">
        <v>42</v>
      </c>
      <c r="H593" t="s">
        <v>1150</v>
      </c>
      <c r="I593" t="s">
        <v>1151</v>
      </c>
      <c r="J593" t="s">
        <v>31</v>
      </c>
      <c r="K593" t="s">
        <v>1129</v>
      </c>
      <c r="M593" t="s">
        <v>23</v>
      </c>
      <c r="N593" t="s">
        <v>32</v>
      </c>
      <c r="O593" t="s">
        <v>28</v>
      </c>
      <c r="P593" t="s">
        <v>43</v>
      </c>
      <c r="Q593" t="s">
        <v>27</v>
      </c>
      <c r="R593" t="s">
        <v>28</v>
      </c>
    </row>
    <row r="594" spans="1:18" ht="15" hidden="1">
      <c r="A594" s="2">
        <v>44557</v>
      </c>
      <c r="B594" s="25">
        <v>12</v>
      </c>
      <c r="C594" s="25">
        <v>2021</v>
      </c>
      <c r="D594" s="5">
        <v>259217.70999999999</v>
      </c>
      <c r="E594" t="s">
        <v>1156</v>
      </c>
      <c r="F594" t="s">
        <v>44</v>
      </c>
      <c r="G594" t="s">
        <v>45</v>
      </c>
      <c r="H594" t="s">
        <v>1157</v>
      </c>
      <c r="I594" t="s">
        <v>1158</v>
      </c>
      <c r="J594" t="s">
        <v>21</v>
      </c>
      <c r="K594" t="s">
        <v>1152</v>
      </c>
      <c r="M594" t="s">
        <v>23</v>
      </c>
      <c r="N594" t="s">
        <v>24</v>
      </c>
      <c r="O594" t="s">
        <v>25</v>
      </c>
      <c r="P594" t="s">
        <v>26</v>
      </c>
      <c r="Q594" t="s">
        <v>40</v>
      </c>
      <c r="R594" t="s">
        <v>28</v>
      </c>
    </row>
    <row r="595" spans="1:18" ht="15" hidden="1">
      <c r="A595" s="2">
        <v>44557</v>
      </c>
      <c r="B595" s="25">
        <v>12</v>
      </c>
      <c r="C595" s="25">
        <v>2021</v>
      </c>
      <c r="D595" s="5">
        <v>14474.18</v>
      </c>
      <c r="E595" t="s">
        <v>1177</v>
      </c>
      <c r="F595" t="s">
        <v>41</v>
      </c>
      <c r="G595" t="s">
        <v>42</v>
      </c>
      <c r="H595" t="s">
        <v>1178</v>
      </c>
      <c r="I595" t="s">
        <v>1179</v>
      </c>
      <c r="J595" t="s">
        <v>21</v>
      </c>
      <c r="K595" t="s">
        <v>1152</v>
      </c>
      <c r="M595" t="s">
        <v>23</v>
      </c>
      <c r="N595" t="s">
        <v>24</v>
      </c>
      <c r="O595" t="s">
        <v>25</v>
      </c>
      <c r="P595" t="s">
        <v>43</v>
      </c>
      <c r="Q595" t="s">
        <v>40</v>
      </c>
      <c r="R595" t="s">
        <v>28</v>
      </c>
    </row>
    <row r="596" spans="1:18" ht="15" hidden="1">
      <c r="A596" s="2">
        <v>44557</v>
      </c>
      <c r="B596" s="25">
        <v>12</v>
      </c>
      <c r="C596" s="25">
        <v>2021</v>
      </c>
      <c r="D596" s="5">
        <v>74308.410000000003</v>
      </c>
      <c r="E596" t="s">
        <v>1180</v>
      </c>
      <c r="F596" t="s">
        <v>38</v>
      </c>
      <c r="G596" t="s">
        <v>39</v>
      </c>
      <c r="H596" t="s">
        <v>1181</v>
      </c>
      <c r="I596" t="s">
        <v>1182</v>
      </c>
      <c r="J596" t="s">
        <v>21</v>
      </c>
      <c r="K596" t="s">
        <v>1152</v>
      </c>
      <c r="M596" t="s">
        <v>23</v>
      </c>
      <c r="N596" t="s">
        <v>24</v>
      </c>
      <c r="O596" t="s">
        <v>25</v>
      </c>
      <c r="P596" t="s">
        <v>26</v>
      </c>
      <c r="Q596" t="s">
        <v>40</v>
      </c>
      <c r="R596" t="s">
        <v>28</v>
      </c>
    </row>
    <row r="597" spans="1:18" ht="15" hidden="1">
      <c r="A597" s="2">
        <v>44557</v>
      </c>
      <c r="B597" s="25">
        <v>12</v>
      </c>
      <c r="C597" s="25">
        <v>2021</v>
      </c>
      <c r="D597" s="5">
        <v>279383.06</v>
      </c>
      <c r="E597" t="s">
        <v>1180</v>
      </c>
      <c r="F597" t="s">
        <v>38</v>
      </c>
      <c r="G597" t="s">
        <v>39</v>
      </c>
      <c r="H597" t="s">
        <v>1181</v>
      </c>
      <c r="I597" t="s">
        <v>1182</v>
      </c>
      <c r="J597" t="s">
        <v>31</v>
      </c>
      <c r="K597" t="s">
        <v>1134</v>
      </c>
      <c r="M597" t="s">
        <v>23</v>
      </c>
      <c r="N597" t="s">
        <v>32</v>
      </c>
      <c r="O597" t="s">
        <v>28</v>
      </c>
      <c r="P597" t="s">
        <v>26</v>
      </c>
      <c r="Q597" t="s">
        <v>27</v>
      </c>
      <c r="R597" t="s">
        <v>28</v>
      </c>
    </row>
    <row r="598" spans="1:18" ht="15" hidden="1">
      <c r="A598" s="2">
        <v>44557</v>
      </c>
      <c r="B598" s="25">
        <v>12</v>
      </c>
      <c r="C598" s="25">
        <v>2021</v>
      </c>
      <c r="D598" s="5">
        <v>27.539999999999999</v>
      </c>
      <c r="E598" t="s">
        <v>1153</v>
      </c>
      <c r="F598" t="s">
        <v>38</v>
      </c>
      <c r="G598" t="s">
        <v>39</v>
      </c>
      <c r="H598" t="s">
        <v>1154</v>
      </c>
      <c r="I598" t="s">
        <v>1155</v>
      </c>
      <c r="J598" t="s">
        <v>21</v>
      </c>
      <c r="K598" t="s">
        <v>1152</v>
      </c>
      <c r="M598" t="s">
        <v>23</v>
      </c>
      <c r="N598" t="s">
        <v>24</v>
      </c>
      <c r="O598" t="s">
        <v>25</v>
      </c>
      <c r="P598" t="s">
        <v>26</v>
      </c>
      <c r="Q598" t="s">
        <v>40</v>
      </c>
      <c r="R598" t="s">
        <v>28</v>
      </c>
    </row>
    <row r="599" spans="1:18" ht="15" hidden="1">
      <c r="A599" s="2">
        <v>44551</v>
      </c>
      <c r="B599" s="25">
        <v>12</v>
      </c>
      <c r="C599" s="25">
        <v>2021</v>
      </c>
      <c r="D599" s="5">
        <v>3900</v>
      </c>
      <c r="E599" t="s">
        <v>1183</v>
      </c>
      <c r="F599" t="s">
        <v>48</v>
      </c>
      <c r="G599" t="s">
        <v>256</v>
      </c>
      <c r="H599" t="s">
        <v>1184</v>
      </c>
      <c r="I599" t="s">
        <v>1185</v>
      </c>
      <c r="J599" t="s">
        <v>31</v>
      </c>
      <c r="K599" t="s">
        <v>1114</v>
      </c>
      <c r="M599" t="s">
        <v>23</v>
      </c>
      <c r="N599" t="s">
        <v>32</v>
      </c>
      <c r="O599" t="s">
        <v>28</v>
      </c>
      <c r="P599" t="s">
        <v>49</v>
      </c>
      <c r="Q599" t="s">
        <v>50</v>
      </c>
      <c r="R599" t="s">
        <v>28</v>
      </c>
    </row>
    <row r="600" spans="1:18" ht="15" hidden="1">
      <c r="A600" s="2">
        <v>44560</v>
      </c>
      <c r="B600" s="25">
        <v>12</v>
      </c>
      <c r="C600" s="25">
        <v>2021</v>
      </c>
      <c r="D600" s="5">
        <v>3407.1100000000001</v>
      </c>
      <c r="E600" t="s">
        <v>1186</v>
      </c>
      <c r="F600" t="s">
        <v>38</v>
      </c>
      <c r="G600" t="s">
        <v>39</v>
      </c>
      <c r="H600" t="s">
        <v>1187</v>
      </c>
      <c r="I600" t="s">
        <v>1188</v>
      </c>
      <c r="J600" t="s">
        <v>31</v>
      </c>
      <c r="K600" t="s">
        <v>1129</v>
      </c>
      <c r="M600" t="s">
        <v>23</v>
      </c>
      <c r="N600" t="s">
        <v>32</v>
      </c>
      <c r="O600" t="s">
        <v>28</v>
      </c>
      <c r="P600" t="s">
        <v>26</v>
      </c>
      <c r="Q600" t="s">
        <v>27</v>
      </c>
      <c r="R600" t="s">
        <v>28</v>
      </c>
    </row>
    <row r="601" spans="1:18" ht="15" hidden="1">
      <c r="A601" s="2">
        <v>44560</v>
      </c>
      <c r="B601" s="25">
        <v>12</v>
      </c>
      <c r="C601" s="25">
        <v>2021</v>
      </c>
      <c r="D601" s="5">
        <v>446.58999999999998</v>
      </c>
      <c r="E601" t="s">
        <v>1143</v>
      </c>
      <c r="F601" t="s">
        <v>29</v>
      </c>
      <c r="G601" t="s">
        <v>30</v>
      </c>
      <c r="H601" t="s">
        <v>1144</v>
      </c>
      <c r="I601" t="s">
        <v>1145</v>
      </c>
      <c r="J601" t="s">
        <v>21</v>
      </c>
      <c r="K601" t="s">
        <v>1142</v>
      </c>
      <c r="M601" t="s">
        <v>23</v>
      </c>
      <c r="N601" t="s">
        <v>24</v>
      </c>
      <c r="O601" t="s">
        <v>25</v>
      </c>
      <c r="P601" t="s">
        <v>26</v>
      </c>
      <c r="Q601" t="s">
        <v>27</v>
      </c>
      <c r="R601" t="s">
        <v>28</v>
      </c>
    </row>
    <row r="602" spans="1:18" ht="15" hidden="1">
      <c r="A602" s="2">
        <v>44551</v>
      </c>
      <c r="B602" s="25">
        <v>12</v>
      </c>
      <c r="C602" s="25">
        <v>2021</v>
      </c>
      <c r="D602" s="5">
        <v>161.24000000000001</v>
      </c>
      <c r="E602" t="s">
        <v>1111</v>
      </c>
      <c r="F602" t="s">
        <v>29</v>
      </c>
      <c r="G602" t="s">
        <v>30</v>
      </c>
      <c r="H602" t="s">
        <v>1112</v>
      </c>
      <c r="I602" t="s">
        <v>1113</v>
      </c>
      <c r="J602" t="s">
        <v>21</v>
      </c>
      <c r="K602" t="s">
        <v>1125</v>
      </c>
      <c r="M602" t="s">
        <v>23</v>
      </c>
      <c r="N602" t="s">
        <v>24</v>
      </c>
      <c r="O602" t="s">
        <v>25</v>
      </c>
      <c r="P602" t="s">
        <v>26</v>
      </c>
      <c r="Q602" t="s">
        <v>27</v>
      </c>
      <c r="R602" t="s">
        <v>28</v>
      </c>
    </row>
    <row r="603" spans="1:18" ht="15" hidden="1">
      <c r="A603" s="2">
        <v>44560</v>
      </c>
      <c r="B603" s="25">
        <v>12</v>
      </c>
      <c r="C603" s="25">
        <v>2021</v>
      </c>
      <c r="D603" s="5">
        <v>843154.85999999999</v>
      </c>
      <c r="E603" t="s">
        <v>1146</v>
      </c>
      <c r="F603" t="s">
        <v>44</v>
      </c>
      <c r="G603" t="s">
        <v>45</v>
      </c>
      <c r="H603" t="s">
        <v>1147</v>
      </c>
      <c r="I603" t="s">
        <v>1148</v>
      </c>
      <c r="J603" t="s">
        <v>31</v>
      </c>
      <c r="K603" t="s">
        <v>1129</v>
      </c>
      <c r="M603" t="s">
        <v>23</v>
      </c>
      <c r="N603" t="s">
        <v>32</v>
      </c>
      <c r="O603" t="s">
        <v>28</v>
      </c>
      <c r="P603" t="s">
        <v>26</v>
      </c>
      <c r="Q603" t="s">
        <v>27</v>
      </c>
      <c r="R603" t="s">
        <v>28</v>
      </c>
    </row>
    <row r="604" spans="1:18" ht="15" hidden="1">
      <c r="A604" s="2">
        <v>44560</v>
      </c>
      <c r="B604" s="25">
        <v>12</v>
      </c>
      <c r="C604" s="25">
        <v>2021</v>
      </c>
      <c r="D604" s="5">
        <v>73.700000000000003</v>
      </c>
      <c r="E604" t="s">
        <v>1186</v>
      </c>
      <c r="F604" t="s">
        <v>38</v>
      </c>
      <c r="G604" t="s">
        <v>39</v>
      </c>
      <c r="H604" t="s">
        <v>1187</v>
      </c>
      <c r="I604" t="s">
        <v>1188</v>
      </c>
      <c r="J604" t="s">
        <v>21</v>
      </c>
      <c r="K604" t="s">
        <v>1142</v>
      </c>
      <c r="M604" t="s">
        <v>23</v>
      </c>
      <c r="N604" t="s">
        <v>24</v>
      </c>
      <c r="O604" t="s">
        <v>25</v>
      </c>
      <c r="P604" t="s">
        <v>26</v>
      </c>
      <c r="Q604" t="s">
        <v>40</v>
      </c>
      <c r="R604" t="s">
        <v>28</v>
      </c>
    </row>
    <row r="605" spans="1:18" ht="15" hidden="1">
      <c r="A605" s="2">
        <v>44557</v>
      </c>
      <c r="B605" s="25">
        <v>12</v>
      </c>
      <c r="C605" s="25">
        <v>2021</v>
      </c>
      <c r="D605" s="5">
        <v>58474.989999999998</v>
      </c>
      <c r="E605" t="s">
        <v>1177</v>
      </c>
      <c r="F605" t="s">
        <v>41</v>
      </c>
      <c r="G605" t="s">
        <v>42</v>
      </c>
      <c r="H605" t="s">
        <v>1178</v>
      </c>
      <c r="I605" t="s">
        <v>1179</v>
      </c>
      <c r="J605" t="s">
        <v>31</v>
      </c>
      <c r="K605" t="s">
        <v>1134</v>
      </c>
      <c r="M605" t="s">
        <v>23</v>
      </c>
      <c r="N605" t="s">
        <v>32</v>
      </c>
      <c r="O605" t="s">
        <v>28</v>
      </c>
      <c r="P605" t="s">
        <v>43</v>
      </c>
      <c r="Q605" t="s">
        <v>27</v>
      </c>
      <c r="R605" t="s">
        <v>28</v>
      </c>
    </row>
    <row r="606" spans="1:18" ht="15" hidden="1">
      <c r="A606" s="2">
        <v>44539</v>
      </c>
      <c r="B606" s="25">
        <v>12</v>
      </c>
      <c r="C606" s="25">
        <v>2021</v>
      </c>
      <c r="D606" s="5">
        <v>25259.459999999999</v>
      </c>
      <c r="E606" t="s">
        <v>1170</v>
      </c>
      <c r="F606" t="s">
        <v>38</v>
      </c>
      <c r="G606" t="s">
        <v>39</v>
      </c>
      <c r="H606" t="s">
        <v>1171</v>
      </c>
      <c r="I606" t="s">
        <v>1172</v>
      </c>
      <c r="J606" t="s">
        <v>21</v>
      </c>
      <c r="K606" t="s">
        <v>1169</v>
      </c>
      <c r="M606" t="s">
        <v>23</v>
      </c>
      <c r="N606" t="s">
        <v>24</v>
      </c>
      <c r="O606" t="s">
        <v>25</v>
      </c>
      <c r="P606" t="s">
        <v>26</v>
      </c>
      <c r="Q606" t="s">
        <v>40</v>
      </c>
      <c r="R606" t="s">
        <v>28</v>
      </c>
    </row>
    <row r="607" spans="1:18" ht="15" hidden="1">
      <c r="A607" s="2">
        <v>44551</v>
      </c>
      <c r="B607" s="25">
        <v>12</v>
      </c>
      <c r="C607" s="25">
        <v>2021</v>
      </c>
      <c r="D607" s="5">
        <v>210932.67000000001</v>
      </c>
      <c r="E607" t="s">
        <v>1163</v>
      </c>
      <c r="F607" t="s">
        <v>44</v>
      </c>
      <c r="G607" t="s">
        <v>45</v>
      </c>
      <c r="H607" t="s">
        <v>1164</v>
      </c>
      <c r="I607" t="s">
        <v>1165</v>
      </c>
      <c r="J607" t="s">
        <v>21</v>
      </c>
      <c r="K607" t="s">
        <v>1125</v>
      </c>
      <c r="M607" t="s">
        <v>23</v>
      </c>
      <c r="N607" t="s">
        <v>24</v>
      </c>
      <c r="O607" t="s">
        <v>25</v>
      </c>
      <c r="P607" t="s">
        <v>26</v>
      </c>
      <c r="Q607" t="s">
        <v>40</v>
      </c>
      <c r="R607" t="s">
        <v>28</v>
      </c>
    </row>
    <row r="608" spans="1:18" ht="15" hidden="1">
      <c r="A608" s="2">
        <v>44551</v>
      </c>
      <c r="B608" s="25">
        <v>12</v>
      </c>
      <c r="C608" s="25">
        <v>2021</v>
      </c>
      <c r="D608" s="5">
        <v>61732.760000000002</v>
      </c>
      <c r="E608" t="s">
        <v>1122</v>
      </c>
      <c r="F608" t="s">
        <v>41</v>
      </c>
      <c r="G608" t="s">
        <v>42</v>
      </c>
      <c r="H608" t="s">
        <v>1123</v>
      </c>
      <c r="I608" t="s">
        <v>1124</v>
      </c>
      <c r="J608" t="s">
        <v>31</v>
      </c>
      <c r="K608" t="s">
        <v>1114</v>
      </c>
      <c r="M608" t="s">
        <v>23</v>
      </c>
      <c r="N608" t="s">
        <v>32</v>
      </c>
      <c r="O608" t="s">
        <v>28</v>
      </c>
      <c r="P608" t="s">
        <v>43</v>
      </c>
      <c r="Q608" t="s">
        <v>27</v>
      </c>
      <c r="R608" t="s">
        <v>28</v>
      </c>
    </row>
    <row r="609" spans="1:18" ht="15" hidden="1">
      <c r="A609" s="2">
        <v>44551</v>
      </c>
      <c r="B609" s="25">
        <v>12</v>
      </c>
      <c r="C609" s="25">
        <v>2021</v>
      </c>
      <c r="D609" s="5">
        <v>136.88</v>
      </c>
      <c r="E609" t="s">
        <v>1173</v>
      </c>
      <c r="F609" t="s">
        <v>36</v>
      </c>
      <c r="G609" t="s">
        <v>37</v>
      </c>
      <c r="H609" t="s">
        <v>1174</v>
      </c>
      <c r="I609" t="s">
        <v>1175</v>
      </c>
      <c r="J609" t="s">
        <v>21</v>
      </c>
      <c r="K609" t="s">
        <v>1125</v>
      </c>
      <c r="M609" t="s">
        <v>23</v>
      </c>
      <c r="N609" t="s">
        <v>24</v>
      </c>
      <c r="O609" t="s">
        <v>25</v>
      </c>
      <c r="P609" t="s">
        <v>26</v>
      </c>
      <c r="Q609" t="s">
        <v>40</v>
      </c>
      <c r="R609" t="s">
        <v>28</v>
      </c>
    </row>
    <row r="610" spans="1:18" ht="15" hidden="1">
      <c r="A610" s="2">
        <v>44560</v>
      </c>
      <c r="B610" s="25">
        <v>12</v>
      </c>
      <c r="C610" s="25">
        <v>2021</v>
      </c>
      <c r="D610" s="5">
        <v>26571.439999999999</v>
      </c>
      <c r="E610" t="s">
        <v>1126</v>
      </c>
      <c r="F610" t="s">
        <v>38</v>
      </c>
      <c r="G610" t="s">
        <v>39</v>
      </c>
      <c r="H610" t="s">
        <v>1127</v>
      </c>
      <c r="I610" t="s">
        <v>1128</v>
      </c>
      <c r="J610" t="s">
        <v>21</v>
      </c>
      <c r="K610" t="s">
        <v>1142</v>
      </c>
      <c r="M610" t="s">
        <v>23</v>
      </c>
      <c r="N610" t="s">
        <v>24</v>
      </c>
      <c r="O610" t="s">
        <v>25</v>
      </c>
      <c r="P610" t="s">
        <v>26</v>
      </c>
      <c r="Q610" t="s">
        <v>40</v>
      </c>
      <c r="R610" t="s">
        <v>28</v>
      </c>
    </row>
    <row r="611" spans="1:18" ht="15" hidden="1">
      <c r="A611" s="2">
        <v>44201</v>
      </c>
      <c r="B611">
        <v>1</v>
      </c>
      <c r="C611">
        <v>2021</v>
      </c>
      <c r="D611" s="5">
        <v>-260841.5</v>
      </c>
      <c r="E611" s="4" t="s">
        <v>73</v>
      </c>
      <c r="G611" t="s">
        <v>39</v>
      </c>
      <c r="H611" s="4" t="s">
        <v>75</v>
      </c>
      <c r="J611" s="4" t="s">
        <v>31</v>
      </c>
      <c r="K611" s="4" t="s">
        <v>72</v>
      </c>
      <c r="L611" s="4" t="s">
        <v>74</v>
      </c>
      <c r="M611" s="4" t="s">
        <v>23</v>
      </c>
      <c r="N611" s="4" t="s">
        <v>32</v>
      </c>
      <c r="O611" s="4" t="s">
        <v>28</v>
      </c>
      <c r="P611" s="4" t="s">
        <v>26</v>
      </c>
      <c r="Q611" s="4" t="s">
        <v>27</v>
      </c>
      <c r="R611" s="4" t="s">
        <v>28</v>
      </c>
    </row>
    <row r="612" spans="1:18" ht="15" hidden="1">
      <c r="A612" s="2">
        <v>44201</v>
      </c>
      <c r="B612">
        <v>1</v>
      </c>
      <c r="C612">
        <v>2021</v>
      </c>
      <c r="D612" s="5">
        <v>-306.04000000000002</v>
      </c>
      <c r="E612" s="4" t="s">
        <v>73</v>
      </c>
      <c r="G612" t="s">
        <v>39</v>
      </c>
      <c r="H612" s="4" t="s">
        <v>76</v>
      </c>
      <c r="J612" s="4" t="s">
        <v>31</v>
      </c>
      <c r="K612" s="4" t="s">
        <v>72</v>
      </c>
      <c r="L612" s="4" t="s">
        <v>74</v>
      </c>
      <c r="M612" s="4" t="s">
        <v>23</v>
      </c>
      <c r="N612" s="4" t="s">
        <v>32</v>
      </c>
      <c r="O612" s="4" t="s">
        <v>28</v>
      </c>
      <c r="P612" s="4" t="s">
        <v>26</v>
      </c>
      <c r="Q612" s="4" t="s">
        <v>27</v>
      </c>
      <c r="R612" s="4" t="s">
        <v>28</v>
      </c>
    </row>
    <row r="613" spans="1:18" ht="15" hidden="1">
      <c r="A613" s="2">
        <v>44201</v>
      </c>
      <c r="B613">
        <v>1</v>
      </c>
      <c r="C613">
        <v>2021</v>
      </c>
      <c r="D613" s="5">
        <v>-2518.8299999999999</v>
      </c>
      <c r="E613" s="4" t="s">
        <v>73</v>
      </c>
      <c r="G613" t="s">
        <v>37</v>
      </c>
      <c r="H613" s="4" t="s">
        <v>77</v>
      </c>
      <c r="J613" s="4" t="s">
        <v>31</v>
      </c>
      <c r="K613" s="4" t="s">
        <v>72</v>
      </c>
      <c r="L613" s="4" t="s">
        <v>74</v>
      </c>
      <c r="M613" s="4" t="s">
        <v>23</v>
      </c>
      <c r="N613" s="4" t="s">
        <v>32</v>
      </c>
      <c r="O613" s="4" t="s">
        <v>28</v>
      </c>
      <c r="P613" s="4" t="s">
        <v>26</v>
      </c>
      <c r="Q613" s="4" t="s">
        <v>27</v>
      </c>
      <c r="R613" s="4" t="s">
        <v>28</v>
      </c>
    </row>
    <row r="614" spans="1:18" ht="15" hidden="1">
      <c r="A614" s="2">
        <v>44201</v>
      </c>
      <c r="B614">
        <v>1</v>
      </c>
      <c r="C614">
        <v>2021</v>
      </c>
      <c r="D614" s="5">
        <v>-607171.59999999998</v>
      </c>
      <c r="E614" s="4" t="s">
        <v>73</v>
      </c>
      <c r="G614" t="s">
        <v>45</v>
      </c>
      <c r="H614" s="4" t="s">
        <v>87</v>
      </c>
      <c r="J614" s="4" t="s">
        <v>31</v>
      </c>
      <c r="K614" s="4" t="s">
        <v>72</v>
      </c>
      <c r="L614" s="4" t="s">
        <v>74</v>
      </c>
      <c r="M614" s="4" t="s">
        <v>23</v>
      </c>
      <c r="N614" s="4" t="s">
        <v>32</v>
      </c>
      <c r="O614" s="4" t="s">
        <v>28</v>
      </c>
      <c r="P614" s="4" t="s">
        <v>26</v>
      </c>
      <c r="Q614" s="4" t="s">
        <v>27</v>
      </c>
      <c r="R614" s="4" t="s">
        <v>28</v>
      </c>
    </row>
    <row r="615" spans="1:18" ht="15" hidden="1">
      <c r="A615" s="2">
        <v>44201</v>
      </c>
      <c r="B615">
        <v>1</v>
      </c>
      <c r="C615">
        <v>2021</v>
      </c>
      <c r="D615" s="5">
        <v>-38196.400000000001</v>
      </c>
      <c r="E615" s="4" t="s">
        <v>73</v>
      </c>
      <c r="G615" t="s">
        <v>42</v>
      </c>
      <c r="H615" s="4" t="s">
        <v>88</v>
      </c>
      <c r="J615" s="4" t="s">
        <v>31</v>
      </c>
      <c r="K615" s="4" t="s">
        <v>72</v>
      </c>
      <c r="L615" s="4" t="s">
        <v>74</v>
      </c>
      <c r="M615" s="4" t="s">
        <v>23</v>
      </c>
      <c r="N615" s="4" t="s">
        <v>32</v>
      </c>
      <c r="O615" s="4" t="s">
        <v>28</v>
      </c>
      <c r="P615" s="4" t="s">
        <v>43</v>
      </c>
      <c r="Q615" s="4" t="s">
        <v>27</v>
      </c>
      <c r="R615" s="4" t="s">
        <v>28</v>
      </c>
    </row>
    <row r="616" spans="1:18" ht="15" hidden="1">
      <c r="A616" s="2">
        <v>44201</v>
      </c>
      <c r="B616">
        <v>1</v>
      </c>
      <c r="C616">
        <v>2021</v>
      </c>
      <c r="D616" s="5">
        <v>-3932.7199999999998</v>
      </c>
      <c r="E616" s="4" t="s">
        <v>73</v>
      </c>
      <c r="G616" t="s">
        <v>30</v>
      </c>
      <c r="H616" s="4" t="s">
        <v>89</v>
      </c>
      <c r="J616" s="4" t="s">
        <v>31</v>
      </c>
      <c r="K616" s="4" t="s">
        <v>72</v>
      </c>
      <c r="L616" s="4" t="s">
        <v>74</v>
      </c>
      <c r="M616" s="4" t="s">
        <v>23</v>
      </c>
      <c r="N616" s="4" t="s">
        <v>32</v>
      </c>
      <c r="O616" s="4" t="s">
        <v>28</v>
      </c>
      <c r="P616" s="4" t="s">
        <v>26</v>
      </c>
      <c r="Q616" s="4" t="s">
        <v>27</v>
      </c>
      <c r="R616" s="4" t="s">
        <v>28</v>
      </c>
    </row>
    <row r="617" spans="1:18" ht="15" hidden="1">
      <c r="A617" s="2">
        <v>44201</v>
      </c>
      <c r="B617">
        <v>1</v>
      </c>
      <c r="C617">
        <v>2021</v>
      </c>
      <c r="D617" s="5">
        <v>-104549.06</v>
      </c>
      <c r="E617" s="4" t="s">
        <v>73</v>
      </c>
      <c r="G617" t="s">
        <v>39</v>
      </c>
      <c r="H617" s="4" t="s">
        <v>75</v>
      </c>
      <c r="J617" s="4" t="s">
        <v>21</v>
      </c>
      <c r="K617" s="4" t="s">
        <v>72</v>
      </c>
      <c r="L617" s="4" t="s">
        <v>74</v>
      </c>
      <c r="M617" s="4" t="s">
        <v>23</v>
      </c>
      <c r="N617" s="4" t="s">
        <v>24</v>
      </c>
      <c r="O617" s="4" t="s">
        <v>25</v>
      </c>
      <c r="P617" s="4" t="s">
        <v>26</v>
      </c>
      <c r="Q617" s="4" t="s">
        <v>40</v>
      </c>
      <c r="R617" s="4" t="s">
        <v>28</v>
      </c>
    </row>
    <row r="618" spans="1:18" ht="15" hidden="1">
      <c r="A618" s="2">
        <v>44201</v>
      </c>
      <c r="B618">
        <v>1</v>
      </c>
      <c r="C618">
        <v>2021</v>
      </c>
      <c r="D618" s="5">
        <v>-1.3999999999999999</v>
      </c>
      <c r="E618" s="4" t="s">
        <v>73</v>
      </c>
      <c r="G618" t="s">
        <v>39</v>
      </c>
      <c r="H618" s="4" t="s">
        <v>76</v>
      </c>
      <c r="J618" s="4" t="s">
        <v>21</v>
      </c>
      <c r="K618" s="4" t="s">
        <v>72</v>
      </c>
      <c r="L618" s="4" t="s">
        <v>74</v>
      </c>
      <c r="M618" s="4" t="s">
        <v>23</v>
      </c>
      <c r="N618" s="4" t="s">
        <v>24</v>
      </c>
      <c r="O618" s="4" t="s">
        <v>25</v>
      </c>
      <c r="P618" s="4" t="s">
        <v>26</v>
      </c>
      <c r="Q618" s="4" t="s">
        <v>40</v>
      </c>
      <c r="R618" s="4" t="s">
        <v>28</v>
      </c>
    </row>
    <row r="619" spans="1:18" ht="15" hidden="1">
      <c r="A619" s="2">
        <v>44201</v>
      </c>
      <c r="B619">
        <v>1</v>
      </c>
      <c r="C619">
        <v>2021</v>
      </c>
      <c r="D619" s="5">
        <v>-185.08000000000001</v>
      </c>
      <c r="E619" s="4" t="s">
        <v>73</v>
      </c>
      <c r="G619" t="s">
        <v>37</v>
      </c>
      <c r="H619" s="4" t="s">
        <v>77</v>
      </c>
      <c r="J619" s="4" t="s">
        <v>21</v>
      </c>
      <c r="K619" s="4" t="s">
        <v>72</v>
      </c>
      <c r="L619" s="4" t="s">
        <v>74</v>
      </c>
      <c r="M619" s="4" t="s">
        <v>23</v>
      </c>
      <c r="N619" s="4" t="s">
        <v>24</v>
      </c>
      <c r="O619" s="4" t="s">
        <v>25</v>
      </c>
      <c r="P619" s="4" t="s">
        <v>26</v>
      </c>
      <c r="Q619" s="4" t="s">
        <v>40</v>
      </c>
      <c r="R619" s="4" t="s">
        <v>28</v>
      </c>
    </row>
    <row r="620" spans="1:18" ht="15" hidden="1">
      <c r="A620" s="2">
        <v>44201</v>
      </c>
      <c r="B620">
        <v>1</v>
      </c>
      <c r="C620">
        <v>2021</v>
      </c>
      <c r="D620" s="5">
        <v>-218008.78</v>
      </c>
      <c r="E620" s="4" t="s">
        <v>73</v>
      </c>
      <c r="G620" t="s">
        <v>45</v>
      </c>
      <c r="H620" s="4" t="s">
        <v>87</v>
      </c>
      <c r="J620" s="4" t="s">
        <v>21</v>
      </c>
      <c r="K620" s="4" t="s">
        <v>72</v>
      </c>
      <c r="L620" s="4" t="s">
        <v>74</v>
      </c>
      <c r="M620" s="4" t="s">
        <v>23</v>
      </c>
      <c r="N620" s="4" t="s">
        <v>24</v>
      </c>
      <c r="O620" s="4" t="s">
        <v>25</v>
      </c>
      <c r="P620" s="4" t="s">
        <v>26</v>
      </c>
      <c r="Q620" s="4" t="s">
        <v>40</v>
      </c>
      <c r="R620" s="4" t="s">
        <v>28</v>
      </c>
    </row>
    <row r="621" spans="1:18" ht="15" hidden="1">
      <c r="A621" s="2">
        <v>44201</v>
      </c>
      <c r="B621">
        <v>1</v>
      </c>
      <c r="C621">
        <v>2021</v>
      </c>
      <c r="D621" s="5">
        <v>-6625.5799999999999</v>
      </c>
      <c r="E621" s="4" t="s">
        <v>73</v>
      </c>
      <c r="G621" t="s">
        <v>42</v>
      </c>
      <c r="H621" s="4" t="s">
        <v>88</v>
      </c>
      <c r="J621" s="4" t="s">
        <v>21</v>
      </c>
      <c r="K621" s="4" t="s">
        <v>72</v>
      </c>
      <c r="L621" s="4" t="s">
        <v>74</v>
      </c>
      <c r="M621" s="4" t="s">
        <v>23</v>
      </c>
      <c r="N621" s="4" t="s">
        <v>24</v>
      </c>
      <c r="O621" s="4" t="s">
        <v>25</v>
      </c>
      <c r="P621" s="4" t="s">
        <v>43</v>
      </c>
      <c r="Q621" s="4" t="s">
        <v>40</v>
      </c>
      <c r="R621" s="4" t="s">
        <v>28</v>
      </c>
    </row>
    <row r="622" spans="1:18" ht="15" hidden="1">
      <c r="A622" s="2">
        <v>44201</v>
      </c>
      <c r="B622">
        <v>1</v>
      </c>
      <c r="C622">
        <v>2021</v>
      </c>
      <c r="D622" s="5">
        <v>-1958.98</v>
      </c>
      <c r="E622" s="4" t="s">
        <v>73</v>
      </c>
      <c r="G622" t="s">
        <v>30</v>
      </c>
      <c r="H622" s="4" t="s">
        <v>89</v>
      </c>
      <c r="J622" s="4" t="s">
        <v>21</v>
      </c>
      <c r="K622" s="4" t="s">
        <v>72</v>
      </c>
      <c r="L622" s="4" t="s">
        <v>74</v>
      </c>
      <c r="M622" s="4" t="s">
        <v>23</v>
      </c>
      <c r="N622" s="4" t="s">
        <v>24</v>
      </c>
      <c r="O622" s="4" t="s">
        <v>25</v>
      </c>
      <c r="P622" s="4" t="s">
        <v>26</v>
      </c>
      <c r="Q622" s="4" t="s">
        <v>40</v>
      </c>
      <c r="R622" s="4" t="s">
        <v>28</v>
      </c>
    </row>
    <row r="623" spans="1:18" ht="15" hidden="1">
      <c r="A623" s="2">
        <v>44291</v>
      </c>
      <c r="B623">
        <v>3</v>
      </c>
      <c r="C623">
        <v>2021</v>
      </c>
      <c r="D623" s="5">
        <v>341244.09000000003</v>
      </c>
      <c r="E623" s="4" t="s">
        <v>73</v>
      </c>
      <c r="G623" t="s">
        <v>39</v>
      </c>
      <c r="H623" s="4" t="s">
        <v>78</v>
      </c>
      <c r="J623" s="4" t="s">
        <v>31</v>
      </c>
      <c r="K623" s="4" t="s">
        <v>72</v>
      </c>
      <c r="L623" s="4" t="s">
        <v>1570</v>
      </c>
      <c r="M623" s="4" t="s">
        <v>23</v>
      </c>
      <c r="N623" s="4" t="s">
        <v>32</v>
      </c>
      <c r="O623" s="4" t="s">
        <v>28</v>
      </c>
      <c r="P623" s="4" t="s">
        <v>26</v>
      </c>
      <c r="Q623" s="4" t="s">
        <v>27</v>
      </c>
      <c r="R623" s="4" t="s">
        <v>28</v>
      </c>
    </row>
    <row r="624" spans="1:18" ht="15" hidden="1">
      <c r="A624" s="2">
        <v>44291</v>
      </c>
      <c r="B624">
        <v>3</v>
      </c>
      <c r="C624">
        <v>2021</v>
      </c>
      <c r="D624" s="5">
        <v>3847.5999999999999</v>
      </c>
      <c r="E624" s="4" t="s">
        <v>73</v>
      </c>
      <c r="G624" t="s">
        <v>39</v>
      </c>
      <c r="H624" s="4" t="s">
        <v>79</v>
      </c>
      <c r="J624" s="4" t="s">
        <v>31</v>
      </c>
      <c r="K624" s="4" t="s">
        <v>72</v>
      </c>
      <c r="L624" s="4" t="s">
        <v>1570</v>
      </c>
      <c r="M624" s="4" t="s">
        <v>23</v>
      </c>
      <c r="N624" s="4" t="s">
        <v>32</v>
      </c>
      <c r="O624" s="4" t="s">
        <v>28</v>
      </c>
      <c r="P624" s="4" t="s">
        <v>26</v>
      </c>
      <c r="Q624" s="4" t="s">
        <v>27</v>
      </c>
      <c r="R624" s="4" t="s">
        <v>28</v>
      </c>
    </row>
    <row r="625" spans="1:18" ht="15" hidden="1">
      <c r="A625" s="2">
        <v>44291</v>
      </c>
      <c r="B625">
        <v>3</v>
      </c>
      <c r="C625">
        <v>2021</v>
      </c>
      <c r="D625" s="5">
        <v>1406.8900000000001</v>
      </c>
      <c r="E625" s="4" t="s">
        <v>73</v>
      </c>
      <c r="G625" t="s">
        <v>37</v>
      </c>
      <c r="H625" s="4" t="s">
        <v>80</v>
      </c>
      <c r="J625" s="4" t="s">
        <v>31</v>
      </c>
      <c r="K625" s="4" t="s">
        <v>72</v>
      </c>
      <c r="L625" s="4" t="s">
        <v>1570</v>
      </c>
      <c r="M625" s="4" t="s">
        <v>23</v>
      </c>
      <c r="N625" s="4" t="s">
        <v>32</v>
      </c>
      <c r="O625" s="4" t="s">
        <v>28</v>
      </c>
      <c r="P625" s="4" t="s">
        <v>26</v>
      </c>
      <c r="Q625" s="4" t="s">
        <v>27</v>
      </c>
      <c r="R625" s="4" t="s">
        <v>28</v>
      </c>
    </row>
    <row r="626" spans="1:18" ht="15" hidden="1">
      <c r="A626" s="2">
        <v>44291</v>
      </c>
      <c r="B626">
        <v>3</v>
      </c>
      <c r="C626">
        <v>2021</v>
      </c>
      <c r="D626" s="5">
        <v>722306.59999999998</v>
      </c>
      <c r="E626" s="4" t="s">
        <v>73</v>
      </c>
      <c r="G626" t="s">
        <v>45</v>
      </c>
      <c r="H626" s="4" t="s">
        <v>1565</v>
      </c>
      <c r="J626" s="4" t="s">
        <v>31</v>
      </c>
      <c r="K626" s="4" t="s">
        <v>72</v>
      </c>
      <c r="L626" s="4" t="s">
        <v>1570</v>
      </c>
      <c r="M626" s="4" t="s">
        <v>23</v>
      </c>
      <c r="N626" s="4" t="s">
        <v>32</v>
      </c>
      <c r="O626" s="4" t="s">
        <v>28</v>
      </c>
      <c r="P626" s="4" t="s">
        <v>26</v>
      </c>
      <c r="Q626" s="4" t="s">
        <v>27</v>
      </c>
      <c r="R626" s="4" t="s">
        <v>28</v>
      </c>
    </row>
    <row r="627" spans="1:18" ht="15" hidden="1">
      <c r="A627" s="2">
        <v>44291</v>
      </c>
      <c r="B627">
        <v>3</v>
      </c>
      <c r="C627">
        <v>2021</v>
      </c>
      <c r="D627" s="5">
        <v>59336.739999999998</v>
      </c>
      <c r="E627" s="4" t="s">
        <v>73</v>
      </c>
      <c r="G627" t="s">
        <v>42</v>
      </c>
      <c r="H627" s="4" t="s">
        <v>1566</v>
      </c>
      <c r="J627" s="4" t="s">
        <v>31</v>
      </c>
      <c r="K627" s="4" t="s">
        <v>72</v>
      </c>
      <c r="L627" s="4" t="s">
        <v>1570</v>
      </c>
      <c r="M627" s="4" t="s">
        <v>23</v>
      </c>
      <c r="N627" s="4" t="s">
        <v>32</v>
      </c>
      <c r="O627" s="4" t="s">
        <v>28</v>
      </c>
      <c r="P627" s="4" t="s">
        <v>43</v>
      </c>
      <c r="Q627" s="4" t="s">
        <v>27</v>
      </c>
      <c r="R627" s="4" t="s">
        <v>28</v>
      </c>
    </row>
    <row r="628" spans="1:18" ht="15" hidden="1">
      <c r="A628" s="2">
        <v>44291</v>
      </c>
      <c r="B628">
        <v>3</v>
      </c>
      <c r="C628">
        <v>2021</v>
      </c>
      <c r="D628" s="5">
        <v>3091.4699999999998</v>
      </c>
      <c r="E628" s="4" t="s">
        <v>73</v>
      </c>
      <c r="G628" t="s">
        <v>30</v>
      </c>
      <c r="H628" s="4" t="s">
        <v>1567</v>
      </c>
      <c r="J628" s="4" t="s">
        <v>31</v>
      </c>
      <c r="K628" s="4" t="s">
        <v>72</v>
      </c>
      <c r="L628" s="4" t="s">
        <v>1570</v>
      </c>
      <c r="M628" s="4" t="s">
        <v>23</v>
      </c>
      <c r="N628" s="4" t="s">
        <v>32</v>
      </c>
      <c r="O628" s="4" t="s">
        <v>28</v>
      </c>
      <c r="P628" s="4" t="s">
        <v>26</v>
      </c>
      <c r="Q628" s="4" t="s">
        <v>27</v>
      </c>
      <c r="R628" s="4" t="s">
        <v>28</v>
      </c>
    </row>
    <row r="629" spans="1:18" ht="15" hidden="1">
      <c r="A629" s="2">
        <v>44291</v>
      </c>
      <c r="B629">
        <v>3</v>
      </c>
      <c r="C629">
        <v>2021</v>
      </c>
      <c r="D629" s="5">
        <v>37410.660000000003</v>
      </c>
      <c r="E629" s="4" t="s">
        <v>73</v>
      </c>
      <c r="G629" t="s">
        <v>39</v>
      </c>
      <c r="H629" s="4" t="s">
        <v>78</v>
      </c>
      <c r="J629" s="4" t="s">
        <v>21</v>
      </c>
      <c r="K629" s="4" t="s">
        <v>72</v>
      </c>
      <c r="L629" s="4" t="s">
        <v>1570</v>
      </c>
      <c r="M629" s="4" t="s">
        <v>23</v>
      </c>
      <c r="N629" s="4" t="s">
        <v>24</v>
      </c>
      <c r="O629" s="4" t="s">
        <v>25</v>
      </c>
      <c r="P629" s="4" t="s">
        <v>26</v>
      </c>
      <c r="Q629" s="4" t="s">
        <v>40</v>
      </c>
      <c r="R629" s="4" t="s">
        <v>28</v>
      </c>
    </row>
    <row r="630" spans="1:18" ht="15" hidden="1">
      <c r="A630" s="2">
        <v>44291</v>
      </c>
      <c r="B630">
        <v>3</v>
      </c>
      <c r="C630">
        <v>2021</v>
      </c>
      <c r="D630" s="5">
        <v>41.460000000000001</v>
      </c>
      <c r="E630" s="4" t="s">
        <v>73</v>
      </c>
      <c r="G630" t="s">
        <v>39</v>
      </c>
      <c r="H630" s="4" t="s">
        <v>79</v>
      </c>
      <c r="J630" s="4" t="s">
        <v>21</v>
      </c>
      <c r="K630" s="4" t="s">
        <v>72</v>
      </c>
      <c r="L630" s="4" t="s">
        <v>1570</v>
      </c>
      <c r="M630" s="4" t="s">
        <v>23</v>
      </c>
      <c r="N630" s="4" t="s">
        <v>24</v>
      </c>
      <c r="O630" s="4" t="s">
        <v>25</v>
      </c>
      <c r="P630" s="4" t="s">
        <v>26</v>
      </c>
      <c r="Q630" s="4" t="s">
        <v>40</v>
      </c>
      <c r="R630" s="4" t="s">
        <v>28</v>
      </c>
    </row>
    <row r="631" spans="1:18" ht="15" hidden="1">
      <c r="A631" s="2">
        <v>44291</v>
      </c>
      <c r="B631">
        <v>3</v>
      </c>
      <c r="C631">
        <v>2021</v>
      </c>
      <c r="D631" s="5">
        <v>184</v>
      </c>
      <c r="E631" s="4" t="s">
        <v>73</v>
      </c>
      <c r="G631" t="s">
        <v>37</v>
      </c>
      <c r="H631" s="4" t="s">
        <v>80</v>
      </c>
      <c r="J631" s="4" t="s">
        <v>21</v>
      </c>
      <c r="K631" s="4" t="s">
        <v>72</v>
      </c>
      <c r="L631" s="4" t="s">
        <v>1570</v>
      </c>
      <c r="M631" s="4" t="s">
        <v>23</v>
      </c>
      <c r="N631" s="4" t="s">
        <v>24</v>
      </c>
      <c r="O631" s="4" t="s">
        <v>25</v>
      </c>
      <c r="P631" s="4" t="s">
        <v>26</v>
      </c>
      <c r="Q631" s="4" t="s">
        <v>40</v>
      </c>
      <c r="R631" s="4" t="s">
        <v>28</v>
      </c>
    </row>
    <row r="632" spans="1:18" ht="15" hidden="1">
      <c r="A632" s="2">
        <v>44291</v>
      </c>
      <c r="B632">
        <v>3</v>
      </c>
      <c r="C632">
        <v>2021</v>
      </c>
      <c r="D632" s="5">
        <v>743088.77000000002</v>
      </c>
      <c r="E632" s="4" t="s">
        <v>73</v>
      </c>
      <c r="G632" t="s">
        <v>45</v>
      </c>
      <c r="H632" s="4" t="s">
        <v>1565</v>
      </c>
      <c r="J632" s="4" t="s">
        <v>21</v>
      </c>
      <c r="K632" s="4" t="s">
        <v>72</v>
      </c>
      <c r="L632" s="4" t="s">
        <v>1570</v>
      </c>
      <c r="M632" s="4" t="s">
        <v>23</v>
      </c>
      <c r="N632" s="4" t="s">
        <v>24</v>
      </c>
      <c r="O632" s="4" t="s">
        <v>25</v>
      </c>
      <c r="P632" s="4" t="s">
        <v>26</v>
      </c>
      <c r="Q632" s="4" t="s">
        <v>40</v>
      </c>
      <c r="R632" s="4" t="s">
        <v>28</v>
      </c>
    </row>
    <row r="633" spans="1:18" ht="15" hidden="1">
      <c r="A633" s="2">
        <v>44291</v>
      </c>
      <c r="B633">
        <v>3</v>
      </c>
      <c r="C633">
        <v>2021</v>
      </c>
      <c r="D633" s="5">
        <v>20107.889999999999</v>
      </c>
      <c r="E633" s="4" t="s">
        <v>73</v>
      </c>
      <c r="G633" t="s">
        <v>42</v>
      </c>
      <c r="H633" s="4" t="s">
        <v>1566</v>
      </c>
      <c r="J633" s="4" t="s">
        <v>21</v>
      </c>
      <c r="K633" s="4" t="s">
        <v>72</v>
      </c>
      <c r="L633" s="4" t="s">
        <v>1570</v>
      </c>
      <c r="M633" s="4" t="s">
        <v>23</v>
      </c>
      <c r="N633" s="4" t="s">
        <v>24</v>
      </c>
      <c r="O633" s="4" t="s">
        <v>25</v>
      </c>
      <c r="P633" s="4" t="s">
        <v>43</v>
      </c>
      <c r="Q633" s="4" t="s">
        <v>40</v>
      </c>
      <c r="R633" s="4" t="s">
        <v>28</v>
      </c>
    </row>
    <row r="634" spans="1:18" ht="15" hidden="1">
      <c r="A634" s="2">
        <v>44291</v>
      </c>
      <c r="B634">
        <v>3</v>
      </c>
      <c r="C634">
        <v>2021</v>
      </c>
      <c r="D634" s="5">
        <v>-274.23000000000002</v>
      </c>
      <c r="E634" s="4" t="s">
        <v>73</v>
      </c>
      <c r="G634" t="s">
        <v>30</v>
      </c>
      <c r="H634" s="4" t="s">
        <v>1567</v>
      </c>
      <c r="J634" s="4" t="s">
        <v>21</v>
      </c>
      <c r="K634" s="4" t="s">
        <v>72</v>
      </c>
      <c r="L634" s="4" t="s">
        <v>1570</v>
      </c>
      <c r="M634" s="4" t="s">
        <v>23</v>
      </c>
      <c r="N634" s="4" t="s">
        <v>24</v>
      </c>
      <c r="O634" s="4" t="s">
        <v>25</v>
      </c>
      <c r="P634" s="4" t="s">
        <v>26</v>
      </c>
      <c r="Q634" s="4" t="s">
        <v>40</v>
      </c>
      <c r="R634" s="4" t="s">
        <v>28</v>
      </c>
    </row>
    <row r="635" spans="1:18" ht="15" hidden="1">
      <c r="A635" s="2">
        <v>44291</v>
      </c>
      <c r="B635">
        <v>4</v>
      </c>
      <c r="C635">
        <v>2021</v>
      </c>
      <c r="D635" s="5">
        <v>-341244.09000000003</v>
      </c>
      <c r="E635" s="4" t="s">
        <v>73</v>
      </c>
      <c r="G635" t="s">
        <v>39</v>
      </c>
      <c r="H635" s="4" t="s">
        <v>78</v>
      </c>
      <c r="J635" s="4" t="s">
        <v>31</v>
      </c>
      <c r="K635" s="4" t="s">
        <v>72</v>
      </c>
      <c r="L635" s="4" t="s">
        <v>1570</v>
      </c>
      <c r="M635" s="4" t="s">
        <v>23</v>
      </c>
      <c r="N635" s="4" t="s">
        <v>32</v>
      </c>
      <c r="O635" s="4" t="s">
        <v>28</v>
      </c>
      <c r="P635" s="4" t="s">
        <v>26</v>
      </c>
      <c r="Q635" s="4" t="s">
        <v>27</v>
      </c>
      <c r="R635" s="4" t="s">
        <v>28</v>
      </c>
    </row>
    <row r="636" spans="1:18" ht="15" hidden="1">
      <c r="A636" s="2">
        <v>44291</v>
      </c>
      <c r="B636">
        <v>4</v>
      </c>
      <c r="C636">
        <v>2021</v>
      </c>
      <c r="D636" s="5">
        <v>-3847.5999999999999</v>
      </c>
      <c r="E636" s="4" t="s">
        <v>73</v>
      </c>
      <c r="G636" t="s">
        <v>39</v>
      </c>
      <c r="H636" s="4" t="s">
        <v>79</v>
      </c>
      <c r="J636" s="4" t="s">
        <v>31</v>
      </c>
      <c r="K636" s="4" t="s">
        <v>72</v>
      </c>
      <c r="L636" s="4" t="s">
        <v>1570</v>
      </c>
      <c r="M636" s="4" t="s">
        <v>23</v>
      </c>
      <c r="N636" s="4" t="s">
        <v>32</v>
      </c>
      <c r="O636" s="4" t="s">
        <v>28</v>
      </c>
      <c r="P636" s="4" t="s">
        <v>26</v>
      </c>
      <c r="Q636" s="4" t="s">
        <v>27</v>
      </c>
      <c r="R636" s="4" t="s">
        <v>28</v>
      </c>
    </row>
    <row r="637" spans="1:18" ht="15" hidden="1">
      <c r="A637" s="2">
        <v>44291</v>
      </c>
      <c r="B637">
        <v>4</v>
      </c>
      <c r="C637">
        <v>2021</v>
      </c>
      <c r="D637" s="5">
        <v>-1406.8900000000001</v>
      </c>
      <c r="E637" s="4" t="s">
        <v>73</v>
      </c>
      <c r="G637" t="s">
        <v>37</v>
      </c>
      <c r="H637" s="4" t="s">
        <v>80</v>
      </c>
      <c r="J637" s="4" t="s">
        <v>31</v>
      </c>
      <c r="K637" s="4" t="s">
        <v>72</v>
      </c>
      <c r="L637" s="4" t="s">
        <v>1570</v>
      </c>
      <c r="M637" s="4" t="s">
        <v>23</v>
      </c>
      <c r="N637" s="4" t="s">
        <v>32</v>
      </c>
      <c r="O637" s="4" t="s">
        <v>28</v>
      </c>
      <c r="P637" s="4" t="s">
        <v>26</v>
      </c>
      <c r="Q637" s="4" t="s">
        <v>27</v>
      </c>
      <c r="R637" s="4" t="s">
        <v>28</v>
      </c>
    </row>
    <row r="638" spans="1:18" ht="15" hidden="1">
      <c r="A638" s="2">
        <v>44291</v>
      </c>
      <c r="B638">
        <v>4</v>
      </c>
      <c r="C638">
        <v>2021</v>
      </c>
      <c r="D638" s="5">
        <v>-722306.59999999998</v>
      </c>
      <c r="E638" s="4" t="s">
        <v>73</v>
      </c>
      <c r="G638" t="s">
        <v>45</v>
      </c>
      <c r="H638" s="4" t="s">
        <v>1565</v>
      </c>
      <c r="J638" s="4" t="s">
        <v>31</v>
      </c>
      <c r="K638" s="4" t="s">
        <v>72</v>
      </c>
      <c r="L638" s="4" t="s">
        <v>1570</v>
      </c>
      <c r="M638" s="4" t="s">
        <v>23</v>
      </c>
      <c r="N638" s="4" t="s">
        <v>32</v>
      </c>
      <c r="O638" s="4" t="s">
        <v>28</v>
      </c>
      <c r="P638" s="4" t="s">
        <v>26</v>
      </c>
      <c r="Q638" s="4" t="s">
        <v>27</v>
      </c>
      <c r="R638" s="4" t="s">
        <v>28</v>
      </c>
    </row>
    <row r="639" spans="1:18" ht="15" hidden="1">
      <c r="A639" s="2">
        <v>44291</v>
      </c>
      <c r="B639">
        <v>4</v>
      </c>
      <c r="C639">
        <v>2021</v>
      </c>
      <c r="D639" s="5">
        <v>-59336.739999999998</v>
      </c>
      <c r="E639" s="4" t="s">
        <v>73</v>
      </c>
      <c r="G639" t="s">
        <v>42</v>
      </c>
      <c r="H639" s="4" t="s">
        <v>1566</v>
      </c>
      <c r="J639" s="4" t="s">
        <v>31</v>
      </c>
      <c r="K639" s="4" t="s">
        <v>72</v>
      </c>
      <c r="L639" s="4" t="s">
        <v>1570</v>
      </c>
      <c r="M639" s="4" t="s">
        <v>23</v>
      </c>
      <c r="N639" s="4" t="s">
        <v>32</v>
      </c>
      <c r="O639" s="4" t="s">
        <v>28</v>
      </c>
      <c r="P639" s="4" t="s">
        <v>43</v>
      </c>
      <c r="Q639" s="4" t="s">
        <v>27</v>
      </c>
      <c r="R639" s="4" t="s">
        <v>28</v>
      </c>
    </row>
    <row r="640" spans="1:18" ht="15" hidden="1">
      <c r="A640" s="2">
        <v>44291</v>
      </c>
      <c r="B640">
        <v>4</v>
      </c>
      <c r="C640">
        <v>2021</v>
      </c>
      <c r="D640" s="5">
        <v>-3091.4699999999998</v>
      </c>
      <c r="E640" s="4" t="s">
        <v>73</v>
      </c>
      <c r="G640" t="s">
        <v>30</v>
      </c>
      <c r="H640" s="4" t="s">
        <v>1567</v>
      </c>
      <c r="J640" s="4" t="s">
        <v>31</v>
      </c>
      <c r="K640" s="4" t="s">
        <v>72</v>
      </c>
      <c r="L640" s="4" t="s">
        <v>1570</v>
      </c>
      <c r="M640" s="4" t="s">
        <v>23</v>
      </c>
      <c r="N640" s="4" t="s">
        <v>32</v>
      </c>
      <c r="O640" s="4" t="s">
        <v>28</v>
      </c>
      <c r="P640" s="4" t="s">
        <v>26</v>
      </c>
      <c r="Q640" s="4" t="s">
        <v>27</v>
      </c>
      <c r="R640" s="4" t="s">
        <v>28</v>
      </c>
    </row>
    <row r="641" spans="1:18" ht="15" hidden="1">
      <c r="A641" s="2">
        <v>44291</v>
      </c>
      <c r="B641">
        <v>4</v>
      </c>
      <c r="C641">
        <v>2021</v>
      </c>
      <c r="D641" s="5">
        <v>-37410.660000000003</v>
      </c>
      <c r="E641" s="4" t="s">
        <v>73</v>
      </c>
      <c r="G641" t="s">
        <v>39</v>
      </c>
      <c r="H641" s="4" t="s">
        <v>78</v>
      </c>
      <c r="J641" s="4" t="s">
        <v>21</v>
      </c>
      <c r="K641" s="4" t="s">
        <v>72</v>
      </c>
      <c r="L641" s="4" t="s">
        <v>1570</v>
      </c>
      <c r="M641" s="4" t="s">
        <v>23</v>
      </c>
      <c r="N641" s="4" t="s">
        <v>24</v>
      </c>
      <c r="O641" s="4" t="s">
        <v>25</v>
      </c>
      <c r="P641" s="4" t="s">
        <v>26</v>
      </c>
      <c r="Q641" s="4" t="s">
        <v>40</v>
      </c>
      <c r="R641" s="4" t="s">
        <v>28</v>
      </c>
    </row>
    <row r="642" spans="1:18" ht="15" hidden="1">
      <c r="A642" s="2">
        <v>44291</v>
      </c>
      <c r="B642">
        <v>4</v>
      </c>
      <c r="C642">
        <v>2021</v>
      </c>
      <c r="D642" s="5">
        <v>-41.460000000000001</v>
      </c>
      <c r="E642" s="4" t="s">
        <v>73</v>
      </c>
      <c r="G642" t="s">
        <v>39</v>
      </c>
      <c r="H642" s="4" t="s">
        <v>79</v>
      </c>
      <c r="J642" s="4" t="s">
        <v>21</v>
      </c>
      <c r="K642" s="4" t="s">
        <v>72</v>
      </c>
      <c r="L642" s="4" t="s">
        <v>1570</v>
      </c>
      <c r="M642" s="4" t="s">
        <v>23</v>
      </c>
      <c r="N642" s="4" t="s">
        <v>24</v>
      </c>
      <c r="O642" s="4" t="s">
        <v>25</v>
      </c>
      <c r="P642" s="4" t="s">
        <v>26</v>
      </c>
      <c r="Q642" s="4" t="s">
        <v>40</v>
      </c>
      <c r="R642" s="4" t="s">
        <v>28</v>
      </c>
    </row>
    <row r="643" spans="1:18" ht="15" hidden="1">
      <c r="A643" s="2">
        <v>44291</v>
      </c>
      <c r="B643">
        <v>4</v>
      </c>
      <c r="C643">
        <v>2021</v>
      </c>
      <c r="D643" s="5">
        <v>-184</v>
      </c>
      <c r="E643" s="4" t="s">
        <v>73</v>
      </c>
      <c r="G643" t="s">
        <v>37</v>
      </c>
      <c r="H643" s="4" t="s">
        <v>80</v>
      </c>
      <c r="J643" s="4" t="s">
        <v>21</v>
      </c>
      <c r="K643" s="4" t="s">
        <v>72</v>
      </c>
      <c r="L643" s="4" t="s">
        <v>1570</v>
      </c>
      <c r="M643" s="4" t="s">
        <v>23</v>
      </c>
      <c r="N643" s="4" t="s">
        <v>24</v>
      </c>
      <c r="O643" s="4" t="s">
        <v>25</v>
      </c>
      <c r="P643" s="4" t="s">
        <v>26</v>
      </c>
      <c r="Q643" s="4" t="s">
        <v>40</v>
      </c>
      <c r="R643" s="4" t="s">
        <v>28</v>
      </c>
    </row>
    <row r="644" spans="1:18" ht="15" hidden="1">
      <c r="A644" s="2">
        <v>44291</v>
      </c>
      <c r="B644">
        <v>4</v>
      </c>
      <c r="C644">
        <v>2021</v>
      </c>
      <c r="D644" s="5">
        <v>-743088.77000000002</v>
      </c>
      <c r="E644" s="4" t="s">
        <v>73</v>
      </c>
      <c r="G644" t="s">
        <v>45</v>
      </c>
      <c r="H644" s="4" t="s">
        <v>1565</v>
      </c>
      <c r="J644" s="4" t="s">
        <v>21</v>
      </c>
      <c r="K644" s="4" t="s">
        <v>72</v>
      </c>
      <c r="L644" s="4" t="s">
        <v>1570</v>
      </c>
      <c r="M644" s="4" t="s">
        <v>23</v>
      </c>
      <c r="N644" s="4" t="s">
        <v>24</v>
      </c>
      <c r="O644" s="4" t="s">
        <v>25</v>
      </c>
      <c r="P644" s="4" t="s">
        <v>26</v>
      </c>
      <c r="Q644" s="4" t="s">
        <v>40</v>
      </c>
      <c r="R644" s="4" t="s">
        <v>28</v>
      </c>
    </row>
    <row r="645" spans="1:18" ht="15" hidden="1">
      <c r="A645" s="2">
        <v>44291</v>
      </c>
      <c r="B645">
        <v>4</v>
      </c>
      <c r="C645">
        <v>2021</v>
      </c>
      <c r="D645" s="5">
        <v>-20107.889999999999</v>
      </c>
      <c r="E645" s="4" t="s">
        <v>73</v>
      </c>
      <c r="G645" t="s">
        <v>42</v>
      </c>
      <c r="H645" s="4" t="s">
        <v>1566</v>
      </c>
      <c r="J645" s="4" t="s">
        <v>21</v>
      </c>
      <c r="K645" s="4" t="s">
        <v>72</v>
      </c>
      <c r="L645" s="4" t="s">
        <v>1570</v>
      </c>
      <c r="M645" s="4" t="s">
        <v>23</v>
      </c>
      <c r="N645" s="4" t="s">
        <v>24</v>
      </c>
      <c r="O645" s="4" t="s">
        <v>25</v>
      </c>
      <c r="P645" s="4" t="s">
        <v>43</v>
      </c>
      <c r="Q645" s="4" t="s">
        <v>40</v>
      </c>
      <c r="R645" s="4" t="s">
        <v>28</v>
      </c>
    </row>
    <row r="646" spans="1:18" ht="15" hidden="1">
      <c r="A646" s="2">
        <v>44291</v>
      </c>
      <c r="B646">
        <v>4</v>
      </c>
      <c r="C646">
        <v>2021</v>
      </c>
      <c r="D646" s="5">
        <v>274.23000000000002</v>
      </c>
      <c r="E646" s="4" t="s">
        <v>73</v>
      </c>
      <c r="G646" t="s">
        <v>30</v>
      </c>
      <c r="H646" s="4" t="s">
        <v>1567</v>
      </c>
      <c r="J646" s="4" t="s">
        <v>21</v>
      </c>
      <c r="K646" s="4" t="s">
        <v>72</v>
      </c>
      <c r="L646" s="4" t="s">
        <v>1570</v>
      </c>
      <c r="M646" s="4" t="s">
        <v>23</v>
      </c>
      <c r="N646" s="4" t="s">
        <v>24</v>
      </c>
      <c r="O646" s="4" t="s">
        <v>25</v>
      </c>
      <c r="P646" s="4" t="s">
        <v>26</v>
      </c>
      <c r="Q646" s="4" t="s">
        <v>40</v>
      </c>
      <c r="R646" s="4" t="s">
        <v>28</v>
      </c>
    </row>
    <row r="647" spans="1:18" ht="15" hidden="1">
      <c r="A647" s="2">
        <v>44378</v>
      </c>
      <c r="B647">
        <v>6</v>
      </c>
      <c r="C647">
        <v>2021</v>
      </c>
      <c r="D647" s="5">
        <v>137248.89999999999</v>
      </c>
      <c r="E647" s="4" t="s">
        <v>73</v>
      </c>
      <c r="G647" t="s">
        <v>39</v>
      </c>
      <c r="H647" s="4" t="s">
        <v>81</v>
      </c>
      <c r="J647" s="4" t="s">
        <v>31</v>
      </c>
      <c r="K647" s="4" t="s">
        <v>72</v>
      </c>
      <c r="L647" s="4" t="s">
        <v>1571</v>
      </c>
      <c r="M647" s="4" t="s">
        <v>23</v>
      </c>
      <c r="N647" s="4" t="s">
        <v>32</v>
      </c>
      <c r="O647" s="4" t="s">
        <v>28</v>
      </c>
      <c r="P647" s="4" t="s">
        <v>26</v>
      </c>
      <c r="Q647" s="4" t="s">
        <v>27</v>
      </c>
      <c r="R647" s="4" t="s">
        <v>28</v>
      </c>
    </row>
    <row r="648" spans="1:18" ht="15" hidden="1">
      <c r="A648" s="2">
        <v>44378</v>
      </c>
      <c r="B648">
        <v>6</v>
      </c>
      <c r="C648">
        <v>2021</v>
      </c>
      <c r="D648" s="5">
        <v>121.7</v>
      </c>
      <c r="E648" s="4" t="s">
        <v>73</v>
      </c>
      <c r="G648" t="s">
        <v>39</v>
      </c>
      <c r="H648" s="4" t="s">
        <v>83</v>
      </c>
      <c r="J648" s="4" t="s">
        <v>31</v>
      </c>
      <c r="K648" s="4" t="s">
        <v>72</v>
      </c>
      <c r="L648" s="4" t="s">
        <v>1571</v>
      </c>
      <c r="M648" s="4" t="s">
        <v>23</v>
      </c>
      <c r="N648" s="4" t="s">
        <v>32</v>
      </c>
      <c r="O648" s="4" t="s">
        <v>28</v>
      </c>
      <c r="P648" s="4" t="s">
        <v>26</v>
      </c>
      <c r="Q648" s="4" t="s">
        <v>27</v>
      </c>
      <c r="R648" s="4" t="s">
        <v>28</v>
      </c>
    </row>
    <row r="649" spans="1:18" ht="15" hidden="1">
      <c r="A649" s="2">
        <v>44378</v>
      </c>
      <c r="B649">
        <v>6</v>
      </c>
      <c r="C649">
        <v>2021</v>
      </c>
      <c r="D649" s="5">
        <v>1183.29</v>
      </c>
      <c r="E649" s="4" t="s">
        <v>73</v>
      </c>
      <c r="G649" t="s">
        <v>37</v>
      </c>
      <c r="H649" s="4" t="s">
        <v>82</v>
      </c>
      <c r="J649" s="4" t="s">
        <v>31</v>
      </c>
      <c r="K649" s="4" t="s">
        <v>72</v>
      </c>
      <c r="L649" s="4" t="s">
        <v>1571</v>
      </c>
      <c r="M649" s="4" t="s">
        <v>23</v>
      </c>
      <c r="N649" s="4" t="s">
        <v>32</v>
      </c>
      <c r="O649" s="4" t="s">
        <v>28</v>
      </c>
      <c r="P649" s="4" t="s">
        <v>26</v>
      </c>
      <c r="Q649" s="4" t="s">
        <v>27</v>
      </c>
      <c r="R649" s="4" t="s">
        <v>28</v>
      </c>
    </row>
    <row r="650" spans="1:18" ht="15" hidden="1">
      <c r="A650" s="2">
        <v>44378</v>
      </c>
      <c r="B650">
        <v>6</v>
      </c>
      <c r="C650">
        <v>2021</v>
      </c>
      <c r="D650" s="5">
        <v>44489.580000000002</v>
      </c>
      <c r="E650" s="4" t="s">
        <v>73</v>
      </c>
      <c r="G650" t="s">
        <v>39</v>
      </c>
      <c r="H650" s="4" t="s">
        <v>81</v>
      </c>
      <c r="J650" s="4" t="s">
        <v>21</v>
      </c>
      <c r="K650" s="4" t="s">
        <v>72</v>
      </c>
      <c r="L650" s="4" t="s">
        <v>1571</v>
      </c>
      <c r="M650" s="4" t="s">
        <v>23</v>
      </c>
      <c r="N650" s="4" t="s">
        <v>24</v>
      </c>
      <c r="O650" s="4" t="s">
        <v>25</v>
      </c>
      <c r="P650" s="4" t="s">
        <v>26</v>
      </c>
      <c r="Q650" s="4" t="s">
        <v>40</v>
      </c>
      <c r="R650" s="4" t="s">
        <v>28</v>
      </c>
    </row>
    <row r="651" spans="1:18" ht="15" hidden="1">
      <c r="A651" s="2">
        <v>44378</v>
      </c>
      <c r="B651">
        <v>6</v>
      </c>
      <c r="C651">
        <v>2021</v>
      </c>
      <c r="D651" s="5">
        <v>3.96</v>
      </c>
      <c r="E651" s="4" t="s">
        <v>73</v>
      </c>
      <c r="G651" t="s">
        <v>39</v>
      </c>
      <c r="H651" s="4" t="s">
        <v>83</v>
      </c>
      <c r="J651" s="4" t="s">
        <v>21</v>
      </c>
      <c r="K651" s="4" t="s">
        <v>72</v>
      </c>
      <c r="L651" s="4" t="s">
        <v>1571</v>
      </c>
      <c r="M651" s="4" t="s">
        <v>23</v>
      </c>
      <c r="N651" s="4" t="s">
        <v>24</v>
      </c>
      <c r="O651" s="4" t="s">
        <v>25</v>
      </c>
      <c r="P651" s="4" t="s">
        <v>26</v>
      </c>
      <c r="Q651" s="4" t="s">
        <v>40</v>
      </c>
      <c r="R651" s="4" t="s">
        <v>28</v>
      </c>
    </row>
    <row r="652" spans="1:18" ht="15" hidden="1">
      <c r="A652" s="2">
        <v>44378</v>
      </c>
      <c r="B652">
        <v>6</v>
      </c>
      <c r="C652">
        <v>2021</v>
      </c>
      <c r="D652" s="5">
        <v>349.29000000000002</v>
      </c>
      <c r="E652" s="4" t="s">
        <v>73</v>
      </c>
      <c r="G652" t="s">
        <v>37</v>
      </c>
      <c r="H652" s="4" t="s">
        <v>82</v>
      </c>
      <c r="J652" s="4" t="s">
        <v>21</v>
      </c>
      <c r="K652" s="4" t="s">
        <v>72</v>
      </c>
      <c r="L652" s="4" t="s">
        <v>1571</v>
      </c>
      <c r="M652" s="4" t="s">
        <v>23</v>
      </c>
      <c r="N652" s="4" t="s">
        <v>24</v>
      </c>
      <c r="O652" s="4" t="s">
        <v>25</v>
      </c>
      <c r="P652" s="4" t="s">
        <v>26</v>
      </c>
      <c r="Q652" s="4" t="s">
        <v>40</v>
      </c>
      <c r="R652" s="4" t="s">
        <v>28</v>
      </c>
    </row>
    <row r="653" spans="1:18" ht="15" hidden="1">
      <c r="A653" s="2">
        <v>44378</v>
      </c>
      <c r="B653">
        <v>7</v>
      </c>
      <c r="C653">
        <v>2021</v>
      </c>
      <c r="D653" s="5">
        <v>-137248.89999999999</v>
      </c>
      <c r="E653" s="4" t="s">
        <v>73</v>
      </c>
      <c r="G653" t="s">
        <v>39</v>
      </c>
      <c r="H653" s="4" t="s">
        <v>81</v>
      </c>
      <c r="J653" s="4" t="s">
        <v>31</v>
      </c>
      <c r="K653" s="4" t="s">
        <v>72</v>
      </c>
      <c r="L653" s="4" t="s">
        <v>1571</v>
      </c>
      <c r="M653" s="4" t="s">
        <v>23</v>
      </c>
      <c r="N653" s="4" t="s">
        <v>32</v>
      </c>
      <c r="O653" s="4" t="s">
        <v>28</v>
      </c>
      <c r="P653" s="4" t="s">
        <v>26</v>
      </c>
      <c r="Q653" s="4" t="s">
        <v>27</v>
      </c>
      <c r="R653" s="4" t="s">
        <v>28</v>
      </c>
    </row>
    <row r="654" spans="1:18" ht="15" hidden="1">
      <c r="A654" s="2">
        <v>44378</v>
      </c>
      <c r="B654">
        <v>7</v>
      </c>
      <c r="C654">
        <v>2021</v>
      </c>
      <c r="D654" s="5">
        <v>-121.7</v>
      </c>
      <c r="E654" s="4" t="s">
        <v>73</v>
      </c>
      <c r="G654" t="s">
        <v>39</v>
      </c>
      <c r="H654" s="4" t="s">
        <v>83</v>
      </c>
      <c r="J654" s="4" t="s">
        <v>31</v>
      </c>
      <c r="K654" s="4" t="s">
        <v>72</v>
      </c>
      <c r="L654" s="4" t="s">
        <v>1571</v>
      </c>
      <c r="M654" s="4" t="s">
        <v>23</v>
      </c>
      <c r="N654" s="4" t="s">
        <v>32</v>
      </c>
      <c r="O654" s="4" t="s">
        <v>28</v>
      </c>
      <c r="P654" s="4" t="s">
        <v>26</v>
      </c>
      <c r="Q654" s="4" t="s">
        <v>27</v>
      </c>
      <c r="R654" s="4" t="s">
        <v>28</v>
      </c>
    </row>
    <row r="655" spans="1:18" ht="15" hidden="1">
      <c r="A655" s="2">
        <v>44378</v>
      </c>
      <c r="B655">
        <v>7</v>
      </c>
      <c r="C655">
        <v>2021</v>
      </c>
      <c r="D655" s="5">
        <v>-1183.29</v>
      </c>
      <c r="E655" s="4" t="s">
        <v>73</v>
      </c>
      <c r="G655" t="s">
        <v>37</v>
      </c>
      <c r="H655" s="4" t="s">
        <v>82</v>
      </c>
      <c r="J655" s="4" t="s">
        <v>31</v>
      </c>
      <c r="K655" s="4" t="s">
        <v>72</v>
      </c>
      <c r="L655" s="4" t="s">
        <v>1571</v>
      </c>
      <c r="M655" s="4" t="s">
        <v>23</v>
      </c>
      <c r="N655" s="4" t="s">
        <v>32</v>
      </c>
      <c r="O655" s="4" t="s">
        <v>28</v>
      </c>
      <c r="P655" s="4" t="s">
        <v>26</v>
      </c>
      <c r="Q655" s="4" t="s">
        <v>27</v>
      </c>
      <c r="R655" s="4" t="s">
        <v>28</v>
      </c>
    </row>
    <row r="656" spans="1:18" ht="15" hidden="1">
      <c r="A656" s="2">
        <v>44378</v>
      </c>
      <c r="B656">
        <v>7</v>
      </c>
      <c r="C656">
        <v>2021</v>
      </c>
      <c r="D656" s="5">
        <v>-44489.580000000002</v>
      </c>
      <c r="E656" s="4" t="s">
        <v>73</v>
      </c>
      <c r="G656" t="s">
        <v>39</v>
      </c>
      <c r="H656" s="4" t="s">
        <v>81</v>
      </c>
      <c r="J656" s="4" t="s">
        <v>21</v>
      </c>
      <c r="K656" s="4" t="s">
        <v>72</v>
      </c>
      <c r="L656" s="4" t="s">
        <v>1571</v>
      </c>
      <c r="M656" s="4" t="s">
        <v>23</v>
      </c>
      <c r="N656" s="4" t="s">
        <v>24</v>
      </c>
      <c r="O656" s="4" t="s">
        <v>25</v>
      </c>
      <c r="P656" s="4" t="s">
        <v>26</v>
      </c>
      <c r="Q656" s="4" t="s">
        <v>40</v>
      </c>
      <c r="R656" s="4" t="s">
        <v>28</v>
      </c>
    </row>
    <row r="657" spans="1:18" ht="15" hidden="1">
      <c r="A657" s="2">
        <v>44378</v>
      </c>
      <c r="B657">
        <v>7</v>
      </c>
      <c r="C657">
        <v>2021</v>
      </c>
      <c r="D657" s="5">
        <v>-3.96</v>
      </c>
      <c r="E657" s="4" t="s">
        <v>73</v>
      </c>
      <c r="G657" t="s">
        <v>39</v>
      </c>
      <c r="H657" s="4" t="s">
        <v>83</v>
      </c>
      <c r="J657" s="4" t="s">
        <v>21</v>
      </c>
      <c r="K657" s="4" t="s">
        <v>72</v>
      </c>
      <c r="L657" s="4" t="s">
        <v>1571</v>
      </c>
      <c r="M657" s="4" t="s">
        <v>23</v>
      </c>
      <c r="N657" s="4" t="s">
        <v>24</v>
      </c>
      <c r="O657" s="4" t="s">
        <v>25</v>
      </c>
      <c r="P657" s="4" t="s">
        <v>26</v>
      </c>
      <c r="Q657" s="4" t="s">
        <v>40</v>
      </c>
      <c r="R657" s="4" t="s">
        <v>28</v>
      </c>
    </row>
    <row r="658" spans="1:18" ht="15" hidden="1">
      <c r="A658" s="2">
        <v>44378</v>
      </c>
      <c r="B658">
        <v>7</v>
      </c>
      <c r="C658">
        <v>2021</v>
      </c>
      <c r="D658" s="5">
        <v>-349.29000000000002</v>
      </c>
      <c r="E658" s="4" t="s">
        <v>73</v>
      </c>
      <c r="G658" t="s">
        <v>37</v>
      </c>
      <c r="H658" s="4" t="s">
        <v>82</v>
      </c>
      <c r="J658" s="4" t="s">
        <v>21</v>
      </c>
      <c r="K658" s="4" t="s">
        <v>72</v>
      </c>
      <c r="L658" s="4" t="s">
        <v>1571</v>
      </c>
      <c r="M658" s="4" t="s">
        <v>23</v>
      </c>
      <c r="N658" s="4" t="s">
        <v>24</v>
      </c>
      <c r="O658" s="4" t="s">
        <v>25</v>
      </c>
      <c r="P658" s="4" t="s">
        <v>26</v>
      </c>
      <c r="Q658" s="4" t="s">
        <v>40</v>
      </c>
      <c r="R658" s="4" t="s">
        <v>28</v>
      </c>
    </row>
    <row r="659" spans="1:18" ht="15" hidden="1">
      <c r="A659" s="2">
        <v>44473</v>
      </c>
      <c r="B659" s="25">
        <v>9</v>
      </c>
      <c r="C659" s="25">
        <v>2021</v>
      </c>
      <c r="D659" s="5">
        <v>225247.60999999999</v>
      </c>
      <c r="E659" t="s">
        <v>73</v>
      </c>
      <c r="G659" t="s">
        <v>39</v>
      </c>
      <c r="H659" t="s">
        <v>84</v>
      </c>
      <c r="J659" t="s">
        <v>31</v>
      </c>
      <c r="K659" t="s">
        <v>72</v>
      </c>
      <c r="L659" t="s">
        <v>1572</v>
      </c>
      <c r="M659" t="s">
        <v>23</v>
      </c>
      <c r="N659" t="s">
        <v>32</v>
      </c>
      <c r="O659" t="s">
        <v>28</v>
      </c>
      <c r="P659" t="s">
        <v>26</v>
      </c>
      <c r="Q659" t="s">
        <v>27</v>
      </c>
      <c r="R659" t="s">
        <v>28</v>
      </c>
    </row>
    <row r="660" spans="1:18" ht="15" hidden="1">
      <c r="A660" s="2">
        <v>44473</v>
      </c>
      <c r="B660" s="25">
        <v>9</v>
      </c>
      <c r="C660" s="25">
        <v>2021</v>
      </c>
      <c r="D660" s="5">
        <v>2028.8399999999999</v>
      </c>
      <c r="E660" t="s">
        <v>73</v>
      </c>
      <c r="G660" t="s">
        <v>39</v>
      </c>
      <c r="H660" t="s">
        <v>85</v>
      </c>
      <c r="J660" t="s">
        <v>31</v>
      </c>
      <c r="K660" t="s">
        <v>72</v>
      </c>
      <c r="L660" t="s">
        <v>1572</v>
      </c>
      <c r="M660" t="s">
        <v>23</v>
      </c>
      <c r="N660" t="s">
        <v>32</v>
      </c>
      <c r="O660" t="s">
        <v>28</v>
      </c>
      <c r="P660" t="s">
        <v>26</v>
      </c>
      <c r="Q660" t="s">
        <v>27</v>
      </c>
      <c r="R660" t="s">
        <v>28</v>
      </c>
    </row>
    <row r="661" spans="1:18" ht="15" hidden="1">
      <c r="A661" s="2">
        <v>44473</v>
      </c>
      <c r="B661" s="25">
        <v>9</v>
      </c>
      <c r="C661" s="25">
        <v>2021</v>
      </c>
      <c r="D661" s="5">
        <v>7370.9099999999999</v>
      </c>
      <c r="E661" t="s">
        <v>73</v>
      </c>
      <c r="G661" t="s">
        <v>37</v>
      </c>
      <c r="H661" t="s">
        <v>86</v>
      </c>
      <c r="J661" t="s">
        <v>31</v>
      </c>
      <c r="K661" t="s">
        <v>72</v>
      </c>
      <c r="L661" t="s">
        <v>1572</v>
      </c>
      <c r="M661" t="s">
        <v>23</v>
      </c>
      <c r="N661" t="s">
        <v>32</v>
      </c>
      <c r="O661" t="s">
        <v>28</v>
      </c>
      <c r="P661" t="s">
        <v>26</v>
      </c>
      <c r="Q661" t="s">
        <v>27</v>
      </c>
      <c r="R661" t="s">
        <v>28</v>
      </c>
    </row>
    <row r="662" spans="1:18" ht="15" hidden="1">
      <c r="A662" s="2">
        <v>44473</v>
      </c>
      <c r="B662" s="25">
        <v>9</v>
      </c>
      <c r="C662" s="25">
        <v>2021</v>
      </c>
      <c r="D662" s="5">
        <v>661567.64000000001</v>
      </c>
      <c r="E662" t="s">
        <v>73</v>
      </c>
      <c r="G662" t="s">
        <v>45</v>
      </c>
      <c r="H662" t="s">
        <v>1568</v>
      </c>
      <c r="J662" t="s">
        <v>31</v>
      </c>
      <c r="K662" t="s">
        <v>72</v>
      </c>
      <c r="L662" t="s">
        <v>1572</v>
      </c>
      <c r="M662" t="s">
        <v>23</v>
      </c>
      <c r="N662" t="s">
        <v>32</v>
      </c>
      <c r="O662" t="s">
        <v>28</v>
      </c>
      <c r="P662" t="s">
        <v>26</v>
      </c>
      <c r="Q662" t="s">
        <v>27</v>
      </c>
      <c r="R662" t="s">
        <v>28</v>
      </c>
    </row>
    <row r="663" spans="1:18" ht="15" hidden="1">
      <c r="A663" s="2">
        <v>44473</v>
      </c>
      <c r="B663" s="25">
        <v>9</v>
      </c>
      <c r="C663" s="25">
        <v>2021</v>
      </c>
      <c r="D663" s="5">
        <v>70882.759999999995</v>
      </c>
      <c r="E663" t="s">
        <v>73</v>
      </c>
      <c r="G663" t="s">
        <v>42</v>
      </c>
      <c r="H663" t="s">
        <v>1569</v>
      </c>
      <c r="J663" t="s">
        <v>31</v>
      </c>
      <c r="K663" t="s">
        <v>72</v>
      </c>
      <c r="L663" t="s">
        <v>1572</v>
      </c>
      <c r="M663" t="s">
        <v>23</v>
      </c>
      <c r="N663" t="s">
        <v>32</v>
      </c>
      <c r="O663" t="s">
        <v>28</v>
      </c>
      <c r="P663" t="s">
        <v>43</v>
      </c>
      <c r="Q663" t="s">
        <v>27</v>
      </c>
      <c r="R663" t="s">
        <v>28</v>
      </c>
    </row>
    <row r="664" spans="1:18" ht="15" hidden="1">
      <c r="A664" s="2">
        <v>44473</v>
      </c>
      <c r="B664" s="25">
        <v>9</v>
      </c>
      <c r="C664" s="25">
        <v>2021</v>
      </c>
      <c r="D664" s="5">
        <v>27150.790000000001</v>
      </c>
      <c r="E664" t="s">
        <v>73</v>
      </c>
      <c r="G664" t="s">
        <v>39</v>
      </c>
      <c r="H664" t="s">
        <v>84</v>
      </c>
      <c r="J664" t="s">
        <v>21</v>
      </c>
      <c r="K664" t="s">
        <v>72</v>
      </c>
      <c r="L664" t="s">
        <v>1572</v>
      </c>
      <c r="M664" t="s">
        <v>23</v>
      </c>
      <c r="N664" t="s">
        <v>24</v>
      </c>
      <c r="O664" t="s">
        <v>25</v>
      </c>
      <c r="P664" t="s">
        <v>26</v>
      </c>
      <c r="Q664" t="s">
        <v>40</v>
      </c>
      <c r="R664" t="s">
        <v>28</v>
      </c>
    </row>
    <row r="665" spans="1:18" ht="15" hidden="1">
      <c r="A665" s="2">
        <v>44473</v>
      </c>
      <c r="B665" s="25">
        <v>9</v>
      </c>
      <c r="C665" s="25">
        <v>2021</v>
      </c>
      <c r="D665" s="5">
        <v>26.129999999999999</v>
      </c>
      <c r="E665" t="s">
        <v>73</v>
      </c>
      <c r="G665" t="s">
        <v>39</v>
      </c>
      <c r="H665" t="s">
        <v>85</v>
      </c>
      <c r="J665" t="s">
        <v>21</v>
      </c>
      <c r="K665" t="s">
        <v>72</v>
      </c>
      <c r="L665" t="s">
        <v>1572</v>
      </c>
      <c r="M665" t="s">
        <v>23</v>
      </c>
      <c r="N665" t="s">
        <v>24</v>
      </c>
      <c r="O665" t="s">
        <v>25</v>
      </c>
      <c r="P665" t="s">
        <v>26</v>
      </c>
      <c r="Q665" t="s">
        <v>40</v>
      </c>
      <c r="R665" t="s">
        <v>28</v>
      </c>
    </row>
    <row r="666" spans="1:18" ht="15" hidden="1">
      <c r="A666" s="2">
        <v>44473</v>
      </c>
      <c r="B666" s="25">
        <v>9</v>
      </c>
      <c r="C666" s="25">
        <v>2021</v>
      </c>
      <c r="D666" s="5">
        <v>516.40999999999997</v>
      </c>
      <c r="E666" t="s">
        <v>73</v>
      </c>
      <c r="G666" t="s">
        <v>37</v>
      </c>
      <c r="H666" t="s">
        <v>86</v>
      </c>
      <c r="J666" t="s">
        <v>21</v>
      </c>
      <c r="K666" t="s">
        <v>72</v>
      </c>
      <c r="L666" t="s">
        <v>1572</v>
      </c>
      <c r="M666" t="s">
        <v>23</v>
      </c>
      <c r="N666" t="s">
        <v>24</v>
      </c>
      <c r="O666" t="s">
        <v>25</v>
      </c>
      <c r="P666" t="s">
        <v>26</v>
      </c>
      <c r="Q666" t="s">
        <v>40</v>
      </c>
      <c r="R666" t="s">
        <v>28</v>
      </c>
    </row>
    <row r="667" spans="1:18" ht="15" hidden="1">
      <c r="A667" s="2">
        <v>44473</v>
      </c>
      <c r="B667" s="25">
        <v>9</v>
      </c>
      <c r="C667" s="25">
        <v>2021</v>
      </c>
      <c r="D667" s="5">
        <v>143461.48999999999</v>
      </c>
      <c r="E667" t="s">
        <v>73</v>
      </c>
      <c r="G667" t="s">
        <v>45</v>
      </c>
      <c r="H667" t="s">
        <v>1568</v>
      </c>
      <c r="J667" t="s">
        <v>21</v>
      </c>
      <c r="K667" t="s">
        <v>72</v>
      </c>
      <c r="L667" t="s">
        <v>1572</v>
      </c>
      <c r="M667" t="s">
        <v>23</v>
      </c>
      <c r="N667" t="s">
        <v>24</v>
      </c>
      <c r="O667" t="s">
        <v>25</v>
      </c>
      <c r="P667" t="s">
        <v>26</v>
      </c>
      <c r="Q667" t="s">
        <v>40</v>
      </c>
      <c r="R667" t="s">
        <v>28</v>
      </c>
    </row>
    <row r="668" spans="1:18" ht="15" hidden="1">
      <c r="A668" s="2">
        <v>44473</v>
      </c>
      <c r="B668" s="25">
        <v>9</v>
      </c>
      <c r="C668" s="25">
        <v>2021</v>
      </c>
      <c r="D668" s="5">
        <v>23903</v>
      </c>
      <c r="E668" t="s">
        <v>73</v>
      </c>
      <c r="G668" t="s">
        <v>42</v>
      </c>
      <c r="H668" t="s">
        <v>1569</v>
      </c>
      <c r="J668" t="s">
        <v>21</v>
      </c>
      <c r="K668" t="s">
        <v>72</v>
      </c>
      <c r="L668" t="s">
        <v>1572</v>
      </c>
      <c r="M668" t="s">
        <v>23</v>
      </c>
      <c r="N668" t="s">
        <v>24</v>
      </c>
      <c r="O668" t="s">
        <v>25</v>
      </c>
      <c r="P668" t="s">
        <v>43</v>
      </c>
      <c r="Q668" t="s">
        <v>40</v>
      </c>
      <c r="R668" t="s">
        <v>28</v>
      </c>
    </row>
    <row r="669" spans="1:18" ht="15" hidden="1">
      <c r="A669" s="2">
        <v>44473</v>
      </c>
      <c r="B669" s="25">
        <v>10</v>
      </c>
      <c r="C669" s="25">
        <v>2021</v>
      </c>
      <c r="D669" s="5">
        <v>-225247.60999999999</v>
      </c>
      <c r="E669" t="s">
        <v>73</v>
      </c>
      <c r="G669" t="s">
        <v>39</v>
      </c>
      <c r="H669" t="s">
        <v>84</v>
      </c>
      <c r="J669" t="s">
        <v>31</v>
      </c>
      <c r="K669" t="s">
        <v>72</v>
      </c>
      <c r="L669" t="s">
        <v>1572</v>
      </c>
      <c r="M669" t="s">
        <v>23</v>
      </c>
      <c r="N669" t="s">
        <v>32</v>
      </c>
      <c r="O669" t="s">
        <v>28</v>
      </c>
      <c r="P669" t="s">
        <v>26</v>
      </c>
      <c r="Q669" t="s">
        <v>27</v>
      </c>
      <c r="R669" t="s">
        <v>28</v>
      </c>
    </row>
    <row r="670" spans="1:18" ht="15" hidden="1">
      <c r="A670" s="2">
        <v>44473</v>
      </c>
      <c r="B670" s="25">
        <v>10</v>
      </c>
      <c r="C670" s="25">
        <v>2021</v>
      </c>
      <c r="D670" s="5">
        <v>-2028.8399999999999</v>
      </c>
      <c r="E670" t="s">
        <v>73</v>
      </c>
      <c r="G670" t="s">
        <v>39</v>
      </c>
      <c r="H670" t="s">
        <v>85</v>
      </c>
      <c r="J670" t="s">
        <v>31</v>
      </c>
      <c r="K670" t="s">
        <v>72</v>
      </c>
      <c r="L670" t="s">
        <v>1572</v>
      </c>
      <c r="M670" t="s">
        <v>23</v>
      </c>
      <c r="N670" t="s">
        <v>32</v>
      </c>
      <c r="O670" t="s">
        <v>28</v>
      </c>
      <c r="P670" t="s">
        <v>26</v>
      </c>
      <c r="Q670" t="s">
        <v>27</v>
      </c>
      <c r="R670" t="s">
        <v>28</v>
      </c>
    </row>
    <row r="671" spans="1:18" ht="15" hidden="1">
      <c r="A671" s="2">
        <v>44473</v>
      </c>
      <c r="B671" s="25">
        <v>10</v>
      </c>
      <c r="C671" s="25">
        <v>2021</v>
      </c>
      <c r="D671" s="5">
        <v>-7370.9099999999999</v>
      </c>
      <c r="E671" t="s">
        <v>73</v>
      </c>
      <c r="G671" t="s">
        <v>37</v>
      </c>
      <c r="H671" t="s">
        <v>86</v>
      </c>
      <c r="J671" t="s">
        <v>31</v>
      </c>
      <c r="K671" t="s">
        <v>72</v>
      </c>
      <c r="L671" t="s">
        <v>1572</v>
      </c>
      <c r="M671" t="s">
        <v>23</v>
      </c>
      <c r="N671" t="s">
        <v>32</v>
      </c>
      <c r="O671" t="s">
        <v>28</v>
      </c>
      <c r="P671" t="s">
        <v>26</v>
      </c>
      <c r="Q671" t="s">
        <v>27</v>
      </c>
      <c r="R671" t="s">
        <v>28</v>
      </c>
    </row>
    <row r="672" spans="1:18" ht="15" hidden="1">
      <c r="A672" s="2">
        <v>44473</v>
      </c>
      <c r="B672" s="25">
        <v>10</v>
      </c>
      <c r="C672" s="25">
        <v>2021</v>
      </c>
      <c r="D672" s="5">
        <v>-661567.64000000001</v>
      </c>
      <c r="E672" t="s">
        <v>73</v>
      </c>
      <c r="G672" t="s">
        <v>45</v>
      </c>
      <c r="H672" t="s">
        <v>1568</v>
      </c>
      <c r="J672" t="s">
        <v>31</v>
      </c>
      <c r="K672" t="s">
        <v>72</v>
      </c>
      <c r="L672" t="s">
        <v>1572</v>
      </c>
      <c r="M672" t="s">
        <v>23</v>
      </c>
      <c r="N672" t="s">
        <v>32</v>
      </c>
      <c r="O672" t="s">
        <v>28</v>
      </c>
      <c r="P672" t="s">
        <v>26</v>
      </c>
      <c r="Q672" t="s">
        <v>27</v>
      </c>
      <c r="R672" t="s">
        <v>28</v>
      </c>
    </row>
    <row r="673" spans="1:18" ht="15" hidden="1">
      <c r="A673" s="2">
        <v>44473</v>
      </c>
      <c r="B673" s="25">
        <v>10</v>
      </c>
      <c r="C673" s="25">
        <v>2021</v>
      </c>
      <c r="D673" s="5">
        <v>-70882.759999999995</v>
      </c>
      <c r="E673" t="s">
        <v>73</v>
      </c>
      <c r="G673" t="s">
        <v>42</v>
      </c>
      <c r="H673" t="s">
        <v>1569</v>
      </c>
      <c r="J673" t="s">
        <v>31</v>
      </c>
      <c r="K673" t="s">
        <v>72</v>
      </c>
      <c r="L673" t="s">
        <v>1572</v>
      </c>
      <c r="M673" t="s">
        <v>23</v>
      </c>
      <c r="N673" t="s">
        <v>32</v>
      </c>
      <c r="O673" t="s">
        <v>28</v>
      </c>
      <c r="P673" t="s">
        <v>43</v>
      </c>
      <c r="Q673" t="s">
        <v>27</v>
      </c>
      <c r="R673" t="s">
        <v>28</v>
      </c>
    </row>
    <row r="674" spans="1:18" ht="15" hidden="1">
      <c r="A674" s="2">
        <v>44473</v>
      </c>
      <c r="B674" s="25">
        <v>10</v>
      </c>
      <c r="C674" s="25">
        <v>2021</v>
      </c>
      <c r="D674" s="5">
        <v>-27150.790000000001</v>
      </c>
      <c r="E674" t="s">
        <v>73</v>
      </c>
      <c r="G674" t="s">
        <v>39</v>
      </c>
      <c r="H674" t="s">
        <v>84</v>
      </c>
      <c r="J674" t="s">
        <v>21</v>
      </c>
      <c r="K674" t="s">
        <v>72</v>
      </c>
      <c r="L674" t="s">
        <v>1572</v>
      </c>
      <c r="M674" t="s">
        <v>23</v>
      </c>
      <c r="N674" t="s">
        <v>24</v>
      </c>
      <c r="O674" t="s">
        <v>25</v>
      </c>
      <c r="P674" t="s">
        <v>26</v>
      </c>
      <c r="Q674" t="s">
        <v>40</v>
      </c>
      <c r="R674" t="s">
        <v>28</v>
      </c>
    </row>
    <row r="675" spans="1:18" ht="15" hidden="1">
      <c r="A675" s="2">
        <v>44473</v>
      </c>
      <c r="B675" s="25">
        <v>10</v>
      </c>
      <c r="C675" s="25">
        <v>2021</v>
      </c>
      <c r="D675" s="5">
        <v>-26.129999999999999</v>
      </c>
      <c r="E675" t="s">
        <v>73</v>
      </c>
      <c r="G675" t="s">
        <v>39</v>
      </c>
      <c r="H675" t="s">
        <v>85</v>
      </c>
      <c r="J675" t="s">
        <v>21</v>
      </c>
      <c r="K675" t="s">
        <v>72</v>
      </c>
      <c r="L675" t="s">
        <v>1572</v>
      </c>
      <c r="M675" t="s">
        <v>23</v>
      </c>
      <c r="N675" t="s">
        <v>24</v>
      </c>
      <c r="O675" t="s">
        <v>25</v>
      </c>
      <c r="P675" t="s">
        <v>26</v>
      </c>
      <c r="Q675" t="s">
        <v>40</v>
      </c>
      <c r="R675" t="s">
        <v>28</v>
      </c>
    </row>
    <row r="676" spans="1:18" ht="15" hidden="1">
      <c r="A676" s="2">
        <v>44473</v>
      </c>
      <c r="B676" s="25">
        <v>10</v>
      </c>
      <c r="C676" s="25">
        <v>2021</v>
      </c>
      <c r="D676" s="5">
        <v>-516.40999999999997</v>
      </c>
      <c r="E676" t="s">
        <v>73</v>
      </c>
      <c r="G676" t="s">
        <v>37</v>
      </c>
      <c r="H676" t="s">
        <v>86</v>
      </c>
      <c r="J676" t="s">
        <v>21</v>
      </c>
      <c r="K676" t="s">
        <v>72</v>
      </c>
      <c r="L676" t="s">
        <v>1572</v>
      </c>
      <c r="M676" t="s">
        <v>23</v>
      </c>
      <c r="N676" t="s">
        <v>24</v>
      </c>
      <c r="O676" t="s">
        <v>25</v>
      </c>
      <c r="P676" t="s">
        <v>26</v>
      </c>
      <c r="Q676" t="s">
        <v>40</v>
      </c>
      <c r="R676" t="s">
        <v>28</v>
      </c>
    </row>
    <row r="677" spans="1:18" ht="15" hidden="1">
      <c r="A677" s="2">
        <v>44473</v>
      </c>
      <c r="B677" s="25">
        <v>10</v>
      </c>
      <c r="C677" s="25">
        <v>2021</v>
      </c>
      <c r="D677" s="5">
        <v>-143461.48999999999</v>
      </c>
      <c r="E677" t="s">
        <v>73</v>
      </c>
      <c r="G677" t="s">
        <v>45</v>
      </c>
      <c r="H677" t="s">
        <v>1568</v>
      </c>
      <c r="J677" t="s">
        <v>21</v>
      </c>
      <c r="K677" t="s">
        <v>72</v>
      </c>
      <c r="L677" t="s">
        <v>1572</v>
      </c>
      <c r="M677" t="s">
        <v>23</v>
      </c>
      <c r="N677" t="s">
        <v>24</v>
      </c>
      <c r="O677" t="s">
        <v>25</v>
      </c>
      <c r="P677" t="s">
        <v>26</v>
      </c>
      <c r="Q677" t="s">
        <v>40</v>
      </c>
      <c r="R677" t="s">
        <v>28</v>
      </c>
    </row>
    <row r="678" spans="1:18" ht="15" hidden="1">
      <c r="A678" s="2">
        <v>44473</v>
      </c>
      <c r="B678" s="25">
        <v>10</v>
      </c>
      <c r="C678" s="25">
        <v>2021</v>
      </c>
      <c r="D678" s="5">
        <v>-23903</v>
      </c>
      <c r="E678" t="s">
        <v>73</v>
      </c>
      <c r="G678" t="s">
        <v>42</v>
      </c>
      <c r="H678" t="s">
        <v>1569</v>
      </c>
      <c r="J678" t="s">
        <v>21</v>
      </c>
      <c r="K678" t="s">
        <v>72</v>
      </c>
      <c r="L678" t="s">
        <v>1572</v>
      </c>
      <c r="M678" t="s">
        <v>23</v>
      </c>
      <c r="N678" t="s">
        <v>24</v>
      </c>
      <c r="O678" t="s">
        <v>25</v>
      </c>
      <c r="P678" t="s">
        <v>43</v>
      </c>
      <c r="Q678" t="s">
        <v>40</v>
      </c>
      <c r="R678" t="s">
        <v>28</v>
      </c>
    </row>
    <row r="679" spans="1:18" ht="15" hidden="1">
      <c r="A679" s="2">
        <v>44566</v>
      </c>
      <c r="B679" s="25">
        <v>12</v>
      </c>
      <c r="C679" s="25">
        <v>2021</v>
      </c>
      <c r="D679" s="5">
        <v>233907.76999999999</v>
      </c>
      <c r="E679" t="s">
        <v>73</v>
      </c>
      <c r="G679" t="s">
        <v>39</v>
      </c>
      <c r="H679" t="s">
        <v>75</v>
      </c>
      <c r="J679" t="s">
        <v>31</v>
      </c>
      <c r="K679" t="s">
        <v>72</v>
      </c>
      <c r="L679" t="s">
        <v>1573</v>
      </c>
      <c r="M679" t="s">
        <v>23</v>
      </c>
      <c r="N679" t="s">
        <v>32</v>
      </c>
      <c r="O679" t="s">
        <v>28</v>
      </c>
      <c r="P679" t="s">
        <v>26</v>
      </c>
      <c r="Q679" t="s">
        <v>27</v>
      </c>
      <c r="R679" t="s">
        <v>28</v>
      </c>
    </row>
    <row r="680" spans="1:18" ht="15" hidden="1">
      <c r="A680" s="2">
        <v>44566</v>
      </c>
      <c r="B680" s="25">
        <v>12</v>
      </c>
      <c r="C680" s="25">
        <v>2021</v>
      </c>
      <c r="D680" s="5">
        <v>75.849999999999994</v>
      </c>
      <c r="E680" t="s">
        <v>73</v>
      </c>
      <c r="G680" t="s">
        <v>39</v>
      </c>
      <c r="H680" t="s">
        <v>76</v>
      </c>
      <c r="J680" t="s">
        <v>31</v>
      </c>
      <c r="K680" t="s">
        <v>72</v>
      </c>
      <c r="L680" t="s">
        <v>1573</v>
      </c>
      <c r="M680" t="s">
        <v>23</v>
      </c>
      <c r="N680" t="s">
        <v>32</v>
      </c>
      <c r="O680" t="s">
        <v>28</v>
      </c>
      <c r="P680" t="s">
        <v>26</v>
      </c>
      <c r="Q680" t="s">
        <v>27</v>
      </c>
      <c r="R680" t="s">
        <v>28</v>
      </c>
    </row>
    <row r="681" spans="1:18" ht="15" hidden="1">
      <c r="A681" s="2">
        <v>44566</v>
      </c>
      <c r="B681" s="25">
        <v>12</v>
      </c>
      <c r="C681" s="25">
        <v>2021</v>
      </c>
      <c r="D681" s="5">
        <v>811.10000000000002</v>
      </c>
      <c r="E681" t="s">
        <v>73</v>
      </c>
      <c r="G681" t="s">
        <v>37</v>
      </c>
      <c r="H681" t="s">
        <v>77</v>
      </c>
      <c r="J681" t="s">
        <v>31</v>
      </c>
      <c r="K681" t="s">
        <v>72</v>
      </c>
      <c r="L681" t="s">
        <v>1573</v>
      </c>
      <c r="M681" t="s">
        <v>23</v>
      </c>
      <c r="N681" t="s">
        <v>32</v>
      </c>
      <c r="O681" t="s">
        <v>28</v>
      </c>
      <c r="P681" t="s">
        <v>26</v>
      </c>
      <c r="Q681" t="s">
        <v>27</v>
      </c>
      <c r="R681" t="s">
        <v>28</v>
      </c>
    </row>
    <row r="682" spans="1:18" ht="15" hidden="1">
      <c r="A682" s="2">
        <v>44566</v>
      </c>
      <c r="B682" s="25">
        <v>12</v>
      </c>
      <c r="C682" s="25">
        <v>2021</v>
      </c>
      <c r="D682" s="5">
        <v>616121</v>
      </c>
      <c r="E682" t="s">
        <v>73</v>
      </c>
      <c r="G682" t="s">
        <v>45</v>
      </c>
      <c r="H682" t="s">
        <v>87</v>
      </c>
      <c r="J682" t="s">
        <v>31</v>
      </c>
      <c r="K682" t="s">
        <v>72</v>
      </c>
      <c r="L682" t="s">
        <v>1573</v>
      </c>
      <c r="M682" t="s">
        <v>23</v>
      </c>
      <c r="N682" t="s">
        <v>32</v>
      </c>
      <c r="O682" t="s">
        <v>28</v>
      </c>
      <c r="P682" t="s">
        <v>26</v>
      </c>
      <c r="Q682" t="s">
        <v>27</v>
      </c>
      <c r="R682" t="s">
        <v>28</v>
      </c>
    </row>
    <row r="683" spans="1:18" ht="15" hidden="1">
      <c r="A683" s="2">
        <v>44566</v>
      </c>
      <c r="B683" s="25">
        <v>12</v>
      </c>
      <c r="C683" s="25">
        <v>2021</v>
      </c>
      <c r="D683" s="5">
        <v>59320.800000000003</v>
      </c>
      <c r="E683" t="s">
        <v>73</v>
      </c>
      <c r="G683" t="s">
        <v>42</v>
      </c>
      <c r="H683" t="s">
        <v>88</v>
      </c>
      <c r="J683" t="s">
        <v>31</v>
      </c>
      <c r="K683" t="s">
        <v>72</v>
      </c>
      <c r="L683" t="s">
        <v>1573</v>
      </c>
      <c r="M683" t="s">
        <v>23</v>
      </c>
      <c r="N683" t="s">
        <v>32</v>
      </c>
      <c r="O683" t="s">
        <v>28</v>
      </c>
      <c r="P683" t="s">
        <v>43</v>
      </c>
      <c r="Q683" t="s">
        <v>27</v>
      </c>
      <c r="R683" t="s">
        <v>28</v>
      </c>
    </row>
    <row r="684" spans="1:18" ht="15" hidden="1">
      <c r="A684" s="2">
        <v>44566</v>
      </c>
      <c r="B684" s="25">
        <v>12</v>
      </c>
      <c r="C684" s="25">
        <v>2021</v>
      </c>
      <c r="D684" s="5">
        <v>1195.3399999999999</v>
      </c>
      <c r="E684" t="s">
        <v>73</v>
      </c>
      <c r="G684" t="s">
        <v>30</v>
      </c>
      <c r="H684" t="s">
        <v>89</v>
      </c>
      <c r="J684" t="s">
        <v>31</v>
      </c>
      <c r="K684" t="s">
        <v>72</v>
      </c>
      <c r="L684" t="s">
        <v>1573</v>
      </c>
      <c r="M684" t="s">
        <v>23</v>
      </c>
      <c r="N684" t="s">
        <v>32</v>
      </c>
      <c r="O684" t="s">
        <v>28</v>
      </c>
      <c r="P684" t="s">
        <v>26</v>
      </c>
      <c r="Q684" t="s">
        <v>27</v>
      </c>
      <c r="R684" t="s">
        <v>28</v>
      </c>
    </row>
    <row r="685" spans="1:18" ht="15" hidden="1">
      <c r="A685" s="2">
        <v>44566</v>
      </c>
      <c r="B685" s="25">
        <v>12</v>
      </c>
      <c r="C685" s="25">
        <v>2021</v>
      </c>
      <c r="D685" s="5">
        <v>75421.509999999995</v>
      </c>
      <c r="E685" t="s">
        <v>73</v>
      </c>
      <c r="G685" t="s">
        <v>39</v>
      </c>
      <c r="H685" t="s">
        <v>75</v>
      </c>
      <c r="J685" t="s">
        <v>21</v>
      </c>
      <c r="K685" t="s">
        <v>72</v>
      </c>
      <c r="L685" t="s">
        <v>1573</v>
      </c>
      <c r="M685" t="s">
        <v>23</v>
      </c>
      <c r="N685" t="s">
        <v>24</v>
      </c>
      <c r="O685" t="s">
        <v>25</v>
      </c>
      <c r="P685" t="s">
        <v>26</v>
      </c>
      <c r="Q685" t="s">
        <v>40</v>
      </c>
      <c r="R685" t="s">
        <v>28</v>
      </c>
    </row>
    <row r="686" spans="1:18" ht="15" hidden="1">
      <c r="A686" s="2">
        <v>44566</v>
      </c>
      <c r="B686" s="25">
        <v>12</v>
      </c>
      <c r="C686" s="25">
        <v>2021</v>
      </c>
      <c r="D686" s="5">
        <v>106.03</v>
      </c>
      <c r="E686" t="s">
        <v>73</v>
      </c>
      <c r="G686" t="s">
        <v>39</v>
      </c>
      <c r="H686" t="s">
        <v>76</v>
      </c>
      <c r="J686" t="s">
        <v>21</v>
      </c>
      <c r="K686" t="s">
        <v>72</v>
      </c>
      <c r="L686" t="s">
        <v>1573</v>
      </c>
      <c r="M686" t="s">
        <v>23</v>
      </c>
      <c r="N686" t="s">
        <v>24</v>
      </c>
      <c r="O686" t="s">
        <v>25</v>
      </c>
      <c r="P686" t="s">
        <v>26</v>
      </c>
      <c r="Q686" t="s">
        <v>40</v>
      </c>
      <c r="R686" t="s">
        <v>28</v>
      </c>
    </row>
    <row r="687" spans="1:18" ht="15" hidden="1">
      <c r="A687" s="2">
        <v>44566</v>
      </c>
      <c r="B687" s="25">
        <v>12</v>
      </c>
      <c r="C687" s="25">
        <v>2021</v>
      </c>
      <c r="D687" s="5">
        <v>708.00999999999999</v>
      </c>
      <c r="E687" t="s">
        <v>73</v>
      </c>
      <c r="G687" t="s">
        <v>37</v>
      </c>
      <c r="H687" t="s">
        <v>77</v>
      </c>
      <c r="J687" t="s">
        <v>21</v>
      </c>
      <c r="K687" t="s">
        <v>72</v>
      </c>
      <c r="L687" t="s">
        <v>1573</v>
      </c>
      <c r="M687" t="s">
        <v>23</v>
      </c>
      <c r="N687" t="s">
        <v>24</v>
      </c>
      <c r="O687" t="s">
        <v>25</v>
      </c>
      <c r="P687" t="s">
        <v>26</v>
      </c>
      <c r="Q687" t="s">
        <v>40</v>
      </c>
      <c r="R687" t="s">
        <v>28</v>
      </c>
    </row>
    <row r="688" spans="1:18" ht="15" hidden="1">
      <c r="A688" s="2">
        <v>44566</v>
      </c>
      <c r="B688" s="25">
        <v>12</v>
      </c>
      <c r="C688" s="25">
        <v>2021</v>
      </c>
      <c r="D688" s="5">
        <v>235810.42999999999</v>
      </c>
      <c r="E688" t="s">
        <v>73</v>
      </c>
      <c r="G688" t="s">
        <v>45</v>
      </c>
      <c r="H688" t="s">
        <v>87</v>
      </c>
      <c r="J688" t="s">
        <v>21</v>
      </c>
      <c r="K688" t="s">
        <v>72</v>
      </c>
      <c r="L688" t="s">
        <v>1573</v>
      </c>
      <c r="M688" t="s">
        <v>23</v>
      </c>
      <c r="N688" t="s">
        <v>24</v>
      </c>
      <c r="O688" t="s">
        <v>25</v>
      </c>
      <c r="P688" t="s">
        <v>26</v>
      </c>
      <c r="Q688" t="s">
        <v>40</v>
      </c>
      <c r="R688" t="s">
        <v>28</v>
      </c>
    </row>
    <row r="689" spans="1:18" ht="15" hidden="1">
      <c r="A689" s="2">
        <v>44566</v>
      </c>
      <c r="B689" s="25">
        <v>12</v>
      </c>
      <c r="C689" s="25">
        <v>2021</v>
      </c>
      <c r="D689" s="5">
        <v>21488.200000000001</v>
      </c>
      <c r="E689" t="s">
        <v>73</v>
      </c>
      <c r="G689" t="s">
        <v>42</v>
      </c>
      <c r="H689" t="s">
        <v>88</v>
      </c>
      <c r="J689" t="s">
        <v>21</v>
      </c>
      <c r="K689" t="s">
        <v>72</v>
      </c>
      <c r="L689" t="s">
        <v>1573</v>
      </c>
      <c r="M689" t="s">
        <v>23</v>
      </c>
      <c r="N689" t="s">
        <v>24</v>
      </c>
      <c r="O689" t="s">
        <v>25</v>
      </c>
      <c r="P689" t="s">
        <v>43</v>
      </c>
      <c r="Q689" t="s">
        <v>40</v>
      </c>
      <c r="R689" t="s">
        <v>28</v>
      </c>
    </row>
    <row r="690" spans="1:18" ht="15" hidden="1">
      <c r="A690" s="2">
        <v>44566</v>
      </c>
      <c r="B690" s="25">
        <v>12</v>
      </c>
      <c r="C690" s="25">
        <v>2021</v>
      </c>
      <c r="D690" s="5">
        <v>446.5</v>
      </c>
      <c r="E690" t="s">
        <v>73</v>
      </c>
      <c r="G690" t="s">
        <v>30</v>
      </c>
      <c r="H690" t="s">
        <v>89</v>
      </c>
      <c r="J690" t="s">
        <v>21</v>
      </c>
      <c r="K690" t="s">
        <v>72</v>
      </c>
      <c r="L690" t="s">
        <v>1573</v>
      </c>
      <c r="M690" t="s">
        <v>23</v>
      </c>
      <c r="N690" t="s">
        <v>24</v>
      </c>
      <c r="O690" t="s">
        <v>25</v>
      </c>
      <c r="P690" t="s">
        <v>26</v>
      </c>
      <c r="Q690" t="s">
        <v>40</v>
      </c>
      <c r="R690" t="s">
        <v>28</v>
      </c>
    </row>
  </sheetData>
  <autoFilter ref="A2:S690">
    <filterColumn colId="1">
      <filters>
        <filter val="11"/>
      </filters>
    </filterColumn>
    <filterColumn colId="6">
      <filters>
        <filter val="CAREMARK"/>
      </filters>
    </filterColumn>
  </autoFilter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tabColor rgb="FFFF0000"/>
  </sheetPr>
  <dimension ref="A1:R20"/>
  <sheetViews>
    <sheetView workbookViewId="0" topLeftCell="A1">
      <selection pane="topLeft" activeCell="A1" sqref="A1:A3"/>
    </sheetView>
  </sheetViews>
  <sheetFormatPr defaultRowHeight="15"/>
  <cols>
    <col min="1" max="1" width="18.7142857142857" bestFit="1" customWidth="1"/>
    <col min="2" max="2" width="14" customWidth="1"/>
    <col min="3" max="3" width="18.1428571428571" customWidth="1"/>
    <col min="4" max="4" width="21" customWidth="1"/>
    <col min="5" max="5" width="12.7142857142857" bestFit="1" customWidth="1"/>
    <col min="6" max="7" width="16.2857142857143" customWidth="1"/>
    <col min="8" max="8" width="18.5714285714286" customWidth="1"/>
    <col min="9" max="9" width="13.1428571428571" bestFit="1" customWidth="1"/>
    <col min="10" max="10" width="15.4285714285714" customWidth="1"/>
    <col min="11" max="11" width="15.7142857142857" customWidth="1"/>
    <col min="12" max="12" width="15" customWidth="1"/>
    <col min="13" max="13" width="15" bestFit="1" customWidth="1"/>
    <col min="15" max="15" width="11.2857142857143" bestFit="1" customWidth="1"/>
    <col min="16" max="16" width="11.8571428571429" bestFit="1" customWidth="1"/>
    <col min="18" max="18" width="11.8571428571429" bestFit="1" customWidth="1"/>
  </cols>
  <sheetData>
    <row r="1" spans="1:1" ht="15.75">
      <c r="A1" s="19" t="s">
        <v>70</v>
      </c>
    </row>
    <row r="2" spans="1:1" ht="15.75">
      <c r="A2" s="19" t="s">
        <v>104</v>
      </c>
    </row>
    <row r="3" spans="1:1" ht="15.75">
      <c r="A3" s="19" t="s">
        <v>112</v>
      </c>
    </row>
    <row r="4" spans="1:2" ht="15">
      <c r="A4" s="20" t="s">
        <v>4</v>
      </c>
      <c r="B4" s="23">
        <v>2021</v>
      </c>
    </row>
    <row r="6" spans="1:12" ht="15">
      <c r="A6" s="11" t="s">
        <v>69</v>
      </c>
      <c r="B6" s="11" t="s">
        <v>8</v>
      </c>
      <c r="C6" s="9"/>
      <c r="D6" s="9"/>
      <c r="E6" s="9"/>
      <c r="F6" s="9"/>
      <c r="G6" s="9"/>
      <c r="H6" s="9"/>
      <c r="I6" s="9"/>
      <c r="J6" s="9"/>
      <c r="K6" s="9"/>
      <c r="L6" s="10"/>
    </row>
    <row r="7" spans="1:13" s="22" customFormat="1" ht="48" customHeight="1">
      <c r="A7" s="39" t="s">
        <v>3</v>
      </c>
      <c r="B7" s="44" t="s">
        <v>55</v>
      </c>
      <c r="C7" s="40" t="s">
        <v>66</v>
      </c>
      <c r="D7" s="40" t="s">
        <v>45</v>
      </c>
      <c r="E7" s="40" t="s">
        <v>39</v>
      </c>
      <c r="F7" s="40" t="s">
        <v>30</v>
      </c>
      <c r="G7" s="40" t="s">
        <v>47</v>
      </c>
      <c r="H7" s="40" t="s">
        <v>63</v>
      </c>
      <c r="I7" s="40" t="s">
        <v>52</v>
      </c>
      <c r="J7" s="40" t="s">
        <v>60</v>
      </c>
      <c r="K7" s="40" t="s">
        <v>37</v>
      </c>
      <c r="L7" s="41" t="s">
        <v>68</v>
      </c>
      <c r="M7"/>
    </row>
    <row r="8" spans="1:18" ht="15">
      <c r="A8" s="8">
        <v>1</v>
      </c>
      <c r="B8" s="13"/>
      <c r="C8" s="14">
        <v>31010.57</v>
      </c>
      <c r="D8" s="14">
        <v>434.18000000000029</v>
      </c>
      <c r="E8" s="14">
        <v>-3.5</v>
      </c>
      <c r="F8" s="14">
        <v>5290.2999999999993</v>
      </c>
      <c r="G8" s="14">
        <v>15939.879999999999</v>
      </c>
      <c r="H8" s="14">
        <v>0</v>
      </c>
      <c r="I8" s="14">
        <v>8507.5200000000004</v>
      </c>
      <c r="J8" s="14">
        <v>0</v>
      </c>
      <c r="K8" s="14">
        <v>9</v>
      </c>
      <c r="L8" s="15">
        <v>61187.949999999997</v>
      </c>
      <c r="M8" s="1"/>
      <c r="O8" s="1"/>
      <c r="P8" s="5"/>
      <c r="R8" s="1"/>
    </row>
    <row r="9" spans="1:18" ht="15">
      <c r="A9" s="12">
        <v>2</v>
      </c>
      <c r="B9" s="16">
        <v>9189.3000000000011</v>
      </c>
      <c r="C9" s="1">
        <v>0</v>
      </c>
      <c r="D9" s="1">
        <v>219584.09999999998</v>
      </c>
      <c r="E9" s="1"/>
      <c r="F9" s="1"/>
      <c r="G9" s="1">
        <v>15958.58</v>
      </c>
      <c r="H9" s="1">
        <v>0</v>
      </c>
      <c r="I9" s="1">
        <v>8433.6700000000001</v>
      </c>
      <c r="J9" s="1">
        <v>16973.630000000001</v>
      </c>
      <c r="K9" s="1"/>
      <c r="L9" s="17">
        <v>270139.27999999997</v>
      </c>
      <c r="M9" s="1"/>
      <c r="O9" s="1"/>
      <c r="P9" s="5"/>
      <c r="R9" s="1"/>
    </row>
    <row r="10" spans="1:18" ht="15">
      <c r="A10" s="12">
        <v>3</v>
      </c>
      <c r="B10" s="16">
        <v>9222.3999999999996</v>
      </c>
      <c r="C10" s="1">
        <v>-38652.609999999993</v>
      </c>
      <c r="D10" s="1">
        <v>421406.96000000002</v>
      </c>
      <c r="E10" s="1"/>
      <c r="F10" s="1">
        <v>5497.6499999999996</v>
      </c>
      <c r="G10" s="1">
        <v>15891.259999999998</v>
      </c>
      <c r="H10" s="1">
        <v>78452.039999999994</v>
      </c>
      <c r="I10" s="1">
        <v>8315.5100000000002</v>
      </c>
      <c r="J10" s="1">
        <v>6358.25</v>
      </c>
      <c r="K10" s="1">
        <v>493</v>
      </c>
      <c r="L10" s="17">
        <v>506984.46000000002</v>
      </c>
      <c r="M10" s="1"/>
      <c r="O10" s="1"/>
      <c r="P10" s="5"/>
      <c r="R10" s="1"/>
    </row>
    <row r="11" spans="1:18" ht="15">
      <c r="A11" s="12">
        <v>4</v>
      </c>
      <c r="B11" s="16">
        <v>9167.3999999999996</v>
      </c>
      <c r="C11" s="1">
        <v>930.34000000000015</v>
      </c>
      <c r="D11" s="1">
        <v>-15667.580000000016</v>
      </c>
      <c r="E11" s="1"/>
      <c r="F11" s="1"/>
      <c r="G11" s="1">
        <v>15921.18</v>
      </c>
      <c r="H11" s="1">
        <v>73804.559999999998</v>
      </c>
      <c r="I11" s="1">
        <v>8444.2199999999993</v>
      </c>
      <c r="J11" s="1">
        <v>12732.450000000001</v>
      </c>
      <c r="K11" s="1"/>
      <c r="L11" s="17">
        <v>105332.56999999998</v>
      </c>
      <c r="M11" s="1"/>
      <c r="O11" s="1"/>
      <c r="P11" s="5"/>
      <c r="R11" s="1"/>
    </row>
    <row r="12" spans="1:18" ht="15">
      <c r="A12" s="12">
        <v>5</v>
      </c>
      <c r="B12" s="16">
        <v>9200.3999999999996</v>
      </c>
      <c r="C12" s="1"/>
      <c r="D12" s="1">
        <v>208555.31999999998</v>
      </c>
      <c r="E12" s="1">
        <v>3.5</v>
      </c>
      <c r="F12" s="1">
        <v>5471.5500000000002</v>
      </c>
      <c r="G12" s="1">
        <v>15857.6</v>
      </c>
      <c r="H12" s="1">
        <v>-72468</v>
      </c>
      <c r="I12" s="1">
        <v>8391.4699999999993</v>
      </c>
      <c r="J12" s="1">
        <v>6339.3999999999996</v>
      </c>
      <c r="K12" s="1">
        <v>239.25</v>
      </c>
      <c r="L12" s="17">
        <v>181590.48999999996</v>
      </c>
      <c r="M12" s="1"/>
      <c r="O12" s="1"/>
      <c r="P12" s="5"/>
      <c r="R12" s="1"/>
    </row>
    <row r="13" spans="1:18" ht="15">
      <c r="A13" s="12">
        <v>6</v>
      </c>
      <c r="B13" s="16">
        <v>16211.4</v>
      </c>
      <c r="C13" s="1">
        <v>31010.57</v>
      </c>
      <c r="D13" s="1">
        <v>411214.88</v>
      </c>
      <c r="E13" s="1"/>
      <c r="F13" s="1"/>
      <c r="G13" s="1">
        <v>15895</v>
      </c>
      <c r="H13" s="1">
        <v>71131.440000000002</v>
      </c>
      <c r="I13" s="1">
        <v>8520.1800000000003</v>
      </c>
      <c r="J13" s="1">
        <v>9829.4500000000007</v>
      </c>
      <c r="K13" s="1">
        <v>239.25</v>
      </c>
      <c r="L13" s="17">
        <v>564052.17000000004</v>
      </c>
      <c r="M13" s="1"/>
      <c r="O13" s="1"/>
      <c r="P13" s="5"/>
      <c r="R13" s="1"/>
    </row>
    <row r="14" spans="1:18" ht="15">
      <c r="A14" s="12">
        <v>7</v>
      </c>
      <c r="B14" s="16">
        <v>21443.810000000001</v>
      </c>
      <c r="C14" s="1">
        <v>930.31999999999971</v>
      </c>
      <c r="D14" s="1">
        <v>2087.9400000000023</v>
      </c>
      <c r="E14" s="1"/>
      <c r="F14" s="1">
        <v>2655.9000000000001</v>
      </c>
      <c r="G14" s="1">
        <v>15928.66</v>
      </c>
      <c r="H14" s="1">
        <v>0</v>
      </c>
      <c r="I14" s="1">
        <v>8716.4099999999999</v>
      </c>
      <c r="J14" s="1">
        <v>8614.6499999999996</v>
      </c>
      <c r="K14" s="1">
        <v>239.25</v>
      </c>
      <c r="L14" s="17">
        <v>60616.94000000001</v>
      </c>
      <c r="M14" s="1"/>
      <c r="O14" s="1"/>
      <c r="P14" s="5"/>
      <c r="R14" s="1"/>
    </row>
    <row r="15" spans="1:18" ht="15">
      <c r="A15" s="12">
        <v>8</v>
      </c>
      <c r="B15" s="16">
        <v>9255.4000000000015</v>
      </c>
      <c r="C15" s="1"/>
      <c r="D15" s="1">
        <v>207613.31999999998</v>
      </c>
      <c r="E15" s="1"/>
      <c r="F15" s="1">
        <v>5335.2000000000007</v>
      </c>
      <c r="G15" s="1">
        <v>15954.84</v>
      </c>
      <c r="H15" s="1">
        <v>4239.8699999999953</v>
      </c>
      <c r="I15" s="1">
        <v>8583.4799999999996</v>
      </c>
      <c r="J15" s="1">
        <v>8917.5499999999993</v>
      </c>
      <c r="K15" s="1">
        <v>232</v>
      </c>
      <c r="L15" s="17">
        <v>260131.65999999997</v>
      </c>
      <c r="M15" s="1"/>
      <c r="O15" s="1"/>
      <c r="P15" s="5"/>
      <c r="R15" s="1"/>
    </row>
    <row r="16" spans="1:18" ht="15">
      <c r="A16" s="12">
        <v>9</v>
      </c>
      <c r="B16" s="16">
        <v>9231.2000000000007</v>
      </c>
      <c r="C16" s="1">
        <v>31940.889999999999</v>
      </c>
      <c r="D16" s="1">
        <v>420892.40000000002</v>
      </c>
      <c r="E16" s="1"/>
      <c r="F16" s="1"/>
      <c r="G16" s="1">
        <v>15921.18</v>
      </c>
      <c r="H16" s="1">
        <v>87958.619999999995</v>
      </c>
      <c r="I16" s="1">
        <v>8695.3099999999995</v>
      </c>
      <c r="J16" s="1">
        <v>6340.8500000000004</v>
      </c>
      <c r="K16" s="1">
        <v>464</v>
      </c>
      <c r="L16" s="17">
        <v>581444.45000000007</v>
      </c>
      <c r="M16" s="1"/>
      <c r="O16" s="1"/>
      <c r="P16" s="5"/>
      <c r="R16" s="1"/>
    </row>
    <row r="17" spans="1:18" ht="15">
      <c r="A17" s="12">
        <v>10</v>
      </c>
      <c r="B17" s="16">
        <v>9132.2000000000007</v>
      </c>
      <c r="C17" s="1">
        <v>31940.93</v>
      </c>
      <c r="D17" s="1">
        <v>-210446.20000000001</v>
      </c>
      <c r="E17" s="1"/>
      <c r="F17" s="1">
        <v>2662.6999999999998</v>
      </c>
      <c r="G17" s="1">
        <v>15902.480000000001</v>
      </c>
      <c r="H17" s="1">
        <v>83199.87000000001</v>
      </c>
      <c r="I17" s="1">
        <v>8691.0900000000001</v>
      </c>
      <c r="J17" s="1">
        <v>6378.5499999999993</v>
      </c>
      <c r="K17" s="1">
        <v>297.25</v>
      </c>
      <c r="L17" s="17">
        <v>-52241.129999999976</v>
      </c>
      <c r="M17" s="1"/>
      <c r="O17" s="1"/>
      <c r="P17" s="5"/>
      <c r="R17" s="1"/>
    </row>
    <row r="18" spans="1:18" ht="15">
      <c r="A18" s="12">
        <v>11</v>
      </c>
      <c r="B18" s="16">
        <v>9310.3999999999996</v>
      </c>
      <c r="C18" s="1">
        <v>-31940.91</v>
      </c>
      <c r="D18" s="1">
        <v>421287.70000000001</v>
      </c>
      <c r="E18" s="1"/>
      <c r="F18" s="1">
        <v>2663.0999999999999</v>
      </c>
      <c r="G18" s="1">
        <v>15936.139999999999</v>
      </c>
      <c r="H18" s="1">
        <v>-65666.130000000005</v>
      </c>
      <c r="I18" s="1">
        <v>8587.7000000000007</v>
      </c>
      <c r="J18" s="1">
        <v>8695.3999999999996</v>
      </c>
      <c r="K18" s="1">
        <v>232</v>
      </c>
      <c r="L18" s="17">
        <v>369105.40000000002</v>
      </c>
      <c r="M18" s="1"/>
      <c r="O18" s="1"/>
      <c r="P18" s="5"/>
      <c r="R18" s="1"/>
    </row>
    <row r="19" spans="1:18" ht="15">
      <c r="A19" s="12">
        <v>12</v>
      </c>
      <c r="B19" s="16">
        <v>9892</v>
      </c>
      <c r="C19" s="1">
        <v>31940.91</v>
      </c>
      <c r="D19" s="1">
        <v>413888.19999999995</v>
      </c>
      <c r="E19" s="1">
        <v>14328.139999999999</v>
      </c>
      <c r="F19" s="1">
        <v>5270.3500000000004</v>
      </c>
      <c r="G19" s="1"/>
      <c r="H19" s="1">
        <v>72799.880000000005</v>
      </c>
      <c r="I19" s="1">
        <v>8680.5400000000009</v>
      </c>
      <c r="J19" s="1">
        <v>14514.950000000001</v>
      </c>
      <c r="K19" s="1">
        <v>4685.1800000000003</v>
      </c>
      <c r="L19" s="17">
        <v>576000.15000000002</v>
      </c>
      <c r="M19" s="1"/>
      <c r="O19" s="1"/>
      <c r="P19" s="5"/>
      <c r="R19" s="1"/>
    </row>
    <row r="20" spans="1:13" s="18" customFormat="1" ht="15" thickBot="1">
      <c r="A20" s="34" t="s">
        <v>68</v>
      </c>
      <c r="B20" s="31">
        <v>121255.91</v>
      </c>
      <c r="C20" s="32">
        <v>89111.010000000009</v>
      </c>
      <c r="D20" s="32">
        <v>2500851.2199999997</v>
      </c>
      <c r="E20" s="32">
        <v>14328.139999999999</v>
      </c>
      <c r="F20" s="32">
        <v>34846.75</v>
      </c>
      <c r="G20" s="32">
        <v>175106.79999999999</v>
      </c>
      <c r="H20" s="32">
        <v>333452.14999999997</v>
      </c>
      <c r="I20" s="32">
        <v>102567.10000000001</v>
      </c>
      <c r="J20" s="32">
        <v>105695.13000000001</v>
      </c>
      <c r="K20" s="32">
        <v>7130.1800000000003</v>
      </c>
      <c r="L20" s="33">
        <v>3484344.3899999997</v>
      </c>
      <c r="M20"/>
    </row>
  </sheetData>
  <pageMargins left="0.7" right="0.7" top="0.75" bottom="0.75" header="0.3" footer="0.3"/>
  <pageSetup horizontalDpi="300" verticalDpi="30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S259"/>
  <sheetViews>
    <sheetView tabSelected="1" workbookViewId="0" topLeftCell="A1">
      <pane ySplit="2" topLeftCell="A3" activePane="bottomLeft" state="frozen"/>
      <selection pane="topLeft" activeCell="A1" sqref="A1"/>
      <selection pane="bottomLeft" activeCell="H7" sqref="H7"/>
    </sheetView>
  </sheetViews>
  <sheetFormatPr defaultColWidth="10.2842857142857" defaultRowHeight="15"/>
  <cols>
    <col min="1" max="1" width="11.7142857142857" bestFit="1" customWidth="1"/>
    <col min="2" max="2" width="7.14285714285714" bestFit="1" customWidth="1"/>
    <col min="3" max="3" width="5.42857142857143" bestFit="1" customWidth="1"/>
    <col min="4" max="4" width="14.8571428571429" style="5" bestFit="1" customWidth="1"/>
    <col min="5" max="5" width="9" bestFit="1" customWidth="1"/>
    <col min="6" max="6" width="10" bestFit="1" customWidth="1"/>
    <col min="7" max="7" width="38" bestFit="1" customWidth="1"/>
    <col min="8" max="8" width="28.4285714285714" bestFit="1" customWidth="1"/>
    <col min="9" max="9" width="11" bestFit="1" customWidth="1"/>
    <col min="10" max="10" width="8.28571428571429" bestFit="1" customWidth="1"/>
    <col min="11" max="11" width="11.8571428571429" bestFit="1" customWidth="1"/>
    <col min="12" max="12" width="56.8571428571429" bestFit="1" customWidth="1"/>
    <col min="13" max="13" width="8.85714285714286" bestFit="1" customWidth="1"/>
    <col min="14" max="14" width="7" bestFit="1" customWidth="1"/>
    <col min="15" max="15" width="8.42857142857143" bestFit="1" customWidth="1"/>
    <col min="16" max="16" width="4" bestFit="1" customWidth="1"/>
    <col min="17" max="17" width="11.2857142857143" customWidth="1"/>
    <col min="18" max="18" width="9.14285714285714" bestFit="1" customWidth="1"/>
    <col min="19" max="19" width="3.28571428571429" bestFit="1" customWidth="1"/>
  </cols>
  <sheetData>
    <row r="1" spans="1:4" s="69" customFormat="1" ht="15.75" thickBot="1">
      <c r="A1" s="7"/>
      <c r="B1" s="68"/>
      <c r="D1" s="7"/>
    </row>
    <row r="2" spans="1:19" s="69" customFormat="1" ht="16.5" thickTop="1" thickBot="1">
      <c r="A2" s="67" t="s">
        <v>2</v>
      </c>
      <c r="B2" s="67" t="s">
        <v>3</v>
      </c>
      <c r="C2" s="67" t="s">
        <v>4</v>
      </c>
      <c r="D2" s="70" t="s">
        <v>5</v>
      </c>
      <c r="E2" s="67" t="s">
        <v>6</v>
      </c>
      <c r="F2" s="67" t="s">
        <v>7</v>
      </c>
      <c r="G2" s="67" t="s">
        <v>8</v>
      </c>
      <c r="H2" s="67" t="s">
        <v>9</v>
      </c>
      <c r="I2" s="67" t="s">
        <v>10</v>
      </c>
      <c r="J2" s="67" t="s">
        <v>11</v>
      </c>
      <c r="K2" s="67" t="s">
        <v>12</v>
      </c>
      <c r="L2" s="67" t="s">
        <v>13</v>
      </c>
      <c r="M2" s="67" t="s">
        <v>14</v>
      </c>
      <c r="N2" s="67" t="s">
        <v>15</v>
      </c>
      <c r="O2" s="67" t="s">
        <v>16</v>
      </c>
      <c r="P2" s="67" t="s">
        <v>17</v>
      </c>
      <c r="Q2" s="67" t="s">
        <v>18</v>
      </c>
      <c r="R2" s="67" t="s">
        <v>19</v>
      </c>
      <c r="S2" s="67" t="s">
        <v>20</v>
      </c>
    </row>
    <row r="3" spans="1:19" ht="15.75" thickTop="1">
      <c r="A3" s="2">
        <v>44252</v>
      </c>
      <c r="B3">
        <v>2</v>
      </c>
      <c r="C3">
        <v>2021</v>
      </c>
      <c r="D3" s="5">
        <v>6910.1000000000004</v>
      </c>
      <c r="E3" s="4" t="s">
        <v>1189</v>
      </c>
      <c r="F3" s="4" t="s">
        <v>54</v>
      </c>
      <c r="G3" s="4" t="s">
        <v>55</v>
      </c>
      <c r="H3" s="4" t="s">
        <v>1190</v>
      </c>
      <c r="I3" s="4" t="s">
        <v>1191</v>
      </c>
      <c r="J3" s="4" t="s">
        <v>31</v>
      </c>
      <c r="K3" s="4" t="s">
        <v>218</v>
      </c>
      <c r="L3" s="4" t="s">
        <v>22</v>
      </c>
      <c r="M3" s="4" t="s">
        <v>23</v>
      </c>
      <c r="N3" s="4" t="s">
        <v>32</v>
      </c>
      <c r="O3" s="4" t="s">
        <v>28</v>
      </c>
      <c r="P3" s="4" t="s">
        <v>43</v>
      </c>
      <c r="Q3" s="4" t="s">
        <v>27</v>
      </c>
      <c r="R3" s="4" t="s">
        <v>28</v>
      </c>
      <c r="S3" s="4" t="s">
        <v>22</v>
      </c>
    </row>
    <row r="4" spans="1:19" ht="15">
      <c r="A4" s="2">
        <v>44255</v>
      </c>
      <c r="B4">
        <v>2</v>
      </c>
      <c r="C4">
        <v>2021</v>
      </c>
      <c r="D4" s="5">
        <v>-74.799999999999997</v>
      </c>
      <c r="E4" s="4" t="s">
        <v>1189</v>
      </c>
      <c r="F4" s="4" t="s">
        <v>54</v>
      </c>
      <c r="G4" s="4" t="s">
        <v>55</v>
      </c>
      <c r="H4" s="4" t="s">
        <v>1190</v>
      </c>
      <c r="I4" s="4" t="s">
        <v>1191</v>
      </c>
      <c r="J4" s="4" t="s">
        <v>31</v>
      </c>
      <c r="K4" s="4" t="s">
        <v>1192</v>
      </c>
      <c r="L4" s="4" t="s">
        <v>67</v>
      </c>
      <c r="M4" s="4" t="s">
        <v>23</v>
      </c>
      <c r="N4" s="4" t="s">
        <v>32</v>
      </c>
      <c r="O4" s="4" t="s">
        <v>28</v>
      </c>
      <c r="P4" s="4" t="s">
        <v>43</v>
      </c>
      <c r="Q4" s="4" t="s">
        <v>50</v>
      </c>
      <c r="R4" s="4" t="s">
        <v>28</v>
      </c>
      <c r="S4" s="4" t="s">
        <v>22</v>
      </c>
    </row>
    <row r="5" spans="1:19" ht="15">
      <c r="A5" s="2">
        <v>44255</v>
      </c>
      <c r="B5">
        <v>2</v>
      </c>
      <c r="C5">
        <v>2021</v>
      </c>
      <c r="D5" s="5">
        <v>-4.4000000000000004</v>
      </c>
      <c r="E5" s="4" t="s">
        <v>1189</v>
      </c>
      <c r="F5" s="4" t="s">
        <v>54</v>
      </c>
      <c r="G5" s="4" t="s">
        <v>55</v>
      </c>
      <c r="H5" s="4" t="s">
        <v>1190</v>
      </c>
      <c r="I5" s="4" t="s">
        <v>1191</v>
      </c>
      <c r="J5" s="4" t="s">
        <v>21</v>
      </c>
      <c r="K5" s="4" t="s">
        <v>1192</v>
      </c>
      <c r="L5" s="4" t="s">
        <v>67</v>
      </c>
      <c r="M5" s="4" t="s">
        <v>23</v>
      </c>
      <c r="N5" s="4" t="s">
        <v>24</v>
      </c>
      <c r="O5" s="4" t="s">
        <v>25</v>
      </c>
      <c r="P5" s="4" t="s">
        <v>43</v>
      </c>
      <c r="Q5" s="4" t="s">
        <v>40</v>
      </c>
      <c r="R5" s="4" t="s">
        <v>28</v>
      </c>
      <c r="S5" s="4" t="s">
        <v>22</v>
      </c>
    </row>
    <row r="6" spans="1:19" ht="15">
      <c r="A6" s="2">
        <v>44252</v>
      </c>
      <c r="B6">
        <v>2</v>
      </c>
      <c r="C6">
        <v>2021</v>
      </c>
      <c r="D6" s="5">
        <v>74.799999999999997</v>
      </c>
      <c r="E6" s="4" t="s">
        <v>1189</v>
      </c>
      <c r="F6" s="4" t="s">
        <v>54</v>
      </c>
      <c r="G6" s="4" t="s">
        <v>55</v>
      </c>
      <c r="H6" s="4" t="s">
        <v>1190</v>
      </c>
      <c r="I6" s="4" t="s">
        <v>1191</v>
      </c>
      <c r="J6" s="4" t="s">
        <v>31</v>
      </c>
      <c r="K6" s="4" t="s">
        <v>218</v>
      </c>
      <c r="L6" s="4" t="s">
        <v>22</v>
      </c>
      <c r="M6" s="4" t="s">
        <v>23</v>
      </c>
      <c r="N6" s="4" t="s">
        <v>32</v>
      </c>
      <c r="O6" s="4" t="s">
        <v>28</v>
      </c>
      <c r="P6" s="4" t="s">
        <v>43</v>
      </c>
      <c r="Q6" s="4" t="s">
        <v>50</v>
      </c>
      <c r="R6" s="4" t="s">
        <v>28</v>
      </c>
      <c r="S6" s="4" t="s">
        <v>22</v>
      </c>
    </row>
    <row r="7" spans="1:19" ht="15">
      <c r="A7" s="2">
        <v>44252</v>
      </c>
      <c r="B7">
        <v>2</v>
      </c>
      <c r="C7">
        <v>2021</v>
      </c>
      <c r="D7" s="5">
        <v>2283.5999999999999</v>
      </c>
      <c r="E7" s="4" t="s">
        <v>1189</v>
      </c>
      <c r="F7" s="4" t="s">
        <v>54</v>
      </c>
      <c r="G7" s="4" t="s">
        <v>55</v>
      </c>
      <c r="H7" s="4" t="s">
        <v>1190</v>
      </c>
      <c r="I7" s="4" t="s">
        <v>1191</v>
      </c>
      <c r="J7" s="4" t="s">
        <v>21</v>
      </c>
      <c r="K7" s="4" t="s">
        <v>226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43</v>
      </c>
      <c r="Q7" s="4" t="s">
        <v>40</v>
      </c>
      <c r="R7" s="4" t="s">
        <v>28</v>
      </c>
      <c r="S7" s="4" t="s">
        <v>22</v>
      </c>
    </row>
    <row r="8" spans="1:19" ht="15">
      <c r="A8" s="2">
        <v>44221</v>
      </c>
      <c r="B8">
        <v>1</v>
      </c>
      <c r="C8">
        <v>2021</v>
      </c>
      <c r="D8" s="5">
        <v>49396.660000000003</v>
      </c>
      <c r="E8" s="4" t="s">
        <v>1193</v>
      </c>
      <c r="F8" s="4" t="s">
        <v>44</v>
      </c>
      <c r="G8" s="4" t="s">
        <v>45</v>
      </c>
      <c r="H8" s="4" t="s">
        <v>1194</v>
      </c>
      <c r="I8" s="4" t="s">
        <v>1195</v>
      </c>
      <c r="J8" s="4" t="s">
        <v>21</v>
      </c>
      <c r="K8" s="4" t="s">
        <v>1196</v>
      </c>
      <c r="L8" s="4" t="s">
        <v>22</v>
      </c>
      <c r="M8" s="4" t="s">
        <v>23</v>
      </c>
      <c r="N8" s="4" t="s">
        <v>24</v>
      </c>
      <c r="O8" s="4" t="s">
        <v>25</v>
      </c>
      <c r="P8" s="4" t="s">
        <v>26</v>
      </c>
      <c r="Q8" s="4" t="s">
        <v>40</v>
      </c>
      <c r="R8" s="4" t="s">
        <v>28</v>
      </c>
      <c r="S8" s="4" t="s">
        <v>22</v>
      </c>
    </row>
    <row r="9" spans="1:19" ht="15">
      <c r="A9" s="2">
        <v>44221</v>
      </c>
      <c r="B9">
        <v>1</v>
      </c>
      <c r="C9">
        <v>2021</v>
      </c>
      <c r="D9" s="5">
        <v>150408.85999999999</v>
      </c>
      <c r="E9" s="4" t="s">
        <v>1193</v>
      </c>
      <c r="F9" s="4" t="s">
        <v>44</v>
      </c>
      <c r="G9" s="4" t="s">
        <v>45</v>
      </c>
      <c r="H9" s="4" t="s">
        <v>1194</v>
      </c>
      <c r="I9" s="4" t="s">
        <v>1195</v>
      </c>
      <c r="J9" s="4" t="s">
        <v>31</v>
      </c>
      <c r="K9" s="4" t="s">
        <v>1197</v>
      </c>
      <c r="L9" s="4" t="s">
        <v>22</v>
      </c>
      <c r="M9" s="4" t="s">
        <v>23</v>
      </c>
      <c r="N9" s="4" t="s">
        <v>32</v>
      </c>
      <c r="O9" s="4" t="s">
        <v>28</v>
      </c>
      <c r="P9" s="4" t="s">
        <v>26</v>
      </c>
      <c r="Q9" s="4" t="s">
        <v>27</v>
      </c>
      <c r="R9" s="4" t="s">
        <v>28</v>
      </c>
      <c r="S9" s="4" t="s">
        <v>22</v>
      </c>
    </row>
    <row r="10" spans="1:19" ht="15">
      <c r="A10" s="2">
        <v>44252</v>
      </c>
      <c r="B10">
        <v>2</v>
      </c>
      <c r="C10">
        <v>2021</v>
      </c>
      <c r="D10" s="5">
        <v>1209.96</v>
      </c>
      <c r="E10" s="4" t="s">
        <v>1198</v>
      </c>
      <c r="F10" s="4" t="s">
        <v>44</v>
      </c>
      <c r="G10" s="4" t="s">
        <v>45</v>
      </c>
      <c r="H10" s="4" t="s">
        <v>1199</v>
      </c>
      <c r="I10" s="4" t="s">
        <v>1200</v>
      </c>
      <c r="J10" s="4" t="s">
        <v>31</v>
      </c>
      <c r="K10" s="4" t="s">
        <v>218</v>
      </c>
      <c r="L10" s="4" t="s">
        <v>22</v>
      </c>
      <c r="M10" s="4" t="s">
        <v>23</v>
      </c>
      <c r="N10" s="4" t="s">
        <v>32</v>
      </c>
      <c r="O10" s="4" t="s">
        <v>28</v>
      </c>
      <c r="P10" s="4" t="s">
        <v>26</v>
      </c>
      <c r="Q10" s="4" t="s">
        <v>50</v>
      </c>
      <c r="R10" s="4" t="s">
        <v>28</v>
      </c>
      <c r="S10" s="4" t="s">
        <v>22</v>
      </c>
    </row>
    <row r="11" spans="1:19" ht="15">
      <c r="A11" s="2">
        <v>44255</v>
      </c>
      <c r="B11">
        <v>2</v>
      </c>
      <c r="C11">
        <v>2021</v>
      </c>
      <c r="D11" s="5">
        <v>-73.239999999999995</v>
      </c>
      <c r="E11" s="4" t="s">
        <v>1198</v>
      </c>
      <c r="F11" s="4" t="s">
        <v>44</v>
      </c>
      <c r="G11" s="4" t="s">
        <v>45</v>
      </c>
      <c r="H11" s="4" t="s">
        <v>1199</v>
      </c>
      <c r="I11" s="4" t="s">
        <v>1200</v>
      </c>
      <c r="J11" s="4" t="s">
        <v>21</v>
      </c>
      <c r="K11" s="4" t="s">
        <v>1192</v>
      </c>
      <c r="L11" s="4" t="s">
        <v>67</v>
      </c>
      <c r="M11" s="4" t="s">
        <v>23</v>
      </c>
      <c r="N11" s="4" t="s">
        <v>24</v>
      </c>
      <c r="O11" s="4" t="s">
        <v>25</v>
      </c>
      <c r="P11" s="4" t="s">
        <v>26</v>
      </c>
      <c r="Q11" s="4" t="s">
        <v>40</v>
      </c>
      <c r="R11" s="4" t="s">
        <v>28</v>
      </c>
      <c r="S11" s="4" t="s">
        <v>22</v>
      </c>
    </row>
    <row r="12" spans="1:19" ht="15">
      <c r="A12" s="2">
        <v>44255</v>
      </c>
      <c r="B12">
        <v>2</v>
      </c>
      <c r="C12">
        <v>2021</v>
      </c>
      <c r="D12" s="5">
        <v>-1209.96</v>
      </c>
      <c r="E12" s="4" t="s">
        <v>1198</v>
      </c>
      <c r="F12" s="4" t="s">
        <v>44</v>
      </c>
      <c r="G12" s="4" t="s">
        <v>45</v>
      </c>
      <c r="H12" s="4" t="s">
        <v>1199</v>
      </c>
      <c r="I12" s="4" t="s">
        <v>1200</v>
      </c>
      <c r="J12" s="4" t="s">
        <v>31</v>
      </c>
      <c r="K12" s="4" t="s">
        <v>1192</v>
      </c>
      <c r="L12" s="4" t="s">
        <v>67</v>
      </c>
      <c r="M12" s="4" t="s">
        <v>23</v>
      </c>
      <c r="N12" s="4" t="s">
        <v>32</v>
      </c>
      <c r="O12" s="4" t="s">
        <v>28</v>
      </c>
      <c r="P12" s="4" t="s">
        <v>26</v>
      </c>
      <c r="Q12" s="4" t="s">
        <v>50</v>
      </c>
      <c r="R12" s="4" t="s">
        <v>28</v>
      </c>
      <c r="S12" s="4" t="s">
        <v>22</v>
      </c>
    </row>
    <row r="13" spans="1:19" ht="15">
      <c r="A13" s="2">
        <v>44252</v>
      </c>
      <c r="B13">
        <v>2</v>
      </c>
      <c r="C13">
        <v>2021</v>
      </c>
      <c r="D13" s="5">
        <v>54691.730000000003</v>
      </c>
      <c r="E13" s="4" t="s">
        <v>1198</v>
      </c>
      <c r="F13" s="4" t="s">
        <v>44</v>
      </c>
      <c r="G13" s="4" t="s">
        <v>45</v>
      </c>
      <c r="H13" s="4" t="s">
        <v>1199</v>
      </c>
      <c r="I13" s="4" t="s">
        <v>1200</v>
      </c>
      <c r="J13" s="4" t="s">
        <v>21</v>
      </c>
      <c r="K13" s="4" t="s">
        <v>226</v>
      </c>
      <c r="L13" s="4" t="s">
        <v>22</v>
      </c>
      <c r="M13" s="4" t="s">
        <v>23</v>
      </c>
      <c r="N13" s="4" t="s">
        <v>24</v>
      </c>
      <c r="O13" s="4" t="s">
        <v>25</v>
      </c>
      <c r="P13" s="4" t="s">
        <v>26</v>
      </c>
      <c r="Q13" s="4" t="s">
        <v>40</v>
      </c>
      <c r="R13" s="4" t="s">
        <v>28</v>
      </c>
      <c r="S13" s="4" t="s">
        <v>22</v>
      </c>
    </row>
    <row r="14" spans="1:19" ht="15">
      <c r="A14" s="2">
        <v>44252</v>
      </c>
      <c r="B14">
        <v>2</v>
      </c>
      <c r="C14">
        <v>2021</v>
      </c>
      <c r="D14" s="5">
        <v>164965.60999999999</v>
      </c>
      <c r="E14" s="4" t="s">
        <v>1198</v>
      </c>
      <c r="F14" s="4" t="s">
        <v>44</v>
      </c>
      <c r="G14" s="4" t="s">
        <v>45</v>
      </c>
      <c r="H14" s="4" t="s">
        <v>1199</v>
      </c>
      <c r="I14" s="4" t="s">
        <v>1200</v>
      </c>
      <c r="J14" s="4" t="s">
        <v>31</v>
      </c>
      <c r="K14" s="4" t="s">
        <v>218</v>
      </c>
      <c r="L14" s="4" t="s">
        <v>22</v>
      </c>
      <c r="M14" s="4" t="s">
        <v>23</v>
      </c>
      <c r="N14" s="4" t="s">
        <v>32</v>
      </c>
      <c r="O14" s="4" t="s">
        <v>28</v>
      </c>
      <c r="P14" s="4" t="s">
        <v>26</v>
      </c>
      <c r="Q14" s="4" t="s">
        <v>27</v>
      </c>
      <c r="R14" s="4" t="s">
        <v>28</v>
      </c>
      <c r="S14" s="4" t="s">
        <v>22</v>
      </c>
    </row>
    <row r="15" spans="1:19" ht="15">
      <c r="A15" s="2">
        <v>44204</v>
      </c>
      <c r="B15">
        <v>1</v>
      </c>
      <c r="C15">
        <v>2021</v>
      </c>
      <c r="D15" s="7">
        <v>498.64999999999998</v>
      </c>
      <c r="E15" s="4" t="s">
        <v>1201</v>
      </c>
      <c r="F15" s="4" t="s">
        <v>29</v>
      </c>
      <c r="G15" s="4" t="s">
        <v>30</v>
      </c>
      <c r="H15" s="4" t="s">
        <v>1202</v>
      </c>
      <c r="I15" s="4" t="s">
        <v>1203</v>
      </c>
      <c r="J15" s="4" t="s">
        <v>21</v>
      </c>
      <c r="K15" s="4" t="s">
        <v>178</v>
      </c>
      <c r="L15" s="4" t="s">
        <v>22</v>
      </c>
      <c r="M15" s="4" t="s">
        <v>23</v>
      </c>
      <c r="N15" s="4" t="s">
        <v>24</v>
      </c>
      <c r="O15" s="4" t="s">
        <v>25</v>
      </c>
      <c r="P15" s="4" t="s">
        <v>26</v>
      </c>
      <c r="Q15" s="4" t="s">
        <v>40</v>
      </c>
      <c r="R15" s="4" t="s">
        <v>28</v>
      </c>
      <c r="S15" s="4" t="s">
        <v>22</v>
      </c>
    </row>
    <row r="16" spans="1:19" ht="15">
      <c r="A16" s="2">
        <v>44204</v>
      </c>
      <c r="B16">
        <v>1</v>
      </c>
      <c r="C16">
        <v>2021</v>
      </c>
      <c r="D16" s="7">
        <v>2021.3</v>
      </c>
      <c r="E16" s="4" t="s">
        <v>1201</v>
      </c>
      <c r="F16" s="4" t="s">
        <v>29</v>
      </c>
      <c r="G16" s="4" t="s">
        <v>30</v>
      </c>
      <c r="H16" s="4" t="s">
        <v>1202</v>
      </c>
      <c r="I16" s="4" t="s">
        <v>1203</v>
      </c>
      <c r="J16" s="4" t="s">
        <v>31</v>
      </c>
      <c r="K16" s="4" t="s">
        <v>200</v>
      </c>
      <c r="L16" s="4" t="s">
        <v>22</v>
      </c>
      <c r="M16" s="4" t="s">
        <v>23</v>
      </c>
      <c r="N16" s="4" t="s">
        <v>32</v>
      </c>
      <c r="O16" s="4" t="s">
        <v>28</v>
      </c>
      <c r="P16" s="4" t="s">
        <v>26</v>
      </c>
      <c r="Q16" s="4" t="s">
        <v>27</v>
      </c>
      <c r="R16" s="4" t="s">
        <v>28</v>
      </c>
      <c r="S16" s="4" t="s">
        <v>22</v>
      </c>
    </row>
    <row r="17" spans="1:19" ht="15">
      <c r="A17" s="2">
        <v>44224</v>
      </c>
      <c r="B17">
        <v>1</v>
      </c>
      <c r="C17">
        <v>2021</v>
      </c>
      <c r="D17" s="7">
        <v>557</v>
      </c>
      <c r="E17" s="4" t="s">
        <v>1204</v>
      </c>
      <c r="F17" s="4" t="s">
        <v>29</v>
      </c>
      <c r="G17" s="4" t="s">
        <v>30</v>
      </c>
      <c r="H17" s="4" t="s">
        <v>1205</v>
      </c>
      <c r="I17" s="4" t="s">
        <v>1206</v>
      </c>
      <c r="J17" s="4" t="s">
        <v>21</v>
      </c>
      <c r="K17" s="4" t="s">
        <v>125</v>
      </c>
      <c r="L17" s="4" t="s">
        <v>22</v>
      </c>
      <c r="M17" s="4" t="s">
        <v>23</v>
      </c>
      <c r="N17" s="4" t="s">
        <v>24</v>
      </c>
      <c r="O17" s="4" t="s">
        <v>25</v>
      </c>
      <c r="P17" s="4" t="s">
        <v>26</v>
      </c>
      <c r="Q17" s="4" t="s">
        <v>40</v>
      </c>
      <c r="R17" s="4" t="s">
        <v>28</v>
      </c>
      <c r="S17" s="4" t="s">
        <v>22</v>
      </c>
    </row>
    <row r="18" spans="1:19" ht="15">
      <c r="A18" s="2">
        <v>44224</v>
      </c>
      <c r="B18">
        <v>1</v>
      </c>
      <c r="C18">
        <v>2021</v>
      </c>
      <c r="D18" s="7">
        <v>2213.3499999999999</v>
      </c>
      <c r="E18" s="4" t="s">
        <v>1204</v>
      </c>
      <c r="F18" s="4" t="s">
        <v>29</v>
      </c>
      <c r="G18" s="4" t="s">
        <v>30</v>
      </c>
      <c r="H18" s="4" t="s">
        <v>1205</v>
      </c>
      <c r="I18" s="4" t="s">
        <v>1206</v>
      </c>
      <c r="J18" s="4" t="s">
        <v>31</v>
      </c>
      <c r="K18" s="4" t="s">
        <v>116</v>
      </c>
      <c r="L18" s="4" t="s">
        <v>22</v>
      </c>
      <c r="M18" s="4" t="s">
        <v>23</v>
      </c>
      <c r="N18" s="4" t="s">
        <v>32</v>
      </c>
      <c r="O18" s="4" t="s">
        <v>28</v>
      </c>
      <c r="P18" s="4" t="s">
        <v>26</v>
      </c>
      <c r="Q18" s="4" t="s">
        <v>27</v>
      </c>
      <c r="R18" s="4" t="s">
        <v>28</v>
      </c>
      <c r="S18" s="4" t="s">
        <v>22</v>
      </c>
    </row>
    <row r="19" spans="1:19" ht="15">
      <c r="A19" s="2">
        <v>44221</v>
      </c>
      <c r="B19">
        <v>1</v>
      </c>
      <c r="C19">
        <v>2021</v>
      </c>
      <c r="D19" s="5">
        <v>3860.6399999999999</v>
      </c>
      <c r="E19" s="4" t="s">
        <v>1207</v>
      </c>
      <c r="F19" s="4" t="s">
        <v>46</v>
      </c>
      <c r="G19" s="4" t="s">
        <v>47</v>
      </c>
      <c r="H19" s="4" t="s">
        <v>1208</v>
      </c>
      <c r="I19" s="4" t="s">
        <v>1209</v>
      </c>
      <c r="J19" s="4" t="s">
        <v>21</v>
      </c>
      <c r="K19" s="4" t="s">
        <v>1196</v>
      </c>
      <c r="L19" s="4" t="s">
        <v>22</v>
      </c>
      <c r="M19" s="4" t="s">
        <v>23</v>
      </c>
      <c r="N19" s="4" t="s">
        <v>24</v>
      </c>
      <c r="O19" s="4" t="s">
        <v>25</v>
      </c>
      <c r="P19" s="4" t="s">
        <v>26</v>
      </c>
      <c r="Q19" s="4" t="s">
        <v>40</v>
      </c>
      <c r="R19" s="4" t="s">
        <v>28</v>
      </c>
      <c r="S19" s="4" t="s">
        <v>22</v>
      </c>
    </row>
    <row r="20" spans="1:19" ht="15">
      <c r="A20" s="2">
        <v>44221</v>
      </c>
      <c r="B20">
        <v>1</v>
      </c>
      <c r="C20">
        <v>2021</v>
      </c>
      <c r="D20" s="5">
        <v>12079.24</v>
      </c>
      <c r="E20" s="4" t="s">
        <v>1207</v>
      </c>
      <c r="F20" s="4" t="s">
        <v>46</v>
      </c>
      <c r="G20" s="4" t="s">
        <v>47</v>
      </c>
      <c r="H20" s="4" t="s">
        <v>1208</v>
      </c>
      <c r="I20" s="4" t="s">
        <v>1209</v>
      </c>
      <c r="J20" s="4" t="s">
        <v>31</v>
      </c>
      <c r="K20" s="4" t="s">
        <v>1197</v>
      </c>
      <c r="L20" s="4" t="s">
        <v>22</v>
      </c>
      <c r="M20" s="4" t="s">
        <v>23</v>
      </c>
      <c r="N20" s="4" t="s">
        <v>32</v>
      </c>
      <c r="O20" s="4" t="s">
        <v>28</v>
      </c>
      <c r="P20" s="4" t="s">
        <v>26</v>
      </c>
      <c r="Q20" s="4" t="s">
        <v>27</v>
      </c>
      <c r="R20" s="4" t="s">
        <v>28</v>
      </c>
      <c r="S20" s="4" t="s">
        <v>22</v>
      </c>
    </row>
    <row r="21" spans="1:19" ht="15">
      <c r="A21" s="2">
        <v>44245</v>
      </c>
      <c r="B21">
        <v>2</v>
      </c>
      <c r="C21">
        <v>2021</v>
      </c>
      <c r="D21" s="5">
        <v>12093.41</v>
      </c>
      <c r="E21" s="4" t="s">
        <v>1210</v>
      </c>
      <c r="F21" s="4" t="s">
        <v>46</v>
      </c>
      <c r="G21" s="4" t="s">
        <v>47</v>
      </c>
      <c r="H21" s="4" t="s">
        <v>1211</v>
      </c>
      <c r="I21" s="4" t="s">
        <v>1212</v>
      </c>
      <c r="J21" s="4" t="s">
        <v>31</v>
      </c>
      <c r="K21" s="4" t="s">
        <v>1213</v>
      </c>
      <c r="L21" s="4" t="s">
        <v>22</v>
      </c>
      <c r="M21" s="4" t="s">
        <v>23</v>
      </c>
      <c r="N21" s="4" t="s">
        <v>32</v>
      </c>
      <c r="O21" s="4" t="s">
        <v>28</v>
      </c>
      <c r="P21" s="4" t="s">
        <v>26</v>
      </c>
      <c r="Q21" s="4" t="s">
        <v>27</v>
      </c>
      <c r="R21" s="4" t="s">
        <v>28</v>
      </c>
      <c r="S21" s="4" t="s">
        <v>22</v>
      </c>
    </row>
    <row r="22" spans="1:19" ht="15">
      <c r="A22" s="2">
        <v>44245</v>
      </c>
      <c r="B22">
        <v>2</v>
      </c>
      <c r="C22">
        <v>2021</v>
      </c>
      <c r="D22" s="5">
        <v>3865.1700000000001</v>
      </c>
      <c r="E22" s="4" t="s">
        <v>1210</v>
      </c>
      <c r="F22" s="4" t="s">
        <v>46</v>
      </c>
      <c r="G22" s="4" t="s">
        <v>47</v>
      </c>
      <c r="H22" s="4" t="s">
        <v>1211</v>
      </c>
      <c r="I22" s="4" t="s">
        <v>1212</v>
      </c>
      <c r="J22" s="4" t="s">
        <v>21</v>
      </c>
      <c r="K22" s="4" t="s">
        <v>1214</v>
      </c>
      <c r="L22" s="4" t="s">
        <v>22</v>
      </c>
      <c r="M22" s="4" t="s">
        <v>23</v>
      </c>
      <c r="N22" s="4" t="s">
        <v>24</v>
      </c>
      <c r="O22" s="4" t="s">
        <v>25</v>
      </c>
      <c r="P22" s="4" t="s">
        <v>26</v>
      </c>
      <c r="Q22" s="4" t="s">
        <v>40</v>
      </c>
      <c r="R22" s="4" t="s">
        <v>28</v>
      </c>
      <c r="S22" s="4" t="s">
        <v>22</v>
      </c>
    </row>
    <row r="23" spans="1:19" ht="15">
      <c r="A23" s="2">
        <v>44225</v>
      </c>
      <c r="B23">
        <v>1</v>
      </c>
      <c r="C23">
        <v>2021</v>
      </c>
      <c r="D23" s="5">
        <v>2004.5</v>
      </c>
      <c r="E23" s="4" t="s">
        <v>1215</v>
      </c>
      <c r="F23" s="4" t="s">
        <v>51</v>
      </c>
      <c r="G23" s="4" t="s">
        <v>52</v>
      </c>
      <c r="H23" s="4" t="s">
        <v>1216</v>
      </c>
      <c r="I23" s="4" t="s">
        <v>1217</v>
      </c>
      <c r="J23" s="4" t="s">
        <v>21</v>
      </c>
      <c r="K23" s="4" t="s">
        <v>185</v>
      </c>
      <c r="L23" s="4" t="s">
        <v>22</v>
      </c>
      <c r="M23" s="4" t="s">
        <v>23</v>
      </c>
      <c r="N23" s="4" t="s">
        <v>24</v>
      </c>
      <c r="O23" s="4" t="s">
        <v>25</v>
      </c>
      <c r="P23" s="4" t="s">
        <v>49</v>
      </c>
      <c r="Q23" s="4" t="s">
        <v>53</v>
      </c>
      <c r="R23" s="4" t="s">
        <v>28</v>
      </c>
      <c r="S23" s="4" t="s">
        <v>22</v>
      </c>
    </row>
    <row r="24" spans="1:19" ht="15">
      <c r="A24" s="2">
        <v>44225</v>
      </c>
      <c r="B24">
        <v>1</v>
      </c>
      <c r="C24">
        <v>2021</v>
      </c>
      <c r="D24" s="5">
        <v>6503.0200000000004</v>
      </c>
      <c r="E24" s="4" t="s">
        <v>1215</v>
      </c>
      <c r="F24" s="4" t="s">
        <v>51</v>
      </c>
      <c r="G24" s="4" t="s">
        <v>52</v>
      </c>
      <c r="H24" s="4" t="s">
        <v>1216</v>
      </c>
      <c r="I24" s="4" t="s">
        <v>1217</v>
      </c>
      <c r="J24" s="4" t="s">
        <v>31</v>
      </c>
      <c r="K24" s="4" t="s">
        <v>199</v>
      </c>
      <c r="L24" s="4" t="s">
        <v>22</v>
      </c>
      <c r="M24" s="4" t="s">
        <v>23</v>
      </c>
      <c r="N24" s="4" t="s">
        <v>32</v>
      </c>
      <c r="O24" s="4" t="s">
        <v>34</v>
      </c>
      <c r="P24" s="4" t="s">
        <v>49</v>
      </c>
      <c r="Q24" s="4" t="s">
        <v>53</v>
      </c>
      <c r="R24" s="4" t="s">
        <v>28</v>
      </c>
      <c r="S24" s="4" t="s">
        <v>22</v>
      </c>
    </row>
    <row r="25" spans="1:19" ht="15">
      <c r="A25" s="2">
        <v>44253</v>
      </c>
      <c r="B25">
        <v>2</v>
      </c>
      <c r="C25">
        <v>2021</v>
      </c>
      <c r="D25" s="5">
        <v>6376.4200000000001</v>
      </c>
      <c r="E25" s="4" t="s">
        <v>1218</v>
      </c>
      <c r="F25" s="4" t="s">
        <v>51</v>
      </c>
      <c r="G25" s="4" t="s">
        <v>52</v>
      </c>
      <c r="H25" s="4" t="s">
        <v>1219</v>
      </c>
      <c r="I25" s="4" t="s">
        <v>1220</v>
      </c>
      <c r="J25" s="4" t="s">
        <v>31</v>
      </c>
      <c r="K25" s="4" t="s">
        <v>148</v>
      </c>
      <c r="L25" s="4" t="s">
        <v>22</v>
      </c>
      <c r="M25" s="4" t="s">
        <v>23</v>
      </c>
      <c r="N25" s="4" t="s">
        <v>32</v>
      </c>
      <c r="O25" s="4" t="s">
        <v>34</v>
      </c>
      <c r="P25" s="4" t="s">
        <v>49</v>
      </c>
      <c r="Q25" s="4" t="s">
        <v>53</v>
      </c>
      <c r="R25" s="4" t="s">
        <v>28</v>
      </c>
      <c r="S25" s="4" t="s">
        <v>22</v>
      </c>
    </row>
    <row r="26" spans="1:19" ht="15">
      <c r="A26" s="2">
        <v>44253</v>
      </c>
      <c r="B26">
        <v>2</v>
      </c>
      <c r="C26">
        <v>2021</v>
      </c>
      <c r="D26" s="5">
        <v>2057.25</v>
      </c>
      <c r="E26" s="4" t="s">
        <v>1218</v>
      </c>
      <c r="F26" s="4" t="s">
        <v>51</v>
      </c>
      <c r="G26" s="4" t="s">
        <v>52</v>
      </c>
      <c r="H26" s="4" t="s">
        <v>1219</v>
      </c>
      <c r="I26" s="4" t="s">
        <v>1220</v>
      </c>
      <c r="J26" s="4" t="s">
        <v>21</v>
      </c>
      <c r="K26" s="4" t="s">
        <v>134</v>
      </c>
      <c r="L26" s="4" t="s">
        <v>22</v>
      </c>
      <c r="M26" s="4" t="s">
        <v>23</v>
      </c>
      <c r="N26" s="4" t="s">
        <v>24</v>
      </c>
      <c r="O26" s="4" t="s">
        <v>25</v>
      </c>
      <c r="P26" s="4" t="s">
        <v>49</v>
      </c>
      <c r="Q26" s="4" t="s">
        <v>53</v>
      </c>
      <c r="R26" s="4" t="s">
        <v>28</v>
      </c>
      <c r="S26" s="4" t="s">
        <v>22</v>
      </c>
    </row>
    <row r="27" spans="1:19" ht="15">
      <c r="A27" s="2">
        <v>44202</v>
      </c>
      <c r="B27">
        <v>1</v>
      </c>
      <c r="C27">
        <v>2021</v>
      </c>
      <c r="D27" s="5">
        <v>1345</v>
      </c>
      <c r="E27" s="4" t="s">
        <v>1221</v>
      </c>
      <c r="F27" s="4" t="s">
        <v>59</v>
      </c>
      <c r="G27" s="4" t="s">
        <v>60</v>
      </c>
      <c r="H27" s="4" t="s">
        <v>1222</v>
      </c>
      <c r="I27" s="4" t="s">
        <v>1223</v>
      </c>
      <c r="J27" s="4" t="s">
        <v>21</v>
      </c>
      <c r="K27" s="4" t="s">
        <v>1224</v>
      </c>
      <c r="L27" s="4" t="s">
        <v>22</v>
      </c>
      <c r="M27" s="4" t="s">
        <v>23</v>
      </c>
      <c r="N27" s="4" t="s">
        <v>24</v>
      </c>
      <c r="O27" s="4" t="s">
        <v>25</v>
      </c>
      <c r="P27" s="4" t="s">
        <v>26</v>
      </c>
      <c r="Q27" s="4" t="s">
        <v>27</v>
      </c>
      <c r="R27" s="4" t="s">
        <v>28</v>
      </c>
      <c r="S27" s="4" t="s">
        <v>22</v>
      </c>
    </row>
    <row r="28" spans="1:19" ht="15">
      <c r="A28" s="2">
        <v>44202</v>
      </c>
      <c r="B28">
        <v>1</v>
      </c>
      <c r="C28">
        <v>2021</v>
      </c>
      <c r="D28" s="5">
        <v>4196.25</v>
      </c>
      <c r="E28" s="4" t="s">
        <v>1221</v>
      </c>
      <c r="F28" s="4" t="s">
        <v>59</v>
      </c>
      <c r="G28" s="4" t="s">
        <v>60</v>
      </c>
      <c r="H28" s="4" t="s">
        <v>1222</v>
      </c>
      <c r="I28" s="4" t="s">
        <v>1223</v>
      </c>
      <c r="J28" s="4" t="s">
        <v>31</v>
      </c>
      <c r="K28" s="4" t="s">
        <v>1225</v>
      </c>
      <c r="L28" s="4" t="s">
        <v>22</v>
      </c>
      <c r="M28" s="4" t="s">
        <v>23</v>
      </c>
      <c r="N28" s="4" t="s">
        <v>32</v>
      </c>
      <c r="O28" s="4" t="s">
        <v>28</v>
      </c>
      <c r="P28" s="4" t="s">
        <v>26</v>
      </c>
      <c r="Q28" s="4" t="s">
        <v>27</v>
      </c>
      <c r="R28" s="4" t="s">
        <v>28</v>
      </c>
      <c r="S28" s="4" t="s">
        <v>22</v>
      </c>
    </row>
    <row r="29" spans="1:19" ht="15">
      <c r="A29" s="2">
        <v>44232</v>
      </c>
      <c r="B29">
        <v>2</v>
      </c>
      <c r="C29">
        <v>2021</v>
      </c>
      <c r="D29" s="5">
        <v>12836.33</v>
      </c>
      <c r="E29" s="4" t="s">
        <v>1226</v>
      </c>
      <c r="F29" s="4" t="s">
        <v>59</v>
      </c>
      <c r="G29" s="4" t="s">
        <v>60</v>
      </c>
      <c r="H29" s="4" t="s">
        <v>1227</v>
      </c>
      <c r="I29" s="4" t="s">
        <v>1228</v>
      </c>
      <c r="J29" s="4" t="s">
        <v>31</v>
      </c>
      <c r="K29" s="4" t="s">
        <v>1229</v>
      </c>
      <c r="L29" s="4" t="s">
        <v>22</v>
      </c>
      <c r="M29" s="4" t="s">
        <v>23</v>
      </c>
      <c r="N29" s="4" t="s">
        <v>32</v>
      </c>
      <c r="O29" s="4" t="s">
        <v>28</v>
      </c>
      <c r="P29" s="4" t="s">
        <v>26</v>
      </c>
      <c r="Q29" s="4" t="s">
        <v>27</v>
      </c>
      <c r="R29" s="4" t="s">
        <v>28</v>
      </c>
      <c r="S29" s="4" t="s">
        <v>22</v>
      </c>
    </row>
    <row r="30" spans="1:19" ht="15">
      <c r="A30" s="2">
        <v>44232</v>
      </c>
      <c r="B30">
        <v>2</v>
      </c>
      <c r="C30">
        <v>2021</v>
      </c>
      <c r="D30" s="5">
        <v>4137.3000000000002</v>
      </c>
      <c r="E30" s="4" t="s">
        <v>1226</v>
      </c>
      <c r="F30" s="4" t="s">
        <v>59</v>
      </c>
      <c r="G30" s="4" t="s">
        <v>60</v>
      </c>
      <c r="H30" s="4" t="s">
        <v>1227</v>
      </c>
      <c r="I30" s="4" t="s">
        <v>1228</v>
      </c>
      <c r="J30" s="4" t="s">
        <v>21</v>
      </c>
      <c r="K30" s="4" t="s">
        <v>1230</v>
      </c>
      <c r="L30" s="4" t="s">
        <v>22</v>
      </c>
      <c r="M30" s="4" t="s">
        <v>23</v>
      </c>
      <c r="N30" s="4" t="s">
        <v>24</v>
      </c>
      <c r="O30" s="4" t="s">
        <v>25</v>
      </c>
      <c r="P30" s="4" t="s">
        <v>26</v>
      </c>
      <c r="Q30" s="4" t="s">
        <v>27</v>
      </c>
      <c r="R30" s="4" t="s">
        <v>28</v>
      </c>
      <c r="S30" s="4" t="s">
        <v>22</v>
      </c>
    </row>
    <row r="31" spans="1:19" ht="15">
      <c r="A31" s="2">
        <v>44221</v>
      </c>
      <c r="B31">
        <v>1</v>
      </c>
      <c r="C31">
        <v>2021</v>
      </c>
      <c r="D31" s="7">
        <v>240.75</v>
      </c>
      <c r="E31" s="4" t="s">
        <v>1231</v>
      </c>
      <c r="F31" s="4" t="s">
        <v>36</v>
      </c>
      <c r="G31" s="4" t="s">
        <v>37</v>
      </c>
      <c r="H31" s="4" t="s">
        <v>1232</v>
      </c>
      <c r="I31" s="4" t="s">
        <v>1233</v>
      </c>
      <c r="J31" s="4" t="s">
        <v>31</v>
      </c>
      <c r="K31" s="4" t="s">
        <v>1197</v>
      </c>
      <c r="L31" s="4" t="s">
        <v>22</v>
      </c>
      <c r="M31" s="4" t="s">
        <v>23</v>
      </c>
      <c r="N31" s="4" t="s">
        <v>32</v>
      </c>
      <c r="O31" s="4" t="s">
        <v>28</v>
      </c>
      <c r="P31" s="4" t="s">
        <v>26</v>
      </c>
      <c r="Q31" s="4" t="s">
        <v>27</v>
      </c>
      <c r="R31" s="4" t="s">
        <v>28</v>
      </c>
      <c r="S31" s="4" t="s">
        <v>22</v>
      </c>
    </row>
    <row r="32" spans="1:19" ht="15">
      <c r="A32" s="2">
        <v>44221</v>
      </c>
      <c r="B32">
        <v>1</v>
      </c>
      <c r="C32">
        <v>2021</v>
      </c>
      <c r="D32" s="7">
        <v>80.25</v>
      </c>
      <c r="E32" s="4" t="s">
        <v>1231</v>
      </c>
      <c r="F32" s="4" t="s">
        <v>36</v>
      </c>
      <c r="G32" s="4" t="s">
        <v>37</v>
      </c>
      <c r="H32" s="4" t="s">
        <v>1232</v>
      </c>
      <c r="I32" s="4" t="s">
        <v>1233</v>
      </c>
      <c r="J32" s="4" t="s">
        <v>21</v>
      </c>
      <c r="K32" s="4" t="s">
        <v>1196</v>
      </c>
      <c r="L32" s="4" t="s">
        <v>22</v>
      </c>
      <c r="M32" s="4" t="s">
        <v>23</v>
      </c>
      <c r="N32" s="4" t="s">
        <v>24</v>
      </c>
      <c r="O32" s="4" t="s">
        <v>25</v>
      </c>
      <c r="P32" s="4" t="s">
        <v>26</v>
      </c>
      <c r="Q32" s="4" t="s">
        <v>40</v>
      </c>
      <c r="R32" s="4" t="s">
        <v>28</v>
      </c>
      <c r="S32" s="4" t="s">
        <v>22</v>
      </c>
    </row>
    <row r="33" spans="1:19" ht="15">
      <c r="A33" s="2">
        <v>44258</v>
      </c>
      <c r="B33">
        <v>3</v>
      </c>
      <c r="C33">
        <v>2021</v>
      </c>
      <c r="D33" s="5">
        <v>1577.5999999999999</v>
      </c>
      <c r="E33" s="4" t="s">
        <v>1234</v>
      </c>
      <c r="F33" s="4" t="s">
        <v>59</v>
      </c>
      <c r="G33" s="4" t="s">
        <v>60</v>
      </c>
      <c r="H33" s="4" t="s">
        <v>1235</v>
      </c>
      <c r="I33" s="4" t="s">
        <v>1236</v>
      </c>
      <c r="J33" s="4" t="s">
        <v>21</v>
      </c>
      <c r="K33" s="4" t="s">
        <v>1237</v>
      </c>
      <c r="L33" s="4" t="s">
        <v>22</v>
      </c>
      <c r="M33" s="4" t="s">
        <v>23</v>
      </c>
      <c r="N33" s="4" t="s">
        <v>24</v>
      </c>
      <c r="O33" s="4" t="s">
        <v>25</v>
      </c>
      <c r="P33" s="4" t="s">
        <v>26</v>
      </c>
      <c r="Q33" s="4" t="s">
        <v>27</v>
      </c>
      <c r="R33" s="4" t="s">
        <v>28</v>
      </c>
      <c r="S33" s="4" t="s">
        <v>22</v>
      </c>
    </row>
    <row r="34" spans="1:19" ht="15">
      <c r="A34" s="2">
        <v>44265</v>
      </c>
      <c r="B34">
        <v>3</v>
      </c>
      <c r="C34">
        <v>2021</v>
      </c>
      <c r="D34" s="7">
        <v>65.25</v>
      </c>
      <c r="E34" s="4" t="s">
        <v>1238</v>
      </c>
      <c r="F34" s="4" t="s">
        <v>36</v>
      </c>
      <c r="G34" s="4" t="s">
        <v>37</v>
      </c>
      <c r="H34" s="4" t="s">
        <v>1239</v>
      </c>
      <c r="I34" s="4" t="s">
        <v>1240</v>
      </c>
      <c r="J34" s="4" t="s">
        <v>21</v>
      </c>
      <c r="K34" s="4" t="s">
        <v>1241</v>
      </c>
      <c r="L34" s="4" t="s">
        <v>22</v>
      </c>
      <c r="M34" s="4" t="s">
        <v>23</v>
      </c>
      <c r="N34" s="4" t="s">
        <v>24</v>
      </c>
      <c r="O34" s="4" t="s">
        <v>25</v>
      </c>
      <c r="P34" s="4" t="s">
        <v>26</v>
      </c>
      <c r="Q34" s="4" t="s">
        <v>40</v>
      </c>
      <c r="R34" s="4" t="s">
        <v>28</v>
      </c>
      <c r="S34" s="4" t="s">
        <v>22</v>
      </c>
    </row>
    <row r="35" spans="1:19" ht="15">
      <c r="A35" s="2">
        <v>44279</v>
      </c>
      <c r="B35">
        <v>3</v>
      </c>
      <c r="C35">
        <v>2021</v>
      </c>
      <c r="D35" s="5">
        <v>157147.92000000001</v>
      </c>
      <c r="E35" s="4" t="s">
        <v>1242</v>
      </c>
      <c r="F35" s="4" t="s">
        <v>44</v>
      </c>
      <c r="G35" s="4" t="s">
        <v>45</v>
      </c>
      <c r="H35" s="4" t="s">
        <v>1243</v>
      </c>
      <c r="I35" s="4" t="s">
        <v>1244</v>
      </c>
      <c r="J35" s="4" t="s">
        <v>31</v>
      </c>
      <c r="K35" s="4" t="s">
        <v>1245</v>
      </c>
      <c r="L35" s="4" t="s">
        <v>22</v>
      </c>
      <c r="M35" s="4" t="s">
        <v>23</v>
      </c>
      <c r="N35" s="4" t="s">
        <v>32</v>
      </c>
      <c r="O35" s="4" t="s">
        <v>28</v>
      </c>
      <c r="P35" s="4" t="s">
        <v>26</v>
      </c>
      <c r="Q35" s="4" t="s">
        <v>27</v>
      </c>
      <c r="R35" s="4" t="s">
        <v>28</v>
      </c>
      <c r="S35" s="4" t="s">
        <v>22</v>
      </c>
    </row>
    <row r="36" spans="1:19" ht="15">
      <c r="A36" s="2">
        <v>44258</v>
      </c>
      <c r="B36">
        <v>3</v>
      </c>
      <c r="C36">
        <v>2021</v>
      </c>
      <c r="D36" s="5">
        <v>4780.6499999999996</v>
      </c>
      <c r="E36" s="4" t="s">
        <v>1234</v>
      </c>
      <c r="F36" s="4" t="s">
        <v>59</v>
      </c>
      <c r="G36" s="4" t="s">
        <v>60</v>
      </c>
      <c r="H36" s="4" t="s">
        <v>1235</v>
      </c>
      <c r="I36" s="4" t="s">
        <v>1236</v>
      </c>
      <c r="J36" s="4" t="s">
        <v>31</v>
      </c>
      <c r="K36" s="4" t="s">
        <v>1246</v>
      </c>
      <c r="L36" s="4" t="s">
        <v>22</v>
      </c>
      <c r="M36" s="4" t="s">
        <v>23</v>
      </c>
      <c r="N36" s="4" t="s">
        <v>32</v>
      </c>
      <c r="O36" s="4" t="s">
        <v>28</v>
      </c>
      <c r="P36" s="4" t="s">
        <v>26</v>
      </c>
      <c r="Q36" s="4" t="s">
        <v>27</v>
      </c>
      <c r="R36" s="4" t="s">
        <v>28</v>
      </c>
      <c r="S36" s="4" t="s">
        <v>22</v>
      </c>
    </row>
    <row r="37" spans="1:19" ht="15">
      <c r="A37" s="2">
        <v>44265</v>
      </c>
      <c r="B37">
        <v>3</v>
      </c>
      <c r="C37">
        <v>2021</v>
      </c>
      <c r="D37" s="7">
        <v>181.25</v>
      </c>
      <c r="E37" s="4" t="s">
        <v>1238</v>
      </c>
      <c r="F37" s="4" t="s">
        <v>36</v>
      </c>
      <c r="G37" s="4" t="s">
        <v>37</v>
      </c>
      <c r="H37" s="4" t="s">
        <v>1239</v>
      </c>
      <c r="I37" s="4" t="s">
        <v>1240</v>
      </c>
      <c r="J37" s="4" t="s">
        <v>31</v>
      </c>
      <c r="K37" s="4" t="s">
        <v>1247</v>
      </c>
      <c r="L37" s="4" t="s">
        <v>22</v>
      </c>
      <c r="M37" s="4" t="s">
        <v>23</v>
      </c>
      <c r="N37" s="4" t="s">
        <v>32</v>
      </c>
      <c r="O37" s="4" t="s">
        <v>28</v>
      </c>
      <c r="P37" s="4" t="s">
        <v>26</v>
      </c>
      <c r="Q37" s="4" t="s">
        <v>27</v>
      </c>
      <c r="R37" s="4" t="s">
        <v>28</v>
      </c>
      <c r="S37" s="4" t="s">
        <v>22</v>
      </c>
    </row>
    <row r="38" spans="1:19" ht="15">
      <c r="A38" s="2">
        <v>44279</v>
      </c>
      <c r="B38">
        <v>3</v>
      </c>
      <c r="C38">
        <v>2021</v>
      </c>
      <c r="D38" s="7">
        <v>2193.0999999999999</v>
      </c>
      <c r="E38" s="4" t="s">
        <v>1248</v>
      </c>
      <c r="F38" s="4" t="s">
        <v>29</v>
      </c>
      <c r="G38" s="4" t="s">
        <v>30</v>
      </c>
      <c r="H38" s="4" t="s">
        <v>1249</v>
      </c>
      <c r="I38" s="4" t="s">
        <v>1250</v>
      </c>
      <c r="J38" s="4" t="s">
        <v>31</v>
      </c>
      <c r="K38" s="4" t="s">
        <v>1245</v>
      </c>
      <c r="L38" s="4" t="s">
        <v>22</v>
      </c>
      <c r="M38" s="4" t="s">
        <v>23</v>
      </c>
      <c r="N38" s="4" t="s">
        <v>32</v>
      </c>
      <c r="O38" s="4" t="s">
        <v>28</v>
      </c>
      <c r="P38" s="4" t="s">
        <v>26</v>
      </c>
      <c r="Q38" s="4" t="s">
        <v>27</v>
      </c>
      <c r="R38" s="4" t="s">
        <v>28</v>
      </c>
      <c r="S38" s="4" t="s">
        <v>22</v>
      </c>
    </row>
    <row r="39" spans="1:19" ht="15">
      <c r="A39" s="2">
        <v>44279</v>
      </c>
      <c r="B39">
        <v>3</v>
      </c>
      <c r="C39">
        <v>2021</v>
      </c>
      <c r="D39" s="7">
        <v>181.25</v>
      </c>
      <c r="E39" s="4" t="s">
        <v>1251</v>
      </c>
      <c r="F39" s="4" t="s">
        <v>36</v>
      </c>
      <c r="G39" s="4" t="s">
        <v>37</v>
      </c>
      <c r="H39" s="4" t="s">
        <v>1252</v>
      </c>
      <c r="I39" s="4" t="s">
        <v>1253</v>
      </c>
      <c r="J39" s="4" t="s">
        <v>31</v>
      </c>
      <c r="K39" s="4" t="s">
        <v>1245</v>
      </c>
      <c r="L39" s="4" t="s">
        <v>22</v>
      </c>
      <c r="M39" s="4" t="s">
        <v>23</v>
      </c>
      <c r="N39" s="4" t="s">
        <v>32</v>
      </c>
      <c r="O39" s="4" t="s">
        <v>28</v>
      </c>
      <c r="P39" s="4" t="s">
        <v>26</v>
      </c>
      <c r="Q39" s="4" t="s">
        <v>27</v>
      </c>
      <c r="R39" s="4" t="s">
        <v>28</v>
      </c>
      <c r="S39" s="4" t="s">
        <v>22</v>
      </c>
    </row>
    <row r="40" spans="1:19" ht="15">
      <c r="A40" s="2">
        <v>44279</v>
      </c>
      <c r="B40">
        <v>3</v>
      </c>
      <c r="C40">
        <v>2021</v>
      </c>
      <c r="D40" s="5">
        <v>2303.4000000000001</v>
      </c>
      <c r="E40" s="4" t="s">
        <v>1254</v>
      </c>
      <c r="F40" s="4" t="s">
        <v>54</v>
      </c>
      <c r="G40" s="4" t="s">
        <v>55</v>
      </c>
      <c r="H40" s="4" t="s">
        <v>1255</v>
      </c>
      <c r="I40" s="4" t="s">
        <v>1256</v>
      </c>
      <c r="J40" s="4" t="s">
        <v>21</v>
      </c>
      <c r="K40" s="4" t="s">
        <v>1257</v>
      </c>
      <c r="L40" s="4" t="s">
        <v>22</v>
      </c>
      <c r="M40" s="4" t="s">
        <v>23</v>
      </c>
      <c r="N40" s="4" t="s">
        <v>24</v>
      </c>
      <c r="O40" s="4" t="s">
        <v>25</v>
      </c>
      <c r="P40" s="4" t="s">
        <v>43</v>
      </c>
      <c r="Q40" s="4" t="s">
        <v>40</v>
      </c>
      <c r="R40" s="4" t="s">
        <v>28</v>
      </c>
      <c r="S40" s="4" t="s">
        <v>22</v>
      </c>
    </row>
    <row r="41" spans="1:19" ht="15">
      <c r="A41" s="2">
        <v>44279</v>
      </c>
      <c r="B41">
        <v>3</v>
      </c>
      <c r="C41">
        <v>2021</v>
      </c>
      <c r="D41" s="7">
        <v>65.25</v>
      </c>
      <c r="E41" s="4" t="s">
        <v>1251</v>
      </c>
      <c r="F41" s="4" t="s">
        <v>36</v>
      </c>
      <c r="G41" s="4" t="s">
        <v>37</v>
      </c>
      <c r="H41" s="4" t="s">
        <v>1252</v>
      </c>
      <c r="I41" s="4" t="s">
        <v>1253</v>
      </c>
      <c r="J41" s="4" t="s">
        <v>21</v>
      </c>
      <c r="K41" s="4" t="s">
        <v>1257</v>
      </c>
      <c r="L41" s="4" t="s">
        <v>22</v>
      </c>
      <c r="M41" s="4" t="s">
        <v>23</v>
      </c>
      <c r="N41" s="4" t="s">
        <v>24</v>
      </c>
      <c r="O41" s="4" t="s">
        <v>25</v>
      </c>
      <c r="P41" s="4" t="s">
        <v>26</v>
      </c>
      <c r="Q41" s="4" t="s">
        <v>40</v>
      </c>
      <c r="R41" s="4" t="s">
        <v>28</v>
      </c>
      <c r="S41" s="4" t="s">
        <v>22</v>
      </c>
    </row>
    <row r="42" spans="1:19" ht="15">
      <c r="A42" s="2">
        <v>44279</v>
      </c>
      <c r="B42">
        <v>3</v>
      </c>
      <c r="C42">
        <v>2021</v>
      </c>
      <c r="D42" s="5">
        <v>6919</v>
      </c>
      <c r="E42" s="4" t="s">
        <v>1254</v>
      </c>
      <c r="F42" s="4" t="s">
        <v>54</v>
      </c>
      <c r="G42" s="4" t="s">
        <v>55</v>
      </c>
      <c r="H42" s="4" t="s">
        <v>1255</v>
      </c>
      <c r="I42" s="4" t="s">
        <v>1256</v>
      </c>
      <c r="J42" s="4" t="s">
        <v>31</v>
      </c>
      <c r="K42" s="4" t="s">
        <v>1245</v>
      </c>
      <c r="L42" s="4" t="s">
        <v>22</v>
      </c>
      <c r="M42" s="4" t="s">
        <v>23</v>
      </c>
      <c r="N42" s="4" t="s">
        <v>32</v>
      </c>
      <c r="O42" s="4" t="s">
        <v>28</v>
      </c>
      <c r="P42" s="4" t="s">
        <v>43</v>
      </c>
      <c r="Q42" s="4" t="s">
        <v>27</v>
      </c>
      <c r="R42" s="4" t="s">
        <v>28</v>
      </c>
      <c r="S42" s="4" t="s">
        <v>22</v>
      </c>
    </row>
    <row r="43" spans="1:19" ht="15">
      <c r="A43" s="2">
        <v>44280</v>
      </c>
      <c r="B43">
        <v>3</v>
      </c>
      <c r="C43">
        <v>2021</v>
      </c>
      <c r="D43" s="5">
        <v>1987.6199999999999</v>
      </c>
      <c r="E43" s="4" t="s">
        <v>1258</v>
      </c>
      <c r="F43" s="4" t="s">
        <v>51</v>
      </c>
      <c r="G43" s="4" t="s">
        <v>52</v>
      </c>
      <c r="H43" s="4" t="s">
        <v>1259</v>
      </c>
      <c r="I43" s="4" t="s">
        <v>1260</v>
      </c>
      <c r="J43" s="4" t="s">
        <v>21</v>
      </c>
      <c r="K43" s="4" t="s">
        <v>388</v>
      </c>
      <c r="L43" s="4" t="s">
        <v>22</v>
      </c>
      <c r="M43" s="4" t="s">
        <v>23</v>
      </c>
      <c r="N43" s="4" t="s">
        <v>24</v>
      </c>
      <c r="O43" s="4" t="s">
        <v>25</v>
      </c>
      <c r="P43" s="4" t="s">
        <v>49</v>
      </c>
      <c r="Q43" s="4" t="s">
        <v>53</v>
      </c>
      <c r="R43" s="4" t="s">
        <v>28</v>
      </c>
      <c r="S43" s="4" t="s">
        <v>22</v>
      </c>
    </row>
    <row r="44" spans="1:19" ht="15">
      <c r="A44" s="2">
        <v>44267</v>
      </c>
      <c r="B44">
        <v>3</v>
      </c>
      <c r="C44">
        <v>2021</v>
      </c>
      <c r="D44" s="5">
        <v>11909.389999999999</v>
      </c>
      <c r="E44" s="4" t="s">
        <v>1261</v>
      </c>
      <c r="F44" s="4" t="s">
        <v>46</v>
      </c>
      <c r="G44" s="4" t="s">
        <v>47</v>
      </c>
      <c r="H44" s="4" t="s">
        <v>1262</v>
      </c>
      <c r="I44" s="4" t="s">
        <v>1263</v>
      </c>
      <c r="J44" s="4" t="s">
        <v>31</v>
      </c>
      <c r="K44" s="4" t="s">
        <v>291</v>
      </c>
      <c r="L44" s="4" t="s">
        <v>22</v>
      </c>
      <c r="M44" s="4" t="s">
        <v>23</v>
      </c>
      <c r="N44" s="4" t="s">
        <v>32</v>
      </c>
      <c r="O44" s="4" t="s">
        <v>28</v>
      </c>
      <c r="P44" s="4" t="s">
        <v>26</v>
      </c>
      <c r="Q44" s="4" t="s">
        <v>27</v>
      </c>
      <c r="R44" s="4" t="s">
        <v>28</v>
      </c>
      <c r="S44" s="4" t="s">
        <v>22</v>
      </c>
    </row>
    <row r="45" spans="1:19" ht="15">
      <c r="A45" s="2">
        <v>44279</v>
      </c>
      <c r="B45">
        <v>3</v>
      </c>
      <c r="C45">
        <v>2021</v>
      </c>
      <c r="D45" s="7">
        <v>558.04999999999995</v>
      </c>
      <c r="E45" s="4" t="s">
        <v>1248</v>
      </c>
      <c r="F45" s="4" t="s">
        <v>29</v>
      </c>
      <c r="G45" s="4" t="s">
        <v>30</v>
      </c>
      <c r="H45" s="4" t="s">
        <v>1249</v>
      </c>
      <c r="I45" s="4" t="s">
        <v>1250</v>
      </c>
      <c r="J45" s="4" t="s">
        <v>21</v>
      </c>
      <c r="K45" s="4" t="s">
        <v>1257</v>
      </c>
      <c r="L45" s="4" t="s">
        <v>22</v>
      </c>
      <c r="M45" s="4" t="s">
        <v>23</v>
      </c>
      <c r="N45" s="4" t="s">
        <v>24</v>
      </c>
      <c r="O45" s="4" t="s">
        <v>25</v>
      </c>
      <c r="P45" s="4" t="s">
        <v>26</v>
      </c>
      <c r="Q45" s="4" t="s">
        <v>40</v>
      </c>
      <c r="R45" s="4" t="s">
        <v>28</v>
      </c>
      <c r="S45" s="4" t="s">
        <v>22</v>
      </c>
    </row>
    <row r="46" spans="1:19" ht="15">
      <c r="A46" s="2">
        <v>44260</v>
      </c>
      <c r="B46">
        <v>3</v>
      </c>
      <c r="C46">
        <v>2021</v>
      </c>
      <c r="D46" s="7">
        <v>2189</v>
      </c>
      <c r="E46" s="4" t="s">
        <v>1264</v>
      </c>
      <c r="F46" s="4" t="s">
        <v>29</v>
      </c>
      <c r="G46" s="4" t="s">
        <v>30</v>
      </c>
      <c r="H46" s="4" t="s">
        <v>1265</v>
      </c>
      <c r="I46" s="4" t="s">
        <v>1266</v>
      </c>
      <c r="J46" s="4" t="s">
        <v>31</v>
      </c>
      <c r="K46" s="4" t="s">
        <v>1267</v>
      </c>
      <c r="L46" s="4" t="s">
        <v>22</v>
      </c>
      <c r="M46" s="4" t="s">
        <v>23</v>
      </c>
      <c r="N46" s="4" t="s">
        <v>32</v>
      </c>
      <c r="O46" s="4" t="s">
        <v>28</v>
      </c>
      <c r="P46" s="4" t="s">
        <v>26</v>
      </c>
      <c r="Q46" s="4" t="s">
        <v>27</v>
      </c>
      <c r="R46" s="4" t="s">
        <v>28</v>
      </c>
      <c r="S46" s="4" t="s">
        <v>22</v>
      </c>
    </row>
    <row r="47" spans="1:19" ht="15">
      <c r="A47" s="2">
        <v>44267</v>
      </c>
      <c r="B47">
        <v>3</v>
      </c>
      <c r="C47">
        <v>2021</v>
      </c>
      <c r="D47" s="5">
        <v>3981.8699999999999</v>
      </c>
      <c r="E47" s="4" t="s">
        <v>1261</v>
      </c>
      <c r="F47" s="4" t="s">
        <v>46</v>
      </c>
      <c r="G47" s="4" t="s">
        <v>47</v>
      </c>
      <c r="H47" s="4" t="s">
        <v>1262</v>
      </c>
      <c r="I47" s="4" t="s">
        <v>1263</v>
      </c>
      <c r="J47" s="4" t="s">
        <v>21</v>
      </c>
      <c r="K47" s="4" t="s">
        <v>326</v>
      </c>
      <c r="L47" s="4" t="s">
        <v>22</v>
      </c>
      <c r="M47" s="4" t="s">
        <v>23</v>
      </c>
      <c r="N47" s="4" t="s">
        <v>24</v>
      </c>
      <c r="O47" s="4" t="s">
        <v>25</v>
      </c>
      <c r="P47" s="4" t="s">
        <v>26</v>
      </c>
      <c r="Q47" s="4" t="s">
        <v>40</v>
      </c>
      <c r="R47" s="4" t="s">
        <v>28</v>
      </c>
      <c r="S47" s="4" t="s">
        <v>22</v>
      </c>
    </row>
    <row r="48" spans="1:19" ht="15">
      <c r="A48" s="2">
        <v>44260</v>
      </c>
      <c r="B48">
        <v>3</v>
      </c>
      <c r="C48">
        <v>2021</v>
      </c>
      <c r="D48" s="7">
        <v>557.5</v>
      </c>
      <c r="E48" s="4" t="s">
        <v>1264</v>
      </c>
      <c r="F48" s="4" t="s">
        <v>29</v>
      </c>
      <c r="G48" s="4" t="s">
        <v>30</v>
      </c>
      <c r="H48" s="4" t="s">
        <v>1265</v>
      </c>
      <c r="I48" s="4" t="s">
        <v>1266</v>
      </c>
      <c r="J48" s="4" t="s">
        <v>21</v>
      </c>
      <c r="K48" s="4" t="s">
        <v>1268</v>
      </c>
      <c r="L48" s="4" t="s">
        <v>22</v>
      </c>
      <c r="M48" s="4" t="s">
        <v>23</v>
      </c>
      <c r="N48" s="4" t="s">
        <v>24</v>
      </c>
      <c r="O48" s="4" t="s">
        <v>25</v>
      </c>
      <c r="P48" s="4" t="s">
        <v>26</v>
      </c>
      <c r="Q48" s="4" t="s">
        <v>40</v>
      </c>
      <c r="R48" s="4" t="s">
        <v>28</v>
      </c>
      <c r="S48" s="4" t="s">
        <v>22</v>
      </c>
    </row>
    <row r="49" spans="1:19" ht="15">
      <c r="A49" s="2">
        <v>44279</v>
      </c>
      <c r="B49">
        <v>3</v>
      </c>
      <c r="C49">
        <v>2021</v>
      </c>
      <c r="D49" s="5">
        <v>53555.559999999998</v>
      </c>
      <c r="E49" s="4" t="s">
        <v>1242</v>
      </c>
      <c r="F49" s="4" t="s">
        <v>44</v>
      </c>
      <c r="G49" s="4" t="s">
        <v>45</v>
      </c>
      <c r="H49" s="4" t="s">
        <v>1243</v>
      </c>
      <c r="I49" s="4" t="s">
        <v>1244</v>
      </c>
      <c r="J49" s="4" t="s">
        <v>21</v>
      </c>
      <c r="K49" s="4" t="s">
        <v>1257</v>
      </c>
      <c r="L49" s="4" t="s">
        <v>22</v>
      </c>
      <c r="M49" s="4" t="s">
        <v>23</v>
      </c>
      <c r="N49" s="4" t="s">
        <v>24</v>
      </c>
      <c r="O49" s="4" t="s">
        <v>25</v>
      </c>
      <c r="P49" s="4" t="s">
        <v>26</v>
      </c>
      <c r="Q49" s="4" t="s">
        <v>40</v>
      </c>
      <c r="R49" s="4" t="s">
        <v>28</v>
      </c>
      <c r="S49" s="4" t="s">
        <v>22</v>
      </c>
    </row>
    <row r="50" spans="1:19" ht="15">
      <c r="A50" s="2">
        <v>44280</v>
      </c>
      <c r="B50">
        <v>3</v>
      </c>
      <c r="C50">
        <v>2021</v>
      </c>
      <c r="D50" s="5">
        <v>6327.8900000000003</v>
      </c>
      <c r="E50" s="4" t="s">
        <v>1258</v>
      </c>
      <c r="F50" s="4" t="s">
        <v>51</v>
      </c>
      <c r="G50" s="4" t="s">
        <v>52</v>
      </c>
      <c r="H50" s="4" t="s">
        <v>1259</v>
      </c>
      <c r="I50" s="4" t="s">
        <v>1260</v>
      </c>
      <c r="J50" s="4" t="s">
        <v>31</v>
      </c>
      <c r="K50" s="4" t="s">
        <v>372</v>
      </c>
      <c r="L50" s="4" t="s">
        <v>22</v>
      </c>
      <c r="M50" s="4" t="s">
        <v>23</v>
      </c>
      <c r="N50" s="4" t="s">
        <v>32</v>
      </c>
      <c r="O50" s="4" t="s">
        <v>34</v>
      </c>
      <c r="P50" s="4" t="s">
        <v>49</v>
      </c>
      <c r="Q50" s="4" t="s">
        <v>53</v>
      </c>
      <c r="R50" s="4" t="s">
        <v>28</v>
      </c>
      <c r="S50" s="4" t="s">
        <v>22</v>
      </c>
    </row>
    <row r="51" spans="1:19" ht="15">
      <c r="A51" s="2">
        <v>44313</v>
      </c>
      <c r="B51">
        <v>4</v>
      </c>
      <c r="C51">
        <v>2021</v>
      </c>
      <c r="D51" s="5">
        <v>49531.599999999999</v>
      </c>
      <c r="E51" s="4" t="s">
        <v>1269</v>
      </c>
      <c r="F51" s="4" t="s">
        <v>44</v>
      </c>
      <c r="G51" s="4" t="s">
        <v>45</v>
      </c>
      <c r="H51" s="4" t="s">
        <v>1270</v>
      </c>
      <c r="I51" s="4" t="s">
        <v>1271</v>
      </c>
      <c r="J51" s="4" t="s">
        <v>21</v>
      </c>
      <c r="K51" s="4" t="s">
        <v>1272</v>
      </c>
      <c r="L51" s="4" t="s">
        <v>22</v>
      </c>
      <c r="M51" s="4" t="s">
        <v>23</v>
      </c>
      <c r="N51" s="4" t="s">
        <v>24</v>
      </c>
      <c r="O51" s="4" t="s">
        <v>25</v>
      </c>
      <c r="P51" s="4" t="s">
        <v>26</v>
      </c>
      <c r="Q51" s="4" t="s">
        <v>40</v>
      </c>
      <c r="R51" s="4" t="s">
        <v>28</v>
      </c>
      <c r="S51" s="4" t="s">
        <v>22</v>
      </c>
    </row>
    <row r="52" spans="1:19" ht="15">
      <c r="A52" s="2">
        <v>44315</v>
      </c>
      <c r="B52">
        <v>4</v>
      </c>
      <c r="C52">
        <v>2021</v>
      </c>
      <c r="D52" s="5">
        <v>2036.1500000000001</v>
      </c>
      <c r="E52" s="4" t="s">
        <v>1273</v>
      </c>
      <c r="F52" s="4" t="s">
        <v>51</v>
      </c>
      <c r="G52" s="4" t="s">
        <v>52</v>
      </c>
      <c r="H52" s="4" t="s">
        <v>1274</v>
      </c>
      <c r="I52" s="4" t="s">
        <v>1275</v>
      </c>
      <c r="J52" s="4" t="s">
        <v>21</v>
      </c>
      <c r="K52" s="4" t="s">
        <v>418</v>
      </c>
      <c r="L52" s="4" t="s">
        <v>22</v>
      </c>
      <c r="M52" s="4" t="s">
        <v>23</v>
      </c>
      <c r="N52" s="4" t="s">
        <v>24</v>
      </c>
      <c r="O52" s="4" t="s">
        <v>25</v>
      </c>
      <c r="P52" s="4" t="s">
        <v>49</v>
      </c>
      <c r="Q52" s="4" t="s">
        <v>53</v>
      </c>
      <c r="R52" s="4" t="s">
        <v>28</v>
      </c>
      <c r="S52" s="4" t="s">
        <v>22</v>
      </c>
    </row>
    <row r="53" spans="1:19" ht="15">
      <c r="A53" s="2">
        <v>44315</v>
      </c>
      <c r="B53">
        <v>4</v>
      </c>
      <c r="C53">
        <v>2021</v>
      </c>
      <c r="D53" s="5">
        <v>1584.8499999999999</v>
      </c>
      <c r="E53" s="4" t="s">
        <v>1276</v>
      </c>
      <c r="F53" s="4" t="s">
        <v>59</v>
      </c>
      <c r="G53" s="4" t="s">
        <v>60</v>
      </c>
      <c r="H53" s="4" t="s">
        <v>1277</v>
      </c>
      <c r="I53" s="4" t="s">
        <v>1278</v>
      </c>
      <c r="J53" s="4" t="s">
        <v>21</v>
      </c>
      <c r="K53" s="4" t="s">
        <v>418</v>
      </c>
      <c r="L53" s="4" t="s">
        <v>22</v>
      </c>
      <c r="M53" s="4" t="s">
        <v>23</v>
      </c>
      <c r="N53" s="4" t="s">
        <v>24</v>
      </c>
      <c r="O53" s="4" t="s">
        <v>25</v>
      </c>
      <c r="P53" s="4" t="s">
        <v>26</v>
      </c>
      <c r="Q53" s="4" t="s">
        <v>27</v>
      </c>
      <c r="R53" s="4" t="s">
        <v>28</v>
      </c>
      <c r="S53" s="4" t="s">
        <v>22</v>
      </c>
    </row>
    <row r="54" spans="1:19" ht="15">
      <c r="A54" s="2">
        <v>44306</v>
      </c>
      <c r="B54">
        <v>4</v>
      </c>
      <c r="C54">
        <v>2021</v>
      </c>
      <c r="D54" s="5">
        <v>3989.3699999999999</v>
      </c>
      <c r="E54" s="4" t="s">
        <v>1279</v>
      </c>
      <c r="F54" s="4" t="s">
        <v>46</v>
      </c>
      <c r="G54" s="4" t="s">
        <v>47</v>
      </c>
      <c r="H54" s="4" t="s">
        <v>1280</v>
      </c>
      <c r="I54" s="4" t="s">
        <v>1281</v>
      </c>
      <c r="J54" s="4" t="s">
        <v>21</v>
      </c>
      <c r="K54" s="4" t="s">
        <v>1282</v>
      </c>
      <c r="L54" s="4" t="s">
        <v>22</v>
      </c>
      <c r="M54" s="4" t="s">
        <v>23</v>
      </c>
      <c r="N54" s="4" t="s">
        <v>24</v>
      </c>
      <c r="O54" s="4" t="s">
        <v>25</v>
      </c>
      <c r="P54" s="4" t="s">
        <v>26</v>
      </c>
      <c r="Q54" s="4" t="s">
        <v>40</v>
      </c>
      <c r="R54" s="4" t="s">
        <v>28</v>
      </c>
      <c r="S54" s="4" t="s">
        <v>22</v>
      </c>
    </row>
    <row r="55" spans="1:19" ht="15">
      <c r="A55" s="2">
        <v>44315</v>
      </c>
      <c r="B55">
        <v>4</v>
      </c>
      <c r="C55">
        <v>2021</v>
      </c>
      <c r="D55" s="5">
        <v>6408.0699999999997</v>
      </c>
      <c r="E55" s="4" t="s">
        <v>1273</v>
      </c>
      <c r="F55" s="4" t="s">
        <v>51</v>
      </c>
      <c r="G55" s="4" t="s">
        <v>52</v>
      </c>
      <c r="H55" s="4" t="s">
        <v>1274</v>
      </c>
      <c r="I55" s="4" t="s">
        <v>1275</v>
      </c>
      <c r="J55" s="4" t="s">
        <v>31</v>
      </c>
      <c r="K55" s="4" t="s">
        <v>422</v>
      </c>
      <c r="L55" s="4" t="s">
        <v>22</v>
      </c>
      <c r="M55" s="4" t="s">
        <v>23</v>
      </c>
      <c r="N55" s="4" t="s">
        <v>32</v>
      </c>
      <c r="O55" s="4" t="s">
        <v>34</v>
      </c>
      <c r="P55" s="4" t="s">
        <v>49</v>
      </c>
      <c r="Q55" s="4" t="s">
        <v>53</v>
      </c>
      <c r="R55" s="4" t="s">
        <v>28</v>
      </c>
      <c r="S55" s="4" t="s">
        <v>22</v>
      </c>
    </row>
    <row r="56" spans="1:19" ht="15">
      <c r="A56" s="2">
        <v>44291</v>
      </c>
      <c r="B56">
        <v>4</v>
      </c>
      <c r="C56">
        <v>2021</v>
      </c>
      <c r="D56" s="5">
        <v>1584.8499999999999</v>
      </c>
      <c r="E56" s="4" t="s">
        <v>1283</v>
      </c>
      <c r="F56" s="4" t="s">
        <v>59</v>
      </c>
      <c r="G56" s="4" t="s">
        <v>60</v>
      </c>
      <c r="H56" s="4" t="s">
        <v>1284</v>
      </c>
      <c r="I56" s="4" t="s">
        <v>1285</v>
      </c>
      <c r="J56" s="4" t="s">
        <v>21</v>
      </c>
      <c r="K56" s="4" t="s">
        <v>1286</v>
      </c>
      <c r="L56" s="4" t="s">
        <v>22</v>
      </c>
      <c r="M56" s="4" t="s">
        <v>23</v>
      </c>
      <c r="N56" s="4" t="s">
        <v>24</v>
      </c>
      <c r="O56" s="4" t="s">
        <v>25</v>
      </c>
      <c r="P56" s="4" t="s">
        <v>26</v>
      </c>
      <c r="Q56" s="4" t="s">
        <v>27</v>
      </c>
      <c r="R56" s="4" t="s">
        <v>28</v>
      </c>
      <c r="S56" s="4" t="s">
        <v>22</v>
      </c>
    </row>
    <row r="57" spans="1:19" ht="15">
      <c r="A57" s="2">
        <v>44306</v>
      </c>
      <c r="B57">
        <v>4</v>
      </c>
      <c r="C57">
        <v>2021</v>
      </c>
      <c r="D57" s="5">
        <v>11931.81</v>
      </c>
      <c r="E57" s="4" t="s">
        <v>1279</v>
      </c>
      <c r="F57" s="4" t="s">
        <v>46</v>
      </c>
      <c r="G57" s="4" t="s">
        <v>47</v>
      </c>
      <c r="H57" s="4" t="s">
        <v>1280</v>
      </c>
      <c r="I57" s="4" t="s">
        <v>1281</v>
      </c>
      <c r="J57" s="4" t="s">
        <v>31</v>
      </c>
      <c r="K57" s="4" t="s">
        <v>1287</v>
      </c>
      <c r="L57" s="4" t="s">
        <v>22</v>
      </c>
      <c r="M57" s="4" t="s">
        <v>23</v>
      </c>
      <c r="N57" s="4" t="s">
        <v>32</v>
      </c>
      <c r="O57" s="4" t="s">
        <v>28</v>
      </c>
      <c r="P57" s="4" t="s">
        <v>26</v>
      </c>
      <c r="Q57" s="4" t="s">
        <v>27</v>
      </c>
      <c r="R57" s="4" t="s">
        <v>28</v>
      </c>
      <c r="S57" s="4" t="s">
        <v>22</v>
      </c>
    </row>
    <row r="58" spans="1:19" ht="15">
      <c r="A58" s="2">
        <v>44315</v>
      </c>
      <c r="B58">
        <v>4</v>
      </c>
      <c r="C58">
        <v>2021</v>
      </c>
      <c r="D58" s="5">
        <v>4786.4499999999998</v>
      </c>
      <c r="E58" s="4" t="s">
        <v>1276</v>
      </c>
      <c r="F58" s="4" t="s">
        <v>59</v>
      </c>
      <c r="G58" s="4" t="s">
        <v>60</v>
      </c>
      <c r="H58" s="4" t="s">
        <v>1277</v>
      </c>
      <c r="I58" s="4" t="s">
        <v>1278</v>
      </c>
      <c r="J58" s="4" t="s">
        <v>31</v>
      </c>
      <c r="K58" s="4" t="s">
        <v>422</v>
      </c>
      <c r="L58" s="4" t="s">
        <v>22</v>
      </c>
      <c r="M58" s="4" t="s">
        <v>23</v>
      </c>
      <c r="N58" s="4" t="s">
        <v>32</v>
      </c>
      <c r="O58" s="4" t="s">
        <v>28</v>
      </c>
      <c r="P58" s="4" t="s">
        <v>26</v>
      </c>
      <c r="Q58" s="4" t="s">
        <v>27</v>
      </c>
      <c r="R58" s="4" t="s">
        <v>28</v>
      </c>
      <c r="S58" s="4" t="s">
        <v>22</v>
      </c>
    </row>
    <row r="59" spans="1:19" ht="15">
      <c r="A59" s="2">
        <v>44313</v>
      </c>
      <c r="B59">
        <v>4</v>
      </c>
      <c r="C59">
        <v>2021</v>
      </c>
      <c r="D59" s="5">
        <v>145504.29999999999</v>
      </c>
      <c r="E59" s="4" t="s">
        <v>1269</v>
      </c>
      <c r="F59" s="4" t="s">
        <v>44</v>
      </c>
      <c r="G59" s="4" t="s">
        <v>45</v>
      </c>
      <c r="H59" s="4" t="s">
        <v>1270</v>
      </c>
      <c r="I59" s="4" t="s">
        <v>1271</v>
      </c>
      <c r="J59" s="4" t="s">
        <v>31</v>
      </c>
      <c r="K59" s="4" t="s">
        <v>1288</v>
      </c>
      <c r="L59" s="4" t="s">
        <v>22</v>
      </c>
      <c r="M59" s="4" t="s">
        <v>23</v>
      </c>
      <c r="N59" s="4" t="s">
        <v>32</v>
      </c>
      <c r="O59" s="4" t="s">
        <v>28</v>
      </c>
      <c r="P59" s="4" t="s">
        <v>26</v>
      </c>
      <c r="Q59" s="4" t="s">
        <v>27</v>
      </c>
      <c r="R59" s="4" t="s">
        <v>28</v>
      </c>
      <c r="S59" s="4" t="s">
        <v>22</v>
      </c>
    </row>
    <row r="60" spans="1:19" ht="15">
      <c r="A60" s="2">
        <v>44313</v>
      </c>
      <c r="B60">
        <v>4</v>
      </c>
      <c r="C60">
        <v>2021</v>
      </c>
      <c r="D60" s="5">
        <v>2266</v>
      </c>
      <c r="E60" s="4" t="s">
        <v>1289</v>
      </c>
      <c r="F60" s="4" t="s">
        <v>54</v>
      </c>
      <c r="G60" s="4" t="s">
        <v>55</v>
      </c>
      <c r="H60" s="4" t="s">
        <v>1290</v>
      </c>
      <c r="I60" s="4" t="s">
        <v>1291</v>
      </c>
      <c r="J60" s="4" t="s">
        <v>21</v>
      </c>
      <c r="K60" s="4" t="s">
        <v>1272</v>
      </c>
      <c r="L60" s="4" t="s">
        <v>22</v>
      </c>
      <c r="M60" s="4" t="s">
        <v>23</v>
      </c>
      <c r="N60" s="4" t="s">
        <v>24</v>
      </c>
      <c r="O60" s="4" t="s">
        <v>25</v>
      </c>
      <c r="P60" s="4" t="s">
        <v>43</v>
      </c>
      <c r="Q60" s="4" t="s">
        <v>40</v>
      </c>
      <c r="R60" s="4" t="s">
        <v>28</v>
      </c>
      <c r="S60" s="4" t="s">
        <v>22</v>
      </c>
    </row>
    <row r="61" spans="1:19" ht="15">
      <c r="A61" s="2">
        <v>44313</v>
      </c>
      <c r="B61">
        <v>4</v>
      </c>
      <c r="C61">
        <v>2021</v>
      </c>
      <c r="D61" s="5">
        <v>6901.3999999999996</v>
      </c>
      <c r="E61" s="4" t="s">
        <v>1289</v>
      </c>
      <c r="F61" s="4" t="s">
        <v>54</v>
      </c>
      <c r="G61" s="4" t="s">
        <v>55</v>
      </c>
      <c r="H61" s="4" t="s">
        <v>1290</v>
      </c>
      <c r="I61" s="4" t="s">
        <v>1291</v>
      </c>
      <c r="J61" s="4" t="s">
        <v>31</v>
      </c>
      <c r="K61" s="4" t="s">
        <v>1288</v>
      </c>
      <c r="L61" s="4" t="s">
        <v>22</v>
      </c>
      <c r="M61" s="4" t="s">
        <v>23</v>
      </c>
      <c r="N61" s="4" t="s">
        <v>32</v>
      </c>
      <c r="O61" s="4" t="s">
        <v>28</v>
      </c>
      <c r="P61" s="4" t="s">
        <v>43</v>
      </c>
      <c r="Q61" s="4" t="s">
        <v>27</v>
      </c>
      <c r="R61" s="4" t="s">
        <v>28</v>
      </c>
      <c r="S61" s="4" t="s">
        <v>22</v>
      </c>
    </row>
    <row r="62" spans="1:19" ht="15">
      <c r="A62" s="2">
        <v>44291</v>
      </c>
      <c r="B62">
        <v>4</v>
      </c>
      <c r="C62">
        <v>2021</v>
      </c>
      <c r="D62" s="5">
        <v>4776.3000000000002</v>
      </c>
      <c r="E62" s="4" t="s">
        <v>1283</v>
      </c>
      <c r="F62" s="4" t="s">
        <v>59</v>
      </c>
      <c r="G62" s="4" t="s">
        <v>60</v>
      </c>
      <c r="H62" s="4" t="s">
        <v>1284</v>
      </c>
      <c r="I62" s="4" t="s">
        <v>1285</v>
      </c>
      <c r="J62" s="4" t="s">
        <v>31</v>
      </c>
      <c r="K62" s="4" t="s">
        <v>1292</v>
      </c>
      <c r="L62" s="4" t="s">
        <v>22</v>
      </c>
      <c r="M62" s="4" t="s">
        <v>23</v>
      </c>
      <c r="N62" s="4" t="s">
        <v>32</v>
      </c>
      <c r="O62" s="4" t="s">
        <v>28</v>
      </c>
      <c r="P62" s="4" t="s">
        <v>26</v>
      </c>
      <c r="Q62" s="4" t="s">
        <v>27</v>
      </c>
      <c r="R62" s="4" t="s">
        <v>28</v>
      </c>
      <c r="S62" s="4" t="s">
        <v>22</v>
      </c>
    </row>
    <row r="63" spans="1:19" ht="15">
      <c r="A63" s="2">
        <v>44322</v>
      </c>
      <c r="B63">
        <v>5</v>
      </c>
      <c r="C63">
        <v>2021</v>
      </c>
      <c r="D63" s="7">
        <v>3</v>
      </c>
      <c r="E63" s="4" t="s">
        <v>1293</v>
      </c>
      <c r="F63" s="4" t="s">
        <v>38</v>
      </c>
      <c r="G63" s="4" t="s">
        <v>39</v>
      </c>
      <c r="H63" s="4" t="s">
        <v>1294</v>
      </c>
      <c r="I63" s="4" t="s">
        <v>1295</v>
      </c>
      <c r="J63" s="4" t="s">
        <v>31</v>
      </c>
      <c r="K63" s="4" t="s">
        <v>1296</v>
      </c>
      <c r="L63" s="4" t="s">
        <v>22</v>
      </c>
      <c r="M63" s="4" t="s">
        <v>23</v>
      </c>
      <c r="N63" s="4" t="s">
        <v>32</v>
      </c>
      <c r="O63" s="4" t="s">
        <v>28</v>
      </c>
      <c r="P63" s="4" t="s">
        <v>26</v>
      </c>
      <c r="Q63" s="4" t="s">
        <v>27</v>
      </c>
      <c r="R63" s="4" t="s">
        <v>28</v>
      </c>
      <c r="S63" s="4" t="s">
        <v>22</v>
      </c>
    </row>
    <row r="64" spans="1:19" ht="15">
      <c r="A64" s="2">
        <v>44322</v>
      </c>
      <c r="B64">
        <v>5</v>
      </c>
      <c r="C64">
        <v>2021</v>
      </c>
      <c r="D64" s="7">
        <v>553.89999999999998</v>
      </c>
      <c r="E64" s="4" t="s">
        <v>1297</v>
      </c>
      <c r="F64" s="4" t="s">
        <v>29</v>
      </c>
      <c r="G64" s="4" t="s">
        <v>30</v>
      </c>
      <c r="H64" s="4" t="s">
        <v>1298</v>
      </c>
      <c r="I64" s="4" t="s">
        <v>1299</v>
      </c>
      <c r="J64" s="4" t="s">
        <v>21</v>
      </c>
      <c r="K64" s="4" t="s">
        <v>1300</v>
      </c>
      <c r="L64" s="4" t="s">
        <v>22</v>
      </c>
      <c r="M64" s="4" t="s">
        <v>23</v>
      </c>
      <c r="N64" s="4" t="s">
        <v>24</v>
      </c>
      <c r="O64" s="4" t="s">
        <v>25</v>
      </c>
      <c r="P64" s="4" t="s">
        <v>26</v>
      </c>
      <c r="Q64" s="4" t="s">
        <v>40</v>
      </c>
      <c r="R64" s="4" t="s">
        <v>28</v>
      </c>
      <c r="S64" s="4" t="s">
        <v>22</v>
      </c>
    </row>
    <row r="65" spans="1:19" ht="15">
      <c r="A65" s="2">
        <v>44322</v>
      </c>
      <c r="B65">
        <v>5</v>
      </c>
      <c r="C65">
        <v>2021</v>
      </c>
      <c r="D65" s="7">
        <v>0.5</v>
      </c>
      <c r="E65" s="4" t="s">
        <v>1293</v>
      </c>
      <c r="F65" s="4" t="s">
        <v>38</v>
      </c>
      <c r="G65" s="4" t="s">
        <v>39</v>
      </c>
      <c r="H65" s="4" t="s">
        <v>1294</v>
      </c>
      <c r="I65" s="4" t="s">
        <v>1295</v>
      </c>
      <c r="J65" s="4" t="s">
        <v>21</v>
      </c>
      <c r="K65" s="4" t="s">
        <v>1300</v>
      </c>
      <c r="L65" s="4" t="s">
        <v>22</v>
      </c>
      <c r="M65" s="4" t="s">
        <v>23</v>
      </c>
      <c r="N65" s="4" t="s">
        <v>24</v>
      </c>
      <c r="O65" s="4" t="s">
        <v>25</v>
      </c>
      <c r="P65" s="4" t="s">
        <v>26</v>
      </c>
      <c r="Q65" s="4" t="s">
        <v>40</v>
      </c>
      <c r="R65" s="4" t="s">
        <v>28</v>
      </c>
      <c r="S65" s="4" t="s">
        <v>22</v>
      </c>
    </row>
    <row r="66" spans="1:19" ht="15">
      <c r="A66" s="2">
        <v>44344</v>
      </c>
      <c r="B66">
        <v>5</v>
      </c>
      <c r="C66">
        <v>2021</v>
      </c>
      <c r="D66" s="5">
        <v>1576.1500000000001</v>
      </c>
      <c r="E66" s="4" t="s">
        <v>1301</v>
      </c>
      <c r="F66" s="4" t="s">
        <v>59</v>
      </c>
      <c r="G66" s="4" t="s">
        <v>60</v>
      </c>
      <c r="H66" s="4" t="s">
        <v>1302</v>
      </c>
      <c r="I66" s="4" t="s">
        <v>1303</v>
      </c>
      <c r="J66" s="4" t="s">
        <v>21</v>
      </c>
      <c r="K66" s="4" t="s">
        <v>526</v>
      </c>
      <c r="L66" s="4" t="s">
        <v>22</v>
      </c>
      <c r="M66" s="4" t="s">
        <v>23</v>
      </c>
      <c r="N66" s="4" t="s">
        <v>24</v>
      </c>
      <c r="O66" s="4" t="s">
        <v>25</v>
      </c>
      <c r="P66" s="4" t="s">
        <v>26</v>
      </c>
      <c r="Q66" s="4" t="s">
        <v>27</v>
      </c>
      <c r="R66" s="4" t="s">
        <v>28</v>
      </c>
      <c r="S66" s="4" t="s">
        <v>22</v>
      </c>
    </row>
    <row r="67" spans="1:19" ht="15">
      <c r="A67" s="2">
        <v>44344</v>
      </c>
      <c r="B67">
        <v>5</v>
      </c>
      <c r="C67">
        <v>2021</v>
      </c>
      <c r="D67" s="7">
        <v>552.89999999999998</v>
      </c>
      <c r="E67" s="4" t="s">
        <v>1304</v>
      </c>
      <c r="F67" s="4" t="s">
        <v>29</v>
      </c>
      <c r="G67" s="4" t="s">
        <v>30</v>
      </c>
      <c r="H67" s="4" t="s">
        <v>1305</v>
      </c>
      <c r="I67" s="4" t="s">
        <v>1306</v>
      </c>
      <c r="J67" s="4" t="s">
        <v>21</v>
      </c>
      <c r="K67" s="4" t="s">
        <v>526</v>
      </c>
      <c r="L67" s="4" t="s">
        <v>22</v>
      </c>
      <c r="M67" s="4" t="s">
        <v>23</v>
      </c>
      <c r="N67" s="4" t="s">
        <v>24</v>
      </c>
      <c r="O67" s="4" t="s">
        <v>25</v>
      </c>
      <c r="P67" s="4" t="s">
        <v>26</v>
      </c>
      <c r="Q67" s="4" t="s">
        <v>40</v>
      </c>
      <c r="R67" s="4" t="s">
        <v>28</v>
      </c>
      <c r="S67" s="4" t="s">
        <v>22</v>
      </c>
    </row>
    <row r="68" spans="1:19" ht="15">
      <c r="A68" s="2">
        <v>44322</v>
      </c>
      <c r="B68">
        <v>5</v>
      </c>
      <c r="C68">
        <v>2021</v>
      </c>
      <c r="D68" s="7">
        <v>2184.6999999999998</v>
      </c>
      <c r="E68" s="4" t="s">
        <v>1297</v>
      </c>
      <c r="F68" s="4" t="s">
        <v>29</v>
      </c>
      <c r="G68" s="4" t="s">
        <v>30</v>
      </c>
      <c r="H68" s="4" t="s">
        <v>1298</v>
      </c>
      <c r="I68" s="4" t="s">
        <v>1299</v>
      </c>
      <c r="J68" s="4" t="s">
        <v>31</v>
      </c>
      <c r="K68" s="4" t="s">
        <v>1296</v>
      </c>
      <c r="L68" s="4" t="s">
        <v>22</v>
      </c>
      <c r="M68" s="4" t="s">
        <v>23</v>
      </c>
      <c r="N68" s="4" t="s">
        <v>32</v>
      </c>
      <c r="O68" s="4" t="s">
        <v>28</v>
      </c>
      <c r="P68" s="4" t="s">
        <v>26</v>
      </c>
      <c r="Q68" s="4" t="s">
        <v>27</v>
      </c>
      <c r="R68" s="4" t="s">
        <v>28</v>
      </c>
      <c r="S68" s="4" t="s">
        <v>22</v>
      </c>
    </row>
    <row r="69" spans="1:19" ht="15">
      <c r="A69" s="2">
        <v>44342</v>
      </c>
      <c r="B69">
        <v>5</v>
      </c>
      <c r="C69">
        <v>2021</v>
      </c>
      <c r="D69" s="5">
        <v>2299</v>
      </c>
      <c r="E69" s="4" t="s">
        <v>1307</v>
      </c>
      <c r="F69" s="4" t="s">
        <v>54</v>
      </c>
      <c r="G69" s="4" t="s">
        <v>55</v>
      </c>
      <c r="H69" s="4" t="s">
        <v>1308</v>
      </c>
      <c r="I69" s="4" t="s">
        <v>1309</v>
      </c>
      <c r="J69" s="4" t="s">
        <v>21</v>
      </c>
      <c r="K69" s="4" t="s">
        <v>522</v>
      </c>
      <c r="L69" s="4" t="s">
        <v>22</v>
      </c>
      <c r="M69" s="4" t="s">
        <v>23</v>
      </c>
      <c r="N69" s="4" t="s">
        <v>24</v>
      </c>
      <c r="O69" s="4" t="s">
        <v>25</v>
      </c>
      <c r="P69" s="4" t="s">
        <v>43</v>
      </c>
      <c r="Q69" s="4" t="s">
        <v>40</v>
      </c>
      <c r="R69" s="4" t="s">
        <v>28</v>
      </c>
      <c r="S69" s="4" t="s">
        <v>22</v>
      </c>
    </row>
    <row r="70" spans="1:19" ht="15">
      <c r="A70" s="2">
        <v>44344</v>
      </c>
      <c r="B70">
        <v>5</v>
      </c>
      <c r="C70">
        <v>2021</v>
      </c>
      <c r="D70" s="5">
        <v>3973.4400000000001</v>
      </c>
      <c r="E70" s="4" t="s">
        <v>1310</v>
      </c>
      <c r="F70" s="4" t="s">
        <v>46</v>
      </c>
      <c r="G70" s="4" t="s">
        <v>47</v>
      </c>
      <c r="H70" s="4" t="s">
        <v>1311</v>
      </c>
      <c r="I70" s="4" t="s">
        <v>1312</v>
      </c>
      <c r="J70" s="4" t="s">
        <v>31</v>
      </c>
      <c r="K70" s="4" t="s">
        <v>513</v>
      </c>
      <c r="L70" s="4" t="s">
        <v>22</v>
      </c>
      <c r="M70" s="4" t="s">
        <v>23</v>
      </c>
      <c r="N70" s="4" t="s">
        <v>32</v>
      </c>
      <c r="O70" s="4" t="s">
        <v>28</v>
      </c>
      <c r="P70" s="4" t="s">
        <v>26</v>
      </c>
      <c r="Q70" s="4" t="s">
        <v>50</v>
      </c>
      <c r="R70" s="4" t="s">
        <v>28</v>
      </c>
      <c r="S70" s="4" t="s">
        <v>22</v>
      </c>
    </row>
    <row r="71" spans="1:19" ht="15">
      <c r="A71" s="2">
        <v>44344</v>
      </c>
      <c r="B71">
        <v>5</v>
      </c>
      <c r="C71">
        <v>2021</v>
      </c>
      <c r="D71" s="5">
        <v>4763.25</v>
      </c>
      <c r="E71" s="4" t="s">
        <v>1301</v>
      </c>
      <c r="F71" s="4" t="s">
        <v>59</v>
      </c>
      <c r="G71" s="4" t="s">
        <v>60</v>
      </c>
      <c r="H71" s="4" t="s">
        <v>1302</v>
      </c>
      <c r="I71" s="4" t="s">
        <v>1303</v>
      </c>
      <c r="J71" s="4" t="s">
        <v>31</v>
      </c>
      <c r="K71" s="4" t="s">
        <v>513</v>
      </c>
      <c r="L71" s="4" t="s">
        <v>22</v>
      </c>
      <c r="M71" s="4" t="s">
        <v>23</v>
      </c>
      <c r="N71" s="4" t="s">
        <v>32</v>
      </c>
      <c r="O71" s="4" t="s">
        <v>28</v>
      </c>
      <c r="P71" s="4" t="s">
        <v>26</v>
      </c>
      <c r="Q71" s="4" t="s">
        <v>27</v>
      </c>
      <c r="R71" s="4" t="s">
        <v>28</v>
      </c>
      <c r="S71" s="4" t="s">
        <v>22</v>
      </c>
    </row>
    <row r="72" spans="1:19" ht="15">
      <c r="A72" s="2">
        <v>44344</v>
      </c>
      <c r="B72">
        <v>5</v>
      </c>
      <c r="C72">
        <v>2021</v>
      </c>
      <c r="D72" s="5">
        <v>2006.6099999999999</v>
      </c>
      <c r="E72" s="4" t="s">
        <v>1313</v>
      </c>
      <c r="F72" s="4" t="s">
        <v>51</v>
      </c>
      <c r="G72" s="4" t="s">
        <v>52</v>
      </c>
      <c r="H72" s="4" t="s">
        <v>1314</v>
      </c>
      <c r="I72" s="4" t="s">
        <v>1315</v>
      </c>
      <c r="J72" s="4" t="s">
        <v>21</v>
      </c>
      <c r="K72" s="4" t="s">
        <v>526</v>
      </c>
      <c r="L72" s="4" t="s">
        <v>22</v>
      </c>
      <c r="M72" s="4" t="s">
        <v>23</v>
      </c>
      <c r="N72" s="4" t="s">
        <v>24</v>
      </c>
      <c r="O72" s="4" t="s">
        <v>25</v>
      </c>
      <c r="P72" s="4" t="s">
        <v>49</v>
      </c>
      <c r="Q72" s="4" t="s">
        <v>53</v>
      </c>
      <c r="R72" s="4" t="s">
        <v>28</v>
      </c>
      <c r="S72" s="4" t="s">
        <v>22</v>
      </c>
    </row>
    <row r="73" spans="1:19" ht="15">
      <c r="A73" s="2">
        <v>44344</v>
      </c>
      <c r="B73">
        <v>5</v>
      </c>
      <c r="C73">
        <v>2021</v>
      </c>
      <c r="D73" s="7">
        <v>2180.0500000000002</v>
      </c>
      <c r="E73" s="4" t="s">
        <v>1304</v>
      </c>
      <c r="F73" s="4" t="s">
        <v>29</v>
      </c>
      <c r="G73" s="4" t="s">
        <v>30</v>
      </c>
      <c r="H73" s="4" t="s">
        <v>1305</v>
      </c>
      <c r="I73" s="4" t="s">
        <v>1306</v>
      </c>
      <c r="J73" s="4" t="s">
        <v>31</v>
      </c>
      <c r="K73" s="4" t="s">
        <v>513</v>
      </c>
      <c r="L73" s="4" t="s">
        <v>22</v>
      </c>
      <c r="M73" s="4" t="s">
        <v>23</v>
      </c>
      <c r="N73" s="4" t="s">
        <v>32</v>
      </c>
      <c r="O73" s="4" t="s">
        <v>28</v>
      </c>
      <c r="P73" s="4" t="s">
        <v>26</v>
      </c>
      <c r="Q73" s="4" t="s">
        <v>27</v>
      </c>
      <c r="R73" s="4" t="s">
        <v>28</v>
      </c>
      <c r="S73" s="4" t="s">
        <v>22</v>
      </c>
    </row>
    <row r="74" spans="1:19" ht="15">
      <c r="A74" s="2">
        <v>44336</v>
      </c>
      <c r="B74">
        <v>5</v>
      </c>
      <c r="C74">
        <v>2021</v>
      </c>
      <c r="D74" s="7">
        <v>65.25</v>
      </c>
      <c r="E74" s="4" t="s">
        <v>1316</v>
      </c>
      <c r="F74" s="4" t="s">
        <v>36</v>
      </c>
      <c r="G74" s="4" t="s">
        <v>37</v>
      </c>
      <c r="H74" s="4" t="s">
        <v>1317</v>
      </c>
      <c r="I74" s="4" t="s">
        <v>1318</v>
      </c>
      <c r="J74" s="4" t="s">
        <v>21</v>
      </c>
      <c r="K74" s="4" t="s">
        <v>488</v>
      </c>
      <c r="L74" s="4" t="s">
        <v>22</v>
      </c>
      <c r="M74" s="4" t="s">
        <v>23</v>
      </c>
      <c r="N74" s="4" t="s">
        <v>24</v>
      </c>
      <c r="O74" s="4" t="s">
        <v>25</v>
      </c>
      <c r="P74" s="4" t="s">
        <v>26</v>
      </c>
      <c r="Q74" s="4" t="s">
        <v>40</v>
      </c>
      <c r="R74" s="4" t="s">
        <v>28</v>
      </c>
      <c r="S74" s="4" t="s">
        <v>22</v>
      </c>
    </row>
    <row r="75" spans="1:19" ht="15">
      <c r="A75" s="2">
        <v>44342</v>
      </c>
      <c r="B75">
        <v>5</v>
      </c>
      <c r="C75">
        <v>2021</v>
      </c>
      <c r="D75" s="5">
        <v>155467.29999999999</v>
      </c>
      <c r="E75" s="4" t="s">
        <v>1319</v>
      </c>
      <c r="F75" s="4" t="s">
        <v>44</v>
      </c>
      <c r="G75" s="4" t="s">
        <v>45</v>
      </c>
      <c r="H75" s="4" t="s">
        <v>1320</v>
      </c>
      <c r="I75" s="4" t="s">
        <v>1321</v>
      </c>
      <c r="J75" s="4" t="s">
        <v>31</v>
      </c>
      <c r="K75" s="4" t="s">
        <v>509</v>
      </c>
      <c r="L75" s="4" t="s">
        <v>22</v>
      </c>
      <c r="M75" s="4" t="s">
        <v>23</v>
      </c>
      <c r="N75" s="4" t="s">
        <v>32</v>
      </c>
      <c r="O75" s="4" t="s">
        <v>28</v>
      </c>
      <c r="P75" s="4" t="s">
        <v>26</v>
      </c>
      <c r="Q75" s="4" t="s">
        <v>27</v>
      </c>
      <c r="R75" s="4" t="s">
        <v>28</v>
      </c>
      <c r="S75" s="4" t="s">
        <v>22</v>
      </c>
    </row>
    <row r="76" spans="1:19" ht="15">
      <c r="A76" s="2">
        <v>44344</v>
      </c>
      <c r="B76">
        <v>5</v>
      </c>
      <c r="C76">
        <v>2021</v>
      </c>
      <c r="D76" s="5">
        <v>6384.8599999999997</v>
      </c>
      <c r="E76" s="4" t="s">
        <v>1313</v>
      </c>
      <c r="F76" s="4" t="s">
        <v>51</v>
      </c>
      <c r="G76" s="4" t="s">
        <v>52</v>
      </c>
      <c r="H76" s="4" t="s">
        <v>1314</v>
      </c>
      <c r="I76" s="4" t="s">
        <v>1315</v>
      </c>
      <c r="J76" s="4" t="s">
        <v>31</v>
      </c>
      <c r="K76" s="4" t="s">
        <v>513</v>
      </c>
      <c r="L76" s="4" t="s">
        <v>22</v>
      </c>
      <c r="M76" s="4" t="s">
        <v>23</v>
      </c>
      <c r="N76" s="4" t="s">
        <v>32</v>
      </c>
      <c r="O76" s="4" t="s">
        <v>34</v>
      </c>
      <c r="P76" s="4" t="s">
        <v>49</v>
      </c>
      <c r="Q76" s="4" t="s">
        <v>53</v>
      </c>
      <c r="R76" s="4" t="s">
        <v>28</v>
      </c>
      <c r="S76" s="4" t="s">
        <v>22</v>
      </c>
    </row>
    <row r="77" spans="1:19" ht="15">
      <c r="A77" s="2">
        <v>44336</v>
      </c>
      <c r="B77">
        <v>5</v>
      </c>
      <c r="C77">
        <v>2021</v>
      </c>
      <c r="D77" s="7">
        <v>174</v>
      </c>
      <c r="E77" s="4" t="s">
        <v>1316</v>
      </c>
      <c r="F77" s="4" t="s">
        <v>36</v>
      </c>
      <c r="G77" s="4" t="s">
        <v>37</v>
      </c>
      <c r="H77" s="4" t="s">
        <v>1317</v>
      </c>
      <c r="I77" s="4" t="s">
        <v>1318</v>
      </c>
      <c r="J77" s="4" t="s">
        <v>31</v>
      </c>
      <c r="K77" s="4" t="s">
        <v>492</v>
      </c>
      <c r="L77" s="4" t="s">
        <v>22</v>
      </c>
      <c r="M77" s="4" t="s">
        <v>23</v>
      </c>
      <c r="N77" s="4" t="s">
        <v>32</v>
      </c>
      <c r="O77" s="4" t="s">
        <v>28</v>
      </c>
      <c r="P77" s="4" t="s">
        <v>26</v>
      </c>
      <c r="Q77" s="4" t="s">
        <v>27</v>
      </c>
      <c r="R77" s="4" t="s">
        <v>28</v>
      </c>
      <c r="S77" s="4" t="s">
        <v>22</v>
      </c>
    </row>
    <row r="78" spans="1:19" ht="15">
      <c r="A78" s="2">
        <v>44342</v>
      </c>
      <c r="B78">
        <v>5</v>
      </c>
      <c r="C78">
        <v>2021</v>
      </c>
      <c r="D78" s="5">
        <v>6901.3999999999996</v>
      </c>
      <c r="E78" s="4" t="s">
        <v>1307</v>
      </c>
      <c r="F78" s="4" t="s">
        <v>54</v>
      </c>
      <c r="G78" s="4" t="s">
        <v>55</v>
      </c>
      <c r="H78" s="4" t="s">
        <v>1308</v>
      </c>
      <c r="I78" s="4" t="s">
        <v>1309</v>
      </c>
      <c r="J78" s="4" t="s">
        <v>31</v>
      </c>
      <c r="K78" s="4" t="s">
        <v>509</v>
      </c>
      <c r="L78" s="4" t="s">
        <v>22</v>
      </c>
      <c r="M78" s="4" t="s">
        <v>23</v>
      </c>
      <c r="N78" s="4" t="s">
        <v>32</v>
      </c>
      <c r="O78" s="4" t="s">
        <v>28</v>
      </c>
      <c r="P78" s="4" t="s">
        <v>43</v>
      </c>
      <c r="Q78" s="4" t="s">
        <v>27</v>
      </c>
      <c r="R78" s="4" t="s">
        <v>28</v>
      </c>
      <c r="S78" s="4" t="s">
        <v>22</v>
      </c>
    </row>
    <row r="79" spans="1:19" ht="15">
      <c r="A79" s="2">
        <v>44342</v>
      </c>
      <c r="B79">
        <v>5</v>
      </c>
      <c r="C79">
        <v>2021</v>
      </c>
      <c r="D79" s="5">
        <v>53088.019999999997</v>
      </c>
      <c r="E79" s="4" t="s">
        <v>1319</v>
      </c>
      <c r="F79" s="4" t="s">
        <v>44</v>
      </c>
      <c r="G79" s="4" t="s">
        <v>45</v>
      </c>
      <c r="H79" s="4" t="s">
        <v>1320</v>
      </c>
      <c r="I79" s="4" t="s">
        <v>1321</v>
      </c>
      <c r="J79" s="4" t="s">
        <v>21</v>
      </c>
      <c r="K79" s="4" t="s">
        <v>522</v>
      </c>
      <c r="L79" s="4" t="s">
        <v>22</v>
      </c>
      <c r="M79" s="4" t="s">
        <v>23</v>
      </c>
      <c r="N79" s="4" t="s">
        <v>24</v>
      </c>
      <c r="O79" s="4" t="s">
        <v>25</v>
      </c>
      <c r="P79" s="4" t="s">
        <v>26</v>
      </c>
      <c r="Q79" s="4" t="s">
        <v>40</v>
      </c>
      <c r="R79" s="4" t="s">
        <v>28</v>
      </c>
      <c r="S79" s="4" t="s">
        <v>22</v>
      </c>
    </row>
    <row r="80" spans="1:19" ht="15">
      <c r="A80" s="2">
        <v>44344</v>
      </c>
      <c r="B80">
        <v>5</v>
      </c>
      <c r="C80">
        <v>2021</v>
      </c>
      <c r="D80" s="5">
        <v>11884.16</v>
      </c>
      <c r="E80" s="4" t="s">
        <v>1310</v>
      </c>
      <c r="F80" s="4" t="s">
        <v>46</v>
      </c>
      <c r="G80" s="4" t="s">
        <v>47</v>
      </c>
      <c r="H80" s="4" t="s">
        <v>1311</v>
      </c>
      <c r="I80" s="4" t="s">
        <v>1312</v>
      </c>
      <c r="J80" s="4" t="s">
        <v>31</v>
      </c>
      <c r="K80" s="4" t="s">
        <v>513</v>
      </c>
      <c r="L80" s="4" t="s">
        <v>22</v>
      </c>
      <c r="M80" s="4" t="s">
        <v>23</v>
      </c>
      <c r="N80" s="4" t="s">
        <v>32</v>
      </c>
      <c r="O80" s="4" t="s">
        <v>28</v>
      </c>
      <c r="P80" s="4" t="s">
        <v>26</v>
      </c>
      <c r="Q80" s="4" t="s">
        <v>27</v>
      </c>
      <c r="R80" s="4" t="s">
        <v>28</v>
      </c>
      <c r="S80" s="4" t="s">
        <v>22</v>
      </c>
    </row>
    <row r="81" spans="1:19" ht="15">
      <c r="A81" s="2">
        <v>44355</v>
      </c>
      <c r="B81">
        <v>6</v>
      </c>
      <c r="C81">
        <v>2021</v>
      </c>
      <c r="D81" s="5">
        <v>1656.8</v>
      </c>
      <c r="E81" s="4" t="s">
        <v>1322</v>
      </c>
      <c r="F81" s="4" t="s">
        <v>41</v>
      </c>
      <c r="G81" s="4" t="s">
        <v>55</v>
      </c>
      <c r="H81" s="4" t="s">
        <v>1323</v>
      </c>
      <c r="I81" s="4" t="s">
        <v>1324</v>
      </c>
      <c r="J81" s="4" t="s">
        <v>21</v>
      </c>
      <c r="K81" s="4" t="s">
        <v>1325</v>
      </c>
      <c r="L81" s="4" t="s">
        <v>22</v>
      </c>
      <c r="M81" s="4" t="s">
        <v>23</v>
      </c>
      <c r="N81" s="4" t="s">
        <v>24</v>
      </c>
      <c r="O81" s="4" t="s">
        <v>25</v>
      </c>
      <c r="P81" s="4" t="s">
        <v>43</v>
      </c>
      <c r="Q81" s="4" t="s">
        <v>27</v>
      </c>
      <c r="R81" s="4" t="s">
        <v>28</v>
      </c>
      <c r="S81" s="4" t="s">
        <v>22</v>
      </c>
    </row>
    <row r="82" spans="1:19" ht="15">
      <c r="A82" s="2">
        <v>44377</v>
      </c>
      <c r="B82">
        <v>6</v>
      </c>
      <c r="C82">
        <v>2021</v>
      </c>
      <c r="D82" s="5">
        <v>6467.1499999999996</v>
      </c>
      <c r="E82" s="4" t="s">
        <v>1326</v>
      </c>
      <c r="F82" s="4" t="s">
        <v>51</v>
      </c>
      <c r="G82" s="4" t="s">
        <v>52</v>
      </c>
      <c r="H82" s="4" t="s">
        <v>1327</v>
      </c>
      <c r="I82" s="4" t="s">
        <v>1328</v>
      </c>
      <c r="J82" s="4" t="s">
        <v>31</v>
      </c>
      <c r="K82" s="4" t="s">
        <v>578</v>
      </c>
      <c r="L82" s="4" t="s">
        <v>22</v>
      </c>
      <c r="M82" s="4" t="s">
        <v>23</v>
      </c>
      <c r="N82" s="4" t="s">
        <v>32</v>
      </c>
      <c r="O82" s="4" t="s">
        <v>34</v>
      </c>
      <c r="P82" s="4" t="s">
        <v>49</v>
      </c>
      <c r="Q82" s="4" t="s">
        <v>53</v>
      </c>
      <c r="R82" s="4" t="s">
        <v>28</v>
      </c>
      <c r="S82" s="4" t="s">
        <v>22</v>
      </c>
    </row>
    <row r="83" spans="1:19" ht="15">
      <c r="A83" s="2">
        <v>44372</v>
      </c>
      <c r="B83">
        <v>6</v>
      </c>
      <c r="C83">
        <v>2021</v>
      </c>
      <c r="D83" s="5">
        <v>2314.4000000000001</v>
      </c>
      <c r="E83" s="4" t="s">
        <v>1329</v>
      </c>
      <c r="F83" s="4" t="s">
        <v>54</v>
      </c>
      <c r="G83" s="4" t="s">
        <v>55</v>
      </c>
      <c r="H83" s="4" t="s">
        <v>1330</v>
      </c>
      <c r="I83" s="4" t="s">
        <v>1331</v>
      </c>
      <c r="J83" s="4" t="s">
        <v>21</v>
      </c>
      <c r="K83" s="4" t="s">
        <v>649</v>
      </c>
      <c r="L83" s="4" t="s">
        <v>22</v>
      </c>
      <c r="M83" s="4" t="s">
        <v>23</v>
      </c>
      <c r="N83" s="4" t="s">
        <v>24</v>
      </c>
      <c r="O83" s="4" t="s">
        <v>25</v>
      </c>
      <c r="P83" s="4" t="s">
        <v>43</v>
      </c>
      <c r="Q83" s="4" t="s">
        <v>40</v>
      </c>
      <c r="R83" s="4" t="s">
        <v>28</v>
      </c>
      <c r="S83" s="4" t="s">
        <v>22</v>
      </c>
    </row>
    <row r="84" spans="1:19" ht="15">
      <c r="A84" s="2">
        <v>44363</v>
      </c>
      <c r="B84">
        <v>6</v>
      </c>
      <c r="C84">
        <v>2021</v>
      </c>
      <c r="D84" s="7">
        <v>65.25</v>
      </c>
      <c r="E84" s="4" t="s">
        <v>1332</v>
      </c>
      <c r="F84" s="4" t="s">
        <v>36</v>
      </c>
      <c r="G84" s="4" t="s">
        <v>37</v>
      </c>
      <c r="H84" s="4" t="s">
        <v>1333</v>
      </c>
      <c r="I84" s="4" t="s">
        <v>1334</v>
      </c>
      <c r="J84" s="4" t="s">
        <v>21</v>
      </c>
      <c r="K84" s="4" t="s">
        <v>1335</v>
      </c>
      <c r="L84" s="4" t="s">
        <v>22</v>
      </c>
      <c r="M84" s="4" t="s">
        <v>23</v>
      </c>
      <c r="N84" s="4" t="s">
        <v>24</v>
      </c>
      <c r="O84" s="4" t="s">
        <v>25</v>
      </c>
      <c r="P84" s="4" t="s">
        <v>26</v>
      </c>
      <c r="Q84" s="4" t="s">
        <v>40</v>
      </c>
      <c r="R84" s="4" t="s">
        <v>28</v>
      </c>
      <c r="S84" s="4" t="s">
        <v>22</v>
      </c>
    </row>
    <row r="85" spans="1:19" ht="15">
      <c r="A85" s="2">
        <v>44370</v>
      </c>
      <c r="B85">
        <v>6</v>
      </c>
      <c r="C85">
        <v>2021</v>
      </c>
      <c r="D85" s="5">
        <v>154479.66</v>
      </c>
      <c r="E85" s="4" t="s">
        <v>1336</v>
      </c>
      <c r="F85" s="4" t="s">
        <v>44</v>
      </c>
      <c r="G85" s="4" t="s">
        <v>45</v>
      </c>
      <c r="H85" s="4" t="s">
        <v>1337</v>
      </c>
      <c r="I85" s="4" t="s">
        <v>1338</v>
      </c>
      <c r="J85" s="4" t="s">
        <v>31</v>
      </c>
      <c r="K85" s="4" t="s">
        <v>1339</v>
      </c>
      <c r="L85" s="4" t="s">
        <v>22</v>
      </c>
      <c r="M85" s="4" t="s">
        <v>23</v>
      </c>
      <c r="N85" s="4" t="s">
        <v>32</v>
      </c>
      <c r="O85" s="4" t="s">
        <v>28</v>
      </c>
      <c r="P85" s="4" t="s">
        <v>26</v>
      </c>
      <c r="Q85" s="4" t="s">
        <v>27</v>
      </c>
      <c r="R85" s="4" t="s">
        <v>28</v>
      </c>
      <c r="S85" s="4" t="s">
        <v>22</v>
      </c>
    </row>
    <row r="86" spans="1:19" ht="15">
      <c r="A86" s="2">
        <v>44370</v>
      </c>
      <c r="B86">
        <v>6</v>
      </c>
      <c r="C86">
        <v>2021</v>
      </c>
      <c r="D86" s="5">
        <v>51127.779999999999</v>
      </c>
      <c r="E86" s="4" t="s">
        <v>1336</v>
      </c>
      <c r="F86" s="4" t="s">
        <v>44</v>
      </c>
      <c r="G86" s="4" t="s">
        <v>45</v>
      </c>
      <c r="H86" s="4" t="s">
        <v>1337</v>
      </c>
      <c r="I86" s="4" t="s">
        <v>1338</v>
      </c>
      <c r="J86" s="4" t="s">
        <v>21</v>
      </c>
      <c r="K86" s="4" t="s">
        <v>1340</v>
      </c>
      <c r="L86" s="4" t="s">
        <v>22</v>
      </c>
      <c r="M86" s="4" t="s">
        <v>23</v>
      </c>
      <c r="N86" s="4" t="s">
        <v>24</v>
      </c>
      <c r="O86" s="4" t="s">
        <v>25</v>
      </c>
      <c r="P86" s="4" t="s">
        <v>26</v>
      </c>
      <c r="Q86" s="4" t="s">
        <v>40</v>
      </c>
      <c r="R86" s="4" t="s">
        <v>28</v>
      </c>
      <c r="S86" s="4" t="s">
        <v>22</v>
      </c>
    </row>
    <row r="87" spans="1:19" ht="15">
      <c r="A87" s="2">
        <v>44355</v>
      </c>
      <c r="B87">
        <v>6</v>
      </c>
      <c r="C87">
        <v>2021</v>
      </c>
      <c r="D87" s="5">
        <v>5343.1999999999998</v>
      </c>
      <c r="E87" s="4" t="s">
        <v>1322</v>
      </c>
      <c r="F87" s="4" t="s">
        <v>41</v>
      </c>
      <c r="G87" s="4" t="s">
        <v>55</v>
      </c>
      <c r="H87" s="4" t="s">
        <v>1323</v>
      </c>
      <c r="I87" s="4" t="s">
        <v>1324</v>
      </c>
      <c r="J87" s="4" t="s">
        <v>31</v>
      </c>
      <c r="K87" s="4" t="s">
        <v>1341</v>
      </c>
      <c r="L87" s="4" t="s">
        <v>22</v>
      </c>
      <c r="M87" s="4" t="s">
        <v>23</v>
      </c>
      <c r="N87" s="4" t="s">
        <v>32</v>
      </c>
      <c r="O87" s="4" t="s">
        <v>28</v>
      </c>
      <c r="P87" s="4" t="s">
        <v>43</v>
      </c>
      <c r="Q87" s="4" t="s">
        <v>27</v>
      </c>
      <c r="R87" s="4" t="s">
        <v>28</v>
      </c>
      <c r="S87" s="4" t="s">
        <v>22</v>
      </c>
    </row>
    <row r="88" spans="1:19" ht="15">
      <c r="A88" s="2">
        <v>44375</v>
      </c>
      <c r="B88">
        <v>6</v>
      </c>
      <c r="C88">
        <v>2021</v>
      </c>
      <c r="D88" s="5">
        <v>2451.21</v>
      </c>
      <c r="E88" s="4" t="s">
        <v>1342</v>
      </c>
      <c r="F88" s="4" t="s">
        <v>59</v>
      </c>
      <c r="G88" s="4" t="s">
        <v>60</v>
      </c>
      <c r="H88" s="4" t="s">
        <v>1343</v>
      </c>
      <c r="I88" s="4" t="s">
        <v>1344</v>
      </c>
      <c r="J88" s="4" t="s">
        <v>21</v>
      </c>
      <c r="K88" s="4" t="s">
        <v>1345</v>
      </c>
      <c r="L88" s="4" t="s">
        <v>22</v>
      </c>
      <c r="M88" s="4" t="s">
        <v>23</v>
      </c>
      <c r="N88" s="4" t="s">
        <v>24</v>
      </c>
      <c r="O88" s="4" t="s">
        <v>25</v>
      </c>
      <c r="P88" s="4" t="s">
        <v>26</v>
      </c>
      <c r="Q88" s="4" t="s">
        <v>27</v>
      </c>
      <c r="R88" s="4" t="s">
        <v>28</v>
      </c>
      <c r="S88" s="4" t="s">
        <v>22</v>
      </c>
    </row>
    <row r="89" spans="1:19" ht="15">
      <c r="A89" s="2">
        <v>44375</v>
      </c>
      <c r="B89">
        <v>6</v>
      </c>
      <c r="C89">
        <v>2021</v>
      </c>
      <c r="D89" s="5">
        <v>7378.2399999999998</v>
      </c>
      <c r="E89" s="4" t="s">
        <v>1342</v>
      </c>
      <c r="F89" s="4" t="s">
        <v>59</v>
      </c>
      <c r="G89" s="4" t="s">
        <v>60</v>
      </c>
      <c r="H89" s="4" t="s">
        <v>1343</v>
      </c>
      <c r="I89" s="4" t="s">
        <v>1344</v>
      </c>
      <c r="J89" s="4" t="s">
        <v>31</v>
      </c>
      <c r="K89" s="4" t="s">
        <v>1346</v>
      </c>
      <c r="L89" s="4" t="s">
        <v>22</v>
      </c>
      <c r="M89" s="4" t="s">
        <v>23</v>
      </c>
      <c r="N89" s="4" t="s">
        <v>32</v>
      </c>
      <c r="O89" s="4" t="s">
        <v>28</v>
      </c>
      <c r="P89" s="4" t="s">
        <v>26</v>
      </c>
      <c r="Q89" s="4" t="s">
        <v>27</v>
      </c>
      <c r="R89" s="4" t="s">
        <v>28</v>
      </c>
      <c r="S89" s="4" t="s">
        <v>22</v>
      </c>
    </row>
    <row r="90" spans="1:19" ht="15">
      <c r="A90" s="2">
        <v>44363</v>
      </c>
      <c r="B90">
        <v>6</v>
      </c>
      <c r="C90">
        <v>2021</v>
      </c>
      <c r="D90" s="7">
        <v>174</v>
      </c>
      <c r="E90" s="4" t="s">
        <v>1332</v>
      </c>
      <c r="F90" s="4" t="s">
        <v>36</v>
      </c>
      <c r="G90" s="4" t="s">
        <v>37</v>
      </c>
      <c r="H90" s="4" t="s">
        <v>1333</v>
      </c>
      <c r="I90" s="4" t="s">
        <v>1334</v>
      </c>
      <c r="J90" s="4" t="s">
        <v>31</v>
      </c>
      <c r="K90" s="4" t="s">
        <v>1347</v>
      </c>
      <c r="L90" s="4" t="s">
        <v>22</v>
      </c>
      <c r="M90" s="4" t="s">
        <v>23</v>
      </c>
      <c r="N90" s="4" t="s">
        <v>32</v>
      </c>
      <c r="O90" s="4" t="s">
        <v>28</v>
      </c>
      <c r="P90" s="4" t="s">
        <v>26</v>
      </c>
      <c r="Q90" s="4" t="s">
        <v>27</v>
      </c>
      <c r="R90" s="4" t="s">
        <v>28</v>
      </c>
      <c r="S90" s="4" t="s">
        <v>22</v>
      </c>
    </row>
    <row r="91" spans="1:19" ht="15">
      <c r="A91" s="2">
        <v>44369</v>
      </c>
      <c r="B91">
        <v>6</v>
      </c>
      <c r="C91">
        <v>2021</v>
      </c>
      <c r="D91" s="5">
        <v>3982.8099999999999</v>
      </c>
      <c r="E91" s="4" t="s">
        <v>1348</v>
      </c>
      <c r="F91" s="4" t="s">
        <v>46</v>
      </c>
      <c r="G91" s="4" t="s">
        <v>47</v>
      </c>
      <c r="H91" s="4" t="s">
        <v>1349</v>
      </c>
      <c r="I91" s="4" t="s">
        <v>1350</v>
      </c>
      <c r="J91" s="4" t="s">
        <v>21</v>
      </c>
      <c r="K91" s="4" t="s">
        <v>1351</v>
      </c>
      <c r="L91" s="4" t="s">
        <v>22</v>
      </c>
      <c r="M91" s="4" t="s">
        <v>23</v>
      </c>
      <c r="N91" s="4" t="s">
        <v>24</v>
      </c>
      <c r="O91" s="4" t="s">
        <v>25</v>
      </c>
      <c r="P91" s="4" t="s">
        <v>26</v>
      </c>
      <c r="Q91" s="4" t="s">
        <v>40</v>
      </c>
      <c r="R91" s="4" t="s">
        <v>28</v>
      </c>
      <c r="S91" s="4" t="s">
        <v>22</v>
      </c>
    </row>
    <row r="92" spans="1:19" ht="15">
      <c r="A92" s="2">
        <v>44369</v>
      </c>
      <c r="B92">
        <v>6</v>
      </c>
      <c r="C92">
        <v>2021</v>
      </c>
      <c r="D92" s="5">
        <v>11912.190000000001</v>
      </c>
      <c r="E92" s="4" t="s">
        <v>1348</v>
      </c>
      <c r="F92" s="4" t="s">
        <v>46</v>
      </c>
      <c r="G92" s="4" t="s">
        <v>47</v>
      </c>
      <c r="H92" s="4" t="s">
        <v>1349</v>
      </c>
      <c r="I92" s="4" t="s">
        <v>1350</v>
      </c>
      <c r="J92" s="4" t="s">
        <v>31</v>
      </c>
      <c r="K92" s="4" t="s">
        <v>1352</v>
      </c>
      <c r="L92" s="4" t="s">
        <v>22</v>
      </c>
      <c r="M92" s="4" t="s">
        <v>23</v>
      </c>
      <c r="N92" s="4" t="s">
        <v>32</v>
      </c>
      <c r="O92" s="4" t="s">
        <v>28</v>
      </c>
      <c r="P92" s="4" t="s">
        <v>26</v>
      </c>
      <c r="Q92" s="4" t="s">
        <v>27</v>
      </c>
      <c r="R92" s="4" t="s">
        <v>28</v>
      </c>
      <c r="S92" s="4" t="s">
        <v>22</v>
      </c>
    </row>
    <row r="93" spans="1:19" ht="15">
      <c r="A93" s="2">
        <v>44377</v>
      </c>
      <c r="B93">
        <v>6</v>
      </c>
      <c r="C93">
        <v>2021</v>
      </c>
      <c r="D93" s="5">
        <v>2053.0300000000002</v>
      </c>
      <c r="E93" s="4" t="s">
        <v>1326</v>
      </c>
      <c r="F93" s="4" t="s">
        <v>51</v>
      </c>
      <c r="G93" s="4" t="s">
        <v>52</v>
      </c>
      <c r="H93" s="4" t="s">
        <v>1327</v>
      </c>
      <c r="I93" s="4" t="s">
        <v>1328</v>
      </c>
      <c r="J93" s="4" t="s">
        <v>21</v>
      </c>
      <c r="K93" s="4" t="s">
        <v>619</v>
      </c>
      <c r="L93" s="4" t="s">
        <v>22</v>
      </c>
      <c r="M93" s="4" t="s">
        <v>23</v>
      </c>
      <c r="N93" s="4" t="s">
        <v>24</v>
      </c>
      <c r="O93" s="4" t="s">
        <v>25</v>
      </c>
      <c r="P93" s="4" t="s">
        <v>49</v>
      </c>
      <c r="Q93" s="4" t="s">
        <v>53</v>
      </c>
      <c r="R93" s="4" t="s">
        <v>28</v>
      </c>
      <c r="S93" s="4" t="s">
        <v>22</v>
      </c>
    </row>
    <row r="94" spans="1:19" ht="15">
      <c r="A94" s="2">
        <v>44372</v>
      </c>
      <c r="B94">
        <v>6</v>
      </c>
      <c r="C94">
        <v>2021</v>
      </c>
      <c r="D94" s="5">
        <v>6897</v>
      </c>
      <c r="E94" s="4" t="s">
        <v>1329</v>
      </c>
      <c r="F94" s="4" t="s">
        <v>54</v>
      </c>
      <c r="G94" s="4" t="s">
        <v>55</v>
      </c>
      <c r="H94" s="4" t="s">
        <v>1330</v>
      </c>
      <c r="I94" s="4" t="s">
        <v>1331</v>
      </c>
      <c r="J94" s="4" t="s">
        <v>31</v>
      </c>
      <c r="K94" s="4" t="s">
        <v>589</v>
      </c>
      <c r="L94" s="4" t="s">
        <v>22</v>
      </c>
      <c r="M94" s="4" t="s">
        <v>23</v>
      </c>
      <c r="N94" s="4" t="s">
        <v>32</v>
      </c>
      <c r="O94" s="4" t="s">
        <v>28</v>
      </c>
      <c r="P94" s="4" t="s">
        <v>43</v>
      </c>
      <c r="Q94" s="4" t="s">
        <v>27</v>
      </c>
      <c r="R94" s="4" t="s">
        <v>28</v>
      </c>
      <c r="S94" s="4" t="s">
        <v>22</v>
      </c>
    </row>
    <row r="95" spans="1:19" ht="15">
      <c r="A95" s="2">
        <v>44389</v>
      </c>
      <c r="B95">
        <v>7</v>
      </c>
      <c r="C95">
        <v>2021</v>
      </c>
      <c r="D95" s="5">
        <v>9813.9599999999991</v>
      </c>
      <c r="E95" s="4" t="s">
        <v>1353</v>
      </c>
      <c r="F95" s="4" t="s">
        <v>54</v>
      </c>
      <c r="G95" s="4" t="s">
        <v>55</v>
      </c>
      <c r="H95" s="4" t="s">
        <v>1354</v>
      </c>
      <c r="I95" s="4" t="s">
        <v>1355</v>
      </c>
      <c r="J95" s="4" t="s">
        <v>31</v>
      </c>
      <c r="K95" s="4" t="s">
        <v>1356</v>
      </c>
      <c r="L95" s="4" t="s">
        <v>22</v>
      </c>
      <c r="M95" s="4" t="s">
        <v>23</v>
      </c>
      <c r="N95" s="4" t="s">
        <v>32</v>
      </c>
      <c r="O95" s="4" t="s">
        <v>28</v>
      </c>
      <c r="P95" s="4" t="s">
        <v>43</v>
      </c>
      <c r="Q95" s="4" t="s">
        <v>27</v>
      </c>
      <c r="R95" s="4" t="s">
        <v>28</v>
      </c>
      <c r="S95" s="4" t="s">
        <v>22</v>
      </c>
    </row>
    <row r="96" spans="1:19" ht="15">
      <c r="A96" s="2">
        <v>44393</v>
      </c>
      <c r="B96">
        <v>7</v>
      </c>
      <c r="C96">
        <v>2021</v>
      </c>
      <c r="D96" s="5">
        <v>3991.25</v>
      </c>
      <c r="E96" s="4" t="s">
        <v>1357</v>
      </c>
      <c r="F96" s="4" t="s">
        <v>46</v>
      </c>
      <c r="G96" s="4" t="s">
        <v>47</v>
      </c>
      <c r="H96" s="4" t="s">
        <v>1358</v>
      </c>
      <c r="I96" s="4" t="s">
        <v>1359</v>
      </c>
      <c r="J96" s="4" t="s">
        <v>21</v>
      </c>
      <c r="K96" s="4" t="s">
        <v>709</v>
      </c>
      <c r="L96" s="4" t="s">
        <v>22</v>
      </c>
      <c r="M96" s="4" t="s">
        <v>23</v>
      </c>
      <c r="N96" s="4" t="s">
        <v>24</v>
      </c>
      <c r="O96" s="4" t="s">
        <v>25</v>
      </c>
      <c r="P96" s="4" t="s">
        <v>26</v>
      </c>
      <c r="Q96" s="4" t="s">
        <v>40</v>
      </c>
      <c r="R96" s="4" t="s">
        <v>28</v>
      </c>
      <c r="S96" s="4" t="s">
        <v>22</v>
      </c>
    </row>
    <row r="97" spans="1:19" ht="15">
      <c r="A97" s="2">
        <v>44405</v>
      </c>
      <c r="B97">
        <v>7</v>
      </c>
      <c r="C97">
        <v>2021</v>
      </c>
      <c r="D97" s="7">
        <v>2111</v>
      </c>
      <c r="E97" s="4" t="s">
        <v>1360</v>
      </c>
      <c r="F97" s="4" t="s">
        <v>29</v>
      </c>
      <c r="G97" s="4" t="s">
        <v>30</v>
      </c>
      <c r="H97" s="4" t="s">
        <v>1361</v>
      </c>
      <c r="I97" s="4" t="s">
        <v>1362</v>
      </c>
      <c r="J97" s="4" t="s">
        <v>31</v>
      </c>
      <c r="K97" s="4" t="s">
        <v>680</v>
      </c>
      <c r="L97" s="4" t="s">
        <v>22</v>
      </c>
      <c r="M97" s="4" t="s">
        <v>23</v>
      </c>
      <c r="N97" s="4" t="s">
        <v>32</v>
      </c>
      <c r="O97" s="4" t="s">
        <v>28</v>
      </c>
      <c r="P97" s="4" t="s">
        <v>26</v>
      </c>
      <c r="Q97" s="4" t="s">
        <v>27</v>
      </c>
      <c r="R97" s="4" t="s">
        <v>28</v>
      </c>
      <c r="S97" s="4" t="s">
        <v>22</v>
      </c>
    </row>
    <row r="98" spans="1:19" ht="15">
      <c r="A98" s="2">
        <v>44393</v>
      </c>
      <c r="B98">
        <v>7</v>
      </c>
      <c r="C98">
        <v>2021</v>
      </c>
      <c r="D98" s="5">
        <v>11937.41</v>
      </c>
      <c r="E98" s="4" t="s">
        <v>1357</v>
      </c>
      <c r="F98" s="4" t="s">
        <v>46</v>
      </c>
      <c r="G98" s="4" t="s">
        <v>47</v>
      </c>
      <c r="H98" s="4" t="s">
        <v>1358</v>
      </c>
      <c r="I98" s="4" t="s">
        <v>1359</v>
      </c>
      <c r="J98" s="4" t="s">
        <v>31</v>
      </c>
      <c r="K98" s="4" t="s">
        <v>670</v>
      </c>
      <c r="L98" s="4" t="s">
        <v>22</v>
      </c>
      <c r="M98" s="4" t="s">
        <v>23</v>
      </c>
      <c r="N98" s="4" t="s">
        <v>32</v>
      </c>
      <c r="O98" s="4" t="s">
        <v>28</v>
      </c>
      <c r="P98" s="4" t="s">
        <v>26</v>
      </c>
      <c r="Q98" s="4" t="s">
        <v>50</v>
      </c>
      <c r="R98" s="4" t="s">
        <v>28</v>
      </c>
      <c r="S98" s="4" t="s">
        <v>22</v>
      </c>
    </row>
    <row r="99" spans="1:19" ht="15">
      <c r="A99" s="2">
        <v>44405</v>
      </c>
      <c r="B99">
        <v>7</v>
      </c>
      <c r="C99">
        <v>2021</v>
      </c>
      <c r="D99" s="5">
        <v>6317.3800000000001</v>
      </c>
      <c r="E99" s="4" t="s">
        <v>1363</v>
      </c>
      <c r="F99" s="4" t="s">
        <v>54</v>
      </c>
      <c r="G99" s="4" t="s">
        <v>55</v>
      </c>
      <c r="H99" s="4" t="s">
        <v>1364</v>
      </c>
      <c r="I99" s="4" t="s">
        <v>1365</v>
      </c>
      <c r="J99" s="4" t="s">
        <v>31</v>
      </c>
      <c r="K99" s="4" t="s">
        <v>680</v>
      </c>
      <c r="L99" s="4" t="s">
        <v>22</v>
      </c>
      <c r="M99" s="4" t="s">
        <v>23</v>
      </c>
      <c r="N99" s="4" t="s">
        <v>32</v>
      </c>
      <c r="O99" s="4" t="s">
        <v>28</v>
      </c>
      <c r="P99" s="4" t="s">
        <v>26</v>
      </c>
      <c r="Q99" s="4" t="s">
        <v>27</v>
      </c>
      <c r="R99" s="4" t="s">
        <v>28</v>
      </c>
      <c r="S99" s="4" t="s">
        <v>22</v>
      </c>
    </row>
    <row r="100" spans="1:19" ht="15">
      <c r="A100" s="2">
        <v>44405</v>
      </c>
      <c r="B100">
        <v>7</v>
      </c>
      <c r="C100">
        <v>2021</v>
      </c>
      <c r="D100" s="5">
        <v>6547.3299999999999</v>
      </c>
      <c r="E100" s="4" t="s">
        <v>1366</v>
      </c>
      <c r="F100" s="4" t="s">
        <v>51</v>
      </c>
      <c r="G100" s="4" t="s">
        <v>52</v>
      </c>
      <c r="H100" s="4" t="s">
        <v>1367</v>
      </c>
      <c r="I100" s="4" t="s">
        <v>1368</v>
      </c>
      <c r="J100" s="4" t="s">
        <v>31</v>
      </c>
      <c r="K100" s="4" t="s">
        <v>680</v>
      </c>
      <c r="L100" s="4" t="s">
        <v>22</v>
      </c>
      <c r="M100" s="4" t="s">
        <v>23</v>
      </c>
      <c r="N100" s="4" t="s">
        <v>32</v>
      </c>
      <c r="O100" s="4" t="s">
        <v>34</v>
      </c>
      <c r="P100" s="4" t="s">
        <v>49</v>
      </c>
      <c r="Q100" s="4" t="s">
        <v>53</v>
      </c>
      <c r="R100" s="4" t="s">
        <v>28</v>
      </c>
      <c r="S100" s="4" t="s">
        <v>22</v>
      </c>
    </row>
    <row r="101" spans="1:19" ht="15">
      <c r="A101" s="2">
        <v>44405</v>
      </c>
      <c r="B101">
        <v>7</v>
      </c>
      <c r="C101">
        <v>2021</v>
      </c>
      <c r="D101" s="7">
        <v>544.89999999999998</v>
      </c>
      <c r="E101" s="4" t="s">
        <v>1360</v>
      </c>
      <c r="F101" s="4" t="s">
        <v>29</v>
      </c>
      <c r="G101" s="4" t="s">
        <v>30</v>
      </c>
      <c r="H101" s="4" t="s">
        <v>1361</v>
      </c>
      <c r="I101" s="4" t="s">
        <v>1362</v>
      </c>
      <c r="J101" s="4" t="s">
        <v>21</v>
      </c>
      <c r="K101" s="4" t="s">
        <v>679</v>
      </c>
      <c r="L101" s="4" t="s">
        <v>22</v>
      </c>
      <c r="M101" s="4" t="s">
        <v>23</v>
      </c>
      <c r="N101" s="4" t="s">
        <v>24</v>
      </c>
      <c r="O101" s="4" t="s">
        <v>25</v>
      </c>
      <c r="P101" s="4" t="s">
        <v>26</v>
      </c>
      <c r="Q101" s="4" t="s">
        <v>40</v>
      </c>
      <c r="R101" s="4" t="s">
        <v>28</v>
      </c>
      <c r="S101" s="4" t="s">
        <v>22</v>
      </c>
    </row>
    <row r="102" spans="1:19" ht="15">
      <c r="A102" s="2">
        <v>44405</v>
      </c>
      <c r="B102">
        <v>7</v>
      </c>
      <c r="C102">
        <v>2021</v>
      </c>
      <c r="D102" s="5">
        <v>155106.06</v>
      </c>
      <c r="E102" s="4" t="s">
        <v>1369</v>
      </c>
      <c r="F102" s="4" t="s">
        <v>44</v>
      </c>
      <c r="G102" s="4" t="s">
        <v>45</v>
      </c>
      <c r="H102" s="4" t="s">
        <v>1370</v>
      </c>
      <c r="I102" s="4" t="s">
        <v>1371</v>
      </c>
      <c r="J102" s="4" t="s">
        <v>31</v>
      </c>
      <c r="K102" s="4" t="s">
        <v>680</v>
      </c>
      <c r="L102" s="4" t="s">
        <v>22</v>
      </c>
      <c r="M102" s="4" t="s">
        <v>23</v>
      </c>
      <c r="N102" s="4" t="s">
        <v>32</v>
      </c>
      <c r="O102" s="4" t="s">
        <v>28</v>
      </c>
      <c r="P102" s="4" t="s">
        <v>26</v>
      </c>
      <c r="Q102" s="4" t="s">
        <v>27</v>
      </c>
      <c r="R102" s="4" t="s">
        <v>28</v>
      </c>
      <c r="S102" s="4" t="s">
        <v>22</v>
      </c>
    </row>
    <row r="103" spans="1:19" ht="15">
      <c r="A103" s="2">
        <v>44390</v>
      </c>
      <c r="B103">
        <v>7</v>
      </c>
      <c r="C103">
        <v>2021</v>
      </c>
      <c r="D103" s="5">
        <v>6457.0799999999999</v>
      </c>
      <c r="E103" s="4" t="s">
        <v>1372</v>
      </c>
      <c r="F103" s="4" t="s">
        <v>59</v>
      </c>
      <c r="G103" s="4" t="s">
        <v>60</v>
      </c>
      <c r="H103" s="4" t="s">
        <v>1373</v>
      </c>
      <c r="I103" s="4" t="s">
        <v>1374</v>
      </c>
      <c r="J103" s="4" t="s">
        <v>31</v>
      </c>
      <c r="K103" s="4" t="s">
        <v>1375</v>
      </c>
      <c r="L103" s="4" t="s">
        <v>22</v>
      </c>
      <c r="M103" s="4" t="s">
        <v>23</v>
      </c>
      <c r="N103" s="4" t="s">
        <v>32</v>
      </c>
      <c r="O103" s="4" t="s">
        <v>28</v>
      </c>
      <c r="P103" s="4" t="s">
        <v>26</v>
      </c>
      <c r="Q103" s="4" t="s">
        <v>27</v>
      </c>
      <c r="R103" s="4" t="s">
        <v>28</v>
      </c>
      <c r="S103" s="4" t="s">
        <v>22</v>
      </c>
    </row>
    <row r="104" spans="1:19" ht="15">
      <c r="A104" s="2">
        <v>44385</v>
      </c>
      <c r="B104">
        <v>7</v>
      </c>
      <c r="C104">
        <v>2021</v>
      </c>
      <c r="D104" s="7">
        <v>174</v>
      </c>
      <c r="E104" s="4" t="s">
        <v>1376</v>
      </c>
      <c r="F104" s="4" t="s">
        <v>36</v>
      </c>
      <c r="G104" s="4" t="s">
        <v>37</v>
      </c>
      <c r="H104" s="4" t="s">
        <v>1377</v>
      </c>
      <c r="I104" s="4" t="s">
        <v>1378</v>
      </c>
      <c r="J104" s="4" t="s">
        <v>31</v>
      </c>
      <c r="K104" s="4" t="s">
        <v>1379</v>
      </c>
      <c r="L104" s="4" t="s">
        <v>22</v>
      </c>
      <c r="M104" s="4" t="s">
        <v>23</v>
      </c>
      <c r="N104" s="4" t="s">
        <v>32</v>
      </c>
      <c r="O104" s="4" t="s">
        <v>28</v>
      </c>
      <c r="P104" s="4" t="s">
        <v>26</v>
      </c>
      <c r="Q104" s="4" t="s">
        <v>27</v>
      </c>
      <c r="R104" s="4" t="s">
        <v>28</v>
      </c>
      <c r="S104" s="4" t="s">
        <v>22</v>
      </c>
    </row>
    <row r="105" spans="1:19" ht="15">
      <c r="A105" s="2">
        <v>44389</v>
      </c>
      <c r="B105">
        <v>7</v>
      </c>
      <c r="C105">
        <v>2021</v>
      </c>
      <c r="D105" s="5">
        <v>3186.04</v>
      </c>
      <c r="E105" s="4" t="s">
        <v>1353</v>
      </c>
      <c r="F105" s="4" t="s">
        <v>54</v>
      </c>
      <c r="G105" s="4" t="s">
        <v>55</v>
      </c>
      <c r="H105" s="4" t="s">
        <v>1354</v>
      </c>
      <c r="I105" s="4" t="s">
        <v>1355</v>
      </c>
      <c r="J105" s="4" t="s">
        <v>21</v>
      </c>
      <c r="K105" s="4" t="s">
        <v>1380</v>
      </c>
      <c r="L105" s="4" t="s">
        <v>22</v>
      </c>
      <c r="M105" s="4" t="s">
        <v>23</v>
      </c>
      <c r="N105" s="4" t="s">
        <v>24</v>
      </c>
      <c r="O105" s="4" t="s">
        <v>25</v>
      </c>
      <c r="P105" s="4" t="s">
        <v>43</v>
      </c>
      <c r="Q105" s="4" t="s">
        <v>27</v>
      </c>
      <c r="R105" s="4" t="s">
        <v>28</v>
      </c>
      <c r="S105" s="4" t="s">
        <v>22</v>
      </c>
    </row>
    <row r="106" spans="1:19" ht="15">
      <c r="A106" s="2">
        <v>44405</v>
      </c>
      <c r="B106">
        <v>7</v>
      </c>
      <c r="C106">
        <v>2021</v>
      </c>
      <c r="D106" s="5">
        <v>2169.0799999999999</v>
      </c>
      <c r="E106" s="4" t="s">
        <v>1366</v>
      </c>
      <c r="F106" s="4" t="s">
        <v>51</v>
      </c>
      <c r="G106" s="4" t="s">
        <v>52</v>
      </c>
      <c r="H106" s="4" t="s">
        <v>1367</v>
      </c>
      <c r="I106" s="4" t="s">
        <v>1368</v>
      </c>
      <c r="J106" s="4" t="s">
        <v>21</v>
      </c>
      <c r="K106" s="4" t="s">
        <v>679</v>
      </c>
      <c r="L106" s="4" t="s">
        <v>22</v>
      </c>
      <c r="M106" s="4" t="s">
        <v>23</v>
      </c>
      <c r="N106" s="4" t="s">
        <v>24</v>
      </c>
      <c r="O106" s="4" t="s">
        <v>25</v>
      </c>
      <c r="P106" s="4" t="s">
        <v>49</v>
      </c>
      <c r="Q106" s="4" t="s">
        <v>53</v>
      </c>
      <c r="R106" s="4" t="s">
        <v>28</v>
      </c>
      <c r="S106" s="4" t="s">
        <v>22</v>
      </c>
    </row>
    <row r="107" spans="1:19" ht="15">
      <c r="A107" s="2">
        <v>44405</v>
      </c>
      <c r="B107">
        <v>7</v>
      </c>
      <c r="C107">
        <v>2021</v>
      </c>
      <c r="D107" s="5">
        <v>2126.4299999999998</v>
      </c>
      <c r="E107" s="4" t="s">
        <v>1363</v>
      </c>
      <c r="F107" s="4" t="s">
        <v>54</v>
      </c>
      <c r="G107" s="4" t="s">
        <v>55</v>
      </c>
      <c r="H107" s="4" t="s">
        <v>1364</v>
      </c>
      <c r="I107" s="4" t="s">
        <v>1365</v>
      </c>
      <c r="J107" s="4" t="s">
        <v>21</v>
      </c>
      <c r="K107" s="4" t="s">
        <v>679</v>
      </c>
      <c r="L107" s="4" t="s">
        <v>22</v>
      </c>
      <c r="M107" s="4" t="s">
        <v>23</v>
      </c>
      <c r="N107" s="4" t="s">
        <v>24</v>
      </c>
      <c r="O107" s="4" t="s">
        <v>25</v>
      </c>
      <c r="P107" s="4" t="s">
        <v>43</v>
      </c>
      <c r="Q107" s="4" t="s">
        <v>40</v>
      </c>
      <c r="R107" s="4" t="s">
        <v>28</v>
      </c>
      <c r="S107" s="4" t="s">
        <v>22</v>
      </c>
    </row>
    <row r="108" spans="1:19" ht="15">
      <c r="A108" s="2">
        <v>44385</v>
      </c>
      <c r="B108">
        <v>7</v>
      </c>
      <c r="C108">
        <v>2021</v>
      </c>
      <c r="D108" s="7">
        <v>65.25</v>
      </c>
      <c r="E108" s="4" t="s">
        <v>1376</v>
      </c>
      <c r="F108" s="4" t="s">
        <v>36</v>
      </c>
      <c r="G108" s="4" t="s">
        <v>37</v>
      </c>
      <c r="H108" s="4" t="s">
        <v>1377</v>
      </c>
      <c r="I108" s="4" t="s">
        <v>1378</v>
      </c>
      <c r="J108" s="4" t="s">
        <v>21</v>
      </c>
      <c r="K108" s="4" t="s">
        <v>1381</v>
      </c>
      <c r="L108" s="4" t="s">
        <v>22</v>
      </c>
      <c r="M108" s="4" t="s">
        <v>23</v>
      </c>
      <c r="N108" s="4" t="s">
        <v>24</v>
      </c>
      <c r="O108" s="4" t="s">
        <v>25</v>
      </c>
      <c r="P108" s="4" t="s">
        <v>26</v>
      </c>
      <c r="Q108" s="4" t="s">
        <v>40</v>
      </c>
      <c r="R108" s="4" t="s">
        <v>28</v>
      </c>
      <c r="S108" s="4" t="s">
        <v>22</v>
      </c>
    </row>
    <row r="109" spans="1:19" ht="15">
      <c r="A109" s="2">
        <v>44405</v>
      </c>
      <c r="B109">
        <v>7</v>
      </c>
      <c r="C109">
        <v>2021</v>
      </c>
      <c r="D109" s="5">
        <v>52589.32</v>
      </c>
      <c r="E109" s="4" t="s">
        <v>1369</v>
      </c>
      <c r="F109" s="4" t="s">
        <v>44</v>
      </c>
      <c r="G109" s="4" t="s">
        <v>45</v>
      </c>
      <c r="H109" s="4" t="s">
        <v>1370</v>
      </c>
      <c r="I109" s="4" t="s">
        <v>1371</v>
      </c>
      <c r="J109" s="4" t="s">
        <v>21</v>
      </c>
      <c r="K109" s="4" t="s">
        <v>679</v>
      </c>
      <c r="L109" s="4" t="s">
        <v>22</v>
      </c>
      <c r="M109" s="4" t="s">
        <v>23</v>
      </c>
      <c r="N109" s="4" t="s">
        <v>24</v>
      </c>
      <c r="O109" s="4" t="s">
        <v>25</v>
      </c>
      <c r="P109" s="4" t="s">
        <v>26</v>
      </c>
      <c r="Q109" s="4" t="s">
        <v>40</v>
      </c>
      <c r="R109" s="4" t="s">
        <v>28</v>
      </c>
      <c r="S109" s="4" t="s">
        <v>22</v>
      </c>
    </row>
    <row r="110" spans="1:19" ht="15">
      <c r="A110" s="2">
        <v>44390</v>
      </c>
      <c r="B110">
        <v>7</v>
      </c>
      <c r="C110">
        <v>2021</v>
      </c>
      <c r="D110" s="5">
        <v>2157.5700000000002</v>
      </c>
      <c r="E110" s="4" t="s">
        <v>1372</v>
      </c>
      <c r="F110" s="4" t="s">
        <v>59</v>
      </c>
      <c r="G110" s="4" t="s">
        <v>60</v>
      </c>
      <c r="H110" s="4" t="s">
        <v>1373</v>
      </c>
      <c r="I110" s="4" t="s">
        <v>1374</v>
      </c>
      <c r="J110" s="4" t="s">
        <v>21</v>
      </c>
      <c r="K110" s="4" t="s">
        <v>1382</v>
      </c>
      <c r="L110" s="4" t="s">
        <v>22</v>
      </c>
      <c r="M110" s="4" t="s">
        <v>23</v>
      </c>
      <c r="N110" s="4" t="s">
        <v>24</v>
      </c>
      <c r="O110" s="4" t="s">
        <v>25</v>
      </c>
      <c r="P110" s="4" t="s">
        <v>26</v>
      </c>
      <c r="Q110" s="4" t="s">
        <v>27</v>
      </c>
      <c r="R110" s="4" t="s">
        <v>28</v>
      </c>
      <c r="S110" s="4" t="s">
        <v>22</v>
      </c>
    </row>
    <row r="111" spans="1:18" ht="15">
      <c r="A111" s="2">
        <v>44418</v>
      </c>
      <c r="B111" s="25">
        <v>8</v>
      </c>
      <c r="C111" s="25">
        <v>2021</v>
      </c>
      <c r="D111" s="7">
        <v>174</v>
      </c>
      <c r="E111" t="s">
        <v>1383</v>
      </c>
      <c r="F111" t="s">
        <v>36</v>
      </c>
      <c r="G111" t="s">
        <v>37</v>
      </c>
      <c r="H111" t="s">
        <v>1384</v>
      </c>
      <c r="I111" t="s">
        <v>1385</v>
      </c>
      <c r="J111" t="s">
        <v>31</v>
      </c>
      <c r="K111" t="s">
        <v>1386</v>
      </c>
      <c r="M111" t="s">
        <v>23</v>
      </c>
      <c r="N111" t="s">
        <v>32</v>
      </c>
      <c r="O111" t="s">
        <v>28</v>
      </c>
      <c r="P111" t="s">
        <v>26</v>
      </c>
      <c r="Q111" t="s">
        <v>27</v>
      </c>
      <c r="R111" t="s">
        <v>28</v>
      </c>
    </row>
    <row r="112" spans="1:18" ht="15">
      <c r="A112" s="2">
        <v>44432</v>
      </c>
      <c r="B112" s="25">
        <v>8</v>
      </c>
      <c r="C112" s="25">
        <v>2021</v>
      </c>
      <c r="D112" s="5">
        <v>53511.239999999998</v>
      </c>
      <c r="E112" t="s">
        <v>1387</v>
      </c>
      <c r="F112" t="s">
        <v>44</v>
      </c>
      <c r="G112" t="s">
        <v>45</v>
      </c>
      <c r="H112" t="s">
        <v>1388</v>
      </c>
      <c r="I112" t="s">
        <v>1389</v>
      </c>
      <c r="J112" t="s">
        <v>21</v>
      </c>
      <c r="K112" t="s">
        <v>1390</v>
      </c>
      <c r="M112" t="s">
        <v>23</v>
      </c>
      <c r="N112" t="s">
        <v>24</v>
      </c>
      <c r="O112" t="s">
        <v>25</v>
      </c>
      <c r="P112" t="s">
        <v>26</v>
      </c>
      <c r="Q112" t="s">
        <v>40</v>
      </c>
      <c r="R112" t="s">
        <v>28</v>
      </c>
    </row>
    <row r="113" spans="1:18" ht="15">
      <c r="A113" s="2">
        <v>44421</v>
      </c>
      <c r="B113" s="25">
        <v>8</v>
      </c>
      <c r="C113" s="25">
        <v>2021</v>
      </c>
      <c r="D113" s="5">
        <v>11957.030000000001</v>
      </c>
      <c r="E113" t="s">
        <v>1391</v>
      </c>
      <c r="F113" t="s">
        <v>46</v>
      </c>
      <c r="G113" t="s">
        <v>47</v>
      </c>
      <c r="H113" t="s">
        <v>1392</v>
      </c>
      <c r="I113" t="s">
        <v>1393</v>
      </c>
      <c r="J113" t="s">
        <v>31</v>
      </c>
      <c r="K113" t="s">
        <v>1394</v>
      </c>
      <c r="M113" t="s">
        <v>23</v>
      </c>
      <c r="N113" t="s">
        <v>32</v>
      </c>
      <c r="O113" t="s">
        <v>28</v>
      </c>
      <c r="P113" t="s">
        <v>26</v>
      </c>
      <c r="Q113" t="s">
        <v>27</v>
      </c>
      <c r="R113" t="s">
        <v>28</v>
      </c>
    </row>
    <row r="114" spans="1:18" ht="15">
      <c r="A114" s="2">
        <v>44413</v>
      </c>
      <c r="B114" s="25">
        <v>8</v>
      </c>
      <c r="C114" s="25">
        <v>2021</v>
      </c>
      <c r="D114" s="7">
        <v>544.89999999999998</v>
      </c>
      <c r="E114" t="s">
        <v>1395</v>
      </c>
      <c r="F114" t="s">
        <v>29</v>
      </c>
      <c r="G114" t="s">
        <v>30</v>
      </c>
      <c r="H114" t="s">
        <v>1396</v>
      </c>
      <c r="I114" t="s">
        <v>1397</v>
      </c>
      <c r="J114" t="s">
        <v>21</v>
      </c>
      <c r="K114" t="s">
        <v>797</v>
      </c>
      <c r="M114" t="s">
        <v>23</v>
      </c>
      <c r="N114" t="s">
        <v>24</v>
      </c>
      <c r="O114" t="s">
        <v>25</v>
      </c>
      <c r="P114" t="s">
        <v>26</v>
      </c>
      <c r="Q114" t="s">
        <v>40</v>
      </c>
      <c r="R114" t="s">
        <v>28</v>
      </c>
    </row>
    <row r="115" spans="1:18" ht="15">
      <c r="A115" s="2">
        <v>44432</v>
      </c>
      <c r="B115" s="25">
        <v>8</v>
      </c>
      <c r="C115" s="25">
        <v>2021</v>
      </c>
      <c r="D115" s="5">
        <v>154102.07999999999</v>
      </c>
      <c r="E115" t="s">
        <v>1387</v>
      </c>
      <c r="F115" t="s">
        <v>44</v>
      </c>
      <c r="G115" t="s">
        <v>45</v>
      </c>
      <c r="H115" t="s">
        <v>1388</v>
      </c>
      <c r="I115" t="s">
        <v>1389</v>
      </c>
      <c r="J115" t="s">
        <v>31</v>
      </c>
      <c r="K115" t="s">
        <v>1398</v>
      </c>
      <c r="M115" t="s">
        <v>23</v>
      </c>
      <c r="N115" t="s">
        <v>32</v>
      </c>
      <c r="O115" t="s">
        <v>28</v>
      </c>
      <c r="P115" t="s">
        <v>26</v>
      </c>
      <c r="Q115" t="s">
        <v>27</v>
      </c>
      <c r="R115" t="s">
        <v>28</v>
      </c>
    </row>
    <row r="116" spans="1:18" ht="15">
      <c r="A116" s="2">
        <v>44418</v>
      </c>
      <c r="B116" s="25">
        <v>8</v>
      </c>
      <c r="C116" s="25">
        <v>2021</v>
      </c>
      <c r="D116" s="7">
        <v>58</v>
      </c>
      <c r="E116" t="s">
        <v>1383</v>
      </c>
      <c r="F116" t="s">
        <v>36</v>
      </c>
      <c r="G116" t="s">
        <v>37</v>
      </c>
      <c r="H116" t="s">
        <v>1384</v>
      </c>
      <c r="I116" t="s">
        <v>1385</v>
      </c>
      <c r="J116" t="s">
        <v>21</v>
      </c>
      <c r="K116" t="s">
        <v>1399</v>
      </c>
      <c r="M116" t="s">
        <v>23</v>
      </c>
      <c r="N116" t="s">
        <v>24</v>
      </c>
      <c r="O116" t="s">
        <v>25</v>
      </c>
      <c r="P116" t="s">
        <v>26</v>
      </c>
      <c r="Q116" t="s">
        <v>40</v>
      </c>
      <c r="R116" t="s">
        <v>28</v>
      </c>
    </row>
    <row r="117" spans="1:18" ht="15">
      <c r="A117" s="2">
        <v>44433</v>
      </c>
      <c r="B117" s="25">
        <v>8</v>
      </c>
      <c r="C117" s="25">
        <v>2021</v>
      </c>
      <c r="D117" s="5">
        <v>2248.0500000000002</v>
      </c>
      <c r="E117" t="s">
        <v>1400</v>
      </c>
      <c r="F117" t="s">
        <v>59</v>
      </c>
      <c r="G117" t="s">
        <v>60</v>
      </c>
      <c r="H117" t="s">
        <v>1401</v>
      </c>
      <c r="I117" t="s">
        <v>1402</v>
      </c>
      <c r="J117" t="s">
        <v>21</v>
      </c>
      <c r="K117" t="s">
        <v>783</v>
      </c>
      <c r="M117" t="s">
        <v>23</v>
      </c>
      <c r="N117" t="s">
        <v>24</v>
      </c>
      <c r="O117" t="s">
        <v>25</v>
      </c>
      <c r="P117" t="s">
        <v>26</v>
      </c>
      <c r="Q117" t="s">
        <v>40</v>
      </c>
      <c r="R117" t="s">
        <v>28</v>
      </c>
    </row>
    <row r="118" spans="1:18" ht="15">
      <c r="A118" s="2">
        <v>44433</v>
      </c>
      <c r="B118" s="25">
        <v>8</v>
      </c>
      <c r="C118" s="25">
        <v>2021</v>
      </c>
      <c r="D118" s="5">
        <v>6446.0500000000002</v>
      </c>
      <c r="E118" t="s">
        <v>1403</v>
      </c>
      <c r="F118" t="s">
        <v>51</v>
      </c>
      <c r="G118" t="s">
        <v>52</v>
      </c>
      <c r="H118" t="s">
        <v>1404</v>
      </c>
      <c r="I118" t="s">
        <v>1405</v>
      </c>
      <c r="J118" t="s">
        <v>31</v>
      </c>
      <c r="K118" t="s">
        <v>817</v>
      </c>
      <c r="M118" t="s">
        <v>23</v>
      </c>
      <c r="N118" t="s">
        <v>32</v>
      </c>
      <c r="O118" t="s">
        <v>34</v>
      </c>
      <c r="P118" t="s">
        <v>49</v>
      </c>
      <c r="Q118" t="s">
        <v>53</v>
      </c>
      <c r="R118" t="s">
        <v>28</v>
      </c>
    </row>
    <row r="119" spans="1:18" ht="15">
      <c r="A119" s="2">
        <v>44433</v>
      </c>
      <c r="B119" s="25">
        <v>8</v>
      </c>
      <c r="C119" s="25">
        <v>2021</v>
      </c>
      <c r="D119" s="5">
        <v>6669.5</v>
      </c>
      <c r="E119" t="s">
        <v>1400</v>
      </c>
      <c r="F119" t="s">
        <v>59</v>
      </c>
      <c r="G119" t="s">
        <v>60</v>
      </c>
      <c r="H119" t="s">
        <v>1401</v>
      </c>
      <c r="I119" t="s">
        <v>1402</v>
      </c>
      <c r="J119" t="s">
        <v>31</v>
      </c>
      <c r="K119" t="s">
        <v>817</v>
      </c>
      <c r="M119" t="s">
        <v>23</v>
      </c>
      <c r="N119" t="s">
        <v>32</v>
      </c>
      <c r="O119" t="s">
        <v>28</v>
      </c>
      <c r="P119" t="s">
        <v>26</v>
      </c>
      <c r="Q119" t="s">
        <v>27</v>
      </c>
      <c r="R119" t="s">
        <v>28</v>
      </c>
    </row>
    <row r="120" spans="1:18" ht="15">
      <c r="A120" s="2">
        <v>44421</v>
      </c>
      <c r="B120" s="25">
        <v>8</v>
      </c>
      <c r="C120" s="25">
        <v>2021</v>
      </c>
      <c r="D120" s="5">
        <v>3997.8099999999999</v>
      </c>
      <c r="E120" t="s">
        <v>1391</v>
      </c>
      <c r="F120" t="s">
        <v>46</v>
      </c>
      <c r="G120" t="s">
        <v>47</v>
      </c>
      <c r="H120" t="s">
        <v>1392</v>
      </c>
      <c r="I120" t="s">
        <v>1393</v>
      </c>
      <c r="J120" t="s">
        <v>21</v>
      </c>
      <c r="K120" t="s">
        <v>1406</v>
      </c>
      <c r="M120" t="s">
        <v>23</v>
      </c>
      <c r="N120" t="s">
        <v>24</v>
      </c>
      <c r="O120" t="s">
        <v>25</v>
      </c>
      <c r="P120" t="s">
        <v>26</v>
      </c>
      <c r="Q120" t="s">
        <v>40</v>
      </c>
      <c r="R120" t="s">
        <v>28</v>
      </c>
    </row>
    <row r="121" spans="1:18" ht="15">
      <c r="A121" s="2">
        <v>44431</v>
      </c>
      <c r="B121" s="25">
        <v>8</v>
      </c>
      <c r="C121" s="25">
        <v>2021</v>
      </c>
      <c r="D121" s="7">
        <v>2119.4000000000001</v>
      </c>
      <c r="E121" t="s">
        <v>1407</v>
      </c>
      <c r="F121" t="s">
        <v>29</v>
      </c>
      <c r="G121" t="s">
        <v>30</v>
      </c>
      <c r="H121" t="s">
        <v>1408</v>
      </c>
      <c r="I121" t="s">
        <v>1409</v>
      </c>
      <c r="J121" t="s">
        <v>31</v>
      </c>
      <c r="K121" t="s">
        <v>1410</v>
      </c>
      <c r="M121" t="s">
        <v>23</v>
      </c>
      <c r="N121" t="s">
        <v>32</v>
      </c>
      <c r="O121" t="s">
        <v>28</v>
      </c>
      <c r="P121" t="s">
        <v>26</v>
      </c>
      <c r="Q121" t="s">
        <v>27</v>
      </c>
      <c r="R121" t="s">
        <v>28</v>
      </c>
    </row>
    <row r="122" spans="1:18" ht="15">
      <c r="A122" s="2">
        <v>44431</v>
      </c>
      <c r="B122" s="25">
        <v>8</v>
      </c>
      <c r="C122" s="25">
        <v>2021</v>
      </c>
      <c r="D122" s="7">
        <v>543.29999999999995</v>
      </c>
      <c r="E122" t="s">
        <v>1407</v>
      </c>
      <c r="F122" t="s">
        <v>29</v>
      </c>
      <c r="G122" t="s">
        <v>30</v>
      </c>
      <c r="H122" t="s">
        <v>1408</v>
      </c>
      <c r="I122" t="s">
        <v>1409</v>
      </c>
      <c r="J122" t="s">
        <v>21</v>
      </c>
      <c r="K122" t="s">
        <v>1411</v>
      </c>
      <c r="M122" t="s">
        <v>23</v>
      </c>
      <c r="N122" t="s">
        <v>24</v>
      </c>
      <c r="O122" t="s">
        <v>25</v>
      </c>
      <c r="P122" t="s">
        <v>26</v>
      </c>
      <c r="Q122" t="s">
        <v>27</v>
      </c>
      <c r="R122" t="s">
        <v>28</v>
      </c>
    </row>
    <row r="123" spans="1:18" ht="15">
      <c r="A123" s="2">
        <v>44413</v>
      </c>
      <c r="B123" s="25">
        <v>8</v>
      </c>
      <c r="C123" s="25">
        <v>2021</v>
      </c>
      <c r="D123" s="7">
        <v>2127.5999999999999</v>
      </c>
      <c r="E123" t="s">
        <v>1395</v>
      </c>
      <c r="F123" t="s">
        <v>29</v>
      </c>
      <c r="G123" t="s">
        <v>30</v>
      </c>
      <c r="H123" t="s">
        <v>1396</v>
      </c>
      <c r="I123" t="s">
        <v>1397</v>
      </c>
      <c r="J123" t="s">
        <v>31</v>
      </c>
      <c r="K123" t="s">
        <v>755</v>
      </c>
      <c r="M123" t="s">
        <v>23</v>
      </c>
      <c r="N123" t="s">
        <v>32</v>
      </c>
      <c r="O123" t="s">
        <v>28</v>
      </c>
      <c r="P123" t="s">
        <v>26</v>
      </c>
      <c r="Q123" t="s">
        <v>27</v>
      </c>
      <c r="R123" t="s">
        <v>28</v>
      </c>
    </row>
    <row r="124" spans="1:18" ht="15">
      <c r="A124" s="2">
        <v>44433</v>
      </c>
      <c r="B124" s="25">
        <v>8</v>
      </c>
      <c r="C124" s="25">
        <v>2021</v>
      </c>
      <c r="D124" s="5">
        <v>2318.8000000000002</v>
      </c>
      <c r="E124" t="s">
        <v>1412</v>
      </c>
      <c r="F124" t="s">
        <v>54</v>
      </c>
      <c r="G124" t="s">
        <v>55</v>
      </c>
      <c r="H124" t="s">
        <v>1413</v>
      </c>
      <c r="I124" t="s">
        <v>1414</v>
      </c>
      <c r="J124" t="s">
        <v>21</v>
      </c>
      <c r="K124" t="s">
        <v>783</v>
      </c>
      <c r="M124" t="s">
        <v>23</v>
      </c>
      <c r="N124" t="s">
        <v>24</v>
      </c>
      <c r="O124" t="s">
        <v>25</v>
      </c>
      <c r="P124" t="s">
        <v>43</v>
      </c>
      <c r="Q124" t="s">
        <v>40</v>
      </c>
      <c r="R124" t="s">
        <v>28</v>
      </c>
    </row>
    <row r="125" spans="1:18" ht="15">
      <c r="A125" s="2">
        <v>44433</v>
      </c>
      <c r="B125" s="25">
        <v>8</v>
      </c>
      <c r="C125" s="25">
        <v>2021</v>
      </c>
      <c r="D125" s="5">
        <v>6936.6000000000004</v>
      </c>
      <c r="E125" t="s">
        <v>1412</v>
      </c>
      <c r="F125" t="s">
        <v>54</v>
      </c>
      <c r="G125" t="s">
        <v>55</v>
      </c>
      <c r="H125" t="s">
        <v>1413</v>
      </c>
      <c r="I125" t="s">
        <v>1414</v>
      </c>
      <c r="J125" t="s">
        <v>31</v>
      </c>
      <c r="K125" t="s">
        <v>817</v>
      </c>
      <c r="M125" t="s">
        <v>23</v>
      </c>
      <c r="N125" t="s">
        <v>32</v>
      </c>
      <c r="O125" t="s">
        <v>28</v>
      </c>
      <c r="P125" t="s">
        <v>43</v>
      </c>
      <c r="Q125" t="s">
        <v>27</v>
      </c>
      <c r="R125" t="s">
        <v>28</v>
      </c>
    </row>
    <row r="126" spans="1:18" ht="15">
      <c r="A126" s="2">
        <v>44433</v>
      </c>
      <c r="B126" s="25">
        <v>8</v>
      </c>
      <c r="C126" s="25">
        <v>2021</v>
      </c>
      <c r="D126" s="5">
        <v>2137.4299999999998</v>
      </c>
      <c r="E126" t="s">
        <v>1403</v>
      </c>
      <c r="F126" t="s">
        <v>51</v>
      </c>
      <c r="G126" t="s">
        <v>52</v>
      </c>
      <c r="H126" t="s">
        <v>1404</v>
      </c>
      <c r="I126" t="s">
        <v>1405</v>
      </c>
      <c r="J126" t="s">
        <v>21</v>
      </c>
      <c r="K126" t="s">
        <v>783</v>
      </c>
      <c r="M126" t="s">
        <v>23</v>
      </c>
      <c r="N126" t="s">
        <v>24</v>
      </c>
      <c r="O126" t="s">
        <v>25</v>
      </c>
      <c r="P126" t="s">
        <v>49</v>
      </c>
      <c r="Q126" t="s">
        <v>53</v>
      </c>
      <c r="R126" t="s">
        <v>28</v>
      </c>
    </row>
    <row r="127" spans="1:18" ht="15">
      <c r="A127" s="2">
        <v>44454</v>
      </c>
      <c r="B127" s="25">
        <v>9</v>
      </c>
      <c r="C127" s="25">
        <v>2021</v>
      </c>
      <c r="D127" s="5">
        <v>4741.5</v>
      </c>
      <c r="E127" t="s">
        <v>1415</v>
      </c>
      <c r="F127" t="s">
        <v>59</v>
      </c>
      <c r="G127" t="s">
        <v>60</v>
      </c>
      <c r="H127" t="s">
        <v>1416</v>
      </c>
      <c r="I127" t="s">
        <v>1417</v>
      </c>
      <c r="J127" t="s">
        <v>31</v>
      </c>
      <c r="K127" t="s">
        <v>1418</v>
      </c>
      <c r="M127" t="s">
        <v>23</v>
      </c>
      <c r="N127" t="s">
        <v>32</v>
      </c>
      <c r="O127" t="s">
        <v>28</v>
      </c>
      <c r="P127" t="s">
        <v>26</v>
      </c>
      <c r="Q127" t="s">
        <v>27</v>
      </c>
      <c r="R127" t="s">
        <v>28</v>
      </c>
    </row>
    <row r="128" spans="1:18" ht="15">
      <c r="A128" s="2">
        <v>44463</v>
      </c>
      <c r="B128" s="25">
        <v>9</v>
      </c>
      <c r="C128" s="25">
        <v>2021</v>
      </c>
      <c r="D128" s="5">
        <v>54256.639999999999</v>
      </c>
      <c r="E128" t="s">
        <v>1419</v>
      </c>
      <c r="F128" t="s">
        <v>44</v>
      </c>
      <c r="G128" t="s">
        <v>45</v>
      </c>
      <c r="H128" t="s">
        <v>1420</v>
      </c>
      <c r="I128" t="s">
        <v>1421</v>
      </c>
      <c r="J128" t="s">
        <v>21</v>
      </c>
      <c r="K128" t="s">
        <v>868</v>
      </c>
      <c r="M128" t="s">
        <v>23</v>
      </c>
      <c r="N128" t="s">
        <v>24</v>
      </c>
      <c r="O128" t="s">
        <v>25</v>
      </c>
      <c r="P128" t="s">
        <v>26</v>
      </c>
      <c r="Q128" t="s">
        <v>40</v>
      </c>
      <c r="R128" t="s">
        <v>28</v>
      </c>
    </row>
    <row r="129" spans="1:18" ht="15">
      <c r="A129" s="2">
        <v>44460</v>
      </c>
      <c r="B129" s="25">
        <v>9</v>
      </c>
      <c r="C129" s="25">
        <v>2021</v>
      </c>
      <c r="D129" s="5">
        <v>3989.3699999999999</v>
      </c>
      <c r="E129" t="s">
        <v>1422</v>
      </c>
      <c r="F129" t="s">
        <v>46</v>
      </c>
      <c r="G129" t="s">
        <v>47</v>
      </c>
      <c r="H129" t="s">
        <v>1423</v>
      </c>
      <c r="I129" t="s">
        <v>1424</v>
      </c>
      <c r="J129" t="s">
        <v>21</v>
      </c>
      <c r="K129" t="s">
        <v>1425</v>
      </c>
      <c r="M129" t="s">
        <v>23</v>
      </c>
      <c r="N129" t="s">
        <v>24</v>
      </c>
      <c r="O129" t="s">
        <v>25</v>
      </c>
      <c r="P129" t="s">
        <v>26</v>
      </c>
      <c r="Q129" t="s">
        <v>40</v>
      </c>
      <c r="R129" t="s">
        <v>28</v>
      </c>
    </row>
    <row r="130" spans="1:18" ht="15">
      <c r="A130" s="2">
        <v>44460</v>
      </c>
      <c r="B130" s="25">
        <v>9</v>
      </c>
      <c r="C130" s="25">
        <v>2021</v>
      </c>
      <c r="D130" s="5">
        <v>11931.81</v>
      </c>
      <c r="E130" t="s">
        <v>1422</v>
      </c>
      <c r="F130" t="s">
        <v>46</v>
      </c>
      <c r="G130" t="s">
        <v>47</v>
      </c>
      <c r="H130" t="s">
        <v>1423</v>
      </c>
      <c r="I130" t="s">
        <v>1424</v>
      </c>
      <c r="J130" t="s">
        <v>31</v>
      </c>
      <c r="K130" t="s">
        <v>1426</v>
      </c>
      <c r="M130" t="s">
        <v>23</v>
      </c>
      <c r="N130" t="s">
        <v>32</v>
      </c>
      <c r="O130" t="s">
        <v>28</v>
      </c>
      <c r="P130" t="s">
        <v>26</v>
      </c>
      <c r="Q130" t="s">
        <v>27</v>
      </c>
      <c r="R130" t="s">
        <v>28</v>
      </c>
    </row>
    <row r="131" spans="1:18" ht="15">
      <c r="A131" s="2">
        <v>44468</v>
      </c>
      <c r="B131" s="25">
        <v>9</v>
      </c>
      <c r="C131" s="25">
        <v>2021</v>
      </c>
      <c r="D131" s="5">
        <v>6473.4799999999996</v>
      </c>
      <c r="E131" t="s">
        <v>1427</v>
      </c>
      <c r="F131" t="s">
        <v>51</v>
      </c>
      <c r="G131" t="s">
        <v>52</v>
      </c>
      <c r="H131" t="s">
        <v>1428</v>
      </c>
      <c r="I131" t="s">
        <v>1429</v>
      </c>
      <c r="J131" t="s">
        <v>31</v>
      </c>
      <c r="K131" t="s">
        <v>897</v>
      </c>
      <c r="M131" t="s">
        <v>23</v>
      </c>
      <c r="N131" t="s">
        <v>32</v>
      </c>
      <c r="O131" t="s">
        <v>34</v>
      </c>
      <c r="P131" t="s">
        <v>49</v>
      </c>
      <c r="Q131" t="s">
        <v>53</v>
      </c>
      <c r="R131" t="s">
        <v>28</v>
      </c>
    </row>
    <row r="132" spans="1:18" ht="15">
      <c r="A132" s="2">
        <v>44454</v>
      </c>
      <c r="B132" s="25">
        <v>9</v>
      </c>
      <c r="C132" s="25">
        <v>2021</v>
      </c>
      <c r="D132" s="5">
        <v>1599.3499999999999</v>
      </c>
      <c r="E132" t="s">
        <v>1415</v>
      </c>
      <c r="F132" t="s">
        <v>59</v>
      </c>
      <c r="G132" t="s">
        <v>60</v>
      </c>
      <c r="H132" t="s">
        <v>1416</v>
      </c>
      <c r="I132" t="s">
        <v>1417</v>
      </c>
      <c r="J132" t="s">
        <v>21</v>
      </c>
      <c r="K132" t="s">
        <v>1430</v>
      </c>
      <c r="M132" t="s">
        <v>23</v>
      </c>
      <c r="N132" t="s">
        <v>24</v>
      </c>
      <c r="O132" t="s">
        <v>25</v>
      </c>
      <c r="P132" t="s">
        <v>26</v>
      </c>
      <c r="Q132" t="s">
        <v>27</v>
      </c>
      <c r="R132" t="s">
        <v>28</v>
      </c>
    </row>
    <row r="133" spans="1:18" ht="15">
      <c r="A133" s="2">
        <v>44462</v>
      </c>
      <c r="B133" s="25">
        <v>9</v>
      </c>
      <c r="C133" s="25">
        <v>2021</v>
      </c>
      <c r="D133" s="5">
        <v>2336.4000000000001</v>
      </c>
      <c r="E133" t="s">
        <v>1431</v>
      </c>
      <c r="F133" t="s">
        <v>54</v>
      </c>
      <c r="G133" t="s">
        <v>55</v>
      </c>
      <c r="H133" t="s">
        <v>1432</v>
      </c>
      <c r="I133" t="s">
        <v>1433</v>
      </c>
      <c r="J133" t="s">
        <v>21</v>
      </c>
      <c r="K133" t="s">
        <v>1434</v>
      </c>
      <c r="M133" t="s">
        <v>23</v>
      </c>
      <c r="N133" t="s">
        <v>24</v>
      </c>
      <c r="O133" t="s">
        <v>25</v>
      </c>
      <c r="P133" t="s">
        <v>43</v>
      </c>
      <c r="Q133" t="s">
        <v>40</v>
      </c>
      <c r="R133" t="s">
        <v>28</v>
      </c>
    </row>
    <row r="134" spans="1:18" ht="15">
      <c r="A134" s="2">
        <v>44463</v>
      </c>
      <c r="B134" s="25">
        <v>9</v>
      </c>
      <c r="C134" s="25">
        <v>2021</v>
      </c>
      <c r="D134" s="5">
        <v>156189.56</v>
      </c>
      <c r="E134" t="s">
        <v>1419</v>
      </c>
      <c r="F134" t="s">
        <v>44</v>
      </c>
      <c r="G134" t="s">
        <v>45</v>
      </c>
      <c r="H134" t="s">
        <v>1420</v>
      </c>
      <c r="I134" t="s">
        <v>1421</v>
      </c>
      <c r="J134" t="s">
        <v>31</v>
      </c>
      <c r="K134" t="s">
        <v>869</v>
      </c>
      <c r="M134" t="s">
        <v>23</v>
      </c>
      <c r="N134" t="s">
        <v>32</v>
      </c>
      <c r="O134" t="s">
        <v>28</v>
      </c>
      <c r="P134" t="s">
        <v>26</v>
      </c>
      <c r="Q134" t="s">
        <v>27</v>
      </c>
      <c r="R134" t="s">
        <v>28</v>
      </c>
    </row>
    <row r="135" spans="1:18" ht="15">
      <c r="A135" s="2">
        <v>44468</v>
      </c>
      <c r="B135" s="25">
        <v>9</v>
      </c>
      <c r="C135" s="25">
        <v>2021</v>
      </c>
      <c r="D135" s="5">
        <v>2221.8299999999999</v>
      </c>
      <c r="E135" t="s">
        <v>1427</v>
      </c>
      <c r="F135" t="s">
        <v>51</v>
      </c>
      <c r="G135" t="s">
        <v>52</v>
      </c>
      <c r="H135" t="s">
        <v>1428</v>
      </c>
      <c r="I135" t="s">
        <v>1429</v>
      </c>
      <c r="J135" t="s">
        <v>21</v>
      </c>
      <c r="K135" t="s">
        <v>910</v>
      </c>
      <c r="M135" t="s">
        <v>23</v>
      </c>
      <c r="N135" t="s">
        <v>24</v>
      </c>
      <c r="O135" t="s">
        <v>25</v>
      </c>
      <c r="P135" t="s">
        <v>49</v>
      </c>
      <c r="Q135" t="s">
        <v>53</v>
      </c>
      <c r="R135" t="s">
        <v>28</v>
      </c>
    </row>
    <row r="136" spans="1:18" ht="15">
      <c r="A136" s="2">
        <v>44462</v>
      </c>
      <c r="B136" s="25">
        <v>9</v>
      </c>
      <c r="C136" s="25">
        <v>2021</v>
      </c>
      <c r="D136" s="5">
        <v>6894.8000000000002</v>
      </c>
      <c r="E136" t="s">
        <v>1431</v>
      </c>
      <c r="F136" t="s">
        <v>54</v>
      </c>
      <c r="G136" t="s">
        <v>55</v>
      </c>
      <c r="H136" t="s">
        <v>1432</v>
      </c>
      <c r="I136" t="s">
        <v>1433</v>
      </c>
      <c r="J136" t="s">
        <v>31</v>
      </c>
      <c r="K136" t="s">
        <v>1435</v>
      </c>
      <c r="M136" t="s">
        <v>23</v>
      </c>
      <c r="N136" t="s">
        <v>32</v>
      </c>
      <c r="O136" t="s">
        <v>28</v>
      </c>
      <c r="P136" t="s">
        <v>43</v>
      </c>
      <c r="Q136" t="s">
        <v>27</v>
      </c>
      <c r="R136" t="s">
        <v>28</v>
      </c>
    </row>
    <row r="137" spans="1:18" ht="15">
      <c r="A137" s="2">
        <v>44454</v>
      </c>
      <c r="B137" s="25">
        <v>9</v>
      </c>
      <c r="C137" s="25">
        <v>2021</v>
      </c>
      <c r="D137" s="7">
        <v>58</v>
      </c>
      <c r="E137" t="s">
        <v>1436</v>
      </c>
      <c r="F137" t="s">
        <v>36</v>
      </c>
      <c r="G137" t="s">
        <v>37</v>
      </c>
      <c r="H137" t="s">
        <v>1437</v>
      </c>
      <c r="I137" t="s">
        <v>1438</v>
      </c>
      <c r="J137" t="s">
        <v>21</v>
      </c>
      <c r="K137" t="s">
        <v>1430</v>
      </c>
      <c r="M137" t="s">
        <v>23</v>
      </c>
      <c r="N137" t="s">
        <v>24</v>
      </c>
      <c r="O137" t="s">
        <v>25</v>
      </c>
      <c r="P137" t="s">
        <v>26</v>
      </c>
      <c r="Q137" t="s">
        <v>40</v>
      </c>
      <c r="R137" t="s">
        <v>28</v>
      </c>
    </row>
    <row r="138" spans="1:18" ht="15">
      <c r="A138" s="2">
        <v>44454</v>
      </c>
      <c r="B138" s="25">
        <v>9</v>
      </c>
      <c r="C138" s="25">
        <v>2021</v>
      </c>
      <c r="D138" s="7">
        <v>174</v>
      </c>
      <c r="E138" t="s">
        <v>1436</v>
      </c>
      <c r="F138" t="s">
        <v>36</v>
      </c>
      <c r="G138" t="s">
        <v>37</v>
      </c>
      <c r="H138" t="s">
        <v>1437</v>
      </c>
      <c r="I138" t="s">
        <v>1438</v>
      </c>
      <c r="J138" t="s">
        <v>31</v>
      </c>
      <c r="K138" t="s">
        <v>1418</v>
      </c>
      <c r="M138" t="s">
        <v>23</v>
      </c>
      <c r="N138" t="s">
        <v>32</v>
      </c>
      <c r="O138" t="s">
        <v>28</v>
      </c>
      <c r="P138" t="s">
        <v>26</v>
      </c>
      <c r="Q138" t="s">
        <v>27</v>
      </c>
      <c r="R138" t="s">
        <v>28</v>
      </c>
    </row>
    <row r="139" spans="1:18" ht="15">
      <c r="A139" s="2">
        <v>44494</v>
      </c>
      <c r="B139" s="25">
        <v>10</v>
      </c>
      <c r="C139" s="25">
        <v>2021</v>
      </c>
      <c r="D139" s="5">
        <v>529.25</v>
      </c>
      <c r="E139" t="s">
        <v>1439</v>
      </c>
      <c r="F139" t="s">
        <v>36</v>
      </c>
      <c r="G139" t="s">
        <v>37</v>
      </c>
      <c r="H139" t="s">
        <v>1440</v>
      </c>
      <c r="I139" t="s">
        <v>1441</v>
      </c>
      <c r="J139" t="s">
        <v>31</v>
      </c>
      <c r="K139" t="s">
        <v>1442</v>
      </c>
      <c r="M139" t="s">
        <v>23</v>
      </c>
      <c r="N139" t="s">
        <v>32</v>
      </c>
      <c r="O139" t="s">
        <v>28</v>
      </c>
      <c r="P139" t="s">
        <v>26</v>
      </c>
      <c r="Q139" t="s">
        <v>27</v>
      </c>
      <c r="R139" t="s">
        <v>28</v>
      </c>
    </row>
    <row r="140" spans="1:18" ht="15">
      <c r="A140" s="2">
        <v>44494</v>
      </c>
      <c r="B140" s="25">
        <v>10</v>
      </c>
      <c r="C140" s="25">
        <v>2021</v>
      </c>
      <c r="D140" s="5">
        <v>6850.8000000000002</v>
      </c>
      <c r="E140" t="s">
        <v>1443</v>
      </c>
      <c r="F140" t="s">
        <v>54</v>
      </c>
      <c r="G140" t="s">
        <v>55</v>
      </c>
      <c r="H140" t="s">
        <v>1444</v>
      </c>
      <c r="I140" t="s">
        <v>1445</v>
      </c>
      <c r="J140" t="s">
        <v>31</v>
      </c>
      <c r="K140" t="s">
        <v>1442</v>
      </c>
      <c r="M140" t="s">
        <v>23</v>
      </c>
      <c r="N140" t="s">
        <v>32</v>
      </c>
      <c r="O140" t="s">
        <v>28</v>
      </c>
      <c r="P140" t="s">
        <v>43</v>
      </c>
      <c r="Q140" t="s">
        <v>27</v>
      </c>
      <c r="R140" t="s">
        <v>28</v>
      </c>
    </row>
    <row r="141" spans="1:18" ht="15">
      <c r="A141" s="2">
        <v>44484</v>
      </c>
      <c r="B141" s="25">
        <v>10</v>
      </c>
      <c r="C141" s="25">
        <v>2021</v>
      </c>
      <c r="D141" s="5">
        <v>1606.5999999999999</v>
      </c>
      <c r="E141" t="s">
        <v>1446</v>
      </c>
      <c r="F141" t="s">
        <v>59</v>
      </c>
      <c r="G141" t="s">
        <v>60</v>
      </c>
      <c r="H141" t="s">
        <v>1447</v>
      </c>
      <c r="I141" t="s">
        <v>1448</v>
      </c>
      <c r="J141" t="s">
        <v>21</v>
      </c>
      <c r="K141" t="s">
        <v>1449</v>
      </c>
      <c r="M141" t="s">
        <v>23</v>
      </c>
      <c r="N141" t="s">
        <v>24</v>
      </c>
      <c r="O141" t="s">
        <v>25</v>
      </c>
      <c r="P141" t="s">
        <v>26</v>
      </c>
      <c r="Q141" t="s">
        <v>27</v>
      </c>
      <c r="R141" t="s">
        <v>28</v>
      </c>
    </row>
    <row r="142" spans="1:18" ht="15">
      <c r="A142" s="2">
        <v>44474</v>
      </c>
      <c r="B142" s="25">
        <v>10</v>
      </c>
      <c r="C142" s="25">
        <v>2021</v>
      </c>
      <c r="D142" s="5">
        <v>2119.4000000000001</v>
      </c>
      <c r="E142" t="s">
        <v>1450</v>
      </c>
      <c r="F142" t="s">
        <v>29</v>
      </c>
      <c r="G142" t="s">
        <v>30</v>
      </c>
      <c r="H142" t="s">
        <v>1451</v>
      </c>
      <c r="I142" t="s">
        <v>1452</v>
      </c>
      <c r="J142" t="s">
        <v>31</v>
      </c>
      <c r="K142" t="s">
        <v>1453</v>
      </c>
      <c r="M142" t="s">
        <v>23</v>
      </c>
      <c r="N142" t="s">
        <v>32</v>
      </c>
      <c r="O142" t="s">
        <v>28</v>
      </c>
      <c r="P142" t="s">
        <v>26</v>
      </c>
      <c r="Q142" t="s">
        <v>27</v>
      </c>
      <c r="R142" t="s">
        <v>28</v>
      </c>
    </row>
    <row r="143" spans="1:18" ht="15">
      <c r="A143" s="2">
        <v>44484</v>
      </c>
      <c r="B143" s="25">
        <v>10</v>
      </c>
      <c r="C143" s="25">
        <v>2021</v>
      </c>
      <c r="D143" s="5">
        <v>4771.9499999999998</v>
      </c>
      <c r="E143" t="s">
        <v>1446</v>
      </c>
      <c r="F143" t="s">
        <v>59</v>
      </c>
      <c r="G143" t="s">
        <v>60</v>
      </c>
      <c r="H143" t="s">
        <v>1447</v>
      </c>
      <c r="I143" t="s">
        <v>1448</v>
      </c>
      <c r="J143" t="s">
        <v>31</v>
      </c>
      <c r="K143" t="s">
        <v>1454</v>
      </c>
      <c r="M143" t="s">
        <v>23</v>
      </c>
      <c r="N143" t="s">
        <v>32</v>
      </c>
      <c r="O143" t="s">
        <v>28</v>
      </c>
      <c r="P143" t="s">
        <v>26</v>
      </c>
      <c r="Q143" t="s">
        <v>27</v>
      </c>
      <c r="R143" t="s">
        <v>28</v>
      </c>
    </row>
    <row r="144" spans="1:18" ht="15">
      <c r="A144" s="2">
        <v>44496</v>
      </c>
      <c r="B144" s="25">
        <v>10</v>
      </c>
      <c r="C144" s="25">
        <v>2021</v>
      </c>
      <c r="D144" s="5">
        <v>2190.1799999999998</v>
      </c>
      <c r="E144" t="s">
        <v>1455</v>
      </c>
      <c r="F144" t="s">
        <v>51</v>
      </c>
      <c r="G144" t="s">
        <v>52</v>
      </c>
      <c r="H144" t="s">
        <v>1456</v>
      </c>
      <c r="I144" t="s">
        <v>1457</v>
      </c>
      <c r="J144" t="s">
        <v>21</v>
      </c>
      <c r="K144" t="s">
        <v>942</v>
      </c>
      <c r="M144" t="s">
        <v>23</v>
      </c>
      <c r="N144" t="s">
        <v>24</v>
      </c>
      <c r="O144" t="s">
        <v>25</v>
      </c>
      <c r="P144" t="s">
        <v>49</v>
      </c>
      <c r="Q144" t="s">
        <v>53</v>
      </c>
      <c r="R144" t="s">
        <v>28</v>
      </c>
    </row>
    <row r="145" spans="1:18" ht="15">
      <c r="A145" s="2">
        <v>44496</v>
      </c>
      <c r="B145" s="25">
        <v>10</v>
      </c>
      <c r="C145" s="25">
        <v>2021</v>
      </c>
      <c r="D145" s="5">
        <v>6500.9099999999999</v>
      </c>
      <c r="E145" t="s">
        <v>1455</v>
      </c>
      <c r="F145" t="s">
        <v>51</v>
      </c>
      <c r="G145" t="s">
        <v>52</v>
      </c>
      <c r="H145" t="s">
        <v>1456</v>
      </c>
      <c r="I145" t="s">
        <v>1457</v>
      </c>
      <c r="J145" t="s">
        <v>31</v>
      </c>
      <c r="K145" t="s">
        <v>926</v>
      </c>
      <c r="M145" t="s">
        <v>23</v>
      </c>
      <c r="N145" t="s">
        <v>32</v>
      </c>
      <c r="O145" t="s">
        <v>34</v>
      </c>
      <c r="P145" t="s">
        <v>49</v>
      </c>
      <c r="Q145" t="s">
        <v>53</v>
      </c>
      <c r="R145" t="s">
        <v>28</v>
      </c>
    </row>
    <row r="146" spans="1:18" ht="15">
      <c r="A146" s="2">
        <v>44482</v>
      </c>
      <c r="B146" s="25">
        <v>10</v>
      </c>
      <c r="C146" s="25">
        <v>2021</v>
      </c>
      <c r="D146" s="5">
        <v>3984.6900000000001</v>
      </c>
      <c r="E146" t="s">
        <v>1458</v>
      </c>
      <c r="F146" t="s">
        <v>46</v>
      </c>
      <c r="G146" t="s">
        <v>47</v>
      </c>
      <c r="H146" t="s">
        <v>1459</v>
      </c>
      <c r="I146" t="s">
        <v>1460</v>
      </c>
      <c r="J146" t="s">
        <v>21</v>
      </c>
      <c r="K146" t="s">
        <v>1461</v>
      </c>
      <c r="M146" t="s">
        <v>23</v>
      </c>
      <c r="N146" t="s">
        <v>24</v>
      </c>
      <c r="O146" t="s">
        <v>25</v>
      </c>
      <c r="P146" t="s">
        <v>26</v>
      </c>
      <c r="Q146" t="s">
        <v>40</v>
      </c>
      <c r="R146" t="s">
        <v>28</v>
      </c>
    </row>
    <row r="147" spans="1:18" ht="15">
      <c r="A147" s="2">
        <v>44482</v>
      </c>
      <c r="B147" s="25">
        <v>10</v>
      </c>
      <c r="C147" s="25">
        <v>2021</v>
      </c>
      <c r="D147" s="5">
        <v>11917.790000000001</v>
      </c>
      <c r="E147" t="s">
        <v>1458</v>
      </c>
      <c r="F147" t="s">
        <v>46</v>
      </c>
      <c r="G147" t="s">
        <v>47</v>
      </c>
      <c r="H147" t="s">
        <v>1459</v>
      </c>
      <c r="I147" t="s">
        <v>1460</v>
      </c>
      <c r="J147" t="s">
        <v>31</v>
      </c>
      <c r="K147" t="s">
        <v>1462</v>
      </c>
      <c r="M147" t="s">
        <v>23</v>
      </c>
      <c r="N147" t="s">
        <v>32</v>
      </c>
      <c r="O147" t="s">
        <v>28</v>
      </c>
      <c r="P147" t="s">
        <v>26</v>
      </c>
      <c r="Q147" t="s">
        <v>27</v>
      </c>
      <c r="R147" t="s">
        <v>28</v>
      </c>
    </row>
    <row r="148" spans="1:18" ht="15">
      <c r="A148" s="2">
        <v>44494</v>
      </c>
      <c r="B148" s="25">
        <v>10</v>
      </c>
      <c r="C148" s="25">
        <v>2021</v>
      </c>
      <c r="D148" s="5">
        <v>2281.4000000000001</v>
      </c>
      <c r="E148" t="s">
        <v>1443</v>
      </c>
      <c r="F148" t="s">
        <v>54</v>
      </c>
      <c r="G148" t="s">
        <v>55</v>
      </c>
      <c r="H148" t="s">
        <v>1444</v>
      </c>
      <c r="I148" t="s">
        <v>1445</v>
      </c>
      <c r="J148" t="s">
        <v>21</v>
      </c>
      <c r="K148" t="s">
        <v>1463</v>
      </c>
      <c r="M148" t="s">
        <v>23</v>
      </c>
      <c r="N148" t="s">
        <v>24</v>
      </c>
      <c r="O148" t="s">
        <v>25</v>
      </c>
      <c r="P148" t="s">
        <v>43</v>
      </c>
      <c r="Q148" t="s">
        <v>40</v>
      </c>
      <c r="R148" t="s">
        <v>28</v>
      </c>
    </row>
    <row r="149" spans="1:18" ht="15">
      <c r="A149" s="2">
        <v>44474</v>
      </c>
      <c r="B149" s="25">
        <v>10</v>
      </c>
      <c r="C149" s="25">
        <v>2021</v>
      </c>
      <c r="D149" s="5">
        <v>543.29999999999995</v>
      </c>
      <c r="E149" t="s">
        <v>1450</v>
      </c>
      <c r="F149" t="s">
        <v>29</v>
      </c>
      <c r="G149" t="s">
        <v>30</v>
      </c>
      <c r="H149" t="s">
        <v>1451</v>
      </c>
      <c r="I149" t="s">
        <v>1452</v>
      </c>
      <c r="J149" t="s">
        <v>21</v>
      </c>
      <c r="K149" t="s">
        <v>1464</v>
      </c>
      <c r="M149" t="s">
        <v>23</v>
      </c>
      <c r="N149" t="s">
        <v>24</v>
      </c>
      <c r="O149" t="s">
        <v>25</v>
      </c>
      <c r="P149" t="s">
        <v>26</v>
      </c>
      <c r="Q149" t="s">
        <v>40</v>
      </c>
      <c r="R149" t="s">
        <v>28</v>
      </c>
    </row>
    <row r="150" spans="1:18" ht="15">
      <c r="A150" s="2">
        <v>44504</v>
      </c>
      <c r="B150" s="25">
        <v>11</v>
      </c>
      <c r="C150" s="25">
        <v>2021</v>
      </c>
      <c r="D150" s="5">
        <v>157888.28</v>
      </c>
      <c r="E150" t="s">
        <v>1465</v>
      </c>
      <c r="F150" t="s">
        <v>44</v>
      </c>
      <c r="G150" t="s">
        <v>45</v>
      </c>
      <c r="H150" t="s">
        <v>1466</v>
      </c>
      <c r="I150" t="s">
        <v>1467</v>
      </c>
      <c r="J150" t="s">
        <v>31</v>
      </c>
      <c r="K150" t="s">
        <v>1468</v>
      </c>
      <c r="M150" t="s">
        <v>23</v>
      </c>
      <c r="N150" t="s">
        <v>32</v>
      </c>
      <c r="O150" t="s">
        <v>28</v>
      </c>
      <c r="P150" t="s">
        <v>26</v>
      </c>
      <c r="Q150" t="s">
        <v>27</v>
      </c>
      <c r="R150" t="s">
        <v>28</v>
      </c>
    </row>
    <row r="151" spans="1:18" ht="15">
      <c r="A151" s="2">
        <v>44529</v>
      </c>
      <c r="B151" s="25">
        <v>11</v>
      </c>
      <c r="C151" s="25">
        <v>2021</v>
      </c>
      <c r="D151" s="5">
        <v>174</v>
      </c>
      <c r="E151" t="s">
        <v>1469</v>
      </c>
      <c r="F151" t="s">
        <v>36</v>
      </c>
      <c r="G151" t="s">
        <v>37</v>
      </c>
      <c r="H151" t="s">
        <v>1470</v>
      </c>
      <c r="I151" t="s">
        <v>1471</v>
      </c>
      <c r="J151" t="s">
        <v>31</v>
      </c>
      <c r="K151" t="s">
        <v>1013</v>
      </c>
      <c r="M151" t="s">
        <v>23</v>
      </c>
      <c r="N151" t="s">
        <v>32</v>
      </c>
      <c r="O151" t="s">
        <v>28</v>
      </c>
      <c r="P151" t="s">
        <v>26</v>
      </c>
      <c r="Q151" t="s">
        <v>27</v>
      </c>
      <c r="R151" t="s">
        <v>28</v>
      </c>
    </row>
    <row r="152" spans="1:18" ht="15">
      <c r="A152" s="2">
        <v>44510</v>
      </c>
      <c r="B152" s="25">
        <v>11</v>
      </c>
      <c r="C152" s="25">
        <v>2021</v>
      </c>
      <c r="D152" s="5">
        <v>2124.4499999999998</v>
      </c>
      <c r="E152" t="s">
        <v>1472</v>
      </c>
      <c r="F152" t="s">
        <v>29</v>
      </c>
      <c r="G152" t="s">
        <v>30</v>
      </c>
      <c r="H152" t="s">
        <v>1473</v>
      </c>
      <c r="I152" t="s">
        <v>1474</v>
      </c>
      <c r="J152" t="s">
        <v>31</v>
      </c>
      <c r="K152" t="s">
        <v>1096</v>
      </c>
      <c r="M152" t="s">
        <v>23</v>
      </c>
      <c r="N152" t="s">
        <v>32</v>
      </c>
      <c r="O152" t="s">
        <v>28</v>
      </c>
      <c r="P152" t="s">
        <v>26</v>
      </c>
      <c r="Q152" t="s">
        <v>27</v>
      </c>
      <c r="R152" t="s">
        <v>28</v>
      </c>
    </row>
    <row r="153" spans="1:18" ht="15">
      <c r="A153" s="2">
        <v>44530</v>
      </c>
      <c r="B153" s="25">
        <v>11</v>
      </c>
      <c r="C153" s="25">
        <v>2021</v>
      </c>
      <c r="D153" s="5">
        <v>7011.3999999999996</v>
      </c>
      <c r="E153" t="s">
        <v>1475</v>
      </c>
      <c r="F153" t="s">
        <v>54</v>
      </c>
      <c r="G153" t="s">
        <v>55</v>
      </c>
      <c r="H153" t="s">
        <v>1476</v>
      </c>
      <c r="I153" t="s">
        <v>1477</v>
      </c>
      <c r="J153" t="s">
        <v>31</v>
      </c>
      <c r="K153" t="s">
        <v>1031</v>
      </c>
      <c r="M153" t="s">
        <v>23</v>
      </c>
      <c r="N153" t="s">
        <v>32</v>
      </c>
      <c r="O153" t="s">
        <v>28</v>
      </c>
      <c r="P153" t="s">
        <v>43</v>
      </c>
      <c r="Q153" t="s">
        <v>27</v>
      </c>
      <c r="R153" t="s">
        <v>28</v>
      </c>
    </row>
    <row r="154" spans="1:18" ht="15">
      <c r="A154" s="2">
        <v>44530</v>
      </c>
      <c r="B154" s="25">
        <v>11</v>
      </c>
      <c r="C154" s="25">
        <v>2021</v>
      </c>
      <c r="D154" s="5">
        <v>53519.760000000002</v>
      </c>
      <c r="E154" t="s">
        <v>1478</v>
      </c>
      <c r="F154" t="s">
        <v>44</v>
      </c>
      <c r="G154" t="s">
        <v>45</v>
      </c>
      <c r="H154" t="s">
        <v>1479</v>
      </c>
      <c r="I154" t="s">
        <v>1480</v>
      </c>
      <c r="J154" t="s">
        <v>21</v>
      </c>
      <c r="K154" t="s">
        <v>1035</v>
      </c>
      <c r="M154" t="s">
        <v>23</v>
      </c>
      <c r="N154" t="s">
        <v>24</v>
      </c>
      <c r="O154" t="s">
        <v>25</v>
      </c>
      <c r="P154" t="s">
        <v>26</v>
      </c>
      <c r="Q154" t="s">
        <v>40</v>
      </c>
      <c r="R154" t="s">
        <v>28</v>
      </c>
    </row>
    <row r="155" spans="1:18" ht="15">
      <c r="A155" s="2">
        <v>44510</v>
      </c>
      <c r="B155" s="25">
        <v>11</v>
      </c>
      <c r="C155" s="25">
        <v>2021</v>
      </c>
      <c r="D155" s="5">
        <v>538.64999999999998</v>
      </c>
      <c r="E155" t="s">
        <v>1472</v>
      </c>
      <c r="F155" t="s">
        <v>29</v>
      </c>
      <c r="G155" t="s">
        <v>30</v>
      </c>
      <c r="H155" t="s">
        <v>1473</v>
      </c>
      <c r="I155" t="s">
        <v>1474</v>
      </c>
      <c r="J155" t="s">
        <v>21</v>
      </c>
      <c r="K155" t="s">
        <v>1027</v>
      </c>
      <c r="M155" t="s">
        <v>23</v>
      </c>
      <c r="N155" t="s">
        <v>24</v>
      </c>
      <c r="O155" t="s">
        <v>25</v>
      </c>
      <c r="P155" t="s">
        <v>26</v>
      </c>
      <c r="Q155" t="s">
        <v>40</v>
      </c>
      <c r="R155" t="s">
        <v>28</v>
      </c>
    </row>
    <row r="156" spans="1:18" ht="15">
      <c r="A156" s="2">
        <v>44530</v>
      </c>
      <c r="B156" s="25">
        <v>11</v>
      </c>
      <c r="C156" s="25">
        <v>2021</v>
      </c>
      <c r="D156" s="5">
        <v>2299</v>
      </c>
      <c r="E156" t="s">
        <v>1475</v>
      </c>
      <c r="F156" t="s">
        <v>54</v>
      </c>
      <c r="G156" t="s">
        <v>55</v>
      </c>
      <c r="H156" t="s">
        <v>1476</v>
      </c>
      <c r="I156" t="s">
        <v>1477</v>
      </c>
      <c r="J156" t="s">
        <v>21</v>
      </c>
      <c r="K156" t="s">
        <v>1035</v>
      </c>
      <c r="M156" t="s">
        <v>23</v>
      </c>
      <c r="N156" t="s">
        <v>24</v>
      </c>
      <c r="O156" t="s">
        <v>25</v>
      </c>
      <c r="P156" t="s">
        <v>43</v>
      </c>
      <c r="Q156" t="s">
        <v>40</v>
      </c>
      <c r="R156" t="s">
        <v>28</v>
      </c>
    </row>
    <row r="157" spans="1:18" ht="15">
      <c r="A157" s="2">
        <v>44529</v>
      </c>
      <c r="B157" s="25">
        <v>11</v>
      </c>
      <c r="C157" s="25">
        <v>2021</v>
      </c>
      <c r="D157" s="5">
        <v>58</v>
      </c>
      <c r="E157" t="s">
        <v>1469</v>
      </c>
      <c r="F157" t="s">
        <v>36</v>
      </c>
      <c r="G157" t="s">
        <v>37</v>
      </c>
      <c r="H157" t="s">
        <v>1470</v>
      </c>
      <c r="I157" t="s">
        <v>1471</v>
      </c>
      <c r="J157" t="s">
        <v>21</v>
      </c>
      <c r="K157" t="s">
        <v>1054</v>
      </c>
      <c r="M157" t="s">
        <v>23</v>
      </c>
      <c r="N157" t="s">
        <v>24</v>
      </c>
      <c r="O157" t="s">
        <v>25</v>
      </c>
      <c r="P157" t="s">
        <v>26</v>
      </c>
      <c r="Q157" t="s">
        <v>40</v>
      </c>
      <c r="R157" t="s">
        <v>28</v>
      </c>
    </row>
    <row r="158" spans="1:18" ht="15">
      <c r="A158" s="2">
        <v>44522</v>
      </c>
      <c r="B158" s="25">
        <v>11</v>
      </c>
      <c r="C158" s="25">
        <v>2021</v>
      </c>
      <c r="D158" s="5">
        <v>2095.23</v>
      </c>
      <c r="E158" t="s">
        <v>1481</v>
      </c>
      <c r="F158" t="s">
        <v>51</v>
      </c>
      <c r="G158" t="s">
        <v>52</v>
      </c>
      <c r="H158" t="s">
        <v>1482</v>
      </c>
      <c r="I158" t="s">
        <v>1483</v>
      </c>
      <c r="J158" t="s">
        <v>21</v>
      </c>
      <c r="K158" t="s">
        <v>1005</v>
      </c>
      <c r="M158" t="s">
        <v>23</v>
      </c>
      <c r="N158" t="s">
        <v>24</v>
      </c>
      <c r="O158" t="s">
        <v>25</v>
      </c>
      <c r="P158" t="s">
        <v>49</v>
      </c>
      <c r="Q158" t="s">
        <v>53</v>
      </c>
      <c r="R158" t="s">
        <v>28</v>
      </c>
    </row>
    <row r="159" spans="1:18" ht="15">
      <c r="A159" s="2">
        <v>44504</v>
      </c>
      <c r="B159" s="25">
        <v>11</v>
      </c>
      <c r="C159" s="25">
        <v>2021</v>
      </c>
      <c r="D159" s="5">
        <v>53936.419999999998</v>
      </c>
      <c r="E159" t="s">
        <v>1465</v>
      </c>
      <c r="F159" t="s">
        <v>44</v>
      </c>
      <c r="G159" t="s">
        <v>45</v>
      </c>
      <c r="H159" t="s">
        <v>1466</v>
      </c>
      <c r="I159" t="s">
        <v>1467</v>
      </c>
      <c r="J159" t="s">
        <v>21</v>
      </c>
      <c r="K159" t="s">
        <v>1484</v>
      </c>
      <c r="M159" t="s">
        <v>23</v>
      </c>
      <c r="N159" t="s">
        <v>24</v>
      </c>
      <c r="O159" t="s">
        <v>25</v>
      </c>
      <c r="P159" t="s">
        <v>26</v>
      </c>
      <c r="Q159" t="s">
        <v>40</v>
      </c>
      <c r="R159" t="s">
        <v>28</v>
      </c>
    </row>
    <row r="160" spans="1:18" ht="15">
      <c r="A160" s="2">
        <v>44509</v>
      </c>
      <c r="B160" s="25">
        <v>11</v>
      </c>
      <c r="C160" s="25">
        <v>2021</v>
      </c>
      <c r="D160" s="5">
        <v>3993.1199999999999</v>
      </c>
      <c r="E160" t="s">
        <v>1485</v>
      </c>
      <c r="F160" t="s">
        <v>46</v>
      </c>
      <c r="G160" t="s">
        <v>47</v>
      </c>
      <c r="H160" t="s">
        <v>1486</v>
      </c>
      <c r="I160" t="s">
        <v>1487</v>
      </c>
      <c r="J160" t="s">
        <v>21</v>
      </c>
      <c r="K160" t="s">
        <v>1084</v>
      </c>
      <c r="M160" t="s">
        <v>23</v>
      </c>
      <c r="N160" t="s">
        <v>24</v>
      </c>
      <c r="O160" t="s">
        <v>25</v>
      </c>
      <c r="P160" t="s">
        <v>26</v>
      </c>
      <c r="Q160" t="s">
        <v>40</v>
      </c>
      <c r="R160" t="s">
        <v>28</v>
      </c>
    </row>
    <row r="161" spans="1:18" ht="15">
      <c r="A161" s="2">
        <v>44509</v>
      </c>
      <c r="B161" s="25">
        <v>11</v>
      </c>
      <c r="C161" s="25">
        <v>2021</v>
      </c>
      <c r="D161" s="5">
        <v>11943.02</v>
      </c>
      <c r="E161" t="s">
        <v>1485</v>
      </c>
      <c r="F161" t="s">
        <v>46</v>
      </c>
      <c r="G161" t="s">
        <v>47</v>
      </c>
      <c r="H161" t="s">
        <v>1486</v>
      </c>
      <c r="I161" t="s">
        <v>1487</v>
      </c>
      <c r="J161" t="s">
        <v>31</v>
      </c>
      <c r="K161" t="s">
        <v>1089</v>
      </c>
      <c r="M161" t="s">
        <v>23</v>
      </c>
      <c r="N161" t="s">
        <v>32</v>
      </c>
      <c r="O161" t="s">
        <v>28</v>
      </c>
      <c r="P161" t="s">
        <v>26</v>
      </c>
      <c r="Q161" t="s">
        <v>27</v>
      </c>
      <c r="R161" t="s">
        <v>28</v>
      </c>
    </row>
    <row r="162" spans="1:18" ht="15">
      <c r="A162" s="2">
        <v>44522</v>
      </c>
      <c r="B162" s="25">
        <v>11</v>
      </c>
      <c r="C162" s="25">
        <v>2021</v>
      </c>
      <c r="D162" s="5">
        <v>6492.4700000000003</v>
      </c>
      <c r="E162" t="s">
        <v>1481</v>
      </c>
      <c r="F162" t="s">
        <v>51</v>
      </c>
      <c r="G162" t="s">
        <v>52</v>
      </c>
      <c r="H162" t="s">
        <v>1482</v>
      </c>
      <c r="I162" t="s">
        <v>1483</v>
      </c>
      <c r="J162" t="s">
        <v>31</v>
      </c>
      <c r="K162" t="s">
        <v>1009</v>
      </c>
      <c r="M162" t="s">
        <v>23</v>
      </c>
      <c r="N162" t="s">
        <v>32</v>
      </c>
      <c r="O162" t="s">
        <v>34</v>
      </c>
      <c r="P162" t="s">
        <v>49</v>
      </c>
      <c r="Q162" t="s">
        <v>53</v>
      </c>
      <c r="R162" t="s">
        <v>28</v>
      </c>
    </row>
    <row r="163" spans="1:18" ht="15">
      <c r="A163" s="2">
        <v>44518</v>
      </c>
      <c r="B163" s="25">
        <v>11</v>
      </c>
      <c r="C163" s="25">
        <v>2021</v>
      </c>
      <c r="D163" s="5">
        <v>2176.8099999999999</v>
      </c>
      <c r="E163" t="s">
        <v>1488</v>
      </c>
      <c r="F163" t="s">
        <v>59</v>
      </c>
      <c r="G163" t="s">
        <v>60</v>
      </c>
      <c r="H163" t="s">
        <v>1489</v>
      </c>
      <c r="I163" t="s">
        <v>1490</v>
      </c>
      <c r="J163" t="s">
        <v>21</v>
      </c>
      <c r="K163" t="s">
        <v>1491</v>
      </c>
      <c r="M163" t="s">
        <v>23</v>
      </c>
      <c r="N163" t="s">
        <v>24</v>
      </c>
      <c r="O163" t="s">
        <v>25</v>
      </c>
      <c r="P163" t="s">
        <v>26</v>
      </c>
      <c r="Q163" t="s">
        <v>27</v>
      </c>
      <c r="R163" t="s">
        <v>28</v>
      </c>
    </row>
    <row r="164" spans="1:18" ht="15">
      <c r="A164" s="2">
        <v>44518</v>
      </c>
      <c r="B164" s="25">
        <v>11</v>
      </c>
      <c r="C164" s="25">
        <v>2021</v>
      </c>
      <c r="D164" s="5">
        <v>6518.5900000000001</v>
      </c>
      <c r="E164" t="s">
        <v>1488</v>
      </c>
      <c r="F164" t="s">
        <v>59</v>
      </c>
      <c r="G164" t="s">
        <v>60</v>
      </c>
      <c r="H164" t="s">
        <v>1489</v>
      </c>
      <c r="I164" t="s">
        <v>1490</v>
      </c>
      <c r="J164" t="s">
        <v>31</v>
      </c>
      <c r="K164" t="s">
        <v>1492</v>
      </c>
      <c r="M164" t="s">
        <v>23</v>
      </c>
      <c r="N164" t="s">
        <v>32</v>
      </c>
      <c r="O164" t="s">
        <v>28</v>
      </c>
      <c r="P164" t="s">
        <v>26</v>
      </c>
      <c r="Q164" t="s">
        <v>27</v>
      </c>
      <c r="R164" t="s">
        <v>28</v>
      </c>
    </row>
    <row r="165" spans="1:18" ht="15">
      <c r="A165" s="2">
        <v>44530</v>
      </c>
      <c r="B165" s="25">
        <v>11</v>
      </c>
      <c r="C165" s="25">
        <v>2021</v>
      </c>
      <c r="D165" s="5">
        <v>155943.23999999999</v>
      </c>
      <c r="E165" t="s">
        <v>1478</v>
      </c>
      <c r="F165" t="s">
        <v>44</v>
      </c>
      <c r="G165" t="s">
        <v>45</v>
      </c>
      <c r="H165" t="s">
        <v>1479</v>
      </c>
      <c r="I165" t="s">
        <v>1480</v>
      </c>
      <c r="J165" t="s">
        <v>31</v>
      </c>
      <c r="K165" t="s">
        <v>1031</v>
      </c>
      <c r="M165" t="s">
        <v>23</v>
      </c>
      <c r="N165" t="s">
        <v>32</v>
      </c>
      <c r="O165" t="s">
        <v>28</v>
      </c>
      <c r="P165" t="s">
        <v>26</v>
      </c>
      <c r="Q165" t="s">
        <v>27</v>
      </c>
      <c r="R165" t="s">
        <v>28</v>
      </c>
    </row>
    <row r="166" spans="1:18" ht="15">
      <c r="A166" s="2">
        <v>44539</v>
      </c>
      <c r="B166" s="25">
        <v>12</v>
      </c>
      <c r="C166" s="25">
        <v>2021</v>
      </c>
      <c r="D166" s="5">
        <v>998.63</v>
      </c>
      <c r="E166" t="s">
        <v>1493</v>
      </c>
      <c r="F166" t="s">
        <v>38</v>
      </c>
      <c r="G166" t="s">
        <v>39</v>
      </c>
      <c r="H166" t="s">
        <v>1494</v>
      </c>
      <c r="I166" t="s">
        <v>1495</v>
      </c>
      <c r="J166" t="s">
        <v>21</v>
      </c>
      <c r="K166" t="s">
        <v>1169</v>
      </c>
      <c r="M166" t="s">
        <v>23</v>
      </c>
      <c r="N166" t="s">
        <v>24</v>
      </c>
      <c r="O166" t="s">
        <v>25</v>
      </c>
      <c r="P166" t="s">
        <v>26</v>
      </c>
      <c r="Q166" t="s">
        <v>40</v>
      </c>
      <c r="R166" t="s">
        <v>28</v>
      </c>
    </row>
    <row r="167" spans="1:18" ht="15">
      <c r="A167" s="2">
        <v>44544</v>
      </c>
      <c r="B167" s="25">
        <v>12</v>
      </c>
      <c r="C167" s="25">
        <v>2021</v>
      </c>
      <c r="D167" s="5">
        <v>1740.8399999999999</v>
      </c>
      <c r="E167" t="s">
        <v>1496</v>
      </c>
      <c r="F167" t="s">
        <v>59</v>
      </c>
      <c r="G167" t="s">
        <v>60</v>
      </c>
      <c r="H167" t="s">
        <v>1497</v>
      </c>
      <c r="I167" t="s">
        <v>1498</v>
      </c>
      <c r="J167" t="s">
        <v>21</v>
      </c>
      <c r="K167" t="s">
        <v>1499</v>
      </c>
      <c r="M167" t="s">
        <v>23</v>
      </c>
      <c r="N167" t="s">
        <v>24</v>
      </c>
      <c r="O167" t="s">
        <v>25</v>
      </c>
      <c r="P167" t="s">
        <v>26</v>
      </c>
      <c r="Q167" t="s">
        <v>27</v>
      </c>
      <c r="R167" t="s">
        <v>28</v>
      </c>
    </row>
    <row r="168" spans="1:18" ht="15">
      <c r="A168" s="2">
        <v>44547</v>
      </c>
      <c r="B168" s="25">
        <v>12</v>
      </c>
      <c r="C168" s="25">
        <v>2021</v>
      </c>
      <c r="D168" s="5">
        <v>924.40999999999997</v>
      </c>
      <c r="E168" t="s">
        <v>1500</v>
      </c>
      <c r="F168" t="s">
        <v>59</v>
      </c>
      <c r="G168" t="s">
        <v>60</v>
      </c>
      <c r="H168" t="s">
        <v>1501</v>
      </c>
      <c r="I168" t="s">
        <v>1502</v>
      </c>
      <c r="J168" t="s">
        <v>21</v>
      </c>
      <c r="K168" t="s">
        <v>1503</v>
      </c>
      <c r="M168" t="s">
        <v>23</v>
      </c>
      <c r="N168" t="s">
        <v>24</v>
      </c>
      <c r="O168" t="s">
        <v>25</v>
      </c>
      <c r="P168" t="s">
        <v>26</v>
      </c>
      <c r="Q168" t="s">
        <v>27</v>
      </c>
      <c r="R168" t="s">
        <v>28</v>
      </c>
    </row>
    <row r="169" spans="1:18" ht="15">
      <c r="A169" s="2">
        <v>44551</v>
      </c>
      <c r="B169" s="25">
        <v>12</v>
      </c>
      <c r="C169" s="25">
        <v>2021</v>
      </c>
      <c r="D169" s="5">
        <v>2152.1999999999998</v>
      </c>
      <c r="E169" t="s">
        <v>1504</v>
      </c>
      <c r="F169" t="s">
        <v>51</v>
      </c>
      <c r="G169" t="s">
        <v>52</v>
      </c>
      <c r="H169" t="s">
        <v>1505</v>
      </c>
      <c r="I169" t="s">
        <v>1506</v>
      </c>
      <c r="J169" t="s">
        <v>21</v>
      </c>
      <c r="K169" t="s">
        <v>1125</v>
      </c>
      <c r="M169" t="s">
        <v>23</v>
      </c>
      <c r="N169" t="s">
        <v>24</v>
      </c>
      <c r="O169" t="s">
        <v>25</v>
      </c>
      <c r="P169" t="s">
        <v>49</v>
      </c>
      <c r="Q169" t="s">
        <v>53</v>
      </c>
      <c r="R169" t="s">
        <v>28</v>
      </c>
    </row>
    <row r="170" spans="1:18" ht="15">
      <c r="A170" s="2">
        <v>44545</v>
      </c>
      <c r="B170" s="25">
        <v>12</v>
      </c>
      <c r="C170" s="25">
        <v>2021</v>
      </c>
      <c r="D170" s="5">
        <v>52428.300000000003</v>
      </c>
      <c r="E170" t="s">
        <v>1507</v>
      </c>
      <c r="F170" t="s">
        <v>44</v>
      </c>
      <c r="G170" t="s">
        <v>45</v>
      </c>
      <c r="H170" t="s">
        <v>1508</v>
      </c>
      <c r="I170" t="s">
        <v>1509</v>
      </c>
      <c r="J170" t="s">
        <v>21</v>
      </c>
      <c r="K170" t="s">
        <v>1510</v>
      </c>
      <c r="M170" t="s">
        <v>23</v>
      </c>
      <c r="N170" t="s">
        <v>24</v>
      </c>
      <c r="O170" t="s">
        <v>25</v>
      </c>
      <c r="P170" t="s">
        <v>26</v>
      </c>
      <c r="Q170" t="s">
        <v>40</v>
      </c>
      <c r="R170" t="s">
        <v>28</v>
      </c>
    </row>
    <row r="171" spans="1:18" ht="15">
      <c r="A171" s="2">
        <v>44539</v>
      </c>
      <c r="B171" s="25">
        <v>12</v>
      </c>
      <c r="C171" s="25">
        <v>2021</v>
      </c>
      <c r="D171" s="5">
        <v>8876.3299999999999</v>
      </c>
      <c r="E171" t="s">
        <v>1493</v>
      </c>
      <c r="F171" t="s">
        <v>38</v>
      </c>
      <c r="G171" t="s">
        <v>39</v>
      </c>
      <c r="H171" t="s">
        <v>1494</v>
      </c>
      <c r="I171" t="s">
        <v>1495</v>
      </c>
      <c r="J171" t="s">
        <v>31</v>
      </c>
      <c r="K171" t="s">
        <v>1162</v>
      </c>
      <c r="M171" t="s">
        <v>23</v>
      </c>
      <c r="N171" t="s">
        <v>32</v>
      </c>
      <c r="O171" t="s">
        <v>28</v>
      </c>
      <c r="P171" t="s">
        <v>26</v>
      </c>
      <c r="Q171" t="s">
        <v>27</v>
      </c>
      <c r="R171" t="s">
        <v>28</v>
      </c>
    </row>
    <row r="172" spans="1:18" ht="15">
      <c r="A172" s="2">
        <v>44546</v>
      </c>
      <c r="B172" s="25">
        <v>12</v>
      </c>
      <c r="C172" s="25">
        <v>2021</v>
      </c>
      <c r="D172" s="5">
        <v>535.60000000000002</v>
      </c>
      <c r="E172" t="s">
        <v>1511</v>
      </c>
      <c r="F172" t="s">
        <v>29</v>
      </c>
      <c r="G172" t="s">
        <v>30</v>
      </c>
      <c r="H172" t="s">
        <v>1512</v>
      </c>
      <c r="I172" t="s">
        <v>1513</v>
      </c>
      <c r="J172" t="s">
        <v>21</v>
      </c>
      <c r="K172" t="s">
        <v>1514</v>
      </c>
      <c r="M172" t="s">
        <v>23</v>
      </c>
      <c r="N172" t="s">
        <v>24</v>
      </c>
      <c r="O172" t="s">
        <v>25</v>
      </c>
      <c r="P172" t="s">
        <v>26</v>
      </c>
      <c r="Q172" t="s">
        <v>40</v>
      </c>
      <c r="R172" t="s">
        <v>28</v>
      </c>
    </row>
    <row r="173" spans="1:18" ht="15">
      <c r="A173" s="2">
        <v>44551</v>
      </c>
      <c r="B173" s="25">
        <v>12</v>
      </c>
      <c r="C173" s="25">
        <v>2021</v>
      </c>
      <c r="D173" s="5">
        <v>6528.3400000000001</v>
      </c>
      <c r="E173" t="s">
        <v>1504</v>
      </c>
      <c r="F173" t="s">
        <v>51</v>
      </c>
      <c r="G173" t="s">
        <v>52</v>
      </c>
      <c r="H173" t="s">
        <v>1505</v>
      </c>
      <c r="I173" t="s">
        <v>1506</v>
      </c>
      <c r="J173" t="s">
        <v>31</v>
      </c>
      <c r="K173" t="s">
        <v>1114</v>
      </c>
      <c r="M173" t="s">
        <v>23</v>
      </c>
      <c r="N173" t="s">
        <v>32</v>
      </c>
      <c r="O173" t="s">
        <v>34</v>
      </c>
      <c r="P173" t="s">
        <v>49</v>
      </c>
      <c r="Q173" t="s">
        <v>53</v>
      </c>
      <c r="R173" t="s">
        <v>28</v>
      </c>
    </row>
    <row r="174" spans="1:18" ht="15">
      <c r="A174" s="2">
        <v>44551</v>
      </c>
      <c r="B174" s="25">
        <v>12</v>
      </c>
      <c r="C174" s="25">
        <v>2021</v>
      </c>
      <c r="D174" s="5">
        <v>7449.8999999999996</v>
      </c>
      <c r="E174" t="s">
        <v>1515</v>
      </c>
      <c r="F174" t="s">
        <v>54</v>
      </c>
      <c r="G174" t="s">
        <v>55</v>
      </c>
      <c r="H174" t="s">
        <v>1516</v>
      </c>
      <c r="I174" t="s">
        <v>1517</v>
      </c>
      <c r="J174" t="s">
        <v>31</v>
      </c>
      <c r="K174" t="s">
        <v>1114</v>
      </c>
      <c r="M174" t="s">
        <v>23</v>
      </c>
      <c r="N174" t="s">
        <v>32</v>
      </c>
      <c r="O174" t="s">
        <v>28</v>
      </c>
      <c r="P174" t="s">
        <v>43</v>
      </c>
      <c r="Q174" t="s">
        <v>27</v>
      </c>
      <c r="R174" t="s">
        <v>28</v>
      </c>
    </row>
    <row r="175" spans="1:18" ht="15">
      <c r="A175" s="2">
        <v>44545</v>
      </c>
      <c r="B175" s="25">
        <v>12</v>
      </c>
      <c r="C175" s="25">
        <v>2021</v>
      </c>
      <c r="D175" s="5">
        <v>154515.79999999999</v>
      </c>
      <c r="E175" t="s">
        <v>1507</v>
      </c>
      <c r="F175" t="s">
        <v>44</v>
      </c>
      <c r="G175" t="s">
        <v>45</v>
      </c>
      <c r="H175" t="s">
        <v>1508</v>
      </c>
      <c r="I175" t="s">
        <v>1509</v>
      </c>
      <c r="J175" t="s">
        <v>31</v>
      </c>
      <c r="K175" t="s">
        <v>1518</v>
      </c>
      <c r="M175" t="s">
        <v>23</v>
      </c>
      <c r="N175" t="s">
        <v>32</v>
      </c>
      <c r="O175" t="s">
        <v>28</v>
      </c>
      <c r="P175" t="s">
        <v>26</v>
      </c>
      <c r="Q175" t="s">
        <v>27</v>
      </c>
      <c r="R175" t="s">
        <v>28</v>
      </c>
    </row>
    <row r="176" spans="1:18" ht="15">
      <c r="A176" s="2">
        <v>44544</v>
      </c>
      <c r="B176" s="25">
        <v>12</v>
      </c>
      <c r="C176" s="25">
        <v>2021</v>
      </c>
      <c r="D176" s="5">
        <v>5230.4099999999999</v>
      </c>
      <c r="E176" t="s">
        <v>1496</v>
      </c>
      <c r="F176" t="s">
        <v>59</v>
      </c>
      <c r="G176" t="s">
        <v>60</v>
      </c>
      <c r="H176" t="s">
        <v>1497</v>
      </c>
      <c r="I176" t="s">
        <v>1498</v>
      </c>
      <c r="J176" t="s">
        <v>31</v>
      </c>
      <c r="K176" t="s">
        <v>1519</v>
      </c>
      <c r="M176" t="s">
        <v>23</v>
      </c>
      <c r="N176" t="s">
        <v>32</v>
      </c>
      <c r="O176" t="s">
        <v>28</v>
      </c>
      <c r="P176" t="s">
        <v>26</v>
      </c>
      <c r="Q176" t="s">
        <v>27</v>
      </c>
      <c r="R176" t="s">
        <v>28</v>
      </c>
    </row>
    <row r="177" spans="1:18" ht="15">
      <c r="A177" s="2">
        <v>44539</v>
      </c>
      <c r="B177" s="25">
        <v>12</v>
      </c>
      <c r="C177" s="25">
        <v>2021</v>
      </c>
      <c r="D177" s="5">
        <v>174</v>
      </c>
      <c r="E177" t="s">
        <v>1520</v>
      </c>
      <c r="F177" t="s">
        <v>36</v>
      </c>
      <c r="G177" t="s">
        <v>37</v>
      </c>
      <c r="H177" t="s">
        <v>1521</v>
      </c>
      <c r="I177" t="s">
        <v>1522</v>
      </c>
      <c r="J177" t="s">
        <v>31</v>
      </c>
      <c r="K177" t="s">
        <v>1162</v>
      </c>
      <c r="M177" t="s">
        <v>23</v>
      </c>
      <c r="N177" t="s">
        <v>32</v>
      </c>
      <c r="O177" t="s">
        <v>28</v>
      </c>
      <c r="P177" t="s">
        <v>26</v>
      </c>
      <c r="Q177" t="s">
        <v>27</v>
      </c>
      <c r="R177" t="s">
        <v>28</v>
      </c>
    </row>
    <row r="178" spans="1:18" ht="15">
      <c r="A178" s="2">
        <v>44539</v>
      </c>
      <c r="B178" s="25">
        <v>12</v>
      </c>
      <c r="C178" s="25">
        <v>2021</v>
      </c>
      <c r="D178" s="5">
        <v>58</v>
      </c>
      <c r="E178" t="s">
        <v>1520</v>
      </c>
      <c r="F178" t="s">
        <v>36</v>
      </c>
      <c r="G178" t="s">
        <v>37</v>
      </c>
      <c r="H178" t="s">
        <v>1521</v>
      </c>
      <c r="I178" t="s">
        <v>1522</v>
      </c>
      <c r="J178" t="s">
        <v>21</v>
      </c>
      <c r="K178" t="s">
        <v>1169</v>
      </c>
      <c r="M178" t="s">
        <v>23</v>
      </c>
      <c r="N178" t="s">
        <v>24</v>
      </c>
      <c r="O178" t="s">
        <v>25</v>
      </c>
      <c r="P178" t="s">
        <v>26</v>
      </c>
      <c r="Q178" t="s">
        <v>40</v>
      </c>
      <c r="R178" t="s">
        <v>28</v>
      </c>
    </row>
    <row r="179" spans="1:18" ht="15">
      <c r="A179" s="2">
        <v>44546</v>
      </c>
      <c r="B179" s="25">
        <v>12</v>
      </c>
      <c r="C179" s="25">
        <v>2021</v>
      </c>
      <c r="D179" s="5">
        <v>2112.0500000000002</v>
      </c>
      <c r="E179" t="s">
        <v>1511</v>
      </c>
      <c r="F179" t="s">
        <v>29</v>
      </c>
      <c r="G179" t="s">
        <v>30</v>
      </c>
      <c r="H179" t="s">
        <v>1512</v>
      </c>
      <c r="I179" t="s">
        <v>1513</v>
      </c>
      <c r="J179" t="s">
        <v>31</v>
      </c>
      <c r="K179" t="s">
        <v>1523</v>
      </c>
      <c r="M179" t="s">
        <v>23</v>
      </c>
      <c r="N179" t="s">
        <v>32</v>
      </c>
      <c r="O179" t="s">
        <v>28</v>
      </c>
      <c r="P179" t="s">
        <v>26</v>
      </c>
      <c r="Q179" t="s">
        <v>27</v>
      </c>
      <c r="R179" t="s">
        <v>28</v>
      </c>
    </row>
    <row r="180" spans="1:18" ht="15">
      <c r="A180" s="2">
        <v>44547</v>
      </c>
      <c r="B180" s="25">
        <v>12</v>
      </c>
      <c r="C180" s="25">
        <v>2021</v>
      </c>
      <c r="D180" s="5">
        <v>2847.4400000000001</v>
      </c>
      <c r="E180" t="s">
        <v>1500</v>
      </c>
      <c r="F180" t="s">
        <v>59</v>
      </c>
      <c r="G180" t="s">
        <v>60</v>
      </c>
      <c r="H180" t="s">
        <v>1501</v>
      </c>
      <c r="I180" t="s">
        <v>1502</v>
      </c>
      <c r="J180" t="s">
        <v>31</v>
      </c>
      <c r="K180" t="s">
        <v>1524</v>
      </c>
      <c r="M180" t="s">
        <v>23</v>
      </c>
      <c r="N180" t="s">
        <v>32</v>
      </c>
      <c r="O180" t="s">
        <v>28</v>
      </c>
      <c r="P180" t="s">
        <v>26</v>
      </c>
      <c r="Q180" t="s">
        <v>27</v>
      </c>
      <c r="R180" t="s">
        <v>28</v>
      </c>
    </row>
    <row r="181" spans="1:18" ht="15">
      <c r="A181" s="2">
        <v>44551</v>
      </c>
      <c r="B181" s="25">
        <v>12</v>
      </c>
      <c r="C181" s="25">
        <v>2021</v>
      </c>
      <c r="D181" s="5">
        <v>2442.0999999999999</v>
      </c>
      <c r="E181" t="s">
        <v>1515</v>
      </c>
      <c r="F181" t="s">
        <v>54</v>
      </c>
      <c r="G181" t="s">
        <v>55</v>
      </c>
      <c r="H181" t="s">
        <v>1516</v>
      </c>
      <c r="I181" t="s">
        <v>1517</v>
      </c>
      <c r="J181" t="s">
        <v>21</v>
      </c>
      <c r="K181" t="s">
        <v>1125</v>
      </c>
      <c r="M181" t="s">
        <v>23</v>
      </c>
      <c r="N181" t="s">
        <v>24</v>
      </c>
      <c r="O181" t="s">
        <v>25</v>
      </c>
      <c r="P181" t="s">
        <v>43</v>
      </c>
      <c r="Q181" t="s">
        <v>40</v>
      </c>
      <c r="R181" t="s">
        <v>28</v>
      </c>
    </row>
    <row r="182" spans="1:18" ht="15">
      <c r="A182" s="2">
        <v>44201</v>
      </c>
      <c r="B182">
        <v>1</v>
      </c>
      <c r="C182">
        <v>2021</v>
      </c>
      <c r="D182" s="5">
        <v>-233.75</v>
      </c>
      <c r="E182" s="4" t="s">
        <v>73</v>
      </c>
      <c r="G182" t="s">
        <v>37</v>
      </c>
      <c r="H182" s="4" t="s">
        <v>97</v>
      </c>
      <c r="J182" s="4" t="s">
        <v>31</v>
      </c>
      <c r="K182" s="4" t="s">
        <v>72</v>
      </c>
      <c r="L182" s="4" t="s">
        <v>74</v>
      </c>
      <c r="M182" s="4" t="s">
        <v>23</v>
      </c>
      <c r="N182" s="4" t="s">
        <v>32</v>
      </c>
      <c r="O182" s="4" t="s">
        <v>28</v>
      </c>
      <c r="P182" s="4" t="s">
        <v>26</v>
      </c>
      <c r="Q182" s="4" t="s">
        <v>27</v>
      </c>
      <c r="R182" s="4" t="s">
        <v>28</v>
      </c>
    </row>
    <row r="183" spans="1:18" ht="15">
      <c r="A183" s="2">
        <v>44201</v>
      </c>
      <c r="B183">
        <v>1</v>
      </c>
      <c r="C183">
        <v>2021</v>
      </c>
      <c r="D183" s="5">
        <v>-150024.51999999999</v>
      </c>
      <c r="E183" s="4" t="s">
        <v>73</v>
      </c>
      <c r="G183" t="s">
        <v>45</v>
      </c>
      <c r="H183" s="4" t="s">
        <v>100</v>
      </c>
      <c r="J183" s="4" t="s">
        <v>31</v>
      </c>
      <c r="K183" s="4" t="s">
        <v>72</v>
      </c>
      <c r="L183" s="4" t="s">
        <v>74</v>
      </c>
      <c r="M183" s="4" t="s">
        <v>23</v>
      </c>
      <c r="N183" s="4" t="s">
        <v>32</v>
      </c>
      <c r="O183" s="4" t="s">
        <v>28</v>
      </c>
      <c r="P183" s="4" t="s">
        <v>26</v>
      </c>
      <c r="Q183" s="4" t="s">
        <v>27</v>
      </c>
      <c r="R183" s="4" t="s">
        <v>28</v>
      </c>
    </row>
    <row r="184" spans="1:18" ht="15">
      <c r="A184" s="2">
        <v>44201</v>
      </c>
      <c r="B184">
        <v>1</v>
      </c>
      <c r="C184">
        <v>2021</v>
      </c>
      <c r="D184" s="5">
        <v>-2.5</v>
      </c>
      <c r="E184" s="4" t="s">
        <v>73</v>
      </c>
      <c r="G184" t="s">
        <v>39</v>
      </c>
      <c r="H184" s="4" t="s">
        <v>98</v>
      </c>
      <c r="J184" s="4" t="s">
        <v>31</v>
      </c>
      <c r="K184" s="4" t="s">
        <v>72</v>
      </c>
      <c r="L184" s="4" t="s">
        <v>74</v>
      </c>
      <c r="M184" s="4" t="s">
        <v>23</v>
      </c>
      <c r="N184" s="4" t="s">
        <v>32</v>
      </c>
      <c r="O184" s="4" t="s">
        <v>28</v>
      </c>
      <c r="P184" s="4" t="s">
        <v>26</v>
      </c>
      <c r="Q184" s="4" t="s">
        <v>27</v>
      </c>
      <c r="R184" s="4" t="s">
        <v>28</v>
      </c>
    </row>
    <row r="185" spans="1:18" ht="15">
      <c r="A185" s="2">
        <v>44201</v>
      </c>
      <c r="B185">
        <v>1</v>
      </c>
      <c r="C185">
        <v>2021</v>
      </c>
      <c r="D185" s="5">
        <v>-4196.25</v>
      </c>
      <c r="E185" s="4" t="s">
        <v>73</v>
      </c>
      <c r="G185" t="s">
        <v>60</v>
      </c>
      <c r="H185" s="4" t="s">
        <v>101</v>
      </c>
      <c r="J185" s="4" t="s">
        <v>31</v>
      </c>
      <c r="K185" s="4" t="s">
        <v>72</v>
      </c>
      <c r="L185" s="4" t="s">
        <v>74</v>
      </c>
      <c r="M185" s="4" t="s">
        <v>23</v>
      </c>
      <c r="N185" s="4" t="s">
        <v>32</v>
      </c>
      <c r="O185" s="4" t="s">
        <v>28</v>
      </c>
      <c r="P185" s="4" t="s">
        <v>26</v>
      </c>
      <c r="Q185" s="4" t="s">
        <v>27</v>
      </c>
      <c r="R185" s="4" t="s">
        <v>28</v>
      </c>
    </row>
    <row r="186" spans="1:18" ht="15">
      <c r="A186" s="2">
        <v>44201</v>
      </c>
      <c r="B186">
        <v>1</v>
      </c>
      <c r="C186">
        <v>2021</v>
      </c>
      <c r="D186" s="5">
        <v>-78.25</v>
      </c>
      <c r="E186" s="4" t="s">
        <v>73</v>
      </c>
      <c r="G186" t="s">
        <v>37</v>
      </c>
      <c r="H186" s="4" t="s">
        <v>97</v>
      </c>
      <c r="J186" s="4" t="s">
        <v>21</v>
      </c>
      <c r="K186" s="4" t="s">
        <v>72</v>
      </c>
      <c r="L186" s="4" t="s">
        <v>74</v>
      </c>
      <c r="M186" s="4" t="s">
        <v>23</v>
      </c>
      <c r="N186" s="4" t="s">
        <v>24</v>
      </c>
      <c r="O186" s="4" t="s">
        <v>25</v>
      </c>
      <c r="P186" s="4" t="s">
        <v>26</v>
      </c>
      <c r="Q186" s="4" t="s">
        <v>40</v>
      </c>
      <c r="R186" s="4" t="s">
        <v>28</v>
      </c>
    </row>
    <row r="187" spans="1:18" ht="15">
      <c r="A187" s="2">
        <v>44201</v>
      </c>
      <c r="B187">
        <v>1</v>
      </c>
      <c r="C187">
        <v>2021</v>
      </c>
      <c r="D187" s="5">
        <v>-49346.82</v>
      </c>
      <c r="E187" s="4" t="s">
        <v>73</v>
      </c>
      <c r="G187" t="s">
        <v>45</v>
      </c>
      <c r="H187" s="4" t="s">
        <v>100</v>
      </c>
      <c r="J187" s="4" t="s">
        <v>21</v>
      </c>
      <c r="K187" s="4" t="s">
        <v>72</v>
      </c>
      <c r="L187" s="4" t="s">
        <v>74</v>
      </c>
      <c r="M187" s="4" t="s">
        <v>23</v>
      </c>
      <c r="N187" s="4" t="s">
        <v>24</v>
      </c>
      <c r="O187" s="4" t="s">
        <v>25</v>
      </c>
      <c r="P187" s="4" t="s">
        <v>26</v>
      </c>
      <c r="Q187" s="4" t="s">
        <v>40</v>
      </c>
      <c r="R187" s="4" t="s">
        <v>28</v>
      </c>
    </row>
    <row r="188" spans="1:18" ht="15">
      <c r="A188" s="2">
        <v>44201</v>
      </c>
      <c r="B188">
        <v>1</v>
      </c>
      <c r="C188">
        <v>2021</v>
      </c>
      <c r="D188" s="5">
        <v>-1</v>
      </c>
      <c r="E188" s="4" t="s">
        <v>73</v>
      </c>
      <c r="G188" t="s">
        <v>39</v>
      </c>
      <c r="H188" s="4" t="s">
        <v>98</v>
      </c>
      <c r="J188" s="4" t="s">
        <v>21</v>
      </c>
      <c r="K188" s="4" t="s">
        <v>72</v>
      </c>
      <c r="L188" s="4" t="s">
        <v>74</v>
      </c>
      <c r="M188" s="4" t="s">
        <v>23</v>
      </c>
      <c r="N188" s="4" t="s">
        <v>24</v>
      </c>
      <c r="O188" s="4" t="s">
        <v>25</v>
      </c>
      <c r="P188" s="4" t="s">
        <v>26</v>
      </c>
      <c r="Q188" s="4" t="s">
        <v>40</v>
      </c>
      <c r="R188" s="4" t="s">
        <v>28</v>
      </c>
    </row>
    <row r="189" spans="1:18" ht="15">
      <c r="A189" s="2">
        <v>44201</v>
      </c>
      <c r="B189">
        <v>1</v>
      </c>
      <c r="C189">
        <v>2021</v>
      </c>
      <c r="D189" s="5">
        <v>-1345</v>
      </c>
      <c r="E189" s="4" t="s">
        <v>73</v>
      </c>
      <c r="G189" t="s">
        <v>60</v>
      </c>
      <c r="H189" s="4" t="s">
        <v>101</v>
      </c>
      <c r="J189" s="4" t="s">
        <v>21</v>
      </c>
      <c r="K189" s="4" t="s">
        <v>72</v>
      </c>
      <c r="L189" s="4" t="s">
        <v>74</v>
      </c>
      <c r="M189" s="4" t="s">
        <v>23</v>
      </c>
      <c r="N189" s="4" t="s">
        <v>24</v>
      </c>
      <c r="O189" s="4" t="s">
        <v>25</v>
      </c>
      <c r="P189" s="4" t="s">
        <v>26</v>
      </c>
      <c r="Q189" s="4" t="s">
        <v>40</v>
      </c>
      <c r="R189" s="4" t="s">
        <v>28</v>
      </c>
    </row>
    <row r="190" spans="1:18" ht="15">
      <c r="A190" s="2">
        <v>44291</v>
      </c>
      <c r="B190">
        <v>3</v>
      </c>
      <c r="C190">
        <v>2021</v>
      </c>
      <c r="D190" s="5">
        <v>157147.92000000001</v>
      </c>
      <c r="E190" s="4" t="s">
        <v>73</v>
      </c>
      <c r="G190" t="s">
        <v>45</v>
      </c>
      <c r="H190" s="4" t="s">
        <v>1574</v>
      </c>
      <c r="J190" s="4" t="s">
        <v>31</v>
      </c>
      <c r="K190" s="4" t="s">
        <v>72</v>
      </c>
      <c r="L190" s="4" t="s">
        <v>1570</v>
      </c>
      <c r="M190" s="4" t="s">
        <v>23</v>
      </c>
      <c r="N190" s="4" t="s">
        <v>32</v>
      </c>
      <c r="O190" s="4" t="s">
        <v>28</v>
      </c>
      <c r="P190" s="4" t="s">
        <v>26</v>
      </c>
      <c r="Q190" s="4" t="s">
        <v>27</v>
      </c>
      <c r="R190" s="4" t="s">
        <v>28</v>
      </c>
    </row>
    <row r="191" spans="1:18" ht="15">
      <c r="A191" s="2">
        <v>44291</v>
      </c>
      <c r="B191">
        <v>3</v>
      </c>
      <c r="C191">
        <v>2021</v>
      </c>
      <c r="D191" s="5">
        <v>53555.559999999998</v>
      </c>
      <c r="E191" s="4" t="s">
        <v>73</v>
      </c>
      <c r="G191" t="s">
        <v>45</v>
      </c>
      <c r="H191" s="4" t="s">
        <v>1574</v>
      </c>
      <c r="J191" s="4" t="s">
        <v>21</v>
      </c>
      <c r="K191" s="4" t="s">
        <v>72</v>
      </c>
      <c r="L191" s="4" t="s">
        <v>1570</v>
      </c>
      <c r="M191" s="4" t="s">
        <v>23</v>
      </c>
      <c r="N191" s="4" t="s">
        <v>24</v>
      </c>
      <c r="O191" s="4" t="s">
        <v>25</v>
      </c>
      <c r="P191" s="4" t="s">
        <v>26</v>
      </c>
      <c r="Q191" s="4" t="s">
        <v>40</v>
      </c>
      <c r="R191" s="4" t="s">
        <v>28</v>
      </c>
    </row>
    <row r="192" spans="1:18" ht="15">
      <c r="A192" s="2">
        <v>44291</v>
      </c>
      <c r="B192">
        <v>4</v>
      </c>
      <c r="C192">
        <v>2021</v>
      </c>
      <c r="D192" s="5">
        <v>-157147.92000000001</v>
      </c>
      <c r="E192" s="4" t="s">
        <v>73</v>
      </c>
      <c r="G192" t="s">
        <v>45</v>
      </c>
      <c r="H192" s="4" t="s">
        <v>1574</v>
      </c>
      <c r="J192" s="4" t="s">
        <v>31</v>
      </c>
      <c r="K192" s="4" t="s">
        <v>72</v>
      </c>
      <c r="L192" s="4" t="s">
        <v>1570</v>
      </c>
      <c r="M192" s="4" t="s">
        <v>23</v>
      </c>
      <c r="N192" s="4" t="s">
        <v>32</v>
      </c>
      <c r="O192" s="4" t="s">
        <v>28</v>
      </c>
      <c r="P192" s="4" t="s">
        <v>26</v>
      </c>
      <c r="Q192" s="4" t="s">
        <v>27</v>
      </c>
      <c r="R192" s="4" t="s">
        <v>28</v>
      </c>
    </row>
    <row r="193" spans="1:18" ht="15">
      <c r="A193" s="2">
        <v>44291</v>
      </c>
      <c r="B193">
        <v>4</v>
      </c>
      <c r="C193">
        <v>2021</v>
      </c>
      <c r="D193" s="5">
        <v>-53555.559999999998</v>
      </c>
      <c r="E193" s="4" t="s">
        <v>73</v>
      </c>
      <c r="G193" t="s">
        <v>45</v>
      </c>
      <c r="H193" s="4" t="s">
        <v>1574</v>
      </c>
      <c r="J193" s="4" t="s">
        <v>21</v>
      </c>
      <c r="K193" s="4" t="s">
        <v>72</v>
      </c>
      <c r="L193" s="4" t="s">
        <v>1570</v>
      </c>
      <c r="M193" s="4" t="s">
        <v>23</v>
      </c>
      <c r="N193" s="4" t="s">
        <v>24</v>
      </c>
      <c r="O193" s="4" t="s">
        <v>25</v>
      </c>
      <c r="P193" s="4" t="s">
        <v>26</v>
      </c>
      <c r="Q193" s="4" t="s">
        <v>40</v>
      </c>
      <c r="R193" s="4" t="s">
        <v>28</v>
      </c>
    </row>
    <row r="194" spans="1:18" ht="15">
      <c r="A194" s="2">
        <v>44378</v>
      </c>
      <c r="B194">
        <v>6</v>
      </c>
      <c r="C194">
        <v>2021</v>
      </c>
      <c r="D194" s="5">
        <v>154479.66</v>
      </c>
      <c r="E194" s="4" t="s">
        <v>73</v>
      </c>
      <c r="G194" t="s">
        <v>45</v>
      </c>
      <c r="H194" s="4" t="s">
        <v>1575</v>
      </c>
      <c r="J194" s="4" t="s">
        <v>31</v>
      </c>
      <c r="K194" s="4" t="s">
        <v>72</v>
      </c>
      <c r="L194" s="4" t="s">
        <v>1571</v>
      </c>
      <c r="M194" s="4" t="s">
        <v>23</v>
      </c>
      <c r="N194" s="4" t="s">
        <v>32</v>
      </c>
      <c r="O194" s="4" t="s">
        <v>28</v>
      </c>
      <c r="P194" s="4" t="s">
        <v>26</v>
      </c>
      <c r="Q194" s="4" t="s">
        <v>27</v>
      </c>
      <c r="R194" s="4" t="s">
        <v>28</v>
      </c>
    </row>
    <row r="195" spans="1:18" ht="15">
      <c r="A195" s="2">
        <v>44378</v>
      </c>
      <c r="B195">
        <v>6</v>
      </c>
      <c r="C195">
        <v>2021</v>
      </c>
      <c r="D195" s="5">
        <v>51127.779999999999</v>
      </c>
      <c r="E195" s="4" t="s">
        <v>73</v>
      </c>
      <c r="G195" t="s">
        <v>45</v>
      </c>
      <c r="H195" s="4" t="s">
        <v>1575</v>
      </c>
      <c r="J195" s="4" t="s">
        <v>21</v>
      </c>
      <c r="K195" s="4" t="s">
        <v>72</v>
      </c>
      <c r="L195" s="4" t="s">
        <v>1571</v>
      </c>
      <c r="M195" s="4" t="s">
        <v>23</v>
      </c>
      <c r="N195" s="4" t="s">
        <v>24</v>
      </c>
      <c r="O195" s="4" t="s">
        <v>25</v>
      </c>
      <c r="P195" s="4" t="s">
        <v>26</v>
      </c>
      <c r="Q195" s="4" t="s">
        <v>40</v>
      </c>
      <c r="R195" s="4" t="s">
        <v>28</v>
      </c>
    </row>
    <row r="196" spans="1:18" ht="15">
      <c r="A196" s="2">
        <v>44378</v>
      </c>
      <c r="B196">
        <v>7</v>
      </c>
      <c r="C196">
        <v>2021</v>
      </c>
      <c r="D196" s="5">
        <v>-154479.66</v>
      </c>
      <c r="E196" s="4" t="s">
        <v>73</v>
      </c>
      <c r="G196" t="s">
        <v>45</v>
      </c>
      <c r="H196" s="4" t="s">
        <v>1575</v>
      </c>
      <c r="J196" s="4" t="s">
        <v>31</v>
      </c>
      <c r="K196" s="4" t="s">
        <v>72</v>
      </c>
      <c r="L196" s="4" t="s">
        <v>1571</v>
      </c>
      <c r="M196" s="4" t="s">
        <v>23</v>
      </c>
      <c r="N196" s="4" t="s">
        <v>32</v>
      </c>
      <c r="O196" s="4" t="s">
        <v>28</v>
      </c>
      <c r="P196" s="4" t="s">
        <v>26</v>
      </c>
      <c r="Q196" s="4" t="s">
        <v>27</v>
      </c>
      <c r="R196" s="4" t="s">
        <v>28</v>
      </c>
    </row>
    <row r="197" spans="1:18" ht="15">
      <c r="A197" s="2">
        <v>44378</v>
      </c>
      <c r="B197">
        <v>7</v>
      </c>
      <c r="C197">
        <v>2021</v>
      </c>
      <c r="D197" s="5">
        <v>-51127.779999999999</v>
      </c>
      <c r="E197" s="4" t="s">
        <v>73</v>
      </c>
      <c r="G197" t="s">
        <v>45</v>
      </c>
      <c r="H197" s="4" t="s">
        <v>1575</v>
      </c>
      <c r="J197" s="4" t="s">
        <v>21</v>
      </c>
      <c r="K197" s="4" t="s">
        <v>72</v>
      </c>
      <c r="L197" s="4" t="s">
        <v>1571</v>
      </c>
      <c r="M197" s="4" t="s">
        <v>23</v>
      </c>
      <c r="N197" s="4" t="s">
        <v>24</v>
      </c>
      <c r="O197" s="4" t="s">
        <v>25</v>
      </c>
      <c r="P197" s="4" t="s">
        <v>26</v>
      </c>
      <c r="Q197" s="4" t="s">
        <v>40</v>
      </c>
      <c r="R197" s="4" t="s">
        <v>28</v>
      </c>
    </row>
    <row r="198" spans="1:18" ht="15">
      <c r="A198" s="2">
        <v>44473</v>
      </c>
      <c r="B198" s="25">
        <v>9</v>
      </c>
      <c r="C198" s="25">
        <v>2021</v>
      </c>
      <c r="D198" s="5">
        <v>174</v>
      </c>
      <c r="E198" t="s">
        <v>73</v>
      </c>
      <c r="G198" t="s">
        <v>37</v>
      </c>
      <c r="H198" t="s">
        <v>99</v>
      </c>
      <c r="J198" t="s">
        <v>31</v>
      </c>
      <c r="K198" t="s">
        <v>72</v>
      </c>
      <c r="L198" t="s">
        <v>1572</v>
      </c>
      <c r="M198" t="s">
        <v>23</v>
      </c>
      <c r="N198" t="s">
        <v>32</v>
      </c>
      <c r="O198" t="s">
        <v>28</v>
      </c>
      <c r="P198" t="s">
        <v>26</v>
      </c>
      <c r="Q198" t="s">
        <v>27</v>
      </c>
      <c r="R198" t="s">
        <v>28</v>
      </c>
    </row>
    <row r="199" spans="1:18" ht="15">
      <c r="A199" s="2">
        <v>44473</v>
      </c>
      <c r="B199" s="25">
        <v>9</v>
      </c>
      <c r="C199" s="25">
        <v>2021</v>
      </c>
      <c r="D199" s="5">
        <v>156189.56</v>
      </c>
      <c r="E199" t="s">
        <v>73</v>
      </c>
      <c r="G199" t="s">
        <v>45</v>
      </c>
      <c r="H199" t="s">
        <v>1576</v>
      </c>
      <c r="J199" t="s">
        <v>31</v>
      </c>
      <c r="K199" t="s">
        <v>72</v>
      </c>
      <c r="L199" t="s">
        <v>1572</v>
      </c>
      <c r="M199" t="s">
        <v>23</v>
      </c>
      <c r="N199" t="s">
        <v>32</v>
      </c>
      <c r="O199" t="s">
        <v>28</v>
      </c>
      <c r="P199" t="s">
        <v>26</v>
      </c>
      <c r="Q199" t="s">
        <v>27</v>
      </c>
      <c r="R199" t="s">
        <v>28</v>
      </c>
    </row>
    <row r="200" spans="1:18" ht="15">
      <c r="A200" s="2">
        <v>44473</v>
      </c>
      <c r="B200" s="25">
        <v>9</v>
      </c>
      <c r="C200" s="25">
        <v>2021</v>
      </c>
      <c r="D200" s="5">
        <v>58</v>
      </c>
      <c r="E200" t="s">
        <v>73</v>
      </c>
      <c r="G200" t="s">
        <v>37</v>
      </c>
      <c r="H200" t="s">
        <v>99</v>
      </c>
      <c r="J200" t="s">
        <v>21</v>
      </c>
      <c r="K200" t="s">
        <v>72</v>
      </c>
      <c r="L200" t="s">
        <v>1572</v>
      </c>
      <c r="M200" t="s">
        <v>23</v>
      </c>
      <c r="N200" t="s">
        <v>24</v>
      </c>
      <c r="O200" t="s">
        <v>25</v>
      </c>
      <c r="P200" t="s">
        <v>26</v>
      </c>
      <c r="Q200" t="s">
        <v>40</v>
      </c>
      <c r="R200" t="s">
        <v>28</v>
      </c>
    </row>
    <row r="201" spans="1:18" ht="15">
      <c r="A201" s="2">
        <v>44473</v>
      </c>
      <c r="B201" s="25">
        <v>9</v>
      </c>
      <c r="C201" s="25">
        <v>2021</v>
      </c>
      <c r="D201" s="5">
        <v>54256.639999999999</v>
      </c>
      <c r="E201" t="s">
        <v>73</v>
      </c>
      <c r="G201" t="s">
        <v>45</v>
      </c>
      <c r="H201" t="s">
        <v>1576</v>
      </c>
      <c r="J201" t="s">
        <v>21</v>
      </c>
      <c r="K201" t="s">
        <v>72</v>
      </c>
      <c r="L201" t="s">
        <v>1572</v>
      </c>
      <c r="M201" t="s">
        <v>23</v>
      </c>
      <c r="N201" t="s">
        <v>24</v>
      </c>
      <c r="O201" t="s">
        <v>25</v>
      </c>
      <c r="P201" t="s">
        <v>26</v>
      </c>
      <c r="Q201" t="s">
        <v>40</v>
      </c>
      <c r="R201" t="s">
        <v>28</v>
      </c>
    </row>
    <row r="202" spans="1:18" ht="15">
      <c r="A202" s="2">
        <v>44473</v>
      </c>
      <c r="B202" s="25">
        <v>10</v>
      </c>
      <c r="C202" s="25">
        <v>2021</v>
      </c>
      <c r="D202" s="5">
        <v>-174</v>
      </c>
      <c r="E202" t="s">
        <v>73</v>
      </c>
      <c r="G202" t="s">
        <v>37</v>
      </c>
      <c r="H202" t="s">
        <v>99</v>
      </c>
      <c r="J202" t="s">
        <v>31</v>
      </c>
      <c r="K202" t="s">
        <v>72</v>
      </c>
      <c r="L202" t="s">
        <v>1572</v>
      </c>
      <c r="M202" t="s">
        <v>23</v>
      </c>
      <c r="N202" t="s">
        <v>32</v>
      </c>
      <c r="O202" t="s">
        <v>28</v>
      </c>
      <c r="P202" t="s">
        <v>26</v>
      </c>
      <c r="Q202" t="s">
        <v>27</v>
      </c>
      <c r="R202" t="s">
        <v>28</v>
      </c>
    </row>
    <row r="203" spans="1:18" ht="15">
      <c r="A203" s="2">
        <v>44473</v>
      </c>
      <c r="B203" s="25">
        <v>10</v>
      </c>
      <c r="C203" s="25">
        <v>2021</v>
      </c>
      <c r="D203" s="5">
        <v>-156189.56</v>
      </c>
      <c r="E203" t="s">
        <v>73</v>
      </c>
      <c r="G203" t="s">
        <v>45</v>
      </c>
      <c r="H203" t="s">
        <v>1576</v>
      </c>
      <c r="J203" t="s">
        <v>31</v>
      </c>
      <c r="K203" t="s">
        <v>72</v>
      </c>
      <c r="L203" t="s">
        <v>1572</v>
      </c>
      <c r="M203" t="s">
        <v>23</v>
      </c>
      <c r="N203" t="s">
        <v>32</v>
      </c>
      <c r="O203" t="s">
        <v>28</v>
      </c>
      <c r="P203" t="s">
        <v>26</v>
      </c>
      <c r="Q203" t="s">
        <v>27</v>
      </c>
      <c r="R203" t="s">
        <v>28</v>
      </c>
    </row>
    <row r="204" spans="1:18" ht="15">
      <c r="A204" s="2">
        <v>44473</v>
      </c>
      <c r="B204" s="25">
        <v>10</v>
      </c>
      <c r="C204" s="25">
        <v>2021</v>
      </c>
      <c r="D204" s="5">
        <v>-58</v>
      </c>
      <c r="E204" t="s">
        <v>73</v>
      </c>
      <c r="G204" t="s">
        <v>37</v>
      </c>
      <c r="H204" t="s">
        <v>99</v>
      </c>
      <c r="J204" t="s">
        <v>21</v>
      </c>
      <c r="K204" t="s">
        <v>72</v>
      </c>
      <c r="L204" t="s">
        <v>1572</v>
      </c>
      <c r="M204" t="s">
        <v>23</v>
      </c>
      <c r="N204" t="s">
        <v>24</v>
      </c>
      <c r="O204" t="s">
        <v>25</v>
      </c>
      <c r="P204" t="s">
        <v>26</v>
      </c>
      <c r="Q204" t="s">
        <v>40</v>
      </c>
      <c r="R204" t="s">
        <v>28</v>
      </c>
    </row>
    <row r="205" spans="1:18" ht="15">
      <c r="A205" s="2">
        <v>44473</v>
      </c>
      <c r="B205" s="25">
        <v>10</v>
      </c>
      <c r="C205" s="25">
        <v>2021</v>
      </c>
      <c r="D205" s="5">
        <v>-54256.639999999999</v>
      </c>
      <c r="E205" t="s">
        <v>73</v>
      </c>
      <c r="G205" t="s">
        <v>45</v>
      </c>
      <c r="H205" t="s">
        <v>1576</v>
      </c>
      <c r="J205" t="s">
        <v>21</v>
      </c>
      <c r="K205" t="s">
        <v>72</v>
      </c>
      <c r="L205" t="s">
        <v>1572</v>
      </c>
      <c r="M205" t="s">
        <v>23</v>
      </c>
      <c r="N205" t="s">
        <v>24</v>
      </c>
      <c r="O205" t="s">
        <v>25</v>
      </c>
      <c r="P205" t="s">
        <v>26</v>
      </c>
      <c r="Q205" t="s">
        <v>40</v>
      </c>
      <c r="R205" t="s">
        <v>28</v>
      </c>
    </row>
    <row r="206" spans="1:18" ht="15">
      <c r="A206" s="2">
        <v>44566</v>
      </c>
      <c r="B206" s="25">
        <v>12</v>
      </c>
      <c r="C206" s="25">
        <v>2021</v>
      </c>
      <c r="D206" s="5">
        <v>3729.3299999999999</v>
      </c>
      <c r="E206" t="s">
        <v>73</v>
      </c>
      <c r="G206" t="s">
        <v>37</v>
      </c>
      <c r="H206" t="s">
        <v>97</v>
      </c>
      <c r="J206" t="s">
        <v>31</v>
      </c>
      <c r="K206" t="s">
        <v>72</v>
      </c>
      <c r="L206" t="s">
        <v>1573</v>
      </c>
      <c r="M206" t="s">
        <v>23</v>
      </c>
      <c r="N206" t="s">
        <v>32</v>
      </c>
      <c r="O206" t="s">
        <v>28</v>
      </c>
      <c r="P206" t="s">
        <v>26</v>
      </c>
      <c r="Q206" t="s">
        <v>27</v>
      </c>
      <c r="R206" t="s">
        <v>28</v>
      </c>
    </row>
    <row r="207" spans="1:18" ht="15">
      <c r="A207" s="2">
        <v>44566</v>
      </c>
      <c r="B207" s="25">
        <v>12</v>
      </c>
      <c r="C207" s="25">
        <v>2021</v>
      </c>
      <c r="D207" s="5">
        <v>154515.79999999999</v>
      </c>
      <c r="E207" t="s">
        <v>73</v>
      </c>
      <c r="G207" t="s">
        <v>45</v>
      </c>
      <c r="H207" t="s">
        <v>100</v>
      </c>
      <c r="J207" t="s">
        <v>31</v>
      </c>
      <c r="K207" t="s">
        <v>72</v>
      </c>
      <c r="L207" t="s">
        <v>1573</v>
      </c>
      <c r="M207" t="s">
        <v>23</v>
      </c>
      <c r="N207" t="s">
        <v>32</v>
      </c>
      <c r="O207" t="s">
        <v>28</v>
      </c>
      <c r="P207" t="s">
        <v>26</v>
      </c>
      <c r="Q207" t="s">
        <v>27</v>
      </c>
      <c r="R207" t="s">
        <v>28</v>
      </c>
    </row>
    <row r="208" spans="1:18" ht="15">
      <c r="A208" s="2">
        <v>44566</v>
      </c>
      <c r="B208" s="25">
        <v>12</v>
      </c>
      <c r="C208" s="25">
        <v>2021</v>
      </c>
      <c r="D208" s="5">
        <v>3729.3299999999999</v>
      </c>
      <c r="E208" t="s">
        <v>73</v>
      </c>
      <c r="G208" t="s">
        <v>39</v>
      </c>
      <c r="H208" t="s">
        <v>1577</v>
      </c>
      <c r="J208" t="s">
        <v>31</v>
      </c>
      <c r="K208" t="s">
        <v>72</v>
      </c>
      <c r="L208" t="s">
        <v>1573</v>
      </c>
      <c r="M208" t="s">
        <v>23</v>
      </c>
      <c r="N208" t="s">
        <v>32</v>
      </c>
      <c r="O208" t="s">
        <v>28</v>
      </c>
      <c r="P208" t="s">
        <v>26</v>
      </c>
      <c r="Q208" t="s">
        <v>27</v>
      </c>
      <c r="R208" t="s">
        <v>28</v>
      </c>
    </row>
    <row r="209" spans="1:18" ht="15">
      <c r="A209" s="2">
        <v>44566</v>
      </c>
      <c r="B209" s="25">
        <v>12</v>
      </c>
      <c r="C209" s="25">
        <v>2021</v>
      </c>
      <c r="D209" s="5">
        <v>2090.3000000000002</v>
      </c>
      <c r="E209" t="s">
        <v>73</v>
      </c>
      <c r="G209" t="s">
        <v>30</v>
      </c>
      <c r="H209" t="s">
        <v>1578</v>
      </c>
      <c r="J209" t="s">
        <v>31</v>
      </c>
      <c r="K209" t="s">
        <v>72</v>
      </c>
      <c r="L209" t="s">
        <v>1573</v>
      </c>
      <c r="M209" t="s">
        <v>23</v>
      </c>
      <c r="N209" t="s">
        <v>32</v>
      </c>
      <c r="O209" t="s">
        <v>28</v>
      </c>
      <c r="P209" t="s">
        <v>26</v>
      </c>
      <c r="Q209" t="s">
        <v>27</v>
      </c>
      <c r="R209" t="s">
        <v>28</v>
      </c>
    </row>
    <row r="210" spans="1:18" ht="15">
      <c r="A210" s="2">
        <v>44566</v>
      </c>
      <c r="B210" s="25">
        <v>12</v>
      </c>
      <c r="C210" s="25">
        <v>2021</v>
      </c>
      <c r="D210" s="5">
        <v>2847.4400000000001</v>
      </c>
      <c r="E210" t="s">
        <v>73</v>
      </c>
      <c r="G210" t="s">
        <v>60</v>
      </c>
      <c r="H210" t="s">
        <v>101</v>
      </c>
      <c r="J210" t="s">
        <v>31</v>
      </c>
      <c r="K210" t="s">
        <v>72</v>
      </c>
      <c r="L210" t="s">
        <v>1573</v>
      </c>
      <c r="M210" t="s">
        <v>23</v>
      </c>
      <c r="N210" t="s">
        <v>32</v>
      </c>
      <c r="O210" t="s">
        <v>28</v>
      </c>
      <c r="P210" t="s">
        <v>26</v>
      </c>
      <c r="Q210" t="s">
        <v>27</v>
      </c>
      <c r="R210" t="s">
        <v>28</v>
      </c>
    </row>
    <row r="211" spans="1:18" ht="15">
      <c r="A211" s="2">
        <v>44566</v>
      </c>
      <c r="B211" s="25">
        <v>12</v>
      </c>
      <c r="C211" s="25">
        <v>2021</v>
      </c>
      <c r="D211" s="5">
        <v>723.85000000000002</v>
      </c>
      <c r="E211" t="s">
        <v>73</v>
      </c>
      <c r="G211" t="s">
        <v>37</v>
      </c>
      <c r="H211" t="s">
        <v>97</v>
      </c>
      <c r="J211" t="s">
        <v>21</v>
      </c>
      <c r="K211" t="s">
        <v>72</v>
      </c>
      <c r="L211" t="s">
        <v>1573</v>
      </c>
      <c r="M211" t="s">
        <v>23</v>
      </c>
      <c r="N211" t="s">
        <v>24</v>
      </c>
      <c r="O211" t="s">
        <v>25</v>
      </c>
      <c r="P211" t="s">
        <v>26</v>
      </c>
      <c r="Q211" t="s">
        <v>40</v>
      </c>
      <c r="R211" t="s">
        <v>28</v>
      </c>
    </row>
    <row r="212" spans="1:18" ht="15">
      <c r="A212" s="2">
        <v>44566</v>
      </c>
      <c r="B212" s="25">
        <v>12</v>
      </c>
      <c r="C212" s="25">
        <v>2021</v>
      </c>
      <c r="D212" s="5">
        <v>52428.300000000003</v>
      </c>
      <c r="E212" t="s">
        <v>73</v>
      </c>
      <c r="G212" t="s">
        <v>45</v>
      </c>
      <c r="H212" t="s">
        <v>100</v>
      </c>
      <c r="J212" t="s">
        <v>21</v>
      </c>
      <c r="K212" t="s">
        <v>72</v>
      </c>
      <c r="L212" t="s">
        <v>1573</v>
      </c>
      <c r="M212" t="s">
        <v>23</v>
      </c>
      <c r="N212" t="s">
        <v>24</v>
      </c>
      <c r="O212" t="s">
        <v>25</v>
      </c>
      <c r="P212" t="s">
        <v>26</v>
      </c>
      <c r="Q212" t="s">
        <v>40</v>
      </c>
      <c r="R212" t="s">
        <v>28</v>
      </c>
    </row>
    <row r="213" spans="1:18" ht="15">
      <c r="A213" s="2">
        <v>44566</v>
      </c>
      <c r="B213" s="25">
        <v>12</v>
      </c>
      <c r="C213" s="25">
        <v>2021</v>
      </c>
      <c r="D213" s="5">
        <v>723.85000000000002</v>
      </c>
      <c r="E213" t="s">
        <v>73</v>
      </c>
      <c r="G213" t="s">
        <v>39</v>
      </c>
      <c r="H213" t="s">
        <v>1577</v>
      </c>
      <c r="J213" t="s">
        <v>21</v>
      </c>
      <c r="K213" t="s">
        <v>72</v>
      </c>
      <c r="L213" t="s">
        <v>1573</v>
      </c>
      <c r="M213" t="s">
        <v>23</v>
      </c>
      <c r="N213" t="s">
        <v>24</v>
      </c>
      <c r="O213" t="s">
        <v>25</v>
      </c>
      <c r="P213" t="s">
        <v>26</v>
      </c>
      <c r="Q213" t="s">
        <v>40</v>
      </c>
      <c r="R213" t="s">
        <v>28</v>
      </c>
    </row>
    <row r="214" spans="1:18" ht="15">
      <c r="A214" s="2">
        <v>44566</v>
      </c>
      <c r="B214" s="25">
        <v>12</v>
      </c>
      <c r="C214" s="25">
        <v>2021</v>
      </c>
      <c r="D214" s="5">
        <v>532.39999999999998</v>
      </c>
      <c r="E214" t="s">
        <v>73</v>
      </c>
      <c r="G214" t="s">
        <v>30</v>
      </c>
      <c r="H214" t="s">
        <v>1578</v>
      </c>
      <c r="J214" t="s">
        <v>21</v>
      </c>
      <c r="K214" t="s">
        <v>72</v>
      </c>
      <c r="L214" t="s">
        <v>1573</v>
      </c>
      <c r="M214" t="s">
        <v>23</v>
      </c>
      <c r="N214" t="s">
        <v>24</v>
      </c>
      <c r="O214" t="s">
        <v>25</v>
      </c>
      <c r="P214" t="s">
        <v>26</v>
      </c>
      <c r="Q214" t="s">
        <v>40</v>
      </c>
      <c r="R214" t="s">
        <v>28</v>
      </c>
    </row>
    <row r="215" spans="1:18" ht="15">
      <c r="A215" s="2">
        <v>44566</v>
      </c>
      <c r="B215" s="25">
        <v>12</v>
      </c>
      <c r="C215" s="25">
        <v>2021</v>
      </c>
      <c r="D215" s="5">
        <v>924.40999999999997</v>
      </c>
      <c r="E215" t="s">
        <v>73</v>
      </c>
      <c r="G215" t="s">
        <v>60</v>
      </c>
      <c r="H215" t="s">
        <v>101</v>
      </c>
      <c r="J215" t="s">
        <v>21</v>
      </c>
      <c r="K215" t="s">
        <v>72</v>
      </c>
      <c r="L215" t="s">
        <v>1573</v>
      </c>
      <c r="M215" t="s">
        <v>23</v>
      </c>
      <c r="N215" t="s">
        <v>24</v>
      </c>
      <c r="O215" t="s">
        <v>25</v>
      </c>
      <c r="P215" t="s">
        <v>26</v>
      </c>
      <c r="Q215" t="s">
        <v>40</v>
      </c>
      <c r="R215" t="s">
        <v>28</v>
      </c>
    </row>
    <row r="216" spans="1:19" ht="15">
      <c r="A216" s="2">
        <v>44210</v>
      </c>
      <c r="B216">
        <v>1</v>
      </c>
      <c r="C216">
        <v>2021</v>
      </c>
      <c r="D216" s="5">
        <v>31010.57</v>
      </c>
      <c r="E216" s="4" t="s">
        <v>1579</v>
      </c>
      <c r="F216" s="4" t="s">
        <v>33</v>
      </c>
      <c r="G216" s="4" t="s">
        <v>66</v>
      </c>
      <c r="H216" s="4" t="s">
        <v>1580</v>
      </c>
      <c r="I216" s="4" t="s">
        <v>1581</v>
      </c>
      <c r="J216" s="4" t="s">
        <v>31</v>
      </c>
      <c r="K216" s="4" t="s">
        <v>124</v>
      </c>
      <c r="L216" s="4" t="s">
        <v>1582</v>
      </c>
      <c r="M216" s="4" t="s">
        <v>23</v>
      </c>
      <c r="N216" s="4" t="s">
        <v>32</v>
      </c>
      <c r="O216" s="4" t="s">
        <v>28</v>
      </c>
      <c r="P216" s="4" t="s">
        <v>35</v>
      </c>
      <c r="Q216" s="4" t="s">
        <v>27</v>
      </c>
      <c r="R216" s="4" t="s">
        <v>28</v>
      </c>
      <c r="S216" s="4" t="s">
        <v>22</v>
      </c>
    </row>
    <row r="217" spans="1:19" ht="15">
      <c r="A217" s="2">
        <v>44264</v>
      </c>
      <c r="B217">
        <v>3</v>
      </c>
      <c r="C217">
        <v>2021</v>
      </c>
      <c r="D217" s="5">
        <v>78452.039999999994</v>
      </c>
      <c r="E217" s="4" t="s">
        <v>1583</v>
      </c>
      <c r="F217" s="4" t="s">
        <v>62</v>
      </c>
      <c r="G217" s="4" t="s">
        <v>63</v>
      </c>
      <c r="H217" s="4" t="s">
        <v>1584</v>
      </c>
      <c r="I217" s="4" t="s">
        <v>1585</v>
      </c>
      <c r="J217" s="4" t="s">
        <v>31</v>
      </c>
      <c r="K217" s="4" t="s">
        <v>1586</v>
      </c>
      <c r="L217" s="4" t="s">
        <v>22</v>
      </c>
      <c r="M217" s="4" t="s">
        <v>23</v>
      </c>
      <c r="N217" s="4" t="s">
        <v>32</v>
      </c>
      <c r="O217" s="4" t="s">
        <v>34</v>
      </c>
      <c r="P217" s="4" t="s">
        <v>35</v>
      </c>
      <c r="Q217" s="4" t="s">
        <v>65</v>
      </c>
      <c r="R217" s="4" t="s">
        <v>28</v>
      </c>
      <c r="S217" s="4" t="s">
        <v>22</v>
      </c>
    </row>
    <row r="218" spans="1:19" ht="15">
      <c r="A218" s="2">
        <v>44305</v>
      </c>
      <c r="B218">
        <v>4</v>
      </c>
      <c r="C218">
        <v>2021</v>
      </c>
      <c r="D218" s="5">
        <v>31940.91</v>
      </c>
      <c r="E218" s="4" t="s">
        <v>1587</v>
      </c>
      <c r="F218" s="4" t="s">
        <v>33</v>
      </c>
      <c r="G218" s="4" t="s">
        <v>66</v>
      </c>
      <c r="H218" s="4" t="s">
        <v>1588</v>
      </c>
      <c r="I218" s="4" t="s">
        <v>1589</v>
      </c>
      <c r="J218" s="4" t="s">
        <v>31</v>
      </c>
      <c r="K218" s="4" t="s">
        <v>472</v>
      </c>
      <c r="L218" s="4" t="s">
        <v>22</v>
      </c>
      <c r="M218" s="4" t="s">
        <v>23</v>
      </c>
      <c r="N218" s="4" t="s">
        <v>32</v>
      </c>
      <c r="O218" s="4" t="s">
        <v>28</v>
      </c>
      <c r="P218" s="4" t="s">
        <v>35</v>
      </c>
      <c r="Q218" s="4" t="s">
        <v>27</v>
      </c>
      <c r="R218" s="4" t="s">
        <v>28</v>
      </c>
      <c r="S218" s="4" t="s">
        <v>22</v>
      </c>
    </row>
    <row r="219" spans="1:19" ht="15">
      <c r="A219" s="2">
        <v>44316</v>
      </c>
      <c r="B219">
        <v>4</v>
      </c>
      <c r="C219">
        <v>2021</v>
      </c>
      <c r="D219" s="5">
        <v>72468</v>
      </c>
      <c r="E219" s="4" t="s">
        <v>1590</v>
      </c>
      <c r="F219" s="4" t="s">
        <v>62</v>
      </c>
      <c r="G219" s="4" t="s">
        <v>63</v>
      </c>
      <c r="H219" s="4" t="s">
        <v>1591</v>
      </c>
      <c r="I219" s="4" t="s">
        <v>1592</v>
      </c>
      <c r="J219" s="4" t="s">
        <v>31</v>
      </c>
      <c r="K219" s="4" t="s">
        <v>397</v>
      </c>
      <c r="L219" s="4" t="s">
        <v>22</v>
      </c>
      <c r="M219" s="4" t="s">
        <v>23</v>
      </c>
      <c r="N219" s="4" t="s">
        <v>32</v>
      </c>
      <c r="O219" s="4" t="s">
        <v>34</v>
      </c>
      <c r="P219" s="4" t="s">
        <v>35</v>
      </c>
      <c r="Q219" s="4" t="s">
        <v>65</v>
      </c>
      <c r="R219" s="4" t="s">
        <v>28</v>
      </c>
      <c r="S219" s="4" t="s">
        <v>22</v>
      </c>
    </row>
    <row r="220" spans="1:19" ht="15">
      <c r="A220" s="2">
        <v>44390</v>
      </c>
      <c r="B220">
        <v>7</v>
      </c>
      <c r="C220">
        <v>2021</v>
      </c>
      <c r="D220" s="5">
        <v>31940.889999999999</v>
      </c>
      <c r="E220" s="4" t="s">
        <v>1593</v>
      </c>
      <c r="F220" s="4" t="s">
        <v>1594</v>
      </c>
      <c r="G220" s="4" t="s">
        <v>66</v>
      </c>
      <c r="H220" s="4" t="s">
        <v>1595</v>
      </c>
      <c r="I220" s="4" t="s">
        <v>1596</v>
      </c>
      <c r="J220" s="4" t="s">
        <v>31</v>
      </c>
      <c r="K220" s="4" t="s">
        <v>1375</v>
      </c>
      <c r="L220" s="4" t="s">
        <v>22</v>
      </c>
      <c r="M220" s="4" t="s">
        <v>23</v>
      </c>
      <c r="N220" s="4" t="s">
        <v>32</v>
      </c>
      <c r="O220" s="4" t="s">
        <v>28</v>
      </c>
      <c r="P220" s="4" t="s">
        <v>35</v>
      </c>
      <c r="Q220" s="4" t="s">
        <v>27</v>
      </c>
      <c r="R220" s="4" t="s">
        <v>28</v>
      </c>
      <c r="S220" s="4" t="s">
        <v>22</v>
      </c>
    </row>
    <row r="221" spans="1:18" ht="15">
      <c r="A221" s="2">
        <v>44420</v>
      </c>
      <c r="B221" s="25">
        <v>8</v>
      </c>
      <c r="C221" s="25">
        <v>2021</v>
      </c>
      <c r="D221" s="5">
        <v>75371.309999999998</v>
      </c>
      <c r="E221" t="s">
        <v>1597</v>
      </c>
      <c r="F221" t="s">
        <v>62</v>
      </c>
      <c r="G221" t="s">
        <v>63</v>
      </c>
      <c r="H221" t="s">
        <v>1598</v>
      </c>
      <c r="I221" t="s">
        <v>1599</v>
      </c>
      <c r="J221" t="s">
        <v>31</v>
      </c>
      <c r="K221" t="s">
        <v>1600</v>
      </c>
      <c r="M221" t="s">
        <v>23</v>
      </c>
      <c r="N221" t="s">
        <v>32</v>
      </c>
      <c r="O221" t="s">
        <v>34</v>
      </c>
      <c r="P221" t="s">
        <v>35</v>
      </c>
      <c r="Q221" t="s">
        <v>65</v>
      </c>
      <c r="R221" t="s">
        <v>28</v>
      </c>
    </row>
    <row r="222" spans="1:18" ht="15">
      <c r="A222" s="2">
        <v>44466</v>
      </c>
      <c r="B222" s="25">
        <v>9</v>
      </c>
      <c r="C222" s="25">
        <v>2021</v>
      </c>
      <c r="D222" s="5">
        <v>12587.31</v>
      </c>
      <c r="E222" t="s">
        <v>1601</v>
      </c>
      <c r="F222" t="s">
        <v>62</v>
      </c>
      <c r="G222" t="s">
        <v>63</v>
      </c>
      <c r="H222" t="s">
        <v>1602</v>
      </c>
      <c r="I222" t="s">
        <v>1603</v>
      </c>
      <c r="J222" t="s">
        <v>31</v>
      </c>
      <c r="K222" t="s">
        <v>1604</v>
      </c>
      <c r="M222" t="s">
        <v>23</v>
      </c>
      <c r="N222" t="s">
        <v>32</v>
      </c>
      <c r="O222" t="s">
        <v>34</v>
      </c>
      <c r="P222" t="s">
        <v>35</v>
      </c>
      <c r="Q222" t="s">
        <v>65</v>
      </c>
      <c r="R222" t="s">
        <v>28</v>
      </c>
    </row>
    <row r="223" spans="1:18" ht="15">
      <c r="A223" s="2">
        <v>44496</v>
      </c>
      <c r="B223" s="25">
        <v>10</v>
      </c>
      <c r="C223" s="25">
        <v>2021</v>
      </c>
      <c r="D223" s="5">
        <v>72799.880000000005</v>
      </c>
      <c r="E223" t="s">
        <v>1605</v>
      </c>
      <c r="F223" t="s">
        <v>62</v>
      </c>
      <c r="G223" t="s">
        <v>63</v>
      </c>
      <c r="H223" t="s">
        <v>1606</v>
      </c>
      <c r="J223" t="s">
        <v>31</v>
      </c>
      <c r="K223" t="s">
        <v>926</v>
      </c>
      <c r="M223" t="s">
        <v>23</v>
      </c>
      <c r="N223" t="s">
        <v>32</v>
      </c>
      <c r="O223" t="s">
        <v>34</v>
      </c>
      <c r="P223" t="s">
        <v>35</v>
      </c>
      <c r="Q223" t="s">
        <v>65</v>
      </c>
      <c r="R223" t="s">
        <v>28</v>
      </c>
    </row>
    <row r="224" spans="1:18" ht="15">
      <c r="A224" s="2">
        <v>44487</v>
      </c>
      <c r="B224" s="25">
        <v>10</v>
      </c>
      <c r="C224" s="25">
        <v>2021</v>
      </c>
      <c r="D224" s="5">
        <v>31940.91</v>
      </c>
      <c r="E224" t="s">
        <v>1607</v>
      </c>
      <c r="F224" t="s">
        <v>1594</v>
      </c>
      <c r="G224" s="4" t="s">
        <v>66</v>
      </c>
      <c r="H224" t="s">
        <v>1608</v>
      </c>
      <c r="I224" t="s">
        <v>1609</v>
      </c>
      <c r="J224" t="s">
        <v>31</v>
      </c>
      <c r="K224" t="s">
        <v>1610</v>
      </c>
      <c r="M224" t="s">
        <v>23</v>
      </c>
      <c r="N224" t="s">
        <v>32</v>
      </c>
      <c r="O224" t="s">
        <v>28</v>
      </c>
      <c r="P224" t="s">
        <v>35</v>
      </c>
      <c r="Q224" t="s">
        <v>27</v>
      </c>
      <c r="R224" t="s">
        <v>28</v>
      </c>
    </row>
    <row r="225" spans="1:18" ht="15">
      <c r="A225" s="2">
        <v>44489</v>
      </c>
      <c r="B225" s="25">
        <v>10</v>
      </c>
      <c r="C225" s="25">
        <v>2021</v>
      </c>
      <c r="D225" s="5">
        <v>12971.42</v>
      </c>
      <c r="E225" t="s">
        <v>1611</v>
      </c>
      <c r="F225" t="s">
        <v>62</v>
      </c>
      <c r="G225" t="s">
        <v>63</v>
      </c>
      <c r="H225" t="s">
        <v>1612</v>
      </c>
      <c r="I225" t="s">
        <v>1613</v>
      </c>
      <c r="J225" t="s">
        <v>31</v>
      </c>
      <c r="K225" t="s">
        <v>965</v>
      </c>
      <c r="M225" t="s">
        <v>23</v>
      </c>
      <c r="N225" t="s">
        <v>32</v>
      </c>
      <c r="O225" t="s">
        <v>34</v>
      </c>
      <c r="P225" t="s">
        <v>35</v>
      </c>
      <c r="Q225" t="s">
        <v>65</v>
      </c>
      <c r="R225" t="s">
        <v>28</v>
      </c>
    </row>
    <row r="226" spans="1:18" ht="15">
      <c r="A226" s="2">
        <v>44522</v>
      </c>
      <c r="B226" s="25">
        <v>11</v>
      </c>
      <c r="C226" s="25">
        <v>2021</v>
      </c>
      <c r="D226" s="5">
        <v>7133.75</v>
      </c>
      <c r="E226" t="s">
        <v>1614</v>
      </c>
      <c r="F226" t="s">
        <v>62</v>
      </c>
      <c r="G226" t="s">
        <v>63</v>
      </c>
      <c r="H226" t="s">
        <v>1615</v>
      </c>
      <c r="I226" t="s">
        <v>1616</v>
      </c>
      <c r="J226" t="s">
        <v>31</v>
      </c>
      <c r="K226" t="s">
        <v>1009</v>
      </c>
      <c r="L226" t="s">
        <v>1617</v>
      </c>
      <c r="M226" t="s">
        <v>23</v>
      </c>
      <c r="N226" t="s">
        <v>32</v>
      </c>
      <c r="O226" t="s">
        <v>34</v>
      </c>
      <c r="P226" t="s">
        <v>35</v>
      </c>
      <c r="Q226" t="s">
        <v>65</v>
      </c>
      <c r="R226" t="s">
        <v>28</v>
      </c>
    </row>
    <row r="227" spans="1:18" ht="15">
      <c r="A227" s="2">
        <v>44200</v>
      </c>
      <c r="B227">
        <v>1</v>
      </c>
      <c r="C227">
        <v>2021</v>
      </c>
      <c r="D227" s="5">
        <v>-69663.179999999993</v>
      </c>
      <c r="E227" s="4" t="s">
        <v>73</v>
      </c>
      <c r="G227" s="4" t="s">
        <v>66</v>
      </c>
      <c r="H227" s="4" t="s">
        <v>102</v>
      </c>
      <c r="J227" s="4" t="s">
        <v>31</v>
      </c>
      <c r="K227" s="4" t="s">
        <v>90</v>
      </c>
      <c r="L227" s="4" t="s">
        <v>96</v>
      </c>
      <c r="M227" s="4" t="s">
        <v>23</v>
      </c>
      <c r="N227" s="4" t="s">
        <v>32</v>
      </c>
      <c r="O227" s="4" t="s">
        <v>28</v>
      </c>
      <c r="P227" s="4" t="s">
        <v>35</v>
      </c>
      <c r="Q227" s="4" t="s">
        <v>27</v>
      </c>
      <c r="R227" s="4" t="s">
        <v>28</v>
      </c>
    </row>
    <row r="228" spans="1:18" ht="15">
      <c r="A228" s="2">
        <v>44200</v>
      </c>
      <c r="B228">
        <v>1</v>
      </c>
      <c r="C228">
        <v>2021</v>
      </c>
      <c r="D228" s="5">
        <v>-71131.440000000002</v>
      </c>
      <c r="E228" s="4" t="s">
        <v>73</v>
      </c>
      <c r="G228" t="s">
        <v>63</v>
      </c>
      <c r="H228" s="4" t="s">
        <v>103</v>
      </c>
      <c r="J228" s="4" t="s">
        <v>31</v>
      </c>
      <c r="K228" s="4" t="s">
        <v>90</v>
      </c>
      <c r="L228" s="4" t="s">
        <v>96</v>
      </c>
      <c r="M228" s="4" t="s">
        <v>23</v>
      </c>
      <c r="N228" s="4" t="s">
        <v>32</v>
      </c>
      <c r="O228" s="4" t="s">
        <v>34</v>
      </c>
      <c r="P228" s="4" t="s">
        <v>35</v>
      </c>
      <c r="Q228" s="4" t="s">
        <v>65</v>
      </c>
      <c r="R228" s="4" t="s">
        <v>28</v>
      </c>
    </row>
    <row r="229" spans="1:18" ht="15">
      <c r="A229" s="2">
        <v>44229</v>
      </c>
      <c r="B229">
        <v>1</v>
      </c>
      <c r="C229">
        <v>2021</v>
      </c>
      <c r="D229" s="5">
        <v>69663.179999999993</v>
      </c>
      <c r="E229" s="4" t="s">
        <v>73</v>
      </c>
      <c r="G229" s="4" t="s">
        <v>66</v>
      </c>
      <c r="H229" s="4" t="s">
        <v>102</v>
      </c>
      <c r="J229" s="4" t="s">
        <v>31</v>
      </c>
      <c r="K229" s="4" t="s">
        <v>1631</v>
      </c>
      <c r="L229" s="4" t="s">
        <v>1640</v>
      </c>
      <c r="M229" s="4" t="s">
        <v>23</v>
      </c>
      <c r="N229" s="4" t="s">
        <v>32</v>
      </c>
      <c r="O229" s="4" t="s">
        <v>28</v>
      </c>
      <c r="P229" s="4" t="s">
        <v>35</v>
      </c>
      <c r="Q229" s="4" t="s">
        <v>27</v>
      </c>
      <c r="R229" s="4" t="s">
        <v>28</v>
      </c>
    </row>
    <row r="230" spans="1:18" ht="15">
      <c r="A230" s="2">
        <v>44229</v>
      </c>
      <c r="B230">
        <v>1</v>
      </c>
      <c r="C230">
        <v>2021</v>
      </c>
      <c r="D230" s="5">
        <v>71131.440000000002</v>
      </c>
      <c r="E230" s="4" t="s">
        <v>73</v>
      </c>
      <c r="G230" t="s">
        <v>63</v>
      </c>
      <c r="H230" s="4" t="s">
        <v>1618</v>
      </c>
      <c r="J230" s="4" t="s">
        <v>31</v>
      </c>
      <c r="K230" s="4" t="s">
        <v>1631</v>
      </c>
      <c r="L230" s="4" t="s">
        <v>1640</v>
      </c>
      <c r="M230" s="4" t="s">
        <v>23</v>
      </c>
      <c r="N230" s="4" t="s">
        <v>32</v>
      </c>
      <c r="O230" s="4" t="s">
        <v>34</v>
      </c>
      <c r="P230" s="4" t="s">
        <v>35</v>
      </c>
      <c r="Q230" s="4" t="s">
        <v>65</v>
      </c>
      <c r="R230" s="4" t="s">
        <v>28</v>
      </c>
    </row>
    <row r="231" spans="1:18" ht="15">
      <c r="A231" s="2">
        <v>44229</v>
      </c>
      <c r="B231">
        <v>2</v>
      </c>
      <c r="C231">
        <v>2021</v>
      </c>
      <c r="D231" s="5">
        <v>-69663.179999999993</v>
      </c>
      <c r="E231" s="4" t="s">
        <v>73</v>
      </c>
      <c r="G231" s="4" t="s">
        <v>66</v>
      </c>
      <c r="H231" s="4" t="s">
        <v>102</v>
      </c>
      <c r="J231" s="4" t="s">
        <v>31</v>
      </c>
      <c r="K231" s="4" t="s">
        <v>1631</v>
      </c>
      <c r="L231" s="4" t="s">
        <v>1640</v>
      </c>
      <c r="M231" s="4" t="s">
        <v>23</v>
      </c>
      <c r="N231" s="4" t="s">
        <v>32</v>
      </c>
      <c r="O231" s="4" t="s">
        <v>28</v>
      </c>
      <c r="P231" s="4" t="s">
        <v>35</v>
      </c>
      <c r="Q231" s="4" t="s">
        <v>27</v>
      </c>
      <c r="R231" s="4" t="s">
        <v>28</v>
      </c>
    </row>
    <row r="232" spans="1:18" ht="15">
      <c r="A232" s="2">
        <v>44229</v>
      </c>
      <c r="B232">
        <v>2</v>
      </c>
      <c r="C232">
        <v>2021</v>
      </c>
      <c r="D232" s="5">
        <v>-71131.440000000002</v>
      </c>
      <c r="E232" s="4" t="s">
        <v>73</v>
      </c>
      <c r="G232" t="s">
        <v>63</v>
      </c>
      <c r="H232" s="4" t="s">
        <v>1618</v>
      </c>
      <c r="J232" s="4" t="s">
        <v>31</v>
      </c>
      <c r="K232" s="4" t="s">
        <v>1631</v>
      </c>
      <c r="L232" s="4" t="s">
        <v>1640</v>
      </c>
      <c r="M232" s="4" t="s">
        <v>23</v>
      </c>
      <c r="N232" s="4" t="s">
        <v>32</v>
      </c>
      <c r="O232" s="4" t="s">
        <v>34</v>
      </c>
      <c r="P232" s="4" t="s">
        <v>35</v>
      </c>
      <c r="Q232" s="4" t="s">
        <v>65</v>
      </c>
      <c r="R232" s="4" t="s">
        <v>28</v>
      </c>
    </row>
    <row r="233" spans="1:18" ht="15">
      <c r="A233" s="2">
        <v>44257</v>
      </c>
      <c r="B233">
        <v>2</v>
      </c>
      <c r="C233">
        <v>2021</v>
      </c>
      <c r="D233" s="5">
        <v>69663.179999999993</v>
      </c>
      <c r="E233" s="4" t="s">
        <v>73</v>
      </c>
      <c r="G233" s="4" t="s">
        <v>66</v>
      </c>
      <c r="H233" s="4" t="s">
        <v>1619</v>
      </c>
      <c r="J233" s="4" t="s">
        <v>31</v>
      </c>
      <c r="K233" s="4" t="s">
        <v>1632</v>
      </c>
      <c r="L233" s="4" t="s">
        <v>1641</v>
      </c>
      <c r="M233" s="4" t="s">
        <v>23</v>
      </c>
      <c r="N233" s="4" t="s">
        <v>32</v>
      </c>
      <c r="O233" s="4" t="s">
        <v>28</v>
      </c>
      <c r="P233" s="4" t="s">
        <v>35</v>
      </c>
      <c r="Q233" s="4" t="s">
        <v>27</v>
      </c>
      <c r="R233" s="4" t="s">
        <v>28</v>
      </c>
    </row>
    <row r="234" spans="1:18" ht="15">
      <c r="A234" s="2">
        <v>44257</v>
      </c>
      <c r="B234">
        <v>2</v>
      </c>
      <c r="C234">
        <v>2021</v>
      </c>
      <c r="D234" s="5">
        <v>71131.440000000002</v>
      </c>
      <c r="E234" s="4" t="s">
        <v>73</v>
      </c>
      <c r="G234" t="s">
        <v>63</v>
      </c>
      <c r="H234" s="4" t="s">
        <v>1618</v>
      </c>
      <c r="J234" s="4" t="s">
        <v>31</v>
      </c>
      <c r="K234" s="4" t="s">
        <v>1632</v>
      </c>
      <c r="L234" s="4" t="s">
        <v>1641</v>
      </c>
      <c r="M234" s="4" t="s">
        <v>23</v>
      </c>
      <c r="N234" s="4" t="s">
        <v>32</v>
      </c>
      <c r="O234" s="4" t="s">
        <v>34</v>
      </c>
      <c r="P234" s="4" t="s">
        <v>35</v>
      </c>
      <c r="Q234" s="4" t="s">
        <v>65</v>
      </c>
      <c r="R234" s="4" t="s">
        <v>28</v>
      </c>
    </row>
    <row r="235" spans="1:18" ht="15">
      <c r="A235" s="2">
        <v>44257</v>
      </c>
      <c r="B235">
        <v>3</v>
      </c>
      <c r="C235">
        <v>2021</v>
      </c>
      <c r="D235" s="5">
        <v>-69663.179999999993</v>
      </c>
      <c r="E235" s="4" t="s">
        <v>73</v>
      </c>
      <c r="G235" s="4" t="s">
        <v>66</v>
      </c>
      <c r="H235" s="4" t="s">
        <v>1619</v>
      </c>
      <c r="J235" s="4" t="s">
        <v>31</v>
      </c>
      <c r="K235" s="4" t="s">
        <v>1632</v>
      </c>
      <c r="L235" s="4" t="s">
        <v>1641</v>
      </c>
      <c r="M235" s="4" t="s">
        <v>23</v>
      </c>
      <c r="N235" s="4" t="s">
        <v>32</v>
      </c>
      <c r="O235" s="4" t="s">
        <v>28</v>
      </c>
      <c r="P235" s="4" t="s">
        <v>35</v>
      </c>
      <c r="Q235" s="4" t="s">
        <v>27</v>
      </c>
      <c r="R235" s="4" t="s">
        <v>28</v>
      </c>
    </row>
    <row r="236" spans="1:18" ht="15">
      <c r="A236" s="2">
        <v>44257</v>
      </c>
      <c r="B236">
        <v>3</v>
      </c>
      <c r="C236">
        <v>2021</v>
      </c>
      <c r="D236" s="5">
        <v>-71131.440000000002</v>
      </c>
      <c r="E236" s="4" t="s">
        <v>73</v>
      </c>
      <c r="G236" t="s">
        <v>63</v>
      </c>
      <c r="H236" s="4" t="s">
        <v>1618</v>
      </c>
      <c r="J236" s="4" t="s">
        <v>31</v>
      </c>
      <c r="K236" s="4" t="s">
        <v>1632</v>
      </c>
      <c r="L236" s="4" t="s">
        <v>1641</v>
      </c>
      <c r="M236" s="4" t="s">
        <v>23</v>
      </c>
      <c r="N236" s="4" t="s">
        <v>32</v>
      </c>
      <c r="O236" s="4" t="s">
        <v>34</v>
      </c>
      <c r="P236" s="4" t="s">
        <v>35</v>
      </c>
      <c r="Q236" s="4" t="s">
        <v>65</v>
      </c>
      <c r="R236" s="4" t="s">
        <v>28</v>
      </c>
    </row>
    <row r="237" spans="1:18" ht="15">
      <c r="A237" s="2">
        <v>44291</v>
      </c>
      <c r="B237">
        <v>3</v>
      </c>
      <c r="C237">
        <v>2021</v>
      </c>
      <c r="D237" s="5">
        <v>31010.57</v>
      </c>
      <c r="E237" s="4" t="s">
        <v>73</v>
      </c>
      <c r="G237" s="4" t="s">
        <v>66</v>
      </c>
      <c r="H237" s="4" t="s">
        <v>1620</v>
      </c>
      <c r="J237" s="4" t="s">
        <v>31</v>
      </c>
      <c r="K237" s="4" t="s">
        <v>1633</v>
      </c>
      <c r="L237" s="4" t="s">
        <v>91</v>
      </c>
      <c r="M237" s="4" t="s">
        <v>23</v>
      </c>
      <c r="N237" s="4" t="s">
        <v>32</v>
      </c>
      <c r="O237" s="4" t="s">
        <v>28</v>
      </c>
      <c r="P237" s="4" t="s">
        <v>35</v>
      </c>
      <c r="Q237" s="4" t="s">
        <v>27</v>
      </c>
      <c r="R237" s="4" t="s">
        <v>28</v>
      </c>
    </row>
    <row r="238" spans="1:18" ht="15">
      <c r="A238" s="2">
        <v>44291</v>
      </c>
      <c r="B238">
        <v>3</v>
      </c>
      <c r="C238">
        <v>2021</v>
      </c>
      <c r="D238" s="5">
        <v>71131.440000000002</v>
      </c>
      <c r="E238" s="4" t="s">
        <v>73</v>
      </c>
      <c r="G238" t="s">
        <v>63</v>
      </c>
      <c r="H238" s="4" t="s">
        <v>1621</v>
      </c>
      <c r="J238" s="4" t="s">
        <v>31</v>
      </c>
      <c r="K238" s="4" t="s">
        <v>1633</v>
      </c>
      <c r="L238" s="4" t="s">
        <v>91</v>
      </c>
      <c r="M238" s="4" t="s">
        <v>23</v>
      </c>
      <c r="N238" s="4" t="s">
        <v>32</v>
      </c>
      <c r="O238" s="4" t="s">
        <v>34</v>
      </c>
      <c r="P238" s="4" t="s">
        <v>35</v>
      </c>
      <c r="Q238" s="4" t="s">
        <v>65</v>
      </c>
      <c r="R238" s="4" t="s">
        <v>28</v>
      </c>
    </row>
    <row r="239" spans="1:18" ht="15">
      <c r="A239" s="2">
        <v>44291</v>
      </c>
      <c r="B239">
        <v>4</v>
      </c>
      <c r="C239">
        <v>2021</v>
      </c>
      <c r="D239" s="5">
        <v>-31010.57</v>
      </c>
      <c r="E239" s="4" t="s">
        <v>73</v>
      </c>
      <c r="G239" s="4" t="s">
        <v>66</v>
      </c>
      <c r="H239" s="4" t="s">
        <v>1620</v>
      </c>
      <c r="J239" s="4" t="s">
        <v>31</v>
      </c>
      <c r="K239" s="4" t="s">
        <v>1633</v>
      </c>
      <c r="L239" s="4" t="s">
        <v>91</v>
      </c>
      <c r="M239" s="4" t="s">
        <v>23</v>
      </c>
      <c r="N239" s="4" t="s">
        <v>32</v>
      </c>
      <c r="O239" s="4" t="s">
        <v>28</v>
      </c>
      <c r="P239" s="4" t="s">
        <v>35</v>
      </c>
      <c r="Q239" s="4" t="s">
        <v>27</v>
      </c>
      <c r="R239" s="4" t="s">
        <v>28</v>
      </c>
    </row>
    <row r="240" spans="1:18" ht="15">
      <c r="A240" s="2">
        <v>44291</v>
      </c>
      <c r="B240">
        <v>4</v>
      </c>
      <c r="C240">
        <v>2021</v>
      </c>
      <c r="D240" s="5">
        <v>-71131.440000000002</v>
      </c>
      <c r="E240" s="4" t="s">
        <v>73</v>
      </c>
      <c r="G240" t="s">
        <v>63</v>
      </c>
      <c r="H240" s="4" t="s">
        <v>1621</v>
      </c>
      <c r="J240" s="4" t="s">
        <v>31</v>
      </c>
      <c r="K240" s="4" t="s">
        <v>1633</v>
      </c>
      <c r="L240" s="4" t="s">
        <v>91</v>
      </c>
      <c r="M240" s="4" t="s">
        <v>23</v>
      </c>
      <c r="N240" s="4" t="s">
        <v>32</v>
      </c>
      <c r="O240" s="4" t="s">
        <v>34</v>
      </c>
      <c r="P240" s="4" t="s">
        <v>35</v>
      </c>
      <c r="Q240" s="4" t="s">
        <v>65</v>
      </c>
      <c r="R240" s="4" t="s">
        <v>28</v>
      </c>
    </row>
    <row r="241" spans="1:18" ht="15">
      <c r="A241" s="2">
        <v>44319</v>
      </c>
      <c r="B241">
        <v>4</v>
      </c>
      <c r="C241">
        <v>2021</v>
      </c>
      <c r="D241" s="5">
        <v>72468</v>
      </c>
      <c r="E241" s="4" t="s">
        <v>73</v>
      </c>
      <c r="G241" t="s">
        <v>63</v>
      </c>
      <c r="H241" s="4" t="s">
        <v>1622</v>
      </c>
      <c r="J241" s="4" t="s">
        <v>31</v>
      </c>
      <c r="K241" s="4" t="s">
        <v>1634</v>
      </c>
      <c r="L241" s="4" t="s">
        <v>92</v>
      </c>
      <c r="M241" s="4" t="s">
        <v>23</v>
      </c>
      <c r="N241" s="4" t="s">
        <v>32</v>
      </c>
      <c r="O241" s="4" t="s">
        <v>34</v>
      </c>
      <c r="P241" s="4" t="s">
        <v>35</v>
      </c>
      <c r="Q241" s="4" t="s">
        <v>65</v>
      </c>
      <c r="R241" s="4" t="s">
        <v>28</v>
      </c>
    </row>
    <row r="242" spans="1:18" ht="15">
      <c r="A242" s="2">
        <v>44319</v>
      </c>
      <c r="B242">
        <v>5</v>
      </c>
      <c r="C242">
        <v>2021</v>
      </c>
      <c r="D242" s="5">
        <v>-72468</v>
      </c>
      <c r="E242" s="4" t="s">
        <v>73</v>
      </c>
      <c r="G242" t="s">
        <v>63</v>
      </c>
      <c r="H242" s="4" t="s">
        <v>1622</v>
      </c>
      <c r="J242" s="4" t="s">
        <v>31</v>
      </c>
      <c r="K242" s="4" t="s">
        <v>1634</v>
      </c>
      <c r="L242" s="4" t="s">
        <v>92</v>
      </c>
      <c r="M242" s="4" t="s">
        <v>23</v>
      </c>
      <c r="N242" s="4" t="s">
        <v>32</v>
      </c>
      <c r="O242" s="4" t="s">
        <v>34</v>
      </c>
      <c r="P242" s="4" t="s">
        <v>35</v>
      </c>
      <c r="Q242" s="4" t="s">
        <v>65</v>
      </c>
      <c r="R242" s="4" t="s">
        <v>28</v>
      </c>
    </row>
    <row r="243" spans="1:18" ht="15">
      <c r="A243" s="2">
        <v>44379</v>
      </c>
      <c r="B243">
        <v>6</v>
      </c>
      <c r="C243">
        <v>2021</v>
      </c>
      <c r="D243" s="5">
        <v>31010.57</v>
      </c>
      <c r="E243" s="4" t="s">
        <v>73</v>
      </c>
      <c r="G243" s="4" t="s">
        <v>66</v>
      </c>
      <c r="H243" s="4" t="s">
        <v>1623</v>
      </c>
      <c r="J243" s="4" t="s">
        <v>31</v>
      </c>
      <c r="K243" s="4" t="s">
        <v>1635</v>
      </c>
      <c r="L243" s="4" t="s">
        <v>93</v>
      </c>
      <c r="M243" s="4" t="s">
        <v>23</v>
      </c>
      <c r="N243" s="4" t="s">
        <v>32</v>
      </c>
      <c r="O243" s="4" t="s">
        <v>28</v>
      </c>
      <c r="P243" s="4" t="s">
        <v>35</v>
      </c>
      <c r="Q243" s="4" t="s">
        <v>27</v>
      </c>
      <c r="R243" s="4" t="s">
        <v>28</v>
      </c>
    </row>
    <row r="244" spans="1:18" ht="15">
      <c r="A244" s="2">
        <v>44379</v>
      </c>
      <c r="B244">
        <v>6</v>
      </c>
      <c r="C244">
        <v>2021</v>
      </c>
      <c r="D244" s="5">
        <v>71131.440000000002</v>
      </c>
      <c r="E244" s="4" t="s">
        <v>73</v>
      </c>
      <c r="G244" t="s">
        <v>63</v>
      </c>
      <c r="H244" s="4" t="s">
        <v>1624</v>
      </c>
      <c r="J244" s="4" t="s">
        <v>31</v>
      </c>
      <c r="K244" s="4" t="s">
        <v>1635</v>
      </c>
      <c r="L244" s="4" t="s">
        <v>93</v>
      </c>
      <c r="M244" s="4" t="s">
        <v>23</v>
      </c>
      <c r="N244" s="4" t="s">
        <v>32</v>
      </c>
      <c r="O244" s="4" t="s">
        <v>34</v>
      </c>
      <c r="P244" s="4" t="s">
        <v>35</v>
      </c>
      <c r="Q244" s="4" t="s">
        <v>65</v>
      </c>
      <c r="R244" s="4" t="s">
        <v>28</v>
      </c>
    </row>
    <row r="245" spans="1:18" ht="15">
      <c r="A245" s="2">
        <v>44379</v>
      </c>
      <c r="B245">
        <v>7</v>
      </c>
      <c r="C245">
        <v>2021</v>
      </c>
      <c r="D245" s="5">
        <v>-31010.57</v>
      </c>
      <c r="E245" s="4" t="s">
        <v>73</v>
      </c>
      <c r="G245" s="4" t="s">
        <v>66</v>
      </c>
      <c r="H245" s="4" t="s">
        <v>1623</v>
      </c>
      <c r="J245" s="4" t="s">
        <v>31</v>
      </c>
      <c r="K245" s="4" t="s">
        <v>1635</v>
      </c>
      <c r="L245" s="4" t="s">
        <v>93</v>
      </c>
      <c r="M245" s="4" t="s">
        <v>23</v>
      </c>
      <c r="N245" s="4" t="s">
        <v>32</v>
      </c>
      <c r="O245" s="4" t="s">
        <v>28</v>
      </c>
      <c r="P245" s="4" t="s">
        <v>35</v>
      </c>
      <c r="Q245" s="4" t="s">
        <v>27</v>
      </c>
      <c r="R245" s="4" t="s">
        <v>28</v>
      </c>
    </row>
    <row r="246" spans="1:18" ht="15">
      <c r="A246" s="2">
        <v>44379</v>
      </c>
      <c r="B246">
        <v>7</v>
      </c>
      <c r="C246">
        <v>2021</v>
      </c>
      <c r="D246" s="5">
        <v>-71131.440000000002</v>
      </c>
      <c r="E246" s="4" t="s">
        <v>73</v>
      </c>
      <c r="G246" t="s">
        <v>63</v>
      </c>
      <c r="H246" s="4" t="s">
        <v>1624</v>
      </c>
      <c r="J246" s="4" t="s">
        <v>31</v>
      </c>
      <c r="K246" s="4" t="s">
        <v>1635</v>
      </c>
      <c r="L246" s="4" t="s">
        <v>93</v>
      </c>
      <c r="M246" s="4" t="s">
        <v>23</v>
      </c>
      <c r="N246" s="4" t="s">
        <v>32</v>
      </c>
      <c r="O246" s="4" t="s">
        <v>34</v>
      </c>
      <c r="P246" s="4" t="s">
        <v>35</v>
      </c>
      <c r="Q246" s="4" t="s">
        <v>65</v>
      </c>
      <c r="R246" s="4" t="s">
        <v>28</v>
      </c>
    </row>
    <row r="247" spans="1:18" ht="15">
      <c r="A247" s="2">
        <v>44412</v>
      </c>
      <c r="B247">
        <v>7</v>
      </c>
      <c r="C247">
        <v>2021</v>
      </c>
      <c r="D247" s="5">
        <v>71131.440000000002</v>
      </c>
      <c r="E247" s="4" t="s">
        <v>73</v>
      </c>
      <c r="G247" t="s">
        <v>63</v>
      </c>
      <c r="H247" s="4" t="s">
        <v>1624</v>
      </c>
      <c r="J247" s="4" t="s">
        <v>31</v>
      </c>
      <c r="K247" s="4" t="s">
        <v>1636</v>
      </c>
      <c r="L247" s="4" t="s">
        <v>94</v>
      </c>
      <c r="M247" s="4" t="s">
        <v>23</v>
      </c>
      <c r="N247" s="4" t="s">
        <v>32</v>
      </c>
      <c r="O247" s="4" t="s">
        <v>34</v>
      </c>
      <c r="P247" s="4" t="s">
        <v>35</v>
      </c>
      <c r="Q247" s="4" t="s">
        <v>65</v>
      </c>
      <c r="R247" s="4" t="s">
        <v>28</v>
      </c>
    </row>
    <row r="248" spans="1:18" ht="15">
      <c r="A248" s="2">
        <v>44412</v>
      </c>
      <c r="B248" s="25">
        <v>8</v>
      </c>
      <c r="C248" s="25">
        <v>2021</v>
      </c>
      <c r="D248" s="5">
        <v>-71131.440000000002</v>
      </c>
      <c r="E248" t="s">
        <v>73</v>
      </c>
      <c r="G248" t="s">
        <v>63</v>
      </c>
      <c r="H248" t="s">
        <v>1624</v>
      </c>
      <c r="J248" t="s">
        <v>31</v>
      </c>
      <c r="K248" t="s">
        <v>1636</v>
      </c>
      <c r="L248" t="s">
        <v>94</v>
      </c>
      <c r="M248" t="s">
        <v>23</v>
      </c>
      <c r="N248" t="s">
        <v>32</v>
      </c>
      <c r="O248" t="s">
        <v>34</v>
      </c>
      <c r="P248" t="s">
        <v>35</v>
      </c>
      <c r="Q248" t="s">
        <v>65</v>
      </c>
      <c r="R248" t="s">
        <v>28</v>
      </c>
    </row>
    <row r="249" spans="1:18" ht="15">
      <c r="A249" s="2">
        <v>44470</v>
      </c>
      <c r="B249" s="25">
        <v>9</v>
      </c>
      <c r="C249" s="25">
        <v>2021</v>
      </c>
      <c r="D249" s="5">
        <v>31940.889999999999</v>
      </c>
      <c r="E249" t="s">
        <v>73</v>
      </c>
      <c r="G249" s="4" t="s">
        <v>66</v>
      </c>
      <c r="H249" t="s">
        <v>1625</v>
      </c>
      <c r="J249" t="s">
        <v>31</v>
      </c>
      <c r="K249" t="s">
        <v>1637</v>
      </c>
      <c r="L249" t="s">
        <v>1642</v>
      </c>
      <c r="M249" t="s">
        <v>23</v>
      </c>
      <c r="N249" t="s">
        <v>32</v>
      </c>
      <c r="O249" t="s">
        <v>28</v>
      </c>
      <c r="P249" t="s">
        <v>35</v>
      </c>
      <c r="Q249" t="s">
        <v>27</v>
      </c>
      <c r="R249" t="s">
        <v>28</v>
      </c>
    </row>
    <row r="250" spans="1:18" ht="15">
      <c r="A250" s="2">
        <v>44470</v>
      </c>
      <c r="B250" s="25">
        <v>9</v>
      </c>
      <c r="C250" s="25">
        <v>2021</v>
      </c>
      <c r="D250" s="5">
        <v>75371.309999999998</v>
      </c>
      <c r="E250" t="s">
        <v>73</v>
      </c>
      <c r="G250" t="s">
        <v>63</v>
      </c>
      <c r="H250" t="s">
        <v>1626</v>
      </c>
      <c r="J250" t="s">
        <v>31</v>
      </c>
      <c r="K250" t="s">
        <v>1637</v>
      </c>
      <c r="L250" t="s">
        <v>1642</v>
      </c>
      <c r="M250" t="s">
        <v>23</v>
      </c>
      <c r="N250" t="s">
        <v>32</v>
      </c>
      <c r="O250" t="s">
        <v>34</v>
      </c>
      <c r="P250" t="s">
        <v>35</v>
      </c>
      <c r="Q250" t="s">
        <v>65</v>
      </c>
      <c r="R250" t="s">
        <v>28</v>
      </c>
    </row>
    <row r="251" spans="1:18" ht="15">
      <c r="A251" s="2">
        <v>44470</v>
      </c>
      <c r="B251" s="25">
        <v>10</v>
      </c>
      <c r="C251" s="25">
        <v>2021</v>
      </c>
      <c r="D251" s="5">
        <v>-31940.889999999999</v>
      </c>
      <c r="E251" t="s">
        <v>73</v>
      </c>
      <c r="G251" s="4" t="s">
        <v>66</v>
      </c>
      <c r="H251" t="s">
        <v>1625</v>
      </c>
      <c r="J251" t="s">
        <v>31</v>
      </c>
      <c r="K251" t="s">
        <v>1637</v>
      </c>
      <c r="L251" t="s">
        <v>1642</v>
      </c>
      <c r="M251" t="s">
        <v>23</v>
      </c>
      <c r="N251" t="s">
        <v>32</v>
      </c>
      <c r="O251" t="s">
        <v>28</v>
      </c>
      <c r="P251" t="s">
        <v>35</v>
      </c>
      <c r="Q251" t="s">
        <v>27</v>
      </c>
      <c r="R251" t="s">
        <v>28</v>
      </c>
    </row>
    <row r="252" spans="1:18" ht="15">
      <c r="A252" s="2">
        <v>44470</v>
      </c>
      <c r="B252" s="25">
        <v>10</v>
      </c>
      <c r="C252" s="25">
        <v>2021</v>
      </c>
      <c r="D252" s="5">
        <v>-75371.309999999998</v>
      </c>
      <c r="E252" t="s">
        <v>73</v>
      </c>
      <c r="G252" t="s">
        <v>63</v>
      </c>
      <c r="H252" t="s">
        <v>1626</v>
      </c>
      <c r="J252" t="s">
        <v>31</v>
      </c>
      <c r="K252" t="s">
        <v>1637</v>
      </c>
      <c r="L252" t="s">
        <v>1642</v>
      </c>
      <c r="M252" t="s">
        <v>23</v>
      </c>
      <c r="N252" t="s">
        <v>32</v>
      </c>
      <c r="O252" t="s">
        <v>34</v>
      </c>
      <c r="P252" t="s">
        <v>35</v>
      </c>
      <c r="Q252" t="s">
        <v>65</v>
      </c>
      <c r="R252" t="s">
        <v>28</v>
      </c>
    </row>
    <row r="253" spans="1:18" ht="15">
      <c r="A253" s="2">
        <v>44502</v>
      </c>
      <c r="B253" s="25">
        <v>10</v>
      </c>
      <c r="C253" s="25">
        <v>2021</v>
      </c>
      <c r="D253" s="5">
        <v>31940.91</v>
      </c>
      <c r="E253" t="s">
        <v>73</v>
      </c>
      <c r="G253" s="4" t="s">
        <v>66</v>
      </c>
      <c r="H253" t="s">
        <v>1627</v>
      </c>
      <c r="J253" t="s">
        <v>31</v>
      </c>
      <c r="K253" t="s">
        <v>1638</v>
      </c>
      <c r="L253" t="s">
        <v>95</v>
      </c>
      <c r="M253" t="s">
        <v>23</v>
      </c>
      <c r="N253" t="s">
        <v>32</v>
      </c>
      <c r="O253" t="s">
        <v>28</v>
      </c>
      <c r="P253" t="s">
        <v>35</v>
      </c>
      <c r="Q253" t="s">
        <v>27</v>
      </c>
      <c r="R253" t="s">
        <v>28</v>
      </c>
    </row>
    <row r="254" spans="1:18" ht="15">
      <c r="A254" s="2">
        <v>44502</v>
      </c>
      <c r="B254" s="25">
        <v>10</v>
      </c>
      <c r="C254" s="25">
        <v>2021</v>
      </c>
      <c r="D254" s="5">
        <v>72799.880000000005</v>
      </c>
      <c r="E254" t="s">
        <v>73</v>
      </c>
      <c r="G254" t="s">
        <v>63</v>
      </c>
      <c r="H254" t="s">
        <v>1628</v>
      </c>
      <c r="J254" t="s">
        <v>31</v>
      </c>
      <c r="K254" t="s">
        <v>1638</v>
      </c>
      <c r="L254" t="s">
        <v>95</v>
      </c>
      <c r="M254" t="s">
        <v>23</v>
      </c>
      <c r="N254" t="s">
        <v>32</v>
      </c>
      <c r="O254" t="s">
        <v>34</v>
      </c>
      <c r="P254" t="s">
        <v>35</v>
      </c>
      <c r="Q254" t="s">
        <v>65</v>
      </c>
      <c r="R254" t="s">
        <v>28</v>
      </c>
    </row>
    <row r="255" spans="1:18" ht="15">
      <c r="A255" s="2">
        <v>44502</v>
      </c>
      <c r="B255" s="25">
        <v>11</v>
      </c>
      <c r="C255" s="25">
        <v>2021</v>
      </c>
      <c r="D255" s="5">
        <v>-31940.91</v>
      </c>
      <c r="E255" t="s">
        <v>73</v>
      </c>
      <c r="G255" s="4" t="s">
        <v>66</v>
      </c>
      <c r="H255" t="s">
        <v>1627</v>
      </c>
      <c r="J255" t="s">
        <v>31</v>
      </c>
      <c r="K255" t="s">
        <v>1638</v>
      </c>
      <c r="L255" t="s">
        <v>95</v>
      </c>
      <c r="M255" t="s">
        <v>23</v>
      </c>
      <c r="N255" t="s">
        <v>32</v>
      </c>
      <c r="O255" t="s">
        <v>28</v>
      </c>
      <c r="P255" t="s">
        <v>35</v>
      </c>
      <c r="Q255" t="s">
        <v>27</v>
      </c>
      <c r="R255" t="s">
        <v>28</v>
      </c>
    </row>
    <row r="256" spans="1:18" ht="15">
      <c r="A256" s="2">
        <v>44502</v>
      </c>
      <c r="B256" s="25">
        <v>11</v>
      </c>
      <c r="C256" s="25">
        <v>2021</v>
      </c>
      <c r="D256" s="5">
        <v>-72799.880000000005</v>
      </c>
      <c r="E256" t="s">
        <v>73</v>
      </c>
      <c r="G256" t="s">
        <v>63</v>
      </c>
      <c r="H256" t="s">
        <v>1628</v>
      </c>
      <c r="J256" t="s">
        <v>31</v>
      </c>
      <c r="K256" t="s">
        <v>1638</v>
      </c>
      <c r="L256" t="s">
        <v>95</v>
      </c>
      <c r="M256" t="s">
        <v>23</v>
      </c>
      <c r="N256" t="s">
        <v>32</v>
      </c>
      <c r="O256" t="s">
        <v>34</v>
      </c>
      <c r="P256" t="s">
        <v>35</v>
      </c>
      <c r="Q256" t="s">
        <v>65</v>
      </c>
      <c r="R256" t="s">
        <v>28</v>
      </c>
    </row>
    <row r="257" spans="1:18" ht="15">
      <c r="A257" s="2">
        <v>44565</v>
      </c>
      <c r="B257" s="25">
        <v>12</v>
      </c>
      <c r="C257" s="25">
        <v>2021</v>
      </c>
      <c r="D257" s="5">
        <v>31940.91</v>
      </c>
      <c r="E257" t="s">
        <v>73</v>
      </c>
      <c r="G257" s="4" t="s">
        <v>66</v>
      </c>
      <c r="H257" t="s">
        <v>1629</v>
      </c>
      <c r="J257" t="s">
        <v>31</v>
      </c>
      <c r="K257" t="s">
        <v>1639</v>
      </c>
      <c r="L257" t="s">
        <v>96</v>
      </c>
      <c r="M257" t="s">
        <v>23</v>
      </c>
      <c r="N257" t="s">
        <v>32</v>
      </c>
      <c r="O257" t="s">
        <v>28</v>
      </c>
      <c r="P257" t="s">
        <v>35</v>
      </c>
      <c r="Q257" t="s">
        <v>27</v>
      </c>
      <c r="R257" t="s">
        <v>28</v>
      </c>
    </row>
    <row r="258" spans="1:18" ht="15">
      <c r="A258" s="2">
        <v>44565</v>
      </c>
      <c r="B258" s="25">
        <v>12</v>
      </c>
      <c r="C258" s="25">
        <v>2021</v>
      </c>
      <c r="D258" s="5">
        <v>72799.880000000005</v>
      </c>
      <c r="E258" t="s">
        <v>73</v>
      </c>
      <c r="G258" t="s">
        <v>63</v>
      </c>
      <c r="H258" t="s">
        <v>1630</v>
      </c>
      <c r="J258" t="s">
        <v>31</v>
      </c>
      <c r="K258" t="s">
        <v>1639</v>
      </c>
      <c r="L258" t="s">
        <v>96</v>
      </c>
      <c r="M258" t="s">
        <v>23</v>
      </c>
      <c r="N258" t="s">
        <v>32</v>
      </c>
      <c r="O258" t="s">
        <v>34</v>
      </c>
      <c r="P258" t="s">
        <v>35</v>
      </c>
      <c r="Q258" t="s">
        <v>65</v>
      </c>
      <c r="R258" t="s">
        <v>28</v>
      </c>
    </row>
    <row r="259" spans="4:4" ht="15">
      <c r="D259" s="5">
        <f>SUBTOTAL(9,D3:D258)</f>
        <v>3484344.3899999987</v>
      </c>
    </row>
  </sheetData>
  <pageMargins left="0.5" right="0.5" top="2" bottom="0.5" header="1" footer="0.3"/>
  <pageSetup fitToHeight="0" orientation="landscape" scale="48" r:id="rId1"/>
  <headerFooter>
    <oddHeader>&amp;C&amp;"Arial Unicode MS,Bold"
2022 RATE CASE
ONCOR ELECTRIC DELIVERY COMPANY LLC
ADMINISTRATION FEES
FOR THE TEST YEAR ENDING DECEMBER 31, 2021
SPONSOR: W. ALAN LEDBETTER&amp;R&amp;"Arial Unicode MS,Bold"WP/II-D-3.10
Page &amp;P of &amp;N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dimension ref="A1:R46"/>
  <sheetViews>
    <sheetView workbookViewId="0" topLeftCell="A13"/>
  </sheetViews>
  <sheetFormatPr defaultRowHeight="15"/>
  <cols>
    <col min="1" max="1" width="18.7142857142857" bestFit="1" customWidth="1"/>
    <col min="2" max="2" width="14" customWidth="1"/>
    <col min="3" max="3" width="18.1428571428571" customWidth="1"/>
    <col min="4" max="4" width="23.4285714285714" bestFit="1" customWidth="1"/>
    <col min="5" max="5" width="28.7142857142857" bestFit="1" customWidth="1"/>
    <col min="6" max="7" width="16.2857142857143" customWidth="1"/>
    <col min="8" max="8" width="18.5714285714286" customWidth="1"/>
    <col min="9" max="9" width="13.1428571428571" bestFit="1" customWidth="1"/>
    <col min="10" max="10" width="15.4285714285714" customWidth="1"/>
    <col min="11" max="11" width="15.7142857142857" customWidth="1"/>
    <col min="12" max="12" width="15" customWidth="1"/>
    <col min="13" max="13" width="15" bestFit="1" customWidth="1"/>
    <col min="15" max="15" width="11.2857142857143" bestFit="1" customWidth="1"/>
    <col min="16" max="16" width="11.8571428571429" bestFit="1" customWidth="1"/>
    <col min="18" max="18" width="11.8571428571429" bestFit="1" customWidth="1"/>
  </cols>
  <sheetData>
    <row r="1" spans="1:1" ht="15.75">
      <c r="A1" s="19" t="s">
        <v>70</v>
      </c>
    </row>
    <row r="2" spans="1:1" ht="15.75">
      <c r="A2" s="19" t="s">
        <v>104</v>
      </c>
    </row>
    <row r="3" spans="1:1" ht="15.75">
      <c r="A3" s="19" t="s">
        <v>112</v>
      </c>
    </row>
    <row r="4" spans="1:2" ht="15">
      <c r="A4" s="20" t="s">
        <v>4</v>
      </c>
      <c r="B4" s="23">
        <v>2021</v>
      </c>
    </row>
    <row r="6" spans="1:12" ht="15">
      <c r="A6" s="11" t="s">
        <v>69</v>
      </c>
      <c r="B6" s="11" t="s">
        <v>8</v>
      </c>
      <c r="C6" s="9"/>
      <c r="D6" s="9"/>
      <c r="E6" s="9"/>
      <c r="F6" s="9"/>
      <c r="G6" s="9"/>
      <c r="H6" s="9"/>
      <c r="I6" s="9"/>
      <c r="J6" s="9"/>
      <c r="K6" s="9"/>
      <c r="L6" s="10"/>
    </row>
    <row r="7" spans="1:13" s="22" customFormat="1" ht="48" customHeight="1">
      <c r="A7" s="59" t="s">
        <v>3</v>
      </c>
      <c r="B7" s="45" t="s">
        <v>55</v>
      </c>
      <c r="C7" s="40" t="s">
        <v>66</v>
      </c>
      <c r="D7" s="46" t="s">
        <v>45</v>
      </c>
      <c r="E7" s="46" t="s">
        <v>39</v>
      </c>
      <c r="F7" s="46" t="s">
        <v>30</v>
      </c>
      <c r="G7" s="46" t="s">
        <v>47</v>
      </c>
      <c r="H7" s="40" t="s">
        <v>63</v>
      </c>
      <c r="I7" s="46" t="s">
        <v>1643</v>
      </c>
      <c r="J7" s="46" t="s">
        <v>60</v>
      </c>
      <c r="K7" s="46" t="s">
        <v>37</v>
      </c>
      <c r="L7" s="41" t="s">
        <v>68</v>
      </c>
      <c r="M7"/>
    </row>
    <row r="8" spans="1:18" ht="15">
      <c r="A8" s="8">
        <v>1</v>
      </c>
      <c r="B8" s="47"/>
      <c r="C8" s="14">
        <v>31010.57</v>
      </c>
      <c r="D8" s="48">
        <v>434.18000000000029</v>
      </c>
      <c r="E8" s="48">
        <v>-3.5</v>
      </c>
      <c r="F8" s="48">
        <v>5290.2999999999993</v>
      </c>
      <c r="G8" s="48">
        <v>15939.879999999999</v>
      </c>
      <c r="H8" s="14">
        <v>0</v>
      </c>
      <c r="I8" s="48">
        <v>8507.5200000000004</v>
      </c>
      <c r="J8" s="48">
        <v>0</v>
      </c>
      <c r="K8" s="14">
        <v>9</v>
      </c>
      <c r="L8" s="15">
        <v>61187.949999999997</v>
      </c>
      <c r="M8" s="1"/>
      <c r="O8" s="1"/>
      <c r="P8" s="5"/>
      <c r="R8" s="1"/>
    </row>
    <row r="9" spans="1:18" ht="15">
      <c r="A9" s="12">
        <v>2</v>
      </c>
      <c r="B9" s="49">
        <v>9189.3000000000011</v>
      </c>
      <c r="C9" s="1">
        <v>0</v>
      </c>
      <c r="D9" s="50">
        <v>219584.09999999998</v>
      </c>
      <c r="E9" s="50"/>
      <c r="F9" s="50"/>
      <c r="G9" s="50">
        <v>15958.58</v>
      </c>
      <c r="H9" s="1">
        <v>0</v>
      </c>
      <c r="I9" s="50">
        <v>8433.6700000000001</v>
      </c>
      <c r="J9" s="50">
        <v>16973.630000000001</v>
      </c>
      <c r="K9" s="1"/>
      <c r="L9" s="17">
        <v>270139.27999999997</v>
      </c>
      <c r="M9" s="1"/>
      <c r="O9" s="1"/>
      <c r="P9" s="5"/>
      <c r="R9" s="1"/>
    </row>
    <row r="10" spans="1:18" ht="15">
      <c r="A10" s="12">
        <v>3</v>
      </c>
      <c r="B10" s="49">
        <v>9222.3999999999996</v>
      </c>
      <c r="C10" s="1">
        <v>-38652.609999999993</v>
      </c>
      <c r="D10" s="50">
        <v>421406.96000000002</v>
      </c>
      <c r="E10" s="50"/>
      <c r="F10" s="50">
        <v>5497.6499999999996</v>
      </c>
      <c r="G10" s="50">
        <v>15891.259999999998</v>
      </c>
      <c r="H10" s="1">
        <v>78452.039999999994</v>
      </c>
      <c r="I10" s="50">
        <v>8315.5100000000002</v>
      </c>
      <c r="J10" s="50">
        <v>6358.25</v>
      </c>
      <c r="K10" s="50">
        <v>493</v>
      </c>
      <c r="L10" s="17">
        <v>506984.46000000002</v>
      </c>
      <c r="M10" s="1"/>
      <c r="O10" s="1"/>
      <c r="P10" s="5"/>
      <c r="R10" s="1"/>
    </row>
    <row r="11" spans="1:18" ht="15">
      <c r="A11" s="12">
        <v>4</v>
      </c>
      <c r="B11" s="49">
        <v>9167.3999999999996</v>
      </c>
      <c r="C11" s="1">
        <v>930.34000000000015</v>
      </c>
      <c r="D11" s="50">
        <v>-15667.580000000016</v>
      </c>
      <c r="E11" s="50"/>
      <c r="F11" s="50"/>
      <c r="G11" s="50">
        <v>15921.18</v>
      </c>
      <c r="H11" s="1">
        <v>73804.559999999998</v>
      </c>
      <c r="I11" s="50">
        <v>8444.2199999999993</v>
      </c>
      <c r="J11" s="50">
        <v>12732.450000000001</v>
      </c>
      <c r="K11" s="1"/>
      <c r="L11" s="17">
        <v>105332.56999999998</v>
      </c>
      <c r="M11" s="1"/>
      <c r="O11" s="1"/>
      <c r="P11" s="5"/>
      <c r="R11" s="1"/>
    </row>
    <row r="12" spans="1:18" ht="15">
      <c r="A12" s="12">
        <v>5</v>
      </c>
      <c r="B12" s="49">
        <v>9200.3999999999996</v>
      </c>
      <c r="C12" s="1"/>
      <c r="D12" s="50">
        <v>208555.31999999998</v>
      </c>
      <c r="E12" s="50">
        <v>3.5</v>
      </c>
      <c r="F12" s="50">
        <v>5471.5500000000002</v>
      </c>
      <c r="G12" s="50">
        <v>15857.6</v>
      </c>
      <c r="H12" s="1">
        <v>-72468</v>
      </c>
      <c r="I12" s="50">
        <v>8391.4699999999993</v>
      </c>
      <c r="J12" s="50">
        <v>6339.3999999999996</v>
      </c>
      <c r="K12" s="50">
        <v>239.25</v>
      </c>
      <c r="L12" s="17">
        <v>181590.48999999996</v>
      </c>
      <c r="M12" s="1"/>
      <c r="O12" s="1"/>
      <c r="P12" s="5"/>
      <c r="R12" s="1"/>
    </row>
    <row r="13" spans="1:18" ht="15">
      <c r="A13" s="12">
        <v>6</v>
      </c>
      <c r="B13" s="51">
        <v>16211.4</v>
      </c>
      <c r="C13" s="1">
        <v>31010.57</v>
      </c>
      <c r="D13" s="50">
        <v>411214.88</v>
      </c>
      <c r="E13" s="50"/>
      <c r="F13" s="50"/>
      <c r="G13" s="50">
        <v>15895</v>
      </c>
      <c r="H13" s="1">
        <v>71131.440000000002</v>
      </c>
      <c r="I13" s="50">
        <v>8520.1800000000003</v>
      </c>
      <c r="J13" s="50">
        <v>9829.4500000000007</v>
      </c>
      <c r="K13" s="50">
        <v>239.25</v>
      </c>
      <c r="L13" s="17">
        <v>564052.17000000004</v>
      </c>
      <c r="M13" s="1"/>
      <c r="O13" s="1"/>
      <c r="P13" s="5"/>
      <c r="R13" s="1"/>
    </row>
    <row r="14" spans="1:18" ht="15">
      <c r="A14" s="12">
        <v>7</v>
      </c>
      <c r="B14" s="51">
        <v>21443.810000000001</v>
      </c>
      <c r="C14" s="1">
        <v>930.31999999999971</v>
      </c>
      <c r="D14" s="50">
        <v>2087.9400000000023</v>
      </c>
      <c r="E14" s="50"/>
      <c r="F14" s="50">
        <v>2655.9000000000001</v>
      </c>
      <c r="G14" s="50">
        <v>15928.66</v>
      </c>
      <c r="H14" s="1">
        <v>0</v>
      </c>
      <c r="I14" s="50">
        <v>8716.4099999999999</v>
      </c>
      <c r="J14" s="50">
        <v>8614.6499999999996</v>
      </c>
      <c r="K14" s="50">
        <v>239.25</v>
      </c>
      <c r="L14" s="17">
        <v>60616.94000000001</v>
      </c>
      <c r="M14" s="1"/>
      <c r="O14" s="1"/>
      <c r="P14" s="5"/>
      <c r="R14" s="1"/>
    </row>
    <row r="15" spans="1:18" ht="15">
      <c r="A15" s="12">
        <v>8</v>
      </c>
      <c r="B15" s="49">
        <v>9255.4000000000015</v>
      </c>
      <c r="C15" s="1"/>
      <c r="D15" s="50">
        <v>207613.31999999998</v>
      </c>
      <c r="E15" s="50"/>
      <c r="F15" s="50">
        <v>5335.2000000000007</v>
      </c>
      <c r="G15" s="50">
        <v>15954.84</v>
      </c>
      <c r="H15" s="1">
        <v>4239.8699999999953</v>
      </c>
      <c r="I15" s="50">
        <v>8583.4799999999996</v>
      </c>
      <c r="J15" s="50">
        <v>8917.5499999999993</v>
      </c>
      <c r="K15" s="50">
        <v>232</v>
      </c>
      <c r="L15" s="17">
        <v>260131.65999999997</v>
      </c>
      <c r="M15" s="1"/>
      <c r="O15" s="1"/>
      <c r="P15" s="5"/>
      <c r="R15" s="1"/>
    </row>
    <row r="16" spans="1:18" ht="15">
      <c r="A16" s="12">
        <v>9</v>
      </c>
      <c r="B16" s="49">
        <v>9231.2000000000007</v>
      </c>
      <c r="C16" s="1">
        <v>31940.889999999999</v>
      </c>
      <c r="D16" s="50">
        <v>420892.40000000002</v>
      </c>
      <c r="E16" s="50"/>
      <c r="F16" s="50"/>
      <c r="G16" s="50">
        <v>15921.18</v>
      </c>
      <c r="H16" s="1">
        <v>87958.619999999995</v>
      </c>
      <c r="I16" s="50">
        <v>8695.3099999999995</v>
      </c>
      <c r="J16" s="50">
        <v>6340.8500000000004</v>
      </c>
      <c r="K16" s="50">
        <v>464</v>
      </c>
      <c r="L16" s="17">
        <v>581444.45000000007</v>
      </c>
      <c r="M16" s="1"/>
      <c r="O16" s="1"/>
      <c r="P16" s="5"/>
      <c r="R16" s="1"/>
    </row>
    <row r="17" spans="1:18" ht="15">
      <c r="A17" s="12">
        <v>10</v>
      </c>
      <c r="B17" s="49">
        <v>9132.2000000000007</v>
      </c>
      <c r="C17" s="1">
        <v>31940.93</v>
      </c>
      <c r="D17" s="50">
        <v>-210446.20000000001</v>
      </c>
      <c r="E17" s="50"/>
      <c r="F17" s="50">
        <v>2662.6999999999998</v>
      </c>
      <c r="G17" s="50">
        <v>15902.480000000001</v>
      </c>
      <c r="H17" s="1">
        <v>83199.87000000001</v>
      </c>
      <c r="I17" s="50">
        <v>8691.0900000000001</v>
      </c>
      <c r="J17" s="50">
        <v>6378.5499999999993</v>
      </c>
      <c r="K17" s="1">
        <v>297.25</v>
      </c>
      <c r="L17" s="17">
        <v>-52241.129999999976</v>
      </c>
      <c r="O17" s="1"/>
      <c r="P17" s="5"/>
      <c r="R17" s="1"/>
    </row>
    <row r="18" spans="1:18" ht="15">
      <c r="A18" s="12">
        <v>11</v>
      </c>
      <c r="B18" s="49">
        <v>9310.3999999999996</v>
      </c>
      <c r="C18" s="1">
        <v>-31940.91</v>
      </c>
      <c r="D18" s="50">
        <v>421287.70000000001</v>
      </c>
      <c r="E18" s="50"/>
      <c r="F18" s="50">
        <v>2663.0999999999999</v>
      </c>
      <c r="G18" s="50">
        <v>15936.139999999999</v>
      </c>
      <c r="H18" s="1">
        <v>-65666.130000000005</v>
      </c>
      <c r="I18" s="50">
        <v>8587.7000000000007</v>
      </c>
      <c r="J18" s="50">
        <v>8695.3999999999996</v>
      </c>
      <c r="K18" s="1">
        <v>232</v>
      </c>
      <c r="L18" s="17">
        <v>369105.40000000002</v>
      </c>
      <c r="M18" s="1"/>
      <c r="O18" s="1"/>
      <c r="P18" s="5"/>
      <c r="R18" s="1"/>
    </row>
    <row r="19" spans="1:18" ht="15">
      <c r="A19" s="12">
        <v>12</v>
      </c>
      <c r="B19" s="49">
        <v>9892</v>
      </c>
      <c r="C19" s="1">
        <v>31940.91</v>
      </c>
      <c r="D19" s="50">
        <v>413888.19999999995</v>
      </c>
      <c r="E19" s="50">
        <v>14328.139999999999</v>
      </c>
      <c r="F19" s="50">
        <v>5270.3500000000004</v>
      </c>
      <c r="G19" s="50"/>
      <c r="H19" s="1">
        <v>72799.880000000005</v>
      </c>
      <c r="I19" s="50">
        <v>8680.5400000000009</v>
      </c>
      <c r="J19" s="50">
        <v>14514.950000000001</v>
      </c>
      <c r="K19" s="1">
        <v>4685.1800000000003</v>
      </c>
      <c r="L19" s="17">
        <v>576000.15000000002</v>
      </c>
      <c r="O19" s="1"/>
      <c r="P19" s="5"/>
      <c r="R19" s="1"/>
    </row>
    <row r="20" spans="1:13" s="18" customFormat="1" ht="15">
      <c r="A20" s="34" t="s">
        <v>68</v>
      </c>
      <c r="B20" s="52">
        <v>121255.91</v>
      </c>
      <c r="C20" s="32">
        <v>89111.010000000009</v>
      </c>
      <c r="D20" s="53">
        <v>2500851.2199999997</v>
      </c>
      <c r="E20" s="53">
        <v>14328.139999999999</v>
      </c>
      <c r="F20" s="53">
        <v>34846.75</v>
      </c>
      <c r="G20" s="53">
        <v>175106.79999999999</v>
      </c>
      <c r="H20" s="32">
        <v>333452.14999999997</v>
      </c>
      <c r="I20" s="53">
        <v>102567.10000000001</v>
      </c>
      <c r="J20" s="53">
        <v>105695.13000000001</v>
      </c>
      <c r="K20" s="32">
        <v>7130.1800000000003</v>
      </c>
      <c r="L20" s="33">
        <v>3484344.3899999997</v>
      </c>
      <c r="M20"/>
    </row>
    <row r="21" spans="2:13" ht="15">
      <c r="B21" s="54" t="s">
        <v>1644</v>
      </c>
      <c r="D21" s="55" t="s">
        <v>1645</v>
      </c>
      <c r="E21" s="55" t="s">
        <v>1646</v>
      </c>
      <c r="F21" s="55" t="s">
        <v>1647</v>
      </c>
      <c r="K21" s="56" t="s">
        <v>1648</v>
      </c>
      <c r="M21">
        <f>7130.18-4453</f>
        <v>2677.1800000000003</v>
      </c>
    </row>
    <row r="22" spans="2:14" ht="15">
      <c r="B22" s="57" t="s">
        <v>1649</v>
      </c>
      <c r="C22" s="58" t="s">
        <v>1650</v>
      </c>
      <c r="D22" s="50">
        <v>199806</v>
      </c>
      <c r="E22" s="55" t="s">
        <v>1651</v>
      </c>
      <c r="F22" s="55" t="s">
        <v>1652</v>
      </c>
      <c r="H22" s="58" t="s">
        <v>1653</v>
      </c>
      <c r="K22" s="56" t="s">
        <v>1654</v>
      </c>
      <c r="N22">
        <f>2436-297+232</f>
        <v>2371</v>
      </c>
    </row>
    <row r="23" spans="2:8" ht="15">
      <c r="B23" s="57" t="s">
        <v>1655</v>
      </c>
      <c r="D23" s="55" t="s">
        <v>1656</v>
      </c>
      <c r="E23" s="55" t="s">
        <v>1657</v>
      </c>
      <c r="H23">
        <f>5290.3-2213.35-557</f>
        <v>2519.9500000000003</v>
      </c>
    </row>
    <row r="24" spans="4:5" ht="15">
      <c r="D24">
        <f>-199806+7500</f>
        <v>-192306</v>
      </c>
      <c r="E24" s="55" t="s">
        <v>1658</v>
      </c>
    </row>
    <row r="30" spans="1:4" ht="18.75">
      <c r="A30" s="60" t="s">
        <v>1659</v>
      </c>
      <c r="B30" s="61"/>
      <c r="C30" s="61"/>
      <c r="D30" s="61"/>
    </row>
    <row r="31" spans="1:4" ht="16.5">
      <c r="A31" s="61" t="s">
        <v>1660</v>
      </c>
      <c r="B31" s="61"/>
      <c r="C31" s="62"/>
      <c r="D31" s="62"/>
    </row>
    <row r="32" spans="1:4" ht="16.5">
      <c r="A32" s="63">
        <v>52935583</v>
      </c>
      <c r="B32" s="64">
        <v>44094</v>
      </c>
      <c r="C32" s="65">
        <v>-189075.54000000001</v>
      </c>
      <c r="D32" s="62"/>
    </row>
    <row r="33" spans="1:4" ht="16.5">
      <c r="A33" s="63">
        <v>52959993</v>
      </c>
      <c r="B33" s="64">
        <v>44124</v>
      </c>
      <c r="C33" s="65">
        <v>22669.919999999998</v>
      </c>
      <c r="D33" s="62"/>
    </row>
    <row r="34" spans="1:4" ht="16.5">
      <c r="A34" s="63">
        <v>52984576</v>
      </c>
      <c r="B34" s="64">
        <v>44155</v>
      </c>
      <c r="C34" s="62">
        <v>23312.299999999999</v>
      </c>
      <c r="D34" s="66"/>
    </row>
    <row r="35" spans="1:4" ht="16.5">
      <c r="A35" s="63">
        <v>53009681</v>
      </c>
      <c r="B35" s="64">
        <v>44185</v>
      </c>
      <c r="C35" s="62">
        <v>6921</v>
      </c>
      <c r="D35" s="66"/>
    </row>
    <row r="36" spans="1:4" ht="16.5">
      <c r="A36" s="63">
        <v>53038012</v>
      </c>
      <c r="B36" s="64">
        <v>44217</v>
      </c>
      <c r="C36" s="62">
        <v>6927.1000000000004</v>
      </c>
      <c r="D36" s="66"/>
    </row>
    <row r="37" spans="1:4" ht="16.5">
      <c r="A37" s="63">
        <v>53064394</v>
      </c>
      <c r="B37" s="64">
        <v>44248</v>
      </c>
      <c r="C37" s="62">
        <v>1758.8599999999999</v>
      </c>
      <c r="D37" s="66"/>
    </row>
    <row r="38" spans="1:4" ht="16.5">
      <c r="A38" s="63">
        <v>53091140</v>
      </c>
      <c r="B38" s="64">
        <v>44276</v>
      </c>
      <c r="C38" s="62">
        <v>0</v>
      </c>
      <c r="D38" s="66" t="s">
        <v>1661</v>
      </c>
    </row>
    <row r="39" spans="1:4" ht="16.5">
      <c r="A39" s="63">
        <v>53117473</v>
      </c>
      <c r="B39" s="64">
        <v>44307</v>
      </c>
      <c r="C39" s="62">
        <v>1673.2000000000001</v>
      </c>
      <c r="D39" s="66"/>
    </row>
    <row r="40" spans="1:4" ht="16.5">
      <c r="A40" s="63">
        <v>53143555</v>
      </c>
      <c r="B40" s="64">
        <v>44337</v>
      </c>
      <c r="C40" s="62">
        <v>4383.5200000000004</v>
      </c>
      <c r="D40" s="66"/>
    </row>
    <row r="41" spans="1:4" ht="16.5">
      <c r="A41" s="63">
        <v>53169610</v>
      </c>
      <c r="B41" s="64">
        <v>44368</v>
      </c>
      <c r="C41" s="62">
        <v>4384.6300000000001</v>
      </c>
      <c r="D41" s="66"/>
    </row>
    <row r="42" spans="1:4" ht="16.5">
      <c r="A42" s="63">
        <v>53195880</v>
      </c>
      <c r="B42" s="64">
        <v>44398</v>
      </c>
      <c r="C42" s="62">
        <v>4802</v>
      </c>
      <c r="D42" s="66"/>
    </row>
    <row r="43" spans="1:4" ht="16.5">
      <c r="A43" s="63">
        <v>53221945</v>
      </c>
      <c r="B43" s="64">
        <v>44429</v>
      </c>
      <c r="C43" s="62">
        <v>5860.3999999999996</v>
      </c>
      <c r="D43" s="66"/>
    </row>
    <row r="44" spans="1:4" ht="16.5">
      <c r="A44" s="63">
        <v>53247680</v>
      </c>
      <c r="B44" s="64">
        <v>44460</v>
      </c>
      <c r="C44" s="62">
        <v>-79857.940000000002</v>
      </c>
      <c r="D44" s="66"/>
    </row>
    <row r="45" spans="1:4" ht="16.5">
      <c r="A45" s="63">
        <v>53274036</v>
      </c>
      <c r="B45" s="64">
        <v>44490</v>
      </c>
      <c r="C45" s="62">
        <v>4185.7700000000004</v>
      </c>
      <c r="D45" s="66"/>
    </row>
    <row r="46" spans="1:6" ht="16.5">
      <c r="A46" s="63"/>
      <c r="B46" s="64"/>
      <c r="C46" s="62"/>
      <c r="D46" s="66">
        <f>SUM(C32:C45)</f>
        <v>-182054.78</v>
      </c>
      <c r="F46" s="55" t="s">
        <v>1662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tabColor rgb="FFFF0000"/>
  </sheetPr>
  <dimension ref="A1:I21"/>
  <sheetViews>
    <sheetView workbookViewId="0" topLeftCell="A1">
      <selection pane="topLeft" activeCell="G3" sqref="G3"/>
    </sheetView>
  </sheetViews>
  <sheetFormatPr defaultRowHeight="15"/>
  <cols>
    <col min="1" max="1" width="18.7142857142857" bestFit="1" customWidth="1"/>
    <col min="2" max="4" width="15" bestFit="1" customWidth="1"/>
    <col min="5" max="5" width="15.5714285714286" bestFit="1" customWidth="1"/>
    <col min="6" max="6" width="19.7142857142857" bestFit="1" customWidth="1"/>
    <col min="7" max="7" width="23.4285714285714" bestFit="1" customWidth="1"/>
    <col min="8" max="8" width="15" customWidth="1"/>
    <col min="9" max="9" width="15" bestFit="1" customWidth="1"/>
  </cols>
  <sheetData>
    <row r="1" spans="1:1" ht="15.75">
      <c r="A1" s="19" t="s">
        <v>70</v>
      </c>
    </row>
    <row r="2" spans="1:1" ht="15.75">
      <c r="A2" s="19" t="s">
        <v>110</v>
      </c>
    </row>
    <row r="3" spans="1:1" ht="15.75">
      <c r="A3" s="19" t="s">
        <v>112</v>
      </c>
    </row>
    <row r="4" spans="1:2" ht="15">
      <c r="A4" s="20" t="s">
        <v>4</v>
      </c>
      <c r="B4" s="24" t="s">
        <v>111</v>
      </c>
    </row>
    <row r="6" spans="1:8" ht="15">
      <c r="A6" s="11" t="s">
        <v>69</v>
      </c>
      <c r="B6" s="11" t="s">
        <v>8</v>
      </c>
      <c r="C6" s="21" t="s">
        <v>17</v>
      </c>
      <c r="D6" s="9"/>
      <c r="E6" s="9"/>
      <c r="F6" s="9"/>
      <c r="G6" s="9"/>
      <c r="H6" s="10"/>
    </row>
    <row r="7" spans="1:9" s="18" customFormat="1" ht="15">
      <c r="A7" s="35"/>
      <c r="B7" s="27" t="s">
        <v>52</v>
      </c>
      <c r="C7" s="36"/>
      <c r="D7" s="36"/>
      <c r="E7" s="27" t="s">
        <v>105</v>
      </c>
      <c r="F7" s="27" t="s">
        <v>57</v>
      </c>
      <c r="G7" s="27" t="s">
        <v>106</v>
      </c>
      <c r="H7" s="29" t="s">
        <v>68</v>
      </c>
      <c r="I7"/>
    </row>
    <row r="8" spans="1:9" s="18" customFormat="1" ht="15">
      <c r="A8" s="11" t="s">
        <v>3</v>
      </c>
      <c r="B8" s="27" t="s">
        <v>107</v>
      </c>
      <c r="C8" s="28" t="s">
        <v>108</v>
      </c>
      <c r="D8" s="28" t="s">
        <v>109</v>
      </c>
      <c r="E8" s="37"/>
      <c r="F8" s="27" t="s">
        <v>58</v>
      </c>
      <c r="G8" s="37"/>
      <c r="H8" s="38"/>
      <c r="I8"/>
    </row>
    <row r="9" spans="1:8" ht="15">
      <c r="A9" s="8">
        <v>1</v>
      </c>
      <c r="B9" s="13">
        <v>481542.90999999997</v>
      </c>
      <c r="C9" s="14">
        <v>87799.369999999995</v>
      </c>
      <c r="D9" s="14">
        <v>123982.57000000001</v>
      </c>
      <c r="E9" s="13">
        <v>693324.85000000009</v>
      </c>
      <c r="F9" s="13">
        <v>117160.53</v>
      </c>
      <c r="G9" s="13">
        <v>117160.53</v>
      </c>
      <c r="H9" s="15">
        <v>810485.38000000012</v>
      </c>
    </row>
    <row r="10" spans="1:8" ht="15">
      <c r="A10" s="12">
        <v>2</v>
      </c>
      <c r="B10" s="16">
        <v>478329.58000000002</v>
      </c>
      <c r="C10" s="1">
        <v>87896.029999999999</v>
      </c>
      <c r="D10" s="1">
        <v>124928.42</v>
      </c>
      <c r="E10" s="16">
        <v>691154.03000000003</v>
      </c>
      <c r="F10" s="16">
        <v>117936.09</v>
      </c>
      <c r="G10" s="16">
        <v>117936.09</v>
      </c>
      <c r="H10" s="17">
        <v>809090.12</v>
      </c>
    </row>
    <row r="11" spans="1:8" ht="15">
      <c r="A11" s="12">
        <v>3</v>
      </c>
      <c r="B11" s="16">
        <v>466154.97000000003</v>
      </c>
      <c r="C11" s="1">
        <v>86748.979999999996</v>
      </c>
      <c r="D11" s="1">
        <v>126210.81</v>
      </c>
      <c r="E11" s="16">
        <v>679114.76000000001</v>
      </c>
      <c r="F11" s="16">
        <v>117936.09</v>
      </c>
      <c r="G11" s="16">
        <v>117936.09</v>
      </c>
      <c r="H11" s="17">
        <v>797050.84999999998</v>
      </c>
    </row>
    <row r="12" spans="1:8" ht="15">
      <c r="A12" s="12">
        <v>4</v>
      </c>
      <c r="B12" s="16">
        <v>463946.25</v>
      </c>
      <c r="C12" s="1">
        <v>86638.589999999997</v>
      </c>
      <c r="D12" s="1">
        <v>122961.5</v>
      </c>
      <c r="E12" s="16">
        <v>673546.33999999997</v>
      </c>
      <c r="F12" s="16">
        <v>115041.01000000001</v>
      </c>
      <c r="G12" s="16">
        <v>115041.01000000001</v>
      </c>
      <c r="H12" s="17">
        <v>788587.34999999998</v>
      </c>
    </row>
    <row r="13" spans="1:8" ht="15">
      <c r="A13" s="12">
        <v>5</v>
      </c>
      <c r="B13" s="16">
        <v>463057.45999999996</v>
      </c>
      <c r="C13" s="1">
        <v>85715.960000000006</v>
      </c>
      <c r="D13" s="1">
        <v>121684.22</v>
      </c>
      <c r="E13" s="16">
        <v>670457.6399999999</v>
      </c>
      <c r="F13" s="16">
        <v>116488.54999999999</v>
      </c>
      <c r="G13" s="16">
        <v>116488.54999999999</v>
      </c>
      <c r="H13" s="17">
        <v>786946.18999999994</v>
      </c>
    </row>
    <row r="14" spans="1:8" ht="15">
      <c r="A14" s="12">
        <v>6</v>
      </c>
      <c r="B14" s="16">
        <v>457385.27000000002</v>
      </c>
      <c r="C14" s="1">
        <v>86016.139999999999</v>
      </c>
      <c r="D14" s="1">
        <v>122710.16</v>
      </c>
      <c r="E14" s="16">
        <v>666111.57000000007</v>
      </c>
      <c r="F14" s="16">
        <v>115161.60999999999</v>
      </c>
      <c r="G14" s="16">
        <v>115161.60999999999</v>
      </c>
      <c r="H14" s="17">
        <v>781273.18000000005</v>
      </c>
    </row>
    <row r="15" spans="1:8" ht="15">
      <c r="A15" s="12">
        <v>7</v>
      </c>
      <c r="B15" s="16">
        <v>455835.29000000004</v>
      </c>
      <c r="C15" s="1">
        <v>85740.880000000005</v>
      </c>
      <c r="D15" s="1">
        <v>122482.74000000001</v>
      </c>
      <c r="E15" s="16">
        <v>664058.91000000003</v>
      </c>
      <c r="F15" s="16">
        <v>119719.54000000001</v>
      </c>
      <c r="G15" s="16">
        <v>119719.54000000001</v>
      </c>
      <c r="H15" s="17">
        <v>783778.45000000007</v>
      </c>
    </row>
    <row r="16" spans="1:8" ht="15">
      <c r="A16" s="12">
        <v>8</v>
      </c>
      <c r="B16" s="16">
        <v>449200.41000000003</v>
      </c>
      <c r="C16" s="1">
        <v>85291.919999999998</v>
      </c>
      <c r="D16" s="1">
        <v>122998.47</v>
      </c>
      <c r="E16" s="16">
        <v>657490.80000000005</v>
      </c>
      <c r="F16" s="16">
        <v>119151</v>
      </c>
      <c r="G16" s="16">
        <v>119151</v>
      </c>
      <c r="H16" s="17">
        <v>776641.80000000005</v>
      </c>
    </row>
    <row r="17" spans="1:8" ht="15">
      <c r="A17" s="12">
        <v>9</v>
      </c>
      <c r="B17" s="16">
        <v>451108.16000000003</v>
      </c>
      <c r="C17" s="1">
        <v>85142.350000000006</v>
      </c>
      <c r="D17" s="1">
        <v>122633.67000000001</v>
      </c>
      <c r="E17" s="16">
        <v>658884.18000000005</v>
      </c>
      <c r="F17" s="16">
        <v>109198.91</v>
      </c>
      <c r="G17" s="16">
        <v>109198.91</v>
      </c>
      <c r="H17" s="17">
        <v>768083.09000000008</v>
      </c>
    </row>
    <row r="18" spans="1:8" ht="15">
      <c r="A18" s="12">
        <v>10</v>
      </c>
      <c r="B18" s="16">
        <v>444621.62</v>
      </c>
      <c r="C18" s="1">
        <v>84303.660000000003</v>
      </c>
      <c r="D18" s="1">
        <v>121683.23000000001</v>
      </c>
      <c r="E18" s="16">
        <v>650608.51000000001</v>
      </c>
      <c r="F18" s="16">
        <v>109198.90000000001</v>
      </c>
      <c r="G18" s="16">
        <v>109198.90000000001</v>
      </c>
      <c r="H18" s="17">
        <v>759807.41000000003</v>
      </c>
    </row>
    <row r="19" spans="1:8" ht="15">
      <c r="A19" s="12">
        <v>11</v>
      </c>
      <c r="B19" s="16">
        <v>442022.48000000004</v>
      </c>
      <c r="C19" s="1">
        <v>84079.440000000002</v>
      </c>
      <c r="D19" s="1">
        <v>121315.73999999999</v>
      </c>
      <c r="E19" s="16">
        <v>647417.66000000003</v>
      </c>
      <c r="F19" s="16">
        <v>108358.48</v>
      </c>
      <c r="G19" s="16">
        <v>108358.48</v>
      </c>
      <c r="H19" s="17">
        <v>755776.14000000001</v>
      </c>
    </row>
    <row r="20" spans="1:8" ht="15">
      <c r="A20" s="12">
        <v>12</v>
      </c>
      <c r="B20" s="16">
        <v>444742.23999999999</v>
      </c>
      <c r="C20" s="1">
        <v>85112.369999999995</v>
      </c>
      <c r="D20" s="1">
        <v>123007.03</v>
      </c>
      <c r="E20" s="16">
        <v>652861.64000000001</v>
      </c>
      <c r="F20" s="16"/>
      <c r="G20" s="16"/>
      <c r="H20" s="17">
        <v>652861.64000000001</v>
      </c>
    </row>
    <row r="21" spans="1:8" ht="15">
      <c r="A21" s="34" t="s">
        <v>68</v>
      </c>
      <c r="B21" s="31">
        <v>5497946.6400000006</v>
      </c>
      <c r="C21" s="32">
        <v>1030485.6900000001</v>
      </c>
      <c r="D21" s="32">
        <v>1476598.5600000001</v>
      </c>
      <c r="E21" s="31">
        <v>8005030.8899999997</v>
      </c>
      <c r="F21" s="31">
        <v>1265350.71</v>
      </c>
      <c r="G21" s="31">
        <v>1265350.71</v>
      </c>
      <c r="H21" s="33">
        <v>9270381.6000000015</v>
      </c>
    </row>
  </sheetData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dimension ref="A1:S98"/>
  <sheetViews>
    <sheetView workbookViewId="0" topLeftCell="A1">
      <pane ySplit="2" topLeftCell="A80" activePane="bottomLeft" state="frozen"/>
      <selection pane="topLeft" activeCell="A1" sqref="A1"/>
      <selection pane="bottomLeft" activeCell="H101" sqref="H101"/>
    </sheetView>
  </sheetViews>
  <sheetFormatPr defaultColWidth="10.2842857142857" defaultRowHeight="15"/>
  <cols>
    <col min="1" max="1" width="14.8571428571429" customWidth="1"/>
    <col min="2" max="2" width="7.14285714285714" bestFit="1" customWidth="1"/>
    <col min="3" max="3" width="5.42857142857143" bestFit="1" customWidth="1"/>
    <col min="4" max="4" width="14.8571428571429" style="5" bestFit="1" customWidth="1"/>
    <col min="5" max="5" width="9" bestFit="1" customWidth="1"/>
    <col min="6" max="6" width="10" bestFit="1" customWidth="1"/>
    <col min="7" max="7" width="42.2857142857143" bestFit="1" customWidth="1"/>
    <col min="8" max="8" width="26.8571428571429" customWidth="1"/>
    <col min="9" max="9" width="11.2857142857143" customWidth="1"/>
    <col min="10" max="10" width="10.5714285714286" customWidth="1"/>
    <col min="11" max="11" width="13" customWidth="1"/>
    <col min="12" max="12" width="29.1428571428571" customWidth="1"/>
    <col min="13" max="13" width="11.1428571428571" customWidth="1"/>
    <col min="14" max="14" width="7.71428571428571" customWidth="1"/>
    <col min="15" max="15" width="10.7142857142857" customWidth="1"/>
    <col min="16" max="16" width="6.14285714285714" customWidth="1"/>
    <col min="17" max="17" width="11.2857142857143" customWidth="1"/>
    <col min="18" max="18" width="11.4285714285714" customWidth="1"/>
    <col min="19" max="19" width="5.57142857142857" bestFit="1" customWidth="1"/>
  </cols>
  <sheetData>
    <row r="1" spans="1:2" ht="16.5" thickTop="1" thickBot="1">
      <c r="A1" s="3" t="s">
        <v>0</v>
      </c>
      <c r="B1" s="1" t="s">
        <v>1</v>
      </c>
    </row>
    <row r="2" spans="1:19" ht="16.5" thickTop="1" thickBot="1">
      <c r="A2" s="3" t="s">
        <v>2</v>
      </c>
      <c r="B2" s="3" t="s">
        <v>3</v>
      </c>
      <c r="C2" s="3" t="s">
        <v>4</v>
      </c>
      <c r="D2" s="6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 ht="15.75" thickTop="1">
      <c r="A3" s="2">
        <v>44225</v>
      </c>
      <c r="B3">
        <v>1</v>
      </c>
      <c r="C3">
        <v>2021</v>
      </c>
      <c r="D3" s="5">
        <v>93147.320000000007</v>
      </c>
      <c r="E3" s="4" t="s">
        <v>1215</v>
      </c>
      <c r="F3" s="4" t="s">
        <v>51</v>
      </c>
      <c r="G3" s="4" t="s">
        <v>52</v>
      </c>
      <c r="H3" s="4" t="s">
        <v>1216</v>
      </c>
      <c r="I3" s="4" t="s">
        <v>1217</v>
      </c>
      <c r="J3" s="4" t="s">
        <v>31</v>
      </c>
      <c r="K3" s="4" t="s">
        <v>199</v>
      </c>
      <c r="L3" s="4" t="s">
        <v>22</v>
      </c>
      <c r="M3" s="4" t="s">
        <v>23</v>
      </c>
      <c r="N3" s="4" t="s">
        <v>32</v>
      </c>
      <c r="O3" s="4" t="s">
        <v>34</v>
      </c>
      <c r="P3" s="4" t="s">
        <v>49</v>
      </c>
      <c r="Q3" s="4" t="s">
        <v>65</v>
      </c>
      <c r="R3" s="4" t="s">
        <v>28</v>
      </c>
      <c r="S3" s="4" t="s">
        <v>22</v>
      </c>
    </row>
    <row r="4" spans="1:19" ht="15">
      <c r="A4" s="2">
        <v>44225</v>
      </c>
      <c r="B4">
        <v>1</v>
      </c>
      <c r="C4">
        <v>2021</v>
      </c>
      <c r="D4" s="5">
        <v>20988.900000000001</v>
      </c>
      <c r="E4" s="4" t="s">
        <v>1215</v>
      </c>
      <c r="F4" s="4" t="s">
        <v>51</v>
      </c>
      <c r="G4" s="4" t="s">
        <v>52</v>
      </c>
      <c r="H4" s="4" t="s">
        <v>1216</v>
      </c>
      <c r="I4" s="4" t="s">
        <v>1217</v>
      </c>
      <c r="J4" s="4" t="s">
        <v>21</v>
      </c>
      <c r="K4" s="4" t="s">
        <v>185</v>
      </c>
      <c r="L4" s="4" t="s">
        <v>22</v>
      </c>
      <c r="M4" s="4" t="s">
        <v>23</v>
      </c>
      <c r="N4" s="4" t="s">
        <v>24</v>
      </c>
      <c r="O4" s="4" t="s">
        <v>25</v>
      </c>
      <c r="P4" s="4" t="s">
        <v>64</v>
      </c>
      <c r="Q4" s="4" t="s">
        <v>40</v>
      </c>
      <c r="R4" s="4" t="s">
        <v>28</v>
      </c>
      <c r="S4" s="4" t="s">
        <v>22</v>
      </c>
    </row>
    <row r="5" spans="1:19" ht="15">
      <c r="A5" s="2">
        <v>44225</v>
      </c>
      <c r="B5">
        <v>1</v>
      </c>
      <c r="C5">
        <v>2021</v>
      </c>
      <c r="D5" s="5">
        <v>383542.41999999998</v>
      </c>
      <c r="E5" s="4" t="s">
        <v>1215</v>
      </c>
      <c r="F5" s="4" t="s">
        <v>51</v>
      </c>
      <c r="G5" s="4" t="s">
        <v>52</v>
      </c>
      <c r="H5" s="4" t="s">
        <v>1216</v>
      </c>
      <c r="I5" s="4" t="s">
        <v>1217</v>
      </c>
      <c r="J5" s="4" t="s">
        <v>31</v>
      </c>
      <c r="K5" s="4" t="s">
        <v>199</v>
      </c>
      <c r="L5" s="4" t="s">
        <v>22</v>
      </c>
      <c r="M5" s="4" t="s">
        <v>23</v>
      </c>
      <c r="N5" s="4" t="s">
        <v>32</v>
      </c>
      <c r="O5" s="4" t="s">
        <v>28</v>
      </c>
      <c r="P5" s="4" t="s">
        <v>61</v>
      </c>
      <c r="Q5" s="4" t="s">
        <v>50</v>
      </c>
      <c r="R5" s="4" t="s">
        <v>28</v>
      </c>
      <c r="S5" s="4" t="s">
        <v>22</v>
      </c>
    </row>
    <row r="6" spans="1:19" ht="15">
      <c r="A6" s="2">
        <v>44225</v>
      </c>
      <c r="B6">
        <v>1</v>
      </c>
      <c r="C6">
        <v>2021</v>
      </c>
      <c r="D6" s="5">
        <v>30835.25</v>
      </c>
      <c r="E6" s="4" t="s">
        <v>1215</v>
      </c>
      <c r="F6" s="4" t="s">
        <v>51</v>
      </c>
      <c r="G6" s="4" t="s">
        <v>52</v>
      </c>
      <c r="H6" s="4" t="s">
        <v>1216</v>
      </c>
      <c r="I6" s="4" t="s">
        <v>1217</v>
      </c>
      <c r="J6" s="4" t="s">
        <v>21</v>
      </c>
      <c r="K6" s="4" t="s">
        <v>185</v>
      </c>
      <c r="L6" s="4" t="s">
        <v>22</v>
      </c>
      <c r="M6" s="4" t="s">
        <v>23</v>
      </c>
      <c r="N6" s="4" t="s">
        <v>24</v>
      </c>
      <c r="O6" s="4" t="s">
        <v>25</v>
      </c>
      <c r="P6" s="4" t="s">
        <v>49</v>
      </c>
      <c r="Q6" s="4" t="s">
        <v>40</v>
      </c>
      <c r="R6" s="4" t="s">
        <v>28</v>
      </c>
      <c r="S6" s="4" t="s">
        <v>22</v>
      </c>
    </row>
    <row r="7" spans="1:19" ht="15">
      <c r="A7" s="2">
        <v>44225</v>
      </c>
      <c r="B7">
        <v>1</v>
      </c>
      <c r="C7">
        <v>2021</v>
      </c>
      <c r="D7" s="5">
        <v>66810.470000000001</v>
      </c>
      <c r="E7" s="4" t="s">
        <v>1215</v>
      </c>
      <c r="F7" s="4" t="s">
        <v>51</v>
      </c>
      <c r="G7" s="4" t="s">
        <v>52</v>
      </c>
      <c r="H7" s="4" t="s">
        <v>1216</v>
      </c>
      <c r="I7" s="4" t="s">
        <v>1217</v>
      </c>
      <c r="J7" s="4" t="s">
        <v>31</v>
      </c>
      <c r="K7" s="4" t="s">
        <v>199</v>
      </c>
      <c r="L7" s="4" t="s">
        <v>22</v>
      </c>
      <c r="M7" s="4" t="s">
        <v>23</v>
      </c>
      <c r="N7" s="4" t="s">
        <v>32</v>
      </c>
      <c r="O7" s="4" t="s">
        <v>34</v>
      </c>
      <c r="P7" s="4" t="s">
        <v>64</v>
      </c>
      <c r="Q7" s="4" t="s">
        <v>65</v>
      </c>
      <c r="R7" s="4" t="s">
        <v>28</v>
      </c>
      <c r="S7" s="4" t="s">
        <v>22</v>
      </c>
    </row>
    <row r="8" spans="1:19" ht="15">
      <c r="A8" s="2">
        <v>44225</v>
      </c>
      <c r="B8">
        <v>1</v>
      </c>
      <c r="C8">
        <v>2021</v>
      </c>
      <c r="D8" s="5">
        <v>98000.490000000005</v>
      </c>
      <c r="E8" s="4" t="s">
        <v>1215</v>
      </c>
      <c r="F8" s="4" t="s">
        <v>51</v>
      </c>
      <c r="G8" s="4" t="s">
        <v>52</v>
      </c>
      <c r="H8" s="4" t="s">
        <v>1216</v>
      </c>
      <c r="I8" s="4" t="s">
        <v>1217</v>
      </c>
      <c r="J8" s="4" t="s">
        <v>21</v>
      </c>
      <c r="K8" s="4" t="s">
        <v>185</v>
      </c>
      <c r="L8" s="4" t="s">
        <v>22</v>
      </c>
      <c r="M8" s="4" t="s">
        <v>23</v>
      </c>
      <c r="N8" s="4" t="s">
        <v>24</v>
      </c>
      <c r="O8" s="4" t="s">
        <v>25</v>
      </c>
      <c r="P8" s="4" t="s">
        <v>61</v>
      </c>
      <c r="Q8" s="4" t="s">
        <v>40</v>
      </c>
      <c r="R8" s="4" t="s">
        <v>28</v>
      </c>
      <c r="S8" s="4" t="s">
        <v>22</v>
      </c>
    </row>
    <row r="9" spans="1:19" ht="15">
      <c r="A9" s="2">
        <v>44253</v>
      </c>
      <c r="B9">
        <v>2</v>
      </c>
      <c r="C9">
        <v>2021</v>
      </c>
      <c r="D9" s="5">
        <v>21412.080000000002</v>
      </c>
      <c r="E9" s="4" t="s">
        <v>1218</v>
      </c>
      <c r="F9" s="4" t="s">
        <v>51</v>
      </c>
      <c r="G9" s="4" t="s">
        <v>52</v>
      </c>
      <c r="H9" s="4" t="s">
        <v>1219</v>
      </c>
      <c r="I9" s="4" t="s">
        <v>1220</v>
      </c>
      <c r="J9" s="4" t="s">
        <v>21</v>
      </c>
      <c r="K9" s="4" t="s">
        <v>134</v>
      </c>
      <c r="L9" s="4" t="s">
        <v>22</v>
      </c>
      <c r="M9" s="4" t="s">
        <v>23</v>
      </c>
      <c r="N9" s="4" t="s">
        <v>24</v>
      </c>
      <c r="O9" s="4" t="s">
        <v>25</v>
      </c>
      <c r="P9" s="4" t="s">
        <v>64</v>
      </c>
      <c r="Q9" s="4" t="s">
        <v>40</v>
      </c>
      <c r="R9" s="4" t="s">
        <v>28</v>
      </c>
      <c r="S9" s="4" t="s">
        <v>22</v>
      </c>
    </row>
    <row r="10" spans="1:19" ht="15">
      <c r="A10" s="2">
        <v>44253</v>
      </c>
      <c r="B10">
        <v>2</v>
      </c>
      <c r="C10">
        <v>2021</v>
      </c>
      <c r="D10" s="5">
        <v>98117.550000000003</v>
      </c>
      <c r="E10" s="4" t="s">
        <v>1218</v>
      </c>
      <c r="F10" s="4" t="s">
        <v>51</v>
      </c>
      <c r="G10" s="4" t="s">
        <v>52</v>
      </c>
      <c r="H10" s="4" t="s">
        <v>1219</v>
      </c>
      <c r="I10" s="4" t="s">
        <v>1220</v>
      </c>
      <c r="J10" s="4" t="s">
        <v>21</v>
      </c>
      <c r="K10" s="4" t="s">
        <v>134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61</v>
      </c>
      <c r="Q10" s="4" t="s">
        <v>40</v>
      </c>
      <c r="R10" s="4" t="s">
        <v>28</v>
      </c>
      <c r="S10" s="4" t="s">
        <v>22</v>
      </c>
    </row>
    <row r="11" spans="1:19" ht="15">
      <c r="A11" s="2">
        <v>44253</v>
      </c>
      <c r="B11">
        <v>2</v>
      </c>
      <c r="C11">
        <v>2021</v>
      </c>
      <c r="D11" s="5">
        <v>66483.949999999997</v>
      </c>
      <c r="E11" s="4" t="s">
        <v>1218</v>
      </c>
      <c r="F11" s="4" t="s">
        <v>51</v>
      </c>
      <c r="G11" s="4" t="s">
        <v>52</v>
      </c>
      <c r="H11" s="4" t="s">
        <v>1219</v>
      </c>
      <c r="I11" s="4" t="s">
        <v>1220</v>
      </c>
      <c r="J11" s="4" t="s">
        <v>31</v>
      </c>
      <c r="K11" s="4" t="s">
        <v>148</v>
      </c>
      <c r="L11" s="4" t="s">
        <v>22</v>
      </c>
      <c r="M11" s="4" t="s">
        <v>23</v>
      </c>
      <c r="N11" s="4" t="s">
        <v>32</v>
      </c>
      <c r="O11" s="4" t="s">
        <v>34</v>
      </c>
      <c r="P11" s="4" t="s">
        <v>64</v>
      </c>
      <c r="Q11" s="4" t="s">
        <v>65</v>
      </c>
      <c r="R11" s="4" t="s">
        <v>28</v>
      </c>
      <c r="S11" s="4" t="s">
        <v>22</v>
      </c>
    </row>
    <row r="12" spans="1:19" ht="15">
      <c r="A12" s="2">
        <v>44253</v>
      </c>
      <c r="B12">
        <v>2</v>
      </c>
      <c r="C12">
        <v>2021</v>
      </c>
      <c r="D12" s="5">
        <v>92723.589999999997</v>
      </c>
      <c r="E12" s="4" t="s">
        <v>1218</v>
      </c>
      <c r="F12" s="4" t="s">
        <v>51</v>
      </c>
      <c r="G12" s="4" t="s">
        <v>52</v>
      </c>
      <c r="H12" s="4" t="s">
        <v>1219</v>
      </c>
      <c r="I12" s="4" t="s">
        <v>1220</v>
      </c>
      <c r="J12" s="4" t="s">
        <v>31</v>
      </c>
      <c r="K12" s="4" t="s">
        <v>148</v>
      </c>
      <c r="L12" s="4" t="s">
        <v>22</v>
      </c>
      <c r="M12" s="4" t="s">
        <v>23</v>
      </c>
      <c r="N12" s="4" t="s">
        <v>32</v>
      </c>
      <c r="O12" s="4" t="s">
        <v>34</v>
      </c>
      <c r="P12" s="4" t="s">
        <v>49</v>
      </c>
      <c r="Q12" s="4" t="s">
        <v>65</v>
      </c>
      <c r="R12" s="4" t="s">
        <v>28</v>
      </c>
      <c r="S12" s="4" t="s">
        <v>22</v>
      </c>
    </row>
    <row r="13" spans="1:19" ht="15">
      <c r="A13" s="2">
        <v>44253</v>
      </c>
      <c r="B13">
        <v>2</v>
      </c>
      <c r="C13">
        <v>2021</v>
      </c>
      <c r="D13" s="5">
        <v>32204.830000000002</v>
      </c>
      <c r="E13" s="4" t="s">
        <v>1218</v>
      </c>
      <c r="F13" s="4" t="s">
        <v>51</v>
      </c>
      <c r="G13" s="4" t="s">
        <v>52</v>
      </c>
      <c r="H13" s="4" t="s">
        <v>1219</v>
      </c>
      <c r="I13" s="4" t="s">
        <v>1220</v>
      </c>
      <c r="J13" s="4" t="s">
        <v>21</v>
      </c>
      <c r="K13" s="4" t="s">
        <v>134</v>
      </c>
      <c r="L13" s="4" t="s">
        <v>22</v>
      </c>
      <c r="M13" s="4" t="s">
        <v>23</v>
      </c>
      <c r="N13" s="4" t="s">
        <v>24</v>
      </c>
      <c r="O13" s="4" t="s">
        <v>25</v>
      </c>
      <c r="P13" s="4" t="s">
        <v>49</v>
      </c>
      <c r="Q13" s="4" t="s">
        <v>40</v>
      </c>
      <c r="R13" s="4" t="s">
        <v>28</v>
      </c>
      <c r="S13" s="4" t="s">
        <v>22</v>
      </c>
    </row>
    <row r="14" spans="1:19" ht="15">
      <c r="A14" s="2">
        <v>44253</v>
      </c>
      <c r="B14">
        <v>2</v>
      </c>
      <c r="C14">
        <v>2021</v>
      </c>
      <c r="D14" s="5">
        <v>380212.03000000003</v>
      </c>
      <c r="E14" s="4" t="s">
        <v>1218</v>
      </c>
      <c r="F14" s="4" t="s">
        <v>51</v>
      </c>
      <c r="G14" s="4" t="s">
        <v>52</v>
      </c>
      <c r="H14" s="4" t="s">
        <v>1219</v>
      </c>
      <c r="I14" s="4" t="s">
        <v>1220</v>
      </c>
      <c r="J14" s="4" t="s">
        <v>31</v>
      </c>
      <c r="K14" s="4" t="s">
        <v>148</v>
      </c>
      <c r="L14" s="4" t="s">
        <v>22</v>
      </c>
      <c r="M14" s="4" t="s">
        <v>23</v>
      </c>
      <c r="N14" s="4" t="s">
        <v>32</v>
      </c>
      <c r="O14" s="4" t="s">
        <v>28</v>
      </c>
      <c r="P14" s="4" t="s">
        <v>61</v>
      </c>
      <c r="Q14" s="4" t="s">
        <v>50</v>
      </c>
      <c r="R14" s="4" t="s">
        <v>28</v>
      </c>
      <c r="S14" s="4" t="s">
        <v>22</v>
      </c>
    </row>
    <row r="15" spans="1:19" ht="15">
      <c r="A15" s="2">
        <v>44224</v>
      </c>
      <c r="B15">
        <v>1</v>
      </c>
      <c r="C15">
        <v>2021</v>
      </c>
      <c r="D15" s="5">
        <v>104614.85000000001</v>
      </c>
      <c r="E15" s="4" t="s">
        <v>1525</v>
      </c>
      <c r="F15" s="4" t="s">
        <v>56</v>
      </c>
      <c r="G15" s="4" t="s">
        <v>57</v>
      </c>
      <c r="H15" s="4" t="s">
        <v>1526</v>
      </c>
      <c r="I15" s="4" t="s">
        <v>1527</v>
      </c>
      <c r="J15" s="4" t="s">
        <v>31</v>
      </c>
      <c r="K15" s="4" t="s">
        <v>116</v>
      </c>
      <c r="L15" s="4" t="s">
        <v>22</v>
      </c>
      <c r="M15" s="4" t="s">
        <v>23</v>
      </c>
      <c r="N15" s="4" t="s">
        <v>32</v>
      </c>
      <c r="O15" s="4" t="s">
        <v>28</v>
      </c>
      <c r="P15" s="4" t="s">
        <v>58</v>
      </c>
      <c r="Q15" s="4" t="s">
        <v>27</v>
      </c>
      <c r="R15" s="4" t="s">
        <v>28</v>
      </c>
      <c r="S15" s="4" t="s">
        <v>22</v>
      </c>
    </row>
    <row r="16" spans="1:19" ht="15">
      <c r="A16" s="2">
        <v>44224</v>
      </c>
      <c r="B16">
        <v>1</v>
      </c>
      <c r="C16">
        <v>2021</v>
      </c>
      <c r="D16" s="5">
        <v>12545.68</v>
      </c>
      <c r="E16" s="4" t="s">
        <v>1525</v>
      </c>
      <c r="F16" s="4" t="s">
        <v>56</v>
      </c>
      <c r="G16" s="4" t="s">
        <v>57</v>
      </c>
      <c r="H16" s="4" t="s">
        <v>1526</v>
      </c>
      <c r="I16" s="4" t="s">
        <v>1527</v>
      </c>
      <c r="J16" s="4" t="s">
        <v>21</v>
      </c>
      <c r="K16" s="4" t="s">
        <v>125</v>
      </c>
      <c r="L16" s="4" t="s">
        <v>22</v>
      </c>
      <c r="M16" s="4" t="s">
        <v>23</v>
      </c>
      <c r="N16" s="4" t="s">
        <v>24</v>
      </c>
      <c r="O16" s="4" t="s">
        <v>25</v>
      </c>
      <c r="P16" s="4" t="s">
        <v>58</v>
      </c>
      <c r="Q16" s="4" t="s">
        <v>40</v>
      </c>
      <c r="R16" s="4" t="s">
        <v>28</v>
      </c>
      <c r="S16" s="4" t="s">
        <v>22</v>
      </c>
    </row>
    <row r="17" spans="1:19" ht="15">
      <c r="A17" s="2">
        <v>44252</v>
      </c>
      <c r="B17">
        <v>2</v>
      </c>
      <c r="C17">
        <v>2021</v>
      </c>
      <c r="D17" s="5">
        <v>12545.68</v>
      </c>
      <c r="E17" s="4" t="s">
        <v>1528</v>
      </c>
      <c r="F17" s="4" t="s">
        <v>56</v>
      </c>
      <c r="G17" s="4" t="s">
        <v>57</v>
      </c>
      <c r="H17" s="4" t="s">
        <v>1529</v>
      </c>
      <c r="I17" s="4" t="s">
        <v>1530</v>
      </c>
      <c r="J17" s="4" t="s">
        <v>21</v>
      </c>
      <c r="K17" s="4" t="s">
        <v>226</v>
      </c>
      <c r="L17" s="4" t="s">
        <v>22</v>
      </c>
      <c r="M17" s="4" t="s">
        <v>23</v>
      </c>
      <c r="N17" s="4" t="s">
        <v>24</v>
      </c>
      <c r="O17" s="4" t="s">
        <v>25</v>
      </c>
      <c r="P17" s="4" t="s">
        <v>58</v>
      </c>
      <c r="Q17" s="4" t="s">
        <v>40</v>
      </c>
      <c r="R17" s="4" t="s">
        <v>28</v>
      </c>
      <c r="S17" s="4" t="s">
        <v>22</v>
      </c>
    </row>
    <row r="18" spans="1:19" ht="15">
      <c r="A18" s="2">
        <v>44252</v>
      </c>
      <c r="B18">
        <v>2</v>
      </c>
      <c r="C18">
        <v>2021</v>
      </c>
      <c r="D18" s="5">
        <v>105390.41</v>
      </c>
      <c r="E18" s="4" t="s">
        <v>1528</v>
      </c>
      <c r="F18" s="4" t="s">
        <v>56</v>
      </c>
      <c r="G18" s="4" t="s">
        <v>57</v>
      </c>
      <c r="H18" s="4" t="s">
        <v>1529</v>
      </c>
      <c r="I18" s="4" t="s">
        <v>1530</v>
      </c>
      <c r="J18" s="4" t="s">
        <v>31</v>
      </c>
      <c r="K18" s="4" t="s">
        <v>218</v>
      </c>
      <c r="L18" s="4" t="s">
        <v>22</v>
      </c>
      <c r="M18" s="4" t="s">
        <v>23</v>
      </c>
      <c r="N18" s="4" t="s">
        <v>32</v>
      </c>
      <c r="O18" s="4" t="s">
        <v>28</v>
      </c>
      <c r="P18" s="4" t="s">
        <v>58</v>
      </c>
      <c r="Q18" s="4" t="s">
        <v>27</v>
      </c>
      <c r="R18" s="4" t="s">
        <v>28</v>
      </c>
      <c r="S18" s="4" t="s">
        <v>22</v>
      </c>
    </row>
    <row r="19" spans="1:19" ht="15">
      <c r="A19" s="2">
        <v>44259</v>
      </c>
      <c r="B19">
        <v>3</v>
      </c>
      <c r="C19">
        <v>2021</v>
      </c>
      <c r="D19" s="5">
        <v>525</v>
      </c>
      <c r="E19" s="4" t="s">
        <v>1531</v>
      </c>
      <c r="F19" s="4" t="s">
        <v>51</v>
      </c>
      <c r="G19" s="4" t="s">
        <v>52</v>
      </c>
      <c r="H19" s="4" t="s">
        <v>1532</v>
      </c>
      <c r="I19" s="4" t="s">
        <v>1533</v>
      </c>
      <c r="J19" s="4" t="s">
        <v>21</v>
      </c>
      <c r="K19" s="4" t="s">
        <v>1534</v>
      </c>
      <c r="L19" s="4" t="s">
        <v>22</v>
      </c>
      <c r="M19" s="4" t="s">
        <v>23</v>
      </c>
      <c r="N19" s="4" t="s">
        <v>24</v>
      </c>
      <c r="O19" s="4" t="s">
        <v>25</v>
      </c>
      <c r="P19" s="4" t="s">
        <v>49</v>
      </c>
      <c r="Q19" s="4" t="s">
        <v>40</v>
      </c>
      <c r="R19" s="4" t="s">
        <v>28</v>
      </c>
      <c r="S19" s="4" t="s">
        <v>22</v>
      </c>
    </row>
    <row r="20" spans="1:19" ht="15">
      <c r="A20" s="2">
        <v>44279</v>
      </c>
      <c r="B20">
        <v>3</v>
      </c>
      <c r="C20">
        <v>2021</v>
      </c>
      <c r="D20" s="5">
        <v>105390.41</v>
      </c>
      <c r="E20" s="4" t="s">
        <v>1535</v>
      </c>
      <c r="F20" s="4" t="s">
        <v>56</v>
      </c>
      <c r="G20" s="4" t="s">
        <v>57</v>
      </c>
      <c r="H20" s="4" t="s">
        <v>1536</v>
      </c>
      <c r="I20" s="4" t="s">
        <v>1537</v>
      </c>
      <c r="J20" s="4" t="s">
        <v>31</v>
      </c>
      <c r="K20" s="4" t="s">
        <v>1245</v>
      </c>
      <c r="L20" s="4" t="s">
        <v>22</v>
      </c>
      <c r="M20" s="4" t="s">
        <v>23</v>
      </c>
      <c r="N20" s="4" t="s">
        <v>32</v>
      </c>
      <c r="O20" s="4" t="s">
        <v>28</v>
      </c>
      <c r="P20" s="4" t="s">
        <v>58</v>
      </c>
      <c r="Q20" s="4" t="s">
        <v>27</v>
      </c>
      <c r="R20" s="4" t="s">
        <v>28</v>
      </c>
      <c r="S20" s="4" t="s">
        <v>22</v>
      </c>
    </row>
    <row r="21" spans="1:19" ht="15">
      <c r="A21" s="2">
        <v>44279</v>
      </c>
      <c r="B21">
        <v>3</v>
      </c>
      <c r="C21">
        <v>2021</v>
      </c>
      <c r="D21" s="5">
        <v>12545.68</v>
      </c>
      <c r="E21" s="4" t="s">
        <v>1535</v>
      </c>
      <c r="F21" s="4" t="s">
        <v>56</v>
      </c>
      <c r="G21" s="4" t="s">
        <v>57</v>
      </c>
      <c r="H21" s="4" t="s">
        <v>1536</v>
      </c>
      <c r="I21" s="4" t="s">
        <v>1537</v>
      </c>
      <c r="J21" s="4" t="s">
        <v>21</v>
      </c>
      <c r="K21" s="4" t="s">
        <v>1257</v>
      </c>
      <c r="L21" s="4" t="s">
        <v>22</v>
      </c>
      <c r="M21" s="4" t="s">
        <v>23</v>
      </c>
      <c r="N21" s="4" t="s">
        <v>24</v>
      </c>
      <c r="O21" s="4" t="s">
        <v>25</v>
      </c>
      <c r="P21" s="4" t="s">
        <v>58</v>
      </c>
      <c r="Q21" s="4" t="s">
        <v>40</v>
      </c>
      <c r="R21" s="4" t="s">
        <v>28</v>
      </c>
      <c r="S21" s="4" t="s">
        <v>22</v>
      </c>
    </row>
    <row r="22" spans="1:19" ht="15">
      <c r="A22" s="2">
        <v>44259</v>
      </c>
      <c r="B22">
        <v>3</v>
      </c>
      <c r="C22">
        <v>2021</v>
      </c>
      <c r="D22" s="5">
        <v>3150</v>
      </c>
      <c r="E22" s="4" t="s">
        <v>1531</v>
      </c>
      <c r="F22" s="4" t="s">
        <v>51</v>
      </c>
      <c r="G22" s="4" t="s">
        <v>52</v>
      </c>
      <c r="H22" s="4" t="s">
        <v>1532</v>
      </c>
      <c r="I22" s="4" t="s">
        <v>1533</v>
      </c>
      <c r="J22" s="4" t="s">
        <v>31</v>
      </c>
      <c r="K22" s="4" t="s">
        <v>1538</v>
      </c>
      <c r="L22" s="4" t="s">
        <v>22</v>
      </c>
      <c r="M22" s="4" t="s">
        <v>23</v>
      </c>
      <c r="N22" s="4" t="s">
        <v>32</v>
      </c>
      <c r="O22" s="4" t="s">
        <v>34</v>
      </c>
      <c r="P22" s="4" t="s">
        <v>49</v>
      </c>
      <c r="Q22" s="4" t="s">
        <v>65</v>
      </c>
      <c r="R22" s="4" t="s">
        <v>28</v>
      </c>
      <c r="S22" s="4" t="s">
        <v>22</v>
      </c>
    </row>
    <row r="23" spans="1:19" ht="15">
      <c r="A23" s="2">
        <v>44280</v>
      </c>
      <c r="B23">
        <v>3</v>
      </c>
      <c r="C23">
        <v>2021</v>
      </c>
      <c r="D23" s="5">
        <v>94102.139999999999</v>
      </c>
      <c r="E23" s="4" t="s">
        <v>1258</v>
      </c>
      <c r="F23" s="4" t="s">
        <v>51</v>
      </c>
      <c r="G23" s="4" t="s">
        <v>52</v>
      </c>
      <c r="H23" s="4" t="s">
        <v>1259</v>
      </c>
      <c r="I23" s="4" t="s">
        <v>1260</v>
      </c>
      <c r="J23" s="4" t="s">
        <v>21</v>
      </c>
      <c r="K23" s="4" t="s">
        <v>388</v>
      </c>
      <c r="L23" s="4" t="s">
        <v>22</v>
      </c>
      <c r="M23" s="4" t="s">
        <v>23</v>
      </c>
      <c r="N23" s="4" t="s">
        <v>24</v>
      </c>
      <c r="O23" s="4" t="s">
        <v>25</v>
      </c>
      <c r="P23" s="4" t="s">
        <v>61</v>
      </c>
      <c r="Q23" s="4" t="s">
        <v>40</v>
      </c>
      <c r="R23" s="4" t="s">
        <v>28</v>
      </c>
      <c r="S23" s="4" t="s">
        <v>22</v>
      </c>
    </row>
    <row r="24" spans="1:19" ht="15">
      <c r="A24" s="2">
        <v>44280</v>
      </c>
      <c r="B24">
        <v>3</v>
      </c>
      <c r="C24">
        <v>2021</v>
      </c>
      <c r="D24" s="5">
        <v>20934.639999999999</v>
      </c>
      <c r="E24" s="4" t="s">
        <v>1258</v>
      </c>
      <c r="F24" s="4" t="s">
        <v>51</v>
      </c>
      <c r="G24" s="4" t="s">
        <v>52</v>
      </c>
      <c r="H24" s="4" t="s">
        <v>1259</v>
      </c>
      <c r="I24" s="4" t="s">
        <v>1260</v>
      </c>
      <c r="J24" s="4" t="s">
        <v>21</v>
      </c>
      <c r="K24" s="4" t="s">
        <v>388</v>
      </c>
      <c r="L24" s="4" t="s">
        <v>22</v>
      </c>
      <c r="M24" s="4" t="s">
        <v>23</v>
      </c>
      <c r="N24" s="4" t="s">
        <v>24</v>
      </c>
      <c r="O24" s="4" t="s">
        <v>25</v>
      </c>
      <c r="P24" s="4" t="s">
        <v>64</v>
      </c>
      <c r="Q24" s="4" t="s">
        <v>40</v>
      </c>
      <c r="R24" s="4" t="s">
        <v>28</v>
      </c>
      <c r="S24" s="4" t="s">
        <v>22</v>
      </c>
    </row>
    <row r="25" spans="1:19" ht="15">
      <c r="A25" s="2">
        <v>44280</v>
      </c>
      <c r="B25">
        <v>3</v>
      </c>
      <c r="C25">
        <v>2021</v>
      </c>
      <c r="D25" s="5">
        <v>372052.83000000002</v>
      </c>
      <c r="E25" s="4" t="s">
        <v>1258</v>
      </c>
      <c r="F25" s="4" t="s">
        <v>51</v>
      </c>
      <c r="G25" s="4" t="s">
        <v>52</v>
      </c>
      <c r="H25" s="4" t="s">
        <v>1259</v>
      </c>
      <c r="I25" s="4" t="s">
        <v>1260</v>
      </c>
      <c r="J25" s="4" t="s">
        <v>31</v>
      </c>
      <c r="K25" s="4" t="s">
        <v>372</v>
      </c>
      <c r="L25" s="4" t="s">
        <v>22</v>
      </c>
      <c r="M25" s="4" t="s">
        <v>23</v>
      </c>
      <c r="N25" s="4" t="s">
        <v>32</v>
      </c>
      <c r="O25" s="4" t="s">
        <v>28</v>
      </c>
      <c r="P25" s="4" t="s">
        <v>61</v>
      </c>
      <c r="Q25" s="4" t="s">
        <v>50</v>
      </c>
      <c r="R25" s="4" t="s">
        <v>28</v>
      </c>
      <c r="S25" s="4" t="s">
        <v>22</v>
      </c>
    </row>
    <row r="26" spans="1:19" ht="15">
      <c r="A26" s="2">
        <v>44280</v>
      </c>
      <c r="B26">
        <v>3</v>
      </c>
      <c r="C26">
        <v>2021</v>
      </c>
      <c r="D26" s="5">
        <v>91537.470000000001</v>
      </c>
      <c r="E26" s="4" t="s">
        <v>1258</v>
      </c>
      <c r="F26" s="4" t="s">
        <v>51</v>
      </c>
      <c r="G26" s="4" t="s">
        <v>52</v>
      </c>
      <c r="H26" s="4" t="s">
        <v>1259</v>
      </c>
      <c r="I26" s="4" t="s">
        <v>1260</v>
      </c>
      <c r="J26" s="4" t="s">
        <v>31</v>
      </c>
      <c r="K26" s="4" t="s">
        <v>372</v>
      </c>
      <c r="L26" s="4" t="s">
        <v>22</v>
      </c>
      <c r="M26" s="4" t="s">
        <v>23</v>
      </c>
      <c r="N26" s="4" t="s">
        <v>32</v>
      </c>
      <c r="O26" s="4" t="s">
        <v>34</v>
      </c>
      <c r="P26" s="4" t="s">
        <v>49</v>
      </c>
      <c r="Q26" s="4" t="s">
        <v>65</v>
      </c>
      <c r="R26" s="4" t="s">
        <v>28</v>
      </c>
      <c r="S26" s="4" t="s">
        <v>22</v>
      </c>
    </row>
    <row r="27" spans="1:19" ht="15">
      <c r="A27" s="2">
        <v>44280</v>
      </c>
      <c r="B27">
        <v>3</v>
      </c>
      <c r="C27">
        <v>2021</v>
      </c>
      <c r="D27" s="5">
        <v>65814.339999999997</v>
      </c>
      <c r="E27" s="4" t="s">
        <v>1258</v>
      </c>
      <c r="F27" s="4" t="s">
        <v>51</v>
      </c>
      <c r="G27" s="4" t="s">
        <v>52</v>
      </c>
      <c r="H27" s="4" t="s">
        <v>1259</v>
      </c>
      <c r="I27" s="4" t="s">
        <v>1260</v>
      </c>
      <c r="J27" s="4" t="s">
        <v>31</v>
      </c>
      <c r="K27" s="4" t="s">
        <v>372</v>
      </c>
      <c r="L27" s="4" t="s">
        <v>22</v>
      </c>
      <c r="M27" s="4" t="s">
        <v>23</v>
      </c>
      <c r="N27" s="4" t="s">
        <v>32</v>
      </c>
      <c r="O27" s="4" t="s">
        <v>34</v>
      </c>
      <c r="P27" s="4" t="s">
        <v>64</v>
      </c>
      <c r="Q27" s="4" t="s">
        <v>65</v>
      </c>
      <c r="R27" s="4" t="s">
        <v>28</v>
      </c>
      <c r="S27" s="4" t="s">
        <v>22</v>
      </c>
    </row>
    <row r="28" spans="1:19" ht="15">
      <c r="A28" s="2">
        <v>44280</v>
      </c>
      <c r="B28">
        <v>3</v>
      </c>
      <c r="C28">
        <v>2021</v>
      </c>
      <c r="D28" s="5">
        <v>30998.34</v>
      </c>
      <c r="E28" s="4" t="s">
        <v>1258</v>
      </c>
      <c r="F28" s="4" t="s">
        <v>51</v>
      </c>
      <c r="G28" s="4" t="s">
        <v>52</v>
      </c>
      <c r="H28" s="4" t="s">
        <v>1259</v>
      </c>
      <c r="I28" s="4" t="s">
        <v>1260</v>
      </c>
      <c r="J28" s="4" t="s">
        <v>21</v>
      </c>
      <c r="K28" s="4" t="s">
        <v>388</v>
      </c>
      <c r="L28" s="4" t="s">
        <v>22</v>
      </c>
      <c r="M28" s="4" t="s">
        <v>23</v>
      </c>
      <c r="N28" s="4" t="s">
        <v>24</v>
      </c>
      <c r="O28" s="4" t="s">
        <v>25</v>
      </c>
      <c r="P28" s="4" t="s">
        <v>49</v>
      </c>
      <c r="Q28" s="4" t="s">
        <v>40</v>
      </c>
      <c r="R28" s="4" t="s">
        <v>28</v>
      </c>
      <c r="S28" s="4" t="s">
        <v>22</v>
      </c>
    </row>
    <row r="29" spans="1:19" ht="15">
      <c r="A29" s="2">
        <v>44315</v>
      </c>
      <c r="B29">
        <v>4</v>
      </c>
      <c r="C29">
        <v>2021</v>
      </c>
      <c r="D29" s="5">
        <v>95455.139999999999</v>
      </c>
      <c r="E29" s="4" t="s">
        <v>1273</v>
      </c>
      <c r="F29" s="4" t="s">
        <v>51</v>
      </c>
      <c r="G29" s="4" t="s">
        <v>52</v>
      </c>
      <c r="H29" s="4" t="s">
        <v>1274</v>
      </c>
      <c r="I29" s="4" t="s">
        <v>1275</v>
      </c>
      <c r="J29" s="4" t="s">
        <v>21</v>
      </c>
      <c r="K29" s="4" t="s">
        <v>418</v>
      </c>
      <c r="L29" s="4" t="s">
        <v>22</v>
      </c>
      <c r="M29" s="4" t="s">
        <v>23</v>
      </c>
      <c r="N29" s="4" t="s">
        <v>24</v>
      </c>
      <c r="O29" s="4" t="s">
        <v>25</v>
      </c>
      <c r="P29" s="4" t="s">
        <v>61</v>
      </c>
      <c r="Q29" s="4" t="s">
        <v>40</v>
      </c>
      <c r="R29" s="4" t="s">
        <v>28</v>
      </c>
      <c r="S29" s="4" t="s">
        <v>22</v>
      </c>
    </row>
    <row r="30" spans="1:19" ht="15">
      <c r="A30" s="2">
        <v>44315</v>
      </c>
      <c r="B30">
        <v>4</v>
      </c>
      <c r="C30">
        <v>2021</v>
      </c>
      <c r="D30" s="5">
        <v>31440.169999999998</v>
      </c>
      <c r="E30" s="4" t="s">
        <v>1273</v>
      </c>
      <c r="F30" s="4" t="s">
        <v>51</v>
      </c>
      <c r="G30" s="4" t="s">
        <v>52</v>
      </c>
      <c r="H30" s="4" t="s">
        <v>1274</v>
      </c>
      <c r="I30" s="4" t="s">
        <v>1275</v>
      </c>
      <c r="J30" s="4" t="s">
        <v>21</v>
      </c>
      <c r="K30" s="4" t="s">
        <v>418</v>
      </c>
      <c r="L30" s="4" t="s">
        <v>22</v>
      </c>
      <c r="M30" s="4" t="s">
        <v>23</v>
      </c>
      <c r="N30" s="4" t="s">
        <v>24</v>
      </c>
      <c r="O30" s="4" t="s">
        <v>25</v>
      </c>
      <c r="P30" s="4" t="s">
        <v>49</v>
      </c>
      <c r="Q30" s="4" t="s">
        <v>40</v>
      </c>
      <c r="R30" s="4" t="s">
        <v>28</v>
      </c>
      <c r="S30" s="4" t="s">
        <v>22</v>
      </c>
    </row>
    <row r="31" spans="1:19" ht="15">
      <c r="A31" s="2">
        <v>44315</v>
      </c>
      <c r="B31">
        <v>4</v>
      </c>
      <c r="C31">
        <v>2021</v>
      </c>
      <c r="D31" s="5">
        <v>65503.940000000002</v>
      </c>
      <c r="E31" s="4" t="s">
        <v>1273</v>
      </c>
      <c r="F31" s="4" t="s">
        <v>51</v>
      </c>
      <c r="G31" s="4" t="s">
        <v>52</v>
      </c>
      <c r="H31" s="4" t="s">
        <v>1274</v>
      </c>
      <c r="I31" s="4" t="s">
        <v>1275</v>
      </c>
      <c r="J31" s="4" t="s">
        <v>31</v>
      </c>
      <c r="K31" s="4" t="s">
        <v>422</v>
      </c>
      <c r="L31" s="4" t="s">
        <v>22</v>
      </c>
      <c r="M31" s="4" t="s">
        <v>23</v>
      </c>
      <c r="N31" s="4" t="s">
        <v>32</v>
      </c>
      <c r="O31" s="4" t="s">
        <v>34</v>
      </c>
      <c r="P31" s="4" t="s">
        <v>64</v>
      </c>
      <c r="Q31" s="4" t="s">
        <v>65</v>
      </c>
      <c r="R31" s="4" t="s">
        <v>28</v>
      </c>
      <c r="S31" s="4" t="s">
        <v>22</v>
      </c>
    </row>
    <row r="32" spans="1:19" ht="15">
      <c r="A32" s="2">
        <v>44315</v>
      </c>
      <c r="B32">
        <v>4</v>
      </c>
      <c r="C32">
        <v>2021</v>
      </c>
      <c r="D32" s="5">
        <v>21134.650000000001</v>
      </c>
      <c r="E32" s="4" t="s">
        <v>1273</v>
      </c>
      <c r="F32" s="4" t="s">
        <v>51</v>
      </c>
      <c r="G32" s="4" t="s">
        <v>52</v>
      </c>
      <c r="H32" s="4" t="s">
        <v>1274</v>
      </c>
      <c r="I32" s="4" t="s">
        <v>1275</v>
      </c>
      <c r="J32" s="4" t="s">
        <v>21</v>
      </c>
      <c r="K32" s="4" t="s">
        <v>418</v>
      </c>
      <c r="L32" s="4" t="s">
        <v>22</v>
      </c>
      <c r="M32" s="4" t="s">
        <v>23</v>
      </c>
      <c r="N32" s="4" t="s">
        <v>24</v>
      </c>
      <c r="O32" s="4" t="s">
        <v>25</v>
      </c>
      <c r="P32" s="4" t="s">
        <v>64</v>
      </c>
      <c r="Q32" s="4" t="s">
        <v>40</v>
      </c>
      <c r="R32" s="4" t="s">
        <v>28</v>
      </c>
      <c r="S32" s="4" t="s">
        <v>22</v>
      </c>
    </row>
    <row r="33" spans="1:19" ht="15">
      <c r="A33" s="2">
        <v>44315</v>
      </c>
      <c r="B33">
        <v>4</v>
      </c>
      <c r="C33">
        <v>2021</v>
      </c>
      <c r="D33" s="5">
        <v>91521.330000000002</v>
      </c>
      <c r="E33" s="4" t="s">
        <v>1273</v>
      </c>
      <c r="F33" s="4" t="s">
        <v>51</v>
      </c>
      <c r="G33" s="4" t="s">
        <v>52</v>
      </c>
      <c r="H33" s="4" t="s">
        <v>1274</v>
      </c>
      <c r="I33" s="4" t="s">
        <v>1275</v>
      </c>
      <c r="J33" s="4" t="s">
        <v>31</v>
      </c>
      <c r="K33" s="4" t="s">
        <v>422</v>
      </c>
      <c r="L33" s="4" t="s">
        <v>22</v>
      </c>
      <c r="M33" s="4" t="s">
        <v>23</v>
      </c>
      <c r="N33" s="4" t="s">
        <v>32</v>
      </c>
      <c r="O33" s="4" t="s">
        <v>34</v>
      </c>
      <c r="P33" s="4" t="s">
        <v>49</v>
      </c>
      <c r="Q33" s="4" t="s">
        <v>65</v>
      </c>
      <c r="R33" s="4" t="s">
        <v>28</v>
      </c>
      <c r="S33" s="4" t="s">
        <v>22</v>
      </c>
    </row>
    <row r="34" spans="1:19" ht="15">
      <c r="A34" s="2">
        <v>44315</v>
      </c>
      <c r="B34">
        <v>4</v>
      </c>
      <c r="C34">
        <v>2021</v>
      </c>
      <c r="D34" s="5">
        <v>368491.10999999999</v>
      </c>
      <c r="E34" s="4" t="s">
        <v>1273</v>
      </c>
      <c r="F34" s="4" t="s">
        <v>51</v>
      </c>
      <c r="G34" s="4" t="s">
        <v>52</v>
      </c>
      <c r="H34" s="4" t="s">
        <v>1274</v>
      </c>
      <c r="I34" s="4" t="s">
        <v>1275</v>
      </c>
      <c r="J34" s="4" t="s">
        <v>31</v>
      </c>
      <c r="K34" s="4" t="s">
        <v>422</v>
      </c>
      <c r="L34" s="4" t="s">
        <v>22</v>
      </c>
      <c r="M34" s="4" t="s">
        <v>23</v>
      </c>
      <c r="N34" s="4" t="s">
        <v>32</v>
      </c>
      <c r="O34" s="4" t="s">
        <v>28</v>
      </c>
      <c r="P34" s="4" t="s">
        <v>61</v>
      </c>
      <c r="Q34" s="4" t="s">
        <v>50</v>
      </c>
      <c r="R34" s="4" t="s">
        <v>28</v>
      </c>
      <c r="S34" s="4" t="s">
        <v>22</v>
      </c>
    </row>
    <row r="35" spans="1:19" ht="15">
      <c r="A35" s="2">
        <v>44313</v>
      </c>
      <c r="B35">
        <v>4</v>
      </c>
      <c r="C35">
        <v>2021</v>
      </c>
      <c r="D35" s="5">
        <v>12545.68</v>
      </c>
      <c r="E35" s="4" t="s">
        <v>1539</v>
      </c>
      <c r="F35" s="4" t="s">
        <v>56</v>
      </c>
      <c r="G35" s="4" t="s">
        <v>57</v>
      </c>
      <c r="H35" s="4" t="s">
        <v>1540</v>
      </c>
      <c r="I35" s="4" t="s">
        <v>1541</v>
      </c>
      <c r="J35" s="4" t="s">
        <v>21</v>
      </c>
      <c r="K35" s="4" t="s">
        <v>1272</v>
      </c>
      <c r="L35" s="4" t="s">
        <v>22</v>
      </c>
      <c r="M35" s="4" t="s">
        <v>23</v>
      </c>
      <c r="N35" s="4" t="s">
        <v>24</v>
      </c>
      <c r="O35" s="4" t="s">
        <v>25</v>
      </c>
      <c r="P35" s="4" t="s">
        <v>58</v>
      </c>
      <c r="Q35" s="4" t="s">
        <v>40</v>
      </c>
      <c r="R35" s="4" t="s">
        <v>28</v>
      </c>
      <c r="S35" s="4" t="s">
        <v>22</v>
      </c>
    </row>
    <row r="36" spans="1:19" ht="15">
      <c r="A36" s="2">
        <v>44313</v>
      </c>
      <c r="B36">
        <v>4</v>
      </c>
      <c r="C36">
        <v>2021</v>
      </c>
      <c r="D36" s="5">
        <v>102495.33</v>
      </c>
      <c r="E36" s="4" t="s">
        <v>1539</v>
      </c>
      <c r="F36" s="4" t="s">
        <v>56</v>
      </c>
      <c r="G36" s="4" t="s">
        <v>57</v>
      </c>
      <c r="H36" s="4" t="s">
        <v>1540</v>
      </c>
      <c r="I36" s="4" t="s">
        <v>1541</v>
      </c>
      <c r="J36" s="4" t="s">
        <v>31</v>
      </c>
      <c r="K36" s="4" t="s">
        <v>1288</v>
      </c>
      <c r="L36" s="4" t="s">
        <v>22</v>
      </c>
      <c r="M36" s="4" t="s">
        <v>23</v>
      </c>
      <c r="N36" s="4" t="s">
        <v>32</v>
      </c>
      <c r="O36" s="4" t="s">
        <v>28</v>
      </c>
      <c r="P36" s="4" t="s">
        <v>58</v>
      </c>
      <c r="Q36" s="4" t="s">
        <v>27</v>
      </c>
      <c r="R36" s="4" t="s">
        <v>28</v>
      </c>
      <c r="S36" s="4" t="s">
        <v>22</v>
      </c>
    </row>
    <row r="37" spans="1:19" ht="15">
      <c r="A37" s="2">
        <v>44342</v>
      </c>
      <c r="B37">
        <v>5</v>
      </c>
      <c r="C37">
        <v>2021</v>
      </c>
      <c r="D37" s="5">
        <v>103942.87</v>
      </c>
      <c r="E37" s="4" t="s">
        <v>1542</v>
      </c>
      <c r="F37" s="4" t="s">
        <v>56</v>
      </c>
      <c r="G37" s="4" t="s">
        <v>57</v>
      </c>
      <c r="H37" s="4" t="s">
        <v>1543</v>
      </c>
      <c r="I37" s="4" t="s">
        <v>1544</v>
      </c>
      <c r="J37" s="4" t="s">
        <v>31</v>
      </c>
      <c r="K37" s="4" t="s">
        <v>509</v>
      </c>
      <c r="L37" s="4" t="s">
        <v>22</v>
      </c>
      <c r="M37" s="4" t="s">
        <v>23</v>
      </c>
      <c r="N37" s="4" t="s">
        <v>32</v>
      </c>
      <c r="O37" s="4" t="s">
        <v>28</v>
      </c>
      <c r="P37" s="4" t="s">
        <v>58</v>
      </c>
      <c r="Q37" s="4" t="s">
        <v>27</v>
      </c>
      <c r="R37" s="4" t="s">
        <v>28</v>
      </c>
      <c r="S37" s="4" t="s">
        <v>22</v>
      </c>
    </row>
    <row r="38" spans="1:19" ht="15">
      <c r="A38" s="2">
        <v>44344</v>
      </c>
      <c r="B38">
        <v>5</v>
      </c>
      <c r="C38">
        <v>2021</v>
      </c>
      <c r="D38" s="5">
        <v>30831.720000000001</v>
      </c>
      <c r="E38" s="4" t="s">
        <v>1313</v>
      </c>
      <c r="F38" s="4" t="s">
        <v>51</v>
      </c>
      <c r="G38" s="4" t="s">
        <v>52</v>
      </c>
      <c r="H38" s="4" t="s">
        <v>1314</v>
      </c>
      <c r="I38" s="4" t="s">
        <v>1315</v>
      </c>
      <c r="J38" s="4" t="s">
        <v>21</v>
      </c>
      <c r="K38" s="4" t="s">
        <v>526</v>
      </c>
      <c r="L38" s="4" t="s">
        <v>22</v>
      </c>
      <c r="M38" s="4" t="s">
        <v>23</v>
      </c>
      <c r="N38" s="4" t="s">
        <v>24</v>
      </c>
      <c r="O38" s="4" t="s">
        <v>25</v>
      </c>
      <c r="P38" s="4" t="s">
        <v>49</v>
      </c>
      <c r="Q38" s="4" t="s">
        <v>40</v>
      </c>
      <c r="R38" s="4" t="s">
        <v>28</v>
      </c>
      <c r="S38" s="4" t="s">
        <v>22</v>
      </c>
    </row>
    <row r="39" spans="1:19" ht="15">
      <c r="A39" s="2">
        <v>44344</v>
      </c>
      <c r="B39">
        <v>5</v>
      </c>
      <c r="C39">
        <v>2021</v>
      </c>
      <c r="D39" s="5">
        <v>95974.490000000005</v>
      </c>
      <c r="E39" s="4" t="s">
        <v>1313</v>
      </c>
      <c r="F39" s="4" t="s">
        <v>51</v>
      </c>
      <c r="G39" s="4" t="s">
        <v>52</v>
      </c>
      <c r="H39" s="4" t="s">
        <v>1314</v>
      </c>
      <c r="I39" s="4" t="s">
        <v>1315</v>
      </c>
      <c r="J39" s="4" t="s">
        <v>21</v>
      </c>
      <c r="K39" s="4" t="s">
        <v>526</v>
      </c>
      <c r="L39" s="4" t="s">
        <v>22</v>
      </c>
      <c r="M39" s="4" t="s">
        <v>23</v>
      </c>
      <c r="N39" s="4" t="s">
        <v>24</v>
      </c>
      <c r="O39" s="4" t="s">
        <v>25</v>
      </c>
      <c r="P39" s="4" t="s">
        <v>61</v>
      </c>
      <c r="Q39" s="4" t="s">
        <v>40</v>
      </c>
      <c r="R39" s="4" t="s">
        <v>28</v>
      </c>
      <c r="S39" s="4" t="s">
        <v>22</v>
      </c>
    </row>
    <row r="40" spans="1:19" ht="15">
      <c r="A40" s="2">
        <v>44344</v>
      </c>
      <c r="B40">
        <v>5</v>
      </c>
      <c r="C40">
        <v>2021</v>
      </c>
      <c r="D40" s="5">
        <v>20762.560000000001</v>
      </c>
      <c r="E40" s="4" t="s">
        <v>1313</v>
      </c>
      <c r="F40" s="4" t="s">
        <v>51</v>
      </c>
      <c r="G40" s="4" t="s">
        <v>52</v>
      </c>
      <c r="H40" s="4" t="s">
        <v>1314</v>
      </c>
      <c r="I40" s="4" t="s">
        <v>1315</v>
      </c>
      <c r="J40" s="4" t="s">
        <v>21</v>
      </c>
      <c r="K40" s="4" t="s">
        <v>526</v>
      </c>
      <c r="L40" s="4" t="s">
        <v>22</v>
      </c>
      <c r="M40" s="4" t="s">
        <v>23</v>
      </c>
      <c r="N40" s="4" t="s">
        <v>24</v>
      </c>
      <c r="O40" s="4" t="s">
        <v>25</v>
      </c>
      <c r="P40" s="4" t="s">
        <v>64</v>
      </c>
      <c r="Q40" s="4" t="s">
        <v>40</v>
      </c>
      <c r="R40" s="4" t="s">
        <v>28</v>
      </c>
      <c r="S40" s="4" t="s">
        <v>22</v>
      </c>
    </row>
    <row r="41" spans="1:19" ht="15">
      <c r="A41" s="2">
        <v>44342</v>
      </c>
      <c r="B41">
        <v>5</v>
      </c>
      <c r="C41">
        <v>2021</v>
      </c>
      <c r="D41" s="5">
        <v>12545.68</v>
      </c>
      <c r="E41" s="4" t="s">
        <v>1542</v>
      </c>
      <c r="F41" s="4" t="s">
        <v>56</v>
      </c>
      <c r="G41" s="4" t="s">
        <v>57</v>
      </c>
      <c r="H41" s="4" t="s">
        <v>1543</v>
      </c>
      <c r="I41" s="4" t="s">
        <v>1544</v>
      </c>
      <c r="J41" s="4" t="s">
        <v>21</v>
      </c>
      <c r="K41" s="4" t="s">
        <v>522</v>
      </c>
      <c r="L41" s="4" t="s">
        <v>22</v>
      </c>
      <c r="M41" s="4" t="s">
        <v>23</v>
      </c>
      <c r="N41" s="4" t="s">
        <v>24</v>
      </c>
      <c r="O41" s="4" t="s">
        <v>25</v>
      </c>
      <c r="P41" s="4" t="s">
        <v>58</v>
      </c>
      <c r="Q41" s="4" t="s">
        <v>40</v>
      </c>
      <c r="R41" s="4" t="s">
        <v>28</v>
      </c>
      <c r="S41" s="4" t="s">
        <v>22</v>
      </c>
    </row>
    <row r="42" spans="1:19" ht="15">
      <c r="A42" s="2">
        <v>44344</v>
      </c>
      <c r="B42">
        <v>5</v>
      </c>
      <c r="C42">
        <v>2021</v>
      </c>
      <c r="D42" s="5">
        <v>64953.400000000001</v>
      </c>
      <c r="E42" s="4" t="s">
        <v>1313</v>
      </c>
      <c r="F42" s="4" t="s">
        <v>51</v>
      </c>
      <c r="G42" s="4" t="s">
        <v>52</v>
      </c>
      <c r="H42" s="4" t="s">
        <v>1314</v>
      </c>
      <c r="I42" s="4" t="s">
        <v>1315</v>
      </c>
      <c r="J42" s="4" t="s">
        <v>31</v>
      </c>
      <c r="K42" s="4" t="s">
        <v>513</v>
      </c>
      <c r="L42" s="4" t="s">
        <v>22</v>
      </c>
      <c r="M42" s="4" t="s">
        <v>23</v>
      </c>
      <c r="N42" s="4" t="s">
        <v>32</v>
      </c>
      <c r="O42" s="4" t="s">
        <v>34</v>
      </c>
      <c r="P42" s="4" t="s">
        <v>64</v>
      </c>
      <c r="Q42" s="4" t="s">
        <v>65</v>
      </c>
      <c r="R42" s="4" t="s">
        <v>28</v>
      </c>
      <c r="S42" s="4" t="s">
        <v>22</v>
      </c>
    </row>
    <row r="43" spans="1:19" ht="15">
      <c r="A43" s="2">
        <v>44344</v>
      </c>
      <c r="B43">
        <v>5</v>
      </c>
      <c r="C43">
        <v>2021</v>
      </c>
      <c r="D43" s="5">
        <v>367082.96999999997</v>
      </c>
      <c r="E43" s="4" t="s">
        <v>1313</v>
      </c>
      <c r="F43" s="4" t="s">
        <v>51</v>
      </c>
      <c r="G43" s="4" t="s">
        <v>52</v>
      </c>
      <c r="H43" s="4" t="s">
        <v>1314</v>
      </c>
      <c r="I43" s="4" t="s">
        <v>1315</v>
      </c>
      <c r="J43" s="4" t="s">
        <v>31</v>
      </c>
      <c r="K43" s="4" t="s">
        <v>513</v>
      </c>
      <c r="L43" s="4" t="s">
        <v>22</v>
      </c>
      <c r="M43" s="4" t="s">
        <v>23</v>
      </c>
      <c r="N43" s="4" t="s">
        <v>32</v>
      </c>
      <c r="O43" s="4" t="s">
        <v>28</v>
      </c>
      <c r="P43" s="4" t="s">
        <v>61</v>
      </c>
      <c r="Q43" s="4" t="s">
        <v>50</v>
      </c>
      <c r="R43" s="4" t="s">
        <v>28</v>
      </c>
      <c r="S43" s="4" t="s">
        <v>22</v>
      </c>
    </row>
    <row r="44" spans="1:19" ht="15">
      <c r="A44" s="2">
        <v>44344</v>
      </c>
      <c r="B44">
        <v>5</v>
      </c>
      <c r="C44">
        <v>2021</v>
      </c>
      <c r="D44" s="5">
        <v>90852.5</v>
      </c>
      <c r="E44" s="4" t="s">
        <v>1313</v>
      </c>
      <c r="F44" s="4" t="s">
        <v>51</v>
      </c>
      <c r="G44" s="4" t="s">
        <v>52</v>
      </c>
      <c r="H44" s="4" t="s">
        <v>1314</v>
      </c>
      <c r="I44" s="4" t="s">
        <v>1315</v>
      </c>
      <c r="J44" s="4" t="s">
        <v>31</v>
      </c>
      <c r="K44" s="4" t="s">
        <v>513</v>
      </c>
      <c r="L44" s="4" t="s">
        <v>22</v>
      </c>
      <c r="M44" s="4" t="s">
        <v>23</v>
      </c>
      <c r="N44" s="4" t="s">
        <v>32</v>
      </c>
      <c r="O44" s="4" t="s">
        <v>34</v>
      </c>
      <c r="P44" s="4" t="s">
        <v>49</v>
      </c>
      <c r="Q44" s="4" t="s">
        <v>65</v>
      </c>
      <c r="R44" s="4" t="s">
        <v>28</v>
      </c>
      <c r="S44" s="4" t="s">
        <v>22</v>
      </c>
    </row>
    <row r="45" spans="1:19" ht="15">
      <c r="A45" s="2">
        <v>44377</v>
      </c>
      <c r="B45">
        <v>6</v>
      </c>
      <c r="C45">
        <v>2021</v>
      </c>
      <c r="D45" s="5">
        <v>362142.66999999998</v>
      </c>
      <c r="E45" s="4" t="s">
        <v>1326</v>
      </c>
      <c r="F45" s="4" t="s">
        <v>51</v>
      </c>
      <c r="G45" s="4" t="s">
        <v>52</v>
      </c>
      <c r="H45" s="4" t="s">
        <v>1327</v>
      </c>
      <c r="I45" s="4" t="s">
        <v>1328</v>
      </c>
      <c r="J45" s="4" t="s">
        <v>31</v>
      </c>
      <c r="K45" s="4" t="s">
        <v>578</v>
      </c>
      <c r="L45" s="4" t="s">
        <v>22</v>
      </c>
      <c r="M45" s="4" t="s">
        <v>23</v>
      </c>
      <c r="N45" s="4" t="s">
        <v>32</v>
      </c>
      <c r="O45" s="4" t="s">
        <v>28</v>
      </c>
      <c r="P45" s="4" t="s">
        <v>61</v>
      </c>
      <c r="Q45" s="4" t="s">
        <v>50</v>
      </c>
      <c r="R45" s="4" t="s">
        <v>28</v>
      </c>
      <c r="S45" s="4" t="s">
        <v>22</v>
      </c>
    </row>
    <row r="46" spans="1:19" ht="15">
      <c r="A46" s="2">
        <v>44372</v>
      </c>
      <c r="B46">
        <v>6</v>
      </c>
      <c r="C46">
        <v>2021</v>
      </c>
      <c r="D46" s="5">
        <v>102615.92999999999</v>
      </c>
      <c r="E46" s="4" t="s">
        <v>1545</v>
      </c>
      <c r="F46" s="4" t="s">
        <v>56</v>
      </c>
      <c r="G46" s="4" t="s">
        <v>57</v>
      </c>
      <c r="H46" s="4" t="s">
        <v>1546</v>
      </c>
      <c r="I46" s="4" t="s">
        <v>1547</v>
      </c>
      <c r="J46" s="4" t="s">
        <v>31</v>
      </c>
      <c r="K46" s="4" t="s">
        <v>589</v>
      </c>
      <c r="L46" s="4" t="s">
        <v>22</v>
      </c>
      <c r="M46" s="4" t="s">
        <v>23</v>
      </c>
      <c r="N46" s="4" t="s">
        <v>32</v>
      </c>
      <c r="O46" s="4" t="s">
        <v>28</v>
      </c>
      <c r="P46" s="4" t="s">
        <v>58</v>
      </c>
      <c r="Q46" s="4" t="s">
        <v>27</v>
      </c>
      <c r="R46" s="4" t="s">
        <v>28</v>
      </c>
      <c r="S46" s="4" t="s">
        <v>22</v>
      </c>
    </row>
    <row r="47" spans="1:19" ht="15">
      <c r="A47" s="2">
        <v>44377</v>
      </c>
      <c r="B47">
        <v>6</v>
      </c>
      <c r="C47">
        <v>2021</v>
      </c>
      <c r="D47" s="5">
        <v>65041.440000000002</v>
      </c>
      <c r="E47" s="4" t="s">
        <v>1326</v>
      </c>
      <c r="F47" s="4" t="s">
        <v>51</v>
      </c>
      <c r="G47" s="4" t="s">
        <v>52</v>
      </c>
      <c r="H47" s="4" t="s">
        <v>1327</v>
      </c>
      <c r="I47" s="4" t="s">
        <v>1328</v>
      </c>
      <c r="J47" s="4" t="s">
        <v>31</v>
      </c>
      <c r="K47" s="4" t="s">
        <v>578</v>
      </c>
      <c r="L47" s="4" t="s">
        <v>22</v>
      </c>
      <c r="M47" s="4" t="s">
        <v>23</v>
      </c>
      <c r="N47" s="4" t="s">
        <v>32</v>
      </c>
      <c r="O47" s="4" t="s">
        <v>34</v>
      </c>
      <c r="P47" s="4" t="s">
        <v>64</v>
      </c>
      <c r="Q47" s="4" t="s">
        <v>65</v>
      </c>
      <c r="R47" s="4" t="s">
        <v>28</v>
      </c>
      <c r="S47" s="4" t="s">
        <v>22</v>
      </c>
    </row>
    <row r="48" spans="1:19" ht="15">
      <c r="A48" s="2">
        <v>44372</v>
      </c>
      <c r="B48">
        <v>6</v>
      </c>
      <c r="C48">
        <v>2021</v>
      </c>
      <c r="D48" s="5">
        <v>12545.68</v>
      </c>
      <c r="E48" s="4" t="s">
        <v>1545</v>
      </c>
      <c r="F48" s="4" t="s">
        <v>56</v>
      </c>
      <c r="G48" s="4" t="s">
        <v>57</v>
      </c>
      <c r="H48" s="4" t="s">
        <v>1546</v>
      </c>
      <c r="I48" s="4" t="s">
        <v>1547</v>
      </c>
      <c r="J48" s="4" t="s">
        <v>21</v>
      </c>
      <c r="K48" s="4" t="s">
        <v>649</v>
      </c>
      <c r="L48" s="4" t="s">
        <v>22</v>
      </c>
      <c r="M48" s="4" t="s">
        <v>23</v>
      </c>
      <c r="N48" s="4" t="s">
        <v>24</v>
      </c>
      <c r="O48" s="4" t="s">
        <v>25</v>
      </c>
      <c r="P48" s="4" t="s">
        <v>58</v>
      </c>
      <c r="Q48" s="4" t="s">
        <v>40</v>
      </c>
      <c r="R48" s="4" t="s">
        <v>28</v>
      </c>
      <c r="S48" s="4" t="s">
        <v>22</v>
      </c>
    </row>
    <row r="49" spans="1:19" ht="15">
      <c r="A49" s="2">
        <v>44377</v>
      </c>
      <c r="B49">
        <v>6</v>
      </c>
      <c r="C49">
        <v>2021</v>
      </c>
      <c r="D49" s="5">
        <v>91309.479999999996</v>
      </c>
      <c r="E49" s="4" t="s">
        <v>1326</v>
      </c>
      <c r="F49" s="4" t="s">
        <v>51</v>
      </c>
      <c r="G49" s="4" t="s">
        <v>52</v>
      </c>
      <c r="H49" s="4" t="s">
        <v>1327</v>
      </c>
      <c r="I49" s="4" t="s">
        <v>1328</v>
      </c>
      <c r="J49" s="4" t="s">
        <v>31</v>
      </c>
      <c r="K49" s="4" t="s">
        <v>578</v>
      </c>
      <c r="L49" s="4" t="s">
        <v>22</v>
      </c>
      <c r="M49" s="4" t="s">
        <v>23</v>
      </c>
      <c r="N49" s="4" t="s">
        <v>32</v>
      </c>
      <c r="O49" s="4" t="s">
        <v>34</v>
      </c>
      <c r="P49" s="4" t="s">
        <v>49</v>
      </c>
      <c r="Q49" s="4" t="s">
        <v>65</v>
      </c>
      <c r="R49" s="4" t="s">
        <v>28</v>
      </c>
      <c r="S49" s="4" t="s">
        <v>22</v>
      </c>
    </row>
    <row r="50" spans="1:19" ht="15">
      <c r="A50" s="2">
        <v>44377</v>
      </c>
      <c r="B50">
        <v>6</v>
      </c>
      <c r="C50">
        <v>2021</v>
      </c>
      <c r="D50" s="5">
        <v>95242.600000000006</v>
      </c>
      <c r="E50" s="4" t="s">
        <v>1326</v>
      </c>
      <c r="F50" s="4" t="s">
        <v>51</v>
      </c>
      <c r="G50" s="4" t="s">
        <v>52</v>
      </c>
      <c r="H50" s="4" t="s">
        <v>1327</v>
      </c>
      <c r="I50" s="4" t="s">
        <v>1328</v>
      </c>
      <c r="J50" s="4" t="s">
        <v>21</v>
      </c>
      <c r="K50" s="4" t="s">
        <v>619</v>
      </c>
      <c r="L50" s="4" t="s">
        <v>22</v>
      </c>
      <c r="M50" s="4" t="s">
        <v>23</v>
      </c>
      <c r="N50" s="4" t="s">
        <v>24</v>
      </c>
      <c r="O50" s="4" t="s">
        <v>25</v>
      </c>
      <c r="P50" s="4" t="s">
        <v>61</v>
      </c>
      <c r="Q50" s="4" t="s">
        <v>40</v>
      </c>
      <c r="R50" s="4" t="s">
        <v>28</v>
      </c>
      <c r="S50" s="4" t="s">
        <v>22</v>
      </c>
    </row>
    <row r="51" spans="1:19" ht="15">
      <c r="A51" s="2">
        <v>44377</v>
      </c>
      <c r="B51">
        <v>6</v>
      </c>
      <c r="C51">
        <v>2021</v>
      </c>
      <c r="D51" s="5">
        <v>31400.68</v>
      </c>
      <c r="E51" s="4" t="s">
        <v>1326</v>
      </c>
      <c r="F51" s="4" t="s">
        <v>51</v>
      </c>
      <c r="G51" s="4" t="s">
        <v>52</v>
      </c>
      <c r="H51" s="4" t="s">
        <v>1327</v>
      </c>
      <c r="I51" s="4" t="s">
        <v>1328</v>
      </c>
      <c r="J51" s="4" t="s">
        <v>21</v>
      </c>
      <c r="K51" s="4" t="s">
        <v>619</v>
      </c>
      <c r="L51" s="4" t="s">
        <v>22</v>
      </c>
      <c r="M51" s="4" t="s">
        <v>23</v>
      </c>
      <c r="N51" s="4" t="s">
        <v>24</v>
      </c>
      <c r="O51" s="4" t="s">
        <v>25</v>
      </c>
      <c r="P51" s="4" t="s">
        <v>49</v>
      </c>
      <c r="Q51" s="4" t="s">
        <v>40</v>
      </c>
      <c r="R51" s="4" t="s">
        <v>28</v>
      </c>
      <c r="S51" s="4" t="s">
        <v>22</v>
      </c>
    </row>
    <row r="52" spans="1:19" ht="15">
      <c r="A52" s="2">
        <v>44377</v>
      </c>
      <c r="B52">
        <v>6</v>
      </c>
      <c r="C52">
        <v>2021</v>
      </c>
      <c r="D52" s="5">
        <v>20974.700000000001</v>
      </c>
      <c r="E52" s="4" t="s">
        <v>1326</v>
      </c>
      <c r="F52" s="4" t="s">
        <v>51</v>
      </c>
      <c r="G52" s="4" t="s">
        <v>52</v>
      </c>
      <c r="H52" s="4" t="s">
        <v>1327</v>
      </c>
      <c r="I52" s="4" t="s">
        <v>1328</v>
      </c>
      <c r="J52" s="4" t="s">
        <v>21</v>
      </c>
      <c r="K52" s="4" t="s">
        <v>619</v>
      </c>
      <c r="L52" s="4" t="s">
        <v>22</v>
      </c>
      <c r="M52" s="4" t="s">
        <v>23</v>
      </c>
      <c r="N52" s="4" t="s">
        <v>24</v>
      </c>
      <c r="O52" s="4" t="s">
        <v>25</v>
      </c>
      <c r="P52" s="4" t="s">
        <v>64</v>
      </c>
      <c r="Q52" s="4" t="s">
        <v>40</v>
      </c>
      <c r="R52" s="4" t="s">
        <v>28</v>
      </c>
      <c r="S52" s="4" t="s">
        <v>22</v>
      </c>
    </row>
    <row r="53" spans="1:19" ht="15">
      <c r="A53" s="2">
        <v>44405</v>
      </c>
      <c r="B53">
        <v>7</v>
      </c>
      <c r="C53">
        <v>2021</v>
      </c>
      <c r="D53" s="5">
        <v>90843.770000000004</v>
      </c>
      <c r="E53" s="4" t="s">
        <v>1366</v>
      </c>
      <c r="F53" s="4" t="s">
        <v>51</v>
      </c>
      <c r="G53" s="4" t="s">
        <v>52</v>
      </c>
      <c r="H53" s="4" t="s">
        <v>1367</v>
      </c>
      <c r="I53" s="4" t="s">
        <v>1368</v>
      </c>
      <c r="J53" s="4" t="s">
        <v>31</v>
      </c>
      <c r="K53" s="4" t="s">
        <v>680</v>
      </c>
      <c r="L53" s="4" t="s">
        <v>22</v>
      </c>
      <c r="M53" s="4" t="s">
        <v>23</v>
      </c>
      <c r="N53" s="4" t="s">
        <v>32</v>
      </c>
      <c r="O53" s="4" t="s">
        <v>34</v>
      </c>
      <c r="P53" s="4" t="s">
        <v>49</v>
      </c>
      <c r="Q53" s="4" t="s">
        <v>65</v>
      </c>
      <c r="R53" s="4" t="s">
        <v>28</v>
      </c>
      <c r="S53" s="4" t="s">
        <v>22</v>
      </c>
    </row>
    <row r="54" spans="1:19" ht="15">
      <c r="A54" s="2">
        <v>44405</v>
      </c>
      <c r="B54">
        <v>7</v>
      </c>
      <c r="C54">
        <v>2021</v>
      </c>
      <c r="D54" s="5">
        <v>361134.76000000001</v>
      </c>
      <c r="E54" s="4" t="s">
        <v>1366</v>
      </c>
      <c r="F54" s="4" t="s">
        <v>51</v>
      </c>
      <c r="G54" s="4" t="s">
        <v>52</v>
      </c>
      <c r="H54" s="4" t="s">
        <v>1367</v>
      </c>
      <c r="I54" s="4" t="s">
        <v>1368</v>
      </c>
      <c r="J54" s="4" t="s">
        <v>31</v>
      </c>
      <c r="K54" s="4" t="s">
        <v>680</v>
      </c>
      <c r="L54" s="4" t="s">
        <v>22</v>
      </c>
      <c r="M54" s="4" t="s">
        <v>23</v>
      </c>
      <c r="N54" s="4" t="s">
        <v>32</v>
      </c>
      <c r="O54" s="4" t="s">
        <v>28</v>
      </c>
      <c r="P54" s="4" t="s">
        <v>61</v>
      </c>
      <c r="Q54" s="4" t="s">
        <v>50</v>
      </c>
      <c r="R54" s="4" t="s">
        <v>28</v>
      </c>
      <c r="S54" s="4" t="s">
        <v>22</v>
      </c>
    </row>
    <row r="55" spans="1:19" ht="15">
      <c r="A55" s="2">
        <v>44405</v>
      </c>
      <c r="B55">
        <v>7</v>
      </c>
      <c r="C55">
        <v>2021</v>
      </c>
      <c r="D55" s="5">
        <v>21047.669999999998</v>
      </c>
      <c r="E55" s="4" t="s">
        <v>1366</v>
      </c>
      <c r="F55" s="4" t="s">
        <v>51</v>
      </c>
      <c r="G55" s="4" t="s">
        <v>52</v>
      </c>
      <c r="H55" s="4" t="s">
        <v>1367</v>
      </c>
      <c r="I55" s="4" t="s">
        <v>1368</v>
      </c>
      <c r="J55" s="4" t="s">
        <v>21</v>
      </c>
      <c r="K55" s="4" t="s">
        <v>679</v>
      </c>
      <c r="L55" s="4" t="s">
        <v>22</v>
      </c>
      <c r="M55" s="4" t="s">
        <v>23</v>
      </c>
      <c r="N55" s="4" t="s">
        <v>24</v>
      </c>
      <c r="O55" s="4" t="s">
        <v>25</v>
      </c>
      <c r="P55" s="4" t="s">
        <v>64</v>
      </c>
      <c r="Q55" s="4" t="s">
        <v>40</v>
      </c>
      <c r="R55" s="4" t="s">
        <v>28</v>
      </c>
      <c r="S55" s="4" t="s">
        <v>22</v>
      </c>
    </row>
    <row r="56" spans="1:19" ht="15">
      <c r="A56" s="2">
        <v>44405</v>
      </c>
      <c r="B56">
        <v>7</v>
      </c>
      <c r="C56">
        <v>2021</v>
      </c>
      <c r="D56" s="5">
        <v>64693.209999999999</v>
      </c>
      <c r="E56" s="4" t="s">
        <v>1366</v>
      </c>
      <c r="F56" s="4" t="s">
        <v>51</v>
      </c>
      <c r="G56" s="4" t="s">
        <v>52</v>
      </c>
      <c r="H56" s="4" t="s">
        <v>1367</v>
      </c>
      <c r="I56" s="4" t="s">
        <v>1368</v>
      </c>
      <c r="J56" s="4" t="s">
        <v>31</v>
      </c>
      <c r="K56" s="4" t="s">
        <v>680</v>
      </c>
      <c r="L56" s="4" t="s">
        <v>22</v>
      </c>
      <c r="M56" s="4" t="s">
        <v>23</v>
      </c>
      <c r="N56" s="4" t="s">
        <v>32</v>
      </c>
      <c r="O56" s="4" t="s">
        <v>34</v>
      </c>
      <c r="P56" s="4" t="s">
        <v>64</v>
      </c>
      <c r="Q56" s="4" t="s">
        <v>65</v>
      </c>
      <c r="R56" s="4" t="s">
        <v>28</v>
      </c>
      <c r="S56" s="4" t="s">
        <v>22</v>
      </c>
    </row>
    <row r="57" spans="1:19" ht="15">
      <c r="A57" s="2">
        <v>44405</v>
      </c>
      <c r="B57">
        <v>7</v>
      </c>
      <c r="C57">
        <v>2021</v>
      </c>
      <c r="D57" s="5">
        <v>94700.529999999999</v>
      </c>
      <c r="E57" s="4" t="s">
        <v>1366</v>
      </c>
      <c r="F57" s="4" t="s">
        <v>51</v>
      </c>
      <c r="G57" s="4" t="s">
        <v>52</v>
      </c>
      <c r="H57" s="4" t="s">
        <v>1367</v>
      </c>
      <c r="I57" s="4" t="s">
        <v>1368</v>
      </c>
      <c r="J57" s="4" t="s">
        <v>21</v>
      </c>
      <c r="K57" s="4" t="s">
        <v>679</v>
      </c>
      <c r="L57" s="4" t="s">
        <v>22</v>
      </c>
      <c r="M57" s="4" t="s">
        <v>23</v>
      </c>
      <c r="N57" s="4" t="s">
        <v>24</v>
      </c>
      <c r="O57" s="4" t="s">
        <v>25</v>
      </c>
      <c r="P57" s="4" t="s">
        <v>61</v>
      </c>
      <c r="Q57" s="4" t="s">
        <v>40</v>
      </c>
      <c r="R57" s="4" t="s">
        <v>28</v>
      </c>
      <c r="S57" s="4" t="s">
        <v>22</v>
      </c>
    </row>
    <row r="58" spans="1:19" ht="15">
      <c r="A58" s="2">
        <v>44405</v>
      </c>
      <c r="B58">
        <v>7</v>
      </c>
      <c r="C58">
        <v>2021</v>
      </c>
      <c r="D58" s="5">
        <v>107173.86</v>
      </c>
      <c r="E58" s="4" t="s">
        <v>1548</v>
      </c>
      <c r="F58" s="4" t="s">
        <v>56</v>
      </c>
      <c r="G58" s="4" t="s">
        <v>57</v>
      </c>
      <c r="H58" s="4" t="s">
        <v>1549</v>
      </c>
      <c r="I58" s="4" t="s">
        <v>1550</v>
      </c>
      <c r="J58" s="4" t="s">
        <v>31</v>
      </c>
      <c r="K58" s="4" t="s">
        <v>680</v>
      </c>
      <c r="L58" s="4" t="s">
        <v>22</v>
      </c>
      <c r="M58" s="4" t="s">
        <v>23</v>
      </c>
      <c r="N58" s="4" t="s">
        <v>32</v>
      </c>
      <c r="O58" s="4" t="s">
        <v>28</v>
      </c>
      <c r="P58" s="4" t="s">
        <v>58</v>
      </c>
      <c r="Q58" s="4" t="s">
        <v>27</v>
      </c>
      <c r="R58" s="4" t="s">
        <v>28</v>
      </c>
      <c r="S58" s="4" t="s">
        <v>22</v>
      </c>
    </row>
    <row r="59" spans="1:19" ht="15">
      <c r="A59" s="2">
        <v>44405</v>
      </c>
      <c r="B59">
        <v>7</v>
      </c>
      <c r="C59">
        <v>2021</v>
      </c>
      <c r="D59" s="5">
        <v>12545.68</v>
      </c>
      <c r="E59" s="4" t="s">
        <v>1548</v>
      </c>
      <c r="F59" s="4" t="s">
        <v>56</v>
      </c>
      <c r="G59" s="4" t="s">
        <v>57</v>
      </c>
      <c r="H59" s="4" t="s">
        <v>1549</v>
      </c>
      <c r="I59" s="4" t="s">
        <v>1550</v>
      </c>
      <c r="J59" s="4" t="s">
        <v>21</v>
      </c>
      <c r="K59" s="4" t="s">
        <v>679</v>
      </c>
      <c r="L59" s="4" t="s">
        <v>22</v>
      </c>
      <c r="M59" s="4" t="s">
        <v>23</v>
      </c>
      <c r="N59" s="4" t="s">
        <v>24</v>
      </c>
      <c r="O59" s="4" t="s">
        <v>25</v>
      </c>
      <c r="P59" s="4" t="s">
        <v>58</v>
      </c>
      <c r="Q59" s="4" t="s">
        <v>40</v>
      </c>
      <c r="R59" s="4" t="s">
        <v>28</v>
      </c>
      <c r="S59" s="4" t="s">
        <v>22</v>
      </c>
    </row>
    <row r="60" spans="1:19" ht="15">
      <c r="A60" s="2">
        <v>44405</v>
      </c>
      <c r="B60">
        <v>7</v>
      </c>
      <c r="C60">
        <v>2021</v>
      </c>
      <c r="D60" s="5">
        <v>31638.970000000001</v>
      </c>
      <c r="E60" s="4" t="s">
        <v>1366</v>
      </c>
      <c r="F60" s="4" t="s">
        <v>51</v>
      </c>
      <c r="G60" s="4" t="s">
        <v>52</v>
      </c>
      <c r="H60" s="4" t="s">
        <v>1367</v>
      </c>
      <c r="I60" s="4" t="s">
        <v>1368</v>
      </c>
      <c r="J60" s="4" t="s">
        <v>21</v>
      </c>
      <c r="K60" s="4" t="s">
        <v>679</v>
      </c>
      <c r="L60" s="4" t="s">
        <v>22</v>
      </c>
      <c r="M60" s="4" t="s">
        <v>23</v>
      </c>
      <c r="N60" s="4" t="s">
        <v>24</v>
      </c>
      <c r="O60" s="4" t="s">
        <v>25</v>
      </c>
      <c r="P60" s="4" t="s">
        <v>49</v>
      </c>
      <c r="Q60" s="4" t="s">
        <v>40</v>
      </c>
      <c r="R60" s="4" t="s">
        <v>28</v>
      </c>
      <c r="S60" s="4" t="s">
        <v>22</v>
      </c>
    </row>
    <row r="61" spans="1:18" ht="15">
      <c r="A61" s="2">
        <v>44433</v>
      </c>
      <c r="B61" s="25">
        <v>8</v>
      </c>
      <c r="C61" s="25">
        <v>2021</v>
      </c>
      <c r="D61" s="5">
        <v>20834.880000000001</v>
      </c>
      <c r="E61" t="s">
        <v>1403</v>
      </c>
      <c r="F61" t="s">
        <v>51</v>
      </c>
      <c r="G61" t="s">
        <v>52</v>
      </c>
      <c r="H61" t="s">
        <v>1404</v>
      </c>
      <c r="I61" t="s">
        <v>1405</v>
      </c>
      <c r="J61" t="s">
        <v>21</v>
      </c>
      <c r="K61" t="s">
        <v>783</v>
      </c>
      <c r="M61" t="s">
        <v>23</v>
      </c>
      <c r="N61" t="s">
        <v>24</v>
      </c>
      <c r="O61" t="s">
        <v>25</v>
      </c>
      <c r="P61" t="s">
        <v>64</v>
      </c>
      <c r="Q61" t="s">
        <v>40</v>
      </c>
      <c r="R61" t="s">
        <v>28</v>
      </c>
    </row>
    <row r="62" spans="1:18" ht="15">
      <c r="A62" s="2">
        <v>44433</v>
      </c>
      <c r="B62" s="25">
        <v>8</v>
      </c>
      <c r="C62" s="25">
        <v>2021</v>
      </c>
      <c r="D62" s="5">
        <v>92406.009999999995</v>
      </c>
      <c r="E62" t="s">
        <v>1403</v>
      </c>
      <c r="F62" t="s">
        <v>51</v>
      </c>
      <c r="G62" t="s">
        <v>52</v>
      </c>
      <c r="H62" t="s">
        <v>1404</v>
      </c>
      <c r="I62" t="s">
        <v>1405</v>
      </c>
      <c r="J62" t="s">
        <v>21</v>
      </c>
      <c r="K62" t="s">
        <v>783</v>
      </c>
      <c r="M62" t="s">
        <v>23</v>
      </c>
      <c r="N62" t="s">
        <v>24</v>
      </c>
      <c r="O62" t="s">
        <v>25</v>
      </c>
      <c r="P62" t="s">
        <v>61</v>
      </c>
      <c r="Q62" t="s">
        <v>40</v>
      </c>
      <c r="R62" t="s">
        <v>28</v>
      </c>
    </row>
    <row r="63" spans="1:18" ht="15">
      <c r="A63" s="2">
        <v>44432</v>
      </c>
      <c r="B63" s="25">
        <v>8</v>
      </c>
      <c r="C63" s="25">
        <v>2021</v>
      </c>
      <c r="D63" s="5">
        <v>12545.68</v>
      </c>
      <c r="E63" t="s">
        <v>1551</v>
      </c>
      <c r="F63" t="s">
        <v>56</v>
      </c>
      <c r="G63" t="s">
        <v>57</v>
      </c>
      <c r="H63" t="s">
        <v>1552</v>
      </c>
      <c r="I63" t="s">
        <v>1553</v>
      </c>
      <c r="J63" t="s">
        <v>21</v>
      </c>
      <c r="K63" t="s">
        <v>1390</v>
      </c>
      <c r="M63" t="s">
        <v>23</v>
      </c>
      <c r="N63" t="s">
        <v>24</v>
      </c>
      <c r="O63" t="s">
        <v>25</v>
      </c>
      <c r="P63" t="s">
        <v>58</v>
      </c>
      <c r="Q63" t="s">
        <v>40</v>
      </c>
      <c r="R63" t="s">
        <v>28</v>
      </c>
    </row>
    <row r="64" spans="1:18" ht="15">
      <c r="A64" s="2">
        <v>44432</v>
      </c>
      <c r="B64" s="25">
        <v>8</v>
      </c>
      <c r="C64" s="25">
        <v>2021</v>
      </c>
      <c r="D64" s="5">
        <v>106605.32000000001</v>
      </c>
      <c r="E64" t="s">
        <v>1551</v>
      </c>
      <c r="F64" t="s">
        <v>56</v>
      </c>
      <c r="G64" t="s">
        <v>57</v>
      </c>
      <c r="H64" t="s">
        <v>1552</v>
      </c>
      <c r="I64" t="s">
        <v>1553</v>
      </c>
      <c r="J64" t="s">
        <v>31</v>
      </c>
      <c r="K64" t="s">
        <v>1398</v>
      </c>
      <c r="M64" t="s">
        <v>23</v>
      </c>
      <c r="N64" t="s">
        <v>32</v>
      </c>
      <c r="O64" t="s">
        <v>28</v>
      </c>
      <c r="P64" t="s">
        <v>58</v>
      </c>
      <c r="Q64" t="s">
        <v>27</v>
      </c>
      <c r="R64" t="s">
        <v>28</v>
      </c>
    </row>
    <row r="65" spans="1:18" ht="15">
      <c r="A65" s="2">
        <v>44433</v>
      </c>
      <c r="B65" s="25">
        <v>8</v>
      </c>
      <c r="C65" s="25">
        <v>2021</v>
      </c>
      <c r="D65" s="5">
        <v>356794.40000000002</v>
      </c>
      <c r="E65" t="s">
        <v>1403</v>
      </c>
      <c r="F65" t="s">
        <v>51</v>
      </c>
      <c r="G65" t="s">
        <v>52</v>
      </c>
      <c r="H65" t="s">
        <v>1404</v>
      </c>
      <c r="I65" t="s">
        <v>1405</v>
      </c>
      <c r="J65" t="s">
        <v>31</v>
      </c>
      <c r="K65" t="s">
        <v>817</v>
      </c>
      <c r="M65" t="s">
        <v>23</v>
      </c>
      <c r="N65" t="s">
        <v>32</v>
      </c>
      <c r="O65" t="s">
        <v>28</v>
      </c>
      <c r="P65" t="s">
        <v>61</v>
      </c>
      <c r="Q65" t="s">
        <v>50</v>
      </c>
      <c r="R65" t="s">
        <v>28</v>
      </c>
    </row>
    <row r="66" spans="1:18" ht="15">
      <c r="A66" s="2">
        <v>44433</v>
      </c>
      <c r="B66" s="25">
        <v>8</v>
      </c>
      <c r="C66" s="25">
        <v>2021</v>
      </c>
      <c r="D66" s="5">
        <v>91356.820000000007</v>
      </c>
      <c r="E66" t="s">
        <v>1403</v>
      </c>
      <c r="F66" t="s">
        <v>51</v>
      </c>
      <c r="G66" t="s">
        <v>52</v>
      </c>
      <c r="H66" t="s">
        <v>1404</v>
      </c>
      <c r="I66" t="s">
        <v>1405</v>
      </c>
      <c r="J66" t="s">
        <v>31</v>
      </c>
      <c r="K66" t="s">
        <v>817</v>
      </c>
      <c r="M66" t="s">
        <v>23</v>
      </c>
      <c r="N66" t="s">
        <v>32</v>
      </c>
      <c r="O66" t="s">
        <v>34</v>
      </c>
      <c r="P66" t="s">
        <v>49</v>
      </c>
      <c r="Q66" t="s">
        <v>65</v>
      </c>
      <c r="R66" t="s">
        <v>28</v>
      </c>
    </row>
    <row r="67" spans="1:18" ht="15">
      <c r="A67" s="2">
        <v>44433</v>
      </c>
      <c r="B67" s="25">
        <v>8</v>
      </c>
      <c r="C67" s="25">
        <v>2021</v>
      </c>
      <c r="D67" s="5">
        <v>64457.040000000001</v>
      </c>
      <c r="E67" t="s">
        <v>1403</v>
      </c>
      <c r="F67" t="s">
        <v>51</v>
      </c>
      <c r="G67" t="s">
        <v>52</v>
      </c>
      <c r="H67" t="s">
        <v>1404</v>
      </c>
      <c r="I67" t="s">
        <v>1405</v>
      </c>
      <c r="J67" t="s">
        <v>31</v>
      </c>
      <c r="K67" t="s">
        <v>817</v>
      </c>
      <c r="M67" t="s">
        <v>23</v>
      </c>
      <c r="N67" t="s">
        <v>32</v>
      </c>
      <c r="O67" t="s">
        <v>34</v>
      </c>
      <c r="P67" t="s">
        <v>64</v>
      </c>
      <c r="Q67" t="s">
        <v>65</v>
      </c>
      <c r="R67" t="s">
        <v>28</v>
      </c>
    </row>
    <row r="68" spans="1:18" ht="15">
      <c r="A68" s="2">
        <v>44433</v>
      </c>
      <c r="B68" s="25">
        <v>8</v>
      </c>
      <c r="C68" s="25">
        <v>2021</v>
      </c>
      <c r="D68" s="5">
        <v>31641.650000000001</v>
      </c>
      <c r="E68" t="s">
        <v>1403</v>
      </c>
      <c r="F68" t="s">
        <v>51</v>
      </c>
      <c r="G68" t="s">
        <v>52</v>
      </c>
      <c r="H68" t="s">
        <v>1404</v>
      </c>
      <c r="I68" t="s">
        <v>1405</v>
      </c>
      <c r="J68" t="s">
        <v>21</v>
      </c>
      <c r="K68" t="s">
        <v>783</v>
      </c>
      <c r="M68" t="s">
        <v>23</v>
      </c>
      <c r="N68" t="s">
        <v>24</v>
      </c>
      <c r="O68" t="s">
        <v>25</v>
      </c>
      <c r="P68" t="s">
        <v>49</v>
      </c>
      <c r="Q68" t="s">
        <v>40</v>
      </c>
      <c r="R68" t="s">
        <v>28</v>
      </c>
    </row>
    <row r="69" spans="1:18" ht="15">
      <c r="A69" s="2">
        <v>44468</v>
      </c>
      <c r="B69" s="25">
        <v>9</v>
      </c>
      <c r="C69" s="25">
        <v>2021</v>
      </c>
      <c r="D69" s="5">
        <v>91171.460000000006</v>
      </c>
      <c r="E69" t="s">
        <v>1427</v>
      </c>
      <c r="F69" t="s">
        <v>51</v>
      </c>
      <c r="G69" t="s">
        <v>52</v>
      </c>
      <c r="H69" t="s">
        <v>1428</v>
      </c>
      <c r="I69" t="s">
        <v>1429</v>
      </c>
      <c r="J69" t="s">
        <v>31</v>
      </c>
      <c r="K69" t="s">
        <v>897</v>
      </c>
      <c r="M69" t="s">
        <v>23</v>
      </c>
      <c r="N69" t="s">
        <v>32</v>
      </c>
      <c r="O69" t="s">
        <v>34</v>
      </c>
      <c r="P69" t="s">
        <v>49</v>
      </c>
      <c r="Q69" t="s">
        <v>65</v>
      </c>
      <c r="R69" t="s">
        <v>28</v>
      </c>
    </row>
    <row r="70" spans="1:18" ht="15">
      <c r="A70" s="2">
        <v>44463</v>
      </c>
      <c r="B70" s="25">
        <v>9</v>
      </c>
      <c r="C70" s="25">
        <v>2021</v>
      </c>
      <c r="D70" s="5">
        <v>12545.68</v>
      </c>
      <c r="E70" t="s">
        <v>1554</v>
      </c>
      <c r="F70" t="s">
        <v>56</v>
      </c>
      <c r="G70" t="s">
        <v>57</v>
      </c>
      <c r="H70" t="s">
        <v>1555</v>
      </c>
      <c r="I70" t="s">
        <v>1556</v>
      </c>
      <c r="J70" t="s">
        <v>21</v>
      </c>
      <c r="K70" t="s">
        <v>868</v>
      </c>
      <c r="M70" t="s">
        <v>23</v>
      </c>
      <c r="N70" t="s">
        <v>24</v>
      </c>
      <c r="O70" t="s">
        <v>25</v>
      </c>
      <c r="P70" t="s">
        <v>58</v>
      </c>
      <c r="Q70" t="s">
        <v>40</v>
      </c>
      <c r="R70" t="s">
        <v>28</v>
      </c>
    </row>
    <row r="71" spans="1:18" ht="15">
      <c r="A71" s="2">
        <v>44468</v>
      </c>
      <c r="B71" s="25">
        <v>9</v>
      </c>
      <c r="C71" s="25">
        <v>2021</v>
      </c>
      <c r="D71" s="5">
        <v>64286.440000000002</v>
      </c>
      <c r="E71" t="s">
        <v>1427</v>
      </c>
      <c r="F71" t="s">
        <v>51</v>
      </c>
      <c r="G71" t="s">
        <v>52</v>
      </c>
      <c r="H71" t="s">
        <v>1428</v>
      </c>
      <c r="I71" t="s">
        <v>1429</v>
      </c>
      <c r="J71" t="s">
        <v>31</v>
      </c>
      <c r="K71" t="s">
        <v>897</v>
      </c>
      <c r="M71" t="s">
        <v>23</v>
      </c>
      <c r="N71" t="s">
        <v>32</v>
      </c>
      <c r="O71" t="s">
        <v>34</v>
      </c>
      <c r="P71" t="s">
        <v>64</v>
      </c>
      <c r="Q71" t="s">
        <v>65</v>
      </c>
      <c r="R71" t="s">
        <v>28</v>
      </c>
    </row>
    <row r="72" spans="1:18" ht="15">
      <c r="A72" s="2">
        <v>44468</v>
      </c>
      <c r="B72" s="25">
        <v>9</v>
      </c>
      <c r="C72" s="25">
        <v>2021</v>
      </c>
      <c r="D72" s="5">
        <v>93156.820000000007</v>
      </c>
      <c r="E72" t="s">
        <v>1427</v>
      </c>
      <c r="F72" t="s">
        <v>51</v>
      </c>
      <c r="G72" t="s">
        <v>52</v>
      </c>
      <c r="H72" t="s">
        <v>1428</v>
      </c>
      <c r="I72" t="s">
        <v>1429</v>
      </c>
      <c r="J72" t="s">
        <v>21</v>
      </c>
      <c r="K72" t="s">
        <v>910</v>
      </c>
      <c r="M72" t="s">
        <v>23</v>
      </c>
      <c r="N72" t="s">
        <v>24</v>
      </c>
      <c r="O72" t="s">
        <v>25</v>
      </c>
      <c r="P72" t="s">
        <v>61</v>
      </c>
      <c r="Q72" t="s">
        <v>40</v>
      </c>
      <c r="R72" t="s">
        <v>28</v>
      </c>
    </row>
    <row r="73" spans="1:18" ht="15">
      <c r="A73" s="2">
        <v>44468</v>
      </c>
      <c r="B73" s="25">
        <v>9</v>
      </c>
      <c r="C73" s="25">
        <v>2021</v>
      </c>
      <c r="D73" s="5">
        <v>357951.34000000003</v>
      </c>
      <c r="E73" t="s">
        <v>1427</v>
      </c>
      <c r="F73" t="s">
        <v>51</v>
      </c>
      <c r="G73" t="s">
        <v>52</v>
      </c>
      <c r="H73" t="s">
        <v>1428</v>
      </c>
      <c r="I73" t="s">
        <v>1429</v>
      </c>
      <c r="J73" t="s">
        <v>31</v>
      </c>
      <c r="K73" t="s">
        <v>897</v>
      </c>
      <c r="M73" t="s">
        <v>23</v>
      </c>
      <c r="N73" t="s">
        <v>32</v>
      </c>
      <c r="O73" t="s">
        <v>28</v>
      </c>
      <c r="P73" t="s">
        <v>61</v>
      </c>
      <c r="Q73" t="s">
        <v>50</v>
      </c>
      <c r="R73" t="s">
        <v>28</v>
      </c>
    </row>
    <row r="74" spans="1:18" ht="15">
      <c r="A74" s="2">
        <v>44468</v>
      </c>
      <c r="B74" s="25">
        <v>9</v>
      </c>
      <c r="C74" s="25">
        <v>2021</v>
      </c>
      <c r="D74" s="5">
        <v>31462.209999999999</v>
      </c>
      <c r="E74" t="s">
        <v>1427</v>
      </c>
      <c r="F74" t="s">
        <v>51</v>
      </c>
      <c r="G74" t="s">
        <v>52</v>
      </c>
      <c r="H74" t="s">
        <v>1428</v>
      </c>
      <c r="I74" t="s">
        <v>1429</v>
      </c>
      <c r="J74" t="s">
        <v>21</v>
      </c>
      <c r="K74" t="s">
        <v>910</v>
      </c>
      <c r="M74" t="s">
        <v>23</v>
      </c>
      <c r="N74" t="s">
        <v>24</v>
      </c>
      <c r="O74" t="s">
        <v>25</v>
      </c>
      <c r="P74" t="s">
        <v>49</v>
      </c>
      <c r="Q74" t="s">
        <v>40</v>
      </c>
      <c r="R74" t="s">
        <v>28</v>
      </c>
    </row>
    <row r="75" spans="1:18" ht="15">
      <c r="A75" s="2">
        <v>44463</v>
      </c>
      <c r="B75" s="25">
        <v>9</v>
      </c>
      <c r="C75" s="25">
        <v>2021</v>
      </c>
      <c r="D75" s="5">
        <v>96653.229999999996</v>
      </c>
      <c r="E75" t="s">
        <v>1554</v>
      </c>
      <c r="F75" t="s">
        <v>56</v>
      </c>
      <c r="G75" t="s">
        <v>57</v>
      </c>
      <c r="H75" t="s">
        <v>1555</v>
      </c>
      <c r="I75" t="s">
        <v>1556</v>
      </c>
      <c r="J75" t="s">
        <v>31</v>
      </c>
      <c r="K75" t="s">
        <v>869</v>
      </c>
      <c r="M75" t="s">
        <v>23</v>
      </c>
      <c r="N75" t="s">
        <v>32</v>
      </c>
      <c r="O75" t="s">
        <v>28</v>
      </c>
      <c r="P75" t="s">
        <v>58</v>
      </c>
      <c r="Q75" t="s">
        <v>27</v>
      </c>
      <c r="R75" t="s">
        <v>28</v>
      </c>
    </row>
    <row r="76" spans="1:18" ht="15">
      <c r="A76" s="2">
        <v>44468</v>
      </c>
      <c r="B76" s="25">
        <v>9</v>
      </c>
      <c r="C76" s="25">
        <v>2021</v>
      </c>
      <c r="D76" s="5">
        <v>20855.91</v>
      </c>
      <c r="E76" t="s">
        <v>1427</v>
      </c>
      <c r="F76" t="s">
        <v>51</v>
      </c>
      <c r="G76" t="s">
        <v>52</v>
      </c>
      <c r="H76" t="s">
        <v>1428</v>
      </c>
      <c r="I76" t="s">
        <v>1429</v>
      </c>
      <c r="J76" t="s">
        <v>21</v>
      </c>
      <c r="K76" t="s">
        <v>910</v>
      </c>
      <c r="M76" t="s">
        <v>23</v>
      </c>
      <c r="N76" t="s">
        <v>24</v>
      </c>
      <c r="O76" t="s">
        <v>25</v>
      </c>
      <c r="P76" t="s">
        <v>64</v>
      </c>
      <c r="Q76" t="s">
        <v>40</v>
      </c>
      <c r="R76" t="s">
        <v>28</v>
      </c>
    </row>
    <row r="77" spans="1:18" ht="15">
      <c r="A77" s="2">
        <v>44496</v>
      </c>
      <c r="B77" s="25">
        <v>10</v>
      </c>
      <c r="C77" s="25">
        <v>2021</v>
      </c>
      <c r="D77" s="5">
        <v>92945.880000000005</v>
      </c>
      <c r="E77" t="s">
        <v>1455</v>
      </c>
      <c r="F77" t="s">
        <v>51</v>
      </c>
      <c r="G77" t="s">
        <v>52</v>
      </c>
      <c r="H77" t="s">
        <v>1456</v>
      </c>
      <c r="I77" t="s">
        <v>1457</v>
      </c>
      <c r="J77" t="s">
        <v>21</v>
      </c>
      <c r="K77" t="s">
        <v>942</v>
      </c>
      <c r="M77" t="s">
        <v>23</v>
      </c>
      <c r="N77" t="s">
        <v>24</v>
      </c>
      <c r="O77" t="s">
        <v>25</v>
      </c>
      <c r="P77" t="s">
        <v>61</v>
      </c>
      <c r="Q77" t="s">
        <v>40</v>
      </c>
      <c r="R77" t="s">
        <v>28</v>
      </c>
    </row>
    <row r="78" spans="1:18" ht="15">
      <c r="A78" s="2">
        <v>44496</v>
      </c>
      <c r="B78" s="25">
        <v>10</v>
      </c>
      <c r="C78" s="25">
        <v>2021</v>
      </c>
      <c r="D78" s="5">
        <v>90359.440000000002</v>
      </c>
      <c r="E78" t="s">
        <v>1455</v>
      </c>
      <c r="F78" t="s">
        <v>51</v>
      </c>
      <c r="G78" t="s">
        <v>52</v>
      </c>
      <c r="H78" t="s">
        <v>1456</v>
      </c>
      <c r="I78" t="s">
        <v>1457</v>
      </c>
      <c r="J78" t="s">
        <v>31</v>
      </c>
      <c r="K78" t="s">
        <v>926</v>
      </c>
      <c r="M78" t="s">
        <v>23</v>
      </c>
      <c r="N78" t="s">
        <v>32</v>
      </c>
      <c r="O78" t="s">
        <v>34</v>
      </c>
      <c r="P78" t="s">
        <v>49</v>
      </c>
      <c r="Q78" t="s">
        <v>65</v>
      </c>
      <c r="R78" t="s">
        <v>28</v>
      </c>
    </row>
    <row r="79" spans="1:18" ht="15">
      <c r="A79" s="2">
        <v>44494</v>
      </c>
      <c r="B79" s="25">
        <v>10</v>
      </c>
      <c r="C79" s="25">
        <v>2021</v>
      </c>
      <c r="D79" s="5">
        <v>8564.8299999999999</v>
      </c>
      <c r="E79" t="s">
        <v>1557</v>
      </c>
      <c r="F79" t="s">
        <v>56</v>
      </c>
      <c r="G79" t="s">
        <v>57</v>
      </c>
      <c r="H79" t="s">
        <v>1558</v>
      </c>
      <c r="I79" t="s">
        <v>1559</v>
      </c>
      <c r="J79" t="s">
        <v>21</v>
      </c>
      <c r="K79" t="s">
        <v>1463</v>
      </c>
      <c r="M79" t="s">
        <v>23</v>
      </c>
      <c r="N79" t="s">
        <v>24</v>
      </c>
      <c r="O79" t="s">
        <v>25</v>
      </c>
      <c r="P79" t="s">
        <v>58</v>
      </c>
      <c r="Q79" t="s">
        <v>40</v>
      </c>
      <c r="R79" t="s">
        <v>28</v>
      </c>
    </row>
    <row r="80" spans="1:18" ht="15">
      <c r="A80" s="2">
        <v>44494</v>
      </c>
      <c r="B80" s="25">
        <v>10</v>
      </c>
      <c r="C80" s="25">
        <v>2021</v>
      </c>
      <c r="D80" s="5">
        <v>100634.07000000001</v>
      </c>
      <c r="E80" t="s">
        <v>1557</v>
      </c>
      <c r="F80" t="s">
        <v>56</v>
      </c>
      <c r="G80" t="s">
        <v>57</v>
      </c>
      <c r="H80" t="s">
        <v>1558</v>
      </c>
      <c r="I80" t="s">
        <v>1559</v>
      </c>
      <c r="J80" t="s">
        <v>31</v>
      </c>
      <c r="K80" t="s">
        <v>1442</v>
      </c>
      <c r="M80" t="s">
        <v>23</v>
      </c>
      <c r="N80" t="s">
        <v>32</v>
      </c>
      <c r="O80" t="s">
        <v>28</v>
      </c>
      <c r="P80" t="s">
        <v>58</v>
      </c>
      <c r="Q80" t="s">
        <v>27</v>
      </c>
      <c r="R80" t="s">
        <v>28</v>
      </c>
    </row>
    <row r="81" spans="1:18" ht="15">
      <c r="A81" s="2">
        <v>44496</v>
      </c>
      <c r="B81" s="25">
        <v>10</v>
      </c>
      <c r="C81" s="25">
        <v>2021</v>
      </c>
      <c r="D81" s="5">
        <v>63520.82</v>
      </c>
      <c r="E81" t="s">
        <v>1455</v>
      </c>
      <c r="F81" t="s">
        <v>51</v>
      </c>
      <c r="G81" t="s">
        <v>52</v>
      </c>
      <c r="H81" t="s">
        <v>1456</v>
      </c>
      <c r="I81" t="s">
        <v>1457</v>
      </c>
      <c r="J81" t="s">
        <v>31</v>
      </c>
      <c r="K81" t="s">
        <v>926</v>
      </c>
      <c r="M81" t="s">
        <v>23</v>
      </c>
      <c r="N81" t="s">
        <v>32</v>
      </c>
      <c r="O81" t="s">
        <v>34</v>
      </c>
      <c r="P81" t="s">
        <v>64</v>
      </c>
      <c r="Q81" t="s">
        <v>65</v>
      </c>
      <c r="R81" t="s">
        <v>28</v>
      </c>
    </row>
    <row r="82" spans="1:18" ht="15">
      <c r="A82" s="2">
        <v>44496</v>
      </c>
      <c r="B82" s="25">
        <v>10</v>
      </c>
      <c r="C82" s="25">
        <v>2021</v>
      </c>
      <c r="D82" s="5">
        <v>31323.790000000001</v>
      </c>
      <c r="E82" t="s">
        <v>1455</v>
      </c>
      <c r="F82" t="s">
        <v>51</v>
      </c>
      <c r="G82" t="s">
        <v>52</v>
      </c>
      <c r="H82" t="s">
        <v>1456</v>
      </c>
      <c r="I82" t="s">
        <v>1457</v>
      </c>
      <c r="J82" t="s">
        <v>21</v>
      </c>
      <c r="K82" t="s">
        <v>942</v>
      </c>
      <c r="M82" t="s">
        <v>23</v>
      </c>
      <c r="N82" t="s">
        <v>24</v>
      </c>
      <c r="O82" t="s">
        <v>25</v>
      </c>
      <c r="P82" t="s">
        <v>49</v>
      </c>
      <c r="Q82" t="s">
        <v>40</v>
      </c>
      <c r="R82" t="s">
        <v>28</v>
      </c>
    </row>
    <row r="83" spans="1:18" ht="15">
      <c r="A83" s="2">
        <v>44496</v>
      </c>
      <c r="B83" s="25">
        <v>10</v>
      </c>
      <c r="C83" s="25">
        <v>2021</v>
      </c>
      <c r="D83" s="5">
        <v>20782.84</v>
      </c>
      <c r="E83" t="s">
        <v>1455</v>
      </c>
      <c r="F83" t="s">
        <v>51</v>
      </c>
      <c r="G83" t="s">
        <v>52</v>
      </c>
      <c r="H83" t="s">
        <v>1456</v>
      </c>
      <c r="I83" t="s">
        <v>1457</v>
      </c>
      <c r="J83" t="s">
        <v>21</v>
      </c>
      <c r="K83" t="s">
        <v>942</v>
      </c>
      <c r="M83" t="s">
        <v>23</v>
      </c>
      <c r="N83" t="s">
        <v>24</v>
      </c>
      <c r="O83" t="s">
        <v>25</v>
      </c>
      <c r="P83" t="s">
        <v>64</v>
      </c>
      <c r="Q83" t="s">
        <v>40</v>
      </c>
      <c r="R83" t="s">
        <v>28</v>
      </c>
    </row>
    <row r="84" spans="1:18" ht="15">
      <c r="A84" s="2">
        <v>44496</v>
      </c>
      <c r="B84" s="25">
        <v>10</v>
      </c>
      <c r="C84" s="25">
        <v>2021</v>
      </c>
      <c r="D84" s="5">
        <v>351675.73999999999</v>
      </c>
      <c r="E84" t="s">
        <v>1455</v>
      </c>
      <c r="F84" t="s">
        <v>51</v>
      </c>
      <c r="G84" t="s">
        <v>52</v>
      </c>
      <c r="H84" t="s">
        <v>1456</v>
      </c>
      <c r="I84" t="s">
        <v>1457</v>
      </c>
      <c r="J84" t="s">
        <v>31</v>
      </c>
      <c r="K84" t="s">
        <v>926</v>
      </c>
      <c r="M84" t="s">
        <v>23</v>
      </c>
      <c r="N84" t="s">
        <v>32</v>
      </c>
      <c r="O84" t="s">
        <v>28</v>
      </c>
      <c r="P84" t="s">
        <v>61</v>
      </c>
      <c r="Q84" t="s">
        <v>50</v>
      </c>
      <c r="R84" t="s">
        <v>28</v>
      </c>
    </row>
    <row r="85" spans="1:18" ht="15">
      <c r="A85" s="2">
        <v>44522</v>
      </c>
      <c r="B85" s="25">
        <v>11</v>
      </c>
      <c r="C85" s="25">
        <v>2021</v>
      </c>
      <c r="D85" s="5">
        <v>63579.93</v>
      </c>
      <c r="E85" t="s">
        <v>1481</v>
      </c>
      <c r="F85" t="s">
        <v>51</v>
      </c>
      <c r="G85" t="s">
        <v>52</v>
      </c>
      <c r="H85" t="s">
        <v>1482</v>
      </c>
      <c r="I85" t="s">
        <v>1483</v>
      </c>
      <c r="J85" t="s">
        <v>31</v>
      </c>
      <c r="K85" t="s">
        <v>1009</v>
      </c>
      <c r="M85" t="s">
        <v>23</v>
      </c>
      <c r="N85" t="s">
        <v>32</v>
      </c>
      <c r="O85" t="s">
        <v>34</v>
      </c>
      <c r="P85" t="s">
        <v>64</v>
      </c>
      <c r="Q85" t="s">
        <v>65</v>
      </c>
      <c r="R85" t="s">
        <v>28</v>
      </c>
    </row>
    <row r="86" spans="1:18" ht="15">
      <c r="A86" s="2">
        <v>44522</v>
      </c>
      <c r="B86" s="25">
        <v>11</v>
      </c>
      <c r="C86" s="25">
        <v>2021</v>
      </c>
      <c r="D86" s="5">
        <v>30840.310000000001</v>
      </c>
      <c r="E86" t="s">
        <v>1481</v>
      </c>
      <c r="F86" t="s">
        <v>51</v>
      </c>
      <c r="G86" t="s">
        <v>52</v>
      </c>
      <c r="H86" t="s">
        <v>1482</v>
      </c>
      <c r="I86" t="s">
        <v>1483</v>
      </c>
      <c r="J86" t="s">
        <v>21</v>
      </c>
      <c r="K86" t="s">
        <v>1005</v>
      </c>
      <c r="M86" t="s">
        <v>23</v>
      </c>
      <c r="N86" t="s">
        <v>24</v>
      </c>
      <c r="O86" t="s">
        <v>25</v>
      </c>
      <c r="P86" t="s">
        <v>49</v>
      </c>
      <c r="Q86" t="s">
        <v>40</v>
      </c>
      <c r="R86" t="s">
        <v>28</v>
      </c>
    </row>
    <row r="87" spans="1:18" ht="15">
      <c r="A87" s="2">
        <v>44522</v>
      </c>
      <c r="B87" s="25">
        <v>11</v>
      </c>
      <c r="C87" s="25">
        <v>2021</v>
      </c>
      <c r="D87" s="5">
        <v>90475.429999999993</v>
      </c>
      <c r="E87" t="s">
        <v>1481</v>
      </c>
      <c r="F87" t="s">
        <v>51</v>
      </c>
      <c r="G87" t="s">
        <v>52</v>
      </c>
      <c r="H87" t="s">
        <v>1482</v>
      </c>
      <c r="I87" t="s">
        <v>1483</v>
      </c>
      <c r="J87" t="s">
        <v>31</v>
      </c>
      <c r="K87" t="s">
        <v>1009</v>
      </c>
      <c r="M87" t="s">
        <v>23</v>
      </c>
      <c r="N87" t="s">
        <v>32</v>
      </c>
      <c r="O87" t="s">
        <v>34</v>
      </c>
      <c r="P87" t="s">
        <v>49</v>
      </c>
      <c r="Q87" t="s">
        <v>65</v>
      </c>
      <c r="R87" t="s">
        <v>28</v>
      </c>
    </row>
    <row r="88" spans="1:18" ht="15">
      <c r="A88" s="2">
        <v>44522</v>
      </c>
      <c r="B88" s="25">
        <v>11</v>
      </c>
      <c r="C88" s="25">
        <v>2021</v>
      </c>
      <c r="D88" s="5">
        <v>20499.509999999998</v>
      </c>
      <c r="E88" t="s">
        <v>1481</v>
      </c>
      <c r="F88" t="s">
        <v>51</v>
      </c>
      <c r="G88" t="s">
        <v>52</v>
      </c>
      <c r="H88" t="s">
        <v>1482</v>
      </c>
      <c r="I88" t="s">
        <v>1483</v>
      </c>
      <c r="J88" t="s">
        <v>21</v>
      </c>
      <c r="K88" t="s">
        <v>1005</v>
      </c>
      <c r="M88" t="s">
        <v>23</v>
      </c>
      <c r="N88" t="s">
        <v>24</v>
      </c>
      <c r="O88" t="s">
        <v>25</v>
      </c>
      <c r="P88" t="s">
        <v>64</v>
      </c>
      <c r="Q88" t="s">
        <v>40</v>
      </c>
      <c r="R88" t="s">
        <v>28</v>
      </c>
    </row>
    <row r="89" spans="1:18" ht="15">
      <c r="A89" s="2">
        <v>44524</v>
      </c>
      <c r="B89" s="25">
        <v>11</v>
      </c>
      <c r="C89" s="25">
        <v>2021</v>
      </c>
      <c r="D89" s="5">
        <v>11218.73</v>
      </c>
      <c r="E89" t="s">
        <v>1560</v>
      </c>
      <c r="F89" t="s">
        <v>56</v>
      </c>
      <c r="G89" t="s">
        <v>57</v>
      </c>
      <c r="H89" t="s">
        <v>1561</v>
      </c>
      <c r="I89" t="s">
        <v>1562</v>
      </c>
      <c r="J89" t="s">
        <v>21</v>
      </c>
      <c r="K89" t="s">
        <v>1563</v>
      </c>
      <c r="M89" t="s">
        <v>23</v>
      </c>
      <c r="N89" t="s">
        <v>24</v>
      </c>
      <c r="O89" t="s">
        <v>25</v>
      </c>
      <c r="P89" t="s">
        <v>58</v>
      </c>
      <c r="Q89" t="s">
        <v>40</v>
      </c>
      <c r="R89" t="s">
        <v>28</v>
      </c>
    </row>
    <row r="90" spans="1:18" ht="15">
      <c r="A90" s="2">
        <v>44522</v>
      </c>
      <c r="B90" s="25">
        <v>11</v>
      </c>
      <c r="C90" s="25">
        <v>2021</v>
      </c>
      <c r="D90" s="5">
        <v>350645.46000000002</v>
      </c>
      <c r="E90" t="s">
        <v>1481</v>
      </c>
      <c r="F90" t="s">
        <v>51</v>
      </c>
      <c r="G90" t="s">
        <v>52</v>
      </c>
      <c r="H90" t="s">
        <v>1482</v>
      </c>
      <c r="I90" t="s">
        <v>1483</v>
      </c>
      <c r="J90" t="s">
        <v>31</v>
      </c>
      <c r="K90" t="s">
        <v>1009</v>
      </c>
      <c r="M90" t="s">
        <v>23</v>
      </c>
      <c r="N90" t="s">
        <v>32</v>
      </c>
      <c r="O90" t="s">
        <v>28</v>
      </c>
      <c r="P90" t="s">
        <v>61</v>
      </c>
      <c r="Q90" t="s">
        <v>50</v>
      </c>
      <c r="R90" t="s">
        <v>28</v>
      </c>
    </row>
    <row r="91" spans="1:18" ht="15">
      <c r="A91" s="2">
        <v>44524</v>
      </c>
      <c r="B91" s="25">
        <v>11</v>
      </c>
      <c r="C91" s="25">
        <v>2021</v>
      </c>
      <c r="D91" s="5">
        <v>97139.75</v>
      </c>
      <c r="E91" t="s">
        <v>1560</v>
      </c>
      <c r="F91" t="s">
        <v>56</v>
      </c>
      <c r="G91" t="s">
        <v>57</v>
      </c>
      <c r="H91" t="s">
        <v>1561</v>
      </c>
      <c r="I91" t="s">
        <v>1562</v>
      </c>
      <c r="J91" t="s">
        <v>31</v>
      </c>
      <c r="K91" t="s">
        <v>1564</v>
      </c>
      <c r="M91" t="s">
        <v>23</v>
      </c>
      <c r="N91" t="s">
        <v>32</v>
      </c>
      <c r="O91" t="s">
        <v>28</v>
      </c>
      <c r="P91" t="s">
        <v>58</v>
      </c>
      <c r="Q91" t="s">
        <v>27</v>
      </c>
      <c r="R91" t="s">
        <v>28</v>
      </c>
    </row>
    <row r="92" spans="1:18" ht="15">
      <c r="A92" s="2">
        <v>44522</v>
      </c>
      <c r="B92" s="25">
        <v>11</v>
      </c>
      <c r="C92" s="25">
        <v>2021</v>
      </c>
      <c r="D92" s="5">
        <v>91377.020000000004</v>
      </c>
      <c r="E92" t="s">
        <v>1481</v>
      </c>
      <c r="F92" t="s">
        <v>51</v>
      </c>
      <c r="G92" t="s">
        <v>52</v>
      </c>
      <c r="H92" t="s">
        <v>1482</v>
      </c>
      <c r="I92" t="s">
        <v>1483</v>
      </c>
      <c r="J92" t="s">
        <v>21</v>
      </c>
      <c r="K92" t="s">
        <v>1005</v>
      </c>
      <c r="M92" t="s">
        <v>23</v>
      </c>
      <c r="N92" t="s">
        <v>24</v>
      </c>
      <c r="O92" t="s">
        <v>25</v>
      </c>
      <c r="P92" t="s">
        <v>61</v>
      </c>
      <c r="Q92" t="s">
        <v>40</v>
      </c>
      <c r="R92" t="s">
        <v>28</v>
      </c>
    </row>
    <row r="93" spans="1:18" ht="15">
      <c r="A93" s="2">
        <v>44551</v>
      </c>
      <c r="B93" s="25">
        <v>12</v>
      </c>
      <c r="C93" s="25">
        <v>2021</v>
      </c>
      <c r="D93" s="5">
        <v>64423.709999999999</v>
      </c>
      <c r="E93" t="s">
        <v>1504</v>
      </c>
      <c r="F93" t="s">
        <v>51</v>
      </c>
      <c r="G93" t="s">
        <v>52</v>
      </c>
      <c r="H93" t="s">
        <v>1505</v>
      </c>
      <c r="I93" t="s">
        <v>1506</v>
      </c>
      <c r="J93" t="s">
        <v>31</v>
      </c>
      <c r="K93" t="s">
        <v>1114</v>
      </c>
      <c r="M93" t="s">
        <v>23</v>
      </c>
      <c r="N93" t="s">
        <v>32</v>
      </c>
      <c r="O93" t="s">
        <v>34</v>
      </c>
      <c r="P93" t="s">
        <v>64</v>
      </c>
      <c r="Q93" t="s">
        <v>65</v>
      </c>
      <c r="R93" t="s">
        <v>28</v>
      </c>
    </row>
    <row r="94" spans="1:18" ht="15">
      <c r="A94" s="2">
        <v>44551</v>
      </c>
      <c r="B94" s="25">
        <v>12</v>
      </c>
      <c r="C94" s="25">
        <v>2021</v>
      </c>
      <c r="D94" s="5">
        <v>31131.009999999998</v>
      </c>
      <c r="E94" t="s">
        <v>1504</v>
      </c>
      <c r="F94" t="s">
        <v>51</v>
      </c>
      <c r="G94" t="s">
        <v>52</v>
      </c>
      <c r="H94" t="s">
        <v>1505</v>
      </c>
      <c r="I94" t="s">
        <v>1506</v>
      </c>
      <c r="J94" t="s">
        <v>21</v>
      </c>
      <c r="K94" t="s">
        <v>1125</v>
      </c>
      <c r="M94" t="s">
        <v>23</v>
      </c>
      <c r="N94" t="s">
        <v>24</v>
      </c>
      <c r="O94" t="s">
        <v>25</v>
      </c>
      <c r="P94" t="s">
        <v>49</v>
      </c>
      <c r="Q94" t="s">
        <v>40</v>
      </c>
      <c r="R94" t="s">
        <v>28</v>
      </c>
    </row>
    <row r="95" spans="1:18" ht="15">
      <c r="A95" s="2">
        <v>44551</v>
      </c>
      <c r="B95" s="25">
        <v>12</v>
      </c>
      <c r="C95" s="25">
        <v>2021</v>
      </c>
      <c r="D95" s="5">
        <v>20688.66</v>
      </c>
      <c r="E95" t="s">
        <v>1504</v>
      </c>
      <c r="F95" t="s">
        <v>51</v>
      </c>
      <c r="G95" t="s">
        <v>52</v>
      </c>
      <c r="H95" t="s">
        <v>1505</v>
      </c>
      <c r="I95" t="s">
        <v>1506</v>
      </c>
      <c r="J95" t="s">
        <v>21</v>
      </c>
      <c r="K95" t="s">
        <v>1125</v>
      </c>
      <c r="M95" t="s">
        <v>23</v>
      </c>
      <c r="N95" t="s">
        <v>24</v>
      </c>
      <c r="O95" t="s">
        <v>25</v>
      </c>
      <c r="P95" t="s">
        <v>64</v>
      </c>
      <c r="Q95" t="s">
        <v>40</v>
      </c>
      <c r="R95" t="s">
        <v>28</v>
      </c>
    </row>
    <row r="96" spans="1:18" ht="15">
      <c r="A96" s="2">
        <v>44551</v>
      </c>
      <c r="B96" s="25">
        <v>12</v>
      </c>
      <c r="C96" s="25">
        <v>2021</v>
      </c>
      <c r="D96" s="5">
        <v>92794.110000000001</v>
      </c>
      <c r="E96" t="s">
        <v>1504</v>
      </c>
      <c r="F96" t="s">
        <v>51</v>
      </c>
      <c r="G96" t="s">
        <v>52</v>
      </c>
      <c r="H96" t="s">
        <v>1505</v>
      </c>
      <c r="I96" t="s">
        <v>1506</v>
      </c>
      <c r="J96" t="s">
        <v>21</v>
      </c>
      <c r="K96" t="s">
        <v>1125</v>
      </c>
      <c r="M96" t="s">
        <v>23</v>
      </c>
      <c r="N96" t="s">
        <v>24</v>
      </c>
      <c r="O96" t="s">
        <v>25</v>
      </c>
      <c r="P96" t="s">
        <v>61</v>
      </c>
      <c r="Q96" t="s">
        <v>40</v>
      </c>
      <c r="R96" t="s">
        <v>28</v>
      </c>
    </row>
    <row r="97" spans="1:18" ht="15">
      <c r="A97" s="2">
        <v>44551</v>
      </c>
      <c r="B97" s="25">
        <v>12</v>
      </c>
      <c r="C97" s="25">
        <v>2021</v>
      </c>
      <c r="D97" s="5">
        <v>351948.13</v>
      </c>
      <c r="E97" t="s">
        <v>1504</v>
      </c>
      <c r="F97" t="s">
        <v>51</v>
      </c>
      <c r="G97" t="s">
        <v>52</v>
      </c>
      <c r="H97" t="s">
        <v>1505</v>
      </c>
      <c r="I97" t="s">
        <v>1506</v>
      </c>
      <c r="J97" t="s">
        <v>31</v>
      </c>
      <c r="K97" t="s">
        <v>1114</v>
      </c>
      <c r="M97" t="s">
        <v>23</v>
      </c>
      <c r="N97" t="s">
        <v>32</v>
      </c>
      <c r="O97" t="s">
        <v>28</v>
      </c>
      <c r="P97" t="s">
        <v>61</v>
      </c>
      <c r="Q97" t="s">
        <v>50</v>
      </c>
      <c r="R97" t="s">
        <v>28</v>
      </c>
    </row>
    <row r="98" spans="1:18" ht="15">
      <c r="A98" s="2">
        <v>44551</v>
      </c>
      <c r="B98" s="25">
        <v>12</v>
      </c>
      <c r="C98" s="25">
        <v>2021</v>
      </c>
      <c r="D98" s="5">
        <v>91876.020000000004</v>
      </c>
      <c r="E98" t="s">
        <v>1504</v>
      </c>
      <c r="F98" t="s">
        <v>51</v>
      </c>
      <c r="G98" t="s">
        <v>52</v>
      </c>
      <c r="H98" t="s">
        <v>1505</v>
      </c>
      <c r="I98" t="s">
        <v>1506</v>
      </c>
      <c r="J98" t="s">
        <v>31</v>
      </c>
      <c r="K98" t="s">
        <v>1114</v>
      </c>
      <c r="M98" t="s">
        <v>23</v>
      </c>
      <c r="N98" t="s">
        <v>32</v>
      </c>
      <c r="O98" t="s">
        <v>34</v>
      </c>
      <c r="P98" t="s">
        <v>49</v>
      </c>
      <c r="Q98" t="s">
        <v>65</v>
      </c>
      <c r="R98" t="s">
        <v>28</v>
      </c>
    </row>
  </sheetData>
  <autoFilter ref="A2:S98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Claims Pivot</vt:lpstr>
      <vt:lpstr>Claims Query</vt:lpstr>
      <vt:lpstr>Admin Fee Pivot</vt:lpstr>
      <vt:lpstr>Admin Fee Query</vt:lpstr>
      <vt:lpstr>Admin Fee Notes from HR</vt:lpstr>
      <vt:lpstr>Premiums Pivot</vt:lpstr>
      <vt:lpstr>Premiums Query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