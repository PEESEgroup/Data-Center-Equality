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28800" windowHeight="12705" activeTab="0"/>
  </bookViews>
  <sheets>
    <sheet name="Sheet1" sheetId="1" r:id="rId2"/>
  </sheets>
  <definedNames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6" i="1" l="1"/>
</calcChain>
</file>

<file path=xl/sharedStrings.xml><?xml version="1.0" encoding="utf-8"?>
<sst xmlns="http://schemas.openxmlformats.org/spreadsheetml/2006/main" count="67" uniqueCount="55">
  <si>
    <t>Chassis VIN</t>
  </si>
  <si>
    <t>Year</t>
  </si>
  <si>
    <t>Plate #</t>
  </si>
  <si>
    <t>PST #</t>
  </si>
  <si>
    <t>PSM #</t>
  </si>
  <si>
    <t>Size</t>
  </si>
  <si>
    <t>Delivery Date</t>
  </si>
  <si>
    <t>Location</t>
  </si>
  <si>
    <t>5JYSC4036NPC23759</t>
  </si>
  <si>
    <t>AL95801</t>
  </si>
  <si>
    <t>PST0121</t>
  </si>
  <si>
    <t>PSM156</t>
  </si>
  <si>
    <t>1250 kW</t>
  </si>
  <si>
    <t>Temple</t>
  </si>
  <si>
    <t>3H3C413S18T321230</t>
  </si>
  <si>
    <t>AM19548</t>
  </si>
  <si>
    <t>PST0126</t>
  </si>
  <si>
    <t>PSM169</t>
  </si>
  <si>
    <t>Stanton</t>
  </si>
  <si>
    <t>1S95C4034GG724264</t>
  </si>
  <si>
    <t>AL95734</t>
  </si>
  <si>
    <t>PST0119</t>
  </si>
  <si>
    <t>PSM179</t>
  </si>
  <si>
    <t>SOSF</t>
  </si>
  <si>
    <t>5JYSC4039NPC24579</t>
  </si>
  <si>
    <t>N/A</t>
  </si>
  <si>
    <t>PSM180</t>
  </si>
  <si>
    <t>1S95C4035FG724160</t>
  </si>
  <si>
    <t>PSM181</t>
  </si>
  <si>
    <t>625 kW</t>
  </si>
  <si>
    <t>57VBA2322M2000011</t>
  </si>
  <si>
    <t>AM60613</t>
  </si>
  <si>
    <t>PST0138</t>
  </si>
  <si>
    <t>PSM175</t>
  </si>
  <si>
    <t>LJRC28262MT000277</t>
  </si>
  <si>
    <t>AM60610</t>
  </si>
  <si>
    <t>PST0140</t>
  </si>
  <si>
    <t>PSM176</t>
  </si>
  <si>
    <t>Annual Equipment Maintenance Fees</t>
  </si>
  <si>
    <t>Semi-annual minor</t>
  </si>
  <si>
    <t>Annual major</t>
  </si>
  <si>
    <t xml:space="preserve">ARI maintenance program </t>
  </si>
  <si>
    <t>multiply *2</t>
  </si>
  <si>
    <t>$4/month</t>
  </si>
  <si>
    <t>Seven mobile generators received in 2021</t>
  </si>
  <si>
    <t>Oncor Electric Delivery Company LLC</t>
  </si>
  <si>
    <r>
      <t xml:space="preserve">K&amp;M O&amp;M Adjustment to include maintenance fees for seven mobile generators (HB 2483 &amp; PURA </t>
    </r>
    <r>
      <rPr>
        <sz val="11"/>
        <color theme="1"/>
        <rFont val="Calibri"/>
        <family val="2"/>
      </rPr>
      <t xml:space="preserve">§ </t>
    </r>
    <r>
      <rPr>
        <sz val="11"/>
        <color theme="1"/>
        <rFont val="Calibri"/>
        <family val="2"/>
        <scheme val="minor"/>
      </rPr>
      <t>39.918)</t>
    </r>
  </si>
  <si>
    <t>Account 592</t>
  </si>
  <si>
    <t>Annual load bank testing</t>
  </si>
  <si>
    <t>Annual Fluid Sample Analyses</t>
  </si>
  <si>
    <t>K&amp;M O&amp;M adjustment for maintenance fees before sales/use taxes</t>
  </si>
  <si>
    <t>K&amp;M O&amp;M adjustment for maintenance fees with sales/use taxes</t>
  </si>
  <si>
    <t>Pre-tax -Maintenance</t>
  </si>
  <si>
    <t>Sales/use tax rate</t>
  </si>
  <si>
    <t>Maintenance fees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</si>
</sst>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</border>
    <border>
      <left/>
      <right style="medium">
        <color auto="1"/>
      </right>
      <top/>
      <bottom style="medium">
        <color auto="1"/>
      </bottom>
    </border>
    <border>
      <left/>
      <right/>
      <top/>
      <bottom style="thin">
        <color auto="1"/>
      </bottom>
    </border>
    <border>
      <left style="medium">
        <color auto="1"/>
      </left>
      <right/>
      <top style="medium">
        <color auto="1"/>
      </top>
      <bottom/>
    </border>
    <border>
      <left/>
      <right/>
      <top style="medium">
        <color auto="1"/>
      </top>
      <bottom/>
    </border>
    <border>
      <left/>
      <right style="medium">
        <color auto="1"/>
      </right>
      <top style="medium">
        <color auto="1"/>
      </top>
      <bottom/>
    </border>
    <border>
      <left style="medium">
        <color auto="1"/>
      </left>
      <right/>
      <top/>
      <bottom/>
    </border>
    <border>
      <left/>
      <right style="medium">
        <color auto="1"/>
      </right>
      <top/>
      <bottom/>
    </border>
    <border>
      <left style="medium">
        <color auto="1"/>
      </left>
      <right/>
      <top/>
      <bottom style="medium">
        <color auto="1"/>
      </bottom>
    </border>
    <border>
      <left/>
      <right/>
      <top/>
      <bottom style="medium">
        <color auto="1"/>
      </bottom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</border>
    <border>
      <left/>
      <right style="medium">
        <color auto="1"/>
      </right>
      <top style="medium">
        <color auto="1"/>
      </top>
      <bottom style="medium">
        <color auto="1"/>
      </bottom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0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17" fontId="4" fillId="0" borderId="2" xfId="0" applyNumberFormat="1" applyFont="1" applyBorder="1" applyAlignment="1">
      <alignment horizontal="center" vertical="center" wrapText="1"/>
    </xf>
    <xf numFmtId="44" fontId="0" fillId="0" borderId="0" xfId="16" applyFont="1"/>
    <xf numFmtId="44" fontId="0" fillId="0" borderId="0" xfId="16" applyFont="1" applyAlignment="1">
      <alignment horizontal="center"/>
    </xf>
    <xf numFmtId="44" fontId="0" fillId="0" borderId="3" xfId="16" applyFont="1" applyBorder="1"/>
    <xf numFmtId="0" fontId="3" fillId="0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Fill="1"/>
    <xf numFmtId="10" fontId="0" fillId="0" borderId="0" xfId="15" applyNumberFormat="1" applyFont="1"/>
    <xf numFmtId="0" fontId="0" fillId="0" borderId="4" xfId="0" applyFill="1" applyBorder="1"/>
    <xf numFmtId="0" fontId="0" fillId="0" borderId="5" xfId="0" applyFill="1" applyBorder="1"/>
    <xf numFmtId="44" fontId="0" fillId="0" borderId="5" xfId="16" applyFont="1" applyFill="1" applyBorder="1"/>
    <xf numFmtId="44" fontId="0" fillId="0" borderId="5" xfId="16" applyFont="1" applyFill="1" applyBorder="1" applyAlignment="1">
      <alignment horizontal="right"/>
    </xf>
    <xf numFmtId="0" fontId="0" fillId="0" borderId="6" xfId="0" applyFill="1" applyBorder="1"/>
    <xf numFmtId="0" fontId="0" fillId="0" borderId="7" xfId="0" applyFill="1" applyBorder="1"/>
    <xf numFmtId="0" fontId="0" fillId="0" borderId="0" xfId="0" applyFill="1" applyBorder="1"/>
    <xf numFmtId="44" fontId="0" fillId="0" borderId="0" xfId="16" applyFont="1" applyFill="1" applyBorder="1"/>
    <xf numFmtId="44" fontId="0" fillId="0" borderId="0" xfId="16" applyFont="1" applyFill="1" applyBorder="1" applyAlignment="1">
      <alignment horizontal="right"/>
    </xf>
    <xf numFmtId="44" fontId="0" fillId="0" borderId="8" xfId="16" applyFont="1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2" xfId="0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3" fillId="0" borderId="11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 wrapText="1"/>
    </xf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Q18"/>
  <sheetViews>
    <sheetView tabSelected="1" workbookViewId="0" topLeftCell="A1">
      <selection pane="topLeft" activeCell="C16" sqref="C16"/>
    </sheetView>
  </sheetViews>
  <sheetFormatPr defaultRowHeight="15"/>
  <cols>
    <col min="1" max="1" width="19.1428571428571" bestFit="1" customWidth="1"/>
    <col min="2" max="2" width="4.85714285714286" bestFit="1" customWidth="1"/>
    <col min="4" max="4" width="7.71428571428571" bestFit="1" customWidth="1"/>
    <col min="5" max="5" width="7.42857142857143" bestFit="1" customWidth="1"/>
    <col min="6" max="6" width="8" bestFit="1" customWidth="1"/>
    <col min="7" max="7" width="7.57142857142857" bestFit="1" customWidth="1"/>
    <col min="8" max="8" width="7.85714285714286" hidden="1" customWidth="1"/>
    <col min="9" max="9" width="2.85714285714286" customWidth="1"/>
    <col min="10" max="10" width="10.1428571428571" customWidth="1"/>
    <col min="11" max="11" width="10.5714285714286" bestFit="1" customWidth="1"/>
    <col min="12" max="12" width="12.4285714285714" customWidth="1"/>
    <col min="13" max="14" width="11.7142857142857" customWidth="1"/>
    <col min="15" max="15" width="12.7142857142857" customWidth="1"/>
    <col min="16" max="16" width="9.71428571428571" customWidth="1"/>
    <col min="17" max="17" width="12.8571428571429" customWidth="1"/>
  </cols>
  <sheetData>
    <row r="1" spans="1:1" ht="15">
      <c r="A1" t="s">
        <v>45</v>
      </c>
    </row>
    <row r="2" spans="1:1" ht="15">
      <c r="A2" t="s">
        <v>46</v>
      </c>
    </row>
    <row r="3" spans="10:17" ht="15">
      <c r="J3" s="25" t="s">
        <v>44</v>
      </c>
      <c r="K3" s="25"/>
      <c r="L3" s="25"/>
      <c r="M3" s="25"/>
      <c r="N3" s="25"/>
      <c r="O3" s="25"/>
      <c r="P3" s="26"/>
      <c r="Q3" s="26"/>
    </row>
    <row r="4" spans="10:17" ht="15" customHeight="1" thickBot="1">
      <c r="J4" s="25" t="s">
        <v>38</v>
      </c>
      <c r="K4" s="25"/>
      <c r="L4" s="25"/>
      <c r="M4" s="25"/>
      <c r="N4" s="25"/>
      <c r="O4" s="25"/>
      <c r="P4" s="26"/>
      <c r="Q4" s="26"/>
    </row>
    <row r="5" spans="1:17" s="10" customFormat="1" ht="60.75" thickBot="1">
      <c r="A5" s="27" t="s">
        <v>0</v>
      </c>
      <c r="B5" s="28" t="s">
        <v>1</v>
      </c>
      <c r="C5" s="28" t="s">
        <v>2</v>
      </c>
      <c r="D5" s="28" t="s">
        <v>3</v>
      </c>
      <c r="E5" s="29" t="s">
        <v>4</v>
      </c>
      <c r="F5" s="29" t="s">
        <v>5</v>
      </c>
      <c r="G5" s="29" t="s">
        <v>6</v>
      </c>
      <c r="H5" s="29" t="s">
        <v>7</v>
      </c>
      <c r="J5" s="8" t="s">
        <v>39</v>
      </c>
      <c r="K5" s="8" t="s">
        <v>40</v>
      </c>
      <c r="L5" s="8" t="s">
        <v>41</v>
      </c>
      <c r="M5" s="8" t="s">
        <v>48</v>
      </c>
      <c r="N5" s="8" t="s">
        <v>49</v>
      </c>
      <c r="O5" s="8" t="s">
        <v>52</v>
      </c>
      <c r="P5" s="8" t="s">
        <v>53</v>
      </c>
      <c r="Q5" s="8" t="s">
        <v>54</v>
      </c>
    </row>
    <row r="6" spans="1:17" ht="30.75" thickBot="1">
      <c r="A6" s="1" t="s">
        <v>8</v>
      </c>
      <c r="B6" s="2">
        <v>2022</v>
      </c>
      <c r="C6" s="2" t="s">
        <v>9</v>
      </c>
      <c r="D6" s="2" t="s">
        <v>10</v>
      </c>
      <c r="E6" s="3" t="s">
        <v>11</v>
      </c>
      <c r="F6" s="3" t="s">
        <v>12</v>
      </c>
      <c r="G6" s="4">
        <v>44531</v>
      </c>
      <c r="H6" s="3" t="s">
        <v>13</v>
      </c>
      <c r="J6" s="5">
        <v>595</v>
      </c>
      <c r="K6" s="5">
        <v>2785</v>
      </c>
      <c r="L6" s="5">
        <f>4*12</f>
        <v>48</v>
      </c>
      <c r="M6" s="5">
        <v>2790</v>
      </c>
      <c r="N6" s="5">
        <f>50+55+145</f>
        <v>250</v>
      </c>
      <c r="O6" s="5">
        <f>(J6*2)+K6+L6+M6+N6</f>
        <v>7063</v>
      </c>
      <c r="P6" s="11">
        <v>0.082500000000000004</v>
      </c>
      <c r="Q6" s="5">
        <f>ROUND(O6*(1+P6),2)</f>
        <v>7645.6999999999998</v>
      </c>
    </row>
    <row r="7" spans="1:17" ht="30.75" thickBot="1">
      <c r="A7" s="1" t="s">
        <v>14</v>
      </c>
      <c r="B7" s="2">
        <v>2008</v>
      </c>
      <c r="C7" s="2" t="s">
        <v>15</v>
      </c>
      <c r="D7" s="2" t="s">
        <v>16</v>
      </c>
      <c r="E7" s="3" t="s">
        <v>17</v>
      </c>
      <c r="F7" s="3" t="s">
        <v>12</v>
      </c>
      <c r="G7" s="4">
        <v>44531</v>
      </c>
      <c r="H7" s="3" t="s">
        <v>18</v>
      </c>
      <c r="J7" s="5">
        <f>J6</f>
        <v>595</v>
      </c>
      <c r="K7" s="5">
        <f>K6</f>
        <v>2785</v>
      </c>
      <c r="L7" s="5">
        <f t="shared" si="0" ref="L7:L12">4*12</f>
        <v>48</v>
      </c>
      <c r="M7" s="5">
        <v>2790</v>
      </c>
      <c r="N7" s="5">
        <f>N6</f>
        <v>250</v>
      </c>
      <c r="O7" s="5">
        <f t="shared" si="1" ref="O7:O12">(J7*2)+K7+L7+M7+N7</f>
        <v>7063</v>
      </c>
      <c r="P7" s="11">
        <v>0.0625</v>
      </c>
      <c r="Q7" s="5">
        <f t="shared" si="2" ref="Q7:Q11">ROUND(O7*(1+P7),2)</f>
        <v>7504.4399999999996</v>
      </c>
    </row>
    <row r="8" spans="1:17" ht="30.75" thickBot="1">
      <c r="A8" s="1" t="s">
        <v>19</v>
      </c>
      <c r="B8" s="2">
        <v>2016</v>
      </c>
      <c r="C8" s="2" t="s">
        <v>20</v>
      </c>
      <c r="D8" s="2" t="s">
        <v>21</v>
      </c>
      <c r="E8" s="3" t="s">
        <v>22</v>
      </c>
      <c r="F8" s="3" t="s">
        <v>12</v>
      </c>
      <c r="G8" s="4">
        <v>44531</v>
      </c>
      <c r="H8" s="3" t="s">
        <v>23</v>
      </c>
      <c r="J8" s="5">
        <f t="shared" si="3" ref="J8:J10">J7</f>
        <v>595</v>
      </c>
      <c r="K8" s="5">
        <f t="shared" si="4" ref="K8:K10">K7</f>
        <v>2785</v>
      </c>
      <c r="L8" s="5">
        <f t="shared" si="0"/>
        <v>48</v>
      </c>
      <c r="M8" s="5">
        <v>2790</v>
      </c>
      <c r="N8" s="5">
        <f t="shared" si="5" ref="N8:N12">N7</f>
        <v>250</v>
      </c>
      <c r="O8" s="5">
        <f t="shared" si="1"/>
        <v>7063</v>
      </c>
      <c r="P8" s="11">
        <v>0.082500000000000004</v>
      </c>
      <c r="Q8" s="5">
        <f t="shared" si="2"/>
        <v>7645.6999999999998</v>
      </c>
    </row>
    <row r="9" spans="1:17" ht="30.75" thickBot="1">
      <c r="A9" s="1" t="s">
        <v>24</v>
      </c>
      <c r="B9" s="2">
        <v>2022</v>
      </c>
      <c r="C9" s="2" t="s">
        <v>25</v>
      </c>
      <c r="D9" s="2" t="s">
        <v>25</v>
      </c>
      <c r="E9" s="3" t="s">
        <v>26</v>
      </c>
      <c r="F9" s="3" t="s">
        <v>12</v>
      </c>
      <c r="G9" s="4">
        <v>44531</v>
      </c>
      <c r="H9" s="3" t="s">
        <v>23</v>
      </c>
      <c r="J9" s="5">
        <f t="shared" si="3"/>
        <v>595</v>
      </c>
      <c r="K9" s="5">
        <f t="shared" si="4"/>
        <v>2785</v>
      </c>
      <c r="L9" s="5">
        <f t="shared" si="0"/>
        <v>48</v>
      </c>
      <c r="M9" s="5">
        <v>2790</v>
      </c>
      <c r="N9" s="5">
        <f t="shared" si="5"/>
        <v>250</v>
      </c>
      <c r="O9" s="5">
        <f t="shared" si="1"/>
        <v>7063</v>
      </c>
      <c r="P9" s="11">
        <v>0.082500000000000004</v>
      </c>
      <c r="Q9" s="5">
        <f t="shared" si="2"/>
        <v>7645.6999999999998</v>
      </c>
    </row>
    <row r="10" spans="1:17" ht="30.75" thickBot="1">
      <c r="A10" s="1" t="s">
        <v>27</v>
      </c>
      <c r="B10" s="2">
        <v>2015</v>
      </c>
      <c r="C10" s="2" t="s">
        <v>25</v>
      </c>
      <c r="D10" s="2" t="s">
        <v>25</v>
      </c>
      <c r="E10" s="3" t="s">
        <v>28</v>
      </c>
      <c r="F10" s="3" t="s">
        <v>12</v>
      </c>
      <c r="G10" s="4">
        <v>44531</v>
      </c>
      <c r="H10" s="3" t="s">
        <v>23</v>
      </c>
      <c r="J10" s="5">
        <f t="shared" si="3"/>
        <v>595</v>
      </c>
      <c r="K10" s="5">
        <f t="shared" si="4"/>
        <v>2785</v>
      </c>
      <c r="L10" s="5">
        <f t="shared" si="0"/>
        <v>48</v>
      </c>
      <c r="M10" s="5">
        <v>2790</v>
      </c>
      <c r="N10" s="5">
        <f t="shared" si="5"/>
        <v>250</v>
      </c>
      <c r="O10" s="5">
        <f t="shared" si="1"/>
        <v>7063</v>
      </c>
      <c r="P10" s="11">
        <v>0.082500000000000004</v>
      </c>
      <c r="Q10" s="5">
        <f t="shared" si="2"/>
        <v>7645.6999999999998</v>
      </c>
    </row>
    <row r="11" spans="1:17" ht="30.75" thickBot="1">
      <c r="A11" s="1" t="s">
        <v>30</v>
      </c>
      <c r="B11" s="2">
        <v>2021</v>
      </c>
      <c r="C11" s="2" t="s">
        <v>31</v>
      </c>
      <c r="D11" s="2" t="s">
        <v>32</v>
      </c>
      <c r="E11" s="3" t="s">
        <v>33</v>
      </c>
      <c r="F11" s="3" t="s">
        <v>29</v>
      </c>
      <c r="G11" s="4">
        <v>44531</v>
      </c>
      <c r="H11" s="3" t="s">
        <v>23</v>
      </c>
      <c r="J11" s="5">
        <v>470</v>
      </c>
      <c r="K11" s="5">
        <v>1360</v>
      </c>
      <c r="L11" s="5">
        <f t="shared" si="0"/>
        <v>48</v>
      </c>
      <c r="M11" s="5">
        <v>2050</v>
      </c>
      <c r="N11" s="5">
        <f t="shared" si="5"/>
        <v>250</v>
      </c>
      <c r="O11" s="5">
        <f t="shared" si="1"/>
        <v>4648</v>
      </c>
      <c r="P11" s="11">
        <v>0.082500000000000004</v>
      </c>
      <c r="Q11" s="5">
        <f t="shared" si="2"/>
        <v>5031.46</v>
      </c>
    </row>
    <row r="12" spans="1:17" ht="30.75" thickBot="1">
      <c r="A12" s="1" t="s">
        <v>34</v>
      </c>
      <c r="B12" s="2">
        <v>2021</v>
      </c>
      <c r="C12" s="2" t="s">
        <v>35</v>
      </c>
      <c r="D12" s="2" t="s">
        <v>36</v>
      </c>
      <c r="E12" s="3" t="s">
        <v>37</v>
      </c>
      <c r="F12" s="3" t="s">
        <v>29</v>
      </c>
      <c r="G12" s="4">
        <v>44531</v>
      </c>
      <c r="H12" s="3" t="s">
        <v>23</v>
      </c>
      <c r="J12" s="5">
        <f>J11</f>
        <v>470</v>
      </c>
      <c r="K12" s="5">
        <f>K11</f>
        <v>1360</v>
      </c>
      <c r="L12" s="5">
        <f t="shared" si="0"/>
        <v>48</v>
      </c>
      <c r="M12" s="5">
        <v>2050</v>
      </c>
      <c r="N12" s="5">
        <f t="shared" si="5"/>
        <v>250</v>
      </c>
      <c r="O12" s="7">
        <f t="shared" si="1"/>
        <v>4648</v>
      </c>
      <c r="P12" s="11">
        <v>0.082500000000000004</v>
      </c>
      <c r="Q12" s="7">
        <f>ROUND(O12*(1+P12),2)</f>
        <v>5031.46</v>
      </c>
    </row>
    <row r="13" spans="10:15" ht="15">
      <c r="J13" s="6" t="s">
        <v>42</v>
      </c>
      <c r="K13" s="5"/>
      <c r="L13" s="6" t="s">
        <v>43</v>
      </c>
      <c r="M13" s="6"/>
      <c r="N13" s="6"/>
      <c r="O13" s="5"/>
    </row>
    <row r="14" spans="10:15" ht="15.75" thickBot="1">
      <c r="J14" s="6"/>
      <c r="K14" s="5"/>
      <c r="L14" s="6"/>
      <c r="M14" s="6"/>
      <c r="N14" s="6"/>
      <c r="O14" s="5"/>
    </row>
    <row r="15" spans="7:17" s="10" customFormat="1" ht="15">
      <c r="G15" s="12"/>
      <c r="H15" s="13"/>
      <c r="I15" s="13"/>
      <c r="J15" s="14"/>
      <c r="K15" s="14"/>
      <c r="L15" s="15"/>
      <c r="M15" s="15"/>
      <c r="N15" s="15" t="s">
        <v>50</v>
      </c>
      <c r="O15" s="14">
        <f>SUM(O6:O13)</f>
        <v>44611</v>
      </c>
      <c r="P15" s="13"/>
      <c r="Q15" s="16"/>
    </row>
    <row r="16" spans="7:17" ht="15">
      <c r="G16" s="17"/>
      <c r="H16" s="18"/>
      <c r="I16" s="18"/>
      <c r="J16" s="19"/>
      <c r="K16" s="19"/>
      <c r="L16" s="20"/>
      <c r="M16" s="20"/>
      <c r="N16" s="18"/>
      <c r="O16" s="19"/>
      <c r="P16" s="20" t="s">
        <v>51</v>
      </c>
      <c r="Q16" s="21">
        <f>SUM(Q6:Q15)</f>
        <v>48150.159999999996</v>
      </c>
    </row>
    <row r="17" spans="7:17" ht="15.75" thickBot="1">
      <c r="G17" s="22"/>
      <c r="H17" s="23"/>
      <c r="I17" s="23"/>
      <c r="J17" s="23"/>
      <c r="K17" s="23"/>
      <c r="L17" s="23"/>
      <c r="M17" s="23"/>
      <c r="N17" s="23"/>
      <c r="O17" s="23"/>
      <c r="P17" s="23"/>
      <c r="Q17" s="24" t="s">
        <v>47</v>
      </c>
    </row>
    <row r="18" spans="17:17" ht="15">
      <c r="Q18" s="9"/>
    </row>
  </sheetData>
  <mergeCells count="2">
    <mergeCell ref="J3:Q3"/>
    <mergeCell ref="J4:Q4"/>
  </mergeCells>
  <printOptions horizontalCentered="1"/>
  <pageMargins left="0.5" right="0.5" top="1.5" bottom="0.5" header="1" footer="0.3"/>
  <pageSetup orientation="landscape" scale="80" r:id="rId1"/>
  <headerFooter>
    <oddHeader>&amp;R&amp;"-,Bold"WP/II-D ADJUSTMENT /18
Page 2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