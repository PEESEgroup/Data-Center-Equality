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105" yWindow="3450" windowWidth="12165" windowHeight="9090" activeTab="0"/>
  </bookViews>
  <sheets>
    <sheet name="Sheet1" sheetId="1" r:id="rId3"/>
    <sheet name="Updates" sheetId="2" state="hidden" r:id="rId4"/>
  </sheets>
  <definedNames>
    <definedName name="NvsAnswerCol" localSheetId="0">"'[DR_2384799_2384800_Oper Exp_SGA_Oth Deductions-YTD 2021 Dec.xls]Sheet1'!$A$7:$A$24"</definedName>
    <definedName name="NvsASD">"V2021-12-31"</definedName>
    <definedName name="NvsAutoDrillOk">"VY"</definedName>
    <definedName name="NvsElapsedTime">0.0000462962998426519</definedName>
    <definedName name="NvsEndTime">44602.620462963</definedName>
    <definedName name="NvsInstCritOpt" localSheetId="0">"S"</definedName>
    <definedName name="NvsInstLang">"VENG"</definedName>
    <definedName name="NvsInstSpec">"%,QUVLR_OPER_EXP_OTH_SGA,SYTD,FBUSINESS_UNIT,VTRNDS,FTU_EC,V784,FCURRENCY_CD,VUSD"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ParentRef">"'[DR_2379579_2384799_Oper Exp_SGA_Oth Deductions-YTD 2021 Dec.xls]Sheet1'!$E$5"</definedName>
    <definedName name="NvsQueryName" localSheetId="0">"TU_JRNL_LINE_DRILL_NODESC"</definedName>
    <definedName name="NvsReqBU">"VX0001"</definedName>
    <definedName name="NvsReqBUOnly">"VN"</definedName>
    <definedName name="NvsRowCount" localSheetId="0">18</definedName>
    <definedName name="NvsSheetType" localSheetId="0">"T"</definedName>
    <definedName name="NvsTranslateLedger">Sheet1!$A$24</definedName>
    <definedName name="NvsTransLed">"VY"</definedName>
    <definedName name="NvsTreeASD">"V2021-12-31"</definedName>
    <definedName name="NvsUpdateOption" localSheetId="0">"N"</definedName>
    <definedName name="_xlnm.Print_Area" localSheetId="0">Sheet1!$A$1:$Q$28</definedName>
  </definedNames>
  <calcPr calcId="152511" iterate="1" iterateCount="100" iterateDelta="0.001"/>
</workbook>
</file>

<file path=xl/calcChain.xml><?xml version="1.0" encoding="utf-8"?>
<calcChain xmlns="http://schemas.openxmlformats.org/spreadsheetml/2006/main">
  <c r="D26" i="1" l="1"/>
</calcChain>
</file>

<file path=xl/sharedStrings.xml><?xml version="1.0" encoding="utf-8"?>
<sst xmlns="http://schemas.openxmlformats.org/spreadsheetml/2006/main" count="158" uniqueCount="44">
  <si>
    <t>Source</t>
  </si>
  <si>
    <t>Journal</t>
  </si>
  <si>
    <t>Unit</t>
  </si>
  <si>
    <t>Date</t>
  </si>
  <si>
    <t>DeptID</t>
  </si>
  <si>
    <t>Account</t>
  </si>
  <si>
    <t>Expnd Cd</t>
  </si>
  <si>
    <t>Proj</t>
  </si>
  <si>
    <t>Activity</t>
  </si>
  <si>
    <t>TU Loc</t>
  </si>
  <si>
    <t>Affl</t>
  </si>
  <si>
    <t>Monetary Amount</t>
  </si>
  <si>
    <t>Journal Line Description</t>
  </si>
  <si>
    <t>Period</t>
  </si>
  <si>
    <t>Long Description</t>
  </si>
  <si>
    <t>Year</t>
  </si>
  <si>
    <t>ALL SOURCE SUMMARY</t>
  </si>
  <si>
    <t>Upload Journal Documentation</t>
  </si>
  <si>
    <t>Updates:</t>
  </si>
  <si>
    <t>Per verbal request from Kenny Synatsck and verbal approval from Janie Bryant on 01/31/20:</t>
  </si>
  <si>
    <t>Hide blank columns I, K, and M to allow pivot table and filter functionalities.</t>
  </si>
  <si>
    <t>UJE</t>
  </si>
  <si>
    <t>0000316843</t>
  </si>
  <si>
    <t>TRNDS</t>
  </si>
  <si>
    <t>2021-08-31</t>
  </si>
  <si>
    <t>556100</t>
  </si>
  <si>
    <t>9310000</t>
  </si>
  <si>
    <t>784</t>
  </si>
  <si>
    <t>00000000</t>
  </si>
  <si>
    <t>0000</t>
  </si>
  <si>
    <t>CLEAR PARKING WITHHOLDING</t>
  </si>
  <si>
    <t>2021-10-31</t>
  </si>
  <si>
    <t>2021-11-30</t>
  </si>
  <si>
    <t>2021-12-31</t>
  </si>
  <si>
    <t>2021-09-30</t>
  </si>
  <si>
    <t>To record parking transactions for the current month.</t>
  </si>
  <si>
    <t>Aug-Dec 2021</t>
  </si>
  <si>
    <t>5 months</t>
  </si>
  <si>
    <t>K&amp;M adjustment for employee parking withholding</t>
  </si>
  <si>
    <t>Oncor Electric Delivery Company LLC</t>
  </si>
  <si>
    <t>K&amp;M O&amp;M Adjustment to annualize employee parking withholding</t>
  </si>
  <si>
    <t>Click Here To Select Upload Journal</t>
  </si>
  <si>
    <t>FINANCIAL INFORMATION MANAGEMENT REPORT</t>
  </si>
  <si>
    <t>Annualized amount reflecting full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</si>
</sst>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/yy\ h:mm\ AM/PM"/>
  </numFmts>
  <fonts count="9"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10"/>
      <name val="Times New Roman"/>
      <family val="1"/>
    </font>
    <font>
      <b/>
      <sz val="12"/>
      <name val="Times New Roman"/>
      <family val="1"/>
    </font>
    <font>
      <b/>
      <sz val="8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double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/>
      <top/>
      <bottom style="thick">
        <color auto="1"/>
      </bottom>
    </border>
    <border>
      <left/>
      <right/>
      <top/>
      <bottom style="thin">
        <color auto="1"/>
      </bottom>
    </border>
    <border>
      <left/>
      <right/>
      <top style="medium">
        <color auto="1"/>
      </top>
      <bottom style="thin">
        <color auto="1"/>
      </bottom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  <border>
      <left style="medium">
        <color auto="1"/>
      </left>
      <right/>
      <top style="medium">
        <color auto="1"/>
      </top>
      <bottom/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3">
    <xf numFmtId="0" fontId="0" fillId="0" borderId="0" xfId="0"/>
    <xf numFmtId="0" fontId="3" fillId="0" borderId="0" xfId="0" applyFont="1"/>
    <xf numFmtId="0" fontId="0" fillId="0" borderId="0" xfId="0" applyFill="1"/>
    <xf numFmtId="0" fontId="3" fillId="0" borderId="0" xfId="0" applyFont="1" applyFill="1"/>
    <xf numFmtId="0" fontId="2" fillId="0" borderId="1" xfId="0" applyFont="1" applyFill="1" applyBorder="1"/>
    <xf numFmtId="40" fontId="4" fillId="0" borderId="0" xfId="0" applyNumberFormat="1" applyFont="1" applyFill="1" applyAlignment="1">
      <alignment horizontal="left" wrapText="1"/>
    </xf>
    <xf numFmtId="0" fontId="5" fillId="0" borderId="2" xfId="0" applyFont="1" applyFill="1" applyBorder="1" applyAlignment="1" quotePrefix="1">
      <alignment horizontal="center" vertical="center"/>
    </xf>
    <xf numFmtId="0" fontId="2" fillId="0" borderId="3" xfId="0" applyFont="1" applyFill="1" applyBorder="1" applyAlignment="1">
      <alignment wrapText="1"/>
    </xf>
    <xf numFmtId="0" fontId="0" fillId="0" borderId="0" xfId="0" applyAlignment="1">
      <alignment horizontal="left"/>
    </xf>
    <xf numFmtId="0" fontId="6" fillId="0" borderId="0" xfId="0" applyFont="1"/>
    <xf numFmtId="0" fontId="7" fillId="0" borderId="0" xfId="0" applyFont="1"/>
    <xf numFmtId="14" fontId="0" fillId="0" borderId="0" xfId="0" applyNumberFormat="1" applyFill="1" quotePrefix="1"/>
    <xf numFmtId="43" fontId="0" fillId="0" borderId="0" xfId="18" applyFont="1" applyFill="1"/>
    <xf numFmtId="43" fontId="3" fillId="0" borderId="0" xfId="18" applyFont="1" applyFill="1"/>
    <xf numFmtId="43" fontId="2" fillId="0" borderId="3" xfId="18" applyFont="1" applyFill="1" applyBorder="1" applyAlignment="1">
      <alignment wrapText="1"/>
    </xf>
    <xf numFmtId="43" fontId="2" fillId="0" borderId="1" xfId="18" applyFont="1" applyFill="1" applyBorder="1"/>
    <xf numFmtId="0" fontId="0" fillId="0" borderId="0" xfId="0" applyFont="1" applyFill="1"/>
    <xf numFmtId="43" fontId="2" fillId="0" borderId="4" xfId="18" applyFont="1" applyFill="1" applyBorder="1"/>
    <xf numFmtId="43" fontId="2" fillId="0" borderId="5" xfId="18" applyFont="1" applyFill="1" applyBorder="1"/>
    <xf numFmtId="164" fontId="8" fillId="0" borderId="6" xfId="0" applyNumberFormat="1" applyFont="1" applyFill="1" applyBorder="1" applyAlignment="1">
      <alignment horizontal="left"/>
    </xf>
    <xf numFmtId="0" fontId="2" fillId="0" borderId="6" xfId="0" applyFont="1" applyFill="1" applyBorder="1"/>
    <xf numFmtId="0" fontId="2" fillId="0" borderId="7" xfId="0" applyFont="1" applyFill="1" applyBorder="1"/>
    <xf numFmtId="0" fontId="2" fillId="0" borderId="8" xfId="0" applyFont="1" applyFill="1" applyBorder="1"/>
    <xf numFmtId="0" fontId="2" fillId="0" borderId="0" xfId="0" applyFont="1" applyFill="1" applyBorder="1"/>
    <xf numFmtId="43" fontId="2" fillId="0" borderId="0" xfId="18" applyFont="1" applyFill="1" applyBorder="1"/>
    <xf numFmtId="0" fontId="2" fillId="0" borderId="9" xfId="0" applyFont="1" applyFill="1" applyBorder="1"/>
    <xf numFmtId="40" fontId="2" fillId="0" borderId="0" xfId="0" applyNumberFormat="1" applyFont="1" applyFill="1" applyBorder="1"/>
    <xf numFmtId="0" fontId="2" fillId="0" borderId="10" xfId="0" applyFont="1" applyFill="1" applyBorder="1"/>
    <xf numFmtId="0" fontId="2" fillId="0" borderId="11" xfId="0" applyFont="1" applyFill="1" applyBorder="1"/>
    <xf numFmtId="43" fontId="2" fillId="0" borderId="11" xfId="18" applyFont="1" applyFill="1" applyBorder="1"/>
    <xf numFmtId="0" fontId="2" fillId="0" borderId="12" xfId="0" applyFont="1" applyFill="1" applyBorder="1"/>
    <xf numFmtId="164" fontId="8" fillId="0" borderId="13" xfId="0" applyNumberFormat="1" applyFont="1" applyFill="1" applyBorder="1" applyAlignment="1">
      <alignment horizontal="center"/>
    </xf>
    <xf numFmtId="164" fontId="8" fillId="0" borderId="6" xfId="0" applyNumberFormat="1" applyFont="1" applyFill="1" applyBorder="1" applyAlignment="1">
      <alignment horizontal="center"/>
    </xf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styles" Target="styles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4" Type="http://schemas.openxmlformats.org/officeDocument/2006/relationships/worksheet" Target="worksheets/sheet2.xml" /><Relationship Id="rId6" Type="http://schemas.openxmlformats.org/officeDocument/2006/relationships/sharedStrings" Target="sharedStrings.xml" /><Relationship Id="rId3" Type="http://schemas.openxmlformats.org/officeDocument/2006/relationships/worksheet" Target="worksheets/sheet1.xml" /><Relationship Id="rId7" Type="http://schemas.openxmlformats.org/officeDocument/2006/relationships/calcChain" Target="calcChain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">
    <pageSetUpPr fitToPage="1"/>
  </sheetPr>
  <dimension ref="A1:Q27"/>
  <sheetViews>
    <sheetView tabSelected="1" workbookViewId="0" topLeftCell="A1">
      <pane xSplit="2" ySplit="8" topLeftCell="C9" activePane="bottomRight" state="frozen"/>
      <selection pane="topLeft" activeCell="B2" sqref="B2"/>
      <selection pane="bottomLeft" activeCell="B7" sqref="B7"/>
      <selection pane="topRight" activeCell="G2" sqref="G2"/>
      <selection pane="bottomRight" activeCell="F35" sqref="F35"/>
    </sheetView>
  </sheetViews>
  <sheetFormatPr defaultRowHeight="12.75"/>
  <cols>
    <col min="1" max="1" width="9" style="2" customWidth="1"/>
    <col min="2" max="2" width="11.8571428571429" style="2" customWidth="1"/>
    <col min="3" max="3" width="7.14285714285714" style="2" customWidth="1"/>
    <col min="4" max="4" width="11.8571428571429" style="12" customWidth="1"/>
    <col min="5" max="5" width="29.2857142857143" style="2" customWidth="1"/>
    <col min="6" max="6" width="10.1428571428571" style="2" customWidth="1"/>
    <col min="7" max="7" width="7" style="2" customWidth="1"/>
    <col min="8" max="8" width="8.28571428571429" style="2" customWidth="1"/>
    <col min="9" max="9" width="6.71428571428571" style="2" customWidth="1"/>
    <col min="10" max="10" width="9" style="2" customWidth="1"/>
    <col min="11" max="11" width="7.57142857142857" style="2" customWidth="1"/>
    <col min="12" max="12" width="7.28571428571429" style="2" customWidth="1"/>
    <col min="13" max="13" width="4" style="2" customWidth="1"/>
    <col min="14" max="14" width="30" style="2" customWidth="1"/>
    <col min="15" max="15" width="7" style="2" customWidth="1"/>
    <col min="16" max="16" width="45.4285714285714" style="2" customWidth="1"/>
    <col min="17" max="17" width="5.85714285714286" style="2" customWidth="1"/>
  </cols>
  <sheetData>
    <row r="1" spans="1:1" ht="16.5" customHeight="1">
      <c r="A1" s="16" t="s">
        <v>39</v>
      </c>
    </row>
    <row r="2" spans="1:1" ht="16.5" customHeight="1">
      <c r="A2" s="16" t="s">
        <v>40</v>
      </c>
    </row>
    <row r="3" spans="1:1" ht="16.5" customHeight="1">
      <c r="A3" s="16"/>
    </row>
    <row r="4" spans="1:17" s="1" customFormat="1" ht="15.75">
      <c r="A4" s="3" t="s">
        <v>42</v>
      </c>
      <c r="B4" s="3"/>
      <c r="C4" s="3"/>
      <c r="D4" s="1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</row>
    <row r="6" spans="1:17" s="1" customFormat="1" ht="15.75">
      <c r="A6" s="3" t="s">
        <v>16</v>
      </c>
      <c r="B6" s="3"/>
      <c r="C6" s="3"/>
      <c r="D6" s="1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8" spans="1:17" s="7" customFormat="1" ht="26.25" thickBot="1">
      <c r="A8" s="7" t="s">
        <v>0</v>
      </c>
      <c r="B8" s="7" t="s">
        <v>1</v>
      </c>
      <c r="C8" s="7" t="s">
        <v>2</v>
      </c>
      <c r="D8" s="14" t="s">
        <v>11</v>
      </c>
      <c r="E8" s="7" t="s">
        <v>17</v>
      </c>
      <c r="F8" s="7" t="s">
        <v>3</v>
      </c>
      <c r="G8" s="7" t="s">
        <v>4</v>
      </c>
      <c r="H8" s="7" t="s">
        <v>5</v>
      </c>
      <c r="I8" s="7" t="s">
        <v>6</v>
      </c>
      <c r="J8" s="7" t="s">
        <v>7</v>
      </c>
      <c r="K8" s="7" t="s">
        <v>8</v>
      </c>
      <c r="L8" s="7" t="s">
        <v>9</v>
      </c>
      <c r="M8" s="7" t="s">
        <v>10</v>
      </c>
      <c r="N8" s="7" t="s">
        <v>12</v>
      </c>
      <c r="O8" s="7" t="s">
        <v>13</v>
      </c>
      <c r="P8" s="7" t="s">
        <v>14</v>
      </c>
      <c r="Q8" s="7" t="s">
        <v>15</v>
      </c>
    </row>
    <row r="9" spans="1:17" s="2" customFormat="1" ht="13.5" thickTop="1">
      <c r="A9" s="2" t="s">
        <v>21</v>
      </c>
      <c r="B9" s="8" t="s">
        <v>22</v>
      </c>
      <c r="C9" s="2" t="s">
        <v>23</v>
      </c>
      <c r="D9" s="12">
        <v>-35230</v>
      </c>
      <c r="E9" s="6" t="s">
        <v>41</v>
      </c>
      <c r="F9" s="11" t="s">
        <v>24</v>
      </c>
      <c r="G9" s="2" t="s">
        <v>25</v>
      </c>
      <c r="H9" s="2" t="s">
        <v>26</v>
      </c>
      <c r="I9" s="2" t="s">
        <v>27</v>
      </c>
      <c r="J9" s="2" t="s">
        <v>28</v>
      </c>
      <c r="K9" s="2" t="s">
        <v>29</v>
      </c>
      <c r="L9" s="2" t="s">
        <v>29</v>
      </c>
      <c r="N9" s="2" t="s">
        <v>30</v>
      </c>
      <c r="O9" s="2">
        <v>8</v>
      </c>
      <c r="P9" s="2" t="s">
        <v>35</v>
      </c>
      <c r="Q9" s="2">
        <v>2021</v>
      </c>
    </row>
    <row r="10" spans="1:17" s="2" customFormat="1" ht="12.75">
      <c r="A10" s="2" t="s">
        <v>21</v>
      </c>
      <c r="B10" s="8" t="s">
        <v>22</v>
      </c>
      <c r="C10" s="2" t="s">
        <v>23</v>
      </c>
      <c r="D10" s="12">
        <v>-15775</v>
      </c>
      <c r="E10" s="6" t="s">
        <v>41</v>
      </c>
      <c r="F10" s="11" t="s">
        <v>24</v>
      </c>
      <c r="G10" s="2" t="s">
        <v>25</v>
      </c>
      <c r="H10" s="2" t="s">
        <v>26</v>
      </c>
      <c r="I10" s="2" t="s">
        <v>27</v>
      </c>
      <c r="J10" s="2" t="s">
        <v>28</v>
      </c>
      <c r="K10" s="2" t="s">
        <v>29</v>
      </c>
      <c r="L10" s="2" t="s">
        <v>29</v>
      </c>
      <c r="N10" s="2" t="s">
        <v>30</v>
      </c>
      <c r="O10" s="2">
        <v>8</v>
      </c>
      <c r="P10" s="2" t="s">
        <v>35</v>
      </c>
      <c r="Q10" s="2">
        <v>2021</v>
      </c>
    </row>
    <row r="11" spans="1:17" s="2" customFormat="1" ht="12.75">
      <c r="A11" s="2" t="s">
        <v>21</v>
      </c>
      <c r="B11" s="8" t="s">
        <v>22</v>
      </c>
      <c r="C11" s="2" t="s">
        <v>23</v>
      </c>
      <c r="D11" s="12">
        <v>-15420</v>
      </c>
      <c r="E11" s="6" t="s">
        <v>41</v>
      </c>
      <c r="F11" s="11" t="s">
        <v>34</v>
      </c>
      <c r="G11" s="2" t="s">
        <v>25</v>
      </c>
      <c r="H11" s="2" t="s">
        <v>26</v>
      </c>
      <c r="I11" s="2" t="s">
        <v>27</v>
      </c>
      <c r="J11" s="2" t="s">
        <v>28</v>
      </c>
      <c r="K11" s="2" t="s">
        <v>29</v>
      </c>
      <c r="L11" s="2" t="s">
        <v>29</v>
      </c>
      <c r="N11" s="2" t="s">
        <v>30</v>
      </c>
      <c r="O11" s="2">
        <v>9</v>
      </c>
      <c r="P11" s="2" t="s">
        <v>35</v>
      </c>
      <c r="Q11" s="2">
        <v>2021</v>
      </c>
    </row>
    <row r="12" spans="1:17" s="2" customFormat="1" ht="12.75">
      <c r="A12" s="2" t="s">
        <v>21</v>
      </c>
      <c r="B12" s="8" t="s">
        <v>22</v>
      </c>
      <c r="C12" s="2" t="s">
        <v>23</v>
      </c>
      <c r="D12" s="12">
        <v>-35990</v>
      </c>
      <c r="E12" s="6" t="s">
        <v>41</v>
      </c>
      <c r="F12" s="11" t="s">
        <v>34</v>
      </c>
      <c r="G12" s="2" t="s">
        <v>25</v>
      </c>
      <c r="H12" s="2" t="s">
        <v>26</v>
      </c>
      <c r="I12" s="2" t="s">
        <v>27</v>
      </c>
      <c r="J12" s="2" t="s">
        <v>28</v>
      </c>
      <c r="K12" s="2" t="s">
        <v>29</v>
      </c>
      <c r="L12" s="2" t="s">
        <v>29</v>
      </c>
      <c r="N12" s="2" t="s">
        <v>30</v>
      </c>
      <c r="O12" s="2">
        <v>9</v>
      </c>
      <c r="P12" s="2" t="s">
        <v>35</v>
      </c>
      <c r="Q12" s="2">
        <v>2021</v>
      </c>
    </row>
    <row r="13" spans="1:17" s="2" customFormat="1" ht="12.75">
      <c r="A13" s="2" t="s">
        <v>21</v>
      </c>
      <c r="B13" s="8" t="s">
        <v>22</v>
      </c>
      <c r="C13" s="2" t="s">
        <v>23</v>
      </c>
      <c r="D13" s="12">
        <v>-15210</v>
      </c>
      <c r="E13" s="6" t="s">
        <v>41</v>
      </c>
      <c r="F13" s="11" t="s">
        <v>31</v>
      </c>
      <c r="G13" s="2" t="s">
        <v>25</v>
      </c>
      <c r="H13" s="2" t="s">
        <v>26</v>
      </c>
      <c r="I13" s="2" t="s">
        <v>27</v>
      </c>
      <c r="J13" s="2" t="s">
        <v>28</v>
      </c>
      <c r="K13" s="2" t="s">
        <v>29</v>
      </c>
      <c r="L13" s="2" t="s">
        <v>29</v>
      </c>
      <c r="N13" s="2" t="s">
        <v>30</v>
      </c>
      <c r="O13" s="2">
        <v>10</v>
      </c>
      <c r="P13" s="2" t="s">
        <v>35</v>
      </c>
      <c r="Q13" s="2">
        <v>2021</v>
      </c>
    </row>
    <row r="14" spans="1:17" s="2" customFormat="1" ht="12.75">
      <c r="A14" s="2" t="s">
        <v>21</v>
      </c>
      <c r="B14" s="8" t="s">
        <v>22</v>
      </c>
      <c r="C14" s="2" t="s">
        <v>23</v>
      </c>
      <c r="D14" s="12">
        <v>-37315</v>
      </c>
      <c r="E14" s="6" t="s">
        <v>41</v>
      </c>
      <c r="F14" s="11" t="s">
        <v>31</v>
      </c>
      <c r="G14" s="2" t="s">
        <v>25</v>
      </c>
      <c r="H14" s="2" t="s">
        <v>26</v>
      </c>
      <c r="I14" s="2" t="s">
        <v>27</v>
      </c>
      <c r="J14" s="2" t="s">
        <v>28</v>
      </c>
      <c r="K14" s="2" t="s">
        <v>29</v>
      </c>
      <c r="L14" s="2" t="s">
        <v>29</v>
      </c>
      <c r="N14" s="2" t="s">
        <v>30</v>
      </c>
      <c r="O14" s="2">
        <v>10</v>
      </c>
      <c r="P14" s="2" t="s">
        <v>35</v>
      </c>
      <c r="Q14" s="2">
        <v>2021</v>
      </c>
    </row>
    <row r="15" spans="1:17" s="2" customFormat="1" ht="12.75">
      <c r="A15" s="2" t="s">
        <v>21</v>
      </c>
      <c r="B15" s="8" t="s">
        <v>22</v>
      </c>
      <c r="C15" s="2" t="s">
        <v>23</v>
      </c>
      <c r="D15" s="12">
        <v>-36030</v>
      </c>
      <c r="E15" s="6" t="s">
        <v>41</v>
      </c>
      <c r="F15" s="11" t="s">
        <v>32</v>
      </c>
      <c r="G15" s="2" t="s">
        <v>25</v>
      </c>
      <c r="H15" s="2" t="s">
        <v>26</v>
      </c>
      <c r="I15" s="2" t="s">
        <v>27</v>
      </c>
      <c r="J15" s="2" t="s">
        <v>28</v>
      </c>
      <c r="K15" s="2" t="s">
        <v>29</v>
      </c>
      <c r="L15" s="2" t="s">
        <v>29</v>
      </c>
      <c r="N15" s="2" t="s">
        <v>30</v>
      </c>
      <c r="O15" s="2">
        <v>11</v>
      </c>
      <c r="P15" s="2" t="s">
        <v>35</v>
      </c>
      <c r="Q15" s="2">
        <v>2021</v>
      </c>
    </row>
    <row r="16" spans="1:17" s="2" customFormat="1" ht="12.75">
      <c r="A16" s="2" t="s">
        <v>21</v>
      </c>
      <c r="B16" s="8" t="s">
        <v>22</v>
      </c>
      <c r="C16" s="2" t="s">
        <v>23</v>
      </c>
      <c r="D16" s="12">
        <v>-15585</v>
      </c>
      <c r="E16" s="6" t="s">
        <v>41</v>
      </c>
      <c r="F16" s="11" t="s">
        <v>32</v>
      </c>
      <c r="G16" s="2" t="s">
        <v>25</v>
      </c>
      <c r="H16" s="2" t="s">
        <v>26</v>
      </c>
      <c r="I16" s="2" t="s">
        <v>27</v>
      </c>
      <c r="J16" s="2" t="s">
        <v>28</v>
      </c>
      <c r="K16" s="2" t="s">
        <v>29</v>
      </c>
      <c r="L16" s="2" t="s">
        <v>29</v>
      </c>
      <c r="N16" s="2" t="s">
        <v>30</v>
      </c>
      <c r="O16" s="2">
        <v>11</v>
      </c>
      <c r="P16" s="2" t="s">
        <v>35</v>
      </c>
      <c r="Q16" s="2">
        <v>2021</v>
      </c>
    </row>
    <row r="17" spans="1:17" s="2" customFormat="1" ht="12.75">
      <c r="A17" s="2" t="s">
        <v>21</v>
      </c>
      <c r="B17" s="8" t="s">
        <v>22</v>
      </c>
      <c r="C17" s="2" t="s">
        <v>23</v>
      </c>
      <c r="D17" s="12">
        <v>-36895</v>
      </c>
      <c r="E17" s="6" t="s">
        <v>41</v>
      </c>
      <c r="F17" s="11" t="s">
        <v>33</v>
      </c>
      <c r="G17" s="2" t="s">
        <v>25</v>
      </c>
      <c r="H17" s="2" t="s">
        <v>26</v>
      </c>
      <c r="I17" s="2" t="s">
        <v>27</v>
      </c>
      <c r="J17" s="2" t="s">
        <v>28</v>
      </c>
      <c r="K17" s="2" t="s">
        <v>29</v>
      </c>
      <c r="L17" s="2" t="s">
        <v>29</v>
      </c>
      <c r="N17" s="2" t="s">
        <v>30</v>
      </c>
      <c r="O17" s="2">
        <v>12</v>
      </c>
      <c r="P17" s="2" t="s">
        <v>35</v>
      </c>
      <c r="Q17" s="2">
        <v>2021</v>
      </c>
    </row>
    <row r="18" spans="1:17" s="2" customFormat="1" ht="12.75">
      <c r="A18" s="2" t="s">
        <v>21</v>
      </c>
      <c r="B18" s="8" t="s">
        <v>22</v>
      </c>
      <c r="C18" s="2" t="s">
        <v>23</v>
      </c>
      <c r="D18" s="12">
        <v>-15445</v>
      </c>
      <c r="E18" s="6" t="s">
        <v>41</v>
      </c>
      <c r="F18" s="11" t="s">
        <v>33</v>
      </c>
      <c r="G18" s="2" t="s">
        <v>25</v>
      </c>
      <c r="H18" s="2" t="s">
        <v>26</v>
      </c>
      <c r="I18" s="2" t="s">
        <v>27</v>
      </c>
      <c r="J18" s="2" t="s">
        <v>28</v>
      </c>
      <c r="K18" s="2" t="s">
        <v>29</v>
      </c>
      <c r="L18" s="2" t="s">
        <v>29</v>
      </c>
      <c r="N18" s="2" t="s">
        <v>30</v>
      </c>
      <c r="O18" s="2">
        <v>12</v>
      </c>
      <c r="P18" s="2" t="s">
        <v>35</v>
      </c>
      <c r="Q18" s="2">
        <v>2021</v>
      </c>
    </row>
    <row r="19" spans="4:4" s="2" customFormat="1" ht="12.75">
      <c r="D19" s="12"/>
    </row>
    <row r="20" spans="4:4" s="4" customFormat="1" ht="13.5" thickBot="1">
      <c r="D20" s="15"/>
    </row>
    <row r="21" ht="14.25" thickTop="1" thickBot="1"/>
    <row r="22" spans="1:7" ht="12.75">
      <c r="A22" s="5"/>
      <c r="B22" s="31"/>
      <c r="C22" s="32"/>
      <c r="D22" s="18" t="s">
        <v>36</v>
      </c>
      <c r="E22" s="19"/>
      <c r="F22" s="20"/>
      <c r="G22" s="21"/>
    </row>
    <row r="23" spans="2:7" ht="12.75">
      <c r="B23" s="22"/>
      <c r="C23" s="23"/>
      <c r="D23" s="24">
        <f>SUBTOTAL(9,D9:D18)</f>
        <v>-258895</v>
      </c>
      <c r="E23" s="23" t="s">
        <v>37</v>
      </c>
      <c r="F23" s="23"/>
      <c r="G23" s="25"/>
    </row>
    <row r="24" spans="1:7" ht="12.75" hidden="1">
      <c r="A24" s="2" t="str">
        <f>"Y"</f>
        <v>Y</v>
      </c>
      <c r="B24" s="22"/>
      <c r="C24" s="23"/>
      <c r="D24" s="26"/>
      <c r="E24" s="23"/>
      <c r="F24" s="23"/>
      <c r="G24" s="25"/>
    </row>
    <row r="25" spans="2:7" ht="12.75">
      <c r="B25" s="22"/>
      <c r="C25" s="23"/>
      <c r="D25" s="17">
        <f>D23/5*12</f>
        <v>-621348</v>
      </c>
      <c r="E25" s="23" t="s">
        <v>43</v>
      </c>
      <c r="F25" s="23"/>
      <c r="G25" s="25"/>
    </row>
    <row r="26" spans="2:7" ht="12.75">
      <c r="B26" s="22"/>
      <c r="C26" s="23"/>
      <c r="D26" s="24">
        <f>D25-D23</f>
        <v>-362453</v>
      </c>
      <c r="E26" s="23" t="s">
        <v>38</v>
      </c>
      <c r="F26" s="23"/>
      <c r="G26" s="25"/>
    </row>
    <row r="27" spans="2:7" ht="13.5" thickBot="1">
      <c r="B27" s="27"/>
      <c r="C27" s="28"/>
      <c r="D27" s="29"/>
      <c r="E27" s="28"/>
      <c r="F27" s="28"/>
      <c r="G27" s="30"/>
    </row>
  </sheetData>
  <mergeCells count="1">
    <mergeCell ref="B22:C22"/>
  </mergeCells>
  <printOptions horizontalCentered="1"/>
  <pageMargins left="0.5" right="0.5" top="1.5" bottom="0.5" header="1" footer="0.5"/>
  <pageSetup orientation="landscape" scale="59" r:id="rId1"/>
  <headerFooter alignWithMargins="0">
    <oddHeader>&amp;R&amp;"Arial,Bold"WP/II-D ADJUSTMENT /15
Page 2 of 2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"/>
  <dimension ref="A1:A3"/>
  <sheetViews>
    <sheetView workbookViewId="0" topLeftCell="A1">
      <selection pane="topLeft" activeCell="A5" sqref="A5"/>
    </sheetView>
  </sheetViews>
  <sheetFormatPr defaultRowHeight="12.75"/>
  <cols>
    <col min="1" max="16384" width="9.14285714285714" style="9"/>
  </cols>
  <sheetData>
    <row r="1" spans="1:1" ht="15.75">
      <c r="A1" s="10" t="s">
        <v>18</v>
      </c>
    </row>
    <row r="2" spans="1:1" ht="12.75">
      <c r="A2" s="9" t="s">
        <v>19</v>
      </c>
    </row>
    <row r="3" spans="1:1" ht="12.75">
      <c r="A3" s="9" t="s">
        <v>20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Updates</vt:lpstr>
    </vt:vector>
  </TitlesOfParts>
  <Template/>
  <Manager/>
  <Company/>
  <HyperlinkBase>p:\psfs\psprod\jrnldoc\prod</HyperlinkBase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