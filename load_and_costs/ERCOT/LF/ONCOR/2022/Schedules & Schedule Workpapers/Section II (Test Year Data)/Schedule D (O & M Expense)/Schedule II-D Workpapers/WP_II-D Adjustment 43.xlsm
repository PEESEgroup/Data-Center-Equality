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Section II (Test Year Data)\Schedule D (O &amp; M Expense)\Schedule II-D Workpapers\"/>
    </mc:Choice>
  </mc:AlternateContent>
  <bookViews>
    <workbookView xWindow="0" yWindow="0" windowWidth="28800" windowHeight="12705" activeTab="0"/>
  </bookViews>
  <sheets>
    <sheet name="#43" sheetId="1" r:id="rId2"/>
  </sheets>
  <externalReferences>
    <externalReference r:id="rId5"/>
  </externalReferences>
  <definedNames>
    <definedName name="_xlnm.Print_Area" localSheetId="0">'#43'!$A$10:$H$50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9" i="1" l="1"/>
</calcChain>
</file>

<file path=xl/sharedStrings.xml><?xml version="1.0" encoding="utf-8"?>
<sst xmlns="http://schemas.openxmlformats.org/spreadsheetml/2006/main" count="63" uniqueCount="50">
  <si>
    <t>Line</t>
  </si>
  <si>
    <t>REP</t>
  </si>
  <si>
    <t>Default</t>
  </si>
  <si>
    <t>TC</t>
  </si>
  <si>
    <t>Security</t>
  </si>
  <si>
    <t>Bad</t>
  </si>
  <si>
    <t>No</t>
  </si>
  <si>
    <t>Legal Name</t>
  </si>
  <si>
    <t>Date</t>
  </si>
  <si>
    <t>Amount</t>
  </si>
  <si>
    <t>Deposit</t>
  </si>
  <si>
    <t>Debt</t>
  </si>
  <si>
    <t>(a)</t>
  </si>
  <si>
    <t>(b)</t>
  </si>
  <si>
    <t>(c)</t>
  </si>
  <si>
    <t>(d)</t>
  </si>
  <si>
    <t>(e)</t>
  </si>
  <si>
    <t>(f)</t>
  </si>
  <si>
    <t>Brilliant Energy LLC</t>
  </si>
  <si>
    <t>Entrust Energy</t>
  </si>
  <si>
    <t>GB Power</t>
  </si>
  <si>
    <t>Griddy Energy</t>
  </si>
  <si>
    <t>Iluminar Energy</t>
  </si>
  <si>
    <t>Pogo Energy LLC</t>
  </si>
  <si>
    <t>Power of Texas</t>
  </si>
  <si>
    <t>Regulatory asset amortization from November 27, 2020 through December 31, 2021</t>
  </si>
  <si>
    <t>Total</t>
  </si>
  <si>
    <t xml:space="preserve">In Docket No. 46957, recovery for the REP default regulatory asset balance of $803,872 at 12-31-2016 reflected a three-year amortization, </t>
  </si>
  <si>
    <t xml:space="preserve">with annual amortization of $267,957 in base rates. Docket No. 46957 rates were effective November 27, 2017.  This regulatory </t>
  </si>
  <si>
    <t>asset of $803,872 was fully amortized and recovered November 26, 2020.</t>
  </si>
  <si>
    <t>K&amp;M Adjustment</t>
  </si>
  <si>
    <t>A/R Amount Due (net of credits and unposted payments) 12-31-2021</t>
  </si>
  <si>
    <t>Default Amount</t>
  </si>
  <si>
    <t xml:space="preserve">    Total</t>
  </si>
  <si>
    <t>K&amp;M O&amp;M adjustment # 43 (account 904)</t>
  </si>
  <si>
    <t>less Docket No. 46957 recovery</t>
  </si>
  <si>
    <t>K&amp;M adjustment</t>
  </si>
  <si>
    <t>II-E-4.1 Line 29</t>
  </si>
  <si>
    <t>II-E-4.1.1 Line 23</t>
  </si>
  <si>
    <t>II-B-12 Line 28 Reg Asset - Defaulted REPs (NDC &amp; adjustment)</t>
  </si>
  <si>
    <t>Adjustments incl. Nuclear Decommission Charge (pass through)</t>
  </si>
  <si>
    <t>Adjusted reg asset balance</t>
  </si>
  <si>
    <t>II-E-4.1.1 Line 23, Column (r) please add II-D-2.2a</t>
  </si>
  <si>
    <t>for Reg asset balance</t>
  </si>
  <si>
    <t>for related amortization</t>
  </si>
  <si>
    <t>2022 RATE CASE</t>
  </si>
  <si>
    <t>ONCOR ELECTRIC DELIVERY COMPANY LLC</t>
  </si>
  <si>
    <t>TEST YEAR ENDING DECEMBER 31, 2021</t>
  </si>
  <si>
    <t>II-D-2.2a  BAD DEBT EXPENSE PURSUANT TO SUBSTANTIVE RULE 25.107</t>
  </si>
  <si>
    <t>SPONSOR: W. ALAN LEDBETTER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</si>
</sst>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  <numFmt numFmtId="165" formatCode="_(&quot;$&quot;* #,##0.00_);_(&quot;$&quot;* \(#,##0.00\);_(&quot;$&quot;* &quot;-&quot;_);_(@_)"/>
  </numFmts>
  <fonts count="6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1"/>
      <color rgb="FF1F497D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 style="medium">
        <color auto="1"/>
      </left>
      <right style="medium">
        <color auto="1"/>
      </right>
      <top/>
      <bottom/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 style="thin">
        <color auto="1"/>
      </left>
      <right/>
      <top/>
      <bottom style="thin">
        <color auto="1"/>
      </bottom>
    </border>
    <border>
      <left/>
      <right/>
      <top/>
      <bottom style="thin">
        <color auto="1"/>
      </bottom>
    </border>
    <border>
      <left/>
      <right style="thin">
        <color auto="1"/>
      </right>
      <top/>
      <bottom style="thin">
        <color auto="1"/>
      </bottom>
    </border>
    <border>
      <left style="thin">
        <color auto="1"/>
      </left>
      <right/>
      <top/>
      <bottom/>
    </border>
    <border>
      <left/>
      <right style="thin">
        <color auto="1"/>
      </right>
      <top/>
      <bottom/>
    </border>
    <border>
      <left/>
      <right/>
      <top style="thin">
        <color auto="1"/>
      </top>
      <bottom style="double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42" fontId="0" fillId="0" borderId="0" xfId="18" applyNumberFormat="1" applyFont="1"/>
    <xf numFmtId="41" fontId="0" fillId="0" borderId="0" xfId="18" applyNumberFormat="1" applyFont="1"/>
    <xf numFmtId="41" fontId="0" fillId="0" borderId="0" xfId="18" applyNumberFormat="1" applyFont="1" applyFill="1"/>
    <xf numFmtId="164" fontId="0" fillId="0" borderId="0" xfId="0" applyNumberFormat="1"/>
    <xf numFmtId="0" fontId="0" fillId="0" borderId="0" xfId="0" applyAlignment="1">
      <alignment horizontal="left"/>
    </xf>
    <xf numFmtId="41" fontId="0" fillId="0" borderId="0" xfId="0" applyNumberFormat="1"/>
    <xf numFmtId="0" fontId="0" fillId="0" borderId="0" xfId="0" applyFont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4" fillId="0" borderId="7" xfId="0" applyFont="1" applyBorder="1"/>
    <xf numFmtId="42" fontId="4" fillId="0" borderId="0" xfId="16" applyNumberFormat="1" applyFont="1" applyBorder="1"/>
    <xf numFmtId="42" fontId="4" fillId="0" borderId="8" xfId="0" applyNumberFormat="1" applyFont="1" applyBorder="1"/>
    <xf numFmtId="41" fontId="4" fillId="0" borderId="0" xfId="16" applyNumberFormat="1" applyFont="1" applyBorder="1"/>
    <xf numFmtId="41" fontId="4" fillId="0" borderId="8" xfId="0" applyNumberFormat="1" applyFont="1" applyBorder="1"/>
    <xf numFmtId="41" fontId="4" fillId="0" borderId="5" xfId="16" applyNumberFormat="1" applyFont="1" applyBorder="1"/>
    <xf numFmtId="41" fontId="4" fillId="0" borderId="6" xfId="0" applyNumberFormat="1" applyFont="1" applyBorder="1"/>
    <xf numFmtId="0" fontId="3" fillId="0" borderId="4" xfId="0" applyFont="1" applyBorder="1"/>
    <xf numFmtId="42" fontId="3" fillId="0" borderId="5" xfId="0" applyNumberFormat="1" applyFont="1" applyBorder="1"/>
    <xf numFmtId="42" fontId="3" fillId="0" borderId="6" xfId="0" applyNumberFormat="1" applyFont="1" applyBorder="1"/>
    <xf numFmtId="4" fontId="5" fillId="0" borderId="0" xfId="0" applyNumberFormat="1" applyFont="1"/>
    <xf numFmtId="0" fontId="0" fillId="0" borderId="0" xfId="0" applyFont="1" applyAlignment="1">
      <alignment horizontal="right"/>
    </xf>
    <xf numFmtId="44" fontId="0" fillId="0" borderId="0" xfId="0" applyNumberFormat="1"/>
    <xf numFmtId="44" fontId="0" fillId="0" borderId="0" xfId="16" applyFont="1"/>
    <xf numFmtId="44" fontId="0" fillId="0" borderId="5" xfId="16" applyFont="1" applyBorder="1"/>
    <xf numFmtId="165" fontId="0" fillId="0" borderId="0" xfId="0" applyNumberFormat="1"/>
    <xf numFmtId="43" fontId="0" fillId="0" borderId="0" xfId="0" applyNumberFormat="1"/>
    <xf numFmtId="0" fontId="0" fillId="0" borderId="0" xfId="0" applyFill="1" applyAlignment="1">
      <alignment horizontal="center"/>
    </xf>
    <xf numFmtId="0" fontId="2" fillId="0" borderId="0" xfId="0" applyFont="1" applyFill="1"/>
    <xf numFmtId="0" fontId="0" fillId="0" borderId="0" xfId="0" applyFill="1"/>
    <xf numFmtId="42" fontId="2" fillId="0" borderId="9" xfId="0" applyNumberFormat="1" applyFont="1" applyFill="1" applyBorder="1"/>
    <xf numFmtId="0" fontId="0" fillId="0" borderId="0" xfId="0" applyFont="1" applyFill="1"/>
    <xf numFmtId="0" fontId="3" fillId="0" borderId="10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12" xfId="0" applyFont="1" applyBorder="1" applyAlignment="1">
      <alignment horizontal="center" wrapText="1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externalLink" Target="externalLinks/externalLink1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6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E%20(Other%20Items)/Schedule%20II-E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30">
          <cell r="O30">
            <v>5</v>
          </cell>
        </row>
        <row r="35">
          <cell r="O35">
            <v>5</v>
          </cell>
        </row>
      </sheetData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">
    <tabColor rgb="FFFF0000"/>
    <pageSetUpPr fitToPage="1"/>
  </sheetPr>
  <dimension ref="A1:K50"/>
  <sheetViews>
    <sheetView tabSelected="1" workbookViewId="0" topLeftCell="A8">
      <selection pane="topLeft" activeCell="G48" sqref="G48"/>
    </sheetView>
  </sheetViews>
  <sheetFormatPr defaultRowHeight="12.75"/>
  <cols>
    <col min="2" max="2" width="28.8571428571429" bestFit="1" customWidth="1"/>
    <col min="3" max="3" width="18.7142857142857" customWidth="1"/>
    <col min="4" max="4" width="18.2857142857143" customWidth="1"/>
    <col min="5" max="5" width="13.2857142857143" bestFit="1" customWidth="1"/>
    <col min="6" max="6" width="14.8571428571429" bestFit="1" customWidth="1"/>
    <col min="7" max="7" width="14.4285714285714" bestFit="1" customWidth="1"/>
    <col min="8" max="8" width="25.4285714285714" customWidth="1"/>
    <col min="9" max="9" width="10.1428571428571" bestFit="1" customWidth="1"/>
    <col min="10" max="10" width="12.8571428571429" bestFit="1" customWidth="1"/>
    <col min="11" max="11" width="11.1428571428571" bestFit="1" customWidth="1"/>
  </cols>
  <sheetData>
    <row r="1" spans="1:1" ht="12.75">
      <c r="A1" s="1" t="s">
        <v>45</v>
      </c>
    </row>
    <row r="2" spans="1:1" ht="12.75">
      <c r="A2" s="2" t="s">
        <v>46</v>
      </c>
    </row>
    <row r="3" spans="1:1" ht="12.75">
      <c r="A3" s="3" t="s">
        <v>48</v>
      </c>
    </row>
    <row r="4" spans="1:1" ht="12.75">
      <c r="A4" s="4" t="s">
        <v>47</v>
      </c>
    </row>
    <row r="5" spans="1:1" ht="12.75">
      <c r="A5" s="3" t="s">
        <v>49</v>
      </c>
    </row>
    <row r="9" ht="13.5" thickBot="1"/>
    <row r="10" spans="1:7" ht="12.75">
      <c r="A10" s="5"/>
      <c r="B10" s="5"/>
      <c r="C10" s="5"/>
      <c r="D10" s="5"/>
      <c r="E10" s="5"/>
      <c r="F10" s="5"/>
      <c r="G10" s="5"/>
    </row>
    <row r="11" spans="1:7" ht="12.75">
      <c r="A11" s="6" t="s">
        <v>0</v>
      </c>
      <c r="B11" s="6" t="s">
        <v>1</v>
      </c>
      <c r="C11" s="6" t="s">
        <v>2</v>
      </c>
      <c r="D11" s="6" t="s">
        <v>2</v>
      </c>
      <c r="E11" s="6" t="s">
        <v>3</v>
      </c>
      <c r="F11" s="6" t="s">
        <v>4</v>
      </c>
      <c r="G11" s="6" t="s">
        <v>5</v>
      </c>
    </row>
    <row r="12" spans="1:7" ht="12.75">
      <c r="A12" s="6" t="s">
        <v>6</v>
      </c>
      <c r="B12" s="6" t="s">
        <v>7</v>
      </c>
      <c r="C12" s="6" t="s">
        <v>8</v>
      </c>
      <c r="D12" s="6" t="s">
        <v>9</v>
      </c>
      <c r="E12" s="6" t="s">
        <v>10</v>
      </c>
      <c r="F12" s="6" t="s">
        <v>10</v>
      </c>
      <c r="G12" s="6" t="s">
        <v>11</v>
      </c>
    </row>
    <row r="13" spans="1:7" ht="13.5" thickBot="1">
      <c r="A13" s="7"/>
      <c r="B13" s="8" t="s">
        <v>12</v>
      </c>
      <c r="C13" s="8" t="s">
        <v>13</v>
      </c>
      <c r="D13" s="8" t="s">
        <v>14</v>
      </c>
      <c r="E13" s="8" t="s">
        <v>15</v>
      </c>
      <c r="F13" s="8" t="s">
        <v>16</v>
      </c>
      <c r="G13" s="8" t="s">
        <v>17</v>
      </c>
    </row>
    <row r="15" spans="1:7" ht="12.75">
      <c r="A15" s="9">
        <v>1</v>
      </c>
      <c r="B15" t="s">
        <v>18</v>
      </c>
      <c r="C15" s="10">
        <v>44284</v>
      </c>
      <c r="D15" s="11">
        <v>1584014.4199999999</v>
      </c>
      <c r="E15" s="11">
        <v>0</v>
      </c>
      <c r="F15" s="11">
        <v>0</v>
      </c>
      <c r="G15" s="11">
        <f>D15-E15-F15</f>
        <v>1584014.4199999999</v>
      </c>
    </row>
    <row r="16" spans="1:7" ht="12.75">
      <c r="A16" s="9">
        <v>2</v>
      </c>
      <c r="B16" t="s">
        <v>19</v>
      </c>
      <c r="C16" s="10">
        <v>44263</v>
      </c>
      <c r="D16" s="12">
        <v>4860281.9400000004</v>
      </c>
      <c r="E16" s="12">
        <v>0</v>
      </c>
      <c r="F16" s="13">
        <v>0</v>
      </c>
      <c r="G16" s="12">
        <f t="shared" si="0" ref="G16:G21">D16-E16-F16</f>
        <v>4860281.9400000004</v>
      </c>
    </row>
    <row r="17" spans="1:7" ht="12.75">
      <c r="A17" s="9">
        <v>3</v>
      </c>
      <c r="B17" t="s">
        <v>20</v>
      </c>
      <c r="C17" s="10">
        <v>44271</v>
      </c>
      <c r="D17" s="12">
        <v>48554.580000000002</v>
      </c>
      <c r="E17" s="12">
        <v>0</v>
      </c>
      <c r="F17" s="13">
        <v>0</v>
      </c>
      <c r="G17" s="12">
        <f t="shared" si="0"/>
        <v>48554.580000000002</v>
      </c>
    </row>
    <row r="18" spans="1:7" ht="12.75">
      <c r="A18" s="9">
        <v>4</v>
      </c>
      <c r="B18" t="s">
        <v>21</v>
      </c>
      <c r="C18" s="10">
        <v>44266</v>
      </c>
      <c r="D18" s="12">
        <v>1191118.3100000001</v>
      </c>
      <c r="E18" s="12">
        <v>0</v>
      </c>
      <c r="F18" s="13">
        <v>0</v>
      </c>
      <c r="G18" s="12">
        <f t="shared" si="0"/>
        <v>1191118.3100000001</v>
      </c>
    </row>
    <row r="19" spans="1:7" ht="12.75">
      <c r="A19" s="9">
        <v>5</v>
      </c>
      <c r="B19" t="s">
        <v>22</v>
      </c>
      <c r="C19" s="10">
        <v>44330</v>
      </c>
      <c r="D19" s="12">
        <v>558679.15000000002</v>
      </c>
      <c r="E19" s="12">
        <v>0</v>
      </c>
      <c r="F19" s="13">
        <v>0</v>
      </c>
      <c r="G19" s="12">
        <f t="shared" si="0"/>
        <v>558679.15000000002</v>
      </c>
    </row>
    <row r="20" spans="1:7" ht="12.75">
      <c r="A20" s="9">
        <v>6</v>
      </c>
      <c r="B20" t="s">
        <v>23</v>
      </c>
      <c r="C20" s="10">
        <v>44399</v>
      </c>
      <c r="D20" s="12">
        <f>E39</f>
        <v>31222.949999999953</v>
      </c>
      <c r="E20" s="12">
        <v>0</v>
      </c>
      <c r="F20" s="13">
        <v>0</v>
      </c>
      <c r="G20" s="12">
        <f t="shared" si="0"/>
        <v>31222.949999999953</v>
      </c>
    </row>
    <row r="21" spans="1:7" ht="12.75">
      <c r="A21" s="9">
        <v>7</v>
      </c>
      <c r="B21" t="s">
        <v>24</v>
      </c>
      <c r="C21" s="10">
        <v>44263</v>
      </c>
      <c r="D21" s="12">
        <v>378147.20000000001</v>
      </c>
      <c r="E21" s="12">
        <v>0</v>
      </c>
      <c r="F21" s="13">
        <v>0</v>
      </c>
      <c r="G21" s="12">
        <f t="shared" si="0"/>
        <v>378147.20000000001</v>
      </c>
    </row>
    <row r="22" spans="1:7" ht="12.75">
      <c r="A22" s="9">
        <v>8</v>
      </c>
      <c r="C22" s="14"/>
      <c r="D22" s="12"/>
      <c r="E22" s="12"/>
      <c r="F22" s="13"/>
      <c r="G22" s="12"/>
    </row>
    <row r="23" spans="1:7" ht="12.75">
      <c r="A23" s="9">
        <v>9</v>
      </c>
      <c r="B23" s="15" t="s">
        <v>25</v>
      </c>
      <c r="D23" s="16"/>
      <c r="E23" s="16"/>
      <c r="F23" s="16"/>
      <c r="G23" s="16">
        <v>-293264.56</v>
      </c>
    </row>
    <row r="24" spans="1:7" ht="12.75">
      <c r="A24" s="9">
        <v>10</v>
      </c>
      <c r="C24" s="14"/>
      <c r="D24" s="12"/>
      <c r="E24" s="12"/>
      <c r="F24" s="13"/>
      <c r="G24" s="12"/>
    </row>
    <row r="25" spans="1:8" s="40" customFormat="1" ht="13.5" thickBot="1">
      <c r="A25" s="38">
        <v>11</v>
      </c>
      <c r="B25" s="39" t="s">
        <v>26</v>
      </c>
      <c r="D25" s="41">
        <f>SUM(D15:D24)</f>
        <v>8652018.5500000007</v>
      </c>
      <c r="E25" s="41">
        <f>SUM(E15:E24)</f>
        <v>0</v>
      </c>
      <c r="F25" s="41">
        <f>SUM(F15:F24)</f>
        <v>0</v>
      </c>
      <c r="G25" s="41">
        <f>SUM(G15:G24)</f>
        <v>8358753.9900000012</v>
      </c>
      <c r="H25" s="42" t="s">
        <v>41</v>
      </c>
    </row>
    <row r="26" spans="1:7" ht="13.5" thickTop="1">
      <c r="A26" s="9">
        <v>12</v>
      </c>
      <c r="B26" s="17"/>
      <c r="D26" s="16"/>
      <c r="E26" s="16"/>
      <c r="F26" s="16"/>
      <c r="G26" s="16"/>
    </row>
    <row r="27" spans="1:2" ht="12.75">
      <c r="A27" s="9">
        <v>13</v>
      </c>
      <c r="B27" s="17" t="s">
        <v>27</v>
      </c>
    </row>
    <row r="28" spans="1:2" ht="12.75">
      <c r="A28" s="9">
        <v>14</v>
      </c>
      <c r="B28" s="17" t="s">
        <v>28</v>
      </c>
    </row>
    <row r="29" spans="1:2" ht="12.75">
      <c r="A29" s="9">
        <v>15</v>
      </c>
      <c r="B29" s="17" t="s">
        <v>29</v>
      </c>
    </row>
    <row r="30" spans="1:2" ht="12.75">
      <c r="A30" s="9">
        <v>16</v>
      </c>
      <c r="B30" s="17"/>
    </row>
    <row r="31" spans="1:2" ht="12.75">
      <c r="A31" s="9">
        <v>17</v>
      </c>
      <c r="B31" s="17"/>
    </row>
    <row r="32" spans="1:5" ht="12.75">
      <c r="A32" s="9">
        <v>18</v>
      </c>
      <c r="B32" s="43" t="s">
        <v>30</v>
      </c>
      <c r="C32" s="44"/>
      <c r="D32" s="44"/>
      <c r="E32" s="45"/>
    </row>
    <row r="33" spans="1:5" ht="56.25">
      <c r="A33" s="9">
        <v>19</v>
      </c>
      <c r="B33" s="18" t="s">
        <v>1</v>
      </c>
      <c r="C33" s="19" t="s">
        <v>31</v>
      </c>
      <c r="D33" s="19" t="s">
        <v>40</v>
      </c>
      <c r="E33" s="20" t="s">
        <v>32</v>
      </c>
    </row>
    <row r="34" spans="1:5" ht="12.75">
      <c r="A34" s="9">
        <v>20</v>
      </c>
      <c r="B34" s="21" t="s">
        <v>18</v>
      </c>
      <c r="C34" s="22">
        <v>1591990.95</v>
      </c>
      <c r="D34" s="22">
        <v>-7976.5299999999997</v>
      </c>
      <c r="E34" s="23">
        <f>C34+D34</f>
        <v>1584014.4199999999</v>
      </c>
    </row>
    <row r="35" spans="1:5" ht="12.75">
      <c r="A35" s="9">
        <v>21</v>
      </c>
      <c r="B35" s="21" t="s">
        <v>19</v>
      </c>
      <c r="C35" s="24">
        <v>4885172.04</v>
      </c>
      <c r="D35" s="24">
        <v>-24890.099999999999</v>
      </c>
      <c r="E35" s="25">
        <f t="shared" si="1" ref="E35:E40">C35+D35</f>
        <v>4860281.9400000004</v>
      </c>
    </row>
    <row r="36" spans="1:5" ht="12.75">
      <c r="A36" s="9">
        <v>22</v>
      </c>
      <c r="B36" s="21" t="s">
        <v>20</v>
      </c>
      <c r="C36" s="24">
        <v>48808.160000000003</v>
      </c>
      <c r="D36" s="24">
        <v>-253.58000000000001</v>
      </c>
      <c r="E36" s="25">
        <f t="shared" si="1"/>
        <v>48554.580000000002</v>
      </c>
    </row>
    <row r="37" spans="1:5" ht="12.75">
      <c r="A37" s="9">
        <v>23</v>
      </c>
      <c r="B37" s="21" t="s">
        <v>21</v>
      </c>
      <c r="C37" s="24">
        <v>1197073.8500000001</v>
      </c>
      <c r="D37" s="24">
        <v>-5955.54</v>
      </c>
      <c r="E37" s="25">
        <f t="shared" si="1"/>
        <v>1191118.3100000001</v>
      </c>
    </row>
    <row r="38" spans="1:5" ht="12.75">
      <c r="A38" s="9">
        <v>24</v>
      </c>
      <c r="B38" s="21" t="s">
        <v>22</v>
      </c>
      <c r="C38" s="24">
        <v>561373.23999999999</v>
      </c>
      <c r="D38" s="24">
        <v>-2694.0900000000001</v>
      </c>
      <c r="E38" s="25">
        <f t="shared" si="1"/>
        <v>558679.15000000002</v>
      </c>
    </row>
    <row r="39" spans="1:5" ht="12.75">
      <c r="A39" s="9">
        <v>25</v>
      </c>
      <c r="B39" s="21" t="s">
        <v>23</v>
      </c>
      <c r="C39" s="24">
        <f>518234.05</f>
        <v>518234.04999999999</v>
      </c>
      <c r="D39" s="24">
        <f>-1810.96-485200.14</f>
        <v>-487011.10000000003</v>
      </c>
      <c r="E39" s="25">
        <f t="shared" si="1"/>
        <v>31222.949999999953</v>
      </c>
    </row>
    <row r="40" spans="1:5" ht="12.75">
      <c r="A40" s="9">
        <v>26</v>
      </c>
      <c r="B40" s="21" t="s">
        <v>24</v>
      </c>
      <c r="C40" s="26">
        <v>379999.27000000002</v>
      </c>
      <c r="D40" s="26">
        <v>-1852.0699999999999</v>
      </c>
      <c r="E40" s="27">
        <f t="shared" si="1"/>
        <v>378147.20000000001</v>
      </c>
    </row>
    <row r="41" spans="1:5" ht="12.75">
      <c r="A41" s="9">
        <v>27</v>
      </c>
      <c r="B41" s="28" t="s">
        <v>33</v>
      </c>
      <c r="C41" s="29">
        <f>SUM(C34:C40)</f>
        <v>9182651.5600000005</v>
      </c>
      <c r="D41" s="29">
        <f t="shared" si="2" ref="D41:E41">SUM(D34:D40)</f>
        <v>-530633.01000000001</v>
      </c>
      <c r="E41" s="30">
        <f t="shared" si="2"/>
        <v>8652018.5500000007</v>
      </c>
    </row>
    <row r="42" spans="1:1" ht="12.75">
      <c r="A42" s="9">
        <v>28</v>
      </c>
    </row>
    <row r="43" spans="3:7" ht="15">
      <c r="C43" s="31"/>
      <c r="F43" s="32" t="str">
        <f>CONCATENATE("Balance of REP defaults to be recovered over ",'[1]II-E-4.1.1'!$O$30," years as requested in this case")</f>
        <v>Balance of REP defaults to be recovered over 5 years as requested in this case</v>
      </c>
      <c r="G43" s="34">
        <f>G25/'[1]II-E-4.1.1'!$O$35</f>
        <v>1671750.7980000002</v>
      </c>
    </row>
    <row r="44" spans="6:7" ht="12.75">
      <c r="F44" s="32" t="s">
        <v>35</v>
      </c>
      <c r="G44" s="35">
        <v>267957.35999999999</v>
      </c>
    </row>
    <row r="45" spans="6:10" ht="12.75">
      <c r="F45" s="32" t="s">
        <v>34</v>
      </c>
      <c r="G45" s="34">
        <f>G43-G44</f>
        <v>1403793.4380000001</v>
      </c>
      <c r="J45" s="33"/>
    </row>
    <row r="46" spans="10:10" ht="12.75">
      <c r="J46" s="33"/>
    </row>
    <row r="47" spans="2:10" ht="12.75">
      <c r="B47" s="17" t="s">
        <v>39</v>
      </c>
      <c r="F47" s="32" t="s">
        <v>36</v>
      </c>
      <c r="G47" s="36">
        <f>D41</f>
        <v>-530633.01000000001</v>
      </c>
      <c r="H47" s="17" t="s">
        <v>43</v>
      </c>
      <c r="J47" s="33"/>
    </row>
    <row r="48" spans="2:8" ht="12.75">
      <c r="B48" s="17" t="s">
        <v>37</v>
      </c>
      <c r="F48" s="32" t="s">
        <v>36</v>
      </c>
      <c r="G48" s="33">
        <f>G45</f>
        <v>1403793.4380000001</v>
      </c>
      <c r="H48" s="17" t="s">
        <v>44</v>
      </c>
    </row>
    <row r="49" spans="2:8" ht="12.75">
      <c r="B49" s="17" t="s">
        <v>38</v>
      </c>
      <c r="F49" s="32" t="s">
        <v>36</v>
      </c>
      <c r="G49" s="33">
        <f>G48</f>
        <v>1403793.4380000001</v>
      </c>
      <c r="H49" s="17" t="s">
        <v>44</v>
      </c>
    </row>
    <row r="50" spans="2:11" ht="12.75">
      <c r="B50" s="17" t="s">
        <v>42</v>
      </c>
      <c r="I50" s="16"/>
      <c r="J50" s="37"/>
      <c r="K50" s="37"/>
    </row>
  </sheetData>
  <mergeCells count="1">
    <mergeCell ref="B32:E32"/>
  </mergeCells>
  <printOptions horizontalCentered="1"/>
  <pageMargins left="0.5" right="0.5" top="2.5" bottom="0.5" header="1" footer="0.3"/>
  <pageSetup firstPageNumber="2" useFirstPageNumber="1" fitToHeight="0" orientation="landscape" scale="91" r:id="rId1"/>
  <headerFooter>
    <oddHeader>&amp;R&amp;"Arial,Bold"WP/II-D ADJUSTMENT /43
Page &amp;P of 3</oddHeader>
  </headerFooter>
  <rowBreaks count="1" manualBreakCount="1">
    <brk id="30" max="7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#43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