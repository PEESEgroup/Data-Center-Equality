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OBSINVSU" sheetId="1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1" l="1"/>
</calcChain>
</file>

<file path=xl/sharedStrings.xml><?xml version="1.0" encoding="utf-8"?>
<sst xmlns="http://schemas.openxmlformats.org/spreadsheetml/2006/main" count="31" uniqueCount="28">
  <si>
    <t>BU</t>
  </si>
  <si>
    <t>DEPTID</t>
  </si>
  <si>
    <t>ACCT</t>
  </si>
  <si>
    <t>EC</t>
  </si>
  <si>
    <t>PROJECT</t>
  </si>
  <si>
    <t>LOC</t>
  </si>
  <si>
    <t>ACTIV</t>
  </si>
  <si>
    <t>AFFIL</t>
  </si>
  <si>
    <t>AMT</t>
  </si>
  <si>
    <t>REF</t>
  </si>
  <si>
    <t>DESC</t>
  </si>
  <si>
    <t>TRN</t>
  </si>
  <si>
    <t xml:space="preserve">OBSINVSU </t>
  </si>
  <si>
    <t>TRNS</t>
  </si>
  <si>
    <t>Write Off Obsolete Material - SU 2021 Review</t>
  </si>
  <si>
    <t>000</t>
  </si>
  <si>
    <t>Write Off Obsolete Material - SU 2021 Review Material</t>
  </si>
  <si>
    <t>Write Off Obsolete Material - SU 2021 Review Stores Loading</t>
  </si>
  <si>
    <t>Write Off Obsolete Material - SU 2021 Review Tax Loading</t>
  </si>
  <si>
    <t>SU 2021 TRN</t>
  </si>
  <si>
    <t>Rates @ 12/31/2021</t>
  </si>
  <si>
    <t>*Base Amt for P&amp;S Loading</t>
  </si>
  <si>
    <t>Note: Stores (P&amp;S) loading is only applied to the first $100K of a single transaction.</t>
  </si>
  <si>
    <t>Stanton</t>
  </si>
  <si>
    <t>TRN UJE 966080 12-31-2021</t>
  </si>
  <si>
    <t>K&amp;M adjustment to exclude write off of M&amp;S</t>
  </si>
  <si>
    <t>Oncor Electric Delivery Company LLC</t>
  </si>
  <si>
    <t>2022 Rate Case - K&amp;M Adjustment for M&amp;S Write-off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</si>
</sst>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1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u val="single"/>
      <sz val="9"/>
      <name val="Arial"/>
      <family val="2"/>
    </font>
    <font>
      <sz val="9"/>
      <name val="Arial"/>
      <family val="2"/>
    </font>
    <font>
      <b/>
      <u val="single"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4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>
      <alignment/>
      <protection/>
    </xf>
    <xf numFmtId="44" fontId="2" fillId="0" borderId="0" applyFont="0" applyFill="0" applyBorder="0" applyAlignment="0" applyProtection="0"/>
    <xf numFmtId="0" fontId="0" fillId="0" borderId="0">
      <alignment/>
      <protection/>
    </xf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3" fillId="0" borderId="0" xfId="20" applyFont="1" applyFill="1" applyAlignment="1">
      <alignment horizontal="center"/>
      <protection/>
    </xf>
    <xf numFmtId="1" fontId="3" fillId="0" borderId="0" xfId="20" applyNumberFormat="1" applyFont="1" applyFill="1" applyAlignment="1">
      <alignment horizontal="center"/>
      <protection/>
    </xf>
    <xf numFmtId="44" fontId="3" fillId="0" borderId="0" xfId="21" applyFont="1" applyFill="1" applyAlignment="1">
      <alignment horizontal="center"/>
    </xf>
    <xf numFmtId="0" fontId="4" fillId="0" borderId="0" xfId="20" applyFont="1" applyFill="1" applyAlignment="1">
      <alignment horizontal="center"/>
      <protection/>
    </xf>
    <xf numFmtId="0" fontId="5" fillId="0" borderId="0" xfId="20" applyFont="1" applyFill="1" applyBorder="1" applyAlignment="1">
      <alignment horizontal="center" wrapText="1"/>
      <protection/>
    </xf>
    <xf numFmtId="0" fontId="0" fillId="0" borderId="0" xfId="22" applyFont="1" applyFill="1" applyAlignment="1">
      <alignment horizontal="left"/>
      <protection/>
    </xf>
    <xf numFmtId="0" fontId="0" fillId="0" borderId="0" xfId="22" applyFill="1" applyAlignment="1">
      <alignment horizontal="center"/>
      <protection/>
    </xf>
    <xf numFmtId="0" fontId="0" fillId="0" borderId="0" xfId="22" applyFont="1" applyFill="1" applyAlignment="1">
      <alignment/>
      <protection/>
    </xf>
    <xf numFmtId="0" fontId="4" fillId="0" borderId="0" xfId="20" applyFont="1" applyFill="1" applyAlignment="1" quotePrefix="1">
      <alignment horizontal="center"/>
      <protection/>
    </xf>
    <xf numFmtId="0" fontId="5" fillId="0" borderId="0" xfId="20" applyFont="1" applyFill="1" applyAlignment="1">
      <alignment horizontal="center"/>
      <protection/>
    </xf>
    <xf numFmtId="8" fontId="6" fillId="0" borderId="0" xfId="20" applyNumberFormat="1" applyFont="1" applyFill="1" applyAlignment="1">
      <alignment horizontal="center"/>
      <protection/>
    </xf>
    <xf numFmtId="10" fontId="6" fillId="0" borderId="0" xfId="23" applyNumberFormat="1" applyFont="1" applyFill="1" applyAlignment="1">
      <alignment horizontal="center"/>
    </xf>
    <xf numFmtId="10" fontId="7" fillId="0" borderId="0" xfId="23" applyNumberFormat="1" applyFont="1" applyFill="1" applyAlignment="1">
      <alignment horizontal="left"/>
    </xf>
    <xf numFmtId="0" fontId="8" fillId="0" borderId="0" xfId="22" applyFont="1" applyFill="1" applyAlignment="1">
      <alignment horizontal="left"/>
      <protection/>
    </xf>
    <xf numFmtId="10" fontId="0" fillId="0" borderId="0" xfId="23" applyNumberFormat="1" applyFont="1" applyFill="1" applyAlignment="1">
      <alignment horizontal="center"/>
    </xf>
    <xf numFmtId="8" fontId="9" fillId="0" borderId="1" xfId="20" applyNumberFormat="1" applyFont="1" applyFill="1" applyBorder="1" applyAlignment="1">
      <alignment horizontal="center"/>
      <protection/>
    </xf>
    <xf numFmtId="0" fontId="2" fillId="0" borderId="1" xfId="20" applyFill="1" applyBorder="1" applyAlignment="1">
      <alignment horizontal="center"/>
      <protection/>
    </xf>
    <xf numFmtId="0" fontId="10" fillId="0" borderId="2" xfId="22" applyFont="1" applyFill="1" applyBorder="1" applyAlignment="1">
      <alignment horizontal="center"/>
      <protection/>
    </xf>
    <xf numFmtId="0" fontId="10" fillId="0" borderId="3" xfId="22" applyFont="1" applyFill="1" applyBorder="1" applyAlignment="1">
      <alignment horizontal="center"/>
      <protection/>
    </xf>
    <xf numFmtId="0" fontId="10" fillId="0" borderId="4" xfId="22" applyFont="1" applyFill="1" applyBorder="1" applyAlignment="1">
      <alignment horizontal="center"/>
      <protection/>
    </xf>
    <xf numFmtId="0" fontId="10" fillId="0" borderId="5" xfId="22" applyFont="1" applyFill="1" applyBorder="1" applyAlignment="1">
      <alignment horizontal="center"/>
      <protection/>
    </xf>
    <xf numFmtId="0" fontId="10" fillId="0" borderId="0" xfId="22" applyFont="1" applyFill="1" applyBorder="1" applyAlignment="1">
      <alignment horizontal="center"/>
      <protection/>
    </xf>
    <xf numFmtId="0" fontId="10" fillId="0" borderId="6" xfId="22" applyFont="1" applyFill="1" applyBorder="1" applyAlignment="1">
      <alignment horizontal="center"/>
      <protection/>
    </xf>
    <xf numFmtId="0" fontId="10" fillId="0" borderId="7" xfId="22" applyFont="1" applyFill="1" applyBorder="1" applyAlignment="1">
      <alignment horizontal="center"/>
      <protection/>
    </xf>
    <xf numFmtId="0" fontId="10" fillId="0" borderId="8" xfId="22" applyFont="1" applyFill="1" applyBorder="1" applyAlignment="1">
      <alignment horizontal="center"/>
      <protection/>
    </xf>
    <xf numFmtId="0" fontId="10" fillId="0" borderId="9" xfId="22" applyFont="1" applyFill="1" applyBorder="1" applyAlignment="1">
      <alignment horizontal="center"/>
      <protection/>
    </xf>
    <xf numFmtId="43" fontId="4" fillId="0" borderId="0" xfId="21" applyNumberFormat="1" applyFont="1" applyFill="1" applyAlignment="1">
      <alignment horizontal="center"/>
    </xf>
    <xf numFmtId="43" fontId="10" fillId="0" borderId="0" xfId="22" applyNumberFormat="1" applyFont="1" applyFill="1" applyBorder="1" applyAlignment="1">
      <alignment horizontal="center"/>
      <protection/>
    </xf>
  </cellXfs>
  <cellStyles count="10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  <cellStyle name="Currency 2" xfId="21"/>
    <cellStyle name="Normal 17" xfId="22"/>
    <cellStyle name="Percent 2" xfId="2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>
    <tabColor rgb="FFFFFF00"/>
    <pageSetUpPr fitToPage="1"/>
  </sheetPr>
  <dimension ref="A1:K21"/>
  <sheetViews>
    <sheetView tabSelected="1" zoomScale="110" zoomScaleNormal="110" zoomScaleSheetLayoutView="100" workbookViewId="0" topLeftCell="A1">
      <selection pane="topLeft" activeCell="D9" sqref="D9"/>
    </sheetView>
  </sheetViews>
  <sheetFormatPr defaultColWidth="9.14428571428571" defaultRowHeight="15"/>
  <cols>
    <col min="1" max="1" width="15.2857142857143" style="7" bestFit="1" customWidth="1"/>
    <col min="2" max="2" width="12.2857142857143" style="7" customWidth="1"/>
    <col min="3" max="3" width="13.5714285714286" style="7" customWidth="1"/>
    <col min="4" max="4" width="9.28571428571429" style="7" bestFit="1" customWidth="1"/>
    <col min="5" max="5" width="10.4285714285714" style="7" bestFit="1" customWidth="1"/>
    <col min="6" max="8" width="9.14285714285714" style="7"/>
    <col min="9" max="9" width="12.5714285714286" style="7" bestFit="1" customWidth="1"/>
    <col min="10" max="10" width="16.1428571428571" style="7" customWidth="1"/>
    <col min="11" max="11" width="49.8571428571429" style="7" bestFit="1" customWidth="1"/>
    <col min="12" max="16384" width="9.14285714285714" style="7"/>
  </cols>
  <sheetData>
    <row r="1" spans="1:1" ht="15">
      <c r="A1" s="6" t="s">
        <v>26</v>
      </c>
    </row>
    <row r="2" spans="1:1" ht="15">
      <c r="A2" s="8" t="s">
        <v>27</v>
      </c>
    </row>
    <row r="3" spans="1:1" ht="15">
      <c r="A3" s="8"/>
    </row>
    <row r="4" spans="1:11" ht="15">
      <c r="A4" s="1" t="s">
        <v>0</v>
      </c>
      <c r="B4" s="2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3" t="s">
        <v>8</v>
      </c>
      <c r="J4" s="1" t="s">
        <v>9</v>
      </c>
      <c r="K4" s="1" t="s">
        <v>10</v>
      </c>
    </row>
    <row r="5" spans="1:11" ht="15">
      <c r="A5" s="4" t="s">
        <v>11</v>
      </c>
      <c r="B5" s="4">
        <v>524001</v>
      </c>
      <c r="C5" s="4">
        <v>5660000</v>
      </c>
      <c r="D5" s="4">
        <v>175</v>
      </c>
      <c r="E5" s="4" t="s">
        <v>12</v>
      </c>
      <c r="F5" s="4"/>
      <c r="G5" s="4" t="s">
        <v>13</v>
      </c>
      <c r="H5" s="4"/>
      <c r="I5" s="27">
        <f>A16</f>
        <v>860393.11999999965</v>
      </c>
      <c r="J5" s="4"/>
      <c r="K5" s="4" t="s">
        <v>14</v>
      </c>
    </row>
    <row r="6" spans="1:11" ht="15">
      <c r="A6" s="4" t="s">
        <v>11</v>
      </c>
      <c r="B6" s="4">
        <v>571900</v>
      </c>
      <c r="C6" s="4">
        <v>1545000</v>
      </c>
      <c r="D6" s="9" t="s">
        <v>15</v>
      </c>
      <c r="E6" s="4"/>
      <c r="F6" s="4"/>
      <c r="G6" s="4"/>
      <c r="H6" s="4"/>
      <c r="I6" s="27">
        <f>ROUND(A12,2)*-1</f>
        <v>-763890.30000000005</v>
      </c>
      <c r="J6" s="4"/>
      <c r="K6" s="4" t="s">
        <v>16</v>
      </c>
    </row>
    <row r="7" spans="1:11" ht="15">
      <c r="A7" s="4" t="s">
        <v>11</v>
      </c>
      <c r="B7" s="4">
        <v>571900</v>
      </c>
      <c r="C7" s="4">
        <v>1631100</v>
      </c>
      <c r="D7" s="4">
        <v>862</v>
      </c>
      <c r="E7" s="4"/>
      <c r="F7" s="4"/>
      <c r="G7" s="4"/>
      <c r="H7" s="4"/>
      <c r="I7" s="27">
        <f>ROUND(A14,2)*-1</f>
        <v>-48759.68</v>
      </c>
      <c r="J7" s="4"/>
      <c r="K7" s="4" t="s">
        <v>17</v>
      </c>
    </row>
    <row r="8" spans="1:11" ht="15">
      <c r="A8" s="4" t="s">
        <v>11</v>
      </c>
      <c r="B8" s="4">
        <v>571900</v>
      </c>
      <c r="C8" s="4">
        <v>1634000</v>
      </c>
      <c r="D8" s="4">
        <v>862</v>
      </c>
      <c r="E8" s="4"/>
      <c r="F8" s="4"/>
      <c r="G8" s="4"/>
      <c r="H8" s="4"/>
      <c r="I8" s="27">
        <f>ROUND(A15,2)*-1</f>
        <v>-47743.139999999999</v>
      </c>
      <c r="J8" s="4"/>
      <c r="K8" s="4" t="s">
        <v>18</v>
      </c>
    </row>
    <row r="11" spans="1:2" ht="30">
      <c r="A11" s="10" t="s">
        <v>19</v>
      </c>
      <c r="B11" s="5" t="s">
        <v>20</v>
      </c>
    </row>
    <row r="12" spans="1:2" ht="15">
      <c r="A12" s="11">
        <v>763890.29999999958</v>
      </c>
      <c r="B12" s="12"/>
    </row>
    <row r="13" spans="1:4" ht="15">
      <c r="A13" s="11">
        <v>669775.87999999954</v>
      </c>
      <c r="B13" s="13" t="s">
        <v>21</v>
      </c>
      <c r="D13" s="14" t="s">
        <v>22</v>
      </c>
    </row>
    <row r="14" spans="1:2" ht="15">
      <c r="A14" s="11">
        <f>ROUND(A13*B14,2)</f>
        <v>48759.68</v>
      </c>
      <c r="B14" s="15">
        <v>0.072800000000000004</v>
      </c>
    </row>
    <row r="15" spans="1:3" ht="15">
      <c r="A15" s="11">
        <f>ROUND(A12*B15,2)</f>
        <v>47743.139999999999</v>
      </c>
      <c r="B15" s="15">
        <v>0.0625</v>
      </c>
      <c r="C15" s="7" t="s">
        <v>23</v>
      </c>
    </row>
    <row r="16" spans="1:2" ht="15.75" thickBot="1">
      <c r="A16" s="16">
        <f>A12+A14+A15</f>
        <v>860393.11999999965</v>
      </c>
      <c r="B16" s="17"/>
    </row>
    <row r="17" ht="16.5" thickTop="1" thickBot="1"/>
    <row r="18" spans="1:10" ht="15">
      <c r="A18" s="6" t="s">
        <v>24</v>
      </c>
      <c r="G18" s="18"/>
      <c r="H18" s="19"/>
      <c r="I18" s="19"/>
      <c r="J18" s="20"/>
    </row>
    <row r="19" spans="7:10" ht="15">
      <c r="G19" s="21"/>
      <c r="H19" s="22"/>
      <c r="I19" s="22" t="s">
        <v>25</v>
      </c>
      <c r="J19" s="23"/>
    </row>
    <row r="20" spans="7:10" ht="15">
      <c r="G20" s="21"/>
      <c r="H20" s="22"/>
      <c r="I20" s="28">
        <f>-I5</f>
        <v>-860393.11999999965</v>
      </c>
      <c r="J20" s="23"/>
    </row>
    <row r="21" spans="7:10" ht="15.75" thickBot="1">
      <c r="G21" s="24"/>
      <c r="H21" s="25"/>
      <c r="I21" s="25"/>
      <c r="J21" s="26"/>
    </row>
  </sheetData>
  <dataValidations count="1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B11">
      <formula1>"NEXT,Rates @ 12/31/2019"</formula1>
    </dataValidation>
  </dataValidations>
  <printOptions horizontalCentered="1"/>
  <pageMargins left="0.5" right="0.5" top="1.5" bottom="0.5" header="1" footer="0.3"/>
  <pageSetup horizontalDpi="1200" verticalDpi="1200" orientation="landscape" scale="76" r:id="rId1"/>
  <headerFooter>
    <oddHeader>&amp;R&amp;"-,Bold"WP/II-D ADJUSTMENT /12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OBSINVSU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