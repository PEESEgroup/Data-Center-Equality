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vbaProject.bin" ContentType="application/vnd.ms-office.vbaProject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ection II (Test Year Data)\Schedule D (O &amp; M Expense)\Schedule II-D Workpapers\"/>
    </mc:Choice>
  </mc:AlternateContent>
  <bookViews>
    <workbookView xWindow="0" yWindow="75" windowWidth="15195" windowHeight="8055" tabRatio="987" activeTab="0"/>
  </bookViews>
  <sheets>
    <sheet name="Total Summary" sheetId="16" r:id="rId3"/>
    <sheet name="Labor Summary" sheetId="42" r:id="rId4"/>
    <sheet name="Template" sheetId="17" r:id="rId5"/>
    <sheet name="Adj. #1" sheetId="73" r:id="rId6"/>
    <sheet name="Adj. #2" sheetId="74" r:id="rId7"/>
    <sheet name="Adj. #3" sheetId="75" r:id="rId8"/>
    <sheet name="Adj. #4" sheetId="76" r:id="rId9"/>
    <sheet name="Adj. #5" sheetId="77" r:id="rId10"/>
    <sheet name="Adj. #6" sheetId="78" r:id="rId11"/>
    <sheet name="Adj. #7" sheetId="79" r:id="rId12"/>
    <sheet name="Adj. #8" sheetId="80" r:id="rId13"/>
    <sheet name="Adj. #9" sheetId="81" r:id="rId14"/>
    <sheet name="Adj. #10" sheetId="82" r:id="rId15"/>
    <sheet name="Adj. #11" sheetId="83" r:id="rId16"/>
    <sheet name="Adj. #12" sheetId="84" r:id="rId17"/>
    <sheet name="Adj. #13" sheetId="85" r:id="rId18"/>
    <sheet name="Adj. #14" sheetId="86" r:id="rId19"/>
    <sheet name="Adj. #15" sheetId="87" r:id="rId20"/>
    <sheet name="Adj. #16" sheetId="88" r:id="rId21"/>
    <sheet name="Adj. #17" sheetId="89" r:id="rId22"/>
    <sheet name="Adj. #18" sheetId="90" r:id="rId23"/>
    <sheet name="Adj. #19" sheetId="91" r:id="rId24"/>
    <sheet name="Adj. #20" sheetId="92" r:id="rId25"/>
    <sheet name="Adj. #21" sheetId="93" r:id="rId26"/>
    <sheet name="Adj. #22" sheetId="94" r:id="rId27"/>
    <sheet name="Adj. #23" sheetId="95" r:id="rId28"/>
    <sheet name="Adj. #24" sheetId="96" r:id="rId29"/>
    <sheet name="Adj. #25" sheetId="97" r:id="rId30"/>
    <sheet name="Adj. #26" sheetId="98" r:id="rId31"/>
    <sheet name="Adj. #27" sheetId="99" r:id="rId32"/>
    <sheet name="Adj. #28" sheetId="100" r:id="rId33"/>
    <sheet name="Adj. #29" sheetId="101" r:id="rId34"/>
    <sheet name="Adj. #30" sheetId="102" r:id="rId35"/>
    <sheet name="Adj. #31" sheetId="103" r:id="rId36"/>
    <sheet name="Adj. #32" sheetId="104" r:id="rId37"/>
    <sheet name="Adj. #33" sheetId="105" r:id="rId38"/>
    <sheet name="Adj. #34" sheetId="106" r:id="rId39"/>
    <sheet name="Adj. #35" sheetId="107" r:id="rId40"/>
    <sheet name="Adj. #36" sheetId="108" r:id="rId41"/>
    <sheet name="Adj. #37" sheetId="109" r:id="rId42"/>
    <sheet name="Adj. #38" sheetId="110" r:id="rId43"/>
    <sheet name="Adj. #39" sheetId="111" r:id="rId44"/>
    <sheet name="Adj. #40" sheetId="112" r:id="rId45"/>
    <sheet name="Adj. #41" sheetId="113" r:id="rId46"/>
    <sheet name="Adj. #42" sheetId="114" r:id="rId47"/>
    <sheet name="Adj. #43" sheetId="115" r:id="rId48"/>
    <sheet name="Adj. #44" sheetId="116" r:id="rId49"/>
    <sheet name="Adj. #45" sheetId="117" r:id="rId50"/>
    <sheet name="Adj. #46" sheetId="118" r:id="rId51"/>
    <sheet name="Adj. #47" sheetId="119" r:id="rId52"/>
    <sheet name="Adj. #48" sheetId="120" r:id="rId53"/>
    <sheet name="Adj. #49" sheetId="121" r:id="rId54"/>
    <sheet name="Adj. #50" sheetId="122" r:id="rId55"/>
    <sheet name="Adj. #51" sheetId="123" r:id="rId56"/>
    <sheet name="Adj. #52" sheetId="124" r:id="rId57"/>
    <sheet name="Adj. #53" sheetId="125" r:id="rId58"/>
    <sheet name="Adj. #54" sheetId="126" r:id="rId59"/>
    <sheet name="Adj. #55" sheetId="127" r:id="rId60"/>
    <sheet name="Adj. #56" sheetId="128" r:id="rId61"/>
    <sheet name="Adj. #57" sheetId="129" r:id="rId62"/>
    <sheet name="Adj. #58" sheetId="130" r:id="rId63"/>
    <sheet name="Adj. #59" sheetId="131" r:id="rId64"/>
    <sheet name="Adj. #60" sheetId="132" r:id="rId65"/>
    <sheet name="Adj. #61" sheetId="133" r:id="rId66"/>
    <sheet name="Adj. #62" sheetId="134" r:id="rId67"/>
    <sheet name="Adj. #63" sheetId="135" r:id="rId68"/>
    <sheet name="Adj. #64" sheetId="136" r:id="rId69"/>
    <sheet name="Adj. #65" sheetId="137" r:id="rId70"/>
    <sheet name="Adj. #66" sheetId="138" r:id="rId71"/>
    <sheet name="Adj. #67" sheetId="139" r:id="rId72"/>
    <sheet name="Adj. #68" sheetId="140" r:id="rId73"/>
    <sheet name="Adj. #69" sheetId="141" r:id="rId74"/>
    <sheet name="Adj. #70" sheetId="142" r:id="rId75"/>
  </sheets>
  <externalReferences>
    <externalReference r:id="rId78"/>
    <externalReference r:id="rId79"/>
    <externalReference r:id="rId80"/>
    <externalReference r:id="rId81"/>
    <externalReference r:id="rId82"/>
  </externalReferences>
  <definedNames>
    <definedName name="_xlnm.Print_Area" localSheetId="3">'Adj. #1'!$A$1:$M$25</definedName>
    <definedName name="_xlnm.Print_Area" localSheetId="12">'Adj. #10'!$A$1:$M$26</definedName>
    <definedName name="_xlnm.Print_Area" localSheetId="13">'Adj. #11'!$A$1:$M$26</definedName>
    <definedName name="_xlnm.Print_Area" localSheetId="14">'Adj. #12'!$A$1:$M$26</definedName>
    <definedName name="_xlnm.Print_Area" localSheetId="15">'Adj. #13'!$A$1:$M$26</definedName>
    <definedName name="_xlnm.Print_Area" localSheetId="16">'Adj. #14'!$A$1:$M$26</definedName>
    <definedName name="_xlnm.Print_Area" localSheetId="17">'Adj. #15'!$A$1:$M$26</definedName>
    <definedName name="_xlnm.Print_Area" localSheetId="18">'Adj. #16'!$A$1:$M$30</definedName>
    <definedName name="_xlnm.Print_Area" localSheetId="19">'Adj. #17'!$A$1:$M$27</definedName>
    <definedName name="_xlnm.Print_Area" localSheetId="20">'Adj. #18'!$A$1:$M$26</definedName>
    <definedName name="_xlnm.Print_Area" localSheetId="21">'Adj. #19'!$A$1:$M$26</definedName>
    <definedName name="_xlnm.Print_Area" localSheetId="4">'Adj. #2'!$A$1:$M$26</definedName>
    <definedName name="_xlnm.Print_Area" localSheetId="22">'Adj. #20'!$A$1:$M$26</definedName>
    <definedName name="_xlnm.Print_Area" localSheetId="23">'Adj. #21'!$A$1:$M$27</definedName>
    <definedName name="_xlnm.Print_Area" localSheetId="24">'Adj. #22'!$A$1:$M$26</definedName>
    <definedName name="_xlnm.Print_Area" localSheetId="25">'Adj. #23'!$A$1:$M$29</definedName>
    <definedName name="_xlnm.Print_Area" localSheetId="26">'Adj. #24'!$A$1:$M$27</definedName>
    <definedName name="_xlnm.Print_Area" localSheetId="27">'Adj. #25'!$A$1:$M$30</definedName>
    <definedName name="_xlnm.Print_Area" localSheetId="28">'Adj. #26'!$A$1:$M$32</definedName>
    <definedName name="_xlnm.Print_Area" localSheetId="29">'Adj. #27'!$A$1:$M$60</definedName>
    <definedName name="_xlnm.Print_Area" localSheetId="30">'Adj. #28'!$A$1:$M$28</definedName>
    <definedName name="_xlnm.Print_Area" localSheetId="31">'Adj. #29'!$A$1:$M$27</definedName>
    <definedName name="_xlnm.Print_Area" localSheetId="5">'Adj. #3'!$A$1:$M$31</definedName>
    <definedName name="_xlnm.Print_Area" localSheetId="32">'Adj. #30'!$A$1:$M$26</definedName>
    <definedName name="_xlnm.Print_Area" localSheetId="33">'Adj. #31'!$A$1:$M$26</definedName>
    <definedName name="_xlnm.Print_Area" localSheetId="34">'Adj. #32'!$A$1:$M$26</definedName>
    <definedName name="_xlnm.Print_Area" localSheetId="35">'Adj. #33'!$A$1:$M$26</definedName>
    <definedName name="_xlnm.Print_Area" localSheetId="36">'Adj. #34'!$A$1:$M$26</definedName>
    <definedName name="_xlnm.Print_Area" localSheetId="37">'Adj. #35'!$A$1:$M$26</definedName>
    <definedName name="_xlnm.Print_Area" localSheetId="38">'Adj. #36'!$A$1:$M$26</definedName>
    <definedName name="_xlnm.Print_Area" localSheetId="39">'Adj. #37'!$A$1:$M$26</definedName>
    <definedName name="_xlnm.Print_Area" localSheetId="40">'Adj. #38'!$A$1:$M$28</definedName>
    <definedName name="_xlnm.Print_Area" localSheetId="41">'Adj. #39'!$A$1:$M$26</definedName>
    <definedName name="_xlnm.Print_Area" localSheetId="6">'Adj. #4'!$A$1:$M$26</definedName>
    <definedName name="_xlnm.Print_Area" localSheetId="42">'Adj. #40'!$A$1:$M$26</definedName>
    <definedName name="_xlnm.Print_Area" localSheetId="43">'Adj. #41'!$A$1:$M$26</definedName>
    <definedName name="_xlnm.Print_Area" localSheetId="44">'Adj. #42'!$A$1:$M$26</definedName>
    <definedName name="_xlnm.Print_Area" localSheetId="45">'Adj. #43'!$A$1:$M$26</definedName>
    <definedName name="_xlnm.Print_Area" localSheetId="46">'Adj. #44'!$A$1:$M$26</definedName>
    <definedName name="_xlnm.Print_Area" localSheetId="47">'Adj. #45'!$A$1:$M$26</definedName>
    <definedName name="_xlnm.Print_Area" localSheetId="48">'Adj. #46'!$A$1:$M$26</definedName>
    <definedName name="_xlnm.Print_Area" localSheetId="49">'Adj. #47'!$A$1:$M$26</definedName>
    <definedName name="_xlnm.Print_Area" localSheetId="50">'Adj. #48'!$A$1:$M$26</definedName>
    <definedName name="_xlnm.Print_Area" localSheetId="51">'Adj. #49'!$A$1:$M$26</definedName>
    <definedName name="_xlnm.Print_Area" localSheetId="7">'Adj. #5'!$A$1:$M$27</definedName>
    <definedName name="_xlnm.Print_Area" localSheetId="52">'Adj. #50'!$A$1:$M$26</definedName>
    <definedName name="_xlnm.Print_Area" localSheetId="53">'Adj. #51'!$A$1:$M$26</definedName>
    <definedName name="_xlnm.Print_Area" localSheetId="54">'Adj. #52'!$A$1:$M$26</definedName>
    <definedName name="_xlnm.Print_Area" localSheetId="55">'Adj. #53'!$A$1:$M$26</definedName>
    <definedName name="_xlnm.Print_Area" localSheetId="56">'Adj. #54'!$A$1:$M$35</definedName>
    <definedName name="_xlnm.Print_Area" localSheetId="57">'Adj. #55'!$A$1:$M$26</definedName>
    <definedName name="_xlnm.Print_Area" localSheetId="58">'Adj. #56'!$A$1:$M$26</definedName>
    <definedName name="_xlnm.Print_Area" localSheetId="59">'Adj. #57'!$A$1:$M$26</definedName>
    <definedName name="_xlnm.Print_Area" localSheetId="60">'Adj. #58'!$A$1:$M$26</definedName>
    <definedName name="_xlnm.Print_Area" localSheetId="61">'Adj. #59'!$A$1:$M$26</definedName>
    <definedName name="_xlnm.Print_Area" localSheetId="8">'Adj. #6'!$A$1:$M$27</definedName>
    <definedName name="_xlnm.Print_Area" localSheetId="62">'Adj. #60'!$A$1:$M$26</definedName>
    <definedName name="_xlnm.Print_Area" localSheetId="63">'Adj. #61'!$A$1:$M$26</definedName>
    <definedName name="_xlnm.Print_Area" localSheetId="64">'Adj. #62'!$A$1:$M$26</definedName>
    <definedName name="_xlnm.Print_Area" localSheetId="65">'Adj. #63'!$A$1:$M$26</definedName>
    <definedName name="_xlnm.Print_Area" localSheetId="66">'Adj. #64'!$A$1:$M$26</definedName>
    <definedName name="_xlnm.Print_Area" localSheetId="67">'Adj. #65'!$A$1:$M$26</definedName>
    <definedName name="_xlnm.Print_Area" localSheetId="68">'Adj. #66'!$A$1:$M$26</definedName>
    <definedName name="_xlnm.Print_Area" localSheetId="69">'Adj. #67'!$A$1:$M$26</definedName>
    <definedName name="_xlnm.Print_Area" localSheetId="70">'Adj. #68'!$A$1:$M$26</definedName>
    <definedName name="_xlnm.Print_Area" localSheetId="71">'Adj. #69'!$A$1:$M$26</definedName>
    <definedName name="_xlnm.Print_Area" localSheetId="9">'Adj. #7'!$A$1:$M$26</definedName>
    <definedName name="_xlnm.Print_Area" localSheetId="72">'Adj. #70'!$A$1:$M$26</definedName>
    <definedName name="_xlnm.Print_Area" localSheetId="10">'Adj. #8'!$A$1:$M$26</definedName>
    <definedName name="_xlnm.Print_Area" localSheetId="11">'Adj. #9'!$A$1:$M$26</definedName>
    <definedName name="_xlnm.Print_Area" localSheetId="1">'Labor Summary'!$Q$92:$R$95</definedName>
    <definedName name="_xlnm.Print_Area" localSheetId="2">Template!$A$1:$M$26</definedName>
    <definedName name="_xlnm.Print_Area" localSheetId="0">'Total Summary'!$B$85:$J$156</definedName>
  </definedNames>
  <calcPr calcId="152511"/>
</workbook>
</file>

<file path=xl/calcChain.xml><?xml version="1.0" encoding="utf-8"?>
<calcChain xmlns="http://schemas.openxmlformats.org/spreadsheetml/2006/main">
  <c r="D156" i="16" l="1"/>
</calcChain>
</file>

<file path=xl/sharedStrings.xml><?xml version="1.0" encoding="utf-8"?>
<sst xmlns="http://schemas.openxmlformats.org/spreadsheetml/2006/main" count="2857" uniqueCount="359">
  <si>
    <t>Line</t>
  </si>
  <si>
    <t>Test Year</t>
  </si>
  <si>
    <t>No</t>
  </si>
  <si>
    <t>Description</t>
  </si>
  <si>
    <t>Amount</t>
  </si>
  <si>
    <t>Acct</t>
  </si>
  <si>
    <t>Total</t>
  </si>
  <si>
    <t>TRAN</t>
  </si>
  <si>
    <t>DIST</t>
  </si>
  <si>
    <t>MET</t>
  </si>
  <si>
    <t>TDCS</t>
  </si>
  <si>
    <t>A560</t>
  </si>
  <si>
    <t>A561</t>
  </si>
  <si>
    <t>A562</t>
  </si>
  <si>
    <t>A563</t>
  </si>
  <si>
    <t>A564</t>
  </si>
  <si>
    <t>A566</t>
  </si>
  <si>
    <t>A568</t>
  </si>
  <si>
    <t>A570</t>
  </si>
  <si>
    <t>A571</t>
  </si>
  <si>
    <t>A572</t>
  </si>
  <si>
    <t>A573</t>
  </si>
  <si>
    <t>A580</t>
  </si>
  <si>
    <t>A581</t>
  </si>
  <si>
    <t>A582</t>
  </si>
  <si>
    <t>A583</t>
  </si>
  <si>
    <t>A584</t>
  </si>
  <si>
    <t>A586</t>
  </si>
  <si>
    <t>A587</t>
  </si>
  <si>
    <t>A588</t>
  </si>
  <si>
    <t>A590</t>
  </si>
  <si>
    <t>A592</t>
  </si>
  <si>
    <t>A593</t>
  </si>
  <si>
    <t>A594</t>
  </si>
  <si>
    <t>A595</t>
  </si>
  <si>
    <t>A596</t>
  </si>
  <si>
    <t>A597</t>
  </si>
  <si>
    <t>A598</t>
  </si>
  <si>
    <t>A901</t>
  </si>
  <si>
    <t>A902</t>
  </si>
  <si>
    <t>A903</t>
  </si>
  <si>
    <t>A907</t>
  </si>
  <si>
    <t>A908</t>
  </si>
  <si>
    <t>A911</t>
  </si>
  <si>
    <t>A920</t>
  </si>
  <si>
    <t>A921</t>
  </si>
  <si>
    <t>A585</t>
  </si>
  <si>
    <t>A930.2</t>
  </si>
  <si>
    <t>A926</t>
  </si>
  <si>
    <t>A924</t>
  </si>
  <si>
    <t>A928</t>
  </si>
  <si>
    <t>A565</t>
  </si>
  <si>
    <t>A589</t>
  </si>
  <si>
    <t>A923</t>
  </si>
  <si>
    <t>A931</t>
  </si>
  <si>
    <t>A910</t>
  </si>
  <si>
    <t>A913</t>
  </si>
  <si>
    <t>A912</t>
  </si>
  <si>
    <t>A935</t>
  </si>
  <si>
    <t>A567</t>
  </si>
  <si>
    <t>A569</t>
  </si>
  <si>
    <t>A591</t>
  </si>
  <si>
    <t>A904</t>
  </si>
  <si>
    <t>A905</t>
  </si>
  <si>
    <t>A906</t>
  </si>
  <si>
    <t>A909</t>
  </si>
  <si>
    <t>A916</t>
  </si>
  <si>
    <t>A917</t>
  </si>
  <si>
    <t>A922</t>
  </si>
  <si>
    <t>A925</t>
  </si>
  <si>
    <t>A930.1</t>
  </si>
  <si>
    <t>Operation Supervision and Engineering</t>
  </si>
  <si>
    <t xml:space="preserve">Load Dispatching </t>
  </si>
  <si>
    <t>Miscellaneous Transmission Expenses</t>
  </si>
  <si>
    <t>Maintenance of Overhead Lines</t>
  </si>
  <si>
    <t>Load Dispatching</t>
  </si>
  <si>
    <t>Miscellaneous Distribution Expenses</t>
  </si>
  <si>
    <t>Supervision</t>
  </si>
  <si>
    <t>Customer Assistance Expenses</t>
  </si>
  <si>
    <t>Administrative and General Salaries</t>
  </si>
  <si>
    <t>Office Supplies and Expenses</t>
  </si>
  <si>
    <t>Outside Services Employed</t>
  </si>
  <si>
    <t>Miscellaneous General Expenses</t>
  </si>
  <si>
    <t>Employee Pensions and Benefits</t>
  </si>
  <si>
    <t>Station Expenses</t>
  </si>
  <si>
    <t>Overhead Line Expenses</t>
  </si>
  <si>
    <t>Underground Line Expenses</t>
  </si>
  <si>
    <t>Transmission of Electricity by Others</t>
  </si>
  <si>
    <t xml:space="preserve">Rents </t>
  </si>
  <si>
    <t>Maintenance Supervision and Engineering</t>
  </si>
  <si>
    <t>Maintenance of Structures</t>
  </si>
  <si>
    <t>Maintenance of Station Equipment</t>
  </si>
  <si>
    <t>Maintenance of Underground Lines</t>
  </si>
  <si>
    <t>Maintenance of Miscellaneous Transmission Plant</t>
  </si>
  <si>
    <t>Street Lighting and Signal System Expenses</t>
  </si>
  <si>
    <t>Meter Expenses</t>
  </si>
  <si>
    <t>Customer Installation Expenses</t>
  </si>
  <si>
    <t>Rents</t>
  </si>
  <si>
    <t>Maintenance of Line Transformers</t>
  </si>
  <si>
    <t>Maintenance of Street Lighting and Signal Systems</t>
  </si>
  <si>
    <t>Maintenance of Meters</t>
  </si>
  <si>
    <t>Maintenance of Miscellaneous Distribution Plant</t>
  </si>
  <si>
    <t>Meter Reading Expenses</t>
  </si>
  <si>
    <t>Customer Records and Collection Expenses</t>
  </si>
  <si>
    <t>Uncollectible Accounts</t>
  </si>
  <si>
    <t>Miscellaneous Customer Service and Informational Expenses</t>
  </si>
  <si>
    <t>Demonstrating and Selling Expenses</t>
  </si>
  <si>
    <t>Admin Expense Transferred - Credit</t>
  </si>
  <si>
    <t>Property Insurance</t>
  </si>
  <si>
    <t>Injuries and Damages</t>
  </si>
  <si>
    <t>Regulatory Commission Expenses</t>
  </si>
  <si>
    <t>General Advertising Expenses</t>
  </si>
  <si>
    <t>Maintenance of General Plant</t>
  </si>
  <si>
    <t>Miscellaneous Customer Account Expenses</t>
  </si>
  <si>
    <t>Customer Service and Informational Expenses</t>
  </si>
  <si>
    <t>Informational and Instructional Advertising Expenses</t>
  </si>
  <si>
    <t>Advertising Expenses</t>
  </si>
  <si>
    <t>Miscellaneous Sales Expenses</t>
  </si>
  <si>
    <t>Sales Expenses</t>
  </si>
  <si>
    <t>Functionalized
Adjustment</t>
  </si>
  <si>
    <t>Method of Functionalization:</t>
  </si>
  <si>
    <t>A932</t>
  </si>
  <si>
    <t>#1</t>
  </si>
  <si>
    <t>#2</t>
  </si>
  <si>
    <t>#3</t>
  </si>
  <si>
    <t>#4</t>
  </si>
  <si>
    <t>#5</t>
  </si>
  <si>
    <t>#6</t>
  </si>
  <si>
    <t>#7</t>
  </si>
  <si>
    <t>#8</t>
  </si>
  <si>
    <t>#9</t>
  </si>
  <si>
    <t>#10</t>
  </si>
  <si>
    <t>#11</t>
  </si>
  <si>
    <t>#12</t>
  </si>
  <si>
    <t>#13</t>
  </si>
  <si>
    <t>#14</t>
  </si>
  <si>
    <t>#15</t>
  </si>
  <si>
    <t>#16</t>
  </si>
  <si>
    <t>#17</t>
  </si>
  <si>
    <t>#18</t>
  </si>
  <si>
    <t>#19</t>
  </si>
  <si>
    <t>#20</t>
  </si>
  <si>
    <t>#21</t>
  </si>
  <si>
    <t>#22</t>
  </si>
  <si>
    <t>Proposed Adjustment:</t>
  </si>
  <si>
    <t>#23</t>
  </si>
  <si>
    <t>#24</t>
  </si>
  <si>
    <t>#25</t>
  </si>
  <si>
    <t>#26</t>
  </si>
  <si>
    <t>#27</t>
  </si>
  <si>
    <t>#28</t>
  </si>
  <si>
    <t>#29</t>
  </si>
  <si>
    <t>#30</t>
  </si>
  <si>
    <t>#31</t>
  </si>
  <si>
    <t>#32</t>
  </si>
  <si>
    <t>#33</t>
  </si>
  <si>
    <t>#34</t>
  </si>
  <si>
    <t>Adjustment</t>
  </si>
  <si>
    <t>Adjustment Needed</t>
  </si>
  <si>
    <t>#35</t>
  </si>
  <si>
    <t>#36</t>
  </si>
  <si>
    <t>#37</t>
  </si>
  <si>
    <t>#38</t>
  </si>
  <si>
    <t>#39</t>
  </si>
  <si>
    <t>#40</t>
  </si>
  <si>
    <t>#41</t>
  </si>
  <si>
    <t>#42</t>
  </si>
  <si>
    <t>#43</t>
  </si>
  <si>
    <t>NTU</t>
  </si>
  <si>
    <t>DC</t>
  </si>
  <si>
    <t>TIE</t>
  </si>
  <si>
    <t>Consol</t>
  </si>
  <si>
    <t>(a)</t>
  </si>
  <si>
    <t>(b)</t>
  </si>
  <si>
    <t>(c) = (b) - (a)</t>
  </si>
  <si>
    <t>Adjustment Needed :</t>
  </si>
  <si>
    <t>Test Year Amount to Adjust</t>
  </si>
  <si>
    <t>#44</t>
  </si>
  <si>
    <t>#45</t>
  </si>
  <si>
    <t>#46</t>
  </si>
  <si>
    <t>#47</t>
  </si>
  <si>
    <t>#48</t>
  </si>
  <si>
    <t>#49</t>
  </si>
  <si>
    <t>#50</t>
  </si>
  <si>
    <t>Proposed Adjustment:  Remove EECRF Amounts from test year.</t>
  </si>
  <si>
    <t>Remove EECRF Amounts</t>
  </si>
  <si>
    <t>Proposed Adjustment:  Wholesale Transmission Service Expense</t>
  </si>
  <si>
    <t>Per Book Balance:  Account 565</t>
  </si>
  <si>
    <t>Wholesale Transmission Service Expense</t>
  </si>
  <si>
    <t>New Calculated Wholesale Transmission Service Expense</t>
  </si>
  <si>
    <t>Direct Assigned</t>
  </si>
  <si>
    <t>Pension Expense - Increase/(Decrease)</t>
  </si>
  <si>
    <t>OPEB Expense - Increase/(Decrease)</t>
  </si>
  <si>
    <t>Proposed Adjustment:  Pension Expense - Increase/(Decrease)</t>
  </si>
  <si>
    <t>Test Year Amount to Remove</t>
  </si>
  <si>
    <t>PAYXAG Factor</t>
  </si>
  <si>
    <t>Proposed Adjustment: OPEB Expense - Increase/(Decrease)</t>
  </si>
  <si>
    <t>Test Year Amount to Add</t>
  </si>
  <si>
    <t>Proposed Adjustment: Remove Reimbursement Credit for 2020 Repair</t>
  </si>
  <si>
    <t>Remove Reimbursement Credit for 2020 Repair</t>
  </si>
  <si>
    <t>2021 Vacation Accrual Carryover</t>
  </si>
  <si>
    <t>Proposed Adjustment: 2021 Vacation Accrual Carryover</t>
  </si>
  <si>
    <t>Return to Summary</t>
  </si>
  <si>
    <t>Direct Assgined</t>
  </si>
  <si>
    <t>Remove Aircraft (Rents/Leases - Net Jets)</t>
  </si>
  <si>
    <t>Proposed Adjustment: Remove Aircraft (Rents/Leases - Net Jets)</t>
  </si>
  <si>
    <t>Annualize Employee Parking Withholdings</t>
  </si>
  <si>
    <t>Proposed Adjustment: Annualize Employee Parking Withholdings</t>
  </si>
  <si>
    <t>Test Year Amount to Reduce</t>
  </si>
  <si>
    <t>Remove Social Club Dues</t>
  </si>
  <si>
    <t>Proposed Adjustment: Remove Social Club Dues</t>
  </si>
  <si>
    <t>Mobile Generator Maintenance Fees (HB2486 &amp; PURA 39.918)</t>
  </si>
  <si>
    <t>Normalize Affiliate Audit Costs</t>
  </si>
  <si>
    <t>Proposed Adjustment: Normalize Affiliate Audit Costs</t>
  </si>
  <si>
    <t>Normalize Sempra Corporate Tax Services</t>
  </si>
  <si>
    <t>Proposed Adjustment: Normalize Sempra Corporate Tax Services</t>
  </si>
  <si>
    <t>Labor</t>
  </si>
  <si>
    <t>Remove SDTS Bond Reporting Fees</t>
  </si>
  <si>
    <t>Proposed Adjustment: Remove SDTS Bond Reporting Fees</t>
  </si>
  <si>
    <t>Merit Increase and Wages Annualized</t>
  </si>
  <si>
    <t>Proposed Adjustment: Merit Increase and Wages Annualized</t>
  </si>
  <si>
    <t>Amortization of Rate Case Expenses</t>
  </si>
  <si>
    <t>Proposed Adjustment: Amortization of Rate Case Expenses</t>
  </si>
  <si>
    <t>Direct Assigned and PAYXAG Factor</t>
  </si>
  <si>
    <t>Remove Telecom O&amp;M Expense</t>
  </si>
  <si>
    <t>Proposed Adjustment: Remove Telecom O&amp;M Expense</t>
  </si>
  <si>
    <t>Normalize Employee Expenses</t>
  </si>
  <si>
    <t>Proposed Adjustment: Normalize Employee Expenses</t>
  </si>
  <si>
    <t>Incentive Compensation Adjustment</t>
  </si>
  <si>
    <t>Proposed Adjustment: Incentive Compensation Adjustment</t>
  </si>
  <si>
    <t>Direct Assigned and PAYXAG</t>
  </si>
  <si>
    <t>Remove Non-Recurring Legal Expense</t>
  </si>
  <si>
    <t>Proposed Adjustment: Remove Non-Recurring Legal Expenses</t>
  </si>
  <si>
    <t>Annualize IT/Tech Expenses</t>
  </si>
  <si>
    <t>Proposed Adjustment: Annualize IT/Tech Expenses</t>
  </si>
  <si>
    <t>WDSS Reg Asset Amortization</t>
  </si>
  <si>
    <t>AMS Customer Education Reg Asset Amortization</t>
  </si>
  <si>
    <t>Meter Reader Severance Reg Asset Amortization</t>
  </si>
  <si>
    <t>AMS Rate Case Expenses Reg Asset Amortization</t>
  </si>
  <si>
    <t>NTU Study Cost/Transition to Completion Reg Asset Amortization</t>
  </si>
  <si>
    <t>Capital Structure Refund Reg Liability Amortization</t>
  </si>
  <si>
    <t>Docket 48325 Tax Refund Amortization</t>
  </si>
  <si>
    <t>#51</t>
  </si>
  <si>
    <t>#52</t>
  </si>
  <si>
    <t>#53</t>
  </si>
  <si>
    <t>#54</t>
  </si>
  <si>
    <t>#55</t>
  </si>
  <si>
    <t>#56</t>
  </si>
  <si>
    <t>#57</t>
  </si>
  <si>
    <t>#58</t>
  </si>
  <si>
    <t>#59</t>
  </si>
  <si>
    <t>#60</t>
  </si>
  <si>
    <t>#61</t>
  </si>
  <si>
    <t>#62</t>
  </si>
  <si>
    <t>#63</t>
  </si>
  <si>
    <t>#64</t>
  </si>
  <si>
    <t>#65</t>
  </si>
  <si>
    <t>#66</t>
  </si>
  <si>
    <t>#67</t>
  </si>
  <si>
    <t>#68</t>
  </si>
  <si>
    <t>#69</t>
  </si>
  <si>
    <t>#70</t>
  </si>
  <si>
    <t>TOMXFP Factor</t>
  </si>
  <si>
    <t>Self-Insurance Reserve Reg Asset Amortization - Previously Reviewed</t>
  </si>
  <si>
    <t>Self-Insurance Reserve Reg Asset Amortization - To Be Reviewed</t>
  </si>
  <si>
    <t>Pension Reg Asset Amortization - Previously Reviewed</t>
  </si>
  <si>
    <t>Proposed Adjustment: Pension Reg Asset Amortization - Previously Reviewed</t>
  </si>
  <si>
    <t>Pension Reg Asset Amortization - To Be Reviewed</t>
  </si>
  <si>
    <t>Proposed Adjustment: Pension Reg Asset Amotization - To Be Reviewed</t>
  </si>
  <si>
    <t>OPEB Reg Asset Amortization - Previously Reviewed</t>
  </si>
  <si>
    <t>Proposed Adjustment: OPEB Reg Asset Amortization - Previously Approved</t>
  </si>
  <si>
    <t>OPEB Reg Asset Amortization - To Be Reviewed</t>
  </si>
  <si>
    <t>Proposed Adjustment: OPEB Reg Asset Amortization - To Be Reviewed</t>
  </si>
  <si>
    <t>Benefit Claims, Admin. Fees, and Other Benefits Adjustment</t>
  </si>
  <si>
    <t>Proposed Adjustment: Benefit Claims, Admin. Fees, and Other Benefits Adjustment</t>
  </si>
  <si>
    <t xml:space="preserve"> HB 2483 Mobile Generator Capital Leases</t>
  </si>
  <si>
    <t>Expense Report Adjustments</t>
  </si>
  <si>
    <t>Proposed Adjustment: Expense Report Adjustments</t>
  </si>
  <si>
    <t>Wholesale Distribution Substation Service (Oncor NTU Dist to Oncor Dist)</t>
  </si>
  <si>
    <t>Proposed Adjustment:  Wholesale Distribution Substation Service (From Oncor NTU Dist to Oncor Dist)</t>
  </si>
  <si>
    <t>PLSA Aerial Surveying Costs</t>
  </si>
  <si>
    <t>Proposed Adjustment: PLSA Aerial Surveying Costs</t>
  </si>
  <si>
    <t>Remove EEI Dues from O&amp;M</t>
  </si>
  <si>
    <t>Proposed Adjustment: Remove EEI Dues from O&amp;M</t>
  </si>
  <si>
    <t>Power Engineers Inc. Adjustment</t>
  </si>
  <si>
    <t>Proposed Adjustment: Power Engineers Inc. Adjustment</t>
  </si>
  <si>
    <t>Self Insurance Reserve Accrual</t>
  </si>
  <si>
    <t>Proposed Adjustment: Self Insurance Reserve Accrual</t>
  </si>
  <si>
    <t>Incremental Self Insurance Reserve Accrual to Build Target Reserve</t>
  </si>
  <si>
    <t>Proposed Adjustment: Incremental Self Insurance Reserve Accrual to Build Target Reserve</t>
  </si>
  <si>
    <t>Target Reserve (Recommended) (a)</t>
  </si>
  <si>
    <t>Number of Years to Establish Target Reserve (b)</t>
  </si>
  <si>
    <t>(c) = (a) / (b)</t>
  </si>
  <si>
    <t>PAYXAG Factor from Docket #46957</t>
  </si>
  <si>
    <t>Proposed Adjustment: Mobile Generator Maintenance Fees (HB2483 &amp; PURA 39.918)</t>
  </si>
  <si>
    <t>Remove PIPD True-Up Credit</t>
  </si>
  <si>
    <t>Proposed Adjustment: Remove PIPD True-Up Credit</t>
  </si>
  <si>
    <t>Remove Credit for Deferra of 2021 SIR Claim (CLM21002)</t>
  </si>
  <si>
    <t>Proposed Adjustment: Remove Credit for Deferral of 2021 SIR Claim (CLM21002)</t>
  </si>
  <si>
    <t>Remove Credit for VM Charges (DSD20024)</t>
  </si>
  <si>
    <t>Proposed Adjustment: Remove Credit for VM Charges (DSD20024)</t>
  </si>
  <si>
    <t>Remove Write-Off Streetlight Audit Accrual</t>
  </si>
  <si>
    <t>Proposed Adjustment: Remove Write Off Streetlight Audit Accrual</t>
  </si>
  <si>
    <t>Remove Write-Off Obsolete M&amp;S (Sharyland)</t>
  </si>
  <si>
    <t>Proposed Adjustment: Remove Write-Off Obsolete M&amp;S (Sharyland)</t>
  </si>
  <si>
    <t>Remove Misc AR Write-Off (Prepetition @ 50%)</t>
  </si>
  <si>
    <t>Proposed Adjustment: Remove Misc AR Write-Off (Prepetition @ 50%)</t>
  </si>
  <si>
    <t>Remove Write-Off Old Hughes/Anixter Job Orders</t>
  </si>
  <si>
    <t>Proposed Adjustment: Remove Write-Off Old Hughes/Anixter Job Orders</t>
  </si>
  <si>
    <t>Remove Write-Off of Cancelled Partner Projects</t>
  </si>
  <si>
    <t>Proposed Adjustment: Remove Write-Off of Cancelled Partner Projects</t>
  </si>
  <si>
    <t>Lease Facilities Adjustments</t>
  </si>
  <si>
    <t>Proposed Adjustment: Lease Facilities Adjustments (ESB, 777 Main, FT. Worth North SC, Midland, Odessa, Amarillo)</t>
  </si>
  <si>
    <t>Prepaid Insurance Amortization Adjustment</t>
  </si>
  <si>
    <t>Proposed Adjustment: Prepaid Insurance Amortization Adjustment</t>
  </si>
  <si>
    <t>Remove Non-Standard Metering Service (Docket No 41890)</t>
  </si>
  <si>
    <t>Proposed Adjustment: Remove Non-Standard Metering Service (Docket No 41890)</t>
  </si>
  <si>
    <t>TRN Ops Agreement Billing to NTU Adjustment</t>
  </si>
  <si>
    <t>Proposed Adjustment: TRN Ops Agreement Billing to NTU Adjustment</t>
  </si>
  <si>
    <t>HB 2483 Mobile Gen. Reg Asset Amortization</t>
  </si>
  <si>
    <t>Power Line Safety Act PURA § 36066 Reg Asset Amortization</t>
  </si>
  <si>
    <t>COVID19 Incremental Expense Reg Asset Amortization</t>
  </si>
  <si>
    <t>Proposed Adjustment: COVID19 Incremental Expense Reg Asset Amortization</t>
  </si>
  <si>
    <t>Defaulted REPs 16 TAC § 25.107 Bad Debt Expense Reg Asset Amortization</t>
  </si>
  <si>
    <t>Proposed Adjustment: Defaulted REPs 16 TAC § 25.107 Bad Debt Expense Reg Asset Amortization</t>
  </si>
  <si>
    <t>Sharyland Residential Interim Rates (Approved in Docket Nos 45414 &amp; 47469) Reg Asset Amortization</t>
  </si>
  <si>
    <t>Vegetation Management Adjustment</t>
  </si>
  <si>
    <t>Proposed Adjustment: Vegetation Management Adjustment</t>
  </si>
  <si>
    <r>
      <t xml:space="preserve">Proposed Adjustment: </t>
    </r>
    <r>
      <rPr>
        <sz val="10"/>
        <rFont val="Arial"/>
        <family val="2"/>
      </rPr>
      <t>ASC 712 Expense - Increase/(Decrease)</t>
    </r>
  </si>
  <si>
    <t>ASC 712 Expense - Increase/(Decrease)</t>
  </si>
  <si>
    <t>* See Schedule II-E-4.1.1, Line12</t>
  </si>
  <si>
    <t>Proposed Adjustment:  HB 2483 Mobile Generator Capital Leases *</t>
  </si>
  <si>
    <t>Proposed Adjustment: WDSS Reg. Asset Amortization *</t>
  </si>
  <si>
    <t>* See Schedule II-E-4.1.1, Line 20</t>
  </si>
  <si>
    <r>
      <t xml:space="preserve">Proposed Adjustment: AMS Customer Education Reg. Asset Amortization  </t>
    </r>
    <r>
      <rPr>
        <sz val="10"/>
        <rFont val="Arial"/>
        <family val="2"/>
      </rPr>
      <t>*</t>
    </r>
  </si>
  <si>
    <t>* See Schedule II-E-4.1.1, Line 24</t>
  </si>
  <si>
    <t>Proposed Adjustment: Meter Reader Severance Reg Asset Amortization *</t>
  </si>
  <si>
    <t>* See Schedule II-E-4.1.1, Line 22</t>
  </si>
  <si>
    <t>Proposed Adjustment: AMS Rate Case Expenses Reg Asset Amortization *</t>
  </si>
  <si>
    <t>* See Schedule II-E-4.1.1, Lines 34, 35, and 36</t>
  </si>
  <si>
    <t>Proposed Adjustment: NTU Study Cost/Transition to Completion Reg Asset Amortization *</t>
  </si>
  <si>
    <t>* See Schedule II-E-4.1.1, Line 44</t>
  </si>
  <si>
    <t>Proposed Adjustment: Capital Structure Refund Reg Liability Amortization *</t>
  </si>
  <si>
    <t>* See Schedule II-E-4.1.1, Line 45</t>
  </si>
  <si>
    <t>Proposed Adjustment: Docket 48325 Tax Refund Amortization *</t>
  </si>
  <si>
    <t>* See Schedule II-E-4.1.1, Line 46</t>
  </si>
  <si>
    <t>Proposed Adjustment: HB 2483 Mobile Gen. Reg Asset Amortization *</t>
  </si>
  <si>
    <t>* See Schedule II-E-4.1.1, Line 21</t>
  </si>
  <si>
    <t>Proposed Adjustment: Power Line Safety Act PURA § 36066 Reg Asset Amortization *</t>
  </si>
  <si>
    <t>* See Schedule II-E-4.1.1, Line 18</t>
  </si>
  <si>
    <t>Proposed Adjustment: Self-Insurance Reserve Reg Asset Amortization - Previously Reviewed *</t>
  </si>
  <si>
    <t>* See Schedule II-E-4.1.1, Lines 25 and 28</t>
  </si>
  <si>
    <t>Proposed Adjustment: Self-Insurance Reserve Reg Asset Amortization - To Be Reviewed *</t>
  </si>
  <si>
    <t>* See Schedule II-E-4.1.1, Lines 26, 27, and 29</t>
  </si>
  <si>
    <t>Proposed Adjustment: Sharyland Residential Interim Rates (Approved in Docket Nos 45414 &amp; 47469) Reg Asset Amortization *</t>
  </si>
  <si>
    <t>* See Schedule II-E-4.1.1, Line 43</t>
  </si>
  <si>
    <t>Proposed Adjustment: Transition Costs Credit</t>
  </si>
  <si>
    <t>Test Year Amount to Eliminate (test year amount was a credit)</t>
  </si>
  <si>
    <t>Transition Costs Credit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</si>
</sst>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_(* #,##0.0000000000_);_(* \(#,##0.0000000000\);_(* &quot;-&quot;??_);_(@_)"/>
    <numFmt numFmtId="167" formatCode="_(&quot;$&quot;* #,##0.0000000000000000_);_(&quot;$&quot;* \(#,##0.0000000000000000\);_(&quot;$&quot;* &quot;-&quot;??_);_(@_)"/>
  </numFmts>
  <fonts count="17">
    <font>
      <sz val="10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sz val="12"/>
      <color indexed="62"/>
      <name val="Arial"/>
      <family val="2"/>
    </font>
    <font>
      <b/>
      <sz val="10"/>
      <name val="Times New Roman"/>
      <family val="1"/>
    </font>
    <font>
      <sz val="10"/>
      <name val="Times New Roman"/>
      <family val="1"/>
    </font>
    <font>
      <sz val="10"/>
      <name val="MS Sans Serif"/>
      <family val="2"/>
    </font>
    <font>
      <b/>
      <sz val="10"/>
      <name val="MS Sans Serif"/>
      <family val="2"/>
    </font>
    <font>
      <b/>
      <u val="singleAccounting"/>
      <sz val="10"/>
      <name val="Arial"/>
      <family val="2"/>
    </font>
    <font>
      <sz val="10"/>
      <color indexed="16"/>
      <name val="Arial"/>
      <family val="2"/>
    </font>
    <font>
      <b/>
      <sz val="10"/>
      <color rgb="FFFF0000"/>
      <name val="Arial"/>
      <family val="2"/>
    </font>
    <font>
      <sz val="10"/>
      <name val="Arial Unicode MS"/>
      <family val="2"/>
    </font>
    <font>
      <b/>
      <sz val="10"/>
      <name val="Arial Unicode MS"/>
      <family val="2"/>
    </font>
    <font>
      <sz val="10"/>
      <color rgb="FFFF0000"/>
      <name val="Arial"/>
      <family val="2"/>
    </font>
    <font>
      <u val="single"/>
      <sz val="10"/>
      <color theme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mediumGray">
        <fgColor indexed="22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45"/>
      </bottom>
    </border>
    <border>
      <left style="thin">
        <color auto="1"/>
      </left>
      <right style="thin">
        <color auto="1"/>
      </right>
      <top/>
      <bottom/>
    </border>
    <border>
      <left/>
      <right/>
      <top/>
      <bottom style="thin">
        <color indexed="45"/>
      </bottom>
    </border>
    <border>
      <left/>
      <right/>
      <top style="medium">
        <color indexed="45"/>
      </top>
      <bottom/>
    </border>
    <border>
      <left/>
      <right/>
      <top/>
      <bottom style="double">
        <color indexed="45"/>
      </bottom>
    </border>
    <border>
      <left/>
      <right/>
      <top/>
      <bottom style="medium">
        <color auto="1"/>
      </bottom>
    </border>
    <border>
      <left style="medium">
        <color auto="1"/>
      </left>
      <right style="medium">
        <color auto="1"/>
      </right>
      <top/>
      <bottom style="medium">
        <color auto="1"/>
      </bottom>
    </border>
    <border>
      <left style="medium">
        <color auto="1"/>
      </left>
      <right/>
      <top/>
      <bottom style="medium">
        <color auto="1"/>
      </bottom>
    </border>
    <border>
      <left style="medium">
        <color auto="1"/>
      </left>
      <right/>
      <top style="medium">
        <color auto="1"/>
      </top>
      <bottom/>
    </border>
    <border>
      <left style="medium">
        <color auto="1"/>
      </left>
      <right style="medium">
        <color auto="1"/>
      </right>
      <top style="medium">
        <color auto="1"/>
      </top>
      <bottom/>
    </border>
    <border>
      <left/>
      <right/>
      <top style="thin">
        <color auto="1"/>
      </top>
      <bottom style="double">
        <color auto="1"/>
      </bottom>
    </border>
    <border>
      <left/>
      <right style="thin">
        <color auto="1"/>
      </right>
      <top style="thin">
        <color auto="1"/>
      </top>
      <bottom style="thin">
        <color auto="1"/>
      </bottom>
    </border>
    <border>
      <left/>
      <right/>
      <top style="thin">
        <color auto="1"/>
      </top>
      <bottom style="thin">
        <color auto="1"/>
      </bottom>
    </border>
    <border>
      <left style="thin">
        <color auto="1"/>
      </left>
      <right/>
      <top style="thin">
        <color auto="1"/>
      </top>
      <bottom style="thin">
        <color auto="1"/>
      </bottom>
    </border>
    <border>
      <left/>
      <right/>
      <top style="medium">
        <color auto="1"/>
      </top>
      <bottom/>
    </border>
    <border>
      <left style="medium">
        <color auto="1"/>
      </left>
      <right/>
      <top style="medium">
        <color auto="1"/>
      </top>
      <bottom style="medium">
        <color auto="1"/>
      </bottom>
    </border>
    <border>
      <left/>
      <right/>
      <top style="medium">
        <color auto="1"/>
      </top>
      <bottom style="medium">
        <color auto="1"/>
      </bottom>
    </border>
  </borders>
  <cellStyleXfs count="105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5" fillId="0" borderId="0">
      <alignment/>
      <protection/>
    </xf>
    <xf numFmtId="0" fontId="6" fillId="0" borderId="1" applyNumberFormat="0" applyAlignment="0" applyProtection="0"/>
    <xf numFmtId="0" fontId="7" fillId="2" borderId="0" applyNumberFormat="0" applyFont="0" applyBorder="0" applyAlignment="0" applyProtection="0"/>
    <xf numFmtId="0" fontId="3" fillId="3" borderId="2" applyNumberFormat="0" applyFont="0" applyBorder="0" applyProtection="0">
      <alignment/>
    </xf>
    <xf numFmtId="0" fontId="3" fillId="4" borderId="2" applyNumberFormat="0" applyFont="0" applyBorder="0" applyProtection="0">
      <alignment/>
    </xf>
    <xf numFmtId="0" fontId="7" fillId="0" borderId="3" applyNumberFormat="0" applyAlignment="0" applyProtection="0"/>
    <xf numFmtId="0" fontId="7" fillId="0" borderId="4" applyNumberFormat="0" applyAlignment="0" applyProtection="0"/>
    <xf numFmtId="0" fontId="6" fillId="0" borderId="5" applyNumberFormat="0" applyAlignment="0" applyProtection="0"/>
    <xf numFmtId="0" fontId="8" fillId="0" borderId="0" applyNumberFormat="0" applyFont="0" applyFill="0" applyBorder="0" applyProtection="0">
      <alignment/>
    </xf>
    <xf numFmtId="15" fontId="8" fillId="0" borderId="0" applyFont="0" applyFill="0" applyBorder="0" applyAlignment="0" applyProtection="0"/>
    <xf numFmtId="4" fontId="8" fillId="0" borderId="0" applyFont="0" applyFill="0" applyBorder="0" applyAlignment="0" applyProtection="0"/>
    <xf numFmtId="0" fontId="9" fillId="0" borderId="6">
      <alignment horizontal="center"/>
      <protection/>
    </xf>
    <xf numFmtId="3" fontId="8" fillId="0" borderId="0" applyFont="0" applyFill="0" applyBorder="0" applyAlignment="0" applyProtection="0"/>
    <xf numFmtId="0" fontId="8" fillId="5" borderId="0" applyNumberFormat="0" applyFont="0" applyBorder="0" applyAlignment="0" applyProtection="0"/>
    <xf numFmtId="43" fontId="3" fillId="0" borderId="0" applyFont="0" applyFill="0" applyBorder="0" applyAlignment="0" applyProtection="0"/>
    <xf numFmtId="0" fontId="2" fillId="0" borderId="0">
      <alignment/>
      <protection/>
    </xf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3" borderId="2" applyNumberFormat="0" applyFont="0" applyBorder="0" applyProtection="0">
      <alignment/>
    </xf>
    <xf numFmtId="0" fontId="3" fillId="4" borderId="2" applyNumberFormat="0" applyFont="0" applyBorder="0" applyProtection="0">
      <alignment/>
    </xf>
    <xf numFmtId="43" fontId="3" fillId="0" borderId="0" applyFont="0" applyFill="0" applyBorder="0" applyAlignment="0" applyProtection="0"/>
    <xf numFmtId="0" fontId="2" fillId="0" borderId="0">
      <alignment/>
      <protection/>
    </xf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0" fillId="0" borderId="0">
      <alignment/>
      <protection/>
    </xf>
    <xf numFmtId="0" fontId="2" fillId="0" borderId="0">
      <alignment/>
      <protection/>
    </xf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/>
      <protection/>
    </xf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0" fillId="0" borderId="0">
      <alignment/>
      <protection/>
    </xf>
    <xf numFmtId="43" fontId="0" fillId="0" borderId="0" applyFont="0" applyFill="0" applyBorder="0" applyAlignment="0" applyProtection="0"/>
    <xf numFmtId="0" fontId="13" fillId="0" borderId="0">
      <alignment/>
      <protection/>
    </xf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2" fillId="0" borderId="0">
      <alignment/>
      <protection/>
    </xf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2" fillId="0" borderId="0">
      <alignment/>
      <protection/>
    </xf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/>
      <protection/>
    </xf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/>
      <protection/>
    </xf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/>
      <protection/>
    </xf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/>
      <protection/>
    </xf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/>
      <protection/>
    </xf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/>
      <protection/>
    </xf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/>
      <protection/>
    </xf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/>
      <protection/>
    </xf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/>
      <protection/>
    </xf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18">
    <xf numFmtId="0" fontId="0" fillId="0" borderId="0" xfId="0"/>
    <xf numFmtId="0" fontId="4" fillId="0" borderId="7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18" applyNumberFormat="1"/>
    <xf numFmtId="43" fontId="4" fillId="0" borderId="0" xfId="18" applyFont="1" applyAlignment="1">
      <alignment horizontal="right"/>
    </xf>
    <xf numFmtId="43" fontId="10" fillId="0" borderId="0" xfId="18" applyFont="1" applyFill="1" applyBorder="1" applyAlignment="1">
      <alignment horizontal="center"/>
    </xf>
    <xf numFmtId="0" fontId="0" fillId="0" borderId="0" xfId="0" applyFont="1" applyFill="1" applyBorder="1"/>
    <xf numFmtId="0" fontId="0" fillId="0" borderId="0" xfId="0" applyFill="1"/>
    <xf numFmtId="0" fontId="11" fillId="0" borderId="0" xfId="0" applyFont="1" applyFill="1" applyBorder="1"/>
    <xf numFmtId="0" fontId="11" fillId="0" borderId="0" xfId="0" applyFont="1" applyFill="1"/>
    <xf numFmtId="0" fontId="11" fillId="0" borderId="0" xfId="0" applyFont="1" applyFill="1"/>
    <xf numFmtId="0" fontId="4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4" fillId="0" borderId="8" xfId="0" applyFont="1" applyFill="1" applyBorder="1" applyAlignment="1">
      <alignment horizontal="center"/>
    </xf>
    <xf numFmtId="0" fontId="4" fillId="0" borderId="9" xfId="0" applyFont="1" applyFill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0" fontId="4" fillId="0" borderId="0" xfId="0" applyFont="1"/>
    <xf numFmtId="10" fontId="0" fillId="0" borderId="0" xfId="15" applyNumberFormat="1" applyFont="1"/>
    <xf numFmtId="0" fontId="0" fillId="0" borderId="0" xfId="0" applyBorder="1"/>
    <xf numFmtId="165" fontId="0" fillId="0" borderId="0" xfId="16" applyNumberFormat="1" applyBorder="1"/>
    <xf numFmtId="165" fontId="0" fillId="0" borderId="0" xfId="16" applyNumberFormat="1" applyFont="1" applyBorder="1"/>
    <xf numFmtId="164" fontId="0" fillId="0" borderId="0" xfId="18" applyNumberFormat="1" applyFont="1" applyBorder="1" applyAlignment="1">
      <alignment horizontal="right"/>
    </xf>
    <xf numFmtId="164" fontId="0" fillId="0" borderId="0" xfId="18" applyNumberFormat="1" applyFont="1" applyBorder="1"/>
    <xf numFmtId="165" fontId="0" fillId="0" borderId="0" xfId="16" applyNumberFormat="1" applyFont="1"/>
    <xf numFmtId="164" fontId="0" fillId="0" borderId="0" xfId="18" applyNumberFormat="1" applyFont="1"/>
    <xf numFmtId="0" fontId="0" fillId="0" borderId="0" xfId="0" applyAlignment="1">
      <alignment horizontal="right"/>
    </xf>
    <xf numFmtId="165" fontId="4" fillId="0" borderId="11" xfId="0" applyNumberFormat="1" applyFont="1" applyBorder="1"/>
    <xf numFmtId="165" fontId="0" fillId="0" borderId="0" xfId="0" applyNumberFormat="1"/>
    <xf numFmtId="164" fontId="0" fillId="0" borderId="0" xfId="18" applyNumberFormat="1" applyFont="1" applyFill="1"/>
    <xf numFmtId="164" fontId="4" fillId="0" borderId="0" xfId="18" applyNumberFormat="1" applyFont="1" applyFill="1"/>
    <xf numFmtId="164" fontId="4" fillId="0" borderId="0" xfId="18" applyNumberFormat="1" applyFont="1" applyBorder="1"/>
    <xf numFmtId="166" fontId="0" fillId="0" borderId="0" xfId="18" applyNumberFormat="1" applyFont="1" applyFill="1"/>
    <xf numFmtId="164" fontId="10" fillId="0" borderId="0" xfId="18" applyNumberFormat="1" applyFont="1" applyFill="1" applyBorder="1" applyAlignment="1">
      <alignment horizontal="center"/>
    </xf>
    <xf numFmtId="0" fontId="0" fillId="0" borderId="0" xfId="0" applyFont="1"/>
    <xf numFmtId="0" fontId="0" fillId="0" borderId="0" xfId="0" applyFont="1"/>
    <xf numFmtId="43" fontId="0" fillId="0" borderId="0" xfId="18" applyFont="1" applyFill="1" applyBorder="1"/>
    <xf numFmtId="0" fontId="0" fillId="0" borderId="0" xfId="0" applyFill="1" applyBorder="1"/>
    <xf numFmtId="164" fontId="4" fillId="0" borderId="0" xfId="18" applyNumberFormat="1" applyFont="1" applyFill="1" applyBorder="1"/>
    <xf numFmtId="42" fontId="4" fillId="0" borderId="11" xfId="18" applyNumberFormat="1" applyFont="1" applyFill="1" applyBorder="1"/>
    <xf numFmtId="42" fontId="0" fillId="0" borderId="0" xfId="0" applyNumberFormat="1" applyFill="1"/>
    <xf numFmtId="41" fontId="4" fillId="0" borderId="0" xfId="18" applyNumberFormat="1" applyFont="1" applyFill="1"/>
    <xf numFmtId="42" fontId="4" fillId="0" borderId="0" xfId="0" applyNumberFormat="1" applyFont="1"/>
    <xf numFmtId="0" fontId="12" fillId="0" borderId="0" xfId="0" applyFont="1"/>
    <xf numFmtId="41" fontId="0" fillId="0" borderId="0" xfId="0" applyNumberFormat="1"/>
    <xf numFmtId="167" fontId="0" fillId="0" borderId="0" xfId="0" applyNumberFormat="1"/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Border="1"/>
    <xf numFmtId="165" fontId="0" fillId="0" borderId="0" xfId="16" applyNumberFormat="1" applyFont="1" applyBorder="1"/>
    <xf numFmtId="164" fontId="0" fillId="0" borderId="0" xfId="18" applyNumberFormat="1" applyFont="1" applyBorder="1" applyAlignment="1">
      <alignment horizontal="right"/>
    </xf>
    <xf numFmtId="164" fontId="0" fillId="0" borderId="0" xfId="18" applyNumberFormat="1" applyFont="1" applyBorder="1"/>
    <xf numFmtId="0" fontId="0" fillId="0" borderId="0" xfId="0" applyFont="1" applyBorder="1"/>
    <xf numFmtId="165" fontId="0" fillId="0" borderId="0" xfId="16" applyNumberFormat="1" applyBorder="1"/>
    <xf numFmtId="10" fontId="0" fillId="0" borderId="0" xfId="15" applyNumberFormat="1" applyFont="1"/>
    <xf numFmtId="42" fontId="4" fillId="0" borderId="11" xfId="0" applyNumberFormat="1" applyFont="1" applyBorder="1"/>
    <xf numFmtId="42" fontId="0" fillId="0" borderId="0" xfId="16" applyNumberFormat="1" applyFont="1"/>
    <xf numFmtId="0" fontId="0" fillId="0" borderId="12" xfId="0" applyBorder="1"/>
    <xf numFmtId="0" fontId="0" fillId="0" borderId="13" xfId="0" applyFont="1" applyBorder="1" applyAlignment="1">
      <alignment/>
    </xf>
    <xf numFmtId="0" fontId="4" fillId="0" borderId="9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42" fontId="0" fillId="0" borderId="0" xfId="0" applyNumberFormat="1"/>
    <xf numFmtId="164" fontId="4" fillId="0" borderId="0" xfId="18" applyNumberFormat="1" applyFont="1" applyBorder="1" applyAlignment="1">
      <alignment horizontal="left"/>
    </xf>
    <xf numFmtId="165" fontId="4" fillId="0" borderId="0" xfId="0" applyNumberFormat="1" applyFont="1" applyBorder="1"/>
    <xf numFmtId="0" fontId="4" fillId="0" borderId="0" xfId="0" applyFont="1" applyAlignment="1">
      <alignment horizontal="center"/>
    </xf>
    <xf numFmtId="42" fontId="4" fillId="0" borderId="0" xfId="18" applyNumberFormat="1" applyFont="1" applyFill="1"/>
    <xf numFmtId="42" fontId="0" fillId="0" borderId="0" xfId="16" applyNumberFormat="1" applyFont="1" applyFill="1"/>
    <xf numFmtId="41" fontId="0" fillId="0" borderId="0" xfId="18" applyNumberFormat="1" applyFont="1" applyFill="1"/>
    <xf numFmtId="41" fontId="0" fillId="0" borderId="0" xfId="0" applyNumberFormat="1" applyFill="1"/>
    <xf numFmtId="165" fontId="0" fillId="0" borderId="0" xfId="16" applyNumberFormat="1" applyFont="1" applyBorder="1"/>
    <xf numFmtId="164" fontId="0" fillId="0" borderId="0" xfId="18" applyNumberFormat="1" applyFont="1"/>
    <xf numFmtId="41" fontId="4" fillId="0" borderId="0" xfId="0" applyNumberFormat="1" applyFont="1"/>
    <xf numFmtId="165" fontId="4" fillId="0" borderId="0" xfId="0" applyNumberFormat="1" applyFont="1" applyFill="1" applyBorder="1"/>
    <xf numFmtId="0" fontId="15" fillId="0" borderId="0" xfId="0" applyFont="1"/>
    <xf numFmtId="164" fontId="15" fillId="0" borderId="0" xfId="18" applyNumberFormat="1" applyFont="1"/>
    <xf numFmtId="41" fontId="15" fillId="0" borderId="0" xfId="0" applyNumberFormat="1" applyFont="1"/>
    <xf numFmtId="0" fontId="0" fillId="0" borderId="0" xfId="0" applyFont="1" applyFill="1"/>
    <xf numFmtId="0" fontId="0" fillId="0" borderId="13" xfId="0" applyFont="1" applyBorder="1" applyAlignment="1">
      <alignment/>
    </xf>
    <xf numFmtId="0" fontId="4" fillId="0" borderId="9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164" fontId="16" fillId="0" borderId="0" xfId="64" applyNumberFormat="1"/>
    <xf numFmtId="164" fontId="16" fillId="0" borderId="0" xfId="64" applyNumberFormat="1" applyFill="1"/>
    <xf numFmtId="41" fontId="0" fillId="0" borderId="0" xfId="16" applyNumberFormat="1" applyFont="1"/>
    <xf numFmtId="0" fontId="16" fillId="0" borderId="0" xfId="64"/>
    <xf numFmtId="0" fontId="0" fillId="0" borderId="0" xfId="55">
      <alignment/>
      <protection/>
    </xf>
    <xf numFmtId="0" fontId="4" fillId="0" borderId="0" xfId="55" applyFont="1">
      <alignment/>
      <protection/>
    </xf>
    <xf numFmtId="0" fontId="0" fillId="0" borderId="0" xfId="55" applyBorder="1">
      <alignment/>
      <protection/>
    </xf>
    <xf numFmtId="165" fontId="0" fillId="0" borderId="0" xfId="16" applyNumberFormat="1" applyBorder="1"/>
    <xf numFmtId="0" fontId="0" fillId="0" borderId="0" xfId="55" applyFont="1" applyBorder="1">
      <alignment/>
      <protection/>
    </xf>
    <xf numFmtId="41" fontId="0" fillId="0" borderId="0" xfId="16" applyNumberFormat="1" applyFont="1" applyBorder="1"/>
    <xf numFmtId="165" fontId="0" fillId="0" borderId="0" xfId="16" applyNumberFormat="1" applyFont="1" applyFill="1"/>
    <xf numFmtId="0" fontId="0" fillId="0" borderId="13" xfId="0" applyFont="1" applyBorder="1" applyAlignment="1">
      <alignment/>
    </xf>
    <xf numFmtId="0" fontId="4" fillId="0" borderId="9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41" fontId="16" fillId="0" borderId="0" xfId="64" applyNumberFormat="1" applyFill="1"/>
    <xf numFmtId="41" fontId="0" fillId="0" borderId="0" xfId="16" applyNumberFormat="1" applyFont="1" applyFill="1"/>
    <xf numFmtId="0" fontId="16" fillId="0" borderId="0" xfId="64" applyFill="1"/>
    <xf numFmtId="165" fontId="16" fillId="0" borderId="0" xfId="64" applyNumberFormat="1" applyFill="1" applyBorder="1"/>
    <xf numFmtId="0" fontId="4" fillId="0" borderId="0" xfId="55" applyFont="1">
      <alignment/>
      <protection/>
    </xf>
    <xf numFmtId="42" fontId="0" fillId="0" borderId="0" xfId="16" applyNumberFormat="1" applyFont="1"/>
    <xf numFmtId="0" fontId="0" fillId="0" borderId="0" xfId="0" applyFont="1" applyAlignment="1">
      <alignment horizontal="right"/>
    </xf>
    <xf numFmtId="41" fontId="4" fillId="0" borderId="0" xfId="0" applyNumberFormat="1" applyFont="1" applyFill="1"/>
    <xf numFmtId="10" fontId="0" fillId="0" borderId="0" xfId="15" applyNumberFormat="1" applyFont="1"/>
    <xf numFmtId="43" fontId="0" fillId="0" borderId="0" xfId="18" applyNumberFormat="1" applyFont="1" applyFill="1"/>
    <xf numFmtId="6" fontId="0" fillId="0" borderId="0" xfId="0" applyNumberFormat="1"/>
    <xf numFmtId="0" fontId="4" fillId="0" borderId="10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0" fillId="0" borderId="14" xfId="0" applyFont="1" applyBorder="1" applyAlignment="1">
      <alignment/>
    </xf>
    <xf numFmtId="0" fontId="0" fillId="0" borderId="13" xfId="0" applyFont="1" applyBorder="1" applyAlignment="1">
      <alignment/>
    </xf>
    <xf numFmtId="0" fontId="4" fillId="0" borderId="9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 wrapText="1"/>
    </xf>
    <xf numFmtId="0" fontId="4" fillId="0" borderId="16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15" xfId="0" applyFont="1" applyFill="1" applyBorder="1" applyAlignment="1">
      <alignment horizontal="center"/>
    </xf>
    <xf numFmtId="0" fontId="0" fillId="0" borderId="14" xfId="0" applyFont="1" applyBorder="1" applyAlignment="1">
      <alignment/>
    </xf>
  </cellXfs>
  <cellStyles count="91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nPlosion" xfId="20"/>
    <cellStyle name="PB Table Heading" xfId="21"/>
    <cellStyle name="PB Table Highlight1" xfId="22"/>
    <cellStyle name="PB Table Highlight2" xfId="23"/>
    <cellStyle name="PB Table Highlight3" xfId="24"/>
    <cellStyle name="PB Table Standard Row" xfId="25"/>
    <cellStyle name="PB Table Subtotal Row" xfId="26"/>
    <cellStyle name="PB Table Total Row" xfId="27"/>
    <cellStyle name="PSChar" xfId="28"/>
    <cellStyle name="PSDate" xfId="29"/>
    <cellStyle name="PSDec" xfId="30"/>
    <cellStyle name="PSHeading" xfId="31"/>
    <cellStyle name="PSInt" xfId="32"/>
    <cellStyle name="PSSpacer" xfId="33"/>
    <cellStyle name="Report" xfId="34"/>
    <cellStyle name="Normal 2" xfId="35"/>
    <cellStyle name="Comma 2" xfId="36"/>
    <cellStyle name="Currency 2" xfId="37"/>
    <cellStyle name="Percent 2" xfId="38"/>
    <cellStyle name="PB Table Highlight2 2" xfId="39"/>
    <cellStyle name="PB Table Highlight3 2" xfId="40"/>
    <cellStyle name="Report 2" xfId="41"/>
    <cellStyle name="Normal 2 2" xfId="42"/>
    <cellStyle name="Comma 2 2" xfId="43"/>
    <cellStyle name="Currency 2 2" xfId="44"/>
    <cellStyle name="Percent 2 2" xfId="45"/>
    <cellStyle name="Normal 3" xfId="46"/>
    <cellStyle name="Normal 2 3" xfId="47"/>
    <cellStyle name="Comma 2 3" xfId="48"/>
    <cellStyle name="Currency 2 3" xfId="49"/>
    <cellStyle name="Percent 2 3" xfId="50"/>
    <cellStyle name="Normal 4" xfId="51"/>
    <cellStyle name="Comma 4" xfId="52"/>
    <cellStyle name="Currency 3" xfId="53"/>
    <cellStyle name="Percent 3" xfId="54"/>
    <cellStyle name="Normal 2 4" xfId="55"/>
    <cellStyle name="Comma 2 4" xfId="56"/>
    <cellStyle name="Normal 3 2" xfId="57"/>
    <cellStyle name="Percent 2 4" xfId="58"/>
    <cellStyle name="Comma 3" xfId="59"/>
    <cellStyle name="Normal 5" xfId="60"/>
    <cellStyle name="Comma 5" xfId="61"/>
    <cellStyle name="Currency 4" xfId="62"/>
    <cellStyle name="Percent 4" xfId="63"/>
    <cellStyle name="Hyperlink" xfId="64" builtinId="8"/>
    <cellStyle name="Normal 2 5" xfId="65"/>
    <cellStyle name="Comma 2 5" xfId="66"/>
    <cellStyle name="Currency 2 4" xfId="67"/>
    <cellStyle name="Percent 2 5" xfId="68"/>
    <cellStyle name="Normal 2 2 2" xfId="69"/>
    <cellStyle name="Comma 2 2 2" xfId="70"/>
    <cellStyle name="Currency 2 2 2" xfId="71"/>
    <cellStyle name="Percent 2 2 2" xfId="72"/>
    <cellStyle name="Normal 2 3 2" xfId="73"/>
    <cellStyle name="Comma 2 3 2" xfId="74"/>
    <cellStyle name="Currency 2 3 2" xfId="75"/>
    <cellStyle name="Percent 2 3 2" xfId="76"/>
    <cellStyle name="Normal 4 2" xfId="77"/>
    <cellStyle name="Comma 4 2" xfId="78"/>
    <cellStyle name="Currency 3 2" xfId="79"/>
    <cellStyle name="Percent 3 2" xfId="80"/>
    <cellStyle name="Normal 5 2" xfId="81"/>
    <cellStyle name="Comma 5 2" xfId="82"/>
    <cellStyle name="Currency 4 2" xfId="83"/>
    <cellStyle name="Percent 4 2" xfId="84"/>
    <cellStyle name="Normal 2 6" xfId="85"/>
    <cellStyle name="Comma 2 6" xfId="86"/>
    <cellStyle name="Currency 2 5" xfId="87"/>
    <cellStyle name="Percent 2 6" xfId="88"/>
    <cellStyle name="Normal 2 2 3" xfId="89"/>
    <cellStyle name="Comma 2 2 3" xfId="90"/>
    <cellStyle name="Currency 2 2 3" xfId="91"/>
    <cellStyle name="Percent 2 2 3" xfId="92"/>
    <cellStyle name="Normal 2 3 3" xfId="93"/>
    <cellStyle name="Comma 2 3 3" xfId="94"/>
    <cellStyle name="Currency 2 3 3" xfId="95"/>
    <cellStyle name="Percent 2 3 3" xfId="96"/>
    <cellStyle name="Normal 4 3" xfId="97"/>
    <cellStyle name="Comma 4 3" xfId="98"/>
    <cellStyle name="Currency 3 3" xfId="99"/>
    <cellStyle name="Percent 3 3" xfId="100"/>
    <cellStyle name="Normal 5 3" xfId="101"/>
    <cellStyle name="Comma 5 3" xfId="102"/>
    <cellStyle name="Currency 4 3" xfId="103"/>
    <cellStyle name="Percent 4 3" xfId="104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3" Type="http://schemas.openxmlformats.org/officeDocument/2006/relationships/worksheet" Target="worksheets/sheet11.xml" /><Relationship Id="rId73" Type="http://schemas.openxmlformats.org/officeDocument/2006/relationships/worksheet" Target="worksheets/sheet71.xml" /><Relationship Id="rId18" Type="http://schemas.openxmlformats.org/officeDocument/2006/relationships/worksheet" Target="worksheets/sheet16.xml" /><Relationship Id="rId19" Type="http://schemas.openxmlformats.org/officeDocument/2006/relationships/worksheet" Target="worksheets/sheet17.xml" /><Relationship Id="rId79" Type="http://schemas.openxmlformats.org/officeDocument/2006/relationships/externalLink" Target="externalLinks/externalLink2.xml" /><Relationship Id="rId34" Type="http://schemas.openxmlformats.org/officeDocument/2006/relationships/worksheet" Target="worksheets/sheet32.xml" /><Relationship Id="rId35" Type="http://schemas.openxmlformats.org/officeDocument/2006/relationships/worksheet" Target="worksheets/sheet33.xml" /><Relationship Id="rId36" Type="http://schemas.openxmlformats.org/officeDocument/2006/relationships/worksheet" Target="worksheets/sheet34.xml" /><Relationship Id="rId37" Type="http://schemas.openxmlformats.org/officeDocument/2006/relationships/worksheet" Target="worksheets/sheet35.xml" /><Relationship Id="rId30" Type="http://schemas.openxmlformats.org/officeDocument/2006/relationships/worksheet" Target="worksheets/sheet28.xml" /><Relationship Id="rId31" Type="http://schemas.openxmlformats.org/officeDocument/2006/relationships/worksheet" Target="worksheets/sheet29.xml" /><Relationship Id="rId32" Type="http://schemas.openxmlformats.org/officeDocument/2006/relationships/worksheet" Target="worksheets/sheet30.xml" /><Relationship Id="rId33" Type="http://schemas.openxmlformats.org/officeDocument/2006/relationships/worksheet" Target="worksheets/sheet31.xml" /><Relationship Id="rId9" Type="http://schemas.openxmlformats.org/officeDocument/2006/relationships/worksheet" Target="worksheets/sheet7.xml" /><Relationship Id="rId38" Type="http://schemas.openxmlformats.org/officeDocument/2006/relationships/worksheet" Target="worksheets/sheet36.xml" /><Relationship Id="rId39" Type="http://schemas.openxmlformats.org/officeDocument/2006/relationships/worksheet" Target="worksheets/sheet37.xml" /><Relationship Id="rId54" Type="http://schemas.openxmlformats.org/officeDocument/2006/relationships/worksheet" Target="worksheets/sheet52.xml" /><Relationship Id="rId55" Type="http://schemas.openxmlformats.org/officeDocument/2006/relationships/worksheet" Target="worksheets/sheet53.xml" /><Relationship Id="rId56" Type="http://schemas.openxmlformats.org/officeDocument/2006/relationships/worksheet" Target="worksheets/sheet54.xml" /><Relationship Id="rId57" Type="http://schemas.openxmlformats.org/officeDocument/2006/relationships/worksheet" Target="worksheets/sheet55.xml" /><Relationship Id="rId50" Type="http://schemas.openxmlformats.org/officeDocument/2006/relationships/worksheet" Target="worksheets/sheet48.xml" /><Relationship Id="rId51" Type="http://schemas.openxmlformats.org/officeDocument/2006/relationships/worksheet" Target="worksheets/sheet49.xml" /><Relationship Id="rId52" Type="http://schemas.openxmlformats.org/officeDocument/2006/relationships/worksheet" Target="worksheets/sheet50.xml" /><Relationship Id="rId53" Type="http://schemas.openxmlformats.org/officeDocument/2006/relationships/worksheet" Target="worksheets/sheet51.xml" /><Relationship Id="rId75" Type="http://schemas.openxmlformats.org/officeDocument/2006/relationships/worksheet" Target="worksheets/sheet73.xml" /><Relationship Id="rId58" Type="http://schemas.openxmlformats.org/officeDocument/2006/relationships/worksheet" Target="worksheets/sheet56.xml" /><Relationship Id="rId59" Type="http://schemas.openxmlformats.org/officeDocument/2006/relationships/worksheet" Target="worksheets/sheet57.xml" /><Relationship Id="rId5" Type="http://schemas.openxmlformats.org/officeDocument/2006/relationships/worksheet" Target="worksheets/sheet3.xml" /><Relationship Id="rId77" Type="http://schemas.openxmlformats.org/officeDocument/2006/relationships/sharedStrings" Target="sharedStrings.xml" /><Relationship Id="rId71" Type="http://schemas.openxmlformats.org/officeDocument/2006/relationships/worksheet" Target="worksheets/sheet69.xml" /><Relationship Id="rId1" Type="http://schemas.openxmlformats.org/officeDocument/2006/relationships/theme" Target="theme/theme1.xml" /><Relationship Id="rId7" Type="http://schemas.openxmlformats.org/officeDocument/2006/relationships/worksheet" Target="worksheets/sheet5.xml" /><Relationship Id="rId3" Type="http://schemas.openxmlformats.org/officeDocument/2006/relationships/worksheet" Target="worksheets/sheet1.xml" /><Relationship Id="rId2" Type="http://schemas.microsoft.com/office/2006/relationships/vbaProject" Target="vbaProject.bin" /><Relationship Id="rId80" Type="http://schemas.openxmlformats.org/officeDocument/2006/relationships/externalLink" Target="externalLinks/externalLink3.xml" /><Relationship Id="rId81" Type="http://schemas.openxmlformats.org/officeDocument/2006/relationships/externalLink" Target="externalLinks/externalLink4.xml" /><Relationship Id="rId82" Type="http://schemas.openxmlformats.org/officeDocument/2006/relationships/externalLink" Target="externalLinks/externalLink5.xml" /><Relationship Id="rId83" Type="http://schemas.openxmlformats.org/officeDocument/2006/relationships/calcChain" Target="calcChain.xml" /><Relationship Id="rId76" Type="http://schemas.openxmlformats.org/officeDocument/2006/relationships/styles" Target="styles.xml" /><Relationship Id="rId8" Type="http://schemas.openxmlformats.org/officeDocument/2006/relationships/worksheet" Target="worksheets/sheet6.xml" /><Relationship Id="rId24" Type="http://schemas.openxmlformats.org/officeDocument/2006/relationships/worksheet" Target="worksheets/sheet22.xml" /><Relationship Id="rId25" Type="http://schemas.openxmlformats.org/officeDocument/2006/relationships/worksheet" Target="worksheets/sheet23.xml" /><Relationship Id="rId26" Type="http://schemas.openxmlformats.org/officeDocument/2006/relationships/worksheet" Target="worksheets/sheet24.xml" /><Relationship Id="rId27" Type="http://schemas.openxmlformats.org/officeDocument/2006/relationships/worksheet" Target="worksheets/sheet25.xml" /><Relationship Id="rId20" Type="http://schemas.openxmlformats.org/officeDocument/2006/relationships/worksheet" Target="worksheets/sheet18.xml" /><Relationship Id="rId21" Type="http://schemas.openxmlformats.org/officeDocument/2006/relationships/worksheet" Target="worksheets/sheet19.xml" /><Relationship Id="rId22" Type="http://schemas.openxmlformats.org/officeDocument/2006/relationships/worksheet" Target="worksheets/sheet20.xml" /><Relationship Id="rId23" Type="http://schemas.openxmlformats.org/officeDocument/2006/relationships/worksheet" Target="worksheets/sheet21.xml" /><Relationship Id="rId28" Type="http://schemas.openxmlformats.org/officeDocument/2006/relationships/worksheet" Target="worksheets/sheet26.xml" /><Relationship Id="rId29" Type="http://schemas.openxmlformats.org/officeDocument/2006/relationships/worksheet" Target="worksheets/sheet27.xml" /><Relationship Id="rId44" Type="http://schemas.openxmlformats.org/officeDocument/2006/relationships/worksheet" Target="worksheets/sheet42.xml" /><Relationship Id="rId45" Type="http://schemas.openxmlformats.org/officeDocument/2006/relationships/worksheet" Target="worksheets/sheet43.xml" /><Relationship Id="rId46" Type="http://schemas.openxmlformats.org/officeDocument/2006/relationships/worksheet" Target="worksheets/sheet44.xml" /><Relationship Id="rId47" Type="http://schemas.openxmlformats.org/officeDocument/2006/relationships/worksheet" Target="worksheets/sheet45.xml" /><Relationship Id="rId40" Type="http://schemas.openxmlformats.org/officeDocument/2006/relationships/worksheet" Target="worksheets/sheet38.xml" /><Relationship Id="rId41" Type="http://schemas.openxmlformats.org/officeDocument/2006/relationships/worksheet" Target="worksheets/sheet39.xml" /><Relationship Id="rId42" Type="http://schemas.openxmlformats.org/officeDocument/2006/relationships/worksheet" Target="worksheets/sheet40.xml" /><Relationship Id="rId43" Type="http://schemas.openxmlformats.org/officeDocument/2006/relationships/worksheet" Target="worksheets/sheet41.xml" /><Relationship Id="rId48" Type="http://schemas.openxmlformats.org/officeDocument/2006/relationships/worksheet" Target="worksheets/sheet46.xml" /><Relationship Id="rId49" Type="http://schemas.openxmlformats.org/officeDocument/2006/relationships/worksheet" Target="worksheets/sheet47.xml" /><Relationship Id="rId74" Type="http://schemas.openxmlformats.org/officeDocument/2006/relationships/worksheet" Target="worksheets/sheet72.xml" /><Relationship Id="rId64" Type="http://schemas.openxmlformats.org/officeDocument/2006/relationships/worksheet" Target="worksheets/sheet62.xml" /><Relationship Id="rId65" Type="http://schemas.openxmlformats.org/officeDocument/2006/relationships/worksheet" Target="worksheets/sheet63.xml" /><Relationship Id="rId4" Type="http://schemas.openxmlformats.org/officeDocument/2006/relationships/worksheet" Target="worksheets/sheet2.xml" /><Relationship Id="rId67" Type="http://schemas.openxmlformats.org/officeDocument/2006/relationships/worksheet" Target="worksheets/sheet65.xml" /><Relationship Id="rId60" Type="http://schemas.openxmlformats.org/officeDocument/2006/relationships/worksheet" Target="worksheets/sheet58.xml" /><Relationship Id="rId61" Type="http://schemas.openxmlformats.org/officeDocument/2006/relationships/worksheet" Target="worksheets/sheet59.xml" /><Relationship Id="rId62" Type="http://schemas.openxmlformats.org/officeDocument/2006/relationships/worksheet" Target="worksheets/sheet60.xml" /><Relationship Id="rId63" Type="http://schemas.openxmlformats.org/officeDocument/2006/relationships/worksheet" Target="worksheets/sheet61.xml" /><Relationship Id="rId68" Type="http://schemas.openxmlformats.org/officeDocument/2006/relationships/worksheet" Target="worksheets/sheet66.xml" /><Relationship Id="rId69" Type="http://schemas.openxmlformats.org/officeDocument/2006/relationships/worksheet" Target="worksheets/sheet67.xml" /><Relationship Id="rId70" Type="http://schemas.openxmlformats.org/officeDocument/2006/relationships/worksheet" Target="worksheets/sheet68.xml" /><Relationship Id="rId6" Type="http://schemas.openxmlformats.org/officeDocument/2006/relationships/worksheet" Target="worksheets/sheet4.xml" /><Relationship Id="rId66" Type="http://schemas.openxmlformats.org/officeDocument/2006/relationships/worksheet" Target="worksheets/sheet64.xml" /><Relationship Id="rId72" Type="http://schemas.openxmlformats.org/officeDocument/2006/relationships/worksheet" Target="worksheets/sheet70.xml" /><Relationship Id="rId78" Type="http://schemas.openxmlformats.org/officeDocument/2006/relationships/externalLink" Target="externalLinks/externalLink1.xml" /><Relationship Id="rId14" Type="http://schemas.openxmlformats.org/officeDocument/2006/relationships/worksheet" Target="worksheets/sheet12.xml" /><Relationship Id="rId15" Type="http://schemas.openxmlformats.org/officeDocument/2006/relationships/worksheet" Target="worksheets/sheet13.xml" /><Relationship Id="rId16" Type="http://schemas.openxmlformats.org/officeDocument/2006/relationships/worksheet" Target="worksheets/sheet14.xml" /><Relationship Id="rId17" Type="http://schemas.openxmlformats.org/officeDocument/2006/relationships/worksheet" Target="worksheets/sheet15.xml" /><Relationship Id="rId10" Type="http://schemas.openxmlformats.org/officeDocument/2006/relationships/worksheet" Target="worksheets/sheet8.xml" /><Relationship Id="rId11" Type="http://schemas.openxmlformats.org/officeDocument/2006/relationships/worksheet" Target="worksheets/sheet9.xml" /><Relationship Id="rId12" Type="http://schemas.openxmlformats.org/officeDocument/2006/relationships/worksheet" Target="worksheets/sheet10.xml" /></Relationships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/Iteration.xlsx" TargetMode="External" /></Relationships>
</file>

<file path=xl/externalLinks/_rels/externalLink2.xml.rels><?xml version="1.0" encoding="UTF-8" standalone="yes"?><Relationships xmlns="http://schemas.openxmlformats.org/package/2006/relationships"><Relationship Id="rId1" Type="http://schemas.openxmlformats.org/officeDocument/2006/relationships/externalLinkPath" Target="/Section%20II%20(Test%20Year%20Data)/Schedule%20F%20(Functionalization%20Factors)/Schedule%20II-F.xlsm" TargetMode="External" /></Relationships>
</file>

<file path=xl/externalLinks/_rels/externalLink3.xml.rels><?xml version="1.0" encoding="UTF-8" standalone="yes"?><Relationships xmlns="http://schemas.openxmlformats.org/package/2006/relationships"><Relationship Id="rId1" Type="http://schemas.openxmlformats.org/officeDocument/2006/relationships/externalLinkPath" Target="/Section%20II%20(Test%20Year%20Data)/Schedule%20D%20(O%20&amp;%20M%20Expense)/Schedule%20II-D.xlsm" TargetMode="External" /></Relationships>
</file>

<file path=xl/externalLinks/_rels/externalLink4.xml.rels><?xml version="1.0" encoding="UTF-8" standalone="yes"?><Relationships xmlns="http://schemas.openxmlformats.org/package/2006/relationships"><Relationship Id="rId1" Type="http://schemas.openxmlformats.org/officeDocument/2006/relationships/externalLinkPath" Target="/Section%20II%20(Test%20Year%20Data)/Schedule%20E%20(Other%20Items)/Schedule%20II-E.xlsm" TargetMode="External" /></Relationships>
</file>

<file path=xl/externalLinks/_rels/externalLink5.xml.rels><?xml version="1.0" encoding="UTF-8" standalone="yes"?><Relationships xmlns="http://schemas.openxmlformats.org/package/2006/relationships"><Relationship Id="rId1" Type="http://schemas.openxmlformats.org/officeDocument/2006/relationships/externalLinkPath" Target="/Section%20I%20(Summary)/Schedule%20I-A.xlsm" TargetMode="External" 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ead Lag"/>
      <sheetName val="Wholesale_NTS_RO"/>
    </sheetNames>
    <sheetDataSet>
      <sheetData sheetId="0"/>
      <sheetData sheetId="1">
        <row r="59">
          <cell r="H59">
            <v>1652522021.44412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nk Sheet"/>
      <sheetName val="II-F Alloc_Data"/>
      <sheetName val="II-F Alloc_Factor"/>
    </sheetNames>
    <sheetDataSet>
      <sheetData sheetId="0"/>
      <sheetData sheetId="1"/>
      <sheetData sheetId="2">
        <row r="17">
          <cell r="E17">
            <v>0.220201564321226</v>
          </cell>
          <cell r="F17">
            <v>0</v>
          </cell>
          <cell r="G17">
            <v>0</v>
          </cell>
          <cell r="I17">
            <v>0.607499511148288</v>
          </cell>
          <cell r="J17">
            <v>0</v>
          </cell>
          <cell r="L17">
            <v>0.16563361015245</v>
          </cell>
          <cell r="M17">
            <v>0.00666531437803589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Link Sheet"/>
      <sheetName val="II-D-1"/>
      <sheetName val="II-D-1a"/>
      <sheetName val="II-D-1.1"/>
      <sheetName val="II-D-2"/>
      <sheetName val="II-D-2a"/>
      <sheetName val="II-D-2.1"/>
      <sheetName val="II-D-2.2.1"/>
      <sheetName val="II-D-2.2.2"/>
      <sheetName val="II-D-2.2.3"/>
      <sheetName val="II-D-2.2a"/>
      <sheetName val="II-D-2.3"/>
      <sheetName val="II-D-2.4"/>
      <sheetName val="II-D-2.4a"/>
      <sheetName val="II-D-2.5"/>
      <sheetName val="II-D-2.6"/>
      <sheetName val="II-D-2.6a"/>
      <sheetName val="II-D-2.6b"/>
      <sheetName val="II-D-2.6c"/>
      <sheetName val="II-D-2.7 Conf."/>
      <sheetName val="II-D-2.8"/>
      <sheetName val="II-D-2.9"/>
      <sheetName val="II-D-2.9a"/>
      <sheetName val="II-D-2.9b"/>
      <sheetName val="II-D-2.9c"/>
      <sheetName val="II-D-2.9 Attachment 1"/>
      <sheetName val="II-D-3"/>
      <sheetName val="II-D-3.1"/>
      <sheetName val="II-D-3.2"/>
      <sheetName val="II-D-3.3"/>
      <sheetName val="II-D-3.4"/>
      <sheetName val="II-D-3.5"/>
      <sheetName val="II-D-3.6"/>
      <sheetName val="II-D-3.7.1"/>
      <sheetName val="II-D-3.7.2"/>
      <sheetName val="II-D-3.7.3"/>
      <sheetName val="II-D-3.7.3A"/>
      <sheetName val="II-D-3.7.4"/>
      <sheetName val="II-D-3.7.4a"/>
      <sheetName val="II-D-3.7.5"/>
      <sheetName val="II-D-3.8.1"/>
      <sheetName val="II-D-3.8.2"/>
      <sheetName val="II-D-3.8.3"/>
      <sheetName val="II-D-3.9.1"/>
      <sheetName val="II-D-3.9.2"/>
      <sheetName val="II-D-3.9.3"/>
      <sheetName val="II-D-3.10"/>
      <sheetName val="II-D-3.10 Attachment 1"/>
      <sheetName val="II-D-4"/>
    </sheetNames>
    <sheetDataSet>
      <sheetData sheetId="0"/>
      <sheetData sheetId="1">
        <row r="22">
          <cell r="H22">
            <v>1517206007.59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8">
          <cell r="AA38">
            <v>0.149099261577425</v>
          </cell>
        </row>
        <row r="69">
          <cell r="AA69">
            <v>0.485362091663345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Link Sheet"/>
      <sheetName val="II-E-1"/>
      <sheetName val="II-E-2"/>
      <sheetName val="II-E-2.1"/>
      <sheetName val="II-E-3 Attachment"/>
      <sheetName val="II-E-3"/>
      <sheetName val="II-E-3.1"/>
      <sheetName val="II-E-3.2a"/>
      <sheetName val="II-E-3.2b"/>
      <sheetName val="II-E-3.3"/>
      <sheetName val="II-E-3.4"/>
      <sheetName val="II-E-3.5"/>
      <sheetName val="II-E-3.5a"/>
      <sheetName val="II-E-3.6"/>
      <sheetName val="II-E-3.7"/>
      <sheetName val="II-E-3.8"/>
      <sheetName val="II-E-3.9"/>
      <sheetName val="II-E-3.10"/>
      <sheetName val="II-E-3.11"/>
      <sheetName val="II-E-3.12"/>
      <sheetName val="II-E-3.13"/>
      <sheetName val="II-E-3.14"/>
      <sheetName val="II-E-3.15"/>
      <sheetName val="II-E-3.16"/>
      <sheetName val="II-E-3.17"/>
      <sheetName val="II-E-3.18"/>
      <sheetName val="II-E-3.19"/>
      <sheetName val="II-E-3.20"/>
      <sheetName val="II-E-3.21"/>
      <sheetName val="II-E-3.22"/>
      <sheetName val="II-E-3.23"/>
      <sheetName val="II-E-3.24"/>
      <sheetName val="II-E-4"/>
      <sheetName val="II-E-4.1"/>
      <sheetName val="II-E-4.1.1"/>
      <sheetName val="II-E-4.2"/>
      <sheetName val="II-E-4.3"/>
      <sheetName val="II-E-4.4"/>
      <sheetName val="II-E-4.5"/>
      <sheetName val="II-E-4.6"/>
      <sheetName val="II-E-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>
        <row r="39">
          <cell r="N39">
            <v>1268797.88</v>
          </cell>
          <cell r="O39">
            <v>111240.6</v>
          </cell>
          <cell r="R39">
            <v>122641.56</v>
          </cell>
        </row>
        <row r="40">
          <cell r="R40">
            <v>5750412.33</v>
          </cell>
          <cell r="U40">
            <v>315840.78</v>
          </cell>
          <cell r="V40">
            <v>256149.58</v>
          </cell>
        </row>
        <row r="46">
          <cell r="O46">
            <v>0</v>
          </cell>
          <cell r="P46">
            <v>0</v>
          </cell>
          <cell r="S46">
            <v>0</v>
          </cell>
          <cell r="U46">
            <v>0</v>
          </cell>
          <cell r="V46">
            <v>0</v>
          </cell>
        </row>
        <row r="47">
          <cell r="N47">
            <v>5269270.16</v>
          </cell>
          <cell r="O47">
            <v>0</v>
          </cell>
          <cell r="P47">
            <v>0</v>
          </cell>
          <cell r="S47">
            <v>0</v>
          </cell>
          <cell r="U47">
            <v>0</v>
          </cell>
          <cell r="V47">
            <v>0</v>
          </cell>
        </row>
        <row r="48">
          <cell r="N48">
            <v>0</v>
          </cell>
          <cell r="O48">
            <v>730702.9</v>
          </cell>
          <cell r="P48">
            <v>0</v>
          </cell>
          <cell r="S48">
            <v>0</v>
          </cell>
          <cell r="U48">
            <v>0</v>
          </cell>
          <cell r="V48">
            <v>0</v>
          </cell>
        </row>
        <row r="50">
          <cell r="O50">
            <v>0</v>
          </cell>
          <cell r="P50">
            <v>0</v>
          </cell>
          <cell r="S50">
            <v>0</v>
          </cell>
          <cell r="U50">
            <v>0</v>
          </cell>
          <cell r="V50">
            <v>0</v>
          </cell>
        </row>
        <row r="58">
          <cell r="N58">
            <v>0</v>
          </cell>
          <cell r="O58">
            <v>0</v>
          </cell>
          <cell r="P58">
            <v>0</v>
          </cell>
          <cell r="R58">
            <v>35696.6</v>
          </cell>
          <cell r="S58">
            <v>0</v>
          </cell>
        </row>
        <row r="60">
          <cell r="N60">
            <v>0</v>
          </cell>
          <cell r="O60">
            <v>0</v>
          </cell>
          <cell r="P60">
            <v>0</v>
          </cell>
          <cell r="R60">
            <v>60923.2</v>
          </cell>
          <cell r="S60">
            <v>0</v>
          </cell>
        </row>
        <row r="61">
          <cell r="N61">
            <v>0</v>
          </cell>
          <cell r="O61">
            <v>0</v>
          </cell>
          <cell r="P61">
            <v>0</v>
          </cell>
          <cell r="R61">
            <v>33545.6</v>
          </cell>
          <cell r="S61">
            <v>0</v>
          </cell>
        </row>
        <row r="62">
          <cell r="N62">
            <v>0</v>
          </cell>
          <cell r="O62">
            <v>0</v>
          </cell>
          <cell r="P62">
            <v>0</v>
          </cell>
          <cell r="R62">
            <v>43104.4</v>
          </cell>
          <cell r="S62">
            <v>0</v>
          </cell>
        </row>
        <row r="63">
          <cell r="N63">
            <v>0</v>
          </cell>
          <cell r="O63">
            <v>0</v>
          </cell>
          <cell r="P63">
            <v>0</v>
          </cell>
          <cell r="R63">
            <v>66957</v>
          </cell>
          <cell r="S63">
            <v>0</v>
          </cell>
        </row>
        <row r="68">
          <cell r="N68">
            <v>0</v>
          </cell>
          <cell r="O68">
            <v>0</v>
          </cell>
          <cell r="P68">
            <v>0</v>
          </cell>
          <cell r="R68">
            <v>117234.54</v>
          </cell>
          <cell r="S68">
            <v>0</v>
          </cell>
        </row>
        <row r="69">
          <cell r="N69">
            <v>0</v>
          </cell>
          <cell r="O69">
            <v>0</v>
          </cell>
          <cell r="P69">
            <v>0</v>
          </cell>
          <cell r="R69">
            <v>-50835.65</v>
          </cell>
          <cell r="S69">
            <v>0</v>
          </cell>
        </row>
        <row r="70">
          <cell r="N70">
            <v>0</v>
          </cell>
          <cell r="O70">
            <v>0</v>
          </cell>
          <cell r="P70">
            <v>0</v>
          </cell>
          <cell r="R70">
            <v>1340000</v>
          </cell>
          <cell r="S70">
            <v>0</v>
          </cell>
        </row>
      </sheetData>
      <sheetData sheetId="34">
        <row r="24">
          <cell r="P24">
            <v>449449.64</v>
          </cell>
        </row>
        <row r="30">
          <cell r="P30">
            <v>1502680.04</v>
          </cell>
        </row>
        <row r="31">
          <cell r="P31">
            <v>6923725.26</v>
          </cell>
        </row>
        <row r="32">
          <cell r="P32">
            <v>15053413.87</v>
          </cell>
        </row>
        <row r="33">
          <cell r="P33">
            <v>5217.6</v>
          </cell>
        </row>
        <row r="34">
          <cell r="P34">
            <v>-53535.25</v>
          </cell>
        </row>
        <row r="35">
          <cell r="P35">
            <v>1403793.438</v>
          </cell>
        </row>
        <row r="36">
          <cell r="P36">
            <v>-474636.27</v>
          </cell>
        </row>
        <row r="37">
          <cell r="P37">
            <v>1566566.06</v>
          </cell>
        </row>
        <row r="38">
          <cell r="O38">
            <v>5</v>
          </cell>
          <cell r="P38">
            <v>75217726.18</v>
          </cell>
        </row>
        <row r="39">
          <cell r="P39">
            <v>730702.9</v>
          </cell>
        </row>
        <row r="40">
          <cell r="P40">
            <v>448779.39</v>
          </cell>
        </row>
        <row r="41">
          <cell r="P41">
            <v>-2896737.68</v>
          </cell>
        </row>
        <row r="42">
          <cell r="P42">
            <v>3907373.05</v>
          </cell>
        </row>
        <row r="43">
          <cell r="P43">
            <v>-3488031.24</v>
          </cell>
        </row>
        <row r="44">
          <cell r="P44">
            <v>-484367.09</v>
          </cell>
        </row>
        <row r="45">
          <cell r="P45">
            <v>-7857828.74</v>
          </cell>
        </row>
        <row r="46">
          <cell r="P46">
            <v>-29142.868</v>
          </cell>
        </row>
        <row r="47">
          <cell r="P47">
            <v>-25565.508</v>
          </cell>
        </row>
        <row r="48">
          <cell r="P48">
            <v>-17707.6463158045</v>
          </cell>
        </row>
        <row r="49">
          <cell r="P49">
            <v>35696.6</v>
          </cell>
        </row>
        <row r="50">
          <cell r="P50">
            <v>-3239.08</v>
          </cell>
        </row>
        <row r="51">
          <cell r="P51">
            <v>60923.2</v>
          </cell>
        </row>
        <row r="52">
          <cell r="P52">
            <v>33545.6</v>
          </cell>
        </row>
        <row r="53">
          <cell r="P53">
            <v>43104.4</v>
          </cell>
        </row>
        <row r="54">
          <cell r="P54">
            <v>66957</v>
          </cell>
        </row>
        <row r="55">
          <cell r="P55">
            <v>125472.6</v>
          </cell>
        </row>
        <row r="56">
          <cell r="O56">
            <v>5</v>
          </cell>
          <cell r="P56">
            <v>353793.96</v>
          </cell>
        </row>
        <row r="57">
          <cell r="P57">
            <v>16328.9</v>
          </cell>
        </row>
        <row r="58">
          <cell r="P58">
            <v>473660.66</v>
          </cell>
        </row>
        <row r="63">
          <cell r="P63">
            <v>117234.54</v>
          </cell>
        </row>
        <row r="64">
          <cell r="P64">
            <v>-50835.65</v>
          </cell>
        </row>
        <row r="65">
          <cell r="P65">
            <v>1340000</v>
          </cell>
        </row>
      </sheetData>
      <sheetData sheetId="35"/>
      <sheetData sheetId="36"/>
      <sheetData sheetId="37"/>
      <sheetData sheetId="38"/>
      <sheetData sheetId="39"/>
      <sheetData sheetId="40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Link Sheet"/>
      <sheetName val="I-A"/>
      <sheetName val="I-A-1"/>
      <sheetName val="I-A-2"/>
    </sheetNames>
    <sheetDataSet>
      <sheetData sheetId="0">
        <row r="9">
          <cell r="J9">
            <v>13295686.2265148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.bin" 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4.bin" 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5.bin" 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6.bin" 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7.bin" 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8.bin" 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9.bin" 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0.bin" /></Relationships>
</file>

<file path=xl/worksheets/_rels/sheet1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1.bin" 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2.bin" 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3.bin" /></Relationships>
</file>

<file path=xl/worksheets/_rels/sheet14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4.bin" /></Relationships>
</file>

<file path=xl/worksheets/_rels/sheet15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5.bin" /></Relationships>
</file>

<file path=xl/worksheets/_rels/sheet16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6.bin" /></Relationships>
</file>

<file path=xl/worksheets/_rels/sheet17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7.bin" /></Relationships>
</file>

<file path=xl/worksheets/_rels/sheet18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8.bin" /></Relationships>
</file>

<file path=xl/worksheets/_rels/sheet19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9.bin" /></Relationships>
</file>

<file path=xl/worksheets/_rels/sheet20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0.bin" /></Relationships>
</file>

<file path=xl/worksheets/_rels/sheet2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1.bin" /></Relationships>
</file>

<file path=xl/worksheets/_rels/sheet2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2.bin" /></Relationships>
</file>

<file path=xl/worksheets/_rels/sheet2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3.bin" /></Relationships>
</file>

<file path=xl/worksheets/_rels/sheet24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4.bin" /></Relationships>
</file>

<file path=xl/worksheets/_rels/sheet25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5.bin" /></Relationships>
</file>

<file path=xl/worksheets/_rels/sheet26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6.bin" /></Relationships>
</file>

<file path=xl/worksheets/_rels/sheet27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7.bin" /></Relationships>
</file>

<file path=xl/worksheets/_rels/sheet28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8.bin" /></Relationships>
</file>

<file path=xl/worksheets/_rels/sheet29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9.bin" /></Relationships>
</file>

<file path=xl/worksheets/_rels/sheet30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0.bin" /></Relationships>
</file>

<file path=xl/worksheets/_rels/sheet3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1.bin" /></Relationships>
</file>

<file path=xl/worksheets/_rels/sheet3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2.bin" /></Relationships>
</file>

<file path=xl/worksheets/_rels/sheet3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3.bin" /></Relationships>
</file>

<file path=xl/worksheets/_rels/sheet34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4.bin" /></Relationships>
</file>

<file path=xl/worksheets/_rels/sheet35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5.bin" /></Relationships>
</file>

<file path=xl/worksheets/_rels/sheet36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6.bin" /></Relationships>
</file>

<file path=xl/worksheets/_rels/sheet37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7.bin" /></Relationships>
</file>

<file path=xl/worksheets/_rels/sheet38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8.bin" /></Relationships>
</file>

<file path=xl/worksheets/_rels/sheet39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9.bin" /></Relationships>
</file>

<file path=xl/worksheets/_rels/sheet40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40.bin" /></Relationships>
</file>

<file path=xl/worksheets/_rels/sheet4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41.bin" /></Relationships>
</file>

<file path=xl/worksheets/_rels/sheet4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42.bin" /></Relationships>
</file>

<file path=xl/worksheets/_rels/sheet4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43.bin" /></Relationships>
</file>

<file path=xl/worksheets/_rels/sheet44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44.bin" /></Relationships>
</file>

<file path=xl/worksheets/_rels/sheet45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45.bin" /></Relationships>
</file>

<file path=xl/worksheets/_rels/sheet46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46.bin" /></Relationships>
</file>

<file path=xl/worksheets/_rels/sheet47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47.bin" /></Relationships>
</file>

<file path=xl/worksheets/_rels/sheet48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48.bin" /></Relationships>
</file>

<file path=xl/worksheets/_rels/sheet49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49.bin" /></Relationships>
</file>

<file path=xl/worksheets/_rels/sheet50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50.bin" /></Relationships>
</file>

<file path=xl/worksheets/_rels/sheet5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51.bin" /></Relationships>
</file>

<file path=xl/worksheets/_rels/sheet5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52.bin" /></Relationships>
</file>

<file path=xl/worksheets/_rels/sheet5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53.bin" /></Relationships>
</file>

<file path=xl/worksheets/_rels/sheet54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54.bin" /></Relationships>
</file>

<file path=xl/worksheets/_rels/sheet55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55.bin" /></Relationships>
</file>

<file path=xl/worksheets/_rels/sheet56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56.bin" /></Relationships>
</file>

<file path=xl/worksheets/_rels/sheet57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57.bin" /></Relationships>
</file>

<file path=xl/worksheets/_rels/sheet58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58.bin" /></Relationships>
</file>

<file path=xl/worksheets/_rels/sheet59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59.bin" /></Relationships>
</file>

<file path=xl/worksheets/_rels/sheet60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60.bin" /></Relationships>
</file>

<file path=xl/worksheets/_rels/sheet6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61.bin" /></Relationships>
</file>

<file path=xl/worksheets/_rels/sheet6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62.bin" /></Relationships>
</file>

<file path=xl/worksheets/_rels/sheet6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63.bin" /></Relationships>
</file>

<file path=xl/worksheets/_rels/sheet64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64.bin" /></Relationships>
</file>

<file path=xl/worksheets/_rels/sheet65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65.bin" /></Relationships>
</file>

<file path=xl/worksheets/_rels/sheet66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66.bin" /></Relationships>
</file>

<file path=xl/worksheets/_rels/sheet67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67.bin" /></Relationships>
</file>

<file path=xl/worksheets/_rels/sheet68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68.bin" /></Relationships>
</file>

<file path=xl/worksheets/_rels/sheet69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69.bin" /></Relationships>
</file>

<file path=xl/worksheets/_rels/sheet70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70.bin" /></Relationships>
</file>

<file path=xl/worksheets/_rels/sheet7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71.bin" /></Relationships>
</file>

<file path=xl/worksheets/_rels/sheet7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72.bin" /></Relationships>
</file>

<file path=xl/worksheets/_rels/sheet7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73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">
    <tabColor indexed="8"/>
    <pageSetUpPr fitToPage="1"/>
  </sheetPr>
  <dimension ref="A1:P157"/>
  <sheetViews>
    <sheetView tabSelected="1" zoomScale="85" zoomScaleNormal="85" workbookViewId="0" topLeftCell="A1">
      <pane xSplit="3" ySplit="2" topLeftCell="D84" activePane="bottomRight" state="frozen"/>
      <selection pane="topLeft" activeCell="B2" sqref="B2:I3"/>
      <selection pane="bottomLeft" activeCell="B2" sqref="B2:I3"/>
      <selection pane="topRight" activeCell="B2" sqref="B2:I3"/>
      <selection pane="bottomRight" activeCell="I98" sqref="I98"/>
    </sheetView>
  </sheetViews>
  <sheetFormatPr defaultRowHeight="12.75"/>
  <cols>
    <col min="2" max="2" width="42.2857142857143" customWidth="1"/>
    <col min="3" max="3" width="1.71428571428571" customWidth="1"/>
    <col min="4" max="4" width="16" bestFit="1" customWidth="1"/>
    <col min="5" max="7" width="16" style="45" customWidth="1"/>
    <col min="8" max="8" width="16" customWidth="1"/>
    <col min="9" max="10" width="16" style="45" customWidth="1"/>
    <col min="11" max="11" width="12.5714285714286" bestFit="1" customWidth="1"/>
    <col min="12" max="12" width="16" bestFit="1" customWidth="1"/>
    <col min="13" max="13" width="1.71428571428571" customWidth="1"/>
    <col min="14" max="14" width="16" style="24" bestFit="1" customWidth="1"/>
    <col min="16" max="16" width="37.4285714285714" customWidth="1"/>
  </cols>
  <sheetData>
    <row r="1" spans="5:10" ht="12.75">
      <c r="E1" s="64" t="s">
        <v>168</v>
      </c>
      <c r="F1" s="64" t="s">
        <v>169</v>
      </c>
      <c r="G1" s="64" t="s">
        <v>171</v>
      </c>
      <c r="H1" s="64"/>
      <c r="I1" s="64" t="s">
        <v>168</v>
      </c>
      <c r="J1" s="64" t="s">
        <v>171</v>
      </c>
    </row>
    <row r="2" spans="1:14" s="5" customFormat="1" ht="15">
      <c r="A2" s="5" t="s">
        <v>5</v>
      </c>
      <c r="B2" s="5" t="s">
        <v>3</v>
      </c>
      <c r="D2" s="5" t="s">
        <v>7</v>
      </c>
      <c r="E2" s="5" t="s">
        <v>7</v>
      </c>
      <c r="F2" s="5" t="s">
        <v>170</v>
      </c>
      <c r="G2" s="5" t="s">
        <v>7</v>
      </c>
      <c r="H2" s="5" t="s">
        <v>8</v>
      </c>
      <c r="I2" s="5" t="s">
        <v>8</v>
      </c>
      <c r="J2" s="5" t="s">
        <v>8</v>
      </c>
      <c r="K2" s="5" t="s">
        <v>9</v>
      </c>
      <c r="L2" s="5" t="s">
        <v>10</v>
      </c>
      <c r="N2" s="32" t="s">
        <v>6</v>
      </c>
    </row>
    <row r="3" spans="1:14" s="7" customFormat="1" ht="12.75">
      <c r="A3" s="6" t="s">
        <v>11</v>
      </c>
      <c r="B3" s="6" t="s">
        <v>71</v>
      </c>
      <c r="D3" s="66">
        <f>+'Adj. #27'!E23+'Adj. #54'!E23</f>
        <v>-39381.440000000002</v>
      </c>
      <c r="E3" s="66">
        <f>+'Adj. #27'!F23+'Adj. #54'!F23</f>
        <v>0</v>
      </c>
      <c r="F3" s="66">
        <f>+'Adj. #27'!G23+'Adj. #54'!G23</f>
        <v>0</v>
      </c>
      <c r="G3" s="66">
        <f t="shared" si="0" ref="G3:G6">SUM(D3:F3)</f>
        <v>-39381.440000000002</v>
      </c>
      <c r="H3" s="66">
        <f>+'Adj. #27'!I23+'Adj. #54'!I23</f>
        <v>0</v>
      </c>
      <c r="I3" s="66">
        <f>+'Adj. #27'!J23+'Adj. #54'!J23</f>
        <v>0</v>
      </c>
      <c r="J3" s="66">
        <f t="shared" si="1" ref="J3:J6">SUM(H3:I3)</f>
        <v>0</v>
      </c>
      <c r="K3" s="66">
        <f>+'Adj. #27'!L23+'Adj. #54'!L23</f>
        <v>0</v>
      </c>
      <c r="L3" s="66">
        <f>+'Adj. #27'!M23+'Adj. #54'!M23</f>
        <v>0</v>
      </c>
      <c r="M3" s="66"/>
      <c r="N3" s="65">
        <f>+L3+K3+J3+G3</f>
        <v>-39381.440000000002</v>
      </c>
    </row>
    <row r="4" spans="1:14" s="7" customFormat="1" ht="12.75">
      <c r="A4" s="6" t="s">
        <v>12</v>
      </c>
      <c r="B4" s="6" t="s">
        <v>72</v>
      </c>
      <c r="D4" s="67">
        <f>+'Adj. #25'!E23+'Adj. #26'!E23+'Adj. #27'!E24+'Adj. #59'!E23</f>
        <v>426485.41000000003</v>
      </c>
      <c r="E4" s="67">
        <f>+'Adj. #25'!F23+'Adj. #26'!F23+'Adj. #27'!F24+'Adj. #59'!F23</f>
        <v>101904.14000000001</v>
      </c>
      <c r="F4" s="67">
        <f>+'Adj. #25'!G23+'Adj. #26'!G23+'Adj. #27'!G24+'Adj. #59'!G23</f>
        <v>0</v>
      </c>
      <c r="G4" s="67">
        <f t="shared" si="0"/>
        <v>528389.55000000005</v>
      </c>
      <c r="H4" s="67">
        <f>+'Adj. #25'!I23+'Adj. #26'!I23+'Adj. #27'!I24+'Adj. #59'!I23</f>
        <v>0</v>
      </c>
      <c r="I4" s="67">
        <f>+'Adj. #25'!J23+'Adj. #26'!J23+'Adj. #27'!J24+'Adj. #59'!J23</f>
        <v>0</v>
      </c>
      <c r="J4" s="67">
        <f t="shared" si="1"/>
        <v>0</v>
      </c>
      <c r="K4" s="67">
        <f>+'Adj. #25'!L23+'Adj. #26'!L23+'Adj. #27'!L24+'Adj. #59'!L23</f>
        <v>0</v>
      </c>
      <c r="L4" s="67">
        <f>+'Adj. #25'!M23+'Adj. #26'!M23+'Adj. #27'!M24+'Adj. #59'!M23</f>
        <v>0</v>
      </c>
      <c r="M4" s="67"/>
      <c r="N4" s="40">
        <f t="shared" si="2" ref="N4:N10">+L4+K4+J4+G4</f>
        <v>528389.55000000005</v>
      </c>
    </row>
    <row r="5" spans="1:14" s="7" customFormat="1" ht="12.75">
      <c r="A5" s="6" t="s">
        <v>13</v>
      </c>
      <c r="B5" s="6" t="s">
        <v>84</v>
      </c>
      <c r="D5" s="67">
        <f>+'Adj. #27'!E25</f>
        <v>-1048.27</v>
      </c>
      <c r="E5" s="67">
        <f>+'Adj. #27'!F25</f>
        <v>0</v>
      </c>
      <c r="F5" s="67">
        <f>+'Adj. #27'!G25</f>
        <v>0</v>
      </c>
      <c r="G5" s="67">
        <f t="shared" si="0"/>
        <v>-1048.27</v>
      </c>
      <c r="H5" s="67">
        <f>+'Adj. #27'!I25</f>
        <v>-119.94</v>
      </c>
      <c r="I5" s="67">
        <f>+'Adj. #27'!J25</f>
        <v>0</v>
      </c>
      <c r="J5" s="67">
        <f t="shared" si="1"/>
        <v>-119.94</v>
      </c>
      <c r="K5" s="67">
        <f>+'Adj. #27'!L25</f>
        <v>0</v>
      </c>
      <c r="L5" s="67">
        <f>+'Adj. #27'!M25</f>
        <v>0</v>
      </c>
      <c r="M5" s="68"/>
      <c r="N5" s="40">
        <f t="shared" si="2"/>
        <v>-1168.21</v>
      </c>
    </row>
    <row r="6" spans="1:14" s="7" customFormat="1" ht="12.75">
      <c r="A6" s="6" t="s">
        <v>14</v>
      </c>
      <c r="B6" s="6" t="s">
        <v>85</v>
      </c>
      <c r="D6" s="67">
        <f>+'Adj. #27'!E26+'Adj. #41'!E23+'Adj. #56'!E23</f>
        <v>4119711.5599999996</v>
      </c>
      <c r="E6" s="67">
        <f>+'Adj. #27'!F26+'Adj. #41'!F23+'Adj. #56'!F23</f>
        <v>361100.59999999998</v>
      </c>
      <c r="F6" s="67">
        <f>+'Adj. #27'!G26+'Adj. #41'!G23+'Adj. #56'!G23</f>
        <v>0</v>
      </c>
      <c r="G6" s="67">
        <f t="shared" si="0"/>
        <v>4480812.1599999992</v>
      </c>
      <c r="H6" s="67">
        <f>+'Adj. #27'!I26+'Adj. #41'!I23+'Adj. #56'!I23</f>
        <v>0</v>
      </c>
      <c r="I6" s="67">
        <f>+'Adj. #27'!J26+'Adj. #41'!J23+'Adj. #56'!J23</f>
        <v>0</v>
      </c>
      <c r="J6" s="67">
        <f t="shared" si="1"/>
        <v>0</v>
      </c>
      <c r="K6" s="67">
        <f>+'Adj. #27'!L26+'Adj. #41'!L23+'Adj. #56'!L23</f>
        <v>0</v>
      </c>
      <c r="L6" s="67">
        <f>+'Adj. #27'!M26+'Adj. #41'!M23+'Adj. #56'!M23</f>
        <v>0</v>
      </c>
      <c r="M6" s="68"/>
      <c r="N6" s="40">
        <f t="shared" si="2"/>
        <v>4480812.1599999992</v>
      </c>
    </row>
    <row r="7" spans="1:14" s="7" customFormat="1" ht="12.75">
      <c r="A7" s="6" t="s">
        <v>15</v>
      </c>
      <c r="B7" s="6" t="s">
        <v>86</v>
      </c>
      <c r="D7" s="67">
        <v>0</v>
      </c>
      <c r="E7" s="67">
        <v>0</v>
      </c>
      <c r="F7" s="67">
        <v>0</v>
      </c>
      <c r="G7" s="67">
        <f t="shared" si="3" ref="G7">SUM(D7:F7)</f>
        <v>0</v>
      </c>
      <c r="H7" s="67">
        <v>0</v>
      </c>
      <c r="I7" s="67">
        <v>0</v>
      </c>
      <c r="J7" s="67">
        <f t="shared" si="4" ref="J7">SUM(H7:I7)</f>
        <v>0</v>
      </c>
      <c r="K7" s="67">
        <v>0</v>
      </c>
      <c r="L7" s="67">
        <v>0</v>
      </c>
      <c r="M7" s="68"/>
      <c r="N7" s="40">
        <f t="shared" si="2"/>
        <v>0</v>
      </c>
    </row>
    <row r="8" spans="1:14" s="7" customFormat="1" ht="12.75">
      <c r="A8" s="7" t="s">
        <v>51</v>
      </c>
      <c r="B8" s="6" t="s">
        <v>87</v>
      </c>
      <c r="D8" s="67">
        <f>+'Adj. #1'!E23</f>
        <v>0</v>
      </c>
      <c r="E8" s="67">
        <f>+'Adj. #1'!F23</f>
        <v>0</v>
      </c>
      <c r="F8" s="67">
        <f>+'Adj. #1'!G23</f>
        <v>0</v>
      </c>
      <c r="G8" s="67">
        <f t="shared" si="5" ref="G8:G10">SUM(D8:F8)</f>
        <v>0</v>
      </c>
      <c r="H8" s="67">
        <f>+'Adj. #1'!I23</f>
        <v>135316013.84999999</v>
      </c>
      <c r="I8" s="67">
        <f>+'Adj. #1'!J23</f>
        <v>0</v>
      </c>
      <c r="J8" s="67">
        <f t="shared" si="6" ref="J8:J10">SUM(H8:I8)</f>
        <v>135316013.84999999</v>
      </c>
      <c r="K8" s="67">
        <f>+'Adj. #1'!L23</f>
        <v>0</v>
      </c>
      <c r="L8" s="67">
        <f>+'Adj. #1'!M23</f>
        <v>0</v>
      </c>
      <c r="M8" s="68"/>
      <c r="N8" s="40">
        <f t="shared" si="2"/>
        <v>135316013.84999999</v>
      </c>
    </row>
    <row r="9" spans="1:14" s="7" customFormat="1" ht="12.75">
      <c r="A9" s="6" t="s">
        <v>16</v>
      </c>
      <c r="B9" s="6" t="s">
        <v>73</v>
      </c>
      <c r="D9" s="67">
        <f>+'Adj. #12'!E23+'Adj. #16'!E23+'Adj. #17'!E23+'Adj. #23'!E23+'Adj. #25'!E24+'Adj. #26'!E24+'Adj. #27'!E27+'Adj. #28'!E23+'Adj. #42'!E23+'Adj. #54'!E24</f>
        <v>3237080.3599999999</v>
      </c>
      <c r="E9" s="67">
        <f>+'Adj. #12'!F23+'Adj. #16'!F23+'Adj. #17'!F23+'Adj. #23'!F23+'Adj. #25'!F24+'Adj. #26'!F24+'Adj. #27'!F27+'Adj. #28'!F23+'Adj. #42'!F23+'Adj. #54'!F24</f>
        <v>0</v>
      </c>
      <c r="F9" s="67">
        <f>+'Adj. #12'!G23+'Adj. #16'!G23+'Adj. #17'!G23+'Adj. #23'!G23+'Adj. #25'!G24+'Adj. #26'!G24+'Adj. #27'!G27+'Adj. #28'!G23+'Adj. #42'!G23+'Adj. #54'!G24</f>
        <v>0</v>
      </c>
      <c r="G9" s="67">
        <f t="shared" si="5"/>
        <v>3237080.3599999999</v>
      </c>
      <c r="H9" s="67">
        <f>+'Adj. #12'!I23+'Adj. #16'!I23+'Adj. #17'!I23+'Adj. #23'!I23+'Adj. #25'!I24+'Adj. #26'!I24+'Adj. #27'!I27+'Adj. #28'!I23+'Adj. #42'!I23+'Adj. #54'!I24</f>
        <v>2817.6199999999999</v>
      </c>
      <c r="I9" s="67">
        <f>+'Adj. #12'!J23+'Adj. #16'!J23+'Adj. #17'!J23+'Adj. #23'!J23+'Adj. #25'!J24+'Adj. #26'!J24+'Adj. #27'!J27+'Adj. #28'!J23+'Adj. #42'!J23+'Adj. #54'!J24</f>
        <v>0</v>
      </c>
      <c r="J9" s="67">
        <f t="shared" si="6"/>
        <v>2817.6199999999999</v>
      </c>
      <c r="K9" s="67">
        <f>+'Adj. #12'!L23+'Adj. #16'!L23+'Adj. #17'!L23+'Adj. #23'!L23+'Adj. #25'!L24+'Adj. #26'!L24+'Adj. #27'!L27+'Adj. #28'!L23+'Adj. #42'!L23+'Adj. #54'!L24</f>
        <v>0</v>
      </c>
      <c r="L9" s="67">
        <f>+'Adj. #12'!M23+'Adj. #16'!M23+'Adj. #17'!M23+'Adj. #23'!M23+'Adj. #25'!M24+'Adj. #26'!M24+'Adj. #27'!M27+'Adj. #28'!M23+'Adj. #42'!M23+'Adj. #54'!M24</f>
        <v>0</v>
      </c>
      <c r="M9" s="68"/>
      <c r="N9" s="40">
        <f t="shared" si="2"/>
        <v>3239897.98</v>
      </c>
    </row>
    <row r="10" spans="1:14" s="7" customFormat="1" ht="12.75">
      <c r="A10" s="6" t="s">
        <v>59</v>
      </c>
      <c r="B10" s="6" t="s">
        <v>88</v>
      </c>
      <c r="D10" s="67">
        <v>0</v>
      </c>
      <c r="E10" s="67">
        <v>0</v>
      </c>
      <c r="F10" s="67">
        <v>0</v>
      </c>
      <c r="G10" s="67">
        <f t="shared" si="5"/>
        <v>0</v>
      </c>
      <c r="H10" s="67">
        <v>0</v>
      </c>
      <c r="I10" s="67">
        <v>0</v>
      </c>
      <c r="J10" s="67">
        <f t="shared" si="6"/>
        <v>0</v>
      </c>
      <c r="K10" s="67">
        <v>0</v>
      </c>
      <c r="L10" s="67">
        <v>0</v>
      </c>
      <c r="M10" s="68"/>
      <c r="N10" s="40">
        <f t="shared" si="2"/>
        <v>0</v>
      </c>
    </row>
    <row r="11" spans="1:14" s="7" customFormat="1" ht="13.5" thickBot="1">
      <c r="A11" s="6"/>
      <c r="B11" s="6"/>
      <c r="D11" s="38">
        <f>SUM(D3:D10)</f>
        <v>7742847.6199999992</v>
      </c>
      <c r="E11" s="38">
        <f t="shared" si="7" ref="E11:N11">SUM(E3:E10)</f>
        <v>463004.73999999999</v>
      </c>
      <c r="F11" s="38">
        <f t="shared" si="7"/>
        <v>0</v>
      </c>
      <c r="G11" s="38">
        <f t="shared" si="7"/>
        <v>8205852.3599999994</v>
      </c>
      <c r="H11" s="38">
        <f t="shared" si="7"/>
        <v>135318711.53</v>
      </c>
      <c r="I11" s="38">
        <f t="shared" si="7"/>
        <v>0</v>
      </c>
      <c r="J11" s="38">
        <f t="shared" si="7"/>
        <v>135318711.53</v>
      </c>
      <c r="K11" s="38">
        <f t="shared" si="7"/>
        <v>0</v>
      </c>
      <c r="L11" s="38">
        <f t="shared" si="7"/>
        <v>0</v>
      </c>
      <c r="M11" s="39"/>
      <c r="N11" s="38">
        <f t="shared" si="7"/>
        <v>143524563.88999999</v>
      </c>
    </row>
    <row r="12" spans="1:14" s="7" customFormat="1" ht="13.5" thickTop="1">
      <c r="A12" s="6"/>
      <c r="B12" s="6"/>
      <c r="D12" s="28"/>
      <c r="E12" s="28"/>
      <c r="F12" s="28"/>
      <c r="G12" s="28"/>
      <c r="H12" s="28"/>
      <c r="I12" s="28"/>
      <c r="J12" s="28"/>
      <c r="K12" s="28"/>
      <c r="L12" s="28"/>
      <c r="N12" s="29"/>
    </row>
    <row r="13" spans="1:14" s="7" customFormat="1" ht="12.75">
      <c r="A13" s="8" t="s">
        <v>17</v>
      </c>
      <c r="B13" s="6" t="s">
        <v>89</v>
      </c>
      <c r="D13" s="66">
        <f>+'Adj. #27'!E28</f>
        <v>8527.1499999999996</v>
      </c>
      <c r="E13" s="66">
        <f>+'Adj. #27'!F28</f>
        <v>0</v>
      </c>
      <c r="F13" s="66">
        <f>+'Adj. #27'!G28</f>
        <v>0</v>
      </c>
      <c r="G13" s="66">
        <f t="shared" si="8" ref="G13:G18">SUM(D13:F13)</f>
        <v>8527.1499999999996</v>
      </c>
      <c r="H13" s="66">
        <f>+'Adj. #27'!I28</f>
        <v>0</v>
      </c>
      <c r="I13" s="66">
        <f>+'Adj. #27'!J28</f>
        <v>0</v>
      </c>
      <c r="J13" s="66">
        <f t="shared" si="9" ref="J13:J18">SUM(H13:I13)</f>
        <v>0</v>
      </c>
      <c r="K13" s="66">
        <f>+'Adj. #27'!L28</f>
        <v>66.310000000000002</v>
      </c>
      <c r="L13" s="66">
        <f>+'Adj. #27'!M28</f>
        <v>0</v>
      </c>
      <c r="M13" s="66"/>
      <c r="N13" s="65">
        <f>+L13+K13+J13+G13</f>
        <v>8593.4599999999991</v>
      </c>
    </row>
    <row r="14" spans="1:14" s="7" customFormat="1" ht="12.75">
      <c r="A14" s="8" t="s">
        <v>60</v>
      </c>
      <c r="B14" s="6" t="s">
        <v>90</v>
      </c>
      <c r="D14" s="67">
        <v>0</v>
      </c>
      <c r="E14" s="67">
        <v>0</v>
      </c>
      <c r="F14" s="67">
        <v>0</v>
      </c>
      <c r="G14" s="67">
        <f t="shared" si="8"/>
        <v>0</v>
      </c>
      <c r="H14" s="67">
        <v>0</v>
      </c>
      <c r="I14" s="67">
        <v>0</v>
      </c>
      <c r="J14" s="67">
        <f t="shared" si="9"/>
        <v>0</v>
      </c>
      <c r="K14" s="67">
        <v>0</v>
      </c>
      <c r="L14" s="67">
        <v>0</v>
      </c>
      <c r="M14" s="67"/>
      <c r="N14" s="40">
        <f t="shared" si="10" ref="N14:N18">+L14+K14+J14+G14</f>
        <v>0</v>
      </c>
    </row>
    <row r="15" spans="1:14" s="7" customFormat="1" ht="12.75">
      <c r="A15" s="8" t="s">
        <v>18</v>
      </c>
      <c r="B15" s="6" t="s">
        <v>91</v>
      </c>
      <c r="D15" s="67">
        <f>+'Adj. #27'!E29</f>
        <v>5349.9499999999998</v>
      </c>
      <c r="E15" s="67">
        <f>+'Adj. #27'!F29</f>
        <v>0</v>
      </c>
      <c r="F15" s="67">
        <f>+'Adj. #27'!G29</f>
        <v>0</v>
      </c>
      <c r="G15" s="67">
        <f t="shared" si="8"/>
        <v>5349.9499999999998</v>
      </c>
      <c r="H15" s="67">
        <f>+'Adj. #27'!I29</f>
        <v>155.72</v>
      </c>
      <c r="I15" s="67">
        <f>+'Adj. #27'!J29</f>
        <v>0</v>
      </c>
      <c r="J15" s="67">
        <f t="shared" si="9"/>
        <v>155.72</v>
      </c>
      <c r="K15" s="67">
        <f>+'Adj. #27'!L29</f>
        <v>0</v>
      </c>
      <c r="L15" s="67">
        <f>+'Adj. #27'!M29</f>
        <v>0</v>
      </c>
      <c r="M15" s="67"/>
      <c r="N15" s="40">
        <f t="shared" si="10"/>
        <v>5505.6700000000001</v>
      </c>
    </row>
    <row r="16" spans="1:14" s="7" customFormat="1" ht="12.75">
      <c r="A16" s="8" t="s">
        <v>19</v>
      </c>
      <c r="B16" s="6" t="s">
        <v>74</v>
      </c>
      <c r="D16" s="103">
        <f>+'Adj. #6'!E23+'Adj. #27'!E30+'Adj. #62'!E23</f>
        <v>1396025.5900000001</v>
      </c>
      <c r="E16" s="103">
        <f>+'Adj. #6'!F23+'Adj. #27'!F30+'Adj. #62'!F23</f>
        <v>0</v>
      </c>
      <c r="F16" s="103">
        <f>+'Adj. #6'!G23+'Adj. #27'!G30+'Adj. #62'!G23</f>
        <v>0</v>
      </c>
      <c r="G16" s="67">
        <f t="shared" si="8"/>
        <v>1396025.5900000001</v>
      </c>
      <c r="H16" s="103">
        <f>+'Adj. #6'!I23+'Adj. #27'!I30+'Adj. #62'!I23</f>
        <v>0</v>
      </c>
      <c r="I16" s="103">
        <f>+'Adj. #6'!J23+'Adj. #27'!J30+'Adj. #62'!J23</f>
        <v>0</v>
      </c>
      <c r="J16" s="67">
        <f t="shared" si="9"/>
        <v>0</v>
      </c>
      <c r="K16" s="103">
        <f>+'Adj. #6'!L23+'Adj. #27'!L30+'Adj. #62'!L23</f>
        <v>0</v>
      </c>
      <c r="L16" s="103">
        <f>+'Adj. #6'!M23+'Adj. #27'!M30+'Adj. #62'!M23</f>
        <v>0</v>
      </c>
      <c r="M16" s="67"/>
      <c r="N16" s="40">
        <f t="shared" si="10"/>
        <v>1396025.5900000001</v>
      </c>
    </row>
    <row r="17" spans="1:14" s="7" customFormat="1" ht="12.75">
      <c r="A17" s="8" t="s">
        <v>20</v>
      </c>
      <c r="B17" s="6" t="s">
        <v>92</v>
      </c>
      <c r="D17" s="67">
        <v>0</v>
      </c>
      <c r="E17" s="67">
        <v>0</v>
      </c>
      <c r="F17" s="67">
        <v>0</v>
      </c>
      <c r="G17" s="67">
        <f t="shared" si="8"/>
        <v>0</v>
      </c>
      <c r="H17" s="67">
        <v>0</v>
      </c>
      <c r="I17" s="67">
        <v>0</v>
      </c>
      <c r="J17" s="67">
        <f t="shared" si="9"/>
        <v>0</v>
      </c>
      <c r="K17" s="67">
        <v>0</v>
      </c>
      <c r="L17" s="67">
        <v>0</v>
      </c>
      <c r="M17" s="67"/>
      <c r="N17" s="40">
        <f t="shared" si="10"/>
        <v>0</v>
      </c>
    </row>
    <row r="18" spans="1:14" s="7" customFormat="1" ht="12.75">
      <c r="A18" s="8" t="s">
        <v>21</v>
      </c>
      <c r="B18" s="6" t="s">
        <v>93</v>
      </c>
      <c r="D18" s="67">
        <f>+'Adj. #27'!E31</f>
        <v>5094.6899999999996</v>
      </c>
      <c r="E18" s="67">
        <f>+'Adj. #27'!F31</f>
        <v>0</v>
      </c>
      <c r="F18" s="67">
        <f>+'Adj. #27'!G31</f>
        <v>0</v>
      </c>
      <c r="G18" s="67">
        <f t="shared" si="8"/>
        <v>5094.6899999999996</v>
      </c>
      <c r="H18" s="67">
        <f>+'Adj. #27'!I31</f>
        <v>103.15000000000001</v>
      </c>
      <c r="I18" s="67">
        <f>+'Adj. #27'!J31</f>
        <v>0</v>
      </c>
      <c r="J18" s="67">
        <f t="shared" si="9"/>
        <v>103.15000000000001</v>
      </c>
      <c r="K18" s="67">
        <f>+'Adj. #27'!L31</f>
        <v>0</v>
      </c>
      <c r="L18" s="67">
        <f>+'Adj. #27'!M31</f>
        <v>0</v>
      </c>
      <c r="M18" s="67"/>
      <c r="N18" s="40">
        <f t="shared" si="10"/>
        <v>5197.8399999999992</v>
      </c>
    </row>
    <row r="19" spans="1:14" s="7" customFormat="1" ht="13.5" thickBot="1">
      <c r="A19" s="8"/>
      <c r="B19" s="6"/>
      <c r="D19" s="38">
        <f>SUM(D13:D18)</f>
        <v>1414997.3800000001</v>
      </c>
      <c r="E19" s="38">
        <f t="shared" si="11" ref="E19:N19">SUM(E13:E18)</f>
        <v>0</v>
      </c>
      <c r="F19" s="38">
        <f t="shared" si="11"/>
        <v>0</v>
      </c>
      <c r="G19" s="38">
        <f t="shared" si="11"/>
        <v>1414997.3800000001</v>
      </c>
      <c r="H19" s="38">
        <f t="shared" si="11"/>
        <v>258.87</v>
      </c>
      <c r="I19" s="38">
        <f t="shared" si="11"/>
        <v>0</v>
      </c>
      <c r="J19" s="38">
        <f t="shared" si="11"/>
        <v>258.87</v>
      </c>
      <c r="K19" s="38">
        <f t="shared" si="11"/>
        <v>66.310000000000002</v>
      </c>
      <c r="L19" s="38">
        <f t="shared" si="11"/>
        <v>0</v>
      </c>
      <c r="M19" s="39"/>
      <c r="N19" s="38">
        <f t="shared" si="11"/>
        <v>1415322.5600000001</v>
      </c>
    </row>
    <row r="20" spans="1:14" s="7" customFormat="1" ht="13.5" thickTop="1">
      <c r="A20" s="8"/>
      <c r="B20" s="6"/>
      <c r="D20" s="28"/>
      <c r="E20" s="28"/>
      <c r="F20" s="28"/>
      <c r="G20" s="28"/>
      <c r="H20" s="28"/>
      <c r="I20" s="28"/>
      <c r="J20" s="28"/>
      <c r="K20" s="28"/>
      <c r="L20" s="28"/>
      <c r="N20" s="29"/>
    </row>
    <row r="21" spans="1:14" s="7" customFormat="1" ht="12.75">
      <c r="A21" s="6" t="s">
        <v>22</v>
      </c>
      <c r="B21" s="6" t="s">
        <v>71</v>
      </c>
      <c r="D21" s="66">
        <f>+'Adj. #16'!E24+'Adj. #26'!E25+'Adj. #27'!E32+'Adj. #54'!E25</f>
        <v>49.729999999999997</v>
      </c>
      <c r="E21" s="66">
        <f>+'Adj. #16'!F24+'Adj. #26'!F25+'Adj. #27'!F32+'Adj. #54'!F25</f>
        <v>0</v>
      </c>
      <c r="F21" s="66">
        <f>+'Adj. #16'!G24+'Adj. #26'!G25+'Adj. #27'!G32+'Adj. #54'!G25</f>
        <v>0</v>
      </c>
      <c r="G21" s="66">
        <f t="shared" si="12" ref="G21:G30">SUM(D21:F21)</f>
        <v>49.729999999999997</v>
      </c>
      <c r="H21" s="66">
        <f>+'Adj. #16'!I24+'Adj. #26'!I25+'Adj. #27'!I32+'Adj. #54'!I25</f>
        <v>-89126.670000000013</v>
      </c>
      <c r="I21" s="66">
        <f>+'Adj. #16'!J24+'Adj. #26'!J25+'Adj. #27'!J32+'Adj. #54'!J25</f>
        <v>0</v>
      </c>
      <c r="J21" s="66">
        <f t="shared" si="13" ref="J21:J30">SUM(H21:I21)</f>
        <v>-89126.670000000013</v>
      </c>
      <c r="K21" s="66">
        <f>+'Adj. #16'!L24+'Adj. #26'!L25+'Adj. #27'!L32+'Adj. #54'!L25</f>
        <v>3507.9299999999998</v>
      </c>
      <c r="L21" s="66">
        <f>+'Adj. #16'!M24+'Adj. #26'!M25+'Adj. #27'!M32+'Adj. #54'!M25</f>
        <v>631.8599999999999</v>
      </c>
      <c r="M21" s="66"/>
      <c r="N21" s="65">
        <f>+L21+K21+J21+G21</f>
        <v>-84937.150000000023</v>
      </c>
    </row>
    <row r="22" spans="1:14" s="7" customFormat="1" ht="12.75">
      <c r="A22" s="6" t="s">
        <v>23</v>
      </c>
      <c r="B22" s="6" t="s">
        <v>75</v>
      </c>
      <c r="D22" s="67">
        <f>+'Adj. #27'!E33</f>
        <v>0</v>
      </c>
      <c r="E22" s="67">
        <f>+'Adj. #27'!F33</f>
        <v>0</v>
      </c>
      <c r="F22" s="67">
        <f>+'Adj. #27'!G33</f>
        <v>0</v>
      </c>
      <c r="G22" s="67">
        <f t="shared" si="12"/>
        <v>0</v>
      </c>
      <c r="H22" s="67">
        <f>+'Adj. #27'!I33</f>
        <v>-37883.769999999997</v>
      </c>
      <c r="I22" s="67">
        <f>+'Adj. #27'!J33</f>
        <v>0</v>
      </c>
      <c r="J22" s="67">
        <f t="shared" si="13"/>
        <v>-37883.769999999997</v>
      </c>
      <c r="K22" s="67">
        <f>+'Adj. #27'!L33</f>
        <v>0</v>
      </c>
      <c r="L22" s="67">
        <f>+'Adj. #27'!M33</f>
        <v>0</v>
      </c>
      <c r="M22" s="67"/>
      <c r="N22" s="40">
        <f t="shared" si="14" ref="N22:N30">+L22+K22+J22+G22</f>
        <v>-37883.769999999997</v>
      </c>
    </row>
    <row r="23" spans="1:14" s="7" customFormat="1" ht="12.75">
      <c r="A23" s="6" t="s">
        <v>24</v>
      </c>
      <c r="B23" s="6" t="s">
        <v>84</v>
      </c>
      <c r="D23" s="67">
        <f>+'Adj. #27'!E34</f>
        <v>-248.84</v>
      </c>
      <c r="E23" s="67">
        <f>+'Adj. #27'!F34</f>
        <v>0</v>
      </c>
      <c r="F23" s="67">
        <f>+'Adj. #27'!G34</f>
        <v>0</v>
      </c>
      <c r="G23" s="67">
        <f t="shared" si="12"/>
        <v>-248.84</v>
      </c>
      <c r="H23" s="67">
        <f>+'Adj. #27'!I34</f>
        <v>-1858.3800000000001</v>
      </c>
      <c r="I23" s="67">
        <f>+'Adj. #27'!J34</f>
        <v>0</v>
      </c>
      <c r="J23" s="67">
        <f t="shared" si="13"/>
        <v>-1858.3800000000001</v>
      </c>
      <c r="K23" s="67">
        <f>+'Adj. #27'!L34</f>
        <v>0</v>
      </c>
      <c r="L23" s="67">
        <f>+'Adj. #27'!M34</f>
        <v>0</v>
      </c>
      <c r="M23" s="67"/>
      <c r="N23" s="40">
        <f t="shared" si="14"/>
        <v>-2107.2200000000003</v>
      </c>
    </row>
    <row r="24" spans="1:14" s="7" customFormat="1" ht="12.75">
      <c r="A24" s="7" t="s">
        <v>25</v>
      </c>
      <c r="B24" s="6" t="s">
        <v>85</v>
      </c>
      <c r="D24" s="67">
        <f>+'Adj. #27'!E35+'Adj. #41'!E24+'Adj. #54'!E26</f>
        <v>1.3500000000000001</v>
      </c>
      <c r="E24" s="67">
        <f>+'Adj. #27'!F35+'Adj. #41'!F24+'Adj. #54'!F26</f>
        <v>0</v>
      </c>
      <c r="F24" s="67">
        <f>+'Adj. #27'!G35+'Adj. #41'!G24+'Adj. #54'!G26</f>
        <v>0</v>
      </c>
      <c r="G24" s="67">
        <f t="shared" si="12"/>
        <v>1.3500000000000001</v>
      </c>
      <c r="H24" s="67">
        <f>+'Adj. #27'!I35+'Adj. #41'!I24+'Adj. #54'!I26</f>
        <v>201971.5</v>
      </c>
      <c r="I24" s="67">
        <f>+'Adj. #27'!J35+'Adj. #41'!J24+'Adj. #54'!J26</f>
        <v>0</v>
      </c>
      <c r="J24" s="67">
        <f t="shared" si="13"/>
        <v>201971.5</v>
      </c>
      <c r="K24" s="67">
        <f>+'Adj. #27'!L35+'Adj. #41'!L24+'Adj. #54'!L26</f>
        <v>4.8099999999999996</v>
      </c>
      <c r="L24" s="67">
        <f>+'Adj. #27'!M35+'Adj. #41'!M24+'Adj. #54'!M26</f>
        <v>0</v>
      </c>
      <c r="M24" s="67"/>
      <c r="N24" s="40">
        <f t="shared" si="14"/>
        <v>201977.66</v>
      </c>
    </row>
    <row r="25" spans="1:14" s="7" customFormat="1" ht="12.75">
      <c r="A25" s="6" t="s">
        <v>26</v>
      </c>
      <c r="B25" s="6" t="s">
        <v>86</v>
      </c>
      <c r="D25" s="67">
        <f>+'Adj. #27'!E36</f>
        <v>0</v>
      </c>
      <c r="E25" s="67">
        <f>+'Adj. #27'!F36</f>
        <v>0</v>
      </c>
      <c r="F25" s="67">
        <f>+'Adj. #27'!G36</f>
        <v>0</v>
      </c>
      <c r="G25" s="67">
        <f t="shared" si="12"/>
        <v>0</v>
      </c>
      <c r="H25" s="67">
        <f>+'Adj. #27'!I36</f>
        <v>18895.07</v>
      </c>
      <c r="I25" s="67">
        <f>+'Adj. #27'!J36</f>
        <v>0</v>
      </c>
      <c r="J25" s="67">
        <f t="shared" si="13"/>
        <v>18895.07</v>
      </c>
      <c r="K25" s="67">
        <f>+'Adj. #27'!L36</f>
        <v>1.1599999999999999</v>
      </c>
      <c r="L25" s="67">
        <f>+'Adj. #27'!M36</f>
        <v>0</v>
      </c>
      <c r="M25" s="67"/>
      <c r="N25" s="40">
        <f t="shared" si="14"/>
        <v>18896.23</v>
      </c>
    </row>
    <row r="26" spans="1:14" s="7" customFormat="1" ht="12.75">
      <c r="A26" s="6" t="s">
        <v>46</v>
      </c>
      <c r="B26" s="6" t="s">
        <v>94</v>
      </c>
      <c r="D26" s="67">
        <f>+'Adj. #27'!E37</f>
        <v>0</v>
      </c>
      <c r="E26" s="67">
        <f>+'Adj. #27'!F37</f>
        <v>0</v>
      </c>
      <c r="F26" s="67">
        <f>+'Adj. #27'!G37</f>
        <v>0</v>
      </c>
      <c r="G26" s="67">
        <f t="shared" si="12"/>
        <v>0</v>
      </c>
      <c r="H26" s="67">
        <f>+'Adj. #27'!I37</f>
        <v>96.700000000000003</v>
      </c>
      <c r="I26" s="67">
        <f>+'Adj. #27'!J37</f>
        <v>0</v>
      </c>
      <c r="J26" s="67">
        <f t="shared" si="13"/>
        <v>96.700000000000003</v>
      </c>
      <c r="K26" s="67">
        <f>+'Adj. #27'!L37</f>
        <v>0</v>
      </c>
      <c r="L26" s="67">
        <f>+'Adj. #27'!M37</f>
        <v>0</v>
      </c>
      <c r="M26" s="67"/>
      <c r="N26" s="40">
        <f t="shared" si="14"/>
        <v>96.700000000000003</v>
      </c>
    </row>
    <row r="27" spans="1:14" s="7" customFormat="1" ht="12.75">
      <c r="A27" s="6" t="s">
        <v>27</v>
      </c>
      <c r="B27" s="6" t="s">
        <v>95</v>
      </c>
      <c r="D27" s="67">
        <f>+'Adj. #25'!E25+'Adj. #27'!E38+'Adj. #54'!E27</f>
        <v>0</v>
      </c>
      <c r="E27" s="67">
        <f>+'Adj. #25'!F25+'Adj. #27'!F38+'Adj. #54'!F27</f>
        <v>0</v>
      </c>
      <c r="F27" s="67">
        <f>+'Adj. #25'!G25+'Adj. #27'!G38+'Adj. #54'!G27</f>
        <v>0</v>
      </c>
      <c r="G27" s="67">
        <f t="shared" si="12"/>
        <v>0</v>
      </c>
      <c r="H27" s="67">
        <f>+'Adj. #25'!I25+'Adj. #27'!I38+'Adj. #54'!I27</f>
        <v>0</v>
      </c>
      <c r="I27" s="67">
        <f>+'Adj. #25'!J25+'Adj. #27'!J38+'Adj. #54'!J27</f>
        <v>0</v>
      </c>
      <c r="J27" s="67">
        <f t="shared" si="13"/>
        <v>0</v>
      </c>
      <c r="K27" s="67">
        <f>+'Adj. #25'!L25+'Adj. #27'!L38+'Adj. #54'!L27</f>
        <v>-68363.440000000002</v>
      </c>
      <c r="L27" s="67">
        <f>+'Adj. #25'!M25+'Adj. #27'!M38+'Adj. #54'!M27</f>
        <v>0</v>
      </c>
      <c r="M27" s="67"/>
      <c r="N27" s="40">
        <f t="shared" si="14"/>
        <v>-68363.440000000002</v>
      </c>
    </row>
    <row r="28" spans="1:14" s="7" customFormat="1" ht="12.75">
      <c r="A28" s="6" t="s">
        <v>28</v>
      </c>
      <c r="B28" s="6" t="s">
        <v>96</v>
      </c>
      <c r="D28" s="67">
        <f>+'Adj. #27'!E39</f>
        <v>0</v>
      </c>
      <c r="E28" s="67">
        <f>+'Adj. #27'!F39</f>
        <v>0</v>
      </c>
      <c r="F28" s="67">
        <f>+'Adj. #27'!G39</f>
        <v>0</v>
      </c>
      <c r="G28" s="67">
        <f t="shared" si="12"/>
        <v>0</v>
      </c>
      <c r="H28" s="67">
        <f>+'Adj. #27'!I39</f>
        <v>44.789999999999999</v>
      </c>
      <c r="I28" s="67">
        <f>+'Adj. #27'!J39</f>
        <v>0</v>
      </c>
      <c r="J28" s="67">
        <f t="shared" si="13"/>
        <v>44.789999999999999</v>
      </c>
      <c r="K28" s="67">
        <f>+'Adj. #27'!L39</f>
        <v>0</v>
      </c>
      <c r="L28" s="67">
        <f>+'Adj. #27'!M39</f>
        <v>0</v>
      </c>
      <c r="M28" s="67"/>
      <c r="N28" s="40">
        <f t="shared" si="14"/>
        <v>44.789999999999999</v>
      </c>
    </row>
    <row r="29" spans="1:14" s="7" customFormat="1" ht="12.75">
      <c r="A29" s="6" t="s">
        <v>29</v>
      </c>
      <c r="B29" s="6" t="s">
        <v>76</v>
      </c>
      <c r="D29" s="67">
        <f>+'Adj. #16'!E25+'Adj. #17'!E24+'Adj. #23'!E24+'Adj. #25'!E26+'Adj. #26'!E26+'Adj. #27'!E40+'Adj. #28'!E24+'Adj. #33'!E23+'Adj. #42'!E24+'Adj. #54'!E28+'Adj. #55'!E23</f>
        <v>6850.6300000000001</v>
      </c>
      <c r="E29" s="67">
        <f>+'Adj. #16'!F25+'Adj. #17'!F24+'Adj. #23'!F24+'Adj. #25'!F26+'Adj. #26'!F26+'Adj. #27'!F40+'Adj. #28'!F24+'Adj. #33'!F23+'Adj. #42'!F24+'Adj. #54'!F28+'Adj. #55'!F23</f>
        <v>0</v>
      </c>
      <c r="F29" s="67">
        <f>+'Adj. #16'!G25+'Adj. #17'!G24+'Adj. #23'!G24+'Adj. #25'!G26+'Adj. #26'!G26+'Adj. #27'!G40+'Adj. #28'!G24+'Adj. #33'!G23+'Adj. #42'!G24+'Adj. #54'!G28+'Adj. #55'!G23</f>
        <v>0</v>
      </c>
      <c r="G29" s="67">
        <f t="shared" si="12"/>
        <v>6850.6300000000001</v>
      </c>
      <c r="H29" s="67">
        <f>+'Adj. #16'!I25+'Adj. #17'!I24+'Adj. #23'!I24+'Adj. #25'!I26+'Adj. #26'!I26+'Adj. #27'!I40+'Adj. #28'!I24+'Adj. #33'!I23+'Adj. #42'!I24+'Adj. #54'!I28+'Adj. #55'!I23</f>
        <v>42700283.390000001</v>
      </c>
      <c r="I29" s="67">
        <f>+'Adj. #16'!J25+'Adj. #17'!J24+'Adj. #23'!J24+'Adj. #25'!J26+'Adj. #26'!J26+'Adj. #27'!J40+'Adj. #28'!J24+'Adj. #33'!J23+'Adj. #42'!J24+'Adj. #54'!J28+'Adj. #55'!J23</f>
        <v>0</v>
      </c>
      <c r="J29" s="67">
        <f t="shared" si="13"/>
        <v>42700283.390000001</v>
      </c>
      <c r="K29" s="67">
        <f>+'Adj. #16'!L25+'Adj. #17'!L24+'Adj. #23'!L24+'Adj. #25'!L26+'Adj. #26'!L26+'Adj. #27'!L40+'Adj. #28'!L24+'Adj. #33'!L23+'Adj. #42'!L24+'Adj. #54'!L28+'Adj. #55'!L23</f>
        <v>370601.25</v>
      </c>
      <c r="L29" s="67">
        <f>+'Adj. #16'!M25+'Adj. #17'!M24+'Adj. #23'!M24+'Adj. #25'!M26+'Adj. #26'!M26+'Adj. #27'!M40+'Adj. #28'!M24+'Adj. #33'!M23+'Adj. #42'!M24+'Adj. #54'!M28+'Adj. #55'!M23</f>
        <v>258354.78</v>
      </c>
      <c r="M29" s="67"/>
      <c r="N29" s="40">
        <f t="shared" si="14"/>
        <v>43336090.050000004</v>
      </c>
    </row>
    <row r="30" spans="1:14" s="7" customFormat="1" ht="12.75">
      <c r="A30" s="6" t="s">
        <v>52</v>
      </c>
      <c r="B30" s="6" t="s">
        <v>97</v>
      </c>
      <c r="D30" s="67">
        <f>+'Adj. #32'!E23</f>
        <v>0</v>
      </c>
      <c r="E30" s="67">
        <f>+'Adj. #32'!F23</f>
        <v>0</v>
      </c>
      <c r="F30" s="67">
        <f>+'Adj. #32'!G23</f>
        <v>0</v>
      </c>
      <c r="G30" s="67">
        <f t="shared" si="12"/>
        <v>0</v>
      </c>
      <c r="H30" s="67">
        <f>+'Adj. #32'!I23</f>
        <v>449449.64000000001</v>
      </c>
      <c r="I30" s="67">
        <f>+'Adj. #32'!J23</f>
        <v>0</v>
      </c>
      <c r="J30" s="67">
        <f t="shared" si="13"/>
        <v>449449.64000000001</v>
      </c>
      <c r="K30" s="67">
        <f>+'Adj. #32'!L23</f>
        <v>0</v>
      </c>
      <c r="L30" s="67">
        <f>+'Adj. #32'!M23</f>
        <v>0</v>
      </c>
      <c r="M30" s="67"/>
      <c r="N30" s="40">
        <f t="shared" si="14"/>
        <v>449449.64000000001</v>
      </c>
    </row>
    <row r="31" spans="1:14" s="7" customFormat="1" ht="13.5" thickBot="1">
      <c r="A31" s="6"/>
      <c r="B31" s="6"/>
      <c r="D31" s="38">
        <f>SUM(D21:D30)</f>
        <v>6652.8699999999999</v>
      </c>
      <c r="E31" s="38">
        <f t="shared" si="15" ref="E31:N31">SUM(E21:E30)</f>
        <v>0</v>
      </c>
      <c r="F31" s="38">
        <f t="shared" si="15"/>
        <v>0</v>
      </c>
      <c r="G31" s="38">
        <f t="shared" si="15"/>
        <v>6652.8699999999999</v>
      </c>
      <c r="H31" s="38">
        <f t="shared" si="15"/>
        <v>43241872.270000003</v>
      </c>
      <c r="I31" s="38">
        <f t="shared" si="15"/>
        <v>0</v>
      </c>
      <c r="J31" s="38">
        <f t="shared" si="15"/>
        <v>43241872.270000003</v>
      </c>
      <c r="K31" s="38">
        <f t="shared" si="15"/>
        <v>305751.71000000002</v>
      </c>
      <c r="L31" s="38">
        <f t="shared" si="15"/>
        <v>258986.63999999999</v>
      </c>
      <c r="M31" s="39"/>
      <c r="N31" s="38">
        <f t="shared" si="15"/>
        <v>43813263.490000002</v>
      </c>
    </row>
    <row r="32" spans="1:14" s="7" customFormat="1" ht="13.5" thickTop="1">
      <c r="A32" s="6"/>
      <c r="B32" s="6"/>
      <c r="D32" s="28"/>
      <c r="E32" s="28"/>
      <c r="F32" s="28"/>
      <c r="G32" s="28"/>
      <c r="H32" s="28"/>
      <c r="I32" s="28"/>
      <c r="J32" s="28"/>
      <c r="K32" s="28"/>
      <c r="L32" s="28"/>
      <c r="N32" s="29"/>
    </row>
    <row r="33" spans="1:14" s="7" customFormat="1" ht="12.75">
      <c r="A33" s="8" t="s">
        <v>30</v>
      </c>
      <c r="B33" s="6" t="s">
        <v>89</v>
      </c>
      <c r="D33" s="66">
        <f>+'Adj. #27'!E41+'Adj. #54'!E29</f>
        <v>3797.54</v>
      </c>
      <c r="E33" s="66">
        <f>+'Adj. #27'!F41+'Adj. #54'!F29</f>
        <v>0</v>
      </c>
      <c r="F33" s="66">
        <f>+'Adj. #27'!G41+'Adj. #54'!G29</f>
        <v>0</v>
      </c>
      <c r="G33" s="66">
        <f t="shared" si="16" ref="G33:G41">SUM(D33:F33)</f>
        <v>3797.54</v>
      </c>
      <c r="H33" s="66">
        <f>+'Adj. #27'!I41+'Adj. #54'!I29</f>
        <v>51232.68</v>
      </c>
      <c r="I33" s="66">
        <f>+'Adj. #27'!J41+'Adj. #54'!J29</f>
        <v>0</v>
      </c>
      <c r="J33" s="66">
        <f t="shared" si="17" ref="J33:J41">SUM(H33:I33)</f>
        <v>51232.68</v>
      </c>
      <c r="K33" s="66">
        <f>+'Adj. #27'!L41+'Adj. #54'!L29</f>
        <v>8081.7700000000004</v>
      </c>
      <c r="L33" s="66">
        <f>+'Adj. #27'!M41+'Adj. #54'!M29</f>
        <v>0</v>
      </c>
      <c r="M33" s="66"/>
      <c r="N33" s="65">
        <f>+L33+K33+J33+G33</f>
        <v>63111.989999999998</v>
      </c>
    </row>
    <row r="34" spans="1:14" s="7" customFormat="1" ht="12.75">
      <c r="A34" s="8" t="s">
        <v>61</v>
      </c>
      <c r="B34" s="6" t="s">
        <v>90</v>
      </c>
      <c r="D34" s="67">
        <v>0</v>
      </c>
      <c r="E34" s="67">
        <v>0</v>
      </c>
      <c r="F34" s="67">
        <v>0</v>
      </c>
      <c r="G34" s="67">
        <f t="shared" si="16"/>
        <v>0</v>
      </c>
      <c r="H34" s="67">
        <v>0</v>
      </c>
      <c r="I34" s="67">
        <v>0</v>
      </c>
      <c r="J34" s="67">
        <f t="shared" si="17"/>
        <v>0</v>
      </c>
      <c r="K34" s="67">
        <v>0</v>
      </c>
      <c r="L34" s="67">
        <v>0</v>
      </c>
      <c r="M34" s="67"/>
      <c r="N34" s="40">
        <f t="shared" si="18" ref="N34:N41">+L34+K34+J34+G34</f>
        <v>0</v>
      </c>
    </row>
    <row r="35" spans="1:14" s="7" customFormat="1" ht="12.75">
      <c r="A35" s="8" t="s">
        <v>31</v>
      </c>
      <c r="B35" s="6" t="s">
        <v>91</v>
      </c>
      <c r="D35" s="67">
        <f>+'Adj. #18'!E23+'Adj. #27'!E42+'Adj. #40'!E23</f>
        <v>-775.60000000000002</v>
      </c>
      <c r="E35" s="67">
        <f>+'Adj. #18'!F23+'Adj. #27'!F42+'Adj. #40'!F23</f>
        <v>0</v>
      </c>
      <c r="F35" s="67">
        <f>+'Adj. #18'!G23+'Adj. #27'!G42+'Adj. #40'!G23</f>
        <v>0</v>
      </c>
      <c r="G35" s="67">
        <f t="shared" si="16"/>
        <v>-775.60000000000002</v>
      </c>
      <c r="H35" s="67">
        <f>+'Adj. #18'!I23+'Adj. #27'!I42+'Adj. #40'!I23</f>
        <v>44506.18</v>
      </c>
      <c r="I35" s="67">
        <f>+'Adj. #18'!J23+'Adj. #27'!J42+'Adj. #40'!J23</f>
        <v>0</v>
      </c>
      <c r="J35" s="67">
        <f t="shared" si="17"/>
        <v>44506.18</v>
      </c>
      <c r="K35" s="67">
        <f>+'Adj. #18'!L23+'Adj. #27'!L42+'Adj. #40'!L23</f>
        <v>0</v>
      </c>
      <c r="L35" s="67">
        <f>+'Adj. #18'!M23+'Adj. #27'!M42+'Adj. #40'!M23</f>
        <v>0</v>
      </c>
      <c r="M35" s="67"/>
      <c r="N35" s="40">
        <f t="shared" si="18"/>
        <v>43730.580000000002</v>
      </c>
    </row>
    <row r="36" spans="1:14" s="7" customFormat="1" ht="12.75">
      <c r="A36" s="8" t="s">
        <v>32</v>
      </c>
      <c r="B36" s="6" t="s">
        <v>74</v>
      </c>
      <c r="D36" s="67">
        <f>+'Adj. #10'!E23+'Adj. #21'!E23+'Adj. #27'!E43+'Adj. #54'!E30+'Adj. #58'!E23+'Adj. #62'!E24</f>
        <v>0.91000000000000003</v>
      </c>
      <c r="E36" s="67">
        <f>+'Adj. #10'!F23+'Adj. #21'!F23+'Adj. #27'!F43+'Adj. #54'!F30+'Adj. #58'!F23+'Adj. #62'!F24</f>
        <v>0</v>
      </c>
      <c r="F36" s="67">
        <f>+'Adj. #10'!G23+'Adj. #21'!G23+'Adj. #27'!G43+'Adj. #54'!G30+'Adj. #58'!G23+'Adj. #62'!G24</f>
        <v>0</v>
      </c>
      <c r="G36" s="67">
        <f t="shared" si="16"/>
        <v>0.91000000000000003</v>
      </c>
      <c r="H36" s="67">
        <f>+'Adj. #10'!I23+'Adj. #21'!I23+'Adj. #27'!I43+'Adj. #54'!I30+'Adj. #58'!I23+'Adj. #62'!I24</f>
        <v>3902444.1200000001</v>
      </c>
      <c r="I36" s="67">
        <f>+'Adj. #10'!J23+'Adj. #21'!J23+'Adj. #27'!J43+'Adj. #54'!J30+'Adj. #58'!J23+'Adj. #62'!J24</f>
        <v>0</v>
      </c>
      <c r="J36" s="67">
        <f t="shared" si="17"/>
        <v>3902444.1200000001</v>
      </c>
      <c r="K36" s="67">
        <f>+'Adj. #10'!L23+'Adj. #21'!L23+'Adj. #27'!L43+'Adj. #54'!L30+'Adj. #58'!L23+'Adj. #62'!L24</f>
        <v>-145.76999999999998</v>
      </c>
      <c r="L36" s="67">
        <f>+'Adj. #10'!M23+'Adj. #21'!M23+'Adj. #27'!M43+'Adj. #54'!M30+'Adj. #58'!M23+'Adj. #62'!M24</f>
        <v>0</v>
      </c>
      <c r="M36" s="67"/>
      <c r="N36" s="40">
        <f t="shared" si="18"/>
        <v>3902299.2600000002</v>
      </c>
    </row>
    <row r="37" spans="1:14" s="7" customFormat="1" ht="12.75">
      <c r="A37" s="8" t="s">
        <v>33</v>
      </c>
      <c r="B37" s="6" t="s">
        <v>92</v>
      </c>
      <c r="D37" s="67">
        <f>+'Adj. #27'!E44</f>
        <v>0</v>
      </c>
      <c r="E37" s="67">
        <f>+'Adj. #27'!F44</f>
        <v>0</v>
      </c>
      <c r="F37" s="67">
        <f>+'Adj. #27'!G44</f>
        <v>0</v>
      </c>
      <c r="G37" s="67">
        <f t="shared" si="16"/>
        <v>0</v>
      </c>
      <c r="H37" s="67">
        <f>+'Adj. #27'!I44</f>
        <v>3299.6100000000001</v>
      </c>
      <c r="I37" s="67">
        <f>+'Adj. #27'!J44</f>
        <v>0</v>
      </c>
      <c r="J37" s="67">
        <f t="shared" si="17"/>
        <v>3299.6100000000001</v>
      </c>
      <c r="K37" s="67">
        <f>+'Adj. #27'!L44</f>
        <v>5.4199999999999999</v>
      </c>
      <c r="L37" s="67">
        <f>+'Adj. #27'!M44</f>
        <v>0</v>
      </c>
      <c r="M37" s="67"/>
      <c r="N37" s="40">
        <f t="shared" si="18"/>
        <v>3305.0300000000002</v>
      </c>
    </row>
    <row r="38" spans="1:14" s="7" customFormat="1" ht="12.75">
      <c r="A38" s="8" t="s">
        <v>34</v>
      </c>
      <c r="B38" s="6" t="s">
        <v>98</v>
      </c>
      <c r="D38" s="67">
        <f>+'Adj. #27'!E45</f>
        <v>0</v>
      </c>
      <c r="E38" s="67">
        <f>+'Adj. #27'!F45</f>
        <v>0</v>
      </c>
      <c r="F38" s="67">
        <f>+'Adj. #27'!G45</f>
        <v>0</v>
      </c>
      <c r="G38" s="67">
        <f t="shared" si="16"/>
        <v>0</v>
      </c>
      <c r="H38" s="67">
        <f>+'Adj. #27'!I45</f>
        <v>12842.629999999999</v>
      </c>
      <c r="I38" s="67">
        <f>+'Adj. #27'!J45</f>
        <v>0</v>
      </c>
      <c r="J38" s="67">
        <f t="shared" si="17"/>
        <v>12842.629999999999</v>
      </c>
      <c r="K38" s="67">
        <f>+'Adj. #27'!L45</f>
        <v>0.10000000000000001</v>
      </c>
      <c r="L38" s="67">
        <f>+'Adj. #27'!M45</f>
        <v>0</v>
      </c>
      <c r="M38" s="67"/>
      <c r="N38" s="40">
        <f t="shared" si="18"/>
        <v>12842.73</v>
      </c>
    </row>
    <row r="39" spans="1:14" s="7" customFormat="1" ht="12.75">
      <c r="A39" s="8" t="s">
        <v>35</v>
      </c>
      <c r="B39" s="6" t="s">
        <v>99</v>
      </c>
      <c r="D39" s="67">
        <f>+'Adj. #27'!E46</f>
        <v>0</v>
      </c>
      <c r="E39" s="67">
        <f>+'Adj. #27'!F46</f>
        <v>0</v>
      </c>
      <c r="F39" s="67">
        <f>+'Adj. #27'!G46</f>
        <v>0</v>
      </c>
      <c r="G39" s="67">
        <f t="shared" si="16"/>
        <v>0</v>
      </c>
      <c r="H39" s="67">
        <f>+'Adj. #27'!I46</f>
        <v>5974.7399999999998</v>
      </c>
      <c r="I39" s="67">
        <f>+'Adj. #27'!J46</f>
        <v>0</v>
      </c>
      <c r="J39" s="67">
        <f t="shared" si="17"/>
        <v>5974.7399999999998</v>
      </c>
      <c r="K39" s="67">
        <f>+'Adj. #27'!L46</f>
        <v>10.220000000000001</v>
      </c>
      <c r="L39" s="67">
        <f>+'Adj. #27'!M46</f>
        <v>0</v>
      </c>
      <c r="M39" s="67"/>
      <c r="N39" s="40">
        <f t="shared" si="18"/>
        <v>5984.96</v>
      </c>
    </row>
    <row r="40" spans="1:14" s="7" customFormat="1" ht="12.75">
      <c r="A40" s="8" t="s">
        <v>36</v>
      </c>
      <c r="B40" s="6" t="s">
        <v>100</v>
      </c>
      <c r="D40" s="67">
        <f>+'Adj. #26'!E27+'Adj. #27'!E47</f>
        <v>0</v>
      </c>
      <c r="E40" s="67">
        <f>+'Adj. #26'!F27+'Adj. #27'!F47</f>
        <v>0</v>
      </c>
      <c r="F40" s="67">
        <f>+'Adj. #26'!G27+'Adj. #27'!G47</f>
        <v>0</v>
      </c>
      <c r="G40" s="67">
        <f t="shared" si="16"/>
        <v>0</v>
      </c>
      <c r="H40" s="67">
        <f>+'Adj. #26'!I27+'Adj. #27'!I47</f>
        <v>-13076.33</v>
      </c>
      <c r="I40" s="67">
        <f>+'Adj. #26'!J27+'Adj. #27'!J47</f>
        <v>0</v>
      </c>
      <c r="J40" s="67">
        <f t="shared" si="17"/>
        <v>-13076.33</v>
      </c>
      <c r="K40" s="67">
        <f>+'Adj. #26'!L27+'Adj. #27'!L47</f>
        <v>204555.63000000001</v>
      </c>
      <c r="L40" s="67">
        <f>+'Adj. #26'!M27+'Adj. #27'!M47</f>
        <v>0</v>
      </c>
      <c r="M40" s="67"/>
      <c r="N40" s="40">
        <f t="shared" si="18"/>
        <v>191479.30000000002</v>
      </c>
    </row>
    <row r="41" spans="1:14" s="7" customFormat="1" ht="12.75">
      <c r="A41" s="8" t="s">
        <v>37</v>
      </c>
      <c r="B41" s="6" t="s">
        <v>101</v>
      </c>
      <c r="D41" s="67">
        <f>+'Adj. #27'!E48</f>
        <v>0</v>
      </c>
      <c r="E41" s="67">
        <f>+'Adj. #27'!F48</f>
        <v>0</v>
      </c>
      <c r="F41" s="67">
        <f>+'Adj. #27'!G48</f>
        <v>0</v>
      </c>
      <c r="G41" s="67">
        <f t="shared" si="16"/>
        <v>0</v>
      </c>
      <c r="H41" s="67">
        <f>+'Adj. #27'!I48</f>
        <v>-18274.720000000001</v>
      </c>
      <c r="I41" s="67">
        <f>+'Adj. #27'!J48</f>
        <v>0</v>
      </c>
      <c r="J41" s="67">
        <f t="shared" si="17"/>
        <v>-18274.720000000001</v>
      </c>
      <c r="K41" s="67">
        <f>+'Adj. #27'!L48</f>
        <v>-335.23000000000002</v>
      </c>
      <c r="L41" s="67">
        <f>+'Adj. #27'!M48</f>
        <v>0</v>
      </c>
      <c r="M41" s="67"/>
      <c r="N41" s="40">
        <f t="shared" si="18"/>
        <v>-18609.950000000001</v>
      </c>
    </row>
    <row r="42" spans="1:14" s="7" customFormat="1" ht="13.5" thickBot="1">
      <c r="A42" s="8"/>
      <c r="B42" s="6"/>
      <c r="D42" s="38">
        <f>SUM(D33:D41)</f>
        <v>3022.8499999999999</v>
      </c>
      <c r="E42" s="38">
        <f t="shared" si="19" ref="E42:N42">SUM(E33:E41)</f>
        <v>0</v>
      </c>
      <c r="F42" s="38">
        <f t="shared" si="19"/>
        <v>0</v>
      </c>
      <c r="G42" s="38">
        <f t="shared" si="19"/>
        <v>3022.8499999999999</v>
      </c>
      <c r="H42" s="38">
        <f t="shared" si="19"/>
        <v>3988948.9099999997</v>
      </c>
      <c r="I42" s="38">
        <f t="shared" si="19"/>
        <v>0</v>
      </c>
      <c r="J42" s="38">
        <f t="shared" si="19"/>
        <v>3988948.9099999997</v>
      </c>
      <c r="K42" s="38">
        <f t="shared" si="19"/>
        <v>212172.13999999999</v>
      </c>
      <c r="L42" s="38">
        <f t="shared" si="19"/>
        <v>0</v>
      </c>
      <c r="M42" s="39"/>
      <c r="N42" s="38">
        <f t="shared" si="19"/>
        <v>4204143.8999999994</v>
      </c>
    </row>
    <row r="43" spans="1:14" s="7" customFormat="1" ht="13.5" thickTop="1">
      <c r="A43" s="8"/>
      <c r="B43" s="6"/>
      <c r="D43" s="28"/>
      <c r="E43" s="28"/>
      <c r="F43" s="28"/>
      <c r="G43" s="28"/>
      <c r="H43" s="28"/>
      <c r="I43" s="28"/>
      <c r="J43" s="28"/>
      <c r="K43" s="28"/>
      <c r="L43" s="28"/>
      <c r="N43" s="29"/>
    </row>
    <row r="44" spans="1:14" s="7" customFormat="1" ht="12.75">
      <c r="A44" s="6" t="s">
        <v>38</v>
      </c>
      <c r="B44" s="6" t="s">
        <v>77</v>
      </c>
      <c r="D44" s="66">
        <f>+'Adj. #27'!E49</f>
        <v>0</v>
      </c>
      <c r="E44" s="66">
        <f>+'Adj. #27'!F49</f>
        <v>0</v>
      </c>
      <c r="F44" s="66">
        <f>+'Adj. #27'!G49</f>
        <v>0</v>
      </c>
      <c r="G44" s="66">
        <f t="shared" si="20" ref="G44:G48">SUM(D44:F44)</f>
        <v>0</v>
      </c>
      <c r="H44" s="66">
        <f>+'Adj. #27'!I49</f>
        <v>0</v>
      </c>
      <c r="I44" s="66">
        <f>+'Adj. #27'!J49</f>
        <v>0</v>
      </c>
      <c r="J44" s="66">
        <f t="shared" si="21" ref="J44:J48">SUM(H44:I44)</f>
        <v>0</v>
      </c>
      <c r="K44" s="66">
        <f>+'Adj. #27'!L49</f>
        <v>-167.33000000000001</v>
      </c>
      <c r="L44" s="66">
        <f>+'Adj. #27'!M49</f>
        <v>-25</v>
      </c>
      <c r="M44" s="66"/>
      <c r="N44" s="65">
        <f>+L44+K44+J44+G44</f>
        <v>-192.33000000000001</v>
      </c>
    </row>
    <row r="45" spans="1:14" s="7" customFormat="1" ht="12.75">
      <c r="A45" s="6" t="s">
        <v>39</v>
      </c>
      <c r="B45" s="6" t="s">
        <v>102</v>
      </c>
      <c r="D45" s="67">
        <f>+'Adj. #35'!E23</f>
        <v>0</v>
      </c>
      <c r="E45" s="67">
        <f>+'Adj. #35'!F23</f>
        <v>0</v>
      </c>
      <c r="F45" s="67">
        <f>+'Adj. #35'!G23</f>
        <v>0</v>
      </c>
      <c r="G45" s="67">
        <f t="shared" si="20"/>
        <v>0</v>
      </c>
      <c r="H45" s="67">
        <f>+'Adj. #35'!I23</f>
        <v>0</v>
      </c>
      <c r="I45" s="67">
        <f>+'Adj. #35'!J23</f>
        <v>0</v>
      </c>
      <c r="J45" s="67">
        <f t="shared" si="21"/>
        <v>0</v>
      </c>
      <c r="K45" s="67">
        <f>+'Adj. #35'!L23</f>
        <v>-53535.25</v>
      </c>
      <c r="L45" s="67">
        <f>+'Adj. #35'!M23</f>
        <v>0</v>
      </c>
      <c r="M45" s="67"/>
      <c r="N45" s="40">
        <f t="shared" si="22" ref="N45:N48">+L45+K45+J45+G45</f>
        <v>-53535.25</v>
      </c>
    </row>
    <row r="46" spans="1:14" s="7" customFormat="1" ht="12.75">
      <c r="A46" s="6" t="s">
        <v>40</v>
      </c>
      <c r="B46" s="6" t="s">
        <v>103</v>
      </c>
      <c r="D46" s="67">
        <f>+'Adj. #11'!E23+'Adj. #27'!E50+'Adj. #31'!E23</f>
        <v>0</v>
      </c>
      <c r="E46" s="67">
        <f>+'Adj. #11'!F23+'Adj. #27'!F50+'Adj. #31'!F23</f>
        <v>0</v>
      </c>
      <c r="F46" s="67">
        <f>+'Adj. #11'!G23+'Adj. #27'!G50+'Adj. #31'!G23</f>
        <v>0</v>
      </c>
      <c r="G46" s="67">
        <f t="shared" si="20"/>
        <v>0</v>
      </c>
      <c r="H46" s="67">
        <f>+'Adj. #11'!I23+'Adj. #27'!I50+'Adj. #31'!I23</f>
        <v>0.089999999999999997</v>
      </c>
      <c r="I46" s="67">
        <f>+'Adj. #11'!J23+'Adj. #27'!J50+'Adj. #31'!J23</f>
        <v>0</v>
      </c>
      <c r="J46" s="67">
        <f t="shared" si="21"/>
        <v>0.089999999999999997</v>
      </c>
      <c r="K46" s="67">
        <f>+'Adj. #11'!L23+'Adj. #27'!L50+'Adj. #31'!L23</f>
        <v>5559.4700000000003</v>
      </c>
      <c r="L46" s="67">
        <f>+'Adj. #11'!M23+'Adj. #27'!M50+'Adj. #31'!M23</f>
        <v>265512.85999999999</v>
      </c>
      <c r="M46" s="67"/>
      <c r="N46" s="40">
        <f t="shared" si="22"/>
        <v>271072.41999999998</v>
      </c>
    </row>
    <row r="47" spans="1:14" s="7" customFormat="1" ht="12.75">
      <c r="A47" s="6" t="s">
        <v>62</v>
      </c>
      <c r="B47" s="6" t="s">
        <v>104</v>
      </c>
      <c r="D47" s="67">
        <f>+'Adj. #14'!E23+'Adj. #43'!E23</f>
        <v>-393845.90000000002</v>
      </c>
      <c r="E47" s="67">
        <f>+'Adj. #14'!F23+'Adj. #43'!F23</f>
        <v>0</v>
      </c>
      <c r="F47" s="67">
        <f>+'Adj. #14'!G23+'Adj. #43'!G23</f>
        <v>0</v>
      </c>
      <c r="G47" s="67">
        <f t="shared" si="20"/>
        <v>-393845.90000000002</v>
      </c>
      <c r="H47" s="67">
        <f>+'Adj. #14'!I23+'Adj. #43'!I23</f>
        <v>-16239.889999999999</v>
      </c>
      <c r="I47" s="67">
        <f>+'Adj. #14'!J23+'Adj. #43'!J23</f>
        <v>0</v>
      </c>
      <c r="J47" s="67">
        <f t="shared" si="21"/>
        <v>-16239.889999999999</v>
      </c>
      <c r="K47" s="67">
        <f>+'Adj. #14'!L23+'Adj. #43'!L23</f>
        <v>0</v>
      </c>
      <c r="L47" s="67">
        <f>+'Adj. #14'!M23+'Adj. #43'!M23</f>
        <v>1403793.4399999999</v>
      </c>
      <c r="M47" s="67"/>
      <c r="N47" s="40">
        <f t="shared" si="22"/>
        <v>993707.65000000002</v>
      </c>
    </row>
    <row r="48" spans="1:14" s="7" customFormat="1" ht="12.75">
      <c r="A48" s="6" t="s">
        <v>63</v>
      </c>
      <c r="B48" s="6" t="s">
        <v>113</v>
      </c>
      <c r="D48" s="67">
        <v>0</v>
      </c>
      <c r="E48" s="67">
        <v>0</v>
      </c>
      <c r="F48" s="67">
        <v>0</v>
      </c>
      <c r="G48" s="67">
        <f t="shared" si="20"/>
        <v>0</v>
      </c>
      <c r="H48" s="67">
        <v>0</v>
      </c>
      <c r="I48" s="67">
        <v>0</v>
      </c>
      <c r="J48" s="67">
        <f t="shared" si="21"/>
        <v>0</v>
      </c>
      <c r="K48" s="67">
        <v>0</v>
      </c>
      <c r="L48" s="67">
        <v>0</v>
      </c>
      <c r="M48" s="67"/>
      <c r="N48" s="40">
        <f t="shared" si="22"/>
        <v>0</v>
      </c>
    </row>
    <row r="49" spans="1:14" s="7" customFormat="1" ht="13.5" thickBot="1">
      <c r="A49" s="6"/>
      <c r="B49" s="6"/>
      <c r="D49" s="38">
        <f>SUM(D44:D48)</f>
        <v>-393845.90000000002</v>
      </c>
      <c r="E49" s="38">
        <f t="shared" si="23" ref="E49:N49">SUM(E44:E48)</f>
        <v>0</v>
      </c>
      <c r="F49" s="38">
        <f t="shared" si="23"/>
        <v>0</v>
      </c>
      <c r="G49" s="38">
        <f t="shared" si="23"/>
        <v>-393845.90000000002</v>
      </c>
      <c r="H49" s="38">
        <f t="shared" si="23"/>
        <v>-16239.799999999999</v>
      </c>
      <c r="I49" s="38">
        <f t="shared" si="23"/>
        <v>0</v>
      </c>
      <c r="J49" s="38">
        <f t="shared" si="23"/>
        <v>-16239.799999999999</v>
      </c>
      <c r="K49" s="38">
        <f t="shared" si="23"/>
        <v>-48143.110000000001</v>
      </c>
      <c r="L49" s="38">
        <f t="shared" si="23"/>
        <v>1669281.2999999998</v>
      </c>
      <c r="M49" s="39"/>
      <c r="N49" s="38">
        <f t="shared" si="23"/>
        <v>1211052.49</v>
      </c>
    </row>
    <row r="50" spans="1:14" s="7" customFormat="1" ht="13.5" thickTop="1">
      <c r="A50" s="6"/>
      <c r="B50" s="6"/>
      <c r="D50" s="28"/>
      <c r="E50" s="28"/>
      <c r="F50" s="28"/>
      <c r="G50" s="28"/>
      <c r="H50" s="28"/>
      <c r="I50" s="28"/>
      <c r="J50" s="28"/>
      <c r="K50" s="28"/>
      <c r="L50" s="28"/>
      <c r="N50" s="29"/>
    </row>
    <row r="51" spans="1:14" s="7" customFormat="1" ht="12.75">
      <c r="A51" s="8" t="s">
        <v>64</v>
      </c>
      <c r="B51" s="6" t="s">
        <v>114</v>
      </c>
      <c r="D51" s="66">
        <v>0</v>
      </c>
      <c r="E51" s="66">
        <v>0</v>
      </c>
      <c r="F51" s="66">
        <v>0</v>
      </c>
      <c r="G51" s="66">
        <f t="shared" si="24" ref="G51:G55">SUM(D51:F51)</f>
        <v>0</v>
      </c>
      <c r="H51" s="66">
        <v>0</v>
      </c>
      <c r="I51" s="66">
        <v>0</v>
      </c>
      <c r="J51" s="66">
        <f t="shared" si="25" ref="J51:J55">SUM(H51:I51)</f>
        <v>0</v>
      </c>
      <c r="K51" s="66">
        <v>0</v>
      </c>
      <c r="L51" s="66">
        <v>0</v>
      </c>
      <c r="M51" s="66"/>
      <c r="N51" s="65">
        <f>+L51+K51+J51+G51</f>
        <v>0</v>
      </c>
    </row>
    <row r="52" spans="1:14" s="7" customFormat="1" ht="12.75">
      <c r="A52" s="8" t="s">
        <v>41</v>
      </c>
      <c r="B52" s="6" t="s">
        <v>77</v>
      </c>
      <c r="D52" s="67">
        <v>0</v>
      </c>
      <c r="E52" s="67">
        <v>0</v>
      </c>
      <c r="F52" s="67">
        <v>0</v>
      </c>
      <c r="G52" s="67">
        <f t="shared" si="24"/>
        <v>0</v>
      </c>
      <c r="H52" s="67">
        <v>0</v>
      </c>
      <c r="I52" s="67">
        <v>0</v>
      </c>
      <c r="J52" s="67">
        <f t="shared" si="25"/>
        <v>0</v>
      </c>
      <c r="K52" s="67">
        <v>0</v>
      </c>
      <c r="L52" s="67">
        <v>0</v>
      </c>
      <c r="M52" s="67"/>
      <c r="N52" s="40">
        <f t="shared" si="26" ref="N52:N55">+L52+K52+J52+G52</f>
        <v>0</v>
      </c>
    </row>
    <row r="53" spans="1:14" s="7" customFormat="1" ht="12.75">
      <c r="A53" s="8" t="s">
        <v>42</v>
      </c>
      <c r="B53" s="6" t="s">
        <v>78</v>
      </c>
      <c r="D53" s="67">
        <f>+'Adj. #2'!E23+'Adj. #27'!E51+'Adj. #34'!E23+'Adj. #54'!E31</f>
        <v>0</v>
      </c>
      <c r="E53" s="67">
        <f>+'Adj. #2'!F23+'Adj. #27'!F51+'Adj. #34'!F23+'Adj. #54'!F31</f>
        <v>0</v>
      </c>
      <c r="F53" s="67">
        <f>+'Adj. #2'!G23+'Adj. #27'!G51+'Adj. #34'!G23+'Adj. #54'!G31</f>
        <v>0</v>
      </c>
      <c r="G53" s="67">
        <f t="shared" si="24"/>
        <v>0</v>
      </c>
      <c r="H53" s="67">
        <f>+'Adj. #2'!I23+'Adj. #27'!I51+'Adj. #34'!I23+'Adj. #54'!I31</f>
        <v>750.01999999999998</v>
      </c>
      <c r="I53" s="67">
        <f>+'Adj. #2'!J23+'Adj. #27'!J51+'Adj. #34'!J23+'Adj. #54'!J31</f>
        <v>0</v>
      </c>
      <c r="J53" s="67">
        <f t="shared" si="25"/>
        <v>750.01999999999998</v>
      </c>
      <c r="K53" s="67">
        <f>+'Adj. #2'!L23+'Adj. #27'!L51+'Adj. #34'!L23+'Adj. #54'!L31</f>
        <v>-472896.97000000003</v>
      </c>
      <c r="L53" s="67">
        <f>+'Adj. #2'!M23+'Adj. #27'!M51+'Adj. #34'!M23+'Adj. #54'!M31</f>
        <v>-46190044.890000001</v>
      </c>
      <c r="M53" s="67"/>
      <c r="N53" s="40">
        <f t="shared" si="26"/>
        <v>-46662191.839999996</v>
      </c>
    </row>
    <row r="54" spans="1:14" s="7" customFormat="1" ht="12.75">
      <c r="A54" s="8" t="s">
        <v>65</v>
      </c>
      <c r="B54" s="6" t="s">
        <v>115</v>
      </c>
      <c r="D54" s="67">
        <v>0</v>
      </c>
      <c r="E54" s="67">
        <v>0</v>
      </c>
      <c r="F54" s="67">
        <v>0</v>
      </c>
      <c r="G54" s="67">
        <f t="shared" si="24"/>
        <v>0</v>
      </c>
      <c r="H54" s="67">
        <v>0</v>
      </c>
      <c r="I54" s="67">
        <v>0</v>
      </c>
      <c r="J54" s="67">
        <f t="shared" si="25"/>
        <v>0</v>
      </c>
      <c r="K54" s="67">
        <v>0</v>
      </c>
      <c r="L54" s="67">
        <v>0</v>
      </c>
      <c r="M54" s="67"/>
      <c r="N54" s="40">
        <f t="shared" si="26"/>
        <v>0</v>
      </c>
    </row>
    <row r="55" spans="1:14" s="7" customFormat="1" ht="12.75">
      <c r="A55" s="9" t="s">
        <v>55</v>
      </c>
      <c r="B55" s="6" t="s">
        <v>105</v>
      </c>
      <c r="D55" s="67">
        <v>0</v>
      </c>
      <c r="E55" s="67">
        <v>0</v>
      </c>
      <c r="F55" s="67">
        <v>0</v>
      </c>
      <c r="G55" s="67">
        <f t="shared" si="24"/>
        <v>0</v>
      </c>
      <c r="H55" s="67">
        <v>0</v>
      </c>
      <c r="I55" s="67">
        <v>0</v>
      </c>
      <c r="J55" s="67">
        <f t="shared" si="25"/>
        <v>0</v>
      </c>
      <c r="K55" s="67">
        <v>0</v>
      </c>
      <c r="L55" s="67">
        <v>0</v>
      </c>
      <c r="M55" s="67"/>
      <c r="N55" s="40">
        <f t="shared" si="26"/>
        <v>0</v>
      </c>
    </row>
    <row r="56" spans="1:14" s="7" customFormat="1" ht="13.5" thickBot="1">
      <c r="A56" s="9"/>
      <c r="B56" s="6"/>
      <c r="D56" s="38">
        <f>SUM(D51:D55)</f>
        <v>0</v>
      </c>
      <c r="E56" s="38">
        <f t="shared" si="27" ref="E56:N56">SUM(E51:E55)</f>
        <v>0</v>
      </c>
      <c r="F56" s="38">
        <f t="shared" si="27"/>
        <v>0</v>
      </c>
      <c r="G56" s="38">
        <f t="shared" si="27"/>
        <v>0</v>
      </c>
      <c r="H56" s="38">
        <f t="shared" si="27"/>
        <v>750.01999999999998</v>
      </c>
      <c r="I56" s="38">
        <f t="shared" si="27"/>
        <v>0</v>
      </c>
      <c r="J56" s="38">
        <f t="shared" si="27"/>
        <v>750.01999999999998</v>
      </c>
      <c r="K56" s="38">
        <f t="shared" si="27"/>
        <v>-472896.97000000003</v>
      </c>
      <c r="L56" s="38">
        <f t="shared" si="27"/>
        <v>-46190044.890000001</v>
      </c>
      <c r="M56" s="39"/>
      <c r="N56" s="38">
        <f t="shared" si="27"/>
        <v>-46662191.839999996</v>
      </c>
    </row>
    <row r="57" spans="1:14" s="7" customFormat="1" ht="13.5" thickTop="1">
      <c r="A57" s="9"/>
      <c r="B57" s="6"/>
      <c r="D57" s="28"/>
      <c r="E57" s="28"/>
      <c r="F57" s="28"/>
      <c r="G57" s="28"/>
      <c r="H57" s="28"/>
      <c r="I57" s="28"/>
      <c r="J57" s="28"/>
      <c r="K57" s="28"/>
      <c r="L57" s="28"/>
      <c r="N57" s="29"/>
    </row>
    <row r="58" spans="1:14" s="7" customFormat="1" ht="12.75">
      <c r="A58" s="7" t="s">
        <v>43</v>
      </c>
      <c r="B58" s="6" t="s">
        <v>77</v>
      </c>
      <c r="D58" s="66">
        <v>0</v>
      </c>
      <c r="E58" s="66">
        <v>0</v>
      </c>
      <c r="F58" s="66">
        <v>0</v>
      </c>
      <c r="G58" s="66">
        <f t="shared" si="28" ref="G58:G62">SUM(D58:F58)</f>
        <v>0</v>
      </c>
      <c r="H58" s="66">
        <v>0</v>
      </c>
      <c r="I58" s="66">
        <v>0</v>
      </c>
      <c r="J58" s="66">
        <f t="shared" si="29" ref="J58:J62">SUM(H58:I58)</f>
        <v>0</v>
      </c>
      <c r="K58" s="66">
        <v>0</v>
      </c>
      <c r="L58" s="66">
        <v>0</v>
      </c>
      <c r="M58" s="66"/>
      <c r="N58" s="65">
        <f>+L58+K58+J58+G58</f>
        <v>0</v>
      </c>
    </row>
    <row r="59" spans="1:14" s="7" customFormat="1" ht="12.75">
      <c r="A59" s="7" t="s">
        <v>57</v>
      </c>
      <c r="B59" s="6" t="s">
        <v>106</v>
      </c>
      <c r="D59" s="67">
        <v>0</v>
      </c>
      <c r="E59" s="67">
        <v>0</v>
      </c>
      <c r="F59" s="67">
        <v>0</v>
      </c>
      <c r="G59" s="67">
        <f t="shared" si="28"/>
        <v>0</v>
      </c>
      <c r="H59" s="67">
        <v>0</v>
      </c>
      <c r="I59" s="67">
        <v>0</v>
      </c>
      <c r="J59" s="67">
        <f t="shared" si="29"/>
        <v>0</v>
      </c>
      <c r="K59" s="67">
        <v>0</v>
      </c>
      <c r="L59" s="67">
        <v>0</v>
      </c>
      <c r="M59" s="67"/>
      <c r="N59" s="40">
        <f t="shared" si="30" ref="N59:N62">+L59+K59+J59+G59</f>
        <v>0</v>
      </c>
    </row>
    <row r="60" spans="1:14" s="7" customFormat="1" ht="12.75">
      <c r="A60" s="7" t="s">
        <v>56</v>
      </c>
      <c r="B60" s="6" t="s">
        <v>116</v>
      </c>
      <c r="D60" s="67">
        <v>0</v>
      </c>
      <c r="E60" s="67">
        <v>0</v>
      </c>
      <c r="F60" s="67">
        <v>0</v>
      </c>
      <c r="G60" s="67">
        <f t="shared" si="28"/>
        <v>0</v>
      </c>
      <c r="H60" s="67">
        <v>0</v>
      </c>
      <c r="I60" s="67">
        <v>0</v>
      </c>
      <c r="J60" s="67">
        <f t="shared" si="29"/>
        <v>0</v>
      </c>
      <c r="K60" s="67">
        <v>0</v>
      </c>
      <c r="L60" s="67">
        <v>0</v>
      </c>
      <c r="M60" s="67"/>
      <c r="N60" s="40">
        <f t="shared" si="30"/>
        <v>0</v>
      </c>
    </row>
    <row r="61" spans="1:14" s="7" customFormat="1" ht="12.75">
      <c r="A61" s="7" t="s">
        <v>66</v>
      </c>
      <c r="B61" s="6" t="s">
        <v>117</v>
      </c>
      <c r="D61" s="67">
        <v>0</v>
      </c>
      <c r="E61" s="67">
        <v>0</v>
      </c>
      <c r="F61" s="67">
        <v>0</v>
      </c>
      <c r="G61" s="67">
        <f t="shared" si="28"/>
        <v>0</v>
      </c>
      <c r="H61" s="67">
        <v>0</v>
      </c>
      <c r="I61" s="67">
        <v>0</v>
      </c>
      <c r="J61" s="67">
        <f t="shared" si="29"/>
        <v>0</v>
      </c>
      <c r="K61" s="67">
        <v>0</v>
      </c>
      <c r="L61" s="67">
        <v>0</v>
      </c>
      <c r="M61" s="67"/>
      <c r="N61" s="40">
        <f t="shared" si="30"/>
        <v>0</v>
      </c>
    </row>
    <row r="62" spans="1:14" s="7" customFormat="1" ht="12.75">
      <c r="A62" s="7" t="s">
        <v>67</v>
      </c>
      <c r="B62" s="6" t="s">
        <v>118</v>
      </c>
      <c r="D62" s="67">
        <v>0</v>
      </c>
      <c r="E62" s="67">
        <v>0</v>
      </c>
      <c r="F62" s="67">
        <v>0</v>
      </c>
      <c r="G62" s="67">
        <f t="shared" si="28"/>
        <v>0</v>
      </c>
      <c r="H62" s="67">
        <v>0</v>
      </c>
      <c r="I62" s="67">
        <v>0</v>
      </c>
      <c r="J62" s="67">
        <f t="shared" si="29"/>
        <v>0</v>
      </c>
      <c r="K62" s="67">
        <v>0</v>
      </c>
      <c r="L62" s="67">
        <v>0</v>
      </c>
      <c r="M62" s="67"/>
      <c r="N62" s="40">
        <f t="shared" si="30"/>
        <v>0</v>
      </c>
    </row>
    <row r="63" spans="2:14" s="7" customFormat="1" ht="13.5" thickBot="1">
      <c r="B63" s="6"/>
      <c r="D63" s="38">
        <f>SUM(D58:D62)</f>
        <v>0</v>
      </c>
      <c r="E63" s="38">
        <f t="shared" si="31" ref="E63:N63">SUM(E58:E62)</f>
        <v>0</v>
      </c>
      <c r="F63" s="38">
        <f t="shared" si="31"/>
        <v>0</v>
      </c>
      <c r="G63" s="38">
        <f t="shared" si="31"/>
        <v>0</v>
      </c>
      <c r="H63" s="38">
        <f t="shared" si="31"/>
        <v>0</v>
      </c>
      <c r="I63" s="38">
        <f t="shared" si="31"/>
        <v>0</v>
      </c>
      <c r="J63" s="38">
        <f t="shared" si="31"/>
        <v>0</v>
      </c>
      <c r="K63" s="38">
        <f t="shared" si="31"/>
        <v>0</v>
      </c>
      <c r="L63" s="38">
        <f t="shared" si="31"/>
        <v>0</v>
      </c>
      <c r="M63" s="39"/>
      <c r="N63" s="38">
        <f t="shared" si="31"/>
        <v>0</v>
      </c>
    </row>
    <row r="64" spans="2:14" s="7" customFormat="1" ht="13.5" thickTop="1">
      <c r="B64" s="6"/>
      <c r="D64" s="28"/>
      <c r="E64" s="28"/>
      <c r="F64" s="28"/>
      <c r="G64" s="28"/>
      <c r="H64" s="28"/>
      <c r="I64" s="28"/>
      <c r="J64" s="28"/>
      <c r="K64" s="28"/>
      <c r="L64" s="28"/>
      <c r="N64" s="29"/>
    </row>
    <row r="65" spans="1:14" s="7" customFormat="1" ht="12.75">
      <c r="A65" s="10" t="s">
        <v>44</v>
      </c>
      <c r="B65" s="6" t="s">
        <v>79</v>
      </c>
      <c r="D65" s="66">
        <f>+'Adj. #8'!E23+'Adj. #23'!E25+'Adj. #27'!E52+'Adj. #28'!E25</f>
        <v>1689248.8700000001</v>
      </c>
      <c r="E65" s="66">
        <f>+'Adj. #8'!F23+'Adj. #23'!F25+'Adj. #27'!F52+'Adj. #28'!F25</f>
        <v>0</v>
      </c>
      <c r="F65" s="66">
        <f>+'Adj. #8'!G23+'Adj. #23'!G25+'Adj. #27'!G52+'Adj. #28'!G25</f>
        <v>0</v>
      </c>
      <c r="G65" s="66">
        <f t="shared" si="32" ref="G65:G77">SUM(D65:F65)</f>
        <v>1689248.8700000001</v>
      </c>
      <c r="H65" s="66">
        <f>+'Adj. #8'!I23+'Adj. #23'!I25+'Adj. #27'!I52+'Adj. #28'!I25</f>
        <v>4658276.8900000006</v>
      </c>
      <c r="I65" s="66">
        <f>+'Adj. #8'!J23+'Adj. #23'!J25+'Adj. #27'!J52+'Adj. #28'!J25</f>
        <v>0</v>
      </c>
      <c r="J65" s="66">
        <f t="shared" si="33" ref="J65:J77">SUM(H65:I65)</f>
        <v>4658276.8900000006</v>
      </c>
      <c r="K65" s="66">
        <f>+'Adj. #8'!L23+'Adj. #23'!L25+'Adj. #27'!L52+'Adj. #28'!L25</f>
        <v>1270637.6200000001</v>
      </c>
      <c r="L65" s="66">
        <f>+'Adj. #8'!M23+'Adj. #23'!M25+'Adj. #27'!M52+'Adj. #28'!M25</f>
        <v>51132.119999999821</v>
      </c>
      <c r="M65" s="66"/>
      <c r="N65" s="65">
        <f>+L65+K65+J65+G65</f>
        <v>7669295.5000000009</v>
      </c>
    </row>
    <row r="66" spans="1:14" s="7" customFormat="1" ht="12.75">
      <c r="A66" s="10" t="s">
        <v>45</v>
      </c>
      <c r="B66" s="6" t="s">
        <v>80</v>
      </c>
      <c r="D66" s="67">
        <f>+'Adj. #13'!E23+'Adj. #16'!E26+'Adj. #27'!E53+'Adj. #54'!E32</f>
        <v>529932.01000000001</v>
      </c>
      <c r="E66" s="67">
        <f>+'Adj. #13'!F23+'Adj. #16'!F26+'Adj. #27'!F53+'Adj. #54'!F32</f>
        <v>0</v>
      </c>
      <c r="F66" s="67">
        <f>+'Adj. #13'!G23+'Adj. #16'!G26+'Adj. #27'!G53+'Adj. #54'!G32</f>
        <v>0</v>
      </c>
      <c r="G66" s="67">
        <f t="shared" si="32"/>
        <v>529932.01000000001</v>
      </c>
      <c r="H66" s="67">
        <f>+'Adj. #13'!I23+'Adj. #16'!I26+'Adj. #27'!I53+'Adj. #54'!I32</f>
        <v>576409.2899999998</v>
      </c>
      <c r="I66" s="67">
        <f>+'Adj. #13'!J23+'Adj. #16'!J26+'Adj. #27'!J53+'Adj. #54'!J32</f>
        <v>0</v>
      </c>
      <c r="J66" s="67">
        <f t="shared" si="33"/>
        <v>576409.2899999998</v>
      </c>
      <c r="K66" s="67">
        <f>+'Adj. #13'!L23+'Adj. #16'!L26+'Adj. #27'!L53+'Adj. #54'!L32</f>
        <v>120556.73000000001</v>
      </c>
      <c r="L66" s="67">
        <f>+'Adj. #13'!M23+'Adj. #16'!M26+'Adj. #27'!M53+'Adj. #54'!M32</f>
        <v>290287.71999999997</v>
      </c>
      <c r="M66" s="67"/>
      <c r="N66" s="40">
        <f t="shared" si="34" ref="N66:N77">+L66+K66+J66+G66</f>
        <v>1517185.7499999998</v>
      </c>
    </row>
    <row r="67" spans="1:14" s="7" customFormat="1" ht="12.75">
      <c r="A67" s="10" t="s">
        <v>68</v>
      </c>
      <c r="B67" s="6" t="s">
        <v>107</v>
      </c>
      <c r="D67" s="67">
        <v>0</v>
      </c>
      <c r="E67" s="67">
        <v>0</v>
      </c>
      <c r="F67" s="67">
        <v>0</v>
      </c>
      <c r="G67" s="67">
        <f t="shared" si="32"/>
        <v>0</v>
      </c>
      <c r="H67" s="67">
        <v>0</v>
      </c>
      <c r="I67" s="67">
        <v>0</v>
      </c>
      <c r="J67" s="67">
        <f t="shared" si="33"/>
        <v>0</v>
      </c>
      <c r="K67" s="67">
        <v>0</v>
      </c>
      <c r="L67" s="67">
        <v>0</v>
      </c>
      <c r="M67" s="67"/>
      <c r="N67" s="40">
        <f t="shared" si="34"/>
        <v>0</v>
      </c>
    </row>
    <row r="68" spans="1:14" s="7" customFormat="1" ht="12.75">
      <c r="A68" s="10" t="s">
        <v>53</v>
      </c>
      <c r="B68" s="6" t="s">
        <v>81</v>
      </c>
      <c r="D68" s="67">
        <f>+'Adj. #9'!E23+'Adj. #19'!E23+'Adj. #20'!E23+'Adj. #27'!E54+'Adj. #30'!E23+'Adj. #31'!E24+'Adj. #51'!E23+'Adj. #59'!E24</f>
        <v>-366369.36211306194</v>
      </c>
      <c r="E68" s="67">
        <f>+'Adj. #9'!F23+'Adj. #19'!F23+'Adj. #20'!F23+'Adj. #27'!F54+'Adj. #30'!F23+'Adj. #31'!F24+'Adj. #51'!F23+'Adj. #59'!F24</f>
        <v>85.480000000000004</v>
      </c>
      <c r="F68" s="67">
        <f>+'Adj. #9'!G23+'Adj. #19'!G23+'Adj. #20'!G23+'Adj. #27'!G54+'Adj. #30'!G23+'Adj. #31'!G24+'Adj. #51'!G23+'Adj. #59'!G24</f>
        <v>0</v>
      </c>
      <c r="G68" s="67">
        <f t="shared" si="32"/>
        <v>-366283.88211306196</v>
      </c>
      <c r="H68" s="67">
        <f>+'Adj. #9'!I23+'Adj. #19'!I23+'Adj. #20'!I23+'Adj. #27'!I54+'Adj. #30'!I23+'Adj. #31'!I24+'Adj. #51'!I23+'Adj. #59'!I24</f>
        <v>-1014458.1253440251</v>
      </c>
      <c r="I68" s="67">
        <f>+'Adj. #9'!J23+'Adj. #19'!J23+'Adj. #20'!J23+'Adj. #27'!J54+'Adj. #30'!J23+'Adj. #31'!J24+'Adj. #51'!J23+'Adj. #59'!J24</f>
        <v>0</v>
      </c>
      <c r="J68" s="67">
        <f t="shared" si="33"/>
        <v>-1014458.1253440251</v>
      </c>
      <c r="K68" s="67">
        <f>+'Adj. #9'!L23+'Adj. #19'!L23+'Adj. #20'!L23+'Adj. #27'!L54+'Adj. #30'!L23+'Adj. #31'!L24+'Adj. #51'!L23+'Adj. #59'!L24</f>
        <v>-276805.4898908622</v>
      </c>
      <c r="L68" s="67">
        <f>+'Adj. #9'!M23+'Adj. #19'!M23+'Adj. #20'!M23+'Adj. #27'!M54+'Adj. #30'!M23+'Adj. #31'!M24+'Adj. #51'!M23+'Adj. #59'!M24</f>
        <v>-10657.252652050896</v>
      </c>
      <c r="M68" s="67"/>
      <c r="N68" s="40">
        <f t="shared" si="34"/>
        <v>-1668204.75</v>
      </c>
    </row>
    <row r="69" spans="1:14" s="7" customFormat="1" ht="12.75">
      <c r="A69" s="10" t="s">
        <v>49</v>
      </c>
      <c r="B69" s="6" t="s">
        <v>108</v>
      </c>
      <c r="D69" s="67">
        <f>+'Adj. #29'!E23+'Adj. #44'!E23+'Adj. #45'!E23+'Adj. #60'!E23+'Adj. #61'!E23</f>
        <v>10009363.940000001</v>
      </c>
      <c r="E69" s="67">
        <f>+'Adj. #29'!F23+'Adj. #44'!F23+'Adj. #45'!F23+'Adj. #60'!F23+'Adj. #61'!F23</f>
        <v>1341702.8999999999</v>
      </c>
      <c r="F69" s="67">
        <f>+'Adj. #29'!G23+'Adj. #44'!G23+'Adj. #45'!G23+'Adj. #60'!G23+'Adj. #61'!G23</f>
        <v>0</v>
      </c>
      <c r="G69" s="67">
        <f t="shared" si="32"/>
        <v>11351066.840000002</v>
      </c>
      <c r="H69" s="67">
        <f>+'Adj. #29'!I23+'Adj. #44'!I23+'Adj. #45'!I23+'Adj. #60'!I23+'Adj. #61'!I23</f>
        <v>116828157.89399999</v>
      </c>
      <c r="I69" s="67">
        <f>+'Adj. #29'!J23+'Adj. #44'!J23+'Adj. #45'!J23+'Adj. #60'!J23+'Adj. #61'!J23</f>
        <v>0</v>
      </c>
      <c r="J69" s="67">
        <f t="shared" si="33"/>
        <v>116828157.89399999</v>
      </c>
      <c r="K69" s="67">
        <f>+'Adj. #29'!L23+'Adj. #44'!L23+'Adj. #45'!L23+'Adj. #60'!L23+'Adj. #61'!L23</f>
        <v>0</v>
      </c>
      <c r="L69" s="67">
        <f>+'Adj. #29'!M23+'Adj. #44'!M23+'Adj. #45'!M23+'Adj. #60'!M23+'Adj. #61'!M23</f>
        <v>0</v>
      </c>
      <c r="M69" s="67"/>
      <c r="N69" s="40">
        <f t="shared" si="34"/>
        <v>128179224.734</v>
      </c>
    </row>
    <row r="70" spans="1:14" s="7" customFormat="1" ht="12.75">
      <c r="A70" s="10" t="s">
        <v>69</v>
      </c>
      <c r="B70" s="6" t="s">
        <v>109</v>
      </c>
      <c r="D70" s="67">
        <f>+'Adj. #7'!E23+'Adj. #29'!E24+'Adj. #44'!E24+'Adj. #45'!E24+'Adj. #60'!E24+'Adj. #61'!E24</f>
        <v>39657.780000000028</v>
      </c>
      <c r="E70" s="67">
        <f>+'Adj. #7'!F23+'Adj. #29'!F24+'Adj. #44'!F24+'Adj. #45'!F24+'Adj. #60'!F24+'Adj. #61'!F24</f>
        <v>0</v>
      </c>
      <c r="F70" s="67">
        <f>+'Adj. #7'!G23+'Adj. #29'!G24+'Adj. #44'!G24+'Adj. #45'!G24+'Adj. #60'!G24+'Adj. #61'!G24</f>
        <v>0</v>
      </c>
      <c r="G70" s="67">
        <f t="shared" si="32"/>
        <v>39657.780000000028</v>
      </c>
      <c r="H70" s="67">
        <f>+'Adj. #7'!I23+'Adj. #29'!I24+'Adj. #44'!I24+'Adj. #45'!I24+'Adj. #60'!I24+'Adj. #61'!I24</f>
        <v>-2709661.2000000002</v>
      </c>
      <c r="I70" s="67">
        <f>+'Adj. #7'!J23+'Adj. #29'!J24+'Adj. #44'!J24+'Adj. #45'!J24+'Adj. #60'!J24+'Adj. #61'!J24</f>
        <v>0</v>
      </c>
      <c r="J70" s="67">
        <f t="shared" si="33"/>
        <v>-2709661.2000000002</v>
      </c>
      <c r="K70" s="67">
        <f>+'Adj. #7'!L23+'Adj. #29'!L24+'Adj. #44'!L24+'Adj. #45'!L24+'Adj. #60'!L24+'Adj. #61'!L24</f>
        <v>0</v>
      </c>
      <c r="L70" s="67">
        <f>+'Adj. #7'!M23+'Adj. #29'!M24+'Adj. #44'!M24+'Adj. #45'!M24+'Adj. #60'!M24+'Adj. #61'!M24</f>
        <v>0</v>
      </c>
      <c r="M70" s="67"/>
      <c r="N70" s="40">
        <f t="shared" si="34"/>
        <v>-2670003.4199999999</v>
      </c>
    </row>
    <row r="71" spans="1:14" s="7" customFormat="1" ht="12.75">
      <c r="A71" s="10" t="s">
        <v>48</v>
      </c>
      <c r="B71" s="6" t="s">
        <v>83</v>
      </c>
      <c r="D71" s="67">
        <f>+'Adj. #3'!E23+'Adj. #4'!E23+'Adj. #5'!E23+'Adj. #21'!E24+'Adj. #46'!E23+'Adj. #47'!E23+'Adj. #48'!E23+'Adj. #49'!E23+'Adj. #53'!E23</f>
        <v>-10628008.209999997</v>
      </c>
      <c r="E71" s="67">
        <f>+'Adj. #3'!F23+'Adj. #4'!F23+'Adj. #5'!F23+'Adj. #21'!F24+'Adj. #46'!F23+'Adj. #47'!F23+'Adj. #48'!F23+'Adj. #49'!F23+'Adj. #53'!F23</f>
        <v>0</v>
      </c>
      <c r="F71" s="67">
        <f>+'Adj. #3'!G23+'Adj. #4'!G23+'Adj. #5'!G23+'Adj. #21'!G24+'Adj. #46'!G23+'Adj. #47'!G23+'Adj. #48'!G23+'Adj. #49'!G23+'Adj. #53'!G23</f>
        <v>0</v>
      </c>
      <c r="G71" s="67">
        <f t="shared" si="32"/>
        <v>-10628008.209999997</v>
      </c>
      <c r="H71" s="67">
        <f>+'Adj. #3'!I23+'Adj. #4'!I23+'Adj. #5'!I23+'Adj. #21'!I24+'Adj. #46'!I23+'Adj. #47'!I23+'Adj. #48'!I23+'Adj. #49'!I23+'Adj. #53'!I23</f>
        <v>-29212815.770000003</v>
      </c>
      <c r="I71" s="67">
        <f>+'Adj. #3'!J23+'Adj. #4'!J23+'Adj. #5'!J23+'Adj. #21'!J24+'Adj. #46'!J23+'Adj. #47'!J23+'Adj. #48'!J23+'Adj. #49'!J23+'Adj. #53'!J23</f>
        <v>0</v>
      </c>
      <c r="J71" s="67">
        <f t="shared" si="33"/>
        <v>-29212815.770000003</v>
      </c>
      <c r="K71" s="67">
        <f>+'Adj. #3'!L23+'Adj. #4'!L23+'Adj. #5'!L23+'Adj. #21'!L24+'Adj. #46'!L23+'Adj. #47'!L23+'Adj. #48'!L23+'Adj. #49'!L23+'Adj. #53'!L23</f>
        <v>-8033174.5099999988</v>
      </c>
      <c r="L71" s="67">
        <f>+'Adj. #3'!M23+'Adj. #4'!M23+'Adj. #5'!M23+'Adj. #21'!M24+'Adj. #46'!M23+'Adj. #47'!M23+'Adj. #48'!M23+'Adj. #49'!M23+'Adj. #53'!M23</f>
        <v>-216683.62000000372</v>
      </c>
      <c r="M71" s="67"/>
      <c r="N71" s="40">
        <f t="shared" si="34"/>
        <v>-48090682.109999999</v>
      </c>
    </row>
    <row r="72" spans="1:14" s="7" customFormat="1" ht="12.75">
      <c r="A72" s="10" t="s">
        <v>50</v>
      </c>
      <c r="B72" s="6" t="s">
        <v>110</v>
      </c>
      <c r="D72" s="67">
        <f>+'Adj. #24'!E23+'Adj. #36'!E23+'Adj. #37'!E23+'Adj. #38'!E23+'Adj. #39'!E23+'Adj. #50'!E23+'Adj. #52'!E23</f>
        <v>0</v>
      </c>
      <c r="E72" s="67">
        <f>+'Adj. #24'!F23+'Adj. #36'!F23+'Adj. #37'!F23+'Adj. #38'!F23+'Adj. #39'!F23+'Adj. #50'!F23+'Adj. #52'!F23</f>
        <v>209845.60000000001</v>
      </c>
      <c r="F72" s="67">
        <f>+'Adj. #24'!G23+'Adj. #36'!G23+'Adj. #37'!G23+'Adj. #38'!G23+'Adj. #39'!G23+'Adj. #50'!G23+'Adj. #52'!G23</f>
        <v>0</v>
      </c>
      <c r="G72" s="67">
        <f t="shared" si="32"/>
        <v>209845.60000000001</v>
      </c>
      <c r="H72" s="67">
        <f>+'Adj. #24'!I23+'Adj. #36'!I23+'Adj. #37'!I23+'Adj. #38'!I23+'Adj. #39'!I23+'Adj. #50'!I23+'Adj. #52'!I23</f>
        <v>2258848.77</v>
      </c>
      <c r="I72" s="67">
        <f>+'Adj. #24'!J23+'Adj. #36'!J23+'Adj. #37'!J23+'Adj. #38'!J23+'Adj. #39'!J23+'Adj. #50'!J23+'Adj. #52'!J23</f>
        <v>143948.36000000002</v>
      </c>
      <c r="J72" s="67">
        <f t="shared" si="33"/>
        <v>2402797.1299999999</v>
      </c>
      <c r="K72" s="67">
        <f>+'Adj. #24'!L23+'Adj. #36'!L23+'Adj. #37'!L23+'Adj. #38'!L23+'Adj. #39'!L23+'Adj. #50'!L23+'Adj. #52'!L23</f>
        <v>-72416.020000000004</v>
      </c>
      <c r="L72" s="67">
        <f>+'Adj. #24'!M23+'Adj. #36'!M23+'Adj. #37'!M23+'Adj. #38'!M23+'Adj. #39'!M23+'Adj. #50'!M23+'Adj. #52'!M23</f>
        <v>0</v>
      </c>
      <c r="M72" s="67"/>
      <c r="N72" s="40">
        <f t="shared" si="34"/>
        <v>2540226.71</v>
      </c>
    </row>
    <row r="73" spans="1:14" s="7" customFormat="1" ht="12.75">
      <c r="A73" s="10" t="s">
        <v>70</v>
      </c>
      <c r="B73" s="6" t="s">
        <v>111</v>
      </c>
      <c r="D73" s="67">
        <v>0</v>
      </c>
      <c r="E73" s="67">
        <v>0</v>
      </c>
      <c r="F73" s="67">
        <v>0</v>
      </c>
      <c r="G73" s="67">
        <f t="shared" si="32"/>
        <v>0</v>
      </c>
      <c r="H73" s="67">
        <v>0</v>
      </c>
      <c r="I73" s="67">
        <v>0</v>
      </c>
      <c r="J73" s="67">
        <f t="shared" si="33"/>
        <v>0</v>
      </c>
      <c r="K73" s="67">
        <v>0</v>
      </c>
      <c r="L73" s="67">
        <v>0</v>
      </c>
      <c r="M73" s="67"/>
      <c r="N73" s="40">
        <f t="shared" si="34"/>
        <v>0</v>
      </c>
    </row>
    <row r="74" spans="1:14" s="7" customFormat="1" ht="12.75">
      <c r="A74" s="10" t="s">
        <v>47</v>
      </c>
      <c r="B74" s="6" t="s">
        <v>82</v>
      </c>
      <c r="D74" s="67">
        <f>+'Adj. #16'!E27+'Adj. #22'!E23+'Adj. #26'!E28+'Adj. #27'!E55+'Adj. #57'!E23</f>
        <v>-100076.92</v>
      </c>
      <c r="E74" s="67">
        <f>+'Adj. #16'!F27+'Adj. #22'!F23+'Adj. #26'!F28+'Adj. #27'!F55+'Adj. #57'!F23</f>
        <v>0</v>
      </c>
      <c r="F74" s="67">
        <f>+'Adj. #16'!G27+'Adj. #22'!G23+'Adj. #26'!G28+'Adj. #27'!G55+'Adj. #57'!G23</f>
        <v>0</v>
      </c>
      <c r="G74" s="67">
        <f t="shared" si="32"/>
        <v>-100076.92</v>
      </c>
      <c r="H74" s="67">
        <f>+'Adj. #16'!I27+'Adj. #22'!I23+'Adj. #26'!I28+'Adj. #27'!I55+'Adj. #57'!I23</f>
        <v>-286094.86000000004</v>
      </c>
      <c r="I74" s="67">
        <f>+'Adj. #16'!J27+'Adj. #22'!J23+'Adj. #26'!J28+'Adj. #27'!J55+'Adj. #57'!J23</f>
        <v>0</v>
      </c>
      <c r="J74" s="67">
        <f t="shared" si="33"/>
        <v>-286094.86000000004</v>
      </c>
      <c r="K74" s="67">
        <f>+'Adj. #16'!L27+'Adj. #22'!L23+'Adj. #26'!L28+'Adj. #27'!L55+'Adj. #57'!L23</f>
        <v>-76874.399999999994</v>
      </c>
      <c r="L74" s="67">
        <f>+'Adj. #16'!M27+'Adj. #22'!M23+'Adj. #26'!M28+'Adj. #27'!M55+'Adj. #57'!M23</f>
        <v>-21523.52</v>
      </c>
      <c r="M74" s="67"/>
      <c r="N74" s="40">
        <f t="shared" si="34"/>
        <v>-484569.70000000001</v>
      </c>
    </row>
    <row r="75" spans="1:14" s="7" customFormat="1" ht="12.75">
      <c r="A75" s="10" t="s">
        <v>54</v>
      </c>
      <c r="B75" s="6" t="s">
        <v>97</v>
      </c>
      <c r="D75" s="67">
        <f>+'Adj. #15'!E23+'Adj. #26'!E29+'Adj. #25'!E27</f>
        <v>-180497.33000000002</v>
      </c>
      <c r="E75" s="67">
        <f>+'Adj. #15'!F23+'Adj. #26'!F29+'Adj. #25'!F27</f>
        <v>0</v>
      </c>
      <c r="F75" s="67">
        <f>+'Adj. #15'!G23+'Adj. #26'!G29+'Adj. #25'!G27</f>
        <v>0</v>
      </c>
      <c r="G75" s="67">
        <f t="shared" si="32"/>
        <v>-180497.33000000002</v>
      </c>
      <c r="H75" s="67">
        <f>+'Adj. #15'!I23+'Adj. #26'!I29+'Adj. #25'!I27</f>
        <v>-239172.19999999998</v>
      </c>
      <c r="I75" s="67">
        <f>+'Adj. #15'!J23+'Adj. #26'!J29+'Adj. #25'!J27</f>
        <v>0</v>
      </c>
      <c r="J75" s="67">
        <f t="shared" si="33"/>
        <v>-239172.19999999998</v>
      </c>
      <c r="K75" s="67">
        <f>+'Adj. #15'!L23+'Adj. #26'!L29+'Adj. #25'!L27</f>
        <v>-65209.860000000001</v>
      </c>
      <c r="L75" s="67">
        <f>+'Adj. #15'!M23+'Adj. #26'!M29+'Adj. #25'!M27</f>
        <v>-2624.1200000000013</v>
      </c>
      <c r="M75" s="67"/>
      <c r="N75" s="40">
        <f t="shared" si="34"/>
        <v>-487503.51000000001</v>
      </c>
    </row>
    <row r="76" spans="1:14" s="7" customFormat="1" ht="12.75">
      <c r="A76" s="10" t="s">
        <v>121</v>
      </c>
      <c r="B76" s="6" t="s">
        <v>112</v>
      </c>
      <c r="D76" s="67">
        <f>+'Adj. #27'!E56</f>
        <v>0</v>
      </c>
      <c r="E76" s="67">
        <f>+'Adj. #27'!F56</f>
        <v>0</v>
      </c>
      <c r="F76" s="67">
        <f>+'Adj. #27'!G56</f>
        <v>0</v>
      </c>
      <c r="G76" s="67">
        <f t="shared" si="32"/>
        <v>0</v>
      </c>
      <c r="H76" s="67">
        <f>+'Adj. #27'!I56</f>
        <v>376.91000000000002</v>
      </c>
      <c r="I76" s="67">
        <f>+'Adj. #27'!J56</f>
        <v>0</v>
      </c>
      <c r="J76" s="67">
        <f t="shared" si="33"/>
        <v>376.91000000000002</v>
      </c>
      <c r="K76" s="67">
        <f>+'Adj. #27'!L56</f>
        <v>0</v>
      </c>
      <c r="L76" s="67">
        <f>+'Adj. #27'!M56</f>
        <v>0</v>
      </c>
      <c r="M76" s="67"/>
      <c r="N76" s="40">
        <f t="shared" si="34"/>
        <v>376.91000000000002</v>
      </c>
    </row>
    <row r="77" spans="1:14" s="7" customFormat="1" ht="12.75">
      <c r="A77" s="10" t="s">
        <v>58</v>
      </c>
      <c r="B77" s="6" t="s">
        <v>112</v>
      </c>
      <c r="D77" s="67">
        <f>+'Adj. #27'!E57</f>
        <v>27253.150000000001</v>
      </c>
      <c r="E77" s="67">
        <f>+'Adj. #27'!F57</f>
        <v>0</v>
      </c>
      <c r="F77" s="67">
        <f>+'Adj. #27'!G57</f>
        <v>0</v>
      </c>
      <c r="G77" s="67">
        <f t="shared" si="32"/>
        <v>27253.150000000001</v>
      </c>
      <c r="H77" s="67">
        <f>+'Adj. #27'!I57</f>
        <v>45450.120000000003</v>
      </c>
      <c r="I77" s="67">
        <f>+'Adj. #27'!J57</f>
        <v>0</v>
      </c>
      <c r="J77" s="67">
        <f t="shared" si="33"/>
        <v>45450.120000000003</v>
      </c>
      <c r="K77" s="67">
        <f>+'Adj. #27'!L57</f>
        <v>447.48000000000002</v>
      </c>
      <c r="L77" s="67">
        <f>+'Adj. #27'!M57</f>
        <v>0</v>
      </c>
      <c r="M77" s="67"/>
      <c r="N77" s="40">
        <f t="shared" si="34"/>
        <v>73150.75</v>
      </c>
    </row>
    <row r="78" spans="1:14" s="7" customFormat="1" ht="13.5" thickBot="1">
      <c r="A78" s="10"/>
      <c r="B78" s="6"/>
      <c r="D78" s="38">
        <f>SUM(D65:D77)</f>
        <v>1020503.9278869421</v>
      </c>
      <c r="E78" s="38">
        <f t="shared" si="35" ref="E78:N78">SUM(E65:E77)</f>
        <v>1551633.98</v>
      </c>
      <c r="F78" s="38">
        <f t="shared" si="35"/>
        <v>0</v>
      </c>
      <c r="G78" s="38">
        <f t="shared" si="35"/>
        <v>2572137.9078869428</v>
      </c>
      <c r="H78" s="38">
        <f t="shared" si="35"/>
        <v>90905317.718655959</v>
      </c>
      <c r="I78" s="38">
        <f t="shared" si="35"/>
        <v>143948.36000000002</v>
      </c>
      <c r="J78" s="38">
        <f t="shared" si="35"/>
        <v>91049266.078655958</v>
      </c>
      <c r="K78" s="38">
        <f t="shared" si="35"/>
        <v>-7132838.4498908604</v>
      </c>
      <c r="L78" s="38">
        <f t="shared" si="35"/>
        <v>89931.327347945204</v>
      </c>
      <c r="M78" s="39"/>
      <c r="N78" s="38">
        <f t="shared" si="35"/>
        <v>86578496.863999978</v>
      </c>
    </row>
    <row r="79" spans="4:14" s="7" customFormat="1" ht="13.5" thickTop="1">
      <c r="D79" s="35"/>
      <c r="E79" s="35"/>
      <c r="F79" s="35"/>
      <c r="G79" s="35"/>
      <c r="H79" s="35"/>
      <c r="I79" s="35"/>
      <c r="J79" s="35"/>
      <c r="K79" s="35"/>
      <c r="L79" s="35"/>
      <c r="M79" s="36"/>
      <c r="N79" s="37"/>
    </row>
    <row r="80" spans="4:14" ht="12.75">
      <c r="D80" s="18"/>
      <c r="E80" s="48"/>
      <c r="F80" s="48"/>
      <c r="G80" s="48"/>
      <c r="H80" s="18"/>
      <c r="I80" s="48"/>
      <c r="J80" s="48"/>
      <c r="K80" s="18"/>
      <c r="L80" s="18"/>
      <c r="M80" s="18"/>
      <c r="N80" s="22"/>
    </row>
    <row r="81" spans="4:14" ht="12.75">
      <c r="D81" s="18"/>
      <c r="E81" s="48"/>
      <c r="F81" s="48"/>
      <c r="G81" s="48"/>
      <c r="H81" s="18"/>
      <c r="I81" s="48"/>
      <c r="J81" s="48"/>
      <c r="K81" s="18"/>
      <c r="L81" s="18"/>
      <c r="M81" s="18"/>
      <c r="N81" s="22"/>
    </row>
    <row r="82" spans="4:14" ht="13.5" thickBot="1">
      <c r="D82" s="38">
        <f>+D11+D19+D31+D42+D49+D56+D63+D78</f>
        <v>9794178.7478869408</v>
      </c>
      <c r="E82" s="38">
        <f t="shared" si="36" ref="E82:N82">+E11+E19+E31+E42+E49+E56+E63+E78</f>
        <v>2014638.72</v>
      </c>
      <c r="F82" s="38">
        <f t="shared" si="36"/>
        <v>0</v>
      </c>
      <c r="G82" s="38">
        <f t="shared" si="36"/>
        <v>11808817.467886942</v>
      </c>
      <c r="H82" s="38">
        <f t="shared" si="36"/>
        <v>273439619.51865596</v>
      </c>
      <c r="I82" s="38">
        <f t="shared" si="36"/>
        <v>143948.36000000002</v>
      </c>
      <c r="J82" s="38">
        <f t="shared" si="36"/>
        <v>273583567.87865597</v>
      </c>
      <c r="K82" s="38">
        <f t="shared" si="36"/>
        <v>-7135888.3698908603</v>
      </c>
      <c r="L82" s="38">
        <f t="shared" si="36"/>
        <v>-44171845.622652061</v>
      </c>
      <c r="M82" s="39"/>
      <c r="N82" s="38">
        <f t="shared" si="36"/>
        <v>234084651.35399997</v>
      </c>
    </row>
    <row r="83" ht="13.5" thickTop="1"/>
    <row r="84" spans="5:5" ht="12.75">
      <c r="E84" s="7"/>
    </row>
    <row r="85" spans="2:16" ht="12.75">
      <c r="B85" s="25" t="s">
        <v>122</v>
      </c>
      <c r="D85" s="23">
        <f>+'Adj. #1'!D25</f>
        <v>135316013.84999999</v>
      </c>
      <c r="E85" s="81" t="s">
        <v>188</v>
      </c>
      <c r="F85" s="23"/>
      <c r="G85" s="23"/>
      <c r="H85" s="34" t="str">
        <f>MID(Template!$B$6,22,45)</f>
        <v/>
      </c>
      <c r="I85" s="34"/>
      <c r="J85" s="34"/>
      <c r="O85" s="42" t="b">
        <f>ROUND(+N82,2)=ROUND(D156,2)</f>
        <v>1</v>
      </c>
      <c r="P85" s="44">
        <f>ROUND(+N82,2)-ROUND(D156,2)</f>
        <v>0</v>
      </c>
    </row>
    <row r="86" spans="2:10" ht="12.75">
      <c r="B86" s="25" t="s">
        <v>123</v>
      </c>
      <c r="D86" s="24">
        <f>+'Adj. #2'!M14</f>
        <v>-46329308.93</v>
      </c>
      <c r="E86" s="81" t="s">
        <v>185</v>
      </c>
      <c r="F86" s="24"/>
      <c r="G86" s="24"/>
      <c r="H86" s="34"/>
      <c r="I86" s="34"/>
      <c r="J86" s="34"/>
    </row>
    <row r="87" spans="2:10" ht="12.75">
      <c r="B87" s="25" t="s">
        <v>124</v>
      </c>
      <c r="D87" s="24">
        <f>+'Adj. #3'!D23</f>
        <v>-20086519.120000001</v>
      </c>
      <c r="E87" s="81" t="s">
        <v>191</v>
      </c>
      <c r="F87" s="24"/>
      <c r="G87" s="24"/>
      <c r="H87" s="33"/>
      <c r="I87" s="33"/>
      <c r="J87" s="33"/>
    </row>
    <row r="88" spans="2:10" ht="12.75">
      <c r="B88" s="25" t="s">
        <v>125</v>
      </c>
      <c r="D88" s="24">
        <f>+'Adj. #4'!D23</f>
        <v>-21056212.600000001</v>
      </c>
      <c r="E88" s="81" t="s">
        <v>192</v>
      </c>
      <c r="F88" s="24"/>
      <c r="G88" s="24"/>
      <c r="H88" s="33"/>
      <c r="I88" s="33"/>
      <c r="J88" s="33"/>
    </row>
    <row r="89" spans="2:10" ht="12.75">
      <c r="B89" s="25" t="s">
        <v>126</v>
      </c>
      <c r="D89" s="24">
        <f>+'Adj. #5'!D23</f>
        <v>920332.17000000004</v>
      </c>
      <c r="E89" s="81" t="s">
        <v>329</v>
      </c>
      <c r="F89" s="24"/>
      <c r="G89" s="24"/>
      <c r="H89" s="33"/>
      <c r="I89" s="33"/>
      <c r="J89" s="33"/>
    </row>
    <row r="90" spans="2:10" ht="12.75">
      <c r="B90" s="25" t="s">
        <v>127</v>
      </c>
      <c r="D90" s="24">
        <f>+'Adj. #6'!D23</f>
        <v>444308.09000000003</v>
      </c>
      <c r="E90" s="81" t="s">
        <v>199</v>
      </c>
      <c r="F90" s="24"/>
      <c r="G90" s="24"/>
      <c r="H90" s="33"/>
      <c r="I90" s="33"/>
      <c r="J90" s="33"/>
    </row>
    <row r="91" spans="2:10" ht="12.75">
      <c r="B91" s="25" t="s">
        <v>128</v>
      </c>
      <c r="C91" s="73"/>
      <c r="D91" s="24">
        <f>+'Adj. #7'!D23</f>
        <v>400000</v>
      </c>
      <c r="E91" s="81" t="s">
        <v>295</v>
      </c>
      <c r="F91" s="74"/>
      <c r="G91" s="74"/>
      <c r="H91" s="33"/>
      <c r="I91" s="33"/>
      <c r="J91" s="33"/>
    </row>
    <row r="92" spans="2:10" ht="12.75">
      <c r="B92" s="25" t="s">
        <v>129</v>
      </c>
      <c r="D92" s="24">
        <f>+'Adj. #8'!D23</f>
        <v>319759.46000000002</v>
      </c>
      <c r="E92" s="81" t="s">
        <v>200</v>
      </c>
      <c r="F92" s="24"/>
      <c r="G92" s="24"/>
      <c r="H92" s="33"/>
      <c r="I92" s="33"/>
      <c r="J92" s="33"/>
    </row>
    <row r="93" spans="2:10" ht="12.75">
      <c r="B93" s="25" t="s">
        <v>130</v>
      </c>
      <c r="D93" s="24">
        <f>+'Adj. #9'!D23</f>
        <v>276366.89000000001</v>
      </c>
      <c r="E93" s="81" t="s">
        <v>297</v>
      </c>
      <c r="F93" s="24"/>
      <c r="G93" s="24"/>
      <c r="H93" s="33"/>
      <c r="I93" s="33"/>
      <c r="J93" s="33"/>
    </row>
    <row r="94" spans="2:10" ht="12.75">
      <c r="B94" s="25" t="s">
        <v>131</v>
      </c>
      <c r="D94" s="24">
        <f>+'Adj. #10'!D23</f>
        <v>84839.130000000005</v>
      </c>
      <c r="E94" s="81" t="s">
        <v>299</v>
      </c>
      <c r="F94" s="24"/>
      <c r="G94" s="24"/>
      <c r="H94" s="33"/>
      <c r="I94" s="33"/>
      <c r="J94" s="33"/>
    </row>
    <row r="95" spans="2:10" ht="12.75">
      <c r="B95" s="25" t="s">
        <v>132</v>
      </c>
      <c r="D95" s="24">
        <f>+'Adj. #11'!D23</f>
        <v>19759.330000000002</v>
      </c>
      <c r="E95" s="81" t="s">
        <v>301</v>
      </c>
      <c r="F95" s="24"/>
      <c r="G95" s="24"/>
      <c r="H95" s="33"/>
      <c r="I95" s="33"/>
      <c r="J95" s="33"/>
    </row>
    <row r="96" spans="2:10" ht="12.75">
      <c r="B96" s="25" t="s">
        <v>133</v>
      </c>
      <c r="D96" s="24">
        <f>+'Adj. #12'!D23</f>
        <v>-860393.12</v>
      </c>
      <c r="E96" s="81" t="s">
        <v>303</v>
      </c>
      <c r="F96" s="24"/>
      <c r="G96" s="24"/>
      <c r="H96" s="33"/>
      <c r="I96" s="33"/>
      <c r="J96" s="33"/>
    </row>
    <row r="97" spans="2:10" ht="12.75">
      <c r="B97" s="25" t="s">
        <v>134</v>
      </c>
      <c r="D97" s="24">
        <f>+'Adj. #13'!D23</f>
        <v>-739232.17000000004</v>
      </c>
      <c r="E97" s="81" t="s">
        <v>204</v>
      </c>
      <c r="F97" s="24"/>
      <c r="G97" s="24"/>
      <c r="H97" s="33"/>
      <c r="I97" s="33"/>
      <c r="J97" s="33"/>
    </row>
    <row r="98" spans="2:10" ht="12.75">
      <c r="B98" s="25" t="s">
        <v>135</v>
      </c>
      <c r="D98" s="24">
        <f>+'Adj. #14'!D23</f>
        <v>-410085.78999999998</v>
      </c>
      <c r="E98" s="81" t="s">
        <v>305</v>
      </c>
      <c r="F98" s="24"/>
      <c r="G98" s="24"/>
      <c r="H98" s="33"/>
      <c r="I98" s="33"/>
      <c r="J98" s="33"/>
    </row>
    <row r="99" spans="2:10" ht="12.75">
      <c r="B99" s="25" t="s">
        <v>136</v>
      </c>
      <c r="D99" s="24">
        <f>+'Adj. #15'!D23</f>
        <v>-362453</v>
      </c>
      <c r="E99" s="81" t="s">
        <v>206</v>
      </c>
      <c r="F99" s="24"/>
      <c r="G99" s="24"/>
      <c r="H99" s="33"/>
      <c r="I99" s="33"/>
      <c r="J99" s="33"/>
    </row>
    <row r="100" spans="2:10" ht="12.75">
      <c r="B100" s="25" t="s">
        <v>137</v>
      </c>
      <c r="D100" s="24">
        <f>+'Adj. #16'!D29</f>
        <v>-205837.82000000001</v>
      </c>
      <c r="E100" s="81" t="s">
        <v>209</v>
      </c>
      <c r="F100" s="24"/>
      <c r="G100" s="24"/>
      <c r="H100" s="33"/>
      <c r="I100" s="33"/>
      <c r="J100" s="33"/>
    </row>
    <row r="101" spans="2:10" ht="12.75">
      <c r="B101" s="25" t="s">
        <v>138</v>
      </c>
      <c r="D101" s="24">
        <f>+'Adj. #17'!D26</f>
        <v>-139418.09</v>
      </c>
      <c r="E101" s="81" t="s">
        <v>307</v>
      </c>
      <c r="F101" s="24"/>
      <c r="G101" s="24"/>
      <c r="H101" s="33"/>
      <c r="I101" s="33"/>
      <c r="J101" s="33"/>
    </row>
    <row r="102" spans="2:10" ht="12.75">
      <c r="B102" s="25" t="s">
        <v>139</v>
      </c>
      <c r="D102" s="24">
        <f>+'Adj. #18'!D23</f>
        <v>48150.160000000003</v>
      </c>
      <c r="E102" s="81" t="s">
        <v>211</v>
      </c>
      <c r="F102" s="24"/>
      <c r="G102" s="24"/>
      <c r="H102" s="33"/>
      <c r="I102" s="33"/>
      <c r="J102" s="33"/>
    </row>
    <row r="103" spans="2:10" ht="12.75">
      <c r="B103" s="25" t="s">
        <v>140</v>
      </c>
      <c r="D103" s="24">
        <f>+'Adj. #19'!D25</f>
        <v>-88666.669999999998</v>
      </c>
      <c r="E103" s="81" t="s">
        <v>212</v>
      </c>
      <c r="F103" s="24"/>
      <c r="G103" s="24"/>
      <c r="H103" s="33"/>
      <c r="I103" s="33"/>
      <c r="J103" s="33"/>
    </row>
    <row r="104" spans="2:10" ht="12.75">
      <c r="B104" s="25" t="s">
        <v>141</v>
      </c>
      <c r="D104" s="24">
        <f>+'Adj. #20'!D23</f>
        <v>-4250</v>
      </c>
      <c r="E104" s="81" t="s">
        <v>214</v>
      </c>
      <c r="F104" s="24"/>
      <c r="G104" s="24"/>
      <c r="H104" s="33"/>
      <c r="I104" s="33"/>
      <c r="J104" s="33"/>
    </row>
    <row r="105" spans="2:10" ht="12.75">
      <c r="B105" s="25" t="s">
        <v>142</v>
      </c>
      <c r="D105" s="24">
        <f>+'Adj. #21'!D26</f>
        <v>-25360.360000000001</v>
      </c>
      <c r="E105" s="81" t="s">
        <v>309</v>
      </c>
      <c r="F105" s="24"/>
      <c r="G105" s="24"/>
      <c r="H105" s="33"/>
      <c r="I105" s="33"/>
      <c r="J105" s="33"/>
    </row>
    <row r="106" spans="2:10" ht="12.75">
      <c r="B106" s="25" t="s">
        <v>143</v>
      </c>
      <c r="D106" s="24">
        <f>+'Adj. #22'!D23</f>
        <v>-8010.5</v>
      </c>
      <c r="E106" s="81" t="s">
        <v>217</v>
      </c>
      <c r="F106" s="28"/>
      <c r="G106" s="28"/>
      <c r="H106" s="76"/>
      <c r="I106" s="33"/>
      <c r="J106" s="33"/>
    </row>
    <row r="107" spans="2:10" ht="12.75">
      <c r="B107" s="25" t="s">
        <v>145</v>
      </c>
      <c r="D107" s="24">
        <f>+'Adj. #23'!D27</f>
        <v>16035964</v>
      </c>
      <c r="E107" s="81" t="s">
        <v>219</v>
      </c>
      <c r="F107" s="28"/>
      <c r="G107" s="28"/>
      <c r="H107" s="76"/>
      <c r="I107" s="33"/>
      <c r="J107" s="33"/>
    </row>
    <row r="108" spans="2:10" ht="12.75">
      <c r="B108" s="25" t="s">
        <v>146</v>
      </c>
      <c r="D108" s="28">
        <f>+'Adj. #24'!D23</f>
        <v>1646625.6899999999</v>
      </c>
      <c r="E108" s="81" t="s">
        <v>221</v>
      </c>
      <c r="F108" s="28"/>
      <c r="G108" s="28"/>
      <c r="H108" s="76"/>
      <c r="I108" s="33"/>
      <c r="J108" s="33"/>
    </row>
    <row r="109" spans="2:10" ht="12.75">
      <c r="B109" s="25" t="s">
        <v>147</v>
      </c>
      <c r="D109" s="28">
        <f>+'Adj. #25'!D29</f>
        <v>-88341.970000000001</v>
      </c>
      <c r="E109" s="81" t="s">
        <v>224</v>
      </c>
      <c r="F109" s="28"/>
      <c r="G109" s="28"/>
      <c r="H109" s="76"/>
      <c r="I109" s="33"/>
      <c r="J109" s="33"/>
    </row>
    <row r="110" spans="2:10" ht="12.75">
      <c r="B110" s="25" t="s">
        <v>148</v>
      </c>
      <c r="D110" s="28">
        <f>+'Adj. #26'!D31</f>
        <v>-1608393.3500000001</v>
      </c>
      <c r="E110" s="81" t="s">
        <v>311</v>
      </c>
      <c r="F110" s="28"/>
      <c r="G110" s="28"/>
      <c r="H110" s="76"/>
      <c r="I110" s="33"/>
      <c r="J110" s="33"/>
    </row>
    <row r="111" spans="2:10" ht="12.75">
      <c r="B111" s="25" t="s">
        <v>149</v>
      </c>
      <c r="D111" s="28">
        <f>+'Adj. #27'!D59</f>
        <v>5799999.9999999991</v>
      </c>
      <c r="E111" s="81" t="s">
        <v>226</v>
      </c>
      <c r="F111" s="28"/>
      <c r="G111" s="28"/>
      <c r="H111" s="76"/>
      <c r="I111" s="33"/>
      <c r="J111" s="33"/>
    </row>
    <row r="112" spans="2:10" ht="12.75">
      <c r="B112" s="25" t="s">
        <v>150</v>
      </c>
      <c r="D112" s="28">
        <f>+'Adj. #28'!D27</f>
        <v>2583392.2599999998</v>
      </c>
      <c r="E112" s="81" t="s">
        <v>228</v>
      </c>
      <c r="F112" s="28"/>
      <c r="G112" s="28"/>
      <c r="H112" s="76"/>
      <c r="I112" s="33"/>
      <c r="J112" s="33"/>
    </row>
    <row r="113" spans="2:10" ht="12.75">
      <c r="B113" s="25" t="s">
        <v>151</v>
      </c>
      <c r="D113" s="28">
        <f>+'Adj. #29'!D26</f>
        <v>2842184.4700000002</v>
      </c>
      <c r="E113" s="81" t="s">
        <v>313</v>
      </c>
      <c r="F113" s="28"/>
      <c r="G113" s="28"/>
      <c r="H113" s="76"/>
      <c r="I113" s="33"/>
      <c r="J113" s="33"/>
    </row>
    <row r="114" spans="2:10" ht="12.75">
      <c r="B114" s="25" t="s">
        <v>152</v>
      </c>
      <c r="D114" s="28">
        <f>+'Adj. #30'!D25</f>
        <v>-677523</v>
      </c>
      <c r="E114" s="81" t="s">
        <v>231</v>
      </c>
      <c r="F114" s="28"/>
      <c r="G114" s="28"/>
      <c r="H114" s="76"/>
      <c r="I114" s="33"/>
      <c r="J114" s="33"/>
    </row>
    <row r="115" spans="2:10" ht="12.75">
      <c r="B115" s="25" t="s">
        <v>153</v>
      </c>
      <c r="D115" s="28">
        <f>+'Adj. #31'!D25</f>
        <v>-1111206.53</v>
      </c>
      <c r="E115" s="81" t="s">
        <v>233</v>
      </c>
      <c r="F115" s="28"/>
      <c r="G115" s="28"/>
      <c r="H115" s="76"/>
      <c r="I115" s="33"/>
      <c r="J115" s="33"/>
    </row>
    <row r="116" spans="2:10" ht="12.75">
      <c r="B116" s="25" t="s">
        <v>154</v>
      </c>
      <c r="D116" s="28">
        <f>+'Adj. #32'!D25</f>
        <v>449449.64000000001</v>
      </c>
      <c r="E116" s="96" t="s">
        <v>275</v>
      </c>
      <c r="F116" s="28"/>
      <c r="G116" s="28"/>
      <c r="H116" s="76"/>
      <c r="I116" s="33"/>
      <c r="J116" s="33"/>
    </row>
    <row r="117" spans="2:10" ht="12.75">
      <c r="B117" s="25" t="s">
        <v>155</v>
      </c>
      <c r="D117" s="28">
        <f>+'Adj. #33'!D25</f>
        <v>15053413.869999999</v>
      </c>
      <c r="E117" s="81" t="s">
        <v>235</v>
      </c>
      <c r="F117" s="28"/>
      <c r="G117" s="28"/>
      <c r="H117" s="76"/>
      <c r="I117" s="33"/>
      <c r="J117" s="33"/>
    </row>
    <row r="118" spans="2:10" ht="12.75">
      <c r="B118" s="25" t="s">
        <v>156</v>
      </c>
      <c r="D118" s="28">
        <f>+'Adj. #34'!D25</f>
        <v>-474636.27000000002</v>
      </c>
      <c r="E118" s="81" t="s">
        <v>236</v>
      </c>
      <c r="F118" s="28"/>
      <c r="G118" s="28"/>
      <c r="H118" s="76"/>
      <c r="I118" s="33"/>
      <c r="J118" s="33"/>
    </row>
    <row r="119" spans="2:10" ht="12.75">
      <c r="B119" s="25" t="s">
        <v>159</v>
      </c>
      <c r="D119" s="28">
        <f>+'Adj. #35'!D25</f>
        <v>-53535.25</v>
      </c>
      <c r="E119" s="94" t="s">
        <v>237</v>
      </c>
      <c r="F119" s="68"/>
      <c r="G119" s="68"/>
      <c r="H119" s="76"/>
      <c r="I119" s="33"/>
      <c r="J119" s="33"/>
    </row>
    <row r="120" spans="2:10" ht="12.75">
      <c r="B120" s="25" t="s">
        <v>160</v>
      </c>
      <c r="D120" s="28">
        <f>+'Adj. #36'!D25</f>
        <v>-72416.020000000004</v>
      </c>
      <c r="E120" s="94" t="s">
        <v>238</v>
      </c>
      <c r="F120" s="68"/>
      <c r="G120" s="68"/>
      <c r="H120" s="76"/>
      <c r="I120" s="33"/>
      <c r="J120" s="33"/>
    </row>
    <row r="121" spans="2:10" ht="12.75">
      <c r="B121" s="25" t="s">
        <v>161</v>
      </c>
      <c r="D121" s="28">
        <f>+'Adj. #37'!D25</f>
        <v>353793.96000000002</v>
      </c>
      <c r="E121" s="94" t="s">
        <v>239</v>
      </c>
      <c r="F121" s="68"/>
      <c r="G121" s="68"/>
      <c r="H121" s="76"/>
      <c r="I121" s="33"/>
      <c r="J121" s="33"/>
    </row>
    <row r="122" spans="2:10" ht="12.75">
      <c r="B122" s="25" t="s">
        <v>162</v>
      </c>
      <c r="D122" s="28">
        <f>+'Adj. #38'!D25</f>
        <v>16328.9</v>
      </c>
      <c r="E122" s="94" t="s">
        <v>240</v>
      </c>
      <c r="F122" s="68"/>
      <c r="G122" s="68"/>
      <c r="H122" s="76"/>
      <c r="I122" s="33"/>
      <c r="J122" s="33"/>
    </row>
    <row r="123" spans="2:10" ht="12.75">
      <c r="B123" s="25" t="s">
        <v>163</v>
      </c>
      <c r="D123" s="28">
        <f>+'Adj. #39'!D25</f>
        <v>473660.65999999997</v>
      </c>
      <c r="E123" s="94" t="s">
        <v>241</v>
      </c>
      <c r="F123" s="68"/>
      <c r="G123" s="68"/>
      <c r="H123" s="76"/>
      <c r="I123" s="33"/>
      <c r="J123" s="33"/>
    </row>
    <row r="124" spans="2:10" ht="12.75">
      <c r="B124" s="25" t="s">
        <v>164</v>
      </c>
      <c r="D124" s="28">
        <f>+'Adj. #40'!D25</f>
        <v>5217.6000000000004</v>
      </c>
      <c r="E124" s="94" t="s">
        <v>319</v>
      </c>
      <c r="F124" s="68"/>
      <c r="G124" s="68"/>
      <c r="H124" s="76"/>
      <c r="I124" s="33"/>
      <c r="J124" s="33"/>
    </row>
    <row r="125" spans="2:10" ht="12.75">
      <c r="B125" s="25" t="s">
        <v>165</v>
      </c>
      <c r="D125" s="28">
        <f>+'Adj. #41'!D25</f>
        <v>1502680.04</v>
      </c>
      <c r="E125" s="94" t="s">
        <v>320</v>
      </c>
      <c r="F125" s="43"/>
      <c r="G125" s="43"/>
      <c r="H125" s="33"/>
      <c r="I125" s="33"/>
      <c r="J125" s="33"/>
    </row>
    <row r="126" spans="2:14" s="45" customFormat="1" ht="12.75">
      <c r="B126" s="25" t="s">
        <v>166</v>
      </c>
      <c r="D126" s="28">
        <f>+'Adj. #42'!D25</f>
        <v>6923725.2599999998</v>
      </c>
      <c r="E126" s="94" t="s">
        <v>321</v>
      </c>
      <c r="F126" s="43"/>
      <c r="G126" s="43"/>
      <c r="H126" s="33"/>
      <c r="I126" s="33"/>
      <c r="J126" s="33"/>
      <c r="N126" s="24"/>
    </row>
    <row r="127" spans="2:14" s="45" customFormat="1" ht="12.75">
      <c r="B127" s="25" t="s">
        <v>167</v>
      </c>
      <c r="C127" s="73"/>
      <c r="D127" s="28">
        <f>+'Adj. #43'!D25</f>
        <v>1403793.4399999999</v>
      </c>
      <c r="E127" s="94" t="s">
        <v>323</v>
      </c>
      <c r="F127" s="75"/>
      <c r="G127" s="43"/>
      <c r="H127" s="33"/>
      <c r="I127" s="33"/>
      <c r="J127" s="33"/>
      <c r="N127" s="24"/>
    </row>
    <row r="128" spans="2:14" s="45" customFormat="1" ht="12.75">
      <c r="B128" s="25" t="s">
        <v>177</v>
      </c>
      <c r="C128" s="73"/>
      <c r="D128" s="28">
        <f>+'Adj. #44'!D25</f>
        <v>2015345.4500000023</v>
      </c>
      <c r="E128" s="94" t="s">
        <v>263</v>
      </c>
      <c r="F128" s="75"/>
      <c r="G128" s="43"/>
      <c r="N128" s="24"/>
    </row>
    <row r="129" spans="2:14" s="45" customFormat="1" ht="12.75">
      <c r="B129" s="25" t="s">
        <v>178</v>
      </c>
      <c r="D129" s="28">
        <f>+'Adj. #45'!D25</f>
        <v>73051691.393999994</v>
      </c>
      <c r="E129" s="94" t="s">
        <v>264</v>
      </c>
      <c r="F129" s="43"/>
      <c r="G129" s="43"/>
      <c r="N129" s="24"/>
    </row>
    <row r="130" spans="2:5" ht="12.75">
      <c r="B130" s="25" t="s">
        <v>179</v>
      </c>
      <c r="D130" s="28">
        <f>+'Adj. #46'!D25</f>
        <v>3907373.0499999998</v>
      </c>
      <c r="E130" s="94" t="s">
        <v>265</v>
      </c>
    </row>
    <row r="131" spans="2:9" ht="12.75">
      <c r="B131" s="25" t="s">
        <v>180</v>
      </c>
      <c r="D131" s="28">
        <f>+'Adj. #47'!D25</f>
        <v>-3488031.2400000002</v>
      </c>
      <c r="E131" s="94" t="s">
        <v>267</v>
      </c>
      <c r="F131" s="72"/>
      <c r="G131" s="72"/>
      <c r="H131" s="7"/>
      <c r="I131" s="7"/>
    </row>
    <row r="132" spans="2:5" ht="12.75">
      <c r="B132" s="25" t="s">
        <v>181</v>
      </c>
      <c r="D132" s="28">
        <f>+'Adj. #48'!D25</f>
        <v>-484367.09000000003</v>
      </c>
      <c r="E132" s="94" t="s">
        <v>269</v>
      </c>
    </row>
    <row r="133" spans="2:5" ht="12.75">
      <c r="B133" s="25" t="s">
        <v>182</v>
      </c>
      <c r="D133" s="28">
        <f>+'Adj. #49'!D25</f>
        <v>-7857828.7400000002</v>
      </c>
      <c r="E133" s="94" t="s">
        <v>271</v>
      </c>
    </row>
    <row r="134" spans="2:5" ht="12.75">
      <c r="B134" s="25" t="s">
        <v>183</v>
      </c>
      <c r="D134" s="28">
        <f>+'Adj. #50'!D25</f>
        <v>125472.60000000001</v>
      </c>
      <c r="E134" s="94" t="s">
        <v>325</v>
      </c>
    </row>
    <row r="135" spans="2:14" s="45" customFormat="1" ht="12.75">
      <c r="B135" s="25" t="s">
        <v>242</v>
      </c>
      <c r="D135" s="28">
        <f>+'Adj. #51'!D25</f>
        <v>75000</v>
      </c>
      <c r="E135" s="94" t="s">
        <v>358</v>
      </c>
      <c r="N135" s="24"/>
    </row>
    <row r="136" spans="2:14" s="45" customFormat="1" ht="12.75">
      <c r="B136" s="25" t="s">
        <v>243</v>
      </c>
      <c r="D136" s="28">
        <f>+'Adj. #52'!D25</f>
        <v>-3239.0799999999999</v>
      </c>
      <c r="E136" s="94" t="s">
        <v>315</v>
      </c>
      <c r="N136" s="24"/>
    </row>
    <row r="137" spans="2:14" s="45" customFormat="1" ht="12.75">
      <c r="B137" s="25" t="s">
        <v>244</v>
      </c>
      <c r="D137" s="28">
        <f>+'Adj. #53'!D25</f>
        <v>57581.629999999997</v>
      </c>
      <c r="E137" s="94" t="s">
        <v>273</v>
      </c>
      <c r="N137" s="24"/>
    </row>
    <row r="138" spans="2:14" s="45" customFormat="1" ht="12.75">
      <c r="B138" s="25" t="s">
        <v>245</v>
      </c>
      <c r="D138" s="28">
        <f>+'Adj. #54'!D34</f>
        <v>-250318.72</v>
      </c>
      <c r="E138" s="94" t="s">
        <v>276</v>
      </c>
      <c r="N138" s="24"/>
    </row>
    <row r="139" spans="2:14" s="45" customFormat="1" ht="12.75">
      <c r="B139" s="25" t="s">
        <v>246</v>
      </c>
      <c r="D139" s="24">
        <f>+'Adj. #55'!D25</f>
        <v>13295686.23</v>
      </c>
      <c r="E139" s="97" t="s">
        <v>278</v>
      </c>
      <c r="N139" s="24"/>
    </row>
    <row r="140" spans="2:14" s="45" customFormat="1" ht="12.75">
      <c r="B140" s="25" t="s">
        <v>247</v>
      </c>
      <c r="D140" s="24">
        <f>+'Adj. #56'!D25</f>
        <v>3100000</v>
      </c>
      <c r="E140" s="94" t="s">
        <v>280</v>
      </c>
      <c r="N140" s="24"/>
    </row>
    <row r="141" spans="2:14" s="45" customFormat="1" ht="12.75">
      <c r="B141" s="25" t="s">
        <v>248</v>
      </c>
      <c r="D141" s="24">
        <f>+'Adj. #57'!D25</f>
        <v>-5827</v>
      </c>
      <c r="E141" s="94" t="s">
        <v>282</v>
      </c>
      <c r="N141" s="24"/>
    </row>
    <row r="142" spans="2:14" s="45" customFormat="1" ht="12.75">
      <c r="B142" s="25" t="s">
        <v>249</v>
      </c>
      <c r="D142" s="24">
        <f>+'Adj. #58'!D25</f>
        <v>34164.940000000002</v>
      </c>
      <c r="E142" s="94" t="s">
        <v>284</v>
      </c>
      <c r="N142" s="24"/>
    </row>
    <row r="143" spans="2:14" s="45" customFormat="1" ht="12.75">
      <c r="B143" s="25" t="s">
        <v>250</v>
      </c>
      <c r="D143" s="24">
        <f>+'Adj. #59'!D25</f>
        <v>101989.62000000001</v>
      </c>
      <c r="E143" s="94" t="s">
        <v>317</v>
      </c>
      <c r="N143" s="24"/>
    </row>
    <row r="144" spans="2:14" s="45" customFormat="1" ht="12.75">
      <c r="B144" s="25" t="s">
        <v>251</v>
      </c>
      <c r="D144" s="24">
        <f>+'Adj. #60'!D25</f>
        <v>47200000</v>
      </c>
      <c r="E144" s="94" t="s">
        <v>286</v>
      </c>
      <c r="N144" s="24"/>
    </row>
    <row r="145" spans="2:14" s="45" customFormat="1" ht="12.75">
      <c r="B145" s="25" t="s">
        <v>252</v>
      </c>
      <c r="D145" s="24">
        <f>+'Adj. #61'!D25</f>
        <v>0</v>
      </c>
      <c r="E145" s="94" t="s">
        <v>288</v>
      </c>
      <c r="N145" s="24"/>
    </row>
    <row r="146" spans="2:14" s="45" customFormat="1" ht="12.75">
      <c r="B146" s="25" t="s">
        <v>253</v>
      </c>
      <c r="D146" s="24">
        <f>+'Adj. #62'!D25</f>
        <v>4692000</v>
      </c>
      <c r="E146" s="94" t="s">
        <v>326</v>
      </c>
      <c r="N146" s="24"/>
    </row>
    <row r="147" spans="2:14" s="45" customFormat="1" ht="12.75">
      <c r="B147" s="25" t="s">
        <v>254</v>
      </c>
      <c r="D147" s="24">
        <v>0</v>
      </c>
      <c r="E147" s="68"/>
      <c r="N147" s="24"/>
    </row>
    <row r="148" spans="2:14" s="45" customFormat="1" ht="12.75">
      <c r="B148" s="25" t="s">
        <v>255</v>
      </c>
      <c r="D148" s="24">
        <v>0</v>
      </c>
      <c r="E148" s="68"/>
      <c r="N148" s="24"/>
    </row>
    <row r="149" spans="2:14" s="45" customFormat="1" ht="12.75">
      <c r="B149" s="25" t="s">
        <v>256</v>
      </c>
      <c r="D149" s="24">
        <v>0</v>
      </c>
      <c r="E149" s="68"/>
      <c r="N149" s="24"/>
    </row>
    <row r="150" spans="2:14" s="45" customFormat="1" ht="12.75">
      <c r="B150" s="25" t="s">
        <v>257</v>
      </c>
      <c r="D150" s="24">
        <v>0</v>
      </c>
      <c r="E150" s="68"/>
      <c r="N150" s="24"/>
    </row>
    <row r="151" spans="2:14" s="45" customFormat="1" ht="12.75">
      <c r="B151" s="25" t="s">
        <v>258</v>
      </c>
      <c r="D151" s="24">
        <v>0</v>
      </c>
      <c r="E151" s="68"/>
      <c r="N151" s="24"/>
    </row>
    <row r="152" spans="2:14" s="45" customFormat="1" ht="12.75">
      <c r="B152" s="25" t="s">
        <v>259</v>
      </c>
      <c r="D152" s="24">
        <v>0</v>
      </c>
      <c r="E152" s="68"/>
      <c r="N152" s="24"/>
    </row>
    <row r="153" spans="2:14" s="45" customFormat="1" ht="12.75">
      <c r="B153" s="25" t="s">
        <v>260</v>
      </c>
      <c r="D153" s="24">
        <v>0</v>
      </c>
      <c r="E153" s="68"/>
      <c r="N153" s="24"/>
    </row>
    <row r="154" spans="2:14" s="45" customFormat="1" ht="12.75">
      <c r="B154" s="25" t="s">
        <v>261</v>
      </c>
      <c r="D154" s="24">
        <v>0</v>
      </c>
      <c r="E154" s="68"/>
      <c r="N154" s="24"/>
    </row>
    <row r="155" spans="5:5" ht="12.75">
      <c r="E155" s="68"/>
    </row>
    <row r="156" spans="4:4" ht="13.5" thickBot="1">
      <c r="D156" s="26">
        <f>SUM(D85:D155)</f>
        <v>234084651.35399994</v>
      </c>
    </row>
    <row r="157" spans="4:12" ht="13.5" thickTop="1">
      <c r="D157" s="31"/>
      <c r="E157" s="31"/>
      <c r="F157" s="31"/>
      <c r="G157" s="31"/>
      <c r="H157" s="31"/>
      <c r="I157" s="31"/>
      <c r="J157" s="31"/>
      <c r="K157" s="31"/>
      <c r="L157" s="31"/>
    </row>
  </sheetData>
  <hyperlinks>
    <hyperlink ref="E86" location="'Adj. #2'!B6" display="Remove EECRF Amounts"/>
    <hyperlink ref="E85" location="'Adj. #1'!B6" display="Wholesale Transmission Service Expense"/>
    <hyperlink ref="E87" location="'Adj. #3'!B5" display="Pension Expense - Increase/(Decrease)"/>
    <hyperlink ref="E88" location="'Adj. #4'!B5" display="OPEB Expense - Increase/(Decrease)"/>
    <hyperlink ref="E89" location="'Adj. #5'!B5" display="ASC 712 Expense - Increase/(Decrease)"/>
    <hyperlink ref="E90" location="'Adj. #6'!B5" display="Remove Reimbursement Credit for 2020 Repair"/>
    <hyperlink ref="E91" location="'Adj. #7'!B5" display="Remove PIPD True-Up Credit"/>
    <hyperlink ref="E92" location="'Adj. #8'!B5" display="2021 Vacation Accrual Carryover"/>
    <hyperlink ref="E93" location="'Adj. #9'!B5" display="Remove Credit for Deferra of 2021 SIR Claim (CLM21002)"/>
    <hyperlink ref="E94" location="'Adj. #10'!B5" display="Remove Credit for VM Charges (DSD20024)"/>
    <hyperlink ref="E96" location="'Adj. #12'!B5" display="Remove Write-Off Obsolete M&amp;S (Sharyland)"/>
    <hyperlink ref="E95" location="'Adj. #11'!B5" display="Remove Write-Off Streetlight Audit Accrual"/>
    <hyperlink ref="E97" location="'Adj. #13'!B5" display="Remove Aircraft (Rents/Leases - Net Jets)"/>
    <hyperlink ref="E98" location="'Adj. #14'!B5" display="Remove Misc AR Write-Off (Prepetition @ 50%)"/>
    <hyperlink ref="E99" location="'Adj. #15'!B5" display="Annualize Employee Parking Withholdings"/>
    <hyperlink ref="E100" location="'Adj. #16'!B5" display="Remove Social Club Dues"/>
    <hyperlink ref="E101" location="'Adj. #17'!B5" display="Remove Write-Off Old Hughes/Anixter Job Orders"/>
    <hyperlink ref="E102" location="'Adj. #18'!B5" display="Mobile Generator Maintenance Fees (HB2486 &amp; PURA 39.918)"/>
    <hyperlink ref="E103" location="'Adj. #19'!B5" display="Normalize Affiliate Audit Costs"/>
    <hyperlink ref="E104" location="'Adj. #20'!B5" display="Normalize Sempra Corporate Tax Services"/>
    <hyperlink ref="E105" location="'Adj. #21'!B5" display="Remove Write-Off of Cancelled Partner Projects"/>
    <hyperlink ref="E106" location="'Adj. #22'!B5" display="Remove SDTS Bond Reporting Fees"/>
    <hyperlink ref="E107" location="'Adj. #23'!B5" display="Merit Increase and Wages Annualized"/>
    <hyperlink ref="E108" location="'Adj. #24'!B5" display="Amortization of Rate Case Expenses"/>
    <hyperlink ref="E109" location="'Adj. #25'!A1" display="Remove Telecom O&amp;M Expense"/>
    <hyperlink ref="E110" location="'Adj. #26'!A1" display="Lease Facilities Adjustments"/>
    <hyperlink ref="E111" location="'Adj. #27'!A1" display="Normalize Employee Expenses"/>
    <hyperlink ref="E112" location="'Adj. #28'!B5" display="Incentive Compensation Adjustment"/>
    <hyperlink ref="E113" location="'Adj. #29'!B5" display="Prepaid Insurance Amortization Adjustment"/>
    <hyperlink ref="E114" location="'Adj. #30'!B5" display="Remove Non-Recurring Legal Expense"/>
    <hyperlink ref="E115" location="'Adj. #31'!B5" display="Annualize IT/Tech Expenses"/>
    <hyperlink ref="E117" location="'Adj. #33'!B5" display="WDSS Reg Asset Amortization"/>
    <hyperlink ref="E118" location="'Adj. #34'!B5" display="AMS Customer Education Reg Asset Amortization"/>
    <hyperlink ref="E119" location="'Adj. #35'!B5" display="Meter Reader Severance Reg Asset Amortization"/>
    <hyperlink ref="E120" location="'Adj. #36'!B5" display="AMS Rate Case Expenses Reg Asset Amortization"/>
    <hyperlink ref="E121" location="'Adj. #37'!B5" display="NTU Study Cost/Transition to Completion Reg Asset Amortization"/>
    <hyperlink ref="E122" location="'Adj. #38'!B5" display="Capital Structure Refund Reg Liability Amortization"/>
    <hyperlink ref="E123" location="'Adj. #39'!B5" display="Docket 48325 Tax Refund Amortization"/>
    <hyperlink ref="E124" location="'Adj. #40'!B5" display="HB 2483 Mobile Gen. Reg Asset Amortization"/>
    <hyperlink ref="E125" location="'Adj. #41'!B5" display="Power Line Safety Act PURA § 36066 Reg Asset Amortization"/>
    <hyperlink ref="E126" location="'Adj. #42'!B5" display="COVID19 Incremental Expense Reg Asset Amortization"/>
    <hyperlink ref="E127" location="'Adj. #43'!B5" display="Defaulted REPs 16 TAC § 25.107 Bad Debt Expense Reg Asset Amortization"/>
    <hyperlink ref="E128" location="'Adj. #44'!B5" display="Self-Insurance Reserve Reg Asset Amortization - Previously Reviewed"/>
    <hyperlink ref="E129" location="'Adj. #45'!B5" display="Self-Insurance Reserve Reg Asset Amortization - To Be Reviewed"/>
    <hyperlink ref="E130" location="'Adj. #46'!B5" display="Pension Reg Asset Amortization - Previously Reviewed"/>
    <hyperlink ref="E131" location="'Adj. #47'!B5" display="Pension Reg Asset Amortization - To Be Reviewed"/>
    <hyperlink ref="E132" location="'Adj. #48'!B5" display="OPEB Reg Asset Amortization - Previously Reviewed"/>
    <hyperlink ref="E133" location="'Adj. #49'!B5" display="OPEB Reg Asset Amortization - To Be Reviewed"/>
    <hyperlink ref="E134" location="'Adj. #50'!B5" display="Sharyland Residential Interim Rates (Approved in Docket Nos 45414 &amp; 47469) Reg Asset Amortization"/>
    <hyperlink ref="E136" location="'Adj. #52'!B5" display="Remove Non-Standard Metering Service (Docket No 41890)"/>
    <hyperlink ref="E137" location="'Adj. #53'!B5" display="Benefit Claims, Admin. Fees, and Other Benefits Adjustment"/>
    <hyperlink ref="E116" location="'Adj. #32'!B5" display=" HB 2483 Mobile Generator Capital Leases"/>
    <hyperlink ref="E135" location="'Adj. #51'!B5" display="Transition Costs Credit"/>
    <hyperlink ref="E138" location="'Adj. #54'!B5" display="Expense Report Adjustments"/>
    <hyperlink ref="E139" location="'Adj. #55'!B5" display="Wholesale Distribution Substation Service (Oncor NTU Dist to Oncor Dist)"/>
    <hyperlink ref="E140" location="'Adj. #56'!B5" display="PLSA Aerial Surveying Costs"/>
    <hyperlink ref="E141" location="'Adj. #57'!B5" display="Remove EEI Dues from O&amp;M"/>
    <hyperlink ref="E142" location="'Adj. #58'!B6" display="Power Engineers Inc. Adjustment"/>
    <hyperlink ref="E143" location="'Adj. #59'!B6" display="TRN Ops Agreement Billing to NTU Adjustment"/>
    <hyperlink ref="E144" location="'Adj. #60'!B6" display="Self Insurance Reserve Accrual"/>
    <hyperlink ref="E145" location="'Adj. #61'!B5" display="Incremental Self Insurance Reserve Accrual to Build Target Reserve"/>
    <hyperlink ref="E146" location="'Adj. #62'!B5" display="Vegetation Management Adjustment"/>
  </hyperlinks>
  <printOptions horizontalCentered="1"/>
  <pageMargins left="1" right="0.25" top="1.75" bottom="0.25" header="0.75" footer="0.5"/>
  <pageSetup orientation="portrait" scale="59" r:id="rId1"/>
  <headerFooter alignWithMargins="0">
    <oddHeader>&amp;C&amp;"Arial,Bold"
2022 RATE CASE
ONCOR ELECTRIC DELIVERY COMPANY LLC
SUMMARY OF O&amp;&amp;M ADJUSTMENTS
SPONSOR:  W. ALAN LEDBETTER&amp;R&amp;"Arial,Bold"WP/II-D ADJUSTMENT
PAGE &amp;P OF &amp;N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3">
    <tabColor rgb="FFFF0000"/>
  </sheetPr>
  <dimension ref="A1:O135"/>
  <sheetViews>
    <sheetView zoomScale="85" zoomScaleNormal="85" workbookViewId="0" topLeftCell="A1">
      <pane xSplit="2" ySplit="2" topLeftCell="C66" activePane="bottomRight" state="frozen"/>
      <selection pane="topLeft" activeCell="B2" sqref="B2:I3"/>
      <selection pane="bottomLeft" activeCell="B2" sqref="B2:I3"/>
      <selection pane="topRight" activeCell="B2" sqref="B2:I3"/>
      <selection pane="bottomRight" activeCell="F98" sqref="F98"/>
    </sheetView>
  </sheetViews>
  <sheetFormatPr defaultRowHeight="12.75"/>
  <cols>
    <col min="2" max="2" width="52.8571428571429" bestFit="1" customWidth="1"/>
    <col min="3" max="3" width="1.71428571428571" customWidth="1"/>
    <col min="4" max="4" width="13.7142857142857" bestFit="1" customWidth="1"/>
    <col min="5" max="7" width="13.7142857142857" style="45" customWidth="1"/>
    <col min="8" max="8" width="16.4285714285714" customWidth="1"/>
    <col min="9" max="10" width="16.4285714285714" style="45" customWidth="1"/>
    <col min="11" max="12" width="14.2857142857143" bestFit="1" customWidth="1"/>
    <col min="13" max="13" width="1.71428571428571" customWidth="1"/>
    <col min="14" max="14" width="15.2857142857143" style="24" bestFit="1" customWidth="1"/>
    <col min="15" max="15" width="27.4285714285714" bestFit="1" customWidth="1"/>
  </cols>
  <sheetData>
    <row r="1" spans="4:13" ht="12.75">
      <c r="D1" s="45"/>
      <c r="E1" s="64" t="s">
        <v>168</v>
      </c>
      <c r="F1" s="64" t="s">
        <v>169</v>
      </c>
      <c r="G1" s="64" t="s">
        <v>171</v>
      </c>
      <c r="H1" s="64"/>
      <c r="I1" s="64" t="s">
        <v>168</v>
      </c>
      <c r="J1" s="64" t="s">
        <v>171</v>
      </c>
      <c r="K1" s="45"/>
      <c r="L1" s="45"/>
      <c r="M1" s="45"/>
    </row>
    <row r="2" spans="1:14" s="5" customFormat="1" ht="15">
      <c r="A2" s="5" t="s">
        <v>5</v>
      </c>
      <c r="B2" s="5" t="s">
        <v>3</v>
      </c>
      <c r="D2" s="5" t="s">
        <v>7</v>
      </c>
      <c r="E2" s="5" t="s">
        <v>7</v>
      </c>
      <c r="F2" s="5" t="s">
        <v>170</v>
      </c>
      <c r="G2" s="5" t="s">
        <v>7</v>
      </c>
      <c r="H2" s="5" t="s">
        <v>8</v>
      </c>
      <c r="I2" s="5" t="s">
        <v>8</v>
      </c>
      <c r="J2" s="5" t="s">
        <v>8</v>
      </c>
      <c r="K2" s="5" t="s">
        <v>9</v>
      </c>
      <c r="L2" s="5" t="s">
        <v>10</v>
      </c>
      <c r="N2" s="32" t="s">
        <v>6</v>
      </c>
    </row>
    <row r="3" spans="1:14" s="7" customFormat="1" ht="12.75">
      <c r="A3" s="6" t="s">
        <v>11</v>
      </c>
      <c r="B3" s="6" t="s">
        <v>71</v>
      </c>
      <c r="D3" s="66">
        <v>0</v>
      </c>
      <c r="E3" s="66">
        <v>0</v>
      </c>
      <c r="F3" s="66">
        <v>0</v>
      </c>
      <c r="G3" s="66">
        <f t="shared" si="0" ref="G3:G5">SUM(D3:F3)</f>
        <v>0</v>
      </c>
      <c r="H3" s="66">
        <v>0</v>
      </c>
      <c r="I3" s="66">
        <v>0</v>
      </c>
      <c r="J3" s="66">
        <f t="shared" si="1" ref="J3:J5">SUM(H3:I3)</f>
        <v>0</v>
      </c>
      <c r="K3" s="66">
        <v>0</v>
      </c>
      <c r="L3" s="66">
        <v>0</v>
      </c>
      <c r="M3" s="66"/>
      <c r="N3" s="65">
        <f>+L3+K3+J3+G3</f>
        <v>0</v>
      </c>
    </row>
    <row r="4" spans="1:14" s="7" customFormat="1" ht="12.75">
      <c r="A4" s="6" t="s">
        <v>12</v>
      </c>
      <c r="B4" s="6" t="s">
        <v>72</v>
      </c>
      <c r="D4" s="67">
        <v>0</v>
      </c>
      <c r="E4" s="67">
        <v>0</v>
      </c>
      <c r="F4" s="67">
        <v>0</v>
      </c>
      <c r="G4" s="67">
        <f t="shared" si="0"/>
        <v>0</v>
      </c>
      <c r="H4" s="67">
        <v>0</v>
      </c>
      <c r="I4" s="67">
        <v>0</v>
      </c>
      <c r="J4" s="67">
        <f t="shared" si="1"/>
        <v>0</v>
      </c>
      <c r="K4" s="67">
        <v>0</v>
      </c>
      <c r="L4" s="67">
        <v>0</v>
      </c>
      <c r="M4" s="67"/>
      <c r="N4" s="40">
        <f t="shared" si="2" ref="N4:N10">+L4+K4+J4+G4</f>
        <v>0</v>
      </c>
    </row>
    <row r="5" spans="1:14" s="7" customFormat="1" ht="12.75">
      <c r="A5" s="6" t="s">
        <v>13</v>
      </c>
      <c r="B5" s="6" t="s">
        <v>84</v>
      </c>
      <c r="D5" s="67">
        <v>0</v>
      </c>
      <c r="E5" s="67">
        <v>0</v>
      </c>
      <c r="F5" s="67">
        <v>0</v>
      </c>
      <c r="G5" s="67">
        <f t="shared" si="0"/>
        <v>0</v>
      </c>
      <c r="H5" s="67">
        <v>0</v>
      </c>
      <c r="I5" s="67">
        <v>0</v>
      </c>
      <c r="J5" s="67">
        <f t="shared" si="1"/>
        <v>0</v>
      </c>
      <c r="K5" s="67">
        <v>0</v>
      </c>
      <c r="L5" s="67">
        <v>0</v>
      </c>
      <c r="M5" s="68"/>
      <c r="N5" s="40">
        <f t="shared" si="2"/>
        <v>0</v>
      </c>
    </row>
    <row r="6" spans="1:14" s="7" customFormat="1" ht="12.75">
      <c r="A6" s="6" t="s">
        <v>14</v>
      </c>
      <c r="B6" s="6" t="s">
        <v>85</v>
      </c>
      <c r="D6" s="67">
        <v>0</v>
      </c>
      <c r="E6" s="67">
        <v>0</v>
      </c>
      <c r="F6" s="67">
        <v>0</v>
      </c>
      <c r="G6" s="67">
        <f t="shared" si="3" ref="G6">SUM(D6:F6)</f>
        <v>0</v>
      </c>
      <c r="H6" s="67">
        <v>0</v>
      </c>
      <c r="I6" s="67">
        <v>0</v>
      </c>
      <c r="J6" s="67">
        <f t="shared" si="4" ref="J6">SUM(H6:I6)</f>
        <v>0</v>
      </c>
      <c r="K6" s="67">
        <v>0</v>
      </c>
      <c r="L6" s="67">
        <v>0</v>
      </c>
      <c r="M6" s="68"/>
      <c r="N6" s="40">
        <f t="shared" si="2"/>
        <v>0</v>
      </c>
    </row>
    <row r="7" spans="1:14" s="7" customFormat="1" ht="12.75">
      <c r="A7" s="6" t="s">
        <v>15</v>
      </c>
      <c r="B7" s="6" t="s">
        <v>86</v>
      </c>
      <c r="D7" s="67">
        <v>0</v>
      </c>
      <c r="E7" s="67">
        <v>0</v>
      </c>
      <c r="F7" s="67">
        <v>0</v>
      </c>
      <c r="G7" s="67">
        <f t="shared" si="5" ref="G7:G10">SUM(D7:F7)</f>
        <v>0</v>
      </c>
      <c r="H7" s="67">
        <v>0</v>
      </c>
      <c r="I7" s="67">
        <v>0</v>
      </c>
      <c r="J7" s="67">
        <f t="shared" si="6" ref="J7:J10">SUM(H7:I7)</f>
        <v>0</v>
      </c>
      <c r="K7" s="67">
        <v>0</v>
      </c>
      <c r="L7" s="67">
        <v>0</v>
      </c>
      <c r="M7" s="68"/>
      <c r="N7" s="40">
        <f t="shared" si="2"/>
        <v>0</v>
      </c>
    </row>
    <row r="8" spans="1:14" s="7" customFormat="1" ht="12.75">
      <c r="A8" s="7" t="s">
        <v>51</v>
      </c>
      <c r="B8" s="6" t="s">
        <v>87</v>
      </c>
      <c r="D8" s="67">
        <v>0</v>
      </c>
      <c r="E8" s="67">
        <v>0</v>
      </c>
      <c r="F8" s="67">
        <v>0</v>
      </c>
      <c r="G8" s="67">
        <f t="shared" si="5"/>
        <v>0</v>
      </c>
      <c r="H8" s="67">
        <v>0</v>
      </c>
      <c r="I8" s="67">
        <v>0</v>
      </c>
      <c r="J8" s="67">
        <f t="shared" si="6"/>
        <v>0</v>
      </c>
      <c r="K8" s="67">
        <v>0</v>
      </c>
      <c r="L8" s="67">
        <v>0</v>
      </c>
      <c r="M8" s="68"/>
      <c r="N8" s="40">
        <f t="shared" si="2"/>
        <v>0</v>
      </c>
    </row>
    <row r="9" spans="1:14" s="7" customFormat="1" ht="12.75">
      <c r="A9" s="6" t="s">
        <v>16</v>
      </c>
      <c r="B9" s="6" t="s">
        <v>73</v>
      </c>
      <c r="D9" s="67">
        <f>+'Adj. #23'!E23+'Adj. #28'!E23</f>
        <v>3245434.0700000003</v>
      </c>
      <c r="E9" s="67">
        <f>+'Adj. #23'!F23+'Adj. #28'!F23</f>
        <v>0</v>
      </c>
      <c r="F9" s="67">
        <f>+'Adj. #23'!G23+'Adj. #28'!G23</f>
        <v>0</v>
      </c>
      <c r="G9" s="67">
        <f t="shared" si="5"/>
        <v>3245434.0700000003</v>
      </c>
      <c r="H9" s="67">
        <f>+'Adj. #23'!I23+'Adj. #28'!I23</f>
        <v>0</v>
      </c>
      <c r="I9" s="67">
        <f>+'Adj. #23'!J23+'Adj. #28'!J23</f>
        <v>0</v>
      </c>
      <c r="J9" s="67">
        <f t="shared" si="6"/>
        <v>0</v>
      </c>
      <c r="K9" s="67">
        <f>+'Adj. #23'!L23+'Adj. #28'!L23</f>
        <v>0</v>
      </c>
      <c r="L9" s="67">
        <f>+'Adj. #23'!M23+'Adj. #28'!M23</f>
        <v>0</v>
      </c>
      <c r="M9" s="68"/>
      <c r="N9" s="40">
        <f t="shared" si="2"/>
        <v>3245434.0700000003</v>
      </c>
    </row>
    <row r="10" spans="1:14" s="7" customFormat="1" ht="12.75">
      <c r="A10" s="6" t="s">
        <v>59</v>
      </c>
      <c r="B10" s="6" t="s">
        <v>88</v>
      </c>
      <c r="D10" s="67">
        <v>0</v>
      </c>
      <c r="E10" s="67">
        <v>0</v>
      </c>
      <c r="F10" s="67">
        <v>0</v>
      </c>
      <c r="G10" s="67">
        <f t="shared" si="5"/>
        <v>0</v>
      </c>
      <c r="H10" s="67">
        <v>0</v>
      </c>
      <c r="I10" s="67">
        <v>0</v>
      </c>
      <c r="J10" s="67">
        <f t="shared" si="6"/>
        <v>0</v>
      </c>
      <c r="K10" s="67">
        <v>0</v>
      </c>
      <c r="L10" s="67">
        <v>0</v>
      </c>
      <c r="M10" s="68"/>
      <c r="N10" s="40">
        <f t="shared" si="2"/>
        <v>0</v>
      </c>
    </row>
    <row r="11" spans="1:14" s="7" customFormat="1" ht="13.5" thickBot="1">
      <c r="A11" s="6"/>
      <c r="B11" s="6"/>
      <c r="D11" s="38">
        <f>SUM(D3:D10)</f>
        <v>3245434.0700000003</v>
      </c>
      <c r="E11" s="38">
        <f t="shared" si="7" ref="E11:N11">SUM(E3:E10)</f>
        <v>0</v>
      </c>
      <c r="F11" s="38">
        <f t="shared" si="7"/>
        <v>0</v>
      </c>
      <c r="G11" s="38">
        <f t="shared" si="7"/>
        <v>3245434.0700000003</v>
      </c>
      <c r="H11" s="38">
        <f t="shared" si="7"/>
        <v>0</v>
      </c>
      <c r="I11" s="38">
        <f t="shared" si="7"/>
        <v>0</v>
      </c>
      <c r="J11" s="38">
        <f t="shared" si="7"/>
        <v>0</v>
      </c>
      <c r="K11" s="38">
        <f t="shared" si="7"/>
        <v>0</v>
      </c>
      <c r="L11" s="38">
        <f t="shared" si="7"/>
        <v>0</v>
      </c>
      <c r="M11" s="39"/>
      <c r="N11" s="38">
        <f t="shared" si="7"/>
        <v>3245434.0700000003</v>
      </c>
    </row>
    <row r="12" spans="1:14" s="7" customFormat="1" ht="13.5" thickTop="1">
      <c r="A12" s="6"/>
      <c r="B12" s="6"/>
      <c r="D12" s="28"/>
      <c r="E12" s="28"/>
      <c r="F12" s="28"/>
      <c r="G12" s="28"/>
      <c r="H12" s="28"/>
      <c r="I12" s="28"/>
      <c r="J12" s="28"/>
      <c r="K12" s="28"/>
      <c r="L12" s="28"/>
      <c r="N12" s="29"/>
    </row>
    <row r="13" spans="1:14" s="7" customFormat="1" ht="12.75">
      <c r="A13" s="8" t="s">
        <v>17</v>
      </c>
      <c r="B13" s="6" t="s">
        <v>89</v>
      </c>
      <c r="D13" s="66">
        <v>0</v>
      </c>
      <c r="E13" s="66">
        <v>0</v>
      </c>
      <c r="F13" s="66">
        <v>0</v>
      </c>
      <c r="G13" s="66">
        <f t="shared" si="8" ref="G13:G18">SUM(D13:F13)</f>
        <v>0</v>
      </c>
      <c r="H13" s="66">
        <v>0</v>
      </c>
      <c r="I13" s="66">
        <v>0</v>
      </c>
      <c r="J13" s="66">
        <f t="shared" si="9" ref="J13:J18">SUM(H13:I13)</f>
        <v>0</v>
      </c>
      <c r="K13" s="66">
        <v>0</v>
      </c>
      <c r="L13" s="66">
        <v>0</v>
      </c>
      <c r="M13" s="66"/>
      <c r="N13" s="65">
        <f>+L13+K13+J13+G13</f>
        <v>0</v>
      </c>
    </row>
    <row r="14" spans="1:14" s="7" customFormat="1" ht="12.75">
      <c r="A14" s="8" t="s">
        <v>60</v>
      </c>
      <c r="B14" s="6" t="s">
        <v>90</v>
      </c>
      <c r="D14" s="67">
        <v>0</v>
      </c>
      <c r="E14" s="67">
        <v>0</v>
      </c>
      <c r="F14" s="67">
        <v>0</v>
      </c>
      <c r="G14" s="67">
        <f t="shared" si="8"/>
        <v>0</v>
      </c>
      <c r="H14" s="67">
        <v>0</v>
      </c>
      <c r="I14" s="67">
        <v>0</v>
      </c>
      <c r="J14" s="67">
        <f t="shared" si="9"/>
        <v>0</v>
      </c>
      <c r="K14" s="67">
        <v>0</v>
      </c>
      <c r="L14" s="67">
        <v>0</v>
      </c>
      <c r="M14" s="67"/>
      <c r="N14" s="40">
        <f t="shared" si="10" ref="N14:N18">+L14+K14+J14+G14</f>
        <v>0</v>
      </c>
    </row>
    <row r="15" spans="1:14" s="7" customFormat="1" ht="12.75">
      <c r="A15" s="8" t="s">
        <v>18</v>
      </c>
      <c r="B15" s="6" t="s">
        <v>91</v>
      </c>
      <c r="D15" s="67">
        <v>0</v>
      </c>
      <c r="E15" s="67">
        <v>0</v>
      </c>
      <c r="F15" s="67">
        <v>0</v>
      </c>
      <c r="G15" s="67">
        <f t="shared" si="8"/>
        <v>0</v>
      </c>
      <c r="H15" s="67">
        <v>0</v>
      </c>
      <c r="I15" s="67">
        <v>0</v>
      </c>
      <c r="J15" s="67">
        <f t="shared" si="9"/>
        <v>0</v>
      </c>
      <c r="K15" s="67">
        <v>0</v>
      </c>
      <c r="L15" s="67">
        <v>0</v>
      </c>
      <c r="M15" s="67"/>
      <c r="N15" s="40">
        <f t="shared" si="10"/>
        <v>0</v>
      </c>
    </row>
    <row r="16" spans="1:14" s="7" customFormat="1" ht="12.75">
      <c r="A16" s="8" t="s">
        <v>19</v>
      </c>
      <c r="B16" s="6" t="s">
        <v>74</v>
      </c>
      <c r="D16" s="67">
        <v>0</v>
      </c>
      <c r="E16" s="67">
        <v>0</v>
      </c>
      <c r="F16" s="67">
        <v>0</v>
      </c>
      <c r="G16" s="67">
        <f t="shared" si="8"/>
        <v>0</v>
      </c>
      <c r="H16" s="67">
        <v>0</v>
      </c>
      <c r="I16" s="67">
        <v>0</v>
      </c>
      <c r="J16" s="67">
        <f t="shared" si="9"/>
        <v>0</v>
      </c>
      <c r="K16" s="67">
        <v>0</v>
      </c>
      <c r="L16" s="67">
        <v>0</v>
      </c>
      <c r="M16" s="67"/>
      <c r="N16" s="40">
        <f t="shared" si="10"/>
        <v>0</v>
      </c>
    </row>
    <row r="17" spans="1:14" s="7" customFormat="1" ht="12.75">
      <c r="A17" s="8" t="s">
        <v>20</v>
      </c>
      <c r="B17" s="6" t="s">
        <v>92</v>
      </c>
      <c r="D17" s="67">
        <v>0</v>
      </c>
      <c r="E17" s="67">
        <v>0</v>
      </c>
      <c r="F17" s="67">
        <v>0</v>
      </c>
      <c r="G17" s="67">
        <f t="shared" si="8"/>
        <v>0</v>
      </c>
      <c r="H17" s="67">
        <v>0</v>
      </c>
      <c r="I17" s="67">
        <v>0</v>
      </c>
      <c r="J17" s="67">
        <f t="shared" si="9"/>
        <v>0</v>
      </c>
      <c r="K17" s="67">
        <v>0</v>
      </c>
      <c r="L17" s="67">
        <v>0</v>
      </c>
      <c r="M17" s="67"/>
      <c r="N17" s="40">
        <f t="shared" si="10"/>
        <v>0</v>
      </c>
    </row>
    <row r="18" spans="1:14" s="7" customFormat="1" ht="12.75">
      <c r="A18" s="8" t="s">
        <v>21</v>
      </c>
      <c r="B18" s="6" t="s">
        <v>93</v>
      </c>
      <c r="D18" s="67">
        <v>0</v>
      </c>
      <c r="E18" s="67">
        <v>0</v>
      </c>
      <c r="F18" s="67">
        <v>0</v>
      </c>
      <c r="G18" s="67">
        <f t="shared" si="8"/>
        <v>0</v>
      </c>
      <c r="H18" s="67">
        <v>0</v>
      </c>
      <c r="I18" s="67">
        <v>0</v>
      </c>
      <c r="J18" s="67">
        <f t="shared" si="9"/>
        <v>0</v>
      </c>
      <c r="K18" s="67">
        <v>0</v>
      </c>
      <c r="L18" s="67">
        <v>0</v>
      </c>
      <c r="M18" s="67"/>
      <c r="N18" s="40">
        <f t="shared" si="10"/>
        <v>0</v>
      </c>
    </row>
    <row r="19" spans="1:14" s="7" customFormat="1" ht="13.5" thickBot="1">
      <c r="A19" s="8"/>
      <c r="B19" s="6"/>
      <c r="D19" s="38">
        <f>SUM(D13:D18)</f>
        <v>0</v>
      </c>
      <c r="E19" s="38">
        <f t="shared" si="11" ref="E19:N19">SUM(E13:E18)</f>
        <v>0</v>
      </c>
      <c r="F19" s="38">
        <f t="shared" si="11"/>
        <v>0</v>
      </c>
      <c r="G19" s="38">
        <f t="shared" si="11"/>
        <v>0</v>
      </c>
      <c r="H19" s="38">
        <f t="shared" si="11"/>
        <v>0</v>
      </c>
      <c r="I19" s="38">
        <f t="shared" si="11"/>
        <v>0</v>
      </c>
      <c r="J19" s="38">
        <f t="shared" si="11"/>
        <v>0</v>
      </c>
      <c r="K19" s="38">
        <f t="shared" si="11"/>
        <v>0</v>
      </c>
      <c r="L19" s="38">
        <f t="shared" si="11"/>
        <v>0</v>
      </c>
      <c r="M19" s="39"/>
      <c r="N19" s="38">
        <f t="shared" si="11"/>
        <v>0</v>
      </c>
    </row>
    <row r="20" spans="1:14" s="7" customFormat="1" ht="13.5" thickTop="1">
      <c r="A20" s="8"/>
      <c r="B20" s="6"/>
      <c r="D20" s="28"/>
      <c r="E20" s="28"/>
      <c r="F20" s="28"/>
      <c r="G20" s="28"/>
      <c r="H20" s="28"/>
      <c r="I20" s="28"/>
      <c r="J20" s="28"/>
      <c r="K20" s="28"/>
      <c r="L20" s="28"/>
      <c r="N20" s="29"/>
    </row>
    <row r="21" spans="1:14" s="7" customFormat="1" ht="12.75">
      <c r="A21" s="6" t="s">
        <v>22</v>
      </c>
      <c r="B21" s="6" t="s">
        <v>71</v>
      </c>
      <c r="D21" s="66">
        <v>0</v>
      </c>
      <c r="E21" s="66">
        <v>0</v>
      </c>
      <c r="F21" s="66">
        <v>0</v>
      </c>
      <c r="G21" s="66">
        <f t="shared" si="12" ref="G21:G30">SUM(D21:F21)</f>
        <v>0</v>
      </c>
      <c r="H21" s="66">
        <v>0</v>
      </c>
      <c r="I21" s="66">
        <v>0</v>
      </c>
      <c r="J21" s="66">
        <f t="shared" si="13" ref="J21:J30">SUM(H21:I21)</f>
        <v>0</v>
      </c>
      <c r="K21" s="66">
        <v>0</v>
      </c>
      <c r="L21" s="66">
        <v>0</v>
      </c>
      <c r="M21" s="66"/>
      <c r="N21" s="65">
        <f>+L21+K21+J21+G21</f>
        <v>0</v>
      </c>
    </row>
    <row r="22" spans="1:14" s="7" customFormat="1" ht="12.75">
      <c r="A22" s="6" t="s">
        <v>23</v>
      </c>
      <c r="B22" s="6" t="s">
        <v>75</v>
      </c>
      <c r="D22" s="67">
        <v>0</v>
      </c>
      <c r="E22" s="67">
        <v>0</v>
      </c>
      <c r="F22" s="67">
        <v>0</v>
      </c>
      <c r="G22" s="67">
        <f t="shared" si="12"/>
        <v>0</v>
      </c>
      <c r="H22" s="67">
        <v>0</v>
      </c>
      <c r="I22" s="67">
        <v>0</v>
      </c>
      <c r="J22" s="67">
        <f t="shared" si="13"/>
        <v>0</v>
      </c>
      <c r="K22" s="67">
        <v>0</v>
      </c>
      <c r="L22" s="67">
        <v>0</v>
      </c>
      <c r="M22" s="67"/>
      <c r="N22" s="40">
        <f t="shared" si="14" ref="N22:N30">+L22+K22+J22+G22</f>
        <v>0</v>
      </c>
    </row>
    <row r="23" spans="1:14" s="7" customFormat="1" ht="12.75">
      <c r="A23" s="6" t="s">
        <v>24</v>
      </c>
      <c r="B23" s="6" t="s">
        <v>84</v>
      </c>
      <c r="D23" s="67">
        <v>0</v>
      </c>
      <c r="E23" s="67">
        <v>0</v>
      </c>
      <c r="F23" s="67">
        <v>0</v>
      </c>
      <c r="G23" s="67">
        <f t="shared" si="12"/>
        <v>0</v>
      </c>
      <c r="H23" s="67">
        <v>0</v>
      </c>
      <c r="I23" s="67">
        <v>0</v>
      </c>
      <c r="J23" s="67">
        <f t="shared" si="13"/>
        <v>0</v>
      </c>
      <c r="K23" s="67">
        <v>0</v>
      </c>
      <c r="L23" s="67">
        <v>0</v>
      </c>
      <c r="M23" s="67"/>
      <c r="N23" s="40">
        <f t="shared" si="14"/>
        <v>0</v>
      </c>
    </row>
    <row r="24" spans="1:14" s="7" customFormat="1" ht="12.75">
      <c r="A24" s="7" t="s">
        <v>25</v>
      </c>
      <c r="B24" s="6" t="s">
        <v>85</v>
      </c>
      <c r="D24" s="67">
        <v>0</v>
      </c>
      <c r="E24" s="67">
        <v>0</v>
      </c>
      <c r="F24" s="67">
        <v>0</v>
      </c>
      <c r="G24" s="67">
        <f t="shared" si="12"/>
        <v>0</v>
      </c>
      <c r="H24" s="67">
        <v>0</v>
      </c>
      <c r="I24" s="67">
        <v>0</v>
      </c>
      <c r="J24" s="67">
        <f t="shared" si="13"/>
        <v>0</v>
      </c>
      <c r="K24" s="67">
        <v>0</v>
      </c>
      <c r="L24" s="67">
        <v>0</v>
      </c>
      <c r="M24" s="67"/>
      <c r="N24" s="40">
        <f t="shared" si="14"/>
        <v>0</v>
      </c>
    </row>
    <row r="25" spans="1:14" s="7" customFormat="1" ht="12.75">
      <c r="A25" s="6" t="s">
        <v>26</v>
      </c>
      <c r="B25" s="6" t="s">
        <v>86</v>
      </c>
      <c r="D25" s="67">
        <v>0</v>
      </c>
      <c r="E25" s="67">
        <v>0</v>
      </c>
      <c r="F25" s="67">
        <v>0</v>
      </c>
      <c r="G25" s="67">
        <f t="shared" si="12"/>
        <v>0</v>
      </c>
      <c r="H25" s="67">
        <v>0</v>
      </c>
      <c r="I25" s="67">
        <v>0</v>
      </c>
      <c r="J25" s="67">
        <f t="shared" si="13"/>
        <v>0</v>
      </c>
      <c r="K25" s="67">
        <v>0</v>
      </c>
      <c r="L25" s="67">
        <v>0</v>
      </c>
      <c r="M25" s="67"/>
      <c r="N25" s="40">
        <f t="shared" si="14"/>
        <v>0</v>
      </c>
    </row>
    <row r="26" spans="1:14" s="7" customFormat="1" ht="12.75">
      <c r="A26" s="6" t="s">
        <v>46</v>
      </c>
      <c r="B26" s="6" t="s">
        <v>94</v>
      </c>
      <c r="D26" s="67">
        <v>0</v>
      </c>
      <c r="E26" s="67">
        <v>0</v>
      </c>
      <c r="F26" s="67">
        <v>0</v>
      </c>
      <c r="G26" s="67">
        <f t="shared" si="12"/>
        <v>0</v>
      </c>
      <c r="H26" s="67">
        <v>0</v>
      </c>
      <c r="I26" s="67">
        <v>0</v>
      </c>
      <c r="J26" s="67">
        <f t="shared" si="13"/>
        <v>0</v>
      </c>
      <c r="K26" s="67">
        <v>0</v>
      </c>
      <c r="L26" s="67">
        <v>0</v>
      </c>
      <c r="M26" s="67"/>
      <c r="N26" s="40">
        <f t="shared" si="14"/>
        <v>0</v>
      </c>
    </row>
    <row r="27" spans="1:14" s="7" customFormat="1" ht="12.75">
      <c r="A27" s="6" t="s">
        <v>27</v>
      </c>
      <c r="B27" s="6" t="s">
        <v>95</v>
      </c>
      <c r="D27" s="67">
        <v>0</v>
      </c>
      <c r="E27" s="67">
        <v>0</v>
      </c>
      <c r="F27" s="67">
        <v>0</v>
      </c>
      <c r="G27" s="67">
        <f t="shared" si="12"/>
        <v>0</v>
      </c>
      <c r="H27" s="67">
        <v>0</v>
      </c>
      <c r="I27" s="67">
        <v>0</v>
      </c>
      <c r="J27" s="67">
        <f t="shared" si="13"/>
        <v>0</v>
      </c>
      <c r="K27" s="67">
        <v>0</v>
      </c>
      <c r="L27" s="67">
        <v>0</v>
      </c>
      <c r="M27" s="67"/>
      <c r="N27" s="40">
        <f t="shared" si="14"/>
        <v>0</v>
      </c>
    </row>
    <row r="28" spans="1:14" s="7" customFormat="1" ht="12.75">
      <c r="A28" s="6" t="s">
        <v>28</v>
      </c>
      <c r="B28" s="6" t="s">
        <v>96</v>
      </c>
      <c r="D28" s="67">
        <v>0</v>
      </c>
      <c r="E28" s="67">
        <v>0</v>
      </c>
      <c r="F28" s="67">
        <v>0</v>
      </c>
      <c r="G28" s="67">
        <f t="shared" si="12"/>
        <v>0</v>
      </c>
      <c r="H28" s="67">
        <v>0</v>
      </c>
      <c r="I28" s="67">
        <v>0</v>
      </c>
      <c r="J28" s="67">
        <f t="shared" si="13"/>
        <v>0</v>
      </c>
      <c r="K28" s="67">
        <v>0</v>
      </c>
      <c r="L28" s="67">
        <v>0</v>
      </c>
      <c r="M28" s="67"/>
      <c r="N28" s="40">
        <f t="shared" si="14"/>
        <v>0</v>
      </c>
    </row>
    <row r="29" spans="1:14" s="7" customFormat="1" ht="12.75">
      <c r="A29" s="6" t="s">
        <v>29</v>
      </c>
      <c r="B29" s="6" t="s">
        <v>76</v>
      </c>
      <c r="D29" s="67">
        <f>+'Adj. #23'!E24+'Adj. #28'!E24</f>
        <v>0</v>
      </c>
      <c r="E29" s="67">
        <f>+'Adj. #23'!F24+'Adj. #28'!F24</f>
        <v>0</v>
      </c>
      <c r="F29" s="67">
        <f>+'Adj. #23'!G24+'Adj. #28'!G24</f>
        <v>0</v>
      </c>
      <c r="G29" s="67">
        <f t="shared" si="12"/>
        <v>0</v>
      </c>
      <c r="H29" s="67">
        <f>+'Adj. #23'!I24+'Adj. #28'!I24</f>
        <v>8021923.71</v>
      </c>
      <c r="I29" s="67">
        <f>+'Adj. #23'!J24+'Adj. #28'!J24</f>
        <v>0</v>
      </c>
      <c r="J29" s="67">
        <f t="shared" si="13"/>
        <v>8021923.71</v>
      </c>
      <c r="K29" s="67">
        <f>+'Adj. #23'!L24+'Adj. #28'!L24</f>
        <v>0</v>
      </c>
      <c r="L29" s="67">
        <f>+'Adj. #23'!M24+'Adj. #28'!M24</f>
        <v>0</v>
      </c>
      <c r="M29" s="67"/>
      <c r="N29" s="40">
        <f t="shared" si="14"/>
        <v>8021923.71</v>
      </c>
    </row>
    <row r="30" spans="1:14" s="7" customFormat="1" ht="12.75">
      <c r="A30" s="6" t="s">
        <v>52</v>
      </c>
      <c r="B30" s="6" t="s">
        <v>97</v>
      </c>
      <c r="D30" s="67">
        <v>0</v>
      </c>
      <c r="E30" s="67">
        <v>0</v>
      </c>
      <c r="F30" s="67">
        <v>0</v>
      </c>
      <c r="G30" s="67">
        <f t="shared" si="12"/>
        <v>0</v>
      </c>
      <c r="H30" s="67">
        <v>0</v>
      </c>
      <c r="I30" s="67">
        <v>0</v>
      </c>
      <c r="J30" s="67">
        <f t="shared" si="13"/>
        <v>0</v>
      </c>
      <c r="K30" s="67">
        <v>0</v>
      </c>
      <c r="L30" s="67">
        <v>0</v>
      </c>
      <c r="M30" s="67"/>
      <c r="N30" s="40">
        <f t="shared" si="14"/>
        <v>0</v>
      </c>
    </row>
    <row r="31" spans="1:14" s="7" customFormat="1" ht="13.5" thickBot="1">
      <c r="A31" s="6"/>
      <c r="B31" s="6"/>
      <c r="D31" s="38">
        <f>SUM(D21:D30)</f>
        <v>0</v>
      </c>
      <c r="E31" s="38">
        <f t="shared" si="15" ref="E31:N31">SUM(E21:E30)</f>
        <v>0</v>
      </c>
      <c r="F31" s="38">
        <f t="shared" si="15"/>
        <v>0</v>
      </c>
      <c r="G31" s="38">
        <f t="shared" si="15"/>
        <v>0</v>
      </c>
      <c r="H31" s="38">
        <f t="shared" si="15"/>
        <v>8021923.71</v>
      </c>
      <c r="I31" s="38">
        <f t="shared" si="15"/>
        <v>0</v>
      </c>
      <c r="J31" s="38">
        <f t="shared" si="15"/>
        <v>8021923.71</v>
      </c>
      <c r="K31" s="38">
        <f t="shared" si="15"/>
        <v>0</v>
      </c>
      <c r="L31" s="38">
        <f t="shared" si="15"/>
        <v>0</v>
      </c>
      <c r="M31" s="39"/>
      <c r="N31" s="38">
        <f t="shared" si="15"/>
        <v>8021923.71</v>
      </c>
    </row>
    <row r="32" spans="1:14" s="7" customFormat="1" ht="13.5" thickTop="1">
      <c r="A32" s="6"/>
      <c r="B32" s="6"/>
      <c r="D32" s="28"/>
      <c r="E32" s="28"/>
      <c r="F32" s="28"/>
      <c r="G32" s="28"/>
      <c r="H32" s="28"/>
      <c r="I32" s="28"/>
      <c r="J32" s="28"/>
      <c r="K32" s="28"/>
      <c r="L32" s="28"/>
      <c r="N32" s="29"/>
    </row>
    <row r="33" spans="1:14" s="7" customFormat="1" ht="12.75">
      <c r="A33" s="8" t="s">
        <v>30</v>
      </c>
      <c r="B33" s="6" t="s">
        <v>89</v>
      </c>
      <c r="D33" s="66">
        <v>0</v>
      </c>
      <c r="E33" s="66">
        <v>0</v>
      </c>
      <c r="F33" s="66">
        <v>0</v>
      </c>
      <c r="G33" s="66">
        <f t="shared" si="16" ref="G33:G41">SUM(D33:F33)</f>
        <v>0</v>
      </c>
      <c r="H33" s="66">
        <v>0</v>
      </c>
      <c r="I33" s="66">
        <v>0</v>
      </c>
      <c r="J33" s="66">
        <f t="shared" si="17" ref="J33:J41">SUM(H33:I33)</f>
        <v>0</v>
      </c>
      <c r="K33" s="66">
        <v>0</v>
      </c>
      <c r="L33" s="66">
        <v>0</v>
      </c>
      <c r="M33" s="66"/>
      <c r="N33" s="65">
        <f>+L33+K33+J33+G33</f>
        <v>0</v>
      </c>
    </row>
    <row r="34" spans="1:14" s="7" customFormat="1" ht="12.75">
      <c r="A34" s="8" t="s">
        <v>61</v>
      </c>
      <c r="B34" s="6" t="s">
        <v>90</v>
      </c>
      <c r="D34" s="67">
        <v>0</v>
      </c>
      <c r="E34" s="67">
        <v>0</v>
      </c>
      <c r="F34" s="67">
        <v>0</v>
      </c>
      <c r="G34" s="67">
        <f t="shared" si="16"/>
        <v>0</v>
      </c>
      <c r="H34" s="67">
        <v>0</v>
      </c>
      <c r="I34" s="67">
        <v>0</v>
      </c>
      <c r="J34" s="67">
        <f t="shared" si="17"/>
        <v>0</v>
      </c>
      <c r="K34" s="67">
        <v>0</v>
      </c>
      <c r="L34" s="67">
        <v>0</v>
      </c>
      <c r="M34" s="67"/>
      <c r="N34" s="40">
        <f t="shared" si="18" ref="N34:N41">+L34+K34+J34+G34</f>
        <v>0</v>
      </c>
    </row>
    <row r="35" spans="1:14" s="7" customFormat="1" ht="12.75">
      <c r="A35" s="8" t="s">
        <v>31</v>
      </c>
      <c r="B35" s="6" t="s">
        <v>91</v>
      </c>
      <c r="D35" s="67">
        <v>0</v>
      </c>
      <c r="E35" s="67">
        <v>0</v>
      </c>
      <c r="F35" s="67">
        <v>0</v>
      </c>
      <c r="G35" s="67">
        <f t="shared" si="16"/>
        <v>0</v>
      </c>
      <c r="H35" s="67">
        <v>0</v>
      </c>
      <c r="I35" s="67">
        <v>0</v>
      </c>
      <c r="J35" s="67">
        <f t="shared" si="17"/>
        <v>0</v>
      </c>
      <c r="K35" s="67">
        <v>0</v>
      </c>
      <c r="L35" s="67">
        <v>0</v>
      </c>
      <c r="M35" s="67"/>
      <c r="N35" s="40">
        <f t="shared" si="18"/>
        <v>0</v>
      </c>
    </row>
    <row r="36" spans="1:14" s="7" customFormat="1" ht="12.75">
      <c r="A36" s="8" t="s">
        <v>32</v>
      </c>
      <c r="B36" s="6" t="s">
        <v>74</v>
      </c>
      <c r="D36" s="67">
        <f>+'Adj. #21'!E28</f>
        <v>0</v>
      </c>
      <c r="E36" s="67">
        <f>+'Adj. #21'!F28</f>
        <v>0</v>
      </c>
      <c r="F36" s="67">
        <f>+'Adj. #21'!G28</f>
        <v>0</v>
      </c>
      <c r="G36" s="67">
        <f t="shared" si="16"/>
        <v>0</v>
      </c>
      <c r="H36" s="67">
        <f>+'Adj. #21'!I28</f>
        <v>-16078.24</v>
      </c>
      <c r="I36" s="67">
        <f>+'Adj. #21'!J28</f>
        <v>0</v>
      </c>
      <c r="J36" s="67">
        <f t="shared" si="17"/>
        <v>-16078.24</v>
      </c>
      <c r="K36" s="67">
        <f>+'Adj. #21'!L28</f>
        <v>0</v>
      </c>
      <c r="L36" s="67">
        <f>+'Adj. #21'!M28</f>
        <v>0</v>
      </c>
      <c r="M36" s="67"/>
      <c r="N36" s="40">
        <f t="shared" si="18"/>
        <v>-16078.24</v>
      </c>
    </row>
    <row r="37" spans="1:14" s="7" customFormat="1" ht="12.75">
      <c r="A37" s="8" t="s">
        <v>33</v>
      </c>
      <c r="B37" s="6" t="s">
        <v>92</v>
      </c>
      <c r="D37" s="67">
        <v>0</v>
      </c>
      <c r="E37" s="67">
        <v>0</v>
      </c>
      <c r="F37" s="67">
        <v>0</v>
      </c>
      <c r="G37" s="67">
        <f t="shared" si="16"/>
        <v>0</v>
      </c>
      <c r="H37" s="67">
        <v>0</v>
      </c>
      <c r="I37" s="67">
        <v>0</v>
      </c>
      <c r="J37" s="67">
        <f t="shared" si="17"/>
        <v>0</v>
      </c>
      <c r="K37" s="67">
        <v>0</v>
      </c>
      <c r="L37" s="67">
        <v>0</v>
      </c>
      <c r="M37" s="67"/>
      <c r="N37" s="40">
        <f t="shared" si="18"/>
        <v>0</v>
      </c>
    </row>
    <row r="38" spans="1:14" s="7" customFormat="1" ht="12.75">
      <c r="A38" s="8" t="s">
        <v>34</v>
      </c>
      <c r="B38" s="6" t="s">
        <v>98</v>
      </c>
      <c r="D38" s="67">
        <v>0</v>
      </c>
      <c r="E38" s="67">
        <v>0</v>
      </c>
      <c r="F38" s="67">
        <v>0</v>
      </c>
      <c r="G38" s="67">
        <f t="shared" si="16"/>
        <v>0</v>
      </c>
      <c r="H38" s="67">
        <v>0</v>
      </c>
      <c r="I38" s="67">
        <v>0</v>
      </c>
      <c r="J38" s="67">
        <f t="shared" si="17"/>
        <v>0</v>
      </c>
      <c r="K38" s="67">
        <v>0</v>
      </c>
      <c r="L38" s="67">
        <v>0</v>
      </c>
      <c r="M38" s="67"/>
      <c r="N38" s="40">
        <f t="shared" si="18"/>
        <v>0</v>
      </c>
    </row>
    <row r="39" spans="1:14" s="7" customFormat="1" ht="12.75">
      <c r="A39" s="8" t="s">
        <v>35</v>
      </c>
      <c r="B39" s="6" t="s">
        <v>99</v>
      </c>
      <c r="D39" s="67">
        <v>0</v>
      </c>
      <c r="E39" s="67">
        <v>0</v>
      </c>
      <c r="F39" s="67">
        <v>0</v>
      </c>
      <c r="G39" s="67">
        <f t="shared" si="16"/>
        <v>0</v>
      </c>
      <c r="H39" s="67">
        <v>0</v>
      </c>
      <c r="I39" s="67">
        <v>0</v>
      </c>
      <c r="J39" s="67">
        <f t="shared" si="17"/>
        <v>0</v>
      </c>
      <c r="K39" s="67">
        <v>0</v>
      </c>
      <c r="L39" s="67">
        <v>0</v>
      </c>
      <c r="M39" s="67"/>
      <c r="N39" s="40">
        <f t="shared" si="18"/>
        <v>0</v>
      </c>
    </row>
    <row r="40" spans="1:14" s="7" customFormat="1" ht="12.75">
      <c r="A40" s="8" t="s">
        <v>36</v>
      </c>
      <c r="B40" s="6" t="s">
        <v>100</v>
      </c>
      <c r="D40" s="67">
        <v>0</v>
      </c>
      <c r="E40" s="67">
        <v>0</v>
      </c>
      <c r="F40" s="67">
        <v>0</v>
      </c>
      <c r="G40" s="67">
        <f t="shared" si="16"/>
        <v>0</v>
      </c>
      <c r="H40" s="67">
        <v>0</v>
      </c>
      <c r="I40" s="67">
        <v>0</v>
      </c>
      <c r="J40" s="67">
        <f t="shared" si="17"/>
        <v>0</v>
      </c>
      <c r="K40" s="67">
        <v>0</v>
      </c>
      <c r="L40" s="67">
        <v>0</v>
      </c>
      <c r="M40" s="67"/>
      <c r="N40" s="40">
        <f t="shared" si="18"/>
        <v>0</v>
      </c>
    </row>
    <row r="41" spans="1:14" s="7" customFormat="1" ht="12.75">
      <c r="A41" s="8" t="s">
        <v>37</v>
      </c>
      <c r="B41" s="6" t="s">
        <v>101</v>
      </c>
      <c r="D41" s="67">
        <v>0</v>
      </c>
      <c r="E41" s="67">
        <v>0</v>
      </c>
      <c r="F41" s="67">
        <v>0</v>
      </c>
      <c r="G41" s="67">
        <f t="shared" si="16"/>
        <v>0</v>
      </c>
      <c r="H41" s="67">
        <v>0</v>
      </c>
      <c r="I41" s="67">
        <v>0</v>
      </c>
      <c r="J41" s="67">
        <f t="shared" si="17"/>
        <v>0</v>
      </c>
      <c r="K41" s="67">
        <v>0</v>
      </c>
      <c r="L41" s="67">
        <v>0</v>
      </c>
      <c r="M41" s="67"/>
      <c r="N41" s="40">
        <f t="shared" si="18"/>
        <v>0</v>
      </c>
    </row>
    <row r="42" spans="1:14" s="7" customFormat="1" ht="13.5" thickBot="1">
      <c r="A42" s="8"/>
      <c r="B42" s="6"/>
      <c r="D42" s="38">
        <f>SUM(D33:D41)</f>
        <v>0</v>
      </c>
      <c r="E42" s="38">
        <f t="shared" si="19" ref="E42:N42">SUM(E33:E41)</f>
        <v>0</v>
      </c>
      <c r="F42" s="38">
        <f t="shared" si="19"/>
        <v>0</v>
      </c>
      <c r="G42" s="38">
        <f t="shared" si="19"/>
        <v>0</v>
      </c>
      <c r="H42" s="38">
        <f t="shared" si="19"/>
        <v>-16078.24</v>
      </c>
      <c r="I42" s="38">
        <f t="shared" si="19"/>
        <v>0</v>
      </c>
      <c r="J42" s="38">
        <f t="shared" si="19"/>
        <v>-16078.24</v>
      </c>
      <c r="K42" s="38">
        <f t="shared" si="19"/>
        <v>0</v>
      </c>
      <c r="L42" s="38">
        <f t="shared" si="19"/>
        <v>0</v>
      </c>
      <c r="M42" s="39"/>
      <c r="N42" s="38">
        <f t="shared" si="19"/>
        <v>-16078.24</v>
      </c>
    </row>
    <row r="43" spans="1:14" s="7" customFormat="1" ht="13.5" thickTop="1">
      <c r="A43" s="8"/>
      <c r="B43" s="6"/>
      <c r="D43" s="28"/>
      <c r="E43" s="28"/>
      <c r="F43" s="28"/>
      <c r="G43" s="28"/>
      <c r="H43" s="28"/>
      <c r="I43" s="28"/>
      <c r="J43" s="28"/>
      <c r="K43" s="28"/>
      <c r="L43" s="28"/>
      <c r="N43" s="29"/>
    </row>
    <row r="44" spans="1:14" s="7" customFormat="1" ht="12.75">
      <c r="A44" s="6" t="s">
        <v>38</v>
      </c>
      <c r="B44" s="6" t="s">
        <v>77</v>
      </c>
      <c r="D44" s="66">
        <v>0</v>
      </c>
      <c r="E44" s="66">
        <v>0</v>
      </c>
      <c r="F44" s="66">
        <v>0</v>
      </c>
      <c r="G44" s="66">
        <f t="shared" si="20" ref="G44:G48">SUM(D44:F44)</f>
        <v>0</v>
      </c>
      <c r="H44" s="66">
        <v>0</v>
      </c>
      <c r="I44" s="66">
        <v>0</v>
      </c>
      <c r="J44" s="66">
        <f t="shared" si="21" ref="J44:J48">SUM(H44:I44)</f>
        <v>0</v>
      </c>
      <c r="K44" s="66">
        <v>0</v>
      </c>
      <c r="L44" s="66">
        <v>0</v>
      </c>
      <c r="M44" s="66"/>
      <c r="N44" s="65">
        <f>+L44+K44+J44+G44</f>
        <v>0</v>
      </c>
    </row>
    <row r="45" spans="1:14" s="7" customFormat="1" ht="12.75">
      <c r="A45" s="6" t="s">
        <v>39</v>
      </c>
      <c r="B45" s="6" t="s">
        <v>102</v>
      </c>
      <c r="D45" s="67">
        <v>0</v>
      </c>
      <c r="E45" s="67">
        <v>0</v>
      </c>
      <c r="F45" s="67">
        <v>0</v>
      </c>
      <c r="G45" s="67">
        <f t="shared" si="20"/>
        <v>0</v>
      </c>
      <c r="H45" s="67">
        <v>0</v>
      </c>
      <c r="I45" s="67">
        <v>0</v>
      </c>
      <c r="J45" s="67">
        <f t="shared" si="21"/>
        <v>0</v>
      </c>
      <c r="K45" s="67">
        <v>0</v>
      </c>
      <c r="L45" s="67">
        <v>0</v>
      </c>
      <c r="M45" s="67"/>
      <c r="N45" s="40">
        <f t="shared" si="22" ref="N45:N48">+L45+K45+J45+G45</f>
        <v>0</v>
      </c>
    </row>
    <row r="46" spans="1:14" s="7" customFormat="1" ht="12.75">
      <c r="A46" s="6" t="s">
        <v>40</v>
      </c>
      <c r="B46" s="6" t="s">
        <v>103</v>
      </c>
      <c r="D46" s="67">
        <v>0</v>
      </c>
      <c r="E46" s="67">
        <v>0</v>
      </c>
      <c r="F46" s="67">
        <v>0</v>
      </c>
      <c r="G46" s="67">
        <f t="shared" si="20"/>
        <v>0</v>
      </c>
      <c r="H46" s="67">
        <v>0</v>
      </c>
      <c r="I46" s="67">
        <v>0</v>
      </c>
      <c r="J46" s="67">
        <f t="shared" si="21"/>
        <v>0</v>
      </c>
      <c r="K46" s="67">
        <v>0</v>
      </c>
      <c r="L46" s="67">
        <v>0</v>
      </c>
      <c r="M46" s="67"/>
      <c r="N46" s="40">
        <f t="shared" si="22"/>
        <v>0</v>
      </c>
    </row>
    <row r="47" spans="1:14" s="7" customFormat="1" ht="12.75">
      <c r="A47" s="6" t="s">
        <v>62</v>
      </c>
      <c r="B47" s="6" t="s">
        <v>104</v>
      </c>
      <c r="D47" s="67">
        <v>0</v>
      </c>
      <c r="E47" s="67">
        <v>0</v>
      </c>
      <c r="F47" s="67">
        <v>0</v>
      </c>
      <c r="G47" s="67">
        <f t="shared" si="20"/>
        <v>0</v>
      </c>
      <c r="H47" s="67">
        <v>0</v>
      </c>
      <c r="I47" s="67">
        <v>0</v>
      </c>
      <c r="J47" s="67">
        <f t="shared" si="21"/>
        <v>0</v>
      </c>
      <c r="K47" s="67">
        <v>0</v>
      </c>
      <c r="L47" s="67">
        <v>0</v>
      </c>
      <c r="M47" s="67"/>
      <c r="N47" s="40">
        <f t="shared" si="22"/>
        <v>0</v>
      </c>
    </row>
    <row r="48" spans="1:14" s="7" customFormat="1" ht="12.75">
      <c r="A48" s="6" t="s">
        <v>63</v>
      </c>
      <c r="B48" s="6" t="s">
        <v>113</v>
      </c>
      <c r="D48" s="67">
        <v>0</v>
      </c>
      <c r="E48" s="67">
        <v>0</v>
      </c>
      <c r="F48" s="67">
        <v>0</v>
      </c>
      <c r="G48" s="67">
        <f t="shared" si="20"/>
        <v>0</v>
      </c>
      <c r="H48" s="67">
        <v>0</v>
      </c>
      <c r="I48" s="67">
        <v>0</v>
      </c>
      <c r="J48" s="67">
        <f t="shared" si="21"/>
        <v>0</v>
      </c>
      <c r="K48" s="67">
        <v>0</v>
      </c>
      <c r="L48" s="67">
        <v>0</v>
      </c>
      <c r="M48" s="67"/>
      <c r="N48" s="40">
        <f t="shared" si="22"/>
        <v>0</v>
      </c>
    </row>
    <row r="49" spans="1:14" s="7" customFormat="1" ht="13.5" thickBot="1">
      <c r="A49" s="6"/>
      <c r="B49" s="6"/>
      <c r="D49" s="38">
        <f>SUM(D44:D48)</f>
        <v>0</v>
      </c>
      <c r="E49" s="38">
        <f t="shared" si="23" ref="E49:N49">SUM(E44:E48)</f>
        <v>0</v>
      </c>
      <c r="F49" s="38">
        <f t="shared" si="23"/>
        <v>0</v>
      </c>
      <c r="G49" s="38">
        <f t="shared" si="23"/>
        <v>0</v>
      </c>
      <c r="H49" s="38">
        <f t="shared" si="23"/>
        <v>0</v>
      </c>
      <c r="I49" s="38">
        <f t="shared" si="23"/>
        <v>0</v>
      </c>
      <c r="J49" s="38">
        <f t="shared" si="23"/>
        <v>0</v>
      </c>
      <c r="K49" s="38">
        <f t="shared" si="23"/>
        <v>0</v>
      </c>
      <c r="L49" s="38">
        <f t="shared" si="23"/>
        <v>0</v>
      </c>
      <c r="M49" s="39"/>
      <c r="N49" s="38">
        <f t="shared" si="23"/>
        <v>0</v>
      </c>
    </row>
    <row r="50" spans="1:14" s="7" customFormat="1" ht="13.5" thickTop="1">
      <c r="A50" s="6"/>
      <c r="B50" s="6"/>
      <c r="D50" s="28"/>
      <c r="E50" s="28"/>
      <c r="F50" s="28"/>
      <c r="G50" s="28"/>
      <c r="H50" s="28"/>
      <c r="I50" s="28"/>
      <c r="J50" s="28"/>
      <c r="K50" s="28"/>
      <c r="L50" s="28"/>
      <c r="N50" s="29"/>
    </row>
    <row r="51" spans="1:14" s="7" customFormat="1" ht="12.75">
      <c r="A51" s="8" t="s">
        <v>64</v>
      </c>
      <c r="B51" s="6" t="s">
        <v>114</v>
      </c>
      <c r="D51" s="66">
        <v>0</v>
      </c>
      <c r="E51" s="66">
        <v>0</v>
      </c>
      <c r="F51" s="66">
        <v>0</v>
      </c>
      <c r="G51" s="66">
        <f t="shared" si="24" ref="G51:G55">SUM(D51:F51)</f>
        <v>0</v>
      </c>
      <c r="H51" s="66">
        <v>0</v>
      </c>
      <c r="I51" s="66">
        <v>0</v>
      </c>
      <c r="J51" s="66">
        <f t="shared" si="25" ref="J51:J55">SUM(H51:I51)</f>
        <v>0</v>
      </c>
      <c r="K51" s="66">
        <v>0</v>
      </c>
      <c r="L51" s="66">
        <v>0</v>
      </c>
      <c r="M51" s="66"/>
      <c r="N51" s="65">
        <f>+L51+K51+J51+G51</f>
        <v>0</v>
      </c>
    </row>
    <row r="52" spans="1:14" s="7" customFormat="1" ht="12.75">
      <c r="A52" s="8" t="s">
        <v>41</v>
      </c>
      <c r="B52" s="6" t="s">
        <v>77</v>
      </c>
      <c r="D52" s="67">
        <v>0</v>
      </c>
      <c r="E52" s="67">
        <v>0</v>
      </c>
      <c r="F52" s="67">
        <v>0</v>
      </c>
      <c r="G52" s="67">
        <f t="shared" si="24"/>
        <v>0</v>
      </c>
      <c r="H52" s="67">
        <v>0</v>
      </c>
      <c r="I52" s="67">
        <v>0</v>
      </c>
      <c r="J52" s="67">
        <f t="shared" si="25"/>
        <v>0</v>
      </c>
      <c r="K52" s="67">
        <v>0</v>
      </c>
      <c r="L52" s="67">
        <v>0</v>
      </c>
      <c r="M52" s="67"/>
      <c r="N52" s="40">
        <f t="shared" si="26" ref="N52:N55">+L52+K52+J52+G52</f>
        <v>0</v>
      </c>
    </row>
    <row r="53" spans="1:14" s="7" customFormat="1" ht="12.75">
      <c r="A53" s="8" t="s">
        <v>42</v>
      </c>
      <c r="B53" s="6" t="s">
        <v>78</v>
      </c>
      <c r="D53" s="67">
        <v>0</v>
      </c>
      <c r="E53" s="67">
        <v>0</v>
      </c>
      <c r="F53" s="67">
        <v>0</v>
      </c>
      <c r="G53" s="67">
        <f t="shared" si="24"/>
        <v>0</v>
      </c>
      <c r="H53" s="67">
        <v>0</v>
      </c>
      <c r="I53" s="67">
        <v>0</v>
      </c>
      <c r="J53" s="67">
        <f t="shared" si="25"/>
        <v>0</v>
      </c>
      <c r="K53" s="67">
        <v>0</v>
      </c>
      <c r="L53" s="67">
        <v>0</v>
      </c>
      <c r="M53" s="67"/>
      <c r="N53" s="40">
        <f t="shared" si="26"/>
        <v>0</v>
      </c>
    </row>
    <row r="54" spans="1:14" s="7" customFormat="1" ht="12.75">
      <c r="A54" s="8" t="s">
        <v>65</v>
      </c>
      <c r="B54" s="6" t="s">
        <v>115</v>
      </c>
      <c r="D54" s="67">
        <v>0</v>
      </c>
      <c r="E54" s="67">
        <v>0</v>
      </c>
      <c r="F54" s="67">
        <v>0</v>
      </c>
      <c r="G54" s="67">
        <f t="shared" si="24"/>
        <v>0</v>
      </c>
      <c r="H54" s="67">
        <v>0</v>
      </c>
      <c r="I54" s="67">
        <v>0</v>
      </c>
      <c r="J54" s="67">
        <f t="shared" si="25"/>
        <v>0</v>
      </c>
      <c r="K54" s="67">
        <v>0</v>
      </c>
      <c r="L54" s="67">
        <v>0</v>
      </c>
      <c r="M54" s="67"/>
      <c r="N54" s="40">
        <f t="shared" si="26"/>
        <v>0</v>
      </c>
    </row>
    <row r="55" spans="1:14" s="7" customFormat="1" ht="12.75">
      <c r="A55" s="9" t="s">
        <v>55</v>
      </c>
      <c r="B55" s="6" t="s">
        <v>105</v>
      </c>
      <c r="D55" s="67">
        <v>0</v>
      </c>
      <c r="E55" s="67">
        <v>0</v>
      </c>
      <c r="F55" s="67">
        <v>0</v>
      </c>
      <c r="G55" s="67">
        <f t="shared" si="24"/>
        <v>0</v>
      </c>
      <c r="H55" s="67">
        <v>0</v>
      </c>
      <c r="I55" s="67">
        <v>0</v>
      </c>
      <c r="J55" s="67">
        <f t="shared" si="25"/>
        <v>0</v>
      </c>
      <c r="K55" s="67">
        <v>0</v>
      </c>
      <c r="L55" s="67">
        <v>0</v>
      </c>
      <c r="M55" s="67"/>
      <c r="N55" s="40">
        <f t="shared" si="26"/>
        <v>0</v>
      </c>
    </row>
    <row r="56" spans="1:14" s="7" customFormat="1" ht="13.5" thickBot="1">
      <c r="A56" s="9"/>
      <c r="B56" s="6"/>
      <c r="D56" s="38">
        <f>SUM(D51:D55)</f>
        <v>0</v>
      </c>
      <c r="E56" s="38">
        <f t="shared" si="27" ref="E56:N56">SUM(E51:E55)</f>
        <v>0</v>
      </c>
      <c r="F56" s="38">
        <f t="shared" si="27"/>
        <v>0</v>
      </c>
      <c r="G56" s="38">
        <f t="shared" si="27"/>
        <v>0</v>
      </c>
      <c r="H56" s="38">
        <f t="shared" si="27"/>
        <v>0</v>
      </c>
      <c r="I56" s="38">
        <f t="shared" si="27"/>
        <v>0</v>
      </c>
      <c r="J56" s="38">
        <f t="shared" si="27"/>
        <v>0</v>
      </c>
      <c r="K56" s="38">
        <f t="shared" si="27"/>
        <v>0</v>
      </c>
      <c r="L56" s="38">
        <f t="shared" si="27"/>
        <v>0</v>
      </c>
      <c r="M56" s="39"/>
      <c r="N56" s="38">
        <f t="shared" si="27"/>
        <v>0</v>
      </c>
    </row>
    <row r="57" spans="1:14" s="7" customFormat="1" ht="13.5" thickTop="1">
      <c r="A57" s="9"/>
      <c r="B57" s="6"/>
      <c r="D57" s="28"/>
      <c r="E57" s="28"/>
      <c r="F57" s="28"/>
      <c r="G57" s="28"/>
      <c r="H57" s="28"/>
      <c r="I57" s="28"/>
      <c r="J57" s="28"/>
      <c r="K57" s="28"/>
      <c r="L57" s="28"/>
      <c r="N57" s="29"/>
    </row>
    <row r="58" spans="1:14" s="7" customFormat="1" ht="12.75">
      <c r="A58" s="7" t="s">
        <v>43</v>
      </c>
      <c r="B58" s="6" t="s">
        <v>77</v>
      </c>
      <c r="D58" s="66">
        <v>0</v>
      </c>
      <c r="E58" s="66">
        <v>0</v>
      </c>
      <c r="F58" s="66">
        <v>0</v>
      </c>
      <c r="G58" s="66">
        <f t="shared" si="28" ref="G58:G62">SUM(D58:F58)</f>
        <v>0</v>
      </c>
      <c r="H58" s="66">
        <v>0</v>
      </c>
      <c r="I58" s="66">
        <v>0</v>
      </c>
      <c r="J58" s="66">
        <f t="shared" si="29" ref="J58:J62">SUM(H58:I58)</f>
        <v>0</v>
      </c>
      <c r="K58" s="66">
        <v>0</v>
      </c>
      <c r="L58" s="66">
        <v>0</v>
      </c>
      <c r="M58" s="66"/>
      <c r="N58" s="65">
        <f>+L58+K58+J58+G58</f>
        <v>0</v>
      </c>
    </row>
    <row r="59" spans="1:14" s="7" customFormat="1" ht="12.75">
      <c r="A59" s="7" t="s">
        <v>57</v>
      </c>
      <c r="B59" s="6" t="s">
        <v>106</v>
      </c>
      <c r="D59" s="67">
        <v>0</v>
      </c>
      <c r="E59" s="67">
        <v>0</v>
      </c>
      <c r="F59" s="67">
        <v>0</v>
      </c>
      <c r="G59" s="67">
        <f t="shared" si="28"/>
        <v>0</v>
      </c>
      <c r="H59" s="67">
        <v>0</v>
      </c>
      <c r="I59" s="67">
        <v>0</v>
      </c>
      <c r="J59" s="67">
        <f t="shared" si="29"/>
        <v>0</v>
      </c>
      <c r="K59" s="67">
        <v>0</v>
      </c>
      <c r="L59" s="67">
        <v>0</v>
      </c>
      <c r="M59" s="67"/>
      <c r="N59" s="40">
        <f t="shared" si="30" ref="N59:N62">+L59+K59+J59+G59</f>
        <v>0</v>
      </c>
    </row>
    <row r="60" spans="1:14" s="7" customFormat="1" ht="12.75">
      <c r="A60" s="7" t="s">
        <v>56</v>
      </c>
      <c r="B60" s="6" t="s">
        <v>116</v>
      </c>
      <c r="D60" s="67">
        <v>0</v>
      </c>
      <c r="E60" s="67">
        <v>0</v>
      </c>
      <c r="F60" s="67">
        <v>0</v>
      </c>
      <c r="G60" s="67">
        <f t="shared" si="28"/>
        <v>0</v>
      </c>
      <c r="H60" s="67">
        <v>0</v>
      </c>
      <c r="I60" s="67">
        <v>0</v>
      </c>
      <c r="J60" s="67">
        <f t="shared" si="29"/>
        <v>0</v>
      </c>
      <c r="K60" s="67">
        <v>0</v>
      </c>
      <c r="L60" s="67">
        <v>0</v>
      </c>
      <c r="M60" s="67"/>
      <c r="N60" s="40">
        <f t="shared" si="30"/>
        <v>0</v>
      </c>
    </row>
    <row r="61" spans="1:14" s="7" customFormat="1" ht="12.75">
      <c r="A61" s="7" t="s">
        <v>66</v>
      </c>
      <c r="B61" s="6" t="s">
        <v>117</v>
      </c>
      <c r="D61" s="67">
        <v>0</v>
      </c>
      <c r="E61" s="67">
        <v>0</v>
      </c>
      <c r="F61" s="67">
        <v>0</v>
      </c>
      <c r="G61" s="67">
        <f t="shared" si="28"/>
        <v>0</v>
      </c>
      <c r="H61" s="67">
        <v>0</v>
      </c>
      <c r="I61" s="67">
        <v>0</v>
      </c>
      <c r="J61" s="67">
        <f t="shared" si="29"/>
        <v>0</v>
      </c>
      <c r="K61" s="67">
        <v>0</v>
      </c>
      <c r="L61" s="67">
        <v>0</v>
      </c>
      <c r="M61" s="67"/>
      <c r="N61" s="40">
        <f t="shared" si="30"/>
        <v>0</v>
      </c>
    </row>
    <row r="62" spans="1:14" s="7" customFormat="1" ht="12.75">
      <c r="A62" s="7" t="s">
        <v>67</v>
      </c>
      <c r="B62" s="6" t="s">
        <v>118</v>
      </c>
      <c r="D62" s="67">
        <v>0</v>
      </c>
      <c r="E62" s="67">
        <v>0</v>
      </c>
      <c r="F62" s="67">
        <v>0</v>
      </c>
      <c r="G62" s="67">
        <f t="shared" si="28"/>
        <v>0</v>
      </c>
      <c r="H62" s="67">
        <v>0</v>
      </c>
      <c r="I62" s="67">
        <v>0</v>
      </c>
      <c r="J62" s="67">
        <f t="shared" si="29"/>
        <v>0</v>
      </c>
      <c r="K62" s="67">
        <v>0</v>
      </c>
      <c r="L62" s="67">
        <v>0</v>
      </c>
      <c r="M62" s="67"/>
      <c r="N62" s="40">
        <f t="shared" si="30"/>
        <v>0</v>
      </c>
    </row>
    <row r="63" spans="2:14" s="7" customFormat="1" ht="13.5" thickBot="1">
      <c r="B63" s="6"/>
      <c r="D63" s="38">
        <f>SUM(D58:D62)</f>
        <v>0</v>
      </c>
      <c r="E63" s="38">
        <f t="shared" si="31" ref="E63:N63">SUM(E58:E62)</f>
        <v>0</v>
      </c>
      <c r="F63" s="38">
        <f t="shared" si="31"/>
        <v>0</v>
      </c>
      <c r="G63" s="38">
        <f t="shared" si="31"/>
        <v>0</v>
      </c>
      <c r="H63" s="38">
        <f t="shared" si="31"/>
        <v>0</v>
      </c>
      <c r="I63" s="38">
        <f t="shared" si="31"/>
        <v>0</v>
      </c>
      <c r="J63" s="38">
        <f t="shared" si="31"/>
        <v>0</v>
      </c>
      <c r="K63" s="38">
        <f t="shared" si="31"/>
        <v>0</v>
      </c>
      <c r="L63" s="38">
        <f t="shared" si="31"/>
        <v>0</v>
      </c>
      <c r="M63" s="39"/>
      <c r="N63" s="38">
        <f t="shared" si="31"/>
        <v>0</v>
      </c>
    </row>
    <row r="64" spans="2:14" s="7" customFormat="1" ht="13.5" thickTop="1">
      <c r="B64" s="6"/>
      <c r="D64" s="28"/>
      <c r="E64" s="28"/>
      <c r="F64" s="28"/>
      <c r="G64" s="28"/>
      <c r="H64" s="28"/>
      <c r="I64" s="28"/>
      <c r="J64" s="28"/>
      <c r="K64" s="28"/>
      <c r="L64" s="28"/>
      <c r="N64" s="29"/>
    </row>
    <row r="65" spans="1:14" s="7" customFormat="1" ht="12.75">
      <c r="A65" s="10" t="s">
        <v>44</v>
      </c>
      <c r="B65" s="6" t="s">
        <v>79</v>
      </c>
      <c r="D65" s="66">
        <f>+'Adj. #8'!E23+'Adj. #23'!E25+'Adj. #28'!E25</f>
        <v>1689333.1000000001</v>
      </c>
      <c r="E65" s="66">
        <f>+'Adj. #8'!F23+'Adj. #23'!F25+'Adj. #28'!F25</f>
        <v>0</v>
      </c>
      <c r="F65" s="66">
        <f>+'Adj. #8'!G23+'Adj. #23'!G25+'Adj. #28'!G25</f>
        <v>0</v>
      </c>
      <c r="G65" s="66">
        <f t="shared" si="32" ref="G65:G77">SUM(D65:F65)</f>
        <v>1689333.1000000001</v>
      </c>
      <c r="H65" s="66">
        <f>+'Adj. #8'!I23+'Adj. #23'!I25+'Adj. #28'!I25</f>
        <v>4660589.21</v>
      </c>
      <c r="I65" s="66">
        <f>+'Adj. #8'!J23+'Adj. #23'!J25+'Adj. #28'!J25</f>
        <v>0</v>
      </c>
      <c r="J65" s="66">
        <f t="shared" si="33" ref="J65:J77">SUM(H65:I65)</f>
        <v>4660589.21</v>
      </c>
      <c r="K65" s="66">
        <f>+'Adj. #8'!L23+'Adj. #23'!L25+'Adj. #28'!L25</f>
        <v>1270700.96</v>
      </c>
      <c r="L65" s="66">
        <f>+'Adj. #8'!M23+'Adj. #23'!M25+'Adj. #28'!M25</f>
        <v>51134.669999999824</v>
      </c>
      <c r="M65" s="66"/>
      <c r="N65" s="65">
        <f>+L65+K65+J65+G65</f>
        <v>7671757.9399999995</v>
      </c>
    </row>
    <row r="66" spans="1:14" s="7" customFormat="1" ht="12.75">
      <c r="A66" s="10" t="s">
        <v>45</v>
      </c>
      <c r="B66" s="6" t="s">
        <v>80</v>
      </c>
      <c r="D66" s="67">
        <v>0</v>
      </c>
      <c r="E66" s="67">
        <v>0</v>
      </c>
      <c r="F66" s="67">
        <v>0</v>
      </c>
      <c r="G66" s="67">
        <f t="shared" si="32"/>
        <v>0</v>
      </c>
      <c r="H66" s="67">
        <v>0</v>
      </c>
      <c r="I66" s="67">
        <v>0</v>
      </c>
      <c r="J66" s="67">
        <f t="shared" si="33"/>
        <v>0</v>
      </c>
      <c r="K66" s="67">
        <v>0</v>
      </c>
      <c r="L66" s="67">
        <v>0</v>
      </c>
      <c r="M66" s="67"/>
      <c r="N66" s="40">
        <f t="shared" si="34" ref="N66:N77">+L66+K66+J66+G66</f>
        <v>0</v>
      </c>
    </row>
    <row r="67" spans="1:14" s="7" customFormat="1" ht="12.75">
      <c r="A67" s="10" t="s">
        <v>68</v>
      </c>
      <c r="B67" s="6" t="s">
        <v>107</v>
      </c>
      <c r="D67" s="67">
        <v>0</v>
      </c>
      <c r="E67" s="67">
        <v>0</v>
      </c>
      <c r="F67" s="67">
        <v>0</v>
      </c>
      <c r="G67" s="67">
        <f t="shared" si="32"/>
        <v>0</v>
      </c>
      <c r="H67" s="67">
        <v>0</v>
      </c>
      <c r="I67" s="67">
        <v>0</v>
      </c>
      <c r="J67" s="67">
        <f t="shared" si="33"/>
        <v>0</v>
      </c>
      <c r="K67" s="67">
        <v>0</v>
      </c>
      <c r="L67" s="67">
        <v>0</v>
      </c>
      <c r="M67" s="67"/>
      <c r="N67" s="40">
        <f t="shared" si="34"/>
        <v>0</v>
      </c>
    </row>
    <row r="68" spans="1:14" s="7" customFormat="1" ht="12.75">
      <c r="A68" s="10" t="s">
        <v>53</v>
      </c>
      <c r="B68" s="6" t="s">
        <v>81</v>
      </c>
      <c r="D68" s="67">
        <v>0</v>
      </c>
      <c r="E68" s="67">
        <v>0</v>
      </c>
      <c r="F68" s="67">
        <v>0</v>
      </c>
      <c r="G68" s="67">
        <f t="shared" si="32"/>
        <v>0</v>
      </c>
      <c r="H68" s="67">
        <v>0</v>
      </c>
      <c r="I68" s="67">
        <v>0</v>
      </c>
      <c r="J68" s="67">
        <f t="shared" si="33"/>
        <v>0</v>
      </c>
      <c r="K68" s="67">
        <v>0</v>
      </c>
      <c r="L68" s="67">
        <v>0</v>
      </c>
      <c r="M68" s="67"/>
      <c r="N68" s="40">
        <f t="shared" si="34"/>
        <v>0</v>
      </c>
    </row>
    <row r="69" spans="1:14" s="7" customFormat="1" ht="12.75">
      <c r="A69" s="10" t="s">
        <v>49</v>
      </c>
      <c r="B69" s="6" t="s">
        <v>108</v>
      </c>
      <c r="D69" s="67">
        <v>0</v>
      </c>
      <c r="E69" s="67">
        <v>0</v>
      </c>
      <c r="F69" s="67">
        <v>0</v>
      </c>
      <c r="G69" s="67">
        <f t="shared" si="32"/>
        <v>0</v>
      </c>
      <c r="H69" s="67">
        <v>0</v>
      </c>
      <c r="I69" s="67">
        <v>0</v>
      </c>
      <c r="J69" s="67">
        <f t="shared" si="33"/>
        <v>0</v>
      </c>
      <c r="K69" s="67">
        <v>0</v>
      </c>
      <c r="L69" s="67">
        <v>0</v>
      </c>
      <c r="M69" s="67"/>
      <c r="N69" s="40">
        <f t="shared" si="34"/>
        <v>0</v>
      </c>
    </row>
    <row r="70" spans="1:14" s="7" customFormat="1" ht="12.75">
      <c r="A70" s="10" t="s">
        <v>69</v>
      </c>
      <c r="B70" s="6" t="s">
        <v>109</v>
      </c>
      <c r="D70" s="67">
        <v>0</v>
      </c>
      <c r="E70" s="67">
        <v>0</v>
      </c>
      <c r="F70" s="67">
        <v>0</v>
      </c>
      <c r="G70" s="67">
        <f t="shared" si="32"/>
        <v>0</v>
      </c>
      <c r="H70" s="67">
        <v>0</v>
      </c>
      <c r="I70" s="67">
        <v>0</v>
      </c>
      <c r="J70" s="67">
        <f t="shared" si="33"/>
        <v>0</v>
      </c>
      <c r="K70" s="67">
        <v>0</v>
      </c>
      <c r="L70" s="67">
        <v>0</v>
      </c>
      <c r="M70" s="67"/>
      <c r="N70" s="40">
        <f t="shared" si="34"/>
        <v>0</v>
      </c>
    </row>
    <row r="71" spans="1:14" s="7" customFormat="1" ht="12.75">
      <c r="A71" s="10" t="s">
        <v>48</v>
      </c>
      <c r="B71" s="6" t="s">
        <v>83</v>
      </c>
      <c r="D71" s="67">
        <v>0</v>
      </c>
      <c r="E71" s="67">
        <v>0</v>
      </c>
      <c r="F71" s="67">
        <v>0</v>
      </c>
      <c r="G71" s="67">
        <f t="shared" si="32"/>
        <v>0</v>
      </c>
      <c r="H71" s="67">
        <v>0</v>
      </c>
      <c r="I71" s="67">
        <v>0</v>
      </c>
      <c r="J71" s="67">
        <f t="shared" si="33"/>
        <v>0</v>
      </c>
      <c r="K71" s="67">
        <v>0</v>
      </c>
      <c r="L71" s="67">
        <v>0</v>
      </c>
      <c r="M71" s="67" t="e">
        <f>+#REF!</f>
        <v>#REF!</v>
      </c>
      <c r="N71" s="40">
        <f t="shared" si="34"/>
        <v>0</v>
      </c>
    </row>
    <row r="72" spans="1:14" s="7" customFormat="1" ht="12.75">
      <c r="A72" s="10" t="s">
        <v>50</v>
      </c>
      <c r="B72" s="6" t="s">
        <v>110</v>
      </c>
      <c r="D72" s="67">
        <v>0</v>
      </c>
      <c r="E72" s="67">
        <v>0</v>
      </c>
      <c r="F72" s="67">
        <v>0</v>
      </c>
      <c r="G72" s="67">
        <f t="shared" si="32"/>
        <v>0</v>
      </c>
      <c r="H72" s="67">
        <v>0</v>
      </c>
      <c r="I72" s="67">
        <v>0</v>
      </c>
      <c r="J72" s="67">
        <f t="shared" si="33"/>
        <v>0</v>
      </c>
      <c r="K72" s="67">
        <v>0</v>
      </c>
      <c r="L72" s="67">
        <v>0</v>
      </c>
      <c r="M72" s="67" t="e">
        <f>+#REF!</f>
        <v>#REF!</v>
      </c>
      <c r="N72" s="40">
        <f t="shared" si="34"/>
        <v>0</v>
      </c>
    </row>
    <row r="73" spans="1:14" s="7" customFormat="1" ht="12.75">
      <c r="A73" s="10" t="s">
        <v>70</v>
      </c>
      <c r="B73" s="6" t="s">
        <v>111</v>
      </c>
      <c r="D73" s="67">
        <v>0</v>
      </c>
      <c r="E73" s="67">
        <v>0</v>
      </c>
      <c r="F73" s="67">
        <v>0</v>
      </c>
      <c r="G73" s="67">
        <f t="shared" si="32"/>
        <v>0</v>
      </c>
      <c r="H73" s="67">
        <v>0</v>
      </c>
      <c r="I73" s="67">
        <v>0</v>
      </c>
      <c r="J73" s="67">
        <f t="shared" si="33"/>
        <v>0</v>
      </c>
      <c r="K73" s="67">
        <v>0</v>
      </c>
      <c r="L73" s="67">
        <v>0</v>
      </c>
      <c r="M73" s="67" t="e">
        <f>+#REF!</f>
        <v>#REF!</v>
      </c>
      <c r="N73" s="40">
        <f t="shared" si="34"/>
        <v>0</v>
      </c>
    </row>
    <row r="74" spans="1:14" s="7" customFormat="1" ht="12.75">
      <c r="A74" s="10" t="s">
        <v>47</v>
      </c>
      <c r="B74" s="6" t="s">
        <v>82</v>
      </c>
      <c r="D74" s="67">
        <v>0</v>
      </c>
      <c r="E74" s="67">
        <v>0</v>
      </c>
      <c r="F74" s="67">
        <v>0</v>
      </c>
      <c r="G74" s="67">
        <f t="shared" si="32"/>
        <v>0</v>
      </c>
      <c r="H74" s="67">
        <v>0</v>
      </c>
      <c r="I74" s="67">
        <v>0</v>
      </c>
      <c r="J74" s="67">
        <f t="shared" si="33"/>
        <v>0</v>
      </c>
      <c r="K74" s="67">
        <v>0</v>
      </c>
      <c r="L74" s="67">
        <v>0</v>
      </c>
      <c r="M74" s="67" t="e">
        <f>+#REF!</f>
        <v>#REF!</v>
      </c>
      <c r="N74" s="40">
        <f t="shared" si="34"/>
        <v>0</v>
      </c>
    </row>
    <row r="75" spans="1:14" s="7" customFormat="1" ht="12.75">
      <c r="A75" s="10" t="s">
        <v>54</v>
      </c>
      <c r="B75" s="6" t="s">
        <v>97</v>
      </c>
      <c r="D75" s="67">
        <v>0</v>
      </c>
      <c r="E75" s="67">
        <v>0</v>
      </c>
      <c r="F75" s="67">
        <v>0</v>
      </c>
      <c r="G75" s="67">
        <f t="shared" si="32"/>
        <v>0</v>
      </c>
      <c r="H75" s="67">
        <v>0</v>
      </c>
      <c r="I75" s="67">
        <v>0</v>
      </c>
      <c r="J75" s="67">
        <f t="shared" si="33"/>
        <v>0</v>
      </c>
      <c r="K75" s="67">
        <v>0</v>
      </c>
      <c r="L75" s="67">
        <v>0</v>
      </c>
      <c r="M75" s="67" t="e">
        <f>+#REF!</f>
        <v>#REF!</v>
      </c>
      <c r="N75" s="40">
        <f t="shared" si="34"/>
        <v>0</v>
      </c>
    </row>
    <row r="76" spans="1:14" s="7" customFormat="1" ht="12.75">
      <c r="A76" s="10" t="s">
        <v>121</v>
      </c>
      <c r="B76" s="6" t="s">
        <v>112</v>
      </c>
      <c r="D76" s="67">
        <v>0</v>
      </c>
      <c r="E76" s="67">
        <v>0</v>
      </c>
      <c r="F76" s="67">
        <v>0</v>
      </c>
      <c r="G76" s="67">
        <f t="shared" si="32"/>
        <v>0</v>
      </c>
      <c r="H76" s="67">
        <v>0</v>
      </c>
      <c r="I76" s="67">
        <v>0</v>
      </c>
      <c r="J76" s="67">
        <f t="shared" si="33"/>
        <v>0</v>
      </c>
      <c r="K76" s="67">
        <v>0</v>
      </c>
      <c r="L76" s="67">
        <v>0</v>
      </c>
      <c r="M76" s="67" t="e">
        <f>+#REF!</f>
        <v>#REF!</v>
      </c>
      <c r="N76" s="40">
        <f t="shared" si="34"/>
        <v>0</v>
      </c>
    </row>
    <row r="77" spans="1:14" s="7" customFormat="1" ht="12.75">
      <c r="A77" s="10" t="s">
        <v>58</v>
      </c>
      <c r="B77" s="6" t="s">
        <v>112</v>
      </c>
      <c r="D77" s="67">
        <v>0</v>
      </c>
      <c r="E77" s="67">
        <v>0</v>
      </c>
      <c r="F77" s="67">
        <v>0</v>
      </c>
      <c r="G77" s="67">
        <f t="shared" si="32"/>
        <v>0</v>
      </c>
      <c r="H77" s="67">
        <v>0</v>
      </c>
      <c r="I77" s="67">
        <v>0</v>
      </c>
      <c r="J77" s="67">
        <f t="shared" si="33"/>
        <v>0</v>
      </c>
      <c r="K77" s="67">
        <v>0</v>
      </c>
      <c r="L77" s="67">
        <v>0</v>
      </c>
      <c r="M77" s="67" t="e">
        <f>+#REF!</f>
        <v>#REF!</v>
      </c>
      <c r="N77" s="40">
        <f t="shared" si="34"/>
        <v>0</v>
      </c>
    </row>
    <row r="78" spans="1:14" s="7" customFormat="1" ht="13.5" thickBot="1">
      <c r="A78" s="10"/>
      <c r="B78" s="6"/>
      <c r="D78" s="38">
        <f>SUM(D65:D77)</f>
        <v>1689333.1000000001</v>
      </c>
      <c r="E78" s="38">
        <f t="shared" si="35" ref="E78:N78">SUM(E65:E77)</f>
        <v>0</v>
      </c>
      <c r="F78" s="38">
        <f t="shared" si="35"/>
        <v>0</v>
      </c>
      <c r="G78" s="38">
        <f t="shared" si="35"/>
        <v>1689333.1000000001</v>
      </c>
      <c r="H78" s="38">
        <f t="shared" si="35"/>
        <v>4660589.21</v>
      </c>
      <c r="I78" s="38">
        <f t="shared" si="35"/>
        <v>0</v>
      </c>
      <c r="J78" s="38">
        <f t="shared" si="35"/>
        <v>4660589.21</v>
      </c>
      <c r="K78" s="38">
        <f t="shared" si="35"/>
        <v>1270700.96</v>
      </c>
      <c r="L78" s="38">
        <f t="shared" si="35"/>
        <v>51134.669999999824</v>
      </c>
      <c r="M78" s="39"/>
      <c r="N78" s="38">
        <f t="shared" si="35"/>
        <v>7671757.9399999995</v>
      </c>
    </row>
    <row r="79" spans="4:14" s="7" customFormat="1" ht="13.5" thickTop="1">
      <c r="D79" s="35"/>
      <c r="E79" s="35"/>
      <c r="F79" s="35"/>
      <c r="G79" s="35"/>
      <c r="H79" s="35"/>
      <c r="I79" s="35"/>
      <c r="J79" s="35"/>
      <c r="K79" s="35"/>
      <c r="L79" s="35"/>
      <c r="M79" s="36"/>
      <c r="N79" s="37"/>
    </row>
    <row r="80" spans="4:14" ht="12.75"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51"/>
    </row>
    <row r="81" spans="4:14" ht="12.75"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51"/>
    </row>
    <row r="82" spans="4:14" ht="13.5" thickBot="1">
      <c r="D82" s="38">
        <f>+D11+D19+D31+D42+D49+D56+D63+D78</f>
        <v>4934767.1699999999</v>
      </c>
      <c r="E82" s="38">
        <f t="shared" si="36" ref="E82:N82">+E11+E19+E31+E42+E49+E56+E63+E78</f>
        <v>0</v>
      </c>
      <c r="F82" s="38">
        <f t="shared" si="36"/>
        <v>0</v>
      </c>
      <c r="G82" s="38">
        <f t="shared" si="36"/>
        <v>4934767.1699999999</v>
      </c>
      <c r="H82" s="38">
        <f t="shared" si="36"/>
        <v>12666434.68</v>
      </c>
      <c r="I82" s="38">
        <f t="shared" si="36"/>
        <v>0</v>
      </c>
      <c r="J82" s="38">
        <f t="shared" si="36"/>
        <v>12666434.68</v>
      </c>
      <c r="K82" s="38">
        <f t="shared" si="36"/>
        <v>1270700.96</v>
      </c>
      <c r="L82" s="38">
        <f t="shared" si="36"/>
        <v>51134.669999999824</v>
      </c>
      <c r="M82" s="39"/>
      <c r="N82" s="38">
        <f t="shared" si="36"/>
        <v>18923037.48</v>
      </c>
    </row>
    <row r="83" ht="13.5" thickTop="1"/>
    <row r="85" spans="2:15" ht="12.75">
      <c r="B85" s="25" t="s">
        <v>122</v>
      </c>
      <c r="D85" s="23"/>
      <c r="E85" s="23"/>
      <c r="F85" s="23"/>
      <c r="G85" s="23"/>
      <c r="H85" s="33" t="str">
        <f>+'Total Summary'!H85</f>
        <v/>
      </c>
      <c r="I85" s="33"/>
      <c r="J85" s="33"/>
      <c r="N85" s="42" t="b">
        <f>ROUND(+N82,2)=ROUND(D135,2)</f>
        <v>1</v>
      </c>
      <c r="O85" s="44">
        <f>ROUND(+N82,2)-ROUND(D135,2)</f>
        <v>0</v>
      </c>
    </row>
    <row r="86" spans="2:10" ht="12.75">
      <c r="B86" s="25" t="s">
        <v>123</v>
      </c>
      <c r="D86" s="24"/>
      <c r="E86" s="24"/>
      <c r="F86" s="24"/>
      <c r="G86" s="24"/>
      <c r="H86" s="33"/>
      <c r="I86" s="33"/>
      <c r="J86" s="33"/>
    </row>
    <row r="87" spans="2:10" ht="12.75">
      <c r="B87" s="25" t="s">
        <v>124</v>
      </c>
      <c r="D87" s="24"/>
      <c r="E87" s="24"/>
      <c r="F87" s="24"/>
      <c r="G87" s="24"/>
      <c r="H87" s="33"/>
      <c r="I87" s="33"/>
      <c r="J87" s="33"/>
    </row>
    <row r="88" spans="2:10" ht="12.75">
      <c r="B88" s="25" t="s">
        <v>125</v>
      </c>
      <c r="D88" s="24"/>
      <c r="E88" s="24"/>
      <c r="F88" s="24"/>
      <c r="G88" s="24"/>
      <c r="H88" s="33"/>
      <c r="I88" s="33"/>
      <c r="J88" s="33"/>
    </row>
    <row r="89" spans="2:10" ht="12.75">
      <c r="B89" s="25" t="s">
        <v>126</v>
      </c>
      <c r="D89" s="24"/>
      <c r="E89" s="24"/>
      <c r="F89" s="24"/>
      <c r="G89" s="24"/>
      <c r="H89" s="33"/>
      <c r="I89" s="33"/>
      <c r="J89" s="33"/>
    </row>
    <row r="90" spans="2:10" ht="12.75">
      <c r="B90" s="25" t="s">
        <v>127</v>
      </c>
      <c r="D90" s="24"/>
      <c r="E90" s="24"/>
      <c r="F90" s="24"/>
      <c r="G90" s="24"/>
      <c r="H90" s="33"/>
      <c r="I90" s="33"/>
      <c r="J90" s="33"/>
    </row>
    <row r="91" spans="2:10" ht="12.75">
      <c r="B91" s="25" t="s">
        <v>128</v>
      </c>
      <c r="D91" s="24"/>
      <c r="E91" s="70"/>
      <c r="F91" s="24"/>
      <c r="G91" s="24"/>
      <c r="H91" s="33"/>
      <c r="I91" s="33"/>
      <c r="J91" s="33"/>
    </row>
    <row r="92" spans="2:10" ht="12.75">
      <c r="B92" s="25" t="s">
        <v>129</v>
      </c>
      <c r="D92" s="24">
        <f>+'Adj. #8'!D23</f>
        <v>319759.46000000002</v>
      </c>
      <c r="E92" s="80" t="str">
        <f>+'Total Summary'!E92</f>
        <v>2021 Vacation Accrual Carryover</v>
      </c>
      <c r="F92" s="24"/>
      <c r="G92" s="24"/>
      <c r="H92" s="33"/>
      <c r="I92" s="33"/>
      <c r="J92" s="33"/>
    </row>
    <row r="93" spans="2:10" ht="12.75">
      <c r="B93" s="25" t="s">
        <v>130</v>
      </c>
      <c r="D93" s="24"/>
      <c r="E93" s="24"/>
      <c r="F93" s="24"/>
      <c r="G93" s="24"/>
      <c r="H93" s="33"/>
      <c r="I93" s="33"/>
      <c r="J93" s="33"/>
    </row>
    <row r="94" spans="2:10" ht="12.75">
      <c r="B94" s="25" t="s">
        <v>131</v>
      </c>
      <c r="D94" s="24"/>
      <c r="E94" s="24"/>
      <c r="F94" s="24"/>
      <c r="G94" s="24"/>
      <c r="H94" s="33"/>
      <c r="I94" s="33"/>
      <c r="J94" s="33"/>
    </row>
    <row r="95" spans="2:10" ht="12.75">
      <c r="B95" s="25" t="s">
        <v>132</v>
      </c>
      <c r="D95" s="24"/>
      <c r="E95" s="24"/>
      <c r="F95" s="24"/>
      <c r="G95" s="24"/>
      <c r="H95" s="33"/>
      <c r="I95" s="33"/>
      <c r="J95" s="33"/>
    </row>
    <row r="96" spans="2:10" ht="12.75">
      <c r="B96" s="25" t="s">
        <v>133</v>
      </c>
      <c r="D96" s="24"/>
      <c r="E96" s="24"/>
      <c r="F96" s="24"/>
      <c r="G96" s="24"/>
      <c r="H96" s="33"/>
      <c r="I96" s="33"/>
      <c r="J96" s="33"/>
    </row>
    <row r="97" spans="2:10" ht="12.75">
      <c r="B97" s="25" t="s">
        <v>134</v>
      </c>
      <c r="D97" s="24"/>
      <c r="E97" s="24"/>
      <c r="F97" s="24"/>
      <c r="G97" s="24"/>
      <c r="H97" s="33"/>
      <c r="I97" s="33"/>
      <c r="J97" s="33"/>
    </row>
    <row r="98" spans="2:10" ht="12.75">
      <c r="B98" s="25" t="s">
        <v>135</v>
      </c>
      <c r="D98" s="24"/>
      <c r="E98" s="24"/>
      <c r="F98" s="24"/>
      <c r="G98" s="24"/>
      <c r="H98" s="33"/>
      <c r="I98" s="33"/>
      <c r="J98" s="33"/>
    </row>
    <row r="99" spans="2:10" ht="12.75">
      <c r="B99" s="25" t="s">
        <v>136</v>
      </c>
      <c r="D99" s="24"/>
      <c r="E99" s="24"/>
      <c r="F99" s="24"/>
      <c r="G99" s="24"/>
      <c r="H99" s="33"/>
      <c r="I99" s="33"/>
      <c r="J99" s="33"/>
    </row>
    <row r="100" spans="2:10" ht="12.75">
      <c r="B100" s="25" t="s">
        <v>137</v>
      </c>
      <c r="D100" s="24"/>
      <c r="E100" s="24"/>
      <c r="F100" s="24"/>
      <c r="G100" s="24"/>
      <c r="H100" s="33"/>
      <c r="I100" s="33"/>
      <c r="J100" s="33"/>
    </row>
    <row r="101" spans="2:10" ht="12.75">
      <c r="B101" s="25" t="s">
        <v>138</v>
      </c>
      <c r="D101" s="24"/>
      <c r="E101" s="24"/>
      <c r="F101" s="24"/>
      <c r="G101" s="24"/>
      <c r="H101" s="33"/>
      <c r="I101" s="33"/>
      <c r="J101" s="33"/>
    </row>
    <row r="102" spans="2:10" ht="12.75">
      <c r="B102" s="25" t="s">
        <v>139</v>
      </c>
      <c r="D102" s="24"/>
      <c r="E102" s="24"/>
      <c r="F102" s="24"/>
      <c r="G102" s="24"/>
      <c r="H102" s="33"/>
      <c r="I102" s="33"/>
      <c r="J102" s="33"/>
    </row>
    <row r="103" spans="2:10" ht="12.75">
      <c r="B103" s="25" t="s">
        <v>140</v>
      </c>
      <c r="D103" s="24"/>
      <c r="E103" s="24"/>
      <c r="F103" s="24"/>
      <c r="G103" s="24"/>
      <c r="H103" s="33"/>
      <c r="I103" s="33"/>
      <c r="J103" s="33"/>
    </row>
    <row r="104" spans="2:10" ht="12.75">
      <c r="B104" s="25" t="s">
        <v>141</v>
      </c>
      <c r="D104" s="24"/>
      <c r="E104" s="24"/>
      <c r="F104" s="24"/>
      <c r="G104" s="24"/>
      <c r="H104" s="33"/>
      <c r="I104" s="33"/>
      <c r="J104" s="33"/>
    </row>
    <row r="105" spans="2:10" ht="12.75">
      <c r="B105" s="25" t="s">
        <v>142</v>
      </c>
      <c r="D105" s="24">
        <f>+'Adj. #21'!D28</f>
        <v>-16078.24</v>
      </c>
      <c r="E105" s="80" t="str">
        <f>+'Total Summary'!E105</f>
        <v>Remove Write-Off of Cancelled Partner Projects</v>
      </c>
      <c r="F105" s="24"/>
      <c r="G105" s="24"/>
      <c r="H105" s="33"/>
      <c r="I105" s="33"/>
      <c r="J105" s="33"/>
    </row>
    <row r="106" spans="2:10" ht="12.75">
      <c r="B106" s="25" t="s">
        <v>143</v>
      </c>
      <c r="D106" s="24"/>
      <c r="E106" s="24"/>
      <c r="F106" s="24"/>
      <c r="G106" s="24"/>
      <c r="H106" s="33"/>
      <c r="I106" s="33"/>
      <c r="J106" s="33"/>
    </row>
    <row r="107" spans="2:10" ht="12.75">
      <c r="B107" s="25" t="s">
        <v>145</v>
      </c>
      <c r="D107" s="24">
        <f>+'Adj. #23'!D27</f>
        <v>16035964</v>
      </c>
      <c r="E107" s="81" t="str">
        <f>+'Total Summary'!E107</f>
        <v>Merit Increase and Wages Annualized</v>
      </c>
      <c r="F107" s="24"/>
      <c r="G107" s="24"/>
      <c r="H107" s="33"/>
      <c r="I107" s="33"/>
      <c r="J107" s="33"/>
    </row>
    <row r="108" spans="2:10" ht="12.75">
      <c r="B108" s="25" t="s">
        <v>146</v>
      </c>
      <c r="D108" s="24"/>
      <c r="E108" s="24"/>
      <c r="F108" s="24"/>
      <c r="G108" s="24"/>
      <c r="H108" s="33"/>
      <c r="I108" s="33"/>
      <c r="J108" s="33"/>
    </row>
    <row r="109" spans="2:10" ht="12.75">
      <c r="B109" s="25" t="s">
        <v>147</v>
      </c>
      <c r="D109" s="24"/>
      <c r="E109" s="24"/>
      <c r="F109" s="24"/>
      <c r="G109" s="24"/>
      <c r="H109" s="33"/>
      <c r="I109" s="33"/>
      <c r="J109" s="33"/>
    </row>
    <row r="110" spans="2:10" ht="12.75">
      <c r="B110" s="25" t="s">
        <v>148</v>
      </c>
      <c r="D110" s="24"/>
      <c r="E110" s="24"/>
      <c r="F110" s="24"/>
      <c r="G110" s="24"/>
      <c r="H110" s="33"/>
      <c r="I110" s="33"/>
      <c r="J110" s="33"/>
    </row>
    <row r="111" spans="2:10" ht="12.75">
      <c r="B111" s="25" t="s">
        <v>149</v>
      </c>
      <c r="D111" s="24"/>
      <c r="E111" s="24"/>
      <c r="F111" s="24"/>
      <c r="G111" s="24"/>
      <c r="H111" s="33"/>
      <c r="I111" s="33"/>
      <c r="J111" s="33"/>
    </row>
    <row r="112" spans="2:10" ht="12.75">
      <c r="B112" s="25" t="s">
        <v>150</v>
      </c>
      <c r="D112" s="24">
        <f>+'Adj. #28'!D27</f>
        <v>2583392.2599999998</v>
      </c>
      <c r="E112" s="81" t="str">
        <f>+'Total Summary'!E112</f>
        <v>Incentive Compensation Adjustment</v>
      </c>
      <c r="F112" s="24"/>
      <c r="G112" s="24"/>
      <c r="H112" s="33"/>
      <c r="I112" s="33"/>
      <c r="J112" s="33"/>
    </row>
    <row r="113" spans="2:10" ht="12.75">
      <c r="B113" s="25" t="s">
        <v>151</v>
      </c>
      <c r="D113" s="24"/>
      <c r="E113" s="24"/>
      <c r="F113" s="24"/>
      <c r="G113" s="24"/>
      <c r="H113" s="33"/>
      <c r="I113" s="33"/>
      <c r="J113" s="33"/>
    </row>
    <row r="114" spans="2:10" ht="12.75">
      <c r="B114" s="25" t="s">
        <v>152</v>
      </c>
      <c r="D114" s="24"/>
      <c r="E114" s="24"/>
      <c r="F114" s="24"/>
      <c r="G114" s="24"/>
      <c r="H114" s="33"/>
      <c r="I114" s="33"/>
      <c r="J114" s="33"/>
    </row>
    <row r="115" spans="2:10" ht="12.75">
      <c r="B115" s="25" t="s">
        <v>153</v>
      </c>
      <c r="D115" s="24"/>
      <c r="E115" s="24"/>
      <c r="F115" s="24"/>
      <c r="G115" s="24"/>
      <c r="H115" s="33"/>
      <c r="I115" s="33"/>
      <c r="J115" s="33"/>
    </row>
    <row r="116" spans="2:10" ht="12.75">
      <c r="B116" s="25" t="s">
        <v>154</v>
      </c>
      <c r="D116" s="24"/>
      <c r="E116" s="24"/>
      <c r="F116" s="24"/>
      <c r="G116" s="24"/>
      <c r="H116" s="33"/>
      <c r="I116" s="33"/>
      <c r="J116" s="33"/>
    </row>
    <row r="117" spans="2:10" ht="12.75">
      <c r="B117" s="25" t="s">
        <v>155</v>
      </c>
      <c r="D117" s="24"/>
      <c r="E117" s="24"/>
      <c r="F117" s="24"/>
      <c r="G117" s="24"/>
      <c r="H117" s="33"/>
      <c r="I117" s="33"/>
      <c r="J117" s="33"/>
    </row>
    <row r="118" spans="2:10" ht="12.75">
      <c r="B118" s="25" t="s">
        <v>156</v>
      </c>
      <c r="D118" s="24"/>
      <c r="E118" s="24"/>
      <c r="F118" s="24"/>
      <c r="G118" s="24"/>
      <c r="H118" s="33"/>
      <c r="I118" s="33"/>
      <c r="J118" s="33"/>
    </row>
    <row r="119" spans="2:2" ht="12.75">
      <c r="B119" s="25" t="s">
        <v>159</v>
      </c>
    </row>
    <row r="120" spans="2:2" ht="12.75">
      <c r="B120" s="25" t="s">
        <v>160</v>
      </c>
    </row>
    <row r="121" spans="2:2" ht="12.75">
      <c r="B121" s="25" t="s">
        <v>161</v>
      </c>
    </row>
    <row r="122" spans="2:7" ht="12.75">
      <c r="B122" s="25" t="s">
        <v>162</v>
      </c>
      <c r="D122" s="27"/>
      <c r="E122" s="27"/>
      <c r="F122" s="27"/>
      <c r="G122" s="27"/>
    </row>
    <row r="123" spans="2:2" ht="12.75">
      <c r="B123" s="25" t="s">
        <v>163</v>
      </c>
    </row>
    <row r="124" spans="2:2" ht="12.75">
      <c r="B124" s="25" t="s">
        <v>164</v>
      </c>
    </row>
    <row r="125" spans="2:2" ht="12.75">
      <c r="B125" s="25" t="s">
        <v>165</v>
      </c>
    </row>
    <row r="126" spans="2:2" ht="12.75">
      <c r="B126" s="25" t="s">
        <v>166</v>
      </c>
    </row>
    <row r="127" spans="2:7" ht="12.75">
      <c r="B127" s="25" t="s">
        <v>167</v>
      </c>
      <c r="D127" s="43"/>
      <c r="E127" s="63"/>
      <c r="F127" s="63"/>
      <c r="G127" s="63"/>
    </row>
    <row r="128" spans="2:5" ht="12.75">
      <c r="B128" s="25" t="s">
        <v>177</v>
      </c>
      <c r="D128" s="43"/>
      <c r="E128" s="63"/>
    </row>
    <row r="129" spans="2:2" ht="12.75">
      <c r="B129" s="25" t="s">
        <v>178</v>
      </c>
    </row>
    <row r="130" spans="2:2" ht="12.75">
      <c r="B130" s="25" t="s">
        <v>179</v>
      </c>
    </row>
    <row r="131" spans="2:2" ht="12.75">
      <c r="B131" s="25" t="s">
        <v>180</v>
      </c>
    </row>
    <row r="132" spans="2:2" ht="12.75">
      <c r="B132" s="25" t="s">
        <v>181</v>
      </c>
    </row>
    <row r="133" spans="2:12" ht="12.75">
      <c r="B133" s="25" t="s">
        <v>182</v>
      </c>
      <c r="D133" s="31"/>
      <c r="E133" s="31"/>
      <c r="F133" s="31"/>
      <c r="G133" s="31"/>
      <c r="H133" s="31"/>
      <c r="I133" s="31"/>
      <c r="J133" s="31"/>
      <c r="K133" s="31"/>
      <c r="L133" s="31"/>
    </row>
    <row r="135" spans="4:4" ht="13.5" thickBot="1">
      <c r="D135" s="26">
        <f>SUM(D85:D133)</f>
        <v>18923037.48</v>
      </c>
    </row>
    <row r="136" ht="13.5" thickTop="1"/>
  </sheetData>
  <hyperlinks>
    <hyperlink ref="E92" location="'Adj. #8'!B5" display="2021 Vacation Accrual Carryover"/>
    <hyperlink ref="E105" location="'Adj. #21'!B5" display="Write-Off Cancelled Parter Projects"/>
    <hyperlink ref="E107" location="'Adj. #23'!B5" display="Merit Increase and Wages Annualized"/>
    <hyperlink ref="E112" location="'Adj. #28'!B5" display="Incentive Compensation Adjustment"/>
  </hyperlinks>
  <printOptions horizontalCentered="1"/>
  <pageMargins left="0" right="0" top="1" bottom="0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4">
    <tabColor rgb="FF0070C0"/>
    <pageSetUpPr fitToPage="1"/>
  </sheetPr>
  <dimension ref="A2:N27"/>
  <sheetViews>
    <sheetView workbookViewId="0" topLeftCell="A1">
      <selection pane="topLeft" activeCell="N26" sqref="N26"/>
    </sheetView>
  </sheetViews>
  <sheetFormatPr defaultRowHeight="12.75"/>
  <cols>
    <col min="1" max="1" width="5.14285714285714" bestFit="1" customWidth="1"/>
    <col min="2" max="2" width="15.7142857142857" customWidth="1"/>
    <col min="3" max="3" width="8.71428571428571" bestFit="1" customWidth="1"/>
    <col min="4" max="4" width="20.5714285714286" bestFit="1" customWidth="1"/>
    <col min="5" max="5" width="14.7142857142857" customWidth="1"/>
    <col min="6" max="8" width="14.7142857142857" style="45" customWidth="1"/>
    <col min="9" max="9" width="14.7142857142857" customWidth="1"/>
    <col min="10" max="11" width="14.7142857142857" style="45" customWidth="1"/>
    <col min="12" max="12" width="14.7142857142857" customWidth="1"/>
    <col min="13" max="13" width="21" customWidth="1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2">
        <v>1</v>
      </c>
      <c r="B6" s="16" t="s">
        <v>144</v>
      </c>
      <c r="C6" s="16"/>
      <c r="D6" s="16"/>
    </row>
    <row r="7" spans="1:11" ht="12.75">
      <c r="A7" s="2">
        <v>2</v>
      </c>
      <c r="B7" s="18"/>
      <c r="C7" s="18"/>
      <c r="D7" s="18"/>
      <c r="E7" s="18"/>
      <c r="F7" s="48"/>
      <c r="G7" s="48"/>
      <c r="H7" s="48"/>
      <c r="I7" s="18"/>
      <c r="J7" s="48"/>
      <c r="K7" s="48"/>
    </row>
    <row r="8" spans="1:13" ht="12.75">
      <c r="A8" s="2">
        <v>3</v>
      </c>
      <c r="B8" s="18"/>
      <c r="C8" s="18"/>
      <c r="D8" s="18"/>
      <c r="E8" s="19"/>
      <c r="F8" s="53"/>
      <c r="G8" s="53"/>
      <c r="H8" s="53"/>
      <c r="I8" s="20"/>
      <c r="J8" s="49"/>
      <c r="K8" s="49"/>
      <c r="M8" s="56"/>
    </row>
    <row r="9" spans="1:13" s="45" customFormat="1" ht="12.75">
      <c r="A9" s="46">
        <v>4</v>
      </c>
      <c r="B9" s="48"/>
      <c r="C9" s="52"/>
      <c r="D9" s="48"/>
      <c r="E9" s="53"/>
      <c r="F9" s="53"/>
      <c r="G9" s="53"/>
      <c r="H9" s="53"/>
      <c r="I9" s="49"/>
      <c r="J9" s="49"/>
      <c r="K9" s="69" t="s">
        <v>176</v>
      </c>
      <c r="M9" s="56"/>
    </row>
    <row r="10" spans="1:13" s="45" customFormat="1" ht="12.75">
      <c r="A10" s="46">
        <v>5</v>
      </c>
      <c r="B10" s="48"/>
      <c r="C10" s="52"/>
      <c r="D10" s="48"/>
      <c r="E10" s="53"/>
      <c r="F10" s="53"/>
      <c r="G10" s="53"/>
      <c r="H10" s="53"/>
      <c r="I10" s="49"/>
      <c r="J10" s="49"/>
      <c r="K10" s="49"/>
      <c r="M10" s="43"/>
    </row>
    <row r="11" spans="1:13" s="45" customFormat="1" ht="12.75">
      <c r="A11" s="46">
        <v>6</v>
      </c>
      <c r="B11" s="48"/>
      <c r="C11" s="52"/>
      <c r="D11" s="48"/>
      <c r="E11" s="53"/>
      <c r="F11" s="53"/>
      <c r="G11" s="53"/>
      <c r="H11" s="53"/>
      <c r="I11" s="49"/>
      <c r="J11" s="49"/>
      <c r="K11" s="49"/>
      <c r="M11" s="43"/>
    </row>
    <row r="12" spans="1:13" ht="12.75">
      <c r="A12" s="46">
        <v>7</v>
      </c>
      <c r="B12" s="52"/>
      <c r="C12" s="18"/>
      <c r="D12" s="18"/>
      <c r="E12" s="21"/>
      <c r="F12" s="50"/>
      <c r="G12" s="50"/>
      <c r="H12" s="50"/>
      <c r="I12" s="22"/>
      <c r="J12" s="51"/>
      <c r="K12" s="51"/>
      <c r="M12" s="43"/>
    </row>
    <row r="13" spans="1:11" ht="12.75">
      <c r="A13" s="46">
        <v>8</v>
      </c>
      <c r="B13" s="18"/>
      <c r="C13" s="18"/>
      <c r="D13" s="18"/>
      <c r="E13" s="22"/>
      <c r="F13" s="51"/>
      <c r="G13" s="51"/>
      <c r="H13" s="51"/>
      <c r="I13" s="22"/>
      <c r="J13" s="51"/>
      <c r="K13" s="51"/>
    </row>
    <row r="14" spans="1:13" s="45" customFormat="1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51"/>
      <c r="K14" s="30" t="s">
        <v>158</v>
      </c>
      <c r="M14" s="55">
        <f>+M12-M10</f>
        <v>0</v>
      </c>
    </row>
    <row r="15" spans="1:11" ht="13.5" thickTop="1">
      <c r="A15" s="46">
        <v>10</v>
      </c>
      <c r="B15" s="18"/>
      <c r="C15" s="18"/>
      <c r="D15" s="18"/>
      <c r="E15" s="18"/>
      <c r="F15" s="48"/>
      <c r="G15" s="48"/>
      <c r="H15" s="48"/>
      <c r="I15" s="1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07"/>
      <c r="F17" s="108"/>
      <c r="G17" s="108"/>
      <c r="H17" s="108"/>
      <c r="I17" s="108"/>
      <c r="J17" s="58"/>
      <c r="K17" s="58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59" t="s">
        <v>168</v>
      </c>
      <c r="G20" s="59" t="s">
        <v>169</v>
      </c>
      <c r="H20" s="59" t="s">
        <v>171</v>
      </c>
      <c r="I20" s="109" t="s">
        <v>8</v>
      </c>
      <c r="J20" s="59" t="s">
        <v>168</v>
      </c>
      <c r="K20" s="59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60" t="s">
        <v>7</v>
      </c>
      <c r="G21" s="60" t="s">
        <v>170</v>
      </c>
      <c r="H21" s="60" t="s">
        <v>7</v>
      </c>
      <c r="I21" s="111"/>
      <c r="J21" s="60" t="s">
        <v>8</v>
      </c>
      <c r="K21" s="60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17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/>
      <c r="D23" s="41">
        <f>+M14</f>
        <v>0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f>+D23-M9</f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4" s="45" customFormat="1" ht="12.75">
      <c r="A24" s="46">
        <v>19</v>
      </c>
      <c r="C24" s="34"/>
      <c r="D24" s="71">
        <v>0</v>
      </c>
      <c r="E24" s="43">
        <v>0</v>
      </c>
      <c r="F24" s="43">
        <v>0</v>
      </c>
      <c r="G24" s="43">
        <v>0</v>
      </c>
      <c r="H24" s="43">
        <f t="shared" si="0" ref="H24:H25">SUM(E24:G24)</f>
        <v>0</v>
      </c>
      <c r="I24" s="43">
        <f>+M8</f>
        <v>0</v>
      </c>
      <c r="J24" s="43">
        <v>0</v>
      </c>
      <c r="K24" s="43">
        <f t="shared" si="1" ref="K24:K25">SUM(I24:J24)</f>
        <v>0</v>
      </c>
      <c r="L24" s="43">
        <v>0</v>
      </c>
      <c r="M24" s="43">
        <v>0</v>
      </c>
      <c r="N24" s="45" t="b">
        <f>+D24=(M24+L24+K24+H24)</f>
        <v>1</v>
      </c>
    </row>
    <row r="25" spans="1:14" ht="12.75">
      <c r="A25" s="46">
        <v>20</v>
      </c>
      <c r="C25" s="34"/>
      <c r="D25" s="71">
        <v>0</v>
      </c>
      <c r="E25" s="43">
        <v>0</v>
      </c>
      <c r="F25" s="43">
        <v>0</v>
      </c>
      <c r="G25" s="43">
        <v>0</v>
      </c>
      <c r="H25" s="43">
        <f t="shared" si="0"/>
        <v>0</v>
      </c>
      <c r="I25" s="43">
        <v>0</v>
      </c>
      <c r="J25" s="43">
        <v>0</v>
      </c>
      <c r="K25" s="43">
        <f t="shared" si="1"/>
        <v>0</v>
      </c>
      <c r="L25" s="43">
        <v>0</v>
      </c>
      <c r="M25" s="43">
        <v>0</v>
      </c>
      <c r="N25" s="45" t="b">
        <f>+D25=(M25+L25+K25+H25)</f>
        <v>1</v>
      </c>
    </row>
    <row r="26" spans="1:14" ht="13.5" thickBot="1">
      <c r="A26" s="46">
        <v>21</v>
      </c>
      <c r="D26" s="55">
        <f t="shared" si="2" ref="D26:M26">SUM(D23:D25)</f>
        <v>0</v>
      </c>
      <c r="E26" s="55">
        <f t="shared" si="2"/>
        <v>0</v>
      </c>
      <c r="F26" s="55">
        <f t="shared" si="2"/>
        <v>0</v>
      </c>
      <c r="G26" s="55">
        <f t="shared" si="2"/>
        <v>0</v>
      </c>
      <c r="H26" s="55">
        <f t="shared" si="2"/>
        <v>0</v>
      </c>
      <c r="I26" s="55">
        <f t="shared" si="2"/>
        <v>0</v>
      </c>
      <c r="J26" s="55">
        <f t="shared" si="2"/>
        <v>0</v>
      </c>
      <c r="K26" s="55">
        <f t="shared" si="2"/>
        <v>0</v>
      </c>
      <c r="L26" s="55">
        <f t="shared" si="2"/>
        <v>0</v>
      </c>
      <c r="M26" s="55">
        <f t="shared" si="2"/>
        <v>0</v>
      </c>
      <c r="N26" s="45" t="b">
        <f>+D26=(M26+L26+K26+H26)</f>
        <v>1</v>
      </c>
    </row>
    <row r="27" spans="1:1" ht="13.5" thickTop="1">
      <c r="A27" s="46">
        <v>22</v>
      </c>
    </row>
  </sheetData>
  <mergeCells count="10">
    <mergeCell ref="M20:M21"/>
    <mergeCell ref="E17:I17"/>
    <mergeCell ref="B2:L3"/>
    <mergeCell ref="B20:B21"/>
    <mergeCell ref="B17:D17"/>
    <mergeCell ref="B4:L4"/>
    <mergeCell ref="C20:C21"/>
    <mergeCell ref="E20:E21"/>
    <mergeCell ref="I20:I21"/>
    <mergeCell ref="L20:L21"/>
  </mergeCells>
  <printOptions horizontalCentered="1"/>
  <pageMargins left="0.05" right="0.05" top="2.6" bottom="0.5" header="1.5" footer="0.5"/>
  <pageSetup orientation="landscape" scale="72" r:id="rId1"/>
  <headerFooter alignWithMargins="0">
    <oddHeader>&amp;C&amp;"Arial,Bold"
ONCOR ELECTRIC DELIVERY COMPANY LLC
xxxxxx
FOR THE TEST YEAR ENDING DECEMBER 31, 2020
SPONSOR: A. LEDBETTER&amp;R&amp;"Arial,Bold"WP/II-D ADJUSTMENT/1
Page &amp;P of &amp;N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5">
    <pageSetUpPr fitToPage="1"/>
  </sheetPr>
  <dimension ref="A2:N35"/>
  <sheetViews>
    <sheetView workbookViewId="0" topLeftCell="A1">
      <pane xSplit="1" ySplit="3" topLeftCell="B6" activePane="bottomRight" state="frozen"/>
      <selection pane="topLeft" activeCell="A1" sqref="A1"/>
      <selection pane="bottomLeft" activeCell="A4" sqref="A4"/>
      <selection pane="topRight" activeCell="B1" sqref="B1"/>
      <selection pane="bottomRight" activeCell="B6" sqref="B6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5" ht="12.75">
      <c r="A6" s="46">
        <v>1</v>
      </c>
      <c r="B6" s="85" t="s">
        <v>186</v>
      </c>
      <c r="C6" s="85"/>
      <c r="D6" s="85"/>
      <c r="E6" s="84"/>
    </row>
    <row r="7" spans="1:11" ht="12.75">
      <c r="A7" s="46">
        <v>2</v>
      </c>
      <c r="B7" s="86"/>
      <c r="C7" s="86"/>
      <c r="D7" s="86"/>
      <c r="E7" s="86"/>
      <c r="F7" s="48"/>
      <c r="G7" s="48"/>
      <c r="H7" s="48"/>
      <c r="I7" s="48"/>
      <c r="J7" s="48"/>
      <c r="K7" s="48"/>
    </row>
    <row r="8" spans="1:13" ht="12.75">
      <c r="A8" s="46">
        <v>3</v>
      </c>
      <c r="B8" s="88" t="s">
        <v>187</v>
      </c>
      <c r="C8" s="86"/>
      <c r="D8" s="86"/>
      <c r="E8" s="87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86"/>
      <c r="C9" s="88" t="s">
        <v>188</v>
      </c>
      <c r="D9" s="86"/>
      <c r="E9" s="87"/>
      <c r="F9" s="53"/>
      <c r="G9" s="53"/>
      <c r="H9" s="53"/>
      <c r="I9" s="49"/>
      <c r="J9" s="49"/>
      <c r="K9" s="49"/>
      <c r="L9" s="34" t="s">
        <v>172</v>
      </c>
      <c r="M9" s="61">
        <f>+'[3]II-D-1'!$H$22</f>
        <v>1517206007.5900002</v>
      </c>
    </row>
    <row r="10" spans="1:11" ht="12.75">
      <c r="A10" s="46">
        <v>5</v>
      </c>
      <c r="B10" s="86"/>
      <c r="C10" s="84"/>
      <c r="D10" s="86"/>
      <c r="E10" s="87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88" t="s">
        <v>189</v>
      </c>
      <c r="C11" s="88"/>
      <c r="D11" s="86"/>
      <c r="E11" s="87"/>
      <c r="F11" s="53"/>
      <c r="G11" s="53"/>
      <c r="H11" s="53"/>
      <c r="I11" s="49"/>
      <c r="J11" s="49"/>
      <c r="K11" s="49"/>
      <c r="L11" s="34" t="s">
        <v>173</v>
      </c>
      <c r="M11" s="68">
        <f>+[1]Wholesale_NTS_RO!$H$59</f>
        <v>1652522021.4441209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135316013.84999999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190</v>
      </c>
      <c r="F17" s="108"/>
      <c r="G17" s="108"/>
      <c r="H17" s="108"/>
      <c r="I17" s="108"/>
      <c r="J17" s="58"/>
      <c r="K17" s="58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59" t="s">
        <v>168</v>
      </c>
      <c r="G20" s="59" t="s">
        <v>169</v>
      </c>
      <c r="H20" s="59" t="s">
        <v>171</v>
      </c>
      <c r="I20" s="109" t="s">
        <v>8</v>
      </c>
      <c r="J20" s="59" t="s">
        <v>168</v>
      </c>
      <c r="K20" s="59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60" t="s">
        <v>7</v>
      </c>
      <c r="G21" s="60" t="s">
        <v>170</v>
      </c>
      <c r="H21" s="60" t="s">
        <v>7</v>
      </c>
      <c r="I21" s="111"/>
      <c r="J21" s="60" t="s">
        <v>8</v>
      </c>
      <c r="K21" s="60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51</v>
      </c>
      <c r="D23" s="41">
        <f>+M14</f>
        <v>135316013.84999999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f>+M14</f>
        <v>135316013.84999999</v>
      </c>
      <c r="J23" s="56">
        <v>0</v>
      </c>
      <c r="K23" s="56">
        <f>SUM(I23:J23)</f>
        <v>135316013.84999999</v>
      </c>
      <c r="L23" s="56">
        <v>0</v>
      </c>
      <c r="M23" s="56">
        <v>0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135316013.84999999</v>
      </c>
      <c r="E25" s="55">
        <f t="shared" si="0"/>
        <v>0</v>
      </c>
      <c r="F25" s="55">
        <f t="shared" si="0"/>
        <v>0</v>
      </c>
      <c r="G25" s="55">
        <f t="shared" si="0"/>
        <v>0</v>
      </c>
      <c r="H25" s="55">
        <f t="shared" si="0"/>
        <v>0</v>
      </c>
      <c r="I25" s="55">
        <f t="shared" si="0"/>
        <v>135316013.84999999</v>
      </c>
      <c r="J25" s="55">
        <f t="shared" si="0"/>
        <v>0</v>
      </c>
      <c r="K25" s="55">
        <f t="shared" si="0"/>
        <v>135316013.84999999</v>
      </c>
      <c r="L25" s="55">
        <f t="shared" si="0"/>
        <v>0</v>
      </c>
      <c r="M25" s="55">
        <f t="shared" si="0"/>
        <v>0</v>
      </c>
    </row>
    <row r="26" spans="1:1" ht="13.5" thickTop="1">
      <c r="A26" s="46">
        <v>21</v>
      </c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68" r:id="rId1"/>
  <headerFooter alignWithMargins="0">
    <oddHeader>&amp;C&amp;"Arial,Bold"
ONCOR ELECTRIC DELIVERY COMPANY LLC
WHOLESALE TRANSMISSION SERVICE EXPENSE ADJUSTMENT
FOR THE TEST YEAR ENDING DECEMBER 31, 2021
SPONSOR: W. ALAN LEDBETTER&amp;R&amp;"Arial,Bold"WP/II-D ADJUSTMENT/1
Page 1 of 2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6">
    <pageSetUpPr fitToPage="1"/>
  </sheetPr>
  <dimension ref="A2:N35"/>
  <sheetViews>
    <sheetView workbookViewId="0" topLeftCell="A1">
      <selection pane="topLeft" activeCell="M14" sqref="M14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184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46329308.929999992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/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/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-46329308.93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/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42</v>
      </c>
      <c r="D23" s="41">
        <f>+M14</f>
        <v>-46329308.93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v>0</v>
      </c>
      <c r="J23" s="56">
        <v>0</v>
      </c>
      <c r="K23" s="56">
        <f>SUM(I23:J23)</f>
        <v>0</v>
      </c>
      <c r="L23" s="56">
        <v>0</v>
      </c>
      <c r="M23" s="56">
        <f>+D23</f>
        <v>-46329308.93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-46329308.93</v>
      </c>
      <c r="E25" s="55">
        <f t="shared" si="0"/>
        <v>0</v>
      </c>
      <c r="F25" s="55">
        <f t="shared" si="0"/>
        <v>0</v>
      </c>
      <c r="G25" s="55">
        <f t="shared" si="0"/>
        <v>0</v>
      </c>
      <c r="H25" s="55">
        <f t="shared" si="0"/>
        <v>0</v>
      </c>
      <c r="I25" s="55">
        <f t="shared" si="0"/>
        <v>0</v>
      </c>
      <c r="J25" s="55">
        <f t="shared" si="0"/>
        <v>0</v>
      </c>
      <c r="K25" s="55">
        <f t="shared" si="0"/>
        <v>0</v>
      </c>
      <c r="L25" s="55">
        <f t="shared" si="0"/>
        <v>0</v>
      </c>
      <c r="M25" s="55">
        <f t="shared" si="0"/>
        <v>-46329308.93</v>
      </c>
    </row>
    <row r="26" spans="1:1" ht="13.5" thickTop="1">
      <c r="A26" s="46">
        <v>21</v>
      </c>
    </row>
    <row r="27" spans="1:1" ht="12.75">
      <c r="A27" s="46">
        <v>22</v>
      </c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REMOVE EECRF AMOUNTS
FOR THE TEST YEAR ENDING DECEMBER 31, 2021
SPONSOR: W. ALAN LEDBETTER&amp;R&amp;"Arial,Bold"WP/II-D ADJUSTMENT/2
Page 1 of 2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7">
    <pageSetUpPr fitToPage="1"/>
  </sheetPr>
  <dimension ref="A2:N35"/>
  <sheetViews>
    <sheetView workbookViewId="0" topLeftCell="A1">
      <pane ySplit="3" topLeftCell="A4" activePane="bottomLeft" state="frozen"/>
      <selection pane="topLeft" activeCell="D41" sqref="D41"/>
      <selection pane="bottomLeft" activeCell="K37" sqref="K37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193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52" t="s">
        <v>194</v>
      </c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20086519.120000001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/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/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-20086519.120000001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195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48</v>
      </c>
      <c r="D23" s="41">
        <f>+M14</f>
        <v>-20086519.120000001</v>
      </c>
      <c r="E23" s="56">
        <f>ROUND(+$D23*'[2]II-F Alloc_Factor'!E$17,2)</f>
        <v>-4423082.9299999997</v>
      </c>
      <c r="F23" s="56">
        <f>ROUND(+$D23*'[2]II-F Alloc_Factor'!F$17,2)</f>
        <v>0</v>
      </c>
      <c r="G23" s="56">
        <f>ROUND(+$D23*'[2]II-F Alloc_Factor'!G$17,2)</f>
        <v>0</v>
      </c>
      <c r="H23" s="56">
        <f>SUM(E23:G23)</f>
        <v>-4423082.9299999997</v>
      </c>
      <c r="I23" s="56">
        <f>ROUND(+$D23*'[2]II-F Alloc_Factor'!I$17,2)</f>
        <v>-12202550.550000001</v>
      </c>
      <c r="J23" s="56">
        <f>ROUND(+$D23*'[2]II-F Alloc_Factor'!J$17,2)</f>
        <v>0</v>
      </c>
      <c r="K23" s="56">
        <f>SUM(I23:J23)</f>
        <v>-12202550.550000001</v>
      </c>
      <c r="L23" s="56">
        <f>ROUND(+$D23*'[2]II-F Alloc_Factor'!L$17,2)</f>
        <v>-3327002.6800000002</v>
      </c>
      <c r="M23" s="56">
        <f>ROUND(+$D23*'[2]II-F Alloc_Factor'!M$17,2)</f>
        <v>-133882.95999999999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-20086519.120000001</v>
      </c>
      <c r="E25" s="55">
        <f t="shared" si="0"/>
        <v>-4423082.9299999997</v>
      </c>
      <c r="F25" s="55">
        <f t="shared" si="0"/>
        <v>0</v>
      </c>
      <c r="G25" s="55">
        <f t="shared" si="0"/>
        <v>0</v>
      </c>
      <c r="H25" s="55">
        <f t="shared" si="0"/>
        <v>-4423082.9299999997</v>
      </c>
      <c r="I25" s="55">
        <f t="shared" si="0"/>
        <v>-12202550.550000001</v>
      </c>
      <c r="J25" s="55">
        <f t="shared" si="0"/>
        <v>0</v>
      </c>
      <c r="K25" s="55">
        <f t="shared" si="0"/>
        <v>-12202550.550000001</v>
      </c>
      <c r="L25" s="55">
        <f t="shared" si="0"/>
        <v>-3327002.6800000002</v>
      </c>
      <c r="M25" s="55">
        <f t="shared" si="0"/>
        <v>-133882.95999999999</v>
      </c>
    </row>
    <row r="26" spans="1:1" ht="13.5" thickTop="1">
      <c r="A26" s="46">
        <v>21</v>
      </c>
    </row>
    <row r="32" spans="6:6" ht="12.75">
      <c r="F32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PENSION EXPENSE - INCREASE/(DECREASE)
FOR THE TEST YEAR ENDING DECEMBER 31, 2021
SPONSOR: W. ALAN LEDBETTER&amp;R&amp;"Arial,Bold"WP/II-D ADJUSTMENT/3
Page 1 of 2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8">
    <pageSetUpPr fitToPage="1"/>
  </sheetPr>
  <dimension ref="A2:N35"/>
  <sheetViews>
    <sheetView workbookViewId="0" topLeftCell="A1"/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196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52" t="s">
        <v>194</v>
      </c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21056212.600000001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/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/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-21056212.600000001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195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48</v>
      </c>
      <c r="D23" s="41">
        <f>+M14</f>
        <v>-21056212.600000001</v>
      </c>
      <c r="E23" s="56">
        <f>ROUND(+$D23*'[2]II-F Alloc_Factor'!E$17,2)</f>
        <v>-4636610.9500000002</v>
      </c>
      <c r="F23" s="56">
        <f>ROUND(+$D23*'[2]II-F Alloc_Factor'!F$17,2)</f>
        <v>0</v>
      </c>
      <c r="G23" s="56">
        <f>ROUND(+$D23*'[2]II-F Alloc_Factor'!G$17,2)</f>
        <v>0</v>
      </c>
      <c r="H23" s="56">
        <f>SUM(E23:G23)</f>
        <v>-4636610.9500000002</v>
      </c>
      <c r="I23" s="56">
        <f>ROUND(+$D23*'[2]II-F Alloc_Factor'!I$17,2)</f>
        <v>-12791638.859999999</v>
      </c>
      <c r="J23" s="56">
        <f>ROUND(+$D23*'[2]II-F Alloc_Factor'!J$17,2)</f>
        <v>0</v>
      </c>
      <c r="K23" s="56">
        <f>SUM(I23:J23)</f>
        <v>-12791638.859999999</v>
      </c>
      <c r="L23" s="56">
        <f>ROUND(+$D23*'[2]II-F Alloc_Factor'!L$17,2)</f>
        <v>-3487616.5099999998</v>
      </c>
      <c r="M23" s="56">
        <f>+D23-H23-K23-L23</f>
        <v>-140346.28000000306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-21056212.600000001</v>
      </c>
      <c r="E25" s="55">
        <f t="shared" si="0"/>
        <v>-4636610.9500000002</v>
      </c>
      <c r="F25" s="55">
        <f t="shared" si="0"/>
        <v>0</v>
      </c>
      <c r="G25" s="55">
        <f t="shared" si="0"/>
        <v>0</v>
      </c>
      <c r="H25" s="55">
        <f t="shared" si="0"/>
        <v>-4636610.9500000002</v>
      </c>
      <c r="I25" s="55">
        <f t="shared" si="0"/>
        <v>-12791638.859999999</v>
      </c>
      <c r="J25" s="55">
        <f t="shared" si="0"/>
        <v>0</v>
      </c>
      <c r="K25" s="55">
        <f t="shared" si="0"/>
        <v>-12791638.859999999</v>
      </c>
      <c r="L25" s="55">
        <f t="shared" si="0"/>
        <v>-3487616.5099999998</v>
      </c>
      <c r="M25" s="55">
        <f t="shared" si="0"/>
        <v>-140346.28000000306</v>
      </c>
    </row>
    <row r="26" spans="1:1" ht="13.5" thickTop="1">
      <c r="A26" s="46">
        <v>21</v>
      </c>
    </row>
    <row r="32" spans="6:6" ht="12.75">
      <c r="F32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OPEB EXPENSE - INCREASE/(DECREASE)
FOR THE TEST YEAR ENDING DECEMBER 31, 2021
SPONSOR: W ALAN LEDBETTER&amp;R&amp;"Arial,Bold"WP/II-D ADJUSTMENT/4
Page 1 of 2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9">
    <pageSetUpPr fitToPage="1"/>
  </sheetPr>
  <dimension ref="A2:N35"/>
  <sheetViews>
    <sheetView workbookViewId="0" topLeftCell="B1">
      <selection pane="topLeft" activeCell="B35" sqref="B35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328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52"/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>
        <v>920332.17000000004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920332.17000000004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195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48</v>
      </c>
      <c r="D23" s="41">
        <f>+M14</f>
        <v>920332.17000000004</v>
      </c>
      <c r="E23" s="56">
        <f>ROUND(+$D23*'[2]II-F Alloc_Factor'!E$17,2)</f>
        <v>202658.57999999999</v>
      </c>
      <c r="F23" s="56">
        <f>ROUND(+$D23*'[2]II-F Alloc_Factor'!F$17,2)</f>
        <v>0</v>
      </c>
      <c r="G23" s="56">
        <f>ROUND(+$D23*'[2]II-F Alloc_Factor'!G$17,2)</f>
        <v>0</v>
      </c>
      <c r="H23" s="56">
        <f>SUM(E23:G23)</f>
        <v>202658.57999999999</v>
      </c>
      <c r="I23" s="56">
        <f>ROUND(+$D23*'[2]II-F Alloc_Factor'!I$17,2)</f>
        <v>559101.33999999997</v>
      </c>
      <c r="J23" s="56">
        <f>ROUND(+$D23*'[2]II-F Alloc_Factor'!J$17,2)</f>
        <v>0</v>
      </c>
      <c r="K23" s="56">
        <f>SUM(I23:J23)</f>
        <v>559101.33999999997</v>
      </c>
      <c r="L23" s="56">
        <f>ROUND(+$D23*'[2]II-F Alloc_Factor'!L$17,2)</f>
        <v>152437.94</v>
      </c>
      <c r="M23" s="56">
        <f>+D23-H23-K23-L23</f>
        <v>6134.3100000001141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920332.17000000004</v>
      </c>
      <c r="E25" s="55">
        <f t="shared" si="0"/>
        <v>202658.57999999999</v>
      </c>
      <c r="F25" s="55">
        <f t="shared" si="0"/>
        <v>0</v>
      </c>
      <c r="G25" s="55">
        <f t="shared" si="0"/>
        <v>0</v>
      </c>
      <c r="H25" s="55">
        <f t="shared" si="0"/>
        <v>202658.57999999999</v>
      </c>
      <c r="I25" s="55">
        <f t="shared" si="0"/>
        <v>559101.33999999997</v>
      </c>
      <c r="J25" s="55">
        <f t="shared" si="0"/>
        <v>0</v>
      </c>
      <c r="K25" s="55">
        <f t="shared" si="0"/>
        <v>559101.33999999997</v>
      </c>
      <c r="L25" s="55">
        <f t="shared" si="0"/>
        <v>152437.94</v>
      </c>
      <c r="M25" s="55">
        <f t="shared" si="0"/>
        <v>6134.3100000001141</v>
      </c>
    </row>
    <row r="26" spans="1:1" ht="13.5" thickTop="1">
      <c r="A26" s="46">
        <v>21</v>
      </c>
    </row>
    <row r="31" spans="6:6" ht="12.75">
      <c r="F31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68" r:id="rId1"/>
  <headerFooter alignWithMargins="0">
    <oddHeader>&amp;C&amp;"Arial,Bold"
ONCOR ELECTRIC DELIVERY COMPANY LLC
ASC 712 EXPENSE - INCREASE/(DECREASE)
FOR THE TEST YEAR ENDING DECEMBER 31, 2021
SPONSOR: W. ALAN LEDBETTER&amp;R&amp;"Arial,Bold"WP/II-D ADJUSTMENT/5
Page 1 of 2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0">
    <pageSetUpPr fitToPage="1"/>
  </sheetPr>
  <dimension ref="A2:N35"/>
  <sheetViews>
    <sheetView workbookViewId="0" topLeftCell="A1">
      <pane ySplit="3" topLeftCell="A4" activePane="bottomLeft" state="frozen"/>
      <selection pane="topLeft" activeCell="D41" sqref="D41"/>
      <selection pane="bottomLeft" activeCell="H29" sqref="H29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198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1">
        <v>444308.09000000003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444308.09000000003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190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19</v>
      </c>
      <c r="D23" s="41">
        <f>+M14</f>
        <v>444308.09000000003</v>
      </c>
      <c r="E23" s="56">
        <f>+D23</f>
        <v>444308.09000000003</v>
      </c>
      <c r="F23" s="56">
        <v>0</v>
      </c>
      <c r="G23" s="56">
        <v>0</v>
      </c>
      <c r="H23" s="56">
        <f>SUM(E23:G23)</f>
        <v>444308.09000000003</v>
      </c>
      <c r="I23" s="56"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444308.09000000003</v>
      </c>
      <c r="E25" s="55">
        <f t="shared" si="0"/>
        <v>444308.09000000003</v>
      </c>
      <c r="F25" s="55">
        <f t="shared" si="0"/>
        <v>0</v>
      </c>
      <c r="G25" s="55">
        <f t="shared" si="0"/>
        <v>0</v>
      </c>
      <c r="H25" s="55">
        <f t="shared" si="0"/>
        <v>444308.09000000003</v>
      </c>
      <c r="I25" s="55">
        <f t="shared" si="0"/>
        <v>0</v>
      </c>
      <c r="J25" s="55">
        <f t="shared" si="0"/>
        <v>0</v>
      </c>
      <c r="K25" s="55">
        <f t="shared" si="0"/>
        <v>0</v>
      </c>
      <c r="L25" s="55">
        <f t="shared" si="0"/>
        <v>0</v>
      </c>
      <c r="M25" s="55">
        <f t="shared" si="0"/>
        <v>0</v>
      </c>
    </row>
    <row r="26" spans="1:1" ht="13.5" thickTop="1">
      <c r="A26" s="46">
        <v>21</v>
      </c>
    </row>
    <row r="31" spans="6:6" ht="12.75">
      <c r="F31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REMOVE REIMBURSEMENT CREDIT FOR 2020 REPAIR
FOR THE TEST YEAR ENDING DECEMBER 31, 2021
SPONSOR: W. ALAN LEDBETTER&amp;R&amp;"Arial,Bold"WP/II-D ADJUSTMENT/6
Page 1 of 2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1">
    <pageSetUpPr fitToPage="1"/>
  </sheetPr>
  <dimension ref="A2:N35"/>
  <sheetViews>
    <sheetView workbookViewId="0" topLeftCell="A1">
      <pane ySplit="3" topLeftCell="A4" activePane="bottomLeft" state="frozen"/>
      <selection pane="topLeft" activeCell="D41" sqref="D41"/>
      <selection pane="bottomLeft" activeCell="G9" sqref="G9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296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>
        <v>400000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400000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190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69</v>
      </c>
      <c r="D23" s="41">
        <f>+M14</f>
        <v>400000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f>+M14</f>
        <v>400000</v>
      </c>
      <c r="J23" s="56">
        <v>0</v>
      </c>
      <c r="K23" s="56">
        <f>SUM(I23:J23)</f>
        <v>400000</v>
      </c>
      <c r="L23" s="56">
        <v>0</v>
      </c>
      <c r="M23" s="56">
        <v>0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400000</v>
      </c>
      <c r="E25" s="55">
        <f t="shared" si="0"/>
        <v>0</v>
      </c>
      <c r="F25" s="55">
        <f t="shared" si="0"/>
        <v>0</v>
      </c>
      <c r="G25" s="55">
        <f t="shared" si="0"/>
        <v>0</v>
      </c>
      <c r="H25" s="55">
        <f t="shared" si="0"/>
        <v>0</v>
      </c>
      <c r="I25" s="55">
        <f t="shared" si="0"/>
        <v>400000</v>
      </c>
      <c r="J25" s="55">
        <f t="shared" si="0"/>
        <v>0</v>
      </c>
      <c r="K25" s="55">
        <f t="shared" si="0"/>
        <v>400000</v>
      </c>
      <c r="L25" s="55">
        <f t="shared" si="0"/>
        <v>0</v>
      </c>
      <c r="M25" s="55">
        <f t="shared" si="0"/>
        <v>0</v>
      </c>
    </row>
    <row r="26" spans="1:1" ht="13.5" thickTop="1">
      <c r="A26" s="46">
        <v>21</v>
      </c>
    </row>
    <row r="31" spans="6:6" ht="12.75">
      <c r="F31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REMOVE PIPD TRUE-UP CREDIT
FOR THE TEST YEAR ENDING DECEMBER 31, 2021
SPONSOR: W. ALAN LEDBETTER&amp;R&amp;"Arial,Bold"WP/II-D ADJUSTMENT/7
Page 1 of 2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2">
    <tabColor rgb="FFFF0000"/>
    <pageSetUpPr fitToPage="1"/>
  </sheetPr>
  <dimension ref="A2:N35"/>
  <sheetViews>
    <sheetView workbookViewId="0" topLeftCell="A1">
      <pane ySplit="3" topLeftCell="A4" activePane="bottomLeft" state="frozen"/>
      <selection pane="topLeft" activeCell="D41" sqref="D41"/>
      <selection pane="bottomLeft" activeCell="M14" sqref="M14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201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>
        <v>319759.46000000002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319759.46000000002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195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44</v>
      </c>
      <c r="D23" s="41">
        <f>+M14</f>
        <v>319759.46000000002</v>
      </c>
      <c r="E23" s="56">
        <f>ROUND(+$D23*'[2]II-F Alloc_Factor'!E$17,2)</f>
        <v>70411.529999999999</v>
      </c>
      <c r="F23" s="56">
        <f>ROUND(+$D23*'[2]II-F Alloc_Factor'!F$17,2)</f>
        <v>0</v>
      </c>
      <c r="G23" s="56">
        <f>ROUND(+$D23*'[2]II-F Alloc_Factor'!G$17,2)</f>
        <v>0</v>
      </c>
      <c r="H23" s="56">
        <f>SUM(E23:G23)</f>
        <v>70411.529999999999</v>
      </c>
      <c r="I23" s="56">
        <f>ROUND(+$D23*'[2]II-F Alloc_Factor'!I$17,2)</f>
        <v>194253.72</v>
      </c>
      <c r="J23" s="56">
        <f>ROUND(+$D23*'[2]II-F Alloc_Factor'!J$17,2)</f>
        <v>0</v>
      </c>
      <c r="K23" s="56">
        <f>SUM(I23:J23)</f>
        <v>194253.72</v>
      </c>
      <c r="L23" s="56">
        <f>ROUND(+$D23*'[2]II-F Alloc_Factor'!L$17,2)</f>
        <v>52962.910000000003</v>
      </c>
      <c r="M23" s="56">
        <f>ROUND(+$D23*'[2]II-F Alloc_Factor'!M$17,2)</f>
        <v>2131.3000000000002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319759.46000000002</v>
      </c>
      <c r="E25" s="55">
        <f t="shared" si="0"/>
        <v>70411.529999999999</v>
      </c>
      <c r="F25" s="55">
        <f t="shared" si="0"/>
        <v>0</v>
      </c>
      <c r="G25" s="55">
        <f t="shared" si="0"/>
        <v>0</v>
      </c>
      <c r="H25" s="55">
        <f t="shared" si="0"/>
        <v>70411.529999999999</v>
      </c>
      <c r="I25" s="55">
        <f t="shared" si="0"/>
        <v>194253.72</v>
      </c>
      <c r="J25" s="55">
        <f t="shared" si="0"/>
        <v>0</v>
      </c>
      <c r="K25" s="55">
        <f t="shared" si="0"/>
        <v>194253.72</v>
      </c>
      <c r="L25" s="55">
        <f t="shared" si="0"/>
        <v>52962.910000000003</v>
      </c>
      <c r="M25" s="55">
        <f t="shared" si="0"/>
        <v>2131.3000000000002</v>
      </c>
    </row>
    <row r="26" spans="1:1" ht="13.5" thickTop="1">
      <c r="A26" s="46">
        <v>21</v>
      </c>
    </row>
    <row r="31" spans="6:6" ht="12.75">
      <c r="F31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2021 VACATION ACCRUAL CARRYOVER
FOR THE TEST YEAR ENDING DECEMBER 31, 2021
SPONSOR: W. ALAN LEDBETTER&amp;R&amp;"Arial,Bold"WP/II-D ADJUSTMENT/8
Page 1 of 2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3">
    <pageSetUpPr fitToPage="1"/>
  </sheetPr>
  <dimension ref="A2:N35"/>
  <sheetViews>
    <sheetView workbookViewId="0" topLeftCell="A1">
      <pane ySplit="3" topLeftCell="A4" activePane="bottomLeft" state="frozen"/>
      <selection pane="topLeft" activeCell="D41" sqref="D41"/>
      <selection pane="bottomLeft" activeCell="B35" sqref="B35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298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>
        <v>276366.89000000001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276366.89000000001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195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53</v>
      </c>
      <c r="D23" s="41">
        <f>+M14</f>
        <v>276366.89000000001</v>
      </c>
      <c r="E23" s="56">
        <f>ROUND(+$D23*'[2]II-F Alloc_Factor'!E$17,2)</f>
        <v>60856.419999999998</v>
      </c>
      <c r="F23" s="56">
        <f>ROUND(+$D23*'[2]II-F Alloc_Factor'!F$17,2)</f>
        <v>0</v>
      </c>
      <c r="G23" s="56">
        <f>ROUND(+$D23*'[2]II-F Alloc_Factor'!G$17,2)</f>
        <v>0</v>
      </c>
      <c r="H23" s="56">
        <f>SUM(E23:G23)</f>
        <v>60856.419999999998</v>
      </c>
      <c r="I23" s="56">
        <f>ROUND(+$D23*'[2]II-F Alloc_Factor'!I$17,2)</f>
        <v>167892.75</v>
      </c>
      <c r="J23" s="56">
        <f>ROUND(+$D23*'[2]II-F Alloc_Factor'!J$17,2)</f>
        <v>0</v>
      </c>
      <c r="K23" s="56">
        <f>SUM(I23:J23)</f>
        <v>167892.75</v>
      </c>
      <c r="L23" s="56">
        <f>ROUND(+$D23*'[2]II-F Alloc_Factor'!L$17,2)</f>
        <v>45775.650000000001</v>
      </c>
      <c r="M23" s="56">
        <f>ROUND(+$D23*'[2]II-F Alloc_Factor'!M$17,2)</f>
        <v>1842.0699999999999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276366.89000000001</v>
      </c>
      <c r="E25" s="55">
        <f t="shared" si="0"/>
        <v>60856.419999999998</v>
      </c>
      <c r="F25" s="55">
        <f t="shared" si="0"/>
        <v>0</v>
      </c>
      <c r="G25" s="55">
        <f t="shared" si="0"/>
        <v>0</v>
      </c>
      <c r="H25" s="55">
        <f t="shared" si="0"/>
        <v>60856.419999999998</v>
      </c>
      <c r="I25" s="55">
        <f t="shared" si="0"/>
        <v>167892.75</v>
      </c>
      <c r="J25" s="55">
        <f t="shared" si="0"/>
        <v>0</v>
      </c>
      <c r="K25" s="55">
        <f t="shared" si="0"/>
        <v>167892.75</v>
      </c>
      <c r="L25" s="55">
        <f t="shared" si="0"/>
        <v>45775.650000000001</v>
      </c>
      <c r="M25" s="55">
        <f t="shared" si="0"/>
        <v>1842.0699999999999</v>
      </c>
    </row>
    <row r="26" spans="1:1" ht="13.5" thickTop="1">
      <c r="A26" s="46">
        <v>21</v>
      </c>
    </row>
    <row r="31" spans="6:6" ht="12.75">
      <c r="F31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REMOVE CREDIT FOR DEFERRAL OF 2021 SIR CLAIM (CLM21002)
FOR THE TEST YEAR ENDING DECEMBER 31, 2021
SPONSOR: W. ALAN LEDBETTER&amp;R&amp;"Arial,Bold"WP/II-D ADJUSTMENT/9
Page 1 of 2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4">
    <pageSetUpPr fitToPage="1"/>
  </sheetPr>
  <dimension ref="A2:N35"/>
  <sheetViews>
    <sheetView workbookViewId="0" topLeftCell="A1">
      <pane ySplit="3" topLeftCell="A4" activePane="bottomLeft" state="frozen"/>
      <selection pane="topLeft" activeCell="D41" sqref="D41"/>
      <selection pane="bottomLeft" activeCell="B35" sqref="B35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300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>
        <v>84839.130000000005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84839.130000000005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190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32</v>
      </c>
      <c r="D23" s="41">
        <f>+M14</f>
        <v>84839.130000000005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f>+M14</f>
        <v>84839.130000000005</v>
      </c>
      <c r="J23" s="56">
        <v>0</v>
      </c>
      <c r="K23" s="56">
        <f>SUM(I23:J23)</f>
        <v>84839.130000000005</v>
      </c>
      <c r="L23" s="56">
        <v>0</v>
      </c>
      <c r="M23" s="56">
        <v>0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84839.130000000005</v>
      </c>
      <c r="E25" s="55">
        <f t="shared" si="0"/>
        <v>0</v>
      </c>
      <c r="F25" s="55">
        <f t="shared" si="0"/>
        <v>0</v>
      </c>
      <c r="G25" s="55">
        <f t="shared" si="0"/>
        <v>0</v>
      </c>
      <c r="H25" s="55">
        <f t="shared" si="0"/>
        <v>0</v>
      </c>
      <c r="I25" s="55">
        <f t="shared" si="0"/>
        <v>84839.130000000005</v>
      </c>
      <c r="J25" s="55">
        <f t="shared" si="0"/>
        <v>0</v>
      </c>
      <c r="K25" s="55">
        <f t="shared" si="0"/>
        <v>84839.130000000005</v>
      </c>
      <c r="L25" s="55">
        <f t="shared" si="0"/>
        <v>0</v>
      </c>
      <c r="M25" s="55">
        <f t="shared" si="0"/>
        <v>0</v>
      </c>
    </row>
    <row r="26" spans="1:1" ht="13.5" thickTop="1">
      <c r="A26" s="46">
        <v>21</v>
      </c>
    </row>
    <row r="31" spans="6:6" ht="12.75">
      <c r="F31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REMOVE CREDIT FOR VM CHARGES (DSD20024)
FOR THE TEST YEAR ENDING DECEMBER 31, 2021
SPONSOR: W. ALAN LEDBETTER&amp;R&amp;"Arial,Bold"WP/II-D ADJUSTMENT/10
Page 1 of 2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5">
    <pageSetUpPr fitToPage="1"/>
  </sheetPr>
  <dimension ref="A2:N35"/>
  <sheetViews>
    <sheetView workbookViewId="0" topLeftCell="A1">
      <pane ySplit="3" topLeftCell="A4" activePane="bottomLeft" state="frozen"/>
      <selection pane="topLeft" activeCell="A1" sqref="A1"/>
      <selection pane="bottomLeft" activeCell="B35" sqref="B35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302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>
        <v>19759.330000000002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19759.330000000002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190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40</v>
      </c>
      <c r="D23" s="41">
        <f>+M14</f>
        <v>19759.330000000002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v>0</v>
      </c>
      <c r="J23" s="56">
        <v>0</v>
      </c>
      <c r="K23" s="56">
        <f>SUM(I23:J23)</f>
        <v>0</v>
      </c>
      <c r="L23" s="56">
        <v>0</v>
      </c>
      <c r="M23" s="56">
        <f>+D23</f>
        <v>19759.330000000002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19759.330000000002</v>
      </c>
      <c r="E25" s="55">
        <f t="shared" si="0"/>
        <v>0</v>
      </c>
      <c r="F25" s="55">
        <f t="shared" si="0"/>
        <v>0</v>
      </c>
      <c r="G25" s="55">
        <f t="shared" si="0"/>
        <v>0</v>
      </c>
      <c r="H25" s="55">
        <f t="shared" si="0"/>
        <v>0</v>
      </c>
      <c r="I25" s="55">
        <f t="shared" si="0"/>
        <v>0</v>
      </c>
      <c r="J25" s="55">
        <f t="shared" si="0"/>
        <v>0</v>
      </c>
      <c r="K25" s="55">
        <f t="shared" si="0"/>
        <v>0</v>
      </c>
      <c r="L25" s="55">
        <f t="shared" si="0"/>
        <v>0</v>
      </c>
      <c r="M25" s="55">
        <f t="shared" si="0"/>
        <v>19759.330000000002</v>
      </c>
    </row>
    <row r="26" spans="1:1" ht="13.5" thickTop="1">
      <c r="A26" s="46">
        <v>21</v>
      </c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REMOVE WRITE OFF STREETLIGHT AUDIT ACCRUAL
FOR THE TEST YEAR ENDING DECEMBER 31, 2021
SPONSOR: W. ALAN LEDBETTER&amp;R&amp;"Arial,Bold"WP/II-D ADJUSTMENT/11
Page 1 of 2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6">
    <pageSetUpPr fitToPage="1"/>
  </sheetPr>
  <dimension ref="A2:N35"/>
  <sheetViews>
    <sheetView workbookViewId="0" topLeftCell="A1">
      <pane ySplit="3" topLeftCell="A4" activePane="bottomLeft" state="frozen"/>
      <selection pane="topLeft" activeCell="A1" sqref="A1"/>
      <selection pane="bottomLeft" activeCell="B35" sqref="B35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304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52" t="s">
        <v>194</v>
      </c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860393.12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/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/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-860393.12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203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16</v>
      </c>
      <c r="D23" s="41">
        <f>+M14</f>
        <v>-860393.12</v>
      </c>
      <c r="E23" s="56">
        <f>+D23</f>
        <v>-860393.12</v>
      </c>
      <c r="F23" s="56">
        <v>0</v>
      </c>
      <c r="G23" s="56">
        <v>0</v>
      </c>
      <c r="H23" s="56">
        <f>SUM(E23:G23)</f>
        <v>-860393.12</v>
      </c>
      <c r="I23" s="56"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-860393.12</v>
      </c>
      <c r="E25" s="55">
        <f t="shared" si="0"/>
        <v>-860393.12</v>
      </c>
      <c r="F25" s="55">
        <f t="shared" si="0"/>
        <v>0</v>
      </c>
      <c r="G25" s="55">
        <f t="shared" si="0"/>
        <v>0</v>
      </c>
      <c r="H25" s="55">
        <f t="shared" si="0"/>
        <v>-860393.12</v>
      </c>
      <c r="I25" s="55">
        <f t="shared" si="0"/>
        <v>0</v>
      </c>
      <c r="J25" s="55">
        <f t="shared" si="0"/>
        <v>0</v>
      </c>
      <c r="K25" s="55">
        <f t="shared" si="0"/>
        <v>0</v>
      </c>
      <c r="L25" s="55">
        <f t="shared" si="0"/>
        <v>0</v>
      </c>
      <c r="M25" s="55">
        <f t="shared" si="0"/>
        <v>0</v>
      </c>
    </row>
    <row r="26" spans="1:1" ht="13.5" thickTop="1">
      <c r="A26" s="46">
        <v>21</v>
      </c>
    </row>
    <row r="32" spans="5:5" ht="12.75">
      <c r="E32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REMOVE WRITE-OFF OBSOLETE M&amp;&amp;S (SHARYLAND)
FOR THE TEST YEAR ENDING DECEMBER 31, 2021
SPONSOR: W. ALAN LEDBETTER&amp;R&amp;"Arial,Bold"WP/II-D ADJUSTMENT/12
Page 1 of 2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7">
    <pageSetUpPr fitToPage="1"/>
  </sheetPr>
  <dimension ref="A2:N35"/>
  <sheetViews>
    <sheetView workbookViewId="0" topLeftCell="A1">
      <pane ySplit="3" topLeftCell="A4" activePane="bottomLeft" state="frozen"/>
      <selection pane="topLeft" activeCell="A1" sqref="A1"/>
      <selection pane="bottomLeft" activeCell="A4" sqref="A4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205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52" t="s">
        <v>194</v>
      </c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739232.17000000004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/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/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-739232.17000000004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195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45</v>
      </c>
      <c r="D23" s="41">
        <f>+M14</f>
        <v>-739232.17000000004</v>
      </c>
      <c r="E23" s="56">
        <f>ROUND(+$D23*'[2]II-F Alloc_Factor'!E$17,2)</f>
        <v>-162780.07999999999</v>
      </c>
      <c r="F23" s="56">
        <f>ROUND(+$D23*'[2]II-F Alloc_Factor'!F$17,2)</f>
        <v>0</v>
      </c>
      <c r="G23" s="56">
        <f>ROUND(+$D23*'[2]II-F Alloc_Factor'!G$17,2)</f>
        <v>0</v>
      </c>
      <c r="H23" s="56">
        <f>SUM(E23:G23)</f>
        <v>-162780.07999999999</v>
      </c>
      <c r="I23" s="56">
        <f>ROUND(+$D23*'[2]II-F Alloc_Factor'!I$17,2)</f>
        <v>-449083.17999999999</v>
      </c>
      <c r="J23" s="56">
        <f>ROUND(+$D23*'[2]II-F Alloc_Factor'!J$17,2)</f>
        <v>0</v>
      </c>
      <c r="K23" s="56">
        <f>SUM(I23:J23)</f>
        <v>-449083.17999999999</v>
      </c>
      <c r="L23" s="56">
        <f>ROUND(+$D23*'[2]II-F Alloc_Factor'!L$17,2)</f>
        <v>-122441.69</v>
      </c>
      <c r="M23" s="56">
        <f>+D23-H23-K23-L23</f>
        <v>-4927.2200000000885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-739232.17000000004</v>
      </c>
      <c r="E25" s="55">
        <f t="shared" si="0"/>
        <v>-162780.07999999999</v>
      </c>
      <c r="F25" s="55">
        <f t="shared" si="0"/>
        <v>0</v>
      </c>
      <c r="G25" s="55">
        <f t="shared" si="0"/>
        <v>0</v>
      </c>
      <c r="H25" s="55">
        <f t="shared" si="0"/>
        <v>-162780.07999999999</v>
      </c>
      <c r="I25" s="55">
        <f t="shared" si="0"/>
        <v>-449083.17999999999</v>
      </c>
      <c r="J25" s="55">
        <f t="shared" si="0"/>
        <v>0</v>
      </c>
      <c r="K25" s="55">
        <f t="shared" si="0"/>
        <v>-449083.17999999999</v>
      </c>
      <c r="L25" s="55">
        <f t="shared" si="0"/>
        <v>-122441.69</v>
      </c>
      <c r="M25" s="55">
        <f t="shared" si="0"/>
        <v>-4927.2200000000885</v>
      </c>
    </row>
    <row r="26" spans="1:1" ht="13.5" thickTop="1">
      <c r="A26" s="46">
        <v>21</v>
      </c>
    </row>
    <row r="31" spans="6:6" ht="12.75">
      <c r="F31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REMOVE AIRCRAFT (RENTS/LEASES - NET JETS)
FOR THE TEST YEAR ENDING DECEMBER 31, 2021
SPONSOR: W. ALAN LEDBETTER&amp;R&amp;"Arial,Bold"WP/II-D ADJUSTMENT/13
Page 1 of 2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8">
    <pageSetUpPr fitToPage="1"/>
  </sheetPr>
  <dimension ref="A2:N35"/>
  <sheetViews>
    <sheetView workbookViewId="0" topLeftCell="A1">
      <pane ySplit="3" topLeftCell="A4" activePane="bottomLeft" state="frozen"/>
      <selection pane="topLeft" activeCell="A1" sqref="A1"/>
      <selection pane="bottomLeft" activeCell="B35" sqref="B35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306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52" t="s">
        <v>194</v>
      </c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410085.78999999998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/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/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-410085.78999999998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/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62</v>
      </c>
      <c r="D23" s="41">
        <f>+M14</f>
        <v>-410085.78999999998</v>
      </c>
      <c r="E23" s="56">
        <v>-393845.90000000002</v>
      </c>
      <c r="F23" s="56">
        <v>0</v>
      </c>
      <c r="G23" s="56">
        <v>0</v>
      </c>
      <c r="H23" s="56">
        <f>SUM(E23:G23)</f>
        <v>-393845.90000000002</v>
      </c>
      <c r="I23" s="56">
        <v>-16239.889999999999</v>
      </c>
      <c r="J23" s="56">
        <v>0</v>
      </c>
      <c r="K23" s="56">
        <f>SUM(I23:J23)</f>
        <v>-16239.889999999999</v>
      </c>
      <c r="L23" s="56">
        <v>0</v>
      </c>
      <c r="M23" s="56">
        <v>0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-410085.78999999998</v>
      </c>
      <c r="E25" s="55">
        <f t="shared" si="0"/>
        <v>-393845.90000000002</v>
      </c>
      <c r="F25" s="55">
        <f t="shared" si="0"/>
        <v>0</v>
      </c>
      <c r="G25" s="55">
        <f t="shared" si="0"/>
        <v>0</v>
      </c>
      <c r="H25" s="55">
        <f t="shared" si="0"/>
        <v>-393845.90000000002</v>
      </c>
      <c r="I25" s="55">
        <f t="shared" si="0"/>
        <v>-16239.889999999999</v>
      </c>
      <c r="J25" s="55">
        <f t="shared" si="0"/>
        <v>0</v>
      </c>
      <c r="K25" s="55">
        <f t="shared" si="0"/>
        <v>-16239.889999999999</v>
      </c>
      <c r="L25" s="55">
        <f t="shared" si="0"/>
        <v>0</v>
      </c>
      <c r="M25" s="55">
        <f t="shared" si="0"/>
        <v>0</v>
      </c>
    </row>
    <row r="26" spans="1:1" ht="13.5" thickTop="1">
      <c r="A26" s="46">
        <v>21</v>
      </c>
    </row>
    <row r="31" spans="6:6" ht="12.75">
      <c r="F31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REMOVE MISC AR WRITE-OFF (PREPETITION @ 50%)
FOR THE TEST YEAR ENDING DECEMBER 31, 2021
SPONSOR: W. ALAN LEDBETTER&amp;R&amp;"Arial,Bold"WP/II-D ADJUSTMENT/14
Page 1 of 2</oddHead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9">
    <pageSetUpPr fitToPage="1"/>
  </sheetPr>
  <dimension ref="A2:N35"/>
  <sheetViews>
    <sheetView workbookViewId="0" topLeftCell="A1">
      <pane ySplit="3" topLeftCell="A4" activePane="bottomLeft" state="frozen"/>
      <selection pane="topLeft" activeCell="A1" sqref="A1"/>
      <selection pane="bottomLeft" activeCell="M14" sqref="M14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207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52" t="s">
        <v>208</v>
      </c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362453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/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/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-362453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195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54</v>
      </c>
      <c r="D23" s="41">
        <f>+M14</f>
        <v>-362453</v>
      </c>
      <c r="E23" s="56">
        <f>ROUND(+$D23*'[2]II-F Alloc_Factor'!E$17,2)</f>
        <v>-79812.720000000001</v>
      </c>
      <c r="F23" s="56">
        <f>ROUND(+$D23*'[2]II-F Alloc_Factor'!F$17,2)</f>
        <v>0</v>
      </c>
      <c r="G23" s="56">
        <f>ROUND(+$D23*'[2]II-F Alloc_Factor'!G$17,2)</f>
        <v>0</v>
      </c>
      <c r="H23" s="56">
        <f>SUM(E23:G23)</f>
        <v>-79812.720000000001</v>
      </c>
      <c r="I23" s="56">
        <f>ROUND(+$D23*'[2]II-F Alloc_Factor'!I$17,2)</f>
        <v>-220190.01999999999</v>
      </c>
      <c r="J23" s="56">
        <f>ROUND(+$D23*'[2]II-F Alloc_Factor'!J$17,2)</f>
        <v>0</v>
      </c>
      <c r="K23" s="56">
        <f>SUM(I23:J23)</f>
        <v>-220190.01999999999</v>
      </c>
      <c r="L23" s="56">
        <f>ROUND(+$D23*'[2]II-F Alloc_Factor'!L$17,2)</f>
        <v>-60034.400000000001</v>
      </c>
      <c r="M23" s="56">
        <f>ROUND(+$D23*'[2]II-F Alloc_Factor'!M$17,2)</f>
        <v>-2415.8600000000001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-362453</v>
      </c>
      <c r="E25" s="55">
        <f t="shared" si="0"/>
        <v>-79812.720000000001</v>
      </c>
      <c r="F25" s="55">
        <f t="shared" si="0"/>
        <v>0</v>
      </c>
      <c r="G25" s="55">
        <f t="shared" si="0"/>
        <v>0</v>
      </c>
      <c r="H25" s="55">
        <f t="shared" si="0"/>
        <v>-79812.720000000001</v>
      </c>
      <c r="I25" s="55">
        <f t="shared" si="0"/>
        <v>-220190.01999999999</v>
      </c>
      <c r="J25" s="55">
        <f t="shared" si="0"/>
        <v>0</v>
      </c>
      <c r="K25" s="55">
        <f t="shared" si="0"/>
        <v>-220190.01999999999</v>
      </c>
      <c r="L25" s="55">
        <f t="shared" si="0"/>
        <v>-60034.400000000001</v>
      </c>
      <c r="M25" s="55">
        <f t="shared" si="0"/>
        <v>-2415.8600000000001</v>
      </c>
    </row>
    <row r="26" spans="1:1" ht="13.5" thickTop="1">
      <c r="A26" s="46">
        <v>21</v>
      </c>
    </row>
    <row r="32" spans="6:6" ht="12.75">
      <c r="F32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ANNUALIZE EMPLOYEE PARKING WITHHOLDINGS
FOR THE TEST YEAR ENDING DECEMBER 31, 2021
SPONSOR: W. ALAN LEDBETTER&amp;R&amp;"Arial,Bold"WP/II-D ADJUSTMENT/15
Page 1 of 2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20">
    <pageSetUpPr fitToPage="1"/>
  </sheetPr>
  <dimension ref="A2:N39"/>
  <sheetViews>
    <sheetView workbookViewId="0" topLeftCell="A1">
      <selection pane="topLeft" activeCell="E11" sqref="E11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210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52" t="s">
        <v>194</v>
      </c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205837.82000000001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/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/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-205837.82000000001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190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16</v>
      </c>
      <c r="D23" s="41">
        <v>-147.49000000000001</v>
      </c>
      <c r="E23" s="56">
        <v>-147.49000000000001</v>
      </c>
      <c r="F23" s="56">
        <v>0</v>
      </c>
      <c r="G23" s="56">
        <v>0</v>
      </c>
      <c r="H23" s="56">
        <f>SUM(E23:G23)</f>
        <v>-147.49000000000001</v>
      </c>
      <c r="I23" s="56"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4" ht="12.75">
      <c r="A24" s="46">
        <v>19</v>
      </c>
      <c r="C24" s="34" t="s">
        <v>22</v>
      </c>
      <c r="D24" s="41">
        <v>-1293.4000000000001</v>
      </c>
      <c r="E24" s="82">
        <v>0</v>
      </c>
      <c r="F24" s="82">
        <v>0</v>
      </c>
      <c r="G24" s="82">
        <v>0</v>
      </c>
      <c r="H24" s="82">
        <f t="shared" si="0" ref="H24:H27">SUM(E24:G24)</f>
        <v>0</v>
      </c>
      <c r="I24" s="82">
        <f t="shared" si="1" ref="I24:I27">+M15</f>
        <v>0</v>
      </c>
      <c r="J24" s="82">
        <v>0</v>
      </c>
      <c r="K24" s="82">
        <f t="shared" si="2" ref="K24:K27">SUM(I24:J24)</f>
        <v>0</v>
      </c>
      <c r="L24" s="82">
        <v>0</v>
      </c>
      <c r="M24" s="82">
        <v>-1293.4000000000001</v>
      </c>
      <c r="N24" s="43" t="b">
        <f t="shared" si="3" ref="N24:N27">+D24=(M24+L24+K24+H24)</f>
        <v>1</v>
      </c>
    </row>
    <row r="25" spans="1:14" ht="12.75">
      <c r="A25" s="46">
        <v>20</v>
      </c>
      <c r="C25" s="34" t="s">
        <v>29</v>
      </c>
      <c r="D25" s="41">
        <v>-2869.27</v>
      </c>
      <c r="E25" s="82">
        <v>0</v>
      </c>
      <c r="F25" s="82">
        <v>0</v>
      </c>
      <c r="G25" s="82">
        <v>0</v>
      </c>
      <c r="H25" s="82">
        <f t="shared" si="0"/>
        <v>0</v>
      </c>
      <c r="I25" s="82">
        <v>-2869.27</v>
      </c>
      <c r="J25" s="82">
        <v>0</v>
      </c>
      <c r="K25" s="82">
        <f t="shared" si="2"/>
        <v>-2869.27</v>
      </c>
      <c r="L25" s="82">
        <v>0</v>
      </c>
      <c r="M25" s="82">
        <v>0</v>
      </c>
      <c r="N25" s="43" t="b">
        <f t="shared" si="3"/>
        <v>1</v>
      </c>
    </row>
    <row r="26" spans="1:14" ht="12.75">
      <c r="A26" s="46">
        <v>21</v>
      </c>
      <c r="C26" s="34" t="s">
        <v>45</v>
      </c>
      <c r="D26" s="41">
        <v>-201437.66</v>
      </c>
      <c r="E26" s="82">
        <v>-20604.029999999999</v>
      </c>
      <c r="F26" s="82">
        <v>0</v>
      </c>
      <c r="G26" s="82">
        <v>0</v>
      </c>
      <c r="H26" s="82">
        <f t="shared" si="0"/>
        <v>-20604.029999999999</v>
      </c>
      <c r="I26" s="82">
        <v>-56843.400000000001</v>
      </c>
      <c r="J26" s="82">
        <v>0</v>
      </c>
      <c r="K26" s="82">
        <f t="shared" si="2"/>
        <v>-56843.400000000001</v>
      </c>
      <c r="L26" s="82">
        <v>-15495</v>
      </c>
      <c r="M26" s="82">
        <v>-108495.23</v>
      </c>
      <c r="N26" s="43" t="b">
        <f t="shared" si="3"/>
        <v>1</v>
      </c>
    </row>
    <row r="27" spans="1:14" ht="12.75">
      <c r="A27" s="46">
        <v>22</v>
      </c>
      <c r="C27" s="34" t="s">
        <v>47</v>
      </c>
      <c r="D27" s="41">
        <v>-90</v>
      </c>
      <c r="E27" s="82">
        <v>0</v>
      </c>
      <c r="F27" s="82">
        <v>0</v>
      </c>
      <c r="G27" s="82">
        <v>0</v>
      </c>
      <c r="H27" s="82">
        <f t="shared" si="0"/>
        <v>0</v>
      </c>
      <c r="I27" s="82">
        <f t="shared" si="1"/>
        <v>0</v>
      </c>
      <c r="J27" s="82">
        <v>0</v>
      </c>
      <c r="K27" s="82">
        <f t="shared" si="2"/>
        <v>0</v>
      </c>
      <c r="L27" s="82">
        <v>0</v>
      </c>
      <c r="M27" s="82">
        <v>-90</v>
      </c>
      <c r="N27" s="43" t="b">
        <f t="shared" si="3"/>
        <v>1</v>
      </c>
    </row>
    <row r="28" spans="1:13" ht="12.75">
      <c r="A28" s="46">
        <v>23</v>
      </c>
      <c r="C28" s="34"/>
      <c r="D28" s="43"/>
      <c r="E28" s="43"/>
      <c r="F28" s="43"/>
      <c r="G28" s="43"/>
      <c r="H28" s="43"/>
      <c r="I28" s="43"/>
      <c r="J28" s="43"/>
      <c r="K28" s="43"/>
      <c r="L28" s="43"/>
      <c r="M28" s="43"/>
    </row>
    <row r="29" spans="1:13" ht="13.5" thickBot="1">
      <c r="A29" s="46">
        <v>24</v>
      </c>
      <c r="D29" s="55">
        <f t="shared" si="4" ref="D29:M29">SUM(D23:D28)</f>
        <v>-205837.82000000001</v>
      </c>
      <c r="E29" s="55">
        <f t="shared" si="4"/>
        <v>-20751.52</v>
      </c>
      <c r="F29" s="55">
        <f t="shared" si="4"/>
        <v>0</v>
      </c>
      <c r="G29" s="55">
        <f t="shared" si="4"/>
        <v>0</v>
      </c>
      <c r="H29" s="55">
        <f t="shared" si="4"/>
        <v>-20751.52</v>
      </c>
      <c r="I29" s="55">
        <f t="shared" si="4"/>
        <v>-59712.669999999998</v>
      </c>
      <c r="J29" s="55">
        <f t="shared" si="4"/>
        <v>0</v>
      </c>
      <c r="K29" s="55">
        <f t="shared" si="4"/>
        <v>-59712.669999999998</v>
      </c>
      <c r="L29" s="55">
        <f t="shared" si="4"/>
        <v>-15495</v>
      </c>
      <c r="M29" s="55">
        <f t="shared" si="4"/>
        <v>-109878.62999999999</v>
      </c>
    </row>
    <row r="30" spans="1:1" ht="13.5" thickTop="1">
      <c r="A30" s="46">
        <v>25</v>
      </c>
    </row>
    <row r="35" spans="6:6" ht="12.75">
      <c r="F35" s="34"/>
    </row>
    <row r="39" spans="2:2" ht="12.75">
      <c r="B39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9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REMOVE SOCIAL CLUB DUES
FOR THE TEST YEAR ENDING DECEMBER 31, 2021
SPONSOR: W. ALAN LEDBETTER&amp;R&amp;"Arial,Bold"WP/II-D ADJUSTMENT/16
Page 1 of 2</oddHead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21">
    <pageSetUpPr fitToPage="1"/>
  </sheetPr>
  <dimension ref="A2:N36"/>
  <sheetViews>
    <sheetView workbookViewId="0" topLeftCell="A1">
      <selection pane="topLeft" activeCell="B36" sqref="B36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308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52" t="s">
        <v>194</v>
      </c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139418.09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/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/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-139418.09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190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16</v>
      </c>
      <c r="D23" s="41">
        <v>-21077.509999999998</v>
      </c>
      <c r="E23" s="56">
        <f>+D23</f>
        <v>-21077.509999999998</v>
      </c>
      <c r="F23" s="56">
        <v>0</v>
      </c>
      <c r="G23" s="56">
        <v>0</v>
      </c>
      <c r="H23" s="56">
        <f>SUM(E23:G23)</f>
        <v>-21077.509999999998</v>
      </c>
      <c r="I23" s="56"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4" ht="12.75">
      <c r="A24" s="46">
        <v>19</v>
      </c>
      <c r="C24" s="34" t="s">
        <v>29</v>
      </c>
      <c r="D24" s="41">
        <v>-118340.58</v>
      </c>
      <c r="E24" s="82">
        <v>0</v>
      </c>
      <c r="F24" s="82">
        <v>0</v>
      </c>
      <c r="G24" s="82">
        <v>0</v>
      </c>
      <c r="H24" s="82">
        <f>SUM(E24:G24)</f>
        <v>0</v>
      </c>
      <c r="I24" s="82">
        <f>+D24</f>
        <v>-118340.58</v>
      </c>
      <c r="J24" s="82">
        <v>0</v>
      </c>
      <c r="K24" s="82">
        <f>SUM(I24:J24)</f>
        <v>-118340.58</v>
      </c>
      <c r="L24" s="82">
        <v>0</v>
      </c>
      <c r="M24" s="82">
        <v>0</v>
      </c>
      <c r="N24" s="43" t="b">
        <f>+D24=(M24+L24+K24+H24)</f>
        <v>1</v>
      </c>
    </row>
    <row r="25" spans="1:13" ht="12.75">
      <c r="A25" s="46">
        <v>20</v>
      </c>
      <c r="C25" s="34"/>
      <c r="D25" s="43"/>
      <c r="E25" s="43"/>
      <c r="F25" s="43"/>
      <c r="G25" s="43"/>
      <c r="H25" s="43"/>
      <c r="I25" s="43"/>
      <c r="J25" s="43"/>
      <c r="K25" s="43"/>
      <c r="L25" s="43"/>
      <c r="M25" s="43"/>
    </row>
    <row r="26" spans="1:13" ht="13.5" thickBot="1">
      <c r="A26" s="46">
        <v>21</v>
      </c>
      <c r="D26" s="55">
        <f t="shared" si="0" ref="D26:M26">SUM(D23:D25)</f>
        <v>-139418.09</v>
      </c>
      <c r="E26" s="55">
        <f t="shared" si="0"/>
        <v>-21077.509999999998</v>
      </c>
      <c r="F26" s="55">
        <f t="shared" si="0"/>
        <v>0</v>
      </c>
      <c r="G26" s="55">
        <f t="shared" si="0"/>
        <v>0</v>
      </c>
      <c r="H26" s="55">
        <f t="shared" si="0"/>
        <v>-21077.509999999998</v>
      </c>
      <c r="I26" s="55">
        <f t="shared" si="0"/>
        <v>-118340.58</v>
      </c>
      <c r="J26" s="55">
        <f t="shared" si="0"/>
        <v>0</v>
      </c>
      <c r="K26" s="55">
        <f t="shared" si="0"/>
        <v>-118340.58</v>
      </c>
      <c r="L26" s="55">
        <f t="shared" si="0"/>
        <v>0</v>
      </c>
      <c r="M26" s="55">
        <f t="shared" si="0"/>
        <v>0</v>
      </c>
    </row>
    <row r="27" spans="1:1" ht="13.5" thickTop="1">
      <c r="A27" s="46">
        <v>22</v>
      </c>
    </row>
    <row r="32" spans="6:6" ht="12.75">
      <c r="F32" s="34"/>
    </row>
    <row r="36" spans="2:2" ht="12.75">
      <c r="B36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6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REMOVE WRITE-OFF OLD HUGHES/ANIXTER JOB ORDERS
FOR THE TEST YEAR ENDING DECEMBER 31, 2021
SPONSOR: W. ALAN LEDBETTER&amp;R&amp;"Arial,Bold"WP/II-D ADJUSTMENT/17
Page 1 of 2</oddHead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22">
    <pageSetUpPr fitToPage="1"/>
  </sheetPr>
  <dimension ref="A2:N35"/>
  <sheetViews>
    <sheetView workbookViewId="0" topLeftCell="A1">
      <pane ySplit="3" topLeftCell="A4" activePane="bottomLeft" state="frozen"/>
      <selection pane="topLeft" activeCell="A1" sqref="A1"/>
      <selection pane="bottomLeft" activeCell="B7" sqref="B7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294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>
        <v>48150.160000000003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48150.160000000003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190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31</v>
      </c>
      <c r="D23" s="41">
        <f>+M14</f>
        <v>48150.160000000003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f>+M14</f>
        <v>48150.160000000003</v>
      </c>
      <c r="J23" s="56">
        <v>0</v>
      </c>
      <c r="K23" s="56">
        <f>SUM(I23:J23)</f>
        <v>48150.160000000003</v>
      </c>
      <c r="L23" s="56">
        <v>0</v>
      </c>
      <c r="M23" s="56">
        <v>0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48150.160000000003</v>
      </c>
      <c r="E25" s="55">
        <f t="shared" si="0"/>
        <v>0</v>
      </c>
      <c r="F25" s="55">
        <f t="shared" si="0"/>
        <v>0</v>
      </c>
      <c r="G25" s="55">
        <f t="shared" si="0"/>
        <v>0</v>
      </c>
      <c r="H25" s="55">
        <f t="shared" si="0"/>
        <v>0</v>
      </c>
      <c r="I25" s="55">
        <f t="shared" si="0"/>
        <v>48150.160000000003</v>
      </c>
      <c r="J25" s="55">
        <f t="shared" si="0"/>
        <v>0</v>
      </c>
      <c r="K25" s="55">
        <f t="shared" si="0"/>
        <v>48150.160000000003</v>
      </c>
      <c r="L25" s="55">
        <f t="shared" si="0"/>
        <v>0</v>
      </c>
      <c r="M25" s="55">
        <f t="shared" si="0"/>
        <v>0</v>
      </c>
    </row>
    <row r="26" spans="1:1" ht="13.5" thickTop="1">
      <c r="A26" s="46">
        <v>21</v>
      </c>
    </row>
    <row r="32" spans="6:6" ht="12.75">
      <c r="F32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MOBILE GENERATOR MAINTENANCE FEES (HB2483 &amp;&amp; PURA 39.918)
FOR THE TEST YEAR ENDING DECEMBER 31, 2021
SPONSOR: W. ALAN LEDBETTER&amp;R&amp;"Arial,Bold"WP/II-D ADJUSTMENT/18
Page 1 of 2</oddHead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23">
    <pageSetUpPr fitToPage="1"/>
  </sheetPr>
  <dimension ref="A2:N35"/>
  <sheetViews>
    <sheetView workbookViewId="0" topLeftCell="A1">
      <pane ySplit="3" topLeftCell="A4" activePane="bottomLeft" state="frozen"/>
      <selection pane="topLeft" activeCell="A1" sqref="A1"/>
      <selection pane="bottomLeft" activeCell="A4" sqref="A4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213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52" t="s">
        <v>194</v>
      </c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88666.669999999998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/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/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-88666.669999999998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195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53</v>
      </c>
      <c r="D23" s="41">
        <f>+M14</f>
        <v>-88666.669999999998</v>
      </c>
      <c r="E23" s="56">
        <f>+$D23*'[2]II-F Alloc_Factor'!E$17</f>
        <v>-19524.539437153911</v>
      </c>
      <c r="F23" s="56">
        <f>+$D23*'[2]II-F Alloc_Factor'!F$17</f>
        <v>0</v>
      </c>
      <c r="G23" s="56">
        <f>+$D23*'[2]II-F Alloc_Factor'!G$17</f>
        <v>0</v>
      </c>
      <c r="H23" s="56">
        <f>SUM(E23:G23)</f>
        <v>-19524.539437153911</v>
      </c>
      <c r="I23" s="56">
        <f>+$D23*'[2]II-F Alloc_Factor'!I$17</f>
        <v>-53864.958680146556</v>
      </c>
      <c r="J23" s="56">
        <f>+$D23*'[2]II-F Alloc_Factor'!J$17</f>
        <v>0</v>
      </c>
      <c r="K23" s="56">
        <f>SUM(I23:J23)</f>
        <v>-53864.958680146556</v>
      </c>
      <c r="L23" s="56">
        <f>+$D23*'[2]II-F Alloc_Factor'!L$17</f>
        <v>-14686.180652295963</v>
      </c>
      <c r="M23" s="56">
        <f>+$D23*'[2]II-F Alloc_Factor'!M$17</f>
        <v>-590.99123040356312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-88666.669999999998</v>
      </c>
      <c r="E25" s="55">
        <f t="shared" si="0"/>
        <v>-19524.539437153911</v>
      </c>
      <c r="F25" s="55">
        <f t="shared" si="0"/>
        <v>0</v>
      </c>
      <c r="G25" s="55">
        <f t="shared" si="0"/>
        <v>0</v>
      </c>
      <c r="H25" s="55">
        <f t="shared" si="0"/>
        <v>-19524.539437153911</v>
      </c>
      <c r="I25" s="55">
        <f t="shared" si="0"/>
        <v>-53864.958680146556</v>
      </c>
      <c r="J25" s="55">
        <f t="shared" si="0"/>
        <v>0</v>
      </c>
      <c r="K25" s="55">
        <f t="shared" si="0"/>
        <v>-53864.958680146556</v>
      </c>
      <c r="L25" s="55">
        <f t="shared" si="0"/>
        <v>-14686.180652295963</v>
      </c>
      <c r="M25" s="55">
        <f t="shared" si="0"/>
        <v>-590.99123040356312</v>
      </c>
    </row>
    <row r="26" spans="1:1" ht="13.5" thickTop="1">
      <c r="A26" s="46">
        <v>21</v>
      </c>
    </row>
    <row r="31" spans="6:6" ht="12.75">
      <c r="F31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NORMALIZE AFFILIATE AUDIT COSTS
FOR THE TEST YEAR ENDING DECEMBER 31, 2021
SPONSOR: W. ALAN LEDBETTER&amp;R&amp;"Arial,Bold"WP/II-D ADJUSTMENT/19
Page 1 of 2</oddHead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24">
    <pageSetUpPr fitToPage="1"/>
  </sheetPr>
  <dimension ref="A2:N35"/>
  <sheetViews>
    <sheetView workbookViewId="0" topLeftCell="A1">
      <pane ySplit="3" topLeftCell="A4" activePane="bottomLeft" state="frozen"/>
      <selection pane="topLeft" activeCell="A1" sqref="A1"/>
      <selection pane="bottomLeft" activeCell="B5" sqref="B5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215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52" t="s">
        <v>194</v>
      </c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4250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/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/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-4250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195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53</v>
      </c>
      <c r="D23" s="41">
        <f>+M14</f>
        <v>-4250</v>
      </c>
      <c r="E23" s="56">
        <f>ROUND(+$D23*'[2]II-F Alloc_Factor'!E$17,2)</f>
        <v>-935.86000000000001</v>
      </c>
      <c r="F23" s="56">
        <f>ROUND(+$D23*'[2]II-F Alloc_Factor'!F$17,2)</f>
        <v>0</v>
      </c>
      <c r="G23" s="56">
        <f>ROUND(+$D23*'[2]II-F Alloc_Factor'!G$17,2)</f>
        <v>0</v>
      </c>
      <c r="H23" s="56">
        <f>SUM(E23:G23)</f>
        <v>-935.86000000000001</v>
      </c>
      <c r="I23" s="56">
        <f>ROUND(+$D23*'[2]II-F Alloc_Factor'!I$17,2)</f>
        <v>-2581.8699999999999</v>
      </c>
      <c r="J23" s="56">
        <f>ROUND(+$D23*'[2]II-F Alloc_Factor'!J$17,2)</f>
        <v>0</v>
      </c>
      <c r="K23" s="56">
        <f>SUM(I23:J23)</f>
        <v>-2581.8699999999999</v>
      </c>
      <c r="L23" s="56">
        <f>ROUND(+$D23*'[2]II-F Alloc_Factor'!L$17,2)</f>
        <v>-703.94000000000005</v>
      </c>
      <c r="M23" s="56">
        <f>ROUND(+$D23*'[2]II-F Alloc_Factor'!M$17,2)</f>
        <v>-28.329999999999998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-4250</v>
      </c>
      <c r="E25" s="55">
        <f t="shared" si="0"/>
        <v>-935.86000000000001</v>
      </c>
      <c r="F25" s="55">
        <f t="shared" si="0"/>
        <v>0</v>
      </c>
      <c r="G25" s="55">
        <f t="shared" si="0"/>
        <v>0</v>
      </c>
      <c r="H25" s="55">
        <f t="shared" si="0"/>
        <v>-935.86000000000001</v>
      </c>
      <c r="I25" s="55">
        <f t="shared" si="0"/>
        <v>-2581.8699999999999</v>
      </c>
      <c r="J25" s="55">
        <f t="shared" si="0"/>
        <v>0</v>
      </c>
      <c r="K25" s="55">
        <f t="shared" si="0"/>
        <v>-2581.8699999999999</v>
      </c>
      <c r="L25" s="55">
        <f t="shared" si="0"/>
        <v>-703.94000000000005</v>
      </c>
      <c r="M25" s="55">
        <f t="shared" si="0"/>
        <v>-28.329999999999998</v>
      </c>
    </row>
    <row r="26" spans="1:1" ht="13.5" thickTop="1">
      <c r="A26" s="46">
        <v>21</v>
      </c>
    </row>
    <row r="32" spans="6:6" ht="12.75">
      <c r="F32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NORMALIZE SEMPRA CORPORATE TAX SERVICES
FOR THE TEST YEAR ENDING DECEMBER 31, 2021
SPONSOR: W. ALAN LEDBETTER&amp;R&amp;"Arial,Bold"WP/II-D ADJUSTMENT/20
Page 1 of 2</oddHead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25">
    <tabColor rgb="FFFF0000"/>
    <pageSetUpPr fitToPage="1"/>
  </sheetPr>
  <dimension ref="A2:N36"/>
  <sheetViews>
    <sheetView workbookViewId="0" topLeftCell="A1">
      <pane ySplit="3" topLeftCell="A19" activePane="bottomLeft" state="frozen"/>
      <selection pane="topLeft" activeCell="A1" sqref="A1"/>
      <selection pane="bottomLeft" activeCell="B36" sqref="B36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310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52" t="s">
        <v>194</v>
      </c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104">
        <v>25360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/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/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-25360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190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32</v>
      </c>
      <c r="D23" s="41">
        <v>-22350.189999999999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v>-22099.799999999999</v>
      </c>
      <c r="J23" s="56">
        <v>0</v>
      </c>
      <c r="K23" s="56">
        <f>SUM(I23:J23)</f>
        <v>-22099.799999999999</v>
      </c>
      <c r="L23" s="56">
        <v>-250.38999999999999</v>
      </c>
      <c r="M23" s="56">
        <v>0</v>
      </c>
      <c r="N23" s="45" t="b">
        <f>+D23=(M23+L23+K23+H23)</f>
        <v>1</v>
      </c>
    </row>
    <row r="24" spans="1:14" ht="12.75">
      <c r="A24" s="46">
        <v>19</v>
      </c>
      <c r="C24" s="34" t="s">
        <v>48</v>
      </c>
      <c r="D24" s="41">
        <v>-3010.1700000000001</v>
      </c>
      <c r="E24" s="82">
        <v>0</v>
      </c>
      <c r="F24" s="82">
        <v>0</v>
      </c>
      <c r="G24" s="82">
        <v>0</v>
      </c>
      <c r="H24" s="82">
        <f>SUM(E24:G24)</f>
        <v>0</v>
      </c>
      <c r="I24" s="82">
        <v>-3003.25</v>
      </c>
      <c r="J24" s="82">
        <v>0</v>
      </c>
      <c r="K24" s="82">
        <f>SUM(I24:J24)</f>
        <v>-3003.25</v>
      </c>
      <c r="L24" s="82">
        <v>-6.9199999999999999</v>
      </c>
      <c r="M24" s="82">
        <v>0</v>
      </c>
      <c r="N24" s="45" t="b">
        <f>+D24=(M24+L24+K24+H24)</f>
        <v>1</v>
      </c>
    </row>
    <row r="25" spans="1:13" ht="12.75">
      <c r="A25" s="46">
        <v>20</v>
      </c>
      <c r="C25" s="34"/>
      <c r="D25" s="43"/>
      <c r="E25" s="43"/>
      <c r="F25" s="43"/>
      <c r="G25" s="43"/>
      <c r="H25" s="43"/>
      <c r="I25" s="43"/>
      <c r="J25" s="43"/>
      <c r="K25" s="43"/>
      <c r="L25" s="43"/>
      <c r="M25" s="43"/>
    </row>
    <row r="26" spans="1:13" ht="13.5" thickBot="1">
      <c r="A26" s="46">
        <v>21</v>
      </c>
      <c r="D26" s="55">
        <f t="shared" si="0" ref="D26:M26">SUM(D23:D25)</f>
        <v>-25360.360000000001</v>
      </c>
      <c r="E26" s="55">
        <f t="shared" si="0"/>
        <v>0</v>
      </c>
      <c r="F26" s="55">
        <f t="shared" si="0"/>
        <v>0</v>
      </c>
      <c r="G26" s="55">
        <f t="shared" si="0"/>
        <v>0</v>
      </c>
      <c r="H26" s="55">
        <f t="shared" si="0"/>
        <v>0</v>
      </c>
      <c r="I26" s="55">
        <f t="shared" si="0"/>
        <v>-25103.049999999999</v>
      </c>
      <c r="J26" s="55">
        <f t="shared" si="0"/>
        <v>0</v>
      </c>
      <c r="K26" s="55">
        <f t="shared" si="0"/>
        <v>-25103.049999999999</v>
      </c>
      <c r="L26" s="55">
        <f t="shared" si="0"/>
        <v>-257.31</v>
      </c>
      <c r="M26" s="55">
        <f t="shared" si="0"/>
        <v>0</v>
      </c>
    </row>
    <row r="27" spans="1:1" ht="13.5" thickTop="1">
      <c r="A27" s="46">
        <v>22</v>
      </c>
    </row>
    <row r="28" spans="1:14" ht="12.75">
      <c r="A28" s="46">
        <v>23</v>
      </c>
      <c r="B28" s="34" t="s">
        <v>216</v>
      </c>
      <c r="C28" s="34" t="s">
        <v>32</v>
      </c>
      <c r="D28" s="41">
        <v>-16078.24</v>
      </c>
      <c r="E28" s="82">
        <v>0</v>
      </c>
      <c r="F28" s="82">
        <v>0</v>
      </c>
      <c r="G28" s="82">
        <v>0</v>
      </c>
      <c r="H28" s="82">
        <f>SUM(E28:G28)</f>
        <v>0</v>
      </c>
      <c r="I28" s="82">
        <f>+D28</f>
        <v>-16078.24</v>
      </c>
      <c r="J28" s="82">
        <v>0</v>
      </c>
      <c r="K28" s="82">
        <f>SUM(I28:J28)</f>
        <v>-16078.24</v>
      </c>
      <c r="L28" s="82">
        <v>0</v>
      </c>
      <c r="M28" s="82">
        <v>0</v>
      </c>
      <c r="N28" s="45" t="b">
        <f>+D28=(M28+L28+K28+H28)</f>
        <v>1</v>
      </c>
    </row>
    <row r="29" spans="1:1" ht="12.75">
      <c r="A29" s="46">
        <v>24</v>
      </c>
    </row>
    <row r="34" spans="6:6" ht="12.75">
      <c r="F34" s="34"/>
    </row>
    <row r="36" spans="2:2" ht="12.75">
      <c r="B36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6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REMOVE WRITE-OFF OF CANCELLED PARTNER PROJECTS
FOR THE TEST YEAR ENDING DECEMBER 31, 2021
SPONSOR: W. ALAN LEDBETTER&amp;R&amp;"Arial,Bold"WP/II-D ADJUSTMENT/21
Page 1 of 2</oddHead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26">
    <pageSetUpPr fitToPage="1"/>
  </sheetPr>
  <dimension ref="A2:N35"/>
  <sheetViews>
    <sheetView workbookViewId="0" topLeftCell="A1">
      <pane ySplit="3" topLeftCell="A4" activePane="bottomLeft" state="frozen"/>
      <selection pane="topLeft" activeCell="A1" sqref="A1"/>
      <selection pane="bottomLeft" activeCell="H32" sqref="H32"/>
    </sheetView>
  </sheetViews>
  <sheetFormatPr defaultColWidth="9.14428571428571" defaultRowHeight="12.75"/>
  <cols>
    <col min="1" max="1" width="5.14285714285714" style="45" bestFit="1" customWidth="1"/>
    <col min="2" max="2" width="22.5714285714286" style="45" customWidth="1"/>
    <col min="3" max="3" width="8.71428571428571" style="45" bestFit="1" customWidth="1"/>
    <col min="4" max="4" width="13.4285714285714" style="45" customWidth="1"/>
    <col min="5" max="5" width="14.7142857142857" style="45" customWidth="1"/>
    <col min="6" max="6" width="16.2857142857143" style="45" customWidth="1"/>
    <col min="7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218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52" t="s">
        <v>194</v>
      </c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8010.5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/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/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-8010.5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195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47</v>
      </c>
      <c r="D23" s="41">
        <f>+M14</f>
        <v>-8010.5</v>
      </c>
      <c r="E23" s="56">
        <f>ROUND(+$D23*'[2]II-F Alloc_Factor'!E$17,2)</f>
        <v>-1763.9200000000001</v>
      </c>
      <c r="F23" s="56">
        <f>ROUND(+$D23*'[2]II-F Alloc_Factor'!F$17,2)</f>
        <v>0</v>
      </c>
      <c r="G23" s="56">
        <f>ROUND(+$D23*'[2]II-F Alloc_Factor'!G$17,2)</f>
        <v>0</v>
      </c>
      <c r="H23" s="56">
        <f>SUM(E23:G23)</f>
        <v>-1763.9200000000001</v>
      </c>
      <c r="I23" s="56">
        <f>ROUND(+$D23*'[2]II-F Alloc_Factor'!I$17,2)</f>
        <v>-4866.3699999999999</v>
      </c>
      <c r="J23" s="56">
        <f>ROUND(+$D23*'[2]II-F Alloc_Factor'!J$17,2)</f>
        <v>0</v>
      </c>
      <c r="K23" s="56">
        <f>SUM(I23:J23)</f>
        <v>-4866.3699999999999</v>
      </c>
      <c r="L23" s="56">
        <f>ROUND(+$D23*'[2]II-F Alloc_Factor'!L$17,2)</f>
        <v>-1326.81</v>
      </c>
      <c r="M23" s="56">
        <f>+D23-H23-K23-L23</f>
        <v>-53.400000000000091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-8010.5</v>
      </c>
      <c r="E25" s="55">
        <f t="shared" si="0"/>
        <v>-1763.9200000000001</v>
      </c>
      <c r="F25" s="55">
        <f t="shared" si="0"/>
        <v>0</v>
      </c>
      <c r="G25" s="55">
        <f t="shared" si="0"/>
        <v>0</v>
      </c>
      <c r="H25" s="55">
        <f t="shared" si="0"/>
        <v>-1763.9200000000001</v>
      </c>
      <c r="I25" s="55">
        <f t="shared" si="0"/>
        <v>-4866.3699999999999</v>
      </c>
      <c r="J25" s="55">
        <f t="shared" si="0"/>
        <v>0</v>
      </c>
      <c r="K25" s="55">
        <f t="shared" si="0"/>
        <v>-4866.3699999999999</v>
      </c>
      <c r="L25" s="55">
        <f t="shared" si="0"/>
        <v>-1326.81</v>
      </c>
      <c r="M25" s="55">
        <f t="shared" si="0"/>
        <v>-53.400000000000091</v>
      </c>
    </row>
    <row r="26" spans="1:1" ht="13.5" thickTop="1">
      <c r="A26" s="46">
        <v>21</v>
      </c>
    </row>
    <row r="32" spans="6:6" ht="12.75">
      <c r="F32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REMOVE SDTS BOND REPORTING FEES
FOR THE TEST YEAR ENDING DECEMBER 31, 2021
SPONSOR: W. ALAN LEDBETTER&amp;R&amp;"Arial,Bold"WP/II-D ADJUSTMENT/22
Page 1 of 2</oddHead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27">
    <tabColor rgb="FFFF0000"/>
    <pageSetUpPr fitToPage="1"/>
  </sheetPr>
  <dimension ref="A2:N37"/>
  <sheetViews>
    <sheetView workbookViewId="0" topLeftCell="A1">
      <pane ySplit="3" topLeftCell="A4" activePane="bottomLeft" state="frozen"/>
      <selection pane="topLeft" activeCell="A1" sqref="A1"/>
      <selection pane="bottomLeft" activeCell="H32" sqref="H32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220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>
        <v>16035964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16035964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223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16</v>
      </c>
      <c r="D23" s="41">
        <f>ROUND(+$M$14*'[3]II-D-3'!$AA$38,2)</f>
        <v>2390950.3900000001</v>
      </c>
      <c r="E23" s="56">
        <f>+D23</f>
        <v>2390950.3900000001</v>
      </c>
      <c r="F23" s="56">
        <v>0</v>
      </c>
      <c r="G23" s="56">
        <v>0</v>
      </c>
      <c r="H23" s="56">
        <f>SUM(E23:G23)</f>
        <v>2390950.3900000001</v>
      </c>
      <c r="I23" s="56"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4" ht="12.75">
      <c r="A24" s="46">
        <v>19</v>
      </c>
      <c r="C24" s="34" t="s">
        <v>29</v>
      </c>
      <c r="D24" s="41">
        <f>ROUND(+$M14*'[3]II-D-3'!$AA$69,2)</f>
        <v>7783249.0300000003</v>
      </c>
      <c r="E24" s="82">
        <v>0</v>
      </c>
      <c r="F24" s="82">
        <v>0</v>
      </c>
      <c r="G24" s="82">
        <v>0</v>
      </c>
      <c r="H24" s="82">
        <f>SUM(E24:G24)</f>
        <v>0</v>
      </c>
      <c r="I24" s="82">
        <f>+D24</f>
        <v>7783249.0300000003</v>
      </c>
      <c r="J24" s="82">
        <v>0</v>
      </c>
      <c r="K24" s="82">
        <f>SUM(I24:J24)</f>
        <v>7783249.0300000003</v>
      </c>
      <c r="L24" s="82">
        <v>0</v>
      </c>
      <c r="M24" s="82">
        <v>0</v>
      </c>
      <c r="N24" s="45" t="b">
        <f>+D24=(M24+L24+K24+H24)</f>
        <v>1</v>
      </c>
    </row>
    <row r="25" spans="1:14" ht="12.75">
      <c r="A25" s="46">
        <v>20</v>
      </c>
      <c r="C25" s="34" t="s">
        <v>44</v>
      </c>
      <c r="D25" s="41">
        <f>+M14-D23-D24</f>
        <v>5861764.5799999991</v>
      </c>
      <c r="E25" s="82">
        <f>ROUND(+$D25*'[2]II-F Alloc_Factor'!E$17,2)</f>
        <v>1290769.73</v>
      </c>
      <c r="F25" s="82">
        <f>ROUND(+$D25*'[2]II-F Alloc_Factor'!F$17,2)</f>
        <v>0</v>
      </c>
      <c r="G25" s="82">
        <f>ROUND(+$D25*'[2]II-F Alloc_Factor'!G$17,2)</f>
        <v>0</v>
      </c>
      <c r="H25" s="82">
        <f>SUM(E25:G25)</f>
        <v>1290769.73</v>
      </c>
      <c r="I25" s="82">
        <f>ROUND(+$D25*'[2]II-F Alloc_Factor'!I$17,2)</f>
        <v>3561019.1200000001</v>
      </c>
      <c r="J25" s="82">
        <f>ROUND(+$D25*'[2]II-F Alloc_Factor'!J$17,2)</f>
        <v>0</v>
      </c>
      <c r="K25" s="82">
        <f>SUM(I25:J25)</f>
        <v>3561019.1200000001</v>
      </c>
      <c r="L25" s="82">
        <f>ROUND(+$D25*'[2]II-F Alloc_Factor'!L$17,2)</f>
        <v>970905.22999999998</v>
      </c>
      <c r="M25" s="82">
        <f>ROUND(+$D25*'[2]II-F Alloc_Factor'!M$17,2)</f>
        <v>39070.5</v>
      </c>
      <c r="N25" s="45" t="b">
        <f>+D25=(M25+L25+K25+H25)</f>
        <v>1</v>
      </c>
    </row>
    <row r="26" spans="1:13" ht="12.75">
      <c r="A26" s="46">
        <v>21</v>
      </c>
      <c r="C26" s="34"/>
      <c r="D26" s="43"/>
      <c r="E26" s="43"/>
      <c r="F26" s="43"/>
      <c r="G26" s="43"/>
      <c r="H26" s="43"/>
      <c r="I26" s="43"/>
      <c r="J26" s="43"/>
      <c r="K26" s="43"/>
      <c r="L26" s="43"/>
      <c r="M26" s="43"/>
    </row>
    <row r="27" spans="1:13" ht="13.5" thickBot="1">
      <c r="A27" s="46">
        <v>22</v>
      </c>
      <c r="D27" s="55">
        <f t="shared" si="0" ref="D27:M27">SUM(D23:D26)</f>
        <v>16035964</v>
      </c>
      <c r="E27" s="55">
        <f t="shared" si="0"/>
        <v>3681720.1200000001</v>
      </c>
      <c r="F27" s="55">
        <f t="shared" si="0"/>
        <v>0</v>
      </c>
      <c r="G27" s="55">
        <f t="shared" si="0"/>
        <v>0</v>
      </c>
      <c r="H27" s="55">
        <f t="shared" si="0"/>
        <v>3681720.1200000001</v>
      </c>
      <c r="I27" s="55">
        <f t="shared" si="0"/>
        <v>11344268.15</v>
      </c>
      <c r="J27" s="55">
        <f t="shared" si="0"/>
        <v>0</v>
      </c>
      <c r="K27" s="55">
        <f t="shared" si="0"/>
        <v>11344268.15</v>
      </c>
      <c r="L27" s="55">
        <f t="shared" si="0"/>
        <v>970905.22999999998</v>
      </c>
      <c r="M27" s="55">
        <f t="shared" si="0"/>
        <v>39070.5</v>
      </c>
    </row>
    <row r="28" spans="1:1" ht="13.5" thickTop="1">
      <c r="A28" s="46">
        <v>23</v>
      </c>
    </row>
    <row r="33" spans="6:6" ht="12.75">
      <c r="F33" s="34"/>
    </row>
    <row r="37" spans="2:2" ht="12.75">
      <c r="B37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7" location="'Total Summary'!A84" display="Return to Summary"/>
  </hyperlinks>
  <printOptions horizontalCentered="1"/>
  <pageMargins left="0.05" right="0.05" top="2.6" bottom="0.5" header="1.5" footer="0.5"/>
  <pageSetup fitToHeight="0" orientation="landscape" scale="68" r:id="rId1"/>
  <headerFooter alignWithMargins="0">
    <oddHeader>&amp;C&amp;"Arial,Bold"
ONCOR ELECTRIC DELIVERY COMPANY LLC
MERIT INCREASE AND WAGES ANNUALIZED
FOR THE TEST YEAR ENDING DECEMBER 31, 2021
SPONSOR: W. ALAN LEDBETTER&amp;R&amp;"Arial,Bold"WP/II-D ADJUSTMENT/23
Page 1 of 2</oddHead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28">
    <pageSetUpPr fitToPage="1"/>
  </sheetPr>
  <dimension ref="A2:O35"/>
  <sheetViews>
    <sheetView workbookViewId="0" topLeftCell="A1">
      <selection pane="topLeft" activeCell="B35" sqref="B35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4" width="9.14285714285714" style="45"/>
    <col min="15" max="15" width="11.2857142857143" style="45" bestFit="1" customWidth="1"/>
    <col min="16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222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90">
        <v>0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53"/>
      <c r="F11" s="53"/>
      <c r="G11" s="34"/>
      <c r="H11" s="53"/>
      <c r="I11" s="89"/>
      <c r="J11" s="49"/>
      <c r="K11" s="49"/>
      <c r="L11" s="34" t="s">
        <v>173</v>
      </c>
      <c r="M11" s="95">
        <f>ROUND(+'[4]II-E-4.1.1'!$P$65+'[4]II-E-4.1.1'!$P$64+'[4]II-E-4.1.1'!$P$63+'[4]II-E-4.1.1'!$P$49+'[4]II-E-4.1.1'!$P$51+'[4]II-E-4.1.1'!$P$52+'[4]II-E-4.1.1'!$P$53+'[4]II-E-4.1.1'!$P$54,2)</f>
        <v>1646625.6899999999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1646625.6899999999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190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5" ht="12.75">
      <c r="A23" s="46">
        <v>18</v>
      </c>
      <c r="C23" s="34" t="s">
        <v>50</v>
      </c>
      <c r="D23" s="41">
        <f>+M14</f>
        <v>1646625.6899999999</v>
      </c>
      <c r="E23" s="56">
        <f>+'[4]II-E-4.1'!N58+'[4]II-E-4.1'!N60+'[4]II-E-4.1'!N61+'[4]II-E-4.1'!N62+'[4]II-E-4.1'!N63+'[4]II-E-4.1'!N68+'[4]II-E-4.1'!N69+'[4]II-E-4.1'!N70</f>
        <v>0</v>
      </c>
      <c r="F23" s="56">
        <f>+'[4]II-E-4.1'!O58+'[4]II-E-4.1'!O60+'[4]II-E-4.1'!O61+'[4]II-E-4.1'!O62+'[4]II-E-4.1'!O63+'[4]II-E-4.1'!O68+'[4]II-E-4.1'!O69+'[4]II-E-4.1'!O70</f>
        <v>0</v>
      </c>
      <c r="G23" s="56">
        <f>+'[4]II-E-4.1'!P58+'[4]II-E-4.1'!P60+'[4]II-E-4.1'!P61+'[4]II-E-4.1'!P62+'[4]II-E-4.1'!P63+'[4]II-E-4.1'!P68+'[4]II-E-4.1'!P69+'[4]II-E-4.1'!P70</f>
        <v>0</v>
      </c>
      <c r="H23" s="56">
        <f>SUM(E23:G23)</f>
        <v>0</v>
      </c>
      <c r="I23" s="56">
        <f>+'[4]II-E-4.1'!R58+'[4]II-E-4.1'!R60+'[4]II-E-4.1'!R61+'[4]II-E-4.1'!R62+'[4]II-E-4.1'!R63+'[4]II-E-4.1'!R68+'[4]II-E-4.1'!R69+'[4]II-E-4.1'!R70</f>
        <v>1646625.6899999999</v>
      </c>
      <c r="J23" s="56">
        <f>+'[4]II-E-4.1'!S58+'[4]II-E-4.1'!S60+'[4]II-E-4.1'!S61+'[4]II-E-4.1'!S62+'[4]II-E-4.1'!S63+'[4]II-E-4.1'!S68+'[4]II-E-4.1'!S69+'[4]II-E-4.1'!S70</f>
        <v>0</v>
      </c>
      <c r="K23" s="56">
        <f>SUM(I23:J23)</f>
        <v>1646625.6899999999</v>
      </c>
      <c r="L23" s="56">
        <v>0</v>
      </c>
      <c r="M23" s="56">
        <f>+D23-H23-K23-L23</f>
        <v>0</v>
      </c>
      <c r="N23" s="45" t="b">
        <f>+D23=(M23+L23+K23+H23)</f>
        <v>1</v>
      </c>
      <c r="O23" s="61"/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1646625.6899999999</v>
      </c>
      <c r="E25" s="55">
        <f t="shared" si="0"/>
        <v>0</v>
      </c>
      <c r="F25" s="55">
        <f t="shared" si="0"/>
        <v>0</v>
      </c>
      <c r="G25" s="55">
        <f t="shared" si="0"/>
        <v>0</v>
      </c>
      <c r="H25" s="55">
        <f t="shared" si="0"/>
        <v>0</v>
      </c>
      <c r="I25" s="55">
        <f t="shared" si="0"/>
        <v>1646625.6899999999</v>
      </c>
      <c r="J25" s="55">
        <f t="shared" si="0"/>
        <v>0</v>
      </c>
      <c r="K25" s="55">
        <f t="shared" si="0"/>
        <v>1646625.6899999999</v>
      </c>
      <c r="L25" s="55">
        <f t="shared" si="0"/>
        <v>0</v>
      </c>
      <c r="M25" s="55">
        <f t="shared" si="0"/>
        <v>0</v>
      </c>
    </row>
    <row r="26" spans="1:1" ht="13.5" thickTop="1">
      <c r="A26" s="46">
        <v>21</v>
      </c>
    </row>
    <row r="32" spans="6:6" ht="12.75">
      <c r="F32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AMORTIZATION OF RATE CASE EXPENSES
FOR THE TEST YEAR ENDING DECEMBER 31, 2021
SPONSOR: W. ALAN LEDBETTER&amp;R&amp;"Arial,Bold"WP/II-D ADJUSTMENT/24
Page &amp;P of &amp;N</oddHead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29">
    <pageSetUpPr fitToPage="1"/>
  </sheetPr>
  <dimension ref="A2:N39"/>
  <sheetViews>
    <sheetView workbookViewId="0" topLeftCell="A1">
      <pane ySplit="3" topLeftCell="A4" activePane="bottomLeft" state="frozen"/>
      <selection pane="topLeft" activeCell="A1" sqref="A1"/>
      <selection pane="bottomLeft" activeCell="A4" sqref="A4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225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52" t="s">
        <v>194</v>
      </c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88341.970000000001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/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/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-88341.970000000001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190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12</v>
      </c>
      <c r="D23" s="41">
        <v>124762.97</v>
      </c>
      <c r="E23" s="56">
        <f>+D23</f>
        <v>124762.97</v>
      </c>
      <c r="F23" s="56">
        <v>0</v>
      </c>
      <c r="G23" s="56">
        <v>0</v>
      </c>
      <c r="H23" s="56">
        <f>SUM(E23:G23)</f>
        <v>124762.97</v>
      </c>
      <c r="I23" s="56"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4" ht="12.75">
      <c r="A24" s="46">
        <v>19</v>
      </c>
      <c r="C24" s="34" t="s">
        <v>16</v>
      </c>
      <c r="D24" s="41">
        <v>140346.89000000001</v>
      </c>
      <c r="E24" s="82">
        <f>+D24</f>
        <v>140346.89000000001</v>
      </c>
      <c r="F24" s="82">
        <v>0</v>
      </c>
      <c r="G24" s="82">
        <v>0</v>
      </c>
      <c r="H24" s="82">
        <f t="shared" si="0" ref="H24:H27">SUM(E24:G24)</f>
        <v>140346.89000000001</v>
      </c>
      <c r="I24" s="82">
        <v>0</v>
      </c>
      <c r="J24" s="82">
        <v>0</v>
      </c>
      <c r="K24" s="82">
        <f t="shared" si="1" ref="K24:K27">SUM(I24:J24)</f>
        <v>0</v>
      </c>
      <c r="L24" s="82">
        <v>0</v>
      </c>
      <c r="M24" s="82">
        <v>0</v>
      </c>
      <c r="N24" s="45" t="b">
        <f t="shared" si="2" ref="N24:N27">+D24=(M24+L24+K24+H24)</f>
        <v>1</v>
      </c>
    </row>
    <row r="25" spans="1:14" ht="12.75">
      <c r="A25" s="46">
        <v>20</v>
      </c>
      <c r="C25" s="34" t="s">
        <v>27</v>
      </c>
      <c r="D25" s="41">
        <v>-308806.41999999998</v>
      </c>
      <c r="E25" s="82">
        <v>0</v>
      </c>
      <c r="F25" s="82">
        <v>0</v>
      </c>
      <c r="G25" s="82">
        <v>0</v>
      </c>
      <c r="H25" s="82">
        <f t="shared" si="0"/>
        <v>0</v>
      </c>
      <c r="I25" s="82">
        <v>0</v>
      </c>
      <c r="J25" s="82">
        <v>0</v>
      </c>
      <c r="K25" s="82">
        <f t="shared" si="1"/>
        <v>0</v>
      </c>
      <c r="L25" s="82">
        <f>+D25</f>
        <v>-308806.41999999998</v>
      </c>
      <c r="M25" s="82">
        <v>0</v>
      </c>
      <c r="N25" s="45" t="b">
        <f t="shared" si="2"/>
        <v>1</v>
      </c>
    </row>
    <row r="26" spans="1:14" ht="12.75">
      <c r="A26" s="46">
        <v>21</v>
      </c>
      <c r="C26" s="34" t="s">
        <v>29</v>
      </c>
      <c r="D26" s="41">
        <v>49158.690000000002</v>
      </c>
      <c r="E26" s="82">
        <v>0</v>
      </c>
      <c r="F26" s="82">
        <v>0</v>
      </c>
      <c r="G26" s="82">
        <v>0</v>
      </c>
      <c r="H26" s="82">
        <f t="shared" si="0"/>
        <v>0</v>
      </c>
      <c r="I26" s="82">
        <f>+D26</f>
        <v>49158.690000000002</v>
      </c>
      <c r="J26" s="82">
        <v>0</v>
      </c>
      <c r="K26" s="82">
        <f t="shared" si="1"/>
        <v>49158.690000000002</v>
      </c>
      <c r="L26" s="82">
        <v>0</v>
      </c>
      <c r="M26" s="82">
        <v>0</v>
      </c>
      <c r="N26" s="45" t="b">
        <f t="shared" si="2"/>
        <v>1</v>
      </c>
    </row>
    <row r="27" spans="1:14" ht="12.75">
      <c r="A27" s="46">
        <v>22</v>
      </c>
      <c r="C27" s="34" t="s">
        <v>54</v>
      </c>
      <c r="D27" s="41">
        <v>-93804.100000000006</v>
      </c>
      <c r="E27" s="82">
        <f>+D27</f>
        <v>-93804.100000000006</v>
      </c>
      <c r="F27" s="82">
        <v>0</v>
      </c>
      <c r="G27" s="82">
        <v>0</v>
      </c>
      <c r="H27" s="82">
        <f t="shared" si="0"/>
        <v>-93804.100000000006</v>
      </c>
      <c r="I27" s="82">
        <f t="shared" si="3" ref="I27">+M18</f>
        <v>0</v>
      </c>
      <c r="J27" s="82">
        <v>0</v>
      </c>
      <c r="K27" s="82">
        <f t="shared" si="1"/>
        <v>0</v>
      </c>
      <c r="L27" s="82">
        <v>0</v>
      </c>
      <c r="M27" s="82">
        <v>0</v>
      </c>
      <c r="N27" s="45" t="b">
        <f t="shared" si="2"/>
        <v>1</v>
      </c>
    </row>
    <row r="28" spans="1:13" ht="12.75">
      <c r="A28" s="46">
        <v>23</v>
      </c>
      <c r="C28" s="34"/>
      <c r="D28" s="43"/>
      <c r="E28" s="43"/>
      <c r="F28" s="43"/>
      <c r="G28" s="43"/>
      <c r="H28" s="43"/>
      <c r="I28" s="43"/>
      <c r="J28" s="43"/>
      <c r="K28" s="43"/>
      <c r="L28" s="43"/>
      <c r="M28" s="43"/>
    </row>
    <row r="29" spans="1:13" ht="13.5" thickBot="1">
      <c r="A29" s="46">
        <v>24</v>
      </c>
      <c r="D29" s="55">
        <f t="shared" si="4" ref="D29:M29">SUM(D23:D28)</f>
        <v>-88341.970000000001</v>
      </c>
      <c r="E29" s="55">
        <f t="shared" si="4"/>
        <v>171305.75999999998</v>
      </c>
      <c r="F29" s="55">
        <f t="shared" si="4"/>
        <v>0</v>
      </c>
      <c r="G29" s="55">
        <f t="shared" si="4"/>
        <v>0</v>
      </c>
      <c r="H29" s="55">
        <f t="shared" si="4"/>
        <v>171305.75999999998</v>
      </c>
      <c r="I29" s="55">
        <f t="shared" si="4"/>
        <v>49158.690000000002</v>
      </c>
      <c r="J29" s="55">
        <f t="shared" si="4"/>
        <v>0</v>
      </c>
      <c r="K29" s="55">
        <f t="shared" si="4"/>
        <v>49158.690000000002</v>
      </c>
      <c r="L29" s="55">
        <f t="shared" si="4"/>
        <v>-308806.41999999998</v>
      </c>
      <c r="M29" s="55">
        <f t="shared" si="4"/>
        <v>0</v>
      </c>
    </row>
    <row r="30" spans="1:1" ht="13.5" thickTop="1">
      <c r="A30" s="46">
        <v>25</v>
      </c>
    </row>
    <row r="35" spans="6:6" ht="12.75">
      <c r="F35" s="34"/>
    </row>
    <row r="39" spans="2:2" ht="12.75">
      <c r="B39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9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REMOVE TELECOM O&amp;&amp;M EXPENSE
FOR THE TEST YEAR ENDING DECEMBER 31, 2021
SPONSOR: W. ALAN LEDBETTER&amp;R&amp;"Arial,Bold"WP/II-D ADJUSTMENT/25
Page 1 of 2</oddHead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30">
    <pageSetUpPr fitToPage="1"/>
  </sheetPr>
  <dimension ref="A2:N41"/>
  <sheetViews>
    <sheetView workbookViewId="0" topLeftCell="A1">
      <pane ySplit="3" topLeftCell="A4" activePane="bottomLeft" state="frozen"/>
      <selection pane="topLeft" activeCell="A1" sqref="A1"/>
      <selection pane="bottomLeft" activeCell="B41" sqref="B41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312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52" t="s">
        <v>194</v>
      </c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1608393.3500000001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/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/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-1608393.3500000001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230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12</v>
      </c>
      <c r="D23" s="41">
        <v>-33754.400000000001</v>
      </c>
      <c r="E23" s="99">
        <f>+D23</f>
        <v>-33754.400000000001</v>
      </c>
      <c r="F23" s="56">
        <v>0</v>
      </c>
      <c r="G23" s="56">
        <v>0</v>
      </c>
      <c r="H23" s="56">
        <f>SUM(E23:G23)</f>
        <v>-33754.400000000001</v>
      </c>
      <c r="I23" s="56"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 t="shared" si="0" ref="N23:N29">+D23=(M23+L23+K23+H23)</f>
        <v>1</v>
      </c>
    </row>
    <row r="24" spans="1:14" ht="12.75">
      <c r="A24" s="46">
        <v>19</v>
      </c>
      <c r="C24" s="34" t="s">
        <v>16</v>
      </c>
      <c r="D24" s="71">
        <v>-693198.28000000003</v>
      </c>
      <c r="E24" s="82">
        <f>+D24</f>
        <v>-693198.28000000003</v>
      </c>
      <c r="F24" s="82">
        <v>0</v>
      </c>
      <c r="G24" s="82">
        <v>0</v>
      </c>
      <c r="H24" s="82">
        <f t="shared" si="1" ref="H24:H28">SUM(E24:G24)</f>
        <v>-693198.28000000003</v>
      </c>
      <c r="I24" s="82">
        <v>0</v>
      </c>
      <c r="J24" s="82">
        <v>0</v>
      </c>
      <c r="K24" s="82">
        <f t="shared" si="2" ref="K24:K28">SUM(I24:J24)</f>
        <v>0</v>
      </c>
      <c r="L24" s="82"/>
      <c r="M24" s="82"/>
      <c r="N24" s="45" t="b">
        <f t="shared" si="0"/>
        <v>1</v>
      </c>
    </row>
    <row r="25" spans="1:14" ht="12.75">
      <c r="A25" s="46">
        <v>20</v>
      </c>
      <c r="C25" s="34" t="s">
        <v>22</v>
      </c>
      <c r="D25" s="71">
        <v>-297088.89000000001</v>
      </c>
      <c r="E25" s="82">
        <v>0</v>
      </c>
      <c r="F25" s="82">
        <v>0</v>
      </c>
      <c r="G25" s="82">
        <v>0</v>
      </c>
      <c r="H25" s="82">
        <f t="shared" si="1"/>
        <v>0</v>
      </c>
      <c r="I25" s="82">
        <f>+D25</f>
        <v>-297088.89000000001</v>
      </c>
      <c r="J25" s="82">
        <v>0</v>
      </c>
      <c r="K25" s="82">
        <f t="shared" si="2"/>
        <v>-297088.89000000001</v>
      </c>
      <c r="L25" s="82">
        <v>0</v>
      </c>
      <c r="M25" s="82">
        <v>0</v>
      </c>
      <c r="N25" s="45" t="b">
        <f t="shared" si="0"/>
        <v>1</v>
      </c>
    </row>
    <row r="26" spans="1:14" ht="12.75">
      <c r="A26" s="46">
        <v>21</v>
      </c>
      <c r="C26" s="34" t="s">
        <v>29</v>
      </c>
      <c r="D26" s="71">
        <v>-118141.71000000001</v>
      </c>
      <c r="E26" s="82">
        <v>0</v>
      </c>
      <c r="F26" s="82">
        <v>0</v>
      </c>
      <c r="G26" s="82">
        <v>0</v>
      </c>
      <c r="H26" s="82">
        <f t="shared" si="3" ref="H26:H27">SUM(E26:G26)</f>
        <v>0</v>
      </c>
      <c r="I26" s="82">
        <f>+D26</f>
        <v>-118141.71000000001</v>
      </c>
      <c r="J26" s="82">
        <v>0</v>
      </c>
      <c r="K26" s="82">
        <f t="shared" si="4" ref="K26:K27">SUM(I26:J26)</f>
        <v>-118141.71000000001</v>
      </c>
      <c r="L26" s="82">
        <v>0</v>
      </c>
      <c r="M26" s="82">
        <v>0</v>
      </c>
      <c r="N26" s="45" t="b">
        <f t="shared" si="0"/>
        <v>1</v>
      </c>
    </row>
    <row r="27" spans="1:14" ht="12.75">
      <c r="A27" s="46">
        <v>22</v>
      </c>
      <c r="C27" s="34" t="s">
        <v>36</v>
      </c>
      <c r="D27" s="71">
        <v>-13076.33</v>
      </c>
      <c r="E27" s="82">
        <v>0</v>
      </c>
      <c r="F27" s="82">
        <v>0</v>
      </c>
      <c r="G27" s="82">
        <v>0</v>
      </c>
      <c r="H27" s="82">
        <f t="shared" si="3"/>
        <v>0</v>
      </c>
      <c r="I27" s="82">
        <f>+D27</f>
        <v>-13076.33</v>
      </c>
      <c r="J27" s="82">
        <v>0</v>
      </c>
      <c r="K27" s="82">
        <f t="shared" si="4"/>
        <v>-13076.33</v>
      </c>
      <c r="L27" s="82">
        <v>0</v>
      </c>
      <c r="M27" s="82">
        <v>0</v>
      </c>
      <c r="N27" s="45" t="b">
        <f t="shared" si="0"/>
        <v>1</v>
      </c>
    </row>
    <row r="28" spans="1:14" ht="12.75">
      <c r="A28" s="46">
        <v>23</v>
      </c>
      <c r="C28" s="34" t="s">
        <v>47</v>
      </c>
      <c r="D28" s="71">
        <v>-421887.33000000002</v>
      </c>
      <c r="E28" s="82">
        <f>ROUND(+$D28*'[2]II-F Alloc_Factor'!E$17,2)</f>
        <v>-92900.25</v>
      </c>
      <c r="F28" s="82">
        <f>ROUND(+$D28*'[2]II-F Alloc_Factor'!F$17,2)</f>
        <v>0</v>
      </c>
      <c r="G28" s="82">
        <f>ROUND(+$D28*'[2]II-F Alloc_Factor'!G$17,2)</f>
        <v>0</v>
      </c>
      <c r="H28" s="82">
        <f t="shared" si="1"/>
        <v>-92900.25</v>
      </c>
      <c r="I28" s="82">
        <f>ROUND(+$D28*'[2]II-F Alloc_Factor'!I$17,2)</f>
        <v>-256296.35000000001</v>
      </c>
      <c r="J28" s="82">
        <f>ROUND(+$D28*'[2]II-F Alloc_Factor'!J$17,2)</f>
        <v>0</v>
      </c>
      <c r="K28" s="82">
        <f t="shared" si="2"/>
        <v>-256296.35000000001</v>
      </c>
      <c r="L28" s="82">
        <f>ROUND(+$D28*'[2]II-F Alloc_Factor'!L$17,2)</f>
        <v>-69878.720000000001</v>
      </c>
      <c r="M28" s="82">
        <f>ROUND(+$D28*'[2]II-F Alloc_Factor'!M$17,2)</f>
        <v>-2812.0100000000002</v>
      </c>
      <c r="N28" s="45" t="b">
        <f t="shared" si="0"/>
        <v>1</v>
      </c>
    </row>
    <row r="29" spans="1:14" ht="12.75">
      <c r="A29" s="46">
        <v>24</v>
      </c>
      <c r="C29" s="34" t="s">
        <v>54</v>
      </c>
      <c r="D29" s="71">
        <v>-31246.41</v>
      </c>
      <c r="E29" s="82">
        <f>ROUND(+$D29*'[2]II-F Alloc_Factor'!E$17,2)</f>
        <v>-6880.5100000000002</v>
      </c>
      <c r="F29" s="82">
        <f>ROUND(+$D29*'[2]II-F Alloc_Factor'!F$17,2)</f>
        <v>0</v>
      </c>
      <c r="G29" s="82">
        <f>ROUND(+$D29*'[2]II-F Alloc_Factor'!G$17,2)</f>
        <v>0</v>
      </c>
      <c r="H29" s="82">
        <f t="shared" si="5" ref="H29">SUM(E29:G29)</f>
        <v>-6880.5100000000002</v>
      </c>
      <c r="I29" s="82">
        <f>ROUND(+$D29*'[2]II-F Alloc_Factor'!I$17,2)</f>
        <v>-18982.18</v>
      </c>
      <c r="J29" s="82">
        <f>ROUND(+$D29*'[2]II-F Alloc_Factor'!J$17,2)</f>
        <v>0</v>
      </c>
      <c r="K29" s="82">
        <f t="shared" si="6" ref="K29">SUM(I29:J29)</f>
        <v>-18982.18</v>
      </c>
      <c r="L29" s="82">
        <f>ROUND(+$D29*'[2]II-F Alloc_Factor'!L$17,2)</f>
        <v>-5175.46</v>
      </c>
      <c r="M29" s="82">
        <f>+D29-H29-K29-L29</f>
        <v>-208.26000000000113</v>
      </c>
      <c r="N29" s="43" t="b">
        <f t="shared" si="0"/>
        <v>1</v>
      </c>
    </row>
    <row r="30" spans="1:13" ht="12.75">
      <c r="A30" s="46">
        <v>25</v>
      </c>
      <c r="C30" s="34"/>
      <c r="D30" s="43"/>
      <c r="E30" s="43"/>
      <c r="F30" s="43"/>
      <c r="G30" s="43"/>
      <c r="H30" s="43"/>
      <c r="I30" s="43"/>
      <c r="J30" s="43"/>
      <c r="K30" s="43"/>
      <c r="L30" s="43"/>
      <c r="M30" s="43"/>
    </row>
    <row r="31" spans="1:13" ht="13.5" thickBot="1">
      <c r="A31" s="46">
        <v>26</v>
      </c>
      <c r="D31" s="55">
        <f t="shared" si="7" ref="D31:M31">SUM(D23:D30)</f>
        <v>-1608393.3500000001</v>
      </c>
      <c r="E31" s="55">
        <f t="shared" si="7"/>
        <v>-826733.44000000006</v>
      </c>
      <c r="F31" s="55">
        <f t="shared" si="7"/>
        <v>0</v>
      </c>
      <c r="G31" s="55">
        <f t="shared" si="7"/>
        <v>0</v>
      </c>
      <c r="H31" s="55">
        <f t="shared" si="7"/>
        <v>-826733.44000000006</v>
      </c>
      <c r="I31" s="55">
        <f t="shared" si="7"/>
        <v>-703585.46000000008</v>
      </c>
      <c r="J31" s="55">
        <f t="shared" si="7"/>
        <v>0</v>
      </c>
      <c r="K31" s="55">
        <f t="shared" si="7"/>
        <v>-703585.46000000008</v>
      </c>
      <c r="L31" s="55">
        <f t="shared" si="7"/>
        <v>-75054.180000000008</v>
      </c>
      <c r="M31" s="55">
        <f t="shared" si="7"/>
        <v>-3020.2700000000013</v>
      </c>
    </row>
    <row r="32" spans="1:1" ht="13.5" thickTop="1">
      <c r="A32" s="46">
        <v>27</v>
      </c>
    </row>
    <row r="37" spans="6:6" ht="12.75">
      <c r="F37" s="34"/>
    </row>
    <row r="41" spans="2:2" ht="12.75">
      <c r="B41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41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LEASE FACILITIES ADJUSTMENTS
FOR THE TEST YEAR ENDING DECEMBER 31, 2021
SPONSOR: W. ALAN LEDBETTER&amp;R&amp;"Arial,Bold"WP/II-D ADJUSTMENT/26
Page 1 of 2</oddHead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31">
    <pageSetUpPr fitToPage="1"/>
  </sheetPr>
  <dimension ref="A2:N69"/>
  <sheetViews>
    <sheetView workbookViewId="0" topLeftCell="A1">
      <pane ySplit="3" topLeftCell="A4" activePane="bottomLeft" state="frozen"/>
      <selection pane="topLeft" activeCell="A1" sqref="A1"/>
      <selection pane="bottomLeft" activeCell="N17" sqref="N17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227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>
        <v>5800000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5800000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190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11</v>
      </c>
      <c r="D23" s="41">
        <v>-39380.080000000002</v>
      </c>
      <c r="E23" s="56">
        <f>+D23</f>
        <v>-39380.080000000002</v>
      </c>
      <c r="F23" s="56">
        <v>0</v>
      </c>
      <c r="G23" s="56">
        <v>0</v>
      </c>
      <c r="H23" s="56">
        <f>SUM(E23:G23)</f>
        <v>-39380.080000000002</v>
      </c>
      <c r="I23" s="56"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4" ht="12.75">
      <c r="A24" s="46">
        <v>19</v>
      </c>
      <c r="C24" s="34" t="s">
        <v>12</v>
      </c>
      <c r="D24" s="71">
        <v>335476.84000000003</v>
      </c>
      <c r="E24" s="82">
        <v>335476.84000000003</v>
      </c>
      <c r="F24" s="82">
        <v>0</v>
      </c>
      <c r="G24" s="82">
        <v>0</v>
      </c>
      <c r="H24" s="82">
        <f t="shared" si="0" ref="H24:H57">SUM(E24:G24)</f>
        <v>335476.84000000003</v>
      </c>
      <c r="I24" s="82">
        <v>0</v>
      </c>
      <c r="J24" s="82">
        <v>0</v>
      </c>
      <c r="K24" s="82">
        <f t="shared" si="1" ref="K24:K57">SUM(I24:J24)</f>
        <v>0</v>
      </c>
      <c r="L24" s="82">
        <v>0</v>
      </c>
      <c r="M24" s="82">
        <v>0</v>
      </c>
      <c r="N24" s="45" t="b">
        <f t="shared" si="2" ref="N24:N57">+D24=(M24+L24+K24+H24)</f>
        <v>1</v>
      </c>
    </row>
    <row r="25" spans="1:14" ht="12.75">
      <c r="A25" s="46">
        <v>20</v>
      </c>
      <c r="C25" s="34" t="s">
        <v>13</v>
      </c>
      <c r="D25" s="71">
        <v>-1168.21</v>
      </c>
      <c r="E25" s="82">
        <v>-1048.27</v>
      </c>
      <c r="F25" s="82">
        <v>0</v>
      </c>
      <c r="G25" s="82">
        <v>0</v>
      </c>
      <c r="H25" s="82">
        <f t="shared" si="0"/>
        <v>-1048.27</v>
      </c>
      <c r="I25" s="82">
        <v>-119.94</v>
      </c>
      <c r="J25" s="82">
        <v>0</v>
      </c>
      <c r="K25" s="82">
        <f t="shared" si="1"/>
        <v>-119.94</v>
      </c>
      <c r="L25" s="82">
        <v>0</v>
      </c>
      <c r="M25" s="82">
        <v>0</v>
      </c>
      <c r="N25" s="45" t="b">
        <f t="shared" si="2"/>
        <v>1</v>
      </c>
    </row>
    <row r="26" spans="1:14" ht="12.75">
      <c r="A26" s="46">
        <v>21</v>
      </c>
      <c r="C26" s="34" t="s">
        <v>14</v>
      </c>
      <c r="D26" s="71">
        <v>773.67999999999995</v>
      </c>
      <c r="E26" s="82">
        <v>773.67999999999995</v>
      </c>
      <c r="F26" s="82">
        <v>0</v>
      </c>
      <c r="G26" s="82">
        <v>0</v>
      </c>
      <c r="H26" s="82">
        <f t="shared" si="0"/>
        <v>773.67999999999995</v>
      </c>
      <c r="I26" s="82">
        <v>0</v>
      </c>
      <c r="J26" s="82">
        <v>0</v>
      </c>
      <c r="K26" s="82">
        <f t="shared" si="1"/>
        <v>0</v>
      </c>
      <c r="L26" s="82">
        <v>0</v>
      </c>
      <c r="M26" s="82">
        <v>0</v>
      </c>
      <c r="N26" s="45" t="b">
        <f t="shared" si="2"/>
        <v>1</v>
      </c>
    </row>
    <row r="27" spans="1:14" ht="12.75">
      <c r="A27" s="46">
        <v>22</v>
      </c>
      <c r="C27" s="34" t="s">
        <v>16</v>
      </c>
      <c r="D27" s="101">
        <v>845968.10999999999</v>
      </c>
      <c r="E27" s="82">
        <v>843150.48999999999</v>
      </c>
      <c r="F27" s="82">
        <v>0</v>
      </c>
      <c r="G27" s="82">
        <v>0</v>
      </c>
      <c r="H27" s="82">
        <f t="shared" si="0"/>
        <v>843150.48999999999</v>
      </c>
      <c r="I27" s="82">
        <v>2817.6199999999999</v>
      </c>
      <c r="J27" s="82">
        <v>0</v>
      </c>
      <c r="K27" s="82">
        <f t="shared" si="1"/>
        <v>2817.6199999999999</v>
      </c>
      <c r="L27" s="82">
        <v>0</v>
      </c>
      <c r="M27" s="82">
        <v>0</v>
      </c>
      <c r="N27" s="45" t="b">
        <f t="shared" si="2"/>
        <v>1</v>
      </c>
    </row>
    <row r="28" spans="1:14" ht="12.75">
      <c r="A28" s="46">
        <v>23</v>
      </c>
      <c r="C28" s="34" t="s">
        <v>17</v>
      </c>
      <c r="D28" s="101">
        <v>8593.4599999999991</v>
      </c>
      <c r="E28" s="82">
        <v>8527.1499999999996</v>
      </c>
      <c r="F28" s="82">
        <v>0</v>
      </c>
      <c r="G28" s="82">
        <v>0</v>
      </c>
      <c r="H28" s="82">
        <f t="shared" si="0"/>
        <v>8527.1499999999996</v>
      </c>
      <c r="I28" s="82">
        <v>0</v>
      </c>
      <c r="J28" s="82">
        <v>0</v>
      </c>
      <c r="K28" s="82">
        <f t="shared" si="1"/>
        <v>0</v>
      </c>
      <c r="L28" s="82">
        <v>66.310000000000002</v>
      </c>
      <c r="M28" s="82">
        <v>0</v>
      </c>
      <c r="N28" s="45" t="b">
        <f t="shared" si="2"/>
        <v>1</v>
      </c>
    </row>
    <row r="29" spans="1:14" ht="12.75">
      <c r="A29" s="46">
        <v>24</v>
      </c>
      <c r="C29" s="34" t="s">
        <v>18</v>
      </c>
      <c r="D29" s="101">
        <v>5505.6700000000001</v>
      </c>
      <c r="E29" s="82">
        <v>5349.9499999999998</v>
      </c>
      <c r="F29" s="82">
        <v>0</v>
      </c>
      <c r="G29" s="82">
        <v>0</v>
      </c>
      <c r="H29" s="82">
        <f t="shared" si="0"/>
        <v>5349.9499999999998</v>
      </c>
      <c r="I29" s="82">
        <v>155.72</v>
      </c>
      <c r="J29" s="82">
        <v>0</v>
      </c>
      <c r="K29" s="82">
        <f t="shared" si="1"/>
        <v>155.72</v>
      </c>
      <c r="L29" s="82">
        <v>0</v>
      </c>
      <c r="M29" s="82">
        <v>0</v>
      </c>
      <c r="N29" s="45" t="b">
        <f t="shared" si="2"/>
        <v>1</v>
      </c>
    </row>
    <row r="30" spans="1:14" ht="12.75">
      <c r="A30" s="46">
        <v>25</v>
      </c>
      <c r="C30" s="34" t="s">
        <v>19</v>
      </c>
      <c r="D30" s="101">
        <v>717.5</v>
      </c>
      <c r="E30" s="82">
        <v>717.5</v>
      </c>
      <c r="F30" s="82">
        <v>0</v>
      </c>
      <c r="G30" s="82">
        <v>0</v>
      </c>
      <c r="H30" s="82">
        <f t="shared" si="0"/>
        <v>717.5</v>
      </c>
      <c r="I30" s="82">
        <v>0</v>
      </c>
      <c r="J30" s="82">
        <v>0</v>
      </c>
      <c r="K30" s="82">
        <f t="shared" si="1"/>
        <v>0</v>
      </c>
      <c r="L30" s="82">
        <v>0</v>
      </c>
      <c r="M30" s="82">
        <v>0</v>
      </c>
      <c r="N30" s="45" t="b">
        <f t="shared" si="2"/>
        <v>1</v>
      </c>
    </row>
    <row r="31" spans="1:14" ht="12.75">
      <c r="A31" s="46">
        <v>26</v>
      </c>
      <c r="C31" s="34" t="s">
        <v>21</v>
      </c>
      <c r="D31" s="101">
        <v>5197.8400000000001</v>
      </c>
      <c r="E31" s="82">
        <v>5094.6899999999996</v>
      </c>
      <c r="F31" s="82">
        <v>0</v>
      </c>
      <c r="G31" s="82">
        <v>0</v>
      </c>
      <c r="H31" s="82">
        <f t="shared" si="0"/>
        <v>5094.6899999999996</v>
      </c>
      <c r="I31" s="82">
        <v>103.15000000000001</v>
      </c>
      <c r="J31" s="82">
        <v>0</v>
      </c>
      <c r="K31" s="82">
        <f t="shared" si="1"/>
        <v>103.15000000000001</v>
      </c>
      <c r="L31" s="82">
        <v>0</v>
      </c>
      <c r="M31" s="82">
        <v>0</v>
      </c>
      <c r="N31" s="45" t="b">
        <f t="shared" si="2"/>
        <v>1</v>
      </c>
    </row>
    <row r="32" spans="1:14" ht="12.75">
      <c r="A32" s="46">
        <v>27</v>
      </c>
      <c r="C32" s="34" t="s">
        <v>22</v>
      </c>
      <c r="D32" s="101">
        <v>213472.17000000001</v>
      </c>
      <c r="E32" s="82">
        <v>49.729999999999997</v>
      </c>
      <c r="F32" s="82">
        <v>0</v>
      </c>
      <c r="G32" s="82">
        <v>0</v>
      </c>
      <c r="H32" s="82">
        <f t="shared" si="0"/>
        <v>49.729999999999997</v>
      </c>
      <c r="I32" s="82">
        <v>207989.25</v>
      </c>
      <c r="J32" s="82">
        <v>0</v>
      </c>
      <c r="K32" s="82">
        <f t="shared" si="1"/>
        <v>207989.25</v>
      </c>
      <c r="L32" s="82">
        <v>3507.9299999999998</v>
      </c>
      <c r="M32" s="82">
        <v>1925.26</v>
      </c>
      <c r="N32" s="45" t="b">
        <f t="shared" si="2"/>
        <v>1</v>
      </c>
    </row>
    <row r="33" spans="1:14" ht="12.75">
      <c r="A33" s="46">
        <v>28</v>
      </c>
      <c r="C33" s="34" t="s">
        <v>23</v>
      </c>
      <c r="D33" s="101">
        <v>-37883.769999999997</v>
      </c>
      <c r="E33" s="82">
        <v>0</v>
      </c>
      <c r="F33" s="82">
        <v>0</v>
      </c>
      <c r="G33" s="82">
        <v>0</v>
      </c>
      <c r="H33" s="82">
        <f t="shared" si="0"/>
        <v>0</v>
      </c>
      <c r="I33" s="82">
        <f>+D33</f>
        <v>-37883.769999999997</v>
      </c>
      <c r="J33" s="82">
        <v>0</v>
      </c>
      <c r="K33" s="82">
        <f t="shared" si="1"/>
        <v>-37883.769999999997</v>
      </c>
      <c r="L33" s="82">
        <v>0</v>
      </c>
      <c r="M33" s="82">
        <v>0</v>
      </c>
      <c r="N33" s="45" t="b">
        <f t="shared" si="2"/>
        <v>1</v>
      </c>
    </row>
    <row r="34" spans="1:14" ht="12.75">
      <c r="A34" s="46">
        <v>29</v>
      </c>
      <c r="C34" s="34" t="s">
        <v>24</v>
      </c>
      <c r="D34" s="101">
        <v>-2107.2199999999998</v>
      </c>
      <c r="E34" s="82">
        <v>-248.84</v>
      </c>
      <c r="F34" s="82">
        <v>0</v>
      </c>
      <c r="G34" s="82">
        <v>0</v>
      </c>
      <c r="H34" s="82">
        <f t="shared" si="0"/>
        <v>-248.84</v>
      </c>
      <c r="I34" s="82">
        <v>-1858.3800000000001</v>
      </c>
      <c r="J34" s="82">
        <v>0</v>
      </c>
      <c r="K34" s="82">
        <f t="shared" si="1"/>
        <v>-1858.3800000000001</v>
      </c>
      <c r="L34" s="82">
        <v>0</v>
      </c>
      <c r="M34" s="82">
        <v>0</v>
      </c>
      <c r="N34" s="45" t="b">
        <f t="shared" si="2"/>
        <v>1</v>
      </c>
    </row>
    <row r="35" spans="1:14" ht="12.75">
      <c r="A35" s="46">
        <v>30</v>
      </c>
      <c r="C35" s="34" t="s">
        <v>25</v>
      </c>
      <c r="D35" s="101">
        <v>79361.100000000006</v>
      </c>
      <c r="E35" s="82">
        <v>1.3500000000000001</v>
      </c>
      <c r="F35" s="82">
        <v>0</v>
      </c>
      <c r="G35" s="82">
        <v>0</v>
      </c>
      <c r="H35" s="82">
        <f t="shared" si="0"/>
        <v>1.3500000000000001</v>
      </c>
      <c r="I35" s="82">
        <v>79354.940000000002</v>
      </c>
      <c r="J35" s="82">
        <v>0</v>
      </c>
      <c r="K35" s="82">
        <f t="shared" si="1"/>
        <v>79354.940000000002</v>
      </c>
      <c r="L35" s="82">
        <v>4.8099999999999996</v>
      </c>
      <c r="M35" s="82">
        <v>0</v>
      </c>
      <c r="N35" s="45" t="b">
        <f t="shared" si="2"/>
        <v>1</v>
      </c>
    </row>
    <row r="36" spans="1:14" ht="12.75">
      <c r="A36" s="46">
        <v>31</v>
      </c>
      <c r="C36" s="34" t="s">
        <v>26</v>
      </c>
      <c r="D36" s="101">
        <v>18896.23</v>
      </c>
      <c r="E36" s="82">
        <v>0</v>
      </c>
      <c r="F36" s="82">
        <v>0</v>
      </c>
      <c r="G36" s="82">
        <v>0</v>
      </c>
      <c r="H36" s="82">
        <f t="shared" si="0"/>
        <v>0</v>
      </c>
      <c r="I36" s="82">
        <v>18895.07</v>
      </c>
      <c r="J36" s="82">
        <v>0</v>
      </c>
      <c r="K36" s="82">
        <f t="shared" si="1"/>
        <v>18895.07</v>
      </c>
      <c r="L36" s="82">
        <v>1.1599999999999999</v>
      </c>
      <c r="M36" s="82">
        <v>0</v>
      </c>
      <c r="N36" s="45" t="b">
        <f t="shared" si="2"/>
        <v>1</v>
      </c>
    </row>
    <row r="37" spans="1:14" ht="12.75">
      <c r="A37" s="46">
        <v>32</v>
      </c>
      <c r="C37" s="34" t="s">
        <v>46</v>
      </c>
      <c r="D37" s="101">
        <v>96.700000000000003</v>
      </c>
      <c r="E37" s="82">
        <v>0</v>
      </c>
      <c r="F37" s="82">
        <v>0</v>
      </c>
      <c r="G37" s="82">
        <v>0</v>
      </c>
      <c r="H37" s="82">
        <f t="shared" si="0"/>
        <v>0</v>
      </c>
      <c r="I37" s="82">
        <v>96.700000000000003</v>
      </c>
      <c r="J37" s="82">
        <v>0</v>
      </c>
      <c r="K37" s="82">
        <f t="shared" si="1"/>
        <v>96.700000000000003</v>
      </c>
      <c r="L37" s="82">
        <v>0</v>
      </c>
      <c r="M37" s="82">
        <v>0</v>
      </c>
      <c r="N37" s="45" t="b">
        <f t="shared" si="2"/>
        <v>1</v>
      </c>
    </row>
    <row r="38" spans="1:14" ht="12.75">
      <c r="A38" s="46">
        <v>33</v>
      </c>
      <c r="C38" s="34" t="s">
        <v>27</v>
      </c>
      <c r="D38" s="101">
        <v>240491.85999999999</v>
      </c>
      <c r="E38" s="82">
        <v>0</v>
      </c>
      <c r="F38" s="82">
        <v>0</v>
      </c>
      <c r="G38" s="82">
        <v>0</v>
      </c>
      <c r="H38" s="82">
        <f t="shared" si="0"/>
        <v>0</v>
      </c>
      <c r="I38" s="82">
        <v>0</v>
      </c>
      <c r="J38" s="82">
        <v>0</v>
      </c>
      <c r="K38" s="82">
        <f t="shared" si="1"/>
        <v>0</v>
      </c>
      <c r="L38" s="82">
        <f>+D38</f>
        <v>240491.85999999999</v>
      </c>
      <c r="M38" s="82">
        <v>0</v>
      </c>
      <c r="N38" s="45" t="b">
        <f t="shared" si="2"/>
        <v>1</v>
      </c>
    </row>
    <row r="39" spans="1:14" ht="12.75">
      <c r="A39" s="46">
        <v>34</v>
      </c>
      <c r="C39" s="34" t="s">
        <v>28</v>
      </c>
      <c r="D39" s="101">
        <v>44.789999999999999</v>
      </c>
      <c r="E39" s="82">
        <v>0</v>
      </c>
      <c r="F39" s="82">
        <v>0</v>
      </c>
      <c r="G39" s="82">
        <v>0</v>
      </c>
      <c r="H39" s="82">
        <f t="shared" si="0"/>
        <v>0</v>
      </c>
      <c r="I39" s="82">
        <v>44.789999999999999</v>
      </c>
      <c r="J39" s="82">
        <v>0</v>
      </c>
      <c r="K39" s="82">
        <f t="shared" si="1"/>
        <v>44.789999999999999</v>
      </c>
      <c r="L39" s="82">
        <v>0</v>
      </c>
      <c r="M39" s="82">
        <v>0</v>
      </c>
      <c r="N39" s="45" t="b">
        <f t="shared" si="2"/>
        <v>1</v>
      </c>
    </row>
    <row r="40" spans="1:14" ht="12.75">
      <c r="A40" s="46">
        <v>35</v>
      </c>
      <c r="C40" s="34" t="s">
        <v>29</v>
      </c>
      <c r="D40" s="101">
        <v>849067.97999999998</v>
      </c>
      <c r="E40" s="82">
        <v>6850.6300000000001</v>
      </c>
      <c r="F40" s="82">
        <v>0</v>
      </c>
      <c r="G40" s="82">
        <v>0</v>
      </c>
      <c r="H40" s="82">
        <f t="shared" si="0"/>
        <v>6850.6300000000001</v>
      </c>
      <c r="I40" s="82">
        <v>785251.68000000005</v>
      </c>
      <c r="J40" s="82">
        <v>0</v>
      </c>
      <c r="K40" s="82">
        <f t="shared" si="1"/>
        <v>785251.68000000005</v>
      </c>
      <c r="L40" s="82">
        <v>54760.470000000001</v>
      </c>
      <c r="M40" s="82">
        <v>2205.1999999999998</v>
      </c>
      <c r="N40" s="45" t="b">
        <f t="shared" si="2"/>
        <v>1</v>
      </c>
    </row>
    <row r="41" spans="1:14" ht="12.75">
      <c r="A41" s="46">
        <v>36</v>
      </c>
      <c r="C41" s="34" t="s">
        <v>30</v>
      </c>
      <c r="D41" s="101">
        <v>63116.840000000004</v>
      </c>
      <c r="E41" s="82">
        <v>3797.54</v>
      </c>
      <c r="F41" s="82">
        <v>0</v>
      </c>
      <c r="G41" s="82">
        <v>0</v>
      </c>
      <c r="H41" s="82">
        <f t="shared" si="0"/>
        <v>3797.54</v>
      </c>
      <c r="I41" s="82">
        <v>51237.529999999999</v>
      </c>
      <c r="J41" s="82">
        <v>0</v>
      </c>
      <c r="K41" s="82">
        <f t="shared" si="1"/>
        <v>51237.529999999999</v>
      </c>
      <c r="L41" s="82">
        <v>8081.7700000000004</v>
      </c>
      <c r="M41" s="82">
        <v>0</v>
      </c>
      <c r="N41" s="45" t="b">
        <f t="shared" si="2"/>
        <v>1</v>
      </c>
    </row>
    <row r="42" spans="1:14" ht="12.75">
      <c r="A42" s="46">
        <v>37</v>
      </c>
      <c r="C42" s="34" t="s">
        <v>31</v>
      </c>
      <c r="D42" s="71">
        <v>-9637.1800000000003</v>
      </c>
      <c r="E42" s="82">
        <v>-775.60000000000002</v>
      </c>
      <c r="F42" s="82">
        <v>0</v>
      </c>
      <c r="G42" s="82">
        <v>0</v>
      </c>
      <c r="H42" s="82">
        <f t="shared" si="0"/>
        <v>-775.60000000000002</v>
      </c>
      <c r="I42" s="82">
        <v>-8861.5799999999999</v>
      </c>
      <c r="J42" s="82">
        <v>0</v>
      </c>
      <c r="K42" s="82">
        <f t="shared" si="1"/>
        <v>-8861.5799999999999</v>
      </c>
      <c r="L42" s="82">
        <v>0</v>
      </c>
      <c r="M42" s="82">
        <v>0</v>
      </c>
      <c r="N42" s="45" t="b">
        <f t="shared" si="2"/>
        <v>1</v>
      </c>
    </row>
    <row r="43" spans="1:14" ht="12.75">
      <c r="A43" s="46">
        <v>38</v>
      </c>
      <c r="C43" s="34" t="s">
        <v>32</v>
      </c>
      <c r="D43" s="71">
        <v>64671.629999999997</v>
      </c>
      <c r="E43" s="82">
        <v>0.91000000000000003</v>
      </c>
      <c r="F43" s="82">
        <v>0</v>
      </c>
      <c r="G43" s="82">
        <v>0</v>
      </c>
      <c r="H43" s="82">
        <f t="shared" si="0"/>
        <v>0.91000000000000003</v>
      </c>
      <c r="I43" s="82">
        <v>64566.099999999999</v>
      </c>
      <c r="J43" s="82">
        <v>0</v>
      </c>
      <c r="K43" s="82">
        <f t="shared" si="1"/>
        <v>64566.099999999999</v>
      </c>
      <c r="L43" s="82">
        <v>104.62000000000001</v>
      </c>
      <c r="M43" s="82">
        <v>0</v>
      </c>
      <c r="N43" s="45" t="b">
        <f t="shared" si="2"/>
        <v>1</v>
      </c>
    </row>
    <row r="44" spans="1:14" ht="12.75">
      <c r="A44" s="46">
        <v>39</v>
      </c>
      <c r="C44" s="34" t="s">
        <v>33</v>
      </c>
      <c r="D44" s="71">
        <v>3305.0300000000002</v>
      </c>
      <c r="E44" s="82">
        <v>0</v>
      </c>
      <c r="F44" s="82">
        <v>0</v>
      </c>
      <c r="G44" s="82">
        <v>0</v>
      </c>
      <c r="H44" s="82">
        <f t="shared" si="0"/>
        <v>0</v>
      </c>
      <c r="I44" s="82">
        <v>3299.6100000000001</v>
      </c>
      <c r="J44" s="82">
        <v>0</v>
      </c>
      <c r="K44" s="82">
        <f t="shared" si="1"/>
        <v>3299.6100000000001</v>
      </c>
      <c r="L44" s="82">
        <v>5.4199999999999999</v>
      </c>
      <c r="M44" s="82">
        <v>0</v>
      </c>
      <c r="N44" s="45" t="b">
        <f t="shared" si="2"/>
        <v>1</v>
      </c>
    </row>
    <row r="45" spans="1:14" ht="12.75">
      <c r="A45" s="46">
        <v>40</v>
      </c>
      <c r="C45" s="34" t="s">
        <v>34</v>
      </c>
      <c r="D45" s="71">
        <v>12842.73</v>
      </c>
      <c r="E45" s="82">
        <v>0</v>
      </c>
      <c r="F45" s="82">
        <v>0</v>
      </c>
      <c r="G45" s="82">
        <v>0</v>
      </c>
      <c r="H45" s="82">
        <f t="shared" si="0"/>
        <v>0</v>
      </c>
      <c r="I45" s="82">
        <v>12842.629999999999</v>
      </c>
      <c r="J45" s="82">
        <v>0</v>
      </c>
      <c r="K45" s="82">
        <f t="shared" si="1"/>
        <v>12842.629999999999</v>
      </c>
      <c r="L45" s="82">
        <v>0.10000000000000001</v>
      </c>
      <c r="M45" s="82">
        <v>0</v>
      </c>
      <c r="N45" s="45" t="b">
        <f t="shared" si="2"/>
        <v>1</v>
      </c>
    </row>
    <row r="46" spans="1:14" ht="12.75">
      <c r="A46" s="46">
        <v>41</v>
      </c>
      <c r="C46" s="34" t="s">
        <v>35</v>
      </c>
      <c r="D46" s="71">
        <v>5984.96</v>
      </c>
      <c r="E46" s="82">
        <v>0</v>
      </c>
      <c r="F46" s="82">
        <v>0</v>
      </c>
      <c r="G46" s="82">
        <v>0</v>
      </c>
      <c r="H46" s="82">
        <f t="shared" si="0"/>
        <v>0</v>
      </c>
      <c r="I46" s="82">
        <v>5974.7399999999998</v>
      </c>
      <c r="J46" s="82">
        <v>0</v>
      </c>
      <c r="K46" s="82">
        <f t="shared" si="1"/>
        <v>5974.7399999999998</v>
      </c>
      <c r="L46" s="82">
        <v>10.220000000000001</v>
      </c>
      <c r="M46" s="82">
        <v>0</v>
      </c>
      <c r="N46" s="45" t="b">
        <f t="shared" si="2"/>
        <v>1</v>
      </c>
    </row>
    <row r="47" spans="1:14" ht="12.75">
      <c r="A47" s="46">
        <v>42</v>
      </c>
      <c r="C47" s="34" t="s">
        <v>36</v>
      </c>
      <c r="D47" s="71">
        <v>204555.63000000001</v>
      </c>
      <c r="E47" s="82">
        <v>0</v>
      </c>
      <c r="F47" s="82">
        <v>0</v>
      </c>
      <c r="G47" s="82">
        <v>0</v>
      </c>
      <c r="H47" s="82">
        <f t="shared" si="0"/>
        <v>0</v>
      </c>
      <c r="I47" s="82">
        <v>0</v>
      </c>
      <c r="J47" s="82">
        <v>0</v>
      </c>
      <c r="K47" s="82">
        <f t="shared" si="1"/>
        <v>0</v>
      </c>
      <c r="L47" s="82">
        <v>204555.63000000001</v>
      </c>
      <c r="M47" s="82">
        <v>0</v>
      </c>
      <c r="N47" s="45" t="b">
        <f t="shared" si="2"/>
        <v>1</v>
      </c>
    </row>
    <row r="48" spans="1:14" ht="12.75">
      <c r="A48" s="46">
        <v>43</v>
      </c>
      <c r="C48" s="34" t="s">
        <v>37</v>
      </c>
      <c r="D48" s="71">
        <v>-18609.950000000001</v>
      </c>
      <c r="E48" s="82">
        <v>0</v>
      </c>
      <c r="F48" s="82">
        <v>0</v>
      </c>
      <c r="G48" s="82">
        <v>0</v>
      </c>
      <c r="H48" s="82">
        <f t="shared" si="0"/>
        <v>0</v>
      </c>
      <c r="I48" s="82">
        <v>-18274.720000000001</v>
      </c>
      <c r="J48" s="82">
        <v>0</v>
      </c>
      <c r="K48" s="82">
        <f t="shared" si="1"/>
        <v>-18274.720000000001</v>
      </c>
      <c r="L48" s="82">
        <v>-335.23000000000002</v>
      </c>
      <c r="M48" s="82">
        <v>0</v>
      </c>
      <c r="N48" s="45" t="b">
        <f t="shared" si="2"/>
        <v>1</v>
      </c>
    </row>
    <row r="49" spans="1:14" ht="12.75">
      <c r="A49" s="46">
        <v>44</v>
      </c>
      <c r="C49" s="34" t="s">
        <v>38</v>
      </c>
      <c r="D49" s="71">
        <v>-192.33000000000001</v>
      </c>
      <c r="E49" s="82">
        <v>0</v>
      </c>
      <c r="F49" s="82">
        <v>0</v>
      </c>
      <c r="G49" s="82">
        <v>0</v>
      </c>
      <c r="H49" s="82">
        <f t="shared" si="0"/>
        <v>0</v>
      </c>
      <c r="I49" s="82">
        <v>0</v>
      </c>
      <c r="J49" s="82">
        <v>0</v>
      </c>
      <c r="K49" s="82">
        <f t="shared" si="1"/>
        <v>0</v>
      </c>
      <c r="L49" s="82">
        <v>-167.33000000000001</v>
      </c>
      <c r="M49" s="82">
        <v>-25</v>
      </c>
      <c r="N49" s="45" t="b">
        <f t="shared" si="2"/>
        <v>1</v>
      </c>
    </row>
    <row r="50" spans="1:14" ht="12.75">
      <c r="A50" s="46">
        <v>45</v>
      </c>
      <c r="C50" s="34" t="s">
        <v>40</v>
      </c>
      <c r="D50" s="71">
        <v>95127.619999999995</v>
      </c>
      <c r="E50" s="82">
        <v>0</v>
      </c>
      <c r="F50" s="82">
        <v>0</v>
      </c>
      <c r="G50" s="82">
        <v>0</v>
      </c>
      <c r="H50" s="82">
        <f t="shared" si="0"/>
        <v>0</v>
      </c>
      <c r="I50" s="82">
        <v>0.089999999999999997</v>
      </c>
      <c r="J50" s="82">
        <v>0</v>
      </c>
      <c r="K50" s="82">
        <f t="shared" si="1"/>
        <v>0.089999999999999997</v>
      </c>
      <c r="L50" s="82">
        <v>5559.4700000000003</v>
      </c>
      <c r="M50" s="82">
        <v>89568.059999999998</v>
      </c>
      <c r="N50" s="45" t="b">
        <f t="shared" si="2"/>
        <v>1</v>
      </c>
    </row>
    <row r="51" spans="1:14" ht="12.75">
      <c r="A51" s="46">
        <v>46</v>
      </c>
      <c r="C51" s="34" t="s">
        <v>42</v>
      </c>
      <c r="D51" s="71">
        <v>141778.35999999999</v>
      </c>
      <c r="E51" s="82">
        <v>0</v>
      </c>
      <c r="F51" s="82">
        <v>0</v>
      </c>
      <c r="G51" s="82">
        <v>0</v>
      </c>
      <c r="H51" s="82">
        <f t="shared" si="0"/>
        <v>0</v>
      </c>
      <c r="I51" s="82">
        <v>750.01999999999998</v>
      </c>
      <c r="J51" s="82">
        <v>0</v>
      </c>
      <c r="K51" s="82">
        <f t="shared" si="1"/>
        <v>750.01999999999998</v>
      </c>
      <c r="L51" s="82">
        <v>1739.3</v>
      </c>
      <c r="M51" s="82">
        <v>139289.04000000001</v>
      </c>
      <c r="N51" s="45" t="b">
        <f t="shared" si="2"/>
        <v>1</v>
      </c>
    </row>
    <row r="52" spans="1:14" ht="12.75">
      <c r="A52" s="46">
        <v>47</v>
      </c>
      <c r="C52" s="34" t="s">
        <v>44</v>
      </c>
      <c r="D52" s="71">
        <v>-2462.4400000000001</v>
      </c>
      <c r="E52" s="82">
        <v>-84.230000000000004</v>
      </c>
      <c r="F52" s="82">
        <v>0</v>
      </c>
      <c r="G52" s="82">
        <v>0</v>
      </c>
      <c r="H52" s="82">
        <f t="shared" si="0"/>
        <v>-84.230000000000004</v>
      </c>
      <c r="I52" s="82">
        <v>-2312.3200000000002</v>
      </c>
      <c r="J52" s="82">
        <v>0</v>
      </c>
      <c r="K52" s="82">
        <f t="shared" si="1"/>
        <v>-2312.3200000000002</v>
      </c>
      <c r="L52" s="82">
        <v>-63.340000000000003</v>
      </c>
      <c r="M52" s="82">
        <v>-2.5499999999999998</v>
      </c>
      <c r="N52" s="45" t="b">
        <f t="shared" si="2"/>
        <v>1</v>
      </c>
    </row>
    <row r="53" spans="1:14" ht="12.75">
      <c r="A53" s="46">
        <v>48</v>
      </c>
      <c r="C53" s="34" t="s">
        <v>45</v>
      </c>
      <c r="D53" s="71">
        <v>2673447.1100000003</v>
      </c>
      <c r="E53" s="82">
        <v>757477.02000000002</v>
      </c>
      <c r="F53" s="82">
        <v>0</v>
      </c>
      <c r="G53" s="82">
        <v>0</v>
      </c>
      <c r="H53" s="82">
        <f t="shared" si="0"/>
        <v>757477.02000000002</v>
      </c>
      <c r="I53" s="82">
        <v>1204169.3799999999</v>
      </c>
      <c r="J53" s="82">
        <v>0</v>
      </c>
      <c r="K53" s="82">
        <f t="shared" si="1"/>
        <v>1204169.3799999999</v>
      </c>
      <c r="L53" s="82">
        <v>291721.13</v>
      </c>
      <c r="M53" s="82">
        <v>420079.58000000002</v>
      </c>
      <c r="N53" s="45" t="b">
        <f t="shared" si="2"/>
        <v>1</v>
      </c>
    </row>
    <row r="54" spans="1:14" ht="12.75">
      <c r="A54" s="46">
        <v>49</v>
      </c>
      <c r="C54" s="34" t="s">
        <v>53</v>
      </c>
      <c r="D54" s="71">
        <v>18174.549999999999</v>
      </c>
      <c r="E54" s="82">
        <v>4992.8199999999997</v>
      </c>
      <c r="F54" s="82">
        <v>0</v>
      </c>
      <c r="G54" s="82">
        <v>0</v>
      </c>
      <c r="H54" s="82">
        <f t="shared" si="0"/>
        <v>4992.8199999999997</v>
      </c>
      <c r="I54" s="82">
        <v>10068.4</v>
      </c>
      <c r="J54" s="82">
        <v>0</v>
      </c>
      <c r="K54" s="82">
        <f t="shared" si="1"/>
        <v>10068.4</v>
      </c>
      <c r="L54" s="82">
        <v>2529.75</v>
      </c>
      <c r="M54" s="82">
        <v>583.58000000000004</v>
      </c>
      <c r="N54" s="45" t="b">
        <f t="shared" si="2"/>
        <v>1</v>
      </c>
    </row>
    <row r="55" spans="1:14" ht="12.75">
      <c r="A55" s="46">
        <v>50</v>
      </c>
      <c r="C55" s="34" t="s">
        <v>47</v>
      </c>
      <c r="D55" s="71">
        <v>-48754.870000000003</v>
      </c>
      <c r="E55" s="82">
        <v>-4129.6400000000003</v>
      </c>
      <c r="F55" s="82">
        <v>0</v>
      </c>
      <c r="G55" s="82">
        <v>0</v>
      </c>
      <c r="H55" s="82">
        <f t="shared" si="0"/>
        <v>-4129.6400000000003</v>
      </c>
      <c r="I55" s="82">
        <v>-21392.240000000002</v>
      </c>
      <c r="J55" s="82">
        <v>0</v>
      </c>
      <c r="K55" s="82">
        <f t="shared" si="1"/>
        <v>-21392.240000000002</v>
      </c>
      <c r="L55" s="82">
        <v>-4703.7200000000003</v>
      </c>
      <c r="M55" s="82">
        <v>-18529.27</v>
      </c>
      <c r="N55" s="45" t="b">
        <f t="shared" si="2"/>
        <v>1</v>
      </c>
    </row>
    <row r="56" spans="1:14" ht="12.75">
      <c r="A56" s="46">
        <v>51</v>
      </c>
      <c r="C56" s="34" t="s">
        <v>121</v>
      </c>
      <c r="D56" s="71">
        <v>376.91000000000002</v>
      </c>
      <c r="E56" s="82">
        <v>0</v>
      </c>
      <c r="F56" s="82">
        <v>0</v>
      </c>
      <c r="G56" s="82">
        <v>0</v>
      </c>
      <c r="H56" s="82">
        <f t="shared" si="0"/>
        <v>0</v>
      </c>
      <c r="I56" s="82">
        <v>376.91000000000002</v>
      </c>
      <c r="J56" s="82">
        <v>0</v>
      </c>
      <c r="K56" s="82">
        <f t="shared" si="1"/>
        <v>376.91000000000002</v>
      </c>
      <c r="L56" s="82">
        <v>0</v>
      </c>
      <c r="M56" s="82">
        <v>0</v>
      </c>
      <c r="N56" s="45" t="b">
        <f t="shared" si="2"/>
        <v>1</v>
      </c>
    </row>
    <row r="57" spans="1:14" ht="12.75">
      <c r="A57" s="46">
        <v>52</v>
      </c>
      <c r="C57" s="34" t="s">
        <v>58</v>
      </c>
      <c r="D57" s="71">
        <v>73150.75</v>
      </c>
      <c r="E57" s="82">
        <v>27253.150000000001</v>
      </c>
      <c r="F57" s="82">
        <v>0</v>
      </c>
      <c r="G57" s="82">
        <v>0</v>
      </c>
      <c r="H57" s="82">
        <f t="shared" si="0"/>
        <v>27253.150000000001</v>
      </c>
      <c r="I57" s="82">
        <v>45450.120000000003</v>
      </c>
      <c r="J57" s="82">
        <v>0</v>
      </c>
      <c r="K57" s="82">
        <f t="shared" si="1"/>
        <v>45450.120000000003</v>
      </c>
      <c r="L57" s="82">
        <v>447.48000000000002</v>
      </c>
      <c r="M57" s="82">
        <v>0</v>
      </c>
      <c r="N57" s="45" t="b">
        <f t="shared" si="2"/>
        <v>1</v>
      </c>
    </row>
    <row r="58" spans="1:13" ht="12.75">
      <c r="A58" s="46">
        <v>53</v>
      </c>
      <c r="C58" s="34"/>
      <c r="D58" s="43"/>
      <c r="E58" s="43"/>
      <c r="F58" s="43"/>
      <c r="G58" s="43"/>
      <c r="H58" s="43"/>
      <c r="I58" s="43"/>
      <c r="J58" s="43"/>
      <c r="K58" s="43"/>
      <c r="L58" s="43"/>
      <c r="M58" s="43"/>
    </row>
    <row r="59" spans="1:13" ht="13.5" thickBot="1">
      <c r="A59" s="46">
        <v>54</v>
      </c>
      <c r="D59" s="55">
        <f t="shared" si="3" ref="D59:M59">SUM(D23:D58)</f>
        <v>5799999.9999999991</v>
      </c>
      <c r="E59" s="55">
        <f t="shared" si="3"/>
        <v>1953846.7899999996</v>
      </c>
      <c r="F59" s="55">
        <f t="shared" si="3"/>
        <v>0</v>
      </c>
      <c r="G59" s="55">
        <f t="shared" si="3"/>
        <v>0</v>
      </c>
      <c r="H59" s="55">
        <f t="shared" si="3"/>
        <v>1953846.7899999996</v>
      </c>
      <c r="I59" s="55">
        <f t="shared" si="3"/>
        <v>2402741.5</v>
      </c>
      <c r="J59" s="55">
        <f t="shared" si="3"/>
        <v>0</v>
      </c>
      <c r="K59" s="55">
        <f t="shared" si="3"/>
        <v>2402741.5</v>
      </c>
      <c r="L59" s="55">
        <f t="shared" si="3"/>
        <v>808317.80999999982</v>
      </c>
      <c r="M59" s="55">
        <f t="shared" si="3"/>
        <v>635093.90000000002</v>
      </c>
    </row>
    <row r="60" spans="1:1" ht="13.5" thickTop="1">
      <c r="A60" s="46">
        <v>55</v>
      </c>
    </row>
    <row r="61" spans="5:13" ht="12.75">
      <c r="E61" s="102"/>
      <c r="F61" s="102"/>
      <c r="G61" s="102"/>
      <c r="H61" s="102"/>
      <c r="I61" s="102"/>
      <c r="J61" s="102"/>
      <c r="K61" s="102"/>
      <c r="L61" s="102"/>
      <c r="M61" s="102"/>
    </row>
    <row r="66" spans="7:7" ht="12.75">
      <c r="G66" s="34"/>
    </row>
    <row r="69" spans="2:2" ht="12.75">
      <c r="B69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69" location="'Total Summary'!A84" display="Return to Summary"/>
  </hyperlinks>
  <printOptions horizontalCentered="1"/>
  <pageMargins left="0.05" right="0.05" top="2.6" bottom="0.5" header="1.5" footer="0.5"/>
  <pageSetup orientation="landscape" scale="51" r:id="rId1"/>
  <headerFooter alignWithMargins="0">
    <oddHeader>&amp;C&amp;"Arial,Bold"
ONCOR ELECTRIC DELIVERY COMPANY LLC
NORMALIZE EMPLOYEE EXPENSES
FOR THE TEST YEAR ENDING DECEMBER 31, 2021
SPONSOR: W. ALAN LEDBETTER&amp;R&amp;"Arial,Bold"WP/II-D ADJUSTMENT/27
Page 1 of 4</oddHead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32">
    <tabColor rgb="FFFF0000"/>
    <pageSetUpPr fitToPage="1"/>
  </sheetPr>
  <dimension ref="A2:N37"/>
  <sheetViews>
    <sheetView workbookViewId="0" topLeftCell="A1">
      <selection pane="topLeft" activeCell="D31" sqref="D31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229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>
        <v>2583392.27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2583392.27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230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16</v>
      </c>
      <c r="D23" s="41">
        <v>854483.68000000005</v>
      </c>
      <c r="E23" s="56">
        <f>+D23</f>
        <v>854483.68000000005</v>
      </c>
      <c r="F23" s="56">
        <v>0</v>
      </c>
      <c r="G23" s="56">
        <v>0</v>
      </c>
      <c r="H23" s="56">
        <f>SUM(E23:G23)</f>
        <v>854483.68000000005</v>
      </c>
      <c r="I23" s="56"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4" ht="12.75">
      <c r="A24" s="46">
        <v>19</v>
      </c>
      <c r="C24" s="34" t="s">
        <v>29</v>
      </c>
      <c r="D24" s="71">
        <v>238674.67999999999</v>
      </c>
      <c r="E24" s="82">
        <v>0</v>
      </c>
      <c r="F24" s="82">
        <v>0</v>
      </c>
      <c r="G24" s="82">
        <v>0</v>
      </c>
      <c r="H24" s="82">
        <f t="shared" si="0" ref="H24:H25">SUM(E24:G24)</f>
        <v>0</v>
      </c>
      <c r="I24" s="82">
        <f>+D24</f>
        <v>238674.67999999999</v>
      </c>
      <c r="J24" s="82">
        <v>0</v>
      </c>
      <c r="K24" s="82">
        <f t="shared" si="1" ref="K24:K25">SUM(I24:J24)</f>
        <v>238674.67999999999</v>
      </c>
      <c r="L24" s="82">
        <v>0</v>
      </c>
      <c r="M24" s="82">
        <v>0</v>
      </c>
      <c r="N24" s="45" t="b">
        <f t="shared" si="2" ref="N24:N25">+D24=(M24+L24+K24+H24)</f>
        <v>1</v>
      </c>
    </row>
    <row r="25" spans="1:14" ht="12.75">
      <c r="A25" s="46">
        <v>20</v>
      </c>
      <c r="C25" s="34" t="s">
        <v>44</v>
      </c>
      <c r="D25" s="71">
        <v>1490233.8999999999</v>
      </c>
      <c r="E25" s="82">
        <f>ROUND(+$D25*'[2]II-F Alloc_Factor'!E$17,2)</f>
        <v>328151.84000000003</v>
      </c>
      <c r="F25" s="82">
        <f>ROUND(+$D25*'[2]II-F Alloc_Factor'!F$17,2)</f>
        <v>0</v>
      </c>
      <c r="G25" s="82">
        <f>ROUND(+$D25*'[2]II-F Alloc_Factor'!G$17,2)</f>
        <v>0</v>
      </c>
      <c r="H25" s="82">
        <f t="shared" si="0"/>
        <v>328151.84000000003</v>
      </c>
      <c r="I25" s="82">
        <f>ROUND(+$D25*'[2]II-F Alloc_Factor'!I$17,2)</f>
        <v>905316.37</v>
      </c>
      <c r="J25" s="82">
        <f>ROUND(+$D25*'[2]II-F Alloc_Factor'!J$17,2)</f>
        <v>0</v>
      </c>
      <c r="K25" s="82">
        <f t="shared" si="1"/>
        <v>905316.37</v>
      </c>
      <c r="L25" s="82">
        <f>ROUND(+$D25*'[2]II-F Alloc_Factor'!L$17,2)</f>
        <v>246832.82000000001</v>
      </c>
      <c r="M25" s="82">
        <f>+D25-H25-K25-L25</f>
        <v>9932.8699999998207</v>
      </c>
      <c r="N25" s="45" t="b">
        <f t="shared" si="2"/>
        <v>1</v>
      </c>
    </row>
    <row r="26" spans="1:13" ht="12.75">
      <c r="A26" s="46">
        <v>21</v>
      </c>
      <c r="C26" s="34"/>
      <c r="D26" s="43"/>
      <c r="E26" s="43"/>
      <c r="F26" s="43"/>
      <c r="G26" s="43"/>
      <c r="H26" s="43"/>
      <c r="I26" s="43"/>
      <c r="J26" s="43"/>
      <c r="K26" s="43"/>
      <c r="L26" s="43"/>
      <c r="M26" s="43"/>
    </row>
    <row r="27" spans="1:13" ht="13.5" thickBot="1">
      <c r="A27" s="46">
        <v>22</v>
      </c>
      <c r="D27" s="55">
        <f t="shared" si="3" ref="D27:M27">SUM(D23:D26)</f>
        <v>2583392.2599999998</v>
      </c>
      <c r="E27" s="55">
        <f t="shared" si="3"/>
        <v>1182635.52</v>
      </c>
      <c r="F27" s="55">
        <f t="shared" si="3"/>
        <v>0</v>
      </c>
      <c r="G27" s="55">
        <f t="shared" si="3"/>
        <v>0</v>
      </c>
      <c r="H27" s="55">
        <f t="shared" si="3"/>
        <v>1182635.52</v>
      </c>
      <c r="I27" s="55">
        <f t="shared" si="3"/>
        <v>1143991.0500000001</v>
      </c>
      <c r="J27" s="55">
        <f t="shared" si="3"/>
        <v>0</v>
      </c>
      <c r="K27" s="55">
        <f t="shared" si="3"/>
        <v>1143991.0500000001</v>
      </c>
      <c r="L27" s="55">
        <f t="shared" si="3"/>
        <v>246832.82000000001</v>
      </c>
      <c r="M27" s="55">
        <f t="shared" si="3"/>
        <v>9932.8699999998207</v>
      </c>
    </row>
    <row r="28" spans="1:1" ht="13.5" thickTop="1">
      <c r="A28" s="46">
        <v>23</v>
      </c>
    </row>
    <row r="33" spans="6:6" ht="12.75">
      <c r="F33" s="34"/>
    </row>
    <row r="37" spans="2:2" ht="12.75">
      <c r="B37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7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INCENTIVE COMPENSATION ADJUSTMENT
FOR THE TEST YEAR ENDING DECEMBER 31, 2021
SPONSOR: W. ALAN LEDBETTER&amp;R&amp;"Arial,Bold"WP/II-D ADJUSTMENT/28
Page 1 of 2</oddHead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33">
    <pageSetUpPr fitToPage="1"/>
  </sheetPr>
  <dimension ref="A2:N36"/>
  <sheetViews>
    <sheetView workbookViewId="0" topLeftCell="A1">
      <selection pane="topLeft" activeCell="B36" sqref="B36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314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>
        <v>2842184.4700000002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2842184.4700000002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190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49</v>
      </c>
      <c r="D23" s="41">
        <f>-134153.71+426082.31</f>
        <v>291928.59999999998</v>
      </c>
      <c r="E23" s="56">
        <v>426082.31</v>
      </c>
      <c r="F23" s="56">
        <v>0</v>
      </c>
      <c r="G23" s="56">
        <v>0</v>
      </c>
      <c r="H23" s="56">
        <f>SUM(E23:G23)</f>
        <v>426082.31</v>
      </c>
      <c r="I23" s="56">
        <v>-134153.70999999999</v>
      </c>
      <c r="J23" s="56">
        <v>0</v>
      </c>
      <c r="K23" s="56">
        <f>SUM(I23:J23)</f>
        <v>-134153.70999999999</v>
      </c>
      <c r="L23" s="56">
        <v>0</v>
      </c>
      <c r="M23" s="56">
        <v>0</v>
      </c>
      <c r="N23" s="45" t="b">
        <f>+D23=(M23+L23+K23+H23)</f>
        <v>1</v>
      </c>
    </row>
    <row r="24" spans="1:14" ht="12.75">
      <c r="A24" s="46">
        <v>19</v>
      </c>
      <c r="C24" s="34" t="s">
        <v>69</v>
      </c>
      <c r="D24" s="71">
        <f>1200715.37+1152568.31+149698.91+47273.28</f>
        <v>2550255.8700000001</v>
      </c>
      <c r="E24" s="82">
        <v>1199841.5900000001</v>
      </c>
      <c r="F24" s="82">
        <v>0</v>
      </c>
      <c r="G24" s="82">
        <v>0</v>
      </c>
      <c r="H24" s="82">
        <f>SUM(E24:G24)</f>
        <v>1199841.5900000001</v>
      </c>
      <c r="I24" s="82">
        <f>+D24-E24</f>
        <v>1350414.28</v>
      </c>
      <c r="J24" s="82"/>
      <c r="K24" s="82">
        <f>SUM(I24:J24)</f>
        <v>1350414.28</v>
      </c>
      <c r="L24" s="82"/>
      <c r="M24" s="82"/>
      <c r="N24" s="45" t="b">
        <f>+D24=(M24+L24+K24+H24)</f>
        <v>1</v>
      </c>
    </row>
    <row r="25" spans="1:13" ht="12.75">
      <c r="A25" s="46">
        <v>20</v>
      </c>
      <c r="C25" s="34"/>
      <c r="D25" s="43"/>
      <c r="E25" s="43"/>
      <c r="F25" s="43"/>
      <c r="G25" s="43"/>
      <c r="H25" s="43"/>
      <c r="I25" s="43"/>
      <c r="J25" s="43"/>
      <c r="K25" s="43"/>
      <c r="L25" s="43"/>
      <c r="M25" s="43"/>
    </row>
    <row r="26" spans="1:13" ht="13.5" thickBot="1">
      <c r="A26" s="46">
        <v>21</v>
      </c>
      <c r="D26" s="55">
        <f t="shared" si="0" ref="D26:M26">SUM(D23:D25)</f>
        <v>2842184.4700000002</v>
      </c>
      <c r="E26" s="55">
        <f t="shared" si="0"/>
        <v>1625923.9000000001</v>
      </c>
      <c r="F26" s="55">
        <f t="shared" si="0"/>
        <v>0</v>
      </c>
      <c r="G26" s="55">
        <f t="shared" si="0"/>
        <v>0</v>
      </c>
      <c r="H26" s="55">
        <f t="shared" si="0"/>
        <v>1625923.9000000001</v>
      </c>
      <c r="I26" s="55">
        <f t="shared" si="0"/>
        <v>1216260.5700000001</v>
      </c>
      <c r="J26" s="55">
        <f t="shared" si="0"/>
        <v>0</v>
      </c>
      <c r="K26" s="55">
        <f t="shared" si="0"/>
        <v>1216260.5700000001</v>
      </c>
      <c r="L26" s="55">
        <f t="shared" si="0"/>
        <v>0</v>
      </c>
      <c r="M26" s="55">
        <f t="shared" si="0"/>
        <v>0</v>
      </c>
    </row>
    <row r="27" spans="1:1" ht="13.5" thickTop="1">
      <c r="A27" s="46">
        <v>22</v>
      </c>
    </row>
    <row r="32" spans="6:6" ht="12.75">
      <c r="F32" s="34"/>
    </row>
    <row r="36" spans="2:2" ht="12.75">
      <c r="B36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6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PREPAID INSURANCE AMORTIZATION ADJUSTMENT
FOR THE TEST YEAR ENDING DECEMBER 31, 2021
SPONSOR: W. ALAN LEDBETTER&amp;R&amp;"Arial,Bold"WP/II-D ADJUSTMENT/29
Page 1 of 2</oddHead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34">
    <pageSetUpPr fitToPage="1"/>
  </sheetPr>
  <dimension ref="A2:N35"/>
  <sheetViews>
    <sheetView workbookViewId="0" topLeftCell="A1">
      <selection pane="topLeft" activeCell="I39" sqref="I39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232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52" t="s">
        <v>194</v>
      </c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677523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/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/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-677523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195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53</v>
      </c>
      <c r="D23" s="41">
        <f>+M14</f>
        <v>-677523</v>
      </c>
      <c r="E23" s="56">
        <f>ROUND(+$D23*'[2]II-F Alloc_Factor'!E$17,2)</f>
        <v>-149191.62</v>
      </c>
      <c r="F23" s="56">
        <f>ROUND(+$D23*'[2]II-F Alloc_Factor'!F$17,2)</f>
        <v>0</v>
      </c>
      <c r="G23" s="56">
        <f>ROUND(+$D23*'[2]II-F Alloc_Factor'!G$17,2)</f>
        <v>0</v>
      </c>
      <c r="H23" s="56">
        <f>SUM(E23:G23)</f>
        <v>-149191.62</v>
      </c>
      <c r="I23" s="56">
        <f>ROUND(+$D23*'[2]II-F Alloc_Factor'!I$17,2)</f>
        <v>-411594.89000000001</v>
      </c>
      <c r="J23" s="56">
        <f>ROUND(+$D23*'[2]II-F Alloc_Factor'!J$17,2)</f>
        <v>0</v>
      </c>
      <c r="K23" s="56">
        <f>SUM(I23:J23)</f>
        <v>-411594.89000000001</v>
      </c>
      <c r="L23" s="56">
        <f>ROUND(+$D23*'[2]II-F Alloc_Factor'!L$17,2)</f>
        <v>-112220.58</v>
      </c>
      <c r="M23" s="56">
        <f>+D23-H23-K23-L23</f>
        <v>-4515.9099999999889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-677523</v>
      </c>
      <c r="E25" s="55">
        <f t="shared" si="0"/>
        <v>-149191.62</v>
      </c>
      <c r="F25" s="55">
        <f t="shared" si="0"/>
        <v>0</v>
      </c>
      <c r="G25" s="55">
        <f t="shared" si="0"/>
        <v>0</v>
      </c>
      <c r="H25" s="55">
        <f t="shared" si="0"/>
        <v>-149191.62</v>
      </c>
      <c r="I25" s="55">
        <f t="shared" si="0"/>
        <v>-411594.89000000001</v>
      </c>
      <c r="J25" s="55">
        <f t="shared" si="0"/>
        <v>0</v>
      </c>
      <c r="K25" s="55">
        <f t="shared" si="0"/>
        <v>-411594.89000000001</v>
      </c>
      <c r="L25" s="55">
        <f t="shared" si="0"/>
        <v>-112220.58</v>
      </c>
      <c r="M25" s="55">
        <f t="shared" si="0"/>
        <v>-4515.9099999999889</v>
      </c>
    </row>
    <row r="26" spans="1:1" ht="13.5" thickTop="1">
      <c r="A26" s="46">
        <v>21</v>
      </c>
    </row>
    <row r="30" spans="6:6" ht="12.75">
      <c r="F30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REMOVE NON-RECURRING LEGAL EXPENSES
FOR THE TEST YEAR ENDING DECEMBER 31, 2021
SPONSOR: W. ALAN LEDBETTER&amp;R&amp;"Arial,Bold"WP/II-D ADJUSTMENT/30
Page 1 of 2</oddHead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35">
    <pageSetUpPr fitToPage="1"/>
  </sheetPr>
  <dimension ref="A2:N35"/>
  <sheetViews>
    <sheetView workbookViewId="0" topLeftCell="A19">
      <selection pane="topLeft" activeCell="B35" sqref="B35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234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52" t="s">
        <v>194</v>
      </c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f>2268224-1131652-3226.47-22139</f>
        <v>1111206.53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/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/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-1111206.53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223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40</v>
      </c>
      <c r="D23" s="41">
        <f>148091+4868+3226.47</f>
        <v>156185.47</v>
      </c>
      <c r="E23" s="56">
        <v>0</v>
      </c>
      <c r="F23" s="56">
        <f>ROUND(+$D23*'[2]II-F Alloc_Factor'!F$17,2)</f>
        <v>0</v>
      </c>
      <c r="G23" s="56">
        <f>ROUND(+$D23*'[2]II-F Alloc_Factor'!G$17,2)</f>
        <v>0</v>
      </c>
      <c r="H23" s="56">
        <f>SUM(E23:G23)</f>
        <v>0</v>
      </c>
      <c r="I23" s="56">
        <v>0</v>
      </c>
      <c r="J23" s="56">
        <f>ROUND(+$D23*'[2]II-F Alloc_Factor'!J$17,2)</f>
        <v>0</v>
      </c>
      <c r="K23" s="56">
        <f>SUM(I23:J23)</f>
        <v>0</v>
      </c>
      <c r="L23" s="56">
        <v>0</v>
      </c>
      <c r="M23" s="56">
        <f>+D23</f>
        <v>156185.47</v>
      </c>
      <c r="N23" s="45" t="b">
        <f>+D23=(M23+L23+K23+H23)</f>
        <v>1</v>
      </c>
    </row>
    <row r="24" spans="1:14" ht="12.75">
      <c r="A24" s="46">
        <v>19</v>
      </c>
      <c r="C24" s="34" t="s">
        <v>53</v>
      </c>
      <c r="D24" s="71">
        <f>+M14-D23</f>
        <v>-1267392</v>
      </c>
      <c r="E24" s="43">
        <f>ROUND(+$D24*'[2]II-F Alloc_Factor'!E$17,2)</f>
        <v>-279081.70000000001</v>
      </c>
      <c r="F24" s="43">
        <f>ROUND(+$D24*'[2]II-F Alloc_Factor'!F$17,2)</f>
        <v>0</v>
      </c>
      <c r="G24" s="43">
        <f>ROUND(+$D24*'[2]II-F Alloc_Factor'!G$17,2)</f>
        <v>0</v>
      </c>
      <c r="H24" s="43">
        <f>SUM(E24:G24)</f>
        <v>-279081.70000000001</v>
      </c>
      <c r="I24" s="43">
        <f>ROUND(+$D24*'[2]II-F Alloc_Factor'!I$17,2)</f>
        <v>-769940.02000000002</v>
      </c>
      <c r="J24" s="43">
        <f>ROUND(+$D24*'[2]II-F Alloc_Factor'!J$17,2)</f>
        <v>0</v>
      </c>
      <c r="K24" s="43">
        <f>SUM(I24:J24)</f>
        <v>-769940.02000000002</v>
      </c>
      <c r="L24" s="43">
        <f>ROUND(+$D24*'[2]II-F Alloc_Factor'!L$17,2)</f>
        <v>-209922.70999999999</v>
      </c>
      <c r="M24" s="43">
        <f>+D24-H24-K24-L24</f>
        <v>-8447.5700000000361</v>
      </c>
      <c r="N24" s="45" t="b">
        <f>+D24=(M24+L24+K24+H24)</f>
        <v>1</v>
      </c>
    </row>
    <row r="25" spans="1:13" ht="13.5" thickBot="1">
      <c r="A25" s="46">
        <v>20</v>
      </c>
      <c r="D25" s="55">
        <f t="shared" si="0" ref="D25:M25">SUM(D23:D24)</f>
        <v>-1111206.53</v>
      </c>
      <c r="E25" s="55">
        <f t="shared" si="0"/>
        <v>-279081.70000000001</v>
      </c>
      <c r="F25" s="55">
        <f t="shared" si="0"/>
        <v>0</v>
      </c>
      <c r="G25" s="55">
        <f t="shared" si="0"/>
        <v>0</v>
      </c>
      <c r="H25" s="55">
        <f t="shared" si="0"/>
        <v>-279081.70000000001</v>
      </c>
      <c r="I25" s="55">
        <f t="shared" si="0"/>
        <v>-769940.02000000002</v>
      </c>
      <c r="J25" s="55">
        <f t="shared" si="0"/>
        <v>0</v>
      </c>
      <c r="K25" s="55">
        <f t="shared" si="0"/>
        <v>-769940.02000000002</v>
      </c>
      <c r="L25" s="55">
        <f t="shared" si="0"/>
        <v>-209922.70999999999</v>
      </c>
      <c r="M25" s="55">
        <f t="shared" si="0"/>
        <v>147737.89999999997</v>
      </c>
    </row>
    <row r="26" spans="1:1" ht="13.5" thickTop="1">
      <c r="A26" s="46">
        <v>21</v>
      </c>
    </row>
    <row r="30" spans="6:6" ht="12.75">
      <c r="F30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2" r:id="rId1"/>
  <headerFooter alignWithMargins="0">
    <oddHeader>&amp;C&amp;"Arial,Bold"
ONCOR ELECTRIC DELIVERY COMPANY LLC
ANNUALIZE IT/TECH EXPENSES
FOR THE TEST YEAR ENDING DECEMBER 31, 2021
SPONSOR: W.ALAN LEDBETTER&amp;R&amp;"Arial,Bold"WP/II-D ADJUSTMENT/31
Page &amp;P of 2</oddHead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36">
    <pageSetUpPr fitToPage="1"/>
  </sheetPr>
  <dimension ref="A2:N35"/>
  <sheetViews>
    <sheetView workbookViewId="0" topLeftCell="A1">
      <selection pane="topLeft" activeCell="B8" sqref="B8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331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 t="s">
        <v>330</v>
      </c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>
        <f>+'[4]II-E-4.1.1'!$P$24</f>
        <v>449449.64000000001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449449.64000000001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190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52</v>
      </c>
      <c r="D23" s="41">
        <f>+M14</f>
        <v>449449.64000000001</v>
      </c>
      <c r="E23" s="56">
        <v>0</v>
      </c>
      <c r="F23" s="56">
        <v>0</v>
      </c>
      <c r="G23" s="56">
        <f>+'[4]II-E-4.1'!P47+'[4]II-E-4.1'!P48</f>
        <v>0</v>
      </c>
      <c r="H23" s="56">
        <f>SUM(E23:G23)</f>
        <v>0</v>
      </c>
      <c r="I23" s="56">
        <f>+D23</f>
        <v>449449.64000000001</v>
      </c>
      <c r="J23" s="56">
        <f>+'[4]II-E-4.1'!S47+'[4]II-E-4.1'!S48</f>
        <v>0</v>
      </c>
      <c r="K23" s="56">
        <f>SUM(I23:J23)</f>
        <v>449449.64000000001</v>
      </c>
      <c r="L23" s="56">
        <f>+'[4]II-E-4.1'!U47+'[4]II-E-4.1'!U48</f>
        <v>0</v>
      </c>
      <c r="M23" s="56">
        <f>+'[4]II-E-4.1'!V47+'[4]II-E-4.1'!V48</f>
        <v>0</v>
      </c>
      <c r="N23" s="45" t="b">
        <f>+D23=(M23+L23+K23+H23)</f>
        <v>1</v>
      </c>
    </row>
    <row r="24" spans="1:13" ht="12.75">
      <c r="A24" s="46">
        <v>19</v>
      </c>
      <c r="C24" s="34"/>
      <c r="D24" s="71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449449.64000000001</v>
      </c>
      <c r="E25" s="55">
        <f t="shared" si="0"/>
        <v>0</v>
      </c>
      <c r="F25" s="55">
        <f t="shared" si="0"/>
        <v>0</v>
      </c>
      <c r="G25" s="55">
        <f t="shared" si="0"/>
        <v>0</v>
      </c>
      <c r="H25" s="55">
        <f t="shared" si="0"/>
        <v>0</v>
      </c>
      <c r="I25" s="55">
        <f t="shared" si="0"/>
        <v>449449.64000000001</v>
      </c>
      <c r="J25" s="55">
        <f t="shared" si="0"/>
        <v>0</v>
      </c>
      <c r="K25" s="55">
        <f t="shared" si="0"/>
        <v>449449.64000000001</v>
      </c>
      <c r="L25" s="55">
        <f t="shared" si="0"/>
        <v>0</v>
      </c>
      <c r="M25" s="55">
        <f t="shared" si="0"/>
        <v>0</v>
      </c>
    </row>
    <row r="26" spans="1:1" ht="13.5" thickTop="1">
      <c r="A26" s="46">
        <v>21</v>
      </c>
    </row>
    <row r="31" spans="6:6" ht="12.75">
      <c r="F31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68" r:id="rId1"/>
  <headerFooter alignWithMargins="0">
    <oddHeader>&amp;C&amp;"Arial,Bold"
ONCOR ELECTRIC DELIVERY COMPANY LLC
 HB 2483 MOBILE GENERATOR CAPITAL LEASES
FOR THE TEST YEAR ENDING DECEMBER 31, 2021
SPONSOR: W. ALAN LEDBETTER&amp;R&amp;"Arial,Bold"WP/II-D ADJUSTMENT/32
Page &amp;P of &amp;N</oddHead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37">
    <pageSetUpPr fitToPage="1"/>
  </sheetPr>
  <dimension ref="A2:N35"/>
  <sheetViews>
    <sheetView workbookViewId="0" topLeftCell="A1">
      <selection pane="topLeft" activeCell="B8" sqref="B8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332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 t="s">
        <v>333</v>
      </c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>
        <f>ROUND(+'[4]II-E-4.1.1'!$P$32,2)</f>
        <v>15053413.869999999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15053413.869999999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190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29</v>
      </c>
      <c r="D23" s="41">
        <f>ROUND(+M14,2)</f>
        <v>15053413.869999999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f>+M14</f>
        <v>15053413.869999999</v>
      </c>
      <c r="J23" s="56">
        <v>0</v>
      </c>
      <c r="K23" s="56">
        <f>SUM(I23:J23)</f>
        <v>15053413.869999999</v>
      </c>
      <c r="L23" s="56">
        <v>0</v>
      </c>
      <c r="M23" s="56">
        <v>0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15053413.869999999</v>
      </c>
      <c r="E25" s="55">
        <f t="shared" si="0"/>
        <v>0</v>
      </c>
      <c r="F25" s="55">
        <f t="shared" si="0"/>
        <v>0</v>
      </c>
      <c r="G25" s="55">
        <f t="shared" si="0"/>
        <v>0</v>
      </c>
      <c r="H25" s="55">
        <f t="shared" si="0"/>
        <v>0</v>
      </c>
      <c r="I25" s="55">
        <f t="shared" si="0"/>
        <v>15053413.869999999</v>
      </c>
      <c r="J25" s="55">
        <f t="shared" si="0"/>
        <v>0</v>
      </c>
      <c r="K25" s="55">
        <f t="shared" si="0"/>
        <v>15053413.869999999</v>
      </c>
      <c r="L25" s="55">
        <f t="shared" si="0"/>
        <v>0</v>
      </c>
      <c r="M25" s="55">
        <f t="shared" si="0"/>
        <v>0</v>
      </c>
    </row>
    <row r="26" spans="1:1" ht="13.5" thickTop="1">
      <c r="A26" s="46">
        <v>21</v>
      </c>
    </row>
    <row r="30" spans="6:6" ht="12.75">
      <c r="F30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68" r:id="rId1"/>
  <headerFooter alignWithMargins="0">
    <oddHeader>&amp;C&amp;"Arial,Bold"
ONCOR ELECTRIC DELIVERY COMPANY LLC
WDSS REG. ASSET AMORTIZATION
FOR THE TEST YEAR ENDING DECEMBER 31, 2021
SPONSOR: W. ALAN LEDBETTER&amp;R&amp;"Arial,Bold"WP/II-D ADJUSTMENT/33
Page &amp;P of &amp;N</oddHead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38">
    <pageSetUpPr fitToPage="1"/>
  </sheetPr>
  <dimension ref="A2:N35"/>
  <sheetViews>
    <sheetView workbookViewId="0" topLeftCell="A1">
      <selection pane="topLeft" activeCell="G8" sqref="G8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334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53" t="s">
        <v>335</v>
      </c>
      <c r="H8" s="53"/>
      <c r="I8" s="49"/>
      <c r="J8" s="49"/>
      <c r="K8" s="49"/>
      <c r="M8" s="56"/>
    </row>
    <row r="9" spans="1:13" ht="12.75">
      <c r="A9" s="46">
        <v>4</v>
      </c>
      <c r="B9" s="52" t="s">
        <v>194</v>
      </c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f>-ROUND('[4]II-E-4.1.1'!$P$36,2)</f>
        <v>474636.27000000002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/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/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-474636.27000000002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190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42</v>
      </c>
      <c r="D23" s="41">
        <f>+M14</f>
        <v>-474636.27000000002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v>0</v>
      </c>
      <c r="J23" s="56">
        <v>0</v>
      </c>
      <c r="K23" s="56">
        <f>SUM(I23:J23)</f>
        <v>0</v>
      </c>
      <c r="L23" s="56">
        <f>+D23</f>
        <v>-474636.27000000002</v>
      </c>
      <c r="M23" s="56">
        <v>0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-474636.27000000002</v>
      </c>
      <c r="E25" s="55">
        <f t="shared" si="0"/>
        <v>0</v>
      </c>
      <c r="F25" s="55">
        <f t="shared" si="0"/>
        <v>0</v>
      </c>
      <c r="G25" s="55">
        <f t="shared" si="0"/>
        <v>0</v>
      </c>
      <c r="H25" s="55">
        <f t="shared" si="0"/>
        <v>0</v>
      </c>
      <c r="I25" s="55">
        <f t="shared" si="0"/>
        <v>0</v>
      </c>
      <c r="J25" s="55">
        <f t="shared" si="0"/>
        <v>0</v>
      </c>
      <c r="K25" s="55">
        <f t="shared" si="0"/>
        <v>0</v>
      </c>
      <c r="L25" s="55">
        <f t="shared" si="0"/>
        <v>-474636.27000000002</v>
      </c>
      <c r="M25" s="55">
        <f t="shared" si="0"/>
        <v>0</v>
      </c>
    </row>
    <row r="26" spans="1:1" ht="13.5" thickTop="1">
      <c r="A26" s="46">
        <v>21</v>
      </c>
    </row>
    <row r="31" spans="6:6" ht="12.75">
      <c r="F31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68" r:id="rId1"/>
  <headerFooter alignWithMargins="0">
    <oddHeader>&amp;C&amp;"Arial,Bold"
ONCOR ELECTRIC DELIVERY COMPANY LLC
AMS CUSTOMER EDUCATION REG. ASSET AMORTIZATION
FOR THE TEST YEAR ENDING DECEMBER 31, 2021
SPONSOR: W. ALAN LEDBETTER&amp;R&amp;"Arial,Bold"WP/II-D ADJUSTMENT/34
Page &amp;P of &amp;N</oddHeader>
  </headerFooter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39">
    <pageSetUpPr fitToPage="1"/>
  </sheetPr>
  <dimension ref="A2:N35"/>
  <sheetViews>
    <sheetView workbookViewId="0" topLeftCell="A1">
      <selection pane="topLeft" activeCell="G8" sqref="G8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336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87" t="s">
        <v>337</v>
      </c>
      <c r="H8" s="53"/>
      <c r="I8" s="49"/>
      <c r="J8" s="49"/>
      <c r="K8" s="49"/>
      <c r="M8" s="56"/>
    </row>
    <row r="9" spans="1:13" ht="12.75">
      <c r="A9" s="46">
        <v>4</v>
      </c>
      <c r="B9" s="52" t="s">
        <v>194</v>
      </c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f>-ROUND('[4]II-E-4.1.1'!$P$34,2)</f>
        <v>53535.25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/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/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-53535.25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190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39</v>
      </c>
      <c r="D23" s="41">
        <f>+M14</f>
        <v>-53535.25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v>0</v>
      </c>
      <c r="J23" s="56">
        <v>0</v>
      </c>
      <c r="K23" s="56">
        <f>SUM(I23:J23)</f>
        <v>0</v>
      </c>
      <c r="L23" s="56">
        <f>+D23</f>
        <v>-53535.25</v>
      </c>
      <c r="M23" s="56">
        <v>0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-53535.25</v>
      </c>
      <c r="E25" s="55">
        <f t="shared" si="0"/>
        <v>0</v>
      </c>
      <c r="F25" s="55">
        <f t="shared" si="0"/>
        <v>0</v>
      </c>
      <c r="G25" s="55">
        <f t="shared" si="0"/>
        <v>0</v>
      </c>
      <c r="H25" s="55">
        <f t="shared" si="0"/>
        <v>0</v>
      </c>
      <c r="I25" s="55">
        <f t="shared" si="0"/>
        <v>0</v>
      </c>
      <c r="J25" s="55">
        <f t="shared" si="0"/>
        <v>0</v>
      </c>
      <c r="K25" s="55">
        <f t="shared" si="0"/>
        <v>0</v>
      </c>
      <c r="L25" s="55">
        <f t="shared" si="0"/>
        <v>-53535.25</v>
      </c>
      <c r="M25" s="55">
        <f t="shared" si="0"/>
        <v>0</v>
      </c>
    </row>
    <row r="26" spans="1:1" ht="13.5" thickTop="1">
      <c r="A26" s="46">
        <v>21</v>
      </c>
    </row>
    <row r="30" spans="6:6" ht="12.75">
      <c r="F30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68" r:id="rId1"/>
  <headerFooter alignWithMargins="0">
    <oddHeader>&amp;C&amp;"Arial,Bold"
ONCOR ELECTRIC DELIVERY COMPANY LLC
METER READER SEVERANCE REG ASSET AMORTIZATION
FOR THE TEST YEAR ENDING DECEMBER 31, 2021
SPONSOR: W. ALAN LEDBETTER&amp;R&amp;"Arial,Bold"WP/II-D ADJUSTMENT/35
Page &amp;P of &amp;N</oddHeader>
  </headerFooter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40">
    <pageSetUpPr fitToPage="1"/>
  </sheetPr>
  <dimension ref="A2:N35"/>
  <sheetViews>
    <sheetView workbookViewId="0" topLeftCell="A1">
      <selection pane="topLeft" activeCell="G9" sqref="G9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338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87" t="s">
        <v>339</v>
      </c>
      <c r="H8" s="53"/>
      <c r="I8" s="49"/>
      <c r="J8" s="49"/>
      <c r="K8" s="49"/>
      <c r="M8" s="56"/>
    </row>
    <row r="9" spans="1:13" ht="12.75">
      <c r="A9" s="46">
        <v>4</v>
      </c>
      <c r="B9" s="52" t="s">
        <v>194</v>
      </c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f>ROUND(-SUM('[4]II-E-4.1.1'!$P$46:$P$48),2)</f>
        <v>72416.020000000004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/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/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-72416.020000000004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190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50</v>
      </c>
      <c r="D23" s="41">
        <f>+M14</f>
        <v>-72416.020000000004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v>0</v>
      </c>
      <c r="J23" s="56">
        <v>0</v>
      </c>
      <c r="K23" s="56">
        <f>SUM(I23:J23)</f>
        <v>0</v>
      </c>
      <c r="L23" s="56">
        <f>+D23</f>
        <v>-72416.020000000004</v>
      </c>
      <c r="M23" s="56">
        <v>0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-72416.020000000004</v>
      </c>
      <c r="E25" s="55">
        <f t="shared" si="0"/>
        <v>0</v>
      </c>
      <c r="F25" s="55">
        <f t="shared" si="0"/>
        <v>0</v>
      </c>
      <c r="G25" s="55">
        <f t="shared" si="0"/>
        <v>0</v>
      </c>
      <c r="H25" s="55">
        <f t="shared" si="0"/>
        <v>0</v>
      </c>
      <c r="I25" s="55">
        <f t="shared" si="0"/>
        <v>0</v>
      </c>
      <c r="J25" s="55">
        <f t="shared" si="0"/>
        <v>0</v>
      </c>
      <c r="K25" s="55">
        <f t="shared" si="0"/>
        <v>0</v>
      </c>
      <c r="L25" s="55">
        <f t="shared" si="0"/>
        <v>-72416.020000000004</v>
      </c>
      <c r="M25" s="55">
        <f t="shared" si="0"/>
        <v>0</v>
      </c>
    </row>
    <row r="26" spans="1:1" ht="13.5" thickTop="1">
      <c r="A26" s="46">
        <v>21</v>
      </c>
    </row>
    <row r="30" spans="6:6" ht="12.75">
      <c r="F30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68" r:id="rId1"/>
  <headerFooter alignWithMargins="0">
    <oddHeader>&amp;C&amp;"Arial,Bold"
ONCOR ELECTRIC DELIVERY COMPANY LLC
AMS RATE CASE EXPENSES REG ASSET AMORTIZATION
FOR THE TEST YEAR ENDING DECEMBER 31, 2021
SPONSOR: W. ALAN LEDBETTER&amp;R&amp;"Arial,Bold"WP/II-D ADJUSTMENT/36
Page &amp;P of &amp;N</oddHead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41">
    <pageSetUpPr fitToPage="1"/>
  </sheetPr>
  <dimension ref="A2:N35"/>
  <sheetViews>
    <sheetView workbookViewId="0" topLeftCell="A1">
      <selection pane="topLeft" activeCell="B8" sqref="B8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340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 t="s">
        <v>341</v>
      </c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>
        <f>ROUND('[4]II-E-4.1.1'!$P$56,2)</f>
        <v>353793.96000000002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353793.96000000002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190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50</v>
      </c>
      <c r="D23" s="41">
        <f>+M14</f>
        <v>353793.96000000002</v>
      </c>
      <c r="E23" s="56">
        <v>0</v>
      </c>
      <c r="F23" s="56">
        <f>1049228/'[4]II-E-4.1.1'!$O$56</f>
        <v>209845.60000000001</v>
      </c>
      <c r="G23" s="56">
        <v>0</v>
      </c>
      <c r="H23" s="56">
        <f>SUM(E23:G23)</f>
        <v>209845.60000000001</v>
      </c>
      <c r="I23" s="56">
        <v>0</v>
      </c>
      <c r="J23" s="56">
        <f>+D23-H23</f>
        <v>143948.36000000002</v>
      </c>
      <c r="K23" s="56">
        <f>SUM(I23:J23)</f>
        <v>143948.36000000002</v>
      </c>
      <c r="L23" s="56">
        <v>0</v>
      </c>
      <c r="M23" s="56">
        <v>0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353793.96000000002</v>
      </c>
      <c r="E25" s="55">
        <f t="shared" si="0"/>
        <v>0</v>
      </c>
      <c r="F25" s="55">
        <f t="shared" si="0"/>
        <v>209845.60000000001</v>
      </c>
      <c r="G25" s="55">
        <f t="shared" si="0"/>
        <v>0</v>
      </c>
      <c r="H25" s="55">
        <f t="shared" si="0"/>
        <v>209845.60000000001</v>
      </c>
      <c r="I25" s="55">
        <f t="shared" si="0"/>
        <v>0</v>
      </c>
      <c r="J25" s="55">
        <f t="shared" si="0"/>
        <v>143948.36000000002</v>
      </c>
      <c r="K25" s="55">
        <f t="shared" si="0"/>
        <v>143948.36000000002</v>
      </c>
      <c r="L25" s="55">
        <f t="shared" si="0"/>
        <v>0</v>
      </c>
      <c r="M25" s="55">
        <f t="shared" si="0"/>
        <v>0</v>
      </c>
    </row>
    <row r="26" spans="1:1" ht="13.5" thickTop="1">
      <c r="A26" s="46">
        <v>21</v>
      </c>
    </row>
    <row r="31" spans="6:6" ht="12.75">
      <c r="F31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68" r:id="rId1"/>
  <headerFooter alignWithMargins="0">
    <oddHeader>&amp;C&amp;"Arial,Bold"
ONCOR ELECTRIC DELIVERY COMPANY LLC
NTU STUDY COST/TRANSITION TO COMPLETION REG ASSET AMORTIZATION
FOR THE TEST YEAR ENDING DECEMBER 31, 2021
SPONSOR: W. ALAN LEDBETTER&amp;R&amp;"Arial,Bold"WP/II-D ADJUSTMENT/37
Page &amp;P of &amp;N</oddHead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42">
    <pageSetUpPr fitToPage="1"/>
  </sheetPr>
  <dimension ref="A2:N35"/>
  <sheetViews>
    <sheetView workbookViewId="0" topLeftCell="A1">
      <selection pane="topLeft" activeCell="B8" sqref="B8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342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 t="s">
        <v>343</v>
      </c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>
        <f>ROUND('[4]II-E-4.1.1'!$P$57,2)</f>
        <v>16328.9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16328.9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190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50</v>
      </c>
      <c r="D23" s="41">
        <f>+M14</f>
        <v>16328.9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f>+M14</f>
        <v>16328.9</v>
      </c>
      <c r="J23" s="56">
        <v>0</v>
      </c>
      <c r="K23" s="56">
        <f>SUM(I23:J23)</f>
        <v>16328.9</v>
      </c>
      <c r="L23" s="56">
        <v>0</v>
      </c>
      <c r="M23" s="56">
        <v>0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16328.9</v>
      </c>
      <c r="E25" s="55">
        <f t="shared" si="0"/>
        <v>0</v>
      </c>
      <c r="F25" s="55">
        <f t="shared" si="0"/>
        <v>0</v>
      </c>
      <c r="G25" s="55">
        <f t="shared" si="0"/>
        <v>0</v>
      </c>
      <c r="H25" s="55">
        <f t="shared" si="0"/>
        <v>0</v>
      </c>
      <c r="I25" s="55">
        <f t="shared" si="0"/>
        <v>16328.9</v>
      </c>
      <c r="J25" s="55">
        <f t="shared" si="0"/>
        <v>0</v>
      </c>
      <c r="K25" s="55">
        <f t="shared" si="0"/>
        <v>16328.9</v>
      </c>
      <c r="L25" s="55">
        <f t="shared" si="0"/>
        <v>0</v>
      </c>
      <c r="M25" s="55">
        <f t="shared" si="0"/>
        <v>0</v>
      </c>
    </row>
    <row r="26" spans="1:1" ht="13.5" thickTop="1">
      <c r="A26" s="46">
        <v>21</v>
      </c>
    </row>
    <row r="30" spans="6:6" ht="12.75">
      <c r="F30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68" r:id="rId1"/>
  <headerFooter alignWithMargins="0">
    <oddHeader>&amp;C&amp;"Arial,Bold"
ONCOR ELECTRIC DELIVERY COMPANY LLC
CAPITAL STRUCTURE REFUND REG LIABILITY AMORTIZATION
FOR THE TEST YEAR ENDING DECEMBER 31, 2021
SPONSOR: W. ALAN LEDBETTER&amp;R&amp;"Arial,Bold"WP/II-D ADJUSTMENT/38
Page &amp;P of &amp;N</oddHeader>
  </headerFooter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43">
    <pageSetUpPr fitToPage="1"/>
  </sheetPr>
  <dimension ref="A2:N35"/>
  <sheetViews>
    <sheetView workbookViewId="0" topLeftCell="A1">
      <selection pane="topLeft" activeCell="B8" sqref="B8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344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 t="s">
        <v>345</v>
      </c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>
        <f>ROUND('[4]II-E-4.1.1'!$P$58,2)</f>
        <v>473660.65999999997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473660.65999999997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190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50</v>
      </c>
      <c r="D23" s="41">
        <f>+M14</f>
        <v>473660.65999999997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f>+M14</f>
        <v>473660.65999999997</v>
      </c>
      <c r="J23" s="56">
        <v>0</v>
      </c>
      <c r="K23" s="56">
        <f>SUM(I23:J23)</f>
        <v>473660.65999999997</v>
      </c>
      <c r="L23" s="56">
        <v>0</v>
      </c>
      <c r="M23" s="56">
        <v>0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473660.65999999997</v>
      </c>
      <c r="E25" s="55">
        <f t="shared" si="0"/>
        <v>0</v>
      </c>
      <c r="F25" s="55">
        <f t="shared" si="0"/>
        <v>0</v>
      </c>
      <c r="G25" s="55">
        <f t="shared" si="0"/>
        <v>0</v>
      </c>
      <c r="H25" s="55">
        <f t="shared" si="0"/>
        <v>0</v>
      </c>
      <c r="I25" s="55">
        <f t="shared" si="0"/>
        <v>473660.65999999997</v>
      </c>
      <c r="J25" s="55">
        <f t="shared" si="0"/>
        <v>0</v>
      </c>
      <c r="K25" s="55">
        <f t="shared" si="0"/>
        <v>473660.65999999997</v>
      </c>
      <c r="L25" s="55">
        <f t="shared" si="0"/>
        <v>0</v>
      </c>
      <c r="M25" s="55">
        <f t="shared" si="0"/>
        <v>0</v>
      </c>
    </row>
    <row r="26" spans="1:1" ht="13.5" thickTop="1">
      <c r="A26" s="46">
        <v>21</v>
      </c>
    </row>
    <row r="30" spans="6:6" ht="12.75">
      <c r="F30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68" r:id="rId1"/>
  <headerFooter alignWithMargins="0">
    <oddHeader>&amp;C&amp;"Arial,Bold"
ONCOR ELECTRIC DELIVERY COMPANY LLC
DOCKET 48325 TAX REFUND AMORTIZATION
FOR THE TEST YEAR ENDING DECEMBER 31, 2021
SPONSOR: W. ALAN LEDBETTER&amp;R&amp;"Arial,Bold"WP/II-D ADJUSTMENT/39
Page &amp;P of &amp;N</oddHead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44">
    <pageSetUpPr fitToPage="1"/>
  </sheetPr>
  <dimension ref="A2:N35"/>
  <sheetViews>
    <sheetView workbookViewId="0" topLeftCell="A1">
      <selection pane="topLeft" activeCell="B8" sqref="B8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346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 t="s">
        <v>347</v>
      </c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>
        <f>ROUND('[4]II-E-4.1.1'!$P$33,2)</f>
        <v>5217.6000000000004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5217.6000000000004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190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31</v>
      </c>
      <c r="D23" s="41">
        <f>+M14</f>
        <v>5217.6000000000004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f>+M14</f>
        <v>5217.6000000000004</v>
      </c>
      <c r="J23" s="56">
        <v>0</v>
      </c>
      <c r="K23" s="56">
        <f>SUM(I23:J23)</f>
        <v>5217.6000000000004</v>
      </c>
      <c r="L23" s="56">
        <v>0</v>
      </c>
      <c r="M23" s="56">
        <v>0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5217.6000000000004</v>
      </c>
      <c r="E25" s="55">
        <f t="shared" si="0"/>
        <v>0</v>
      </c>
      <c r="F25" s="55">
        <f t="shared" si="0"/>
        <v>0</v>
      </c>
      <c r="G25" s="55">
        <f t="shared" si="0"/>
        <v>0</v>
      </c>
      <c r="H25" s="55">
        <f t="shared" si="0"/>
        <v>0</v>
      </c>
      <c r="I25" s="55">
        <f t="shared" si="0"/>
        <v>5217.6000000000004</v>
      </c>
      <c r="J25" s="55">
        <f t="shared" si="0"/>
        <v>0</v>
      </c>
      <c r="K25" s="55">
        <f t="shared" si="0"/>
        <v>5217.6000000000004</v>
      </c>
      <c r="L25" s="55">
        <f t="shared" si="0"/>
        <v>0</v>
      </c>
      <c r="M25" s="55">
        <f t="shared" si="0"/>
        <v>0</v>
      </c>
    </row>
    <row r="26" spans="1:1" ht="13.5" thickTop="1">
      <c r="A26" s="46">
        <v>21</v>
      </c>
    </row>
    <row r="31" spans="6:6" ht="12.75">
      <c r="F31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68" r:id="rId1"/>
  <headerFooter alignWithMargins="0">
    <oddHeader>&amp;C&amp;"Arial,Bold"
ONCOR ELECTRIC DELIVERY COMPANY LLC
HB 2483 MOBILE GEN. REG ASSET AMORTIZATION
FOR THE TEST YEAR ENDING DECEMBER 31, 2021
SPONSOR: W. ALAN LEDBETTER&amp;R&amp;"Arial,Bold"WP/II-D ADJUSTMENT/40
Page &amp;P of &amp;N</oddHeader>
  </headerFooter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45">
    <pageSetUpPr fitToPage="1"/>
  </sheetPr>
  <dimension ref="A2:N35"/>
  <sheetViews>
    <sheetView workbookViewId="0" topLeftCell="A1">
      <selection pane="topLeft" activeCell="B8" sqref="B8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348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 t="s">
        <v>349</v>
      </c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>
        <f>ROUND(+'[4]II-E-4.1.1'!$P$30,2)</f>
        <v>1502680.04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1502680.04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190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14</v>
      </c>
      <c r="D23" s="41">
        <f>+E23+F23</f>
        <v>1380038.48</v>
      </c>
      <c r="E23" s="56">
        <f>ROUND(+'[4]II-E-4.1'!$N$39,2)</f>
        <v>1268797.8799999999</v>
      </c>
      <c r="F23" s="56">
        <f>ROUND(+'[4]II-E-4.1'!$O$39,2)</f>
        <v>111240.60000000001</v>
      </c>
      <c r="G23" s="56">
        <v>0</v>
      </c>
      <c r="H23" s="56">
        <f>SUM(E23:G23)</f>
        <v>1380038.48</v>
      </c>
      <c r="I23" s="56"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4" ht="12.75">
      <c r="A24" s="46">
        <v>19</v>
      </c>
      <c r="C24" s="34" t="s">
        <v>25</v>
      </c>
      <c r="D24" s="71">
        <f>+K24</f>
        <v>122641.56</v>
      </c>
      <c r="E24" s="43">
        <v>0</v>
      </c>
      <c r="F24" s="43">
        <v>0</v>
      </c>
      <c r="G24" s="43">
        <v>0</v>
      </c>
      <c r="H24" s="43">
        <f>SUM(E24:G24)</f>
        <v>0</v>
      </c>
      <c r="I24" s="43">
        <f>ROUND('[4]II-E-4.1'!$R$39,2)</f>
        <v>122641.56</v>
      </c>
      <c r="J24" s="43">
        <v>0</v>
      </c>
      <c r="K24" s="43">
        <f>SUM(I24:J24)</f>
        <v>122641.56</v>
      </c>
      <c r="L24" s="43">
        <v>0</v>
      </c>
      <c r="M24" s="43">
        <v>0</v>
      </c>
      <c r="N24" s="45" t="b">
        <f>+D24=(M24+L24+K24+H24)</f>
        <v>1</v>
      </c>
    </row>
    <row r="25" spans="1:13" ht="13.5" thickBot="1">
      <c r="A25" s="46">
        <v>20</v>
      </c>
      <c r="D25" s="55">
        <f t="shared" si="0" ref="D25:M25">SUM(D23:D24)</f>
        <v>1502680.04</v>
      </c>
      <c r="E25" s="55">
        <f t="shared" si="0"/>
        <v>1268797.8799999999</v>
      </c>
      <c r="F25" s="55">
        <f t="shared" si="0"/>
        <v>111240.60000000001</v>
      </c>
      <c r="G25" s="55">
        <f t="shared" si="0"/>
        <v>0</v>
      </c>
      <c r="H25" s="55">
        <f t="shared" si="0"/>
        <v>1380038.48</v>
      </c>
      <c r="I25" s="55">
        <f t="shared" si="0"/>
        <v>122641.56</v>
      </c>
      <c r="J25" s="55">
        <f t="shared" si="0"/>
        <v>0</v>
      </c>
      <c r="K25" s="55">
        <f t="shared" si="0"/>
        <v>122641.56</v>
      </c>
      <c r="L25" s="55">
        <f t="shared" si="0"/>
        <v>0</v>
      </c>
      <c r="M25" s="55">
        <f t="shared" si="0"/>
        <v>0</v>
      </c>
    </row>
    <row r="26" spans="1:1" ht="13.5" thickTop="1">
      <c r="A26" s="46">
        <v>21</v>
      </c>
    </row>
    <row r="31" spans="6:6" ht="12.75">
      <c r="F31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68" r:id="rId1"/>
  <headerFooter alignWithMargins="0">
    <oddHeader>&amp;C&amp;"Arial,Bold"
ONCOR ELECTRIC DELIVERY COMPANY LLC
POWER LINE SAFETY ACT PURA § 36066 REG ASSET AMORTIZATION
FOR THE TEST YEAR ENDING DECEMBER 31, 2021
SPONSOR: W. ALAN LEDBETTER&amp;R&amp;"Arial,Bold"WP/II-D ADJUSTMENT/41
Page &amp;P of &amp;N</oddHeader>
  </headerFooter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46">
    <pageSetUpPr fitToPage="1"/>
  </sheetPr>
  <dimension ref="A2:N35"/>
  <sheetViews>
    <sheetView workbookViewId="0" topLeftCell="A1">
      <selection pane="topLeft" activeCell="B35" sqref="B35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322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>
        <f>ROUND(+'[4]II-E-4.1.1'!$P$31,2)</f>
        <v>6923725.2599999998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6923725.2599999998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262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16</v>
      </c>
      <c r="D23" s="41">
        <f>+D25-D24</f>
        <v>601322.56999999937</v>
      </c>
      <c r="E23" s="56">
        <f>+D23</f>
        <v>601322.56999999937</v>
      </c>
      <c r="F23" s="56">
        <v>0</v>
      </c>
      <c r="G23" s="56">
        <v>0</v>
      </c>
      <c r="H23" s="56">
        <f>SUM(E23:G23)</f>
        <v>601322.56999999937</v>
      </c>
      <c r="I23" s="56"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4" ht="12.75">
      <c r="A24" s="46">
        <v>19</v>
      </c>
      <c r="C24" s="34" t="s">
        <v>29</v>
      </c>
      <c r="D24" s="71">
        <f>+'[4]II-E-4.1'!$R$40+'[4]II-E-4.1'!$U$40+'[4]II-E-4.1'!$V$40</f>
        <v>6322402.6900000004</v>
      </c>
      <c r="E24" s="82">
        <v>0</v>
      </c>
      <c r="F24" s="82">
        <v>0</v>
      </c>
      <c r="G24" s="82">
        <v>0</v>
      </c>
      <c r="H24" s="82">
        <f>SUM(E24:G24)</f>
        <v>0</v>
      </c>
      <c r="I24" s="82">
        <f>+'[4]II-E-4.1'!R40</f>
        <v>5750412.3300000001</v>
      </c>
      <c r="J24" s="82">
        <v>0</v>
      </c>
      <c r="K24" s="82">
        <f>SUM(I24:J24)</f>
        <v>5750412.3300000001</v>
      </c>
      <c r="L24" s="82">
        <f>+'[4]II-E-4.1'!U40</f>
        <v>315840.78000000003</v>
      </c>
      <c r="M24" s="82">
        <f>+'[4]II-E-4.1'!V40</f>
        <v>256149.57999999999</v>
      </c>
      <c r="N24" s="45" t="b">
        <f>+D24=(M24+L24+K24+H24)</f>
        <v>1</v>
      </c>
    </row>
    <row r="25" spans="1:13" ht="13.5" thickBot="1">
      <c r="A25" s="46">
        <v>20</v>
      </c>
      <c r="D25" s="55">
        <f>+M14</f>
        <v>6923725.2599999998</v>
      </c>
      <c r="E25" s="55">
        <f t="shared" si="0" ref="E25:M25">SUM(E23:E24)</f>
        <v>601322.56999999937</v>
      </c>
      <c r="F25" s="55">
        <f t="shared" si="0"/>
        <v>0</v>
      </c>
      <c r="G25" s="55">
        <f t="shared" si="0"/>
        <v>0</v>
      </c>
      <c r="H25" s="55">
        <f t="shared" si="0"/>
        <v>601322.56999999937</v>
      </c>
      <c r="I25" s="55">
        <f t="shared" si="0"/>
        <v>5750412.3300000001</v>
      </c>
      <c r="J25" s="55">
        <f t="shared" si="0"/>
        <v>0</v>
      </c>
      <c r="K25" s="55">
        <f t="shared" si="0"/>
        <v>5750412.3300000001</v>
      </c>
      <c r="L25" s="55">
        <f t="shared" si="0"/>
        <v>315840.78000000003</v>
      </c>
      <c r="M25" s="55">
        <f t="shared" si="0"/>
        <v>256149.57999999999</v>
      </c>
    </row>
    <row r="26" spans="1:1" ht="13.5" thickTop="1">
      <c r="A26" s="46">
        <v>21</v>
      </c>
    </row>
    <row r="31" spans="6:6" ht="12.75">
      <c r="F31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2" r:id="rId1"/>
  <headerFooter alignWithMargins="0">
    <oddHeader>&amp;C&amp;"Arial,Bold"
ONCOR ELECTRIC DELIVERY COMPANY LLC
COVID19 INCREMENTAL EXPENSE REG ASSET AMORTIZATION
FOR THE TEST YEAR ENDING DECEMBER 31, 2021
SPONSOR: W. ALAN LEDBETTER&amp;R&amp;"Arial,Bold"WP/II-D ADJUSTMENT/42
Page &amp;P of 2</oddHeader>
  </headerFooter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47">
    <pageSetUpPr fitToPage="1"/>
  </sheetPr>
  <dimension ref="A2:N35"/>
  <sheetViews>
    <sheetView workbookViewId="0" topLeftCell="A1">
      <selection pane="topLeft" activeCell="B35" sqref="B35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324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>
        <f>ROUND(+'[4]II-E-4.1.1'!$P$35,2)</f>
        <v>1403793.4399999999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1403793.4399999999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203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62</v>
      </c>
      <c r="D23" s="41">
        <f>+M14</f>
        <v>1403793.4399999999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v>0</v>
      </c>
      <c r="J23" s="56">
        <v>0</v>
      </c>
      <c r="K23" s="56">
        <f>SUM(I23:J23)</f>
        <v>0</v>
      </c>
      <c r="L23" s="56">
        <v>0</v>
      </c>
      <c r="M23" s="56">
        <f>+D23</f>
        <v>1403793.4399999999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1403793.4399999999</v>
      </c>
      <c r="E25" s="55">
        <f t="shared" si="0"/>
        <v>0</v>
      </c>
      <c r="F25" s="55">
        <f t="shared" si="0"/>
        <v>0</v>
      </c>
      <c r="G25" s="55">
        <f t="shared" si="0"/>
        <v>0</v>
      </c>
      <c r="H25" s="55">
        <f t="shared" si="0"/>
        <v>0</v>
      </c>
      <c r="I25" s="55">
        <f t="shared" si="0"/>
        <v>0</v>
      </c>
      <c r="J25" s="55">
        <f t="shared" si="0"/>
        <v>0</v>
      </c>
      <c r="K25" s="55">
        <f t="shared" si="0"/>
        <v>0</v>
      </c>
      <c r="L25" s="55">
        <f t="shared" si="0"/>
        <v>0</v>
      </c>
      <c r="M25" s="55">
        <f t="shared" si="0"/>
        <v>1403793.4399999999</v>
      </c>
    </row>
    <row r="26" spans="1:1" ht="13.5" thickTop="1">
      <c r="A26" s="46">
        <v>21</v>
      </c>
    </row>
    <row r="31" spans="6:6" ht="12.75">
      <c r="F31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2" r:id="rId1"/>
  <headerFooter alignWithMargins="0">
    <oddHeader>&amp;C&amp;"Arial,Bold"
ONCOR ELECTRIC DELIVERY COMPANY LLC
DEFAULTED REPS 16 TAC § 25.107 BAD DEBT EXPENSE REG ASSET AMORTIZATION
FOR THE TEST YEAR ENDING DECEMBER 31, 2021
SPONSOR: W. ALAN LEDBETTER&amp;R&amp;"Arial,Bold"WP/II-D ADJUSTMENT/43
Page &amp;P of 3</oddHeader>
  </headerFooter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48">
    <pageSetUpPr fitToPage="1"/>
  </sheetPr>
  <dimension ref="A2:N35"/>
  <sheetViews>
    <sheetView workbookViewId="0" topLeftCell="A1">
      <selection pane="topLeft" activeCell="B8" sqref="B8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350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 t="s">
        <v>351</v>
      </c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>
        <f>ROUND(+'[4]II-E-4.1.1'!$P$37+'[4]II-E-4.1.1'!$P$40,2)</f>
        <v>2015345.45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2015345.45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190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49</v>
      </c>
      <c r="D23" s="41">
        <f>+'[4]II-E-4.1.1'!$P$37</f>
        <v>1566566.0600000024</v>
      </c>
      <c r="E23" s="56">
        <f>+D23-I23</f>
        <v>26357.4700000023</v>
      </c>
      <c r="F23" s="56">
        <f>ROUND(+'[4]II-E-4.1'!O46,2)</f>
        <v>0</v>
      </c>
      <c r="G23" s="56">
        <f>ROUND(+'[4]II-E-4.1'!P46,2)</f>
        <v>0</v>
      </c>
      <c r="H23" s="56">
        <f>SUM(E23:G23)</f>
        <v>26357.4700000023</v>
      </c>
      <c r="I23" s="56">
        <f>ROUND(+D23*0.983175,2)</f>
        <v>1540208.5900000001</v>
      </c>
      <c r="J23" s="56">
        <f>ROUND(+'[4]II-E-4.1'!S46,2)</f>
        <v>0</v>
      </c>
      <c r="K23" s="56">
        <f>SUM(I23:J23)</f>
        <v>1540208.5900000001</v>
      </c>
      <c r="L23" s="56">
        <f>ROUND(+'[4]II-E-4.1'!U46,2)</f>
        <v>0</v>
      </c>
      <c r="M23" s="56">
        <f>ROUND(+'[4]II-E-4.1'!V46,2)</f>
        <v>0</v>
      </c>
      <c r="N23" s="45" t="b">
        <f>+D23=(M23+L23+K23+H23)</f>
        <v>1</v>
      </c>
    </row>
    <row r="24" spans="1:14" ht="12.75">
      <c r="A24" s="46">
        <v>19</v>
      </c>
      <c r="C24" s="34" t="s">
        <v>69</v>
      </c>
      <c r="D24" s="71">
        <f>+'[4]II-E-4.1.1'!$P$40</f>
        <v>448779.3899999999</v>
      </c>
      <c r="E24" s="82">
        <f>+D24-I24</f>
        <v>-6869.1100000001024</v>
      </c>
      <c r="F24" s="82">
        <v>0</v>
      </c>
      <c r="G24" s="82">
        <v>0</v>
      </c>
      <c r="H24" s="82">
        <f>SUM(E24:G24)</f>
        <v>-6869.1100000001024</v>
      </c>
      <c r="I24" s="82">
        <f>ROUND(+D24*1.0153062,2)</f>
        <v>455648.5</v>
      </c>
      <c r="J24" s="82">
        <v>0</v>
      </c>
      <c r="K24" s="82">
        <f>SUM(I24:J24)</f>
        <v>455648.5</v>
      </c>
      <c r="L24" s="82">
        <v>0</v>
      </c>
      <c r="M24" s="82">
        <v>0</v>
      </c>
      <c r="N24" s="45" t="b">
        <f>+D24=(M24+L24+K24+H24)</f>
        <v>1</v>
      </c>
    </row>
    <row r="25" spans="1:13" ht="13.5" thickBot="1">
      <c r="A25" s="46">
        <v>20</v>
      </c>
      <c r="D25" s="55">
        <f t="shared" si="0" ref="D25:M25">SUM(D23:D24)</f>
        <v>2015345.4500000023</v>
      </c>
      <c r="E25" s="55">
        <f t="shared" si="0"/>
        <v>19488.360000002198</v>
      </c>
      <c r="F25" s="55">
        <f t="shared" si="0"/>
        <v>0</v>
      </c>
      <c r="G25" s="55">
        <f t="shared" si="0"/>
        <v>0</v>
      </c>
      <c r="H25" s="55">
        <f t="shared" si="0"/>
        <v>19488.360000002198</v>
      </c>
      <c r="I25" s="55">
        <f t="shared" si="0"/>
        <v>1995857.0900000001</v>
      </c>
      <c r="J25" s="55">
        <f t="shared" si="0"/>
        <v>0</v>
      </c>
      <c r="K25" s="55">
        <f t="shared" si="0"/>
        <v>1995857.0900000001</v>
      </c>
      <c r="L25" s="55">
        <f t="shared" si="0"/>
        <v>0</v>
      </c>
      <c r="M25" s="55">
        <f t="shared" si="0"/>
        <v>0</v>
      </c>
    </row>
    <row r="26" spans="1:1" ht="13.5" thickTop="1">
      <c r="A26" s="46">
        <v>21</v>
      </c>
    </row>
    <row r="30" spans="6:6" ht="12.75">
      <c r="F30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68" r:id="rId1"/>
  <headerFooter alignWithMargins="0">
    <oddHeader>&amp;C&amp;"Arial,Bold"
ONCOR ELECTRIC DELIVERY COMPANY LLC
SELF-INSURANCE RESERVE REG ASSET AMORTIZATION - PREVIOUSLY REVIEWED
FOR THE TEST YEAR ENDING DECEMBER 31, 2021
SPONSOR: W. ALAN LEDBETTER&amp;R&amp;"Arial,Bold"WP/II-D ADJUSTMENT/44
Page &amp;P of &amp;N</oddHeader>
  </headerFooter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49">
    <pageSetUpPr fitToPage="1"/>
  </sheetPr>
  <dimension ref="A2:N35"/>
  <sheetViews>
    <sheetView workbookViewId="0" topLeftCell="A1">
      <selection pane="topLeft" activeCell="B35" sqref="B35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352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 t="s">
        <v>353</v>
      </c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>
        <f>+'[4]II-E-4.1.1'!$P$38+'[4]II-E-4.1.1'!$P$39+'[4]II-E-4.1.1'!$P$41</f>
        <v>73051691.400000006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73051691.400000006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190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49</v>
      </c>
      <c r="D23" s="41">
        <f>(26346350.81+349742280.07+3653514.49)/'[4]II-E-4.1.1'!$O$38</f>
        <v>75948429.074000001</v>
      </c>
      <c r="E23" s="56">
        <f>+'[4]II-E-4.1'!N47+'[4]II-E-4.1'!N48</f>
        <v>5269270.1600000001</v>
      </c>
      <c r="F23" s="56">
        <f>+'[4]II-E-4.1'!O47+'[4]II-E-4.1'!O48</f>
        <v>730702.90000000002</v>
      </c>
      <c r="G23" s="56">
        <f>+'[4]II-E-4.1'!P47+'[4]II-E-4.1'!P48</f>
        <v>0</v>
      </c>
      <c r="H23" s="56">
        <f>SUM(E23:G23)</f>
        <v>5999973.0600000005</v>
      </c>
      <c r="I23" s="56">
        <f>+D23-H23</f>
        <v>69948456.013999999</v>
      </c>
      <c r="J23" s="56">
        <f>+'[4]II-E-4.1'!S47+'[4]II-E-4.1'!S48</f>
        <v>0</v>
      </c>
      <c r="K23" s="56">
        <f>SUM(I23:J23)</f>
        <v>69948456.013999999</v>
      </c>
      <c r="L23" s="56">
        <f>+'[4]II-E-4.1'!U47+'[4]II-E-4.1'!U48</f>
        <v>0</v>
      </c>
      <c r="M23" s="56">
        <f>+'[4]II-E-4.1'!V47+'[4]II-E-4.1'!V48</f>
        <v>0</v>
      </c>
      <c r="N23" s="45" t="b">
        <f>+D23=(M23+L23+K23+H23)</f>
        <v>1</v>
      </c>
    </row>
    <row r="24" spans="1:14" ht="12.75">
      <c r="A24" s="46">
        <v>19</v>
      </c>
      <c r="C24" s="34" t="s">
        <v>69</v>
      </c>
      <c r="D24" s="71">
        <f>ROUND((-5545303.49-8938384.89)/'[4]II-E-4.1.1'!$O$38,2)</f>
        <v>-2896737.6800000002</v>
      </c>
      <c r="E24" s="43">
        <f>ROUND(-5545303.49/'[4]II-E-4.1.1'!$O$38,2)</f>
        <v>-1109060.7</v>
      </c>
      <c r="F24" s="43">
        <f>+'[4]II-E-4.1'!O50</f>
        <v>0</v>
      </c>
      <c r="G24" s="43">
        <f>+'[4]II-E-4.1'!P50</f>
        <v>0</v>
      </c>
      <c r="H24" s="43">
        <f>SUM(E24:G24)</f>
        <v>-1109060.7</v>
      </c>
      <c r="I24" s="43">
        <f>+D24-E24</f>
        <v>-1787676.9800000002</v>
      </c>
      <c r="J24" s="43">
        <f>+'[4]II-E-4.1'!S50</f>
        <v>0</v>
      </c>
      <c r="K24" s="43">
        <f>SUM(I24:J24)</f>
        <v>-1787676.9800000002</v>
      </c>
      <c r="L24" s="43">
        <f>+'[4]II-E-4.1'!U50</f>
        <v>0</v>
      </c>
      <c r="M24" s="43">
        <f>+'[4]II-E-4.1'!V50</f>
        <v>0</v>
      </c>
      <c r="N24" s="45" t="b">
        <f>+D24=(M24+L24+K24+H24)</f>
        <v>1</v>
      </c>
    </row>
    <row r="25" spans="1:13" ht="13.5" thickBot="1">
      <c r="A25" s="46">
        <v>20</v>
      </c>
      <c r="D25" s="55">
        <f t="shared" si="0" ref="D25:M25">SUM(D23:D24)</f>
        <v>73051691.393999994</v>
      </c>
      <c r="E25" s="55">
        <f t="shared" si="0"/>
        <v>4160209.46</v>
      </c>
      <c r="F25" s="55">
        <f t="shared" si="0"/>
        <v>730702.90000000002</v>
      </c>
      <c r="G25" s="55">
        <f t="shared" si="0"/>
        <v>0</v>
      </c>
      <c r="H25" s="55">
        <f t="shared" si="0"/>
        <v>4890912.3600000003</v>
      </c>
      <c r="I25" s="55">
        <f t="shared" si="0"/>
        <v>68160779.033999994</v>
      </c>
      <c r="J25" s="55">
        <f t="shared" si="0"/>
        <v>0</v>
      </c>
      <c r="K25" s="55">
        <f t="shared" si="0"/>
        <v>68160779.033999994</v>
      </c>
      <c r="L25" s="55">
        <f t="shared" si="0"/>
        <v>0</v>
      </c>
      <c r="M25" s="55">
        <f t="shared" si="0"/>
        <v>0</v>
      </c>
    </row>
    <row r="26" spans="1:1" ht="13.5" thickTop="1">
      <c r="A26" s="46">
        <v>21</v>
      </c>
    </row>
    <row r="31" spans="6:6" ht="12.75">
      <c r="F31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68" r:id="rId1"/>
  <headerFooter alignWithMargins="0">
    <oddHeader>&amp;C&amp;"Arial,Bold"
ONCOR ELECTRIC DELIVERY COMPANY LLC
SELF-INSURANCE RESERVE REG ASSET AMORTIZATION - TO BE REVIEWED
FOR THE TEST YEAR ENDING DECEMBER 31, 2021
SPONSOR: W. ALAN LEDBETTER&amp;R&amp;"Arial,Bold"WP/II-D ADJUSTMENT/45
Page &amp;P of &amp;N</oddHeader>
  </headerFooter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50">
    <pageSetUpPr fitToPage="1"/>
  </sheetPr>
  <dimension ref="A2:N35"/>
  <sheetViews>
    <sheetView workbookViewId="0" topLeftCell="A1">
      <selection pane="topLeft" activeCell="B35" sqref="B35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266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>
        <f>+'[4]II-E-4.1.1'!$P$42</f>
        <v>3907373.0500000045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3907373.0499999998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293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48</v>
      </c>
      <c r="D23" s="41">
        <f>+M14</f>
        <v>3907373.0499999998</v>
      </c>
      <c r="E23" s="56">
        <f>ROUND(+$D23*0.2088,2)</f>
        <v>815859.48999999999</v>
      </c>
      <c r="F23" s="56">
        <f>ROUND(+$D23*'[2]II-F Alloc_Factor'!F$17,2)</f>
        <v>0</v>
      </c>
      <c r="G23" s="56">
        <f>ROUND(+$D23*'[2]II-F Alloc_Factor'!G$17,2)</f>
        <v>0</v>
      </c>
      <c r="H23" s="56">
        <f>SUM(E23:G23)</f>
        <v>815859.48999999999</v>
      </c>
      <c r="I23" s="56">
        <f>ROUND(+$D23*0.6085,2)</f>
        <v>2377636.5</v>
      </c>
      <c r="J23" s="56">
        <f>ROUND(+$D23*'[2]II-F Alloc_Factor'!J$17,2)</f>
        <v>0</v>
      </c>
      <c r="K23" s="56">
        <f>SUM(I23:J23)</f>
        <v>2377636.5</v>
      </c>
      <c r="L23" s="56">
        <f>ROUND(+$D23*0.1457,2)</f>
        <v>569304.25</v>
      </c>
      <c r="M23" s="56">
        <f>+D23-H23-K23-L23</f>
        <v>144572.80999999959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3907373.0499999998</v>
      </c>
      <c r="E25" s="55">
        <f t="shared" si="0"/>
        <v>815859.48999999999</v>
      </c>
      <c r="F25" s="55">
        <f t="shared" si="0"/>
        <v>0</v>
      </c>
      <c r="G25" s="55">
        <f t="shared" si="0"/>
        <v>0</v>
      </c>
      <c r="H25" s="55">
        <f t="shared" si="0"/>
        <v>815859.48999999999</v>
      </c>
      <c r="I25" s="55">
        <f t="shared" si="0"/>
        <v>2377636.5</v>
      </c>
      <c r="J25" s="55">
        <f t="shared" si="0"/>
        <v>0</v>
      </c>
      <c r="K25" s="55">
        <f t="shared" si="0"/>
        <v>2377636.5</v>
      </c>
      <c r="L25" s="55">
        <f t="shared" si="0"/>
        <v>569304.25</v>
      </c>
      <c r="M25" s="55">
        <f t="shared" si="0"/>
        <v>144572.80999999959</v>
      </c>
    </row>
    <row r="26" spans="1:1" ht="13.5" thickTop="1">
      <c r="A26" s="46">
        <v>21</v>
      </c>
    </row>
    <row r="32" spans="6:6" ht="12.75">
      <c r="F32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PENSION REG ASSET AMORTIZATION - PREVIOUSLY REVIEWED
FOR THE TEST YEAR ENDING DECEMBER 31, 2021
SPONSOR: W. ALAN LEDBETTER&amp;R&amp;"Arial,Bold"WP/II-D ADJUSTMENT/46
Page 1 of 2</oddHeader>
  </headerFooter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51">
    <pageSetUpPr fitToPage="1"/>
  </sheetPr>
  <dimension ref="A2:N35"/>
  <sheetViews>
    <sheetView workbookViewId="0" topLeftCell="A1">
      <selection pane="topLeft" activeCell="M11" sqref="M11"/>
    </sheetView>
  </sheetViews>
  <sheetFormatPr defaultColWidth="8.85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8.85714285714286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268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>
        <f>+'[4]II-E-4.1.1'!$P$43</f>
        <v>-3488031.2400000002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-3488031.2400000002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195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48</v>
      </c>
      <c r="D23" s="41">
        <f>+M14</f>
        <v>-3488031.2400000002</v>
      </c>
      <c r="E23" s="56">
        <f>ROUND($D23*'[2]II-F Alloc_Factor'!E$17,2)</f>
        <v>-768069.93999999994</v>
      </c>
      <c r="F23" s="56">
        <f>ROUND($D23*'[2]II-F Alloc_Factor'!F$17,2)</f>
        <v>0</v>
      </c>
      <c r="G23" s="56">
        <f>ROUND($D23*'[2]II-F Alloc_Factor'!G$17,2)</f>
        <v>0</v>
      </c>
      <c r="H23" s="56">
        <f>SUM(E23:G23)</f>
        <v>-768069.93999999994</v>
      </c>
      <c r="I23" s="56">
        <f>ROUND($D23*'[2]II-F Alloc_Factor'!I$17,2)</f>
        <v>-2118977.27</v>
      </c>
      <c r="J23" s="56">
        <f>ROUND($D23*'[2]II-F Alloc_Factor'!J$17,2)</f>
        <v>0</v>
      </c>
      <c r="K23" s="56">
        <f>SUM(I23:J23)</f>
        <v>-2118977.27</v>
      </c>
      <c r="L23" s="56">
        <f>ROUND($D23*'[2]II-F Alloc_Factor'!L$17,2)</f>
        <v>-577735.20999999996</v>
      </c>
      <c r="M23" s="56">
        <f>ROUND($D23*'[2]II-F Alloc_Factor'!M$17,2)</f>
        <v>-23248.82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-3488031.2400000002</v>
      </c>
      <c r="E25" s="55">
        <f t="shared" si="0"/>
        <v>-768069.93999999994</v>
      </c>
      <c r="F25" s="55">
        <f t="shared" si="0"/>
        <v>0</v>
      </c>
      <c r="G25" s="55">
        <f t="shared" si="0"/>
        <v>0</v>
      </c>
      <c r="H25" s="55">
        <f t="shared" si="0"/>
        <v>-768069.93999999994</v>
      </c>
      <c r="I25" s="55">
        <f t="shared" si="0"/>
        <v>-2118977.27</v>
      </c>
      <c r="J25" s="55">
        <f t="shared" si="0"/>
        <v>0</v>
      </c>
      <c r="K25" s="55">
        <f t="shared" si="0"/>
        <v>-2118977.27</v>
      </c>
      <c r="L25" s="55">
        <f t="shared" si="0"/>
        <v>-577735.20999999996</v>
      </c>
      <c r="M25" s="55">
        <f t="shared" si="0"/>
        <v>-23248.82</v>
      </c>
    </row>
    <row r="26" spans="1:1" ht="13.5" thickTop="1">
      <c r="A26" s="46">
        <v>21</v>
      </c>
    </row>
    <row r="29" spans="6:6" ht="12.75">
      <c r="F29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PENSION REG ASSET AMOTIZATION - TO BE REVIEWED
FOR THE TEST YEAR ENDING DECEMBER 31, 2021
SPONSOR: W. ALAN LEDBETTER&amp;R&amp;"Arial,Bold"WP/II-D ADJUSTMENT/47
Page 1 of 2</oddHeader>
  </headerFooter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52">
    <pageSetUpPr fitToPage="1"/>
  </sheetPr>
  <dimension ref="A2:N35"/>
  <sheetViews>
    <sheetView workbookViewId="0" topLeftCell="A1">
      <selection pane="topLeft" activeCell="M11" sqref="M11"/>
    </sheetView>
  </sheetViews>
  <sheetFormatPr defaultColWidth="8.85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8.85714285714286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270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53"/>
      <c r="F8" s="53"/>
      <c r="G8" s="53"/>
      <c r="H8" s="53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53"/>
      <c r="F9" s="53"/>
      <c r="G9" s="53"/>
      <c r="H9" s="53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53"/>
      <c r="F10" s="53"/>
      <c r="G10" s="53"/>
      <c r="H10" s="53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53"/>
      <c r="F11" s="53"/>
      <c r="G11" s="53"/>
      <c r="H11" s="53"/>
      <c r="I11" s="49"/>
      <c r="J11" s="49"/>
      <c r="K11" s="49"/>
      <c r="L11" s="34" t="s">
        <v>173</v>
      </c>
      <c r="M11" s="68">
        <f>+'[4]II-E-4.1.1'!$P$44</f>
        <v>-484367.08999999985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-484367.09000000003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293</v>
      </c>
      <c r="F17" s="108"/>
      <c r="G17" s="108"/>
      <c r="H17" s="108"/>
      <c r="I17" s="108"/>
      <c r="J17" s="77"/>
      <c r="K17" s="77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78" t="s">
        <v>168</v>
      </c>
      <c r="G20" s="78" t="s">
        <v>169</v>
      </c>
      <c r="H20" s="78" t="s">
        <v>171</v>
      </c>
      <c r="I20" s="109" t="s">
        <v>8</v>
      </c>
      <c r="J20" s="78" t="s">
        <v>168</v>
      </c>
      <c r="K20" s="78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79" t="s">
        <v>7</v>
      </c>
      <c r="G21" s="79" t="s">
        <v>170</v>
      </c>
      <c r="H21" s="79" t="s">
        <v>7</v>
      </c>
      <c r="I21" s="111"/>
      <c r="J21" s="79" t="s">
        <v>8</v>
      </c>
      <c r="K21" s="79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48</v>
      </c>
      <c r="D23" s="41">
        <f>+M14</f>
        <v>-484367.09000000003</v>
      </c>
      <c r="E23" s="56">
        <f>ROUND(+$D23*0.2088,2)</f>
        <v>-101135.85000000001</v>
      </c>
      <c r="F23" s="56">
        <f>ROUND(+$D23*'[2]II-F Alloc_Factor'!F$17,2)</f>
        <v>0</v>
      </c>
      <c r="G23" s="56">
        <f>ROUND(+$D23*'[2]II-F Alloc_Factor'!G$17,2)</f>
        <v>0</v>
      </c>
      <c r="H23" s="56">
        <f>SUM(E23:G23)</f>
        <v>-101135.85000000001</v>
      </c>
      <c r="I23" s="56">
        <f>ROUND(+$D23*0.6085,2)</f>
        <v>-294737.37</v>
      </c>
      <c r="J23" s="56">
        <f>ROUND(+$D23*'[2]II-F Alloc_Factor'!J$17,2)</f>
        <v>0</v>
      </c>
      <c r="K23" s="56">
        <f>SUM(I23:J23)</f>
        <v>-294737.37</v>
      </c>
      <c r="L23" s="56">
        <f>ROUND(+$D23*0.1457,2)</f>
        <v>-70572.289999999994</v>
      </c>
      <c r="M23" s="56">
        <f>ROUND(+$D23*0.037,2)</f>
        <v>-17921.580000000002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-484367.09000000003</v>
      </c>
      <c r="E25" s="55">
        <f t="shared" si="0"/>
        <v>-101135.85000000001</v>
      </c>
      <c r="F25" s="55">
        <f t="shared" si="0"/>
        <v>0</v>
      </c>
      <c r="G25" s="55">
        <f t="shared" si="0"/>
        <v>0</v>
      </c>
      <c r="H25" s="55">
        <f t="shared" si="0"/>
        <v>-101135.85000000001</v>
      </c>
      <c r="I25" s="55">
        <f t="shared" si="0"/>
        <v>-294737.37</v>
      </c>
      <c r="J25" s="55">
        <f t="shared" si="0"/>
        <v>0</v>
      </c>
      <c r="K25" s="55">
        <f t="shared" si="0"/>
        <v>-294737.37</v>
      </c>
      <c r="L25" s="55">
        <f t="shared" si="0"/>
        <v>-70572.289999999994</v>
      </c>
      <c r="M25" s="55">
        <f t="shared" si="0"/>
        <v>-17921.580000000002</v>
      </c>
    </row>
    <row r="26" spans="1:1" ht="13.5" thickTop="1">
      <c r="A26" s="46">
        <v>21</v>
      </c>
    </row>
    <row r="30" spans="6:6" ht="12.75">
      <c r="F30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OPEB REG ASSET AMORTIZATION - PREVIOUSLY APPROVED
FOR THE TEST YEAR ENDING DECEMBER 31, 2021
SPONSOR: W. ALAN LEDBETTER&amp;R&amp;"Arial,Bold"WP/II-D ADJUSTMENT/48
Page 1 of 2</oddHeader>
  </headerFooter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53">
    <pageSetUpPr fitToPage="1"/>
  </sheetPr>
  <dimension ref="A2:N35"/>
  <sheetViews>
    <sheetView workbookViewId="0" topLeftCell="A1">
      <selection pane="topLeft" activeCell="M11" sqref="M11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272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87"/>
      <c r="F8" s="87"/>
      <c r="G8" s="87"/>
      <c r="H8" s="87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87"/>
      <c r="F9" s="87"/>
      <c r="G9" s="87"/>
      <c r="H9" s="87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87"/>
      <c r="F10" s="87"/>
      <c r="G10" s="87"/>
      <c r="H10" s="87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87"/>
      <c r="F11" s="87"/>
      <c r="G11" s="87"/>
      <c r="H11" s="87"/>
      <c r="I11" s="49"/>
      <c r="J11" s="49"/>
      <c r="K11" s="49"/>
      <c r="L11" s="34" t="s">
        <v>173</v>
      </c>
      <c r="M11" s="68">
        <f>+'[4]II-E-4.1.1'!$P$45</f>
        <v>-7857828.7400000002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-7857828.7400000002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195</v>
      </c>
      <c r="F17" s="108"/>
      <c r="G17" s="108"/>
      <c r="H17" s="108"/>
      <c r="I17" s="108"/>
      <c r="J17" s="91"/>
      <c r="K17" s="91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92" t="s">
        <v>168</v>
      </c>
      <c r="G20" s="92" t="s">
        <v>169</v>
      </c>
      <c r="H20" s="92" t="s">
        <v>171</v>
      </c>
      <c r="I20" s="109" t="s">
        <v>8</v>
      </c>
      <c r="J20" s="92" t="s">
        <v>168</v>
      </c>
      <c r="K20" s="92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93" t="s">
        <v>7</v>
      </c>
      <c r="G21" s="93" t="s">
        <v>170</v>
      </c>
      <c r="H21" s="93" t="s">
        <v>7</v>
      </c>
      <c r="I21" s="111"/>
      <c r="J21" s="93" t="s">
        <v>8</v>
      </c>
      <c r="K21" s="93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48</v>
      </c>
      <c r="D23" s="41">
        <f>+M14</f>
        <v>-7857828.7400000002</v>
      </c>
      <c r="E23" s="56">
        <f>ROUND(+$D23*'[2]II-F Alloc_Factor'!E$17,2)</f>
        <v>-1730306.1799999999</v>
      </c>
      <c r="F23" s="56">
        <f>ROUND(+$D23*'[2]II-F Alloc_Factor'!F$17,2)</f>
        <v>0</v>
      </c>
      <c r="G23" s="56">
        <f>ROUND(+$D23*'[2]II-F Alloc_Factor'!G$17,2)</f>
        <v>0</v>
      </c>
      <c r="H23" s="56">
        <f>SUM(E23:G23)</f>
        <v>-1730306.1799999999</v>
      </c>
      <c r="I23" s="56">
        <f>ROUND(+$D23*'[2]II-F Alloc_Factor'!I$17,2)</f>
        <v>-4773627.1200000001</v>
      </c>
      <c r="J23" s="56">
        <f>ROUND(+$D23*'[2]II-F Alloc_Factor'!J$17,2)</f>
        <v>0</v>
      </c>
      <c r="K23" s="56">
        <f>SUM(I23:J23)</f>
        <v>-4773627.1200000001</v>
      </c>
      <c r="L23" s="56">
        <f>ROUND(+$D23*'[2]II-F Alloc_Factor'!L$17,2)</f>
        <v>-1301520.54</v>
      </c>
      <c r="M23" s="56">
        <f>+D23-H23-K23-L23</f>
        <v>-52374.900000000373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-7857828.7400000002</v>
      </c>
      <c r="E25" s="55">
        <f t="shared" si="0"/>
        <v>-1730306.1799999999</v>
      </c>
      <c r="F25" s="55">
        <f t="shared" si="0"/>
        <v>0</v>
      </c>
      <c r="G25" s="55">
        <f t="shared" si="0"/>
        <v>0</v>
      </c>
      <c r="H25" s="55">
        <f t="shared" si="0"/>
        <v>-1730306.1799999999</v>
      </c>
      <c r="I25" s="55">
        <f t="shared" si="0"/>
        <v>-4773627.1200000001</v>
      </c>
      <c r="J25" s="55">
        <f t="shared" si="0"/>
        <v>0</v>
      </c>
      <c r="K25" s="55">
        <f t="shared" si="0"/>
        <v>-4773627.1200000001</v>
      </c>
      <c r="L25" s="55">
        <f t="shared" si="0"/>
        <v>-1301520.54</v>
      </c>
      <c r="M25" s="55">
        <f t="shared" si="0"/>
        <v>-52374.900000000373</v>
      </c>
    </row>
    <row r="26" spans="1:1" ht="13.5" thickTop="1">
      <c r="A26" s="46">
        <v>21</v>
      </c>
    </row>
    <row r="31" spans="6:6" ht="12.75">
      <c r="F31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OPEB REG ASSET AMORTIZATION - TO BE REVIEWED
FOR THE TEST YEAR ENDING DECEMBER 31, 2021
SPONSOR: W. ALAN LEDBETTER&amp;R&amp;"Arial,Bold"WP/II-D ADJUSTMENT/49
Page 1 of 2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54">
    <pageSetUpPr fitToPage="1"/>
  </sheetPr>
  <dimension ref="A2:N35"/>
  <sheetViews>
    <sheetView workbookViewId="0" topLeftCell="A1">
      <selection pane="topLeft" activeCell="B9" sqref="B9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354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 t="s">
        <v>355</v>
      </c>
      <c r="C8" s="48"/>
      <c r="D8" s="48"/>
      <c r="E8" s="87"/>
      <c r="F8" s="87"/>
      <c r="G8" s="87"/>
      <c r="H8" s="87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87"/>
      <c r="F9" s="87"/>
      <c r="G9" s="87"/>
      <c r="H9" s="87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87"/>
      <c r="F10" s="87"/>
      <c r="G10" s="87"/>
      <c r="H10" s="87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87"/>
      <c r="F11" s="87"/>
      <c r="G11" s="87"/>
      <c r="H11" s="87"/>
      <c r="I11" s="49"/>
      <c r="J11" s="49"/>
      <c r="K11" s="49"/>
      <c r="L11" s="34" t="s">
        <v>173</v>
      </c>
      <c r="M11" s="68">
        <f>+'[4]II-E-4.1.1'!$P$55</f>
        <v>125472.60000000001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125472.60000000001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190</v>
      </c>
      <c r="F17" s="108"/>
      <c r="G17" s="108"/>
      <c r="H17" s="108"/>
      <c r="I17" s="108"/>
      <c r="J17" s="91"/>
      <c r="K17" s="91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92" t="s">
        <v>168</v>
      </c>
      <c r="G20" s="92" t="s">
        <v>169</v>
      </c>
      <c r="H20" s="92" t="s">
        <v>171</v>
      </c>
      <c r="I20" s="109" t="s">
        <v>8</v>
      </c>
      <c r="J20" s="92" t="s">
        <v>168</v>
      </c>
      <c r="K20" s="92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93" t="s">
        <v>7</v>
      </c>
      <c r="G21" s="93" t="s">
        <v>170</v>
      </c>
      <c r="H21" s="93" t="s">
        <v>7</v>
      </c>
      <c r="I21" s="111"/>
      <c r="J21" s="93" t="s">
        <v>8</v>
      </c>
      <c r="K21" s="93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50</v>
      </c>
      <c r="D23" s="41">
        <f>+M14</f>
        <v>125472.60000000001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f>+M14</f>
        <v>125472.60000000001</v>
      </c>
      <c r="J23" s="56">
        <v>0</v>
      </c>
      <c r="K23" s="56">
        <f>SUM(I23:J23)</f>
        <v>125472.60000000001</v>
      </c>
      <c r="L23" s="56">
        <v>0</v>
      </c>
      <c r="M23" s="56">
        <v>0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125472.60000000001</v>
      </c>
      <c r="E25" s="55">
        <f t="shared" si="0"/>
        <v>0</v>
      </c>
      <c r="F25" s="55">
        <f t="shared" si="0"/>
        <v>0</v>
      </c>
      <c r="G25" s="55">
        <f t="shared" si="0"/>
        <v>0</v>
      </c>
      <c r="H25" s="55">
        <f t="shared" si="0"/>
        <v>0</v>
      </c>
      <c r="I25" s="55">
        <f t="shared" si="0"/>
        <v>125472.60000000001</v>
      </c>
      <c r="J25" s="55">
        <f t="shared" si="0"/>
        <v>0</v>
      </c>
      <c r="K25" s="55">
        <f t="shared" si="0"/>
        <v>125472.60000000001</v>
      </c>
      <c r="L25" s="55">
        <f t="shared" si="0"/>
        <v>0</v>
      </c>
      <c r="M25" s="55">
        <f t="shared" si="0"/>
        <v>0</v>
      </c>
    </row>
    <row r="26" spans="1:1" ht="13.5" thickTop="1">
      <c r="A26" s="46">
        <v>21</v>
      </c>
    </row>
    <row r="30" spans="6:6" ht="12.75">
      <c r="F30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68" r:id="rId1"/>
  <headerFooter alignWithMargins="0">
    <oddHeader>&amp;C&amp;"Arial,Bold"
ONCOR ELECTRIC DELIVERY COMPANY LLC
SHARYLAND RESIDENTIAL INTERIM RATES (APPROVED IN DOCKET NOS 45414 &amp;&amp; 47469)
FOR THE TEST YEAR ENDING DECEMBER 31, 2021
SPONSOR: W. ALAN LEDBETTER&amp;R&amp;"Arial,Bold"WP/II-D ADJUSTMENT/50
Page &amp;P of &amp;N</oddHeader>
  </headerFooter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55">
    <pageSetUpPr fitToPage="1"/>
  </sheetPr>
  <dimension ref="A2:N35"/>
  <sheetViews>
    <sheetView workbookViewId="0" topLeftCell="A1">
      <selection pane="topLeft" activeCell="B35" sqref="B35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356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87"/>
      <c r="F8" s="87"/>
      <c r="G8" s="87"/>
      <c r="H8" s="87"/>
      <c r="I8" s="49"/>
      <c r="J8" s="49"/>
      <c r="K8" s="49"/>
      <c r="M8" s="56"/>
    </row>
    <row r="9" spans="1:13" ht="12.75">
      <c r="A9" s="46">
        <v>4</v>
      </c>
      <c r="B9" s="52" t="s">
        <v>357</v>
      </c>
      <c r="C9" s="52"/>
      <c r="D9" s="48"/>
      <c r="E9" s="87"/>
      <c r="F9" s="87"/>
      <c r="G9" s="87"/>
      <c r="H9" s="87"/>
      <c r="I9" s="49"/>
      <c r="J9" s="49"/>
      <c r="K9" s="49"/>
      <c r="L9" s="34" t="s">
        <v>172</v>
      </c>
      <c r="M9" s="61">
        <v>-75000</v>
      </c>
    </row>
    <row r="10" spans="1:11" ht="12.75">
      <c r="A10" s="46">
        <v>5</v>
      </c>
      <c r="B10" s="48"/>
      <c r="D10" s="48"/>
      <c r="E10" s="87"/>
      <c r="F10" s="87"/>
      <c r="G10" s="87"/>
      <c r="H10" s="87"/>
      <c r="I10" s="49"/>
      <c r="J10" s="49"/>
      <c r="K10" s="49"/>
    </row>
    <row r="11" spans="1:13" ht="12.75">
      <c r="A11" s="46">
        <v>6</v>
      </c>
      <c r="B11" s="52"/>
      <c r="C11" s="52"/>
      <c r="D11" s="48"/>
      <c r="E11" s="87"/>
      <c r="F11" s="87"/>
      <c r="G11" s="87"/>
      <c r="H11" s="87"/>
      <c r="I11" s="49"/>
      <c r="J11" s="49"/>
      <c r="K11" s="49"/>
      <c r="L11" s="34" t="s">
        <v>173</v>
      </c>
      <c r="M11" s="68">
        <v>0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75000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195</v>
      </c>
      <c r="F17" s="108"/>
      <c r="G17" s="108"/>
      <c r="H17" s="108"/>
      <c r="I17" s="108"/>
      <c r="J17" s="91"/>
      <c r="K17" s="91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92" t="s">
        <v>168</v>
      </c>
      <c r="G20" s="92" t="s">
        <v>169</v>
      </c>
      <c r="H20" s="92" t="s">
        <v>171</v>
      </c>
      <c r="I20" s="109" t="s">
        <v>8</v>
      </c>
      <c r="J20" s="92" t="s">
        <v>168</v>
      </c>
      <c r="K20" s="92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93" t="s">
        <v>7</v>
      </c>
      <c r="G21" s="93" t="s">
        <v>170</v>
      </c>
      <c r="H21" s="93" t="s">
        <v>7</v>
      </c>
      <c r="I21" s="111"/>
      <c r="J21" s="93" t="s">
        <v>8</v>
      </c>
      <c r="K21" s="93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53</v>
      </c>
      <c r="D23" s="41">
        <f>+M14</f>
        <v>75000</v>
      </c>
      <c r="E23" s="56">
        <f>+$D23*'[2]II-F Alloc_Factor'!E$17</f>
        <v>16515.117324091945</v>
      </c>
      <c r="F23" s="56">
        <f>+$D23*'[2]II-F Alloc_Factor'!F$17</f>
        <v>0</v>
      </c>
      <c r="G23" s="56">
        <f>+$D23*'[2]II-F Alloc_Factor'!G$17</f>
        <v>0</v>
      </c>
      <c r="H23" s="56">
        <f>SUM(E23:G23)</f>
        <v>16515.117324091945</v>
      </c>
      <c r="I23" s="56">
        <f>+$D23*'[2]II-F Alloc_Factor'!I$17</f>
        <v>45562.463336121589</v>
      </c>
      <c r="J23" s="56">
        <f>+$D23*'[2]II-F Alloc_Factor'!J$17</f>
        <v>0</v>
      </c>
      <c r="K23" s="56">
        <f>SUM(I23:J23)</f>
        <v>45562.463336121589</v>
      </c>
      <c r="L23" s="56">
        <f>+$D23*'[2]II-F Alloc_Factor'!L$17</f>
        <v>12422.520761433776</v>
      </c>
      <c r="M23" s="56">
        <f>+$D23*'[2]II-F Alloc_Factor'!M$17</f>
        <v>499.89857835269146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75000</v>
      </c>
      <c r="E25" s="55">
        <f t="shared" si="0"/>
        <v>16515.117324091945</v>
      </c>
      <c r="F25" s="55">
        <f t="shared" si="0"/>
        <v>0</v>
      </c>
      <c r="G25" s="55">
        <f t="shared" si="0"/>
        <v>0</v>
      </c>
      <c r="H25" s="55">
        <f t="shared" si="0"/>
        <v>16515.117324091945</v>
      </c>
      <c r="I25" s="55">
        <f t="shared" si="0"/>
        <v>45562.463336121589</v>
      </c>
      <c r="J25" s="55">
        <f t="shared" si="0"/>
        <v>0</v>
      </c>
      <c r="K25" s="55">
        <f t="shared" si="0"/>
        <v>45562.463336121589</v>
      </c>
      <c r="L25" s="55">
        <f t="shared" si="0"/>
        <v>12422.520761433776</v>
      </c>
      <c r="M25" s="55">
        <f t="shared" si="0"/>
        <v>499.89857835269146</v>
      </c>
    </row>
    <row r="26" spans="1:1" ht="13.5" thickTop="1">
      <c r="A26" s="46">
        <v>21</v>
      </c>
    </row>
    <row r="31" spans="6:6" ht="12.75">
      <c r="F31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68" r:id="rId1"/>
  <headerFooter alignWithMargins="0">
    <oddHeader>&amp;C&amp;"Arial,Bold"
ONCOR ELECTRIC DELIVERY COMPANY LLC
TRANSITION COSTS CREDIT
FOR THE TEST YEAR ENDING DECEMBER 31, 2021
SPONSOR: W. ALAN LEDBETTER&amp;R&amp;"Arial,Bold"WP/II-D ADJUSTMENT/51
Page 1 of 2</oddHead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56">
    <pageSetUpPr fitToPage="1"/>
  </sheetPr>
  <dimension ref="A2:N35"/>
  <sheetViews>
    <sheetView workbookViewId="0" topLeftCell="A1">
      <selection pane="topLeft" activeCell="B35" sqref="B35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316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87"/>
      <c r="F8" s="87"/>
      <c r="G8" s="87"/>
      <c r="H8" s="87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87"/>
      <c r="F9" s="87"/>
      <c r="G9" s="87"/>
      <c r="H9" s="87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87"/>
      <c r="F10" s="87"/>
      <c r="G10" s="87"/>
      <c r="H10" s="87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87"/>
      <c r="F11" s="87"/>
      <c r="G11" s="87"/>
      <c r="H11" s="87"/>
      <c r="I11" s="49"/>
      <c r="J11" s="49"/>
      <c r="K11" s="49"/>
      <c r="L11" s="34" t="s">
        <v>173</v>
      </c>
      <c r="M11" s="68">
        <f>+'[4]II-E-4.1.1'!$P$50</f>
        <v>-3239.0799999999999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-3239.0799999999999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190</v>
      </c>
      <c r="F17" s="108"/>
      <c r="G17" s="108"/>
      <c r="H17" s="108"/>
      <c r="I17" s="108"/>
      <c r="J17" s="91"/>
      <c r="K17" s="91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92" t="s">
        <v>168</v>
      </c>
      <c r="G20" s="92" t="s">
        <v>169</v>
      </c>
      <c r="H20" s="92" t="s">
        <v>171</v>
      </c>
      <c r="I20" s="109" t="s">
        <v>8</v>
      </c>
      <c r="J20" s="92" t="s">
        <v>168</v>
      </c>
      <c r="K20" s="92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93" t="s">
        <v>7</v>
      </c>
      <c r="G21" s="93" t="s">
        <v>170</v>
      </c>
      <c r="H21" s="93" t="s">
        <v>7</v>
      </c>
      <c r="I21" s="111"/>
      <c r="J21" s="93" t="s">
        <v>8</v>
      </c>
      <c r="K21" s="93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50</v>
      </c>
      <c r="D23" s="41">
        <f>+M14</f>
        <v>-3239.0799999999999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f>+M14</f>
        <v>-3239.0799999999999</v>
      </c>
      <c r="J23" s="56">
        <v>0</v>
      </c>
      <c r="K23" s="56">
        <f>SUM(I23:J23)</f>
        <v>-3239.0799999999999</v>
      </c>
      <c r="L23" s="56">
        <v>0</v>
      </c>
      <c r="M23" s="56">
        <v>0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-3239.0799999999999</v>
      </c>
      <c r="E25" s="55">
        <f t="shared" si="0"/>
        <v>0</v>
      </c>
      <c r="F25" s="55">
        <f t="shared" si="0"/>
        <v>0</v>
      </c>
      <c r="G25" s="55">
        <f t="shared" si="0"/>
        <v>0</v>
      </c>
      <c r="H25" s="55">
        <f t="shared" si="0"/>
        <v>0</v>
      </c>
      <c r="I25" s="55">
        <f t="shared" si="0"/>
        <v>-3239.0799999999999</v>
      </c>
      <c r="J25" s="55">
        <f t="shared" si="0"/>
        <v>0</v>
      </c>
      <c r="K25" s="55">
        <f t="shared" si="0"/>
        <v>-3239.0799999999999</v>
      </c>
      <c r="L25" s="55">
        <f t="shared" si="0"/>
        <v>0</v>
      </c>
      <c r="M25" s="55">
        <f t="shared" si="0"/>
        <v>0</v>
      </c>
    </row>
    <row r="26" spans="1:1" ht="13.5" thickTop="1">
      <c r="A26" s="46">
        <v>21</v>
      </c>
    </row>
    <row r="30" spans="6:6" ht="12.75">
      <c r="F30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REMOVE NON-STANDARD METERING SERVICE (DOCKET NO 41890)
FOR THE TEST YEAR ENDING DECEMBER 31, 2021
SPONSOR: W. ALAN LEDBETTER&amp;R&amp;"Arial,Bold"WP/II-D ADJUSTMENT/52
Page &amp;P of &amp;N</oddHeader>
  </headerFooter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57">
    <pageSetUpPr fitToPage="1"/>
  </sheetPr>
  <dimension ref="A2:N35"/>
  <sheetViews>
    <sheetView workbookViewId="0" topLeftCell="A1">
      <selection pane="topLeft" activeCell="B35" sqref="B35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274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87"/>
      <c r="F8" s="87"/>
      <c r="G8" s="87"/>
      <c r="H8" s="87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87"/>
      <c r="F9" s="87"/>
      <c r="G9" s="87"/>
      <c r="H9" s="87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87"/>
      <c r="F10" s="87"/>
      <c r="G10" s="87"/>
      <c r="H10" s="87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87"/>
      <c r="F11" s="87"/>
      <c r="G11" s="87"/>
      <c r="H11" s="87"/>
      <c r="I11" s="49"/>
      <c r="J11" s="49"/>
      <c r="K11" s="49"/>
      <c r="L11" s="34" t="s">
        <v>173</v>
      </c>
      <c r="M11" s="68">
        <v>57581.629999999997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57581.629999999997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195</v>
      </c>
      <c r="F17" s="108"/>
      <c r="G17" s="108"/>
      <c r="H17" s="108"/>
      <c r="I17" s="108"/>
      <c r="J17" s="91"/>
      <c r="K17" s="91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92" t="s">
        <v>168</v>
      </c>
      <c r="G20" s="92" t="s">
        <v>169</v>
      </c>
      <c r="H20" s="92" t="s">
        <v>171</v>
      </c>
      <c r="I20" s="109" t="s">
        <v>8</v>
      </c>
      <c r="J20" s="92" t="s">
        <v>168</v>
      </c>
      <c r="K20" s="92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93" t="s">
        <v>7</v>
      </c>
      <c r="G21" s="93" t="s">
        <v>170</v>
      </c>
      <c r="H21" s="93" t="s">
        <v>7</v>
      </c>
      <c r="I21" s="111"/>
      <c r="J21" s="93" t="s">
        <v>8</v>
      </c>
      <c r="K21" s="93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48</v>
      </c>
      <c r="D23" s="41">
        <f>+M14</f>
        <v>57581.629999999997</v>
      </c>
      <c r="E23" s="56">
        <f>ROUND(+$D23*'[2]II-F Alloc_Factor'!E$17,2)</f>
        <v>12679.57</v>
      </c>
      <c r="F23" s="56">
        <f>ROUND(+$D23*'[2]II-F Alloc_Factor'!F$17,2)</f>
        <v>0</v>
      </c>
      <c r="G23" s="56">
        <f>ROUND(+$D23*'[2]II-F Alloc_Factor'!G$17,2)</f>
        <v>0</v>
      </c>
      <c r="H23" s="56">
        <f>SUM(E23:G23)</f>
        <v>12679.57</v>
      </c>
      <c r="I23" s="56">
        <f>ROUND(+$D23*'[2]II-F Alloc_Factor'!I$17,2)</f>
        <v>34980.809999999998</v>
      </c>
      <c r="J23" s="56">
        <f>ROUND(+$D23*'[2]II-F Alloc_Factor'!J$17,2)</f>
        <v>0</v>
      </c>
      <c r="K23" s="56">
        <f>SUM(I23:J23)</f>
        <v>34980.809999999998</v>
      </c>
      <c r="L23" s="56">
        <f>ROUND(+$D23*'[2]II-F Alloc_Factor'!L$17,2)</f>
        <v>9537.4500000000007</v>
      </c>
      <c r="M23" s="56">
        <f>ROUND(+$D23*'[2]II-F Alloc_Factor'!M$17,2)</f>
        <v>383.80000000000001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57581.629999999997</v>
      </c>
      <c r="E25" s="55">
        <f t="shared" si="0"/>
        <v>12679.57</v>
      </c>
      <c r="F25" s="55">
        <f t="shared" si="0"/>
        <v>0</v>
      </c>
      <c r="G25" s="55">
        <f t="shared" si="0"/>
        <v>0</v>
      </c>
      <c r="H25" s="55">
        <f t="shared" si="0"/>
        <v>12679.57</v>
      </c>
      <c r="I25" s="55">
        <f t="shared" si="0"/>
        <v>34980.809999999998</v>
      </c>
      <c r="J25" s="55">
        <f t="shared" si="0"/>
        <v>0</v>
      </c>
      <c r="K25" s="55">
        <f t="shared" si="0"/>
        <v>34980.809999999998</v>
      </c>
      <c r="L25" s="55">
        <f t="shared" si="0"/>
        <v>9537.4500000000007</v>
      </c>
      <c r="M25" s="55">
        <f t="shared" si="0"/>
        <v>383.80000000000001</v>
      </c>
    </row>
    <row r="26" spans="1:1" ht="13.5" thickTop="1">
      <c r="A26" s="46">
        <v>21</v>
      </c>
    </row>
    <row r="30" spans="6:6" ht="12.75">
      <c r="F30" s="34"/>
    </row>
    <row r="32" spans="6:6" ht="12.75">
      <c r="F32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68" r:id="rId1"/>
  <headerFooter alignWithMargins="0">
    <oddHeader>&amp;C&amp;"Arial,Bold"
ONCOR ELECTRIC DELIVERY COMPANY LLC
BENEFIT CLAIMS, ADMIN. FEES, AND OTHER BENEFITS ADJUSTMENT
FOR THE TEST YEAR ENDING DECEMBER 31, 2021
SPONSOR: W. ALAN LEDBETTER&amp;R&amp;"Arial,Bold"WP/II-D ADJUSTMENT/53
Page 1 of 5</oddHeader>
  </headerFooter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58">
    <pageSetUpPr fitToPage="1"/>
  </sheetPr>
  <dimension ref="A2:N44"/>
  <sheetViews>
    <sheetView workbookViewId="0" topLeftCell="A1"/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277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87"/>
      <c r="F8" s="87"/>
      <c r="G8" s="87"/>
      <c r="H8" s="87"/>
      <c r="I8" s="49"/>
      <c r="J8" s="49"/>
      <c r="K8" s="49"/>
      <c r="M8" s="56"/>
    </row>
    <row r="9" spans="1:13" ht="12.75">
      <c r="A9" s="46">
        <v>4</v>
      </c>
      <c r="B9" s="52" t="s">
        <v>194</v>
      </c>
      <c r="C9" s="52"/>
      <c r="D9" s="48"/>
      <c r="E9" s="87"/>
      <c r="F9" s="87"/>
      <c r="G9" s="87"/>
      <c r="H9" s="87"/>
      <c r="I9" s="49"/>
      <c r="J9" s="49"/>
      <c r="K9" s="49"/>
      <c r="L9" s="34" t="s">
        <v>172</v>
      </c>
      <c r="M9" s="61">
        <v>250318.72</v>
      </c>
    </row>
    <row r="10" spans="1:11" ht="12.75">
      <c r="A10" s="46">
        <v>5</v>
      </c>
      <c r="B10" s="48"/>
      <c r="D10" s="48"/>
      <c r="E10" s="87"/>
      <c r="F10" s="87"/>
      <c r="G10" s="87"/>
      <c r="H10" s="87"/>
      <c r="I10" s="49"/>
      <c r="J10" s="49"/>
      <c r="K10" s="49"/>
    </row>
    <row r="11" spans="1:13" ht="12.75">
      <c r="A11" s="46">
        <v>6</v>
      </c>
      <c r="B11" s="52"/>
      <c r="C11" s="52"/>
      <c r="D11" s="48"/>
      <c r="E11" s="87"/>
      <c r="F11" s="87"/>
      <c r="G11" s="87"/>
      <c r="H11" s="87"/>
      <c r="I11" s="49"/>
      <c r="J11" s="49"/>
      <c r="K11" s="49"/>
      <c r="L11" s="34" t="s">
        <v>173</v>
      </c>
      <c r="M11" s="68"/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-250318.72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/>
      <c r="F17" s="108"/>
      <c r="G17" s="108"/>
      <c r="H17" s="108"/>
      <c r="I17" s="108"/>
      <c r="J17" s="91"/>
      <c r="K17" s="91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92" t="s">
        <v>168</v>
      </c>
      <c r="G20" s="92" t="s">
        <v>169</v>
      </c>
      <c r="H20" s="92" t="s">
        <v>171</v>
      </c>
      <c r="I20" s="109" t="s">
        <v>8</v>
      </c>
      <c r="J20" s="92" t="s">
        <v>168</v>
      </c>
      <c r="K20" s="92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93" t="s">
        <v>7</v>
      </c>
      <c r="G21" s="93" t="s">
        <v>170</v>
      </c>
      <c r="H21" s="93" t="s">
        <v>7</v>
      </c>
      <c r="I21" s="111"/>
      <c r="J21" s="93" t="s">
        <v>8</v>
      </c>
      <c r="K21" s="93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11</v>
      </c>
      <c r="D23" s="41">
        <v>-1.3600000000000001</v>
      </c>
      <c r="E23" s="56">
        <v>-1.3600000000000001</v>
      </c>
      <c r="F23" s="56">
        <v>0</v>
      </c>
      <c r="G23" s="56">
        <v>0</v>
      </c>
      <c r="H23" s="56">
        <f>SUM(E23:G23)</f>
        <v>-1.3600000000000001</v>
      </c>
      <c r="I23" s="56"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4" ht="12.75">
      <c r="A24" s="46">
        <v>19</v>
      </c>
      <c r="C24" s="34" t="s">
        <v>16</v>
      </c>
      <c r="D24" s="71">
        <v>-18357.260000000002</v>
      </c>
      <c r="E24" s="82">
        <v>-18357.260000000002</v>
      </c>
      <c r="F24" s="82">
        <v>0</v>
      </c>
      <c r="G24" s="82">
        <v>0</v>
      </c>
      <c r="H24" s="82">
        <f t="shared" si="0" ref="H24:H32">SUM(E24:G24)</f>
        <v>-18357.260000000002</v>
      </c>
      <c r="I24" s="82">
        <v>0</v>
      </c>
      <c r="J24" s="82">
        <v>0</v>
      </c>
      <c r="K24" s="82">
        <f t="shared" si="1" ref="K24:K32">SUM(I24:J24)</f>
        <v>0</v>
      </c>
      <c r="L24" s="82">
        <v>0</v>
      </c>
      <c r="M24" s="82">
        <v>0</v>
      </c>
      <c r="N24" s="45" t="b">
        <f t="shared" si="2" ref="N24:N32">+D24=(M24+L24+K24+H24)</f>
        <v>1</v>
      </c>
    </row>
    <row r="25" spans="1:14" ht="12.75">
      <c r="A25" s="46">
        <v>20</v>
      </c>
      <c r="C25" s="34" t="s">
        <v>22</v>
      </c>
      <c r="D25" s="71">
        <v>-27.030000000000001</v>
      </c>
      <c r="E25" s="82">
        <v>0</v>
      </c>
      <c r="F25" s="82">
        <v>0</v>
      </c>
      <c r="G25" s="82">
        <v>0</v>
      </c>
      <c r="H25" s="82">
        <f t="shared" si="0"/>
        <v>0</v>
      </c>
      <c r="I25" s="82">
        <v>-27.030000000000001</v>
      </c>
      <c r="J25" s="82">
        <v>0</v>
      </c>
      <c r="K25" s="82">
        <f t="shared" si="1"/>
        <v>-27.030000000000001</v>
      </c>
      <c r="L25" s="82">
        <v>0</v>
      </c>
      <c r="M25" s="82">
        <v>0</v>
      </c>
      <c r="N25" s="45" t="b">
        <f t="shared" si="2"/>
        <v>1</v>
      </c>
    </row>
    <row r="26" spans="1:14" ht="12.75">
      <c r="A26" s="46">
        <v>21</v>
      </c>
      <c r="C26" s="34" t="s">
        <v>25</v>
      </c>
      <c r="D26" s="71">
        <v>-25</v>
      </c>
      <c r="E26" s="82">
        <v>0</v>
      </c>
      <c r="F26" s="82">
        <v>0</v>
      </c>
      <c r="G26" s="82">
        <v>0</v>
      </c>
      <c r="H26" s="82">
        <f t="shared" si="0"/>
        <v>0</v>
      </c>
      <c r="I26" s="82">
        <v>-25</v>
      </c>
      <c r="J26" s="82">
        <v>0</v>
      </c>
      <c r="K26" s="82">
        <f t="shared" si="1"/>
        <v>-25</v>
      </c>
      <c r="L26" s="82">
        <v>0</v>
      </c>
      <c r="M26" s="82">
        <v>0</v>
      </c>
      <c r="N26" s="45" t="b">
        <f t="shared" si="2"/>
        <v>1</v>
      </c>
    </row>
    <row r="27" spans="1:14" ht="12.75">
      <c r="A27" s="46">
        <v>22</v>
      </c>
      <c r="C27" s="34" t="s">
        <v>27</v>
      </c>
      <c r="D27" s="71">
        <v>-48.880000000000003</v>
      </c>
      <c r="E27" s="82">
        <v>0</v>
      </c>
      <c r="F27" s="82">
        <v>0</v>
      </c>
      <c r="G27" s="82">
        <v>0</v>
      </c>
      <c r="H27" s="82">
        <f t="shared" si="0"/>
        <v>0</v>
      </c>
      <c r="I27" s="82">
        <v>0</v>
      </c>
      <c r="J27" s="82">
        <v>0</v>
      </c>
      <c r="K27" s="82">
        <f t="shared" si="1"/>
        <v>0</v>
      </c>
      <c r="L27" s="82">
        <v>-48.880000000000003</v>
      </c>
      <c r="M27" s="82">
        <v>0</v>
      </c>
      <c r="N27" s="45" t="b">
        <f t="shared" si="2"/>
        <v>1</v>
      </c>
    </row>
    <row r="28" spans="1:14" ht="12.75">
      <c r="A28" s="46">
        <v>23</v>
      </c>
      <c r="C28" s="34" t="s">
        <v>29</v>
      </c>
      <c r="D28" s="71">
        <v>-16211.56</v>
      </c>
      <c r="E28" s="82">
        <v>0</v>
      </c>
      <c r="F28" s="82">
        <v>0</v>
      </c>
      <c r="G28" s="82">
        <v>0</v>
      </c>
      <c r="H28" s="82">
        <f t="shared" si="0"/>
        <v>0</v>
      </c>
      <c r="I28" s="82">
        <v>-16211.56</v>
      </c>
      <c r="J28" s="82">
        <v>0</v>
      </c>
      <c r="K28" s="82">
        <f t="shared" si="1"/>
        <v>-16211.56</v>
      </c>
      <c r="L28" s="82">
        <v>0</v>
      </c>
      <c r="M28" s="82">
        <v>0</v>
      </c>
      <c r="N28" s="45" t="b">
        <f t="shared" si="2"/>
        <v>1</v>
      </c>
    </row>
    <row r="29" spans="1:14" ht="12.75">
      <c r="A29" s="46">
        <v>24</v>
      </c>
      <c r="C29" s="34" t="s">
        <v>30</v>
      </c>
      <c r="D29" s="71">
        <v>-4.8499999999999996</v>
      </c>
      <c r="E29" s="82">
        <v>0</v>
      </c>
      <c r="F29" s="82">
        <v>0</v>
      </c>
      <c r="G29" s="82">
        <v>0</v>
      </c>
      <c r="H29" s="82">
        <f t="shared" si="0"/>
        <v>0</v>
      </c>
      <c r="I29" s="82">
        <v>-4.8499999999999996</v>
      </c>
      <c r="J29" s="82">
        <v>0</v>
      </c>
      <c r="K29" s="82">
        <f t="shared" si="1"/>
        <v>-4.8499999999999996</v>
      </c>
      <c r="L29" s="82">
        <v>0</v>
      </c>
      <c r="M29" s="82">
        <v>0</v>
      </c>
      <c r="N29" s="45" t="b">
        <f t="shared" si="2"/>
        <v>1</v>
      </c>
    </row>
    <row r="30" spans="1:14" ht="12.75">
      <c r="A30" s="46">
        <v>25</v>
      </c>
      <c r="C30" s="34" t="s">
        <v>32</v>
      </c>
      <c r="D30" s="71">
        <v>-26.25</v>
      </c>
      <c r="E30" s="82">
        <v>0</v>
      </c>
      <c r="F30" s="82">
        <v>0</v>
      </c>
      <c r="G30" s="82">
        <v>0</v>
      </c>
      <c r="H30" s="82">
        <f t="shared" si="0"/>
        <v>0</v>
      </c>
      <c r="I30" s="82">
        <v>-26.25</v>
      </c>
      <c r="J30" s="82">
        <v>0</v>
      </c>
      <c r="K30" s="82">
        <f t="shared" si="1"/>
        <v>-26.25</v>
      </c>
      <c r="L30" s="82">
        <v>0</v>
      </c>
      <c r="M30" s="82">
        <v>0</v>
      </c>
      <c r="N30" s="45" t="b">
        <f t="shared" si="2"/>
        <v>1</v>
      </c>
    </row>
    <row r="31" spans="1:14" ht="12.75">
      <c r="A31" s="46">
        <v>26</v>
      </c>
      <c r="C31" s="34" t="s">
        <v>42</v>
      </c>
      <c r="D31" s="71">
        <v>-25</v>
      </c>
      <c r="E31" s="82">
        <v>0</v>
      </c>
      <c r="F31" s="82">
        <v>0</v>
      </c>
      <c r="G31" s="82">
        <v>0</v>
      </c>
      <c r="H31" s="82">
        <f t="shared" si="0"/>
        <v>0</v>
      </c>
      <c r="I31" s="82">
        <v>0</v>
      </c>
      <c r="J31" s="82">
        <v>0</v>
      </c>
      <c r="K31" s="82">
        <f t="shared" si="1"/>
        <v>0</v>
      </c>
      <c r="L31" s="82">
        <v>0</v>
      </c>
      <c r="M31" s="82">
        <v>-25</v>
      </c>
      <c r="N31" s="45" t="b">
        <f t="shared" si="2"/>
        <v>1</v>
      </c>
    </row>
    <row r="32" spans="1:14" ht="12.75">
      <c r="A32" s="46">
        <v>27</v>
      </c>
      <c r="C32" s="34" t="s">
        <v>45</v>
      </c>
      <c r="D32" s="71">
        <v>-215591.53</v>
      </c>
      <c r="E32" s="82">
        <v>-44160.900000000001</v>
      </c>
      <c r="F32" s="82">
        <v>0</v>
      </c>
      <c r="G32" s="82">
        <v>0</v>
      </c>
      <c r="H32" s="82">
        <f t="shared" si="0"/>
        <v>-44160.900000000001</v>
      </c>
      <c r="I32" s="82">
        <v>-121833.51</v>
      </c>
      <c r="J32" s="82">
        <v>0</v>
      </c>
      <c r="K32" s="82">
        <f t="shared" si="1"/>
        <v>-121833.51</v>
      </c>
      <c r="L32" s="82">
        <v>-33227.709999999999</v>
      </c>
      <c r="M32" s="82">
        <v>-16369.409999999998</v>
      </c>
      <c r="N32" s="45" t="b">
        <f t="shared" si="2"/>
        <v>1</v>
      </c>
    </row>
    <row r="33" spans="1:13" ht="12.75">
      <c r="A33" s="46">
        <v>28</v>
      </c>
      <c r="C33" s="34"/>
      <c r="D33" s="43"/>
      <c r="E33" s="43"/>
      <c r="F33" s="43"/>
      <c r="G33" s="43"/>
      <c r="H33" s="43"/>
      <c r="I33" s="43"/>
      <c r="J33" s="43"/>
      <c r="K33" s="43"/>
      <c r="L33" s="43"/>
      <c r="M33" s="43"/>
    </row>
    <row r="34" spans="1:14" ht="13.5" thickBot="1">
      <c r="A34" s="46">
        <v>29</v>
      </c>
      <c r="D34" s="55">
        <f t="shared" si="3" ref="D34:M34">SUM(D23:D33)</f>
        <v>-250318.72</v>
      </c>
      <c r="E34" s="55">
        <f t="shared" si="3"/>
        <v>-62519.520000000004</v>
      </c>
      <c r="F34" s="55">
        <f t="shared" si="3"/>
        <v>0</v>
      </c>
      <c r="G34" s="55">
        <f t="shared" si="3"/>
        <v>0</v>
      </c>
      <c r="H34" s="55">
        <f t="shared" si="3"/>
        <v>-62519.520000000004</v>
      </c>
      <c r="I34" s="55">
        <f t="shared" si="3"/>
        <v>-138128.19999999998</v>
      </c>
      <c r="J34" s="55">
        <f t="shared" si="3"/>
        <v>0</v>
      </c>
      <c r="K34" s="55">
        <f t="shared" si="3"/>
        <v>-138128.19999999998</v>
      </c>
      <c r="L34" s="55">
        <f t="shared" si="3"/>
        <v>-33276.589999999997</v>
      </c>
      <c r="M34" s="55">
        <f t="shared" si="3"/>
        <v>-16394.409999999996</v>
      </c>
      <c r="N34" s="45" t="b">
        <f>+D34=(M34+L34+K34+H34)</f>
        <v>1</v>
      </c>
    </row>
    <row r="35" spans="1:1" ht="13.5" thickTop="1">
      <c r="A35" s="46">
        <v>30</v>
      </c>
    </row>
    <row r="39" spans="6:6" ht="12.75">
      <c r="F39" s="34"/>
    </row>
    <row r="44" spans="2:2" ht="12.75">
      <c r="B44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44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EXPENSE REPORT ADJUSTMENTS
FOR THE TEST YEAR ENDING DECEMBER 31, 2021
SPONSOR: W. ALAN LEDBETTER&amp;R&amp;"Arial,Bold"WP/II-D ADJUSTMENT/54
Page 1 of 3</oddHeader>
  </headerFooter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59">
    <pageSetUpPr fitToPage="1"/>
  </sheetPr>
  <dimension ref="A2:N35"/>
  <sheetViews>
    <sheetView workbookViewId="0" topLeftCell="A1">
      <selection pane="topLeft" activeCell="F31" sqref="F31"/>
    </sheetView>
  </sheetViews>
  <sheetFormatPr defaultColWidth="8.85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8.85714285714286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98" t="s">
        <v>279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87"/>
      <c r="F8" s="87"/>
      <c r="G8" s="87"/>
      <c r="H8" s="87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87"/>
      <c r="F9" s="87"/>
      <c r="G9" s="87"/>
      <c r="H9" s="87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87"/>
      <c r="F10" s="87"/>
      <c r="G10" s="87"/>
      <c r="H10" s="87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87"/>
      <c r="F11" s="87"/>
      <c r="G11" s="87"/>
      <c r="H11" s="87"/>
      <c r="I11" s="49"/>
      <c r="J11" s="49"/>
      <c r="K11" s="49"/>
      <c r="L11" s="34" t="s">
        <v>173</v>
      </c>
      <c r="M11" s="68">
        <f>+'[5]Link Sheet'!$J$9</f>
        <v>13295686.226514787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13295686.23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190</v>
      </c>
      <c r="F17" s="108"/>
      <c r="G17" s="108"/>
      <c r="H17" s="108"/>
      <c r="I17" s="108"/>
      <c r="J17" s="91"/>
      <c r="K17" s="91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92" t="s">
        <v>168</v>
      </c>
      <c r="G20" s="92" t="s">
        <v>169</v>
      </c>
      <c r="H20" s="92" t="s">
        <v>171</v>
      </c>
      <c r="I20" s="109" t="s">
        <v>8</v>
      </c>
      <c r="J20" s="92" t="s">
        <v>168</v>
      </c>
      <c r="K20" s="92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93" t="s">
        <v>7</v>
      </c>
      <c r="G21" s="93" t="s">
        <v>170</v>
      </c>
      <c r="H21" s="93" t="s">
        <v>7</v>
      </c>
      <c r="I21" s="111"/>
      <c r="J21" s="93" t="s">
        <v>8</v>
      </c>
      <c r="K21" s="93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29</v>
      </c>
      <c r="D23" s="41">
        <f>+M14</f>
        <v>13295686.23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f>+M14</f>
        <v>13295686.23</v>
      </c>
      <c r="J23" s="56">
        <v>0</v>
      </c>
      <c r="K23" s="56">
        <f>SUM(I23:J23)</f>
        <v>13295686.23</v>
      </c>
      <c r="L23" s="56">
        <v>0</v>
      </c>
      <c r="M23" s="56">
        <v>0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13295686.23</v>
      </c>
      <c r="E25" s="55">
        <f t="shared" si="0"/>
        <v>0</v>
      </c>
      <c r="F25" s="55">
        <f t="shared" si="0"/>
        <v>0</v>
      </c>
      <c r="G25" s="55">
        <f t="shared" si="0"/>
        <v>0</v>
      </c>
      <c r="H25" s="55">
        <f t="shared" si="0"/>
        <v>0</v>
      </c>
      <c r="I25" s="55">
        <f t="shared" si="0"/>
        <v>13295686.23</v>
      </c>
      <c r="J25" s="55">
        <f t="shared" si="0"/>
        <v>0</v>
      </c>
      <c r="K25" s="55">
        <f t="shared" si="0"/>
        <v>13295686.23</v>
      </c>
      <c r="L25" s="55">
        <f t="shared" si="0"/>
        <v>0</v>
      </c>
      <c r="M25" s="55">
        <f t="shared" si="0"/>
        <v>0</v>
      </c>
    </row>
    <row r="26" spans="1:1" ht="13.5" thickTop="1">
      <c r="A26" s="46">
        <v>21</v>
      </c>
    </row>
    <row r="31" spans="7:7" ht="12.75">
      <c r="G31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WHOLESALE DISTRIBUTION SUBSTATION SERVICE (FROM ONCOR NTU DIST TO ONCOR DIST)
FOR THE TEST YEAR ENDING DECEMBER 31, 2021
SPONSOR: W. ALAN LEDBETTER&amp;R&amp;"Arial,Bold"WP/II-D ADJUSTMENT/55
Page &amp;P of &amp;N</oddHeader>
  </headerFooter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60">
    <pageSetUpPr fitToPage="1"/>
  </sheetPr>
  <dimension ref="A2:N35"/>
  <sheetViews>
    <sheetView workbookViewId="0" topLeftCell="A1">
      <selection pane="topLeft" activeCell="F23" sqref="F23"/>
    </sheetView>
  </sheetViews>
  <sheetFormatPr defaultColWidth="8.85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8.85714285714286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281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87"/>
      <c r="F8" s="87"/>
      <c r="G8" s="87"/>
      <c r="H8" s="87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87"/>
      <c r="F9" s="87"/>
      <c r="G9" s="87"/>
      <c r="H9" s="87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87"/>
      <c r="F10" s="87"/>
      <c r="G10" s="87"/>
      <c r="H10" s="87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87"/>
      <c r="F11" s="87"/>
      <c r="G11" s="87"/>
      <c r="H11" s="87"/>
      <c r="I11" s="49"/>
      <c r="J11" s="49"/>
      <c r="K11" s="49"/>
      <c r="L11" s="34" t="s">
        <v>173</v>
      </c>
      <c r="M11" s="68">
        <v>3100000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3100000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190</v>
      </c>
      <c r="F17" s="108"/>
      <c r="G17" s="108"/>
      <c r="H17" s="108"/>
      <c r="I17" s="108"/>
      <c r="J17" s="91"/>
      <c r="K17" s="91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92" t="s">
        <v>168</v>
      </c>
      <c r="G20" s="92" t="s">
        <v>169</v>
      </c>
      <c r="H20" s="92" t="s">
        <v>171</v>
      </c>
      <c r="I20" s="109" t="s">
        <v>8</v>
      </c>
      <c r="J20" s="92" t="s">
        <v>168</v>
      </c>
      <c r="K20" s="92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93" t="s">
        <v>7</v>
      </c>
      <c r="G21" s="93" t="s">
        <v>170</v>
      </c>
      <c r="H21" s="93" t="s">
        <v>7</v>
      </c>
      <c r="I21" s="111"/>
      <c r="J21" s="93" t="s">
        <v>8</v>
      </c>
      <c r="K21" s="93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14</v>
      </c>
      <c r="D23" s="41">
        <f>+M14</f>
        <v>3100000</v>
      </c>
      <c r="E23" s="56">
        <f>ROUND(+D23*0.9194,2)</f>
        <v>2850140</v>
      </c>
      <c r="F23" s="56">
        <f>+D23-E23</f>
        <v>249860</v>
      </c>
      <c r="G23" s="56">
        <v>0</v>
      </c>
      <c r="H23" s="56">
        <f>SUM(E23:G23)</f>
        <v>3100000</v>
      </c>
      <c r="I23" s="56"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3100000</v>
      </c>
      <c r="E25" s="55">
        <f t="shared" si="0"/>
        <v>2850140</v>
      </c>
      <c r="F25" s="55">
        <f t="shared" si="0"/>
        <v>249860</v>
      </c>
      <c r="G25" s="55">
        <f t="shared" si="0"/>
        <v>0</v>
      </c>
      <c r="H25" s="55">
        <f t="shared" si="0"/>
        <v>3100000</v>
      </c>
      <c r="I25" s="55">
        <f t="shared" si="0"/>
        <v>0</v>
      </c>
      <c r="J25" s="55">
        <f t="shared" si="0"/>
        <v>0</v>
      </c>
      <c r="K25" s="55">
        <f t="shared" si="0"/>
        <v>0</v>
      </c>
      <c r="L25" s="55">
        <f t="shared" si="0"/>
        <v>0</v>
      </c>
      <c r="M25" s="55">
        <f t="shared" si="0"/>
        <v>0</v>
      </c>
    </row>
    <row r="26" spans="1:1" ht="13.5" thickTop="1">
      <c r="A26" s="46">
        <v>21</v>
      </c>
    </row>
    <row r="31" spans="6:6" ht="12.75">
      <c r="F31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PLSA AERIAL SURVEYING COSTS
FOR THE TEST YEAR ENDING DECEMBER 31, 2021
SPONSOR: W. ALAN LEDBETTER&amp;R&amp;"Arial,Bold"WP/II-D ADJUSTMENT/56
Page 1 of 2</oddHeader>
  </headerFooter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61">
    <pageSetUpPr fitToPage="1"/>
  </sheetPr>
  <dimension ref="A2:N35"/>
  <sheetViews>
    <sheetView workbookViewId="0" topLeftCell="A1">
      <selection pane="topLeft" activeCell="D23" sqref="D23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283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87"/>
      <c r="F8" s="87"/>
      <c r="G8" s="87"/>
      <c r="H8" s="87"/>
      <c r="I8" s="49"/>
      <c r="J8" s="49"/>
      <c r="K8" s="49"/>
      <c r="M8" s="56"/>
    </row>
    <row r="9" spans="1:13" ht="12.75">
      <c r="A9" s="46">
        <v>4</v>
      </c>
      <c r="B9" s="52" t="s">
        <v>194</v>
      </c>
      <c r="C9" s="52"/>
      <c r="D9" s="48"/>
      <c r="E9" s="87"/>
      <c r="F9" s="87"/>
      <c r="G9" s="87"/>
      <c r="H9" s="87"/>
      <c r="I9" s="49"/>
      <c r="J9" s="49"/>
      <c r="K9" s="49"/>
      <c r="L9" s="34" t="s">
        <v>172</v>
      </c>
      <c r="M9" s="61">
        <v>5827</v>
      </c>
    </row>
    <row r="10" spans="1:11" ht="12.75">
      <c r="A10" s="46">
        <v>5</v>
      </c>
      <c r="B10" s="48"/>
      <c r="D10" s="48"/>
      <c r="E10" s="87"/>
      <c r="F10" s="87"/>
      <c r="G10" s="87"/>
      <c r="H10" s="87"/>
      <c r="I10" s="49"/>
      <c r="J10" s="49"/>
      <c r="K10" s="49"/>
    </row>
    <row r="11" spans="1:13" ht="12.75">
      <c r="A11" s="46">
        <v>6</v>
      </c>
      <c r="B11" s="52"/>
      <c r="C11" s="52"/>
      <c r="D11" s="48"/>
      <c r="E11" s="87"/>
      <c r="F11" s="87"/>
      <c r="G11" s="87"/>
      <c r="H11" s="87"/>
      <c r="I11" s="49"/>
      <c r="J11" s="49"/>
      <c r="K11" s="49"/>
      <c r="L11" s="34" t="s">
        <v>173</v>
      </c>
      <c r="M11" s="68"/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-5827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195</v>
      </c>
      <c r="F17" s="108"/>
      <c r="G17" s="108"/>
      <c r="H17" s="108"/>
      <c r="I17" s="108"/>
      <c r="J17" s="91"/>
      <c r="K17" s="91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92" t="s">
        <v>168</v>
      </c>
      <c r="G20" s="92" t="s">
        <v>169</v>
      </c>
      <c r="H20" s="92" t="s">
        <v>171</v>
      </c>
      <c r="I20" s="109" t="s">
        <v>8</v>
      </c>
      <c r="J20" s="92" t="s">
        <v>168</v>
      </c>
      <c r="K20" s="92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93" t="s">
        <v>7</v>
      </c>
      <c r="G21" s="93" t="s">
        <v>170</v>
      </c>
      <c r="H21" s="93" t="s">
        <v>7</v>
      </c>
      <c r="I21" s="111"/>
      <c r="J21" s="93" t="s">
        <v>8</v>
      </c>
      <c r="K21" s="93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47</v>
      </c>
      <c r="D23" s="41">
        <f>+M14</f>
        <v>-5827</v>
      </c>
      <c r="E23" s="56">
        <f>ROUND(+$D23*'[2]II-F Alloc_Factor'!E$17,2)</f>
        <v>-1283.1099999999999</v>
      </c>
      <c r="F23" s="56">
        <f>ROUND(+$D23*'[2]II-F Alloc_Factor'!F$17,2)</f>
        <v>0</v>
      </c>
      <c r="G23" s="56">
        <f>ROUND(+$D23*'[2]II-F Alloc_Factor'!G$17,2)</f>
        <v>0</v>
      </c>
      <c r="H23" s="56">
        <f>SUM(E23:G23)</f>
        <v>-1283.1099999999999</v>
      </c>
      <c r="I23" s="56">
        <f>ROUND(+$D23*'[2]II-F Alloc_Factor'!I$17,2)</f>
        <v>-3539.9000000000001</v>
      </c>
      <c r="J23" s="56">
        <f>ROUND(+$D23*'[2]II-F Alloc_Factor'!J$17,2)</f>
        <v>0</v>
      </c>
      <c r="K23" s="56">
        <f>SUM(I23:J23)</f>
        <v>-3539.9000000000001</v>
      </c>
      <c r="L23" s="56">
        <f>ROUND(+$D23*'[2]II-F Alloc_Factor'!L$17,2)</f>
        <v>-965.14999999999998</v>
      </c>
      <c r="M23" s="56">
        <f>ROUND(+$D23*'[2]II-F Alloc_Factor'!M$17,2)</f>
        <v>-38.840000000000003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-5827</v>
      </c>
      <c r="E25" s="55">
        <f t="shared" si="0"/>
        <v>-1283.1099999999999</v>
      </c>
      <c r="F25" s="55">
        <f t="shared" si="0"/>
        <v>0</v>
      </c>
      <c r="G25" s="55">
        <f t="shared" si="0"/>
        <v>0</v>
      </c>
      <c r="H25" s="55">
        <f t="shared" si="0"/>
        <v>-1283.1099999999999</v>
      </c>
      <c r="I25" s="55">
        <f t="shared" si="0"/>
        <v>-3539.9000000000001</v>
      </c>
      <c r="J25" s="55">
        <f t="shared" si="0"/>
        <v>0</v>
      </c>
      <c r="K25" s="55">
        <f t="shared" si="0"/>
        <v>-3539.9000000000001</v>
      </c>
      <c r="L25" s="55">
        <f t="shared" si="0"/>
        <v>-965.14999999999998</v>
      </c>
      <c r="M25" s="55">
        <f t="shared" si="0"/>
        <v>-38.840000000000003</v>
      </c>
    </row>
    <row r="26" spans="1:1" ht="13.5" thickTop="1">
      <c r="A26" s="46">
        <v>21</v>
      </c>
    </row>
    <row r="31" spans="6:6" ht="12.75">
      <c r="F31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REMOVE EEI DUES FROM O&amp;&amp;M
FOR THE TEST YEAR ENDING DECEMBER 31, 2021
SPONSOR: W. ALAN LEDBETTER&amp;R&amp;"Arial,Bold"WP/II-D ADJUSTMENT/57
Page 1 of 2</oddHeader>
  </headerFooter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62">
    <pageSetUpPr fitToPage="1"/>
  </sheetPr>
  <dimension ref="A2:N35"/>
  <sheetViews>
    <sheetView workbookViewId="0" topLeftCell="A1">
      <selection pane="topLeft" activeCell="B11" sqref="B11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285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87"/>
      <c r="F8" s="87"/>
      <c r="G8" s="87"/>
      <c r="H8" s="87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87"/>
      <c r="F9" s="87"/>
      <c r="G9" s="87"/>
      <c r="H9" s="87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87"/>
      <c r="F10" s="87"/>
      <c r="G10" s="87"/>
      <c r="H10" s="87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87"/>
      <c r="F11" s="87"/>
      <c r="G11" s="87"/>
      <c r="H11" s="87"/>
      <c r="I11" s="49"/>
      <c r="J11" s="49"/>
      <c r="K11" s="49"/>
      <c r="L11" s="34" t="s">
        <v>173</v>
      </c>
      <c r="M11" s="68">
        <v>34164.940000000002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34164.940000000002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190</v>
      </c>
      <c r="F17" s="108"/>
      <c r="G17" s="108"/>
      <c r="H17" s="108"/>
      <c r="I17" s="108"/>
      <c r="J17" s="91"/>
      <c r="K17" s="91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92" t="s">
        <v>168</v>
      </c>
      <c r="G20" s="92" t="s">
        <v>169</v>
      </c>
      <c r="H20" s="92" t="s">
        <v>171</v>
      </c>
      <c r="I20" s="109" t="s">
        <v>8</v>
      </c>
      <c r="J20" s="92" t="s">
        <v>168</v>
      </c>
      <c r="K20" s="92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93" t="s">
        <v>7</v>
      </c>
      <c r="G21" s="93" t="s">
        <v>170</v>
      </c>
      <c r="H21" s="93" t="s">
        <v>7</v>
      </c>
      <c r="I21" s="111"/>
      <c r="J21" s="93" t="s">
        <v>8</v>
      </c>
      <c r="K21" s="93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32</v>
      </c>
      <c r="D23" s="41">
        <f>+M14</f>
        <v>34164.940000000002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f>+M14</f>
        <v>34164.940000000002</v>
      </c>
      <c r="J23" s="56">
        <v>0</v>
      </c>
      <c r="K23" s="56">
        <f>SUM(I23:J23)</f>
        <v>34164.940000000002</v>
      </c>
      <c r="L23" s="56">
        <v>0</v>
      </c>
      <c r="M23" s="56">
        <v>0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34164.940000000002</v>
      </c>
      <c r="E25" s="55">
        <f t="shared" si="0"/>
        <v>0</v>
      </c>
      <c r="F25" s="55">
        <f t="shared" si="0"/>
        <v>0</v>
      </c>
      <c r="G25" s="55">
        <f t="shared" si="0"/>
        <v>0</v>
      </c>
      <c r="H25" s="55">
        <f t="shared" si="0"/>
        <v>0</v>
      </c>
      <c r="I25" s="55">
        <f t="shared" si="0"/>
        <v>34164.940000000002</v>
      </c>
      <c r="J25" s="55">
        <f t="shared" si="0"/>
        <v>0</v>
      </c>
      <c r="K25" s="55">
        <f t="shared" si="0"/>
        <v>34164.940000000002</v>
      </c>
      <c r="L25" s="55">
        <f t="shared" si="0"/>
        <v>0</v>
      </c>
      <c r="M25" s="55">
        <f t="shared" si="0"/>
        <v>0</v>
      </c>
    </row>
    <row r="26" spans="1:1" ht="13.5" thickTop="1">
      <c r="A26" s="46">
        <v>21</v>
      </c>
    </row>
    <row r="30" spans="6:6" ht="12.75">
      <c r="F30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POWER ENGINEERS INC. ADJUSTMENT
FOR THE TEST YEAR ENDING DECEMBER 31, 2021
SPONSOR: W. ALAN LEDBETTER&amp;R&amp;"Arial,Bold"WP/II-D ADJUSTMENT/58
Page 1 of 2</oddHeader>
  </headerFooter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63">
    <pageSetUpPr fitToPage="1"/>
  </sheetPr>
  <dimension ref="A2:N35"/>
  <sheetViews>
    <sheetView workbookViewId="0" topLeftCell="A1">
      <selection pane="topLeft" activeCell="B35" sqref="B35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318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87"/>
      <c r="F8" s="87"/>
      <c r="G8" s="87"/>
      <c r="H8" s="87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87"/>
      <c r="F9" s="87"/>
      <c r="G9" s="87"/>
      <c r="H9" s="87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87"/>
      <c r="F10" s="87"/>
      <c r="G10" s="87"/>
      <c r="H10" s="87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87"/>
      <c r="F11" s="87"/>
      <c r="G11" s="87"/>
      <c r="H11" s="87"/>
      <c r="I11" s="49"/>
      <c r="J11" s="49"/>
      <c r="K11" s="49"/>
      <c r="L11" s="34" t="s">
        <v>173</v>
      </c>
      <c r="M11" s="68">
        <v>101989.62000000001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101989.62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190</v>
      </c>
      <c r="F17" s="108"/>
      <c r="G17" s="108"/>
      <c r="H17" s="108"/>
      <c r="I17" s="108"/>
      <c r="J17" s="91"/>
      <c r="K17" s="91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92" t="s">
        <v>168</v>
      </c>
      <c r="G20" s="92" t="s">
        <v>169</v>
      </c>
      <c r="H20" s="92" t="s">
        <v>171</v>
      </c>
      <c r="I20" s="109" t="s">
        <v>8</v>
      </c>
      <c r="J20" s="92" t="s">
        <v>168</v>
      </c>
      <c r="K20" s="92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93" t="s">
        <v>7</v>
      </c>
      <c r="G21" s="93" t="s">
        <v>170</v>
      </c>
      <c r="H21" s="93" t="s">
        <v>7</v>
      </c>
      <c r="I21" s="111"/>
      <c r="J21" s="93" t="s">
        <v>8</v>
      </c>
      <c r="K21" s="93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12</v>
      </c>
      <c r="D23" s="41">
        <v>101904.14000000001</v>
      </c>
      <c r="E23" s="56">
        <v>0</v>
      </c>
      <c r="F23" s="56">
        <f>+D23</f>
        <v>101904.14000000001</v>
      </c>
      <c r="G23" s="56">
        <v>0</v>
      </c>
      <c r="H23" s="56">
        <f>SUM(E23:G23)</f>
        <v>101904.14000000001</v>
      </c>
      <c r="I23" s="56"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4" ht="12.75">
      <c r="A24" s="46">
        <v>19</v>
      </c>
      <c r="C24" s="34" t="s">
        <v>53</v>
      </c>
      <c r="D24" s="71">
        <v>85.480000000000004</v>
      </c>
      <c r="E24" s="43">
        <v>0</v>
      </c>
      <c r="F24" s="43">
        <f>+D24</f>
        <v>85.480000000000004</v>
      </c>
      <c r="G24" s="43">
        <v>0</v>
      </c>
      <c r="H24" s="43">
        <f>SUM(E24:G24)</f>
        <v>85.480000000000004</v>
      </c>
      <c r="I24" s="43">
        <v>0</v>
      </c>
      <c r="J24" s="43">
        <v>0</v>
      </c>
      <c r="K24" s="43">
        <f>SUM(I24:J24)</f>
        <v>0</v>
      </c>
      <c r="L24" s="43">
        <v>0</v>
      </c>
      <c r="M24" s="43">
        <v>0</v>
      </c>
      <c r="N24" s="45" t="b">
        <f>+D24=(M24+L24+K24+H24)</f>
        <v>1</v>
      </c>
    </row>
    <row r="25" spans="1:13" ht="13.5" thickBot="1">
      <c r="A25" s="46">
        <v>20</v>
      </c>
      <c r="D25" s="55">
        <f t="shared" si="0" ref="D25:M25">SUM(D23:D24)</f>
        <v>101989.62000000001</v>
      </c>
      <c r="E25" s="55">
        <f t="shared" si="0"/>
        <v>0</v>
      </c>
      <c r="F25" s="55">
        <f t="shared" si="0"/>
        <v>101989.62000000001</v>
      </c>
      <c r="G25" s="55">
        <f t="shared" si="0"/>
        <v>0</v>
      </c>
      <c r="H25" s="55">
        <f t="shared" si="0"/>
        <v>101989.62000000001</v>
      </c>
      <c r="I25" s="55">
        <f t="shared" si="0"/>
        <v>0</v>
      </c>
      <c r="J25" s="55">
        <f t="shared" si="0"/>
        <v>0</v>
      </c>
      <c r="K25" s="55">
        <f t="shared" si="0"/>
        <v>0</v>
      </c>
      <c r="L25" s="55">
        <f t="shared" si="0"/>
        <v>0</v>
      </c>
      <c r="M25" s="55">
        <f t="shared" si="0"/>
        <v>0</v>
      </c>
    </row>
    <row r="26" spans="1:1" ht="13.5" thickTop="1">
      <c r="A26" s="46">
        <v>21</v>
      </c>
    </row>
    <row r="30" spans="6:6" ht="12.75">
      <c r="F30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TRN OPS AGREEMENT BILLING TO NTU ADJUSTMENT
FOR THE TEST YEAR ENDING DECEMBER 31, 2021
SPONSOR: W. ALAN LEDBETTER&amp;R&amp;"Arial,Bold"WP/II-D ADJUSTMENT/59
Page 1 of 2</oddHeader>
  </headerFooter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64">
    <pageSetUpPr fitToPage="1"/>
  </sheetPr>
  <dimension ref="A2:N35"/>
  <sheetViews>
    <sheetView workbookViewId="0" topLeftCell="A1">
      <selection pane="topLeft" activeCell="B6" sqref="B6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287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87"/>
      <c r="F8" s="87"/>
      <c r="G8" s="87"/>
      <c r="H8" s="87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87"/>
      <c r="F9" s="87"/>
      <c r="G9" s="87"/>
      <c r="H9" s="87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87"/>
      <c r="F10" s="87"/>
      <c r="G10" s="87"/>
      <c r="H10" s="87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87"/>
      <c r="F11" s="87"/>
      <c r="G11" s="87"/>
      <c r="H11" s="87"/>
      <c r="I11" s="49"/>
      <c r="J11" s="49"/>
      <c r="K11" s="49"/>
      <c r="L11" s="34" t="s">
        <v>173</v>
      </c>
      <c r="M11" s="68">
        <v>47200000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47200000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190</v>
      </c>
      <c r="F17" s="108"/>
      <c r="G17" s="108"/>
      <c r="H17" s="108"/>
      <c r="I17" s="108"/>
      <c r="J17" s="91"/>
      <c r="K17" s="91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92" t="s">
        <v>168</v>
      </c>
      <c r="G20" s="92" t="s">
        <v>169</v>
      </c>
      <c r="H20" s="92" t="s">
        <v>171</v>
      </c>
      <c r="I20" s="109" t="s">
        <v>8</v>
      </c>
      <c r="J20" s="92" t="s">
        <v>168</v>
      </c>
      <c r="K20" s="92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93" t="s">
        <v>7</v>
      </c>
      <c r="G21" s="93" t="s">
        <v>170</v>
      </c>
      <c r="H21" s="93" t="s">
        <v>7</v>
      </c>
      <c r="I21" s="111"/>
      <c r="J21" s="93" t="s">
        <v>8</v>
      </c>
      <c r="K21" s="93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49</v>
      </c>
      <c r="D23" s="41">
        <v>50372301</v>
      </c>
      <c r="E23" s="56">
        <v>4287654</v>
      </c>
      <c r="F23" s="56">
        <v>611000</v>
      </c>
      <c r="G23" s="56">
        <v>0</v>
      </c>
      <c r="H23" s="56">
        <f>SUM(E23:G23)</f>
        <v>4898654</v>
      </c>
      <c r="I23" s="56">
        <v>45473647</v>
      </c>
      <c r="J23" s="56">
        <v>0</v>
      </c>
      <c r="K23" s="56">
        <f>SUM(I23:J23)</f>
        <v>45473647</v>
      </c>
      <c r="L23" s="56">
        <v>0</v>
      </c>
      <c r="M23" s="56">
        <v>0</v>
      </c>
      <c r="N23" s="45" t="b">
        <f>+D23=(M23+L23+K23+H23)</f>
        <v>1</v>
      </c>
    </row>
    <row r="24" spans="1:14" ht="12.75">
      <c r="A24" s="46">
        <v>19</v>
      </c>
      <c r="C24" s="34" t="s">
        <v>69</v>
      </c>
      <c r="D24" s="71">
        <v>-3172301</v>
      </c>
      <c r="E24" s="43">
        <v>-44254</v>
      </c>
      <c r="F24" s="43">
        <v>0</v>
      </c>
      <c r="G24" s="43">
        <v>0</v>
      </c>
      <c r="H24" s="43">
        <f>SUM(E24:G24)</f>
        <v>-44254</v>
      </c>
      <c r="I24" s="43">
        <v>-3128047</v>
      </c>
      <c r="J24" s="43">
        <v>0</v>
      </c>
      <c r="K24" s="43">
        <f>SUM(I24:J24)</f>
        <v>-3128047</v>
      </c>
      <c r="L24" s="43">
        <v>0</v>
      </c>
      <c r="M24" s="43">
        <v>0</v>
      </c>
      <c r="N24" s="45" t="b">
        <f>+D24=(M24+L24+K24+H24)</f>
        <v>1</v>
      </c>
    </row>
    <row r="25" spans="1:13" ht="13.5" thickBot="1">
      <c r="A25" s="46">
        <v>20</v>
      </c>
      <c r="D25" s="55">
        <f t="shared" si="0" ref="D25:M25">SUM(D23:D24)</f>
        <v>47200000</v>
      </c>
      <c r="E25" s="55">
        <f t="shared" si="0"/>
        <v>4243400</v>
      </c>
      <c r="F25" s="55">
        <f t="shared" si="0"/>
        <v>611000</v>
      </c>
      <c r="G25" s="55">
        <f t="shared" si="0"/>
        <v>0</v>
      </c>
      <c r="H25" s="55">
        <f t="shared" si="0"/>
        <v>4854400</v>
      </c>
      <c r="I25" s="55">
        <f t="shared" si="0"/>
        <v>42345600</v>
      </c>
      <c r="J25" s="55">
        <f t="shared" si="0"/>
        <v>0</v>
      </c>
      <c r="K25" s="55">
        <f t="shared" si="0"/>
        <v>42345600</v>
      </c>
      <c r="L25" s="55">
        <f t="shared" si="0"/>
        <v>0</v>
      </c>
      <c r="M25" s="55">
        <f t="shared" si="0"/>
        <v>0</v>
      </c>
    </row>
    <row r="26" spans="1:1" ht="13.5" thickTop="1">
      <c r="A26" s="46">
        <v>21</v>
      </c>
    </row>
    <row r="30" spans="6:6" ht="12.75">
      <c r="F30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SELF INSURANCE RESERVE ACCRUAL
FOR THE TEST YEAR ENDING DECEMBER 31, 2021
SPONSOR: W. ALAN  LEDBETTER&amp;R&amp;"Arial,Bold"WP/II-D ADJUSTMENT/60
Page 1 of 2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65">
    <pageSetUpPr fitToPage="1"/>
  </sheetPr>
  <dimension ref="A2:N35"/>
  <sheetViews>
    <sheetView workbookViewId="0" topLeftCell="B13">
      <selection pane="topLeft" activeCell="B35" sqref="B35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289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87"/>
      <c r="F8" s="87"/>
      <c r="G8" s="87"/>
      <c r="H8" s="87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87"/>
      <c r="F9" s="87"/>
      <c r="G9" s="87"/>
      <c r="H9" s="87"/>
      <c r="I9" s="49"/>
      <c r="J9" s="49"/>
      <c r="K9" s="49"/>
      <c r="L9" s="100" t="s">
        <v>290</v>
      </c>
      <c r="M9" s="61">
        <v>0</v>
      </c>
    </row>
    <row r="10" spans="1:11" ht="12.75">
      <c r="A10" s="46">
        <v>5</v>
      </c>
      <c r="B10" s="48"/>
      <c r="D10" s="48"/>
      <c r="E10" s="87"/>
      <c r="F10" s="87"/>
      <c r="G10" s="87"/>
      <c r="H10" s="87"/>
      <c r="I10" s="49"/>
      <c r="J10" s="49"/>
      <c r="K10" s="49"/>
    </row>
    <row r="11" spans="1:13" ht="12.75">
      <c r="A11" s="46">
        <v>6</v>
      </c>
      <c r="B11" s="52"/>
      <c r="C11" s="52"/>
      <c r="D11" s="48"/>
      <c r="E11" s="87"/>
      <c r="F11" s="87"/>
      <c r="G11" s="87"/>
      <c r="H11" s="87"/>
      <c r="I11" s="49"/>
      <c r="J11" s="49"/>
      <c r="K11" s="49"/>
      <c r="L11" s="100" t="s">
        <v>291</v>
      </c>
      <c r="M11" s="68">
        <v>5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34" t="s">
        <v>292</v>
      </c>
      <c r="M14" s="55">
        <f>+M9/M11</f>
        <v>0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190</v>
      </c>
      <c r="F17" s="108"/>
      <c r="G17" s="108"/>
      <c r="H17" s="108"/>
      <c r="I17" s="108"/>
      <c r="J17" s="91"/>
      <c r="K17" s="91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92" t="s">
        <v>168</v>
      </c>
      <c r="G20" s="92" t="s">
        <v>169</v>
      </c>
      <c r="H20" s="92" t="s">
        <v>171</v>
      </c>
      <c r="I20" s="109" t="s">
        <v>8</v>
      </c>
      <c r="J20" s="92" t="s">
        <v>168</v>
      </c>
      <c r="K20" s="92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93" t="s">
        <v>7</v>
      </c>
      <c r="G21" s="93" t="s">
        <v>170</v>
      </c>
      <c r="H21" s="93" t="s">
        <v>7</v>
      </c>
      <c r="I21" s="111"/>
      <c r="J21" s="93" t="s">
        <v>8</v>
      </c>
      <c r="K21" s="93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49</v>
      </c>
      <c r="D23" s="41">
        <v>0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4" ht="12.75">
      <c r="A24" s="46">
        <v>19</v>
      </c>
      <c r="C24" s="34" t="s">
        <v>69</v>
      </c>
      <c r="D24" s="41">
        <v>0</v>
      </c>
      <c r="E24" s="43">
        <v>0</v>
      </c>
      <c r="F24" s="43">
        <v>0</v>
      </c>
      <c r="G24" s="43">
        <v>0</v>
      </c>
      <c r="H24" s="43">
        <f>SUM(E24:G24)</f>
        <v>0</v>
      </c>
      <c r="I24" s="43">
        <v>0</v>
      </c>
      <c r="J24" s="43">
        <v>0</v>
      </c>
      <c r="K24" s="43">
        <f>SUM(I24:J24)</f>
        <v>0</v>
      </c>
      <c r="L24" s="43">
        <v>0</v>
      </c>
      <c r="M24" s="43">
        <v>0</v>
      </c>
      <c r="N24" s="45" t="b">
        <f>+D24=(M24+L24+K24+H24)</f>
        <v>1</v>
      </c>
    </row>
    <row r="25" spans="1:13" ht="13.5" thickBot="1">
      <c r="A25" s="46">
        <v>20</v>
      </c>
      <c r="D25" s="55">
        <f t="shared" si="0" ref="D25:M25">SUM(D23:D24)</f>
        <v>0</v>
      </c>
      <c r="E25" s="55">
        <f t="shared" si="0"/>
        <v>0</v>
      </c>
      <c r="F25" s="55">
        <f t="shared" si="0"/>
        <v>0</v>
      </c>
      <c r="G25" s="55">
        <f t="shared" si="0"/>
        <v>0</v>
      </c>
      <c r="H25" s="55">
        <f t="shared" si="0"/>
        <v>0</v>
      </c>
      <c r="I25" s="55">
        <f t="shared" si="0"/>
        <v>0</v>
      </c>
      <c r="J25" s="55">
        <f t="shared" si="0"/>
        <v>0</v>
      </c>
      <c r="K25" s="55">
        <f t="shared" si="0"/>
        <v>0</v>
      </c>
      <c r="L25" s="55">
        <f t="shared" si="0"/>
        <v>0</v>
      </c>
      <c r="M25" s="55">
        <f t="shared" si="0"/>
        <v>0</v>
      </c>
    </row>
    <row r="26" spans="1:1" ht="13.5" thickTop="1">
      <c r="A26" s="46">
        <v>21</v>
      </c>
    </row>
    <row r="30" spans="6:6" ht="12.75">
      <c r="F30" s="34"/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2" r:id="rId1"/>
  <headerFooter alignWithMargins="0">
    <oddHeader>&amp;C&amp;"Arial,Bold"
ONCOR ELECTRIC DELIVERY COMPANY LLC
INCREMENTAL SELF INSURANCE RESERVE ACCRUAL TO BUILD TARGET RESERVE
FOR THE TEST YEAR ENDING DECEMBER 31, 2021
SPONSOR: W. ALAN LEDBETTER&amp;R&amp;"Arial,Bold"WP/II-D ADJUSTMENT/61
Page 1 of 1</oddHeader>
  </headerFooter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66">
    <pageSetUpPr fitToPage="1"/>
  </sheetPr>
  <dimension ref="A2:N35"/>
  <sheetViews>
    <sheetView workbookViewId="0" topLeftCell="B1">
      <selection pane="topLeft" activeCell="B35" sqref="B35"/>
    </sheetView>
  </sheetViews>
  <sheetFormatPr defaultColWidth="8.85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8.85714285714286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327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87"/>
      <c r="F8" s="87"/>
      <c r="G8" s="87"/>
      <c r="H8" s="87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87"/>
      <c r="F9" s="87"/>
      <c r="G9" s="87"/>
      <c r="H9" s="87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87"/>
      <c r="F10" s="87"/>
      <c r="G10" s="87"/>
      <c r="H10" s="87"/>
      <c r="I10" s="49"/>
      <c r="J10" s="49"/>
      <c r="K10" s="49"/>
    </row>
    <row r="11" spans="1:13" ht="12.75">
      <c r="A11" s="46">
        <v>6</v>
      </c>
      <c r="B11" s="52" t="s">
        <v>197</v>
      </c>
      <c r="C11" s="52"/>
      <c r="D11" s="48"/>
      <c r="E11" s="87"/>
      <c r="F11" s="87"/>
      <c r="G11" s="87"/>
      <c r="H11" s="87"/>
      <c r="I11" s="49"/>
      <c r="J11" s="49"/>
      <c r="K11" s="49"/>
      <c r="L11" s="34" t="s">
        <v>173</v>
      </c>
      <c r="M11" s="68">
        <v>4692000</v>
      </c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4692000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 t="s">
        <v>190</v>
      </c>
      <c r="F17" s="108"/>
      <c r="G17" s="108"/>
      <c r="H17" s="108"/>
      <c r="I17" s="108"/>
      <c r="J17" s="91"/>
      <c r="K17" s="91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92" t="s">
        <v>168</v>
      </c>
      <c r="G20" s="92" t="s">
        <v>169</v>
      </c>
      <c r="H20" s="92" t="s">
        <v>171</v>
      </c>
      <c r="I20" s="109" t="s">
        <v>8</v>
      </c>
      <c r="J20" s="92" t="s">
        <v>168</v>
      </c>
      <c r="K20" s="92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93" t="s">
        <v>7</v>
      </c>
      <c r="G21" s="93" t="s">
        <v>170</v>
      </c>
      <c r="H21" s="93" t="s">
        <v>7</v>
      </c>
      <c r="I21" s="111"/>
      <c r="J21" s="93" t="s">
        <v>8</v>
      </c>
      <c r="K21" s="93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 t="s">
        <v>19</v>
      </c>
      <c r="D23" s="41">
        <v>951000</v>
      </c>
      <c r="E23" s="56">
        <f>+D23</f>
        <v>951000</v>
      </c>
      <c r="F23" s="56">
        <v>0</v>
      </c>
      <c r="G23" s="56">
        <v>0</v>
      </c>
      <c r="H23" s="56">
        <f>SUM(E23:G23)</f>
        <v>951000</v>
      </c>
      <c r="I23" s="56"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4" ht="12.75">
      <c r="A24" s="46">
        <v>19</v>
      </c>
      <c r="C24" s="34" t="s">
        <v>32</v>
      </c>
      <c r="D24" s="71">
        <v>3741000</v>
      </c>
      <c r="E24" s="43">
        <v>0</v>
      </c>
      <c r="F24" s="43">
        <v>0</v>
      </c>
      <c r="G24" s="43">
        <v>0</v>
      </c>
      <c r="H24" s="43">
        <f>SUM(E24:G24)</f>
        <v>0</v>
      </c>
      <c r="I24" s="43">
        <f>+D24</f>
        <v>3741000</v>
      </c>
      <c r="J24" s="43">
        <v>0</v>
      </c>
      <c r="K24" s="43">
        <f>SUM(I24:J24)</f>
        <v>3741000</v>
      </c>
      <c r="L24" s="43">
        <v>0</v>
      </c>
      <c r="M24" s="43">
        <v>0</v>
      </c>
      <c r="N24" s="45" t="b">
        <f>+D24=(M24+L24+K24+H24)</f>
        <v>1</v>
      </c>
    </row>
    <row r="25" spans="1:13" ht="13.5" thickBot="1">
      <c r="A25" s="46">
        <v>20</v>
      </c>
      <c r="D25" s="55">
        <f t="shared" si="0" ref="D25:M25">SUM(D23:D24)</f>
        <v>4692000</v>
      </c>
      <c r="E25" s="55">
        <f t="shared" si="0"/>
        <v>951000</v>
      </c>
      <c r="F25" s="55">
        <f t="shared" si="0"/>
        <v>0</v>
      </c>
      <c r="G25" s="55">
        <f t="shared" si="0"/>
        <v>0</v>
      </c>
      <c r="H25" s="55">
        <f t="shared" si="0"/>
        <v>951000</v>
      </c>
      <c r="I25" s="55">
        <f t="shared" si="0"/>
        <v>3741000</v>
      </c>
      <c r="J25" s="55">
        <f t="shared" si="0"/>
        <v>0</v>
      </c>
      <c r="K25" s="55">
        <f t="shared" si="0"/>
        <v>3741000</v>
      </c>
      <c r="L25" s="55">
        <f t="shared" si="0"/>
        <v>0</v>
      </c>
      <c r="M25" s="55">
        <f t="shared" si="0"/>
        <v>0</v>
      </c>
    </row>
    <row r="26" spans="1:1" ht="13.5" thickTop="1">
      <c r="A26" s="46">
        <v>21</v>
      </c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2" r:id="rId1"/>
  <headerFooter alignWithMargins="0">
    <oddHeader>&amp;C&amp;"Arial,Bold"
ONCOR ELECTRIC DELIVERY COMPANY LLC
VEGETATION MANAGEMENT ADJUSTMENT
FOR THE TEST YEAR ENDING DECEMBER 31, 2021
SPONSOR: W. ALAN LEDBETTER&amp;R&amp;"Arial,Bold"WP/II-D ADJUSTMENT/62
Page &amp;P of 2</oddHeader>
  </headerFooter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67">
    <pageSetUpPr fitToPage="1"/>
  </sheetPr>
  <dimension ref="A2:N35"/>
  <sheetViews>
    <sheetView workbookViewId="0" topLeftCell="A1">
      <selection pane="topLeft" activeCell="B35" sqref="B35"/>
    </sheetView>
  </sheetViews>
  <sheetFormatPr defaultColWidth="8.85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8.85714285714286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144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87"/>
      <c r="F8" s="87"/>
      <c r="G8" s="87"/>
      <c r="H8" s="87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87"/>
      <c r="F9" s="87"/>
      <c r="G9" s="87"/>
      <c r="H9" s="87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87"/>
      <c r="F10" s="87"/>
      <c r="G10" s="87"/>
      <c r="H10" s="87"/>
      <c r="I10" s="49"/>
      <c r="J10" s="49"/>
      <c r="K10" s="49"/>
    </row>
    <row r="11" spans="1:13" ht="12.75">
      <c r="A11" s="46">
        <v>6</v>
      </c>
      <c r="B11" s="52"/>
      <c r="C11" s="52"/>
      <c r="D11" s="48"/>
      <c r="E11" s="87"/>
      <c r="F11" s="87"/>
      <c r="G11" s="87"/>
      <c r="H11" s="87"/>
      <c r="I11" s="49"/>
      <c r="J11" s="49"/>
      <c r="K11" s="49"/>
      <c r="L11" s="34" t="s">
        <v>173</v>
      </c>
      <c r="M11" s="68"/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0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/>
      <c r="F17" s="108"/>
      <c r="G17" s="108"/>
      <c r="H17" s="108"/>
      <c r="I17" s="108"/>
      <c r="J17" s="91"/>
      <c r="K17" s="91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92" t="s">
        <v>168</v>
      </c>
      <c r="G20" s="92" t="s">
        <v>169</v>
      </c>
      <c r="H20" s="92" t="s">
        <v>171</v>
      </c>
      <c r="I20" s="109" t="s">
        <v>8</v>
      </c>
      <c r="J20" s="92" t="s">
        <v>168</v>
      </c>
      <c r="K20" s="92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93" t="s">
        <v>7</v>
      </c>
      <c r="G21" s="93" t="s">
        <v>170</v>
      </c>
      <c r="H21" s="93" t="s">
        <v>7</v>
      </c>
      <c r="I21" s="111"/>
      <c r="J21" s="93" t="s">
        <v>8</v>
      </c>
      <c r="K21" s="93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/>
      <c r="D23" s="41">
        <f>+M14</f>
        <v>0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f>+M14</f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0</v>
      </c>
      <c r="E25" s="55">
        <f t="shared" si="0"/>
        <v>0</v>
      </c>
      <c r="F25" s="55">
        <f t="shared" si="0"/>
        <v>0</v>
      </c>
      <c r="G25" s="55">
        <f t="shared" si="0"/>
        <v>0</v>
      </c>
      <c r="H25" s="55">
        <f t="shared" si="0"/>
        <v>0</v>
      </c>
      <c r="I25" s="55">
        <f t="shared" si="0"/>
        <v>0</v>
      </c>
      <c r="J25" s="55">
        <f t="shared" si="0"/>
        <v>0</v>
      </c>
      <c r="K25" s="55">
        <f t="shared" si="0"/>
        <v>0</v>
      </c>
      <c r="L25" s="55">
        <f t="shared" si="0"/>
        <v>0</v>
      </c>
      <c r="M25" s="55">
        <f t="shared" si="0"/>
        <v>0</v>
      </c>
    </row>
    <row r="26" spans="1:1" ht="13.5" thickTop="1">
      <c r="A26" s="46">
        <v>21</v>
      </c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xxxxxx
FOR THE TEST YEAR ENDING DECEMBER 31, 2020
SPONSOR: A. LEDBETTER&amp;R&amp;"Arial,Bold"WP/II-D ADJUSTMENT/1
Page &amp;P of &amp;N</oddHeader>
  </headerFooter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68">
    <pageSetUpPr fitToPage="1"/>
  </sheetPr>
  <dimension ref="A2:N35"/>
  <sheetViews>
    <sheetView workbookViewId="0" topLeftCell="A1">
      <selection pane="topLeft" activeCell="B35" sqref="B35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144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87"/>
      <c r="F8" s="87"/>
      <c r="G8" s="87"/>
      <c r="H8" s="87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87"/>
      <c r="F9" s="87"/>
      <c r="G9" s="87"/>
      <c r="H9" s="87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87"/>
      <c r="F10" s="87"/>
      <c r="G10" s="87"/>
      <c r="H10" s="87"/>
      <c r="I10" s="49"/>
      <c r="J10" s="49"/>
      <c r="K10" s="49"/>
    </row>
    <row r="11" spans="1:13" ht="12.75">
      <c r="A11" s="46">
        <v>6</v>
      </c>
      <c r="B11" s="52"/>
      <c r="C11" s="52"/>
      <c r="D11" s="48"/>
      <c r="E11" s="87"/>
      <c r="F11" s="87"/>
      <c r="G11" s="87"/>
      <c r="H11" s="87"/>
      <c r="I11" s="49"/>
      <c r="J11" s="49"/>
      <c r="K11" s="49"/>
      <c r="L11" s="34" t="s">
        <v>173</v>
      </c>
      <c r="M11" s="68"/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0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/>
      <c r="F17" s="108"/>
      <c r="G17" s="108"/>
      <c r="H17" s="108"/>
      <c r="I17" s="108"/>
      <c r="J17" s="91"/>
      <c r="K17" s="91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92" t="s">
        <v>168</v>
      </c>
      <c r="G20" s="92" t="s">
        <v>169</v>
      </c>
      <c r="H20" s="92" t="s">
        <v>171</v>
      </c>
      <c r="I20" s="109" t="s">
        <v>8</v>
      </c>
      <c r="J20" s="92" t="s">
        <v>168</v>
      </c>
      <c r="K20" s="92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93" t="s">
        <v>7</v>
      </c>
      <c r="G21" s="93" t="s">
        <v>170</v>
      </c>
      <c r="H21" s="93" t="s">
        <v>7</v>
      </c>
      <c r="I21" s="111"/>
      <c r="J21" s="93" t="s">
        <v>8</v>
      </c>
      <c r="K21" s="93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/>
      <c r="D23" s="41">
        <f>+M14</f>
        <v>0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f>+M14</f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0</v>
      </c>
      <c r="E25" s="55">
        <f t="shared" si="0"/>
        <v>0</v>
      </c>
      <c r="F25" s="55">
        <f t="shared" si="0"/>
        <v>0</v>
      </c>
      <c r="G25" s="55">
        <f t="shared" si="0"/>
        <v>0</v>
      </c>
      <c r="H25" s="55">
        <f t="shared" si="0"/>
        <v>0</v>
      </c>
      <c r="I25" s="55">
        <f t="shared" si="0"/>
        <v>0</v>
      </c>
      <c r="J25" s="55">
        <f t="shared" si="0"/>
        <v>0</v>
      </c>
      <c r="K25" s="55">
        <f t="shared" si="0"/>
        <v>0</v>
      </c>
      <c r="L25" s="55">
        <f t="shared" si="0"/>
        <v>0</v>
      </c>
      <c r="M25" s="55">
        <f t="shared" si="0"/>
        <v>0</v>
      </c>
    </row>
    <row r="26" spans="1:1" ht="13.5" thickTop="1">
      <c r="A26" s="46">
        <v>21</v>
      </c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STORM - CUSTOMER ENGAGEMENT
FOR THE TEST YEAR ENDING DECEMBER 31, 2020
SPONSOR: A. LEDBETTER&amp;R&amp;"Arial,Bold"WP/II-D ADJUSTMENT/41
Page &amp;P of &amp;N</oddHeader>
  </headerFooter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69">
    <pageSetUpPr fitToPage="1"/>
  </sheetPr>
  <dimension ref="A2:N35"/>
  <sheetViews>
    <sheetView workbookViewId="0" topLeftCell="A1">
      <selection pane="topLeft" activeCell="M14" sqref="M14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144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87"/>
      <c r="F8" s="87"/>
      <c r="G8" s="87"/>
      <c r="H8" s="87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87"/>
      <c r="F9" s="87"/>
      <c r="G9" s="87"/>
      <c r="H9" s="87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87"/>
      <c r="F10" s="87"/>
      <c r="G10" s="87"/>
      <c r="H10" s="87"/>
      <c r="I10" s="49"/>
      <c r="J10" s="49"/>
      <c r="K10" s="49"/>
    </row>
    <row r="11" spans="1:13" ht="12.75">
      <c r="A11" s="46">
        <v>6</v>
      </c>
      <c r="B11" s="52"/>
      <c r="C11" s="52"/>
      <c r="D11" s="48"/>
      <c r="E11" s="87"/>
      <c r="F11" s="87"/>
      <c r="G11" s="87"/>
      <c r="H11" s="87"/>
      <c r="I11" s="49"/>
      <c r="J11" s="49"/>
      <c r="K11" s="49"/>
      <c r="L11" s="34" t="s">
        <v>173</v>
      </c>
      <c r="M11" s="68"/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0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/>
      <c r="F17" s="108"/>
      <c r="G17" s="108"/>
      <c r="H17" s="108"/>
      <c r="I17" s="108"/>
      <c r="J17" s="91"/>
      <c r="K17" s="91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92" t="s">
        <v>168</v>
      </c>
      <c r="G20" s="92" t="s">
        <v>169</v>
      </c>
      <c r="H20" s="92" t="s">
        <v>171</v>
      </c>
      <c r="I20" s="109" t="s">
        <v>8</v>
      </c>
      <c r="J20" s="92" t="s">
        <v>168</v>
      </c>
      <c r="K20" s="92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93" t="s">
        <v>7</v>
      </c>
      <c r="G21" s="93" t="s">
        <v>170</v>
      </c>
      <c r="H21" s="93" t="s">
        <v>7</v>
      </c>
      <c r="I21" s="111"/>
      <c r="J21" s="93" t="s">
        <v>8</v>
      </c>
      <c r="K21" s="93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/>
      <c r="D23" s="41">
        <f>+M14</f>
        <v>0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f>+M14</f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0</v>
      </c>
      <c r="E25" s="55">
        <f t="shared" si="0"/>
        <v>0</v>
      </c>
      <c r="F25" s="55">
        <f t="shared" si="0"/>
        <v>0</v>
      </c>
      <c r="G25" s="55">
        <f t="shared" si="0"/>
        <v>0</v>
      </c>
      <c r="H25" s="55">
        <f t="shared" si="0"/>
        <v>0</v>
      </c>
      <c r="I25" s="55">
        <f t="shared" si="0"/>
        <v>0</v>
      </c>
      <c r="J25" s="55">
        <f t="shared" si="0"/>
        <v>0</v>
      </c>
      <c r="K25" s="55">
        <f t="shared" si="0"/>
        <v>0</v>
      </c>
      <c r="L25" s="55">
        <f t="shared" si="0"/>
        <v>0</v>
      </c>
      <c r="M25" s="55">
        <f t="shared" si="0"/>
        <v>0</v>
      </c>
    </row>
    <row r="26" spans="1:1" ht="13.5" thickTop="1">
      <c r="A26" s="46">
        <v>21</v>
      </c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REP DEFAULT DUE TO SEVERE WINTER WEATHER EVENT 2021
FOR THE TEST YEAR ENDING DECEMBER 31, 2020
SPONSOR: A. LEDBETTER&amp;R&amp;"Arial,Bold"WP/II-D ADJUSTMENT/42
Page &amp;P of &amp;N</oddHeader>
  </headerFooter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70">
    <pageSetUpPr fitToPage="1"/>
  </sheetPr>
  <dimension ref="A2:N35"/>
  <sheetViews>
    <sheetView workbookViewId="0" topLeftCell="A1">
      <selection pane="topLeft" activeCell="M14" sqref="M14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144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87"/>
      <c r="F8" s="87"/>
      <c r="G8" s="87"/>
      <c r="H8" s="87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87"/>
      <c r="F9" s="87"/>
      <c r="G9" s="87"/>
      <c r="H9" s="87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87"/>
      <c r="F10" s="87"/>
      <c r="G10" s="87"/>
      <c r="H10" s="87"/>
      <c r="I10" s="49"/>
      <c r="J10" s="49"/>
      <c r="K10" s="49"/>
    </row>
    <row r="11" spans="1:13" ht="12.75">
      <c r="A11" s="46">
        <v>6</v>
      </c>
      <c r="B11" s="52"/>
      <c r="C11" s="52"/>
      <c r="D11" s="48"/>
      <c r="E11" s="87"/>
      <c r="F11" s="87"/>
      <c r="G11" s="87"/>
      <c r="H11" s="87"/>
      <c r="I11" s="49"/>
      <c r="J11" s="49"/>
      <c r="K11" s="49"/>
      <c r="L11" s="34" t="s">
        <v>173</v>
      </c>
      <c r="M11" s="68"/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0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/>
      <c r="F17" s="108"/>
      <c r="G17" s="108"/>
      <c r="H17" s="108"/>
      <c r="I17" s="108"/>
      <c r="J17" s="91"/>
      <c r="K17" s="91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92" t="s">
        <v>168</v>
      </c>
      <c r="G20" s="92" t="s">
        <v>169</v>
      </c>
      <c r="H20" s="92" t="s">
        <v>171</v>
      </c>
      <c r="I20" s="109" t="s">
        <v>8</v>
      </c>
      <c r="J20" s="92" t="s">
        <v>168</v>
      </c>
      <c r="K20" s="92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93" t="s">
        <v>7</v>
      </c>
      <c r="G21" s="93" t="s">
        <v>170</v>
      </c>
      <c r="H21" s="93" t="s">
        <v>7</v>
      </c>
      <c r="I21" s="111"/>
      <c r="J21" s="93" t="s">
        <v>8</v>
      </c>
      <c r="K21" s="93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/>
      <c r="D23" s="41">
        <f>+M14</f>
        <v>0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f>+M14</f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0</v>
      </c>
      <c r="E25" s="55">
        <f t="shared" si="0"/>
        <v>0</v>
      </c>
      <c r="F25" s="55">
        <f t="shared" si="0"/>
        <v>0</v>
      </c>
      <c r="G25" s="55">
        <f t="shared" si="0"/>
        <v>0</v>
      </c>
      <c r="H25" s="55">
        <f t="shared" si="0"/>
        <v>0</v>
      </c>
      <c r="I25" s="55">
        <f t="shared" si="0"/>
        <v>0</v>
      </c>
      <c r="J25" s="55">
        <f t="shared" si="0"/>
        <v>0</v>
      </c>
      <c r="K25" s="55">
        <f t="shared" si="0"/>
        <v>0</v>
      </c>
      <c r="L25" s="55">
        <f t="shared" si="0"/>
        <v>0</v>
      </c>
      <c r="M25" s="55">
        <f t="shared" si="0"/>
        <v>0</v>
      </c>
    </row>
    <row r="26" spans="1:1" ht="13.5" thickTop="1">
      <c r="A26" s="46">
        <v>21</v>
      </c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ADJUST PEP / EAIP PLANS
FOR THE TEST YEAR ENDING DECEMBER 31, 2020
SPONSOR: A. LEDBETTER&amp;R&amp;"Arial,Bold"WP/II-D ADJUSTMENT/43
Page &amp;P of &amp;N</oddHeader>
  </headerFooter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71">
    <pageSetUpPr fitToPage="1"/>
  </sheetPr>
  <dimension ref="A2:N35"/>
  <sheetViews>
    <sheetView workbookViewId="0" topLeftCell="A1">
      <selection pane="topLeft" activeCell="M14" sqref="M14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144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87"/>
      <c r="F8" s="87"/>
      <c r="G8" s="87"/>
      <c r="H8" s="87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87"/>
      <c r="F9" s="87"/>
      <c r="G9" s="87"/>
      <c r="H9" s="87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87"/>
      <c r="F10" s="87"/>
      <c r="G10" s="87"/>
      <c r="H10" s="87"/>
      <c r="I10" s="49"/>
      <c r="J10" s="49"/>
      <c r="K10" s="49"/>
    </row>
    <row r="11" spans="1:13" ht="12.75">
      <c r="A11" s="46">
        <v>6</v>
      </c>
      <c r="B11" s="52"/>
      <c r="C11" s="52"/>
      <c r="D11" s="48"/>
      <c r="E11" s="87"/>
      <c r="F11" s="87"/>
      <c r="G11" s="87"/>
      <c r="H11" s="87"/>
      <c r="I11" s="49"/>
      <c r="J11" s="49"/>
      <c r="K11" s="49"/>
      <c r="L11" s="34" t="s">
        <v>173</v>
      </c>
      <c r="M11" s="68"/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0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/>
      <c r="F17" s="108"/>
      <c r="G17" s="108"/>
      <c r="H17" s="108"/>
      <c r="I17" s="108"/>
      <c r="J17" s="91"/>
      <c r="K17" s="91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92" t="s">
        <v>168</v>
      </c>
      <c r="G20" s="92" t="s">
        <v>169</v>
      </c>
      <c r="H20" s="92" t="s">
        <v>171</v>
      </c>
      <c r="I20" s="109" t="s">
        <v>8</v>
      </c>
      <c r="J20" s="92" t="s">
        <v>168</v>
      </c>
      <c r="K20" s="92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93" t="s">
        <v>7</v>
      </c>
      <c r="G21" s="93" t="s">
        <v>170</v>
      </c>
      <c r="H21" s="93" t="s">
        <v>7</v>
      </c>
      <c r="I21" s="111"/>
      <c r="J21" s="93" t="s">
        <v>8</v>
      </c>
      <c r="K21" s="93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/>
      <c r="D23" s="41">
        <f>+M14</f>
        <v>0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f>+M14</f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0</v>
      </c>
      <c r="E25" s="55">
        <f t="shared" si="0"/>
        <v>0</v>
      </c>
      <c r="F25" s="55">
        <f t="shared" si="0"/>
        <v>0</v>
      </c>
      <c r="G25" s="55">
        <f t="shared" si="0"/>
        <v>0</v>
      </c>
      <c r="H25" s="55">
        <f t="shared" si="0"/>
        <v>0</v>
      </c>
      <c r="I25" s="55">
        <f t="shared" si="0"/>
        <v>0</v>
      </c>
      <c r="J25" s="55">
        <f t="shared" si="0"/>
        <v>0</v>
      </c>
      <c r="K25" s="55">
        <f t="shared" si="0"/>
        <v>0</v>
      </c>
      <c r="L25" s="55">
        <f t="shared" si="0"/>
        <v>0</v>
      </c>
      <c r="M25" s="55">
        <f t="shared" si="0"/>
        <v>0</v>
      </c>
    </row>
    <row r="26" spans="1:1" ht="13.5" thickTop="1">
      <c r="A26" s="46">
        <v>21</v>
      </c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ADJUST LTIP PLAN
FOR THE TEST YEAR ENDING DECEMBER 31, 2020
SPONSOR: A. LEDBETTER&amp;R&amp;"Arial,Bold"WP/II-D ADJUSTMENT/44
Page &amp;P of &amp;N</oddHeader>
  </headerFooter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72">
    <pageSetUpPr fitToPage="1"/>
  </sheetPr>
  <dimension ref="A2:N35"/>
  <sheetViews>
    <sheetView workbookViewId="0" topLeftCell="A1">
      <selection pane="topLeft" activeCell="M14" sqref="M14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144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87"/>
      <c r="F8" s="87"/>
      <c r="G8" s="87"/>
      <c r="H8" s="87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87"/>
      <c r="F9" s="87"/>
      <c r="G9" s="87"/>
      <c r="H9" s="87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87"/>
      <c r="F10" s="87"/>
      <c r="G10" s="87"/>
      <c r="H10" s="87"/>
      <c r="I10" s="49"/>
      <c r="J10" s="49"/>
      <c r="K10" s="49"/>
    </row>
    <row r="11" spans="1:13" ht="12.75">
      <c r="A11" s="46">
        <v>6</v>
      </c>
      <c r="B11" s="52"/>
      <c r="C11" s="52"/>
      <c r="D11" s="48"/>
      <c r="E11" s="87"/>
      <c r="F11" s="87"/>
      <c r="G11" s="87"/>
      <c r="H11" s="87"/>
      <c r="I11" s="49"/>
      <c r="J11" s="49"/>
      <c r="K11" s="49"/>
      <c r="L11" s="34" t="s">
        <v>173</v>
      </c>
      <c r="M11" s="68"/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0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/>
      <c r="F17" s="108"/>
      <c r="G17" s="108"/>
      <c r="H17" s="108"/>
      <c r="I17" s="108"/>
      <c r="J17" s="91"/>
      <c r="K17" s="91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92" t="s">
        <v>168</v>
      </c>
      <c r="G20" s="92" t="s">
        <v>169</v>
      </c>
      <c r="H20" s="92" t="s">
        <v>171</v>
      </c>
      <c r="I20" s="109" t="s">
        <v>8</v>
      </c>
      <c r="J20" s="92" t="s">
        <v>168</v>
      </c>
      <c r="K20" s="92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93" t="s">
        <v>7</v>
      </c>
      <c r="G21" s="93" t="s">
        <v>170</v>
      </c>
      <c r="H21" s="93" t="s">
        <v>7</v>
      </c>
      <c r="I21" s="111"/>
      <c r="J21" s="93" t="s">
        <v>8</v>
      </c>
      <c r="K21" s="93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/>
      <c r="D23" s="41">
        <f>+M14</f>
        <v>0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f>+M14</f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0</v>
      </c>
      <c r="E25" s="55">
        <f t="shared" si="0"/>
        <v>0</v>
      </c>
      <c r="F25" s="55">
        <f t="shared" si="0"/>
        <v>0</v>
      </c>
      <c r="G25" s="55">
        <f t="shared" si="0"/>
        <v>0</v>
      </c>
      <c r="H25" s="55">
        <f t="shared" si="0"/>
        <v>0</v>
      </c>
      <c r="I25" s="55">
        <f t="shared" si="0"/>
        <v>0</v>
      </c>
      <c r="J25" s="55">
        <f t="shared" si="0"/>
        <v>0</v>
      </c>
      <c r="K25" s="55">
        <f t="shared" si="0"/>
        <v>0</v>
      </c>
      <c r="L25" s="55">
        <f t="shared" si="0"/>
        <v>0</v>
      </c>
      <c r="M25" s="55">
        <f t="shared" si="0"/>
        <v>0</v>
      </c>
    </row>
    <row r="26" spans="1:1" ht="13.5" thickTop="1">
      <c r="A26" s="46">
        <v>21</v>
      </c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DCRF RATE CASE ADJUSTMENT
FOR THE TEST YEAR ENDING DECEMBER 31, 2020
SPONSOR: A. LEDBETTER&amp;R&amp;"Arial,Bold"WP/II-D ADJUSTMENT/45
Page &amp;P of &amp;N</oddHeader>
  </headerFooter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73">
    <pageSetUpPr fitToPage="1"/>
  </sheetPr>
  <dimension ref="A2:N35"/>
  <sheetViews>
    <sheetView workbookViewId="0" topLeftCell="A1">
      <selection pane="topLeft" activeCell="M14" sqref="M14"/>
    </sheetView>
  </sheetViews>
  <sheetFormatPr defaultColWidth="9.14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9.14285714285714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144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87"/>
      <c r="F8" s="87"/>
      <c r="G8" s="87"/>
      <c r="H8" s="87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87"/>
      <c r="F9" s="87"/>
      <c r="G9" s="87"/>
      <c r="H9" s="87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87"/>
      <c r="F10" s="87"/>
      <c r="G10" s="87"/>
      <c r="H10" s="87"/>
      <c r="I10" s="49"/>
      <c r="J10" s="49"/>
      <c r="K10" s="49"/>
    </row>
    <row r="11" spans="1:13" ht="12.75">
      <c r="A11" s="46">
        <v>6</v>
      </c>
      <c r="B11" s="52"/>
      <c r="C11" s="52"/>
      <c r="D11" s="48"/>
      <c r="E11" s="87"/>
      <c r="F11" s="87"/>
      <c r="G11" s="87"/>
      <c r="H11" s="87"/>
      <c r="I11" s="49"/>
      <c r="J11" s="49"/>
      <c r="K11" s="49"/>
      <c r="L11" s="34" t="s">
        <v>173</v>
      </c>
      <c r="M11" s="68"/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0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/>
      <c r="F17" s="108"/>
      <c r="G17" s="108"/>
      <c r="H17" s="108"/>
      <c r="I17" s="108"/>
      <c r="J17" s="91"/>
      <c r="K17" s="91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92" t="s">
        <v>168</v>
      </c>
      <c r="G20" s="92" t="s">
        <v>169</v>
      </c>
      <c r="H20" s="92" t="s">
        <v>171</v>
      </c>
      <c r="I20" s="109" t="s">
        <v>8</v>
      </c>
      <c r="J20" s="92" t="s">
        <v>168</v>
      </c>
      <c r="K20" s="92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93" t="s">
        <v>7</v>
      </c>
      <c r="G21" s="93" t="s">
        <v>170</v>
      </c>
      <c r="H21" s="93" t="s">
        <v>7</v>
      </c>
      <c r="I21" s="111"/>
      <c r="J21" s="93" t="s">
        <v>8</v>
      </c>
      <c r="K21" s="93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/>
      <c r="D23" s="41">
        <f>+M14</f>
        <v>0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f>+M14</f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0</v>
      </c>
      <c r="E25" s="55">
        <f t="shared" si="0"/>
        <v>0</v>
      </c>
      <c r="F25" s="55">
        <f t="shared" si="0"/>
        <v>0</v>
      </c>
      <c r="G25" s="55">
        <f t="shared" si="0"/>
        <v>0</v>
      </c>
      <c r="H25" s="55">
        <f t="shared" si="0"/>
        <v>0</v>
      </c>
      <c r="I25" s="55">
        <f t="shared" si="0"/>
        <v>0</v>
      </c>
      <c r="J25" s="55">
        <f t="shared" si="0"/>
        <v>0</v>
      </c>
      <c r="K25" s="55">
        <f t="shared" si="0"/>
        <v>0</v>
      </c>
      <c r="L25" s="55">
        <f t="shared" si="0"/>
        <v>0</v>
      </c>
      <c r="M25" s="55">
        <f t="shared" si="0"/>
        <v>0</v>
      </c>
    </row>
    <row r="26" spans="1:1" ht="13.5" thickTop="1">
      <c r="A26" s="46">
        <v>21</v>
      </c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RATE CASE EXPENSES GOING FORWARD AS A COST OF SERVICE
FOR THE TEST YEAR ENDING DECEMBER 31, 2020
SPONSOR: A. LEDBETTER&amp;R&amp;"Arial,Bold"WP/II-D ADJUSTMENT/46
Page &amp;P of &amp;N</oddHeader>
  </headerFooter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74">
    <pageSetUpPr fitToPage="1"/>
  </sheetPr>
  <dimension ref="A2:N35"/>
  <sheetViews>
    <sheetView workbookViewId="0" topLeftCell="A1">
      <selection pane="topLeft" activeCell="M14" sqref="M14"/>
    </sheetView>
  </sheetViews>
  <sheetFormatPr defaultColWidth="8.85428571428571" defaultRowHeight="12.75"/>
  <cols>
    <col min="1" max="1" width="5.14285714285714" style="45" bestFit="1" customWidth="1"/>
    <col min="2" max="2" width="15.7142857142857" style="45" customWidth="1"/>
    <col min="3" max="3" width="8.71428571428571" style="45" bestFit="1" customWidth="1"/>
    <col min="4" max="4" width="20.5714285714286" style="45" bestFit="1" customWidth="1"/>
    <col min="5" max="12" width="14.7142857142857" style="45" customWidth="1"/>
    <col min="13" max="13" width="21" style="45" customWidth="1"/>
    <col min="14" max="16384" width="8.85714285714286" style="45"/>
  </cols>
  <sheetData>
    <row r="1" ht="13.5" thickBot="1"/>
    <row r="2" spans="1:13" ht="12.75">
      <c r="A2" s="14" t="s">
        <v>0</v>
      </c>
      <c r="B2" s="109" t="s">
        <v>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5" t="s">
        <v>1</v>
      </c>
    </row>
    <row r="3" spans="1:13" ht="13.5" thickBot="1">
      <c r="A3" s="13" t="s">
        <v>2</v>
      </c>
      <c r="B3" s="111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" t="s">
        <v>4</v>
      </c>
    </row>
    <row r="4" spans="1:13" ht="12.75">
      <c r="A4" s="11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2"/>
    </row>
    <row r="6" spans="1:4" ht="12.75">
      <c r="A6" s="46">
        <v>1</v>
      </c>
      <c r="B6" s="47" t="s">
        <v>144</v>
      </c>
      <c r="C6" s="47"/>
      <c r="D6" s="47"/>
    </row>
    <row r="7" spans="1:11" ht="12.75">
      <c r="A7" s="46">
        <v>2</v>
      </c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3" ht="12.75">
      <c r="A8" s="46">
        <v>3</v>
      </c>
      <c r="B8" s="52"/>
      <c r="C8" s="48"/>
      <c r="D8" s="48"/>
      <c r="E8" s="87"/>
      <c r="F8" s="87"/>
      <c r="G8" s="87"/>
      <c r="H8" s="87"/>
      <c r="I8" s="49"/>
      <c r="J8" s="49"/>
      <c r="K8" s="49"/>
      <c r="M8" s="56"/>
    </row>
    <row r="9" spans="1:13" ht="12.75">
      <c r="A9" s="46">
        <v>4</v>
      </c>
      <c r="B9" s="48"/>
      <c r="C9" s="52"/>
      <c r="D9" s="48"/>
      <c r="E9" s="87"/>
      <c r="F9" s="87"/>
      <c r="G9" s="87"/>
      <c r="H9" s="87"/>
      <c r="I9" s="49"/>
      <c r="J9" s="49"/>
      <c r="K9" s="49"/>
      <c r="L9" s="34" t="s">
        <v>172</v>
      </c>
      <c r="M9" s="61">
        <v>0</v>
      </c>
    </row>
    <row r="10" spans="1:11" ht="12.75">
      <c r="A10" s="46">
        <v>5</v>
      </c>
      <c r="B10" s="48"/>
      <c r="D10" s="48"/>
      <c r="E10" s="87"/>
      <c r="F10" s="87"/>
      <c r="G10" s="87"/>
      <c r="H10" s="87"/>
      <c r="I10" s="49"/>
      <c r="J10" s="49"/>
      <c r="K10" s="49"/>
    </row>
    <row r="11" spans="1:13" ht="12.75">
      <c r="A11" s="46">
        <v>6</v>
      </c>
      <c r="B11" s="52"/>
      <c r="C11" s="52"/>
      <c r="D11" s="48"/>
      <c r="E11" s="87"/>
      <c r="F11" s="87"/>
      <c r="G11" s="87"/>
      <c r="H11" s="87"/>
      <c r="I11" s="49"/>
      <c r="J11" s="49"/>
      <c r="K11" s="49"/>
      <c r="L11" s="34" t="s">
        <v>173</v>
      </c>
      <c r="M11" s="68"/>
    </row>
    <row r="12" spans="1:13" ht="12.75">
      <c r="A12" s="46">
        <v>7</v>
      </c>
      <c r="B12" s="52"/>
      <c r="C12" s="48"/>
      <c r="D12" s="48"/>
      <c r="E12" s="50"/>
      <c r="F12" s="50"/>
      <c r="G12" s="50"/>
      <c r="H12" s="50"/>
      <c r="I12" s="51"/>
      <c r="J12" s="51"/>
      <c r="K12" s="51"/>
      <c r="M12" s="43"/>
    </row>
    <row r="13" spans="1:11" ht="12.75">
      <c r="A13" s="46">
        <v>8</v>
      </c>
      <c r="B13" s="48"/>
      <c r="C13" s="48"/>
      <c r="D13" s="48"/>
      <c r="E13" s="51"/>
      <c r="F13" s="51"/>
      <c r="G13" s="51"/>
      <c r="H13" s="51"/>
      <c r="I13" s="51"/>
      <c r="J13" s="51"/>
      <c r="K13" s="51"/>
    </row>
    <row r="14" spans="1:13" ht="13.5" thickBot="1">
      <c r="A14" s="46">
        <v>9</v>
      </c>
      <c r="B14" s="48"/>
      <c r="C14" s="48"/>
      <c r="D14" s="48"/>
      <c r="E14" s="51"/>
      <c r="F14" s="51"/>
      <c r="G14" s="51"/>
      <c r="H14" s="51"/>
      <c r="I14" s="51"/>
      <c r="J14" s="62" t="s">
        <v>175</v>
      </c>
      <c r="L14" s="45" t="s">
        <v>174</v>
      </c>
      <c r="M14" s="55">
        <f>ROUND(+M11-M9,2)</f>
        <v>0</v>
      </c>
    </row>
    <row r="15" spans="1:11" ht="13.5" thickTop="1">
      <c r="A15" s="46">
        <v>10</v>
      </c>
      <c r="B15" s="48"/>
      <c r="C15" s="48"/>
      <c r="D15" s="48"/>
      <c r="E15" s="48"/>
      <c r="F15" s="48"/>
      <c r="G15" s="48"/>
      <c r="H15" s="48"/>
      <c r="I15" s="48"/>
      <c r="J15" s="48"/>
      <c r="K15" s="48"/>
    </row>
    <row r="16" spans="1:1" ht="13.5" thickBot="1">
      <c r="A16" s="46">
        <v>11</v>
      </c>
    </row>
    <row r="17" spans="1:12" ht="13.5" thickBot="1">
      <c r="A17" s="46">
        <v>12</v>
      </c>
      <c r="B17" s="114" t="s">
        <v>120</v>
      </c>
      <c r="C17" s="115"/>
      <c r="D17" s="115"/>
      <c r="E17" s="117"/>
      <c r="F17" s="108"/>
      <c r="G17" s="108"/>
      <c r="H17" s="108"/>
      <c r="I17" s="108"/>
      <c r="J17" s="91"/>
      <c r="K17" s="91"/>
      <c r="L17" s="57"/>
    </row>
    <row r="18" spans="1:1" ht="12.75">
      <c r="A18" s="46">
        <v>13</v>
      </c>
    </row>
    <row r="19" spans="1:1" ht="13.5" thickBot="1">
      <c r="A19" s="46">
        <v>14</v>
      </c>
    </row>
    <row r="20" spans="1:13" ht="12.75" customHeight="1">
      <c r="A20" s="46">
        <v>15</v>
      </c>
      <c r="B20" s="113" t="s">
        <v>119</v>
      </c>
      <c r="C20" s="109" t="s">
        <v>5</v>
      </c>
      <c r="D20" s="15" t="s">
        <v>1</v>
      </c>
      <c r="E20" s="109" t="s">
        <v>7</v>
      </c>
      <c r="F20" s="92" t="s">
        <v>168</v>
      </c>
      <c r="G20" s="92" t="s">
        <v>169</v>
      </c>
      <c r="H20" s="92" t="s">
        <v>171</v>
      </c>
      <c r="I20" s="109" t="s">
        <v>8</v>
      </c>
      <c r="J20" s="92" t="s">
        <v>168</v>
      </c>
      <c r="K20" s="92" t="s">
        <v>171</v>
      </c>
      <c r="L20" s="109" t="s">
        <v>9</v>
      </c>
      <c r="M20" s="105" t="s">
        <v>10</v>
      </c>
    </row>
    <row r="21" spans="1:13" ht="13.5" thickBot="1">
      <c r="A21" s="46">
        <v>16</v>
      </c>
      <c r="B21" s="111"/>
      <c r="C21" s="111"/>
      <c r="D21" s="1" t="s">
        <v>157</v>
      </c>
      <c r="E21" s="111"/>
      <c r="F21" s="93" t="s">
        <v>7</v>
      </c>
      <c r="G21" s="93" t="s">
        <v>170</v>
      </c>
      <c r="H21" s="93" t="s">
        <v>7</v>
      </c>
      <c r="I21" s="111"/>
      <c r="J21" s="93" t="s">
        <v>8</v>
      </c>
      <c r="K21" s="93" t="s">
        <v>8</v>
      </c>
      <c r="L21" s="111"/>
      <c r="M21" s="106"/>
    </row>
    <row r="22" spans="1:11" ht="12.75">
      <c r="A22" s="46">
        <v>17</v>
      </c>
      <c r="B22" s="4"/>
      <c r="C22" s="4"/>
      <c r="D22" s="4"/>
      <c r="E22" s="54"/>
      <c r="F22" s="54"/>
      <c r="G22" s="54"/>
      <c r="H22" s="54"/>
      <c r="I22" s="3"/>
      <c r="J22" s="3"/>
      <c r="K22" s="3"/>
    </row>
    <row r="23" spans="1:14" ht="12.75">
      <c r="A23" s="46">
        <v>18</v>
      </c>
      <c r="C23" s="34"/>
      <c r="D23" s="41">
        <f>+M14</f>
        <v>0</v>
      </c>
      <c r="E23" s="56">
        <v>0</v>
      </c>
      <c r="F23" s="56">
        <v>0</v>
      </c>
      <c r="G23" s="56">
        <v>0</v>
      </c>
      <c r="H23" s="56">
        <f>SUM(E23:G23)</f>
        <v>0</v>
      </c>
      <c r="I23" s="56">
        <f>+M14</f>
        <v>0</v>
      </c>
      <c r="J23" s="56">
        <v>0</v>
      </c>
      <c r="K23" s="56">
        <f>SUM(I23:J23)</f>
        <v>0</v>
      </c>
      <c r="L23" s="56">
        <v>0</v>
      </c>
      <c r="M23" s="56">
        <v>0</v>
      </c>
      <c r="N23" s="45" t="b">
        <f>+D23=(M23+L23+K23+H23)</f>
        <v>1</v>
      </c>
    </row>
    <row r="24" spans="1:13" ht="12.75">
      <c r="A24" s="46">
        <v>19</v>
      </c>
      <c r="C24" s="34"/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13" ht="13.5" thickBot="1">
      <c r="A25" s="46">
        <v>20</v>
      </c>
      <c r="D25" s="55">
        <f t="shared" si="0" ref="D25:M25">SUM(D23:D24)</f>
        <v>0</v>
      </c>
      <c r="E25" s="55">
        <f t="shared" si="0"/>
        <v>0</v>
      </c>
      <c r="F25" s="55">
        <f t="shared" si="0"/>
        <v>0</v>
      </c>
      <c r="G25" s="55">
        <f t="shared" si="0"/>
        <v>0</v>
      </c>
      <c r="H25" s="55">
        <f t="shared" si="0"/>
        <v>0</v>
      </c>
      <c r="I25" s="55">
        <f t="shared" si="0"/>
        <v>0</v>
      </c>
      <c r="J25" s="55">
        <f t="shared" si="0"/>
        <v>0</v>
      </c>
      <c r="K25" s="55">
        <f t="shared" si="0"/>
        <v>0</v>
      </c>
      <c r="L25" s="55">
        <f t="shared" si="0"/>
        <v>0</v>
      </c>
      <c r="M25" s="55">
        <f t="shared" si="0"/>
        <v>0</v>
      </c>
    </row>
    <row r="26" spans="1:1" ht="13.5" thickTop="1">
      <c r="A26" s="46">
        <v>21</v>
      </c>
    </row>
    <row r="35" spans="2:2" ht="12.75">
      <c r="B35" s="83" t="s">
        <v>202</v>
      </c>
    </row>
  </sheetData>
  <mergeCells count="10">
    <mergeCell ref="M20:M21"/>
    <mergeCell ref="B2:L3"/>
    <mergeCell ref="B4:L4"/>
    <mergeCell ref="B17:D17"/>
    <mergeCell ref="E17:I17"/>
    <mergeCell ref="B20:B21"/>
    <mergeCell ref="C20:C21"/>
    <mergeCell ref="E20:E21"/>
    <mergeCell ref="I20:I21"/>
    <mergeCell ref="L20:L21"/>
  </mergeCells>
  <hyperlinks>
    <hyperlink ref="B35" location="'Total Summary'!A84" display="Return to Summary"/>
  </hyperlinks>
  <printOptions horizontalCentered="1"/>
  <pageMargins left="0.05" right="0.05" top="2.6" bottom="0.5" header="1.5" footer="0.5"/>
  <pageSetup orientation="landscape" scale="73" r:id="rId1"/>
  <headerFooter alignWithMargins="0">
    <oddHeader>&amp;C&amp;"Arial,Bold"
ONCOR ELECTRIC DELIVERY COMPANY LLC
WHOLESALE DISTRIBUTION SUBSTATION SERVICE
FOR THE TEST YEAR ENDING DECEMBER 31, 2020
SPONSOR: A. LEDBETTER&amp;R&amp;"Arial,Bold"WP/II-D ADJUSTMENT/47
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73</vt:i4>
      </vt:variant>
    </vt:vector>
  </HeadingPairs>
  <TitlesOfParts>
    <vt:vector size="73" baseType="lpstr">
      <vt:lpstr>Total Summary</vt:lpstr>
      <vt:lpstr>Labor Summary</vt:lpstr>
      <vt:lpstr>Template</vt:lpstr>
      <vt:lpstr>Adj. #1</vt:lpstr>
      <vt:lpstr>Adj. #2</vt:lpstr>
      <vt:lpstr>Adj. #3</vt:lpstr>
      <vt:lpstr>Adj. #4</vt:lpstr>
      <vt:lpstr>Adj. #5</vt:lpstr>
      <vt:lpstr>Adj. #6</vt:lpstr>
      <vt:lpstr>Adj. #7</vt:lpstr>
      <vt:lpstr>Adj. #8</vt:lpstr>
      <vt:lpstr>Adj. #9</vt:lpstr>
      <vt:lpstr>Adj. #10</vt:lpstr>
      <vt:lpstr>Adj. #11</vt:lpstr>
      <vt:lpstr>Adj. #12</vt:lpstr>
      <vt:lpstr>Adj. #13</vt:lpstr>
      <vt:lpstr>Adj. #14</vt:lpstr>
      <vt:lpstr>Adj. #15</vt:lpstr>
      <vt:lpstr>Adj. #16</vt:lpstr>
      <vt:lpstr>Adj. #17</vt:lpstr>
      <vt:lpstr>Adj. #18</vt:lpstr>
      <vt:lpstr>Adj. #19</vt:lpstr>
      <vt:lpstr>Adj. #20</vt:lpstr>
      <vt:lpstr>Adj. #21</vt:lpstr>
      <vt:lpstr>Adj. #22</vt:lpstr>
      <vt:lpstr>Adj. #23</vt:lpstr>
      <vt:lpstr>Adj. #24</vt:lpstr>
      <vt:lpstr>Adj. #25</vt:lpstr>
      <vt:lpstr>Adj. #26</vt:lpstr>
      <vt:lpstr>Adj. #27</vt:lpstr>
      <vt:lpstr>Adj. #28</vt:lpstr>
      <vt:lpstr>Adj. #29</vt:lpstr>
      <vt:lpstr>Adj. #30</vt:lpstr>
      <vt:lpstr>Adj. #31</vt:lpstr>
      <vt:lpstr>Adj. #32</vt:lpstr>
      <vt:lpstr>Adj. #33</vt:lpstr>
      <vt:lpstr>Adj. #34</vt:lpstr>
      <vt:lpstr>Adj. #35</vt:lpstr>
      <vt:lpstr>Adj. #36</vt:lpstr>
      <vt:lpstr>Adj. #37</vt:lpstr>
      <vt:lpstr>Adj. #38</vt:lpstr>
      <vt:lpstr>Adj. #39</vt:lpstr>
      <vt:lpstr>Adj. #40</vt:lpstr>
      <vt:lpstr>Adj. #41</vt:lpstr>
      <vt:lpstr>Adj. #42</vt:lpstr>
      <vt:lpstr>Adj. #43</vt:lpstr>
      <vt:lpstr>Adj. #44</vt:lpstr>
      <vt:lpstr>Adj. #45</vt:lpstr>
      <vt:lpstr>Adj. #46</vt:lpstr>
      <vt:lpstr>Adj. #47</vt:lpstr>
      <vt:lpstr>Adj. #48</vt:lpstr>
      <vt:lpstr>Adj. #49</vt:lpstr>
      <vt:lpstr>Adj. #50</vt:lpstr>
      <vt:lpstr>Adj. #51</vt:lpstr>
      <vt:lpstr>Adj. #52</vt:lpstr>
      <vt:lpstr>Adj. #53</vt:lpstr>
      <vt:lpstr>Adj. #54</vt:lpstr>
      <vt:lpstr>Adj. #55</vt:lpstr>
      <vt:lpstr>Adj. #56</vt:lpstr>
      <vt:lpstr>Adj. #57</vt:lpstr>
      <vt:lpstr>Adj. #58</vt:lpstr>
      <vt:lpstr>Adj. #59</vt:lpstr>
      <vt:lpstr>Adj. #60</vt:lpstr>
      <vt:lpstr>Adj. #61</vt:lpstr>
      <vt:lpstr>Adj. #62</vt:lpstr>
      <vt:lpstr>Adj. #63</vt:lpstr>
      <vt:lpstr>Adj. #64</vt:lpstr>
      <vt:lpstr>Adj. #65</vt:lpstr>
      <vt:lpstr>Adj. #66</vt:lpstr>
      <vt:lpstr>Adj. #67</vt:lpstr>
      <vt:lpstr>Adj. #68</vt:lpstr>
      <vt:lpstr>Adj. #69</vt:lpstr>
      <vt:lpstr>Adj. #70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