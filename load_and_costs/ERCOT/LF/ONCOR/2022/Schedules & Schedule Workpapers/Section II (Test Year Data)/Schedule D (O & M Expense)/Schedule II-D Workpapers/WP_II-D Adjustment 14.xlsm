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png" ContentType="image/png"/>
  <Override PartName="/xl/drawings/drawing1.xml" ContentType="application/vnd.openxmlformats-officedocument.drawing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19200" windowHeight="7305" activeTab="0"/>
  </bookViews>
  <sheets>
    <sheet name="K&amp;M - Misc AR " sheetId="1" r:id="rId2"/>
  </sheets>
  <externalReferences>
    <externalReference r:id="rId5"/>
    <externalReference r:id="rId6"/>
    <externalReference r:id="rId7"/>
  </externalReferences>
  <definedNames>
    <definedName name="_Key1" hidden="1">#REF!</definedName>
    <definedName name="_Order1" hidden="1">255</definedName>
    <definedName name="_Sort" hidden="1">#REF!</definedName>
    <definedName name="Account">#REF!</definedName>
    <definedName name="Account2">#REF!</definedName>
    <definedName name="AccountDescr">#REF!</definedName>
    <definedName name="AccountDescr2">#REF!</definedName>
    <definedName name="acct">#REF!</definedName>
    <definedName name="acct_mo">#REF!</definedName>
    <definedName name="Activity">#REF!</definedName>
    <definedName name="Activity2">#REF!</definedName>
    <definedName name="ActivityDescr">#REF!</definedName>
    <definedName name="ActivityDescr2">#REF!</definedName>
    <definedName name="Affiliate">#REF!</definedName>
    <definedName name="Affiliate2">#REF!</definedName>
    <definedName name="AffiliateDescr">#REF!</definedName>
    <definedName name="APN">#REF!</definedName>
    <definedName name="ASD">#REF!</definedName>
    <definedName name="BU">#REF!</definedName>
    <definedName name="BUDGET">#REF!</definedName>
    <definedName name="BUNODE">#REF!</definedName>
    <definedName name="BusinessUnit">#REF!</definedName>
    <definedName name="BusinessUnit2">#REF!</definedName>
    <definedName name="By_Summary_Ledger">#REF!</definedName>
    <definedName name="Cancel">[1]!Cancel</definedName>
    <definedName name="Completed">#REF!</definedName>
    <definedName name="Credit" localSheetId="0">[2]JOURNAL!#REF!</definedName>
    <definedName name="Credit">#REF!</definedName>
    <definedName name="Date">#REF!</definedName>
    <definedName name="Date1">#REF!</definedName>
    <definedName name="Date2">#REF!</definedName>
    <definedName name="DATES">#REF!</definedName>
    <definedName name="Debit" localSheetId="0">[2]JOURNAL!#REF!</definedName>
    <definedName name="Debit">#REF!</definedName>
    <definedName name="Dept">#REF!</definedName>
    <definedName name="DeptDescr">#REF!</definedName>
    <definedName name="DeptDescr2">#REF!</definedName>
    <definedName name="DeptID">#REF!</definedName>
    <definedName name="DeptID2">#REF!</definedName>
    <definedName name="DeptIDDescr">#REF!</definedName>
    <definedName name="EC">#REF!</definedName>
    <definedName name="ECDescr">#REF!</definedName>
    <definedName name="ECDescr2">#REF!</definedName>
    <definedName name="ECID">#REF!</definedName>
    <definedName name="Elapsed">#REF!</definedName>
    <definedName name="ELECTRIC">#REF!</definedName>
    <definedName name="entry" localSheetId="0">[2]JOURNAL!$B$9:$R$240,[2]JOURNAL!$I$3,[2]JOURNAL!$G$3,[2]JOURNAL!$E$3,[2]JOURNAL!$B$7,[2]JOURNAL!$B$3</definedName>
    <definedName name="entry">#REF!,#REF!,#REF!,#REF!,#REF!,#REF!</definedName>
    <definedName name="EntryFields" localSheetId="0">[2]JOURNAL!$B$9:$R$240,[2]JOURNAL!$I$3,[2]JOURNAL!$G$3,[2]JOURNAL!$E$3,[2]JOURNAL!$B$7,[2]JOURNAL!$B$3</definedName>
    <definedName name="EntryFields">#REF!,#REF!,#REF!,#REF!,#REF!,#REF!</definedName>
    <definedName name="ESD_Administration">#REF!</definedName>
    <definedName name="EssLatest">"Jan1998"</definedName>
    <definedName name="form" localSheetId="0">[2]JOURNAL!$B4:L$7</definedName>
    <definedName name="form">#REF!</definedName>
    <definedName name="FY">#REF!</definedName>
    <definedName name="FYY">#REF!</definedName>
    <definedName name="Header" localSheetId="0">[2]JOURNAL!$C$3:$C$4</definedName>
    <definedName name="Header">#REF!</definedName>
    <definedName name="KeyControlFigure">#REF!</definedName>
    <definedName name="Labels">#REF!</definedName>
    <definedName name="LeapYearCheck">#REF!</definedName>
    <definedName name="Ledgers">#REF!</definedName>
    <definedName name="Lines" localSheetId="0">[2]JOURNAL!#REF!</definedName>
    <definedName name="Lines">#REF!</definedName>
    <definedName name="ListOfManagers">#REF!</definedName>
    <definedName name="Location">#REF!</definedName>
    <definedName name="Location2">#REF!</definedName>
    <definedName name="LocationDescr">#REF!</definedName>
    <definedName name="LocationDescr2">#REF!</definedName>
    <definedName name="LYN">#REF!</definedName>
    <definedName name="MenuList1">"List Box 3"</definedName>
    <definedName name="MgrList">#REF!</definedName>
    <definedName name="MONTH">#REF!</definedName>
    <definedName name="NvsAnswerCol">"'[Account Reconciliation Form.xls]BU Descriptions'!$A$5:$A$154"</definedName>
    <definedName name="NvsASD">"V2004-05-31"</definedName>
    <definedName name="NvsAutoDrillOk">"VN"</definedName>
    <definedName name="NvsElapsedTime">0</definedName>
    <definedName name="NvsEndTime">38135.4803935185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"%,X,RZF..nPloded,CZF.."</definedName>
    <definedName name="NvsPanelBusUnit">"V"</definedName>
    <definedName name="NvsPanelEffdt">"V2999-01-01"</definedName>
    <definedName name="NvsPanelSetid">"VSHARE"</definedName>
    <definedName name="NvsParentRef">"'[ESD Trial Balance Jan 2004.xls]Sheet1'!$H$183"</definedName>
    <definedName name="NvsQueryName">"IVCD_AR1"</definedName>
    <definedName name="NvsReqBU">"VX0001"</definedName>
    <definedName name="NvsReqBUOnly">"VN"</definedName>
    <definedName name="NvsTranslateLedger">#REF!</definedName>
    <definedName name="NvsTransLed">"VN"</definedName>
    <definedName name="NvsTreeASD">"V2004-05-31"</definedName>
    <definedName name="NvsValTbl.ACCOUNT">"GL_ACCOUNT_TBL"</definedName>
    <definedName name="NvsValTbl.AFFILIATE">"BUS_UNIT_TBL_FS"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F_SCENARIO_ID">"PF_SCENARIO_VW"</definedName>
    <definedName name="NvsValTbl.PROJECT_ID">"PROJECT"</definedName>
    <definedName name="NvsValTbl.TU_ACTIVITY">"TU_ACTIVITY_TBL"</definedName>
    <definedName name="NvsValTbl.TU_EC">"TU_EC_TBL"</definedName>
    <definedName name="NvsValTbl.TU_LOCATION">"TU_LOC_TBL"</definedName>
    <definedName name="OK">[1]!OK</definedName>
    <definedName name="one">#REF!</definedName>
    <definedName name="PBAL">#REF!</definedName>
    <definedName name="PCHANGE">#REF!</definedName>
    <definedName name="PED">#REF!</definedName>
    <definedName name="Period">#REF!</definedName>
    <definedName name="pricing">#REF!</definedName>
    <definedName name="_xlnm.Print_Area" localSheetId="0">'K&amp;M - Misc AR '!$A$1:$M$35</definedName>
    <definedName name="ProjectName" localSheetId="0">{"Client Name or Project Name"}</definedName>
    <definedName name="ProjectName">{"Client Name or Project Name"}</definedName>
    <definedName name="RespMger">#REF!</definedName>
    <definedName name="RID">#REF!</definedName>
    <definedName name="rngResHeaders">#REF!</definedName>
    <definedName name="rngURL">#REF!</definedName>
    <definedName name="rngXmlConst">#REF!</definedName>
    <definedName name="RTT">#REF!</definedName>
    <definedName name="summary">#REF!</definedName>
    <definedName name="Task">#REF!</definedName>
    <definedName name="Task2">#REF!</definedName>
    <definedName name="TaskDescr">#REF!</definedName>
    <definedName name="Test">[3]LSGD!$T$4:$U$15</definedName>
    <definedName name="Total">#REF!</definedName>
    <definedName name="Variable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5" i="1" l="1"/>
</calcChain>
</file>

<file path=xl/sharedStrings.xml><?xml version="1.0" encoding="utf-8"?>
<sst xmlns="http://schemas.openxmlformats.org/spreadsheetml/2006/main" count="64" uniqueCount="43">
  <si>
    <t>Problem Accounts</t>
  </si>
  <si>
    <t>ESD</t>
  </si>
  <si>
    <t>CUSTOMER NAME</t>
  </si>
  <si>
    <t>Department ID</t>
  </si>
  <si>
    <t>CUST #</t>
  </si>
  <si>
    <t>INVOICE</t>
  </si>
  <si>
    <t>ACCTNG DATE</t>
  </si>
  <si>
    <t>TOTAL</t>
  </si>
  <si>
    <t>OVER 120</t>
  </si>
  <si>
    <t>91-120</t>
  </si>
  <si>
    <t>61-90</t>
  </si>
  <si>
    <t>31-60</t>
  </si>
  <si>
    <t>1-30</t>
  </si>
  <si>
    <t>Current</t>
  </si>
  <si>
    <t>ESD0155770</t>
  </si>
  <si>
    <t>ESD0156132</t>
  </si>
  <si>
    <t>TOTAL ESD</t>
  </si>
  <si>
    <t xml:space="preserve">TRN </t>
  </si>
  <si>
    <t>TRN0024703</t>
  </si>
  <si>
    <t>TRN0024704</t>
  </si>
  <si>
    <t>TRN0030090</t>
  </si>
  <si>
    <t>TOTAL TRN</t>
  </si>
  <si>
    <t>GRAND TOTAL</t>
  </si>
  <si>
    <t>(prepetition - 50%)</t>
  </si>
  <si>
    <t>DLS-Jan21</t>
  </si>
  <si>
    <t>DLS-Feb21</t>
  </si>
  <si>
    <t>Fac Maint-Jan21</t>
  </si>
  <si>
    <t>Fac Maint-Feb21</t>
  </si>
  <si>
    <t>Tap on Brazos Aledo-Dicey 138kV line-all chgs prior to 3-1-2021</t>
  </si>
  <si>
    <t>Oncor Electric Delivery Company LLC</t>
  </si>
  <si>
    <t>O&amp;M K&amp;M Adjustment to exclude Misc AR write-off</t>
  </si>
  <si>
    <t>TRN</t>
  </si>
  <si>
    <t>571900</t>
  </si>
  <si>
    <t>9040000</t>
  </si>
  <si>
    <t>883</t>
  </si>
  <si>
    <t>0000SUPT</t>
  </si>
  <si>
    <t>0000</t>
  </si>
  <si>
    <t>9010</t>
  </si>
  <si>
    <t>521900</t>
  </si>
  <si>
    <t>00001000</t>
  </si>
  <si>
    <t>1000</t>
  </si>
  <si>
    <t>K&amp;M adjustment to exclude miscellaneous AR write-off</t>
  </si>
  <si>
    <t>2021 Test Year Write-off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</si>
</sst>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0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b/>
      <sz val="10"/>
      <name val="Arial Unicode MS"/>
      <family val="2"/>
    </font>
    <font>
      <b/>
      <sz val="14"/>
      <name val="Arial"/>
      <family val="2"/>
    </font>
    <font>
      <sz val="10"/>
      <name val="Arial Unicode MS"/>
      <family val="2"/>
    </font>
    <font>
      <b/>
      <u val="single"/>
      <sz val="12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thin">
        <color auto="1"/>
      </bottom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  <border>
      <left/>
      <right/>
      <top style="medium">
        <color auto="1"/>
      </top>
      <bottom style="medium">
        <color auto="1"/>
      </bottom>
    </border>
    <border>
      <left style="medium">
        <color auto="1"/>
      </left>
      <right/>
      <top style="medium">
        <color auto="1"/>
      </top>
      <bottom/>
    </border>
    <border>
      <left/>
      <right/>
      <top style="medium">
        <color auto="1"/>
      </top>
      <bottom/>
    </border>
    <border>
      <left/>
      <right style="medium">
        <color auto="1"/>
      </right>
      <top style="medium">
        <color auto="1"/>
      </top>
      <bottom/>
    </border>
    <border>
      <left style="medium">
        <color auto="1"/>
      </left>
      <right/>
      <top/>
      <bottom/>
    </border>
    <border>
      <left/>
      <right style="medium">
        <color auto="1"/>
      </right>
      <top/>
      <bottom/>
    </border>
    <border>
      <left/>
      <right style="medium">
        <color auto="1"/>
      </right>
      <top/>
      <bottom style="thin">
        <color auto="1"/>
      </bottom>
    </border>
    <border>
      <left style="medium">
        <color auto="1"/>
      </left>
      <right/>
      <top/>
      <bottom style="medium">
        <color auto="1"/>
      </bottom>
    </border>
    <border>
      <left/>
      <right/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</borders>
  <cellStyleXfs count="25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>
      <alignment/>
      <protection/>
    </xf>
    <xf numFmtId="0" fontId="2" fillId="0" borderId="0">
      <alignment/>
      <protection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89">
    <xf numFmtId="0" fontId="0" fillId="0" borderId="0" xfId="0"/>
    <xf numFmtId="0" fontId="3" fillId="0" borderId="0" xfId="20" applyFont="1">
      <alignment/>
      <protection/>
    </xf>
    <xf numFmtId="0" fontId="2" fillId="0" borderId="0" xfId="21">
      <alignment/>
      <protection/>
    </xf>
    <xf numFmtId="0" fontId="2" fillId="0" borderId="0" xfId="20" applyFill="1">
      <alignment/>
      <protection/>
    </xf>
    <xf numFmtId="0" fontId="4" fillId="0" borderId="0" xfId="21" applyFont="1">
      <alignment/>
      <protection/>
    </xf>
    <xf numFmtId="0" fontId="3" fillId="0" borderId="0" xfId="20" applyFont="1" applyFill="1">
      <alignment/>
      <protection/>
    </xf>
    <xf numFmtId="0" fontId="2" fillId="0" borderId="0" xfId="20" applyFill="1" applyAlignment="1">
      <alignment horizontal="center"/>
      <protection/>
    </xf>
    <xf numFmtId="0" fontId="5" fillId="0" borderId="0" xfId="20" applyFont="1">
      <alignment/>
      <protection/>
    </xf>
    <xf numFmtId="0" fontId="5" fillId="0" borderId="1" xfId="20" applyFont="1" applyFill="1" applyBorder="1">
      <alignment/>
      <protection/>
    </xf>
    <xf numFmtId="0" fontId="5" fillId="0" borderId="1" xfId="20" applyFont="1" applyFill="1" applyBorder="1" applyAlignment="1">
      <alignment horizontal="center"/>
      <protection/>
    </xf>
    <xf numFmtId="0" fontId="5" fillId="0" borderId="1" xfId="20" applyFont="1" applyFill="1" applyBorder="1" applyAlignment="1" quotePrefix="1">
      <alignment horizontal="center"/>
      <protection/>
    </xf>
    <xf numFmtId="0" fontId="5" fillId="0" borderId="0" xfId="20" applyFont="1" applyFill="1" applyBorder="1">
      <alignment/>
      <protection/>
    </xf>
    <xf numFmtId="0" fontId="5" fillId="0" borderId="0" xfId="20" applyFont="1" applyFill="1" applyBorder="1" applyAlignment="1">
      <alignment horizontal="center"/>
      <protection/>
    </xf>
    <xf numFmtId="0" fontId="5" fillId="0" borderId="0" xfId="20" applyFont="1" applyFill="1" applyBorder="1" applyAlignment="1" quotePrefix="1">
      <alignment horizontal="center"/>
      <protection/>
    </xf>
    <xf numFmtId="43" fontId="5" fillId="0" borderId="0" xfId="18" applyFont="1" applyFill="1" applyBorder="1" applyAlignment="1">
      <alignment horizontal="center"/>
    </xf>
    <xf numFmtId="0" fontId="2" fillId="0" borderId="0" xfId="20">
      <alignment/>
      <protection/>
    </xf>
    <xf numFmtId="43" fontId="5" fillId="0" borderId="0" xfId="18" applyFont="1" applyFill="1" applyBorder="1" applyAlignment="1" quotePrefix="1">
      <alignment horizontal="center"/>
    </xf>
    <xf numFmtId="43" fontId="5" fillId="0" borderId="0" xfId="18" applyFont="1"/>
    <xf numFmtId="0" fontId="2" fillId="0" borderId="0" xfId="20" applyFont="1" applyFill="1" applyBorder="1">
      <alignment/>
      <protection/>
    </xf>
    <xf numFmtId="43" fontId="5" fillId="0" borderId="0" xfId="22" applyFont="1" applyFill="1" applyBorder="1" applyAlignment="1">
      <alignment horizontal="center"/>
    </xf>
    <xf numFmtId="0" fontId="6" fillId="0" borderId="0" xfId="20" applyFont="1" applyFill="1" applyBorder="1" applyAlignment="1">
      <alignment wrapText="1"/>
      <protection/>
    </xf>
    <xf numFmtId="0" fontId="2" fillId="0" borderId="0" xfId="20" applyFill="1" applyBorder="1">
      <alignment/>
      <protection/>
    </xf>
    <xf numFmtId="43" fontId="5" fillId="0" borderId="0" xfId="23" applyFont="1" applyFill="1" applyBorder="1" applyAlignment="1">
      <alignment horizontal="center"/>
    </xf>
    <xf numFmtId="43" fontId="5" fillId="0" borderId="2" xfId="23" applyFont="1" applyFill="1" applyBorder="1" applyAlignment="1">
      <alignment horizontal="center"/>
    </xf>
    <xf numFmtId="43" fontId="2" fillId="0" borderId="0" xfId="23" applyFill="1"/>
    <xf numFmtId="43" fontId="5" fillId="0" borderId="0" xfId="23" applyFont="1" applyFill="1" applyBorder="1"/>
    <xf numFmtId="43" fontId="2" fillId="0" borderId="0" xfId="23" applyFont="1" applyFill="1" applyBorder="1"/>
    <xf numFmtId="0" fontId="5" fillId="0" borderId="1" xfId="20" applyFont="1" applyBorder="1">
      <alignment/>
      <protection/>
    </xf>
    <xf numFmtId="0" fontId="5" fillId="0" borderId="1" xfId="20" applyFont="1" applyBorder="1" applyAlignment="1">
      <alignment horizontal="center"/>
      <protection/>
    </xf>
    <xf numFmtId="0" fontId="5" fillId="0" borderId="1" xfId="20" applyFont="1" applyBorder="1" applyAlignment="1" quotePrefix="1">
      <alignment horizontal="center"/>
      <protection/>
    </xf>
    <xf numFmtId="0" fontId="5" fillId="0" borderId="0" xfId="20" applyFont="1" applyFill="1">
      <alignment/>
      <protection/>
    </xf>
    <xf numFmtId="0" fontId="5" fillId="0" borderId="0" xfId="20" applyFont="1" applyBorder="1">
      <alignment/>
      <protection/>
    </xf>
    <xf numFmtId="0" fontId="5" fillId="0" borderId="0" xfId="20" applyFont="1" applyBorder="1" applyAlignment="1">
      <alignment horizontal="center"/>
      <protection/>
    </xf>
    <xf numFmtId="0" fontId="5" fillId="0" borderId="0" xfId="20" applyFont="1" applyBorder="1" applyAlignment="1" quotePrefix="1">
      <alignment horizontal="center"/>
      <protection/>
    </xf>
    <xf numFmtId="43" fontId="5" fillId="0" borderId="0" xfId="18" applyFont="1" applyBorder="1" applyAlignment="1">
      <alignment horizontal="center"/>
    </xf>
    <xf numFmtId="43" fontId="5" fillId="0" borderId="0" xfId="18" applyFont="1" applyBorder="1" applyAlignment="1" quotePrefix="1">
      <alignment horizontal="center"/>
    </xf>
    <xf numFmtId="43" fontId="5" fillId="0" borderId="0" xfId="23" applyFont="1" applyFill="1" applyBorder="1" applyAlignment="1">
      <alignment horizontal="right"/>
    </xf>
    <xf numFmtId="43" fontId="5" fillId="0" borderId="0" xfId="23" applyFont="1" applyBorder="1" applyAlignment="1" quotePrefix="1">
      <alignment horizontal="center"/>
    </xf>
    <xf numFmtId="0" fontId="2" fillId="0" borderId="0" xfId="20" applyBorder="1">
      <alignment/>
      <protection/>
    </xf>
    <xf numFmtId="14" fontId="2" fillId="0" borderId="0" xfId="20" applyNumberFormat="1" applyBorder="1">
      <alignment/>
      <protection/>
    </xf>
    <xf numFmtId="43" fontId="5" fillId="0" borderId="2" xfId="23" applyFont="1" applyFill="1" applyBorder="1"/>
    <xf numFmtId="43" fontId="5" fillId="0" borderId="0" xfId="23" applyFont="1" applyBorder="1"/>
    <xf numFmtId="14" fontId="2" fillId="0" borderId="0" xfId="20" applyNumberFormat="1">
      <alignment/>
      <protection/>
    </xf>
    <xf numFmtId="43" fontId="5" fillId="0" borderId="3" xfId="23" applyFont="1" applyBorder="1"/>
    <xf numFmtId="43" fontId="5" fillId="0" borderId="2" xfId="23" applyFont="1" applyBorder="1"/>
    <xf numFmtId="43" fontId="5" fillId="0" borderId="4" xfId="23" applyFont="1" applyBorder="1"/>
    <xf numFmtId="0" fontId="2" fillId="0" borderId="0" xfId="20" applyAlignment="1" quotePrefix="1">
      <alignment horizontal="center"/>
      <protection/>
    </xf>
    <xf numFmtId="0" fontId="2" fillId="0" borderId="0" xfId="20" applyFont="1" applyFill="1">
      <alignment/>
      <protection/>
    </xf>
    <xf numFmtId="0" fontId="2" fillId="0" borderId="0" xfId="20" applyFont="1" applyFill="1" applyAlignment="1" quotePrefix="1">
      <alignment horizontal="center"/>
      <protection/>
    </xf>
    <xf numFmtId="14" fontId="2" fillId="0" borderId="0" xfId="20" applyNumberFormat="1" applyFont="1" applyFill="1">
      <alignment/>
      <protection/>
    </xf>
    <xf numFmtId="0" fontId="7" fillId="0" borderId="0" xfId="20" applyFont="1">
      <alignment/>
      <protection/>
    </xf>
    <xf numFmtId="43" fontId="2" fillId="0" borderId="0" xfId="23"/>
    <xf numFmtId="14" fontId="5" fillId="0" borderId="0" xfId="20" applyNumberFormat="1" applyFont="1" applyAlignment="1">
      <alignment horizontal="left"/>
      <protection/>
    </xf>
    <xf numFmtId="0" fontId="8" fillId="0" borderId="0" xfId="20" applyFont="1" applyFill="1" applyBorder="1" applyAlignment="1">
      <alignment wrapText="1"/>
      <protection/>
    </xf>
    <xf numFmtId="43" fontId="8" fillId="0" borderId="0" xfId="23" applyFont="1" applyFill="1" applyBorder="1" applyAlignment="1">
      <alignment wrapText="1"/>
    </xf>
    <xf numFmtId="43" fontId="2" fillId="0" borderId="0" xfId="23" applyFill="1" applyBorder="1"/>
    <xf numFmtId="44" fontId="2" fillId="0" borderId="0" xfId="24" applyFill="1" applyBorder="1"/>
    <xf numFmtId="14" fontId="8" fillId="0" borderId="0" xfId="20" applyNumberFormat="1" applyFont="1" applyFill="1" applyBorder="1" applyAlignment="1">
      <alignment wrapText="1"/>
      <protection/>
    </xf>
    <xf numFmtId="0" fontId="2" fillId="0" borderId="0" xfId="20" applyAlignment="1">
      <alignment horizontal="center"/>
      <protection/>
    </xf>
    <xf numFmtId="0" fontId="5" fillId="0" borderId="0" xfId="20" applyFont="1" applyBorder="1" applyAlignment="1">
      <alignment vertical="top"/>
      <protection/>
    </xf>
    <xf numFmtId="0" fontId="5" fillId="0" borderId="0" xfId="20" applyFont="1" applyBorder="1" applyAlignment="1">
      <alignment horizontal="center" vertical="top"/>
      <protection/>
    </xf>
    <xf numFmtId="0" fontId="5" fillId="0" borderId="0" xfId="20" applyFont="1" applyBorder="1" applyAlignment="1">
      <alignment vertical="top" wrapText="1"/>
      <protection/>
    </xf>
    <xf numFmtId="43" fontId="5" fillId="0" borderId="0" xfId="18" applyFont="1" applyBorder="1" applyAlignment="1">
      <alignment horizontal="center" vertical="top"/>
    </xf>
    <xf numFmtId="43" fontId="5" fillId="0" borderId="0" xfId="18" applyFont="1" applyBorder="1" applyAlignment="1" quotePrefix="1">
      <alignment horizontal="center" vertical="top"/>
    </xf>
    <xf numFmtId="0" fontId="5" fillId="0" borderId="0" xfId="20" applyFont="1" applyFill="1" applyAlignment="1">
      <alignment vertical="top"/>
      <protection/>
    </xf>
    <xf numFmtId="0" fontId="5" fillId="0" borderId="0" xfId="20" applyFont="1" applyBorder="1" applyAlignment="1">
      <alignment horizontal="left" vertical="top"/>
      <protection/>
    </xf>
    <xf numFmtId="43" fontId="2" fillId="0" borderId="0" xfId="21" applyNumberFormat="1" applyFill="1">
      <alignment/>
      <protection/>
    </xf>
    <xf numFmtId="43" fontId="5" fillId="0" borderId="0" xfId="18" applyFont="1" applyFill="1" applyBorder="1"/>
    <xf numFmtId="43" fontId="5" fillId="0" borderId="0" xfId="18" applyFont="1" applyFill="1" applyBorder="1" applyAlignment="1">
      <alignment vertical="top"/>
    </xf>
    <xf numFmtId="0" fontId="5" fillId="0" borderId="0" xfId="21" applyFont="1">
      <alignment/>
      <protection/>
    </xf>
    <xf numFmtId="0" fontId="5" fillId="0" borderId="0" xfId="21" applyFont="1" applyFill="1">
      <alignment/>
      <protection/>
    </xf>
    <xf numFmtId="14" fontId="9" fillId="0" borderId="0" xfId="20" applyNumberFormat="1" applyFont="1" applyFill="1" applyAlignment="1">
      <alignment horizontal="left"/>
      <protection/>
    </xf>
    <xf numFmtId="0" fontId="5" fillId="0" borderId="0" xfId="21" applyFont="1" applyFill="1" applyAlignment="1">
      <alignment horizontal="center"/>
      <protection/>
    </xf>
    <xf numFmtId="0" fontId="6" fillId="0" borderId="5" xfId="20" applyFont="1" applyFill="1" applyBorder="1" applyAlignment="1">
      <alignment wrapText="1"/>
      <protection/>
    </xf>
    <xf numFmtId="0" fontId="5" fillId="0" borderId="6" xfId="20" applyFont="1" applyFill="1" applyBorder="1">
      <alignment/>
      <protection/>
    </xf>
    <xf numFmtId="0" fontId="5" fillId="0" borderId="6" xfId="20" applyFont="1" applyFill="1" applyBorder="1" applyAlignment="1" quotePrefix="1">
      <alignment horizontal="center"/>
      <protection/>
    </xf>
    <xf numFmtId="14" fontId="5" fillId="0" borderId="6" xfId="20" applyNumberFormat="1" applyFont="1" applyFill="1" applyBorder="1">
      <alignment/>
      <protection/>
    </xf>
    <xf numFmtId="43" fontId="5" fillId="0" borderId="6" xfId="23" applyFont="1" applyFill="1" applyBorder="1"/>
    <xf numFmtId="43" fontId="5" fillId="0" borderId="7" xfId="23" applyFont="1" applyFill="1" applyBorder="1" applyAlignment="1">
      <alignment horizontal="right"/>
    </xf>
    <xf numFmtId="0" fontId="6" fillId="0" borderId="8" xfId="20" applyFont="1" applyFill="1" applyBorder="1" applyAlignment="1">
      <alignment wrapText="1"/>
      <protection/>
    </xf>
    <xf numFmtId="14" fontId="5" fillId="0" borderId="0" xfId="20" applyNumberFormat="1" applyFont="1" applyFill="1" applyBorder="1">
      <alignment/>
      <protection/>
    </xf>
    <xf numFmtId="43" fontId="5" fillId="0" borderId="9" xfId="23" applyFont="1" applyFill="1" applyBorder="1"/>
    <xf numFmtId="43" fontId="5" fillId="0" borderId="10" xfId="23" applyFont="1" applyFill="1" applyBorder="1"/>
    <xf numFmtId="0" fontId="6" fillId="0" borderId="11" xfId="20" applyFont="1" applyFill="1" applyBorder="1" applyAlignment="1">
      <alignment wrapText="1"/>
      <protection/>
    </xf>
    <xf numFmtId="0" fontId="5" fillId="0" borderId="12" xfId="20" applyFont="1" applyFill="1" applyBorder="1">
      <alignment/>
      <protection/>
    </xf>
    <xf numFmtId="0" fontId="5" fillId="0" borderId="12" xfId="20" applyFont="1" applyFill="1" applyBorder="1" applyAlignment="1" quotePrefix="1">
      <alignment horizontal="center"/>
      <protection/>
    </xf>
    <xf numFmtId="14" fontId="5" fillId="0" borderId="12" xfId="20" applyNumberFormat="1" applyFont="1" applyFill="1" applyBorder="1">
      <alignment/>
      <protection/>
    </xf>
    <xf numFmtId="43" fontId="5" fillId="0" borderId="12" xfId="23" applyFont="1" applyFill="1" applyBorder="1"/>
    <xf numFmtId="43" fontId="5" fillId="0" borderId="13" xfId="23" applyFont="1" applyFill="1" applyBorder="1"/>
  </cellXfs>
  <cellStyles count="11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" xfId="20"/>
    <cellStyle name="Normal 3" xfId="21"/>
    <cellStyle name="Comma 10" xfId="22"/>
    <cellStyle name="Comma 2" xfId="23"/>
    <cellStyle name="Currency 2 3" xfId="2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externalLink" Target="externalLinks/externalLink1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8" Type="http://schemas.openxmlformats.org/officeDocument/2006/relationships/calcChain" Target="calcChain.xml" /><Relationship Id="rId4" Type="http://schemas.openxmlformats.org/officeDocument/2006/relationships/sharedStrings" Target="sharedStrings.xml" /><Relationship Id="rId6" Type="http://schemas.openxmlformats.org/officeDocument/2006/relationships/externalLink" Target="externalLinks/externalLink2.xml" /><Relationship Id="rId3" Type="http://schemas.openxmlformats.org/officeDocument/2006/relationships/styles" Target="styles.xml" /><Relationship Id="rId7" Type="http://schemas.openxmlformats.org/officeDocument/2006/relationships/externalLink" Target="externalLinks/externalLink3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0</xdr:colOff>
      <xdr:row>134</xdr:row>
      <xdr:rowOff>0</xdr:rowOff>
    </xdr:from>
    <xdr:to>
      <xdr:col>14</xdr:col>
      <xdr:colOff>113892</xdr:colOff>
      <xdr:row>165</xdr:row>
      <xdr:rowOff>89832</xdr:rowOff>
    </xdr:to>
    <xdr:pic>
      <xdr:nvPicPr>
        <xdr:cNvPr id="2" name="Picture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23974425"/>
          <a:ext cx="18097500" cy="5105400"/>
        </a:xfrm>
        <a:prstGeom prst="rect"/>
      </xdr:spPr>
    </xdr:pic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FS008\ceiswork\TXUTIL\FINREPT.XLS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X:\My%20Documents\Accts%20Receivable\2003\Journals\September\Uncollectible%20Provision%20for%20FIM%20AR%20-September-Review.xls" TargetMode="External" 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X:\MSO\2001%20Plan\June\Gas_Capex_Presentation.xls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un"/>
      <sheetName val="Sheet2"/>
      <sheetName val="Module1"/>
      <sheetName val="FINREPT"/>
    </sheetNames>
    <definedNames>
      <definedName name="Cancel"/>
      <definedName name="OK"/>
    </definedNames>
    <sheetDataSet>
      <sheetData sheetId="0"/>
      <sheetData sheetId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JOURNAL"/>
      <sheetName val="SUMMARY"/>
      <sheetName val="WORKSHEET WITHOUT CREDITS"/>
      <sheetName val="TOTAL AR PIVOT  without Credits"/>
      <sheetName val="TOTAL AR WITHOUT CREDITS"/>
      <sheetName val="CAPITAL AR PIVOT WITHOUT CREDIT"/>
      <sheetName val="WORKSHEET WITH CREDITS"/>
      <sheetName val="AR PIVOT WITH CREDITS"/>
      <sheetName val="TOTAL AR WITH CREDITS"/>
      <sheetName val="CAPITAL PIVOT WITH CREDITS"/>
      <sheetName val="CR BALANCES"/>
      <sheetName val="BANKRUPTCIES"/>
      <sheetName val="B.R NOT INCLUDED IN CALC."/>
      <sheetName val="LSGD PROBLEM ACCTS"/>
      <sheetName val="GL Balances"/>
      <sheetName val="CURRENT WRITE OFFS"/>
      <sheetName val="ESD AGING"/>
      <sheetName val="TRN AGING"/>
      <sheetName val="LSGD AGING"/>
      <sheetName val="LSP AGING"/>
      <sheetName val="TRN EXCLUSION PIVOT TABLE"/>
      <sheetName val="TRN EXCLUSION DETAIL"/>
      <sheetName val="CAPITAL AR DETAIL"/>
      <sheetName val="Setup"/>
    </sheetNames>
    <sheetDataSet>
      <sheetData sheetId="0">
        <row r="3">
          <cell r="B3" t="str">
            <v>ESD</v>
          </cell>
          <cell r="E3" t="str">
            <v>Date</v>
          </cell>
          <cell r="I3" t="str">
            <v>Document</v>
          </cell>
        </row>
        <row r="4">
          <cell r="C4" t="str">
            <v>Base Curr</v>
          </cell>
        </row>
        <row r="7">
          <cell r="B7" t="str">
            <v>TO RECORD THE PROVISION FOR UNCOLLECTIBLE ACCOUNTS FOR THE FIM AR MODULE</v>
          </cell>
        </row>
        <row r="9">
          <cell r="B9" t="str">
            <v>ESD</v>
          </cell>
          <cell r="C9" t="str">
            <v>521900</v>
          </cell>
          <cell r="D9">
            <v>1440100</v>
          </cell>
          <cell r="E9" t="str">
            <v>000</v>
          </cell>
          <cell r="F9" t="str">
            <v>00000000</v>
          </cell>
          <cell r="G9" t="str">
            <v>0000</v>
          </cell>
          <cell r="H9" t="str">
            <v>0000</v>
          </cell>
          <cell r="J9">
            <v>-813885.22</v>
          </cell>
          <cell r="L9" t="str">
            <v>Misc AR Uncollectible Provision</v>
          </cell>
          <cell r="M9" t="str">
            <v>USD</v>
          </cell>
          <cell r="N9" t="str">
            <v>CRRNT</v>
          </cell>
          <cell r="O9">
            <v>1</v>
          </cell>
          <cell r="P9">
            <v>-254715.84</v>
          </cell>
        </row>
        <row r="10">
          <cell r="B10" t="str">
            <v>ESD</v>
          </cell>
          <cell r="C10" t="str">
            <v>521900</v>
          </cell>
          <cell r="D10">
            <v>9040000</v>
          </cell>
          <cell r="E10" t="str">
            <v>883</v>
          </cell>
          <cell r="F10" t="str">
            <v>00001000</v>
          </cell>
          <cell r="G10" t="str">
            <v>0000</v>
          </cell>
          <cell r="H10" t="str">
            <v>1000</v>
          </cell>
          <cell r="J10">
            <v>813885.22</v>
          </cell>
          <cell r="L10" t="str">
            <v>Misc AR Uncollectible Provision</v>
          </cell>
          <cell r="M10" t="str">
            <v>USD</v>
          </cell>
          <cell r="N10" t="str">
            <v>CRRNT</v>
          </cell>
          <cell r="O10">
            <v>1</v>
          </cell>
          <cell r="P10">
            <v>254715.84</v>
          </cell>
        </row>
        <row r="11">
          <cell r="B11" t="str">
            <v>ESD</v>
          </cell>
          <cell r="C11" t="str">
            <v>521900</v>
          </cell>
          <cell r="D11">
            <v>1440100</v>
          </cell>
          <cell r="E11" t="str">
            <v>000</v>
          </cell>
          <cell r="F11" t="str">
            <v>00000000</v>
          </cell>
          <cell r="G11" t="str">
            <v>0000</v>
          </cell>
          <cell r="H11" t="str">
            <v>0000</v>
          </cell>
          <cell r="J11">
            <v>29786.67</v>
          </cell>
          <cell r="L11" t="str">
            <v>Reversal of Net Charge-Offs</v>
          </cell>
          <cell r="M11" t="str">
            <v>USD</v>
          </cell>
          <cell r="N11" t="str">
            <v>CRRNT</v>
          </cell>
          <cell r="O11">
            <v>1</v>
          </cell>
          <cell r="P11">
            <v>29786.67</v>
          </cell>
        </row>
        <row r="12">
          <cell r="B12" t="str">
            <v>ESD</v>
          </cell>
          <cell r="C12" t="str">
            <v>521900</v>
          </cell>
          <cell r="D12">
            <v>9040000</v>
          </cell>
          <cell r="E12" t="str">
            <v>883</v>
          </cell>
          <cell r="F12" t="str">
            <v>00001000</v>
          </cell>
          <cell r="G12" t="str">
            <v>0000</v>
          </cell>
          <cell r="H12" t="str">
            <v>1000</v>
          </cell>
          <cell r="J12">
            <v>-29786.67</v>
          </cell>
          <cell r="L12" t="str">
            <v>Reversal of Net Charge-Offs</v>
          </cell>
          <cell r="M12" t="str">
            <v>USD</v>
          </cell>
          <cell r="N12" t="str">
            <v>CRRNT</v>
          </cell>
          <cell r="O12">
            <v>1</v>
          </cell>
          <cell r="P12">
            <v>-29786.67</v>
          </cell>
        </row>
        <row r="13">
          <cell r="B13" t="str">
            <v>LSGD</v>
          </cell>
          <cell r="C13" t="str">
            <v>140090</v>
          </cell>
          <cell r="D13">
            <v>1440100</v>
          </cell>
          <cell r="E13" t="str">
            <v>000</v>
          </cell>
          <cell r="F13" t="str">
            <v>00000000</v>
          </cell>
          <cell r="G13" t="str">
            <v>0000</v>
          </cell>
          <cell r="H13" t="str">
            <v>0000</v>
          </cell>
          <cell r="J13">
            <v>-250935.15</v>
          </cell>
          <cell r="L13" t="str">
            <v>Misc AR Uncollectible Provision</v>
          </cell>
          <cell r="M13" t="str">
            <v>USD</v>
          </cell>
          <cell r="N13" t="str">
            <v>CRRNT</v>
          </cell>
          <cell r="O13">
            <v>1</v>
          </cell>
          <cell r="P13">
            <v>-86175.8</v>
          </cell>
        </row>
        <row r="14">
          <cell r="B14" t="str">
            <v>LSGD</v>
          </cell>
          <cell r="C14" t="str">
            <v>140090</v>
          </cell>
          <cell r="D14">
            <v>9040001</v>
          </cell>
          <cell r="E14" t="str">
            <v>883</v>
          </cell>
          <cell r="F14" t="str">
            <v>00001473</v>
          </cell>
          <cell r="G14" t="str">
            <v>8171</v>
          </cell>
          <cell r="H14" t="str">
            <v>1473</v>
          </cell>
          <cell r="J14">
            <v>250935.15</v>
          </cell>
          <cell r="L14" t="str">
            <v>Misc AR Uncollectible Provision</v>
          </cell>
          <cell r="M14" t="str">
            <v>USD</v>
          </cell>
          <cell r="N14" t="str">
            <v>CRRNT</v>
          </cell>
          <cell r="O14">
            <v>1</v>
          </cell>
          <cell r="P14">
            <v>86175.8</v>
          </cell>
        </row>
        <row r="15">
          <cell r="B15" t="str">
            <v>LSGD</v>
          </cell>
          <cell r="C15" t="str">
            <v>140090</v>
          </cell>
          <cell r="D15">
            <v>1440100</v>
          </cell>
          <cell r="E15" t="str">
            <v>000</v>
          </cell>
          <cell r="F15" t="str">
            <v>00000000</v>
          </cell>
          <cell r="G15" t="str">
            <v>0000</v>
          </cell>
          <cell r="H15" t="str">
            <v>0000</v>
          </cell>
          <cell r="J15">
            <v>154.68</v>
          </cell>
          <cell r="L15" t="str">
            <v>Reversal of Net Charge-Offs</v>
          </cell>
          <cell r="M15" t="str">
            <v>USD</v>
          </cell>
          <cell r="N15" t="str">
            <v>CRRNT</v>
          </cell>
          <cell r="O15">
            <v>1</v>
          </cell>
          <cell r="P15">
            <v>154.68</v>
          </cell>
        </row>
        <row r="16">
          <cell r="B16" t="str">
            <v>LSGD</v>
          </cell>
          <cell r="C16" t="str">
            <v>140090</v>
          </cell>
          <cell r="D16">
            <v>9040001</v>
          </cell>
          <cell r="E16" t="str">
            <v>883</v>
          </cell>
          <cell r="F16" t="str">
            <v>00001473</v>
          </cell>
          <cell r="G16" t="str">
            <v>8171</v>
          </cell>
          <cell r="H16" t="str">
            <v>1473</v>
          </cell>
          <cell r="J16">
            <v>-154.68</v>
          </cell>
          <cell r="L16" t="str">
            <v>Reversal of Net Charge-Offs</v>
          </cell>
          <cell r="M16" t="str">
            <v>USD</v>
          </cell>
          <cell r="N16" t="str">
            <v>CRRNT</v>
          </cell>
          <cell r="O16">
            <v>1</v>
          </cell>
          <cell r="P16">
            <v>-154.68</v>
          </cell>
        </row>
        <row r="17">
          <cell r="B17" t="str">
            <v>TRN</v>
          </cell>
          <cell r="C17" t="str">
            <v>571900</v>
          </cell>
          <cell r="D17">
            <v>1440100</v>
          </cell>
          <cell r="E17" t="str">
            <v>000</v>
          </cell>
          <cell r="F17" t="str">
            <v>00000000</v>
          </cell>
          <cell r="G17" t="str">
            <v>0000</v>
          </cell>
          <cell r="H17" t="str">
            <v>0000</v>
          </cell>
          <cell r="J17" t="e">
            <v>#REF!</v>
          </cell>
          <cell r="L17" t="str">
            <v>Misc AR Uncollectible Provision</v>
          </cell>
          <cell r="M17" t="str">
            <v>USD</v>
          </cell>
          <cell r="N17" t="str">
            <v>CRRNT</v>
          </cell>
          <cell r="O17">
            <v>1</v>
          </cell>
          <cell r="P17">
            <v>-253498.04</v>
          </cell>
        </row>
        <row r="18">
          <cell r="B18" t="str">
            <v>TRN</v>
          </cell>
          <cell r="C18" t="str">
            <v>571900</v>
          </cell>
          <cell r="D18">
            <v>9040000</v>
          </cell>
          <cell r="E18" t="str">
            <v>883</v>
          </cell>
          <cell r="F18" t="str">
            <v>0000SUPT</v>
          </cell>
          <cell r="G18" t="str">
            <v>0000</v>
          </cell>
          <cell r="H18" t="str">
            <v>9010</v>
          </cell>
          <cell r="J18" t="e">
            <v>#REF!</v>
          </cell>
          <cell r="L18" t="str">
            <v>Misc AR Uncollectible Provision</v>
          </cell>
          <cell r="M18" t="str">
            <v>USD</v>
          </cell>
          <cell r="N18" t="str">
            <v>CRRNT</v>
          </cell>
          <cell r="O18">
            <v>1</v>
          </cell>
          <cell r="P18">
            <v>253498.04</v>
          </cell>
        </row>
        <row r="19">
          <cell r="B19" t="str">
            <v>TRN</v>
          </cell>
          <cell r="C19" t="str">
            <v>571900</v>
          </cell>
          <cell r="D19">
            <v>1440100</v>
          </cell>
          <cell r="E19" t="str">
            <v>000</v>
          </cell>
          <cell r="F19" t="str">
            <v>00000000</v>
          </cell>
          <cell r="G19" t="str">
            <v>0000</v>
          </cell>
          <cell r="H19" t="str">
            <v>0000</v>
          </cell>
          <cell r="J19">
            <v>0.11</v>
          </cell>
          <cell r="L19" t="str">
            <v>Reversal of Net Charge-Offs</v>
          </cell>
          <cell r="M19" t="str">
            <v>USD</v>
          </cell>
          <cell r="N19" t="str">
            <v>CRRNT</v>
          </cell>
          <cell r="O19">
            <v>1</v>
          </cell>
          <cell r="P19">
            <v>0.11</v>
          </cell>
        </row>
        <row r="20">
          <cell r="B20" t="str">
            <v>TRN</v>
          </cell>
          <cell r="C20" t="str">
            <v>571900</v>
          </cell>
          <cell r="D20">
            <v>9040000</v>
          </cell>
          <cell r="E20" t="str">
            <v>883</v>
          </cell>
          <cell r="F20" t="str">
            <v>0000SUPT</v>
          </cell>
          <cell r="G20" t="str">
            <v>0000</v>
          </cell>
          <cell r="H20" t="str">
            <v>9010</v>
          </cell>
          <cell r="J20">
            <v>-0.11</v>
          </cell>
          <cell r="L20" t="str">
            <v>Reversal of Net Charge-Offs</v>
          </cell>
          <cell r="M20" t="str">
            <v>USD</v>
          </cell>
          <cell r="N20" t="str">
            <v>CRRNT</v>
          </cell>
          <cell r="O20">
            <v>1</v>
          </cell>
          <cell r="P20">
            <v>-0.11</v>
          </cell>
        </row>
        <row r="21">
          <cell r="F21" t="str">
            <v> Please make sure there are no Journal Lines below this End of File Marker</v>
          </cell>
        </row>
        <row r="22">
          <cell r="F22" t="str">
            <v> </v>
          </cell>
        </row>
        <row r="23">
          <cell r="F23" t="str">
            <v> </v>
          </cell>
        </row>
        <row r="24">
          <cell r="F24" t="str">
            <v> </v>
          </cell>
        </row>
        <row r="25">
          <cell r="F25" t="str">
            <v> </v>
          </cell>
        </row>
        <row r="26">
          <cell r="K26" t="str">
            <v>   </v>
          </cell>
        </row>
        <row r="27">
          <cell r="K27" t="str">
            <v>   </v>
          </cell>
        </row>
        <row r="28">
          <cell r="K28" t="str">
            <v>   </v>
          </cell>
        </row>
        <row r="29">
          <cell r="K29" t="str">
            <v>   </v>
          </cell>
        </row>
        <row r="30">
          <cell r="K30" t="str">
            <v>   </v>
          </cell>
        </row>
        <row r="31">
          <cell r="K31" t="str">
            <v>   </v>
          </cell>
        </row>
        <row r="32">
          <cell r="K32" t="str">
            <v>   </v>
          </cell>
        </row>
        <row r="33">
          <cell r="K33" t="str">
            <v>   </v>
          </cell>
        </row>
        <row r="34">
          <cell r="K34" t="str">
            <v>   </v>
          </cell>
        </row>
        <row r="35">
          <cell r="K35" t="str">
            <v>   </v>
          </cell>
        </row>
        <row r="36">
          <cell r="K36" t="str">
            <v>   </v>
          </cell>
        </row>
        <row r="37">
          <cell r="K37" t="str">
            <v>   </v>
          </cell>
        </row>
        <row r="38">
          <cell r="K38" t="str">
            <v>   </v>
          </cell>
        </row>
        <row r="39">
          <cell r="K39" t="str">
            <v>   </v>
          </cell>
        </row>
        <row r="40">
          <cell r="K40" t="str">
            <v>   </v>
          </cell>
        </row>
        <row r="41">
          <cell r="K41" t="str">
            <v>   </v>
          </cell>
        </row>
        <row r="42">
          <cell r="K42" t="str">
            <v>   </v>
          </cell>
        </row>
        <row r="43">
          <cell r="K43" t="str">
            <v>   </v>
          </cell>
        </row>
        <row r="44">
          <cell r="K44" t="str">
            <v>   </v>
          </cell>
        </row>
        <row r="45">
          <cell r="K45" t="str">
            <v>   </v>
          </cell>
        </row>
        <row r="46">
          <cell r="K46" t="str">
            <v>   </v>
          </cell>
        </row>
        <row r="47">
          <cell r="K47" t="str">
            <v>   </v>
          </cell>
        </row>
        <row r="48">
          <cell r="K48" t="str">
            <v>   </v>
          </cell>
        </row>
        <row r="49">
          <cell r="K49" t="str">
            <v>   </v>
          </cell>
        </row>
        <row r="50">
          <cell r="K50" t="str">
            <v>   </v>
          </cell>
        </row>
        <row r="51">
          <cell r="K51" t="str">
            <v>   </v>
          </cell>
        </row>
        <row r="52">
          <cell r="K52" t="str">
            <v>   </v>
          </cell>
        </row>
        <row r="53">
          <cell r="K53" t="str">
            <v>   </v>
          </cell>
        </row>
        <row r="54">
          <cell r="K54" t="str">
            <v>   </v>
          </cell>
        </row>
        <row r="55">
          <cell r="K55" t="str">
            <v>   </v>
          </cell>
        </row>
        <row r="56">
          <cell r="K56" t="str">
            <v>   </v>
          </cell>
        </row>
        <row r="57">
          <cell r="K57" t="str">
            <v>   </v>
          </cell>
        </row>
        <row r="58">
          <cell r="K58" t="str">
            <v>   </v>
          </cell>
        </row>
        <row r="59">
          <cell r="K59" t="str">
            <v>   </v>
          </cell>
        </row>
        <row r="60">
          <cell r="K60" t="str">
            <v>   </v>
          </cell>
        </row>
        <row r="61">
          <cell r="K61" t="str">
            <v>   </v>
          </cell>
        </row>
        <row r="62">
          <cell r="K62" t="str">
            <v>   </v>
          </cell>
        </row>
        <row r="63">
          <cell r="K63" t="str">
            <v>   </v>
          </cell>
        </row>
        <row r="64">
          <cell r="K64" t="str">
            <v>   </v>
          </cell>
        </row>
        <row r="65">
          <cell r="K65" t="str">
            <v>   </v>
          </cell>
        </row>
        <row r="66">
          <cell r="K66" t="str">
            <v>   </v>
          </cell>
        </row>
        <row r="68">
          <cell r="K68" t="str">
            <v> </v>
          </cell>
        </row>
        <row r="69">
          <cell r="K69" t="str">
            <v> </v>
          </cell>
        </row>
        <row r="70">
          <cell r="K70" t="str">
            <v> </v>
          </cell>
        </row>
        <row r="71">
          <cell r="K71" t="str">
            <v> </v>
          </cell>
        </row>
        <row r="72">
          <cell r="K72" t="str">
            <v> </v>
          </cell>
        </row>
        <row r="73">
          <cell r="K73" t="str">
            <v> </v>
          </cell>
        </row>
        <row r="74">
          <cell r="K74" t="str">
            <v> </v>
          </cell>
        </row>
        <row r="75">
          <cell r="K75" t="str">
            <v> </v>
          </cell>
        </row>
        <row r="76">
          <cell r="K76" t="str">
            <v> </v>
          </cell>
        </row>
        <row r="77">
          <cell r="K77" t="str">
            <v> </v>
          </cell>
        </row>
        <row r="78">
          <cell r="K78" t="str">
            <v> </v>
          </cell>
        </row>
        <row r="79">
          <cell r="K79" t="str">
            <v> </v>
          </cell>
        </row>
        <row r="80">
          <cell r="K80" t="str">
            <v> </v>
          </cell>
        </row>
        <row r="81">
          <cell r="K81" t="str">
            <v> </v>
          </cell>
        </row>
        <row r="82">
          <cell r="K82" t="str">
            <v> </v>
          </cell>
        </row>
        <row r="83">
          <cell r="K83" t="str">
            <v> </v>
          </cell>
        </row>
        <row r="84">
          <cell r="K84" t="str">
            <v> </v>
          </cell>
        </row>
        <row r="85">
          <cell r="K85" t="str">
            <v> </v>
          </cell>
          <cell r="N85" t="str">
            <v>     </v>
          </cell>
        </row>
        <row r="86">
          <cell r="K86" t="str">
            <v> </v>
          </cell>
          <cell r="N86" t="str">
            <v>     </v>
          </cell>
        </row>
        <row r="87">
          <cell r="K87" t="str">
            <v> </v>
          </cell>
          <cell r="N87" t="str">
            <v>     </v>
          </cell>
        </row>
        <row r="88">
          <cell r="K88" t="str">
            <v> </v>
          </cell>
          <cell r="N88" t="str">
            <v>     </v>
          </cell>
        </row>
        <row r="89">
          <cell r="K89" t="str">
            <v> </v>
          </cell>
          <cell r="N89" t="str">
            <v>     </v>
          </cell>
        </row>
        <row r="90">
          <cell r="K90" t="str">
            <v> </v>
          </cell>
          <cell r="N90" t="str">
            <v>     </v>
          </cell>
        </row>
        <row r="91">
          <cell r="K91" t="str">
            <v> </v>
          </cell>
          <cell r="N91" t="str">
            <v>     </v>
          </cell>
        </row>
        <row r="92">
          <cell r="K92" t="str">
            <v> </v>
          </cell>
          <cell r="N92" t="str">
            <v>     </v>
          </cell>
        </row>
        <row r="93">
          <cell r="K93" t="str">
            <v> </v>
          </cell>
          <cell r="N93" t="str">
            <v>     </v>
          </cell>
        </row>
        <row r="94">
          <cell r="K94" t="str">
            <v> </v>
          </cell>
          <cell r="N94" t="str">
            <v>     </v>
          </cell>
        </row>
        <row r="95">
          <cell r="K95" t="str">
            <v> </v>
          </cell>
          <cell r="N95" t="str">
            <v>     </v>
          </cell>
        </row>
        <row r="96">
          <cell r="K96" t="str">
            <v> </v>
          </cell>
          <cell r="N96" t="str">
            <v>     </v>
          </cell>
        </row>
        <row r="97">
          <cell r="K97" t="str">
            <v> </v>
          </cell>
          <cell r="N97" t="str">
            <v>     </v>
          </cell>
        </row>
        <row r="98">
          <cell r="K98" t="str">
            <v> </v>
          </cell>
          <cell r="N98" t="str">
            <v>     </v>
          </cell>
        </row>
        <row r="99">
          <cell r="K99" t="str">
            <v> </v>
          </cell>
          <cell r="N99" t="str">
            <v>     </v>
          </cell>
        </row>
        <row r="100">
          <cell r="K100" t="str">
            <v> </v>
          </cell>
          <cell r="N100" t="str">
            <v>     </v>
          </cell>
        </row>
        <row r="101">
          <cell r="K101" t="str">
            <v> </v>
          </cell>
          <cell r="N101" t="str">
            <v>     </v>
          </cell>
        </row>
        <row r="102">
          <cell r="K102" t="str">
            <v> </v>
          </cell>
          <cell r="N102" t="str">
            <v>     </v>
          </cell>
        </row>
        <row r="103">
          <cell r="K103" t="str">
            <v> </v>
          </cell>
          <cell r="N103" t="str">
            <v>     </v>
          </cell>
        </row>
        <row r="104">
          <cell r="K104" t="str">
            <v> </v>
          </cell>
          <cell r="N104" t="str">
            <v>     </v>
          </cell>
        </row>
        <row r="105">
          <cell r="K105" t="str">
            <v> </v>
          </cell>
          <cell r="N105" t="str">
            <v>     </v>
          </cell>
        </row>
        <row r="106">
          <cell r="K106" t="str">
            <v> </v>
          </cell>
          <cell r="N106" t="str">
            <v>     </v>
          </cell>
        </row>
        <row r="107">
          <cell r="K107" t="str">
            <v> </v>
          </cell>
          <cell r="N107" t="str">
            <v>     </v>
          </cell>
        </row>
        <row r="108">
          <cell r="K108" t="str">
            <v> </v>
          </cell>
          <cell r="N108" t="str">
            <v>     </v>
          </cell>
        </row>
        <row r="109">
          <cell r="K109" t="str">
            <v> </v>
          </cell>
          <cell r="N109" t="str">
            <v>     </v>
          </cell>
        </row>
        <row r="110">
          <cell r="K110" t="str">
            <v> </v>
          </cell>
          <cell r="N110" t="str">
            <v>     </v>
          </cell>
        </row>
        <row r="111">
          <cell r="K111" t="str">
            <v> </v>
          </cell>
          <cell r="N111" t="str">
            <v>     </v>
          </cell>
        </row>
        <row r="112">
          <cell r="K112" t="str">
            <v> </v>
          </cell>
          <cell r="N112" t="str">
            <v>     </v>
          </cell>
        </row>
        <row r="113">
          <cell r="K113" t="str">
            <v> </v>
          </cell>
          <cell r="N113" t="str">
            <v>     </v>
          </cell>
        </row>
        <row r="114">
          <cell r="K114" t="str">
            <v> </v>
          </cell>
          <cell r="N114" t="str">
            <v>     </v>
          </cell>
        </row>
        <row r="115">
          <cell r="K115" t="str">
            <v> </v>
          </cell>
          <cell r="N115" t="str">
            <v>     </v>
          </cell>
        </row>
        <row r="116">
          <cell r="K116" t="str">
            <v> </v>
          </cell>
          <cell r="N116" t="str">
            <v>     </v>
          </cell>
        </row>
        <row r="117">
          <cell r="K117" t="str">
            <v> </v>
          </cell>
          <cell r="N117" t="str">
            <v>     </v>
          </cell>
        </row>
        <row r="118">
          <cell r="K118" t="str">
            <v> </v>
          </cell>
          <cell r="N118" t="str">
            <v>     </v>
          </cell>
        </row>
        <row r="119">
          <cell r="K119" t="str">
            <v> </v>
          </cell>
          <cell r="N119" t="str">
            <v>     </v>
          </cell>
        </row>
        <row r="120">
          <cell r="K120" t="str">
            <v> </v>
          </cell>
          <cell r="N120" t="str">
            <v>     </v>
          </cell>
        </row>
        <row r="121">
          <cell r="K121" t="str">
            <v> </v>
          </cell>
          <cell r="N121" t="str">
            <v>     </v>
          </cell>
        </row>
        <row r="122">
          <cell r="K122" t="str">
            <v> </v>
          </cell>
          <cell r="N122" t="str">
            <v>     </v>
          </cell>
        </row>
        <row r="123">
          <cell r="K123" t="str">
            <v> </v>
          </cell>
          <cell r="N123" t="str">
            <v>     </v>
          </cell>
        </row>
        <row r="124">
          <cell r="K124" t="str">
            <v> </v>
          </cell>
          <cell r="N124" t="str">
            <v>     </v>
          </cell>
        </row>
        <row r="125">
          <cell r="K125" t="str">
            <v> </v>
          </cell>
          <cell r="N125" t="str">
            <v>     </v>
          </cell>
        </row>
        <row r="126">
          <cell r="K126" t="str">
            <v> </v>
          </cell>
          <cell r="N126" t="str">
            <v>     </v>
          </cell>
        </row>
        <row r="127">
          <cell r="K127" t="str">
            <v> </v>
          </cell>
          <cell r="N127" t="str">
            <v>     </v>
          </cell>
        </row>
        <row r="128">
          <cell r="K128" t="str">
            <v> </v>
          </cell>
          <cell r="N128" t="str">
            <v>     </v>
          </cell>
        </row>
        <row r="129">
          <cell r="K129" t="str">
            <v> </v>
          </cell>
          <cell r="N129" t="str">
            <v>     </v>
          </cell>
        </row>
        <row r="130">
          <cell r="K130" t="str">
            <v> </v>
          </cell>
          <cell r="N130" t="str">
            <v>     </v>
          </cell>
        </row>
        <row r="131">
          <cell r="K131" t="str">
            <v> </v>
          </cell>
          <cell r="N131" t="str">
            <v>     </v>
          </cell>
        </row>
        <row r="132">
          <cell r="K132" t="str">
            <v> </v>
          </cell>
          <cell r="N132" t="str">
            <v>     </v>
          </cell>
        </row>
        <row r="133">
          <cell r="K133" t="str">
            <v> </v>
          </cell>
          <cell r="N133" t="str">
            <v>     </v>
          </cell>
        </row>
        <row r="134">
          <cell r="K134" t="str">
            <v> </v>
          </cell>
          <cell r="N134" t="str">
            <v>     </v>
          </cell>
        </row>
        <row r="135">
          <cell r="K135" t="str">
            <v> </v>
          </cell>
          <cell r="N135" t="str">
            <v>     </v>
          </cell>
        </row>
        <row r="136">
          <cell r="K136" t="str">
            <v> </v>
          </cell>
          <cell r="N136" t="str">
            <v>     </v>
          </cell>
        </row>
        <row r="137">
          <cell r="K137" t="str">
            <v> </v>
          </cell>
          <cell r="N137" t="str">
            <v>     </v>
          </cell>
        </row>
        <row r="138">
          <cell r="K138" t="str">
            <v> </v>
          </cell>
          <cell r="N138" t="str">
            <v>     </v>
          </cell>
        </row>
        <row r="139">
          <cell r="K139" t="str">
            <v> </v>
          </cell>
          <cell r="N139" t="str">
            <v>     </v>
          </cell>
        </row>
        <row r="140">
          <cell r="K140" t="str">
            <v> </v>
          </cell>
          <cell r="N140" t="str">
            <v>     </v>
          </cell>
        </row>
        <row r="141">
          <cell r="K141" t="str">
            <v> </v>
          </cell>
          <cell r="N141" t="str">
            <v>     </v>
          </cell>
        </row>
        <row r="142">
          <cell r="K142" t="str">
            <v> </v>
          </cell>
          <cell r="N142" t="str">
            <v>     </v>
          </cell>
        </row>
        <row r="143">
          <cell r="K143" t="str">
            <v> </v>
          </cell>
          <cell r="N143" t="str">
            <v>     </v>
          </cell>
        </row>
        <row r="144">
          <cell r="K144" t="str">
            <v> </v>
          </cell>
          <cell r="N144" t="str">
            <v>     </v>
          </cell>
        </row>
        <row r="145">
          <cell r="K145" t="str">
            <v> </v>
          </cell>
          <cell r="N145" t="str">
            <v>     </v>
          </cell>
        </row>
        <row r="146">
          <cell r="K146" t="str">
            <v> </v>
          </cell>
          <cell r="N146" t="str">
            <v>     </v>
          </cell>
        </row>
        <row r="147">
          <cell r="K147" t="str">
            <v> </v>
          </cell>
          <cell r="N147" t="str">
            <v>     </v>
          </cell>
        </row>
        <row r="148">
          <cell r="K148" t="str">
            <v> </v>
          </cell>
          <cell r="N148" t="str">
            <v>     </v>
          </cell>
        </row>
        <row r="149">
          <cell r="K149" t="str">
            <v> </v>
          </cell>
          <cell r="N149" t="str">
            <v>     </v>
          </cell>
        </row>
        <row r="150">
          <cell r="K150" t="str">
            <v> </v>
          </cell>
          <cell r="N150" t="str">
            <v>     </v>
          </cell>
        </row>
        <row r="151">
          <cell r="K151" t="str">
            <v> </v>
          </cell>
          <cell r="N151" t="str">
            <v>     </v>
          </cell>
        </row>
        <row r="152">
          <cell r="K152" t="str">
            <v> </v>
          </cell>
          <cell r="N152" t="str">
            <v>     </v>
          </cell>
        </row>
        <row r="153">
          <cell r="K153" t="str">
            <v> </v>
          </cell>
          <cell r="N153" t="str">
            <v>     </v>
          </cell>
        </row>
        <row r="154">
          <cell r="K154" t="str">
            <v> </v>
          </cell>
          <cell r="N154" t="str">
            <v>     </v>
          </cell>
        </row>
        <row r="155">
          <cell r="K155" t="str">
            <v> </v>
          </cell>
          <cell r="N155" t="str">
            <v>     </v>
          </cell>
        </row>
        <row r="156">
          <cell r="K156" t="str">
            <v> </v>
          </cell>
          <cell r="N156" t="str">
            <v>     </v>
          </cell>
        </row>
        <row r="157">
          <cell r="K157" t="str">
            <v> </v>
          </cell>
          <cell r="N157" t="str">
            <v>     </v>
          </cell>
        </row>
        <row r="158">
          <cell r="K158" t="str">
            <v> </v>
          </cell>
          <cell r="N158" t="str">
            <v>     </v>
          </cell>
        </row>
        <row r="159">
          <cell r="K159" t="str">
            <v> </v>
          </cell>
          <cell r="N159" t="str">
            <v>     </v>
          </cell>
        </row>
        <row r="160">
          <cell r="K160" t="str">
            <v> </v>
          </cell>
          <cell r="N160" t="str">
            <v>     </v>
          </cell>
        </row>
        <row r="161">
          <cell r="K161" t="str">
            <v> </v>
          </cell>
          <cell r="N161" t="str">
            <v>     </v>
          </cell>
        </row>
        <row r="162">
          <cell r="K162" t="str">
            <v> </v>
          </cell>
          <cell r="N162" t="str">
            <v>     </v>
          </cell>
        </row>
        <row r="163">
          <cell r="K163" t="str">
            <v> </v>
          </cell>
          <cell r="N163" t="str">
            <v>     </v>
          </cell>
        </row>
        <row r="164">
          <cell r="K164" t="str">
            <v> </v>
          </cell>
          <cell r="N164" t="str">
            <v>     </v>
          </cell>
        </row>
        <row r="165">
          <cell r="K165" t="str">
            <v> </v>
          </cell>
          <cell r="N165" t="str">
            <v>     </v>
          </cell>
        </row>
        <row r="166">
          <cell r="K166" t="str">
            <v> </v>
          </cell>
          <cell r="N166" t="str">
            <v>     </v>
          </cell>
        </row>
        <row r="167">
          <cell r="K167" t="str">
            <v> </v>
          </cell>
          <cell r="N167" t="str">
            <v>     </v>
          </cell>
        </row>
        <row r="168">
          <cell r="K168" t="str">
            <v> </v>
          </cell>
          <cell r="N168" t="str">
            <v>     </v>
          </cell>
        </row>
        <row r="169">
          <cell r="K169" t="str">
            <v> </v>
          </cell>
          <cell r="N169" t="str">
            <v>     </v>
          </cell>
        </row>
        <row r="170">
          <cell r="K170" t="str">
            <v> </v>
          </cell>
          <cell r="N170" t="str">
            <v>     </v>
          </cell>
        </row>
        <row r="171">
          <cell r="K171" t="str">
            <v> </v>
          </cell>
          <cell r="N171" t="str">
            <v>     </v>
          </cell>
        </row>
        <row r="172">
          <cell r="K172" t="str">
            <v> </v>
          </cell>
          <cell r="N172" t="str">
            <v>     </v>
          </cell>
        </row>
        <row r="173">
          <cell r="K173" t="str">
            <v> </v>
          </cell>
          <cell r="N173" t="str">
            <v>     </v>
          </cell>
        </row>
        <row r="174">
          <cell r="K174" t="str">
            <v> </v>
          </cell>
          <cell r="N174" t="str">
            <v>     </v>
          </cell>
        </row>
        <row r="175">
          <cell r="K175" t="str">
            <v> </v>
          </cell>
          <cell r="N175" t="str">
            <v>     </v>
          </cell>
        </row>
        <row r="176">
          <cell r="K176" t="str">
            <v> </v>
          </cell>
          <cell r="N176" t="str">
            <v>     </v>
          </cell>
        </row>
        <row r="177">
          <cell r="K177" t="str">
            <v> </v>
          </cell>
          <cell r="N177" t="str">
            <v>     </v>
          </cell>
        </row>
        <row r="178">
          <cell r="K178" t="str">
            <v> </v>
          </cell>
          <cell r="N178" t="str">
            <v>     </v>
          </cell>
        </row>
        <row r="179">
          <cell r="K179" t="str">
            <v> </v>
          </cell>
          <cell r="N179" t="str">
            <v>     </v>
          </cell>
        </row>
        <row r="180">
          <cell r="K180" t="str">
            <v> </v>
          </cell>
          <cell r="N180" t="str">
            <v>     </v>
          </cell>
        </row>
        <row r="181">
          <cell r="K181" t="str">
            <v> </v>
          </cell>
          <cell r="N181" t="str">
            <v>     </v>
          </cell>
        </row>
        <row r="182">
          <cell r="K182" t="str">
            <v> </v>
          </cell>
          <cell r="N182" t="str">
            <v>     </v>
          </cell>
        </row>
        <row r="183">
          <cell r="K183" t="str">
            <v> </v>
          </cell>
          <cell r="N183" t="str">
            <v>     </v>
          </cell>
        </row>
        <row r="184">
          <cell r="K184" t="str">
            <v> </v>
          </cell>
          <cell r="N184" t="str">
            <v>     </v>
          </cell>
        </row>
        <row r="185">
          <cell r="K185" t="str">
            <v> </v>
          </cell>
          <cell r="N185" t="str">
            <v>     </v>
          </cell>
        </row>
        <row r="186">
          <cell r="K186" t="str">
            <v> </v>
          </cell>
          <cell r="N186" t="str">
            <v>     </v>
          </cell>
        </row>
        <row r="187">
          <cell r="K187" t="str">
            <v> </v>
          </cell>
          <cell r="N187" t="str">
            <v>     </v>
          </cell>
        </row>
        <row r="188">
          <cell r="K188" t="str">
            <v> </v>
          </cell>
          <cell r="N188" t="str">
            <v>     </v>
          </cell>
        </row>
        <row r="189">
          <cell r="K189" t="str">
            <v> </v>
          </cell>
          <cell r="N189" t="str">
            <v>     </v>
          </cell>
        </row>
        <row r="190">
          <cell r="K190" t="str">
            <v> </v>
          </cell>
          <cell r="N190" t="str">
            <v>     </v>
          </cell>
        </row>
        <row r="191">
          <cell r="K191" t="str">
            <v> </v>
          </cell>
          <cell r="N191" t="str">
            <v>     </v>
          </cell>
        </row>
        <row r="192">
          <cell r="K192" t="str">
            <v> </v>
          </cell>
          <cell r="N192" t="str">
            <v>     </v>
          </cell>
        </row>
        <row r="193">
          <cell r="K193" t="str">
            <v> </v>
          </cell>
          <cell r="N193" t="str">
            <v>     </v>
          </cell>
        </row>
        <row r="194">
          <cell r="K194" t="str">
            <v> </v>
          </cell>
          <cell r="N194" t="str">
            <v>     </v>
          </cell>
        </row>
        <row r="195">
          <cell r="K195" t="str">
            <v> </v>
          </cell>
          <cell r="N195" t="str">
            <v>     </v>
          </cell>
        </row>
        <row r="196">
          <cell r="K196" t="str">
            <v> </v>
          </cell>
          <cell r="N196" t="str">
            <v>     </v>
          </cell>
        </row>
        <row r="197">
          <cell r="K197" t="str">
            <v> </v>
          </cell>
          <cell r="N197" t="str">
            <v>     </v>
          </cell>
        </row>
        <row r="198">
          <cell r="K198" t="str">
            <v> </v>
          </cell>
          <cell r="N198" t="str">
            <v>     </v>
          </cell>
        </row>
        <row r="199">
          <cell r="K199" t="str">
            <v> </v>
          </cell>
          <cell r="N199" t="str">
            <v>     </v>
          </cell>
        </row>
        <row r="200">
          <cell r="K200" t="str">
            <v> </v>
          </cell>
          <cell r="N200" t="str">
            <v>     </v>
          </cell>
        </row>
        <row r="201">
          <cell r="K201" t="str">
            <v> </v>
          </cell>
          <cell r="N201" t="str">
            <v>     </v>
          </cell>
        </row>
        <row r="202">
          <cell r="K202" t="str">
            <v> </v>
          </cell>
          <cell r="N202" t="str">
            <v>     </v>
          </cell>
        </row>
        <row r="203">
          <cell r="K203" t="str">
            <v> </v>
          </cell>
          <cell r="N203" t="str">
            <v>     </v>
          </cell>
        </row>
        <row r="204">
          <cell r="K204" t="str">
            <v> </v>
          </cell>
          <cell r="N204" t="str">
            <v>     </v>
          </cell>
        </row>
        <row r="205">
          <cell r="K205" t="str">
            <v> </v>
          </cell>
          <cell r="N205" t="str">
            <v>     </v>
          </cell>
        </row>
        <row r="206">
          <cell r="K206" t="str">
            <v> </v>
          </cell>
          <cell r="N206" t="str">
            <v>     </v>
          </cell>
        </row>
        <row r="207">
          <cell r="K207" t="str">
            <v> </v>
          </cell>
          <cell r="N207" t="str">
            <v>     </v>
          </cell>
        </row>
        <row r="208">
          <cell r="K208" t="str">
            <v> </v>
          </cell>
          <cell r="N208" t="str">
            <v>     </v>
          </cell>
        </row>
        <row r="209">
          <cell r="K209" t="str">
            <v> </v>
          </cell>
          <cell r="N209" t="str">
            <v>     </v>
          </cell>
        </row>
        <row r="210">
          <cell r="K210" t="str">
            <v> </v>
          </cell>
          <cell r="N210" t="str">
            <v>     </v>
          </cell>
        </row>
        <row r="211">
          <cell r="K211" t="str">
            <v> </v>
          </cell>
          <cell r="N211" t="str">
            <v>     </v>
          </cell>
        </row>
        <row r="212">
          <cell r="K212" t="str">
            <v> </v>
          </cell>
          <cell r="N212" t="str">
            <v>     </v>
          </cell>
        </row>
        <row r="213">
          <cell r="K213" t="str">
            <v> </v>
          </cell>
          <cell r="N213" t="str">
            <v>     </v>
          </cell>
        </row>
        <row r="214">
          <cell r="K214" t="str">
            <v> </v>
          </cell>
          <cell r="N214" t="str">
            <v>     </v>
          </cell>
        </row>
        <row r="215">
          <cell r="K215" t="str">
            <v> </v>
          </cell>
          <cell r="N215" t="str">
            <v>     </v>
          </cell>
        </row>
        <row r="216">
          <cell r="K216" t="str">
            <v> </v>
          </cell>
          <cell r="N216" t="str">
            <v>     </v>
          </cell>
        </row>
        <row r="217">
          <cell r="K217" t="str">
            <v> </v>
          </cell>
          <cell r="N217" t="str">
            <v>     </v>
          </cell>
        </row>
        <row r="218">
          <cell r="K218" t="str">
            <v> </v>
          </cell>
          <cell r="N218" t="str">
            <v>     </v>
          </cell>
        </row>
        <row r="219">
          <cell r="K219" t="str">
            <v> </v>
          </cell>
          <cell r="N219" t="str">
            <v>     </v>
          </cell>
        </row>
        <row r="220">
          <cell r="K220" t="str">
            <v> </v>
          </cell>
          <cell r="N220" t="str">
            <v>     </v>
          </cell>
        </row>
        <row r="221">
          <cell r="K221" t="str">
            <v> </v>
          </cell>
          <cell r="N221" t="str">
            <v>     </v>
          </cell>
        </row>
        <row r="222">
          <cell r="K222" t="str">
            <v> </v>
          </cell>
          <cell r="N222" t="str">
            <v>     </v>
          </cell>
        </row>
        <row r="223">
          <cell r="K223" t="str">
            <v> </v>
          </cell>
          <cell r="N223" t="str">
            <v>     </v>
          </cell>
        </row>
        <row r="224">
          <cell r="K224" t="str">
            <v> </v>
          </cell>
          <cell r="N224" t="str">
            <v>     </v>
          </cell>
        </row>
        <row r="225">
          <cell r="K225" t="str">
            <v> </v>
          </cell>
          <cell r="N225" t="str">
            <v>     </v>
          </cell>
        </row>
        <row r="226">
          <cell r="K226" t="str">
            <v> </v>
          </cell>
          <cell r="N226" t="str">
            <v>     </v>
          </cell>
        </row>
        <row r="227">
          <cell r="K227" t="str">
            <v> </v>
          </cell>
          <cell r="N227" t="str">
            <v>     </v>
          </cell>
        </row>
        <row r="228">
          <cell r="K228" t="str">
            <v> </v>
          </cell>
          <cell r="N228" t="str">
            <v>     </v>
          </cell>
        </row>
        <row r="229">
          <cell r="K229" t="str">
            <v> </v>
          </cell>
          <cell r="N229" t="str">
            <v>     </v>
          </cell>
        </row>
        <row r="230">
          <cell r="K230" t="str">
            <v> </v>
          </cell>
          <cell r="N230" t="str">
            <v>     </v>
          </cell>
        </row>
        <row r="231">
          <cell r="K231" t="str">
            <v> </v>
          </cell>
          <cell r="N231" t="str">
            <v>     </v>
          </cell>
        </row>
        <row r="232">
          <cell r="K232" t="str">
            <v> </v>
          </cell>
          <cell r="N232" t="str">
            <v>     </v>
          </cell>
        </row>
        <row r="233">
          <cell r="K233" t="str">
            <v> </v>
          </cell>
          <cell r="N233" t="str">
            <v>     </v>
          </cell>
        </row>
        <row r="234">
          <cell r="K234" t="str">
            <v> </v>
          </cell>
          <cell r="N234" t="str">
            <v>     </v>
          </cell>
        </row>
        <row r="235">
          <cell r="K235" t="str">
            <v> </v>
          </cell>
          <cell r="N235" t="str">
            <v>     </v>
          </cell>
        </row>
        <row r="236">
          <cell r="K236" t="str">
            <v> </v>
          </cell>
          <cell r="N236" t="str">
            <v>     </v>
          </cell>
        </row>
        <row r="237">
          <cell r="K237" t="str">
            <v> </v>
          </cell>
          <cell r="N237" t="str">
            <v>     </v>
          </cell>
        </row>
        <row r="238">
          <cell r="K238" t="str">
            <v> </v>
          </cell>
          <cell r="N238" t="str">
            <v>     </v>
          </cell>
        </row>
        <row r="239">
          <cell r="K239" t="str">
            <v> </v>
          </cell>
          <cell r="N239" t="str">
            <v>     </v>
          </cell>
        </row>
        <row r="240">
          <cell r="K240" t="str">
            <v> </v>
          </cell>
          <cell r="N240" t="str">
            <v>     </v>
          </cell>
          <cell r="R240">
            <v>-580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Gas Capital Spend"/>
      <sheetName val="LSGD"/>
      <sheetName val="Gas Capex"/>
    </sheetNames>
    <sheetDataSet>
      <sheetData sheetId="0"/>
      <sheetData sheetId="1">
        <row r="4">
          <cell r="T4" t="str">
            <v>Date</v>
          </cell>
          <cell r="U4" t="str">
            <v>Month</v>
          </cell>
        </row>
        <row r="5">
          <cell r="T5" t="str">
            <v>2001-1</v>
          </cell>
          <cell r="U5" t="str">
            <v>Jan</v>
          </cell>
        </row>
        <row r="6">
          <cell r="T6" t="str">
            <v>2001-3</v>
          </cell>
          <cell r="U6" t="str">
            <v>Mar</v>
          </cell>
        </row>
        <row r="7">
          <cell r="T7" t="str">
            <v>2001-4</v>
          </cell>
          <cell r="U7" t="str">
            <v>Apr</v>
          </cell>
        </row>
        <row r="8">
          <cell r="T8" t="str">
            <v>2001-5</v>
          </cell>
          <cell r="U8" t="str">
            <v>May</v>
          </cell>
        </row>
        <row r="9">
          <cell r="T9" t="str">
            <v>2001-6</v>
          </cell>
          <cell r="U9" t="str">
            <v>Jun</v>
          </cell>
        </row>
        <row r="10">
          <cell r="T10" t="str">
            <v>2001-7</v>
          </cell>
          <cell r="U10" t="str">
            <v>Jul</v>
          </cell>
        </row>
        <row r="11">
          <cell r="T11" t="str">
            <v>2001-8</v>
          </cell>
          <cell r="U11" t="str">
            <v>Aug</v>
          </cell>
        </row>
        <row r="12">
          <cell r="T12" t="str">
            <v>2001-9</v>
          </cell>
          <cell r="U12" t="str">
            <v>Sep</v>
          </cell>
        </row>
        <row r="13">
          <cell r="T13" t="str">
            <v>2001-10</v>
          </cell>
          <cell r="U13" t="str">
            <v>Oct</v>
          </cell>
        </row>
        <row r="14">
          <cell r="T14" t="str">
            <v>2001-11</v>
          </cell>
          <cell r="U14" t="str">
            <v>Nov</v>
          </cell>
        </row>
        <row r="15">
          <cell r="T15" t="str">
            <v>2001-12</v>
          </cell>
          <cell r="U15" t="str">
            <v>Dec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7">
    <tabColor theme="4" tint="0.79998"/>
    <pageSetUpPr fitToPage="1"/>
  </sheetPr>
  <dimension ref="A1:N103"/>
  <sheetViews>
    <sheetView tabSelected="1" zoomScale="80" zoomScaleNormal="80" workbookViewId="0" topLeftCell="A19">
      <selection pane="topLeft" activeCell="I43" sqref="I43"/>
    </sheetView>
  </sheetViews>
  <sheetFormatPr defaultRowHeight="12.75"/>
  <cols>
    <col min="1" max="1" width="36.1428571428571" style="15" customWidth="1"/>
    <col min="2" max="2" width="16.7142857142857" style="15" customWidth="1"/>
    <col min="3" max="3" width="13.1428571428571" style="15" customWidth="1"/>
    <col min="4" max="4" width="19.8571428571429" style="58" customWidth="1"/>
    <col min="5" max="5" width="19.8571428571429" style="15" bestFit="1" customWidth="1"/>
    <col min="6" max="6" width="24.4285714285714" style="3" bestFit="1" customWidth="1"/>
    <col min="7" max="7" width="17.4285714285714" style="15" customWidth="1"/>
    <col min="8" max="8" width="16.8571428571429" style="15" bestFit="1" customWidth="1"/>
    <col min="9" max="9" width="16.2857142857143" style="15" customWidth="1"/>
    <col min="10" max="10" width="14.7142857142857" style="15" bestFit="1" customWidth="1"/>
    <col min="11" max="11" width="13.7142857142857" style="15" bestFit="1" customWidth="1"/>
    <col min="12" max="12" width="14.4285714285714" style="15" bestFit="1" customWidth="1"/>
    <col min="13" max="13" width="19.8571428571429" style="15" customWidth="1"/>
    <col min="14" max="14" width="26.2857142857143" style="15" customWidth="1"/>
    <col min="15" max="15" width="10.1428571428571" style="3" bestFit="1" customWidth="1"/>
    <col min="16" max="256" width="8.71428571428571" style="3"/>
    <col min="257" max="257" width="36.1428571428571" style="3" customWidth="1"/>
    <col min="258" max="258" width="16.7142857142857" style="3" customWidth="1"/>
    <col min="259" max="259" width="13.1428571428571" style="3" customWidth="1"/>
    <col min="260" max="260" width="19.8571428571429" style="3" customWidth="1"/>
    <col min="261" max="261" width="19.8571428571429" style="3" bestFit="1" customWidth="1"/>
    <col min="262" max="262" width="17.1428571428571" style="3" bestFit="1" customWidth="1"/>
    <col min="263" max="263" width="14.7142857142857" style="3" customWidth="1"/>
    <col min="264" max="264" width="16.8571428571429" style="3" bestFit="1" customWidth="1"/>
    <col min="265" max="265" width="16.2857142857143" style="3" customWidth="1"/>
    <col min="266" max="266" width="14.7142857142857" style="3" bestFit="1" customWidth="1"/>
    <col min="267" max="267" width="13.7142857142857" style="3" bestFit="1" customWidth="1"/>
    <col min="268" max="268" width="14.4285714285714" style="3" bestFit="1" customWidth="1"/>
    <col min="269" max="269" width="14.1428571428571" style="3" customWidth="1"/>
    <col min="270" max="270" width="43" style="3" bestFit="1" customWidth="1"/>
    <col min="271" max="512" width="8.71428571428571" style="3"/>
    <col min="513" max="513" width="36.1428571428571" style="3" customWidth="1"/>
    <col min="514" max="514" width="16.7142857142857" style="3" customWidth="1"/>
    <col min="515" max="515" width="13.1428571428571" style="3" customWidth="1"/>
    <col min="516" max="516" width="19.8571428571429" style="3" customWidth="1"/>
    <col min="517" max="517" width="19.8571428571429" style="3" bestFit="1" customWidth="1"/>
    <col min="518" max="518" width="17.1428571428571" style="3" bestFit="1" customWidth="1"/>
    <col min="519" max="519" width="14.7142857142857" style="3" customWidth="1"/>
    <col min="520" max="520" width="16.8571428571429" style="3" bestFit="1" customWidth="1"/>
    <col min="521" max="521" width="16.2857142857143" style="3" customWidth="1"/>
    <col min="522" max="522" width="14.7142857142857" style="3" bestFit="1" customWidth="1"/>
    <col min="523" max="523" width="13.7142857142857" style="3" bestFit="1" customWidth="1"/>
    <col min="524" max="524" width="14.4285714285714" style="3" bestFit="1" customWidth="1"/>
    <col min="525" max="525" width="14.1428571428571" style="3" customWidth="1"/>
    <col min="526" max="526" width="43" style="3" bestFit="1" customWidth="1"/>
    <col min="527" max="768" width="8.71428571428571" style="3"/>
    <col min="769" max="769" width="36.1428571428571" style="3" customWidth="1"/>
    <col min="770" max="770" width="16.7142857142857" style="3" customWidth="1"/>
    <col min="771" max="771" width="13.1428571428571" style="3" customWidth="1"/>
    <col min="772" max="772" width="19.8571428571429" style="3" customWidth="1"/>
    <col min="773" max="773" width="19.8571428571429" style="3" bestFit="1" customWidth="1"/>
    <col min="774" max="774" width="17.1428571428571" style="3" bestFit="1" customWidth="1"/>
    <col min="775" max="775" width="14.7142857142857" style="3" customWidth="1"/>
    <col min="776" max="776" width="16.8571428571429" style="3" bestFit="1" customWidth="1"/>
    <col min="777" max="777" width="16.2857142857143" style="3" customWidth="1"/>
    <col min="778" max="778" width="14.7142857142857" style="3" bestFit="1" customWidth="1"/>
    <col min="779" max="779" width="13.7142857142857" style="3" bestFit="1" customWidth="1"/>
    <col min="780" max="780" width="14.4285714285714" style="3" bestFit="1" customWidth="1"/>
    <col min="781" max="781" width="14.1428571428571" style="3" customWidth="1"/>
    <col min="782" max="782" width="43" style="3" bestFit="1" customWidth="1"/>
    <col min="783" max="1024" width="8.71428571428571" style="3"/>
    <col min="1025" max="1025" width="36.1428571428571" style="3" customWidth="1"/>
    <col min="1026" max="1026" width="16.7142857142857" style="3" customWidth="1"/>
    <col min="1027" max="1027" width="13.1428571428571" style="3" customWidth="1"/>
    <col min="1028" max="1028" width="19.8571428571429" style="3" customWidth="1"/>
    <col min="1029" max="1029" width="19.8571428571429" style="3" bestFit="1" customWidth="1"/>
    <col min="1030" max="1030" width="17.1428571428571" style="3" bestFit="1" customWidth="1"/>
    <col min="1031" max="1031" width="14.7142857142857" style="3" customWidth="1"/>
    <col min="1032" max="1032" width="16.8571428571429" style="3" bestFit="1" customWidth="1"/>
    <col min="1033" max="1033" width="16.2857142857143" style="3" customWidth="1"/>
    <col min="1034" max="1034" width="14.7142857142857" style="3" bestFit="1" customWidth="1"/>
    <col min="1035" max="1035" width="13.7142857142857" style="3" bestFit="1" customWidth="1"/>
    <col min="1036" max="1036" width="14.4285714285714" style="3" bestFit="1" customWidth="1"/>
    <col min="1037" max="1037" width="14.1428571428571" style="3" customWidth="1"/>
    <col min="1038" max="1038" width="43" style="3" bestFit="1" customWidth="1"/>
    <col min="1039" max="1280" width="8.71428571428571" style="3"/>
    <col min="1281" max="1281" width="36.1428571428571" style="3" customWidth="1"/>
    <col min="1282" max="1282" width="16.7142857142857" style="3" customWidth="1"/>
    <col min="1283" max="1283" width="13.1428571428571" style="3" customWidth="1"/>
    <col min="1284" max="1284" width="19.8571428571429" style="3" customWidth="1"/>
    <col min="1285" max="1285" width="19.8571428571429" style="3" bestFit="1" customWidth="1"/>
    <col min="1286" max="1286" width="17.1428571428571" style="3" bestFit="1" customWidth="1"/>
    <col min="1287" max="1287" width="14.7142857142857" style="3" customWidth="1"/>
    <col min="1288" max="1288" width="16.8571428571429" style="3" bestFit="1" customWidth="1"/>
    <col min="1289" max="1289" width="16.2857142857143" style="3" customWidth="1"/>
    <col min="1290" max="1290" width="14.7142857142857" style="3" bestFit="1" customWidth="1"/>
    <col min="1291" max="1291" width="13.7142857142857" style="3" bestFit="1" customWidth="1"/>
    <col min="1292" max="1292" width="14.4285714285714" style="3" bestFit="1" customWidth="1"/>
    <col min="1293" max="1293" width="14.1428571428571" style="3" customWidth="1"/>
    <col min="1294" max="1294" width="43" style="3" bestFit="1" customWidth="1"/>
    <col min="1295" max="1536" width="8.71428571428571" style="3"/>
    <col min="1537" max="1537" width="36.1428571428571" style="3" customWidth="1"/>
    <col min="1538" max="1538" width="16.7142857142857" style="3" customWidth="1"/>
    <col min="1539" max="1539" width="13.1428571428571" style="3" customWidth="1"/>
    <col min="1540" max="1540" width="19.8571428571429" style="3" customWidth="1"/>
    <col min="1541" max="1541" width="19.8571428571429" style="3" bestFit="1" customWidth="1"/>
    <col min="1542" max="1542" width="17.1428571428571" style="3" bestFit="1" customWidth="1"/>
    <col min="1543" max="1543" width="14.7142857142857" style="3" customWidth="1"/>
    <col min="1544" max="1544" width="16.8571428571429" style="3" bestFit="1" customWidth="1"/>
    <col min="1545" max="1545" width="16.2857142857143" style="3" customWidth="1"/>
    <col min="1546" max="1546" width="14.7142857142857" style="3" bestFit="1" customWidth="1"/>
    <col min="1547" max="1547" width="13.7142857142857" style="3" bestFit="1" customWidth="1"/>
    <col min="1548" max="1548" width="14.4285714285714" style="3" bestFit="1" customWidth="1"/>
    <col min="1549" max="1549" width="14.1428571428571" style="3" customWidth="1"/>
    <col min="1550" max="1550" width="43" style="3" bestFit="1" customWidth="1"/>
    <col min="1551" max="1792" width="8.71428571428571" style="3"/>
    <col min="1793" max="1793" width="36.1428571428571" style="3" customWidth="1"/>
    <col min="1794" max="1794" width="16.7142857142857" style="3" customWidth="1"/>
    <col min="1795" max="1795" width="13.1428571428571" style="3" customWidth="1"/>
    <col min="1796" max="1796" width="19.8571428571429" style="3" customWidth="1"/>
    <col min="1797" max="1797" width="19.8571428571429" style="3" bestFit="1" customWidth="1"/>
    <col min="1798" max="1798" width="17.1428571428571" style="3" bestFit="1" customWidth="1"/>
    <col min="1799" max="1799" width="14.7142857142857" style="3" customWidth="1"/>
    <col min="1800" max="1800" width="16.8571428571429" style="3" bestFit="1" customWidth="1"/>
    <col min="1801" max="1801" width="16.2857142857143" style="3" customWidth="1"/>
    <col min="1802" max="1802" width="14.7142857142857" style="3" bestFit="1" customWidth="1"/>
    <col min="1803" max="1803" width="13.7142857142857" style="3" bestFit="1" customWidth="1"/>
    <col min="1804" max="1804" width="14.4285714285714" style="3" bestFit="1" customWidth="1"/>
    <col min="1805" max="1805" width="14.1428571428571" style="3" customWidth="1"/>
    <col min="1806" max="1806" width="43" style="3" bestFit="1" customWidth="1"/>
    <col min="1807" max="2048" width="8.71428571428571" style="3"/>
    <col min="2049" max="2049" width="36.1428571428571" style="3" customWidth="1"/>
    <col min="2050" max="2050" width="16.7142857142857" style="3" customWidth="1"/>
    <col min="2051" max="2051" width="13.1428571428571" style="3" customWidth="1"/>
    <col min="2052" max="2052" width="19.8571428571429" style="3" customWidth="1"/>
    <col min="2053" max="2053" width="19.8571428571429" style="3" bestFit="1" customWidth="1"/>
    <col min="2054" max="2054" width="17.1428571428571" style="3" bestFit="1" customWidth="1"/>
    <col min="2055" max="2055" width="14.7142857142857" style="3" customWidth="1"/>
    <col min="2056" max="2056" width="16.8571428571429" style="3" bestFit="1" customWidth="1"/>
    <col min="2057" max="2057" width="16.2857142857143" style="3" customWidth="1"/>
    <col min="2058" max="2058" width="14.7142857142857" style="3" bestFit="1" customWidth="1"/>
    <col min="2059" max="2059" width="13.7142857142857" style="3" bestFit="1" customWidth="1"/>
    <col min="2060" max="2060" width="14.4285714285714" style="3" bestFit="1" customWidth="1"/>
    <col min="2061" max="2061" width="14.1428571428571" style="3" customWidth="1"/>
    <col min="2062" max="2062" width="43" style="3" bestFit="1" customWidth="1"/>
    <col min="2063" max="2304" width="8.71428571428571" style="3"/>
    <col min="2305" max="2305" width="36.1428571428571" style="3" customWidth="1"/>
    <col min="2306" max="2306" width="16.7142857142857" style="3" customWidth="1"/>
    <col min="2307" max="2307" width="13.1428571428571" style="3" customWidth="1"/>
    <col min="2308" max="2308" width="19.8571428571429" style="3" customWidth="1"/>
    <col min="2309" max="2309" width="19.8571428571429" style="3" bestFit="1" customWidth="1"/>
    <col min="2310" max="2310" width="17.1428571428571" style="3" bestFit="1" customWidth="1"/>
    <col min="2311" max="2311" width="14.7142857142857" style="3" customWidth="1"/>
    <col min="2312" max="2312" width="16.8571428571429" style="3" bestFit="1" customWidth="1"/>
    <col min="2313" max="2313" width="16.2857142857143" style="3" customWidth="1"/>
    <col min="2314" max="2314" width="14.7142857142857" style="3" bestFit="1" customWidth="1"/>
    <col min="2315" max="2315" width="13.7142857142857" style="3" bestFit="1" customWidth="1"/>
    <col min="2316" max="2316" width="14.4285714285714" style="3" bestFit="1" customWidth="1"/>
    <col min="2317" max="2317" width="14.1428571428571" style="3" customWidth="1"/>
    <col min="2318" max="2318" width="43" style="3" bestFit="1" customWidth="1"/>
    <col min="2319" max="2560" width="8.71428571428571" style="3"/>
    <col min="2561" max="2561" width="36.1428571428571" style="3" customWidth="1"/>
    <col min="2562" max="2562" width="16.7142857142857" style="3" customWidth="1"/>
    <col min="2563" max="2563" width="13.1428571428571" style="3" customWidth="1"/>
    <col min="2564" max="2564" width="19.8571428571429" style="3" customWidth="1"/>
    <col min="2565" max="2565" width="19.8571428571429" style="3" bestFit="1" customWidth="1"/>
    <col min="2566" max="2566" width="17.1428571428571" style="3" bestFit="1" customWidth="1"/>
    <col min="2567" max="2567" width="14.7142857142857" style="3" customWidth="1"/>
    <col min="2568" max="2568" width="16.8571428571429" style="3" bestFit="1" customWidth="1"/>
    <col min="2569" max="2569" width="16.2857142857143" style="3" customWidth="1"/>
    <col min="2570" max="2570" width="14.7142857142857" style="3" bestFit="1" customWidth="1"/>
    <col min="2571" max="2571" width="13.7142857142857" style="3" bestFit="1" customWidth="1"/>
    <col min="2572" max="2572" width="14.4285714285714" style="3" bestFit="1" customWidth="1"/>
    <col min="2573" max="2573" width="14.1428571428571" style="3" customWidth="1"/>
    <col min="2574" max="2574" width="43" style="3" bestFit="1" customWidth="1"/>
    <col min="2575" max="2816" width="8.71428571428571" style="3"/>
    <col min="2817" max="2817" width="36.1428571428571" style="3" customWidth="1"/>
    <col min="2818" max="2818" width="16.7142857142857" style="3" customWidth="1"/>
    <col min="2819" max="2819" width="13.1428571428571" style="3" customWidth="1"/>
    <col min="2820" max="2820" width="19.8571428571429" style="3" customWidth="1"/>
    <col min="2821" max="2821" width="19.8571428571429" style="3" bestFit="1" customWidth="1"/>
    <col min="2822" max="2822" width="17.1428571428571" style="3" bestFit="1" customWidth="1"/>
    <col min="2823" max="2823" width="14.7142857142857" style="3" customWidth="1"/>
    <col min="2824" max="2824" width="16.8571428571429" style="3" bestFit="1" customWidth="1"/>
    <col min="2825" max="2825" width="16.2857142857143" style="3" customWidth="1"/>
    <col min="2826" max="2826" width="14.7142857142857" style="3" bestFit="1" customWidth="1"/>
    <col min="2827" max="2827" width="13.7142857142857" style="3" bestFit="1" customWidth="1"/>
    <col min="2828" max="2828" width="14.4285714285714" style="3" bestFit="1" customWidth="1"/>
    <col min="2829" max="2829" width="14.1428571428571" style="3" customWidth="1"/>
    <col min="2830" max="2830" width="43" style="3" bestFit="1" customWidth="1"/>
    <col min="2831" max="3072" width="8.71428571428571" style="3"/>
    <col min="3073" max="3073" width="36.1428571428571" style="3" customWidth="1"/>
    <col min="3074" max="3074" width="16.7142857142857" style="3" customWidth="1"/>
    <col min="3075" max="3075" width="13.1428571428571" style="3" customWidth="1"/>
    <col min="3076" max="3076" width="19.8571428571429" style="3" customWidth="1"/>
    <col min="3077" max="3077" width="19.8571428571429" style="3" bestFit="1" customWidth="1"/>
    <col min="3078" max="3078" width="17.1428571428571" style="3" bestFit="1" customWidth="1"/>
    <col min="3079" max="3079" width="14.7142857142857" style="3" customWidth="1"/>
    <col min="3080" max="3080" width="16.8571428571429" style="3" bestFit="1" customWidth="1"/>
    <col min="3081" max="3081" width="16.2857142857143" style="3" customWidth="1"/>
    <col min="3082" max="3082" width="14.7142857142857" style="3" bestFit="1" customWidth="1"/>
    <col min="3083" max="3083" width="13.7142857142857" style="3" bestFit="1" customWidth="1"/>
    <col min="3084" max="3084" width="14.4285714285714" style="3" bestFit="1" customWidth="1"/>
    <col min="3085" max="3085" width="14.1428571428571" style="3" customWidth="1"/>
    <col min="3086" max="3086" width="43" style="3" bestFit="1" customWidth="1"/>
    <col min="3087" max="3328" width="8.71428571428571" style="3"/>
    <col min="3329" max="3329" width="36.1428571428571" style="3" customWidth="1"/>
    <col min="3330" max="3330" width="16.7142857142857" style="3" customWidth="1"/>
    <col min="3331" max="3331" width="13.1428571428571" style="3" customWidth="1"/>
    <col min="3332" max="3332" width="19.8571428571429" style="3" customWidth="1"/>
    <col min="3333" max="3333" width="19.8571428571429" style="3" bestFit="1" customWidth="1"/>
    <col min="3334" max="3334" width="17.1428571428571" style="3" bestFit="1" customWidth="1"/>
    <col min="3335" max="3335" width="14.7142857142857" style="3" customWidth="1"/>
    <col min="3336" max="3336" width="16.8571428571429" style="3" bestFit="1" customWidth="1"/>
    <col min="3337" max="3337" width="16.2857142857143" style="3" customWidth="1"/>
    <col min="3338" max="3338" width="14.7142857142857" style="3" bestFit="1" customWidth="1"/>
    <col min="3339" max="3339" width="13.7142857142857" style="3" bestFit="1" customWidth="1"/>
    <col min="3340" max="3340" width="14.4285714285714" style="3" bestFit="1" customWidth="1"/>
    <col min="3341" max="3341" width="14.1428571428571" style="3" customWidth="1"/>
    <col min="3342" max="3342" width="43" style="3" bestFit="1" customWidth="1"/>
    <col min="3343" max="3584" width="8.71428571428571" style="3"/>
    <col min="3585" max="3585" width="36.1428571428571" style="3" customWidth="1"/>
    <col min="3586" max="3586" width="16.7142857142857" style="3" customWidth="1"/>
    <col min="3587" max="3587" width="13.1428571428571" style="3" customWidth="1"/>
    <col min="3588" max="3588" width="19.8571428571429" style="3" customWidth="1"/>
    <col min="3589" max="3589" width="19.8571428571429" style="3" bestFit="1" customWidth="1"/>
    <col min="3590" max="3590" width="17.1428571428571" style="3" bestFit="1" customWidth="1"/>
    <col min="3591" max="3591" width="14.7142857142857" style="3" customWidth="1"/>
    <col min="3592" max="3592" width="16.8571428571429" style="3" bestFit="1" customWidth="1"/>
    <col min="3593" max="3593" width="16.2857142857143" style="3" customWidth="1"/>
    <col min="3594" max="3594" width="14.7142857142857" style="3" bestFit="1" customWidth="1"/>
    <col min="3595" max="3595" width="13.7142857142857" style="3" bestFit="1" customWidth="1"/>
    <col min="3596" max="3596" width="14.4285714285714" style="3" bestFit="1" customWidth="1"/>
    <col min="3597" max="3597" width="14.1428571428571" style="3" customWidth="1"/>
    <col min="3598" max="3598" width="43" style="3" bestFit="1" customWidth="1"/>
    <col min="3599" max="3840" width="8.71428571428571" style="3"/>
    <col min="3841" max="3841" width="36.1428571428571" style="3" customWidth="1"/>
    <col min="3842" max="3842" width="16.7142857142857" style="3" customWidth="1"/>
    <col min="3843" max="3843" width="13.1428571428571" style="3" customWidth="1"/>
    <col min="3844" max="3844" width="19.8571428571429" style="3" customWidth="1"/>
    <col min="3845" max="3845" width="19.8571428571429" style="3" bestFit="1" customWidth="1"/>
    <col min="3846" max="3846" width="17.1428571428571" style="3" bestFit="1" customWidth="1"/>
    <col min="3847" max="3847" width="14.7142857142857" style="3" customWidth="1"/>
    <col min="3848" max="3848" width="16.8571428571429" style="3" bestFit="1" customWidth="1"/>
    <col min="3849" max="3849" width="16.2857142857143" style="3" customWidth="1"/>
    <col min="3850" max="3850" width="14.7142857142857" style="3" bestFit="1" customWidth="1"/>
    <col min="3851" max="3851" width="13.7142857142857" style="3" bestFit="1" customWidth="1"/>
    <col min="3852" max="3852" width="14.4285714285714" style="3" bestFit="1" customWidth="1"/>
    <col min="3853" max="3853" width="14.1428571428571" style="3" customWidth="1"/>
    <col min="3854" max="3854" width="43" style="3" bestFit="1" customWidth="1"/>
    <col min="3855" max="4096" width="8.71428571428571" style="3"/>
    <col min="4097" max="4097" width="36.1428571428571" style="3" customWidth="1"/>
    <col min="4098" max="4098" width="16.7142857142857" style="3" customWidth="1"/>
    <col min="4099" max="4099" width="13.1428571428571" style="3" customWidth="1"/>
    <col min="4100" max="4100" width="19.8571428571429" style="3" customWidth="1"/>
    <col min="4101" max="4101" width="19.8571428571429" style="3" bestFit="1" customWidth="1"/>
    <col min="4102" max="4102" width="17.1428571428571" style="3" bestFit="1" customWidth="1"/>
    <col min="4103" max="4103" width="14.7142857142857" style="3" customWidth="1"/>
    <col min="4104" max="4104" width="16.8571428571429" style="3" bestFit="1" customWidth="1"/>
    <col min="4105" max="4105" width="16.2857142857143" style="3" customWidth="1"/>
    <col min="4106" max="4106" width="14.7142857142857" style="3" bestFit="1" customWidth="1"/>
    <col min="4107" max="4107" width="13.7142857142857" style="3" bestFit="1" customWidth="1"/>
    <col min="4108" max="4108" width="14.4285714285714" style="3" bestFit="1" customWidth="1"/>
    <col min="4109" max="4109" width="14.1428571428571" style="3" customWidth="1"/>
    <col min="4110" max="4110" width="43" style="3" bestFit="1" customWidth="1"/>
    <col min="4111" max="4352" width="8.71428571428571" style="3"/>
    <col min="4353" max="4353" width="36.1428571428571" style="3" customWidth="1"/>
    <col min="4354" max="4354" width="16.7142857142857" style="3" customWidth="1"/>
    <col min="4355" max="4355" width="13.1428571428571" style="3" customWidth="1"/>
    <col min="4356" max="4356" width="19.8571428571429" style="3" customWidth="1"/>
    <col min="4357" max="4357" width="19.8571428571429" style="3" bestFit="1" customWidth="1"/>
    <col min="4358" max="4358" width="17.1428571428571" style="3" bestFit="1" customWidth="1"/>
    <col min="4359" max="4359" width="14.7142857142857" style="3" customWidth="1"/>
    <col min="4360" max="4360" width="16.8571428571429" style="3" bestFit="1" customWidth="1"/>
    <col min="4361" max="4361" width="16.2857142857143" style="3" customWidth="1"/>
    <col min="4362" max="4362" width="14.7142857142857" style="3" bestFit="1" customWidth="1"/>
    <col min="4363" max="4363" width="13.7142857142857" style="3" bestFit="1" customWidth="1"/>
    <col min="4364" max="4364" width="14.4285714285714" style="3" bestFit="1" customWidth="1"/>
    <col min="4365" max="4365" width="14.1428571428571" style="3" customWidth="1"/>
    <col min="4366" max="4366" width="43" style="3" bestFit="1" customWidth="1"/>
    <col min="4367" max="4608" width="8.71428571428571" style="3"/>
    <col min="4609" max="4609" width="36.1428571428571" style="3" customWidth="1"/>
    <col min="4610" max="4610" width="16.7142857142857" style="3" customWidth="1"/>
    <col min="4611" max="4611" width="13.1428571428571" style="3" customWidth="1"/>
    <col min="4612" max="4612" width="19.8571428571429" style="3" customWidth="1"/>
    <col min="4613" max="4613" width="19.8571428571429" style="3" bestFit="1" customWidth="1"/>
    <col min="4614" max="4614" width="17.1428571428571" style="3" bestFit="1" customWidth="1"/>
    <col min="4615" max="4615" width="14.7142857142857" style="3" customWidth="1"/>
    <col min="4616" max="4616" width="16.8571428571429" style="3" bestFit="1" customWidth="1"/>
    <col min="4617" max="4617" width="16.2857142857143" style="3" customWidth="1"/>
    <col min="4618" max="4618" width="14.7142857142857" style="3" bestFit="1" customWidth="1"/>
    <col min="4619" max="4619" width="13.7142857142857" style="3" bestFit="1" customWidth="1"/>
    <col min="4620" max="4620" width="14.4285714285714" style="3" bestFit="1" customWidth="1"/>
    <col min="4621" max="4621" width="14.1428571428571" style="3" customWidth="1"/>
    <col min="4622" max="4622" width="43" style="3" bestFit="1" customWidth="1"/>
    <col min="4623" max="4864" width="8.71428571428571" style="3"/>
    <col min="4865" max="4865" width="36.1428571428571" style="3" customWidth="1"/>
    <col min="4866" max="4866" width="16.7142857142857" style="3" customWidth="1"/>
    <col min="4867" max="4867" width="13.1428571428571" style="3" customWidth="1"/>
    <col min="4868" max="4868" width="19.8571428571429" style="3" customWidth="1"/>
    <col min="4869" max="4869" width="19.8571428571429" style="3" bestFit="1" customWidth="1"/>
    <col min="4870" max="4870" width="17.1428571428571" style="3" bestFit="1" customWidth="1"/>
    <col min="4871" max="4871" width="14.7142857142857" style="3" customWidth="1"/>
    <col min="4872" max="4872" width="16.8571428571429" style="3" bestFit="1" customWidth="1"/>
    <col min="4873" max="4873" width="16.2857142857143" style="3" customWidth="1"/>
    <col min="4874" max="4874" width="14.7142857142857" style="3" bestFit="1" customWidth="1"/>
    <col min="4875" max="4875" width="13.7142857142857" style="3" bestFit="1" customWidth="1"/>
    <col min="4876" max="4876" width="14.4285714285714" style="3" bestFit="1" customWidth="1"/>
    <col min="4877" max="4877" width="14.1428571428571" style="3" customWidth="1"/>
    <col min="4878" max="4878" width="43" style="3" bestFit="1" customWidth="1"/>
    <col min="4879" max="5120" width="8.71428571428571" style="3"/>
    <col min="5121" max="5121" width="36.1428571428571" style="3" customWidth="1"/>
    <col min="5122" max="5122" width="16.7142857142857" style="3" customWidth="1"/>
    <col min="5123" max="5123" width="13.1428571428571" style="3" customWidth="1"/>
    <col min="5124" max="5124" width="19.8571428571429" style="3" customWidth="1"/>
    <col min="5125" max="5125" width="19.8571428571429" style="3" bestFit="1" customWidth="1"/>
    <col min="5126" max="5126" width="17.1428571428571" style="3" bestFit="1" customWidth="1"/>
    <col min="5127" max="5127" width="14.7142857142857" style="3" customWidth="1"/>
    <col min="5128" max="5128" width="16.8571428571429" style="3" bestFit="1" customWidth="1"/>
    <col min="5129" max="5129" width="16.2857142857143" style="3" customWidth="1"/>
    <col min="5130" max="5130" width="14.7142857142857" style="3" bestFit="1" customWidth="1"/>
    <col min="5131" max="5131" width="13.7142857142857" style="3" bestFit="1" customWidth="1"/>
    <col min="5132" max="5132" width="14.4285714285714" style="3" bestFit="1" customWidth="1"/>
    <col min="5133" max="5133" width="14.1428571428571" style="3" customWidth="1"/>
    <col min="5134" max="5134" width="43" style="3" bestFit="1" customWidth="1"/>
    <col min="5135" max="5376" width="8.71428571428571" style="3"/>
    <col min="5377" max="5377" width="36.1428571428571" style="3" customWidth="1"/>
    <col min="5378" max="5378" width="16.7142857142857" style="3" customWidth="1"/>
    <col min="5379" max="5379" width="13.1428571428571" style="3" customWidth="1"/>
    <col min="5380" max="5380" width="19.8571428571429" style="3" customWidth="1"/>
    <col min="5381" max="5381" width="19.8571428571429" style="3" bestFit="1" customWidth="1"/>
    <col min="5382" max="5382" width="17.1428571428571" style="3" bestFit="1" customWidth="1"/>
    <col min="5383" max="5383" width="14.7142857142857" style="3" customWidth="1"/>
    <col min="5384" max="5384" width="16.8571428571429" style="3" bestFit="1" customWidth="1"/>
    <col min="5385" max="5385" width="16.2857142857143" style="3" customWidth="1"/>
    <col min="5386" max="5386" width="14.7142857142857" style="3" bestFit="1" customWidth="1"/>
    <col min="5387" max="5387" width="13.7142857142857" style="3" bestFit="1" customWidth="1"/>
    <col min="5388" max="5388" width="14.4285714285714" style="3" bestFit="1" customWidth="1"/>
    <col min="5389" max="5389" width="14.1428571428571" style="3" customWidth="1"/>
    <col min="5390" max="5390" width="43" style="3" bestFit="1" customWidth="1"/>
    <col min="5391" max="5632" width="8.71428571428571" style="3"/>
    <col min="5633" max="5633" width="36.1428571428571" style="3" customWidth="1"/>
    <col min="5634" max="5634" width="16.7142857142857" style="3" customWidth="1"/>
    <col min="5635" max="5635" width="13.1428571428571" style="3" customWidth="1"/>
    <col min="5636" max="5636" width="19.8571428571429" style="3" customWidth="1"/>
    <col min="5637" max="5637" width="19.8571428571429" style="3" bestFit="1" customWidth="1"/>
    <col min="5638" max="5638" width="17.1428571428571" style="3" bestFit="1" customWidth="1"/>
    <col min="5639" max="5639" width="14.7142857142857" style="3" customWidth="1"/>
    <col min="5640" max="5640" width="16.8571428571429" style="3" bestFit="1" customWidth="1"/>
    <col min="5641" max="5641" width="16.2857142857143" style="3" customWidth="1"/>
    <col min="5642" max="5642" width="14.7142857142857" style="3" bestFit="1" customWidth="1"/>
    <col min="5643" max="5643" width="13.7142857142857" style="3" bestFit="1" customWidth="1"/>
    <col min="5644" max="5644" width="14.4285714285714" style="3" bestFit="1" customWidth="1"/>
    <col min="5645" max="5645" width="14.1428571428571" style="3" customWidth="1"/>
    <col min="5646" max="5646" width="43" style="3" bestFit="1" customWidth="1"/>
    <col min="5647" max="5888" width="8.71428571428571" style="3"/>
    <col min="5889" max="5889" width="36.1428571428571" style="3" customWidth="1"/>
    <col min="5890" max="5890" width="16.7142857142857" style="3" customWidth="1"/>
    <col min="5891" max="5891" width="13.1428571428571" style="3" customWidth="1"/>
    <col min="5892" max="5892" width="19.8571428571429" style="3" customWidth="1"/>
    <col min="5893" max="5893" width="19.8571428571429" style="3" bestFit="1" customWidth="1"/>
    <col min="5894" max="5894" width="17.1428571428571" style="3" bestFit="1" customWidth="1"/>
    <col min="5895" max="5895" width="14.7142857142857" style="3" customWidth="1"/>
    <col min="5896" max="5896" width="16.8571428571429" style="3" bestFit="1" customWidth="1"/>
    <col min="5897" max="5897" width="16.2857142857143" style="3" customWidth="1"/>
    <col min="5898" max="5898" width="14.7142857142857" style="3" bestFit="1" customWidth="1"/>
    <col min="5899" max="5899" width="13.7142857142857" style="3" bestFit="1" customWidth="1"/>
    <col min="5900" max="5900" width="14.4285714285714" style="3" bestFit="1" customWidth="1"/>
    <col min="5901" max="5901" width="14.1428571428571" style="3" customWidth="1"/>
    <col min="5902" max="5902" width="43" style="3" bestFit="1" customWidth="1"/>
    <col min="5903" max="6144" width="8.71428571428571" style="3"/>
    <col min="6145" max="6145" width="36.1428571428571" style="3" customWidth="1"/>
    <col min="6146" max="6146" width="16.7142857142857" style="3" customWidth="1"/>
    <col min="6147" max="6147" width="13.1428571428571" style="3" customWidth="1"/>
    <col min="6148" max="6148" width="19.8571428571429" style="3" customWidth="1"/>
    <col min="6149" max="6149" width="19.8571428571429" style="3" bestFit="1" customWidth="1"/>
    <col min="6150" max="6150" width="17.1428571428571" style="3" bestFit="1" customWidth="1"/>
    <col min="6151" max="6151" width="14.7142857142857" style="3" customWidth="1"/>
    <col min="6152" max="6152" width="16.8571428571429" style="3" bestFit="1" customWidth="1"/>
    <col min="6153" max="6153" width="16.2857142857143" style="3" customWidth="1"/>
    <col min="6154" max="6154" width="14.7142857142857" style="3" bestFit="1" customWidth="1"/>
    <col min="6155" max="6155" width="13.7142857142857" style="3" bestFit="1" customWidth="1"/>
    <col min="6156" max="6156" width="14.4285714285714" style="3" bestFit="1" customWidth="1"/>
    <col min="6157" max="6157" width="14.1428571428571" style="3" customWidth="1"/>
    <col min="6158" max="6158" width="43" style="3" bestFit="1" customWidth="1"/>
    <col min="6159" max="6400" width="8.71428571428571" style="3"/>
    <col min="6401" max="6401" width="36.1428571428571" style="3" customWidth="1"/>
    <col min="6402" max="6402" width="16.7142857142857" style="3" customWidth="1"/>
    <col min="6403" max="6403" width="13.1428571428571" style="3" customWidth="1"/>
    <col min="6404" max="6404" width="19.8571428571429" style="3" customWidth="1"/>
    <col min="6405" max="6405" width="19.8571428571429" style="3" bestFit="1" customWidth="1"/>
    <col min="6406" max="6406" width="17.1428571428571" style="3" bestFit="1" customWidth="1"/>
    <col min="6407" max="6407" width="14.7142857142857" style="3" customWidth="1"/>
    <col min="6408" max="6408" width="16.8571428571429" style="3" bestFit="1" customWidth="1"/>
    <col min="6409" max="6409" width="16.2857142857143" style="3" customWidth="1"/>
    <col min="6410" max="6410" width="14.7142857142857" style="3" bestFit="1" customWidth="1"/>
    <col min="6411" max="6411" width="13.7142857142857" style="3" bestFit="1" customWidth="1"/>
    <col min="6412" max="6412" width="14.4285714285714" style="3" bestFit="1" customWidth="1"/>
    <col min="6413" max="6413" width="14.1428571428571" style="3" customWidth="1"/>
    <col min="6414" max="6414" width="43" style="3" bestFit="1" customWidth="1"/>
    <col min="6415" max="6656" width="8.71428571428571" style="3"/>
    <col min="6657" max="6657" width="36.1428571428571" style="3" customWidth="1"/>
    <col min="6658" max="6658" width="16.7142857142857" style="3" customWidth="1"/>
    <col min="6659" max="6659" width="13.1428571428571" style="3" customWidth="1"/>
    <col min="6660" max="6660" width="19.8571428571429" style="3" customWidth="1"/>
    <col min="6661" max="6661" width="19.8571428571429" style="3" bestFit="1" customWidth="1"/>
    <col min="6662" max="6662" width="17.1428571428571" style="3" bestFit="1" customWidth="1"/>
    <col min="6663" max="6663" width="14.7142857142857" style="3" customWidth="1"/>
    <col min="6664" max="6664" width="16.8571428571429" style="3" bestFit="1" customWidth="1"/>
    <col min="6665" max="6665" width="16.2857142857143" style="3" customWidth="1"/>
    <col min="6666" max="6666" width="14.7142857142857" style="3" bestFit="1" customWidth="1"/>
    <col min="6667" max="6667" width="13.7142857142857" style="3" bestFit="1" customWidth="1"/>
    <col min="6668" max="6668" width="14.4285714285714" style="3" bestFit="1" customWidth="1"/>
    <col min="6669" max="6669" width="14.1428571428571" style="3" customWidth="1"/>
    <col min="6670" max="6670" width="43" style="3" bestFit="1" customWidth="1"/>
    <col min="6671" max="6912" width="8.71428571428571" style="3"/>
    <col min="6913" max="6913" width="36.1428571428571" style="3" customWidth="1"/>
    <col min="6914" max="6914" width="16.7142857142857" style="3" customWidth="1"/>
    <col min="6915" max="6915" width="13.1428571428571" style="3" customWidth="1"/>
    <col min="6916" max="6916" width="19.8571428571429" style="3" customWidth="1"/>
    <col min="6917" max="6917" width="19.8571428571429" style="3" bestFit="1" customWidth="1"/>
    <col min="6918" max="6918" width="17.1428571428571" style="3" bestFit="1" customWidth="1"/>
    <col min="6919" max="6919" width="14.7142857142857" style="3" customWidth="1"/>
    <col min="6920" max="6920" width="16.8571428571429" style="3" bestFit="1" customWidth="1"/>
    <col min="6921" max="6921" width="16.2857142857143" style="3" customWidth="1"/>
    <col min="6922" max="6922" width="14.7142857142857" style="3" bestFit="1" customWidth="1"/>
    <col min="6923" max="6923" width="13.7142857142857" style="3" bestFit="1" customWidth="1"/>
    <col min="6924" max="6924" width="14.4285714285714" style="3" bestFit="1" customWidth="1"/>
    <col min="6925" max="6925" width="14.1428571428571" style="3" customWidth="1"/>
    <col min="6926" max="6926" width="43" style="3" bestFit="1" customWidth="1"/>
    <col min="6927" max="7168" width="8.71428571428571" style="3"/>
    <col min="7169" max="7169" width="36.1428571428571" style="3" customWidth="1"/>
    <col min="7170" max="7170" width="16.7142857142857" style="3" customWidth="1"/>
    <col min="7171" max="7171" width="13.1428571428571" style="3" customWidth="1"/>
    <col min="7172" max="7172" width="19.8571428571429" style="3" customWidth="1"/>
    <col min="7173" max="7173" width="19.8571428571429" style="3" bestFit="1" customWidth="1"/>
    <col min="7174" max="7174" width="17.1428571428571" style="3" bestFit="1" customWidth="1"/>
    <col min="7175" max="7175" width="14.7142857142857" style="3" customWidth="1"/>
    <col min="7176" max="7176" width="16.8571428571429" style="3" bestFit="1" customWidth="1"/>
    <col min="7177" max="7177" width="16.2857142857143" style="3" customWidth="1"/>
    <col min="7178" max="7178" width="14.7142857142857" style="3" bestFit="1" customWidth="1"/>
    <col min="7179" max="7179" width="13.7142857142857" style="3" bestFit="1" customWidth="1"/>
    <col min="7180" max="7180" width="14.4285714285714" style="3" bestFit="1" customWidth="1"/>
    <col min="7181" max="7181" width="14.1428571428571" style="3" customWidth="1"/>
    <col min="7182" max="7182" width="43" style="3" bestFit="1" customWidth="1"/>
    <col min="7183" max="7424" width="8.71428571428571" style="3"/>
    <col min="7425" max="7425" width="36.1428571428571" style="3" customWidth="1"/>
    <col min="7426" max="7426" width="16.7142857142857" style="3" customWidth="1"/>
    <col min="7427" max="7427" width="13.1428571428571" style="3" customWidth="1"/>
    <col min="7428" max="7428" width="19.8571428571429" style="3" customWidth="1"/>
    <col min="7429" max="7429" width="19.8571428571429" style="3" bestFit="1" customWidth="1"/>
    <col min="7430" max="7430" width="17.1428571428571" style="3" bestFit="1" customWidth="1"/>
    <col min="7431" max="7431" width="14.7142857142857" style="3" customWidth="1"/>
    <col min="7432" max="7432" width="16.8571428571429" style="3" bestFit="1" customWidth="1"/>
    <col min="7433" max="7433" width="16.2857142857143" style="3" customWidth="1"/>
    <col min="7434" max="7434" width="14.7142857142857" style="3" bestFit="1" customWidth="1"/>
    <col min="7435" max="7435" width="13.7142857142857" style="3" bestFit="1" customWidth="1"/>
    <col min="7436" max="7436" width="14.4285714285714" style="3" bestFit="1" customWidth="1"/>
    <col min="7437" max="7437" width="14.1428571428571" style="3" customWidth="1"/>
    <col min="7438" max="7438" width="43" style="3" bestFit="1" customWidth="1"/>
    <col min="7439" max="7680" width="8.71428571428571" style="3"/>
    <col min="7681" max="7681" width="36.1428571428571" style="3" customWidth="1"/>
    <col min="7682" max="7682" width="16.7142857142857" style="3" customWidth="1"/>
    <col min="7683" max="7683" width="13.1428571428571" style="3" customWidth="1"/>
    <col min="7684" max="7684" width="19.8571428571429" style="3" customWidth="1"/>
    <col min="7685" max="7685" width="19.8571428571429" style="3" bestFit="1" customWidth="1"/>
    <col min="7686" max="7686" width="17.1428571428571" style="3" bestFit="1" customWidth="1"/>
    <col min="7687" max="7687" width="14.7142857142857" style="3" customWidth="1"/>
    <col min="7688" max="7688" width="16.8571428571429" style="3" bestFit="1" customWidth="1"/>
    <col min="7689" max="7689" width="16.2857142857143" style="3" customWidth="1"/>
    <col min="7690" max="7690" width="14.7142857142857" style="3" bestFit="1" customWidth="1"/>
    <col min="7691" max="7691" width="13.7142857142857" style="3" bestFit="1" customWidth="1"/>
    <col min="7692" max="7692" width="14.4285714285714" style="3" bestFit="1" customWidth="1"/>
    <col min="7693" max="7693" width="14.1428571428571" style="3" customWidth="1"/>
    <col min="7694" max="7694" width="43" style="3" bestFit="1" customWidth="1"/>
    <col min="7695" max="7936" width="8.71428571428571" style="3"/>
    <col min="7937" max="7937" width="36.1428571428571" style="3" customWidth="1"/>
    <col min="7938" max="7938" width="16.7142857142857" style="3" customWidth="1"/>
    <col min="7939" max="7939" width="13.1428571428571" style="3" customWidth="1"/>
    <col min="7940" max="7940" width="19.8571428571429" style="3" customWidth="1"/>
    <col min="7941" max="7941" width="19.8571428571429" style="3" bestFit="1" customWidth="1"/>
    <col min="7942" max="7942" width="17.1428571428571" style="3" bestFit="1" customWidth="1"/>
    <col min="7943" max="7943" width="14.7142857142857" style="3" customWidth="1"/>
    <col min="7944" max="7944" width="16.8571428571429" style="3" bestFit="1" customWidth="1"/>
    <col min="7945" max="7945" width="16.2857142857143" style="3" customWidth="1"/>
    <col min="7946" max="7946" width="14.7142857142857" style="3" bestFit="1" customWidth="1"/>
    <col min="7947" max="7947" width="13.7142857142857" style="3" bestFit="1" customWidth="1"/>
    <col min="7948" max="7948" width="14.4285714285714" style="3" bestFit="1" customWidth="1"/>
    <col min="7949" max="7949" width="14.1428571428571" style="3" customWidth="1"/>
    <col min="7950" max="7950" width="43" style="3" bestFit="1" customWidth="1"/>
    <col min="7951" max="8192" width="8.71428571428571" style="3"/>
    <col min="8193" max="8193" width="36.1428571428571" style="3" customWidth="1"/>
    <col min="8194" max="8194" width="16.7142857142857" style="3" customWidth="1"/>
    <col min="8195" max="8195" width="13.1428571428571" style="3" customWidth="1"/>
    <col min="8196" max="8196" width="19.8571428571429" style="3" customWidth="1"/>
    <col min="8197" max="8197" width="19.8571428571429" style="3" bestFit="1" customWidth="1"/>
    <col min="8198" max="8198" width="17.1428571428571" style="3" bestFit="1" customWidth="1"/>
    <col min="8199" max="8199" width="14.7142857142857" style="3" customWidth="1"/>
    <col min="8200" max="8200" width="16.8571428571429" style="3" bestFit="1" customWidth="1"/>
    <col min="8201" max="8201" width="16.2857142857143" style="3" customWidth="1"/>
    <col min="8202" max="8202" width="14.7142857142857" style="3" bestFit="1" customWidth="1"/>
    <col min="8203" max="8203" width="13.7142857142857" style="3" bestFit="1" customWidth="1"/>
    <col min="8204" max="8204" width="14.4285714285714" style="3" bestFit="1" customWidth="1"/>
    <col min="8205" max="8205" width="14.1428571428571" style="3" customWidth="1"/>
    <col min="8206" max="8206" width="43" style="3" bestFit="1" customWidth="1"/>
    <col min="8207" max="8448" width="8.71428571428571" style="3"/>
    <col min="8449" max="8449" width="36.1428571428571" style="3" customWidth="1"/>
    <col min="8450" max="8450" width="16.7142857142857" style="3" customWidth="1"/>
    <col min="8451" max="8451" width="13.1428571428571" style="3" customWidth="1"/>
    <col min="8452" max="8452" width="19.8571428571429" style="3" customWidth="1"/>
    <col min="8453" max="8453" width="19.8571428571429" style="3" bestFit="1" customWidth="1"/>
    <col min="8454" max="8454" width="17.1428571428571" style="3" bestFit="1" customWidth="1"/>
    <col min="8455" max="8455" width="14.7142857142857" style="3" customWidth="1"/>
    <col min="8456" max="8456" width="16.8571428571429" style="3" bestFit="1" customWidth="1"/>
    <col min="8457" max="8457" width="16.2857142857143" style="3" customWidth="1"/>
    <col min="8458" max="8458" width="14.7142857142857" style="3" bestFit="1" customWidth="1"/>
    <col min="8459" max="8459" width="13.7142857142857" style="3" bestFit="1" customWidth="1"/>
    <col min="8460" max="8460" width="14.4285714285714" style="3" bestFit="1" customWidth="1"/>
    <col min="8461" max="8461" width="14.1428571428571" style="3" customWidth="1"/>
    <col min="8462" max="8462" width="43" style="3" bestFit="1" customWidth="1"/>
    <col min="8463" max="8704" width="8.71428571428571" style="3"/>
    <col min="8705" max="8705" width="36.1428571428571" style="3" customWidth="1"/>
    <col min="8706" max="8706" width="16.7142857142857" style="3" customWidth="1"/>
    <col min="8707" max="8707" width="13.1428571428571" style="3" customWidth="1"/>
    <col min="8708" max="8708" width="19.8571428571429" style="3" customWidth="1"/>
    <col min="8709" max="8709" width="19.8571428571429" style="3" bestFit="1" customWidth="1"/>
    <col min="8710" max="8710" width="17.1428571428571" style="3" bestFit="1" customWidth="1"/>
    <col min="8711" max="8711" width="14.7142857142857" style="3" customWidth="1"/>
    <col min="8712" max="8712" width="16.8571428571429" style="3" bestFit="1" customWidth="1"/>
    <col min="8713" max="8713" width="16.2857142857143" style="3" customWidth="1"/>
    <col min="8714" max="8714" width="14.7142857142857" style="3" bestFit="1" customWidth="1"/>
    <col min="8715" max="8715" width="13.7142857142857" style="3" bestFit="1" customWidth="1"/>
    <col min="8716" max="8716" width="14.4285714285714" style="3" bestFit="1" customWidth="1"/>
    <col min="8717" max="8717" width="14.1428571428571" style="3" customWidth="1"/>
    <col min="8718" max="8718" width="43" style="3" bestFit="1" customWidth="1"/>
    <col min="8719" max="8960" width="8.71428571428571" style="3"/>
    <col min="8961" max="8961" width="36.1428571428571" style="3" customWidth="1"/>
    <col min="8962" max="8962" width="16.7142857142857" style="3" customWidth="1"/>
    <col min="8963" max="8963" width="13.1428571428571" style="3" customWidth="1"/>
    <col min="8964" max="8964" width="19.8571428571429" style="3" customWidth="1"/>
    <col min="8965" max="8965" width="19.8571428571429" style="3" bestFit="1" customWidth="1"/>
    <col min="8966" max="8966" width="17.1428571428571" style="3" bestFit="1" customWidth="1"/>
    <col min="8967" max="8967" width="14.7142857142857" style="3" customWidth="1"/>
    <col min="8968" max="8968" width="16.8571428571429" style="3" bestFit="1" customWidth="1"/>
    <col min="8969" max="8969" width="16.2857142857143" style="3" customWidth="1"/>
    <col min="8970" max="8970" width="14.7142857142857" style="3" bestFit="1" customWidth="1"/>
    <col min="8971" max="8971" width="13.7142857142857" style="3" bestFit="1" customWidth="1"/>
    <col min="8972" max="8972" width="14.4285714285714" style="3" bestFit="1" customWidth="1"/>
    <col min="8973" max="8973" width="14.1428571428571" style="3" customWidth="1"/>
    <col min="8974" max="8974" width="43" style="3" bestFit="1" customWidth="1"/>
    <col min="8975" max="9216" width="8.71428571428571" style="3"/>
    <col min="9217" max="9217" width="36.1428571428571" style="3" customWidth="1"/>
    <col min="9218" max="9218" width="16.7142857142857" style="3" customWidth="1"/>
    <col min="9219" max="9219" width="13.1428571428571" style="3" customWidth="1"/>
    <col min="9220" max="9220" width="19.8571428571429" style="3" customWidth="1"/>
    <col min="9221" max="9221" width="19.8571428571429" style="3" bestFit="1" customWidth="1"/>
    <col min="9222" max="9222" width="17.1428571428571" style="3" bestFit="1" customWidth="1"/>
    <col min="9223" max="9223" width="14.7142857142857" style="3" customWidth="1"/>
    <col min="9224" max="9224" width="16.8571428571429" style="3" bestFit="1" customWidth="1"/>
    <col min="9225" max="9225" width="16.2857142857143" style="3" customWidth="1"/>
    <col min="9226" max="9226" width="14.7142857142857" style="3" bestFit="1" customWidth="1"/>
    <col min="9227" max="9227" width="13.7142857142857" style="3" bestFit="1" customWidth="1"/>
    <col min="9228" max="9228" width="14.4285714285714" style="3" bestFit="1" customWidth="1"/>
    <col min="9229" max="9229" width="14.1428571428571" style="3" customWidth="1"/>
    <col min="9230" max="9230" width="43" style="3" bestFit="1" customWidth="1"/>
    <col min="9231" max="9472" width="8.71428571428571" style="3"/>
    <col min="9473" max="9473" width="36.1428571428571" style="3" customWidth="1"/>
    <col min="9474" max="9474" width="16.7142857142857" style="3" customWidth="1"/>
    <col min="9475" max="9475" width="13.1428571428571" style="3" customWidth="1"/>
    <col min="9476" max="9476" width="19.8571428571429" style="3" customWidth="1"/>
    <col min="9477" max="9477" width="19.8571428571429" style="3" bestFit="1" customWidth="1"/>
    <col min="9478" max="9478" width="17.1428571428571" style="3" bestFit="1" customWidth="1"/>
    <col min="9479" max="9479" width="14.7142857142857" style="3" customWidth="1"/>
    <col min="9480" max="9480" width="16.8571428571429" style="3" bestFit="1" customWidth="1"/>
    <col min="9481" max="9481" width="16.2857142857143" style="3" customWidth="1"/>
    <col min="9482" max="9482" width="14.7142857142857" style="3" bestFit="1" customWidth="1"/>
    <col min="9483" max="9483" width="13.7142857142857" style="3" bestFit="1" customWidth="1"/>
    <col min="9484" max="9484" width="14.4285714285714" style="3" bestFit="1" customWidth="1"/>
    <col min="9485" max="9485" width="14.1428571428571" style="3" customWidth="1"/>
    <col min="9486" max="9486" width="43" style="3" bestFit="1" customWidth="1"/>
    <col min="9487" max="9728" width="8.71428571428571" style="3"/>
    <col min="9729" max="9729" width="36.1428571428571" style="3" customWidth="1"/>
    <col min="9730" max="9730" width="16.7142857142857" style="3" customWidth="1"/>
    <col min="9731" max="9731" width="13.1428571428571" style="3" customWidth="1"/>
    <col min="9732" max="9732" width="19.8571428571429" style="3" customWidth="1"/>
    <col min="9733" max="9733" width="19.8571428571429" style="3" bestFit="1" customWidth="1"/>
    <col min="9734" max="9734" width="17.1428571428571" style="3" bestFit="1" customWidth="1"/>
    <col min="9735" max="9735" width="14.7142857142857" style="3" customWidth="1"/>
    <col min="9736" max="9736" width="16.8571428571429" style="3" bestFit="1" customWidth="1"/>
    <col min="9737" max="9737" width="16.2857142857143" style="3" customWidth="1"/>
    <col min="9738" max="9738" width="14.7142857142857" style="3" bestFit="1" customWidth="1"/>
    <col min="9739" max="9739" width="13.7142857142857" style="3" bestFit="1" customWidth="1"/>
    <col min="9740" max="9740" width="14.4285714285714" style="3" bestFit="1" customWidth="1"/>
    <col min="9741" max="9741" width="14.1428571428571" style="3" customWidth="1"/>
    <col min="9742" max="9742" width="43" style="3" bestFit="1" customWidth="1"/>
    <col min="9743" max="9984" width="8.71428571428571" style="3"/>
    <col min="9985" max="9985" width="36.1428571428571" style="3" customWidth="1"/>
    <col min="9986" max="9986" width="16.7142857142857" style="3" customWidth="1"/>
    <col min="9987" max="9987" width="13.1428571428571" style="3" customWidth="1"/>
    <col min="9988" max="9988" width="19.8571428571429" style="3" customWidth="1"/>
    <col min="9989" max="9989" width="19.8571428571429" style="3" bestFit="1" customWidth="1"/>
    <col min="9990" max="9990" width="17.1428571428571" style="3" bestFit="1" customWidth="1"/>
    <col min="9991" max="9991" width="14.7142857142857" style="3" customWidth="1"/>
    <col min="9992" max="9992" width="16.8571428571429" style="3" bestFit="1" customWidth="1"/>
    <col min="9993" max="9993" width="16.2857142857143" style="3" customWidth="1"/>
    <col min="9994" max="9994" width="14.7142857142857" style="3" bestFit="1" customWidth="1"/>
    <col min="9995" max="9995" width="13.7142857142857" style="3" bestFit="1" customWidth="1"/>
    <col min="9996" max="9996" width="14.4285714285714" style="3" bestFit="1" customWidth="1"/>
    <col min="9997" max="9997" width="14.1428571428571" style="3" customWidth="1"/>
    <col min="9998" max="9998" width="43" style="3" bestFit="1" customWidth="1"/>
    <col min="9999" max="10240" width="8.71428571428571" style="3"/>
    <col min="10241" max="10241" width="36.1428571428571" style="3" customWidth="1"/>
    <col min="10242" max="10242" width="16.7142857142857" style="3" customWidth="1"/>
    <col min="10243" max="10243" width="13.1428571428571" style="3" customWidth="1"/>
    <col min="10244" max="10244" width="19.8571428571429" style="3" customWidth="1"/>
    <col min="10245" max="10245" width="19.8571428571429" style="3" bestFit="1" customWidth="1"/>
    <col min="10246" max="10246" width="17.1428571428571" style="3" bestFit="1" customWidth="1"/>
    <col min="10247" max="10247" width="14.7142857142857" style="3" customWidth="1"/>
    <col min="10248" max="10248" width="16.8571428571429" style="3" bestFit="1" customWidth="1"/>
    <col min="10249" max="10249" width="16.2857142857143" style="3" customWidth="1"/>
    <col min="10250" max="10250" width="14.7142857142857" style="3" bestFit="1" customWidth="1"/>
    <col min="10251" max="10251" width="13.7142857142857" style="3" bestFit="1" customWidth="1"/>
    <col min="10252" max="10252" width="14.4285714285714" style="3" bestFit="1" customWidth="1"/>
    <col min="10253" max="10253" width="14.1428571428571" style="3" customWidth="1"/>
    <col min="10254" max="10254" width="43" style="3" bestFit="1" customWidth="1"/>
    <col min="10255" max="10496" width="8.71428571428571" style="3"/>
    <col min="10497" max="10497" width="36.1428571428571" style="3" customWidth="1"/>
    <col min="10498" max="10498" width="16.7142857142857" style="3" customWidth="1"/>
    <col min="10499" max="10499" width="13.1428571428571" style="3" customWidth="1"/>
    <col min="10500" max="10500" width="19.8571428571429" style="3" customWidth="1"/>
    <col min="10501" max="10501" width="19.8571428571429" style="3" bestFit="1" customWidth="1"/>
    <col min="10502" max="10502" width="17.1428571428571" style="3" bestFit="1" customWidth="1"/>
    <col min="10503" max="10503" width="14.7142857142857" style="3" customWidth="1"/>
    <col min="10504" max="10504" width="16.8571428571429" style="3" bestFit="1" customWidth="1"/>
    <col min="10505" max="10505" width="16.2857142857143" style="3" customWidth="1"/>
    <col min="10506" max="10506" width="14.7142857142857" style="3" bestFit="1" customWidth="1"/>
    <col min="10507" max="10507" width="13.7142857142857" style="3" bestFit="1" customWidth="1"/>
    <col min="10508" max="10508" width="14.4285714285714" style="3" bestFit="1" customWidth="1"/>
    <col min="10509" max="10509" width="14.1428571428571" style="3" customWidth="1"/>
    <col min="10510" max="10510" width="43" style="3" bestFit="1" customWidth="1"/>
    <col min="10511" max="10752" width="8.71428571428571" style="3"/>
    <col min="10753" max="10753" width="36.1428571428571" style="3" customWidth="1"/>
    <col min="10754" max="10754" width="16.7142857142857" style="3" customWidth="1"/>
    <col min="10755" max="10755" width="13.1428571428571" style="3" customWidth="1"/>
    <col min="10756" max="10756" width="19.8571428571429" style="3" customWidth="1"/>
    <col min="10757" max="10757" width="19.8571428571429" style="3" bestFit="1" customWidth="1"/>
    <col min="10758" max="10758" width="17.1428571428571" style="3" bestFit="1" customWidth="1"/>
    <col min="10759" max="10759" width="14.7142857142857" style="3" customWidth="1"/>
    <col min="10760" max="10760" width="16.8571428571429" style="3" bestFit="1" customWidth="1"/>
    <col min="10761" max="10761" width="16.2857142857143" style="3" customWidth="1"/>
    <col min="10762" max="10762" width="14.7142857142857" style="3" bestFit="1" customWidth="1"/>
    <col min="10763" max="10763" width="13.7142857142857" style="3" bestFit="1" customWidth="1"/>
    <col min="10764" max="10764" width="14.4285714285714" style="3" bestFit="1" customWidth="1"/>
    <col min="10765" max="10765" width="14.1428571428571" style="3" customWidth="1"/>
    <col min="10766" max="10766" width="43" style="3" bestFit="1" customWidth="1"/>
    <col min="10767" max="11008" width="8.71428571428571" style="3"/>
    <col min="11009" max="11009" width="36.1428571428571" style="3" customWidth="1"/>
    <col min="11010" max="11010" width="16.7142857142857" style="3" customWidth="1"/>
    <col min="11011" max="11011" width="13.1428571428571" style="3" customWidth="1"/>
    <col min="11012" max="11012" width="19.8571428571429" style="3" customWidth="1"/>
    <col min="11013" max="11013" width="19.8571428571429" style="3" bestFit="1" customWidth="1"/>
    <col min="11014" max="11014" width="17.1428571428571" style="3" bestFit="1" customWidth="1"/>
    <col min="11015" max="11015" width="14.7142857142857" style="3" customWidth="1"/>
    <col min="11016" max="11016" width="16.8571428571429" style="3" bestFit="1" customWidth="1"/>
    <col min="11017" max="11017" width="16.2857142857143" style="3" customWidth="1"/>
    <col min="11018" max="11018" width="14.7142857142857" style="3" bestFit="1" customWidth="1"/>
    <col min="11019" max="11019" width="13.7142857142857" style="3" bestFit="1" customWidth="1"/>
    <col min="11020" max="11020" width="14.4285714285714" style="3" bestFit="1" customWidth="1"/>
    <col min="11021" max="11021" width="14.1428571428571" style="3" customWidth="1"/>
    <col min="11022" max="11022" width="43" style="3" bestFit="1" customWidth="1"/>
    <col min="11023" max="11264" width="8.71428571428571" style="3"/>
    <col min="11265" max="11265" width="36.1428571428571" style="3" customWidth="1"/>
    <col min="11266" max="11266" width="16.7142857142857" style="3" customWidth="1"/>
    <col min="11267" max="11267" width="13.1428571428571" style="3" customWidth="1"/>
    <col min="11268" max="11268" width="19.8571428571429" style="3" customWidth="1"/>
    <col min="11269" max="11269" width="19.8571428571429" style="3" bestFit="1" customWidth="1"/>
    <col min="11270" max="11270" width="17.1428571428571" style="3" bestFit="1" customWidth="1"/>
    <col min="11271" max="11271" width="14.7142857142857" style="3" customWidth="1"/>
    <col min="11272" max="11272" width="16.8571428571429" style="3" bestFit="1" customWidth="1"/>
    <col min="11273" max="11273" width="16.2857142857143" style="3" customWidth="1"/>
    <col min="11274" max="11274" width="14.7142857142857" style="3" bestFit="1" customWidth="1"/>
    <col min="11275" max="11275" width="13.7142857142857" style="3" bestFit="1" customWidth="1"/>
    <col min="11276" max="11276" width="14.4285714285714" style="3" bestFit="1" customWidth="1"/>
    <col min="11277" max="11277" width="14.1428571428571" style="3" customWidth="1"/>
    <col min="11278" max="11278" width="43" style="3" bestFit="1" customWidth="1"/>
    <col min="11279" max="11520" width="8.71428571428571" style="3"/>
    <col min="11521" max="11521" width="36.1428571428571" style="3" customWidth="1"/>
    <col min="11522" max="11522" width="16.7142857142857" style="3" customWidth="1"/>
    <col min="11523" max="11523" width="13.1428571428571" style="3" customWidth="1"/>
    <col min="11524" max="11524" width="19.8571428571429" style="3" customWidth="1"/>
    <col min="11525" max="11525" width="19.8571428571429" style="3" bestFit="1" customWidth="1"/>
    <col min="11526" max="11526" width="17.1428571428571" style="3" bestFit="1" customWidth="1"/>
    <col min="11527" max="11527" width="14.7142857142857" style="3" customWidth="1"/>
    <col min="11528" max="11528" width="16.8571428571429" style="3" bestFit="1" customWidth="1"/>
    <col min="11529" max="11529" width="16.2857142857143" style="3" customWidth="1"/>
    <col min="11530" max="11530" width="14.7142857142857" style="3" bestFit="1" customWidth="1"/>
    <col min="11531" max="11531" width="13.7142857142857" style="3" bestFit="1" customWidth="1"/>
    <col min="11532" max="11532" width="14.4285714285714" style="3" bestFit="1" customWidth="1"/>
    <col min="11533" max="11533" width="14.1428571428571" style="3" customWidth="1"/>
    <col min="11534" max="11534" width="43" style="3" bestFit="1" customWidth="1"/>
    <col min="11535" max="11776" width="8.71428571428571" style="3"/>
    <col min="11777" max="11777" width="36.1428571428571" style="3" customWidth="1"/>
    <col min="11778" max="11778" width="16.7142857142857" style="3" customWidth="1"/>
    <col min="11779" max="11779" width="13.1428571428571" style="3" customWidth="1"/>
    <col min="11780" max="11780" width="19.8571428571429" style="3" customWidth="1"/>
    <col min="11781" max="11781" width="19.8571428571429" style="3" bestFit="1" customWidth="1"/>
    <col min="11782" max="11782" width="17.1428571428571" style="3" bestFit="1" customWidth="1"/>
    <col min="11783" max="11783" width="14.7142857142857" style="3" customWidth="1"/>
    <col min="11784" max="11784" width="16.8571428571429" style="3" bestFit="1" customWidth="1"/>
    <col min="11785" max="11785" width="16.2857142857143" style="3" customWidth="1"/>
    <col min="11786" max="11786" width="14.7142857142857" style="3" bestFit="1" customWidth="1"/>
    <col min="11787" max="11787" width="13.7142857142857" style="3" bestFit="1" customWidth="1"/>
    <col min="11788" max="11788" width="14.4285714285714" style="3" bestFit="1" customWidth="1"/>
    <col min="11789" max="11789" width="14.1428571428571" style="3" customWidth="1"/>
    <col min="11790" max="11790" width="43" style="3" bestFit="1" customWidth="1"/>
    <col min="11791" max="12032" width="8.71428571428571" style="3"/>
    <col min="12033" max="12033" width="36.1428571428571" style="3" customWidth="1"/>
    <col min="12034" max="12034" width="16.7142857142857" style="3" customWidth="1"/>
    <col min="12035" max="12035" width="13.1428571428571" style="3" customWidth="1"/>
    <col min="12036" max="12036" width="19.8571428571429" style="3" customWidth="1"/>
    <col min="12037" max="12037" width="19.8571428571429" style="3" bestFit="1" customWidth="1"/>
    <col min="12038" max="12038" width="17.1428571428571" style="3" bestFit="1" customWidth="1"/>
    <col min="12039" max="12039" width="14.7142857142857" style="3" customWidth="1"/>
    <col min="12040" max="12040" width="16.8571428571429" style="3" bestFit="1" customWidth="1"/>
    <col min="12041" max="12041" width="16.2857142857143" style="3" customWidth="1"/>
    <col min="12042" max="12042" width="14.7142857142857" style="3" bestFit="1" customWidth="1"/>
    <col min="12043" max="12043" width="13.7142857142857" style="3" bestFit="1" customWidth="1"/>
    <col min="12044" max="12044" width="14.4285714285714" style="3" bestFit="1" customWidth="1"/>
    <col min="12045" max="12045" width="14.1428571428571" style="3" customWidth="1"/>
    <col min="12046" max="12046" width="43" style="3" bestFit="1" customWidth="1"/>
    <col min="12047" max="12288" width="8.71428571428571" style="3"/>
    <col min="12289" max="12289" width="36.1428571428571" style="3" customWidth="1"/>
    <col min="12290" max="12290" width="16.7142857142857" style="3" customWidth="1"/>
    <col min="12291" max="12291" width="13.1428571428571" style="3" customWidth="1"/>
    <col min="12292" max="12292" width="19.8571428571429" style="3" customWidth="1"/>
    <col min="12293" max="12293" width="19.8571428571429" style="3" bestFit="1" customWidth="1"/>
    <col min="12294" max="12294" width="17.1428571428571" style="3" bestFit="1" customWidth="1"/>
    <col min="12295" max="12295" width="14.7142857142857" style="3" customWidth="1"/>
    <col min="12296" max="12296" width="16.8571428571429" style="3" bestFit="1" customWidth="1"/>
    <col min="12297" max="12297" width="16.2857142857143" style="3" customWidth="1"/>
    <col min="12298" max="12298" width="14.7142857142857" style="3" bestFit="1" customWidth="1"/>
    <col min="12299" max="12299" width="13.7142857142857" style="3" bestFit="1" customWidth="1"/>
    <col min="12300" max="12300" width="14.4285714285714" style="3" bestFit="1" customWidth="1"/>
    <col min="12301" max="12301" width="14.1428571428571" style="3" customWidth="1"/>
    <col min="12302" max="12302" width="43" style="3" bestFit="1" customWidth="1"/>
    <col min="12303" max="12544" width="8.71428571428571" style="3"/>
    <col min="12545" max="12545" width="36.1428571428571" style="3" customWidth="1"/>
    <col min="12546" max="12546" width="16.7142857142857" style="3" customWidth="1"/>
    <col min="12547" max="12547" width="13.1428571428571" style="3" customWidth="1"/>
    <col min="12548" max="12548" width="19.8571428571429" style="3" customWidth="1"/>
    <col min="12549" max="12549" width="19.8571428571429" style="3" bestFit="1" customWidth="1"/>
    <col min="12550" max="12550" width="17.1428571428571" style="3" bestFit="1" customWidth="1"/>
    <col min="12551" max="12551" width="14.7142857142857" style="3" customWidth="1"/>
    <col min="12552" max="12552" width="16.8571428571429" style="3" bestFit="1" customWidth="1"/>
    <col min="12553" max="12553" width="16.2857142857143" style="3" customWidth="1"/>
    <col min="12554" max="12554" width="14.7142857142857" style="3" bestFit="1" customWidth="1"/>
    <col min="12555" max="12555" width="13.7142857142857" style="3" bestFit="1" customWidth="1"/>
    <col min="12556" max="12556" width="14.4285714285714" style="3" bestFit="1" customWidth="1"/>
    <col min="12557" max="12557" width="14.1428571428571" style="3" customWidth="1"/>
    <col min="12558" max="12558" width="43" style="3" bestFit="1" customWidth="1"/>
    <col min="12559" max="12800" width="8.71428571428571" style="3"/>
    <col min="12801" max="12801" width="36.1428571428571" style="3" customWidth="1"/>
    <col min="12802" max="12802" width="16.7142857142857" style="3" customWidth="1"/>
    <col min="12803" max="12803" width="13.1428571428571" style="3" customWidth="1"/>
    <col min="12804" max="12804" width="19.8571428571429" style="3" customWidth="1"/>
    <col min="12805" max="12805" width="19.8571428571429" style="3" bestFit="1" customWidth="1"/>
    <col min="12806" max="12806" width="17.1428571428571" style="3" bestFit="1" customWidth="1"/>
    <col min="12807" max="12807" width="14.7142857142857" style="3" customWidth="1"/>
    <col min="12808" max="12808" width="16.8571428571429" style="3" bestFit="1" customWidth="1"/>
    <col min="12809" max="12809" width="16.2857142857143" style="3" customWidth="1"/>
    <col min="12810" max="12810" width="14.7142857142857" style="3" bestFit="1" customWidth="1"/>
    <col min="12811" max="12811" width="13.7142857142857" style="3" bestFit="1" customWidth="1"/>
    <col min="12812" max="12812" width="14.4285714285714" style="3" bestFit="1" customWidth="1"/>
    <col min="12813" max="12813" width="14.1428571428571" style="3" customWidth="1"/>
    <col min="12814" max="12814" width="43" style="3" bestFit="1" customWidth="1"/>
    <col min="12815" max="13056" width="8.71428571428571" style="3"/>
    <col min="13057" max="13057" width="36.1428571428571" style="3" customWidth="1"/>
    <col min="13058" max="13058" width="16.7142857142857" style="3" customWidth="1"/>
    <col min="13059" max="13059" width="13.1428571428571" style="3" customWidth="1"/>
    <col min="13060" max="13060" width="19.8571428571429" style="3" customWidth="1"/>
    <col min="13061" max="13061" width="19.8571428571429" style="3" bestFit="1" customWidth="1"/>
    <col min="13062" max="13062" width="17.1428571428571" style="3" bestFit="1" customWidth="1"/>
    <col min="13063" max="13063" width="14.7142857142857" style="3" customWidth="1"/>
    <col min="13064" max="13064" width="16.8571428571429" style="3" bestFit="1" customWidth="1"/>
    <col min="13065" max="13065" width="16.2857142857143" style="3" customWidth="1"/>
    <col min="13066" max="13066" width="14.7142857142857" style="3" bestFit="1" customWidth="1"/>
    <col min="13067" max="13067" width="13.7142857142857" style="3" bestFit="1" customWidth="1"/>
    <col min="13068" max="13068" width="14.4285714285714" style="3" bestFit="1" customWidth="1"/>
    <col min="13069" max="13069" width="14.1428571428571" style="3" customWidth="1"/>
    <col min="13070" max="13070" width="43" style="3" bestFit="1" customWidth="1"/>
    <col min="13071" max="13312" width="8.71428571428571" style="3"/>
    <col min="13313" max="13313" width="36.1428571428571" style="3" customWidth="1"/>
    <col min="13314" max="13314" width="16.7142857142857" style="3" customWidth="1"/>
    <col min="13315" max="13315" width="13.1428571428571" style="3" customWidth="1"/>
    <col min="13316" max="13316" width="19.8571428571429" style="3" customWidth="1"/>
    <col min="13317" max="13317" width="19.8571428571429" style="3" bestFit="1" customWidth="1"/>
    <col min="13318" max="13318" width="17.1428571428571" style="3" bestFit="1" customWidth="1"/>
    <col min="13319" max="13319" width="14.7142857142857" style="3" customWidth="1"/>
    <col min="13320" max="13320" width="16.8571428571429" style="3" bestFit="1" customWidth="1"/>
    <col min="13321" max="13321" width="16.2857142857143" style="3" customWidth="1"/>
    <col min="13322" max="13322" width="14.7142857142857" style="3" bestFit="1" customWidth="1"/>
    <col min="13323" max="13323" width="13.7142857142857" style="3" bestFit="1" customWidth="1"/>
    <col min="13324" max="13324" width="14.4285714285714" style="3" bestFit="1" customWidth="1"/>
    <col min="13325" max="13325" width="14.1428571428571" style="3" customWidth="1"/>
    <col min="13326" max="13326" width="43" style="3" bestFit="1" customWidth="1"/>
    <col min="13327" max="13568" width="8.71428571428571" style="3"/>
    <col min="13569" max="13569" width="36.1428571428571" style="3" customWidth="1"/>
    <col min="13570" max="13570" width="16.7142857142857" style="3" customWidth="1"/>
    <col min="13571" max="13571" width="13.1428571428571" style="3" customWidth="1"/>
    <col min="13572" max="13572" width="19.8571428571429" style="3" customWidth="1"/>
    <col min="13573" max="13573" width="19.8571428571429" style="3" bestFit="1" customWidth="1"/>
    <col min="13574" max="13574" width="17.1428571428571" style="3" bestFit="1" customWidth="1"/>
    <col min="13575" max="13575" width="14.7142857142857" style="3" customWidth="1"/>
    <col min="13576" max="13576" width="16.8571428571429" style="3" bestFit="1" customWidth="1"/>
    <col min="13577" max="13577" width="16.2857142857143" style="3" customWidth="1"/>
    <col min="13578" max="13578" width="14.7142857142857" style="3" bestFit="1" customWidth="1"/>
    <col min="13579" max="13579" width="13.7142857142857" style="3" bestFit="1" customWidth="1"/>
    <col min="13580" max="13580" width="14.4285714285714" style="3" bestFit="1" customWidth="1"/>
    <col min="13581" max="13581" width="14.1428571428571" style="3" customWidth="1"/>
    <col min="13582" max="13582" width="43" style="3" bestFit="1" customWidth="1"/>
    <col min="13583" max="13824" width="8.71428571428571" style="3"/>
    <col min="13825" max="13825" width="36.1428571428571" style="3" customWidth="1"/>
    <col min="13826" max="13826" width="16.7142857142857" style="3" customWidth="1"/>
    <col min="13827" max="13827" width="13.1428571428571" style="3" customWidth="1"/>
    <col min="13828" max="13828" width="19.8571428571429" style="3" customWidth="1"/>
    <col min="13829" max="13829" width="19.8571428571429" style="3" bestFit="1" customWidth="1"/>
    <col min="13830" max="13830" width="17.1428571428571" style="3" bestFit="1" customWidth="1"/>
    <col min="13831" max="13831" width="14.7142857142857" style="3" customWidth="1"/>
    <col min="13832" max="13832" width="16.8571428571429" style="3" bestFit="1" customWidth="1"/>
    <col min="13833" max="13833" width="16.2857142857143" style="3" customWidth="1"/>
    <col min="13834" max="13834" width="14.7142857142857" style="3" bestFit="1" customWidth="1"/>
    <col min="13835" max="13835" width="13.7142857142857" style="3" bestFit="1" customWidth="1"/>
    <col min="13836" max="13836" width="14.4285714285714" style="3" bestFit="1" customWidth="1"/>
    <col min="13837" max="13837" width="14.1428571428571" style="3" customWidth="1"/>
    <col min="13838" max="13838" width="43" style="3" bestFit="1" customWidth="1"/>
    <col min="13839" max="14080" width="8.71428571428571" style="3"/>
    <col min="14081" max="14081" width="36.1428571428571" style="3" customWidth="1"/>
    <col min="14082" max="14082" width="16.7142857142857" style="3" customWidth="1"/>
    <col min="14083" max="14083" width="13.1428571428571" style="3" customWidth="1"/>
    <col min="14084" max="14084" width="19.8571428571429" style="3" customWidth="1"/>
    <col min="14085" max="14085" width="19.8571428571429" style="3" bestFit="1" customWidth="1"/>
    <col min="14086" max="14086" width="17.1428571428571" style="3" bestFit="1" customWidth="1"/>
    <col min="14087" max="14087" width="14.7142857142857" style="3" customWidth="1"/>
    <col min="14088" max="14088" width="16.8571428571429" style="3" bestFit="1" customWidth="1"/>
    <col min="14089" max="14089" width="16.2857142857143" style="3" customWidth="1"/>
    <col min="14090" max="14090" width="14.7142857142857" style="3" bestFit="1" customWidth="1"/>
    <col min="14091" max="14091" width="13.7142857142857" style="3" bestFit="1" customWidth="1"/>
    <col min="14092" max="14092" width="14.4285714285714" style="3" bestFit="1" customWidth="1"/>
    <col min="14093" max="14093" width="14.1428571428571" style="3" customWidth="1"/>
    <col min="14094" max="14094" width="43" style="3" bestFit="1" customWidth="1"/>
    <col min="14095" max="14336" width="8.71428571428571" style="3"/>
    <col min="14337" max="14337" width="36.1428571428571" style="3" customWidth="1"/>
    <col min="14338" max="14338" width="16.7142857142857" style="3" customWidth="1"/>
    <col min="14339" max="14339" width="13.1428571428571" style="3" customWidth="1"/>
    <col min="14340" max="14340" width="19.8571428571429" style="3" customWidth="1"/>
    <col min="14341" max="14341" width="19.8571428571429" style="3" bestFit="1" customWidth="1"/>
    <col min="14342" max="14342" width="17.1428571428571" style="3" bestFit="1" customWidth="1"/>
    <col min="14343" max="14343" width="14.7142857142857" style="3" customWidth="1"/>
    <col min="14344" max="14344" width="16.8571428571429" style="3" bestFit="1" customWidth="1"/>
    <col min="14345" max="14345" width="16.2857142857143" style="3" customWidth="1"/>
    <col min="14346" max="14346" width="14.7142857142857" style="3" bestFit="1" customWidth="1"/>
    <col min="14347" max="14347" width="13.7142857142857" style="3" bestFit="1" customWidth="1"/>
    <col min="14348" max="14348" width="14.4285714285714" style="3" bestFit="1" customWidth="1"/>
    <col min="14349" max="14349" width="14.1428571428571" style="3" customWidth="1"/>
    <col min="14350" max="14350" width="43" style="3" bestFit="1" customWidth="1"/>
    <col min="14351" max="14592" width="8.71428571428571" style="3"/>
    <col min="14593" max="14593" width="36.1428571428571" style="3" customWidth="1"/>
    <col min="14594" max="14594" width="16.7142857142857" style="3" customWidth="1"/>
    <col min="14595" max="14595" width="13.1428571428571" style="3" customWidth="1"/>
    <col min="14596" max="14596" width="19.8571428571429" style="3" customWidth="1"/>
    <col min="14597" max="14597" width="19.8571428571429" style="3" bestFit="1" customWidth="1"/>
    <col min="14598" max="14598" width="17.1428571428571" style="3" bestFit="1" customWidth="1"/>
    <col min="14599" max="14599" width="14.7142857142857" style="3" customWidth="1"/>
    <col min="14600" max="14600" width="16.8571428571429" style="3" bestFit="1" customWidth="1"/>
    <col min="14601" max="14601" width="16.2857142857143" style="3" customWidth="1"/>
    <col min="14602" max="14602" width="14.7142857142857" style="3" bestFit="1" customWidth="1"/>
    <col min="14603" max="14603" width="13.7142857142857" style="3" bestFit="1" customWidth="1"/>
    <col min="14604" max="14604" width="14.4285714285714" style="3" bestFit="1" customWidth="1"/>
    <col min="14605" max="14605" width="14.1428571428571" style="3" customWidth="1"/>
    <col min="14606" max="14606" width="43" style="3" bestFit="1" customWidth="1"/>
    <col min="14607" max="14848" width="8.71428571428571" style="3"/>
    <col min="14849" max="14849" width="36.1428571428571" style="3" customWidth="1"/>
    <col min="14850" max="14850" width="16.7142857142857" style="3" customWidth="1"/>
    <col min="14851" max="14851" width="13.1428571428571" style="3" customWidth="1"/>
    <col min="14852" max="14852" width="19.8571428571429" style="3" customWidth="1"/>
    <col min="14853" max="14853" width="19.8571428571429" style="3" bestFit="1" customWidth="1"/>
    <col min="14854" max="14854" width="17.1428571428571" style="3" bestFit="1" customWidth="1"/>
    <col min="14855" max="14855" width="14.7142857142857" style="3" customWidth="1"/>
    <col min="14856" max="14856" width="16.8571428571429" style="3" bestFit="1" customWidth="1"/>
    <col min="14857" max="14857" width="16.2857142857143" style="3" customWidth="1"/>
    <col min="14858" max="14858" width="14.7142857142857" style="3" bestFit="1" customWidth="1"/>
    <col min="14859" max="14859" width="13.7142857142857" style="3" bestFit="1" customWidth="1"/>
    <col min="14860" max="14860" width="14.4285714285714" style="3" bestFit="1" customWidth="1"/>
    <col min="14861" max="14861" width="14.1428571428571" style="3" customWidth="1"/>
    <col min="14862" max="14862" width="43" style="3" bestFit="1" customWidth="1"/>
    <col min="14863" max="15104" width="8.71428571428571" style="3"/>
    <col min="15105" max="15105" width="36.1428571428571" style="3" customWidth="1"/>
    <col min="15106" max="15106" width="16.7142857142857" style="3" customWidth="1"/>
    <col min="15107" max="15107" width="13.1428571428571" style="3" customWidth="1"/>
    <col min="15108" max="15108" width="19.8571428571429" style="3" customWidth="1"/>
    <col min="15109" max="15109" width="19.8571428571429" style="3" bestFit="1" customWidth="1"/>
    <col min="15110" max="15110" width="17.1428571428571" style="3" bestFit="1" customWidth="1"/>
    <col min="15111" max="15111" width="14.7142857142857" style="3" customWidth="1"/>
    <col min="15112" max="15112" width="16.8571428571429" style="3" bestFit="1" customWidth="1"/>
    <col min="15113" max="15113" width="16.2857142857143" style="3" customWidth="1"/>
    <col min="15114" max="15114" width="14.7142857142857" style="3" bestFit="1" customWidth="1"/>
    <col min="15115" max="15115" width="13.7142857142857" style="3" bestFit="1" customWidth="1"/>
    <col min="15116" max="15116" width="14.4285714285714" style="3" bestFit="1" customWidth="1"/>
    <col min="15117" max="15117" width="14.1428571428571" style="3" customWidth="1"/>
    <col min="15118" max="15118" width="43" style="3" bestFit="1" customWidth="1"/>
    <col min="15119" max="15360" width="8.71428571428571" style="3"/>
    <col min="15361" max="15361" width="36.1428571428571" style="3" customWidth="1"/>
    <col min="15362" max="15362" width="16.7142857142857" style="3" customWidth="1"/>
    <col min="15363" max="15363" width="13.1428571428571" style="3" customWidth="1"/>
    <col min="15364" max="15364" width="19.8571428571429" style="3" customWidth="1"/>
    <col min="15365" max="15365" width="19.8571428571429" style="3" bestFit="1" customWidth="1"/>
    <col min="15366" max="15366" width="17.1428571428571" style="3" bestFit="1" customWidth="1"/>
    <col min="15367" max="15367" width="14.7142857142857" style="3" customWidth="1"/>
    <col min="15368" max="15368" width="16.8571428571429" style="3" bestFit="1" customWidth="1"/>
    <col min="15369" max="15369" width="16.2857142857143" style="3" customWidth="1"/>
    <col min="15370" max="15370" width="14.7142857142857" style="3" bestFit="1" customWidth="1"/>
    <col min="15371" max="15371" width="13.7142857142857" style="3" bestFit="1" customWidth="1"/>
    <col min="15372" max="15372" width="14.4285714285714" style="3" bestFit="1" customWidth="1"/>
    <col min="15373" max="15373" width="14.1428571428571" style="3" customWidth="1"/>
    <col min="15374" max="15374" width="43" style="3" bestFit="1" customWidth="1"/>
    <col min="15375" max="15616" width="8.71428571428571" style="3"/>
    <col min="15617" max="15617" width="36.1428571428571" style="3" customWidth="1"/>
    <col min="15618" max="15618" width="16.7142857142857" style="3" customWidth="1"/>
    <col min="15619" max="15619" width="13.1428571428571" style="3" customWidth="1"/>
    <col min="15620" max="15620" width="19.8571428571429" style="3" customWidth="1"/>
    <col min="15621" max="15621" width="19.8571428571429" style="3" bestFit="1" customWidth="1"/>
    <col min="15622" max="15622" width="17.1428571428571" style="3" bestFit="1" customWidth="1"/>
    <col min="15623" max="15623" width="14.7142857142857" style="3" customWidth="1"/>
    <col min="15624" max="15624" width="16.8571428571429" style="3" bestFit="1" customWidth="1"/>
    <col min="15625" max="15625" width="16.2857142857143" style="3" customWidth="1"/>
    <col min="15626" max="15626" width="14.7142857142857" style="3" bestFit="1" customWidth="1"/>
    <col min="15627" max="15627" width="13.7142857142857" style="3" bestFit="1" customWidth="1"/>
    <col min="15628" max="15628" width="14.4285714285714" style="3" bestFit="1" customWidth="1"/>
    <col min="15629" max="15629" width="14.1428571428571" style="3" customWidth="1"/>
    <col min="15630" max="15630" width="43" style="3" bestFit="1" customWidth="1"/>
    <col min="15631" max="15872" width="8.71428571428571" style="3"/>
    <col min="15873" max="15873" width="36.1428571428571" style="3" customWidth="1"/>
    <col min="15874" max="15874" width="16.7142857142857" style="3" customWidth="1"/>
    <col min="15875" max="15875" width="13.1428571428571" style="3" customWidth="1"/>
    <col min="15876" max="15876" width="19.8571428571429" style="3" customWidth="1"/>
    <col min="15877" max="15877" width="19.8571428571429" style="3" bestFit="1" customWidth="1"/>
    <col min="15878" max="15878" width="17.1428571428571" style="3" bestFit="1" customWidth="1"/>
    <col min="15879" max="15879" width="14.7142857142857" style="3" customWidth="1"/>
    <col min="15880" max="15880" width="16.8571428571429" style="3" bestFit="1" customWidth="1"/>
    <col min="15881" max="15881" width="16.2857142857143" style="3" customWidth="1"/>
    <col min="15882" max="15882" width="14.7142857142857" style="3" bestFit="1" customWidth="1"/>
    <col min="15883" max="15883" width="13.7142857142857" style="3" bestFit="1" customWidth="1"/>
    <col min="15884" max="15884" width="14.4285714285714" style="3" bestFit="1" customWidth="1"/>
    <col min="15885" max="15885" width="14.1428571428571" style="3" customWidth="1"/>
    <col min="15886" max="15886" width="43" style="3" bestFit="1" customWidth="1"/>
    <col min="15887" max="16128" width="8.71428571428571" style="3"/>
    <col min="16129" max="16129" width="36.1428571428571" style="3" customWidth="1"/>
    <col min="16130" max="16130" width="16.7142857142857" style="3" customWidth="1"/>
    <col min="16131" max="16131" width="13.1428571428571" style="3" customWidth="1"/>
    <col min="16132" max="16132" width="19.8571428571429" style="3" customWidth="1"/>
    <col min="16133" max="16133" width="19.8571428571429" style="3" bestFit="1" customWidth="1"/>
    <col min="16134" max="16134" width="17.1428571428571" style="3" bestFit="1" customWidth="1"/>
    <col min="16135" max="16135" width="14.7142857142857" style="3" customWidth="1"/>
    <col min="16136" max="16136" width="16.8571428571429" style="3" bestFit="1" customWidth="1"/>
    <col min="16137" max="16137" width="16.2857142857143" style="3" customWidth="1"/>
    <col min="16138" max="16138" width="14.7142857142857" style="3" bestFit="1" customWidth="1"/>
    <col min="16139" max="16139" width="13.7142857142857" style="3" bestFit="1" customWidth="1"/>
    <col min="16140" max="16140" width="14.4285714285714" style="3" bestFit="1" customWidth="1"/>
    <col min="16141" max="16141" width="14.1428571428571" style="3" customWidth="1"/>
    <col min="16142" max="16142" width="43" style="3" bestFit="1" customWidth="1"/>
    <col min="16143" max="16384" width="8.71428571428571" style="3"/>
  </cols>
  <sheetData>
    <row r="1" spans="1:1" ht="12.75">
      <c r="A1" s="15" t="s">
        <v>29</v>
      </c>
    </row>
    <row r="2" spans="1:1" ht="12.75">
      <c r="A2" s="15" t="s">
        <v>30</v>
      </c>
    </row>
    <row r="4" spans="1:14" s="30" customFormat="1" ht="15.75">
      <c r="A4" s="1" t="s">
        <v>0</v>
      </c>
      <c r="B4" s="1"/>
      <c r="C4" s="69"/>
      <c r="D4" s="69"/>
      <c r="H4" s="69"/>
      <c r="I4" s="69"/>
      <c r="J4" s="69"/>
      <c r="K4" s="69"/>
      <c r="L4" s="69"/>
      <c r="M4" s="69"/>
      <c r="N4" s="69"/>
    </row>
    <row r="5" spans="1:14" s="30" customFormat="1" ht="15.75">
      <c r="A5" s="71">
        <v>44377</v>
      </c>
      <c r="B5" s="4"/>
      <c r="C5" s="69"/>
      <c r="D5" s="69"/>
      <c r="E5" s="69"/>
      <c r="F5" s="70"/>
      <c r="G5" s="69"/>
      <c r="H5" s="69"/>
      <c r="I5" s="69"/>
      <c r="J5" s="69"/>
      <c r="K5" s="69"/>
      <c r="L5" s="69"/>
      <c r="M5" s="69"/>
      <c r="N5" s="69"/>
    </row>
    <row r="6" spans="1:14" ht="15.75">
      <c r="A6" s="2"/>
      <c r="B6" s="5"/>
      <c r="C6" s="3"/>
      <c r="D6" s="6"/>
      <c r="E6" s="3"/>
      <c r="G6" s="3"/>
      <c r="H6" s="3"/>
      <c r="I6" s="3"/>
      <c r="J6" s="3"/>
      <c r="K6" s="3"/>
      <c r="L6" s="3"/>
      <c r="M6" s="3"/>
      <c r="N6" s="3"/>
    </row>
    <row r="7" spans="1:14" ht="15.75">
      <c r="A7" s="1"/>
      <c r="B7" s="5"/>
      <c r="C7" s="3"/>
      <c r="D7" s="6"/>
      <c r="E7" s="3"/>
      <c r="G7" s="3"/>
      <c r="H7" s="3"/>
      <c r="I7" s="3"/>
      <c r="J7" s="3"/>
      <c r="K7" s="3"/>
      <c r="L7" s="3"/>
      <c r="M7" s="3"/>
      <c r="N7" s="3"/>
    </row>
    <row r="8" spans="1:14" ht="15.75">
      <c r="A8" s="1" t="s">
        <v>1</v>
      </c>
      <c r="B8" s="5"/>
      <c r="C8" s="3"/>
      <c r="D8" s="6"/>
      <c r="E8" s="3"/>
      <c r="G8" s="3"/>
      <c r="H8" s="3"/>
      <c r="I8" s="3"/>
      <c r="J8" s="3"/>
      <c r="K8" s="3"/>
      <c r="L8" s="3"/>
      <c r="M8" s="3"/>
      <c r="N8" s="3"/>
    </row>
    <row r="9" spans="1:14" ht="12.75">
      <c r="A9" s="7"/>
      <c r="B9" s="7"/>
      <c r="C9" s="2"/>
      <c r="D9" s="2"/>
      <c r="E9" s="2"/>
      <c r="F9" s="72" t="s">
        <v>42</v>
      </c>
      <c r="G9" s="2"/>
      <c r="H9" s="2"/>
      <c r="I9" s="2"/>
      <c r="J9" s="2"/>
      <c r="K9" s="2"/>
      <c r="L9" s="2"/>
      <c r="M9" s="2"/>
      <c r="N9" s="2"/>
    </row>
    <row r="10" spans="1:14" ht="12.75">
      <c r="A10" s="8" t="s">
        <v>2</v>
      </c>
      <c r="B10" s="9" t="s">
        <v>3</v>
      </c>
      <c r="C10" s="9" t="s">
        <v>4</v>
      </c>
      <c r="D10" s="9" t="s">
        <v>5</v>
      </c>
      <c r="E10" s="8" t="s">
        <v>6</v>
      </c>
      <c r="F10" s="9" t="s">
        <v>7</v>
      </c>
      <c r="G10" s="9"/>
      <c r="H10" s="9" t="s">
        <v>8</v>
      </c>
      <c r="I10" s="9" t="s">
        <v>9</v>
      </c>
      <c r="J10" s="9" t="s">
        <v>10</v>
      </c>
      <c r="K10" s="9" t="s">
        <v>11</v>
      </c>
      <c r="L10" s="10" t="s">
        <v>12</v>
      </c>
      <c r="M10" s="9" t="s">
        <v>13</v>
      </c>
      <c r="N10" s="3"/>
    </row>
    <row r="11" spans="1:14" ht="12.75">
      <c r="A11" s="11"/>
      <c r="B11" s="12"/>
      <c r="C11" s="12"/>
      <c r="D11" s="12"/>
      <c r="E11" s="11"/>
      <c r="F11" s="12"/>
      <c r="G11" s="12"/>
      <c r="H11" s="12"/>
      <c r="I11" s="12"/>
      <c r="J11" s="12"/>
      <c r="K11" s="12"/>
      <c r="L11" s="13"/>
      <c r="M11" s="12"/>
      <c r="N11" s="3"/>
    </row>
    <row r="12" spans="1:14" ht="12.75">
      <c r="A12" s="11" t="s">
        <v>1</v>
      </c>
      <c r="B12" s="12"/>
      <c r="C12" s="12"/>
      <c r="D12" s="12"/>
      <c r="E12" s="11"/>
      <c r="F12" s="12"/>
      <c r="G12" s="12"/>
      <c r="H12" s="12"/>
      <c r="I12" s="12"/>
      <c r="J12" s="12"/>
      <c r="K12" s="12"/>
      <c r="L12" s="13"/>
      <c r="M12" s="12"/>
      <c r="N12" s="3"/>
    </row>
    <row r="13" spans="1:14" ht="12.75">
      <c r="A13" s="11"/>
      <c r="B13" s="12"/>
      <c r="C13" s="12"/>
      <c r="D13" s="12"/>
      <c r="E13" s="11"/>
      <c r="F13" s="14"/>
      <c r="G13" s="14"/>
      <c r="H13" s="14"/>
      <c r="I13" s="14"/>
      <c r="K13" s="14"/>
      <c r="L13" s="16"/>
      <c r="M13" s="14"/>
      <c r="N13" s="3"/>
    </row>
    <row r="14" spans="1:14" ht="12.75">
      <c r="A14" s="11" t="s">
        <v>23</v>
      </c>
      <c r="B14" s="12"/>
      <c r="C14" s="12">
        <v>300148</v>
      </c>
      <c r="D14" s="12" t="s">
        <v>14</v>
      </c>
      <c r="E14" s="11"/>
      <c r="F14" s="14">
        <f>SUM(H14:M14)</f>
        <v>7162.5699999999997</v>
      </c>
      <c r="G14" s="14" t="s">
        <v>24</v>
      </c>
      <c r="H14" s="3"/>
      <c r="I14" s="14">
        <f>ROUND((14325.14*0.5),2)</f>
        <v>7162.5699999999997</v>
      </c>
      <c r="K14" s="14"/>
      <c r="L14" s="16"/>
      <c r="M14" s="14"/>
      <c r="N14" s="3"/>
    </row>
    <row r="15" spans="1:14" ht="12.75">
      <c r="A15" s="11" t="s">
        <v>23</v>
      </c>
      <c r="B15" s="12"/>
      <c r="C15" s="12">
        <v>300148</v>
      </c>
      <c r="D15" s="12" t="s">
        <v>15</v>
      </c>
      <c r="E15" s="11"/>
      <c r="F15" s="14">
        <f>SUM(H15:M15)</f>
        <v>9077.3199999999997</v>
      </c>
      <c r="G15" s="14" t="s">
        <v>25</v>
      </c>
      <c r="H15" s="14"/>
      <c r="I15" s="14"/>
      <c r="J15" s="17">
        <f>ROUND((18154.64*0.5),2)</f>
        <v>9077.3199999999997</v>
      </c>
      <c r="K15" s="14"/>
      <c r="L15" s="16"/>
      <c r="M15" s="14"/>
      <c r="N15" s="3"/>
    </row>
    <row r="16" spans="1:6" ht="13.5" thickBot="1">
      <c r="A16" s="18"/>
      <c r="B16" s="12"/>
      <c r="C16" s="12"/>
      <c r="D16" s="12"/>
      <c r="E16" s="11"/>
      <c r="F16" s="19"/>
    </row>
    <row r="17" spans="1:14" ht="16.5" customHeight="1" thickBot="1">
      <c r="A17" s="20" t="s">
        <v>16</v>
      </c>
      <c r="B17" s="20"/>
      <c r="C17" s="21"/>
      <c r="D17" s="6"/>
      <c r="E17" s="3"/>
      <c r="F17" s="23">
        <f>SUM(F13:F16)</f>
        <v>16239.889999999999</v>
      </c>
      <c r="G17" s="22"/>
      <c r="H17" s="23">
        <f t="shared" si="0" ref="H17:M17">SUM(H13:H16)</f>
        <v>0</v>
      </c>
      <c r="I17" s="23">
        <f t="shared" si="0"/>
        <v>7162.5699999999997</v>
      </c>
      <c r="J17" s="23">
        <f t="shared" si="0"/>
        <v>9077.3199999999997</v>
      </c>
      <c r="K17" s="23">
        <f t="shared" si="0"/>
        <v>0</v>
      </c>
      <c r="L17" s="23">
        <f t="shared" si="0"/>
        <v>0</v>
      </c>
      <c r="M17" s="23">
        <f t="shared" si="0"/>
        <v>0</v>
      </c>
      <c r="N17" s="3"/>
    </row>
    <row r="18" spans="1:14" ht="13.5" customHeight="1">
      <c r="A18" s="20"/>
      <c r="B18" s="20"/>
      <c r="C18" s="21"/>
      <c r="D18" s="6"/>
      <c r="E18" s="3"/>
      <c r="F18" s="22"/>
      <c r="G18" s="24"/>
      <c r="H18" s="25"/>
      <c r="I18" s="25"/>
      <c r="J18" s="25"/>
      <c r="K18" s="25"/>
      <c r="L18" s="25"/>
      <c r="M18" s="25"/>
      <c r="N18" s="3"/>
    </row>
    <row r="19" spans="1:14" ht="13.5" customHeight="1">
      <c r="A19" s="21"/>
      <c r="B19" s="21"/>
      <c r="C19" s="21"/>
      <c r="D19" s="6"/>
      <c r="E19" s="3"/>
      <c r="F19" s="22"/>
      <c r="G19" s="24"/>
      <c r="H19" s="26"/>
      <c r="I19" s="26"/>
      <c r="J19" s="26"/>
      <c r="K19" s="26"/>
      <c r="L19" s="26"/>
      <c r="M19" s="26"/>
      <c r="N19" s="3"/>
    </row>
    <row r="20" spans="1:14" ht="15.75">
      <c r="A20" s="1" t="s">
        <v>17</v>
      </c>
      <c r="B20" s="2"/>
      <c r="C20" s="2"/>
      <c r="D20" s="2"/>
      <c r="E20" s="2"/>
      <c r="F20" s="66"/>
      <c r="G20" s="2"/>
      <c r="H20" s="2"/>
      <c r="I20" s="2"/>
      <c r="J20" s="2"/>
      <c r="K20" s="2"/>
      <c r="L20" s="2"/>
      <c r="M20" s="2"/>
      <c r="N20" s="2"/>
    </row>
    <row r="21" spans="1:14" s="30" customFormat="1" ht="12.75">
      <c r="A21" s="27" t="s">
        <v>2</v>
      </c>
      <c r="B21" s="28" t="s">
        <v>3</v>
      </c>
      <c r="C21" s="28" t="s">
        <v>4</v>
      </c>
      <c r="D21" s="28" t="s">
        <v>5</v>
      </c>
      <c r="E21" s="27" t="s">
        <v>6</v>
      </c>
      <c r="F21" s="8" t="s">
        <v>7</v>
      </c>
      <c r="G21" s="27"/>
      <c r="H21" s="28" t="s">
        <v>8</v>
      </c>
      <c r="I21" s="28" t="s">
        <v>9</v>
      </c>
      <c r="J21" s="28" t="s">
        <v>10</v>
      </c>
      <c r="K21" s="28" t="s">
        <v>11</v>
      </c>
      <c r="L21" s="29" t="s">
        <v>12</v>
      </c>
      <c r="M21" s="29" t="s">
        <v>13</v>
      </c>
      <c r="N21" s="27"/>
    </row>
    <row r="22" spans="1:14" s="30" customFormat="1" ht="12.75">
      <c r="A22" s="31"/>
      <c r="B22" s="32"/>
      <c r="C22" s="32"/>
      <c r="D22" s="32"/>
      <c r="E22" s="31"/>
      <c r="F22" s="11"/>
      <c r="G22" s="31"/>
      <c r="H22" s="32"/>
      <c r="I22" s="32"/>
      <c r="J22" s="32"/>
      <c r="K22" s="32"/>
      <c r="L22" s="33"/>
      <c r="M22" s="33"/>
      <c r="N22" s="31"/>
    </row>
    <row r="23" spans="1:14" s="30" customFormat="1" ht="12.75">
      <c r="A23" s="11"/>
      <c r="B23" s="32"/>
      <c r="C23" s="32"/>
      <c r="D23" s="32"/>
      <c r="E23" s="31"/>
      <c r="F23" s="11"/>
      <c r="G23" s="31"/>
      <c r="H23" s="32"/>
      <c r="I23" s="32"/>
      <c r="J23" s="32"/>
      <c r="K23" s="32"/>
      <c r="L23" s="33"/>
      <c r="M23" s="33"/>
      <c r="N23" s="31"/>
    </row>
    <row r="24" spans="1:14" s="30" customFormat="1" ht="12.75">
      <c r="A24" s="11" t="s">
        <v>23</v>
      </c>
      <c r="B24" s="32"/>
      <c r="C24" s="32">
        <v>300148</v>
      </c>
      <c r="D24" s="32" t="s">
        <v>18</v>
      </c>
      <c r="E24" s="31"/>
      <c r="F24" s="67">
        <f>SUM(H24:M24)</f>
        <v>626.5</v>
      </c>
      <c r="G24" s="31" t="s">
        <v>26</v>
      </c>
      <c r="H24" s="34">
        <f>ROUND((1253/2),2)</f>
        <v>626.5</v>
      </c>
      <c r="J24" s="34"/>
      <c r="K24" s="34"/>
      <c r="L24" s="35"/>
      <c r="M24" s="35"/>
      <c r="N24" s="31"/>
    </row>
    <row r="25" spans="1:14" s="30" customFormat="1" ht="12.75">
      <c r="A25" s="11" t="s">
        <v>23</v>
      </c>
      <c r="B25" s="32"/>
      <c r="C25" s="32">
        <v>300148</v>
      </c>
      <c r="D25" s="32" t="s">
        <v>19</v>
      </c>
      <c r="E25" s="31"/>
      <c r="F25" s="67">
        <f t="shared" si="1" ref="F25">SUM(H25:M25)</f>
        <v>626.5</v>
      </c>
      <c r="G25" s="31" t="s">
        <v>27</v>
      </c>
      <c r="H25" s="34"/>
      <c r="I25" s="34">
        <f>ROUND((1253/2),2)</f>
        <v>626.5</v>
      </c>
      <c r="K25" s="34"/>
      <c r="L25" s="35"/>
      <c r="M25" s="35"/>
      <c r="N25" s="31"/>
    </row>
    <row r="26" spans="1:14" s="64" customFormat="1" ht="63.75">
      <c r="A26" s="65" t="s">
        <v>23</v>
      </c>
      <c r="B26" s="60"/>
      <c r="C26" s="60">
        <v>300148</v>
      </c>
      <c r="D26" s="60" t="s">
        <v>20</v>
      </c>
      <c r="E26" s="59"/>
      <c r="F26" s="68">
        <f>SUM(H26:M26)</f>
        <v>392592.90000000002</v>
      </c>
      <c r="G26" s="61" t="s">
        <v>28</v>
      </c>
      <c r="H26" s="62"/>
      <c r="I26" s="62"/>
      <c r="J26" s="62"/>
      <c r="K26" s="62"/>
      <c r="L26" s="63">
        <f>ROUND((785185.79*0.5),2)</f>
        <v>392592.90000000002</v>
      </c>
      <c r="M26" s="63"/>
      <c r="N26" s="59"/>
    </row>
    <row r="27" spans="1:14" s="30" customFormat="1" ht="13.5" thickBot="1">
      <c r="A27" s="31"/>
      <c r="B27" s="32"/>
      <c r="C27" s="32"/>
      <c r="D27" s="32"/>
      <c r="E27" s="31"/>
      <c r="F27" s="36"/>
      <c r="G27" s="31"/>
      <c r="H27" s="32"/>
      <c r="I27" s="32"/>
      <c r="J27" s="32"/>
      <c r="K27" s="32"/>
      <c r="L27" s="37"/>
      <c r="M27" s="33"/>
      <c r="N27" s="31"/>
    </row>
    <row r="28" spans="1:14" ht="15.75" thickBot="1">
      <c r="A28" s="20" t="s">
        <v>21</v>
      </c>
      <c r="B28" s="20"/>
      <c r="C28" s="21"/>
      <c r="D28" s="38"/>
      <c r="E28" s="39"/>
      <c r="F28" s="23">
        <f>SUM(F24:F27)</f>
        <v>393845.90000000002</v>
      </c>
      <c r="G28" s="2"/>
      <c r="H28" s="40">
        <f>SUM(H24:H26)</f>
        <v>626.5</v>
      </c>
      <c r="I28" s="40">
        <f t="shared" si="2" ref="I28:M28">SUM(I24:I26)</f>
        <v>626.5</v>
      </c>
      <c r="J28" s="40">
        <f t="shared" si="2"/>
        <v>0</v>
      </c>
      <c r="K28" s="40">
        <f t="shared" si="2"/>
        <v>0</v>
      </c>
      <c r="L28" s="40">
        <f t="shared" si="2"/>
        <v>392592.90000000002</v>
      </c>
      <c r="M28" s="40">
        <f t="shared" si="2"/>
        <v>0</v>
      </c>
      <c r="N28" s="2"/>
    </row>
    <row r="29" spans="1:14" ht="15.75" thickBot="1">
      <c r="A29" s="20"/>
      <c r="B29" s="20"/>
      <c r="C29" s="2"/>
      <c r="D29" s="15"/>
      <c r="E29" s="2"/>
      <c r="F29" s="25"/>
      <c r="G29" s="2"/>
      <c r="H29" s="41"/>
      <c r="I29" s="41"/>
      <c r="J29" s="41"/>
      <c r="K29" s="41"/>
      <c r="L29" s="41"/>
      <c r="M29" s="41"/>
      <c r="N29" s="2"/>
    </row>
    <row r="30" spans="1:14" ht="15.75" thickBot="1">
      <c r="A30" s="20"/>
      <c r="B30" s="20"/>
      <c r="C30" s="3"/>
      <c r="D30" s="15"/>
      <c r="E30" s="42"/>
      <c r="F30" s="40">
        <f>F17+F28</f>
        <v>410085.79000000004</v>
      </c>
      <c r="G30" s="7" t="s">
        <v>22</v>
      </c>
      <c r="H30" s="43">
        <f t="shared" si="3" ref="H30:M30">+H28+H17</f>
        <v>626.5</v>
      </c>
      <c r="I30" s="44">
        <f t="shared" si="3"/>
        <v>7789.0699999999997</v>
      </c>
      <c r="J30" s="45">
        <f t="shared" si="3"/>
        <v>9077.3199999999997</v>
      </c>
      <c r="K30" s="44">
        <f t="shared" si="3"/>
        <v>0</v>
      </c>
      <c r="L30" s="45">
        <f t="shared" si="3"/>
        <v>392592.90000000002</v>
      </c>
      <c r="M30" s="44">
        <f t="shared" si="3"/>
        <v>0</v>
      </c>
      <c r="N30" s="2"/>
    </row>
    <row r="31" spans="1:14" ht="15.75" thickBot="1">
      <c r="A31" s="20"/>
      <c r="B31" s="20"/>
      <c r="C31" s="2"/>
      <c r="D31" s="46"/>
      <c r="E31" s="42"/>
      <c r="F31" s="25"/>
      <c r="G31" s="7"/>
      <c r="H31" s="41"/>
      <c r="I31" s="41"/>
      <c r="J31" s="41"/>
      <c r="K31" s="41"/>
      <c r="L31" s="41"/>
      <c r="M31" s="41"/>
      <c r="N31" s="2"/>
    </row>
    <row r="32" spans="1:14" ht="15">
      <c r="A32" s="20"/>
      <c r="B32" s="73"/>
      <c r="C32" s="74"/>
      <c r="D32" s="75"/>
      <c r="E32" s="76"/>
      <c r="F32" s="77"/>
      <c r="G32" s="74"/>
      <c r="H32" s="77"/>
      <c r="I32" s="78" t="s">
        <v>41</v>
      </c>
      <c r="J32" s="25"/>
      <c r="K32" s="25"/>
      <c r="L32" s="25"/>
      <c r="M32" s="25"/>
      <c r="N32" s="47"/>
    </row>
    <row r="33" spans="1:14" ht="15">
      <c r="A33" s="20"/>
      <c r="B33" s="79" t="s">
        <v>1</v>
      </c>
      <c r="C33" s="11" t="s">
        <v>38</v>
      </c>
      <c r="D33" s="13" t="s">
        <v>33</v>
      </c>
      <c r="E33" s="80" t="s">
        <v>34</v>
      </c>
      <c r="F33" s="25" t="s">
        <v>39</v>
      </c>
      <c r="G33" s="11" t="s">
        <v>36</v>
      </c>
      <c r="H33" s="25" t="s">
        <v>40</v>
      </c>
      <c r="I33" s="81">
        <f>-F17</f>
        <v>-16239.889999999999</v>
      </c>
      <c r="J33" s="25"/>
      <c r="K33" s="25"/>
      <c r="L33" s="25"/>
      <c r="M33" s="25"/>
      <c r="N33" s="47"/>
    </row>
    <row r="34" spans="1:14" ht="15">
      <c r="A34" s="20"/>
      <c r="B34" s="79" t="s">
        <v>31</v>
      </c>
      <c r="C34" s="11" t="s">
        <v>32</v>
      </c>
      <c r="D34" s="13" t="s">
        <v>33</v>
      </c>
      <c r="E34" s="80" t="s">
        <v>34</v>
      </c>
      <c r="F34" s="25" t="s">
        <v>35</v>
      </c>
      <c r="G34" s="11" t="s">
        <v>36</v>
      </c>
      <c r="H34" s="25" t="s">
        <v>37</v>
      </c>
      <c r="I34" s="82">
        <f>-F28</f>
        <v>-393845.90000000002</v>
      </c>
      <c r="J34" s="25"/>
      <c r="K34" s="25"/>
      <c r="L34" s="25"/>
      <c r="M34" s="25"/>
      <c r="N34" s="47"/>
    </row>
    <row r="35" spans="1:14" ht="15.75" thickBot="1">
      <c r="A35" s="20"/>
      <c r="B35" s="83"/>
      <c r="C35" s="84"/>
      <c r="D35" s="85"/>
      <c r="E35" s="86"/>
      <c r="F35" s="87"/>
      <c r="G35" s="84"/>
      <c r="H35" s="87"/>
      <c r="I35" s="88">
        <f>SUM(I33:I34)</f>
        <v>-410085.79000000004</v>
      </c>
      <c r="J35" s="25"/>
      <c r="K35" s="25"/>
      <c r="L35" s="25"/>
      <c r="M35" s="25"/>
      <c r="N35" s="47"/>
    </row>
    <row r="36" spans="1:14" ht="15">
      <c r="A36" s="20"/>
      <c r="B36" s="20"/>
      <c r="C36" s="47"/>
      <c r="D36" s="48"/>
      <c r="E36" s="49"/>
      <c r="F36" s="25"/>
      <c r="G36" s="47"/>
      <c r="H36" s="25"/>
      <c r="I36" s="25"/>
      <c r="J36" s="25"/>
      <c r="K36" s="25"/>
      <c r="L36" s="25"/>
      <c r="M36" s="25"/>
      <c r="N36" s="47"/>
    </row>
    <row r="37" spans="1:14" ht="15">
      <c r="A37" s="20"/>
      <c r="B37" s="20"/>
      <c r="C37" s="47"/>
      <c r="D37" s="48"/>
      <c r="E37" s="49"/>
      <c r="F37" s="25"/>
      <c r="G37" s="47"/>
      <c r="H37" s="25"/>
      <c r="I37" s="25"/>
      <c r="J37" s="25"/>
      <c r="K37" s="25"/>
      <c r="L37" s="25"/>
      <c r="M37" s="25"/>
      <c r="N37" s="47"/>
    </row>
    <row r="38" spans="1:14" ht="15">
      <c r="A38" s="20"/>
      <c r="B38" s="20"/>
      <c r="C38" s="47"/>
      <c r="D38" s="48"/>
      <c r="E38" s="49"/>
      <c r="F38" s="25"/>
      <c r="G38" s="47"/>
      <c r="H38" s="25"/>
      <c r="I38" s="25"/>
      <c r="J38" s="25"/>
      <c r="K38" s="25"/>
      <c r="L38" s="25"/>
      <c r="M38" s="25"/>
      <c r="N38" s="47"/>
    </row>
    <row r="39" spans="1:14" ht="15">
      <c r="A39" s="20"/>
      <c r="B39" s="20"/>
      <c r="C39" s="47"/>
      <c r="D39" s="48"/>
      <c r="E39" s="49"/>
      <c r="F39" s="25"/>
      <c r="G39" s="47"/>
      <c r="H39" s="25"/>
      <c r="I39" s="25"/>
      <c r="J39" s="25"/>
      <c r="K39" s="25"/>
      <c r="L39" s="25"/>
      <c r="M39" s="25"/>
      <c r="N39" s="47"/>
    </row>
    <row r="40" spans="1:14" ht="15">
      <c r="A40" s="20"/>
      <c r="B40" s="20"/>
      <c r="C40" s="47"/>
      <c r="D40" s="48"/>
      <c r="E40" s="49"/>
      <c r="F40" s="25"/>
      <c r="G40" s="47"/>
      <c r="H40" s="25"/>
      <c r="I40" s="25"/>
      <c r="J40" s="25"/>
      <c r="K40" s="25"/>
      <c r="L40" s="25"/>
      <c r="M40" s="25"/>
      <c r="N40" s="47"/>
    </row>
    <row r="41" spans="1:14" ht="15">
      <c r="A41" s="20"/>
      <c r="B41" s="20"/>
      <c r="C41" s="47"/>
      <c r="D41" s="48"/>
      <c r="E41" s="49"/>
      <c r="F41" s="25"/>
      <c r="G41" s="47"/>
      <c r="H41" s="25"/>
      <c r="I41" s="25"/>
      <c r="J41" s="25"/>
      <c r="K41" s="25"/>
      <c r="L41" s="25"/>
      <c r="M41" s="25"/>
      <c r="N41" s="47"/>
    </row>
    <row r="42" spans="1:14" ht="15">
      <c r="A42" s="20"/>
      <c r="B42" s="20"/>
      <c r="C42" s="47"/>
      <c r="D42" s="48"/>
      <c r="E42" s="49"/>
      <c r="F42" s="25"/>
      <c r="G42" s="47"/>
      <c r="H42" s="25"/>
      <c r="I42" s="25"/>
      <c r="J42" s="25"/>
      <c r="K42" s="25"/>
      <c r="L42" s="25"/>
      <c r="M42" s="25"/>
      <c r="N42" s="47"/>
    </row>
    <row r="43" spans="1:14" ht="15">
      <c r="A43" s="20"/>
      <c r="B43" s="20"/>
      <c r="C43" s="47"/>
      <c r="D43" s="48"/>
      <c r="E43" s="49"/>
      <c r="F43" s="25"/>
      <c r="G43" s="47"/>
      <c r="H43" s="25"/>
      <c r="I43" s="25"/>
      <c r="J43" s="25"/>
      <c r="K43" s="25"/>
      <c r="L43" s="25"/>
      <c r="M43" s="25"/>
      <c r="N43" s="47"/>
    </row>
    <row r="44" spans="1:14" ht="15">
      <c r="A44" s="20"/>
      <c r="B44" s="20"/>
      <c r="C44" s="47"/>
      <c r="D44" s="48"/>
      <c r="E44" s="49"/>
      <c r="F44" s="25"/>
      <c r="G44" s="47"/>
      <c r="H44" s="25"/>
      <c r="I44" s="25"/>
      <c r="J44" s="25"/>
      <c r="K44" s="25"/>
      <c r="L44" s="25"/>
      <c r="M44" s="25"/>
      <c r="N44" s="47"/>
    </row>
    <row r="45" spans="1:14" ht="15">
      <c r="A45" s="20"/>
      <c r="B45" s="20"/>
      <c r="C45" s="47"/>
      <c r="D45" s="48"/>
      <c r="E45" s="49"/>
      <c r="F45" s="25"/>
      <c r="G45" s="47"/>
      <c r="H45" s="25"/>
      <c r="I45" s="25"/>
      <c r="J45" s="25"/>
      <c r="K45" s="25"/>
      <c r="L45" s="25"/>
      <c r="M45" s="25"/>
      <c r="N45" s="47"/>
    </row>
    <row r="46" spans="1:14" ht="15">
      <c r="A46" s="20"/>
      <c r="B46" s="20"/>
      <c r="C46" s="47"/>
      <c r="D46" s="48"/>
      <c r="E46" s="49"/>
      <c r="F46" s="25"/>
      <c r="G46" s="47"/>
      <c r="H46" s="25"/>
      <c r="I46" s="25"/>
      <c r="J46" s="25"/>
      <c r="K46" s="25"/>
      <c r="L46" s="25"/>
      <c r="M46" s="25"/>
      <c r="N46" s="47"/>
    </row>
    <row r="47" spans="1:14" ht="15">
      <c r="A47" s="20"/>
      <c r="B47" s="20"/>
      <c r="C47" s="47"/>
      <c r="D47" s="48"/>
      <c r="E47" s="49"/>
      <c r="F47" s="25"/>
      <c r="G47" s="47"/>
      <c r="H47" s="25"/>
      <c r="I47" s="25"/>
      <c r="J47" s="25"/>
      <c r="K47" s="25"/>
      <c r="L47" s="25"/>
      <c r="M47" s="25"/>
      <c r="N47" s="47"/>
    </row>
    <row r="48" spans="1:14" ht="15">
      <c r="A48" s="20"/>
      <c r="B48" s="20"/>
      <c r="C48" s="47"/>
      <c r="D48" s="48"/>
      <c r="E48" s="49"/>
      <c r="F48" s="25"/>
      <c r="G48" s="47"/>
      <c r="H48" s="25"/>
      <c r="I48" s="25"/>
      <c r="J48" s="25"/>
      <c r="K48" s="25"/>
      <c r="L48" s="25"/>
      <c r="M48" s="25"/>
      <c r="N48" s="47"/>
    </row>
    <row r="49" spans="1:14" ht="15">
      <c r="A49" s="20"/>
      <c r="B49" s="20"/>
      <c r="C49" s="47"/>
      <c r="D49" s="48"/>
      <c r="E49" s="49"/>
      <c r="F49" s="25"/>
      <c r="G49" s="47"/>
      <c r="H49" s="25"/>
      <c r="I49" s="25"/>
      <c r="J49" s="25"/>
      <c r="K49" s="25"/>
      <c r="L49" s="25"/>
      <c r="M49" s="25"/>
      <c r="N49" s="47"/>
    </row>
    <row r="50" spans="1:14" ht="15">
      <c r="A50" s="20"/>
      <c r="B50" s="20"/>
      <c r="C50" s="47"/>
      <c r="D50" s="48"/>
      <c r="E50" s="49"/>
      <c r="F50" s="25"/>
      <c r="G50" s="47"/>
      <c r="H50" s="25"/>
      <c r="I50" s="25"/>
      <c r="J50" s="25"/>
      <c r="K50" s="25"/>
      <c r="L50" s="25"/>
      <c r="M50" s="25"/>
      <c r="N50" s="47"/>
    </row>
    <row r="51" spans="1:14" ht="15">
      <c r="A51" s="20"/>
      <c r="B51" s="20"/>
      <c r="C51" s="47"/>
      <c r="D51" s="48"/>
      <c r="E51" s="49"/>
      <c r="F51" s="25"/>
      <c r="G51" s="47"/>
      <c r="H51" s="25"/>
      <c r="I51" s="25"/>
      <c r="J51" s="25"/>
      <c r="K51" s="25"/>
      <c r="L51" s="25"/>
      <c r="M51" s="25"/>
      <c r="N51" s="47"/>
    </row>
    <row r="52" spans="1:14" ht="15">
      <c r="A52" s="20"/>
      <c r="B52" s="20"/>
      <c r="C52" s="47"/>
      <c r="D52" s="48"/>
      <c r="E52" s="49"/>
      <c r="F52" s="25"/>
      <c r="G52" s="47"/>
      <c r="H52" s="25"/>
      <c r="I52" s="25"/>
      <c r="J52" s="25"/>
      <c r="K52" s="25"/>
      <c r="L52" s="25"/>
      <c r="M52" s="25"/>
      <c r="N52" s="47"/>
    </row>
    <row r="53" spans="1:14" ht="15">
      <c r="A53" s="20"/>
      <c r="B53" s="20"/>
      <c r="C53" s="47"/>
      <c r="D53" s="48"/>
      <c r="E53" s="49"/>
      <c r="F53" s="25"/>
      <c r="G53" s="47"/>
      <c r="H53" s="25"/>
      <c r="I53" s="25"/>
      <c r="J53" s="25"/>
      <c r="K53" s="25"/>
      <c r="L53" s="25"/>
      <c r="M53" s="25"/>
      <c r="N53" s="47"/>
    </row>
    <row r="54" spans="1:14" ht="15">
      <c r="A54" s="20"/>
      <c r="B54" s="20"/>
      <c r="C54" s="47"/>
      <c r="D54" s="48"/>
      <c r="E54" s="49"/>
      <c r="F54" s="25"/>
      <c r="G54" s="47"/>
      <c r="H54" s="25"/>
      <c r="I54" s="25"/>
      <c r="J54" s="25"/>
      <c r="K54" s="25"/>
      <c r="L54" s="25"/>
      <c r="M54" s="25"/>
      <c r="N54" s="47"/>
    </row>
    <row r="55" spans="1:14" ht="15">
      <c r="A55" s="20"/>
      <c r="B55" s="20"/>
      <c r="C55" s="47"/>
      <c r="D55" s="48"/>
      <c r="E55" s="49"/>
      <c r="F55" s="25"/>
      <c r="G55" s="47"/>
      <c r="H55" s="25"/>
      <c r="I55" s="25"/>
      <c r="J55" s="25"/>
      <c r="K55" s="25"/>
      <c r="L55" s="25"/>
      <c r="M55" s="25"/>
      <c r="N55" s="47"/>
    </row>
    <row r="56" spans="1:14" ht="15">
      <c r="A56" s="20"/>
      <c r="B56" s="20"/>
      <c r="C56" s="47"/>
      <c r="D56" s="48"/>
      <c r="E56" s="49"/>
      <c r="F56" s="25"/>
      <c r="G56" s="47"/>
      <c r="H56" s="25"/>
      <c r="I56" s="25"/>
      <c r="J56" s="25"/>
      <c r="K56" s="25"/>
      <c r="L56" s="25"/>
      <c r="M56" s="25"/>
      <c r="N56" s="47"/>
    </row>
    <row r="57" spans="1:14" ht="15">
      <c r="A57" s="20"/>
      <c r="B57" s="20"/>
      <c r="C57" s="47"/>
      <c r="D57" s="48"/>
      <c r="E57" s="49"/>
      <c r="F57" s="25"/>
      <c r="G57" s="47"/>
      <c r="H57" s="25"/>
      <c r="I57" s="25"/>
      <c r="J57" s="25"/>
      <c r="K57" s="25"/>
      <c r="L57" s="25"/>
      <c r="M57" s="25"/>
      <c r="N57" s="47"/>
    </row>
    <row r="58" spans="1:14" ht="15">
      <c r="A58" s="20"/>
      <c r="B58" s="20"/>
      <c r="C58" s="47"/>
      <c r="D58" s="48"/>
      <c r="E58" s="49"/>
      <c r="F58" s="25"/>
      <c r="G58" s="47"/>
      <c r="H58" s="25"/>
      <c r="I58" s="25"/>
      <c r="J58" s="25"/>
      <c r="K58" s="25"/>
      <c r="L58" s="25"/>
      <c r="M58" s="25"/>
      <c r="N58" s="47"/>
    </row>
    <row r="59" spans="1:14" ht="15">
      <c r="A59" s="20"/>
      <c r="B59" s="20"/>
      <c r="C59" s="47"/>
      <c r="D59" s="48"/>
      <c r="E59" s="49"/>
      <c r="F59" s="25"/>
      <c r="G59" s="47"/>
      <c r="H59" s="25"/>
      <c r="I59" s="25"/>
      <c r="J59" s="25"/>
      <c r="K59" s="25"/>
      <c r="L59" s="25"/>
      <c r="M59" s="25"/>
      <c r="N59" s="47"/>
    </row>
    <row r="60" spans="1:14" ht="15">
      <c r="A60" s="20"/>
      <c r="B60" s="20"/>
      <c r="C60" s="47"/>
      <c r="D60" s="48"/>
      <c r="E60" s="49"/>
      <c r="F60" s="25"/>
      <c r="G60" s="47"/>
      <c r="H60" s="25"/>
      <c r="I60" s="25"/>
      <c r="J60" s="25"/>
      <c r="K60" s="25"/>
      <c r="L60" s="25"/>
      <c r="M60" s="25"/>
      <c r="N60" s="47"/>
    </row>
    <row r="61" spans="1:14" ht="15">
      <c r="A61" s="20"/>
      <c r="B61" s="20"/>
      <c r="C61" s="47"/>
      <c r="D61" s="48"/>
      <c r="E61" s="49"/>
      <c r="F61" s="25"/>
      <c r="G61" s="47"/>
      <c r="H61" s="25"/>
      <c r="I61" s="25"/>
      <c r="J61" s="25"/>
      <c r="K61" s="25"/>
      <c r="L61" s="25"/>
      <c r="M61" s="25"/>
      <c r="N61" s="47"/>
    </row>
    <row r="62" spans="1:14" ht="15">
      <c r="A62" s="20"/>
      <c r="B62" s="20"/>
      <c r="C62" s="47"/>
      <c r="D62" s="48"/>
      <c r="E62" s="49"/>
      <c r="F62" s="25"/>
      <c r="G62" s="47"/>
      <c r="H62" s="25"/>
      <c r="I62" s="25"/>
      <c r="J62" s="25"/>
      <c r="K62" s="25"/>
      <c r="L62" s="25"/>
      <c r="M62" s="25"/>
      <c r="N62" s="47"/>
    </row>
    <row r="63" spans="1:14" ht="15">
      <c r="A63" s="20"/>
      <c r="B63" s="20"/>
      <c r="C63" s="47"/>
      <c r="D63" s="48"/>
      <c r="E63" s="49"/>
      <c r="F63" s="25"/>
      <c r="G63" s="47"/>
      <c r="H63" s="25"/>
      <c r="I63" s="25"/>
      <c r="J63" s="25"/>
      <c r="K63" s="25"/>
      <c r="L63" s="25"/>
      <c r="M63" s="25"/>
      <c r="N63" s="47"/>
    </row>
    <row r="64" spans="1:14" ht="15">
      <c r="A64" s="20"/>
      <c r="B64" s="20"/>
      <c r="C64" s="47"/>
      <c r="D64" s="48"/>
      <c r="E64" s="49"/>
      <c r="F64" s="25"/>
      <c r="G64" s="47"/>
      <c r="H64" s="25"/>
      <c r="I64" s="25"/>
      <c r="J64" s="25"/>
      <c r="K64" s="25"/>
      <c r="L64" s="25"/>
      <c r="M64" s="25"/>
      <c r="N64" s="47"/>
    </row>
    <row r="65" spans="1:14" ht="15">
      <c r="A65" s="20"/>
      <c r="B65" s="20"/>
      <c r="C65" s="47"/>
      <c r="D65" s="48"/>
      <c r="E65" s="49"/>
      <c r="F65" s="25"/>
      <c r="G65" s="47"/>
      <c r="H65" s="25"/>
      <c r="I65" s="25"/>
      <c r="J65" s="25"/>
      <c r="K65" s="25"/>
      <c r="L65" s="25"/>
      <c r="M65" s="25"/>
      <c r="N65" s="47"/>
    </row>
    <row r="66" spans="1:14" ht="15">
      <c r="A66" s="20"/>
      <c r="B66" s="20"/>
      <c r="C66" s="47"/>
      <c r="D66" s="48"/>
      <c r="E66" s="49"/>
      <c r="F66" s="25"/>
      <c r="G66" s="47"/>
      <c r="H66" s="25"/>
      <c r="I66" s="25"/>
      <c r="J66" s="25"/>
      <c r="K66" s="25"/>
      <c r="L66" s="25"/>
      <c r="M66" s="25"/>
      <c r="N66" s="47"/>
    </row>
    <row r="67" spans="1:14" ht="15">
      <c r="A67" s="20"/>
      <c r="B67" s="20"/>
      <c r="C67" s="47"/>
      <c r="D67" s="48"/>
      <c r="E67" s="49"/>
      <c r="F67" s="25"/>
      <c r="G67" s="47"/>
      <c r="H67" s="25"/>
      <c r="I67" s="25"/>
      <c r="J67" s="25"/>
      <c r="K67" s="25"/>
      <c r="L67" s="25"/>
      <c r="M67" s="25"/>
      <c r="N67" s="47"/>
    </row>
    <row r="68" spans="1:14" ht="18">
      <c r="A68" s="50"/>
      <c r="B68" s="2"/>
      <c r="C68" s="2"/>
      <c r="D68" s="46"/>
      <c r="E68" s="42"/>
      <c r="F68" s="24"/>
      <c r="G68" s="2"/>
      <c r="H68" s="51"/>
      <c r="I68" s="2"/>
      <c r="J68" s="2"/>
      <c r="K68" s="2"/>
      <c r="L68" s="2"/>
      <c r="M68" s="2"/>
      <c r="N68" s="2"/>
    </row>
    <row r="69" spans="1:14" ht="12.75">
      <c r="A69" s="52"/>
      <c r="B69" s="2"/>
      <c r="C69" s="2"/>
      <c r="D69" s="46"/>
      <c r="E69" s="42"/>
      <c r="F69" s="24"/>
      <c r="G69" s="2"/>
      <c r="H69" s="51"/>
      <c r="I69" s="2"/>
      <c r="J69" s="2"/>
      <c r="K69" s="2"/>
      <c r="L69" s="2"/>
      <c r="M69" s="2"/>
      <c r="N69" s="2"/>
    </row>
    <row r="70" spans="1:14" ht="12.75">
      <c r="A70" s="52"/>
      <c r="B70" s="2"/>
      <c r="C70" s="2"/>
      <c r="D70" s="46"/>
      <c r="E70" s="42"/>
      <c r="F70" s="24"/>
      <c r="G70" s="2"/>
      <c r="H70" s="51"/>
      <c r="I70" s="2"/>
      <c r="J70" s="2"/>
      <c r="K70" s="2"/>
      <c r="L70" s="2"/>
      <c r="M70" s="2"/>
      <c r="N70" s="2"/>
    </row>
    <row r="71" spans="1:14" ht="12.75">
      <c r="A71" s="52"/>
      <c r="B71" s="2"/>
      <c r="C71" s="2"/>
      <c r="D71" s="46"/>
      <c r="E71" s="42"/>
      <c r="F71" s="24"/>
      <c r="G71" s="2"/>
      <c r="H71" s="51"/>
      <c r="I71" s="2"/>
      <c r="J71" s="2"/>
      <c r="K71" s="2"/>
      <c r="L71" s="2"/>
      <c r="M71" s="2"/>
      <c r="N71" s="2"/>
    </row>
    <row r="72" spans="1:14" ht="12.75">
      <c r="A72" s="52"/>
      <c r="B72" s="2"/>
      <c r="C72" s="2"/>
      <c r="D72" s="46"/>
      <c r="E72" s="42"/>
      <c r="F72" s="24"/>
      <c r="G72" s="2"/>
      <c r="H72" s="51"/>
      <c r="I72" s="2"/>
      <c r="J72" s="2"/>
      <c r="K72" s="2"/>
      <c r="L72" s="2"/>
      <c r="M72" s="2"/>
      <c r="N72" s="2"/>
    </row>
    <row r="73" spans="1:14" ht="12.75">
      <c r="A73" s="52"/>
      <c r="B73" s="2"/>
      <c r="C73" s="2"/>
      <c r="D73" s="46"/>
      <c r="E73" s="42"/>
      <c r="F73" s="24"/>
      <c r="G73" s="2"/>
      <c r="H73" s="51"/>
      <c r="I73" s="2"/>
      <c r="J73" s="2"/>
      <c r="K73" s="2"/>
      <c r="L73" s="2"/>
      <c r="M73" s="2"/>
      <c r="N73" s="2"/>
    </row>
    <row r="74" spans="1:14" ht="12.75">
      <c r="A74" s="52"/>
      <c r="B74" s="2"/>
      <c r="C74" s="2"/>
      <c r="D74" s="46"/>
      <c r="E74" s="42"/>
      <c r="F74" s="24"/>
      <c r="G74" s="2"/>
      <c r="H74" s="51"/>
      <c r="I74" s="2"/>
      <c r="J74" s="2"/>
      <c r="K74" s="2"/>
      <c r="L74" s="2"/>
      <c r="M74" s="2"/>
      <c r="N74" s="2"/>
    </row>
    <row r="75" spans="1:14" ht="12.75">
      <c r="A75" s="52"/>
      <c r="B75" s="2"/>
      <c r="C75" s="2"/>
      <c r="D75" s="46"/>
      <c r="E75" s="42"/>
      <c r="F75" s="24"/>
      <c r="G75" s="2"/>
      <c r="H75" s="51"/>
      <c r="I75" s="2"/>
      <c r="J75" s="2"/>
      <c r="K75" s="2"/>
      <c r="L75" s="2"/>
      <c r="M75" s="2"/>
      <c r="N75" s="2"/>
    </row>
    <row r="76" spans="1:14" ht="12.75">
      <c r="A76" s="52"/>
      <c r="B76" s="2"/>
      <c r="C76" s="2"/>
      <c r="D76" s="46"/>
      <c r="E76" s="42"/>
      <c r="F76" s="24"/>
      <c r="G76" s="2"/>
      <c r="H76" s="51"/>
      <c r="I76" s="2"/>
      <c r="J76" s="2"/>
      <c r="K76" s="2"/>
      <c r="L76" s="2"/>
      <c r="M76" s="2"/>
      <c r="N76" s="2"/>
    </row>
    <row r="77" spans="1:14" ht="12.75">
      <c r="A77" s="52"/>
      <c r="B77" s="2"/>
      <c r="C77" s="2"/>
      <c r="D77" s="46"/>
      <c r="E77" s="42"/>
      <c r="F77" s="24"/>
      <c r="G77" s="2"/>
      <c r="H77" s="51"/>
      <c r="I77" s="2"/>
      <c r="J77" s="2"/>
      <c r="K77" s="2"/>
      <c r="L77" s="2"/>
      <c r="M77" s="2"/>
      <c r="N77" s="2"/>
    </row>
    <row r="78" spans="1:14" ht="12.75">
      <c r="A78" s="52"/>
      <c r="B78" s="2"/>
      <c r="C78" s="2"/>
      <c r="D78" s="46"/>
      <c r="E78" s="42"/>
      <c r="F78" s="24"/>
      <c r="G78" s="2"/>
      <c r="H78" s="51"/>
      <c r="I78" s="2"/>
      <c r="J78" s="2"/>
      <c r="K78" s="2"/>
      <c r="L78" s="2"/>
      <c r="M78" s="2"/>
      <c r="N78" s="2"/>
    </row>
    <row r="79" spans="1:14" ht="12.75">
      <c r="A79" s="52"/>
      <c r="B79" s="2"/>
      <c r="C79" s="2"/>
      <c r="D79" s="46"/>
      <c r="E79" s="42"/>
      <c r="F79" s="24"/>
      <c r="G79" s="2"/>
      <c r="H79" s="51"/>
      <c r="I79" s="2"/>
      <c r="J79" s="2"/>
      <c r="K79" s="2"/>
      <c r="L79" s="2"/>
      <c r="M79" s="2"/>
      <c r="N79" s="2"/>
    </row>
    <row r="80" spans="1:14" ht="12.75">
      <c r="A80" s="52"/>
      <c r="B80" s="2"/>
      <c r="C80" s="2"/>
      <c r="D80" s="46"/>
      <c r="E80" s="42"/>
      <c r="F80" s="24"/>
      <c r="G80" s="2"/>
      <c r="H80" s="51"/>
      <c r="I80" s="2"/>
      <c r="J80" s="2"/>
      <c r="K80" s="2"/>
      <c r="L80" s="2"/>
      <c r="M80" s="2"/>
      <c r="N80" s="2"/>
    </row>
    <row r="81" spans="1:14" ht="12.75">
      <c r="A81" s="52"/>
      <c r="B81" s="2"/>
      <c r="C81" s="2"/>
      <c r="D81" s="46"/>
      <c r="E81" s="42"/>
      <c r="F81" s="24"/>
      <c r="G81" s="2"/>
      <c r="H81" s="51"/>
      <c r="I81" s="2"/>
      <c r="J81" s="2"/>
      <c r="K81" s="2"/>
      <c r="L81" s="2"/>
      <c r="M81" s="2"/>
      <c r="N81" s="2"/>
    </row>
    <row r="82" spans="1:14" ht="12.75">
      <c r="A82" s="52"/>
      <c r="B82" s="2"/>
      <c r="C82" s="2"/>
      <c r="D82" s="46"/>
      <c r="E82" s="42"/>
      <c r="F82" s="24"/>
      <c r="G82" s="2"/>
      <c r="H82" s="51"/>
      <c r="I82" s="2"/>
      <c r="J82" s="2"/>
      <c r="K82" s="2"/>
      <c r="L82" s="2"/>
      <c r="M82" s="2"/>
      <c r="N82" s="2"/>
    </row>
    <row r="83" spans="1:14" ht="12.75">
      <c r="A83" s="52"/>
      <c r="B83" s="2"/>
      <c r="C83" s="2"/>
      <c r="D83" s="46"/>
      <c r="E83" s="42"/>
      <c r="F83" s="24"/>
      <c r="G83" s="2"/>
      <c r="H83" s="51"/>
      <c r="I83" s="2"/>
      <c r="J83" s="2"/>
      <c r="K83" s="2"/>
      <c r="L83" s="2"/>
      <c r="M83" s="2"/>
      <c r="N83" s="2"/>
    </row>
    <row r="84" spans="1:14" ht="12.75">
      <c r="A84" s="52"/>
      <c r="B84" s="2"/>
      <c r="C84" s="2"/>
      <c r="D84" s="46"/>
      <c r="E84" s="42"/>
      <c r="F84" s="24"/>
      <c r="G84" s="2"/>
      <c r="H84" s="51"/>
      <c r="I84" s="2"/>
      <c r="J84" s="2"/>
      <c r="K84" s="2"/>
      <c r="L84" s="2"/>
      <c r="M84" s="2"/>
      <c r="N84" s="2"/>
    </row>
    <row r="85" spans="1:14" ht="12.75">
      <c r="A85" s="52"/>
      <c r="B85" s="2"/>
      <c r="C85" s="2"/>
      <c r="D85" s="46"/>
      <c r="E85" s="42"/>
      <c r="F85" s="24"/>
      <c r="G85" s="2"/>
      <c r="H85" s="51"/>
      <c r="I85" s="2"/>
      <c r="J85" s="2"/>
      <c r="K85" s="2"/>
      <c r="L85" s="2"/>
      <c r="M85" s="2"/>
      <c r="N85" s="2"/>
    </row>
    <row r="86" spans="1:14" ht="12.75">
      <c r="A86" s="52"/>
      <c r="B86" s="2"/>
      <c r="C86" s="2"/>
      <c r="D86" s="46"/>
      <c r="E86" s="42"/>
      <c r="F86" s="24"/>
      <c r="G86" s="2"/>
      <c r="H86" s="51"/>
      <c r="I86" s="2"/>
      <c r="J86" s="2"/>
      <c r="K86" s="2"/>
      <c r="L86" s="2"/>
      <c r="M86" s="2"/>
      <c r="N86" s="2"/>
    </row>
    <row r="87" spans="1:14" ht="12.75">
      <c r="A87" s="52"/>
      <c r="B87" s="2"/>
      <c r="C87" s="2"/>
      <c r="D87" s="46"/>
      <c r="E87" s="42"/>
      <c r="F87" s="24"/>
      <c r="G87" s="2"/>
      <c r="H87" s="51"/>
      <c r="I87" s="2"/>
      <c r="J87" s="2"/>
      <c r="K87" s="2"/>
      <c r="L87" s="2"/>
      <c r="M87" s="2"/>
      <c r="N87" s="2"/>
    </row>
    <row r="88" spans="1:14" ht="12.75">
      <c r="A88" s="52"/>
      <c r="B88" s="2"/>
      <c r="C88" s="2"/>
      <c r="D88" s="46"/>
      <c r="E88" s="42"/>
      <c r="F88" s="24"/>
      <c r="G88" s="2"/>
      <c r="H88" s="51"/>
      <c r="I88" s="2"/>
      <c r="J88" s="2"/>
      <c r="K88" s="2"/>
      <c r="L88" s="2"/>
      <c r="M88" s="2"/>
      <c r="N88" s="2"/>
    </row>
    <row r="89" spans="1:14" ht="12.75">
      <c r="A89" s="52"/>
      <c r="B89" s="2"/>
      <c r="C89" s="2"/>
      <c r="D89" s="46"/>
      <c r="E89" s="42"/>
      <c r="F89" s="24"/>
      <c r="G89" s="2"/>
      <c r="H89" s="51"/>
      <c r="I89" s="2"/>
      <c r="J89" s="2"/>
      <c r="K89" s="2"/>
      <c r="L89" s="2"/>
      <c r="M89" s="2"/>
      <c r="N89" s="2"/>
    </row>
    <row r="90" spans="1:14" ht="12.75">
      <c r="A90" s="52"/>
      <c r="B90" s="2"/>
      <c r="C90" s="2"/>
      <c r="D90" s="46"/>
      <c r="E90" s="42"/>
      <c r="F90" s="24"/>
      <c r="G90" s="2"/>
      <c r="H90" s="51"/>
      <c r="I90" s="2"/>
      <c r="J90" s="2"/>
      <c r="K90" s="2"/>
      <c r="L90" s="2"/>
      <c r="M90" s="2"/>
      <c r="N90" s="2"/>
    </row>
    <row r="91" spans="1:14" ht="12.75">
      <c r="A91" s="52"/>
      <c r="B91" s="2"/>
      <c r="C91" s="2"/>
      <c r="D91" s="46"/>
      <c r="E91" s="42"/>
      <c r="F91" s="24"/>
      <c r="G91" s="2"/>
      <c r="H91" s="51"/>
      <c r="I91" s="2"/>
      <c r="J91" s="2"/>
      <c r="K91" s="2"/>
      <c r="L91" s="2"/>
      <c r="M91" s="2"/>
      <c r="N91" s="2"/>
    </row>
    <row r="92" spans="1:14" ht="12.75">
      <c r="A92" s="52"/>
      <c r="B92" s="2"/>
      <c r="C92" s="2"/>
      <c r="D92" s="46"/>
      <c r="E92" s="42"/>
      <c r="F92" s="24"/>
      <c r="G92" s="2"/>
      <c r="H92" s="51"/>
      <c r="I92" s="2"/>
      <c r="J92" s="2"/>
      <c r="K92" s="2"/>
      <c r="L92" s="2"/>
      <c r="M92" s="2"/>
      <c r="N92" s="2"/>
    </row>
    <row r="93" spans="1:14" ht="12.75">
      <c r="A93" s="52"/>
      <c r="B93" s="2"/>
      <c r="C93" s="2"/>
      <c r="D93" s="46"/>
      <c r="E93" s="42"/>
      <c r="F93" s="24"/>
      <c r="G93" s="2"/>
      <c r="H93" s="51"/>
      <c r="I93" s="2"/>
      <c r="J93" s="2"/>
      <c r="K93" s="2"/>
      <c r="L93" s="2"/>
      <c r="M93" s="2"/>
      <c r="N93" s="2"/>
    </row>
    <row r="94" spans="1:14" ht="12.75">
      <c r="A94" s="52"/>
      <c r="B94" s="2"/>
      <c r="C94" s="2"/>
      <c r="D94" s="46"/>
      <c r="E94" s="42"/>
      <c r="F94" s="24"/>
      <c r="G94" s="2"/>
      <c r="H94" s="51"/>
      <c r="I94" s="2"/>
      <c r="J94" s="2"/>
      <c r="K94" s="2"/>
      <c r="L94" s="2"/>
      <c r="M94" s="2"/>
      <c r="N94" s="2"/>
    </row>
    <row r="95" spans="1:14" ht="12.75">
      <c r="A95" s="52"/>
      <c r="B95" s="2"/>
      <c r="C95" s="2"/>
      <c r="D95" s="46"/>
      <c r="E95" s="42"/>
      <c r="F95" s="24"/>
      <c r="G95" s="2"/>
      <c r="H95" s="51"/>
      <c r="I95" s="2"/>
      <c r="J95" s="2"/>
      <c r="K95" s="2"/>
      <c r="L95" s="2"/>
      <c r="M95" s="2"/>
      <c r="N95" s="2"/>
    </row>
    <row r="96" spans="1:14" ht="12.75">
      <c r="A96" s="52"/>
      <c r="B96" s="2"/>
      <c r="C96" s="2"/>
      <c r="D96" s="46"/>
      <c r="E96" s="42"/>
      <c r="F96" s="24"/>
      <c r="G96" s="2"/>
      <c r="H96" s="51"/>
      <c r="I96" s="2"/>
      <c r="J96" s="2"/>
      <c r="K96" s="2"/>
      <c r="L96" s="2"/>
      <c r="M96" s="2"/>
      <c r="N96" s="2"/>
    </row>
    <row r="97" spans="1:14" ht="12.75">
      <c r="A97" s="52"/>
      <c r="B97" s="2"/>
      <c r="C97" s="2"/>
      <c r="D97" s="46"/>
      <c r="E97" s="42"/>
      <c r="F97" s="24"/>
      <c r="G97" s="2"/>
      <c r="H97" s="51"/>
      <c r="I97" s="2"/>
      <c r="J97" s="2"/>
      <c r="K97" s="2"/>
      <c r="L97" s="2"/>
      <c r="M97" s="2"/>
      <c r="N97" s="2"/>
    </row>
    <row r="98" spans="1:14" ht="12.75">
      <c r="A98" s="52"/>
      <c r="B98" s="2"/>
      <c r="C98" s="2"/>
      <c r="D98" s="46"/>
      <c r="E98" s="42"/>
      <c r="F98" s="24"/>
      <c r="G98" s="2"/>
      <c r="H98" s="51"/>
      <c r="I98" s="2"/>
      <c r="J98" s="2"/>
      <c r="K98" s="2"/>
      <c r="L98" s="2"/>
      <c r="M98" s="2"/>
      <c r="N98" s="2"/>
    </row>
    <row r="99" spans="1:14" ht="12.75">
      <c r="A99" s="52"/>
      <c r="B99" s="2"/>
      <c r="C99" s="2"/>
      <c r="D99" s="46"/>
      <c r="E99" s="42"/>
      <c r="F99" s="24"/>
      <c r="G99" s="2"/>
      <c r="H99" s="51"/>
      <c r="I99" s="2"/>
      <c r="J99" s="2"/>
      <c r="K99" s="2"/>
      <c r="L99" s="2"/>
      <c r="M99" s="2"/>
      <c r="N99" s="2"/>
    </row>
    <row r="100" spans="1:14" ht="12.75">
      <c r="A100" s="52"/>
      <c r="B100" s="2"/>
      <c r="C100" s="2"/>
      <c r="D100" s="46"/>
      <c r="E100" s="42"/>
      <c r="F100" s="24"/>
      <c r="G100" s="2"/>
      <c r="H100" s="51"/>
      <c r="I100" s="2"/>
      <c r="J100" s="2"/>
      <c r="K100" s="2"/>
      <c r="L100" s="2"/>
      <c r="M100" s="2"/>
      <c r="N100" s="2"/>
    </row>
    <row r="101" spans="1:14" ht="12.75">
      <c r="A101" s="52"/>
      <c r="B101" s="2"/>
      <c r="C101" s="2"/>
      <c r="D101" s="46"/>
      <c r="E101" s="42"/>
      <c r="F101" s="24"/>
      <c r="G101" s="2"/>
      <c r="H101" s="51"/>
      <c r="I101" s="2"/>
      <c r="J101" s="2"/>
      <c r="K101" s="2"/>
      <c r="L101" s="2"/>
      <c r="M101" s="2"/>
      <c r="N101" s="2"/>
    </row>
    <row r="102" spans="1:14" s="21" customFormat="1" ht="15">
      <c r="A102" s="11"/>
      <c r="C102" s="53"/>
      <c r="D102" s="53"/>
      <c r="E102" s="54"/>
      <c r="H102" s="55"/>
      <c r="I102" s="55"/>
      <c r="L102" s="56"/>
      <c r="M102" s="56"/>
      <c r="N102" s="3"/>
    </row>
    <row r="103" spans="1:8" ht="15">
      <c r="A103" s="53"/>
      <c r="B103" s="53"/>
      <c r="C103" s="53"/>
      <c r="D103" s="53"/>
      <c r="E103" s="57"/>
      <c r="F103" s="22"/>
      <c r="H103" s="54"/>
    </row>
  </sheetData>
  <dataValidations count="1">
    <dataValidation errorStyle="information" type="list" allowBlank="1" showInputMessage="1" showErrorMessage="1" prompt="This field only accepts 'NEXT' or the current journal ID - OK to accept this value" error="This field only accepts 'NEXT' or the current journal ID - OK to accept this value" sqref="F5">
      <formula1>"NEXT"</formula1>
    </dataValidation>
  </dataValidations>
  <printOptions horizontalCentered="1"/>
  <pageMargins left="0.5" right="0.5" top="1.5" bottom="0.5" header="1" footer="0.5"/>
  <pageSetup orientation="landscape" scale="52" r:id="rId2"/>
  <headerFooter alignWithMargins="0">
    <oddHeader>&amp;R&amp;"-,Bold"WP/II-D ADJUSTMENT /14
Page 2 of 2</oddHeader>
  </headerFooter>
  <rowBreaks count="1" manualBreakCount="1">
    <brk id="31" max="12" man="1"/>
  </rowBreak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K&amp;M - Misc AR 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