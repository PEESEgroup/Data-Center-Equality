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1535" activeTab="0"/>
  </bookViews>
  <sheets>
    <sheet name="Sheet1" sheetId="1" r:id="rId2"/>
  </sheets>
  <definedNames/>
  <calcPr calcId="152511" iterate="1" iterateCount="100" iterateDelta="0.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" l="1"/>
</calcChain>
</file>

<file path=xl/sharedStrings.xml><?xml version="1.0" encoding="utf-8"?>
<sst xmlns="http://schemas.openxmlformats.org/spreadsheetml/2006/main" count="30" uniqueCount="21">
  <si>
    <t>Year</t>
  </si>
  <si>
    <t>Approximately 20% of Transmission System</t>
  </si>
  <si>
    <t>Facilities to be Surveyed</t>
  </si>
  <si>
    <t>Comments</t>
  </si>
  <si>
    <t>Aerial Surveying Cost ($M)</t>
  </si>
  <si>
    <t>Cost increase / Year (%)</t>
  </si>
  <si>
    <t>Data collected here represents Year 1 circuits for the SECOND 5 year cycle (2025 - 2029)</t>
  </si>
  <si>
    <t>Data collected here represents Year 1 circuits for the THIRD 5 year cycle (2030 - 2034)</t>
  </si>
  <si>
    <t>Approximately 22.5% of Transmission System</t>
  </si>
  <si>
    <t>Includes estimated $1.2 mil carried over from aerial surveying costs from 2021</t>
  </si>
  <si>
    <t>2022 deferral to PLSA regulatory asset</t>
  </si>
  <si>
    <t>TRAN</t>
  </si>
  <si>
    <t>NTU TRAN</t>
  </si>
  <si>
    <t>Based on plant accounts 354-356 or 356 (II-B-1)</t>
  </si>
  <si>
    <t>Functionalized</t>
  </si>
  <si>
    <t>Oncor Electric Delivery Company LLC</t>
  </si>
  <si>
    <t>K&amp;M O&amp;M adjustment for PLSA (HB 4150) aerial surveying</t>
  </si>
  <si>
    <t>Power Engineers Inc.</t>
  </si>
  <si>
    <t>DIST account 593</t>
  </si>
  <si>
    <t>K&amp;M adjustment for PLSA aerial surveying - Transmission account 563</t>
  </si>
  <si>
    <t>K&amp;M adjustment for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</si>
</sst>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4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u val="single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 style="thin">
        <color auto="1"/>
      </bottom>
    </border>
    <border>
      <left/>
      <right style="medium">
        <color auto="1"/>
      </right>
      <top/>
      <bottom/>
    </border>
    <border>
      <left style="medium">
        <color auto="1"/>
      </left>
      <right/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0" fontId="0" fillId="0" borderId="0" xfId="0" applyNumberFormat="1"/>
    <xf numFmtId="0" fontId="0" fillId="0" borderId="0" xfId="0" applyFill="1" applyBorder="1" applyAlignment="1">
      <alignment horizontal="center" vertical="center"/>
    </xf>
    <xf numFmtId="0" fontId="0" fillId="0" borderId="0" xfId="0" applyFill="1"/>
    <xf numFmtId="44" fontId="0" fillId="0" borderId="2" xfId="16" applyFont="1" applyFill="1" applyBorder="1"/>
    <xf numFmtId="0" fontId="0" fillId="0" borderId="3" xfId="0" applyFill="1" applyBorder="1"/>
    <xf numFmtId="0" fontId="0" fillId="0" borderId="4" xfId="0" applyFill="1" applyBorder="1"/>
    <xf numFmtId="44" fontId="0" fillId="0" borderId="5" xfId="16" applyFont="1" applyFill="1" applyBorder="1"/>
    <xf numFmtId="0" fontId="0" fillId="0" borderId="6" xfId="0" applyFill="1" applyBorder="1"/>
    <xf numFmtId="44" fontId="0" fillId="0" borderId="7" xfId="16" applyFont="1" applyFill="1" applyBorder="1"/>
    <xf numFmtId="0" fontId="0" fillId="0" borderId="0" xfId="0" applyFill="1" applyBorder="1"/>
    <xf numFmtId="0" fontId="0" fillId="0" borderId="7" xfId="0" applyFill="1" applyBorder="1"/>
    <xf numFmtId="9" fontId="0" fillId="0" borderId="7" xfId="15" applyFont="1" applyFill="1" applyBorder="1"/>
    <xf numFmtId="9" fontId="0" fillId="0" borderId="7" xfId="0" applyNumberFormat="1" applyFill="1" applyBorder="1"/>
    <xf numFmtId="0" fontId="0" fillId="0" borderId="7" xfId="0" applyFill="1" applyBorder="1" applyAlignment="1">
      <alignment horizontal="center"/>
    </xf>
    <xf numFmtId="44" fontId="0" fillId="0" borderId="7" xfId="0" applyNumberFormat="1" applyFill="1" applyBorder="1"/>
    <xf numFmtId="0" fontId="3" fillId="0" borderId="7" xfId="0" applyFont="1" applyFill="1" applyBorder="1" applyAlignment="1">
      <alignment horizontal="right"/>
    </xf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G29"/>
  <sheetViews>
    <sheetView tabSelected="1" workbookViewId="0" topLeftCell="A1"/>
  </sheetViews>
  <sheetFormatPr defaultRowHeight="15"/>
  <cols>
    <col min="2" max="2" width="40.7142857142857" bestFit="1" customWidth="1"/>
    <col min="3" max="3" width="46.8571428571429" customWidth="1"/>
    <col min="4" max="4" width="78" bestFit="1" customWidth="1"/>
    <col min="5" max="5" width="15.2857142857143" customWidth="1"/>
    <col min="6" max="6" width="22.2857142857143" bestFit="1" customWidth="1"/>
  </cols>
  <sheetData>
    <row r="1" spans="2:2" ht="15">
      <c r="B1" t="s">
        <v>15</v>
      </c>
    </row>
    <row r="2" spans="2:2" ht="15">
      <c r="B2" t="s">
        <v>16</v>
      </c>
    </row>
    <row r="4" spans="1:7" ht="15">
      <c r="A4" s="2" t="s">
        <v>0</v>
      </c>
      <c r="B4" s="2" t="s">
        <v>4</v>
      </c>
      <c r="C4" s="2" t="s">
        <v>2</v>
      </c>
      <c r="D4" s="2" t="s">
        <v>3</v>
      </c>
      <c r="F4" s="1" t="s">
        <v>5</v>
      </c>
      <c r="G4" s="5">
        <v>0.025000000000000001</v>
      </c>
    </row>
    <row r="5" spans="1:4" ht="15">
      <c r="A5" s="3">
        <v>2022</v>
      </c>
      <c r="B5" s="4">
        <f>3.1+1.2</f>
        <v>4.2999999999999998</v>
      </c>
      <c r="C5" s="3" t="s">
        <v>8</v>
      </c>
      <c r="D5" s="3" t="s">
        <v>9</v>
      </c>
    </row>
    <row r="6" spans="1:4" ht="15">
      <c r="A6" s="3">
        <v>2023</v>
      </c>
      <c r="B6" s="4">
        <v>3.2000000000000002</v>
      </c>
      <c r="C6" s="3" t="s">
        <v>8</v>
      </c>
      <c r="D6" s="3"/>
    </row>
    <row r="7" spans="1:4" ht="15">
      <c r="A7" s="3">
        <v>2024</v>
      </c>
      <c r="B7" s="4">
        <f>CEILING(0.9*B6+B6*$G$4,0.1)</f>
        <v>3</v>
      </c>
      <c r="C7" s="3" t="s">
        <v>1</v>
      </c>
      <c r="D7" s="3" t="s">
        <v>6</v>
      </c>
    </row>
    <row r="8" spans="1:4" ht="15">
      <c r="A8" s="3">
        <v>2025</v>
      </c>
      <c r="B8" s="4">
        <f>CEILING(B7+B7*$G$4,0.1)</f>
        <v>3.1000000000000001</v>
      </c>
      <c r="C8" s="3" t="s">
        <v>1</v>
      </c>
      <c r="D8" s="3"/>
    </row>
    <row r="9" spans="1:4" ht="15">
      <c r="A9" s="3">
        <v>2026</v>
      </c>
      <c r="B9" s="4">
        <f t="shared" si="0" ref="B9:B14">CEILING(B8+B8*$G$4,0.1)</f>
        <v>3.2000000000000002</v>
      </c>
      <c r="C9" s="3" t="s">
        <v>1</v>
      </c>
      <c r="D9" s="3"/>
    </row>
    <row r="10" spans="1:4" ht="15">
      <c r="A10" s="3">
        <v>2027</v>
      </c>
      <c r="B10" s="4">
        <f t="shared" si="0"/>
        <v>3.3000000000000003</v>
      </c>
      <c r="C10" s="3" t="s">
        <v>1</v>
      </c>
      <c r="D10" s="3"/>
    </row>
    <row r="11" spans="1:4" ht="15">
      <c r="A11" s="3">
        <v>2028</v>
      </c>
      <c r="B11" s="4">
        <f t="shared" si="0"/>
        <v>3.4000000000000004</v>
      </c>
      <c r="C11" s="3" t="s">
        <v>1</v>
      </c>
      <c r="D11" s="3"/>
    </row>
    <row r="12" spans="1:4" ht="15">
      <c r="A12" s="3">
        <v>2029</v>
      </c>
      <c r="B12" s="4">
        <f t="shared" si="0"/>
        <v>3.5</v>
      </c>
      <c r="C12" s="3" t="s">
        <v>1</v>
      </c>
      <c r="D12" s="3" t="s">
        <v>7</v>
      </c>
    </row>
    <row r="13" spans="1:4" ht="15">
      <c r="A13" s="3">
        <v>2030</v>
      </c>
      <c r="B13" s="4">
        <f t="shared" si="0"/>
        <v>3.6000000000000001</v>
      </c>
      <c r="C13" s="3" t="s">
        <v>1</v>
      </c>
      <c r="D13" s="3"/>
    </row>
    <row r="14" spans="1:4" ht="15">
      <c r="A14" s="3">
        <v>2031</v>
      </c>
      <c r="B14" s="4">
        <f t="shared" si="0"/>
        <v>3.7000000000000002</v>
      </c>
      <c r="C14" s="3" t="s">
        <v>1</v>
      </c>
      <c r="D14" s="3"/>
    </row>
    <row r="15" spans="2:4" ht="15.75" thickBot="1">
      <c r="B15" s="7"/>
      <c r="C15" s="7"/>
      <c r="D15" s="7"/>
    </row>
    <row r="16" spans="2:4" ht="15">
      <c r="B16" s="8">
        <f>B5*1000000</f>
        <v>4300000</v>
      </c>
      <c r="C16" s="9"/>
      <c r="D16" s="10"/>
    </row>
    <row r="17" spans="2:4" ht="15">
      <c r="B17" s="11">
        <v>-1200000</v>
      </c>
      <c r="C17" s="6" t="s">
        <v>10</v>
      </c>
      <c r="D17" s="12"/>
    </row>
    <row r="18" spans="2:4" ht="15">
      <c r="B18" s="13">
        <f>SUM(B16:B17)</f>
        <v>3100000</v>
      </c>
      <c r="C18" s="14" t="s">
        <v>19</v>
      </c>
      <c r="D18" s="12"/>
    </row>
    <row r="19" spans="2:4" ht="15">
      <c r="B19" s="15"/>
      <c r="C19" s="14"/>
      <c r="D19" s="12"/>
    </row>
    <row r="20" spans="2:4" ht="15">
      <c r="B20" s="16">
        <v>0.84999999999999998</v>
      </c>
      <c r="C20" s="14" t="s">
        <v>11</v>
      </c>
      <c r="D20" s="12" t="s">
        <v>13</v>
      </c>
    </row>
    <row r="21" spans="2:4" ht="15">
      <c r="B21" s="17">
        <f>1-B20</f>
        <v>0.15000000000000002</v>
      </c>
      <c r="C21" s="14" t="s">
        <v>12</v>
      </c>
      <c r="D21" s="12" t="s">
        <v>13</v>
      </c>
    </row>
    <row r="22" spans="2:4" ht="15">
      <c r="B22" s="18" t="s">
        <v>14</v>
      </c>
      <c r="C22" s="14"/>
      <c r="D22" s="12"/>
    </row>
    <row r="23" spans="2:4" ht="15">
      <c r="B23" s="19">
        <f>B18*B20</f>
        <v>2635000</v>
      </c>
      <c r="C23" s="14" t="str">
        <f>C20</f>
        <v>TRAN</v>
      </c>
      <c r="D23" s="12"/>
    </row>
    <row r="24" spans="2:4" ht="15">
      <c r="B24" s="19">
        <f>B18-B23</f>
        <v>465000</v>
      </c>
      <c r="C24" s="14" t="str">
        <f>C21</f>
        <v>NTU TRAN</v>
      </c>
      <c r="D24" s="12"/>
    </row>
    <row r="25" spans="2:4" s="7" customFormat="1" ht="15">
      <c r="B25" s="20" t="s">
        <v>20</v>
      </c>
      <c r="C25" s="14"/>
      <c r="D25" s="12"/>
    </row>
    <row r="26" spans="2:4" ht="15">
      <c r="B26" s="19">
        <v>34164.939999999995</v>
      </c>
      <c r="C26" s="14" t="s">
        <v>18</v>
      </c>
      <c r="D26" s="12" t="s">
        <v>17</v>
      </c>
    </row>
    <row r="27" spans="2:4" ht="15.75" thickBot="1">
      <c r="B27" s="21"/>
      <c r="C27" s="22"/>
      <c r="D27" s="23"/>
    </row>
    <row r="28" spans="2:4" ht="15">
      <c r="B28" s="7"/>
      <c r="C28" s="7"/>
      <c r="D28" s="7"/>
    </row>
    <row r="29" spans="2:4" ht="15">
      <c r="B29" s="7"/>
      <c r="C29" s="7"/>
      <c r="D29" s="7"/>
    </row>
  </sheetData>
  <pageMargins left="0.5" right="0.5" top="1.5" bottom="0.5" header="1" footer="0.3"/>
  <pageSetup orientation="landscape" scale="57" r:id="rId1"/>
  <headerFooter>
    <oddHeader>&amp;R&amp;"-,Bold"WP/II-D ADJUSTMENT /56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