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theme/theme1.xml" ContentType="application/vnd.openxmlformats-officedocument.theme+xml"/>
  <Override PartName="/docProps/app.xml" ContentType="application/vnd.openxmlformats-officedocument.extended-properties+xml"/>
  <Override PartName="/docProps/core.xml" ContentType="application/vnd.openxmlformats-package.core-properties+xml"/>
  <Default Extension="bin" ContentType="application/vnd.openxmlformats-officedocument.spreadsheetml.printerSettings"/>
  <Override PartName="/xl/worksheets/sheet1.xml" ContentType="application/vnd.openxmlformats-officedocument.spreadsheetml.worksheet+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N:\2022 Rate Case\Section II (Test Year Data)\Schedule D (O &amp; M Expense)\Schedule II-D Workpapers\"/>
    </mc:Choice>
  </mc:AlternateContent>
  <bookViews>
    <workbookView xWindow="0" yWindow="0" windowWidth="19200" windowHeight="7305" activeTab="0"/>
  </bookViews>
  <sheets>
    <sheet name="VM K&amp;M" sheetId="1" r:id="rId2"/>
  </sheets>
  <definedNames>
    <definedName name="_xlnm.Print_Area" localSheetId="0">'VM K&amp;M'!$A$1:$Q$29</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7" i="1" l="1"/>
</calcChain>
</file>

<file path=xl/sharedStrings.xml><?xml version="1.0" encoding="utf-8"?>
<sst xmlns="http://schemas.openxmlformats.org/spreadsheetml/2006/main" count="156" uniqueCount="84">
  <si>
    <t>Dec 2020 transactions from TU_ALLDETAIL_VW table in FIM (Run Date 5/3/2021).</t>
  </si>
  <si>
    <t>Where Project = DSD20024</t>
  </si>
  <si>
    <t>Unit</t>
  </si>
  <si>
    <t>Year</t>
  </si>
  <si>
    <t>Period</t>
  </si>
  <si>
    <t>Dept</t>
  </si>
  <si>
    <t>Account</t>
  </si>
  <si>
    <t>EC</t>
  </si>
  <si>
    <t>Project</t>
  </si>
  <si>
    <t>Location</t>
  </si>
  <si>
    <t>Activity</t>
  </si>
  <si>
    <t>Affiliate</t>
  </si>
  <si>
    <t>Amount</t>
  </si>
  <si>
    <t>Ledger</t>
  </si>
  <si>
    <t>Source</t>
  </si>
  <si>
    <t>Journal ID</t>
  </si>
  <si>
    <t>vend name</t>
  </si>
  <si>
    <t>voucher</t>
  </si>
  <si>
    <t>Item Qty</t>
  </si>
  <si>
    <t>ESD</t>
  </si>
  <si>
    <t>516170</t>
  </si>
  <si>
    <t>5930000</t>
  </si>
  <si>
    <t>471</t>
  </si>
  <si>
    <t>DSD20024</t>
  </si>
  <si>
    <t>0000</t>
  </si>
  <si>
    <t>2111</t>
  </si>
  <si>
    <t/>
  </si>
  <si>
    <t>ACTUALS</t>
  </si>
  <si>
    <t>UJE</t>
  </si>
  <si>
    <t>0000544952</t>
  </si>
  <si>
    <t>TO RECORD VM DSD/TSP EXPENSES</t>
  </si>
  <si>
    <t>WRIGHT</t>
  </si>
  <si>
    <t>NELSON</t>
  </si>
  <si>
    <t>ASPLUNDH</t>
  </si>
  <si>
    <t>521930</t>
  </si>
  <si>
    <t>9030000</t>
  </si>
  <si>
    <t>499</t>
  </si>
  <si>
    <t>8171</t>
  </si>
  <si>
    <t>2110</t>
  </si>
  <si>
    <t>0000792547</t>
  </si>
  <si>
    <t>To accrue December Business Op</t>
  </si>
  <si>
    <t>DEC EST</t>
  </si>
  <si>
    <t>8659</t>
  </si>
  <si>
    <t>OCC</t>
  </si>
  <si>
    <t>HOLLINGS</t>
  </si>
  <si>
    <t>Total</t>
  </si>
  <si>
    <t>OSJ entry required to transfer Dec 2020 balance in Storm Event DSD20024. The entries have to be prepared on WD 3 of the month in which the Storm Event is closing to the Insurance Reserve after the automated process runs night of WD 2.</t>
  </si>
  <si>
    <t xml:space="preserve"> - The Dec 2020 amounts were from accruals on 2 journals. Once the automated process was implemented in Nov 2016, there has not been a Storm Event where cost were incurred in the month of Dec and not transferred to respective JSD in same year until Dec 2020. The automated process does not "look back" to previous year for any balance. Only "looks back" to beginning of current year.</t>
  </si>
  <si>
    <t>Business Unit:</t>
  </si>
  <si>
    <t>Journal Number:</t>
  </si>
  <si>
    <t>JMS0957275</t>
  </si>
  <si>
    <t>Lines:</t>
  </si>
  <si>
    <t>Preparer ID:</t>
  </si>
  <si>
    <t>Ledger:</t>
  </si>
  <si>
    <t>Journal Date:</t>
  </si>
  <si>
    <t>Debits:</t>
  </si>
  <si>
    <t>Approver ID:</t>
  </si>
  <si>
    <t>Feeder Source:</t>
  </si>
  <si>
    <t>M3</t>
  </si>
  <si>
    <t>Journal Group:</t>
  </si>
  <si>
    <t>Credits:</t>
  </si>
  <si>
    <t>Approver Name:</t>
  </si>
  <si>
    <t>Source:</t>
  </si>
  <si>
    <t>MSC</t>
  </si>
  <si>
    <t>WD Due:</t>
  </si>
  <si>
    <t>Net:</t>
  </si>
  <si>
    <t>Reversal Code:</t>
  </si>
  <si>
    <t xml:space="preserve"> </t>
  </si>
  <si>
    <t>Frequency:</t>
  </si>
  <si>
    <t>Currency:</t>
  </si>
  <si>
    <t>USD</t>
  </si>
  <si>
    <t>Reversal Date:</t>
  </si>
  <si>
    <t>Description:</t>
  </si>
  <si>
    <t>To clear debit balance in DSD20024 on WD 3 due to Storm Event closing to Insurance Reserve in April business.</t>
  </si>
  <si>
    <t>Document:</t>
  </si>
  <si>
    <t>JMS_2021-04-30_JMS0957275.xlsm</t>
  </si>
  <si>
    <t>Errors</t>
  </si>
  <si>
    <t>BU</t>
  </si>
  <si>
    <t>DeptID</t>
  </si>
  <si>
    <t>Reference</t>
  </si>
  <si>
    <t>Description</t>
  </si>
  <si>
    <t>1862700</t>
  </si>
  <si>
    <t>JSD20024</t>
  </si>
  <si>
    <t>K&amp;M adjustment for 2020 VM for DSD20024 transferred to SIR in 2021 (removes test year credit for VM)</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</si>
</sst>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_(&quot;$&quot;* \(#,##0.00\);_(&quot;$&quot;* &quot;-&quot;??_);_(@_)"/>
    <numFmt numFmtId="43" formatCode="_(* #,##0.00_);_(* \(#,##0.00\);_(* &quot;-&quot;??_);_(@_)"/>
    <numFmt numFmtId="164" formatCode="mm/dd/yy"/>
  </numFmts>
  <fonts count="11">
    <font>
      <sz val="10"/>
      <name val="Arial"/>
      <family val="2"/>
    </font>
    <font>
      <sz val="10"/>
      <color theme="1"/>
      <name val="Arial"/>
      <family val="2"/>
    </font>
    <font>
      <sz val="10"/>
      <name val="Arial Unicode MS"/>
      <family val="2"/>
    </font>
    <font>
      <b/>
      <sz val="10"/>
      <name val="Calibri"/>
      <family val="2"/>
      <scheme val="minor"/>
    </font>
    <font>
      <sz val="10"/>
      <name val="Calibri"/>
      <family val="2"/>
      <scheme val="minor"/>
    </font>
    <font>
      <sz val="10"/>
      <color rgb="FFFF0000"/>
      <name val="Arial"/>
      <family val="2"/>
    </font>
    <font>
      <b/>
      <sz val="10"/>
      <name val="Arial"/>
      <family val="2"/>
    </font>
    <font>
      <sz val="10"/>
      <color indexed="8"/>
      <name val="Arial"/>
      <family val="2"/>
    </font>
    <font>
      <b/>
      <sz val="10"/>
      <color indexed="8"/>
      <name val="Arial"/>
      <family val="2"/>
    </font>
    <font>
      <b/>
      <sz val="10"/>
      <color indexed="9"/>
      <name val="Arial"/>
      <family val="2"/>
    </font>
    <font>
      <sz val="9"/>
      <name val="Tahoma"/>
      <family val="2"/>
    </font>
  </fonts>
  <fills count="3">
    <fill>
      <patternFill patternType="none"/>
    </fill>
    <fill>
      <patternFill patternType="gray125"/>
    </fill>
    <fill>
      <patternFill patternType="solid">
        <fgColor indexed="26"/>
        <bgColor indexed="64"/>
      </patternFill>
    </fill>
  </fills>
  <borders count="18">
    <border>
      <left/>
      <right/>
      <top/>
      <bottom/>
      <diagonal/>
    </border>
    <border>
      <left style="thin">
        <color auto="1"/>
      </left>
      <right style="thin">
        <color auto="1"/>
      </right>
      <top/>
      <bottom style="thin">
        <color auto="1"/>
      </bottom>
    </border>
    <border>
      <left style="thin">
        <color auto="1"/>
      </left>
      <right style="thin">
        <color auto="1"/>
      </right>
      <top style="thin">
        <color auto="1"/>
      </top>
      <bottom style="thin">
        <color auto="1"/>
      </bottom>
    </border>
    <border>
      <left/>
      <right/>
      <top/>
      <bottom style="thin">
        <color auto="1"/>
      </bottom>
    </border>
    <border>
      <left style="thin">
        <color auto="1"/>
      </left>
      <right style="thin">
        <color auto="1"/>
      </right>
      <top style="thin">
        <color auto="1"/>
      </top>
      <bottom/>
    </border>
    <border>
      <left style="medium">
        <color auto="1"/>
      </left>
      <right/>
      <top style="medium">
        <color auto="1"/>
      </top>
      <bottom/>
    </border>
    <border>
      <left/>
      <right/>
      <top style="medium">
        <color auto="1"/>
      </top>
      <bottom/>
    </border>
    <border>
      <left/>
      <right style="medium">
        <color auto="1"/>
      </right>
      <top style="medium">
        <color auto="1"/>
      </top>
      <bottom/>
    </border>
    <border>
      <left style="medium">
        <color auto="1"/>
      </left>
      <right/>
      <top/>
      <bottom style="medium">
        <color auto="1"/>
      </bottom>
    </border>
    <border>
      <left/>
      <right/>
      <top/>
      <bottom style="medium">
        <color auto="1"/>
      </bottom>
    </border>
    <border>
      <left/>
      <right style="medium">
        <color auto="1"/>
      </right>
      <top/>
      <bottom style="medium">
        <color auto="1"/>
      </bottom>
    </border>
    <border>
      <left style="thin">
        <color auto="1"/>
      </left>
      <right/>
      <top/>
      <bottom/>
    </border>
    <border>
      <left/>
      <right style="thin">
        <color auto="1"/>
      </right>
      <top/>
      <bottom/>
    </border>
    <border>
      <left/>
      <right/>
      <top style="thin">
        <color auto="1"/>
      </top>
      <bottom/>
    </border>
    <border>
      <left/>
      <right style="thin">
        <color auto="1"/>
      </right>
      <top style="thin">
        <color auto="1"/>
      </top>
      <bottom/>
    </border>
    <border>
      <left style="thin">
        <color auto="1"/>
      </left>
      <right/>
      <top style="thin">
        <color auto="1"/>
      </top>
      <bottom style="thin">
        <color auto="1"/>
      </bottom>
    </border>
    <border>
      <left/>
      <right style="thin">
        <color auto="1"/>
      </right>
      <top style="thin">
        <color auto="1"/>
      </top>
      <bottom style="thin">
        <color auto="1"/>
      </bottom>
    </border>
    <border>
      <left/>
      <right/>
      <top style="thin">
        <color auto="1"/>
      </top>
      <bottom style="thin">
        <color auto="1"/>
      </bottom>
    </border>
  </borders>
  <cellStyleXfs count="22">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164" fontId="0" fillId="2" borderId="0">
      <alignment/>
      <protection/>
    </xf>
  </cellStyleXfs>
  <cellXfs count="61">
    <xf numFmtId="0" fontId="0" fillId="0" borderId="0" xfId="0"/>
    <xf numFmtId="0" fontId="3" fillId="0" borderId="0" xfId="20" applyFont="1">
      <alignment/>
      <protection/>
    </xf>
    <xf numFmtId="0" fontId="4" fillId="0" borderId="0" xfId="20" applyFont="1">
      <alignment/>
      <protection/>
    </xf>
    <xf numFmtId="40" fontId="4" fillId="0" borderId="0" xfId="20" applyNumberFormat="1" applyFont="1">
      <alignment/>
      <protection/>
    </xf>
    <xf numFmtId="0" fontId="0" fillId="0" borderId="0" xfId="21" applyNumberFormat="1" applyFill="1" applyProtection="1">
      <alignment/>
      <protection locked="0"/>
    </xf>
    <xf numFmtId="49" fontId="0" fillId="0" borderId="1" xfId="21" applyNumberFormat="1" applyFont="1" applyFill="1" applyBorder="1" applyAlignment="1" applyProtection="1">
      <alignment horizontal="center" wrapText="1"/>
      <protection locked="0"/>
    </xf>
    <xf numFmtId="0" fontId="8" fillId="0" borderId="0" xfId="21" applyNumberFormat="1" applyFont="1" applyFill="1" applyAlignment="1" applyProtection="1">
      <alignment wrapText="1"/>
      <protection locked="0"/>
    </xf>
    <xf numFmtId="49" fontId="0" fillId="0" borderId="2" xfId="21" applyNumberFormat="1" applyFont="1" applyFill="1" applyBorder="1" applyAlignment="1" applyProtection="1">
      <alignment horizontal="center"/>
      <protection locked="0"/>
    </xf>
    <xf numFmtId="0" fontId="0" fillId="0" borderId="0" xfId="21" applyNumberFormat="1" applyFill="1" applyBorder="1" applyProtection="1">
      <alignment/>
      <protection locked="0"/>
    </xf>
    <xf numFmtId="0" fontId="6" fillId="0" borderId="0" xfId="21" applyNumberFormat="1" applyFont="1" applyFill="1" applyBorder="1" applyProtection="1">
      <alignment/>
      <protection locked="0"/>
    </xf>
    <xf numFmtId="0" fontId="6" fillId="0" borderId="0" xfId="21" applyNumberFormat="1" applyFont="1" applyFill="1" applyBorder="1" applyAlignment="1" applyProtection="1">
      <alignment horizontal="center" vertical="top" wrapText="1"/>
      <protection locked="0"/>
    </xf>
    <xf numFmtId="49" fontId="7" fillId="0" borderId="2" xfId="21" applyNumberFormat="1" applyFont="1" applyFill="1" applyBorder="1" applyAlignment="1" applyProtection="1">
      <alignment horizontal="center"/>
      <protection locked="0"/>
    </xf>
    <xf numFmtId="164" fontId="0" fillId="0" borderId="0" xfId="21" applyFill="1" applyProtection="1">
      <alignment/>
      <protection locked="0"/>
    </xf>
    <xf numFmtId="49" fontId="3" fillId="0" borderId="2" xfId="20" applyNumberFormat="1" applyFont="1" applyFill="1" applyBorder="1" applyAlignment="1">
      <alignment horizontal="center" wrapText="1"/>
      <protection/>
    </xf>
    <xf numFmtId="40" fontId="3" fillId="0" borderId="2" xfId="20" applyNumberFormat="1" applyFont="1" applyFill="1" applyBorder="1" applyAlignment="1">
      <alignment horizontal="center" wrapText="1"/>
      <protection/>
    </xf>
    <xf numFmtId="0" fontId="4" fillId="0" borderId="0" xfId="20" applyFont="1" applyFill="1">
      <alignment/>
      <protection/>
    </xf>
    <xf numFmtId="49" fontId="4" fillId="0" borderId="0" xfId="20" applyNumberFormat="1" applyFont="1" applyFill="1">
      <alignment/>
      <protection/>
    </xf>
    <xf numFmtId="40" fontId="4" fillId="0" borderId="0" xfId="20" applyNumberFormat="1" applyFont="1" applyFill="1">
      <alignment/>
      <protection/>
    </xf>
    <xf numFmtId="2" fontId="4" fillId="0" borderId="0" xfId="20" applyNumberFormat="1" applyFont="1" applyFill="1">
      <alignment/>
      <protection/>
    </xf>
    <xf numFmtId="40" fontId="4" fillId="0" borderId="3" xfId="20" applyNumberFormat="1" applyFont="1" applyFill="1" applyBorder="1">
      <alignment/>
      <protection/>
    </xf>
    <xf numFmtId="0" fontId="3" fillId="0" borderId="0" xfId="20" applyFont="1" applyFill="1">
      <alignment/>
      <protection/>
    </xf>
    <xf numFmtId="40" fontId="3" fillId="0" borderId="0" xfId="20" applyNumberFormat="1" applyFont="1" applyFill="1">
      <alignment/>
      <protection/>
    </xf>
    <xf numFmtId="3" fontId="7" fillId="0" borderId="1" xfId="21" applyNumberFormat="1" applyFont="1" applyFill="1" applyBorder="1" applyAlignment="1" applyProtection="1">
      <alignment horizontal="right"/>
      <protection locked="0"/>
    </xf>
    <xf numFmtId="49" fontId="6" fillId="0" borderId="0" xfId="21" applyNumberFormat="1" applyFont="1" applyFill="1" applyBorder="1" applyAlignment="1" applyProtection="1">
      <alignment horizontal="right"/>
      <protection locked="0"/>
    </xf>
    <xf numFmtId="49" fontId="7" fillId="0" borderId="1" xfId="21" applyNumberFormat="1" applyFont="1" applyFill="1" applyBorder="1" applyAlignment="1" applyProtection="1">
      <alignment horizontal="center"/>
      <protection locked="0"/>
    </xf>
    <xf numFmtId="49" fontId="7" fillId="0" borderId="4" xfId="21" applyNumberFormat="1" applyFont="1" applyFill="1" applyBorder="1" applyAlignment="1" applyProtection="1">
      <alignment horizontal="right"/>
      <protection locked="0"/>
    </xf>
    <xf numFmtId="164" fontId="7" fillId="0" borderId="2" xfId="21" applyNumberFormat="1" applyFont="1" applyFill="1" applyBorder="1" applyAlignment="1" applyProtection="1">
      <alignment horizontal="center"/>
      <protection locked="0"/>
    </xf>
    <xf numFmtId="49" fontId="9" fillId="0" borderId="2" xfId="21" applyNumberFormat="1" applyFont="1" applyFill="1" applyBorder="1" applyAlignment="1" applyProtection="1">
      <alignment horizontal="center" vertical="top" wrapText="1"/>
      <protection locked="0"/>
    </xf>
    <xf numFmtId="0" fontId="3" fillId="0" borderId="5" xfId="20" applyFont="1" applyFill="1" applyBorder="1">
      <alignment/>
      <protection/>
    </xf>
    <xf numFmtId="0" fontId="3" fillId="0" borderId="6" xfId="20" applyFont="1" applyFill="1" applyBorder="1">
      <alignment/>
      <protection/>
    </xf>
    <xf numFmtId="0" fontId="3" fillId="0" borderId="6" xfId="20" applyFont="1" applyFill="1" applyBorder="1" applyAlignment="1">
      <alignment horizontal="center"/>
      <protection/>
    </xf>
    <xf numFmtId="40" fontId="3" fillId="0" borderId="6" xfId="20" applyNumberFormat="1" applyFont="1" applyFill="1" applyBorder="1">
      <alignment/>
      <protection/>
    </xf>
    <xf numFmtId="0" fontId="3" fillId="0" borderId="7" xfId="20" applyFont="1" applyFill="1" applyBorder="1">
      <alignment/>
      <protection/>
    </xf>
    <xf numFmtId="0" fontId="3" fillId="0" borderId="8" xfId="20" applyFont="1" applyFill="1" applyBorder="1">
      <alignment/>
      <protection/>
    </xf>
    <xf numFmtId="0" fontId="3" fillId="0" borderId="9" xfId="20" applyFont="1" applyFill="1" applyBorder="1">
      <alignment/>
      <protection/>
    </xf>
    <xf numFmtId="40" fontId="3" fillId="0" borderId="9" xfId="20" applyNumberFormat="1" applyFont="1" applyFill="1" applyBorder="1">
      <alignment/>
      <protection/>
    </xf>
    <xf numFmtId="0" fontId="3" fillId="0" borderId="10" xfId="20" applyFont="1" applyFill="1" applyBorder="1">
      <alignment/>
      <protection/>
    </xf>
    <xf numFmtId="49" fontId="6" fillId="0" borderId="11" xfId="21" applyNumberFormat="1" applyFont="1" applyFill="1" applyBorder="1" applyAlignment="1" applyProtection="1">
      <alignment horizontal="right"/>
      <protection locked="0"/>
    </xf>
    <xf numFmtId="164" fontId="5" fillId="0" borderId="12" xfId="21" applyFont="1" applyFill="1" applyBorder="1" applyAlignment="1" applyProtection="1">
      <alignment horizontal="center"/>
      <protection locked="0"/>
    </xf>
    <xf numFmtId="49" fontId="7" fillId="0" borderId="2" xfId="21" applyNumberFormat="1" applyFont="1" applyFill="1" applyBorder="1" applyAlignment="1" applyProtection="1">
      <alignment horizontal="center"/>
      <protection locked="0"/>
    </xf>
    <xf numFmtId="10" fontId="5" fillId="0" borderId="2" xfId="0" applyNumberFormat="1" applyFont="1" applyFill="1" applyBorder="1" applyAlignment="1" applyProtection="1">
      <alignment horizontal="left"/>
      <protection locked="0"/>
    </xf>
    <xf numFmtId="49" fontId="6" fillId="0" borderId="0" xfId="0" applyNumberFormat="1" applyFont="1" applyFill="1" applyBorder="1" applyAlignment="1">
      <alignment horizontal="right"/>
    </xf>
    <xf numFmtId="0" fontId="5" fillId="0" borderId="0" xfId="0" applyFont="1" applyFill="1" applyBorder="1" applyAlignment="1">
      <alignment horizontal="left"/>
    </xf>
    <xf numFmtId="49" fontId="6" fillId="0" borderId="0" xfId="21" applyNumberFormat="1" applyFont="1" applyFill="1" applyBorder="1" applyAlignment="1" applyProtection="1">
      <alignment horizontal="right"/>
      <protection locked="0"/>
    </xf>
    <xf numFmtId="164" fontId="5" fillId="0" borderId="0" xfId="21" applyFont="1" applyFill="1" applyBorder="1" applyAlignment="1" applyProtection="1">
      <alignment horizontal="left"/>
      <protection locked="0"/>
    </xf>
    <xf numFmtId="0" fontId="3" fillId="0" borderId="0" xfId="20" applyFont="1" applyFill="1" applyAlignment="1">
      <alignment horizontal="left" wrapText="1"/>
      <protection/>
    </xf>
    <xf numFmtId="0" fontId="2" fillId="0" borderId="0" xfId="20" applyFill="1" applyAlignment="1">
      <alignment horizontal="left" wrapText="1"/>
      <protection/>
    </xf>
    <xf numFmtId="49" fontId="6" fillId="0" borderId="13" xfId="21" applyNumberFormat="1" applyFont="1" applyFill="1" applyBorder="1" applyAlignment="1" applyProtection="1">
      <alignment horizontal="right"/>
      <protection locked="0"/>
    </xf>
    <xf numFmtId="164" fontId="5" fillId="0" borderId="14" xfId="21" applyFont="1" applyFill="1" applyBorder="1" applyAlignment="1" applyProtection="1">
      <alignment horizontal="left"/>
      <protection locked="0"/>
    </xf>
    <xf numFmtId="49" fontId="0" fillId="0" borderId="1" xfId="21" applyNumberFormat="1" applyFont="1" applyFill="1" applyBorder="1" applyAlignment="1" applyProtection="1">
      <alignment horizontal="center"/>
      <protection locked="0"/>
    </xf>
    <xf numFmtId="44" fontId="5" fillId="0" borderId="1" xfId="0" applyNumberFormat="1" applyFont="1" applyFill="1" applyBorder="1" applyAlignment="1" applyProtection="1">
      <alignment horizontal="left"/>
      <protection locked="0"/>
    </xf>
    <xf numFmtId="164" fontId="7" fillId="0" borderId="15" xfId="21" applyNumberFormat="1" applyFont="1" applyFill="1" applyBorder="1" applyAlignment="1" applyProtection="1">
      <alignment horizontal="center"/>
      <protection locked="0"/>
    </xf>
    <xf numFmtId="10" fontId="5" fillId="0" borderId="16" xfId="0" applyNumberFormat="1" applyFont="1" applyFill="1" applyBorder="1" applyAlignment="1" applyProtection="1">
      <alignment horizontal="center"/>
      <protection locked="0"/>
    </xf>
    <xf numFmtId="49" fontId="6" fillId="0" borderId="0" xfId="21" applyNumberFormat="1" applyFont="1" applyFill="1" applyBorder="1" applyAlignment="1" applyProtection="1">
      <alignment horizontal="right" wrapText="1"/>
      <protection locked="0"/>
    </xf>
    <xf numFmtId="49" fontId="5" fillId="0" borderId="0" xfId="21" applyNumberFormat="1" applyFont="1" applyFill="1" applyBorder="1" applyAlignment="1" applyProtection="1">
      <alignment horizontal="left" wrapText="1"/>
      <protection locked="0"/>
    </xf>
    <xf numFmtId="49" fontId="7" fillId="0" borderId="15" xfId="21" applyNumberFormat="1" applyFont="1" applyFill="1" applyBorder="1" applyAlignment="1" applyProtection="1">
      <alignment horizontal="left"/>
      <protection locked="0"/>
    </xf>
    <xf numFmtId="49" fontId="5" fillId="0" borderId="17" xfId="21" applyNumberFormat="1" applyFont="1" applyFill="1" applyBorder="1" applyAlignment="1" applyProtection="1">
      <alignment horizontal="left"/>
      <protection locked="0"/>
    </xf>
    <xf numFmtId="49" fontId="5" fillId="0" borderId="16" xfId="21" applyNumberFormat="1" applyFont="1" applyFill="1" applyBorder="1" applyAlignment="1" applyProtection="1">
      <alignment horizontal="left"/>
      <protection locked="0"/>
    </xf>
    <xf numFmtId="49" fontId="7" fillId="0" borderId="4" xfId="21" applyNumberFormat="1" applyFont="1" applyFill="1" applyBorder="1" applyAlignment="1" applyProtection="1">
      <alignment horizontal="center"/>
      <protection locked="0"/>
    </xf>
    <xf numFmtId="10" fontId="5" fillId="0" borderId="4" xfId="0" applyNumberFormat="1" applyFont="1" applyFill="1" applyBorder="1" applyAlignment="1" applyProtection="1">
      <alignment horizontal="left"/>
      <protection locked="0"/>
    </xf>
    <xf numFmtId="43" fontId="7" fillId="0" borderId="2" xfId="21" applyNumberFormat="1" applyFont="1" applyFill="1" applyBorder="1" applyAlignment="1" applyProtection="1">
      <alignment horizontal="right"/>
      <protection locked="0"/>
    </xf>
  </cellXfs>
  <cellStyles count="8">
    <cellStyle name="Normal" xfId="0" builtinId="0"/>
    <cellStyle name="Percent" xfId="15" builtinId="5"/>
    <cellStyle name="Currency" xfId="16" builtinId="4"/>
    <cellStyle name="Currency [0]" xfId="17" builtinId="7"/>
    <cellStyle name="Comma" xfId="18" builtinId="3"/>
    <cellStyle name="Comma [0]" xfId="19" builtinId="6"/>
    <cellStyle name="Normal 3" xfId="20"/>
    <cellStyle name="Normal_JE_UPLOAD_sub" xfId="21"/>
  </cellStyles>
  <dxfs count="1">
    <dxf>
      <font>
        <b/>
        <i val="0"/>
        <strike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4" Type="http://schemas.openxmlformats.org/officeDocument/2006/relationships/sharedStrings" Target="sharedStrings.xml" /><Relationship Id="rId5" Type="http://schemas.openxmlformats.org/officeDocument/2006/relationships/calcChain" Target="calcChain.xml" /><Relationship Id="rId3" Type="http://schemas.openxmlformats.org/officeDocument/2006/relationships/styles" Target="styles.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pageSetUpPr fitToPage="1"/>
  </sheetPr>
  <dimension ref="A1:P27"/>
  <sheetViews>
    <sheetView tabSelected="1" workbookViewId="0" topLeftCell="A1">
      <selection pane="topLeft" activeCell="J31" sqref="J31"/>
    </sheetView>
  </sheetViews>
  <sheetFormatPr defaultRowHeight="12.75"/>
  <cols>
    <col min="1" max="1" width="6.71428571428571" style="2" customWidth="1"/>
    <col min="2" max="2" width="9.71428571428571" style="2" customWidth="1"/>
    <col min="3" max="3" width="8.85714285714286" style="2" bestFit="1" customWidth="1"/>
    <col min="4" max="4" width="7.85714285714286" style="2" bestFit="1" customWidth="1"/>
    <col min="5" max="5" width="8" style="2" bestFit="1" customWidth="1"/>
    <col min="6" max="6" width="9.57142857142857" style="2" bestFit="1" customWidth="1"/>
    <col min="7" max="7" width="9.14285714285714" style="2" bestFit="1" customWidth="1"/>
    <col min="8" max="8" width="7.28571428571429" style="2" bestFit="1" customWidth="1"/>
    <col min="9" max="9" width="6.42857142857143" style="2" bestFit="1" customWidth="1"/>
    <col min="10" max="10" width="37" style="2" customWidth="1"/>
    <col min="11" max="11" width="15.8571428571429" style="3" bestFit="1" customWidth="1"/>
    <col min="12" max="12" width="31.8571428571429" style="2" bestFit="1" customWidth="1"/>
    <col min="13" max="13" width="7" style="2" customWidth="1"/>
    <col min="14" max="14" width="9.85714285714286" style="2" bestFit="1" customWidth="1"/>
    <col min="15" max="15" width="27.5714285714286" style="2" bestFit="1" customWidth="1"/>
    <col min="16" max="16" width="8.85714285714286" style="2" bestFit="1" customWidth="1"/>
    <col min="17" max="17" width="7.42857142857143" style="2" bestFit="1" customWidth="1"/>
    <col min="18" max="16384" width="9.14285714285714" style="2"/>
  </cols>
  <sheetData>
    <row r="1" spans="1:1" ht="12.75">
      <c r="A1" s="1" t="s">
        <v>0</v>
      </c>
    </row>
    <row r="2" spans="1:1" ht="12.75">
      <c r="A2" s="1" t="s">
        <v>1</v>
      </c>
    </row>
    <row r="4" spans="1:16" s="15" customFormat="1" ht="25.5">
      <c r="A4" s="13" t="s">
        <v>2</v>
      </c>
      <c r="B4" s="13" t="s">
        <v>3</v>
      </c>
      <c r="C4" s="13" t="s">
        <v>4</v>
      </c>
      <c r="D4" s="13" t="s">
        <v>5</v>
      </c>
      <c r="E4" s="13" t="s">
        <v>6</v>
      </c>
      <c r="F4" s="13" t="s">
        <v>7</v>
      </c>
      <c r="G4" s="13" t="s">
        <v>8</v>
      </c>
      <c r="H4" s="13" t="s">
        <v>9</v>
      </c>
      <c r="I4" s="13" t="s">
        <v>10</v>
      </c>
      <c r="J4" s="14" t="s">
        <v>12</v>
      </c>
      <c r="K4" s="13" t="s">
        <v>13</v>
      </c>
      <c r="L4" s="13" t="s">
        <v>14</v>
      </c>
      <c r="M4" s="13" t="s">
        <v>15</v>
      </c>
      <c r="N4" s="13" t="s">
        <v>16</v>
      </c>
      <c r="O4" s="13" t="s">
        <v>17</v>
      </c>
      <c r="P4" s="13" t="s">
        <v>18</v>
      </c>
    </row>
    <row r="5" spans="1:16" s="15" customFormat="1" ht="12.75">
      <c r="A5" s="16" t="s">
        <v>19</v>
      </c>
      <c r="B5" s="15">
        <v>2020</v>
      </c>
      <c r="C5" s="15">
        <v>12</v>
      </c>
      <c r="D5" s="16" t="s">
        <v>20</v>
      </c>
      <c r="E5" s="16" t="s">
        <v>21</v>
      </c>
      <c r="F5" s="16" t="s">
        <v>22</v>
      </c>
      <c r="G5" s="16" t="s">
        <v>23</v>
      </c>
      <c r="H5" s="16" t="s">
        <v>24</v>
      </c>
      <c r="I5" s="16" t="s">
        <v>25</v>
      </c>
      <c r="J5" s="17">
        <v>4537.1400000000003</v>
      </c>
      <c r="K5" s="16" t="s">
        <v>27</v>
      </c>
      <c r="L5" s="16" t="s">
        <v>28</v>
      </c>
      <c r="M5" s="16" t="s">
        <v>29</v>
      </c>
      <c r="N5" s="16" t="s">
        <v>30</v>
      </c>
      <c r="O5" s="16" t="s">
        <v>31</v>
      </c>
      <c r="P5" s="18">
        <v>0</v>
      </c>
    </row>
    <row r="6" spans="1:16" s="15" customFormat="1" ht="12.75">
      <c r="A6" s="16" t="s">
        <v>19</v>
      </c>
      <c r="B6" s="15">
        <v>2020</v>
      </c>
      <c r="C6" s="15">
        <v>12</v>
      </c>
      <c r="D6" s="16" t="s">
        <v>20</v>
      </c>
      <c r="E6" s="16" t="s">
        <v>21</v>
      </c>
      <c r="F6" s="16" t="s">
        <v>22</v>
      </c>
      <c r="G6" s="16" t="s">
        <v>23</v>
      </c>
      <c r="H6" s="16" t="s">
        <v>24</v>
      </c>
      <c r="I6" s="16" t="s">
        <v>25</v>
      </c>
      <c r="J6" s="17">
        <v>31381.869999999999</v>
      </c>
      <c r="K6" s="16" t="s">
        <v>27</v>
      </c>
      <c r="L6" s="16" t="s">
        <v>28</v>
      </c>
      <c r="M6" s="16" t="s">
        <v>29</v>
      </c>
      <c r="N6" s="16" t="s">
        <v>30</v>
      </c>
      <c r="O6" s="16" t="s">
        <v>32</v>
      </c>
      <c r="P6" s="18">
        <v>0</v>
      </c>
    </row>
    <row r="7" spans="1:16" s="15" customFormat="1" ht="12.75">
      <c r="A7" s="16" t="s">
        <v>19</v>
      </c>
      <c r="B7" s="15">
        <v>2020</v>
      </c>
      <c r="C7" s="15">
        <v>12</v>
      </c>
      <c r="D7" s="16" t="s">
        <v>20</v>
      </c>
      <c r="E7" s="16" t="s">
        <v>21</v>
      </c>
      <c r="F7" s="16" t="s">
        <v>22</v>
      </c>
      <c r="G7" s="16" t="s">
        <v>23</v>
      </c>
      <c r="H7" s="16" t="s">
        <v>24</v>
      </c>
      <c r="I7" s="16" t="s">
        <v>25</v>
      </c>
      <c r="J7" s="17">
        <v>48920.120000000003</v>
      </c>
      <c r="K7" s="16" t="s">
        <v>27</v>
      </c>
      <c r="L7" s="16" t="s">
        <v>28</v>
      </c>
      <c r="M7" s="16" t="s">
        <v>29</v>
      </c>
      <c r="N7" s="16" t="s">
        <v>30</v>
      </c>
      <c r="O7" s="16" t="s">
        <v>33</v>
      </c>
      <c r="P7" s="18">
        <v>0</v>
      </c>
    </row>
    <row r="8" spans="1:16" s="15" customFormat="1" ht="12.75">
      <c r="A8" s="16" t="s">
        <v>19</v>
      </c>
      <c r="B8" s="15">
        <v>2020</v>
      </c>
      <c r="C8" s="15">
        <v>12</v>
      </c>
      <c r="D8" s="16" t="s">
        <v>34</v>
      </c>
      <c r="E8" s="16" t="s">
        <v>35</v>
      </c>
      <c r="F8" s="16" t="s">
        <v>36</v>
      </c>
      <c r="G8" s="16" t="s">
        <v>23</v>
      </c>
      <c r="H8" s="16" t="s">
        <v>37</v>
      </c>
      <c r="I8" s="16" t="s">
        <v>38</v>
      </c>
      <c r="J8" s="17">
        <v>779.32000000000005</v>
      </c>
      <c r="K8" s="16" t="s">
        <v>27</v>
      </c>
      <c r="L8" s="16" t="s">
        <v>28</v>
      </c>
      <c r="M8" s="16" t="s">
        <v>39</v>
      </c>
      <c r="N8" s="16" t="s">
        <v>40</v>
      </c>
      <c r="O8" s="16" t="s">
        <v>41</v>
      </c>
      <c r="P8" s="18">
        <v>0</v>
      </c>
    </row>
    <row r="9" spans="1:16" s="15" customFormat="1" ht="12.75">
      <c r="A9" s="16" t="s">
        <v>19</v>
      </c>
      <c r="B9" s="15">
        <v>2020</v>
      </c>
      <c r="C9" s="15">
        <v>12</v>
      </c>
      <c r="D9" s="16" t="s">
        <v>34</v>
      </c>
      <c r="E9" s="16" t="s">
        <v>35</v>
      </c>
      <c r="F9" s="16" t="s">
        <v>36</v>
      </c>
      <c r="G9" s="16" t="s">
        <v>23</v>
      </c>
      <c r="H9" s="16" t="s">
        <v>42</v>
      </c>
      <c r="I9" s="16" t="s">
        <v>38</v>
      </c>
      <c r="J9" s="17">
        <v>2447.1500000000001</v>
      </c>
      <c r="K9" s="16" t="s">
        <v>27</v>
      </c>
      <c r="L9" s="16" t="s">
        <v>28</v>
      </c>
      <c r="M9" s="16" t="s">
        <v>39</v>
      </c>
      <c r="N9" s="16" t="s">
        <v>40</v>
      </c>
      <c r="O9" s="16" t="s">
        <v>41</v>
      </c>
      <c r="P9" s="18">
        <v>0</v>
      </c>
    </row>
    <row r="10" spans="1:16" s="15" customFormat="1" ht="12.75">
      <c r="A10" s="16" t="s">
        <v>19</v>
      </c>
      <c r="B10" s="15">
        <v>2020</v>
      </c>
      <c r="C10" s="15">
        <v>12</v>
      </c>
      <c r="D10" s="16" t="s">
        <v>34</v>
      </c>
      <c r="E10" s="16" t="s">
        <v>35</v>
      </c>
      <c r="F10" s="16" t="s">
        <v>43</v>
      </c>
      <c r="G10" s="16" t="s">
        <v>23</v>
      </c>
      <c r="H10" s="16" t="s">
        <v>24</v>
      </c>
      <c r="I10" s="16" t="s">
        <v>38</v>
      </c>
      <c r="J10" s="19">
        <v>4868.29</v>
      </c>
      <c r="K10" s="16" t="s">
        <v>27</v>
      </c>
      <c r="L10" s="16" t="s">
        <v>28</v>
      </c>
      <c r="M10" s="16" t="s">
        <v>39</v>
      </c>
      <c r="N10" s="16" t="s">
        <v>40</v>
      </c>
      <c r="O10" s="16" t="s">
        <v>44</v>
      </c>
      <c r="P10" s="18">
        <v>0</v>
      </c>
    </row>
    <row r="11" spans="8:10" s="15" customFormat="1" ht="12.75">
      <c r="H11" s="20" t="s">
        <v>45</v>
      </c>
      <c r="J11" s="21">
        <f>SUM(J5:J10)</f>
        <v>92933.889999999999</v>
      </c>
    </row>
    <row r="12" spans="11:11" s="15" customFormat="1" ht="12.75">
      <c r="K12" s="17"/>
    </row>
    <row r="13" spans="1:13" s="15" customFormat="1" ht="39.95" customHeight="1">
      <c r="A13" s="45" t="s">
        <v>46</v>
      </c>
      <c r="B13" s="46"/>
      <c r="C13" s="46"/>
      <c r="D13" s="46"/>
      <c r="E13" s="46"/>
      <c r="F13" s="46"/>
      <c r="G13" s="46"/>
      <c r="H13" s="46"/>
      <c r="I13" s="46"/>
      <c r="J13" s="46"/>
      <c r="K13" s="46"/>
      <c r="L13" s="46"/>
      <c r="M13" s="46"/>
    </row>
    <row r="14" spans="1:13" s="15" customFormat="1" ht="51.95" customHeight="1">
      <c r="A14" s="45" t="s">
        <v>47</v>
      </c>
      <c r="B14" s="46"/>
      <c r="C14" s="46"/>
      <c r="D14" s="46"/>
      <c r="E14" s="46"/>
      <c r="F14" s="46"/>
      <c r="G14" s="46"/>
      <c r="H14" s="46"/>
      <c r="I14" s="46"/>
      <c r="J14" s="46"/>
      <c r="K14" s="46"/>
      <c r="L14" s="46"/>
      <c r="M14" s="46"/>
    </row>
    <row r="15" spans="11:11" s="15" customFormat="1" ht="12.75">
      <c r="K15" s="17"/>
    </row>
    <row r="16" spans="1:12" s="6" customFormat="1" ht="12.75">
      <c r="A16" s="47" t="s">
        <v>48</v>
      </c>
      <c r="B16" s="48"/>
      <c r="C16" s="5" t="s">
        <v>19</v>
      </c>
      <c r="D16" s="43" t="s">
        <v>49</v>
      </c>
      <c r="E16" s="44"/>
      <c r="F16" s="49" t="s">
        <v>50</v>
      </c>
      <c r="G16" s="50"/>
      <c r="H16" s="43" t="s">
        <v>51</v>
      </c>
      <c r="I16" s="44"/>
      <c r="J16" s="22">
        <v>8</v>
      </c>
      <c r="K16" s="23" t="s">
        <v>52</v>
      </c>
      <c r="L16" s="24"/>
    </row>
    <row r="17" spans="1:12" s="4" customFormat="1" ht="13.9" customHeight="1">
      <c r="A17" s="43" t="s">
        <v>53</v>
      </c>
      <c r="B17" s="44"/>
      <c r="C17" s="7" t="s">
        <v>27</v>
      </c>
      <c r="D17" s="43" t="s">
        <v>54</v>
      </c>
      <c r="E17" s="44"/>
      <c r="F17" s="51">
        <v>44316</v>
      </c>
      <c r="G17" s="52"/>
      <c r="H17" s="41" t="s">
        <v>55</v>
      </c>
      <c r="I17" s="42"/>
      <c r="J17" s="60">
        <v>92933.889999999999</v>
      </c>
      <c r="K17" s="23" t="s">
        <v>56</v>
      </c>
      <c r="L17" s="7"/>
    </row>
    <row r="18" spans="1:12" s="8" customFormat="1" ht="13.9" customHeight="1">
      <c r="A18" s="53" t="s">
        <v>57</v>
      </c>
      <c r="B18" s="54"/>
      <c r="C18" s="7" t="s">
        <v>58</v>
      </c>
      <c r="D18" s="37" t="s">
        <v>59</v>
      </c>
      <c r="E18" s="38"/>
      <c r="F18" s="39" t="s">
        <v>26</v>
      </c>
      <c r="G18" s="40"/>
      <c r="H18" s="41" t="s">
        <v>60</v>
      </c>
      <c r="I18" s="42"/>
      <c r="J18" s="60">
        <v>-92933.889999999999</v>
      </c>
      <c r="K18" s="23" t="s">
        <v>61</v>
      </c>
      <c r="L18" s="11"/>
    </row>
    <row r="19" spans="1:12" s="8" customFormat="1" ht="13.9" customHeight="1">
      <c r="A19" s="43" t="s">
        <v>62</v>
      </c>
      <c r="B19" s="44"/>
      <c r="C19" s="11" t="s">
        <v>63</v>
      </c>
      <c r="D19" s="43" t="s">
        <v>64</v>
      </c>
      <c r="E19" s="44"/>
      <c r="F19" s="39" t="s">
        <v>26</v>
      </c>
      <c r="G19" s="40"/>
      <c r="H19" s="41" t="s">
        <v>65</v>
      </c>
      <c r="I19" s="42"/>
      <c r="J19" s="60">
        <v>0</v>
      </c>
      <c r="K19" s="23" t="s">
        <v>66</v>
      </c>
      <c r="L19" s="11" t="s">
        <v>26</v>
      </c>
    </row>
    <row r="20" spans="1:12" s="8" customFormat="1" ht="13.9" customHeight="1">
      <c r="A20" s="43" t="s">
        <v>67</v>
      </c>
      <c r="B20" s="44"/>
      <c r="C20" s="44"/>
      <c r="D20" s="43" t="s">
        <v>68</v>
      </c>
      <c r="E20" s="44"/>
      <c r="F20" s="58" t="s">
        <v>26</v>
      </c>
      <c r="G20" s="59"/>
      <c r="H20" s="41" t="s">
        <v>69</v>
      </c>
      <c r="I20" s="42"/>
      <c r="J20" s="25" t="s">
        <v>70</v>
      </c>
      <c r="K20" s="23" t="s">
        <v>71</v>
      </c>
      <c r="L20" s="26"/>
    </row>
    <row r="21" spans="1:12" s="9" customFormat="1" ht="13.9" customHeight="1">
      <c r="A21" s="43" t="s">
        <v>72</v>
      </c>
      <c r="B21" s="44"/>
      <c r="C21" s="55" t="s">
        <v>73</v>
      </c>
      <c r="D21" s="56"/>
      <c r="E21" s="56"/>
      <c r="F21" s="56"/>
      <c r="G21" s="56"/>
      <c r="H21" s="56"/>
      <c r="I21" s="56"/>
      <c r="J21" s="57"/>
      <c r="K21" s="23" t="s">
        <v>74</v>
      </c>
      <c r="L21" s="11" t="s">
        <v>75</v>
      </c>
    </row>
    <row r="22" spans="1:12" s="10" customFormat="1" ht="13.15" customHeight="1">
      <c r="A22" s="27" t="s">
        <v>76</v>
      </c>
      <c r="B22" s="27" t="s">
        <v>77</v>
      </c>
      <c r="C22" s="27" t="s">
        <v>78</v>
      </c>
      <c r="D22" s="27" t="s">
        <v>6</v>
      </c>
      <c r="E22" s="27" t="s">
        <v>7</v>
      </c>
      <c r="F22" s="27" t="s">
        <v>8</v>
      </c>
      <c r="G22" s="27" t="s">
        <v>9</v>
      </c>
      <c r="H22" s="27" t="s">
        <v>10</v>
      </c>
      <c r="I22" s="27" t="s">
        <v>11</v>
      </c>
      <c r="J22" s="27" t="s">
        <v>12</v>
      </c>
      <c r="K22" s="27" t="s">
        <v>79</v>
      </c>
      <c r="L22" s="27" t="s">
        <v>80</v>
      </c>
    </row>
    <row r="23" spans="1:12" s="12" customFormat="1" ht="12.75">
      <c r="A23" s="11"/>
      <c r="B23" s="11" t="s">
        <v>19</v>
      </c>
      <c r="C23" s="11" t="s">
        <v>20</v>
      </c>
      <c r="D23" s="11" t="s">
        <v>81</v>
      </c>
      <c r="E23" s="11" t="s">
        <v>22</v>
      </c>
      <c r="F23" s="11" t="s">
        <v>82</v>
      </c>
      <c r="G23" s="11" t="s">
        <v>24</v>
      </c>
      <c r="H23" s="11" t="s">
        <v>24</v>
      </c>
      <c r="I23" s="11" t="s">
        <v>26</v>
      </c>
      <c r="J23" s="60">
        <v>84839.130000000005</v>
      </c>
      <c r="K23" s="11"/>
      <c r="L23" s="11"/>
    </row>
    <row r="24" spans="1:12" s="12" customFormat="1" ht="12.75">
      <c r="A24" s="11"/>
      <c r="B24" s="11" t="s">
        <v>19</v>
      </c>
      <c r="C24" s="11" t="s">
        <v>20</v>
      </c>
      <c r="D24" s="11" t="s">
        <v>21</v>
      </c>
      <c r="E24" s="11" t="s">
        <v>22</v>
      </c>
      <c r="F24" s="11" t="s">
        <v>23</v>
      </c>
      <c r="G24" s="11" t="s">
        <v>24</v>
      </c>
      <c r="H24" s="11" t="s">
        <v>25</v>
      </c>
      <c r="I24" s="11" t="s">
        <v>26</v>
      </c>
      <c r="J24" s="60">
        <v>-84839.130000000005</v>
      </c>
      <c r="K24" s="11"/>
      <c r="L24" s="11"/>
    </row>
    <row r="25" spans="11:11" s="15" customFormat="1" ht="13.5" thickBot="1">
      <c r="K25" s="17"/>
    </row>
    <row r="26" spans="7:12" s="15" customFormat="1" ht="12.75">
      <c r="G26" s="28"/>
      <c r="H26" s="29"/>
      <c r="I26" s="29"/>
      <c r="J26" s="30" t="s">
        <v>83</v>
      </c>
      <c r="K26" s="31"/>
      <c r="L26" s="32"/>
    </row>
    <row r="27" spans="7:12" s="15" customFormat="1" ht="13.5" thickBot="1">
      <c r="G27" s="33"/>
      <c r="H27" s="34"/>
      <c r="I27" s="34"/>
      <c r="J27" s="35">
        <f>-J24</f>
        <v>84839.130000000005</v>
      </c>
      <c r="K27" s="35"/>
      <c r="L27" s="36"/>
    </row>
  </sheetData>
  <mergeCells count="24">
    <mergeCell ref="A21:B21"/>
    <mergeCell ref="C21:J21"/>
    <mergeCell ref="D19:E19"/>
    <mergeCell ref="F19:G19"/>
    <mergeCell ref="H19:I19"/>
    <mergeCell ref="A20:C20"/>
    <mergeCell ref="D20:E20"/>
    <mergeCell ref="F20:G20"/>
    <mergeCell ref="H20:I20"/>
    <mergeCell ref="D18:E18"/>
    <mergeCell ref="F18:G18"/>
    <mergeCell ref="H18:I18"/>
    <mergeCell ref="A19:B19"/>
    <mergeCell ref="A13:M13"/>
    <mergeCell ref="A14:M14"/>
    <mergeCell ref="A16:B16"/>
    <mergeCell ref="D16:E16"/>
    <mergeCell ref="F16:G16"/>
    <mergeCell ref="H16:I16"/>
    <mergeCell ref="A17:B17"/>
    <mergeCell ref="D17:E17"/>
    <mergeCell ref="F17:G17"/>
    <mergeCell ref="H17:I17"/>
    <mergeCell ref="A18:B18"/>
  </mergeCells>
  <conditionalFormatting sqref="L21 J18 J16 L16 L18">
    <cfRule type="cellIs" priority="1" dxfId="0" operator="between" stopIfTrue="1">
      <formula>35431</formula>
      <formula>35461</formula>
    </cfRule>
  </conditionalFormatting>
  <dataValidations count="15">
    <dataValidation type="textLength" showInputMessage="1" showErrorMessage="1" promptTitle="Required, Maximum 254 Characters" sqref="D21:J21">
      <formula1>1</formula1>
      <formula2>254</formula2>
    </dataValidation>
    <dataValidation type="date" allowBlank="1" showErrorMessage="1" errorTitle="Date Validation" error="Invalid Date Entered" sqref="F17">
      <formula1>1</formula1>
      <formula2>1132254</formula2>
    </dataValidation>
    <dataValidation allowBlank="1" showErrorMessage="1" errorTitle="Work Date Due" error="Numeric Values Only allowed_x000a_" sqref="F19"/>
    <dataValidation type="textLength" showInputMessage="1" showErrorMessage="1" error="Text exceeds maximum character length of 6 characters" sqref="C23:C24">
      <formula1>0</formula1>
      <formula2>6</formula2>
    </dataValidation>
    <dataValidation type="textLength" showInputMessage="1" showErrorMessage="1" error="Text exceeds maximum character length of 7 characters" sqref="D23:D24">
      <formula1>0</formula1>
      <formula2>7</formula2>
    </dataValidation>
    <dataValidation type="textLength" showInputMessage="1" showErrorMessage="1" error="Text exceeds maximum character length of 3 characters" sqref="E23:E24">
      <formula1>0</formula1>
      <formula2>3</formula2>
    </dataValidation>
    <dataValidation type="textLength" showInputMessage="1" showErrorMessage="1" error="Text exceeds maximum character length of 8 characters" sqref="F23:F24">
      <formula1>0</formula1>
      <formula2>8</formula2>
    </dataValidation>
    <dataValidation type="textLength" showInputMessage="1" showErrorMessage="1" error="Text exceeds maximum character length of 4 characters" sqref="G23:H24">
      <formula1>0</formula1>
      <formula2>4</formula2>
    </dataValidation>
    <dataValidation type="textLength" showInputMessage="1" showErrorMessage="1" error="Text exceeds maximum character length of 5 characters" sqref="I23:I24 B23:B24">
      <formula1>0</formula1>
      <formula2>5</formula2>
    </dataValidation>
    <dataValidation type="textLength" showInputMessage="1" showErrorMessage="1" error="Text exceeds maximum character length of 23 characters" sqref="J23:J24">
      <formula1>0</formula1>
      <formula2>23</formula2>
    </dataValidation>
    <dataValidation type="textLength" showInputMessage="1" showErrorMessage="1" error="Text exceeds maximum character length of 10 characters" sqref="K23:K24">
      <formula1>0</formula1>
      <formula2>10</formula2>
    </dataValidation>
    <dataValidation type="textLength" showInputMessage="1" showErrorMessage="1" error="Text exceeds maximum character length of 30 characters" sqref="L23:L24">
      <formula1>0</formula1>
      <formula2>30</formula2>
    </dataValidation>
    <dataValidation type="list" showInputMessage="1" showErrorMessage="1" sqref="C17">
      <formula1>"ACTUALS,STAT"</formula1>
    </dataValidation>
    <dataValidation type="textLength" showInputMessage="1" showErrorMessage="1" prompt="Required, Maximum 254 Characters" error="Mut be between 1 and 254 Characters" sqref="C21">
      <formula1>1</formula1>
      <formula2>254</formula2>
    </dataValidation>
    <dataValidation errorStyle="information" type="list" allowBlank="1" showInputMessage="1" showErrorMessage="1" prompt="This field only accepts 'NEXT' or the current journal ID - OK to accept this value" error="This field only accepts 'NEXT' or the current journal ID - OK to accept this value" sqref="F16">
      <formula1>"NEXT,JMS0957275"</formula1>
    </dataValidation>
  </dataValidations>
  <printOptions horizontalCentered="1"/>
  <pageMargins left="0.5" right="0.5" top="1.5" bottom="0.5" header="1" footer="0.5"/>
  <pageSetup orientation="landscape" scale="59" r:id="rId1"/>
  <headerFooter>
    <oddHeader>&amp;R&amp;"Arial,Bold"WP/II-D ADJUSTMENT /10
Page 2 of 2</oddHeader>
  </headerFooter>
</worksheet>
</file>

<file path=docProps/app.xml><?xml version="1.0" encoding="utf-8"?>
<Properties xmlns="http://schemas.openxmlformats.org/officeDocument/2006/extended-properties" xmlns:vt="http://schemas.openxmlformats.org/officeDocument/2006/docPropsVTypes">
  <Application>Microsoft Excel</Application>
  <AppVersion>15.0300</AppVersion>
  <DocSecurity>0</DocSecurity>
  <ScaleCrop>false</ScaleCrop>
  <HeadingPairs>
    <vt:vector size="2" baseType="variant">
      <vt:variant>
        <vt:lpstr>Worksheets</vt:lpstr>
      </vt:variant>
      <vt:variant>
        <vt:i4>1</vt:i4>
      </vt:variant>
    </vt:vector>
  </HeadingPairs>
  <TitlesOfParts>
    <vt:vector size="1" baseType="lpstr">
      <vt:lpstr>VM K&amp;M</vt:lpstr>
    </vt:vector>
  </TitlesOfParts>
  <Template/>
  <Manager/>
  <Company/>
  <LinksUpToDate>false</LinksUpToDate>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category/>
</cp:coreProperties>
</file>