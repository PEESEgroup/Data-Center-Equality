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E:\Section II (Test Year Data)\Schedule D (O &amp; M Expense)\Schedule II-D Workpapers\"/>
    </mc:Choice>
  </mc:AlternateContent>
  <bookViews>
    <workbookView xWindow="0" yWindow="0" windowWidth="28800" windowHeight="12135" activeTab="0"/>
  </bookViews>
  <sheets>
    <sheet name="K&amp;M" sheetId="1" r:id="rId2"/>
  </sheets>
  <externalReferences>
    <externalReference r:id="rId5"/>
  </externalReferences>
  <definedNames>
    <definedName name="APN">#REF!</definedName>
    <definedName name="ASD">#REF!</definedName>
    <definedName name="Completed">#REF!</definedName>
    <definedName name="Elapsed">#REF!</definedName>
    <definedName name="FY">#REF!</definedName>
    <definedName name="KeyControlFigure">#REF!</definedName>
    <definedName name="LYN">#REF!</definedName>
    <definedName name="NvsASD">"V2021-06-30"</definedName>
    <definedName name="NvsAutoDrillOk">"VN"</definedName>
    <definedName name="NvsElapsedTime">0.000138888884976041</definedName>
    <definedName name="NvsEndTime">44378.9514930556</definedName>
    <definedName name="NvsInstLang">"VENG"</definedName>
    <definedName name="NvsInstSpec">"%"</definedName>
    <definedName name="NvsInstSpec1">","</definedName>
    <definedName name="NvsInstSpec2">","</definedName>
    <definedName name="NvsInstSpec3">","</definedName>
    <definedName name="NvsInstSpec4">","</definedName>
    <definedName name="NvsInstSpec5">","</definedName>
    <definedName name="NvsInstSpec6">","</definedName>
    <definedName name="NvsInstSpec7">","</definedName>
    <definedName name="NvsInstSpec8">","</definedName>
    <definedName name="NvsInstSpec9">","</definedName>
    <definedName name="NvsLayoutType">"M3"</definedName>
    <definedName name="NvsNplSpec">"%,X,RZF.ACCOUNT.nPlosion,CZF.."</definedName>
    <definedName name="NvsPanelBusUnit">"V"</definedName>
    <definedName name="NvsPanelEffdt">"V2010-12-31"</definedName>
    <definedName name="NvsPanelSetid">"VSHARE"</definedName>
    <definedName name="NvsReqBU">"VX0001"</definedName>
    <definedName name="NvsReqBUOnly">"VN"</definedName>
    <definedName name="NvsTransLed">"VN"</definedName>
    <definedName name="NvsTree.F_ACNT_D_NONRG">"YSNYN"</definedName>
    <definedName name="NvsTree.F_BU_D_BASE_FCR">"YSNNN"</definedName>
    <definedName name="NvsTreeASD">"V2021-06-30"</definedName>
    <definedName name="NvsValTbl.ACCOUNT">"GL_ACCOUNT_TBL"</definedName>
    <definedName name="NvsValTbl.BUSINESS_UNIT">"BUS_UNIT_TBL_FS"</definedName>
    <definedName name="NvsValTbl.CURRENCY_CD">"CURRENCY_CD_VW"</definedName>
    <definedName name="NvsValTbl.PF_SCENARIO_ID">"PF_SCENARIO_VW"</definedName>
    <definedName name="NvsValTbl.SCENARIO">"SCENARIO_ALL_VW"</definedName>
    <definedName name="PED">#REF!</definedName>
    <definedName name="RID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3" i="1" l="1"/>
</calcChain>
</file>

<file path=xl/sharedStrings.xml><?xml version="1.0" encoding="utf-8"?>
<sst xmlns="http://schemas.openxmlformats.org/spreadsheetml/2006/main" count="155" uniqueCount="83">
  <si>
    <t>Oncor Electric Delivery Company LLC</t>
  </si>
  <si>
    <t xml:space="preserve">Regulatory Asset Account 1823575 - COVID19-Incremental Expense - K&amp;M Adjustment to remove </t>
  </si>
  <si>
    <t>GL Unit</t>
  </si>
  <si>
    <t>Account</t>
  </si>
  <si>
    <t>Dept</t>
  </si>
  <si>
    <t>EC</t>
  </si>
  <si>
    <t>EC Description</t>
  </si>
  <si>
    <t>Project</t>
  </si>
  <si>
    <t>Location</t>
  </si>
  <si>
    <t>Activity</t>
  </si>
  <si>
    <t>Amount</t>
  </si>
  <si>
    <t>Source</t>
  </si>
  <si>
    <t>Report Descr</t>
  </si>
  <si>
    <t>Report ID</t>
  </si>
  <si>
    <t>Employee ID</t>
  </si>
  <si>
    <t>Category</t>
  </si>
  <si>
    <t>Sub-Categary</t>
  </si>
  <si>
    <t>Long Descr</t>
  </si>
  <si>
    <t>Year</t>
  </si>
  <si>
    <t>moved in Period</t>
  </si>
  <si>
    <t>Voucher ID</t>
  </si>
  <si>
    <t>Vendor Name</t>
  </si>
  <si>
    <t>Vendor ID</t>
  </si>
  <si>
    <t>Invoice Number</t>
  </si>
  <si>
    <t>ESD</t>
  </si>
  <si>
    <t>5880000</t>
  </si>
  <si>
    <t>516120</t>
  </si>
  <si>
    <t>280</t>
  </si>
  <si>
    <t>Materials &amp; Supplies</t>
  </si>
  <si>
    <t>02006884</t>
  </si>
  <si>
    <t>0000</t>
  </si>
  <si>
    <t>2100</t>
  </si>
  <si>
    <t>PUR</t>
  </si>
  <si>
    <t>Other</t>
  </si>
  <si>
    <t>Temporary office furnishings</t>
  </si>
  <si>
    <t>Cabling for cubicles</t>
  </si>
  <si>
    <t>00446279</t>
  </si>
  <si>
    <t>ABLE COMMUNICATIONS INC</t>
  </si>
  <si>
    <t>002646950</t>
  </si>
  <si>
    <t>2234</t>
  </si>
  <si>
    <t>130</t>
  </si>
  <si>
    <t>Furniture/Chairs</t>
  </si>
  <si>
    <t>00441535</t>
  </si>
  <si>
    <t>INTERIOR SERVICES</t>
  </si>
  <si>
    <t>011710450</t>
  </si>
  <si>
    <t>2523</t>
  </si>
  <si>
    <t>Cubicles/Furniture</t>
  </si>
  <si>
    <t>00452132</t>
  </si>
  <si>
    <t>2521</t>
  </si>
  <si>
    <t>9302000</t>
  </si>
  <si>
    <t>285</t>
  </si>
  <si>
    <t>4500</t>
  </si>
  <si>
    <t>install 8 workstations</t>
  </si>
  <si>
    <t>00448621</t>
  </si>
  <si>
    <t>VISTRA OPERATIONS COMPANY LLC</t>
  </si>
  <si>
    <t>000622550</t>
  </si>
  <si>
    <t>Oncor2</t>
  </si>
  <si>
    <t>487</t>
  </si>
  <si>
    <t>Other Outside Services</t>
  </si>
  <si>
    <t>Labor to teardown8-8x8 etho st</t>
  </si>
  <si>
    <t>00447342</t>
  </si>
  <si>
    <t>WORKPLACE RESOURCE DFW</t>
  </si>
  <si>
    <t>001203051</t>
  </si>
  <si>
    <t>34094</t>
  </si>
  <si>
    <t>2020 charges</t>
  </si>
  <si>
    <t>9230000</t>
  </si>
  <si>
    <t>584330</t>
  </si>
  <si>
    <t>128</t>
  </si>
  <si>
    <t>Contracts &amp; Contractor Costs</t>
  </si>
  <si>
    <t>Class Code COMH CABLING FOR B</t>
  </si>
  <si>
    <t>M893735</t>
  </si>
  <si>
    <t>PSI2779</t>
  </si>
  <si>
    <t>Remove</t>
  </si>
  <si>
    <t>2020 &amp; 2021 charges in account 1823575 COVID19-Incremental Expense</t>
  </si>
  <si>
    <t>(items were categorized as temporary in error and should not be charge to the regulatory asset)</t>
  </si>
  <si>
    <t>2020 charges in account 1823575 COVID19-Incremental Expense</t>
  </si>
  <si>
    <t>K&amp;M adjustment to remove these charges from account 1823575 COVID19-Incremental Expense regulatory asset</t>
  </si>
  <si>
    <t>Unadjusted regulatory asset balance at 12-31-2021</t>
  </si>
  <si>
    <t>K&amp;M adjustment shown above</t>
  </si>
  <si>
    <t>Adjusted regulatory asset balance at 12-31-2021 requested in this case II-B-12 Line No 8</t>
  </si>
  <si>
    <t>(II-E-4.1.1 Line 19)</t>
  </si>
  <si>
    <t>Annual amortization  II-E-4.1 line 25, K&amp;M O&amp;M adjustment #42</t>
  </si>
  <si>
    <t>Recovery Period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</si>
</sst>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7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0"/>
      <name val="Times New Roman"/>
      <family val="1"/>
    </font>
    <font>
      <sz val="10"/>
      <name val="Arial Unicode MS"/>
      <family val="2"/>
    </font>
    <font>
      <b/>
      <sz val="10"/>
      <color theme="0"/>
      <name val="Arial Unicode MS"/>
      <family val="2"/>
    </font>
    <font>
      <sz val="10"/>
      <name val="Arial"/>
      <family val="2"/>
    </font>
    <font>
      <sz val="10"/>
      <color theme="1"/>
      <name val="Times New Roman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auto="1"/>
      </bottom>
    </border>
  </borders>
  <cellStyleXfs count="24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0" fillId="0" borderId="0">
      <alignment/>
      <protection/>
    </xf>
    <xf numFmtId="0" fontId="3" fillId="0" borderId="0">
      <alignment/>
      <protection/>
    </xf>
    <xf numFmtId="0" fontId="0" fillId="0" borderId="0">
      <alignment/>
      <protection/>
    </xf>
    <xf numFmtId="0" fontId="5" fillId="0" borderId="0">
      <alignment/>
      <protection/>
    </xf>
  </cellStyleXfs>
  <cellXfs count="18">
    <xf numFmtId="0" fontId="0" fillId="0" borderId="0" xfId="0"/>
    <xf numFmtId="44" fontId="0" fillId="0" borderId="0" xfId="16" applyFont="1"/>
    <xf numFmtId="44" fontId="0" fillId="0" borderId="1" xfId="16" applyFont="1" applyBorder="1"/>
    <xf numFmtId="164" fontId="0" fillId="0" borderId="1" xfId="18" applyNumberFormat="1" applyFont="1" applyBorder="1"/>
    <xf numFmtId="0" fontId="2" fillId="0" borderId="0" xfId="20" applyFont="1" applyFill="1" applyBorder="1" applyAlignment="1">
      <alignment horizontal="center"/>
      <protection/>
    </xf>
    <xf numFmtId="49" fontId="4" fillId="0" borderId="0" xfId="21" applyNumberFormat="1" applyFont="1" applyFill="1" applyBorder="1">
      <alignment/>
      <protection/>
    </xf>
    <xf numFmtId="44" fontId="2" fillId="0" borderId="0" xfId="16" applyFont="1" applyFill="1" applyBorder="1" applyAlignment="1">
      <alignment horizontal="center"/>
    </xf>
    <xf numFmtId="40" fontId="2" fillId="0" borderId="0" xfId="20" applyNumberFormat="1" applyFont="1" applyFill="1" applyBorder="1" applyAlignment="1">
      <alignment horizontal="center"/>
      <protection/>
    </xf>
    <xf numFmtId="0" fontId="2" fillId="0" borderId="0" xfId="22" applyFont="1" applyFill="1" applyBorder="1" applyAlignment="1">
      <alignment horizontal="center"/>
      <protection/>
    </xf>
    <xf numFmtId="0" fontId="0" fillId="0" borderId="0" xfId="0" applyFill="1"/>
    <xf numFmtId="0" fontId="0" fillId="0" borderId="0" xfId="0" applyFont="1" applyFill="1" applyBorder="1"/>
    <xf numFmtId="0" fontId="6" fillId="0" borderId="0" xfId="23" applyFont="1" applyFill="1" applyBorder="1">
      <alignment/>
      <protection/>
    </xf>
    <xf numFmtId="44" fontId="0" fillId="0" borderId="0" xfId="16" applyFont="1" applyFill="1" applyBorder="1"/>
    <xf numFmtId="44" fontId="0" fillId="0" borderId="1" xfId="16" applyFont="1" applyFill="1" applyBorder="1"/>
    <xf numFmtId="44" fontId="0" fillId="0" borderId="0" xfId="16" applyFont="1" applyFill="1"/>
    <xf numFmtId="0" fontId="0" fillId="0" borderId="0" xfId="0" applyFont="1" applyFill="1" applyBorder="1"/>
    <xf numFmtId="0" fontId="0" fillId="0" borderId="0" xfId="0" applyFill="1" applyAlignment="1">
      <alignment horizontal="right"/>
    </xf>
    <xf numFmtId="44" fontId="0" fillId="0" borderId="1" xfId="16" applyFont="1" applyFill="1" applyBorder="1"/>
  </cellXfs>
  <cellStyles count="10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  <cellStyle name="Normal 5" xfId="20"/>
    <cellStyle name="Normal 2 2 2" xfId="21"/>
    <cellStyle name="Normal 8" xfId="22"/>
    <cellStyle name="Normal 2" xfId="23"/>
  </cellStyles>
  <dxfs count="1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5" Type="http://schemas.openxmlformats.org/officeDocument/2006/relationships/externalLink" Target="externalLinks/externalLink1.xml" /><Relationship Id="rId1" Type="http://schemas.openxmlformats.org/officeDocument/2006/relationships/theme" Target="theme/theme1.xml" /><Relationship Id="rId2" Type="http://schemas.openxmlformats.org/officeDocument/2006/relationships/worksheet" Target="worksheets/sheet1.xml" /><Relationship Id="rId4" Type="http://schemas.openxmlformats.org/officeDocument/2006/relationships/sharedStrings" Target="sharedStrings.xml" /><Relationship Id="rId6" Type="http://schemas.openxmlformats.org/officeDocument/2006/relationships/calcChain" Target="calcChain.xml" /><Relationship Id="rId3" Type="http://schemas.openxmlformats.org/officeDocument/2006/relationships/styles" Target="styles.xml" /></Relationships>
</file>

<file path=xl/externalLinks/_rels/externalLink1.xml.rels><?xml version="1.0" encoding="UTF-8" standalone="yes"?><Relationships xmlns="http://schemas.openxmlformats.org/package/2006/relationships"><Relationship Id="rId1" Type="http://schemas.openxmlformats.org/officeDocument/2006/relationships/externalLinkPath" Target="/Section%20II%20(Test%20Year%20Data)/Schedule%20E%20(Other%20Items)/Schedule%20II-E.xlsm" TargetMode="External" 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Link Sheet"/>
      <sheetName val="II-E-1"/>
      <sheetName val="II-E-2"/>
      <sheetName val="II-E-2.1"/>
      <sheetName val="II-E-3 Attachment"/>
      <sheetName val="II-E-3"/>
      <sheetName val="II-E-3.1"/>
      <sheetName val="II-E-3.2a"/>
      <sheetName val="II-E-3.2b"/>
      <sheetName val="II-E-3.3"/>
      <sheetName val="II-E-3.4"/>
      <sheetName val="II-E-3.5"/>
      <sheetName val="II-E-3.5a"/>
      <sheetName val="II-E-3.6"/>
      <sheetName val="II-E-3.7"/>
      <sheetName val="II-E-3.8"/>
      <sheetName val="II-E-3.9"/>
      <sheetName val="II-E-3.10"/>
      <sheetName val="II-E-3.11"/>
      <sheetName val="II-E-3.12"/>
      <sheetName val="II-E-3.13"/>
      <sheetName val="II-E-3.14"/>
      <sheetName val="II-E-3.15"/>
      <sheetName val="II-E-3.16"/>
      <sheetName val="II-E-3.17"/>
      <sheetName val="II-E-3.18"/>
      <sheetName val="II-E-3.19"/>
      <sheetName val="II-E-3.20"/>
      <sheetName val="II-E-3.21"/>
      <sheetName val="II-E-3.22"/>
      <sheetName val="II-E-3.23"/>
      <sheetName val="II-E-3.24"/>
      <sheetName val="II-E-4"/>
      <sheetName val="II-E-4.1"/>
      <sheetName val="II-E-4.1.1"/>
      <sheetName val="II-E-4.2"/>
      <sheetName val="II-E-4.3"/>
      <sheetName val="II-E-4.4"/>
      <sheetName val="II-E-4.5"/>
      <sheetName val="II-E-4.6"/>
      <sheetName val="II-E-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>
        <row r="31">
          <cell r="O31">
            <v>5</v>
          </cell>
        </row>
      </sheetData>
      <sheetData sheetId="35"/>
      <sheetData sheetId="36"/>
      <sheetData sheetId="37"/>
      <sheetData sheetId="38"/>
      <sheetData sheetId="39"/>
      <sheetData sheetId="4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>
    <pageSetUpPr fitToPage="1"/>
  </sheetPr>
  <dimension ref="A1:V23"/>
  <sheetViews>
    <sheetView tabSelected="1" workbookViewId="0" topLeftCell="A1">
      <selection pane="topLeft" activeCell="P13" sqref="P13"/>
    </sheetView>
  </sheetViews>
  <sheetFormatPr defaultRowHeight="15"/>
  <cols>
    <col min="5" max="5" width="8.71428571428571" customWidth="1"/>
    <col min="9" max="9" width="15.2857142857143" style="1" bestFit="1" customWidth="1"/>
    <col min="14" max="15" width="25" bestFit="1" customWidth="1"/>
    <col min="16" max="16" width="30.8571428571429" bestFit="1" customWidth="1"/>
    <col min="20" max="20" width="32.7142857142857" bestFit="1" customWidth="1"/>
    <col min="21" max="21" width="10" bestFit="1" customWidth="1"/>
  </cols>
  <sheetData>
    <row r="1" spans="1:1" ht="15">
      <c r="A1" t="s">
        <v>0</v>
      </c>
    </row>
    <row r="2" spans="1:1" ht="15">
      <c r="A2" t="s">
        <v>1</v>
      </c>
    </row>
    <row r="4" spans="1:22" s="9" customFormat="1" ht="15.75">
      <c r="A4" s="4" t="s">
        <v>2</v>
      </c>
      <c r="B4" s="4" t="s">
        <v>3</v>
      </c>
      <c r="C4" s="4" t="s">
        <v>4</v>
      </c>
      <c r="D4" s="4" t="s">
        <v>5</v>
      </c>
      <c r="E4" s="5" t="s">
        <v>6</v>
      </c>
      <c r="F4" s="4" t="s">
        <v>7</v>
      </c>
      <c r="G4" s="4" t="s">
        <v>8</v>
      </c>
      <c r="H4" s="4" t="s">
        <v>9</v>
      </c>
      <c r="I4" s="6" t="s">
        <v>10</v>
      </c>
      <c r="J4" s="4" t="s">
        <v>11</v>
      </c>
      <c r="K4" s="7" t="s">
        <v>12</v>
      </c>
      <c r="L4" s="7" t="s">
        <v>13</v>
      </c>
      <c r="M4" s="7" t="s">
        <v>14</v>
      </c>
      <c r="N4" s="5" t="s">
        <v>15</v>
      </c>
      <c r="O4" s="5" t="s">
        <v>16</v>
      </c>
      <c r="P4" s="4" t="s">
        <v>17</v>
      </c>
      <c r="Q4" s="8" t="s">
        <v>18</v>
      </c>
      <c r="R4" s="8" t="s">
        <v>19</v>
      </c>
      <c r="S4" s="8" t="s">
        <v>20</v>
      </c>
      <c r="T4" s="8" t="s">
        <v>21</v>
      </c>
      <c r="U4" s="8" t="s">
        <v>22</v>
      </c>
      <c r="V4" s="8" t="s">
        <v>23</v>
      </c>
    </row>
    <row r="5" spans="1:22" s="9" customFormat="1" ht="15">
      <c r="A5" s="10" t="s">
        <v>24</v>
      </c>
      <c r="B5" s="10" t="s">
        <v>25</v>
      </c>
      <c r="C5" s="10" t="s">
        <v>26</v>
      </c>
      <c r="D5" s="11" t="s">
        <v>27</v>
      </c>
      <c r="E5" s="10" t="s">
        <v>28</v>
      </c>
      <c r="F5" s="10" t="s">
        <v>29</v>
      </c>
      <c r="G5" s="10" t="s">
        <v>30</v>
      </c>
      <c r="H5" s="10" t="s">
        <v>31</v>
      </c>
      <c r="I5" s="12">
        <v>4239.0699999999997</v>
      </c>
      <c r="J5" s="10" t="s">
        <v>32</v>
      </c>
      <c r="K5" s="10"/>
      <c r="L5" s="10" t="s">
        <v>33</v>
      </c>
      <c r="M5" s="10" t="s">
        <v>34</v>
      </c>
      <c r="O5" s="10" t="s">
        <v>35</v>
      </c>
      <c r="Q5" s="10">
        <v>2020</v>
      </c>
      <c r="R5" s="10">
        <v>8</v>
      </c>
      <c r="S5" s="10" t="s">
        <v>36</v>
      </c>
      <c r="T5" s="10" t="s">
        <v>37</v>
      </c>
      <c r="U5" s="10" t="s">
        <v>38</v>
      </c>
      <c r="V5" s="10" t="s">
        <v>39</v>
      </c>
    </row>
    <row r="6" spans="1:22" s="9" customFormat="1" ht="15">
      <c r="A6" s="10" t="s">
        <v>24</v>
      </c>
      <c r="B6" s="10" t="s">
        <v>25</v>
      </c>
      <c r="C6" s="10" t="s">
        <v>26</v>
      </c>
      <c r="D6" s="10" t="s">
        <v>40</v>
      </c>
      <c r="E6" s="10" t="s">
        <v>28</v>
      </c>
      <c r="F6" s="10" t="s">
        <v>29</v>
      </c>
      <c r="G6" s="10" t="s">
        <v>30</v>
      </c>
      <c r="H6" s="10" t="s">
        <v>31</v>
      </c>
      <c r="I6" s="12">
        <v>2619.6500000000001</v>
      </c>
      <c r="J6" s="10" t="s">
        <v>32</v>
      </c>
      <c r="K6" s="10"/>
      <c r="L6" s="10" t="s">
        <v>33</v>
      </c>
      <c r="M6" s="10" t="s">
        <v>34</v>
      </c>
      <c r="O6" s="10" t="s">
        <v>41</v>
      </c>
      <c r="Q6" s="10">
        <v>2020</v>
      </c>
      <c r="R6" s="10">
        <v>8</v>
      </c>
      <c r="S6" s="10" t="s">
        <v>42</v>
      </c>
      <c r="T6" s="10" t="s">
        <v>43</v>
      </c>
      <c r="U6" s="10" t="s">
        <v>44</v>
      </c>
      <c r="V6" s="10" t="s">
        <v>45</v>
      </c>
    </row>
    <row r="7" spans="1:22" s="9" customFormat="1" ht="15">
      <c r="A7" s="10" t="s">
        <v>24</v>
      </c>
      <c r="B7" s="10" t="s">
        <v>25</v>
      </c>
      <c r="C7" s="10" t="s">
        <v>26</v>
      </c>
      <c r="D7" s="10" t="s">
        <v>40</v>
      </c>
      <c r="E7" s="10" t="s">
        <v>28</v>
      </c>
      <c r="F7" s="10" t="s">
        <v>29</v>
      </c>
      <c r="G7" s="10" t="s">
        <v>30</v>
      </c>
      <c r="H7" s="10" t="s">
        <v>31</v>
      </c>
      <c r="I7" s="12">
        <v>6556.6999999999998</v>
      </c>
      <c r="J7" s="10" t="s">
        <v>32</v>
      </c>
      <c r="K7" s="10"/>
      <c r="L7" s="10" t="s">
        <v>33</v>
      </c>
      <c r="M7" s="10" t="s">
        <v>34</v>
      </c>
      <c r="O7" s="10" t="s">
        <v>46</v>
      </c>
      <c r="Q7" s="10">
        <v>2020</v>
      </c>
      <c r="R7" s="10">
        <v>9</v>
      </c>
      <c r="S7" s="10" t="s">
        <v>47</v>
      </c>
      <c r="T7" s="10" t="s">
        <v>43</v>
      </c>
      <c r="U7" s="10" t="s">
        <v>44</v>
      </c>
      <c r="V7" s="10" t="s">
        <v>48</v>
      </c>
    </row>
    <row r="8" spans="1:22" s="9" customFormat="1" ht="15">
      <c r="A8" s="10" t="s">
        <v>24</v>
      </c>
      <c r="B8" s="10" t="s">
        <v>49</v>
      </c>
      <c r="C8" s="10" t="s">
        <v>26</v>
      </c>
      <c r="D8" s="10" t="s">
        <v>50</v>
      </c>
      <c r="E8" s="10" t="s">
        <v>28</v>
      </c>
      <c r="F8" s="10" t="s">
        <v>29</v>
      </c>
      <c r="G8" s="10" t="s">
        <v>30</v>
      </c>
      <c r="H8" s="10" t="s">
        <v>51</v>
      </c>
      <c r="I8" s="12">
        <v>15588</v>
      </c>
      <c r="J8" s="10" t="s">
        <v>32</v>
      </c>
      <c r="K8" s="10"/>
      <c r="L8" s="10" t="s">
        <v>33</v>
      </c>
      <c r="M8" s="10" t="s">
        <v>34</v>
      </c>
      <c r="O8" s="10" t="s">
        <v>52</v>
      </c>
      <c r="Q8" s="10">
        <v>2020</v>
      </c>
      <c r="R8" s="10">
        <v>9</v>
      </c>
      <c r="S8" s="10" t="s">
        <v>53</v>
      </c>
      <c r="T8" s="10" t="s">
        <v>54</v>
      </c>
      <c r="U8" s="10" t="s">
        <v>55</v>
      </c>
      <c r="V8" s="10" t="s">
        <v>56</v>
      </c>
    </row>
    <row r="9" spans="1:22" s="9" customFormat="1" ht="15">
      <c r="A9" s="10" t="s">
        <v>24</v>
      </c>
      <c r="B9" s="10" t="s">
        <v>49</v>
      </c>
      <c r="C9" s="10" t="s">
        <v>26</v>
      </c>
      <c r="D9" s="10" t="s">
        <v>57</v>
      </c>
      <c r="E9" s="10" t="s">
        <v>58</v>
      </c>
      <c r="F9" s="10" t="s">
        <v>29</v>
      </c>
      <c r="G9" s="10" t="s">
        <v>30</v>
      </c>
      <c r="H9" s="10" t="s">
        <v>51</v>
      </c>
      <c r="I9" s="13">
        <v>4763</v>
      </c>
      <c r="J9" s="10" t="s">
        <v>32</v>
      </c>
      <c r="K9" s="10"/>
      <c r="L9" s="10" t="s">
        <v>33</v>
      </c>
      <c r="M9" s="10" t="s">
        <v>34</v>
      </c>
      <c r="O9" s="10" t="s">
        <v>59</v>
      </c>
      <c r="Q9" s="10">
        <v>2020</v>
      </c>
      <c r="R9" s="10">
        <v>9</v>
      </c>
      <c r="S9" s="10" t="s">
        <v>60</v>
      </c>
      <c r="T9" s="10" t="s">
        <v>61</v>
      </c>
      <c r="U9" s="10" t="s">
        <v>62</v>
      </c>
      <c r="V9" s="10" t="s">
        <v>63</v>
      </c>
    </row>
    <row r="10" spans="9:10" s="9" customFormat="1" ht="15">
      <c r="I10" s="14">
        <f>SUM(I5:I9)</f>
        <v>33766.419999999998</v>
      </c>
      <c r="J10" s="15" t="s">
        <v>64</v>
      </c>
    </row>
    <row r="11" spans="9:9" s="9" customFormat="1" ht="15">
      <c r="I11" s="14"/>
    </row>
    <row r="12" spans="1:22" s="9" customFormat="1" ht="15.75">
      <c r="A12" s="4" t="s">
        <v>2</v>
      </c>
      <c r="B12" s="4" t="s">
        <v>3</v>
      </c>
      <c r="C12" s="4" t="s">
        <v>4</v>
      </c>
      <c r="D12" s="4" t="s">
        <v>5</v>
      </c>
      <c r="E12" s="5" t="s">
        <v>6</v>
      </c>
      <c r="F12" s="4" t="s">
        <v>7</v>
      </c>
      <c r="G12" s="4" t="s">
        <v>8</v>
      </c>
      <c r="H12" s="4" t="s">
        <v>9</v>
      </c>
      <c r="I12" s="6" t="s">
        <v>10</v>
      </c>
      <c r="J12" s="4" t="s">
        <v>11</v>
      </c>
      <c r="K12" s="7" t="s">
        <v>12</v>
      </c>
      <c r="L12" s="7" t="s">
        <v>13</v>
      </c>
      <c r="M12" s="7" t="s">
        <v>14</v>
      </c>
      <c r="N12" s="5" t="s">
        <v>15</v>
      </c>
      <c r="O12" s="5" t="s">
        <v>16</v>
      </c>
      <c r="P12" s="4" t="s">
        <v>17</v>
      </c>
      <c r="Q12" s="8" t="s">
        <v>18</v>
      </c>
      <c r="R12" s="8" t="s">
        <v>19</v>
      </c>
      <c r="S12" s="8" t="s">
        <v>20</v>
      </c>
      <c r="T12" s="8" t="s">
        <v>21</v>
      </c>
      <c r="U12" s="8" t="s">
        <v>22</v>
      </c>
      <c r="V12" s="8" t="s">
        <v>23</v>
      </c>
    </row>
    <row r="13" spans="1:22" s="9" customFormat="1" ht="15">
      <c r="A13" s="10" t="s">
        <v>24</v>
      </c>
      <c r="B13" s="10" t="s">
        <v>65</v>
      </c>
      <c r="C13" s="10" t="s">
        <v>66</v>
      </c>
      <c r="D13" s="11" t="s">
        <v>67</v>
      </c>
      <c r="E13" s="10" t="s">
        <v>68</v>
      </c>
      <c r="F13" s="10" t="s">
        <v>29</v>
      </c>
      <c r="G13" s="10" t="s">
        <v>30</v>
      </c>
      <c r="H13" s="10" t="s">
        <v>51</v>
      </c>
      <c r="I13" s="12">
        <v>2585.0100000000002</v>
      </c>
      <c r="J13" s="10" t="s">
        <v>32</v>
      </c>
      <c r="K13" s="10"/>
      <c r="L13" s="10"/>
      <c r="M13" s="10" t="s">
        <v>34</v>
      </c>
      <c r="O13" s="10" t="s">
        <v>35</v>
      </c>
      <c r="P13" s="10" t="s">
        <v>69</v>
      </c>
      <c r="Q13" s="10">
        <v>2021</v>
      </c>
      <c r="R13" s="10">
        <v>3</v>
      </c>
      <c r="S13" s="10" t="s">
        <v>70</v>
      </c>
      <c r="T13" s="10" t="s">
        <v>37</v>
      </c>
      <c r="U13" s="10" t="s">
        <v>38</v>
      </c>
      <c r="V13" s="10" t="s">
        <v>71</v>
      </c>
    </row>
    <row r="14" spans="9:9" s="9" customFormat="1" ht="15">
      <c r="I14" s="14"/>
    </row>
    <row r="15" spans="8:15" s="9" customFormat="1" ht="15">
      <c r="H15" s="16" t="s">
        <v>72</v>
      </c>
      <c r="I15" s="14">
        <f>I13+I10</f>
        <v>36351.43</v>
      </c>
      <c r="J15" s="9" t="s">
        <v>73</v>
      </c>
      <c r="O15" s="9" t="s">
        <v>74</v>
      </c>
    </row>
    <row r="16" spans="8:10" s="9" customFormat="1" ht="15">
      <c r="H16" s="16" t="s">
        <v>72</v>
      </c>
      <c r="I16" s="17">
        <v>4824.9400000000005</v>
      </c>
      <c r="J16" s="9" t="s">
        <v>75</v>
      </c>
    </row>
    <row r="17" spans="9:10" s="9" customFormat="1" ht="15">
      <c r="I17" s="14">
        <f>-I15-I16</f>
        <v>-41176.370000000003</v>
      </c>
      <c r="J17" s="9" t="s">
        <v>76</v>
      </c>
    </row>
    <row r="18" spans="9:9" s="9" customFormat="1" ht="15">
      <c r="I18" s="14"/>
    </row>
    <row r="19" spans="9:10" ht="15">
      <c r="I19" s="1">
        <v>34659802.689999998</v>
      </c>
      <c r="J19" t="s">
        <v>77</v>
      </c>
    </row>
    <row r="20" spans="9:10" ht="15">
      <c r="I20" s="2">
        <f>I17</f>
        <v>-41176.370000000003</v>
      </c>
      <c r="J20" t="s">
        <v>78</v>
      </c>
    </row>
    <row r="21" spans="9:16" ht="15">
      <c r="I21" s="1">
        <f>SUM(I19:I20)</f>
        <v>34618626.32</v>
      </c>
      <c r="J21" t="s">
        <v>79</v>
      </c>
      <c r="P21" t="s">
        <v>80</v>
      </c>
    </row>
    <row r="22" spans="9:10" ht="15">
      <c r="I22" s="3">
        <f>+'[1]II-E-4.1.1'!$O$31</f>
        <v>5</v>
      </c>
      <c r="J22" t="s">
        <v>82</v>
      </c>
    </row>
    <row r="23" spans="9:10" ht="15">
      <c r="I23" s="1">
        <f>ROUND(I21/I22,2)</f>
        <v>6923725.2599999998</v>
      </c>
      <c r="J23" t="s">
        <v>81</v>
      </c>
    </row>
  </sheetData>
  <conditionalFormatting sqref="P4">
    <cfRule type="containsText" priority="61" dxfId="0" operator="containsText" text="trailor">
      <formula>NOT(ISERROR(SEARCH("trailor",P4)))</formula>
    </cfRule>
    <cfRule type="containsText" priority="62" dxfId="0" operator="containsText" text="trailer">
      <formula>NOT(ISERROR(SEARCH("trailer",P4)))</formula>
    </cfRule>
    <cfRule type="containsText" priority="63" dxfId="0" operator="containsText" text="trk">
      <formula>NOT(ISERROR(SEARCH("trk",P4)))</formula>
    </cfRule>
    <cfRule type="containsText" priority="64" dxfId="0" operator="containsText" text="hitch">
      <formula>NOT(ISERROR(SEARCH("hitch",P4)))</formula>
    </cfRule>
    <cfRule type="containsText" priority="65" dxfId="0" operator="containsText" text="pens">
      <formula>NOT(ISERROR(SEARCH("pens",P4)))</formula>
    </cfRule>
    <cfRule type="containsText" priority="66" dxfId="0" operator="containsText" text="stuck">
      <formula>NOT(ISERROR(SEARCH("stuck",P4)))</formula>
    </cfRule>
    <cfRule type="containsText" priority="67" dxfId="0" operator="containsText" text="TRAIN">
      <formula>NOT(ISERROR(SEARCH("TRAIN",P4)))</formula>
    </cfRule>
    <cfRule type="containsText" priority="68" dxfId="0" operator="containsText" text="TIRE">
      <formula>NOT(ISERROR(SEARCH("TIRE",P4)))</formula>
    </cfRule>
    <cfRule type="containsText" priority="69" dxfId="0" operator="containsText" text="FUSE">
      <formula>NOT(ISERROR(SEARCH("FUSE",P4)))</formula>
    </cfRule>
    <cfRule type="containsText" priority="70" dxfId="0" operator="containsText" text="SUPPLIES">
      <formula>NOT(ISERROR(SEARCH("SUPPLIES",P4)))</formula>
    </cfRule>
    <cfRule type="containsText" priority="71" dxfId="0" operator="containsText" text="LAUNDRY">
      <formula>NOT(ISERROR(SEARCH("LAUNDRY",P4)))</formula>
    </cfRule>
    <cfRule type="containsText" priority="72" dxfId="0" operator="containsText" text="HAT">
      <formula>NOT(ISERROR(SEARCH("HAT",P4)))</formula>
    </cfRule>
    <cfRule type="containsText" priority="73" dxfId="0" operator="containsText" text="gas">
      <formula>NOT(ISERROR(SEARCH("gas",P4)))</formula>
    </cfRule>
    <cfRule type="containsText" priority="74" dxfId="0" operator="containsText" text="chair">
      <formula>NOT(ISERROR(SEARCH("chair",P4)))</formula>
    </cfRule>
    <cfRule type="containsText" priority="75" dxfId="0" operator="containsText" text="VH0">
      <formula>NOT(ISERROR(SEARCH("VH0",P4)))</formula>
    </cfRule>
    <cfRule type="containsText" priority="76" dxfId="0" operator="containsText" text="veh">
      <formula>NOT(ISERROR(SEARCH("veh",P4)))</formula>
    </cfRule>
    <cfRule type="containsText" priority="77" dxfId="0" operator="containsText" text="truck">
      <formula>NOT(ISERROR(SEARCH("truck",P4)))</formula>
    </cfRule>
    <cfRule type="containsText" priority="78" dxfId="0" operator="containsText" text="apprec">
      <formula>NOT(ISERROR(SEARCH("apprec",P4)))</formula>
    </cfRule>
    <cfRule type="containsText" priority="79" dxfId="0" operator="containsText" text="cell">
      <formula>NOT(ISERROR(SEARCH("cell",P4)))</formula>
    </cfRule>
    <cfRule type="containsText" priority="80" dxfId="0" operator="containsText" text="clothes">
      <formula>NOT(ISERROR(SEARCH("clothes",P4)))</formula>
    </cfRule>
    <cfRule type="containsText" priority="81" dxfId="0" operator="containsText" text="computer">
      <formula>NOT(ISERROR(SEARCH("computer",P4)))</formula>
    </cfRule>
    <cfRule type="containsText" priority="82" dxfId="0" operator="containsText" text="inverter">
      <formula>NOT(ISERROR(SEARCH("inverter",P4)))</formula>
    </cfRule>
    <cfRule type="containsText" priority="83" dxfId="0" operator="containsText" text="stand">
      <formula>NOT(ISERROR(SEARCH("stand",P4)))</formula>
    </cfRule>
    <cfRule type="containsText" priority="84" dxfId="0" operator="containsText" text="monitor">
      <formula>NOT(ISERROR(SEARCH("monitor",P4)))</formula>
    </cfRule>
    <cfRule type="containsText" priority="85" dxfId="0" operator="containsText" text="tables">
      <formula>NOT(ISERROR(SEARCH("tables",P4)))</formula>
    </cfRule>
    <cfRule type="containsText" priority="86" dxfId="0" operator="containsText" text="mouse">
      <formula>NOT(ISERROR(SEARCH("mouse",P4)))</formula>
    </cfRule>
    <cfRule type="containsText" priority="87" dxfId="0" operator="containsText" text="vaccuum">
      <formula>NOT(ISERROR(SEARCH("vaccuum",P4)))</formula>
    </cfRule>
    <cfRule type="containsText" priority="88" dxfId="0" operator="containsText" text="vaccum">
      <formula>NOT(ISERROR(SEARCH("vaccum",P4)))</formula>
    </cfRule>
    <cfRule type="containsText" priority="89" dxfId="0" operator="containsText" text="cord">
      <formula>NOT(ISERROR(SEARCH("cord",P4)))</formula>
    </cfRule>
    <cfRule type="containsText" priority="90" dxfId="0" operator="containsText" text="extension">
      <formula>NOT(ISERROR(SEARCH("extension",P4)))</formula>
    </cfRule>
    <cfRule type="containsText" priority="91" dxfId="0" operator="containsText" text="speakers">
      <formula>NOT(ISERROR(SEARCH("speakers",P4)))</formula>
    </cfRule>
    <cfRule type="containsText" priority="92" dxfId="0" operator="containsText" text="phone">
      <formula>NOT(ISERROR(SEARCH("phone",P4)))</formula>
    </cfRule>
    <cfRule type="containsText" priority="93" dxfId="0" operator="containsText" text="pots">
      <formula>NOT(ISERROR(SEARCH("pots",P4)))</formula>
    </cfRule>
    <cfRule type="containsText" priority="94" dxfId="0" operator="containsText" text="bluetooth">
      <formula>NOT(ISERROR(SEARCH("bluetooth",P4)))</formula>
    </cfRule>
    <cfRule type="containsText" priority="95" dxfId="0" operator="containsText" text="RainX">
      <formula>NOT(ISERROR(SEARCH("RainX",P4)))</formula>
    </cfRule>
    <cfRule type="containsText" priority="96" dxfId="0" operator="containsText" text="stick">
      <formula>NOT(ISERROR(SEARCH("stick",P4)))</formula>
    </cfRule>
    <cfRule type="containsText" priority="97" dxfId="0" operator="containsText" text="boot">
      <formula>NOT(ISERROR(SEARCH("boot",P4)))</formula>
    </cfRule>
    <cfRule type="containsText" priority="98" dxfId="0" operator="containsText" text="flashlight">
      <formula>NOT(ISERROR(SEARCH("flashlight",P4)))</formula>
    </cfRule>
    <cfRule type="containsText" priority="99" dxfId="0" operator="containsText" text="light">
      <formula>NOT(ISERROR(SEARCH("light",P4)))</formula>
    </cfRule>
    <cfRule type="containsText" priority="100" dxfId="0" operator="containsText" text="wanders">
      <formula>NOT(ISERROR(SEARCH("wanders",P4)))</formula>
    </cfRule>
    <cfRule type="containsText" priority="101" dxfId="0" operator="containsText" text="batt">
      <formula>NOT(ISERROR(SEARCH("batt",P4)))</formula>
    </cfRule>
    <cfRule type="containsText" priority="102" dxfId="0" operator="containsText" text="box">
      <formula>NOT(ISERROR(SEARCH("box",P4)))</formula>
    </cfRule>
    <cfRule type="containsText" priority="103" dxfId="0" operator="containsText" text="saw">
      <formula>NOT(ISERROR(SEARCH("saw",P4)))</formula>
    </cfRule>
    <cfRule type="containsText" priority="104" dxfId="0" operator="containsText" text="lock">
      <formula>NOT(ISERROR(SEARCH("lock",P4)))</formula>
    </cfRule>
    <cfRule type="containsText" priority="105" dxfId="0" operator="containsText" text="blade">
      <formula>NOT(ISERROR(SEARCH("blade",P4)))</formula>
    </cfRule>
    <cfRule type="containsText" priority="106" dxfId="0" operator="containsText" text="battery">
      <formula>NOT(ISERROR(SEARCH("battery",P4)))</formula>
    </cfRule>
    <cfRule type="containsText" priority="107" dxfId="0" operator="containsText" text="flash">
      <formula>NOT(ISERROR(SEARCH("flash",P4)))</formula>
    </cfRule>
    <cfRule type="containsText" priority="108" dxfId="0" operator="containsText" text="diesel">
      <formula>NOT(ISERROR(SEARCH("diesel",P4)))</formula>
    </cfRule>
    <cfRule type="containsText" priority="109" dxfId="0" operator="containsText" text="bug">
      <formula>NOT(ISERROR(SEARCH("bug",P4)))</formula>
    </cfRule>
    <cfRule type="containsText" priority="110" dxfId="0" operator="containsText" text="prepar">
      <formula>NOT(ISERROR(SEARCH("prepar",P4)))</formula>
    </cfRule>
    <cfRule type="containsText" priority="111" dxfId="0" operator="containsText" text="post">
      <formula>NOT(ISERROR(SEARCH("post",P4)))</formula>
    </cfRule>
    <cfRule type="containsText" priority="112" dxfId="0" operator="containsText" text="storeroom">
      <formula>NOT(ISERROR(SEARCH("storeroom",P4)))</formula>
    </cfRule>
    <cfRule type="containsText" priority="113" dxfId="0" operator="containsText" text="staffing">
      <formula>NOT(ISERROR(SEARCH("staffing",P4)))</formula>
    </cfRule>
    <cfRule type="containsText" priority="114" dxfId="0" operator="containsText" text="toiletries">
      <formula>NOT(ISERROR(SEARCH("toiletries",P4)))</formula>
    </cfRule>
    <cfRule type="containsText" priority="115" dxfId="0" operator="containsText" text="training">
      <formula>NOT(ISERROR(SEARCH("training",P4)))</formula>
    </cfRule>
    <cfRule type="containsText" priority="116" dxfId="0" operator="containsText" text="setting">
      <formula>NOT(ISERROR(SEARCH("setting",P4)))</formula>
    </cfRule>
  </conditionalFormatting>
  <conditionalFormatting sqref="T4">
    <cfRule type="containsText" priority="59" dxfId="0" operator="containsText" text="wash">
      <formula>NOT(ISERROR(SEARCH("wash",T4)))</formula>
    </cfRule>
    <cfRule type="containsText" priority="60" dxfId="0" operator="containsText" text="pest">
      <formula>NOT(ISERROR(SEARCH("pest",T4)))</formula>
    </cfRule>
  </conditionalFormatting>
  <conditionalFormatting sqref="P12">
    <cfRule type="containsText" priority="3" dxfId="0" operator="containsText" text="trailor">
      <formula>NOT(ISERROR(SEARCH("trailor",P12)))</formula>
    </cfRule>
    <cfRule type="containsText" priority="4" dxfId="0" operator="containsText" text="trailer">
      <formula>NOT(ISERROR(SEARCH("trailer",P12)))</formula>
    </cfRule>
    <cfRule type="containsText" priority="5" dxfId="0" operator="containsText" text="trk">
      <formula>NOT(ISERROR(SEARCH("trk",P12)))</formula>
    </cfRule>
    <cfRule type="containsText" priority="6" dxfId="0" operator="containsText" text="hitch">
      <formula>NOT(ISERROR(SEARCH("hitch",P12)))</formula>
    </cfRule>
    <cfRule type="containsText" priority="7" dxfId="0" operator="containsText" text="pens">
      <formula>NOT(ISERROR(SEARCH("pens",P12)))</formula>
    </cfRule>
    <cfRule type="containsText" priority="8" dxfId="0" operator="containsText" text="stuck">
      <formula>NOT(ISERROR(SEARCH("stuck",P12)))</formula>
    </cfRule>
    <cfRule type="containsText" priority="9" dxfId="0" operator="containsText" text="TRAIN">
      <formula>NOT(ISERROR(SEARCH("TRAIN",P12)))</formula>
    </cfRule>
    <cfRule type="containsText" priority="10" dxfId="0" operator="containsText" text="TIRE">
      <formula>NOT(ISERROR(SEARCH("TIRE",P12)))</formula>
    </cfRule>
    <cfRule type="containsText" priority="11" dxfId="0" operator="containsText" text="FUSE">
      <formula>NOT(ISERROR(SEARCH("FUSE",P12)))</formula>
    </cfRule>
    <cfRule type="containsText" priority="12" dxfId="0" operator="containsText" text="SUPPLIES">
      <formula>NOT(ISERROR(SEARCH("SUPPLIES",P12)))</formula>
    </cfRule>
    <cfRule type="containsText" priority="13" dxfId="0" operator="containsText" text="LAUNDRY">
      <formula>NOT(ISERROR(SEARCH("LAUNDRY",P12)))</formula>
    </cfRule>
    <cfRule type="containsText" priority="14" dxfId="0" operator="containsText" text="HAT">
      <formula>NOT(ISERROR(SEARCH("HAT",P12)))</formula>
    </cfRule>
    <cfRule type="containsText" priority="15" dxfId="0" operator="containsText" text="gas">
      <formula>NOT(ISERROR(SEARCH("gas",P12)))</formula>
    </cfRule>
    <cfRule type="containsText" priority="16" dxfId="0" operator="containsText" text="chair">
      <formula>NOT(ISERROR(SEARCH("chair",P12)))</formula>
    </cfRule>
    <cfRule type="containsText" priority="17" dxfId="0" operator="containsText" text="VH0">
      <formula>NOT(ISERROR(SEARCH("VH0",P12)))</formula>
    </cfRule>
    <cfRule type="containsText" priority="18" dxfId="0" operator="containsText" text="veh">
      <formula>NOT(ISERROR(SEARCH("veh",P12)))</formula>
    </cfRule>
    <cfRule type="containsText" priority="19" dxfId="0" operator="containsText" text="truck">
      <formula>NOT(ISERROR(SEARCH("truck",P12)))</formula>
    </cfRule>
    <cfRule type="containsText" priority="20" dxfId="0" operator="containsText" text="apprec">
      <formula>NOT(ISERROR(SEARCH("apprec",P12)))</formula>
    </cfRule>
    <cfRule type="containsText" priority="21" dxfId="0" operator="containsText" text="cell">
      <formula>NOT(ISERROR(SEARCH("cell",P12)))</formula>
    </cfRule>
    <cfRule type="containsText" priority="22" dxfId="0" operator="containsText" text="clothes">
      <formula>NOT(ISERROR(SEARCH("clothes",P12)))</formula>
    </cfRule>
    <cfRule type="containsText" priority="23" dxfId="0" operator="containsText" text="computer">
      <formula>NOT(ISERROR(SEARCH("computer",P12)))</formula>
    </cfRule>
    <cfRule type="containsText" priority="24" dxfId="0" operator="containsText" text="inverter">
      <formula>NOT(ISERROR(SEARCH("inverter",P12)))</formula>
    </cfRule>
    <cfRule type="containsText" priority="25" dxfId="0" operator="containsText" text="stand">
      <formula>NOT(ISERROR(SEARCH("stand",P12)))</formula>
    </cfRule>
    <cfRule type="containsText" priority="26" dxfId="0" operator="containsText" text="monitor">
      <formula>NOT(ISERROR(SEARCH("monitor",P12)))</formula>
    </cfRule>
    <cfRule type="containsText" priority="27" dxfId="0" operator="containsText" text="tables">
      <formula>NOT(ISERROR(SEARCH("tables",P12)))</formula>
    </cfRule>
    <cfRule type="containsText" priority="28" dxfId="0" operator="containsText" text="mouse">
      <formula>NOT(ISERROR(SEARCH("mouse",P12)))</formula>
    </cfRule>
    <cfRule type="containsText" priority="29" dxfId="0" operator="containsText" text="vaccuum">
      <formula>NOT(ISERROR(SEARCH("vaccuum",P12)))</formula>
    </cfRule>
    <cfRule type="containsText" priority="30" dxfId="0" operator="containsText" text="vaccum">
      <formula>NOT(ISERROR(SEARCH("vaccum",P12)))</formula>
    </cfRule>
    <cfRule type="containsText" priority="31" dxfId="0" operator="containsText" text="cord">
      <formula>NOT(ISERROR(SEARCH("cord",P12)))</formula>
    </cfRule>
    <cfRule type="containsText" priority="32" dxfId="0" operator="containsText" text="extension">
      <formula>NOT(ISERROR(SEARCH("extension",P12)))</formula>
    </cfRule>
    <cfRule type="containsText" priority="33" dxfId="0" operator="containsText" text="speakers">
      <formula>NOT(ISERROR(SEARCH("speakers",P12)))</formula>
    </cfRule>
    <cfRule type="containsText" priority="34" dxfId="0" operator="containsText" text="phone">
      <formula>NOT(ISERROR(SEARCH("phone",P12)))</formula>
    </cfRule>
    <cfRule type="containsText" priority="35" dxfId="0" operator="containsText" text="pots">
      <formula>NOT(ISERROR(SEARCH("pots",P12)))</formula>
    </cfRule>
    <cfRule type="containsText" priority="36" dxfId="0" operator="containsText" text="bluetooth">
      <formula>NOT(ISERROR(SEARCH("bluetooth",P12)))</formula>
    </cfRule>
    <cfRule type="containsText" priority="37" dxfId="0" operator="containsText" text="RainX">
      <formula>NOT(ISERROR(SEARCH("RainX",P12)))</formula>
    </cfRule>
    <cfRule type="containsText" priority="38" dxfId="0" operator="containsText" text="stick">
      <formula>NOT(ISERROR(SEARCH("stick",P12)))</formula>
    </cfRule>
    <cfRule type="containsText" priority="39" dxfId="0" operator="containsText" text="boot">
      <formula>NOT(ISERROR(SEARCH("boot",P12)))</formula>
    </cfRule>
    <cfRule type="containsText" priority="40" dxfId="0" operator="containsText" text="flashlight">
      <formula>NOT(ISERROR(SEARCH("flashlight",P12)))</formula>
    </cfRule>
    <cfRule type="containsText" priority="41" dxfId="0" operator="containsText" text="light">
      <formula>NOT(ISERROR(SEARCH("light",P12)))</formula>
    </cfRule>
    <cfRule type="containsText" priority="42" dxfId="0" operator="containsText" text="wanders">
      <formula>NOT(ISERROR(SEARCH("wanders",P12)))</formula>
    </cfRule>
    <cfRule type="containsText" priority="43" dxfId="0" operator="containsText" text="batt">
      <formula>NOT(ISERROR(SEARCH("batt",P12)))</formula>
    </cfRule>
    <cfRule type="containsText" priority="44" dxfId="0" operator="containsText" text="box">
      <formula>NOT(ISERROR(SEARCH("box",P12)))</formula>
    </cfRule>
    <cfRule type="containsText" priority="45" dxfId="0" operator="containsText" text="saw">
      <formula>NOT(ISERROR(SEARCH("saw",P12)))</formula>
    </cfRule>
    <cfRule type="containsText" priority="46" dxfId="0" operator="containsText" text="lock">
      <formula>NOT(ISERROR(SEARCH("lock",P12)))</formula>
    </cfRule>
    <cfRule type="containsText" priority="47" dxfId="0" operator="containsText" text="blade">
      <formula>NOT(ISERROR(SEARCH("blade",P12)))</formula>
    </cfRule>
    <cfRule type="containsText" priority="48" dxfId="0" operator="containsText" text="battery">
      <formula>NOT(ISERROR(SEARCH("battery",P12)))</formula>
    </cfRule>
    <cfRule type="containsText" priority="49" dxfId="0" operator="containsText" text="flash">
      <formula>NOT(ISERROR(SEARCH("flash",P12)))</formula>
    </cfRule>
    <cfRule type="containsText" priority="50" dxfId="0" operator="containsText" text="diesel">
      <formula>NOT(ISERROR(SEARCH("diesel",P12)))</formula>
    </cfRule>
    <cfRule type="containsText" priority="51" dxfId="0" operator="containsText" text="bug">
      <formula>NOT(ISERROR(SEARCH("bug",P12)))</formula>
    </cfRule>
    <cfRule type="containsText" priority="52" dxfId="0" operator="containsText" text="prepar">
      <formula>NOT(ISERROR(SEARCH("prepar",P12)))</formula>
    </cfRule>
    <cfRule type="containsText" priority="53" dxfId="0" operator="containsText" text="post">
      <formula>NOT(ISERROR(SEARCH("post",P12)))</formula>
    </cfRule>
    <cfRule type="containsText" priority="54" dxfId="0" operator="containsText" text="storeroom">
      <formula>NOT(ISERROR(SEARCH("storeroom",P12)))</formula>
    </cfRule>
    <cfRule type="containsText" priority="55" dxfId="0" operator="containsText" text="staffing">
      <formula>NOT(ISERROR(SEARCH("staffing",P12)))</formula>
    </cfRule>
    <cfRule type="containsText" priority="56" dxfId="0" operator="containsText" text="toiletries">
      <formula>NOT(ISERROR(SEARCH("toiletries",P12)))</formula>
    </cfRule>
    <cfRule type="containsText" priority="57" dxfId="0" operator="containsText" text="training">
      <formula>NOT(ISERROR(SEARCH("training",P12)))</formula>
    </cfRule>
    <cfRule type="containsText" priority="58" dxfId="0" operator="containsText" text="setting">
      <formula>NOT(ISERROR(SEARCH("setting",P12)))</formula>
    </cfRule>
  </conditionalFormatting>
  <conditionalFormatting sqref="T12">
    <cfRule type="containsText" priority="1" dxfId="0" operator="containsText" text="wash">
      <formula>NOT(ISERROR(SEARCH("wash",T12)))</formula>
    </cfRule>
    <cfRule type="containsText" priority="2" dxfId="0" operator="containsText" text="pest">
      <formula>NOT(ISERROR(SEARCH("pest",T12)))</formula>
    </cfRule>
  </conditionalFormatting>
  <pageMargins left="0.5" right="0.5" top="1.5" bottom="0.5" header="1" footer="0.3"/>
  <pageSetup fitToHeight="0" orientation="landscape" scale="43" r:id="rId1"/>
  <headerFooter>
    <oddHeader>&amp;R&amp;"-,Bold"WP/II-D ADJUSTMENT /42
Page 2 of 2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K&amp;M</vt:lpstr>
    </vt:vector>
  </TitlesOfParts>
  <Template/>
  <Manager/>
  <Company/>
  <LinksUpToDate>false</LinksUpToDat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