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emf" ContentType="image/x-emf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pivotTables/pivotTable1.xml" ContentType="application/vnd.openxmlformats-officedocument.spreadsheetml.pivot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.bin" ContentType="application/vnd.ms-office.activeX"/>
  <Override PartName="/xl/drawings/drawing1.xml" ContentType="application/vnd.openxmlformats-officedocument.drawing+xml"/>
  <Default Extension="vml" ContentType="application/vnd.openxmlformats-officedocument.vmlDrawing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05" yWindow="3465" windowWidth="12165" windowHeight="9105" activeTab="0"/>
  </bookViews>
  <sheets>
    <sheet name="A903" sheetId="1" r:id="rId4"/>
    <sheet name="A2539000 STLAUDIT" sheetId="3" r:id="rId5"/>
    <sheet name="$46k accrualreversal" sheetId="5" r:id="rId6"/>
    <sheet name="A2539000 detail" sheetId="4" r:id="rId7"/>
    <sheet name="Updates" sheetId="2" state="hidden" r:id="rId8"/>
  </sheets>
  <definedNames>
    <definedName name="NvsAnswerCol" localSheetId="3">"'[DR_2380583_2380638_ESD Trial Balance Dec 2021.xls]Sheet1'!$A$7:$A$35"</definedName>
    <definedName name="NvsAnswerCol" localSheetId="0">"'[DR_2374849_2374850_3DELV Cons GL BU Trial Balance 2021 Dec.xls]Sheet1'!$A$7:$A$35"</definedName>
    <definedName name="NvsASD">"V2021-12-31"</definedName>
    <definedName name="NvsAutoDrillOk">"VN"</definedName>
    <definedName name="NvsElapsedTime">0.000138888884976041</definedName>
    <definedName name="NvsEndTime">44582.5815393518</definedName>
    <definedName name="NvsInstCritOpt" localSheetId="3">"S"</definedName>
    <definedName name="NvsInstCritOpt" localSheetId="0">"S"</definedName>
    <definedName name="NvsInstLang">"VENG"</definedName>
    <definedName name="NvsInstSpec">"%,LTU_SUM01,SBAL,FACCOUNT,V9030000,FTU_EC,V900,FBUSINESS_UNIT,TF_BU_D_BASE,N3DELV"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"'[DR_2374581_2374849_3DELV Cons GL BU Trial Balance 2021 Dec.xls]Sheet1'!$D$41"</definedName>
    <definedName name="NvsQueryName" localSheetId="3">"TU_JRNL_LINE_DRILL_NODESC"</definedName>
    <definedName name="NvsQueryName" localSheetId="0">"TU_JRNL_LINE_DRILL_NODESC"</definedName>
    <definedName name="NvsReqBU">"VX0001"</definedName>
    <definedName name="NvsReqBUOnly">"VN"</definedName>
    <definedName name="NvsRowCount" localSheetId="3">29</definedName>
    <definedName name="NvsRowCount" localSheetId="0">29</definedName>
    <definedName name="NvsSheetType" localSheetId="3">"T"</definedName>
    <definedName name="NvsSheetType" localSheetId="0">"T"</definedName>
    <definedName name="NvsTranslateLedger">'A903'!$A$40</definedName>
    <definedName name="NvsTransLed">"VY"</definedName>
    <definedName name="NvsTreeASD">"V2021-12-31"</definedName>
    <definedName name="NvsUpdateOption" localSheetId="3">"N"</definedName>
    <definedName name="NvsUpdateOption" localSheetId="0">"N"</definedName>
    <definedName name="_xlnm.Print_Area" localSheetId="0">'A903'!$A$1:$Q$49</definedName>
  </definedNames>
  <calcPr calcId="152511" iterate="1" iterateCount="100" iterateDelta="0.001"/>
  <pivotCaches>
    <pivotCache cacheId="0" r:id="rId2"/>
  </pivotCaches>
</workbook>
</file>

<file path=xl/calcChain.xml><?xml version="1.0" encoding="utf-8"?>
<calcChain xmlns="http://schemas.openxmlformats.org/spreadsheetml/2006/main">
  <c r="E47" i="1" l="1"/>
</calcChain>
</file>

<file path=xl/sharedStrings.xml><?xml version="1.0" encoding="utf-8"?>
<sst xmlns="http://schemas.openxmlformats.org/spreadsheetml/2006/main" count="1437" uniqueCount="243">
  <si>
    <t>TU FINANCIAL INFORMATION MANAGEMENT REPORT</t>
  </si>
  <si>
    <t>%,OH</t>
  </si>
  <si>
    <t>%,OA</t>
  </si>
  <si>
    <t>%,OT</t>
  </si>
  <si>
    <t>Source</t>
  </si>
  <si>
    <t>%,HJournal,RJRNL_DRILL_VW,FJOURNAL_ID,B</t>
  </si>
  <si>
    <t>Journal</t>
  </si>
  <si>
    <t>%,HUnit,RJRNL_DRILL_VW,FBUSINESS_UNIT,B</t>
  </si>
  <si>
    <t>Unit</t>
  </si>
  <si>
    <t>%,HDate,RJRNL_DRILL_VW,FJOURNAL_DATE,B</t>
  </si>
  <si>
    <t>Date</t>
  </si>
  <si>
    <t>%,HDeptID,RJRNL_DRILL_VW,FDEPTID,B</t>
  </si>
  <si>
    <t>DeptID</t>
  </si>
  <si>
    <t>%,HAccount,RJRNL_DRILL_VW,FACCOUNT,B</t>
  </si>
  <si>
    <t>Account</t>
  </si>
  <si>
    <t>%,HExpnd Cd,RJRNL_DRILL_VW,FTU_EC,B</t>
  </si>
  <si>
    <t>Expnd Cd</t>
  </si>
  <si>
    <t>%,HProj,RJRNL_DRILL_VW,FPROJECT_ID,B</t>
  </si>
  <si>
    <t>Proj</t>
  </si>
  <si>
    <t>%,HActivity,RJRNL_DRILL_VW,FTU_ACTIVITY,B</t>
  </si>
  <si>
    <t>Activity</t>
  </si>
  <si>
    <t>%,HTU Loc,RJRNL_DRILL_VW,FTU_LOCATION,B</t>
  </si>
  <si>
    <t>TU Loc</t>
  </si>
  <si>
    <t>%,HAffl,RJRNL_DRILL_VW,FAFFILIATE,B</t>
  </si>
  <si>
    <t>Affl</t>
  </si>
  <si>
    <t>%,HMonetary Amount,RJRNL_DRILL_VW,FMONETARY_AMOUNT,B</t>
  </si>
  <si>
    <t>Monetary Amount</t>
  </si>
  <si>
    <t>%,HJournal Line Description,RJRNL_DRILL_VW,FLINE_DESCR,B</t>
  </si>
  <si>
    <t>Journal Line Description</t>
  </si>
  <si>
    <t>%,HDocument Name,RJRNL_DRILL_VW,FDOCUMENT_NAME,B</t>
  </si>
  <si>
    <t>Document Name</t>
  </si>
  <si>
    <t>%,HType,RJRNL_DRILL_VW,FDOCUMENT_TYPE,B</t>
  </si>
  <si>
    <t>Type</t>
  </si>
  <si>
    <t>%,HPeriod,RJRNL_DRILL_VW,FACCOUNTING_PERIOD,B</t>
  </si>
  <si>
    <t>Period</t>
  </si>
  <si>
    <t>Exchange Rate</t>
  </si>
  <si>
    <t>Rate Type</t>
  </si>
  <si>
    <t>%,HCurrency,RJRNL_DRILL_VW,FCURRENCY_CD,B</t>
  </si>
  <si>
    <t>Currency</t>
  </si>
  <si>
    <t>%,HLong Description,RJRNL_DRILL_VW,FDESCR254,B</t>
  </si>
  <si>
    <t>Long Description</t>
  </si>
  <si>
    <t>%,HYear,RJRNL_DRILL_VW,FFISCAL_YEAR,B</t>
  </si>
  <si>
    <t>Year</t>
  </si>
  <si>
    <t>%,HForeign Amount,RJRNL_DRILL_VW,FFOREIGN_AMOUNT,B</t>
  </si>
  <si>
    <t>Foreign Amount</t>
  </si>
  <si>
    <t>%,HCurrency,RJRNL_DRILL_VW,FFOREIGN_CURRENCY,B</t>
  </si>
  <si>
    <t>%,HLine #,RJRNL_DRILL_VW,FJOURNAL_LINE,B</t>
  </si>
  <si>
    <t>Line #</t>
  </si>
  <si>
    <t>%,HLine Date,RJRNL_DRILL_VW,FJOURNAL_LINE_DATE,B</t>
  </si>
  <si>
    <t>Line Date</t>
  </si>
  <si>
    <t>%,HStatus,RJRNL_DRILL_VW,FJRNL_HDR_STATUS,B</t>
  </si>
  <si>
    <t>Status</t>
  </si>
  <si>
    <t>%,HStatus,RJRNL_DRILL_VW,FJRNL_LINE_STATUS,B</t>
  </si>
  <si>
    <t>%,HRef,RJRNL_DRILL_VW,FJRNL_LN_REF,B</t>
  </si>
  <si>
    <t>Ref</t>
  </si>
  <si>
    <t>%,HLedger,RJRNL_DRILL_VW,FLEDGER,B</t>
  </si>
  <si>
    <t>Ledger</t>
  </si>
  <si>
    <t>%,HLedger Grp,RJRNL_DRILL_VW,FLEDGER_GROUP,B</t>
  </si>
  <si>
    <t>Ledger Grp</t>
  </si>
  <si>
    <t>%,HN/R,RJRNL_DRILL_VW,FMOVEMENT_FLAG,B</t>
  </si>
  <si>
    <t>N/R</t>
  </si>
  <si>
    <t>%,HPosted,RJRNL_DRILL_VW,FPOSTED_DATE,B</t>
  </si>
  <si>
    <t>Posted</t>
  </si>
  <si>
    <t>%,HInstance,RJRNL_DRILL_VW,FPROCESS_INSTANCE,B</t>
  </si>
  <si>
    <t>Instance</t>
  </si>
  <si>
    <t>%,HProd,RJRNL_DRILL_VW,FPRODUCT,B</t>
  </si>
  <si>
    <t>Prod</t>
  </si>
  <si>
    <t>%,HStatistic Amount,RJRNL_DRILL_VW,FSTATISTIC_AMOUNT,B</t>
  </si>
  <si>
    <t>Statistic Amount</t>
  </si>
  <si>
    <t>%,HStat,RJRNL_DRILL_VW,FSTATISTICS_CODE,B</t>
  </si>
  <si>
    <t>Stat</t>
  </si>
  <si>
    <t>%,HSeq,RJRNL_DRILL_VW,FUNPOST_SEQ,B</t>
  </si>
  <si>
    <t>Seq</t>
  </si>
  <si>
    <t>ALL SOURCE SUMMARY</t>
  </si>
  <si>
    <t>Report generated:</t>
  </si>
  <si>
    <t>%,OC</t>
  </si>
  <si>
    <t>Upload Journal Documentation</t>
  </si>
  <si>
    <t>%,HSource,RJRNL_DRILL_VW,FSOURCE</t>
  </si>
  <si>
    <t>%,HSuspended Line,RJRNL_DRILL_VW,FSUSPENDED_LINE,B</t>
  </si>
  <si>
    <t>Suspended Line</t>
  </si>
  <si>
    <t>%,HPath,RJRNL_DRILL_VW,FDOCUMENT_PATH,B</t>
  </si>
  <si>
    <t>Path</t>
  </si>
  <si>
    <t>%,HExch Rate,RJRNL_DRILL_VW,FCUR_EXCHNG_RT,B</t>
  </si>
  <si>
    <t>%,HRate Type,RJRNL_DRILL_VW,FCUR_RT_TYPE,B</t>
  </si>
  <si>
    <t>ESD</t>
  </si>
  <si>
    <t>Updates:</t>
  </si>
  <si>
    <t>Per verbal request from Kenny Synatsck and verbal approval from Janie Bryant on 01/31/20:</t>
  </si>
  <si>
    <t>Hide blank columns I, K, and M to allow pivot table and filter functionalities.</t>
  </si>
  <si>
    <t>UJE</t>
  </si>
  <si>
    <t>0000877986</t>
  </si>
  <si>
    <t>0000966062</t>
  </si>
  <si>
    <t>0000965164</t>
  </si>
  <si>
    <t>2021-05-31</t>
  </si>
  <si>
    <t>533310</t>
  </si>
  <si>
    <t>9030000</t>
  </si>
  <si>
    <t>900</t>
  </si>
  <si>
    <t>00005100</t>
  </si>
  <si>
    <t>5100</t>
  </si>
  <si>
    <t>0000</t>
  </si>
  <si>
    <t>accrual for pending audits</t>
  </si>
  <si>
    <t>000_2021-05-31_0000877986.xlsm</t>
  </si>
  <si>
    <t>P:\PSFS\FIMPROD\JRNLDOC\STAGE\</t>
  </si>
  <si>
    <t>2021-10-31</t>
  </si>
  <si>
    <t>000_2021-10-31_0000877986.xlsm</t>
  </si>
  <si>
    <t>P:\PSFS\FIMPRD\JRNLDOC\STAGE\</t>
  </si>
  <si>
    <t>2021-01-31</t>
  </si>
  <si>
    <t>000_2021-01-31_0000877986.xlsm</t>
  </si>
  <si>
    <t>2021-02-01</t>
  </si>
  <si>
    <t>2021-04-30</t>
  </si>
  <si>
    <t>000_2021-04-30_0000877986.xlsm</t>
  </si>
  <si>
    <t>2021-05-01</t>
  </si>
  <si>
    <t>2021-07-31</t>
  </si>
  <si>
    <t>000_2021-07-31_0000877986.xlsm</t>
  </si>
  <si>
    <t>2021-12-01</t>
  </si>
  <si>
    <t>000_2021-11-30_0000877986.xlsm</t>
  </si>
  <si>
    <t>2021-12-31</t>
  </si>
  <si>
    <t>000_2021-12-31_0000877986.xlsm</t>
  </si>
  <si>
    <t>/data/psfs/docs/fimprd/jrnldoc</t>
  </si>
  <si>
    <t>2021-02-28</t>
  </si>
  <si>
    <t>000_2021-02-28_0000877986.xlsm</t>
  </si>
  <si>
    <t>2021-08-31</t>
  </si>
  <si>
    <t>000_2021-08-31_0000877986.xlsm</t>
  </si>
  <si>
    <t>2021-08-01</t>
  </si>
  <si>
    <t>2021-03-31</t>
  </si>
  <si>
    <t>000_2021-03-31_0000877986.xlsm</t>
  </si>
  <si>
    <t>2021-06-30</t>
  </si>
  <si>
    <t>000_2021-06-30_0000877986.xlsm</t>
  </si>
  <si>
    <t>2021-09-01</t>
  </si>
  <si>
    <t>W/O liabbility 2539000</t>
  </si>
  <si>
    <t>000_2021-12-31_0000966062.xlsm</t>
  </si>
  <si>
    <t>2021-09-30</t>
  </si>
  <si>
    <t>000_2021-09-30_0000877986.xlsm</t>
  </si>
  <si>
    <t>2021-11-01</t>
  </si>
  <si>
    <t>Reverse GRAND PRAIRIE</t>
  </si>
  <si>
    <t>000_2021-12-31_0000965164.xlsm</t>
  </si>
  <si>
    <t>2021-01-01</t>
  </si>
  <si>
    <t>000_2020-12-31_0000877986.xlsm</t>
  </si>
  <si>
    <t>2021-03-01</t>
  </si>
  <si>
    <t>2021-11-30</t>
  </si>
  <si>
    <t>Reverse Irving</t>
  </si>
  <si>
    <t>2021-06-01</t>
  </si>
  <si>
    <t>2021-07-01</t>
  </si>
  <si>
    <t>CRRNT</t>
  </si>
  <si>
    <t>USD</t>
  </si>
  <si>
    <t>To accrue for pending streetlight audits.</t>
  </si>
  <si>
    <t>To write off the balance in liability account for streetlighting settlement audit</t>
  </si>
  <si>
    <t>To reverse what had been acctured for pending streetlighting audit</t>
  </si>
  <si>
    <t>P</t>
  </si>
  <si>
    <t>0</t>
  </si>
  <si>
    <t>ACTUALS</t>
  </si>
  <si>
    <t>N</t>
  </si>
  <si>
    <t>2021-01-29</t>
  </si>
  <si>
    <t>2021-08-02</t>
  </si>
  <si>
    <t>2022-01-05</t>
  </si>
  <si>
    <t>2021-12-14</t>
  </si>
  <si>
    <t>2021-01-04</t>
  </si>
  <si>
    <t>000000</t>
  </si>
  <si>
    <t>2021-10-01</t>
  </si>
  <si>
    <t>Reverse Tyler</t>
  </si>
  <si>
    <t>2021-04-01</t>
  </si>
  <si>
    <t>Reverse Brownwood</t>
  </si>
  <si>
    <t>K&amp;M adjustment for streetlight audits</t>
  </si>
  <si>
    <t>4445003</t>
  </si>
  <si>
    <t>TY impact to revenues</t>
  </si>
  <si>
    <t>Sum of Monetary Amount</t>
  </si>
  <si>
    <t>Grand Total</t>
  </si>
  <si>
    <t>2021-01-01 Total</t>
  </si>
  <si>
    <t>2021-01-31 Total</t>
  </si>
  <si>
    <t>2021-02-01 Total</t>
  </si>
  <si>
    <t>2021-02-28 Total</t>
  </si>
  <si>
    <t>2021-03-01 Total</t>
  </si>
  <si>
    <t>2021-03-31 Total</t>
  </si>
  <si>
    <t>2021-04-01 Total</t>
  </si>
  <si>
    <t>2021-04-30 Total</t>
  </si>
  <si>
    <t>2021-05-01 Total</t>
  </si>
  <si>
    <t>2021-05-31 Total</t>
  </si>
  <si>
    <t>2021-06-01 Total</t>
  </si>
  <si>
    <t>2021-06-30 Total</t>
  </si>
  <si>
    <t>2021-07-01 Total</t>
  </si>
  <si>
    <t>2021-07-31 Total</t>
  </si>
  <si>
    <t>2021-08-01 Total</t>
  </si>
  <si>
    <t>2021-08-31 Total</t>
  </si>
  <si>
    <t>2021-09-01 Total</t>
  </si>
  <si>
    <t>2021-09-30 Total</t>
  </si>
  <si>
    <t>2021-10-01 Total</t>
  </si>
  <si>
    <t>2021-10-31 Total</t>
  </si>
  <si>
    <t>2021-11-01 Total</t>
  </si>
  <si>
    <t>2021-11-30 Total</t>
  </si>
  <si>
    <t>2021-12-01 Total</t>
  </si>
  <si>
    <t>Paid Dec 2019</t>
  </si>
  <si>
    <t>Paid Oct 2019</t>
  </si>
  <si>
    <t>Paid Oct 2020</t>
  </si>
  <si>
    <t>2021-12-31 Total</t>
  </si>
  <si>
    <t>Runaway Bay to be paid 2022</t>
  </si>
  <si>
    <t>2021 activity for A2539000 proj STLAUDIT</t>
  </si>
  <si>
    <t>2021 activity</t>
  </si>
  <si>
    <t>Liability</t>
  </si>
  <si>
    <t>1-1-2021 balance</t>
  </si>
  <si>
    <t>Revenue</t>
  </si>
  <si>
    <t>Expense</t>
  </si>
  <si>
    <t>A903 EC 900 Proj 00005100</t>
  </si>
  <si>
    <t>Interest</t>
  </si>
  <si>
    <t>521900</t>
  </si>
  <si>
    <t>2539000</t>
  </si>
  <si>
    <t>000</t>
  </si>
  <si>
    <t>STLAUDIT</t>
  </si>
  <si>
    <t>Reversed 2021??</t>
  </si>
  <si>
    <t>after the Oct-2020  payment, this is the new accrue amount.</t>
  </si>
  <si>
    <t>liab was ($47k)?</t>
  </si>
  <si>
    <t>offset to liability</t>
  </si>
  <si>
    <t>Per Journals</t>
  </si>
  <si>
    <t>Dallas</t>
  </si>
  <si>
    <t>Barry</t>
  </si>
  <si>
    <t>Justin</t>
  </si>
  <si>
    <t>Frisco</t>
  </si>
  <si>
    <t>Coppell</t>
  </si>
  <si>
    <t>Grand Prairie</t>
  </si>
  <si>
    <t>10/19</t>
  </si>
  <si>
    <t>Runaway Bay</t>
  </si>
  <si>
    <t>4/19</t>
  </si>
  <si>
    <t>Check will be cut in January 2022. DA form has been preapred.</t>
  </si>
  <si>
    <t>10/19 entry</t>
  </si>
  <si>
    <t>Brownwood</t>
  </si>
  <si>
    <t>rounding</t>
  </si>
  <si>
    <t>Tyler</t>
  </si>
  <si>
    <t xml:space="preserve">rounding </t>
  </si>
  <si>
    <t>Irving</t>
  </si>
  <si>
    <t>true up journal</t>
  </si>
  <si>
    <t>see tab Trueup uje 965164</t>
  </si>
  <si>
    <t>Net????????????????</t>
  </si>
  <si>
    <t>Summary</t>
  </si>
  <si>
    <t>accrued</t>
  </si>
  <si>
    <t>payment</t>
  </si>
  <si>
    <t>is this what's been accrued/reversed??????</t>
  </si>
  <si>
    <t>A903</t>
  </si>
  <si>
    <t>Reversed 2021</t>
  </si>
  <si>
    <t>liab was ($47k)</t>
  </si>
  <si>
    <t xml:space="preserve"> liab was (155,991.55)</t>
  </si>
  <si>
    <t xml:space="preserve"> liab was (152,337.84)</t>
  </si>
  <si>
    <t>Yes</t>
  </si>
  <si>
    <t>will be manually reversed in 2022 which will make account 2539000 in project STLAUDIT net to zero (see je 967561)</t>
  </si>
  <si>
    <t>Click Here To Select Upload Journal</t>
  </si>
  <si>
    <t>FINANCIAL INFORMATION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</si>
</sst>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3" formatCode="_(* #,##0.00_);_(* \(#,##0.00\);_(* &quot;-&quot;??_);_(@_)"/>
    <numFmt numFmtId="164" formatCode="m/d/yy\ h:mm\ AM/PM"/>
  </numFmts>
  <fonts count="12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strike/>
      <sz val="10"/>
      <name val="Arial"/>
      <family val="2"/>
    </font>
    <font>
      <sz val="11"/>
      <color indexed="8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thick">
        <color auto="1"/>
      </bottom>
    </border>
    <border>
      <left style="thin">
        <color rgb="FFABABAB"/>
      </left>
      <right/>
      <top style="thin">
        <color rgb="FFABABAB"/>
      </top>
      <bottom/>
    </border>
    <border>
      <left>
        <color indexed="65"/>
      </left>
      <right/>
      <top style="thin">
        <color rgb="FFABABAB"/>
      </top>
      <bottom/>
    </border>
    <border>
      <left>
        <color indexed="65"/>
      </left>
      <right style="thin">
        <color rgb="FFABABAB"/>
      </right>
      <top style="thin">
        <color rgb="FFABABAB"/>
      </top>
      <bottom/>
    </border>
    <border>
      <left/>
      <right/>
      <top style="thin">
        <color rgb="FFABABAB"/>
      </top>
      <bottom/>
    </border>
    <border>
      <left style="thin">
        <color rgb="FFABABAB"/>
      </left>
      <right style="thin">
        <color rgb="FFABABAB"/>
      </right>
      <top style="thin">
        <color rgb="FFABABAB"/>
      </top>
      <bottom/>
    </border>
    <border>
      <left style="thin">
        <color rgb="FFABABAB"/>
      </left>
      <right/>
      <top style="thin">
        <color indexed="9"/>
      </top>
      <bottom/>
    </border>
    <border>
      <left style="thin">
        <color rgb="FFABABAB"/>
      </left>
      <right/>
      <top/>
      <bottom/>
    </border>
    <border>
      <left style="thin">
        <color rgb="FFABABAB"/>
      </left>
      <right style="thin">
        <color rgb="FFABABAB"/>
      </right>
      <top/>
      <bottom/>
    </border>
    <border>
      <left style="thin">
        <color rgb="FFABABAB"/>
      </left>
      <right/>
      <top style="thin">
        <color rgb="FFABABAB"/>
      </top>
      <bottom style="thin">
        <color rgb="FFABABAB"/>
      </bottom>
    </border>
    <border>
      <left style="thin">
        <color indexed="9"/>
      </left>
      <right/>
      <top style="thin">
        <color rgb="FFABABAB"/>
      </top>
      <bottom style="thin">
        <color rgb="FFABABAB"/>
      </bottom>
    </border>
    <border>
      <left/>
      <right/>
      <top style="thin">
        <color rgb="FFABABAB"/>
      </top>
      <bottom style="thin">
        <color rgb="FFABABAB"/>
      </bottom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</border>
    <border>
      <left/>
      <right/>
      <top/>
      <bottom style="thin">
        <color auto="1"/>
      </bottom>
    </border>
    <border>
      <left/>
      <right/>
      <top style="thin">
        <color auto="1"/>
      </top>
      <bottom style="double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/>
      <top style="medium">
        <color auto="1"/>
      </top>
      <bottom style="thick">
        <color auto="1"/>
      </bottom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4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0" fillId="0" borderId="0">
      <alignment/>
      <protection/>
    </xf>
    <xf numFmtId="0" fontId="9" fillId="0" borderId="0">
      <alignment/>
      <protection/>
    </xf>
    <xf numFmtId="9" fontId="0" fillId="0" borderId="0" applyFont="0" applyFill="0" applyBorder="0" applyAlignment="0" applyProtection="0"/>
  </cellStyleXfs>
  <cellXfs count="114">
    <xf numFmtId="0" fontId="0" fillId="0" borderId="0" xfId="0"/>
    <xf numFmtId="0" fontId="3" fillId="0" borderId="0" xfId="0" applyFont="1"/>
    <xf numFmtId="0" fontId="0" fillId="0" borderId="0" xfId="0" applyFill="1"/>
    <xf numFmtId="0" fontId="3" fillId="0" borderId="0" xfId="0" applyFont="1" applyFill="1"/>
    <xf numFmtId="0" fontId="2" fillId="0" borderId="1" xfId="0" applyFont="1" applyFill="1" applyBorder="1"/>
    <xf numFmtId="40" fontId="4" fillId="0" borderId="0" xfId="0" applyNumberFormat="1" applyFont="1" applyFill="1" applyAlignment="1">
      <alignment horizontal="left" wrapText="1"/>
    </xf>
    <xf numFmtId="40" fontId="0" fillId="0" borderId="0" xfId="0" applyNumberFormat="1" applyFill="1"/>
    <xf numFmtId="40" fontId="3" fillId="0" borderId="0" xfId="0" applyNumberFormat="1" applyFont="1" applyFill="1"/>
    <xf numFmtId="0" fontId="5" fillId="0" borderId="2" xfId="0" applyFont="1" applyFill="1" applyBorder="1" applyAlignment="1" quotePrefix="1">
      <alignment horizontal="center" vertical="center"/>
    </xf>
    <xf numFmtId="164" fontId="4" fillId="0" borderId="0" xfId="0" applyNumberFormat="1" applyFont="1" applyFill="1" applyAlignment="1">
      <alignment horizontal="left"/>
    </xf>
    <xf numFmtId="0" fontId="2" fillId="0" borderId="3" xfId="0" applyFont="1" applyFill="1" applyBorder="1" applyAlignment="1">
      <alignment wrapText="1"/>
    </xf>
    <xf numFmtId="40" fontId="2" fillId="0" borderId="3" xfId="0" applyNumberFormat="1" applyFont="1" applyFill="1" applyBorder="1" applyAlignment="1">
      <alignment wrapText="1"/>
    </xf>
    <xf numFmtId="0" fontId="6" fillId="0" borderId="0" xfId="0" applyFont="1"/>
    <xf numFmtId="0" fontId="7" fillId="0" borderId="0" xfId="0" applyFont="1"/>
    <xf numFmtId="14" fontId="0" fillId="0" borderId="0" xfId="0" applyNumberFormat="1" applyFill="1" quotePrefix="1"/>
    <xf numFmtId="0" fontId="0" fillId="2" borderId="0" xfId="0" applyFont="1" applyFill="1"/>
    <xf numFmtId="0" fontId="0" fillId="0" borderId="4" xfId="21" applyBorder="1">
      <alignment/>
      <protection/>
    </xf>
    <xf numFmtId="0" fontId="0" fillId="0" borderId="5" xfId="21" applyBorder="1">
      <alignment/>
      <protection/>
    </xf>
    <xf numFmtId="0" fontId="0" fillId="0" borderId="6" xfId="21" applyBorder="1">
      <alignment/>
      <protection/>
    </xf>
    <xf numFmtId="0" fontId="0" fillId="0" borderId="0" xfId="21">
      <alignment/>
      <protection/>
    </xf>
    <xf numFmtId="0" fontId="0" fillId="0" borderId="7" xfId="21" applyBorder="1">
      <alignment/>
      <protection/>
    </xf>
    <xf numFmtId="0" fontId="0" fillId="0" borderId="8" xfId="21" applyBorder="1">
      <alignment/>
      <protection/>
    </xf>
    <xf numFmtId="7" fontId="0" fillId="0" borderId="4" xfId="21" applyNumberFormat="1" applyBorder="1">
      <alignment/>
      <protection/>
    </xf>
    <xf numFmtId="7" fontId="0" fillId="0" borderId="7" xfId="21" applyNumberFormat="1" applyBorder="1">
      <alignment/>
      <protection/>
    </xf>
    <xf numFmtId="7" fontId="0" fillId="0" borderId="8" xfId="21" applyNumberFormat="1" applyBorder="1">
      <alignment/>
      <protection/>
    </xf>
    <xf numFmtId="7" fontId="0" fillId="0" borderId="7" xfId="21" applyNumberFormat="1" applyFill="1" applyBorder="1">
      <alignment/>
      <protection/>
    </xf>
    <xf numFmtId="0" fontId="0" fillId="0" borderId="9" xfId="21" applyBorder="1">
      <alignment/>
      <protection/>
    </xf>
    <xf numFmtId="0" fontId="0" fillId="0" borderId="10" xfId="21" applyBorder="1">
      <alignment/>
      <protection/>
    </xf>
    <xf numFmtId="7" fontId="0" fillId="0" borderId="10" xfId="21" applyNumberFormat="1" applyBorder="1">
      <alignment/>
      <protection/>
    </xf>
    <xf numFmtId="7" fontId="0" fillId="0" borderId="0" xfId="21" applyNumberFormat="1" applyFill="1">
      <alignment/>
      <protection/>
    </xf>
    <xf numFmtId="7" fontId="0" fillId="0" borderId="0" xfId="21" applyNumberFormat="1">
      <alignment/>
      <protection/>
    </xf>
    <xf numFmtId="7" fontId="0" fillId="0" borderId="11" xfId="21" applyNumberFormat="1" applyBorder="1">
      <alignment/>
      <protection/>
    </xf>
    <xf numFmtId="0" fontId="0" fillId="0" borderId="0" xfId="21" applyFont="1">
      <alignment/>
      <protection/>
    </xf>
    <xf numFmtId="0" fontId="0" fillId="3" borderId="12" xfId="21" applyFill="1" applyBorder="1">
      <alignment/>
      <protection/>
    </xf>
    <xf numFmtId="0" fontId="0" fillId="3" borderId="13" xfId="21" applyFill="1" applyBorder="1">
      <alignment/>
      <protection/>
    </xf>
    <xf numFmtId="7" fontId="0" fillId="3" borderId="12" xfId="21" applyNumberFormat="1" applyFill="1" applyBorder="1">
      <alignment/>
      <protection/>
    </xf>
    <xf numFmtId="7" fontId="0" fillId="3" borderId="14" xfId="21" applyNumberFormat="1" applyFill="1" applyBorder="1">
      <alignment/>
      <protection/>
    </xf>
    <xf numFmtId="7" fontId="0" fillId="3" borderId="15" xfId="21" applyNumberFormat="1" applyFill="1" applyBorder="1">
      <alignment/>
      <protection/>
    </xf>
    <xf numFmtId="0" fontId="0" fillId="3" borderId="0" xfId="21" applyFont="1" applyFill="1">
      <alignment/>
      <protection/>
    </xf>
    <xf numFmtId="0" fontId="0" fillId="3" borderId="0" xfId="21" applyFill="1">
      <alignment/>
      <protection/>
    </xf>
    <xf numFmtId="0" fontId="0" fillId="0" borderId="0" xfId="21" applyFill="1">
      <alignment/>
      <protection/>
    </xf>
    <xf numFmtId="7" fontId="0" fillId="0" borderId="0" xfId="21" applyNumberFormat="1" applyFont="1" applyFill="1" applyAlignment="1">
      <alignment horizontal="center"/>
      <protection/>
    </xf>
    <xf numFmtId="7" fontId="0" fillId="0" borderId="16" xfId="21" applyNumberFormat="1" applyBorder="1">
      <alignment/>
      <protection/>
    </xf>
    <xf numFmtId="0" fontId="0" fillId="0" borderId="0" xfId="21" applyFont="1" applyFill="1" applyAlignment="1">
      <alignment horizontal="center"/>
      <protection/>
    </xf>
    <xf numFmtId="0" fontId="10" fillId="0" borderId="0" xfId="21" applyFont="1" applyAlignment="1">
      <alignment vertical="center"/>
      <protection/>
    </xf>
    <xf numFmtId="9" fontId="0" fillId="0" borderId="0" xfId="23" applyFont="1"/>
    <xf numFmtId="0" fontId="0" fillId="0" borderId="0" xfId="21" applyFont="1" applyAlignment="1">
      <alignment horizontal="center"/>
      <protection/>
    </xf>
    <xf numFmtId="40" fontId="0" fillId="0" borderId="0" xfId="21" applyNumberFormat="1" applyFill="1">
      <alignment/>
      <protection/>
    </xf>
    <xf numFmtId="0" fontId="3" fillId="0" borderId="0" xfId="21" applyFont="1">
      <alignment/>
      <protection/>
    </xf>
    <xf numFmtId="0" fontId="3" fillId="0" borderId="0" xfId="21" applyFont="1" applyFill="1">
      <alignment/>
      <protection/>
    </xf>
    <xf numFmtId="40" fontId="3" fillId="0" borderId="0" xfId="21" applyNumberFormat="1" applyFont="1" applyFill="1">
      <alignment/>
      <protection/>
    </xf>
    <xf numFmtId="46" fontId="4" fillId="0" borderId="0" xfId="21" applyNumberFormat="1" applyFont="1">
      <alignment/>
      <protection/>
    </xf>
    <xf numFmtId="22" fontId="0" fillId="0" borderId="0" xfId="21" applyNumberFormat="1" applyFont="1">
      <alignment/>
      <protection/>
    </xf>
    <xf numFmtId="0" fontId="2" fillId="0" borderId="3" xfId="21" applyFont="1" applyFill="1" applyBorder="1" applyAlignment="1">
      <alignment wrapText="1"/>
      <protection/>
    </xf>
    <xf numFmtId="40" fontId="2" fillId="0" borderId="3" xfId="21" applyNumberFormat="1" applyFont="1" applyFill="1" applyBorder="1" applyAlignment="1">
      <alignment wrapText="1"/>
      <protection/>
    </xf>
    <xf numFmtId="0" fontId="0" fillId="0" borderId="0" xfId="21" applyAlignment="1">
      <alignment horizontal="left"/>
      <protection/>
    </xf>
    <xf numFmtId="0" fontId="5" fillId="0" borderId="2" xfId="21" applyFont="1" applyFill="1" applyBorder="1" applyAlignment="1" quotePrefix="1">
      <alignment horizontal="center" vertical="center"/>
      <protection/>
    </xf>
    <xf numFmtId="14" fontId="0" fillId="0" borderId="0" xfId="21" applyNumberFormat="1" applyFill="1" quotePrefix="1">
      <alignment/>
      <protection/>
    </xf>
    <xf numFmtId="0" fontId="0" fillId="0" borderId="0" xfId="21" applyFill="1" quotePrefix="1">
      <alignment/>
      <protection/>
    </xf>
    <xf numFmtId="0" fontId="2" fillId="0" borderId="1" xfId="21" applyFont="1" applyFill="1" applyBorder="1">
      <alignment/>
      <protection/>
    </xf>
    <xf numFmtId="40" fontId="2" fillId="0" borderId="1" xfId="21" applyNumberFormat="1" applyFont="1" applyFill="1" applyBorder="1">
      <alignment/>
      <protection/>
    </xf>
    <xf numFmtId="40" fontId="4" fillId="0" borderId="0" xfId="21" applyNumberFormat="1" applyFont="1" applyFill="1" applyAlignment="1">
      <alignment horizontal="left" wrapText="1"/>
      <protection/>
    </xf>
    <xf numFmtId="164" fontId="4" fillId="0" borderId="0" xfId="21" applyNumberFormat="1" applyFont="1" applyFill="1" applyAlignment="1">
      <alignment horizontal="left"/>
      <protection/>
    </xf>
    <xf numFmtId="7" fontId="0" fillId="2" borderId="0" xfId="21" applyNumberFormat="1" applyFill="1">
      <alignment/>
      <protection/>
    </xf>
    <xf numFmtId="0" fontId="0" fillId="2" borderId="0" xfId="21" applyFill="1">
      <alignment/>
      <protection/>
    </xf>
    <xf numFmtId="0" fontId="9" fillId="0" borderId="0" xfId="22">
      <alignment/>
      <protection/>
    </xf>
    <xf numFmtId="43" fontId="0" fillId="0" borderId="0" xfId="20" applyFont="1"/>
    <xf numFmtId="43" fontId="0" fillId="0" borderId="0" xfId="20" applyFont="1" applyAlignment="1">
      <alignment horizontal="center"/>
    </xf>
    <xf numFmtId="14" fontId="9" fillId="0" borderId="0" xfId="22" applyNumberFormat="1">
      <alignment/>
      <protection/>
    </xf>
    <xf numFmtId="43" fontId="0" fillId="2" borderId="0" xfId="20" applyFont="1" applyFill="1"/>
    <xf numFmtId="7" fontId="0" fillId="0" borderId="0" xfId="20" applyNumberFormat="1" applyFont="1" applyFill="1"/>
    <xf numFmtId="7" fontId="0" fillId="0" borderId="0" xfId="20" applyNumberFormat="1" applyFont="1" applyFill="1" applyBorder="1"/>
    <xf numFmtId="7" fontId="0" fillId="0" borderId="0" xfId="20" applyNumberFormat="1" applyFont="1" applyBorder="1"/>
    <xf numFmtId="43" fontId="0" fillId="0" borderId="0" xfId="20" applyFont="1" applyBorder="1"/>
    <xf numFmtId="43" fontId="0" fillId="0" borderId="0" xfId="20" applyFont="1" applyFill="1"/>
    <xf numFmtId="13" fontId="0" fillId="0" borderId="0" xfId="20" applyNumberFormat="1" applyFont="1" quotePrefix="1"/>
    <xf numFmtId="43" fontId="0" fillId="0" borderId="0" xfId="20" applyFont="1"/>
    <xf numFmtId="43" fontId="0" fillId="0" borderId="0" xfId="20" applyFont="1" quotePrefix="1"/>
    <xf numFmtId="13" fontId="0" fillId="0" borderId="0" xfId="20" applyNumberFormat="1" applyFont="1"/>
    <xf numFmtId="0" fontId="0" fillId="2" borderId="0" xfId="0" applyFill="1"/>
    <xf numFmtId="43" fontId="0" fillId="2" borderId="0" xfId="20" applyFont="1" applyFill="1" applyAlignment="1">
      <alignment horizontal="right"/>
    </xf>
    <xf numFmtId="43" fontId="0" fillId="2" borderId="0" xfId="0" applyNumberFormat="1" applyFont="1" applyFill="1"/>
    <xf numFmtId="43" fontId="0" fillId="2" borderId="0" xfId="0" applyNumberFormat="1" applyFill="1"/>
    <xf numFmtId="43" fontId="0" fillId="2" borderId="0" xfId="20" applyFont="1" applyFill="1"/>
    <xf numFmtId="43" fontId="0" fillId="0" borderId="17" xfId="20" applyFont="1" applyFill="1" applyBorder="1"/>
    <xf numFmtId="43" fontId="0" fillId="0" borderId="18" xfId="20" applyFont="1" applyFill="1" applyBorder="1"/>
    <xf numFmtId="43" fontId="0" fillId="2" borderId="16" xfId="0" applyNumberFormat="1" applyFill="1" applyBorder="1"/>
    <xf numFmtId="40" fontId="0" fillId="0" borderId="0" xfId="0" applyNumberFormat="1"/>
    <xf numFmtId="9" fontId="0" fillId="0" borderId="0" xfId="15" applyFont="1"/>
    <xf numFmtId="43" fontId="0" fillId="2" borderId="0" xfId="20" applyNumberFormat="1" applyFont="1" applyFill="1" applyAlignment="1">
      <alignment horizontal="right"/>
    </xf>
    <xf numFmtId="0" fontId="0" fillId="0" borderId="4" xfId="21" applyBorder="1">
      <alignment/>
      <protection/>
    </xf>
    <xf numFmtId="0" fontId="11" fillId="0" borderId="0" xfId="21" applyFont="1">
      <alignment/>
      <protection/>
    </xf>
    <xf numFmtId="43" fontId="11" fillId="0" borderId="0" xfId="20" applyFont="1"/>
    <xf numFmtId="43" fontId="11" fillId="0" borderId="0" xfId="0" applyNumberFormat="1" applyFont="1" applyFill="1"/>
    <xf numFmtId="0" fontId="11" fillId="0" borderId="0" xfId="0" applyFont="1"/>
    <xf numFmtId="43" fontId="8" fillId="0" borderId="0" xfId="0" applyNumberFormat="1" applyFont="1" applyFill="1"/>
    <xf numFmtId="43" fontId="0" fillId="0" borderId="0" xfId="0" applyNumberFormat="1" applyFill="1"/>
    <xf numFmtId="0" fontId="0" fillId="0" borderId="0" xfId="0" applyFill="1" applyAlignment="1">
      <alignment horizontal="left"/>
    </xf>
    <xf numFmtId="43" fontId="2" fillId="0" borderId="1" xfId="0" applyNumberFormat="1" applyFont="1" applyFill="1" applyBorder="1"/>
    <xf numFmtId="43" fontId="2" fillId="0" borderId="16" xfId="18" applyFont="1" applyFill="1" applyBorder="1"/>
    <xf numFmtId="40" fontId="2" fillId="0" borderId="19" xfId="0" applyNumberFormat="1" applyFont="1" applyFill="1" applyBorder="1"/>
    <xf numFmtId="0" fontId="2" fillId="0" borderId="20" xfId="0" applyFont="1" applyFill="1" applyBorder="1"/>
    <xf numFmtId="0" fontId="2" fillId="0" borderId="21" xfId="0" applyFont="1" applyFill="1" applyBorder="1" applyAlignment="1">
      <alignment wrapText="1"/>
    </xf>
    <xf numFmtId="0" fontId="2" fillId="0" borderId="22" xfId="0" applyFont="1" applyFill="1" applyBorder="1"/>
    <xf numFmtId="40" fontId="2" fillId="0" borderId="23" xfId="0" applyNumberFormat="1" applyFont="1" applyFill="1" applyBorder="1"/>
    <xf numFmtId="0" fontId="2" fillId="0" borderId="0" xfId="0" applyFont="1" applyFill="1" applyBorder="1"/>
    <xf numFmtId="0" fontId="2" fillId="0" borderId="24" xfId="0" applyFont="1" applyFill="1" applyBorder="1"/>
    <xf numFmtId="40" fontId="2" fillId="0" borderId="23" xfId="0" applyNumberFormat="1" applyFont="1" applyFill="1" applyBorder="1" applyAlignment="1">
      <alignment horizontal="center"/>
    </xf>
    <xf numFmtId="43" fontId="2" fillId="0" borderId="0" xfId="18" applyFont="1" applyFill="1" applyBorder="1"/>
    <xf numFmtId="40" fontId="2" fillId="0" borderId="25" xfId="0" applyNumberFormat="1" applyFont="1" applyFill="1" applyBorder="1"/>
    <xf numFmtId="0" fontId="2" fillId="0" borderId="26" xfId="0" applyFont="1" applyFill="1" applyBorder="1"/>
    <xf numFmtId="0" fontId="2" fillId="0" borderId="27" xfId="0" applyFont="1" applyFill="1" applyBorder="1"/>
    <xf numFmtId="164" fontId="4" fillId="0" borderId="0" xfId="0" applyNumberFormat="1" applyFont="1" applyFill="1" applyAlignment="1">
      <alignment horizontal="center"/>
    </xf>
    <xf numFmtId="164" fontId="4" fillId="0" borderId="0" xfId="21" applyNumberFormat="1" applyFont="1" applyFill="1" applyAlignment="1">
      <alignment horizontal="center"/>
      <protection/>
    </xf>
  </cellXfs>
  <cellStyles count="10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Comma 2 2" xfId="20"/>
    <cellStyle name="Normal 2" xfId="21"/>
    <cellStyle name="Normal 3" xfId="22"/>
    <cellStyle name="Percent 2" xfId="23"/>
  </cellStyles>
  <dxfs count="4">
    <dxf>
      <fill>
        <patternFill patternType="solid">
          <bgColor theme="5" tint="0.79998"/>
        </patternFill>
      </fill>
    </dxf>
    <dxf>
      <fill>
        <patternFill patternType="solid">
          <bgColor theme="5" tint="0.79998"/>
        </patternFill>
      </fill>
    </dxf>
    <dxf>
      <fill>
        <patternFill patternType="none"/>
      </fill>
    </dxf>
    <dxf>
      <fill>
        <patternFill patternType="none"/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2.xml" /><Relationship Id="rId1" Type="http://schemas.openxmlformats.org/officeDocument/2006/relationships/theme" Target="theme/theme1.xml" /><Relationship Id="rId2" Type="http://schemas.openxmlformats.org/officeDocument/2006/relationships/pivotCacheDefinition" Target="pivotCache/pivotCacheDefinition1.xml" /><Relationship Id="rId8" Type="http://schemas.openxmlformats.org/officeDocument/2006/relationships/worksheet" Target="worksheets/sheet5.xml" /><Relationship Id="rId4" Type="http://schemas.openxmlformats.org/officeDocument/2006/relationships/worksheet" Target="worksheets/sheet1.xml" /><Relationship Id="rId9" Type="http://schemas.openxmlformats.org/officeDocument/2006/relationships/styles" Target="styles.xml" /><Relationship Id="rId6" Type="http://schemas.openxmlformats.org/officeDocument/2006/relationships/worksheet" Target="worksheets/sheet3.xml" /><Relationship Id="rId10" Type="http://schemas.openxmlformats.org/officeDocument/2006/relationships/sharedStrings" Target="sharedStrings.xml" /><Relationship Id="rId11" Type="http://schemas.openxmlformats.org/officeDocument/2006/relationships/calcChain" Target="calcChain.xml" /><Relationship Id="rId3" Type="http://schemas.microsoft.com/office/2006/relationships/vbaProject" Target="vbaProject.bin" /><Relationship Id="rId7" Type="http://schemas.openxmlformats.org/officeDocument/2006/relationships/worksheet" Target="worksheets/sheet4.xml" /></Relationships>
</file>

<file path=xl/activeX/_rels/activeX1.xml.rels><?xml version="1.0" encoding="UTF-8" standalone="yes"?><Relationships xmlns="http://schemas.openxmlformats.org/package/2006/relationships"><Relationship Id="rId1" Type="http://schemas.microsoft.com/office/2006/relationships/activeXControlBinary" Target="activeX1.bin" 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</xdr:row>
          <xdr:rowOff>114300</xdr:rowOff>
        </xdr:from>
        <xdr:to>
          <xdr:col>9</xdr:col>
          <xdr:colOff>333375</xdr:colOff>
          <xdr:row>4</xdr:row>
          <xdr:rowOff>57150</xdr:rowOff>
        </xdr:to>
        <xdr:sp>
          <xdr:nvSpPr>
            <xdr:cNvPr id="3073" name="CommandButton2" hidden="1">
              <a:extLst>
                <a:ext uri="{63B3BB69-23CF-44E3-9099-C40C66FF867C}">
                  <a14:compatExt spid="_x0000_s3073"/>
                </a:ext>
              </a:extLst>
            </xdr:cNvPr>
            <xdr:cNvSpPr>
              <a:spLocks noChangeAspect="1"/>
            </xdr:cNvSpPr>
          </xdr:nvSpPr>
          <xdr:spPr>
            <a:xfrm>
              <a:off x="4419600" y="314325"/>
              <a:ext cx="1943100" cy="304800"/>
            </a:xfrm>
            <a:prstGeom prst="rect"/>
            <a:noFill/>
            <a:ln>
              <a:noFill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C:\Users\jxfi\Downloads\DR_2380583_2380638_ESD Trial Balance Dec 2021.xls" TargetMode="External" /><Relationship Id="rId2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2" createdVersion="1" refreshedVersion="4" refreshedBy="Stoneham, Glenda" refreshedDate="44594.5728065972" recordCount="29">
  <cacheSource type="worksheet">
    <worksheetSource ref="$A$6:$AP$35" sheet="Sheet1" r:id="rId1"/>
  </cacheSource>
  <cacheFields count="42">
    <cacheField name="%,OH" numFmtId="0">
      <sharedItems containsBlank="1" count="0"/>
    </cacheField>
    <cacheField name="Source" numFmtId="0">
      <sharedItems count="0"/>
    </cacheField>
    <cacheField name="Journal" numFmtId="0">
      <sharedItems count="3">
        <s v="0000877986"/>
        <s v="0000965164"/>
        <s v="0000966062"/>
      </sharedItems>
    </cacheField>
    <cacheField name="Unit" numFmtId="0">
      <sharedItems count="0"/>
    </cacheField>
    <cacheField name="Monetary Amount" numFmtId="0">
      <sharedItems containsSemiMixedTypes="0" containsString="0" containsNumber="1" count="0"/>
    </cacheField>
    <cacheField name="Upload Journal Documentation" numFmtId="0">
      <sharedItems count="1">
        <s v="Click Here To Select Upload Journal"/>
      </sharedItems>
    </cacheField>
    <cacheField name="Date" numFmtId="0">
      <sharedItems count="24">
        <s v="2021-08-31"/>
        <s v="2021-09-30"/>
        <s v="2021-11-30"/>
        <s v="2021-07-31"/>
        <s v="2021-09-01"/>
        <s v="2021-12-01"/>
        <s v="2021-12-31"/>
        <s v="2021-03-01"/>
        <s v="2021-10-01"/>
        <s v="2021-11-01"/>
        <s v="2021-03-31"/>
        <s v="2021-04-30"/>
        <s v="2021-07-01"/>
        <s v="2021-05-01"/>
        <s v="2021-01-01"/>
        <s v="2021-04-01"/>
        <s v="2021-02-01"/>
        <s v="2021-06-30"/>
        <s v="2021-02-28"/>
        <s v="2021-05-31"/>
        <s v="2021-01-31"/>
        <s v="2021-08-01"/>
        <s v="2021-06-01"/>
        <s v="2021-10-31"/>
      </sharedItems>
    </cacheField>
    <cacheField name="DeptID" numFmtId="0">
      <sharedItems count="0"/>
    </cacheField>
    <cacheField name="Account" numFmtId="0">
      <sharedItems count="0"/>
    </cacheField>
    <cacheField name="Expnd Cd" numFmtId="0">
      <sharedItems count="0"/>
    </cacheField>
    <cacheField name="Proj" numFmtId="0">
      <sharedItems count="0"/>
    </cacheField>
    <cacheField name="Activity" numFmtId="0">
      <sharedItems count="0"/>
    </cacheField>
    <cacheField name="TU Loc" numFmtId="0">
      <sharedItems count="0"/>
    </cacheField>
    <cacheField name="Affl" numFmtId="0">
      <sharedItems containsSemiMixedTypes="0" containsString="0" containsBlank="1" containsMixedTypes="1" count="0"/>
    </cacheField>
    <cacheField name="Journal Line Description" numFmtId="0">
      <sharedItems count="6">
        <s v="accrual for pending audits"/>
        <s v="Reverse GRAND PRAIRIE"/>
        <s v="Reverse Tyler"/>
        <s v="Reverse Irving"/>
        <s v="W/O liabbility 2539000"/>
        <s v="Reverse Brownwood"/>
      </sharedItems>
    </cacheField>
    <cacheField name="Document Name" numFmtId="0">
      <sharedItems count="0"/>
    </cacheField>
    <cacheField name="Type" numFmtId="0">
      <sharedItems containsSemiMixedTypes="0" containsString="0" containsBlank="1" containsMixedTypes="1" count="0"/>
    </cacheField>
    <cacheField name="Path" numFmtId="0">
      <sharedItems count="0"/>
    </cacheField>
    <cacheField name="Period" numFmtId="0">
      <sharedItems containsSemiMixedTypes="0" containsString="0" containsNumber="1" containsInteger="1" count="0"/>
    </cacheField>
    <cacheField name="Exchange Rate" numFmtId="0">
      <sharedItems containsSemiMixedTypes="0" containsString="0" containsNumber="1" containsInteger="1" count="0"/>
    </cacheField>
    <cacheField name="Rate Type" numFmtId="0">
      <sharedItems count="0"/>
    </cacheField>
    <cacheField name="Currency" numFmtId="0">
      <sharedItems count="0"/>
    </cacheField>
    <cacheField name="Long Description" numFmtId="0">
      <sharedItems count="0"/>
    </cacheField>
    <cacheField name="Year" numFmtId="0">
      <sharedItems containsSemiMixedTypes="0" containsString="0" containsNumber="1" containsInteger="1" count="0"/>
    </cacheField>
    <cacheField name="Foreign Amount" numFmtId="0">
      <sharedItems containsSemiMixedTypes="0" containsString="0" containsNumber="1" count="0"/>
    </cacheField>
    <cacheField name="Currency2" numFmtId="0">
      <sharedItems count="0"/>
    </cacheField>
    <cacheField name="Line #" numFmtId="0">
      <sharedItems containsSemiMixedTypes="0" containsString="0" containsNumber="1" containsInteger="1" count="0"/>
    </cacheField>
    <cacheField name="Line Date" numFmtId="0">
      <sharedItems count="0"/>
    </cacheField>
    <cacheField name="Status" numFmtId="0">
      <sharedItems count="0"/>
    </cacheField>
    <cacheField name="Status2" numFmtId="0">
      <sharedItems count="0"/>
    </cacheField>
    <cacheField name="Ref" numFmtId="0">
      <sharedItems containsSemiMixedTypes="0" containsString="0" containsBlank="1" containsMixedTypes="1" count="0"/>
    </cacheField>
    <cacheField name="Ledger" numFmtId="0">
      <sharedItems count="0"/>
    </cacheField>
    <cacheField name="Ledger Grp" numFmtId="0">
      <sharedItems count="0"/>
    </cacheField>
    <cacheField name="Journal Line Description2" numFmtId="0">
      <sharedItems count="0"/>
    </cacheField>
    <cacheField name="N/R" numFmtId="0">
      <sharedItems count="0"/>
    </cacheField>
    <cacheField name="Posted" numFmtId="0">
      <sharedItems count="0"/>
    </cacheField>
    <cacheField name="Instance" numFmtId="0">
      <sharedItems containsSemiMixedTypes="0" containsString="0" containsNumber="1" containsInteger="1" count="0"/>
    </cacheField>
    <cacheField name="Prod" numFmtId="0">
      <sharedItems count="0"/>
    </cacheField>
    <cacheField name="Statistic Amount" numFmtId="0">
      <sharedItems containsSemiMixedTypes="0" containsString="0" containsNumber="1" containsInteger="1" count="0"/>
    </cacheField>
    <cacheField name="Stat" numFmtId="0">
      <sharedItems containsSemiMixedTypes="0" containsString="0" containsBlank="1" containsMixedTypes="1" count="0"/>
    </cacheField>
    <cacheField name="Seq" numFmtId="0">
      <sharedItems containsSemiMixedTypes="0" containsString="0" containsNumber="1" containsInteger="1" count="0"/>
    </cacheField>
    <cacheField name="Suspended Line" numFmtId="0">
      <sharedItems containsSemiMixedTypes="0" containsString="0" containsNumber="1" containsInteger="1" count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s v="%,OA"/>
    <s v="UJE"/>
    <x v="0"/>
    <s v="ESD"/>
    <n v="-46821.2"/>
    <x v="0"/>
    <x v="0"/>
    <s v="521900"/>
    <s v="2539000"/>
    <s v="000"/>
    <s v="STLAUDIT"/>
    <s v="0000"/>
    <s v="0000"/>
    <m/>
    <x v="0"/>
    <s v="000_2021-08-31_0000877986.xlsm"/>
    <m/>
    <s v="P:\PSFS\FIMPROD\JRNLDOC\STAGE\"/>
    <n v="8"/>
    <n v="1"/>
    <s v="CRRNT"/>
    <s v="USD"/>
    <s v="To accrue for pending streetlight audits."/>
    <n v="2021"/>
    <n v="-46821.2"/>
    <s v="USD"/>
    <n v="4"/>
    <s v="2021-08-31"/>
    <s v="P"/>
    <s v="0"/>
    <m/>
    <s v="ACTUALS"/>
    <s v="ACTUALS"/>
    <s v="accrual for pending audits"/>
    <s v="N"/>
    <s v="2021-09-01"/>
    <n v="0"/>
    <s v="000000"/>
    <n v="0"/>
    <m/>
    <n v="0"/>
    <n v="0"/>
  </r>
  <r>
    <m/>
    <s v="UJE"/>
    <x v="0"/>
    <s v="ESD"/>
    <n v="-46821.2"/>
    <x v="0"/>
    <x v="1"/>
    <s v="521900"/>
    <s v="2539000"/>
    <s v="000"/>
    <s v="STLAUDIT"/>
    <s v="0000"/>
    <s v="0000"/>
    <m/>
    <x v="0"/>
    <s v="000_2021-09-30_0000877986.xlsm"/>
    <m/>
    <s v="P:\PSFS\FIMPRD\JRNLDOC\STAGE\"/>
    <n v="9"/>
    <n v="1"/>
    <s v="CRRNT"/>
    <s v="USD"/>
    <s v="To accrue for pending streetlight audits."/>
    <n v="2021"/>
    <n v="-46821.2"/>
    <s v="USD"/>
    <n v="4"/>
    <s v="2021-09-30"/>
    <s v="P"/>
    <s v="0"/>
    <m/>
    <s v="ACTUALS"/>
    <s v="ACTUALS"/>
    <s v="accrual for pending audits"/>
    <s v="N"/>
    <s v="2021-09-30"/>
    <n v="0"/>
    <s v="000000"/>
    <n v="0"/>
    <m/>
    <n v="0"/>
    <n v="0"/>
  </r>
  <r>
    <m/>
    <s v="UJE"/>
    <x v="0"/>
    <s v="ESD"/>
    <n v="-46821.2"/>
    <x v="0"/>
    <x v="2"/>
    <s v="521900"/>
    <s v="2539000"/>
    <s v="000"/>
    <s v="STLAUDIT"/>
    <s v="0000"/>
    <s v="0000"/>
    <m/>
    <x v="0"/>
    <s v="000_2021-11-30_0000877986.xlsm"/>
    <m/>
    <s v="P:\PSFS\FIMPRD\JRNLDOC\STAGE\"/>
    <n v="11"/>
    <n v="1"/>
    <s v="CRRNT"/>
    <s v="USD"/>
    <s v="To accrue for pending streetlight audits."/>
    <n v="2021"/>
    <n v="-46821.2"/>
    <s v="USD"/>
    <n v="4"/>
    <s v="2021-11-30"/>
    <s v="P"/>
    <s v="0"/>
    <m/>
    <s v="ACTUALS"/>
    <s v="ACTUALS"/>
    <s v="accrual for pending audits"/>
    <s v="N"/>
    <s v="2021-11-30"/>
    <n v="0"/>
    <s v="000000"/>
    <n v="0"/>
    <m/>
    <n v="0"/>
    <n v="0"/>
  </r>
  <r>
    <m/>
    <s v="UJE"/>
    <x v="0"/>
    <s v="ESD"/>
    <n v="-46821.2"/>
    <x v="0"/>
    <x v="3"/>
    <s v="521900"/>
    <s v="2539000"/>
    <s v="000"/>
    <s v="STLAUDIT"/>
    <s v="0000"/>
    <s v="0000"/>
    <m/>
    <x v="0"/>
    <s v="000_2021-07-31_0000877986.xlsm"/>
    <m/>
    <s v="P:\PSFS\FIMPROD\JRNLDOC\STAGE\"/>
    <n v="7"/>
    <n v="1"/>
    <s v="CRRNT"/>
    <s v="USD"/>
    <s v="To accrue for pending streetlight audits."/>
    <n v="2021"/>
    <n v="-46821.2"/>
    <s v="USD"/>
    <n v="4"/>
    <s v="2021-07-31"/>
    <s v="P"/>
    <s v="0"/>
    <m/>
    <s v="ACTUALS"/>
    <s v="ACTUALS"/>
    <s v="accrual for pending audits"/>
    <s v="N"/>
    <s v="2021-08-02"/>
    <n v="0"/>
    <s v="000000"/>
    <n v="0"/>
    <m/>
    <n v="0"/>
    <n v="0"/>
  </r>
  <r>
    <m/>
    <s v="UJE"/>
    <x v="0"/>
    <s v="ESD"/>
    <n v="46821.2"/>
    <x v="0"/>
    <x v="4"/>
    <s v="521900"/>
    <s v="2539000"/>
    <s v="000"/>
    <s v="STLAUDIT"/>
    <s v="0000"/>
    <s v="0000"/>
    <m/>
    <x v="0"/>
    <s v="000_2021-08-31_0000877986.xlsm"/>
    <m/>
    <s v="P:\PSFS\FIMPROD\JRNLDOC\STAGE\"/>
    <n v="9"/>
    <n v="1"/>
    <s v="CRRNT"/>
    <s v="USD"/>
    <s v="To accrue for pending streetlight audits."/>
    <n v="2021"/>
    <n v="46821.2"/>
    <s v="USD"/>
    <n v="4"/>
    <s v="2021-09-01"/>
    <s v="P"/>
    <s v="0"/>
    <m/>
    <s v="ACTUALS"/>
    <s v="ACTUALS"/>
    <s v="accrual for pending audits"/>
    <s v="N"/>
    <s v="2021-09-01"/>
    <n v="2301855"/>
    <s v="000000"/>
    <n v="0"/>
    <m/>
    <n v="0"/>
    <n v="0"/>
  </r>
  <r>
    <m/>
    <s v="UJE"/>
    <x v="0"/>
    <s v="ESD"/>
    <n v="46821.2"/>
    <x v="0"/>
    <x v="5"/>
    <s v="521900"/>
    <s v="2539000"/>
    <s v="000"/>
    <s v="STLAUDIT"/>
    <s v="0000"/>
    <s v="0000"/>
    <m/>
    <x v="0"/>
    <s v="000_2021-11-30_0000877986.xlsm"/>
    <m/>
    <s v="P:\PSFS\FIMPRD\JRNLDOC\STAGE\"/>
    <n v="12"/>
    <n v="1"/>
    <s v="CRRNT"/>
    <s v="USD"/>
    <s v="To accrue for pending streetlight audits."/>
    <n v="2021"/>
    <n v="46821.2"/>
    <s v="USD"/>
    <n v="4"/>
    <s v="2021-12-01"/>
    <s v="P"/>
    <s v="0"/>
    <m/>
    <s v="ACTUALS"/>
    <s v="ACTUALS"/>
    <s v="accrual for pending audits"/>
    <s v="N"/>
    <s v="2021-11-30"/>
    <n v="2349582"/>
    <s v="000000"/>
    <n v="0"/>
    <m/>
    <n v="0"/>
    <n v="0"/>
  </r>
  <r>
    <m/>
    <s v="UJE"/>
    <x v="1"/>
    <s v="ESD"/>
    <n v="-26689.4"/>
    <x v="0"/>
    <x v="6"/>
    <s v="521900"/>
    <s v="2539000"/>
    <s v="000"/>
    <s v="STLAUDIT"/>
    <s v="0000"/>
    <s v="0000"/>
    <m/>
    <x v="1"/>
    <s v="000_2021-12-31_0000965164.xlsm"/>
    <m/>
    <s v="P:\PSFS\FIMPRD\JRNLDOC\STAGE\"/>
    <n v="12"/>
    <n v="1"/>
    <s v="CRRNT"/>
    <s v="USD"/>
    <s v="To reverse what had been acctured for pending streetlighting audit"/>
    <n v="2021"/>
    <n v="-26689.4"/>
    <s v="USD"/>
    <n v="4"/>
    <s v="2021-12-31"/>
    <s v="P"/>
    <s v="0"/>
    <m/>
    <s v="ACTUALS"/>
    <s v="ACTUALS"/>
    <s v="Reverse GRAND PRAIRIE"/>
    <s v="N"/>
    <s v="2021-12-14"/>
    <n v="0"/>
    <s v="000000"/>
    <n v="0"/>
    <m/>
    <n v="0"/>
    <n v="0"/>
  </r>
  <r>
    <m/>
    <s v="UJE"/>
    <x v="1"/>
    <s v="ESD"/>
    <n v="-4154.4799999999996"/>
    <x v="0"/>
    <x v="6"/>
    <s v="521900"/>
    <s v="2539000"/>
    <s v="000"/>
    <s v="STLAUDIT"/>
    <s v="0000"/>
    <s v="0000"/>
    <m/>
    <x v="2"/>
    <s v="000_2021-12-31_0000965164.xlsm"/>
    <m/>
    <s v="P:\PSFS\FIMPRD\JRNLDOC\STAGE\"/>
    <n v="12"/>
    <n v="1"/>
    <s v="CRRNT"/>
    <s v="USD"/>
    <s v="To reverse what had been acctured for pending streetlighting audit"/>
    <n v="2021"/>
    <n v="-4154.4799999999996"/>
    <s v="USD"/>
    <n v="12"/>
    <s v="2021-12-31"/>
    <s v="P"/>
    <s v="0"/>
    <m/>
    <s v="ACTUALS"/>
    <s v="ACTUALS"/>
    <s v="Reverse Tyler"/>
    <s v="N"/>
    <s v="2021-12-14"/>
    <n v="0"/>
    <s v="000000"/>
    <n v="0"/>
    <m/>
    <n v="0"/>
    <n v="0"/>
  </r>
  <r>
    <m/>
    <s v="UJE"/>
    <x v="1"/>
    <s v="ESD"/>
    <n v="-101362.17"/>
    <x v="0"/>
    <x v="6"/>
    <s v="521900"/>
    <s v="2539000"/>
    <s v="000"/>
    <s v="STLAUDIT"/>
    <s v="0000"/>
    <s v="0000"/>
    <m/>
    <x v="3"/>
    <s v="000_2021-12-31_0000965164.xlsm"/>
    <m/>
    <s v="P:\PSFS\FIMPRD\JRNLDOC\STAGE\"/>
    <n v="12"/>
    <n v="1"/>
    <s v="CRRNT"/>
    <s v="USD"/>
    <s v="To reverse what had been acctured for pending streetlighting audit"/>
    <n v="2021"/>
    <n v="-101362.17"/>
    <s v="USD"/>
    <n v="16"/>
    <s v="2021-12-31"/>
    <s v="P"/>
    <s v="0"/>
    <m/>
    <s v="ACTUALS"/>
    <s v="ACTUALS"/>
    <s v="Reverse Irving"/>
    <s v="N"/>
    <s v="2021-12-14"/>
    <n v="0"/>
    <s v="000000"/>
    <n v="0"/>
    <m/>
    <n v="0"/>
    <n v="0"/>
  </r>
  <r>
    <m/>
    <s v="UJE"/>
    <x v="2"/>
    <s v="ESD"/>
    <n v="179769.39"/>
    <x v="0"/>
    <x v="6"/>
    <s v="521900"/>
    <s v="2539000"/>
    <s v="000"/>
    <s v="STLAUDIT"/>
    <s v="0000"/>
    <s v="0000"/>
    <m/>
    <x v="4"/>
    <s v="000_2021-12-31_0000966062.xlsm"/>
    <m/>
    <s v="/data/psfs/docs/fimprd/jrnldoc"/>
    <n v="12"/>
    <n v="1"/>
    <s v="CRRNT"/>
    <s v="USD"/>
    <s v="To write off the balance in liability account for streetlighting settlement audit"/>
    <n v="2021"/>
    <n v="179769.39"/>
    <s v="USD"/>
    <n v="4"/>
    <s v="2021-12-31"/>
    <s v="P"/>
    <s v="0"/>
    <m/>
    <s v="ACTUALS"/>
    <s v="ACTUALS"/>
    <s v="W/O liabbility 2539000"/>
    <s v="N"/>
    <s v="2022-01-05"/>
    <n v="0"/>
    <s v="000000"/>
    <n v="0"/>
    <m/>
    <n v="0"/>
    <n v="0"/>
  </r>
  <r>
    <m/>
    <s v="UJE"/>
    <x v="0"/>
    <s v="ESD"/>
    <n v="46821.2"/>
    <x v="0"/>
    <x v="7"/>
    <s v="521900"/>
    <s v="2539000"/>
    <s v="000"/>
    <s v="STLAUDIT"/>
    <s v="0000"/>
    <s v="0000"/>
    <m/>
    <x v="0"/>
    <s v="000_2021-02-28_0000877986.xlsm"/>
    <m/>
    <s v="P:\PSFS\FIMPROD\JRNLDOC\STAGE\"/>
    <n v="3"/>
    <n v="1"/>
    <s v="CRRNT"/>
    <s v="USD"/>
    <s v="To accrue for pending streetlight audits."/>
    <n v="2021"/>
    <n v="46821.2"/>
    <s v="USD"/>
    <n v="4"/>
    <s v="2021-03-01"/>
    <s v="P"/>
    <s v="0"/>
    <m/>
    <s v="ACTUALS"/>
    <s v="ACTUALS"/>
    <s v="accrual for pending audits"/>
    <s v="N"/>
    <s v="2021-03-01"/>
    <n v="2143539"/>
    <s v="000000"/>
    <n v="0"/>
    <m/>
    <n v="0"/>
    <n v="0"/>
  </r>
  <r>
    <m/>
    <s v="UJE"/>
    <x v="0"/>
    <s v="ESD"/>
    <n v="46821.2"/>
    <x v="0"/>
    <x v="8"/>
    <s v="521900"/>
    <s v="2539000"/>
    <s v="000"/>
    <s v="STLAUDIT"/>
    <s v="0000"/>
    <s v="0000"/>
    <m/>
    <x v="0"/>
    <s v="000_2021-09-30_0000877986.xlsm"/>
    <m/>
    <s v="P:\PSFS\FIMPRD\JRNLDOC\STAGE\"/>
    <n v="10"/>
    <n v="1"/>
    <s v="CRRNT"/>
    <s v="USD"/>
    <s v="To accrue for pending streetlight audits."/>
    <n v="2021"/>
    <n v="46821.2"/>
    <s v="USD"/>
    <n v="4"/>
    <s v="2021-10-01"/>
    <s v="P"/>
    <s v="0"/>
    <m/>
    <s v="ACTUALS"/>
    <s v="ACTUALS"/>
    <s v="accrual for pending audits"/>
    <s v="N"/>
    <s v="2021-09-30"/>
    <n v="2319231"/>
    <s v="000000"/>
    <n v="0"/>
    <m/>
    <n v="0"/>
    <n v="0"/>
  </r>
  <r>
    <m/>
    <s v="UJE"/>
    <x v="0"/>
    <s v="ESD"/>
    <n v="-46821.2"/>
    <x v="0"/>
    <x v="6"/>
    <s v="521900"/>
    <s v="2539000"/>
    <s v="000"/>
    <s v="STLAUDIT"/>
    <s v="0000"/>
    <s v="0000"/>
    <m/>
    <x v="0"/>
    <s v="000_2021-12-31_0000877986.xlsm"/>
    <m/>
    <s v="/data/psfs/docs/fimprd/jrnldoc"/>
    <n v="12"/>
    <n v="1"/>
    <s v="CRRNT"/>
    <s v="USD"/>
    <s v="To accrue for pending streetlight audits."/>
    <n v="2021"/>
    <n v="-46821.2"/>
    <s v="USD"/>
    <n v="4"/>
    <s v="2021-12-31"/>
    <s v="P"/>
    <s v="0"/>
    <m/>
    <s v="ACTUALS"/>
    <s v="ACTUALS"/>
    <s v="accrual for pending audits"/>
    <s v="N"/>
    <s v="2022-01-05"/>
    <n v="0"/>
    <s v="000000"/>
    <n v="0"/>
    <m/>
    <n v="0"/>
    <n v="0"/>
  </r>
  <r>
    <m/>
    <s v="UJE"/>
    <x v="0"/>
    <s v="ESD"/>
    <n v="46821.2"/>
    <x v="0"/>
    <x v="9"/>
    <s v="521900"/>
    <s v="2539000"/>
    <s v="000"/>
    <s v="STLAUDIT"/>
    <s v="0000"/>
    <s v="0000"/>
    <m/>
    <x v="0"/>
    <s v="000_2021-10-31_0000877986.xlsm"/>
    <m/>
    <s v="P:\PSFS\FIMPRD\JRNLDOC\STAGE\"/>
    <n v="11"/>
    <n v="1"/>
    <s v="CRRNT"/>
    <s v="USD"/>
    <s v="To accrue for pending streetlight audits."/>
    <n v="2021"/>
    <n v="46821.2"/>
    <s v="USD"/>
    <n v="4"/>
    <s v="2021-11-01"/>
    <s v="P"/>
    <s v="0"/>
    <m/>
    <s v="ACTUALS"/>
    <s v="ACTUALS"/>
    <s v="accrual for pending audits"/>
    <s v="N"/>
    <s v="2021-11-01"/>
    <n v="2334533"/>
    <s v="000000"/>
    <n v="0"/>
    <m/>
    <n v="0"/>
    <n v="0"/>
  </r>
  <r>
    <m/>
    <s v="UJE"/>
    <x v="0"/>
    <s v="ESD"/>
    <n v="-46821.2"/>
    <x v="0"/>
    <x v="10"/>
    <s v="521900"/>
    <s v="2539000"/>
    <s v="000"/>
    <s v="STLAUDIT"/>
    <s v="0000"/>
    <s v="0000"/>
    <m/>
    <x v="0"/>
    <s v="000_2021-03-31_0000877986.xlsm"/>
    <m/>
    <s v="P:\PSFS\FIMPROD\JRNLDOC\STAGE\"/>
    <n v="3"/>
    <n v="1"/>
    <s v="CRRNT"/>
    <s v="USD"/>
    <s v="To accrue for pending streetlight audits."/>
    <n v="2021"/>
    <n v="-46821.2"/>
    <s v="USD"/>
    <n v="4"/>
    <s v="2021-03-31"/>
    <s v="P"/>
    <s v="0"/>
    <m/>
    <s v="ACTUALS"/>
    <s v="ACTUALS"/>
    <s v="accrual for pending audits"/>
    <s v="N"/>
    <s v="2021-03-31"/>
    <n v="0"/>
    <s v="000000"/>
    <n v="0"/>
    <m/>
    <n v="0"/>
    <n v="0"/>
  </r>
  <r>
    <m/>
    <s v="UJE"/>
    <x v="0"/>
    <s v="ESD"/>
    <n v="-46821.2"/>
    <x v="0"/>
    <x v="11"/>
    <s v="521900"/>
    <s v="2539000"/>
    <s v="000"/>
    <s v="STLAUDIT"/>
    <s v="0000"/>
    <s v="0000"/>
    <m/>
    <x v="0"/>
    <s v="000_2021-04-30_0000877986.xlsm"/>
    <m/>
    <s v="P:\PSFS\FIMPROD\JRNLDOC\STAGE\"/>
    <n v="4"/>
    <n v="1"/>
    <s v="CRRNT"/>
    <s v="USD"/>
    <s v="To accrue for pending streetlight audits."/>
    <n v="2021"/>
    <n v="-46821.2"/>
    <s v="USD"/>
    <n v="4"/>
    <s v="2021-04-30"/>
    <s v="P"/>
    <s v="0"/>
    <m/>
    <s v="ACTUALS"/>
    <s v="ACTUALS"/>
    <s v="accrual for pending audits"/>
    <s v="N"/>
    <s v="2021-04-30"/>
    <n v="0"/>
    <s v="000000"/>
    <n v="0"/>
    <m/>
    <n v="0"/>
    <n v="0"/>
  </r>
  <r>
    <m/>
    <s v="UJE"/>
    <x v="0"/>
    <s v="ESD"/>
    <n v="46821.2"/>
    <x v="0"/>
    <x v="12"/>
    <s v="521900"/>
    <s v="2539000"/>
    <s v="000"/>
    <s v="STLAUDIT"/>
    <s v="0000"/>
    <s v="0000"/>
    <m/>
    <x v="0"/>
    <s v="000_2021-06-30_0000877986.xlsm"/>
    <m/>
    <s v="P:\PSFS\FIMPROD\JRNLDOC\STAGE\"/>
    <n v="7"/>
    <n v="1"/>
    <s v="CRRNT"/>
    <s v="USD"/>
    <s v="To accrue for pending streetlight audits."/>
    <n v="2021"/>
    <n v="46821.2"/>
    <s v="USD"/>
    <n v="4"/>
    <s v="2021-07-01"/>
    <s v="P"/>
    <s v="0"/>
    <m/>
    <s v="ACTUALS"/>
    <s v="ACTUALS"/>
    <s v="accrual for pending audits"/>
    <s v="N"/>
    <s v="2021-06-30"/>
    <n v="2251142"/>
    <s v="000000"/>
    <n v="0"/>
    <m/>
    <n v="0"/>
    <n v="0"/>
  </r>
  <r>
    <m/>
    <s v="UJE"/>
    <x v="0"/>
    <s v="ESD"/>
    <n v="46821.2"/>
    <x v="0"/>
    <x v="13"/>
    <s v="521900"/>
    <s v="2539000"/>
    <s v="000"/>
    <s v="STLAUDIT"/>
    <s v="0000"/>
    <s v="0000"/>
    <m/>
    <x v="0"/>
    <s v="000_2021-04-30_0000877986.xlsm"/>
    <m/>
    <s v="P:\PSFS\FIMPROD\JRNLDOC\STAGE\"/>
    <n v="5"/>
    <n v="1"/>
    <s v="CRRNT"/>
    <s v="USD"/>
    <s v="To accrue for pending streetlight audits."/>
    <n v="2021"/>
    <n v="46821.2"/>
    <s v="USD"/>
    <n v="4"/>
    <s v="2021-05-01"/>
    <s v="P"/>
    <s v="0"/>
    <m/>
    <s v="ACTUALS"/>
    <s v="ACTUALS"/>
    <s v="accrual for pending audits"/>
    <s v="N"/>
    <s v="2021-04-30"/>
    <n v="2198325"/>
    <s v="000000"/>
    <n v="0"/>
    <m/>
    <n v="0"/>
    <n v="0"/>
  </r>
  <r>
    <m/>
    <s v="UJE"/>
    <x v="0"/>
    <s v="ESD"/>
    <n v="46821.2"/>
    <x v="0"/>
    <x v="14"/>
    <s v="521900"/>
    <s v="2539000"/>
    <s v="000"/>
    <s v="STLAUDIT"/>
    <s v="0000"/>
    <s v="0000"/>
    <m/>
    <x v="0"/>
    <s v="000_2020-12-31_0000877986.xlsm"/>
    <m/>
    <s v="P:\PSFS\FIMPROD\JRNLDOC\STAGE\"/>
    <n v="1"/>
    <n v="1"/>
    <s v="CRRNT"/>
    <s v="USD"/>
    <s v="To accrue for pending streetlight audits."/>
    <n v="2021"/>
    <n v="46821.2"/>
    <s v="USD"/>
    <n v="4"/>
    <s v="2021-01-01"/>
    <s v="P"/>
    <s v="0"/>
    <m/>
    <s v="ACTUALS"/>
    <s v="ACTUALS"/>
    <s v="accrual for pending audits"/>
    <s v="N"/>
    <s v="2021-01-04"/>
    <n v="2093911"/>
    <s v="000000"/>
    <n v="0"/>
    <m/>
    <n v="0"/>
    <n v="0"/>
  </r>
  <r>
    <m/>
    <s v="UJE"/>
    <x v="0"/>
    <s v="ESD"/>
    <n v="46821.2"/>
    <x v="0"/>
    <x v="15"/>
    <s v="521900"/>
    <s v="2539000"/>
    <s v="000"/>
    <s v="STLAUDIT"/>
    <s v="0000"/>
    <s v="0000"/>
    <m/>
    <x v="0"/>
    <s v="000_2021-03-31_0000877986.xlsm"/>
    <m/>
    <s v="P:\PSFS\FIMPROD\JRNLDOC\STAGE\"/>
    <n v="4"/>
    <n v="1"/>
    <s v="CRRNT"/>
    <s v="USD"/>
    <s v="To accrue for pending streetlight audits."/>
    <n v="2021"/>
    <n v="46821.2"/>
    <s v="USD"/>
    <n v="4"/>
    <s v="2021-04-01"/>
    <s v="P"/>
    <s v="0"/>
    <m/>
    <s v="ACTUALS"/>
    <s v="ACTUALS"/>
    <s v="accrual for pending audits"/>
    <s v="N"/>
    <s v="2021-03-31"/>
    <n v="2170419"/>
    <s v="000000"/>
    <n v="0"/>
    <m/>
    <n v="0"/>
    <n v="0"/>
  </r>
  <r>
    <m/>
    <s v="UJE"/>
    <x v="0"/>
    <s v="ESD"/>
    <n v="46821.2"/>
    <x v="0"/>
    <x v="16"/>
    <s v="521900"/>
    <s v="2539000"/>
    <s v="000"/>
    <s v="STLAUDIT"/>
    <s v="0000"/>
    <s v="0000"/>
    <m/>
    <x v="0"/>
    <s v="000_2021-01-31_0000877986.xlsm"/>
    <m/>
    <s v="P:\PSFS\FIMPROD\JRNLDOC\STAGE\"/>
    <n v="2"/>
    <n v="1"/>
    <s v="CRRNT"/>
    <s v="USD"/>
    <s v="To accrue for pending streetlight audits."/>
    <n v="2021"/>
    <n v="46821.2"/>
    <s v="USD"/>
    <n v="4"/>
    <s v="2021-02-01"/>
    <s v="P"/>
    <s v="0"/>
    <m/>
    <s v="ACTUALS"/>
    <s v="ACTUALS"/>
    <s v="accrual for pending audits"/>
    <s v="N"/>
    <s v="2021-01-29"/>
    <n v="2117189"/>
    <s v="000000"/>
    <n v="0"/>
    <m/>
    <n v="0"/>
    <n v="0"/>
  </r>
  <r>
    <m/>
    <s v="UJE"/>
    <x v="1"/>
    <s v="ESD"/>
    <n v="-3653.71"/>
    <x v="0"/>
    <x v="6"/>
    <s v="521900"/>
    <s v="2539000"/>
    <s v="000"/>
    <s v="STLAUDIT"/>
    <s v="0000"/>
    <s v="0000"/>
    <m/>
    <x v="5"/>
    <s v="000_2021-12-31_0000965164.xlsm"/>
    <m/>
    <s v="P:\PSFS\FIMPRD\JRNLDOC\STAGE\"/>
    <n v="12"/>
    <n v="1"/>
    <s v="CRRNT"/>
    <s v="USD"/>
    <s v="To reverse what had been acctured for pending streetlighting audit"/>
    <n v="2021"/>
    <n v="-3653.71"/>
    <s v="USD"/>
    <n v="8"/>
    <s v="2021-12-31"/>
    <s v="P"/>
    <s v="0"/>
    <m/>
    <s v="ACTUALS"/>
    <s v="ACTUALS"/>
    <s v="Reverse Brownwood"/>
    <s v="N"/>
    <s v="2021-12-14"/>
    <n v="0"/>
    <s v="000000"/>
    <n v="0"/>
    <m/>
    <n v="0"/>
    <n v="0"/>
  </r>
  <r>
    <m/>
    <s v="UJE"/>
    <x v="0"/>
    <s v="ESD"/>
    <n v="-46821.2"/>
    <x v="0"/>
    <x v="17"/>
    <s v="521900"/>
    <s v="2539000"/>
    <s v="000"/>
    <s v="STLAUDIT"/>
    <s v="0000"/>
    <s v="0000"/>
    <m/>
    <x v="0"/>
    <s v="000_2021-06-30_0000877986.xlsm"/>
    <m/>
    <s v="P:\PSFS\FIMPROD\JRNLDOC\STAGE\"/>
    <n v="6"/>
    <n v="1"/>
    <s v="CRRNT"/>
    <s v="USD"/>
    <s v="To accrue for pending streetlight audits."/>
    <n v="2021"/>
    <n v="-46821.2"/>
    <s v="USD"/>
    <n v="4"/>
    <s v="2021-06-30"/>
    <s v="P"/>
    <s v="0"/>
    <m/>
    <s v="ACTUALS"/>
    <s v="ACTUALS"/>
    <s v="accrual for pending audits"/>
    <s v="N"/>
    <s v="2021-06-30"/>
    <n v="0"/>
    <s v="000000"/>
    <n v="0"/>
    <m/>
    <n v="0"/>
    <n v="0"/>
  </r>
  <r>
    <m/>
    <s v="UJE"/>
    <x v="0"/>
    <s v="ESD"/>
    <n v="-46821.2"/>
    <x v="0"/>
    <x v="18"/>
    <s v="521900"/>
    <s v="2539000"/>
    <s v="000"/>
    <s v="STLAUDIT"/>
    <s v="0000"/>
    <s v="0000"/>
    <m/>
    <x v="0"/>
    <s v="000_2021-02-28_0000877986.xlsm"/>
    <m/>
    <s v="P:\PSFS\FIMPROD\JRNLDOC\STAGE\"/>
    <n v="2"/>
    <n v="1"/>
    <s v="CRRNT"/>
    <s v="USD"/>
    <s v="To accrue for pending streetlight audits."/>
    <n v="2021"/>
    <n v="-46821.2"/>
    <s v="USD"/>
    <n v="4"/>
    <s v="2021-02-28"/>
    <s v="P"/>
    <s v="0"/>
    <m/>
    <s v="ACTUALS"/>
    <s v="ACTUALS"/>
    <s v="accrual for pending audits"/>
    <s v="N"/>
    <s v="2021-03-01"/>
    <n v="0"/>
    <s v="000000"/>
    <n v="0"/>
    <m/>
    <n v="0"/>
    <n v="0"/>
  </r>
  <r>
    <m/>
    <s v="UJE"/>
    <x v="0"/>
    <s v="ESD"/>
    <n v="-46821.2"/>
    <x v="0"/>
    <x v="19"/>
    <s v="521900"/>
    <s v="2539000"/>
    <s v="000"/>
    <s v="STLAUDIT"/>
    <s v="0000"/>
    <s v="0000"/>
    <m/>
    <x v="0"/>
    <s v="000_2021-05-31_0000877986.xlsm"/>
    <m/>
    <s v="P:\PSFS\FIMPROD\JRNLDOC\STAGE\"/>
    <n v="5"/>
    <n v="1"/>
    <s v="CRRNT"/>
    <s v="USD"/>
    <s v="To accrue for pending streetlight audits."/>
    <n v="2021"/>
    <n v="-46821.2"/>
    <s v="USD"/>
    <n v="4"/>
    <s v="2021-05-31"/>
    <s v="P"/>
    <s v="0"/>
    <m/>
    <s v="ACTUALS"/>
    <s v="ACTUALS"/>
    <s v="accrual for pending audits"/>
    <s v="N"/>
    <s v="2021-06-01"/>
    <n v="0"/>
    <s v="000000"/>
    <n v="0"/>
    <m/>
    <n v="0"/>
    <n v="0"/>
  </r>
  <r>
    <m/>
    <s v="UJE"/>
    <x v="0"/>
    <s v="ESD"/>
    <n v="-46821.2"/>
    <x v="0"/>
    <x v="20"/>
    <s v="521900"/>
    <s v="2539000"/>
    <s v="000"/>
    <s v="STLAUDIT"/>
    <s v="0000"/>
    <s v="0000"/>
    <m/>
    <x v="0"/>
    <s v="000_2021-01-31_0000877986.xlsm"/>
    <m/>
    <s v="P:\PSFS\FIMPROD\JRNLDOC\STAGE\"/>
    <n v="1"/>
    <n v="1"/>
    <s v="CRRNT"/>
    <s v="USD"/>
    <s v="To accrue for pending streetlight audits."/>
    <n v="2021"/>
    <n v="-46821.2"/>
    <s v="USD"/>
    <n v="4"/>
    <s v="2021-01-31"/>
    <s v="P"/>
    <s v="0"/>
    <m/>
    <s v="ACTUALS"/>
    <s v="ACTUALS"/>
    <s v="accrual for pending audits"/>
    <s v="N"/>
    <s v="2021-01-29"/>
    <n v="0"/>
    <s v="000000"/>
    <n v="0"/>
    <m/>
    <n v="0"/>
    <n v="0"/>
  </r>
  <r>
    <m/>
    <s v="UJE"/>
    <x v="0"/>
    <s v="ESD"/>
    <n v="46821.2"/>
    <x v="0"/>
    <x v="21"/>
    <s v="521900"/>
    <s v="2539000"/>
    <s v="000"/>
    <s v="STLAUDIT"/>
    <s v="0000"/>
    <s v="0000"/>
    <m/>
    <x v="0"/>
    <s v="000_2021-07-31_0000877986.xlsm"/>
    <m/>
    <s v="P:\PSFS\FIMPROD\JRNLDOC\STAGE\"/>
    <n v="8"/>
    <n v="1"/>
    <s v="CRRNT"/>
    <s v="USD"/>
    <s v="To accrue for pending streetlight audits."/>
    <n v="2021"/>
    <n v="46821.2"/>
    <s v="USD"/>
    <n v="4"/>
    <s v="2021-08-01"/>
    <s v="P"/>
    <s v="0"/>
    <m/>
    <s v="ACTUALS"/>
    <s v="ACTUALS"/>
    <s v="accrual for pending audits"/>
    <s v="N"/>
    <s v="2021-08-02"/>
    <n v="2278934"/>
    <s v="000000"/>
    <n v="0"/>
    <m/>
    <n v="0"/>
    <n v="0"/>
  </r>
  <r>
    <m/>
    <s v="UJE"/>
    <x v="0"/>
    <s v="ESD"/>
    <n v="46821.2"/>
    <x v="0"/>
    <x v="22"/>
    <s v="521900"/>
    <s v="2539000"/>
    <s v="000"/>
    <s v="STLAUDIT"/>
    <s v="0000"/>
    <s v="0000"/>
    <m/>
    <x v="0"/>
    <s v="000_2021-05-31_0000877986.xlsm"/>
    <m/>
    <s v="P:\PSFS\FIMPROD\JRNLDOC\STAGE\"/>
    <n v="6"/>
    <n v="1"/>
    <s v="CRRNT"/>
    <s v="USD"/>
    <s v="To accrue for pending streetlight audits."/>
    <n v="2021"/>
    <n v="46821.2"/>
    <s v="USD"/>
    <n v="4"/>
    <s v="2021-06-01"/>
    <s v="P"/>
    <s v="0"/>
    <m/>
    <s v="ACTUALS"/>
    <s v="ACTUALS"/>
    <s v="accrual for pending audits"/>
    <s v="N"/>
    <s v="2021-06-01"/>
    <n v="2225260"/>
    <s v="000000"/>
    <n v="0"/>
    <m/>
    <n v="0"/>
    <n v="0"/>
  </r>
  <r>
    <m/>
    <s v="UJE"/>
    <x v="0"/>
    <s v="ESD"/>
    <n v="-46821.2"/>
    <x v="0"/>
    <x v="23"/>
    <s v="521900"/>
    <s v="2539000"/>
    <s v="000"/>
    <s v="STLAUDIT"/>
    <s v="0000"/>
    <s v="0000"/>
    <m/>
    <x v="0"/>
    <s v="000_2021-10-31_0000877986.xlsm"/>
    <m/>
    <s v="P:\PSFS\FIMPRD\JRNLDOC\STAGE\"/>
    <n v="10"/>
    <n v="1"/>
    <s v="CRRNT"/>
    <s v="USD"/>
    <s v="To accrue for pending streetlight audits."/>
    <n v="2021"/>
    <n v="-46821.2"/>
    <s v="USD"/>
    <n v="4"/>
    <s v="2021-10-31"/>
    <s v="P"/>
    <s v="0"/>
    <m/>
    <s v="ACTUALS"/>
    <s v="ACTUALS"/>
    <s v="accrual for pending audits"/>
    <s v="N"/>
    <s v="2021-11-01"/>
    <n v="0"/>
    <s v="000000"/>
    <n v="0"/>
    <m/>
    <n v="0"/>
    <n v="0"/>
  </r>
</pivotCacheRecords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Data" showMissing="1" preserveFormatting="1" useAutoFormatting="1" itemPrintTitles="1" compact="0" compactData="0" createdVersion="1" updatedVersion="5" indent="0" gridDropZones="1" showMemberPropertyTips="0">
  <location ref="A3:F58" firstHeaderRow="1" firstDataRow="2" firstDataCol="2"/>
  <pivotFields count="42"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dataField="1" compact="0" outline="0" subtotalTop="0" showAll="0" includeNewItemsInFilter="1" numFmtId="40"/>
    <pivotField compact="0" outline="0" subtotalTop="0" showAll="0" includeNewItemsInFilter="1">
      <items count="2">
        <item x="0"/>
        <item t="default"/>
      </items>
    </pivotField>
    <pivotField axis="axisRow" compact="0" outline="0" subtotalTop="0" showAll="0" includeNewItemsInFilter="1">
      <items count="25">
        <item x="14"/>
        <item x="20"/>
        <item x="16"/>
        <item x="18"/>
        <item x="7"/>
        <item x="10"/>
        <item x="15"/>
        <item x="11"/>
        <item x="13"/>
        <item x="19"/>
        <item x="22"/>
        <item x="17"/>
        <item x="12"/>
        <item x="3"/>
        <item x="21"/>
        <item x="0"/>
        <item x="4"/>
        <item x="1"/>
        <item x="8"/>
        <item x="23"/>
        <item x="9"/>
        <item x="2"/>
        <item x="5"/>
        <item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7">
        <item x="0"/>
        <item x="5"/>
        <item x="1"/>
        <item x="3"/>
        <item x="2"/>
        <item x="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2">
    <field x="6"/>
    <field x="14"/>
  </rowFields>
  <rowItems count="54">
    <i>
      <x/>
      <x/>
    </i>
    <i t="default">
      <x/>
    </i>
    <i>
      <x v="1"/>
      <x/>
    </i>
    <i t="default">
      <x v="1"/>
    </i>
    <i>
      <x v="2"/>
      <x/>
    </i>
    <i t="default">
      <x v="2"/>
    </i>
    <i>
      <x v="3"/>
      <x/>
    </i>
    <i t="default">
      <x v="3"/>
    </i>
    <i>
      <x v="4"/>
      <x/>
    </i>
    <i t="default">
      <x v="4"/>
    </i>
    <i>
      <x v="5"/>
      <x/>
    </i>
    <i t="default">
      <x v="5"/>
    </i>
    <i>
      <x v="6"/>
      <x/>
    </i>
    <i t="default">
      <x v="6"/>
    </i>
    <i>
      <x v="7"/>
      <x/>
    </i>
    <i t="default">
      <x v="7"/>
    </i>
    <i>
      <x v="8"/>
      <x/>
    </i>
    <i t="default">
      <x v="8"/>
    </i>
    <i>
      <x v="9"/>
      <x/>
    </i>
    <i t="default">
      <x v="9"/>
    </i>
    <i>
      <x v="10"/>
      <x/>
    </i>
    <i t="default">
      <x v="10"/>
    </i>
    <i>
      <x v="11"/>
      <x/>
    </i>
    <i t="default">
      <x v="11"/>
    </i>
    <i>
      <x v="12"/>
      <x/>
    </i>
    <i t="default">
      <x v="12"/>
    </i>
    <i>
      <x v="13"/>
      <x/>
    </i>
    <i t="default">
      <x v="13"/>
    </i>
    <i>
      <x v="14"/>
      <x/>
    </i>
    <i t="default">
      <x v="14"/>
    </i>
    <i>
      <x v="15"/>
      <x/>
    </i>
    <i t="default">
      <x v="15"/>
    </i>
    <i>
      <x v="16"/>
      <x/>
    </i>
    <i t="default">
      <x v="16"/>
    </i>
    <i>
      <x v="17"/>
      <x/>
    </i>
    <i t="default">
      <x v="17"/>
    </i>
    <i>
      <x v="18"/>
      <x/>
    </i>
    <i t="default">
      <x v="18"/>
    </i>
    <i>
      <x v="19"/>
      <x/>
    </i>
    <i t="default">
      <x v="19"/>
    </i>
    <i>
      <x v="20"/>
      <x/>
    </i>
    <i t="default">
      <x v="20"/>
    </i>
    <i>
      <x v="21"/>
      <x/>
    </i>
    <i t="default">
      <x v="21"/>
    </i>
    <i>
      <x v="22"/>
      <x/>
    </i>
    <i t="default">
      <x v="22"/>
    </i>
    <i>
      <x v="23"/>
      <x/>
    </i>
    <i r="1">
      <x v="1"/>
    </i>
    <i r="1">
      <x v="2"/>
    </i>
    <i r="1">
      <x v="3"/>
    </i>
    <i r="1">
      <x v="4"/>
    </i>
    <i r="1">
      <x v="5"/>
    </i>
    <i t="default">
      <x v="23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Monetary Amount" fld="4" baseField="6" baseItem="0" numFmtId="7"/>
  </dataFields>
  <formats count="4">
    <format dxfId="3">
      <pivotArea outline="0" fieldPosition="0">
        <references count="2">
          <reference field="2" selected="0" count="1">
            <x v="1"/>
          </reference>
          <reference field="6" defaultSubtotal="1" selected="0" count="1">
            <x v="23"/>
          </reference>
        </references>
      </pivotArea>
    </format>
    <format dxfId="2">
      <pivotArea outline="0" fieldPosition="0" axis="axisCol" field="2" grandRow="1">
        <references count="1">
          <reference field="2" selected="0" count="1">
            <x v="1"/>
          </reference>
        </references>
      </pivotArea>
    </format>
    <format dxfId="1">
      <pivotArea outline="0" fieldPosition="0" grandRow="1"/>
    </format>
    <format dxfId="0">
      <pivotArea outline="0" fieldPosition="0" dataOnly="0" grandRow="1" labelOnly="1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ivotTable" Target="../pivotTables/pivotTable1.xm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image" Target="../media/image1.emf" /><Relationship Id="rId2" Type="http://schemas.openxmlformats.org/officeDocument/2006/relationships/control" Target="../activeX/activeX1.xml" /><Relationship Id="rId4" Type="http://schemas.openxmlformats.org/officeDocument/2006/relationships/vmlDrawing" Target="../drawings/vmlDrawing1.vml" /><Relationship Id="rId5" Type="http://schemas.openxmlformats.org/officeDocument/2006/relationships/printerSettings" Target="../printerSettings/printerSettings2.bin" /><Relationship Id="rId3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pageSetUpPr fitToPage="1"/>
  </sheetPr>
  <dimension ref="A1:R48"/>
  <sheetViews>
    <sheetView tabSelected="1" workbookViewId="0" topLeftCell="A1">
      <pane xSplit="2" ySplit="5" topLeftCell="C6" activePane="bottomRight" state="frozen"/>
      <selection pane="topLeft" activeCell="B2" sqref="B2"/>
      <selection pane="bottomLeft" activeCell="B7" sqref="B7"/>
      <selection pane="topRight" activeCell="G2" sqref="G2"/>
      <selection pane="bottomRight" activeCell="A2" sqref="A2"/>
    </sheetView>
  </sheetViews>
  <sheetFormatPr defaultRowHeight="12.75"/>
  <cols>
    <col min="1" max="1" width="9" style="2" customWidth="1"/>
    <col min="2" max="2" width="11" style="2" customWidth="1"/>
    <col min="3" max="3" width="4.85714285714286" style="2" customWidth="1"/>
    <col min="4" max="4" width="13.5714285714286" style="6" customWidth="1"/>
    <col min="5" max="5" width="29.1428571428571" style="2" customWidth="1"/>
    <col min="6" max="6" width="10.1428571428571" style="2" customWidth="1"/>
    <col min="7" max="7" width="7" style="2" customWidth="1"/>
    <col min="8" max="8" width="8.14285714285714" style="2" customWidth="1"/>
    <col min="9" max="9" width="6.85714285714286" style="2" customWidth="1"/>
    <col min="10" max="10" width="9" style="2" customWidth="1"/>
    <col min="11" max="11" width="7.57142857142857" style="2" customWidth="1"/>
    <col min="12" max="12" width="7.14285714285714" style="2" customWidth="1"/>
    <col min="13" max="13" width="4" style="2" customWidth="1"/>
    <col min="14" max="14" width="23" style="2" customWidth="1"/>
    <col min="15" max="15" width="64.8571428571429" style="2" customWidth="1"/>
    <col min="16" max="16" width="5.14285714285714" style="2" customWidth="1"/>
    <col min="17" max="17" width="23" style="2" customWidth="1"/>
    <col min="18" max="18" width="9.14285714285714" style="2"/>
  </cols>
  <sheetData>
    <row r="1" spans="1:18" s="1" customFormat="1" ht="15.75">
      <c r="A1" s="3" t="s">
        <v>242</v>
      </c>
      <c r="B1" s="3"/>
      <c r="C1" s="3"/>
      <c r="D1" s="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3" spans="1:18" s="1" customFormat="1" ht="15.75">
      <c r="A3" s="3" t="s">
        <v>73</v>
      </c>
      <c r="B3" s="3"/>
      <c r="C3" s="3"/>
      <c r="D3" s="7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5" spans="1:17" s="10" customFormat="1" ht="26.25" thickBot="1">
      <c r="A5" s="10" t="s">
        <v>4</v>
      </c>
      <c r="B5" s="10" t="s">
        <v>6</v>
      </c>
      <c r="C5" s="10" t="s">
        <v>8</v>
      </c>
      <c r="D5" s="11" t="s">
        <v>26</v>
      </c>
      <c r="E5" s="10" t="s">
        <v>76</v>
      </c>
      <c r="F5" s="10" t="s">
        <v>10</v>
      </c>
      <c r="G5" s="10" t="s">
        <v>12</v>
      </c>
      <c r="H5" s="10" t="s">
        <v>14</v>
      </c>
      <c r="I5" s="10" t="s">
        <v>16</v>
      </c>
      <c r="J5" s="10" t="s">
        <v>18</v>
      </c>
      <c r="K5" s="10" t="s">
        <v>20</v>
      </c>
      <c r="L5" s="10" t="s">
        <v>22</v>
      </c>
      <c r="M5" s="10" t="s">
        <v>24</v>
      </c>
      <c r="N5" s="10" t="s">
        <v>28</v>
      </c>
      <c r="O5" s="10" t="s">
        <v>40</v>
      </c>
      <c r="P5" s="10" t="s">
        <v>42</v>
      </c>
      <c r="Q5" s="10" t="s">
        <v>28</v>
      </c>
    </row>
    <row r="6" spans="1:17" s="2" customFormat="1" ht="13.5" thickTop="1">
      <c r="A6" s="2" t="s">
        <v>88</v>
      </c>
      <c r="B6" s="97" t="s">
        <v>89</v>
      </c>
      <c r="C6" s="2" t="s">
        <v>84</v>
      </c>
      <c r="D6" s="95">
        <v>21069.540000000001</v>
      </c>
      <c r="E6" s="8" t="s">
        <v>241</v>
      </c>
      <c r="F6" s="14" t="s">
        <v>92</v>
      </c>
      <c r="G6" s="2" t="s">
        <v>93</v>
      </c>
      <c r="H6" s="2" t="s">
        <v>94</v>
      </c>
      <c r="I6" s="2" t="s">
        <v>95</v>
      </c>
      <c r="J6" s="2" t="s">
        <v>96</v>
      </c>
      <c r="K6" s="2" t="s">
        <v>97</v>
      </c>
      <c r="L6" s="2" t="s">
        <v>98</v>
      </c>
      <c r="N6" s="2" t="s">
        <v>99</v>
      </c>
      <c r="O6" s="2" t="s">
        <v>144</v>
      </c>
      <c r="P6" s="2">
        <v>2021</v>
      </c>
      <c r="Q6" s="2" t="s">
        <v>99</v>
      </c>
    </row>
    <row r="7" spans="1:17" s="2" customFormat="1" ht="12.75">
      <c r="A7" s="2" t="s">
        <v>88</v>
      </c>
      <c r="B7" s="97" t="s">
        <v>89</v>
      </c>
      <c r="C7" s="2" t="s">
        <v>84</v>
      </c>
      <c r="D7" s="95">
        <v>21069.540000000001</v>
      </c>
      <c r="E7" s="8" t="s">
        <v>241</v>
      </c>
      <c r="F7" s="14" t="s">
        <v>102</v>
      </c>
      <c r="G7" s="2" t="s">
        <v>93</v>
      </c>
      <c r="H7" s="2" t="s">
        <v>94</v>
      </c>
      <c r="I7" s="2" t="s">
        <v>95</v>
      </c>
      <c r="J7" s="2" t="s">
        <v>96</v>
      </c>
      <c r="K7" s="2" t="s">
        <v>97</v>
      </c>
      <c r="L7" s="2" t="s">
        <v>98</v>
      </c>
      <c r="N7" s="2" t="s">
        <v>99</v>
      </c>
      <c r="O7" s="2" t="s">
        <v>144</v>
      </c>
      <c r="P7" s="2">
        <v>2021</v>
      </c>
      <c r="Q7" s="2" t="s">
        <v>99</v>
      </c>
    </row>
    <row r="8" spans="1:17" s="2" customFormat="1" ht="12.75">
      <c r="A8" s="2" t="s">
        <v>88</v>
      </c>
      <c r="B8" s="97" t="s">
        <v>89</v>
      </c>
      <c r="C8" s="2" t="s">
        <v>84</v>
      </c>
      <c r="D8" s="95">
        <v>21069.540000000001</v>
      </c>
      <c r="E8" s="8" t="s">
        <v>241</v>
      </c>
      <c r="F8" s="14" t="s">
        <v>105</v>
      </c>
      <c r="G8" s="2" t="s">
        <v>93</v>
      </c>
      <c r="H8" s="2" t="s">
        <v>94</v>
      </c>
      <c r="I8" s="2" t="s">
        <v>95</v>
      </c>
      <c r="J8" s="2" t="s">
        <v>96</v>
      </c>
      <c r="K8" s="2" t="s">
        <v>97</v>
      </c>
      <c r="L8" s="2" t="s">
        <v>98</v>
      </c>
      <c r="N8" s="2" t="s">
        <v>99</v>
      </c>
      <c r="O8" s="2" t="s">
        <v>144</v>
      </c>
      <c r="P8" s="2">
        <v>2021</v>
      </c>
      <c r="Q8" s="2" t="s">
        <v>99</v>
      </c>
    </row>
    <row r="9" spans="1:17" s="2" customFormat="1" ht="12.75">
      <c r="A9" s="2" t="s">
        <v>88</v>
      </c>
      <c r="B9" s="97" t="s">
        <v>89</v>
      </c>
      <c r="C9" s="2" t="s">
        <v>84</v>
      </c>
      <c r="D9" s="95">
        <v>-21069.540000000001</v>
      </c>
      <c r="E9" s="8" t="s">
        <v>241</v>
      </c>
      <c r="F9" s="14" t="s">
        <v>107</v>
      </c>
      <c r="G9" s="2" t="s">
        <v>93</v>
      </c>
      <c r="H9" s="2" t="s">
        <v>94</v>
      </c>
      <c r="I9" s="2" t="s">
        <v>95</v>
      </c>
      <c r="J9" s="2" t="s">
        <v>96</v>
      </c>
      <c r="K9" s="2" t="s">
        <v>97</v>
      </c>
      <c r="L9" s="2" t="s">
        <v>98</v>
      </c>
      <c r="N9" s="2" t="s">
        <v>99</v>
      </c>
      <c r="O9" s="2" t="s">
        <v>144</v>
      </c>
      <c r="P9" s="2">
        <v>2021</v>
      </c>
      <c r="Q9" s="2" t="s">
        <v>99</v>
      </c>
    </row>
    <row r="10" spans="1:17" s="2" customFormat="1" ht="12.75">
      <c r="A10" s="2" t="s">
        <v>88</v>
      </c>
      <c r="B10" s="97" t="s">
        <v>89</v>
      </c>
      <c r="C10" s="2" t="s">
        <v>84</v>
      </c>
      <c r="D10" s="95">
        <v>21069.540000000001</v>
      </c>
      <c r="E10" s="8" t="s">
        <v>241</v>
      </c>
      <c r="F10" s="14" t="s">
        <v>108</v>
      </c>
      <c r="G10" s="2" t="s">
        <v>93</v>
      </c>
      <c r="H10" s="2" t="s">
        <v>94</v>
      </c>
      <c r="I10" s="2" t="s">
        <v>95</v>
      </c>
      <c r="J10" s="2" t="s">
        <v>96</v>
      </c>
      <c r="K10" s="2" t="s">
        <v>97</v>
      </c>
      <c r="L10" s="2" t="s">
        <v>98</v>
      </c>
      <c r="N10" s="2" t="s">
        <v>99</v>
      </c>
      <c r="O10" s="2" t="s">
        <v>144</v>
      </c>
      <c r="P10" s="2">
        <v>2021</v>
      </c>
      <c r="Q10" s="2" t="s">
        <v>99</v>
      </c>
    </row>
    <row r="11" spans="1:17" s="2" customFormat="1" ht="12.75">
      <c r="A11" s="2" t="s">
        <v>88</v>
      </c>
      <c r="B11" s="97" t="s">
        <v>89</v>
      </c>
      <c r="C11" s="2" t="s">
        <v>84</v>
      </c>
      <c r="D11" s="95">
        <v>-21069.540000000001</v>
      </c>
      <c r="E11" s="8" t="s">
        <v>241</v>
      </c>
      <c r="F11" s="14" t="s">
        <v>110</v>
      </c>
      <c r="G11" s="2" t="s">
        <v>93</v>
      </c>
      <c r="H11" s="2" t="s">
        <v>94</v>
      </c>
      <c r="I11" s="2" t="s">
        <v>95</v>
      </c>
      <c r="J11" s="2" t="s">
        <v>96</v>
      </c>
      <c r="K11" s="2" t="s">
        <v>97</v>
      </c>
      <c r="L11" s="2" t="s">
        <v>98</v>
      </c>
      <c r="N11" s="2" t="s">
        <v>99</v>
      </c>
      <c r="O11" s="2" t="s">
        <v>144</v>
      </c>
      <c r="P11" s="2">
        <v>2021</v>
      </c>
      <c r="Q11" s="2" t="s">
        <v>99</v>
      </c>
    </row>
    <row r="12" spans="1:17" s="2" customFormat="1" ht="12.75">
      <c r="A12" s="2" t="s">
        <v>88</v>
      </c>
      <c r="B12" s="97" t="s">
        <v>89</v>
      </c>
      <c r="C12" s="2" t="s">
        <v>84</v>
      </c>
      <c r="D12" s="95">
        <v>21069.540000000001</v>
      </c>
      <c r="E12" s="8" t="s">
        <v>241</v>
      </c>
      <c r="F12" s="14" t="s">
        <v>111</v>
      </c>
      <c r="G12" s="2" t="s">
        <v>93</v>
      </c>
      <c r="H12" s="2" t="s">
        <v>94</v>
      </c>
      <c r="I12" s="2" t="s">
        <v>95</v>
      </c>
      <c r="J12" s="2" t="s">
        <v>96</v>
      </c>
      <c r="K12" s="2" t="s">
        <v>97</v>
      </c>
      <c r="L12" s="2" t="s">
        <v>98</v>
      </c>
      <c r="N12" s="2" t="s">
        <v>99</v>
      </c>
      <c r="O12" s="2" t="s">
        <v>144</v>
      </c>
      <c r="P12" s="2">
        <v>2021</v>
      </c>
      <c r="Q12" s="2" t="s">
        <v>99</v>
      </c>
    </row>
    <row r="13" spans="1:17" s="2" customFormat="1" ht="12.75">
      <c r="A13" s="2" t="s">
        <v>88</v>
      </c>
      <c r="B13" s="97" t="s">
        <v>89</v>
      </c>
      <c r="C13" s="2" t="s">
        <v>84</v>
      </c>
      <c r="D13" s="95">
        <v>-21069.540000000001</v>
      </c>
      <c r="E13" s="8" t="s">
        <v>241</v>
      </c>
      <c r="F13" s="14" t="s">
        <v>113</v>
      </c>
      <c r="G13" s="2" t="s">
        <v>93</v>
      </c>
      <c r="H13" s="2" t="s">
        <v>94</v>
      </c>
      <c r="I13" s="2" t="s">
        <v>95</v>
      </c>
      <c r="J13" s="2" t="s">
        <v>96</v>
      </c>
      <c r="K13" s="2" t="s">
        <v>97</v>
      </c>
      <c r="L13" s="2" t="s">
        <v>98</v>
      </c>
      <c r="N13" s="2" t="s">
        <v>99</v>
      </c>
      <c r="O13" s="2" t="s">
        <v>144</v>
      </c>
      <c r="P13" s="2">
        <v>2021</v>
      </c>
      <c r="Q13" s="2" t="s">
        <v>99</v>
      </c>
    </row>
    <row r="14" spans="1:17" s="2" customFormat="1" ht="12.75">
      <c r="A14" s="2" t="s">
        <v>88</v>
      </c>
      <c r="B14" s="97" t="s">
        <v>89</v>
      </c>
      <c r="C14" s="2" t="s">
        <v>84</v>
      </c>
      <c r="D14" s="95">
        <v>21069.540000000001</v>
      </c>
      <c r="E14" s="8" t="s">
        <v>241</v>
      </c>
      <c r="F14" s="14" t="s">
        <v>115</v>
      </c>
      <c r="G14" s="2" t="s">
        <v>93</v>
      </c>
      <c r="H14" s="2" t="s">
        <v>94</v>
      </c>
      <c r="I14" s="2" t="s">
        <v>95</v>
      </c>
      <c r="J14" s="2" t="s">
        <v>96</v>
      </c>
      <c r="K14" s="2" t="s">
        <v>97</v>
      </c>
      <c r="L14" s="2" t="s">
        <v>98</v>
      </c>
      <c r="N14" s="2" t="s">
        <v>99</v>
      </c>
      <c r="O14" s="2" t="s">
        <v>144</v>
      </c>
      <c r="P14" s="2">
        <v>2021</v>
      </c>
      <c r="Q14" s="2" t="s">
        <v>99</v>
      </c>
    </row>
    <row r="15" spans="1:17" s="2" customFormat="1" ht="12.75">
      <c r="A15" s="2" t="s">
        <v>88</v>
      </c>
      <c r="B15" s="97" t="s">
        <v>89</v>
      </c>
      <c r="C15" s="2" t="s">
        <v>84</v>
      </c>
      <c r="D15" s="95">
        <v>21069.540000000001</v>
      </c>
      <c r="E15" s="8" t="s">
        <v>241</v>
      </c>
      <c r="F15" s="14" t="s">
        <v>118</v>
      </c>
      <c r="G15" s="2" t="s">
        <v>93</v>
      </c>
      <c r="H15" s="2" t="s">
        <v>94</v>
      </c>
      <c r="I15" s="2" t="s">
        <v>95</v>
      </c>
      <c r="J15" s="2" t="s">
        <v>96</v>
      </c>
      <c r="K15" s="2" t="s">
        <v>97</v>
      </c>
      <c r="L15" s="2" t="s">
        <v>98</v>
      </c>
      <c r="N15" s="2" t="s">
        <v>99</v>
      </c>
      <c r="O15" s="2" t="s">
        <v>144</v>
      </c>
      <c r="P15" s="2">
        <v>2021</v>
      </c>
      <c r="Q15" s="2" t="s">
        <v>99</v>
      </c>
    </row>
    <row r="16" spans="1:17" s="2" customFormat="1" ht="12.75">
      <c r="A16" s="2" t="s">
        <v>88</v>
      </c>
      <c r="B16" s="97" t="s">
        <v>89</v>
      </c>
      <c r="C16" s="2" t="s">
        <v>84</v>
      </c>
      <c r="D16" s="95">
        <v>21069.540000000001</v>
      </c>
      <c r="E16" s="8" t="s">
        <v>241</v>
      </c>
      <c r="F16" s="14" t="s">
        <v>120</v>
      </c>
      <c r="G16" s="2" t="s">
        <v>93</v>
      </c>
      <c r="H16" s="2" t="s">
        <v>94</v>
      </c>
      <c r="I16" s="2" t="s">
        <v>95</v>
      </c>
      <c r="J16" s="2" t="s">
        <v>96</v>
      </c>
      <c r="K16" s="2" t="s">
        <v>97</v>
      </c>
      <c r="L16" s="2" t="s">
        <v>98</v>
      </c>
      <c r="N16" s="2" t="s">
        <v>99</v>
      </c>
      <c r="O16" s="2" t="s">
        <v>144</v>
      </c>
      <c r="P16" s="2">
        <v>2021</v>
      </c>
      <c r="Q16" s="2" t="s">
        <v>99</v>
      </c>
    </row>
    <row r="17" spans="1:17" s="2" customFormat="1" ht="12.75">
      <c r="A17" s="2" t="s">
        <v>88</v>
      </c>
      <c r="B17" s="97" t="s">
        <v>89</v>
      </c>
      <c r="C17" s="2" t="s">
        <v>84</v>
      </c>
      <c r="D17" s="95">
        <v>-21069.540000000001</v>
      </c>
      <c r="E17" s="8" t="s">
        <v>241</v>
      </c>
      <c r="F17" s="14" t="s">
        <v>122</v>
      </c>
      <c r="G17" s="2" t="s">
        <v>93</v>
      </c>
      <c r="H17" s="2" t="s">
        <v>94</v>
      </c>
      <c r="I17" s="2" t="s">
        <v>95</v>
      </c>
      <c r="J17" s="2" t="s">
        <v>96</v>
      </c>
      <c r="K17" s="2" t="s">
        <v>97</v>
      </c>
      <c r="L17" s="2" t="s">
        <v>98</v>
      </c>
      <c r="N17" s="2" t="s">
        <v>99</v>
      </c>
      <c r="O17" s="2" t="s">
        <v>144</v>
      </c>
      <c r="P17" s="2">
        <v>2021</v>
      </c>
      <c r="Q17" s="2" t="s">
        <v>99</v>
      </c>
    </row>
    <row r="18" spans="1:17" s="2" customFormat="1" ht="12.75">
      <c r="A18" s="2" t="s">
        <v>88</v>
      </c>
      <c r="B18" s="97" t="s">
        <v>89</v>
      </c>
      <c r="C18" s="2" t="s">
        <v>84</v>
      </c>
      <c r="D18" s="95">
        <v>21069.540000000001</v>
      </c>
      <c r="E18" s="8" t="s">
        <v>241</v>
      </c>
      <c r="F18" s="14" t="s">
        <v>123</v>
      </c>
      <c r="G18" s="2" t="s">
        <v>93</v>
      </c>
      <c r="H18" s="2" t="s">
        <v>94</v>
      </c>
      <c r="I18" s="2" t="s">
        <v>95</v>
      </c>
      <c r="J18" s="2" t="s">
        <v>96</v>
      </c>
      <c r="K18" s="2" t="s">
        <v>97</v>
      </c>
      <c r="L18" s="2" t="s">
        <v>98</v>
      </c>
      <c r="N18" s="2" t="s">
        <v>99</v>
      </c>
      <c r="O18" s="2" t="s">
        <v>144</v>
      </c>
      <c r="P18" s="2">
        <v>2021</v>
      </c>
      <c r="Q18" s="2" t="s">
        <v>99</v>
      </c>
    </row>
    <row r="19" spans="1:17" s="2" customFormat="1" ht="12.75">
      <c r="A19" s="2" t="s">
        <v>88</v>
      </c>
      <c r="B19" s="97" t="s">
        <v>89</v>
      </c>
      <c r="C19" s="2" t="s">
        <v>84</v>
      </c>
      <c r="D19" s="95">
        <v>21069.540000000001</v>
      </c>
      <c r="E19" s="8" t="s">
        <v>241</v>
      </c>
      <c r="F19" s="14" t="s">
        <v>125</v>
      </c>
      <c r="G19" s="2" t="s">
        <v>93</v>
      </c>
      <c r="H19" s="2" t="s">
        <v>94</v>
      </c>
      <c r="I19" s="2" t="s">
        <v>95</v>
      </c>
      <c r="J19" s="2" t="s">
        <v>96</v>
      </c>
      <c r="K19" s="2" t="s">
        <v>97</v>
      </c>
      <c r="L19" s="2" t="s">
        <v>98</v>
      </c>
      <c r="N19" s="2" t="s">
        <v>99</v>
      </c>
      <c r="O19" s="2" t="s">
        <v>144</v>
      </c>
      <c r="P19" s="2">
        <v>2021</v>
      </c>
      <c r="Q19" s="2" t="s">
        <v>99</v>
      </c>
    </row>
    <row r="20" spans="1:17" s="2" customFormat="1" ht="12.75">
      <c r="A20" s="2" t="s">
        <v>88</v>
      </c>
      <c r="B20" s="97" t="s">
        <v>89</v>
      </c>
      <c r="C20" s="2" t="s">
        <v>84</v>
      </c>
      <c r="D20" s="95">
        <v>-21069.540000000001</v>
      </c>
      <c r="E20" s="8" t="s">
        <v>241</v>
      </c>
      <c r="F20" s="14" t="s">
        <v>127</v>
      </c>
      <c r="G20" s="2" t="s">
        <v>93</v>
      </c>
      <c r="H20" s="2" t="s">
        <v>94</v>
      </c>
      <c r="I20" s="2" t="s">
        <v>95</v>
      </c>
      <c r="J20" s="2" t="s">
        <v>96</v>
      </c>
      <c r="K20" s="2" t="s">
        <v>97</v>
      </c>
      <c r="L20" s="2" t="s">
        <v>98</v>
      </c>
      <c r="N20" s="2" t="s">
        <v>99</v>
      </c>
      <c r="O20" s="2" t="s">
        <v>144</v>
      </c>
      <c r="P20" s="2">
        <v>2021</v>
      </c>
      <c r="Q20" s="2" t="s">
        <v>99</v>
      </c>
    </row>
    <row r="21" spans="1:17" s="2" customFormat="1" ht="12.75">
      <c r="A21" s="2" t="s">
        <v>88</v>
      </c>
      <c r="B21" s="97" t="s">
        <v>90</v>
      </c>
      <c r="C21" s="2" t="s">
        <v>84</v>
      </c>
      <c r="D21" s="96">
        <v>-80896.229999999996</v>
      </c>
      <c r="E21" s="8" t="s">
        <v>241</v>
      </c>
      <c r="F21" s="14" t="s">
        <v>115</v>
      </c>
      <c r="G21" s="2" t="s">
        <v>93</v>
      </c>
      <c r="H21" s="2" t="s">
        <v>94</v>
      </c>
      <c r="I21" s="2" t="s">
        <v>95</v>
      </c>
      <c r="J21" s="2" t="s">
        <v>96</v>
      </c>
      <c r="K21" s="2" t="s">
        <v>97</v>
      </c>
      <c r="L21" s="2" t="s">
        <v>98</v>
      </c>
      <c r="N21" s="2" t="s">
        <v>128</v>
      </c>
      <c r="O21" s="2" t="s">
        <v>145</v>
      </c>
      <c r="P21" s="2">
        <v>2021</v>
      </c>
      <c r="Q21" s="2" t="s">
        <v>128</v>
      </c>
    </row>
    <row r="22" spans="1:17" s="2" customFormat="1" ht="12.75">
      <c r="A22" s="2" t="s">
        <v>88</v>
      </c>
      <c r="B22" s="97" t="s">
        <v>89</v>
      </c>
      <c r="C22" s="2" t="s">
        <v>84</v>
      </c>
      <c r="D22" s="95">
        <v>21069.540000000001</v>
      </c>
      <c r="E22" s="8" t="s">
        <v>241</v>
      </c>
      <c r="F22" s="14" t="s">
        <v>130</v>
      </c>
      <c r="G22" s="2" t="s">
        <v>93</v>
      </c>
      <c r="H22" s="2" t="s">
        <v>94</v>
      </c>
      <c r="I22" s="2" t="s">
        <v>95</v>
      </c>
      <c r="J22" s="2" t="s">
        <v>96</v>
      </c>
      <c r="K22" s="2" t="s">
        <v>97</v>
      </c>
      <c r="L22" s="2" t="s">
        <v>98</v>
      </c>
      <c r="N22" s="2" t="s">
        <v>99</v>
      </c>
      <c r="O22" s="2" t="s">
        <v>144</v>
      </c>
      <c r="P22" s="2">
        <v>2021</v>
      </c>
      <c r="Q22" s="2" t="s">
        <v>99</v>
      </c>
    </row>
    <row r="23" spans="1:17" s="2" customFormat="1" ht="12.75">
      <c r="A23" s="2" t="s">
        <v>88</v>
      </c>
      <c r="B23" s="97" t="s">
        <v>89</v>
      </c>
      <c r="C23" s="2" t="s">
        <v>84</v>
      </c>
      <c r="D23" s="95">
        <v>-21069.540000000001</v>
      </c>
      <c r="E23" s="8" t="s">
        <v>241</v>
      </c>
      <c r="F23" s="14" t="s">
        <v>132</v>
      </c>
      <c r="G23" s="2" t="s">
        <v>93</v>
      </c>
      <c r="H23" s="2" t="s">
        <v>94</v>
      </c>
      <c r="I23" s="2" t="s">
        <v>95</v>
      </c>
      <c r="J23" s="2" t="s">
        <v>96</v>
      </c>
      <c r="K23" s="2" t="s">
        <v>97</v>
      </c>
      <c r="L23" s="2" t="s">
        <v>98</v>
      </c>
      <c r="N23" s="2" t="s">
        <v>99</v>
      </c>
      <c r="O23" s="2" t="s">
        <v>144</v>
      </c>
      <c r="P23" s="2">
        <v>2021</v>
      </c>
      <c r="Q23" s="2" t="s">
        <v>99</v>
      </c>
    </row>
    <row r="24" spans="1:17" s="2" customFormat="1" ht="12.75">
      <c r="A24" s="2" t="s">
        <v>88</v>
      </c>
      <c r="B24" s="97" t="s">
        <v>91</v>
      </c>
      <c r="C24" s="2" t="s">
        <v>84</v>
      </c>
      <c r="D24" s="96">
        <v>12010.23</v>
      </c>
      <c r="E24" s="8" t="s">
        <v>241</v>
      </c>
      <c r="F24" s="14" t="s">
        <v>115</v>
      </c>
      <c r="G24" s="2" t="s">
        <v>93</v>
      </c>
      <c r="H24" s="2" t="s">
        <v>94</v>
      </c>
      <c r="I24" s="2" t="s">
        <v>95</v>
      </c>
      <c r="J24" s="2" t="s">
        <v>96</v>
      </c>
      <c r="K24" s="2" t="s">
        <v>97</v>
      </c>
      <c r="L24" s="2" t="s">
        <v>98</v>
      </c>
      <c r="N24" s="2" t="s">
        <v>133</v>
      </c>
      <c r="O24" s="2" t="s">
        <v>146</v>
      </c>
      <c r="P24" s="2">
        <v>2021</v>
      </c>
      <c r="Q24" s="2" t="s">
        <v>133</v>
      </c>
    </row>
    <row r="25" spans="1:17" s="2" customFormat="1" ht="12.75">
      <c r="A25" s="2" t="s">
        <v>88</v>
      </c>
      <c r="B25" s="97" t="s">
        <v>89</v>
      </c>
      <c r="C25" s="2" t="s">
        <v>84</v>
      </c>
      <c r="D25" s="95">
        <v>-21069.540000000001</v>
      </c>
      <c r="E25" s="8" t="s">
        <v>241</v>
      </c>
      <c r="F25" s="14" t="s">
        <v>135</v>
      </c>
      <c r="G25" s="2" t="s">
        <v>93</v>
      </c>
      <c r="H25" s="2" t="s">
        <v>94</v>
      </c>
      <c r="I25" s="2" t="s">
        <v>95</v>
      </c>
      <c r="J25" s="2" t="s">
        <v>96</v>
      </c>
      <c r="K25" s="2" t="s">
        <v>97</v>
      </c>
      <c r="L25" s="2" t="s">
        <v>98</v>
      </c>
      <c r="N25" s="2" t="s">
        <v>99</v>
      </c>
      <c r="O25" s="2" t="s">
        <v>144</v>
      </c>
      <c r="P25" s="2">
        <v>2021</v>
      </c>
      <c r="Q25" s="2" t="s">
        <v>99</v>
      </c>
    </row>
    <row r="26" spans="1:17" s="2" customFormat="1" ht="12.75">
      <c r="A26" s="2" t="s">
        <v>88</v>
      </c>
      <c r="B26" s="97" t="s">
        <v>89</v>
      </c>
      <c r="C26" s="2" t="s">
        <v>84</v>
      </c>
      <c r="D26" s="95">
        <v>-21069.540000000001</v>
      </c>
      <c r="E26" s="8" t="s">
        <v>241</v>
      </c>
      <c r="F26" s="14" t="s">
        <v>137</v>
      </c>
      <c r="G26" s="2" t="s">
        <v>93</v>
      </c>
      <c r="H26" s="2" t="s">
        <v>94</v>
      </c>
      <c r="I26" s="2" t="s">
        <v>95</v>
      </c>
      <c r="J26" s="2" t="s">
        <v>96</v>
      </c>
      <c r="K26" s="2" t="s">
        <v>97</v>
      </c>
      <c r="L26" s="2" t="s">
        <v>98</v>
      </c>
      <c r="N26" s="2" t="s">
        <v>99</v>
      </c>
      <c r="O26" s="2" t="s">
        <v>144</v>
      </c>
      <c r="P26" s="2">
        <v>2021</v>
      </c>
      <c r="Q26" s="2" t="s">
        <v>99</v>
      </c>
    </row>
    <row r="27" spans="1:17" s="2" customFormat="1" ht="12.75">
      <c r="A27" s="2" t="s">
        <v>88</v>
      </c>
      <c r="B27" s="97" t="s">
        <v>89</v>
      </c>
      <c r="C27" s="2" t="s">
        <v>84</v>
      </c>
      <c r="D27" s="95">
        <v>21069.540000000001</v>
      </c>
      <c r="E27" s="8" t="s">
        <v>241</v>
      </c>
      <c r="F27" s="14" t="s">
        <v>138</v>
      </c>
      <c r="G27" s="2" t="s">
        <v>93</v>
      </c>
      <c r="H27" s="2" t="s">
        <v>94</v>
      </c>
      <c r="I27" s="2" t="s">
        <v>95</v>
      </c>
      <c r="J27" s="2" t="s">
        <v>96</v>
      </c>
      <c r="K27" s="2" t="s">
        <v>97</v>
      </c>
      <c r="L27" s="2" t="s">
        <v>98</v>
      </c>
      <c r="N27" s="2" t="s">
        <v>99</v>
      </c>
      <c r="O27" s="2" t="s">
        <v>144</v>
      </c>
      <c r="P27" s="2">
        <v>2021</v>
      </c>
      <c r="Q27" s="2" t="s">
        <v>99</v>
      </c>
    </row>
    <row r="28" spans="1:17" s="2" customFormat="1" ht="12.75">
      <c r="A28" s="2" t="s">
        <v>88</v>
      </c>
      <c r="B28" s="97" t="s">
        <v>91</v>
      </c>
      <c r="C28" s="2" t="s">
        <v>84</v>
      </c>
      <c r="D28" s="96">
        <v>45612.980000000003</v>
      </c>
      <c r="E28" s="8" t="s">
        <v>241</v>
      </c>
      <c r="F28" s="14" t="s">
        <v>115</v>
      </c>
      <c r="G28" s="2" t="s">
        <v>93</v>
      </c>
      <c r="H28" s="2" t="s">
        <v>94</v>
      </c>
      <c r="I28" s="2" t="s">
        <v>95</v>
      </c>
      <c r="J28" s="2" t="s">
        <v>96</v>
      </c>
      <c r="K28" s="2" t="s">
        <v>97</v>
      </c>
      <c r="L28" s="2" t="s">
        <v>98</v>
      </c>
      <c r="N28" s="2" t="s">
        <v>139</v>
      </c>
      <c r="O28" s="2" t="s">
        <v>146</v>
      </c>
      <c r="P28" s="2">
        <v>2021</v>
      </c>
      <c r="Q28" s="2" t="s">
        <v>139</v>
      </c>
    </row>
    <row r="29" spans="1:17" s="2" customFormat="1" ht="12.75">
      <c r="A29" s="2" t="s">
        <v>88</v>
      </c>
      <c r="B29" s="97" t="s">
        <v>89</v>
      </c>
      <c r="C29" s="2" t="s">
        <v>84</v>
      </c>
      <c r="D29" s="95">
        <v>-21069.540000000001</v>
      </c>
      <c r="E29" s="8" t="s">
        <v>241</v>
      </c>
      <c r="F29" s="14" t="s">
        <v>140</v>
      </c>
      <c r="G29" s="2" t="s">
        <v>93</v>
      </c>
      <c r="H29" s="2" t="s">
        <v>94</v>
      </c>
      <c r="I29" s="2" t="s">
        <v>95</v>
      </c>
      <c r="J29" s="2" t="s">
        <v>96</v>
      </c>
      <c r="K29" s="2" t="s">
        <v>97</v>
      </c>
      <c r="L29" s="2" t="s">
        <v>98</v>
      </c>
      <c r="N29" s="2" t="s">
        <v>99</v>
      </c>
      <c r="O29" s="2" t="s">
        <v>144</v>
      </c>
      <c r="P29" s="2">
        <v>2021</v>
      </c>
      <c r="Q29" s="2" t="s">
        <v>99</v>
      </c>
    </row>
    <row r="30" spans="1:17" s="2" customFormat="1" ht="12.75">
      <c r="A30" s="2" t="s">
        <v>88</v>
      </c>
      <c r="B30" s="97" t="s">
        <v>89</v>
      </c>
      <c r="C30" s="2" t="s">
        <v>84</v>
      </c>
      <c r="D30" s="95">
        <v>-21069.540000000001</v>
      </c>
      <c r="E30" s="8" t="s">
        <v>241</v>
      </c>
      <c r="F30" s="14" t="s">
        <v>141</v>
      </c>
      <c r="G30" s="2" t="s">
        <v>93</v>
      </c>
      <c r="H30" s="2" t="s">
        <v>94</v>
      </c>
      <c r="I30" s="2" t="s">
        <v>95</v>
      </c>
      <c r="J30" s="2" t="s">
        <v>96</v>
      </c>
      <c r="K30" s="2" t="s">
        <v>97</v>
      </c>
      <c r="L30" s="2" t="s">
        <v>98</v>
      </c>
      <c r="N30" s="2" t="s">
        <v>99</v>
      </c>
      <c r="O30" s="2" t="s">
        <v>144</v>
      </c>
      <c r="P30" s="2">
        <v>2021</v>
      </c>
      <c r="Q30" s="2" t="s">
        <v>99</v>
      </c>
    </row>
    <row r="31" spans="1:17" s="2" customFormat="1" ht="12.75">
      <c r="A31" s="2" t="s">
        <v>88</v>
      </c>
      <c r="B31" s="97" t="s">
        <v>89</v>
      </c>
      <c r="C31" s="2" t="s">
        <v>84</v>
      </c>
      <c r="D31" s="95">
        <v>-21069.540000000001</v>
      </c>
      <c r="E31" s="8" t="s">
        <v>241</v>
      </c>
      <c r="F31" s="14" t="s">
        <v>157</v>
      </c>
      <c r="G31" s="2" t="s">
        <v>93</v>
      </c>
      <c r="H31" s="2" t="s">
        <v>94</v>
      </c>
      <c r="I31" s="2" t="s">
        <v>95</v>
      </c>
      <c r="J31" s="2" t="s">
        <v>96</v>
      </c>
      <c r="K31" s="2" t="s">
        <v>97</v>
      </c>
      <c r="L31" s="2" t="s">
        <v>98</v>
      </c>
      <c r="N31" s="2" t="s">
        <v>99</v>
      </c>
      <c r="O31" s="2" t="s">
        <v>144</v>
      </c>
      <c r="P31" s="2">
        <v>2021</v>
      </c>
      <c r="Q31" s="2" t="s">
        <v>99</v>
      </c>
    </row>
    <row r="32" spans="1:17" s="2" customFormat="1" ht="12.75">
      <c r="A32" s="2" t="s">
        <v>88</v>
      </c>
      <c r="B32" s="97" t="s">
        <v>91</v>
      </c>
      <c r="C32" s="2" t="s">
        <v>84</v>
      </c>
      <c r="D32" s="96">
        <v>1869.52</v>
      </c>
      <c r="E32" s="8" t="s">
        <v>241</v>
      </c>
      <c r="F32" s="14" t="s">
        <v>115</v>
      </c>
      <c r="G32" s="2" t="s">
        <v>93</v>
      </c>
      <c r="H32" s="2" t="s">
        <v>94</v>
      </c>
      <c r="I32" s="2" t="s">
        <v>95</v>
      </c>
      <c r="J32" s="2" t="s">
        <v>96</v>
      </c>
      <c r="K32" s="2" t="s">
        <v>97</v>
      </c>
      <c r="L32" s="2" t="s">
        <v>98</v>
      </c>
      <c r="N32" s="2" t="s">
        <v>158</v>
      </c>
      <c r="O32" s="2" t="s">
        <v>146</v>
      </c>
      <c r="P32" s="2">
        <v>2021</v>
      </c>
      <c r="Q32" s="2" t="s">
        <v>158</v>
      </c>
    </row>
    <row r="33" spans="1:17" s="2" customFormat="1" ht="12.75">
      <c r="A33" s="2" t="s">
        <v>88</v>
      </c>
      <c r="B33" s="97" t="s">
        <v>89</v>
      </c>
      <c r="C33" s="2" t="s">
        <v>84</v>
      </c>
      <c r="D33" s="95">
        <v>-21069.540000000001</v>
      </c>
      <c r="E33" s="8" t="s">
        <v>241</v>
      </c>
      <c r="F33" s="14" t="s">
        <v>159</v>
      </c>
      <c r="G33" s="2" t="s">
        <v>93</v>
      </c>
      <c r="H33" s="2" t="s">
        <v>94</v>
      </c>
      <c r="I33" s="2" t="s">
        <v>95</v>
      </c>
      <c r="J33" s="2" t="s">
        <v>96</v>
      </c>
      <c r="K33" s="2" t="s">
        <v>97</v>
      </c>
      <c r="L33" s="2" t="s">
        <v>98</v>
      </c>
      <c r="N33" s="2" t="s">
        <v>99</v>
      </c>
      <c r="O33" s="2" t="s">
        <v>144</v>
      </c>
      <c r="P33" s="2">
        <v>2021</v>
      </c>
      <c r="Q33" s="2" t="s">
        <v>99</v>
      </c>
    </row>
    <row r="34" spans="1:17" s="2" customFormat="1" ht="12.75">
      <c r="A34" s="2" t="s">
        <v>88</v>
      </c>
      <c r="B34" s="97" t="s">
        <v>91</v>
      </c>
      <c r="C34" s="2" t="s">
        <v>84</v>
      </c>
      <c r="D34" s="96">
        <v>1644.1700000000001</v>
      </c>
      <c r="E34" s="8" t="s">
        <v>241</v>
      </c>
      <c r="F34" s="14" t="s">
        <v>115</v>
      </c>
      <c r="G34" s="2" t="s">
        <v>93</v>
      </c>
      <c r="H34" s="2" t="s">
        <v>94</v>
      </c>
      <c r="I34" s="2" t="s">
        <v>95</v>
      </c>
      <c r="J34" s="2" t="s">
        <v>96</v>
      </c>
      <c r="K34" s="2" t="s">
        <v>97</v>
      </c>
      <c r="L34" s="2" t="s">
        <v>98</v>
      </c>
      <c r="N34" s="2" t="s">
        <v>160</v>
      </c>
      <c r="O34" s="2" t="s">
        <v>146</v>
      </c>
      <c r="P34" s="2">
        <v>2021</v>
      </c>
      <c r="Q34" s="2" t="s">
        <v>160</v>
      </c>
    </row>
    <row r="35" spans="4:4" s="2" customFormat="1" ht="12.75">
      <c r="D35" s="96"/>
    </row>
    <row r="36" spans="4:4" s="4" customFormat="1" ht="13.5" thickBot="1">
      <c r="D36" s="98">
        <f>SUM(D6:D35)</f>
        <v>-19759.329999999987</v>
      </c>
    </row>
    <row r="37" ht="13.5" thickTop="1"/>
    <row r="38" spans="1:5" ht="22.5">
      <c r="A38" s="5" t="s">
        <v>74</v>
      </c>
      <c r="B38" s="112">
        <f>NvsEndTime</f>
        <v>44582.58153935185</v>
      </c>
      <c r="C38" s="112"/>
      <c r="E38" s="9"/>
    </row>
    <row r="39" ht="13.5"/>
    <row r="40" spans="1:1" ht="12.75" hidden="1" thickBot="1">
      <c r="A40" s="2" t="str">
        <f>"Y"</f>
        <v>Y</v>
      </c>
    </row>
    <row r="41" spans="4:13" ht="26.25" thickBot="1">
      <c r="D41" s="100" t="s">
        <v>161</v>
      </c>
      <c r="E41" s="101"/>
      <c r="F41" s="101"/>
      <c r="G41" s="102" t="s">
        <v>12</v>
      </c>
      <c r="H41" s="102" t="s">
        <v>14</v>
      </c>
      <c r="I41" s="102" t="s">
        <v>16</v>
      </c>
      <c r="J41" s="102" t="s">
        <v>18</v>
      </c>
      <c r="K41" s="102" t="s">
        <v>20</v>
      </c>
      <c r="L41" s="102" t="s">
        <v>22</v>
      </c>
      <c r="M41" s="103"/>
    </row>
    <row r="42" spans="4:13" ht="13.5" thickTop="1">
      <c r="D42" s="104">
        <f>-D36</f>
        <v>19759.329999999987</v>
      </c>
      <c r="E42" s="105"/>
      <c r="F42" s="105"/>
      <c r="G42" s="105" t="str">
        <f t="shared" si="0" ref="G42:L42">G34</f>
        <v>533310</v>
      </c>
      <c r="H42" s="105" t="str">
        <f t="shared" si="0"/>
        <v>9030000</v>
      </c>
      <c r="I42" s="105" t="str">
        <f t="shared" si="0"/>
        <v>900</v>
      </c>
      <c r="J42" s="105" t="str">
        <f t="shared" si="0"/>
        <v>00005100</v>
      </c>
      <c r="K42" s="105" t="str">
        <f t="shared" si="0"/>
        <v>5100</v>
      </c>
      <c r="L42" s="105" t="str">
        <f t="shared" si="0"/>
        <v>0000</v>
      </c>
      <c r="M42" s="106"/>
    </row>
    <row r="43" spans="4:13" ht="12.75">
      <c r="D43" s="104"/>
      <c r="E43" s="105"/>
      <c r="F43" s="105"/>
      <c r="G43" s="105"/>
      <c r="H43" s="105"/>
      <c r="I43" s="105"/>
      <c r="J43" s="105"/>
      <c r="K43" s="105"/>
      <c r="L43" s="105"/>
      <c r="M43" s="106"/>
    </row>
    <row r="44" spans="4:13" ht="12.75">
      <c r="D44" s="104" t="s">
        <v>163</v>
      </c>
      <c r="E44" s="105"/>
      <c r="F44" s="105"/>
      <c r="G44" s="105"/>
      <c r="H44" s="105"/>
      <c r="I44" s="105"/>
      <c r="J44" s="105"/>
      <c r="K44" s="105"/>
      <c r="L44" s="105"/>
      <c r="M44" s="106"/>
    </row>
    <row r="45" spans="4:13" ht="12.75">
      <c r="D45" s="107" t="s">
        <v>162</v>
      </c>
      <c r="E45" s="108">
        <v>61136.880000000005</v>
      </c>
      <c r="F45" s="105"/>
      <c r="G45" s="105"/>
      <c r="H45" s="105"/>
      <c r="I45" s="105"/>
      <c r="J45" s="105"/>
      <c r="K45" s="105"/>
      <c r="L45" s="105"/>
      <c r="M45" s="106"/>
    </row>
    <row r="46" spans="4:13" ht="12.75">
      <c r="D46" s="107" t="s">
        <v>162</v>
      </c>
      <c r="E46" s="99">
        <v>-80896.220000000001</v>
      </c>
      <c r="F46" s="105"/>
      <c r="G46" s="105"/>
      <c r="H46" s="105"/>
      <c r="I46" s="105"/>
      <c r="J46" s="105"/>
      <c r="K46" s="105"/>
      <c r="L46" s="105"/>
      <c r="M46" s="106"/>
    </row>
    <row r="47" spans="4:13" ht="12.75">
      <c r="D47" s="104"/>
      <c r="E47" s="108">
        <f>SUM(E45:E46)</f>
        <v>-19759.339999999997</v>
      </c>
      <c r="F47" s="105"/>
      <c r="G47" s="105"/>
      <c r="H47" s="105"/>
      <c r="I47" s="105"/>
      <c r="J47" s="105"/>
      <c r="K47" s="105"/>
      <c r="L47" s="105"/>
      <c r="M47" s="106"/>
    </row>
    <row r="48" spans="4:13" ht="13.5" thickBot="1">
      <c r="D48" s="109"/>
      <c r="E48" s="110"/>
      <c r="F48" s="110"/>
      <c r="G48" s="110"/>
      <c r="H48" s="110"/>
      <c r="I48" s="110"/>
      <c r="J48" s="110"/>
      <c r="K48" s="110"/>
      <c r="L48" s="110"/>
      <c r="M48" s="111"/>
    </row>
  </sheetData>
  <mergeCells count="1">
    <mergeCell ref="B38:C38"/>
  </mergeCells>
  <printOptions horizontalCentered="1"/>
  <pageMargins left="0.5" right="0.5" top="1.5" bottom="0.5" header="1" footer="0.5"/>
  <pageSetup orientation="landscape" scale="53" r:id="rId1"/>
  <headerFooter alignWithMargins="0">
    <oddHeader>&amp;R&amp;"Arial,Bold"WP/II-D ADJUSTMENT /11
Page 2 of 2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dimension ref="A3:P68"/>
  <sheetViews>
    <sheetView workbookViewId="0" topLeftCell="A19">
      <selection pane="topLeft" activeCell="A74" sqref="A74"/>
    </sheetView>
  </sheetViews>
  <sheetFormatPr defaultColWidth="8.85428571428571" defaultRowHeight="12.75"/>
  <cols>
    <col min="1" max="1" width="21.4285714285714" style="19" bestFit="1" customWidth="1"/>
    <col min="2" max="2" width="22.4285714285714" style="19" bestFit="1" customWidth="1"/>
    <col min="3" max="3" width="12.1428571428571" style="19" bestFit="1" customWidth="1"/>
    <col min="4" max="4" width="18.8571428571429" style="19" bestFit="1" customWidth="1"/>
    <col min="5" max="6" width="12.1428571428571" style="19" bestFit="1" customWidth="1"/>
    <col min="7" max="7" width="8.85714285714286" style="19"/>
    <col min="8" max="8" width="12.5714285714286" style="19" bestFit="1" customWidth="1"/>
    <col min="9" max="9" width="15.1428571428571" style="19" bestFit="1" customWidth="1"/>
    <col min="10" max="11" width="8.85714285714286" style="19"/>
    <col min="12" max="12" width="15.1428571428571" style="19" customWidth="1"/>
    <col min="13" max="13" width="13.8571428571429" style="19" customWidth="1"/>
    <col min="14" max="14" width="19.1428571428571" style="19" bestFit="1" customWidth="1"/>
    <col min="15" max="16384" width="8.85714285714286" style="19"/>
  </cols>
  <sheetData>
    <row r="3" spans="1:6" ht="12.75">
      <c r="A3" s="90" t="s">
        <v>164</v>
      </c>
      <c r="B3" s="17"/>
      <c r="C3" s="16" t="s">
        <v>6</v>
      </c>
      <c r="D3" s="17"/>
      <c r="E3" s="17"/>
      <c r="F3" s="18"/>
    </row>
    <row r="4" spans="1:6" ht="12.75">
      <c r="A4" s="16" t="s">
        <v>10</v>
      </c>
      <c r="B4" s="16" t="s">
        <v>28</v>
      </c>
      <c r="C4" s="16" t="s">
        <v>89</v>
      </c>
      <c r="D4" s="20" t="s">
        <v>91</v>
      </c>
      <c r="E4" s="20" t="s">
        <v>90</v>
      </c>
      <c r="F4" s="21" t="s">
        <v>165</v>
      </c>
    </row>
    <row r="5" spans="1:6" ht="12.75">
      <c r="A5" s="16" t="s">
        <v>135</v>
      </c>
      <c r="B5" s="16" t="s">
        <v>99</v>
      </c>
      <c r="C5" s="22">
        <v>46821.199999999997</v>
      </c>
      <c r="D5" s="23"/>
      <c r="E5" s="23"/>
      <c r="F5" s="24">
        <v>46821.199999999997</v>
      </c>
    </row>
    <row r="6" spans="1:6" ht="12.75">
      <c r="A6" s="16" t="s">
        <v>166</v>
      </c>
      <c r="B6" s="17"/>
      <c r="C6" s="22">
        <v>46821.199999999997</v>
      </c>
      <c r="D6" s="23"/>
      <c r="E6" s="23"/>
      <c r="F6" s="24">
        <v>46821.199999999997</v>
      </c>
    </row>
    <row r="7" spans="1:6" ht="12.75">
      <c r="A7" s="16" t="s">
        <v>105</v>
      </c>
      <c r="B7" s="16" t="s">
        <v>99</v>
      </c>
      <c r="C7" s="22">
        <v>-46821.199999999997</v>
      </c>
      <c r="D7" s="23"/>
      <c r="E7" s="23"/>
      <c r="F7" s="24">
        <v>-46821.199999999997</v>
      </c>
    </row>
    <row r="8" spans="1:6" ht="12.75">
      <c r="A8" s="16" t="s">
        <v>167</v>
      </c>
      <c r="B8" s="17"/>
      <c r="C8" s="22">
        <v>-46821.199999999997</v>
      </c>
      <c r="D8" s="23"/>
      <c r="E8" s="23"/>
      <c r="F8" s="24">
        <v>-46821.199999999997</v>
      </c>
    </row>
    <row r="9" spans="1:6" ht="12.75">
      <c r="A9" s="16" t="s">
        <v>107</v>
      </c>
      <c r="B9" s="16" t="s">
        <v>99</v>
      </c>
      <c r="C9" s="22">
        <v>46821.199999999997</v>
      </c>
      <c r="D9" s="23"/>
      <c r="E9" s="23"/>
      <c r="F9" s="24">
        <v>46821.199999999997</v>
      </c>
    </row>
    <row r="10" spans="1:6" ht="12.75">
      <c r="A10" s="16" t="s">
        <v>168</v>
      </c>
      <c r="B10" s="17"/>
      <c r="C10" s="22">
        <v>46821.199999999997</v>
      </c>
      <c r="D10" s="23"/>
      <c r="E10" s="23"/>
      <c r="F10" s="24">
        <v>46821.199999999997</v>
      </c>
    </row>
    <row r="11" spans="1:6" ht="12.75">
      <c r="A11" s="16" t="s">
        <v>118</v>
      </c>
      <c r="B11" s="16" t="s">
        <v>99</v>
      </c>
      <c r="C11" s="22">
        <v>-46821.199999999997</v>
      </c>
      <c r="D11" s="23"/>
      <c r="E11" s="23"/>
      <c r="F11" s="24">
        <v>-46821.199999999997</v>
      </c>
    </row>
    <row r="12" spans="1:6" ht="12.75">
      <c r="A12" s="16" t="s">
        <v>169</v>
      </c>
      <c r="B12" s="17"/>
      <c r="C12" s="22">
        <v>-46821.199999999997</v>
      </c>
      <c r="D12" s="23"/>
      <c r="E12" s="23"/>
      <c r="F12" s="24">
        <v>-46821.199999999997</v>
      </c>
    </row>
    <row r="13" spans="1:6" ht="12.75">
      <c r="A13" s="16" t="s">
        <v>137</v>
      </c>
      <c r="B13" s="16" t="s">
        <v>99</v>
      </c>
      <c r="C13" s="22">
        <v>46821.199999999997</v>
      </c>
      <c r="D13" s="23"/>
      <c r="E13" s="23"/>
      <c r="F13" s="24">
        <v>46821.199999999997</v>
      </c>
    </row>
    <row r="14" spans="1:6" ht="12.75">
      <c r="A14" s="16" t="s">
        <v>170</v>
      </c>
      <c r="B14" s="17"/>
      <c r="C14" s="22">
        <v>46821.199999999997</v>
      </c>
      <c r="D14" s="23"/>
      <c r="E14" s="23"/>
      <c r="F14" s="24">
        <v>46821.199999999997</v>
      </c>
    </row>
    <row r="15" spans="1:6" ht="12.75">
      <c r="A15" s="16" t="s">
        <v>123</v>
      </c>
      <c r="B15" s="16" t="s">
        <v>99</v>
      </c>
      <c r="C15" s="22">
        <v>-46821.199999999997</v>
      </c>
      <c r="D15" s="23"/>
      <c r="E15" s="23"/>
      <c r="F15" s="24">
        <v>-46821.199999999997</v>
      </c>
    </row>
    <row r="16" spans="1:6" ht="12.75">
      <c r="A16" s="16" t="s">
        <v>171</v>
      </c>
      <c r="B16" s="17"/>
      <c r="C16" s="22">
        <v>-46821.199999999997</v>
      </c>
      <c r="D16" s="23"/>
      <c r="E16" s="23"/>
      <c r="F16" s="24">
        <v>-46821.199999999997</v>
      </c>
    </row>
    <row r="17" spans="1:6" ht="12.75">
      <c r="A17" s="16" t="s">
        <v>159</v>
      </c>
      <c r="B17" s="16" t="s">
        <v>99</v>
      </c>
      <c r="C17" s="22">
        <v>46821.199999999997</v>
      </c>
      <c r="D17" s="23"/>
      <c r="E17" s="23"/>
      <c r="F17" s="24">
        <v>46821.199999999997</v>
      </c>
    </row>
    <row r="18" spans="1:6" ht="12.75">
      <c r="A18" s="16" t="s">
        <v>172</v>
      </c>
      <c r="B18" s="17"/>
      <c r="C18" s="22">
        <v>46821.199999999997</v>
      </c>
      <c r="D18" s="23"/>
      <c r="E18" s="23"/>
      <c r="F18" s="24">
        <v>46821.199999999997</v>
      </c>
    </row>
    <row r="19" spans="1:6" ht="12.75">
      <c r="A19" s="16" t="s">
        <v>108</v>
      </c>
      <c r="B19" s="16" t="s">
        <v>99</v>
      </c>
      <c r="C19" s="22">
        <v>-46821.199999999997</v>
      </c>
      <c r="D19" s="23"/>
      <c r="E19" s="23"/>
      <c r="F19" s="24">
        <v>-46821.199999999997</v>
      </c>
    </row>
    <row r="20" spans="1:6" ht="12.75">
      <c r="A20" s="16" t="s">
        <v>173</v>
      </c>
      <c r="B20" s="17"/>
      <c r="C20" s="22">
        <v>-46821.199999999997</v>
      </c>
      <c r="D20" s="23"/>
      <c r="E20" s="23"/>
      <c r="F20" s="24">
        <v>-46821.199999999997</v>
      </c>
    </row>
    <row r="21" spans="1:6" ht="12.75">
      <c r="A21" s="16" t="s">
        <v>110</v>
      </c>
      <c r="B21" s="16" t="s">
        <v>99</v>
      </c>
      <c r="C21" s="22">
        <v>46821.199999999997</v>
      </c>
      <c r="D21" s="23"/>
      <c r="E21" s="23"/>
      <c r="F21" s="24">
        <v>46821.199999999997</v>
      </c>
    </row>
    <row r="22" spans="1:6" ht="12.75">
      <c r="A22" s="16" t="s">
        <v>174</v>
      </c>
      <c r="B22" s="17"/>
      <c r="C22" s="22">
        <v>46821.199999999997</v>
      </c>
      <c r="D22" s="23"/>
      <c r="E22" s="23"/>
      <c r="F22" s="24">
        <v>46821.199999999997</v>
      </c>
    </row>
    <row r="23" spans="1:6" ht="12.75">
      <c r="A23" s="16" t="s">
        <v>92</v>
      </c>
      <c r="B23" s="16" t="s">
        <v>99</v>
      </c>
      <c r="C23" s="22">
        <v>-46821.199999999997</v>
      </c>
      <c r="D23" s="23"/>
      <c r="E23" s="23"/>
      <c r="F23" s="24">
        <v>-46821.199999999997</v>
      </c>
    </row>
    <row r="24" spans="1:6" ht="12.75">
      <c r="A24" s="16" t="s">
        <v>175</v>
      </c>
      <c r="B24" s="17"/>
      <c r="C24" s="22">
        <v>-46821.199999999997</v>
      </c>
      <c r="D24" s="23"/>
      <c r="E24" s="23"/>
      <c r="F24" s="24">
        <v>-46821.199999999997</v>
      </c>
    </row>
    <row r="25" spans="1:6" ht="12.75">
      <c r="A25" s="16" t="s">
        <v>140</v>
      </c>
      <c r="B25" s="16" t="s">
        <v>99</v>
      </c>
      <c r="C25" s="22">
        <v>46821.199999999997</v>
      </c>
      <c r="D25" s="23"/>
      <c r="E25" s="23"/>
      <c r="F25" s="24">
        <v>46821.199999999997</v>
      </c>
    </row>
    <row r="26" spans="1:6" ht="12.75">
      <c r="A26" s="16" t="s">
        <v>176</v>
      </c>
      <c r="B26" s="17"/>
      <c r="C26" s="22">
        <v>46821.199999999997</v>
      </c>
      <c r="D26" s="23"/>
      <c r="E26" s="23"/>
      <c r="F26" s="24">
        <v>46821.199999999997</v>
      </c>
    </row>
    <row r="27" spans="1:6" ht="12.75">
      <c r="A27" s="16" t="s">
        <v>125</v>
      </c>
      <c r="B27" s="16" t="s">
        <v>99</v>
      </c>
      <c r="C27" s="22">
        <v>-46821.199999999997</v>
      </c>
      <c r="D27" s="23"/>
      <c r="E27" s="23"/>
      <c r="F27" s="24">
        <v>-46821.199999999997</v>
      </c>
    </row>
    <row r="28" spans="1:6" ht="12.75">
      <c r="A28" s="16" t="s">
        <v>177</v>
      </c>
      <c r="B28" s="17"/>
      <c r="C28" s="22">
        <v>-46821.199999999997</v>
      </c>
      <c r="D28" s="23"/>
      <c r="E28" s="23"/>
      <c r="F28" s="24">
        <v>-46821.199999999997</v>
      </c>
    </row>
    <row r="29" spans="1:6" ht="12.75">
      <c r="A29" s="16" t="s">
        <v>141</v>
      </c>
      <c r="B29" s="16" t="s">
        <v>99</v>
      </c>
      <c r="C29" s="22">
        <v>46821.199999999997</v>
      </c>
      <c r="D29" s="23"/>
      <c r="E29" s="23"/>
      <c r="F29" s="24">
        <v>46821.199999999997</v>
      </c>
    </row>
    <row r="30" spans="1:6" ht="12.75">
      <c r="A30" s="16" t="s">
        <v>178</v>
      </c>
      <c r="B30" s="17"/>
      <c r="C30" s="22">
        <v>46821.199999999997</v>
      </c>
      <c r="D30" s="23"/>
      <c r="E30" s="23"/>
      <c r="F30" s="24">
        <v>46821.199999999997</v>
      </c>
    </row>
    <row r="31" spans="1:6" ht="12.75">
      <c r="A31" s="16" t="s">
        <v>111</v>
      </c>
      <c r="B31" s="16" t="s">
        <v>99</v>
      </c>
      <c r="C31" s="22">
        <v>-46821.199999999997</v>
      </c>
      <c r="D31" s="23"/>
      <c r="E31" s="23"/>
      <c r="F31" s="24">
        <v>-46821.199999999997</v>
      </c>
    </row>
    <row r="32" spans="1:6" ht="12.75">
      <c r="A32" s="16" t="s">
        <v>179</v>
      </c>
      <c r="B32" s="17"/>
      <c r="C32" s="22">
        <v>-46821.199999999997</v>
      </c>
      <c r="D32" s="23"/>
      <c r="E32" s="23"/>
      <c r="F32" s="24">
        <v>-46821.199999999997</v>
      </c>
    </row>
    <row r="33" spans="1:6" ht="12.75">
      <c r="A33" s="16" t="s">
        <v>122</v>
      </c>
      <c r="B33" s="16" t="s">
        <v>99</v>
      </c>
      <c r="C33" s="22">
        <v>46821.199999999997</v>
      </c>
      <c r="D33" s="23"/>
      <c r="E33" s="23"/>
      <c r="F33" s="24">
        <v>46821.199999999997</v>
      </c>
    </row>
    <row r="34" spans="1:6" ht="12.75">
      <c r="A34" s="16" t="s">
        <v>180</v>
      </c>
      <c r="B34" s="17"/>
      <c r="C34" s="22">
        <v>46821.199999999997</v>
      </c>
      <c r="D34" s="23"/>
      <c r="E34" s="23"/>
      <c r="F34" s="24">
        <v>46821.199999999997</v>
      </c>
    </row>
    <row r="35" spans="1:6" ht="12.75">
      <c r="A35" s="16" t="s">
        <v>120</v>
      </c>
      <c r="B35" s="16" t="s">
        <v>99</v>
      </c>
      <c r="C35" s="22">
        <v>-46821.199999999997</v>
      </c>
      <c r="D35" s="23"/>
      <c r="E35" s="23"/>
      <c r="F35" s="24">
        <v>-46821.199999999997</v>
      </c>
    </row>
    <row r="36" spans="1:6" ht="12.75">
      <c r="A36" s="16" t="s">
        <v>181</v>
      </c>
      <c r="B36" s="17"/>
      <c r="C36" s="22">
        <v>-46821.199999999997</v>
      </c>
      <c r="D36" s="23"/>
      <c r="E36" s="23"/>
      <c r="F36" s="24">
        <v>-46821.199999999997</v>
      </c>
    </row>
    <row r="37" spans="1:6" ht="12.75">
      <c r="A37" s="16" t="s">
        <v>127</v>
      </c>
      <c r="B37" s="16" t="s">
        <v>99</v>
      </c>
      <c r="C37" s="22">
        <v>46821.199999999997</v>
      </c>
      <c r="D37" s="23"/>
      <c r="E37" s="23"/>
      <c r="F37" s="24">
        <v>46821.199999999997</v>
      </c>
    </row>
    <row r="38" spans="1:6" ht="12.75">
      <c r="A38" s="16" t="s">
        <v>182</v>
      </c>
      <c r="B38" s="17"/>
      <c r="C38" s="22">
        <v>46821.199999999997</v>
      </c>
      <c r="D38" s="23"/>
      <c r="E38" s="23"/>
      <c r="F38" s="24">
        <v>46821.199999999997</v>
      </c>
    </row>
    <row r="39" spans="1:6" ht="12.75">
      <c r="A39" s="16" t="s">
        <v>130</v>
      </c>
      <c r="B39" s="16" t="s">
        <v>99</v>
      </c>
      <c r="C39" s="22">
        <v>-46821.199999999997</v>
      </c>
      <c r="D39" s="23"/>
      <c r="E39" s="23"/>
      <c r="F39" s="24">
        <v>-46821.199999999997</v>
      </c>
    </row>
    <row r="40" spans="1:6" ht="12.75">
      <c r="A40" s="16" t="s">
        <v>183</v>
      </c>
      <c r="B40" s="17"/>
      <c r="C40" s="22">
        <v>-46821.199999999997</v>
      </c>
      <c r="D40" s="23"/>
      <c r="E40" s="23"/>
      <c r="F40" s="24">
        <v>-46821.199999999997</v>
      </c>
    </row>
    <row r="41" spans="1:6" ht="12.75">
      <c r="A41" s="16" t="s">
        <v>157</v>
      </c>
      <c r="B41" s="16" t="s">
        <v>99</v>
      </c>
      <c r="C41" s="22">
        <v>46821.199999999997</v>
      </c>
      <c r="D41" s="23"/>
      <c r="E41" s="23"/>
      <c r="F41" s="24">
        <v>46821.199999999997</v>
      </c>
    </row>
    <row r="42" spans="1:6" ht="12.75">
      <c r="A42" s="16" t="s">
        <v>184</v>
      </c>
      <c r="B42" s="17"/>
      <c r="C42" s="22">
        <v>46821.199999999997</v>
      </c>
      <c r="D42" s="23"/>
      <c r="E42" s="23"/>
      <c r="F42" s="24">
        <v>46821.199999999997</v>
      </c>
    </row>
    <row r="43" spans="1:6" ht="12.75">
      <c r="A43" s="16" t="s">
        <v>102</v>
      </c>
      <c r="B43" s="16" t="s">
        <v>99</v>
      </c>
      <c r="C43" s="22">
        <v>-46821.199999999997</v>
      </c>
      <c r="D43" s="23"/>
      <c r="E43" s="23"/>
      <c r="F43" s="24">
        <v>-46821.199999999997</v>
      </c>
    </row>
    <row r="44" spans="1:6" ht="12.75">
      <c r="A44" s="16" t="s">
        <v>185</v>
      </c>
      <c r="B44" s="17"/>
      <c r="C44" s="22">
        <v>-46821.199999999997</v>
      </c>
      <c r="D44" s="23"/>
      <c r="E44" s="23"/>
      <c r="F44" s="24">
        <v>-46821.199999999997</v>
      </c>
    </row>
    <row r="45" spans="1:6" ht="12.75">
      <c r="A45" s="16" t="s">
        <v>132</v>
      </c>
      <c r="B45" s="16" t="s">
        <v>99</v>
      </c>
      <c r="C45" s="22">
        <v>46821.199999999997</v>
      </c>
      <c r="D45" s="23"/>
      <c r="E45" s="23"/>
      <c r="F45" s="24">
        <v>46821.199999999997</v>
      </c>
    </row>
    <row r="46" spans="1:6" ht="12.75">
      <c r="A46" s="16" t="s">
        <v>186</v>
      </c>
      <c r="B46" s="17"/>
      <c r="C46" s="22">
        <v>46821.199999999997</v>
      </c>
      <c r="D46" s="23"/>
      <c r="E46" s="23"/>
      <c r="F46" s="24">
        <v>46821.199999999997</v>
      </c>
    </row>
    <row r="47" spans="1:6" ht="12.75">
      <c r="A47" s="16" t="s">
        <v>138</v>
      </c>
      <c r="B47" s="16" t="s">
        <v>99</v>
      </c>
      <c r="C47" s="22">
        <v>-46821.199999999997</v>
      </c>
      <c r="D47" s="23"/>
      <c r="E47" s="23"/>
      <c r="F47" s="24">
        <v>-46821.199999999997</v>
      </c>
    </row>
    <row r="48" spans="1:6" ht="12.75">
      <c r="A48" s="16" t="s">
        <v>187</v>
      </c>
      <c r="B48" s="17"/>
      <c r="C48" s="22">
        <v>-46821.199999999997</v>
      </c>
      <c r="D48" s="23"/>
      <c r="E48" s="23"/>
      <c r="F48" s="24">
        <v>-46821.199999999997</v>
      </c>
    </row>
    <row r="49" spans="1:6" ht="12.75">
      <c r="A49" s="16" t="s">
        <v>113</v>
      </c>
      <c r="B49" s="16" t="s">
        <v>99</v>
      </c>
      <c r="C49" s="22">
        <v>46821.199999999997</v>
      </c>
      <c r="D49" s="23"/>
      <c r="E49" s="23"/>
      <c r="F49" s="24">
        <v>46821.199999999997</v>
      </c>
    </row>
    <row r="50" spans="1:6" ht="12.75">
      <c r="A50" s="16" t="s">
        <v>188</v>
      </c>
      <c r="B50" s="17"/>
      <c r="C50" s="22">
        <v>46821.199999999997</v>
      </c>
      <c r="D50" s="23"/>
      <c r="E50" s="23"/>
      <c r="F50" s="24">
        <v>46821.199999999997</v>
      </c>
    </row>
    <row r="51" spans="1:12" ht="12.75">
      <c r="A51" s="16" t="s">
        <v>115</v>
      </c>
      <c r="B51" s="16" t="s">
        <v>99</v>
      </c>
      <c r="C51" s="22">
        <v>-46821.199999999997</v>
      </c>
      <c r="D51" s="25"/>
      <c r="E51" s="23"/>
      <c r="F51" s="24">
        <v>-46821.199999999997</v>
      </c>
      <c r="L51" s="91"/>
    </row>
    <row r="52" spans="1:16" ht="12.75">
      <c r="A52" s="26"/>
      <c r="B52" s="27" t="s">
        <v>160</v>
      </c>
      <c r="C52" s="28"/>
      <c r="D52" s="29">
        <v>-3653.71</v>
      </c>
      <c r="E52" s="30"/>
      <c r="F52" s="31">
        <v>-3653.71</v>
      </c>
      <c r="H52" s="32" t="s">
        <v>189</v>
      </c>
      <c r="I52" s="19" t="s">
        <v>206</v>
      </c>
      <c r="J52" s="19" t="s">
        <v>208</v>
      </c>
      <c r="L52" s="91" t="s">
        <v>189</v>
      </c>
      <c r="M52" s="91" t="s">
        <v>235</v>
      </c>
      <c r="N52" s="91" t="s">
        <v>238</v>
      </c>
      <c r="O52" s="91"/>
      <c r="P52" s="91"/>
    </row>
    <row r="53" spans="1:15" ht="12.75">
      <c r="A53" s="26"/>
      <c r="B53" s="27" t="s">
        <v>133</v>
      </c>
      <c r="C53" s="28"/>
      <c r="D53" s="29">
        <v>-26689.400000000001</v>
      </c>
      <c r="E53" s="30"/>
      <c r="F53" s="31">
        <v>-26689.400000000001</v>
      </c>
      <c r="H53" s="32" t="s">
        <v>190</v>
      </c>
      <c r="I53" s="19" t="s">
        <v>206</v>
      </c>
      <c r="J53" s="19" t="s">
        <v>208</v>
      </c>
      <c r="L53" s="91" t="s">
        <v>190</v>
      </c>
      <c r="M53" s="91" t="s">
        <v>235</v>
      </c>
      <c r="N53" s="91" t="s">
        <v>237</v>
      </c>
      <c r="O53" s="91"/>
    </row>
    <row r="54" spans="1:15" ht="12.75">
      <c r="A54" s="26"/>
      <c r="B54" s="27" t="s">
        <v>139</v>
      </c>
      <c r="C54" s="28"/>
      <c r="D54" s="29">
        <v>-101362.17</v>
      </c>
      <c r="E54" s="30"/>
      <c r="F54" s="31">
        <v>-101362.17</v>
      </c>
      <c r="H54" s="32" t="s">
        <v>191</v>
      </c>
      <c r="I54" s="19" t="s">
        <v>206</v>
      </c>
      <c r="J54" s="19" t="s">
        <v>208</v>
      </c>
      <c r="L54" s="91" t="s">
        <v>191</v>
      </c>
      <c r="M54" s="91" t="s">
        <v>235</v>
      </c>
      <c r="N54" s="91" t="s">
        <v>236</v>
      </c>
      <c r="O54" s="91"/>
    </row>
    <row r="55" spans="1:15" ht="12.75">
      <c r="A55" s="26"/>
      <c r="B55" s="27" t="s">
        <v>158</v>
      </c>
      <c r="C55" s="28"/>
      <c r="D55" s="29">
        <v>-4154.4799999999996</v>
      </c>
      <c r="E55" s="30"/>
      <c r="F55" s="31">
        <v>-4154.4799999999996</v>
      </c>
      <c r="H55" s="32" t="s">
        <v>191</v>
      </c>
      <c r="I55" s="19" t="s">
        <v>206</v>
      </c>
      <c r="J55" s="19" t="s">
        <v>208</v>
      </c>
      <c r="L55" s="91" t="s">
        <v>191</v>
      </c>
      <c r="M55" s="91" t="s">
        <v>235</v>
      </c>
      <c r="N55" s="91" t="s">
        <v>236</v>
      </c>
      <c r="O55" s="91"/>
    </row>
    <row r="56" spans="1:6" ht="12.75">
      <c r="A56" s="26"/>
      <c r="B56" s="27" t="s">
        <v>128</v>
      </c>
      <c r="C56" s="28"/>
      <c r="D56" s="29"/>
      <c r="E56" s="30">
        <v>179769.39000000001</v>
      </c>
      <c r="F56" s="31">
        <v>179769.39000000001</v>
      </c>
    </row>
    <row r="57" spans="1:7" ht="12.75">
      <c r="A57" s="16" t="s">
        <v>192</v>
      </c>
      <c r="B57" s="17"/>
      <c r="C57" s="22">
        <v>-46821.199999999997</v>
      </c>
      <c r="D57" s="25">
        <v>-135859.76000000001</v>
      </c>
      <c r="E57" s="23">
        <v>179769.39000000001</v>
      </c>
      <c r="F57" s="24">
        <v>-2911.5699999999779</v>
      </c>
      <c r="G57" s="32" t="s">
        <v>193</v>
      </c>
    </row>
    <row r="58" spans="1:7" s="39" customFormat="1" ht="12.75">
      <c r="A58" s="33" t="s">
        <v>165</v>
      </c>
      <c r="B58" s="34"/>
      <c r="C58" s="35">
        <v>0</v>
      </c>
      <c r="D58" s="36">
        <v>-135859.76000000001</v>
      </c>
      <c r="E58" s="36">
        <v>179769.39000000001</v>
      </c>
      <c r="F58" s="37">
        <v>43909.630000000005</v>
      </c>
      <c r="G58" s="38" t="s">
        <v>194</v>
      </c>
    </row>
    <row r="59" spans="4:4" ht="12.75">
      <c r="D59" s="40"/>
    </row>
    <row r="60" spans="2:7" ht="12.75">
      <c r="B60" s="32" t="s">
        <v>195</v>
      </c>
      <c r="D60" s="41">
        <f>D57</f>
        <v>-135859.76000000001</v>
      </c>
      <c r="E60" s="41">
        <f>E57</f>
        <v>179769.39000000001</v>
      </c>
      <c r="F60" s="30">
        <f>SUM(D60:E60)</f>
        <v>43909.630000000005</v>
      </c>
      <c r="G60" s="32" t="s">
        <v>196</v>
      </c>
    </row>
    <row r="61" spans="2:7" ht="12.75">
      <c r="B61" s="32" t="s">
        <v>197</v>
      </c>
      <c r="D61" s="41"/>
      <c r="E61" s="41"/>
      <c r="F61" s="42">
        <v>-46821.200000000004</v>
      </c>
      <c r="G61" s="32"/>
    </row>
    <row r="62" spans="4:7" ht="12.75">
      <c r="D62" s="43"/>
      <c r="F62" s="30">
        <f>SUM(F60:F61)</f>
        <v>-2911.5699999999997</v>
      </c>
      <c r="G62" s="19" t="str">
        <f>G57</f>
        <v>Runaway Bay to be paid 2022</v>
      </c>
    </row>
    <row r="63" spans="4:4" ht="12.75">
      <c r="D63" s="43"/>
    </row>
    <row r="64" spans="1:4" ht="12.75">
      <c r="A64" s="19" t="s">
        <v>209</v>
      </c>
      <c r="B64" s="44" t="s">
        <v>198</v>
      </c>
      <c r="C64" s="45">
        <v>0.45000000000000001</v>
      </c>
      <c r="D64" s="46"/>
    </row>
    <row r="65" spans="2:7" ht="12.75">
      <c r="B65" s="44" t="s">
        <v>199</v>
      </c>
      <c r="C65" s="45">
        <v>0.45000000000000001</v>
      </c>
      <c r="F65" s="30">
        <f>-F60*C65</f>
        <v>-19759.333500000004</v>
      </c>
      <c r="G65" s="32" t="s">
        <v>200</v>
      </c>
    </row>
    <row r="66" spans="2:3" ht="12.75">
      <c r="B66" s="44" t="s">
        <v>201</v>
      </c>
      <c r="C66" s="45">
        <v>0.10000000000000001</v>
      </c>
    </row>
    <row r="68" spans="3:7" ht="12.75">
      <c r="C68" s="63">
        <f>C57</f>
        <v>-46821.199999999997</v>
      </c>
      <c r="D68" s="64" t="s">
        <v>207</v>
      </c>
      <c r="E68" s="64"/>
      <c r="F68" s="64"/>
      <c r="G68" s="64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dimension ref="A1:AA26"/>
  <sheetViews>
    <sheetView workbookViewId="0" topLeftCell="D1">
      <selection pane="topLeft" activeCell="L36" sqref="L36"/>
    </sheetView>
  </sheetViews>
  <sheetFormatPr defaultRowHeight="15"/>
  <cols>
    <col min="1" max="1" width="10.4285714285714" style="65" bestFit="1" customWidth="1"/>
    <col min="2" max="2" width="12.1428571428571" style="66" bestFit="1" customWidth="1"/>
    <col min="3" max="3" width="8.85714285714286" style="66" customWidth="1"/>
    <col min="4" max="4" width="12.5714285714286" style="66" customWidth="1"/>
    <col min="5" max="5" width="12.5714285714286" style="74" bestFit="1" customWidth="1"/>
    <col min="6" max="8" width="8.85714285714286" style="66" customWidth="1"/>
    <col min="9" max="9" width="12.5714285714286" style="66" bestFit="1" customWidth="1"/>
    <col min="10" max="10" width="12.1428571428571" style="66" bestFit="1" customWidth="1"/>
    <col min="11" max="12" width="8.85714285714286" style="66" customWidth="1"/>
    <col min="13" max="13" width="11.1428571428571" bestFit="1" customWidth="1"/>
    <col min="16" max="16" width="11.1428571428571" bestFit="1" customWidth="1"/>
  </cols>
  <sheetData>
    <row r="1" spans="5:15" ht="15">
      <c r="E1" s="74" t="s">
        <v>210</v>
      </c>
      <c r="I1" s="67"/>
      <c r="K1" s="69"/>
      <c r="L1" s="69"/>
      <c r="M1" s="15" t="s">
        <v>230</v>
      </c>
      <c r="N1" s="79"/>
      <c r="O1" s="79"/>
    </row>
    <row r="2" spans="1:15" ht="15">
      <c r="A2" s="68">
        <v>43465</v>
      </c>
      <c r="D2" s="66" t="s">
        <v>211</v>
      </c>
      <c r="E2" s="74">
        <v>-93533.149999999994</v>
      </c>
      <c r="I2" s="70"/>
      <c r="K2" s="69"/>
      <c r="L2" s="80" t="str">
        <f t="shared" si="0" ref="L2:M6">D2</f>
        <v>Dallas</v>
      </c>
      <c r="M2" s="81">
        <f t="shared" si="0"/>
        <v>-93533.149999999994</v>
      </c>
      <c r="N2" s="15" t="s">
        <v>231</v>
      </c>
      <c r="O2" s="79"/>
    </row>
    <row r="3" spans="4:15" ht="15">
      <c r="D3" s="66" t="s">
        <v>212</v>
      </c>
      <c r="E3" s="74">
        <v>-200.19999999999999</v>
      </c>
      <c r="I3" s="70"/>
      <c r="K3" s="69"/>
      <c r="L3" s="80" t="str">
        <f t="shared" si="0"/>
        <v>Barry</v>
      </c>
      <c r="M3" s="81">
        <f t="shared" si="0"/>
        <v>-200.19999999999999</v>
      </c>
      <c r="N3" s="15" t="s">
        <v>231</v>
      </c>
      <c r="O3" s="79"/>
    </row>
    <row r="4" spans="4:15" ht="15">
      <c r="D4" s="66" t="s">
        <v>213</v>
      </c>
      <c r="E4" s="74">
        <v>-6</v>
      </c>
      <c r="I4" s="70"/>
      <c r="K4" s="69"/>
      <c r="L4" s="80" t="str">
        <f t="shared" si="0"/>
        <v>Justin</v>
      </c>
      <c r="M4" s="81">
        <f t="shared" si="0"/>
        <v>-6</v>
      </c>
      <c r="N4" s="15" t="s">
        <v>231</v>
      </c>
      <c r="O4" s="79"/>
    </row>
    <row r="5" spans="4:15" ht="15">
      <c r="D5" s="66" t="s">
        <v>214</v>
      </c>
      <c r="E5" s="74">
        <v>-37629.019999999997</v>
      </c>
      <c r="I5" s="71"/>
      <c r="K5" s="69"/>
      <c r="L5" s="80" t="str">
        <f t="shared" si="0"/>
        <v>Frisco</v>
      </c>
      <c r="M5" s="81">
        <f t="shared" si="0"/>
        <v>-37629.019999999997</v>
      </c>
      <c r="N5" s="15" t="s">
        <v>231</v>
      </c>
      <c r="O5" s="79"/>
    </row>
    <row r="6" spans="4:15" ht="15">
      <c r="D6" s="66" t="s">
        <v>215</v>
      </c>
      <c r="E6" s="74">
        <v>-48401</v>
      </c>
      <c r="I6" s="71"/>
      <c r="K6" s="69"/>
      <c r="L6" s="80" t="str">
        <f t="shared" si="0"/>
        <v>Coppell</v>
      </c>
      <c r="M6" s="81">
        <f t="shared" si="0"/>
        <v>-48401</v>
      </c>
      <c r="N6" s="15" t="s">
        <v>231</v>
      </c>
      <c r="O6" s="79"/>
    </row>
    <row r="7" spans="5:15" ht="15.75" thickBot="1">
      <c r="E7" s="84">
        <f>SUM(E2:E6)</f>
        <v>-179769.37</v>
      </c>
      <c r="I7" s="72"/>
      <c r="K7" s="69"/>
      <c r="L7" s="89" t="str">
        <f>D9</f>
        <v>Grand Prairie</v>
      </c>
      <c r="M7" s="82">
        <f>E9</f>
        <v>26689.400000000001</v>
      </c>
      <c r="N7" s="15" t="s">
        <v>232</v>
      </c>
      <c r="O7" s="79"/>
    </row>
    <row r="8" spans="9:15" ht="15.75" thickTop="1">
      <c r="I8" s="73"/>
      <c r="K8" s="69"/>
      <c r="L8" s="80" t="str">
        <f>D10</f>
        <v>Runaway Bay</v>
      </c>
      <c r="M8" s="82">
        <f>E10</f>
        <v>-2911.5700000000002</v>
      </c>
      <c r="N8" s="15" t="s">
        <v>231</v>
      </c>
      <c r="O8" s="79"/>
    </row>
    <row r="9" spans="4:15" ht="15">
      <c r="D9" s="66" t="s">
        <v>216</v>
      </c>
      <c r="E9" s="74">
        <v>26689.400000000001</v>
      </c>
      <c r="F9" s="75" t="s">
        <v>217</v>
      </c>
      <c r="K9" s="69"/>
      <c r="L9" s="80" t="str">
        <f>D14</f>
        <v>Brownwood</v>
      </c>
      <c r="M9" s="82">
        <f>E14</f>
        <v>3653.71</v>
      </c>
      <c r="N9" s="15" t="s">
        <v>232</v>
      </c>
      <c r="O9" s="79"/>
    </row>
    <row r="10" spans="4:15" ht="15">
      <c r="D10" s="66" t="s">
        <v>218</v>
      </c>
      <c r="E10" s="74">
        <v>-2911.5700000000002</v>
      </c>
      <c r="F10" s="75" t="s">
        <v>219</v>
      </c>
      <c r="G10" s="76" t="s">
        <v>220</v>
      </c>
      <c r="I10" s="77"/>
      <c r="K10" s="69"/>
      <c r="L10" s="80" t="str">
        <f>D18</f>
        <v>Tyler</v>
      </c>
      <c r="M10" s="82">
        <f>E18</f>
        <v>4154.4799999999996</v>
      </c>
      <c r="N10" s="15" t="s">
        <v>232</v>
      </c>
      <c r="O10" s="79"/>
    </row>
    <row r="11" spans="5:15" ht="15">
      <c r="E11" s="85">
        <f>SUM(E9:E10)</f>
        <v>23777.830000000002</v>
      </c>
      <c r="F11" s="77" t="s">
        <v>221</v>
      </c>
      <c r="K11" s="69"/>
      <c r="L11" s="80" t="str">
        <f>D19</f>
        <v>Irving</v>
      </c>
      <c r="M11" s="86">
        <f>E19</f>
        <v>101362.17</v>
      </c>
      <c r="N11" s="15" t="s">
        <v>232</v>
      </c>
      <c r="O11" s="79"/>
    </row>
    <row r="12" spans="1:15" ht="15.75" thickBot="1">
      <c r="A12" s="68">
        <v>43769</v>
      </c>
      <c r="E12" s="84">
        <f>E7+E11</f>
        <v>-155991.53999999998</v>
      </c>
      <c r="K12" s="69"/>
      <c r="L12" s="69"/>
      <c r="M12" s="79"/>
      <c r="N12" s="79"/>
      <c r="O12" s="79"/>
    </row>
    <row r="13" spans="11:15" ht="15.75" thickTop="1">
      <c r="K13" s="69"/>
      <c r="L13" s="69"/>
      <c r="M13" s="82">
        <f>SUM(M2:M12)</f>
        <v>-46821.180000000008</v>
      </c>
      <c r="N13" s="79"/>
      <c r="O13" s="79"/>
    </row>
    <row r="14" spans="1:27" ht="15">
      <c r="A14" s="68">
        <v>43830</v>
      </c>
      <c r="B14" s="66">
        <f>E15</f>
        <v>-152337.82999999999</v>
      </c>
      <c r="D14" s="66" t="s">
        <v>222</v>
      </c>
      <c r="E14" s="74">
        <v>3653.71</v>
      </c>
      <c r="F14" s="78">
        <v>0.63157894736842102</v>
      </c>
      <c r="K14" s="69"/>
      <c r="L14" s="83" t="s">
        <v>233</v>
      </c>
      <c r="M14" s="79"/>
      <c r="N14" s="79"/>
      <c r="O14" s="79"/>
      <c r="P14" s="93">
        <v>-46821.180000000008</v>
      </c>
      <c r="Q14" s="94" t="s">
        <v>240</v>
      </c>
      <c r="R14" s="94"/>
      <c r="S14" s="94"/>
      <c r="T14" s="94"/>
      <c r="U14" s="94"/>
      <c r="V14" s="94"/>
      <c r="W14" s="94"/>
      <c r="X14" s="94"/>
      <c r="Y14" s="94"/>
      <c r="Z14" s="94"/>
      <c r="AA14" s="94"/>
    </row>
    <row r="15" spans="1:5" ht="15.75" thickBot="1">
      <c r="A15" s="65" t="s">
        <v>223</v>
      </c>
      <c r="B15" s="66">
        <v>-0.01</v>
      </c>
      <c r="E15" s="84">
        <f>E12+E14</f>
        <v>-152337.82999999999</v>
      </c>
    </row>
    <row r="16" spans="1:14" ht="15.75" thickTop="1">
      <c r="A16" s="68">
        <v>43830</v>
      </c>
      <c r="B16" s="66">
        <f>SUM(B14:B15)</f>
        <v>-152337.84</v>
      </c>
      <c r="L16" s="76" t="s">
        <v>234</v>
      </c>
      <c r="M16" s="87">
        <f>'A903'!D27</f>
        <v>21069.540000000001</v>
      </c>
      <c r="N16" s="88">
        <f>M16/M13</f>
        <v>-0.45000019222070009</v>
      </c>
    </row>
    <row r="18" spans="1:6" ht="15">
      <c r="A18" s="68">
        <v>44135</v>
      </c>
      <c r="B18" s="66">
        <f>E21</f>
        <v>-46821.179999999993</v>
      </c>
      <c r="D18" s="66" t="s">
        <v>224</v>
      </c>
      <c r="E18" s="74">
        <v>4154.4799999999996</v>
      </c>
      <c r="F18" s="75"/>
    </row>
    <row r="19" spans="1:6" ht="15">
      <c r="A19" s="65" t="s">
        <v>225</v>
      </c>
      <c r="B19" s="66">
        <v>-0.02</v>
      </c>
      <c r="D19" s="66" t="s">
        <v>226</v>
      </c>
      <c r="E19" s="74">
        <v>101362.17</v>
      </c>
      <c r="F19" s="78"/>
    </row>
    <row r="20" spans="1:5" ht="15">
      <c r="A20" s="68">
        <v>44196</v>
      </c>
      <c r="B20" s="66">
        <f>SUM(B18:B19)</f>
        <v>-46821.19999999999</v>
      </c>
      <c r="E20" s="85">
        <f>SUM(E18:E19)</f>
        <v>105516.64999999999</v>
      </c>
    </row>
    <row r="21" spans="5:8" ht="15.75" thickBot="1">
      <c r="E21" s="84">
        <f>E15+E20</f>
        <v>-46821.179999999993</v>
      </c>
      <c r="F21" s="76" t="s">
        <v>229</v>
      </c>
      <c r="H21" s="92" t="s">
        <v>239</v>
      </c>
    </row>
    <row r="22" ht="15.75" thickTop="1"/>
    <row r="23" spans="1:2" ht="15">
      <c r="A23" s="68">
        <v>44530</v>
      </c>
      <c r="B23" s="66">
        <f>B20</f>
        <v>-46821.19999999999</v>
      </c>
    </row>
    <row r="24" spans="4:6" ht="15">
      <c r="D24" s="76" t="s">
        <v>227</v>
      </c>
      <c r="E24" s="74">
        <f>E9+E14+E18+E19</f>
        <v>135859.76000000001</v>
      </c>
      <c r="F24" s="76" t="s">
        <v>228</v>
      </c>
    </row>
    <row r="26" spans="6:6" ht="15">
      <c r="F26" s="76"/>
    </row>
  </sheetData>
  <dataValidations count="1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2">
      <formula1>"NEXT"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/>
  <dimension ref="A1:BV41"/>
  <sheetViews>
    <sheetView workbookViewId="0" topLeftCell="A1">
      <pane xSplit="3" ySplit="6" topLeftCell="D7" activePane="bottomRight" state="frozen"/>
      <selection pane="topLeft" activeCell="B73" sqref="B73"/>
      <selection pane="bottomLeft" activeCell="B73" sqref="B73"/>
      <selection pane="topRight" activeCell="B73" sqref="B73"/>
      <selection pane="bottomRight" activeCell="F47" sqref="F47"/>
    </sheetView>
  </sheetViews>
  <sheetFormatPr defaultColWidth="8.85428571428571" defaultRowHeight="12.75"/>
  <cols>
    <col min="1" max="1" width="9.14285714285714" style="19" hidden="1" customWidth="1"/>
    <col min="2" max="2" width="9" style="40" customWidth="1"/>
    <col min="3" max="3" width="11" style="40" customWidth="1"/>
    <col min="4" max="4" width="4.85714285714286" style="40" customWidth="1"/>
    <col min="5" max="5" width="11.1428571428571" style="47" customWidth="1"/>
    <col min="6" max="6" width="29.1428571428571" style="40" customWidth="1"/>
    <col min="7" max="7" width="10.1428571428571" style="40" customWidth="1"/>
    <col min="8" max="8" width="7" style="40" customWidth="1"/>
    <col min="9" max="9" width="8.14285714285714" style="40" customWidth="1"/>
    <col min="10" max="10" width="6.85714285714286" style="40" customWidth="1"/>
    <col min="11" max="11" width="9.57142857142857" style="40" customWidth="1"/>
    <col min="12" max="12" width="7.57142857142857" style="40" customWidth="1"/>
    <col min="13" max="13" width="7.14285714285714" style="40" customWidth="1"/>
    <col min="14" max="14" width="4" style="40" customWidth="1"/>
    <col min="15" max="15" width="23" style="40" customWidth="1"/>
    <col min="16" max="16" width="30.4285714285714" style="40" customWidth="1"/>
    <col min="17" max="17" width="5.42857142857143" style="40" customWidth="1"/>
    <col min="18" max="18" width="34.8571428571429" style="40" customWidth="1"/>
    <col min="19" max="19" width="7" style="40" customWidth="1"/>
    <col min="20" max="20" width="10" style="40" customWidth="1"/>
    <col min="21" max="21" width="10.1428571428571" style="40" customWidth="1"/>
    <col min="22" max="22" width="9.14285714285714" style="40" customWidth="1"/>
    <col min="23" max="23" width="64.8571428571429" style="40" customWidth="1"/>
    <col min="24" max="24" width="5.14285714285714" style="40" customWidth="1"/>
    <col min="25" max="25" width="15.8571428571429" style="40" customWidth="1"/>
    <col min="26" max="26" width="9.14285714285714" style="40" customWidth="1"/>
    <col min="27" max="27" width="6.57142857142857" style="40" customWidth="1"/>
    <col min="28" max="28" width="10.1428571428571" style="40" customWidth="1"/>
    <col min="29" max="30" width="6.57142857142857" style="40" customWidth="1"/>
    <col min="31" max="31" width="4" style="40" customWidth="1"/>
    <col min="32" max="33" width="9.42857142857143" style="40" customWidth="1"/>
    <col min="34" max="34" width="23" style="40" customWidth="1"/>
    <col min="35" max="35" width="4.14285714285714" style="40" customWidth="1"/>
    <col min="36" max="36" width="10.1428571428571" style="40" customWidth="1"/>
    <col min="37" max="37" width="8.57142857142857" style="40" customWidth="1"/>
    <col min="38" max="38" width="7" style="40" customWidth="1"/>
    <col min="39" max="39" width="8.14285714285714" style="40" customWidth="1"/>
    <col min="40" max="41" width="4.57142857142857" style="40" customWidth="1"/>
    <col min="42" max="42" width="8.85714285714286" style="19" customWidth="1"/>
    <col min="43" max="56" width="8.85714285714286" style="19"/>
    <col min="57" max="57" width="9.42857142857143" style="19" bestFit="1" customWidth="1"/>
    <col min="58" max="73" width="8.85714285714286" style="19"/>
    <col min="74" max="74" width="12.8571428571429" style="19" bestFit="1" customWidth="1"/>
    <col min="75" max="16384" width="8.85714285714286" style="19"/>
  </cols>
  <sheetData>
    <row r="1" spans="2:42" ht="16.5" customHeight="1" hidden="1">
      <c r="B1" s="40" t="s">
        <v>77</v>
      </c>
      <c r="C1" s="40" t="s">
        <v>5</v>
      </c>
      <c r="D1" s="40" t="s">
        <v>7</v>
      </c>
      <c r="E1" s="47" t="s">
        <v>25</v>
      </c>
      <c r="F1" s="40" t="s">
        <v>75</v>
      </c>
      <c r="G1" s="40" t="s">
        <v>9</v>
      </c>
      <c r="H1" s="40" t="s">
        <v>11</v>
      </c>
      <c r="I1" s="40" t="s">
        <v>13</v>
      </c>
      <c r="J1" s="40" t="s">
        <v>15</v>
      </c>
      <c r="K1" s="40" t="s">
        <v>17</v>
      </c>
      <c r="L1" s="40" t="s">
        <v>19</v>
      </c>
      <c r="M1" s="40" t="s">
        <v>21</v>
      </c>
      <c r="N1" s="40" t="s">
        <v>23</v>
      </c>
      <c r="O1" s="40" t="s">
        <v>27</v>
      </c>
      <c r="P1" s="40" t="s">
        <v>29</v>
      </c>
      <c r="Q1" s="40" t="s">
        <v>31</v>
      </c>
      <c r="R1" s="40" t="s">
        <v>80</v>
      </c>
      <c r="S1" s="40" t="s">
        <v>33</v>
      </c>
      <c r="T1" s="40" t="s">
        <v>82</v>
      </c>
      <c r="U1" s="40" t="s">
        <v>83</v>
      </c>
      <c r="V1" s="40" t="s">
        <v>37</v>
      </c>
      <c r="W1" s="40" t="s">
        <v>39</v>
      </c>
      <c r="X1" s="40" t="s">
        <v>41</v>
      </c>
      <c r="Y1" s="40" t="s">
        <v>43</v>
      </c>
      <c r="Z1" s="40" t="s">
        <v>45</v>
      </c>
      <c r="AA1" s="40" t="s">
        <v>46</v>
      </c>
      <c r="AB1" s="40" t="s">
        <v>48</v>
      </c>
      <c r="AC1" s="40" t="s">
        <v>50</v>
      </c>
      <c r="AD1" s="40" t="s">
        <v>52</v>
      </c>
      <c r="AE1" s="40" t="s">
        <v>53</v>
      </c>
      <c r="AF1" s="40" t="s">
        <v>55</v>
      </c>
      <c r="AG1" s="40" t="s">
        <v>57</v>
      </c>
      <c r="AH1" s="40" t="s">
        <v>27</v>
      </c>
      <c r="AI1" s="40" t="s">
        <v>59</v>
      </c>
      <c r="AJ1" s="40" t="s">
        <v>61</v>
      </c>
      <c r="AK1" s="40" t="s">
        <v>63</v>
      </c>
      <c r="AL1" s="40" t="s">
        <v>65</v>
      </c>
      <c r="AM1" s="40" t="s">
        <v>67</v>
      </c>
      <c r="AN1" s="40" t="s">
        <v>69</v>
      </c>
      <c r="AO1" s="40" t="s">
        <v>71</v>
      </c>
      <c r="AP1" s="19" t="s">
        <v>78</v>
      </c>
    </row>
    <row r="2" spans="2:74" s="48" customFormat="1" ht="15.75">
      <c r="B2" s="49" t="s">
        <v>0</v>
      </c>
      <c r="C2" s="49"/>
      <c r="D2" s="49"/>
      <c r="E2" s="50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BE2" s="51">
        <f>NvsElapsedTime</f>
        <v>0.00013888888497604057</v>
      </c>
      <c r="BV2" s="52">
        <f ca="1">NOW()</f>
        <v>44663.748008564813</v>
      </c>
    </row>
    <row r="4" spans="2:41" s="48" customFormat="1" ht="15.75">
      <c r="B4" s="49" t="s">
        <v>73</v>
      </c>
      <c r="C4" s="49"/>
      <c r="D4" s="49"/>
      <c r="E4" s="50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</row>
    <row r="6" spans="1:42" s="53" customFormat="1" ht="26.25" thickBot="1">
      <c r="A6" s="53" t="s">
        <v>1</v>
      </c>
      <c r="B6" s="53" t="s">
        <v>4</v>
      </c>
      <c r="C6" s="53" t="s">
        <v>6</v>
      </c>
      <c r="D6" s="53" t="s">
        <v>8</v>
      </c>
      <c r="E6" s="54" t="s">
        <v>26</v>
      </c>
      <c r="F6" s="53" t="s">
        <v>76</v>
      </c>
      <c r="G6" s="53" t="s">
        <v>10</v>
      </c>
      <c r="H6" s="53" t="s">
        <v>12</v>
      </c>
      <c r="I6" s="53" t="s">
        <v>14</v>
      </c>
      <c r="J6" s="53" t="s">
        <v>16</v>
      </c>
      <c r="K6" s="53" t="s">
        <v>18</v>
      </c>
      <c r="L6" s="53" t="s">
        <v>20</v>
      </c>
      <c r="M6" s="53" t="s">
        <v>22</v>
      </c>
      <c r="N6" s="53" t="s">
        <v>24</v>
      </c>
      <c r="O6" s="53" t="s">
        <v>28</v>
      </c>
      <c r="P6" s="53" t="s">
        <v>30</v>
      </c>
      <c r="Q6" s="53" t="s">
        <v>32</v>
      </c>
      <c r="R6" s="53" t="s">
        <v>81</v>
      </c>
      <c r="S6" s="53" t="s">
        <v>34</v>
      </c>
      <c r="T6" s="53" t="s">
        <v>35</v>
      </c>
      <c r="U6" s="53" t="s">
        <v>36</v>
      </c>
      <c r="V6" s="53" t="s">
        <v>38</v>
      </c>
      <c r="W6" s="53" t="s">
        <v>40</v>
      </c>
      <c r="X6" s="53" t="s">
        <v>42</v>
      </c>
      <c r="Y6" s="53" t="s">
        <v>44</v>
      </c>
      <c r="Z6" s="53" t="s">
        <v>38</v>
      </c>
      <c r="AA6" s="53" t="s">
        <v>47</v>
      </c>
      <c r="AB6" s="53" t="s">
        <v>49</v>
      </c>
      <c r="AC6" s="53" t="s">
        <v>51</v>
      </c>
      <c r="AD6" s="53" t="s">
        <v>51</v>
      </c>
      <c r="AE6" s="53" t="s">
        <v>54</v>
      </c>
      <c r="AF6" s="53" t="s">
        <v>56</v>
      </c>
      <c r="AG6" s="53" t="s">
        <v>58</v>
      </c>
      <c r="AH6" s="53" t="s">
        <v>28</v>
      </c>
      <c r="AI6" s="53" t="s">
        <v>60</v>
      </c>
      <c r="AJ6" s="53" t="s">
        <v>62</v>
      </c>
      <c r="AK6" s="53" t="s">
        <v>64</v>
      </c>
      <c r="AL6" s="53" t="s">
        <v>66</v>
      </c>
      <c r="AM6" s="53" t="s">
        <v>68</v>
      </c>
      <c r="AN6" s="53" t="s">
        <v>70</v>
      </c>
      <c r="AO6" s="53" t="s">
        <v>72</v>
      </c>
      <c r="AP6" s="53" t="s">
        <v>79</v>
      </c>
    </row>
    <row r="7" spans="1:42" s="40" customFormat="1" ht="13.5" thickTop="1">
      <c r="A7" s="40" t="s">
        <v>2</v>
      </c>
      <c r="B7" s="40" t="s">
        <v>88</v>
      </c>
      <c r="C7" s="55" t="s">
        <v>89</v>
      </c>
      <c r="D7" s="40" t="s">
        <v>84</v>
      </c>
      <c r="E7" s="47">
        <v>-46821.199999999997</v>
      </c>
      <c r="F7" s="56" t="str">
        <f>IF(LEN(P7)&lt;2,"No Documentation Attached","Click Here To Select Upload Journal")</f>
        <v>Click Here To Select Upload Journal</v>
      </c>
      <c r="G7" s="57" t="s">
        <v>120</v>
      </c>
      <c r="H7" s="40" t="s">
        <v>202</v>
      </c>
      <c r="I7" s="40" t="s">
        <v>203</v>
      </c>
      <c r="J7" s="40" t="s">
        <v>204</v>
      </c>
      <c r="K7" s="40" t="s">
        <v>205</v>
      </c>
      <c r="L7" s="40" t="s">
        <v>98</v>
      </c>
      <c r="M7" s="40" t="s">
        <v>98</v>
      </c>
      <c r="O7" s="40" t="s">
        <v>99</v>
      </c>
      <c r="P7" s="40" t="s">
        <v>121</v>
      </c>
      <c r="R7" s="40" t="s">
        <v>101</v>
      </c>
      <c r="S7" s="40">
        <v>8</v>
      </c>
      <c r="T7" s="40">
        <v>1</v>
      </c>
      <c r="U7" s="40" t="s">
        <v>142</v>
      </c>
      <c r="V7" s="40" t="s">
        <v>143</v>
      </c>
      <c r="W7" s="40" t="s">
        <v>144</v>
      </c>
      <c r="X7" s="40">
        <v>2021</v>
      </c>
      <c r="Y7" s="40">
        <v>-46821.199999999997</v>
      </c>
      <c r="Z7" s="40" t="s">
        <v>143</v>
      </c>
      <c r="AA7" s="40">
        <v>4</v>
      </c>
      <c r="AB7" s="58" t="s">
        <v>120</v>
      </c>
      <c r="AC7" s="40" t="s">
        <v>147</v>
      </c>
      <c r="AD7" s="40" t="s">
        <v>148</v>
      </c>
      <c r="AF7" s="40" t="s">
        <v>149</v>
      </c>
      <c r="AG7" s="40" t="s">
        <v>149</v>
      </c>
      <c r="AH7" s="40" t="s">
        <v>99</v>
      </c>
      <c r="AI7" s="40" t="s">
        <v>150</v>
      </c>
      <c r="AJ7" s="58" t="s">
        <v>127</v>
      </c>
      <c r="AK7" s="40">
        <v>0</v>
      </c>
      <c r="AL7" s="40" t="s">
        <v>156</v>
      </c>
      <c r="AM7" s="40">
        <v>0</v>
      </c>
      <c r="AO7" s="40">
        <v>0</v>
      </c>
      <c r="AP7" s="40">
        <v>0</v>
      </c>
    </row>
    <row r="8" spans="2:42" s="40" customFormat="1" ht="12.75">
      <c r="B8" s="40" t="s">
        <v>88</v>
      </c>
      <c r="C8" s="55" t="s">
        <v>89</v>
      </c>
      <c r="D8" s="40" t="s">
        <v>84</v>
      </c>
      <c r="E8" s="47">
        <v>-46821.199999999997</v>
      </c>
      <c r="F8" s="56" t="str">
        <f t="shared" si="0" ref="F8:F35">IF(LEN(P8)&lt;2,"No Documentation Attached","Click Here To Select Upload Journal")</f>
        <v>Click Here To Select Upload Journal</v>
      </c>
      <c r="G8" s="57" t="s">
        <v>130</v>
      </c>
      <c r="H8" s="40" t="s">
        <v>202</v>
      </c>
      <c r="I8" s="40" t="s">
        <v>203</v>
      </c>
      <c r="J8" s="40" t="s">
        <v>204</v>
      </c>
      <c r="K8" s="40" t="s">
        <v>205</v>
      </c>
      <c r="L8" s="40" t="s">
        <v>98</v>
      </c>
      <c r="M8" s="40" t="s">
        <v>98</v>
      </c>
      <c r="O8" s="40" t="s">
        <v>99</v>
      </c>
      <c r="P8" s="40" t="s">
        <v>131</v>
      </c>
      <c r="R8" s="40" t="s">
        <v>104</v>
      </c>
      <c r="S8" s="40">
        <v>9</v>
      </c>
      <c r="T8" s="40">
        <v>1</v>
      </c>
      <c r="U8" s="40" t="s">
        <v>142</v>
      </c>
      <c r="V8" s="40" t="s">
        <v>143</v>
      </c>
      <c r="W8" s="40" t="s">
        <v>144</v>
      </c>
      <c r="X8" s="40">
        <v>2021</v>
      </c>
      <c r="Y8" s="40">
        <v>-46821.199999999997</v>
      </c>
      <c r="Z8" s="40" t="s">
        <v>143</v>
      </c>
      <c r="AA8" s="40">
        <v>4</v>
      </c>
      <c r="AB8" s="58" t="s">
        <v>130</v>
      </c>
      <c r="AC8" s="40" t="s">
        <v>147</v>
      </c>
      <c r="AD8" s="40" t="s">
        <v>148</v>
      </c>
      <c r="AF8" s="40" t="s">
        <v>149</v>
      </c>
      <c r="AG8" s="40" t="s">
        <v>149</v>
      </c>
      <c r="AH8" s="40" t="s">
        <v>99</v>
      </c>
      <c r="AI8" s="40" t="s">
        <v>150</v>
      </c>
      <c r="AJ8" s="58" t="s">
        <v>130</v>
      </c>
      <c r="AK8" s="40">
        <v>0</v>
      </c>
      <c r="AL8" s="40" t="s">
        <v>156</v>
      </c>
      <c r="AM8" s="40">
        <v>0</v>
      </c>
      <c r="AO8" s="40">
        <v>0</v>
      </c>
      <c r="AP8" s="40">
        <v>0</v>
      </c>
    </row>
    <row r="9" spans="2:42" s="40" customFormat="1" ht="12.75">
      <c r="B9" s="40" t="s">
        <v>88</v>
      </c>
      <c r="C9" s="55" t="s">
        <v>89</v>
      </c>
      <c r="D9" s="40" t="s">
        <v>84</v>
      </c>
      <c r="E9" s="47">
        <v>-46821.199999999997</v>
      </c>
      <c r="F9" s="56" t="str">
        <f t="shared" si="0"/>
        <v>Click Here To Select Upload Journal</v>
      </c>
      <c r="G9" s="57" t="s">
        <v>138</v>
      </c>
      <c r="H9" s="40" t="s">
        <v>202</v>
      </c>
      <c r="I9" s="40" t="s">
        <v>203</v>
      </c>
      <c r="J9" s="40" t="s">
        <v>204</v>
      </c>
      <c r="K9" s="40" t="s">
        <v>205</v>
      </c>
      <c r="L9" s="40" t="s">
        <v>98</v>
      </c>
      <c r="M9" s="40" t="s">
        <v>98</v>
      </c>
      <c r="O9" s="40" t="s">
        <v>99</v>
      </c>
      <c r="P9" s="40" t="s">
        <v>114</v>
      </c>
      <c r="R9" s="40" t="s">
        <v>104</v>
      </c>
      <c r="S9" s="40">
        <v>11</v>
      </c>
      <c r="T9" s="40">
        <v>1</v>
      </c>
      <c r="U9" s="40" t="s">
        <v>142</v>
      </c>
      <c r="V9" s="40" t="s">
        <v>143</v>
      </c>
      <c r="W9" s="40" t="s">
        <v>144</v>
      </c>
      <c r="X9" s="40">
        <v>2021</v>
      </c>
      <c r="Y9" s="40">
        <v>-46821.199999999997</v>
      </c>
      <c r="Z9" s="40" t="s">
        <v>143</v>
      </c>
      <c r="AA9" s="40">
        <v>4</v>
      </c>
      <c r="AB9" s="58" t="s">
        <v>138</v>
      </c>
      <c r="AC9" s="40" t="s">
        <v>147</v>
      </c>
      <c r="AD9" s="40" t="s">
        <v>148</v>
      </c>
      <c r="AF9" s="40" t="s">
        <v>149</v>
      </c>
      <c r="AG9" s="40" t="s">
        <v>149</v>
      </c>
      <c r="AH9" s="40" t="s">
        <v>99</v>
      </c>
      <c r="AI9" s="40" t="s">
        <v>150</v>
      </c>
      <c r="AJ9" s="58" t="s">
        <v>138</v>
      </c>
      <c r="AK9" s="40">
        <v>0</v>
      </c>
      <c r="AL9" s="40" t="s">
        <v>156</v>
      </c>
      <c r="AM9" s="40">
        <v>0</v>
      </c>
      <c r="AO9" s="40">
        <v>0</v>
      </c>
      <c r="AP9" s="40">
        <v>0</v>
      </c>
    </row>
    <row r="10" spans="2:42" s="40" customFormat="1" ht="12.75">
      <c r="B10" s="40" t="s">
        <v>88</v>
      </c>
      <c r="C10" s="55" t="s">
        <v>89</v>
      </c>
      <c r="D10" s="40" t="s">
        <v>84</v>
      </c>
      <c r="E10" s="47">
        <v>-46821.199999999997</v>
      </c>
      <c r="F10" s="56" t="str">
        <f t="shared" si="0"/>
        <v>Click Here To Select Upload Journal</v>
      </c>
      <c r="G10" s="57" t="s">
        <v>111</v>
      </c>
      <c r="H10" s="40" t="s">
        <v>202</v>
      </c>
      <c r="I10" s="40" t="s">
        <v>203</v>
      </c>
      <c r="J10" s="40" t="s">
        <v>204</v>
      </c>
      <c r="K10" s="40" t="s">
        <v>205</v>
      </c>
      <c r="L10" s="40" t="s">
        <v>98</v>
      </c>
      <c r="M10" s="40" t="s">
        <v>98</v>
      </c>
      <c r="O10" s="40" t="s">
        <v>99</v>
      </c>
      <c r="P10" s="40" t="s">
        <v>112</v>
      </c>
      <c r="R10" s="40" t="s">
        <v>101</v>
      </c>
      <c r="S10" s="40">
        <v>7</v>
      </c>
      <c r="T10" s="40">
        <v>1</v>
      </c>
      <c r="U10" s="40" t="s">
        <v>142</v>
      </c>
      <c r="V10" s="40" t="s">
        <v>143</v>
      </c>
      <c r="W10" s="40" t="s">
        <v>144</v>
      </c>
      <c r="X10" s="40">
        <v>2021</v>
      </c>
      <c r="Y10" s="40">
        <v>-46821.199999999997</v>
      </c>
      <c r="Z10" s="40" t="s">
        <v>143</v>
      </c>
      <c r="AA10" s="40">
        <v>4</v>
      </c>
      <c r="AB10" s="58" t="s">
        <v>111</v>
      </c>
      <c r="AC10" s="40" t="s">
        <v>147</v>
      </c>
      <c r="AD10" s="40" t="s">
        <v>148</v>
      </c>
      <c r="AF10" s="40" t="s">
        <v>149</v>
      </c>
      <c r="AG10" s="40" t="s">
        <v>149</v>
      </c>
      <c r="AH10" s="40" t="s">
        <v>99</v>
      </c>
      <c r="AI10" s="40" t="s">
        <v>150</v>
      </c>
      <c r="AJ10" s="58" t="s">
        <v>152</v>
      </c>
      <c r="AK10" s="40">
        <v>0</v>
      </c>
      <c r="AL10" s="40" t="s">
        <v>156</v>
      </c>
      <c r="AM10" s="40">
        <v>0</v>
      </c>
      <c r="AO10" s="40">
        <v>0</v>
      </c>
      <c r="AP10" s="40">
        <v>0</v>
      </c>
    </row>
    <row r="11" spans="2:42" s="40" customFormat="1" ht="12.75">
      <c r="B11" s="40" t="s">
        <v>88</v>
      </c>
      <c r="C11" s="55" t="s">
        <v>89</v>
      </c>
      <c r="D11" s="40" t="s">
        <v>84</v>
      </c>
      <c r="E11" s="47">
        <v>46821.199999999997</v>
      </c>
      <c r="F11" s="56" t="str">
        <f t="shared" si="0"/>
        <v>Click Here To Select Upload Journal</v>
      </c>
      <c r="G11" s="57" t="s">
        <v>127</v>
      </c>
      <c r="H11" s="40" t="s">
        <v>202</v>
      </c>
      <c r="I11" s="40" t="s">
        <v>203</v>
      </c>
      <c r="J11" s="40" t="s">
        <v>204</v>
      </c>
      <c r="K11" s="40" t="s">
        <v>205</v>
      </c>
      <c r="L11" s="40" t="s">
        <v>98</v>
      </c>
      <c r="M11" s="40" t="s">
        <v>98</v>
      </c>
      <c r="O11" s="40" t="s">
        <v>99</v>
      </c>
      <c r="P11" s="40" t="s">
        <v>121</v>
      </c>
      <c r="R11" s="40" t="s">
        <v>101</v>
      </c>
      <c r="S11" s="40">
        <v>9</v>
      </c>
      <c r="T11" s="40">
        <v>1</v>
      </c>
      <c r="U11" s="40" t="s">
        <v>142</v>
      </c>
      <c r="V11" s="40" t="s">
        <v>143</v>
      </c>
      <c r="W11" s="40" t="s">
        <v>144</v>
      </c>
      <c r="X11" s="40">
        <v>2021</v>
      </c>
      <c r="Y11" s="40">
        <v>46821.199999999997</v>
      </c>
      <c r="Z11" s="40" t="s">
        <v>143</v>
      </c>
      <c r="AA11" s="40">
        <v>4</v>
      </c>
      <c r="AB11" s="58" t="s">
        <v>127</v>
      </c>
      <c r="AC11" s="40" t="s">
        <v>147</v>
      </c>
      <c r="AD11" s="40" t="s">
        <v>148</v>
      </c>
      <c r="AF11" s="40" t="s">
        <v>149</v>
      </c>
      <c r="AG11" s="40" t="s">
        <v>149</v>
      </c>
      <c r="AH11" s="40" t="s">
        <v>99</v>
      </c>
      <c r="AI11" s="40" t="s">
        <v>150</v>
      </c>
      <c r="AJ11" s="58" t="s">
        <v>127</v>
      </c>
      <c r="AK11" s="40">
        <v>2301855</v>
      </c>
      <c r="AL11" s="40" t="s">
        <v>156</v>
      </c>
      <c r="AM11" s="40">
        <v>0</v>
      </c>
      <c r="AO11" s="40">
        <v>0</v>
      </c>
      <c r="AP11" s="40">
        <v>0</v>
      </c>
    </row>
    <row r="12" spans="2:42" s="40" customFormat="1" ht="12.75">
      <c r="B12" s="40" t="s">
        <v>88</v>
      </c>
      <c r="C12" s="55" t="s">
        <v>89</v>
      </c>
      <c r="D12" s="40" t="s">
        <v>84</v>
      </c>
      <c r="E12" s="47">
        <v>46821.199999999997</v>
      </c>
      <c r="F12" s="56" t="str">
        <f t="shared" si="0"/>
        <v>Click Here To Select Upload Journal</v>
      </c>
      <c r="G12" s="57" t="s">
        <v>113</v>
      </c>
      <c r="H12" s="40" t="s">
        <v>202</v>
      </c>
      <c r="I12" s="40" t="s">
        <v>203</v>
      </c>
      <c r="J12" s="40" t="s">
        <v>204</v>
      </c>
      <c r="K12" s="40" t="s">
        <v>205</v>
      </c>
      <c r="L12" s="40" t="s">
        <v>98</v>
      </c>
      <c r="M12" s="40" t="s">
        <v>98</v>
      </c>
      <c r="O12" s="40" t="s">
        <v>99</v>
      </c>
      <c r="P12" s="40" t="s">
        <v>114</v>
      </c>
      <c r="R12" s="40" t="s">
        <v>104</v>
      </c>
      <c r="S12" s="40">
        <v>12</v>
      </c>
      <c r="T12" s="40">
        <v>1</v>
      </c>
      <c r="U12" s="40" t="s">
        <v>142</v>
      </c>
      <c r="V12" s="40" t="s">
        <v>143</v>
      </c>
      <c r="W12" s="40" t="s">
        <v>144</v>
      </c>
      <c r="X12" s="40">
        <v>2021</v>
      </c>
      <c r="Y12" s="40">
        <v>46821.199999999997</v>
      </c>
      <c r="Z12" s="40" t="s">
        <v>143</v>
      </c>
      <c r="AA12" s="40">
        <v>4</v>
      </c>
      <c r="AB12" s="58" t="s">
        <v>113</v>
      </c>
      <c r="AC12" s="40" t="s">
        <v>147</v>
      </c>
      <c r="AD12" s="40" t="s">
        <v>148</v>
      </c>
      <c r="AF12" s="40" t="s">
        <v>149</v>
      </c>
      <c r="AG12" s="40" t="s">
        <v>149</v>
      </c>
      <c r="AH12" s="40" t="s">
        <v>99</v>
      </c>
      <c r="AI12" s="40" t="s">
        <v>150</v>
      </c>
      <c r="AJ12" s="58" t="s">
        <v>138</v>
      </c>
      <c r="AK12" s="40">
        <v>2349582</v>
      </c>
      <c r="AL12" s="40" t="s">
        <v>156</v>
      </c>
      <c r="AM12" s="40">
        <v>0</v>
      </c>
      <c r="AO12" s="40">
        <v>0</v>
      </c>
      <c r="AP12" s="40">
        <v>0</v>
      </c>
    </row>
    <row r="13" spans="2:42" s="40" customFormat="1" ht="12.75">
      <c r="B13" s="40" t="s">
        <v>88</v>
      </c>
      <c r="C13" s="55" t="s">
        <v>91</v>
      </c>
      <c r="D13" s="40" t="s">
        <v>84</v>
      </c>
      <c r="E13" s="47">
        <v>-26689.400000000001</v>
      </c>
      <c r="F13" s="56" t="str">
        <f t="shared" si="0"/>
        <v>Click Here To Select Upload Journal</v>
      </c>
      <c r="G13" s="57" t="s">
        <v>115</v>
      </c>
      <c r="H13" s="40" t="s">
        <v>202</v>
      </c>
      <c r="I13" s="40" t="s">
        <v>203</v>
      </c>
      <c r="J13" s="40" t="s">
        <v>204</v>
      </c>
      <c r="K13" s="40" t="s">
        <v>205</v>
      </c>
      <c r="L13" s="40" t="s">
        <v>98</v>
      </c>
      <c r="M13" s="40" t="s">
        <v>98</v>
      </c>
      <c r="O13" s="40" t="s">
        <v>133</v>
      </c>
      <c r="P13" s="40" t="s">
        <v>134</v>
      </c>
      <c r="R13" s="40" t="s">
        <v>104</v>
      </c>
      <c r="S13" s="40">
        <v>12</v>
      </c>
      <c r="T13" s="40">
        <v>1</v>
      </c>
      <c r="U13" s="40" t="s">
        <v>142</v>
      </c>
      <c r="V13" s="40" t="s">
        <v>143</v>
      </c>
      <c r="W13" s="40" t="s">
        <v>146</v>
      </c>
      <c r="X13" s="40">
        <v>2021</v>
      </c>
      <c r="Y13" s="40">
        <v>-26689.400000000001</v>
      </c>
      <c r="Z13" s="40" t="s">
        <v>143</v>
      </c>
      <c r="AA13" s="40">
        <v>4</v>
      </c>
      <c r="AB13" s="58" t="s">
        <v>115</v>
      </c>
      <c r="AC13" s="40" t="s">
        <v>147</v>
      </c>
      <c r="AD13" s="40" t="s">
        <v>148</v>
      </c>
      <c r="AF13" s="40" t="s">
        <v>149</v>
      </c>
      <c r="AG13" s="40" t="s">
        <v>149</v>
      </c>
      <c r="AH13" s="40" t="s">
        <v>133</v>
      </c>
      <c r="AI13" s="40" t="s">
        <v>150</v>
      </c>
      <c r="AJ13" s="58" t="s">
        <v>154</v>
      </c>
      <c r="AK13" s="40">
        <v>0</v>
      </c>
      <c r="AL13" s="40" t="s">
        <v>156</v>
      </c>
      <c r="AM13" s="40">
        <v>0</v>
      </c>
      <c r="AO13" s="40">
        <v>0</v>
      </c>
      <c r="AP13" s="40">
        <v>0</v>
      </c>
    </row>
    <row r="14" spans="2:42" s="40" customFormat="1" ht="12.75">
      <c r="B14" s="40" t="s">
        <v>88</v>
      </c>
      <c r="C14" s="55" t="s">
        <v>91</v>
      </c>
      <c r="D14" s="40" t="s">
        <v>84</v>
      </c>
      <c r="E14" s="47">
        <v>-4154.4799999999996</v>
      </c>
      <c r="F14" s="56" t="str">
        <f t="shared" si="0"/>
        <v>Click Here To Select Upload Journal</v>
      </c>
      <c r="G14" s="57" t="s">
        <v>115</v>
      </c>
      <c r="H14" s="40" t="s">
        <v>202</v>
      </c>
      <c r="I14" s="40" t="s">
        <v>203</v>
      </c>
      <c r="J14" s="40" t="s">
        <v>204</v>
      </c>
      <c r="K14" s="40" t="s">
        <v>205</v>
      </c>
      <c r="L14" s="40" t="s">
        <v>98</v>
      </c>
      <c r="M14" s="40" t="s">
        <v>98</v>
      </c>
      <c r="O14" s="40" t="s">
        <v>158</v>
      </c>
      <c r="P14" s="40" t="s">
        <v>134</v>
      </c>
      <c r="R14" s="40" t="s">
        <v>104</v>
      </c>
      <c r="S14" s="40">
        <v>12</v>
      </c>
      <c r="T14" s="40">
        <v>1</v>
      </c>
      <c r="U14" s="40" t="s">
        <v>142</v>
      </c>
      <c r="V14" s="40" t="s">
        <v>143</v>
      </c>
      <c r="W14" s="40" t="s">
        <v>146</v>
      </c>
      <c r="X14" s="40">
        <v>2021</v>
      </c>
      <c r="Y14" s="40">
        <v>-4154.4799999999996</v>
      </c>
      <c r="Z14" s="40" t="s">
        <v>143</v>
      </c>
      <c r="AA14" s="40">
        <v>12</v>
      </c>
      <c r="AB14" s="58" t="s">
        <v>115</v>
      </c>
      <c r="AC14" s="40" t="s">
        <v>147</v>
      </c>
      <c r="AD14" s="40" t="s">
        <v>148</v>
      </c>
      <c r="AF14" s="40" t="s">
        <v>149</v>
      </c>
      <c r="AG14" s="40" t="s">
        <v>149</v>
      </c>
      <c r="AH14" s="40" t="s">
        <v>158</v>
      </c>
      <c r="AI14" s="40" t="s">
        <v>150</v>
      </c>
      <c r="AJ14" s="58" t="s">
        <v>154</v>
      </c>
      <c r="AK14" s="40">
        <v>0</v>
      </c>
      <c r="AL14" s="40" t="s">
        <v>156</v>
      </c>
      <c r="AM14" s="40">
        <v>0</v>
      </c>
      <c r="AO14" s="40">
        <v>0</v>
      </c>
      <c r="AP14" s="40">
        <v>0</v>
      </c>
    </row>
    <row r="15" spans="2:42" s="40" customFormat="1" ht="12.75">
      <c r="B15" s="40" t="s">
        <v>88</v>
      </c>
      <c r="C15" s="55" t="s">
        <v>91</v>
      </c>
      <c r="D15" s="40" t="s">
        <v>84</v>
      </c>
      <c r="E15" s="47">
        <v>-101362.17</v>
      </c>
      <c r="F15" s="56" t="str">
        <f t="shared" si="0"/>
        <v>Click Here To Select Upload Journal</v>
      </c>
      <c r="G15" s="57" t="s">
        <v>115</v>
      </c>
      <c r="H15" s="40" t="s">
        <v>202</v>
      </c>
      <c r="I15" s="40" t="s">
        <v>203</v>
      </c>
      <c r="J15" s="40" t="s">
        <v>204</v>
      </c>
      <c r="K15" s="40" t="s">
        <v>205</v>
      </c>
      <c r="L15" s="40" t="s">
        <v>98</v>
      </c>
      <c r="M15" s="40" t="s">
        <v>98</v>
      </c>
      <c r="O15" s="40" t="s">
        <v>139</v>
      </c>
      <c r="P15" s="40" t="s">
        <v>134</v>
      </c>
      <c r="R15" s="40" t="s">
        <v>104</v>
      </c>
      <c r="S15" s="40">
        <v>12</v>
      </c>
      <c r="T15" s="40">
        <v>1</v>
      </c>
      <c r="U15" s="40" t="s">
        <v>142</v>
      </c>
      <c r="V15" s="40" t="s">
        <v>143</v>
      </c>
      <c r="W15" s="40" t="s">
        <v>146</v>
      </c>
      <c r="X15" s="40">
        <v>2021</v>
      </c>
      <c r="Y15" s="40">
        <v>-101362.17</v>
      </c>
      <c r="Z15" s="40" t="s">
        <v>143</v>
      </c>
      <c r="AA15" s="40">
        <v>16</v>
      </c>
      <c r="AB15" s="58" t="s">
        <v>115</v>
      </c>
      <c r="AC15" s="40" t="s">
        <v>147</v>
      </c>
      <c r="AD15" s="40" t="s">
        <v>148</v>
      </c>
      <c r="AF15" s="40" t="s">
        <v>149</v>
      </c>
      <c r="AG15" s="40" t="s">
        <v>149</v>
      </c>
      <c r="AH15" s="40" t="s">
        <v>139</v>
      </c>
      <c r="AI15" s="40" t="s">
        <v>150</v>
      </c>
      <c r="AJ15" s="58" t="s">
        <v>154</v>
      </c>
      <c r="AK15" s="40">
        <v>0</v>
      </c>
      <c r="AL15" s="40" t="s">
        <v>156</v>
      </c>
      <c r="AM15" s="40">
        <v>0</v>
      </c>
      <c r="AO15" s="40">
        <v>0</v>
      </c>
      <c r="AP15" s="40">
        <v>0</v>
      </c>
    </row>
    <row r="16" spans="2:42" s="40" customFormat="1" ht="12.75">
      <c r="B16" s="40" t="s">
        <v>88</v>
      </c>
      <c r="C16" s="55" t="s">
        <v>90</v>
      </c>
      <c r="D16" s="40" t="s">
        <v>84</v>
      </c>
      <c r="E16" s="47">
        <v>179769.39000000001</v>
      </c>
      <c r="F16" s="56" t="str">
        <f t="shared" si="0"/>
        <v>Click Here To Select Upload Journal</v>
      </c>
      <c r="G16" s="57" t="s">
        <v>115</v>
      </c>
      <c r="H16" s="40" t="s">
        <v>202</v>
      </c>
      <c r="I16" s="40" t="s">
        <v>203</v>
      </c>
      <c r="J16" s="40" t="s">
        <v>204</v>
      </c>
      <c r="K16" s="40" t="s">
        <v>205</v>
      </c>
      <c r="L16" s="40" t="s">
        <v>98</v>
      </c>
      <c r="M16" s="40" t="s">
        <v>98</v>
      </c>
      <c r="O16" s="40" t="s">
        <v>128</v>
      </c>
      <c r="P16" s="40" t="s">
        <v>129</v>
      </c>
      <c r="R16" s="40" t="s">
        <v>117</v>
      </c>
      <c r="S16" s="40">
        <v>12</v>
      </c>
      <c r="T16" s="40">
        <v>1</v>
      </c>
      <c r="U16" s="40" t="s">
        <v>142</v>
      </c>
      <c r="V16" s="40" t="s">
        <v>143</v>
      </c>
      <c r="W16" s="40" t="s">
        <v>145</v>
      </c>
      <c r="X16" s="40">
        <v>2021</v>
      </c>
      <c r="Y16" s="40">
        <v>179769.39000000001</v>
      </c>
      <c r="Z16" s="40" t="s">
        <v>143</v>
      </c>
      <c r="AA16" s="40">
        <v>4</v>
      </c>
      <c r="AB16" s="58" t="s">
        <v>115</v>
      </c>
      <c r="AC16" s="40" t="s">
        <v>147</v>
      </c>
      <c r="AD16" s="40" t="s">
        <v>148</v>
      </c>
      <c r="AF16" s="40" t="s">
        <v>149</v>
      </c>
      <c r="AG16" s="40" t="s">
        <v>149</v>
      </c>
      <c r="AH16" s="40" t="s">
        <v>128</v>
      </c>
      <c r="AI16" s="40" t="s">
        <v>150</v>
      </c>
      <c r="AJ16" s="58" t="s">
        <v>153</v>
      </c>
      <c r="AK16" s="40">
        <v>0</v>
      </c>
      <c r="AL16" s="40" t="s">
        <v>156</v>
      </c>
      <c r="AM16" s="40">
        <v>0</v>
      </c>
      <c r="AO16" s="40">
        <v>0</v>
      </c>
      <c r="AP16" s="40">
        <v>0</v>
      </c>
    </row>
    <row r="17" spans="2:42" s="40" customFormat="1" ht="12.75">
      <c r="B17" s="40" t="s">
        <v>88</v>
      </c>
      <c r="C17" s="55" t="s">
        <v>89</v>
      </c>
      <c r="D17" s="40" t="s">
        <v>84</v>
      </c>
      <c r="E17" s="47">
        <v>46821.199999999997</v>
      </c>
      <c r="F17" s="56" t="str">
        <f t="shared" si="0"/>
        <v>Click Here To Select Upload Journal</v>
      </c>
      <c r="G17" s="57" t="s">
        <v>137</v>
      </c>
      <c r="H17" s="40" t="s">
        <v>202</v>
      </c>
      <c r="I17" s="40" t="s">
        <v>203</v>
      </c>
      <c r="J17" s="40" t="s">
        <v>204</v>
      </c>
      <c r="K17" s="40" t="s">
        <v>205</v>
      </c>
      <c r="L17" s="40" t="s">
        <v>98</v>
      </c>
      <c r="M17" s="40" t="s">
        <v>98</v>
      </c>
      <c r="O17" s="40" t="s">
        <v>99</v>
      </c>
      <c r="P17" s="40" t="s">
        <v>119</v>
      </c>
      <c r="R17" s="40" t="s">
        <v>101</v>
      </c>
      <c r="S17" s="40">
        <v>3</v>
      </c>
      <c r="T17" s="40">
        <v>1</v>
      </c>
      <c r="U17" s="40" t="s">
        <v>142</v>
      </c>
      <c r="V17" s="40" t="s">
        <v>143</v>
      </c>
      <c r="W17" s="40" t="s">
        <v>144</v>
      </c>
      <c r="X17" s="40">
        <v>2021</v>
      </c>
      <c r="Y17" s="40">
        <v>46821.199999999997</v>
      </c>
      <c r="Z17" s="40" t="s">
        <v>143</v>
      </c>
      <c r="AA17" s="40">
        <v>4</v>
      </c>
      <c r="AB17" s="58" t="s">
        <v>137</v>
      </c>
      <c r="AC17" s="40" t="s">
        <v>147</v>
      </c>
      <c r="AD17" s="40" t="s">
        <v>148</v>
      </c>
      <c r="AF17" s="40" t="s">
        <v>149</v>
      </c>
      <c r="AG17" s="40" t="s">
        <v>149</v>
      </c>
      <c r="AH17" s="40" t="s">
        <v>99</v>
      </c>
      <c r="AI17" s="40" t="s">
        <v>150</v>
      </c>
      <c r="AJ17" s="58" t="s">
        <v>137</v>
      </c>
      <c r="AK17" s="40">
        <v>2143539</v>
      </c>
      <c r="AL17" s="40" t="s">
        <v>156</v>
      </c>
      <c r="AM17" s="40">
        <v>0</v>
      </c>
      <c r="AO17" s="40">
        <v>0</v>
      </c>
      <c r="AP17" s="40">
        <v>0</v>
      </c>
    </row>
    <row r="18" spans="2:42" s="40" customFormat="1" ht="12.75">
      <c r="B18" s="40" t="s">
        <v>88</v>
      </c>
      <c r="C18" s="55" t="s">
        <v>89</v>
      </c>
      <c r="D18" s="40" t="s">
        <v>84</v>
      </c>
      <c r="E18" s="47">
        <v>46821.199999999997</v>
      </c>
      <c r="F18" s="56" t="str">
        <f t="shared" si="0"/>
        <v>Click Here To Select Upload Journal</v>
      </c>
      <c r="G18" s="57" t="s">
        <v>157</v>
      </c>
      <c r="H18" s="40" t="s">
        <v>202</v>
      </c>
      <c r="I18" s="40" t="s">
        <v>203</v>
      </c>
      <c r="J18" s="40" t="s">
        <v>204</v>
      </c>
      <c r="K18" s="40" t="s">
        <v>205</v>
      </c>
      <c r="L18" s="40" t="s">
        <v>98</v>
      </c>
      <c r="M18" s="40" t="s">
        <v>98</v>
      </c>
      <c r="O18" s="40" t="s">
        <v>99</v>
      </c>
      <c r="P18" s="40" t="s">
        <v>131</v>
      </c>
      <c r="R18" s="40" t="s">
        <v>104</v>
      </c>
      <c r="S18" s="40">
        <v>10</v>
      </c>
      <c r="T18" s="40">
        <v>1</v>
      </c>
      <c r="U18" s="40" t="s">
        <v>142</v>
      </c>
      <c r="V18" s="40" t="s">
        <v>143</v>
      </c>
      <c r="W18" s="40" t="s">
        <v>144</v>
      </c>
      <c r="X18" s="40">
        <v>2021</v>
      </c>
      <c r="Y18" s="40">
        <v>46821.199999999997</v>
      </c>
      <c r="Z18" s="40" t="s">
        <v>143</v>
      </c>
      <c r="AA18" s="40">
        <v>4</v>
      </c>
      <c r="AB18" s="58" t="s">
        <v>157</v>
      </c>
      <c r="AC18" s="40" t="s">
        <v>147</v>
      </c>
      <c r="AD18" s="40" t="s">
        <v>148</v>
      </c>
      <c r="AF18" s="40" t="s">
        <v>149</v>
      </c>
      <c r="AG18" s="40" t="s">
        <v>149</v>
      </c>
      <c r="AH18" s="40" t="s">
        <v>99</v>
      </c>
      <c r="AI18" s="40" t="s">
        <v>150</v>
      </c>
      <c r="AJ18" s="58" t="s">
        <v>130</v>
      </c>
      <c r="AK18" s="40">
        <v>2319231</v>
      </c>
      <c r="AL18" s="40" t="s">
        <v>156</v>
      </c>
      <c r="AM18" s="40">
        <v>0</v>
      </c>
      <c r="AO18" s="40">
        <v>0</v>
      </c>
      <c r="AP18" s="40">
        <v>0</v>
      </c>
    </row>
    <row r="19" spans="2:42" s="40" customFormat="1" ht="12.75">
      <c r="B19" s="40" t="s">
        <v>88</v>
      </c>
      <c r="C19" s="55" t="s">
        <v>89</v>
      </c>
      <c r="D19" s="40" t="s">
        <v>84</v>
      </c>
      <c r="E19" s="47">
        <v>-46821.199999999997</v>
      </c>
      <c r="F19" s="56" t="str">
        <f t="shared" si="0"/>
        <v>Click Here To Select Upload Journal</v>
      </c>
      <c r="G19" s="57" t="s">
        <v>115</v>
      </c>
      <c r="H19" s="40" t="s">
        <v>202</v>
      </c>
      <c r="I19" s="40" t="s">
        <v>203</v>
      </c>
      <c r="J19" s="40" t="s">
        <v>204</v>
      </c>
      <c r="K19" s="40" t="s">
        <v>205</v>
      </c>
      <c r="L19" s="40" t="s">
        <v>98</v>
      </c>
      <c r="M19" s="40" t="s">
        <v>98</v>
      </c>
      <c r="O19" s="40" t="s">
        <v>99</v>
      </c>
      <c r="P19" s="40" t="s">
        <v>116</v>
      </c>
      <c r="R19" s="40" t="s">
        <v>117</v>
      </c>
      <c r="S19" s="40">
        <v>12</v>
      </c>
      <c r="T19" s="40">
        <v>1</v>
      </c>
      <c r="U19" s="40" t="s">
        <v>142</v>
      </c>
      <c r="V19" s="40" t="s">
        <v>143</v>
      </c>
      <c r="W19" s="40" t="s">
        <v>144</v>
      </c>
      <c r="X19" s="40">
        <v>2021</v>
      </c>
      <c r="Y19" s="40">
        <v>-46821.199999999997</v>
      </c>
      <c r="Z19" s="40" t="s">
        <v>143</v>
      </c>
      <c r="AA19" s="40">
        <v>4</v>
      </c>
      <c r="AB19" s="58" t="s">
        <v>115</v>
      </c>
      <c r="AC19" s="40" t="s">
        <v>147</v>
      </c>
      <c r="AD19" s="40" t="s">
        <v>148</v>
      </c>
      <c r="AF19" s="40" t="s">
        <v>149</v>
      </c>
      <c r="AG19" s="40" t="s">
        <v>149</v>
      </c>
      <c r="AH19" s="40" t="s">
        <v>99</v>
      </c>
      <c r="AI19" s="40" t="s">
        <v>150</v>
      </c>
      <c r="AJ19" s="58" t="s">
        <v>153</v>
      </c>
      <c r="AK19" s="40">
        <v>0</v>
      </c>
      <c r="AL19" s="40" t="s">
        <v>156</v>
      </c>
      <c r="AM19" s="40">
        <v>0</v>
      </c>
      <c r="AO19" s="40">
        <v>0</v>
      </c>
      <c r="AP19" s="40">
        <v>0</v>
      </c>
    </row>
    <row r="20" spans="2:42" s="40" customFormat="1" ht="12.75">
      <c r="B20" s="40" t="s">
        <v>88</v>
      </c>
      <c r="C20" s="55" t="s">
        <v>89</v>
      </c>
      <c r="D20" s="40" t="s">
        <v>84</v>
      </c>
      <c r="E20" s="47">
        <v>46821.199999999997</v>
      </c>
      <c r="F20" s="56" t="str">
        <f t="shared" si="0"/>
        <v>Click Here To Select Upload Journal</v>
      </c>
      <c r="G20" s="57" t="s">
        <v>132</v>
      </c>
      <c r="H20" s="40" t="s">
        <v>202</v>
      </c>
      <c r="I20" s="40" t="s">
        <v>203</v>
      </c>
      <c r="J20" s="40" t="s">
        <v>204</v>
      </c>
      <c r="K20" s="40" t="s">
        <v>205</v>
      </c>
      <c r="L20" s="40" t="s">
        <v>98</v>
      </c>
      <c r="M20" s="40" t="s">
        <v>98</v>
      </c>
      <c r="O20" s="40" t="s">
        <v>99</v>
      </c>
      <c r="P20" s="40" t="s">
        <v>103</v>
      </c>
      <c r="R20" s="40" t="s">
        <v>104</v>
      </c>
      <c r="S20" s="40">
        <v>11</v>
      </c>
      <c r="T20" s="40">
        <v>1</v>
      </c>
      <c r="U20" s="40" t="s">
        <v>142</v>
      </c>
      <c r="V20" s="40" t="s">
        <v>143</v>
      </c>
      <c r="W20" s="40" t="s">
        <v>144</v>
      </c>
      <c r="X20" s="40">
        <v>2021</v>
      </c>
      <c r="Y20" s="40">
        <v>46821.199999999997</v>
      </c>
      <c r="Z20" s="40" t="s">
        <v>143</v>
      </c>
      <c r="AA20" s="40">
        <v>4</v>
      </c>
      <c r="AB20" s="58" t="s">
        <v>132</v>
      </c>
      <c r="AC20" s="40" t="s">
        <v>147</v>
      </c>
      <c r="AD20" s="40" t="s">
        <v>148</v>
      </c>
      <c r="AF20" s="40" t="s">
        <v>149</v>
      </c>
      <c r="AG20" s="40" t="s">
        <v>149</v>
      </c>
      <c r="AH20" s="40" t="s">
        <v>99</v>
      </c>
      <c r="AI20" s="40" t="s">
        <v>150</v>
      </c>
      <c r="AJ20" s="58" t="s">
        <v>132</v>
      </c>
      <c r="AK20" s="40">
        <v>2334533</v>
      </c>
      <c r="AL20" s="40" t="s">
        <v>156</v>
      </c>
      <c r="AM20" s="40">
        <v>0</v>
      </c>
      <c r="AO20" s="40">
        <v>0</v>
      </c>
      <c r="AP20" s="40">
        <v>0</v>
      </c>
    </row>
    <row r="21" spans="2:42" s="40" customFormat="1" ht="12.75">
      <c r="B21" s="40" t="s">
        <v>88</v>
      </c>
      <c r="C21" s="55" t="s">
        <v>89</v>
      </c>
      <c r="D21" s="40" t="s">
        <v>84</v>
      </c>
      <c r="E21" s="47">
        <v>-46821.199999999997</v>
      </c>
      <c r="F21" s="56" t="str">
        <f t="shared" si="0"/>
        <v>Click Here To Select Upload Journal</v>
      </c>
      <c r="G21" s="57" t="s">
        <v>123</v>
      </c>
      <c r="H21" s="40" t="s">
        <v>202</v>
      </c>
      <c r="I21" s="40" t="s">
        <v>203</v>
      </c>
      <c r="J21" s="40" t="s">
        <v>204</v>
      </c>
      <c r="K21" s="40" t="s">
        <v>205</v>
      </c>
      <c r="L21" s="40" t="s">
        <v>98</v>
      </c>
      <c r="M21" s="40" t="s">
        <v>98</v>
      </c>
      <c r="O21" s="40" t="s">
        <v>99</v>
      </c>
      <c r="P21" s="40" t="s">
        <v>124</v>
      </c>
      <c r="R21" s="40" t="s">
        <v>101</v>
      </c>
      <c r="S21" s="40">
        <v>3</v>
      </c>
      <c r="T21" s="40">
        <v>1</v>
      </c>
      <c r="U21" s="40" t="s">
        <v>142</v>
      </c>
      <c r="V21" s="40" t="s">
        <v>143</v>
      </c>
      <c r="W21" s="40" t="s">
        <v>144</v>
      </c>
      <c r="X21" s="40">
        <v>2021</v>
      </c>
      <c r="Y21" s="40">
        <v>-46821.199999999997</v>
      </c>
      <c r="Z21" s="40" t="s">
        <v>143</v>
      </c>
      <c r="AA21" s="40">
        <v>4</v>
      </c>
      <c r="AB21" s="58" t="s">
        <v>123</v>
      </c>
      <c r="AC21" s="40" t="s">
        <v>147</v>
      </c>
      <c r="AD21" s="40" t="s">
        <v>148</v>
      </c>
      <c r="AF21" s="40" t="s">
        <v>149</v>
      </c>
      <c r="AG21" s="40" t="s">
        <v>149</v>
      </c>
      <c r="AH21" s="40" t="s">
        <v>99</v>
      </c>
      <c r="AI21" s="40" t="s">
        <v>150</v>
      </c>
      <c r="AJ21" s="58" t="s">
        <v>123</v>
      </c>
      <c r="AK21" s="40">
        <v>0</v>
      </c>
      <c r="AL21" s="40" t="s">
        <v>156</v>
      </c>
      <c r="AM21" s="40">
        <v>0</v>
      </c>
      <c r="AO21" s="40">
        <v>0</v>
      </c>
      <c r="AP21" s="40">
        <v>0</v>
      </c>
    </row>
    <row r="22" spans="2:42" s="40" customFormat="1" ht="12.75">
      <c r="B22" s="40" t="s">
        <v>88</v>
      </c>
      <c r="C22" s="55" t="s">
        <v>89</v>
      </c>
      <c r="D22" s="40" t="s">
        <v>84</v>
      </c>
      <c r="E22" s="47">
        <v>-46821.199999999997</v>
      </c>
      <c r="F22" s="56" t="str">
        <f t="shared" si="0"/>
        <v>Click Here To Select Upload Journal</v>
      </c>
      <c r="G22" s="57" t="s">
        <v>108</v>
      </c>
      <c r="H22" s="40" t="s">
        <v>202</v>
      </c>
      <c r="I22" s="40" t="s">
        <v>203</v>
      </c>
      <c r="J22" s="40" t="s">
        <v>204</v>
      </c>
      <c r="K22" s="40" t="s">
        <v>205</v>
      </c>
      <c r="L22" s="40" t="s">
        <v>98</v>
      </c>
      <c r="M22" s="40" t="s">
        <v>98</v>
      </c>
      <c r="O22" s="40" t="s">
        <v>99</v>
      </c>
      <c r="P22" s="40" t="s">
        <v>109</v>
      </c>
      <c r="R22" s="40" t="s">
        <v>101</v>
      </c>
      <c r="S22" s="40">
        <v>4</v>
      </c>
      <c r="T22" s="40">
        <v>1</v>
      </c>
      <c r="U22" s="40" t="s">
        <v>142</v>
      </c>
      <c r="V22" s="40" t="s">
        <v>143</v>
      </c>
      <c r="W22" s="40" t="s">
        <v>144</v>
      </c>
      <c r="X22" s="40">
        <v>2021</v>
      </c>
      <c r="Y22" s="40">
        <v>-46821.199999999997</v>
      </c>
      <c r="Z22" s="40" t="s">
        <v>143</v>
      </c>
      <c r="AA22" s="40">
        <v>4</v>
      </c>
      <c r="AB22" s="58" t="s">
        <v>108</v>
      </c>
      <c r="AC22" s="40" t="s">
        <v>147</v>
      </c>
      <c r="AD22" s="40" t="s">
        <v>148</v>
      </c>
      <c r="AF22" s="40" t="s">
        <v>149</v>
      </c>
      <c r="AG22" s="40" t="s">
        <v>149</v>
      </c>
      <c r="AH22" s="40" t="s">
        <v>99</v>
      </c>
      <c r="AI22" s="40" t="s">
        <v>150</v>
      </c>
      <c r="AJ22" s="58" t="s">
        <v>108</v>
      </c>
      <c r="AK22" s="40">
        <v>0</v>
      </c>
      <c r="AL22" s="40" t="s">
        <v>156</v>
      </c>
      <c r="AM22" s="40">
        <v>0</v>
      </c>
      <c r="AO22" s="40">
        <v>0</v>
      </c>
      <c r="AP22" s="40">
        <v>0</v>
      </c>
    </row>
    <row r="23" spans="2:42" s="40" customFormat="1" ht="12.75">
      <c r="B23" s="40" t="s">
        <v>88</v>
      </c>
      <c r="C23" s="55" t="s">
        <v>89</v>
      </c>
      <c r="D23" s="40" t="s">
        <v>84</v>
      </c>
      <c r="E23" s="47">
        <v>46821.199999999997</v>
      </c>
      <c r="F23" s="56" t="str">
        <f t="shared" si="0"/>
        <v>Click Here To Select Upload Journal</v>
      </c>
      <c r="G23" s="57" t="s">
        <v>141</v>
      </c>
      <c r="H23" s="40" t="s">
        <v>202</v>
      </c>
      <c r="I23" s="40" t="s">
        <v>203</v>
      </c>
      <c r="J23" s="40" t="s">
        <v>204</v>
      </c>
      <c r="K23" s="40" t="s">
        <v>205</v>
      </c>
      <c r="L23" s="40" t="s">
        <v>98</v>
      </c>
      <c r="M23" s="40" t="s">
        <v>98</v>
      </c>
      <c r="O23" s="40" t="s">
        <v>99</v>
      </c>
      <c r="P23" s="40" t="s">
        <v>126</v>
      </c>
      <c r="R23" s="40" t="s">
        <v>101</v>
      </c>
      <c r="S23" s="40">
        <v>7</v>
      </c>
      <c r="T23" s="40">
        <v>1</v>
      </c>
      <c r="U23" s="40" t="s">
        <v>142</v>
      </c>
      <c r="V23" s="40" t="s">
        <v>143</v>
      </c>
      <c r="W23" s="40" t="s">
        <v>144</v>
      </c>
      <c r="X23" s="40">
        <v>2021</v>
      </c>
      <c r="Y23" s="40">
        <v>46821.199999999997</v>
      </c>
      <c r="Z23" s="40" t="s">
        <v>143</v>
      </c>
      <c r="AA23" s="40">
        <v>4</v>
      </c>
      <c r="AB23" s="58" t="s">
        <v>141</v>
      </c>
      <c r="AC23" s="40" t="s">
        <v>147</v>
      </c>
      <c r="AD23" s="40" t="s">
        <v>148</v>
      </c>
      <c r="AF23" s="40" t="s">
        <v>149</v>
      </c>
      <c r="AG23" s="40" t="s">
        <v>149</v>
      </c>
      <c r="AH23" s="40" t="s">
        <v>99</v>
      </c>
      <c r="AI23" s="40" t="s">
        <v>150</v>
      </c>
      <c r="AJ23" s="58" t="s">
        <v>125</v>
      </c>
      <c r="AK23" s="40">
        <v>2251142</v>
      </c>
      <c r="AL23" s="40" t="s">
        <v>156</v>
      </c>
      <c r="AM23" s="40">
        <v>0</v>
      </c>
      <c r="AO23" s="40">
        <v>0</v>
      </c>
      <c r="AP23" s="40">
        <v>0</v>
      </c>
    </row>
    <row r="24" spans="2:42" s="40" customFormat="1" ht="12.75">
      <c r="B24" s="40" t="s">
        <v>88</v>
      </c>
      <c r="C24" s="55" t="s">
        <v>89</v>
      </c>
      <c r="D24" s="40" t="s">
        <v>84</v>
      </c>
      <c r="E24" s="47">
        <v>46821.199999999997</v>
      </c>
      <c r="F24" s="56" t="str">
        <f t="shared" si="0"/>
        <v>Click Here To Select Upload Journal</v>
      </c>
      <c r="G24" s="57" t="s">
        <v>110</v>
      </c>
      <c r="H24" s="40" t="s">
        <v>202</v>
      </c>
      <c r="I24" s="40" t="s">
        <v>203</v>
      </c>
      <c r="J24" s="40" t="s">
        <v>204</v>
      </c>
      <c r="K24" s="40" t="s">
        <v>205</v>
      </c>
      <c r="L24" s="40" t="s">
        <v>98</v>
      </c>
      <c r="M24" s="40" t="s">
        <v>98</v>
      </c>
      <c r="O24" s="40" t="s">
        <v>99</v>
      </c>
      <c r="P24" s="40" t="s">
        <v>109</v>
      </c>
      <c r="R24" s="40" t="s">
        <v>101</v>
      </c>
      <c r="S24" s="40">
        <v>5</v>
      </c>
      <c r="T24" s="40">
        <v>1</v>
      </c>
      <c r="U24" s="40" t="s">
        <v>142</v>
      </c>
      <c r="V24" s="40" t="s">
        <v>143</v>
      </c>
      <c r="W24" s="40" t="s">
        <v>144</v>
      </c>
      <c r="X24" s="40">
        <v>2021</v>
      </c>
      <c r="Y24" s="40">
        <v>46821.199999999997</v>
      </c>
      <c r="Z24" s="40" t="s">
        <v>143</v>
      </c>
      <c r="AA24" s="40">
        <v>4</v>
      </c>
      <c r="AB24" s="58" t="s">
        <v>110</v>
      </c>
      <c r="AC24" s="40" t="s">
        <v>147</v>
      </c>
      <c r="AD24" s="40" t="s">
        <v>148</v>
      </c>
      <c r="AF24" s="40" t="s">
        <v>149</v>
      </c>
      <c r="AG24" s="40" t="s">
        <v>149</v>
      </c>
      <c r="AH24" s="40" t="s">
        <v>99</v>
      </c>
      <c r="AI24" s="40" t="s">
        <v>150</v>
      </c>
      <c r="AJ24" s="58" t="s">
        <v>108</v>
      </c>
      <c r="AK24" s="40">
        <v>2198325</v>
      </c>
      <c r="AL24" s="40" t="s">
        <v>156</v>
      </c>
      <c r="AM24" s="40">
        <v>0</v>
      </c>
      <c r="AO24" s="40">
        <v>0</v>
      </c>
      <c r="AP24" s="40">
        <v>0</v>
      </c>
    </row>
    <row r="25" spans="2:42" s="40" customFormat="1" ht="12.75">
      <c r="B25" s="40" t="s">
        <v>88</v>
      </c>
      <c r="C25" s="55" t="s">
        <v>89</v>
      </c>
      <c r="D25" s="40" t="s">
        <v>84</v>
      </c>
      <c r="E25" s="47">
        <v>46821.199999999997</v>
      </c>
      <c r="F25" s="56" t="str">
        <f t="shared" si="0"/>
        <v>Click Here To Select Upload Journal</v>
      </c>
      <c r="G25" s="57" t="s">
        <v>135</v>
      </c>
      <c r="H25" s="40" t="s">
        <v>202</v>
      </c>
      <c r="I25" s="40" t="s">
        <v>203</v>
      </c>
      <c r="J25" s="40" t="s">
        <v>204</v>
      </c>
      <c r="K25" s="40" t="s">
        <v>205</v>
      </c>
      <c r="L25" s="40" t="s">
        <v>98</v>
      </c>
      <c r="M25" s="40" t="s">
        <v>98</v>
      </c>
      <c r="O25" s="40" t="s">
        <v>99</v>
      </c>
      <c r="P25" s="40" t="s">
        <v>136</v>
      </c>
      <c r="R25" s="40" t="s">
        <v>101</v>
      </c>
      <c r="S25" s="40">
        <v>1</v>
      </c>
      <c r="T25" s="40">
        <v>1</v>
      </c>
      <c r="U25" s="40" t="s">
        <v>142</v>
      </c>
      <c r="V25" s="40" t="s">
        <v>143</v>
      </c>
      <c r="W25" s="40" t="s">
        <v>144</v>
      </c>
      <c r="X25" s="40">
        <v>2021</v>
      </c>
      <c r="Y25" s="40">
        <v>46821.199999999997</v>
      </c>
      <c r="Z25" s="40" t="s">
        <v>143</v>
      </c>
      <c r="AA25" s="40">
        <v>4</v>
      </c>
      <c r="AB25" s="58" t="s">
        <v>135</v>
      </c>
      <c r="AC25" s="40" t="s">
        <v>147</v>
      </c>
      <c r="AD25" s="40" t="s">
        <v>148</v>
      </c>
      <c r="AF25" s="40" t="s">
        <v>149</v>
      </c>
      <c r="AG25" s="40" t="s">
        <v>149</v>
      </c>
      <c r="AH25" s="40" t="s">
        <v>99</v>
      </c>
      <c r="AI25" s="40" t="s">
        <v>150</v>
      </c>
      <c r="AJ25" s="58" t="s">
        <v>155</v>
      </c>
      <c r="AK25" s="40">
        <v>2093911</v>
      </c>
      <c r="AL25" s="40" t="s">
        <v>156</v>
      </c>
      <c r="AM25" s="40">
        <v>0</v>
      </c>
      <c r="AO25" s="40">
        <v>0</v>
      </c>
      <c r="AP25" s="40">
        <v>0</v>
      </c>
    </row>
    <row r="26" spans="2:42" s="40" customFormat="1" ht="12.75">
      <c r="B26" s="40" t="s">
        <v>88</v>
      </c>
      <c r="C26" s="55" t="s">
        <v>89</v>
      </c>
      <c r="D26" s="40" t="s">
        <v>84</v>
      </c>
      <c r="E26" s="47">
        <v>46821.199999999997</v>
      </c>
      <c r="F26" s="56" t="str">
        <f t="shared" si="0"/>
        <v>Click Here To Select Upload Journal</v>
      </c>
      <c r="G26" s="57" t="s">
        <v>159</v>
      </c>
      <c r="H26" s="40" t="s">
        <v>202</v>
      </c>
      <c r="I26" s="40" t="s">
        <v>203</v>
      </c>
      <c r="J26" s="40" t="s">
        <v>204</v>
      </c>
      <c r="K26" s="40" t="s">
        <v>205</v>
      </c>
      <c r="L26" s="40" t="s">
        <v>98</v>
      </c>
      <c r="M26" s="40" t="s">
        <v>98</v>
      </c>
      <c r="O26" s="40" t="s">
        <v>99</v>
      </c>
      <c r="P26" s="40" t="s">
        <v>124</v>
      </c>
      <c r="R26" s="40" t="s">
        <v>101</v>
      </c>
      <c r="S26" s="40">
        <v>4</v>
      </c>
      <c r="T26" s="40">
        <v>1</v>
      </c>
      <c r="U26" s="40" t="s">
        <v>142</v>
      </c>
      <c r="V26" s="40" t="s">
        <v>143</v>
      </c>
      <c r="W26" s="40" t="s">
        <v>144</v>
      </c>
      <c r="X26" s="40">
        <v>2021</v>
      </c>
      <c r="Y26" s="40">
        <v>46821.199999999997</v>
      </c>
      <c r="Z26" s="40" t="s">
        <v>143</v>
      </c>
      <c r="AA26" s="40">
        <v>4</v>
      </c>
      <c r="AB26" s="58" t="s">
        <v>159</v>
      </c>
      <c r="AC26" s="40" t="s">
        <v>147</v>
      </c>
      <c r="AD26" s="40" t="s">
        <v>148</v>
      </c>
      <c r="AF26" s="40" t="s">
        <v>149</v>
      </c>
      <c r="AG26" s="40" t="s">
        <v>149</v>
      </c>
      <c r="AH26" s="40" t="s">
        <v>99</v>
      </c>
      <c r="AI26" s="40" t="s">
        <v>150</v>
      </c>
      <c r="AJ26" s="58" t="s">
        <v>123</v>
      </c>
      <c r="AK26" s="40">
        <v>2170419</v>
      </c>
      <c r="AL26" s="40" t="s">
        <v>156</v>
      </c>
      <c r="AM26" s="40">
        <v>0</v>
      </c>
      <c r="AO26" s="40">
        <v>0</v>
      </c>
      <c r="AP26" s="40">
        <v>0</v>
      </c>
    </row>
    <row r="27" spans="2:42" s="40" customFormat="1" ht="12.75">
      <c r="B27" s="40" t="s">
        <v>88</v>
      </c>
      <c r="C27" s="55" t="s">
        <v>89</v>
      </c>
      <c r="D27" s="40" t="s">
        <v>84</v>
      </c>
      <c r="E27" s="47">
        <v>46821.199999999997</v>
      </c>
      <c r="F27" s="56" t="str">
        <f t="shared" si="0"/>
        <v>Click Here To Select Upload Journal</v>
      </c>
      <c r="G27" s="57" t="s">
        <v>107</v>
      </c>
      <c r="H27" s="40" t="s">
        <v>202</v>
      </c>
      <c r="I27" s="40" t="s">
        <v>203</v>
      </c>
      <c r="J27" s="40" t="s">
        <v>204</v>
      </c>
      <c r="K27" s="40" t="s">
        <v>205</v>
      </c>
      <c r="L27" s="40" t="s">
        <v>98</v>
      </c>
      <c r="M27" s="40" t="s">
        <v>98</v>
      </c>
      <c r="O27" s="40" t="s">
        <v>99</v>
      </c>
      <c r="P27" s="40" t="s">
        <v>106</v>
      </c>
      <c r="R27" s="40" t="s">
        <v>101</v>
      </c>
      <c r="S27" s="40">
        <v>2</v>
      </c>
      <c r="T27" s="40">
        <v>1</v>
      </c>
      <c r="U27" s="40" t="s">
        <v>142</v>
      </c>
      <c r="V27" s="40" t="s">
        <v>143</v>
      </c>
      <c r="W27" s="40" t="s">
        <v>144</v>
      </c>
      <c r="X27" s="40">
        <v>2021</v>
      </c>
      <c r="Y27" s="40">
        <v>46821.199999999997</v>
      </c>
      <c r="Z27" s="40" t="s">
        <v>143</v>
      </c>
      <c r="AA27" s="40">
        <v>4</v>
      </c>
      <c r="AB27" s="58" t="s">
        <v>107</v>
      </c>
      <c r="AC27" s="40" t="s">
        <v>147</v>
      </c>
      <c r="AD27" s="40" t="s">
        <v>148</v>
      </c>
      <c r="AF27" s="40" t="s">
        <v>149</v>
      </c>
      <c r="AG27" s="40" t="s">
        <v>149</v>
      </c>
      <c r="AH27" s="40" t="s">
        <v>99</v>
      </c>
      <c r="AI27" s="40" t="s">
        <v>150</v>
      </c>
      <c r="AJ27" s="58" t="s">
        <v>151</v>
      </c>
      <c r="AK27" s="40">
        <v>2117189</v>
      </c>
      <c r="AL27" s="40" t="s">
        <v>156</v>
      </c>
      <c r="AM27" s="40">
        <v>0</v>
      </c>
      <c r="AO27" s="40">
        <v>0</v>
      </c>
      <c r="AP27" s="40">
        <v>0</v>
      </c>
    </row>
    <row r="28" spans="2:42" s="40" customFormat="1" ht="12.75">
      <c r="B28" s="40" t="s">
        <v>88</v>
      </c>
      <c r="C28" s="55" t="s">
        <v>91</v>
      </c>
      <c r="D28" s="40" t="s">
        <v>84</v>
      </c>
      <c r="E28" s="47">
        <v>-3653.71</v>
      </c>
      <c r="F28" s="56" t="str">
        <f t="shared" si="0"/>
        <v>Click Here To Select Upload Journal</v>
      </c>
      <c r="G28" s="57" t="s">
        <v>115</v>
      </c>
      <c r="H28" s="40" t="s">
        <v>202</v>
      </c>
      <c r="I28" s="40" t="s">
        <v>203</v>
      </c>
      <c r="J28" s="40" t="s">
        <v>204</v>
      </c>
      <c r="K28" s="40" t="s">
        <v>205</v>
      </c>
      <c r="L28" s="40" t="s">
        <v>98</v>
      </c>
      <c r="M28" s="40" t="s">
        <v>98</v>
      </c>
      <c r="O28" s="40" t="s">
        <v>160</v>
      </c>
      <c r="P28" s="40" t="s">
        <v>134</v>
      </c>
      <c r="R28" s="40" t="s">
        <v>104</v>
      </c>
      <c r="S28" s="40">
        <v>12</v>
      </c>
      <c r="T28" s="40">
        <v>1</v>
      </c>
      <c r="U28" s="40" t="s">
        <v>142</v>
      </c>
      <c r="V28" s="40" t="s">
        <v>143</v>
      </c>
      <c r="W28" s="40" t="s">
        <v>146</v>
      </c>
      <c r="X28" s="40">
        <v>2021</v>
      </c>
      <c r="Y28" s="40">
        <v>-3653.71</v>
      </c>
      <c r="Z28" s="40" t="s">
        <v>143</v>
      </c>
      <c r="AA28" s="40">
        <v>8</v>
      </c>
      <c r="AB28" s="58" t="s">
        <v>115</v>
      </c>
      <c r="AC28" s="40" t="s">
        <v>147</v>
      </c>
      <c r="AD28" s="40" t="s">
        <v>148</v>
      </c>
      <c r="AF28" s="40" t="s">
        <v>149</v>
      </c>
      <c r="AG28" s="40" t="s">
        <v>149</v>
      </c>
      <c r="AH28" s="40" t="s">
        <v>160</v>
      </c>
      <c r="AI28" s="40" t="s">
        <v>150</v>
      </c>
      <c r="AJ28" s="58" t="s">
        <v>154</v>
      </c>
      <c r="AK28" s="40">
        <v>0</v>
      </c>
      <c r="AL28" s="40" t="s">
        <v>156</v>
      </c>
      <c r="AM28" s="40">
        <v>0</v>
      </c>
      <c r="AO28" s="40">
        <v>0</v>
      </c>
      <c r="AP28" s="40">
        <v>0</v>
      </c>
    </row>
    <row r="29" spans="2:42" s="40" customFormat="1" ht="12.75">
      <c r="B29" s="40" t="s">
        <v>88</v>
      </c>
      <c r="C29" s="55" t="s">
        <v>89</v>
      </c>
      <c r="D29" s="40" t="s">
        <v>84</v>
      </c>
      <c r="E29" s="47">
        <v>-46821.199999999997</v>
      </c>
      <c r="F29" s="56" t="str">
        <f t="shared" si="0"/>
        <v>Click Here To Select Upload Journal</v>
      </c>
      <c r="G29" s="57" t="s">
        <v>125</v>
      </c>
      <c r="H29" s="40" t="s">
        <v>202</v>
      </c>
      <c r="I29" s="40" t="s">
        <v>203</v>
      </c>
      <c r="J29" s="40" t="s">
        <v>204</v>
      </c>
      <c r="K29" s="40" t="s">
        <v>205</v>
      </c>
      <c r="L29" s="40" t="s">
        <v>98</v>
      </c>
      <c r="M29" s="40" t="s">
        <v>98</v>
      </c>
      <c r="O29" s="40" t="s">
        <v>99</v>
      </c>
      <c r="P29" s="40" t="s">
        <v>126</v>
      </c>
      <c r="R29" s="40" t="s">
        <v>101</v>
      </c>
      <c r="S29" s="40">
        <v>6</v>
      </c>
      <c r="T29" s="40">
        <v>1</v>
      </c>
      <c r="U29" s="40" t="s">
        <v>142</v>
      </c>
      <c r="V29" s="40" t="s">
        <v>143</v>
      </c>
      <c r="W29" s="40" t="s">
        <v>144</v>
      </c>
      <c r="X29" s="40">
        <v>2021</v>
      </c>
      <c r="Y29" s="40">
        <v>-46821.199999999997</v>
      </c>
      <c r="Z29" s="40" t="s">
        <v>143</v>
      </c>
      <c r="AA29" s="40">
        <v>4</v>
      </c>
      <c r="AB29" s="58" t="s">
        <v>125</v>
      </c>
      <c r="AC29" s="40" t="s">
        <v>147</v>
      </c>
      <c r="AD29" s="40" t="s">
        <v>148</v>
      </c>
      <c r="AF29" s="40" t="s">
        <v>149</v>
      </c>
      <c r="AG29" s="40" t="s">
        <v>149</v>
      </c>
      <c r="AH29" s="40" t="s">
        <v>99</v>
      </c>
      <c r="AI29" s="40" t="s">
        <v>150</v>
      </c>
      <c r="AJ29" s="58" t="s">
        <v>125</v>
      </c>
      <c r="AK29" s="40">
        <v>0</v>
      </c>
      <c r="AL29" s="40" t="s">
        <v>156</v>
      </c>
      <c r="AM29" s="40">
        <v>0</v>
      </c>
      <c r="AO29" s="40">
        <v>0</v>
      </c>
      <c r="AP29" s="40">
        <v>0</v>
      </c>
    </row>
    <row r="30" spans="2:42" s="40" customFormat="1" ht="12.75">
      <c r="B30" s="40" t="s">
        <v>88</v>
      </c>
      <c r="C30" s="55" t="s">
        <v>89</v>
      </c>
      <c r="D30" s="40" t="s">
        <v>84</v>
      </c>
      <c r="E30" s="47">
        <v>-46821.199999999997</v>
      </c>
      <c r="F30" s="56" t="str">
        <f t="shared" si="0"/>
        <v>Click Here To Select Upload Journal</v>
      </c>
      <c r="G30" s="57" t="s">
        <v>118</v>
      </c>
      <c r="H30" s="40" t="s">
        <v>202</v>
      </c>
      <c r="I30" s="40" t="s">
        <v>203</v>
      </c>
      <c r="J30" s="40" t="s">
        <v>204</v>
      </c>
      <c r="K30" s="40" t="s">
        <v>205</v>
      </c>
      <c r="L30" s="40" t="s">
        <v>98</v>
      </c>
      <c r="M30" s="40" t="s">
        <v>98</v>
      </c>
      <c r="O30" s="40" t="s">
        <v>99</v>
      </c>
      <c r="P30" s="40" t="s">
        <v>119</v>
      </c>
      <c r="R30" s="40" t="s">
        <v>101</v>
      </c>
      <c r="S30" s="40">
        <v>2</v>
      </c>
      <c r="T30" s="40">
        <v>1</v>
      </c>
      <c r="U30" s="40" t="s">
        <v>142</v>
      </c>
      <c r="V30" s="40" t="s">
        <v>143</v>
      </c>
      <c r="W30" s="40" t="s">
        <v>144</v>
      </c>
      <c r="X30" s="40">
        <v>2021</v>
      </c>
      <c r="Y30" s="40">
        <v>-46821.199999999997</v>
      </c>
      <c r="Z30" s="40" t="s">
        <v>143</v>
      </c>
      <c r="AA30" s="40">
        <v>4</v>
      </c>
      <c r="AB30" s="58" t="s">
        <v>118</v>
      </c>
      <c r="AC30" s="40" t="s">
        <v>147</v>
      </c>
      <c r="AD30" s="40" t="s">
        <v>148</v>
      </c>
      <c r="AF30" s="40" t="s">
        <v>149</v>
      </c>
      <c r="AG30" s="40" t="s">
        <v>149</v>
      </c>
      <c r="AH30" s="40" t="s">
        <v>99</v>
      </c>
      <c r="AI30" s="40" t="s">
        <v>150</v>
      </c>
      <c r="AJ30" s="58" t="s">
        <v>137</v>
      </c>
      <c r="AK30" s="40">
        <v>0</v>
      </c>
      <c r="AL30" s="40" t="s">
        <v>156</v>
      </c>
      <c r="AM30" s="40">
        <v>0</v>
      </c>
      <c r="AO30" s="40">
        <v>0</v>
      </c>
      <c r="AP30" s="40">
        <v>0</v>
      </c>
    </row>
    <row r="31" spans="2:42" s="40" customFormat="1" ht="12.75">
      <c r="B31" s="40" t="s">
        <v>88</v>
      </c>
      <c r="C31" s="55" t="s">
        <v>89</v>
      </c>
      <c r="D31" s="40" t="s">
        <v>84</v>
      </c>
      <c r="E31" s="47">
        <v>-46821.199999999997</v>
      </c>
      <c r="F31" s="56" t="str">
        <f t="shared" si="0"/>
        <v>Click Here To Select Upload Journal</v>
      </c>
      <c r="G31" s="57" t="s">
        <v>92</v>
      </c>
      <c r="H31" s="40" t="s">
        <v>202</v>
      </c>
      <c r="I31" s="40" t="s">
        <v>203</v>
      </c>
      <c r="J31" s="40" t="s">
        <v>204</v>
      </c>
      <c r="K31" s="40" t="s">
        <v>205</v>
      </c>
      <c r="L31" s="40" t="s">
        <v>98</v>
      </c>
      <c r="M31" s="40" t="s">
        <v>98</v>
      </c>
      <c r="O31" s="40" t="s">
        <v>99</v>
      </c>
      <c r="P31" s="40" t="s">
        <v>100</v>
      </c>
      <c r="R31" s="40" t="s">
        <v>101</v>
      </c>
      <c r="S31" s="40">
        <v>5</v>
      </c>
      <c r="T31" s="40">
        <v>1</v>
      </c>
      <c r="U31" s="40" t="s">
        <v>142</v>
      </c>
      <c r="V31" s="40" t="s">
        <v>143</v>
      </c>
      <c r="W31" s="40" t="s">
        <v>144</v>
      </c>
      <c r="X31" s="40">
        <v>2021</v>
      </c>
      <c r="Y31" s="40">
        <v>-46821.199999999997</v>
      </c>
      <c r="Z31" s="40" t="s">
        <v>143</v>
      </c>
      <c r="AA31" s="40">
        <v>4</v>
      </c>
      <c r="AB31" s="58" t="s">
        <v>92</v>
      </c>
      <c r="AC31" s="40" t="s">
        <v>147</v>
      </c>
      <c r="AD31" s="40" t="s">
        <v>148</v>
      </c>
      <c r="AF31" s="40" t="s">
        <v>149</v>
      </c>
      <c r="AG31" s="40" t="s">
        <v>149</v>
      </c>
      <c r="AH31" s="40" t="s">
        <v>99</v>
      </c>
      <c r="AI31" s="40" t="s">
        <v>150</v>
      </c>
      <c r="AJ31" s="58" t="s">
        <v>140</v>
      </c>
      <c r="AK31" s="40">
        <v>0</v>
      </c>
      <c r="AL31" s="40" t="s">
        <v>156</v>
      </c>
      <c r="AM31" s="40">
        <v>0</v>
      </c>
      <c r="AO31" s="40">
        <v>0</v>
      </c>
      <c r="AP31" s="40">
        <v>0</v>
      </c>
    </row>
    <row r="32" spans="2:42" s="40" customFormat="1" ht="12.75">
      <c r="B32" s="40" t="s">
        <v>88</v>
      </c>
      <c r="C32" s="55" t="s">
        <v>89</v>
      </c>
      <c r="D32" s="40" t="s">
        <v>84</v>
      </c>
      <c r="E32" s="47">
        <v>-46821.199999999997</v>
      </c>
      <c r="F32" s="56" t="str">
        <f t="shared" si="0"/>
        <v>Click Here To Select Upload Journal</v>
      </c>
      <c r="G32" s="57" t="s">
        <v>105</v>
      </c>
      <c r="H32" s="40" t="s">
        <v>202</v>
      </c>
      <c r="I32" s="40" t="s">
        <v>203</v>
      </c>
      <c r="J32" s="40" t="s">
        <v>204</v>
      </c>
      <c r="K32" s="40" t="s">
        <v>205</v>
      </c>
      <c r="L32" s="40" t="s">
        <v>98</v>
      </c>
      <c r="M32" s="40" t="s">
        <v>98</v>
      </c>
      <c r="O32" s="40" t="s">
        <v>99</v>
      </c>
      <c r="P32" s="40" t="s">
        <v>106</v>
      </c>
      <c r="R32" s="40" t="s">
        <v>101</v>
      </c>
      <c r="S32" s="40">
        <v>1</v>
      </c>
      <c r="T32" s="40">
        <v>1</v>
      </c>
      <c r="U32" s="40" t="s">
        <v>142</v>
      </c>
      <c r="V32" s="40" t="s">
        <v>143</v>
      </c>
      <c r="W32" s="40" t="s">
        <v>144</v>
      </c>
      <c r="X32" s="40">
        <v>2021</v>
      </c>
      <c r="Y32" s="40">
        <v>-46821.199999999997</v>
      </c>
      <c r="Z32" s="40" t="s">
        <v>143</v>
      </c>
      <c r="AA32" s="40">
        <v>4</v>
      </c>
      <c r="AB32" s="58" t="s">
        <v>105</v>
      </c>
      <c r="AC32" s="40" t="s">
        <v>147</v>
      </c>
      <c r="AD32" s="40" t="s">
        <v>148</v>
      </c>
      <c r="AF32" s="40" t="s">
        <v>149</v>
      </c>
      <c r="AG32" s="40" t="s">
        <v>149</v>
      </c>
      <c r="AH32" s="40" t="s">
        <v>99</v>
      </c>
      <c r="AI32" s="40" t="s">
        <v>150</v>
      </c>
      <c r="AJ32" s="58" t="s">
        <v>151</v>
      </c>
      <c r="AK32" s="40">
        <v>0</v>
      </c>
      <c r="AL32" s="40" t="s">
        <v>156</v>
      </c>
      <c r="AM32" s="40">
        <v>0</v>
      </c>
      <c r="AO32" s="40">
        <v>0</v>
      </c>
      <c r="AP32" s="40">
        <v>0</v>
      </c>
    </row>
    <row r="33" spans="2:42" s="40" customFormat="1" ht="12.75">
      <c r="B33" s="40" t="s">
        <v>88</v>
      </c>
      <c r="C33" s="55" t="s">
        <v>89</v>
      </c>
      <c r="D33" s="40" t="s">
        <v>84</v>
      </c>
      <c r="E33" s="47">
        <v>46821.199999999997</v>
      </c>
      <c r="F33" s="56" t="str">
        <f t="shared" si="0"/>
        <v>Click Here To Select Upload Journal</v>
      </c>
      <c r="G33" s="57" t="s">
        <v>122</v>
      </c>
      <c r="H33" s="40" t="s">
        <v>202</v>
      </c>
      <c r="I33" s="40" t="s">
        <v>203</v>
      </c>
      <c r="J33" s="40" t="s">
        <v>204</v>
      </c>
      <c r="K33" s="40" t="s">
        <v>205</v>
      </c>
      <c r="L33" s="40" t="s">
        <v>98</v>
      </c>
      <c r="M33" s="40" t="s">
        <v>98</v>
      </c>
      <c r="O33" s="40" t="s">
        <v>99</v>
      </c>
      <c r="P33" s="40" t="s">
        <v>112</v>
      </c>
      <c r="R33" s="40" t="s">
        <v>101</v>
      </c>
      <c r="S33" s="40">
        <v>8</v>
      </c>
      <c r="T33" s="40">
        <v>1</v>
      </c>
      <c r="U33" s="40" t="s">
        <v>142</v>
      </c>
      <c r="V33" s="40" t="s">
        <v>143</v>
      </c>
      <c r="W33" s="40" t="s">
        <v>144</v>
      </c>
      <c r="X33" s="40">
        <v>2021</v>
      </c>
      <c r="Y33" s="40">
        <v>46821.199999999997</v>
      </c>
      <c r="Z33" s="40" t="s">
        <v>143</v>
      </c>
      <c r="AA33" s="40">
        <v>4</v>
      </c>
      <c r="AB33" s="58" t="s">
        <v>122</v>
      </c>
      <c r="AC33" s="40" t="s">
        <v>147</v>
      </c>
      <c r="AD33" s="40" t="s">
        <v>148</v>
      </c>
      <c r="AF33" s="40" t="s">
        <v>149</v>
      </c>
      <c r="AG33" s="40" t="s">
        <v>149</v>
      </c>
      <c r="AH33" s="40" t="s">
        <v>99</v>
      </c>
      <c r="AI33" s="40" t="s">
        <v>150</v>
      </c>
      <c r="AJ33" s="58" t="s">
        <v>152</v>
      </c>
      <c r="AK33" s="40">
        <v>2278934</v>
      </c>
      <c r="AL33" s="40" t="s">
        <v>156</v>
      </c>
      <c r="AM33" s="40">
        <v>0</v>
      </c>
      <c r="AO33" s="40">
        <v>0</v>
      </c>
      <c r="AP33" s="40">
        <v>0</v>
      </c>
    </row>
    <row r="34" spans="2:42" s="40" customFormat="1" ht="12.75">
      <c r="B34" s="40" t="s">
        <v>88</v>
      </c>
      <c r="C34" s="55" t="s">
        <v>89</v>
      </c>
      <c r="D34" s="40" t="s">
        <v>84</v>
      </c>
      <c r="E34" s="47">
        <v>46821.199999999997</v>
      </c>
      <c r="F34" s="56" t="str">
        <f t="shared" si="0"/>
        <v>Click Here To Select Upload Journal</v>
      </c>
      <c r="G34" s="57" t="s">
        <v>140</v>
      </c>
      <c r="H34" s="40" t="s">
        <v>202</v>
      </c>
      <c r="I34" s="40" t="s">
        <v>203</v>
      </c>
      <c r="J34" s="40" t="s">
        <v>204</v>
      </c>
      <c r="K34" s="40" t="s">
        <v>205</v>
      </c>
      <c r="L34" s="40" t="s">
        <v>98</v>
      </c>
      <c r="M34" s="40" t="s">
        <v>98</v>
      </c>
      <c r="O34" s="40" t="s">
        <v>99</v>
      </c>
      <c r="P34" s="40" t="s">
        <v>100</v>
      </c>
      <c r="R34" s="40" t="s">
        <v>101</v>
      </c>
      <c r="S34" s="40">
        <v>6</v>
      </c>
      <c r="T34" s="40">
        <v>1</v>
      </c>
      <c r="U34" s="40" t="s">
        <v>142</v>
      </c>
      <c r="V34" s="40" t="s">
        <v>143</v>
      </c>
      <c r="W34" s="40" t="s">
        <v>144</v>
      </c>
      <c r="X34" s="40">
        <v>2021</v>
      </c>
      <c r="Y34" s="40">
        <v>46821.199999999997</v>
      </c>
      <c r="Z34" s="40" t="s">
        <v>143</v>
      </c>
      <c r="AA34" s="40">
        <v>4</v>
      </c>
      <c r="AB34" s="58" t="s">
        <v>140</v>
      </c>
      <c r="AC34" s="40" t="s">
        <v>147</v>
      </c>
      <c r="AD34" s="40" t="s">
        <v>148</v>
      </c>
      <c r="AF34" s="40" t="s">
        <v>149</v>
      </c>
      <c r="AG34" s="40" t="s">
        <v>149</v>
      </c>
      <c r="AH34" s="40" t="s">
        <v>99</v>
      </c>
      <c r="AI34" s="40" t="s">
        <v>150</v>
      </c>
      <c r="AJ34" s="58" t="s">
        <v>140</v>
      </c>
      <c r="AK34" s="40">
        <v>2225260</v>
      </c>
      <c r="AL34" s="40" t="s">
        <v>156</v>
      </c>
      <c r="AM34" s="40">
        <v>0</v>
      </c>
      <c r="AO34" s="40">
        <v>0</v>
      </c>
      <c r="AP34" s="40">
        <v>0</v>
      </c>
    </row>
    <row r="35" spans="2:42" s="40" customFormat="1" ht="12.75">
      <c r="B35" s="40" t="s">
        <v>88</v>
      </c>
      <c r="C35" s="55" t="s">
        <v>89</v>
      </c>
      <c r="D35" s="40" t="s">
        <v>84</v>
      </c>
      <c r="E35" s="47">
        <v>-46821.199999999997</v>
      </c>
      <c r="F35" s="56" t="str">
        <f t="shared" si="0"/>
        <v>Click Here To Select Upload Journal</v>
      </c>
      <c r="G35" s="57" t="s">
        <v>102</v>
      </c>
      <c r="H35" s="40" t="s">
        <v>202</v>
      </c>
      <c r="I35" s="40" t="s">
        <v>203</v>
      </c>
      <c r="J35" s="40" t="s">
        <v>204</v>
      </c>
      <c r="K35" s="40" t="s">
        <v>205</v>
      </c>
      <c r="L35" s="40" t="s">
        <v>98</v>
      </c>
      <c r="M35" s="40" t="s">
        <v>98</v>
      </c>
      <c r="O35" s="40" t="s">
        <v>99</v>
      </c>
      <c r="P35" s="40" t="s">
        <v>103</v>
      </c>
      <c r="R35" s="40" t="s">
        <v>104</v>
      </c>
      <c r="S35" s="40">
        <v>10</v>
      </c>
      <c r="T35" s="40">
        <v>1</v>
      </c>
      <c r="U35" s="40" t="s">
        <v>142</v>
      </c>
      <c r="V35" s="40" t="s">
        <v>143</v>
      </c>
      <c r="W35" s="40" t="s">
        <v>144</v>
      </c>
      <c r="X35" s="40">
        <v>2021</v>
      </c>
      <c r="Y35" s="40">
        <v>-46821.199999999997</v>
      </c>
      <c r="Z35" s="40" t="s">
        <v>143</v>
      </c>
      <c r="AA35" s="40">
        <v>4</v>
      </c>
      <c r="AB35" s="58" t="s">
        <v>102</v>
      </c>
      <c r="AC35" s="40" t="s">
        <v>147</v>
      </c>
      <c r="AD35" s="40" t="s">
        <v>148</v>
      </c>
      <c r="AF35" s="40" t="s">
        <v>149</v>
      </c>
      <c r="AG35" s="40" t="s">
        <v>149</v>
      </c>
      <c r="AH35" s="40" t="s">
        <v>99</v>
      </c>
      <c r="AI35" s="40" t="s">
        <v>150</v>
      </c>
      <c r="AJ35" s="58" t="s">
        <v>132</v>
      </c>
      <c r="AK35" s="40">
        <v>0</v>
      </c>
      <c r="AL35" s="40" t="s">
        <v>156</v>
      </c>
      <c r="AM35" s="40">
        <v>0</v>
      </c>
      <c r="AO35" s="40">
        <v>0</v>
      </c>
      <c r="AP35" s="40">
        <v>0</v>
      </c>
    </row>
    <row r="36" spans="5:5" s="40" customFormat="1" ht="12.75">
      <c r="E36" s="47"/>
    </row>
    <row r="37" spans="1:5" s="59" customFormat="1" ht="13.5" thickBot="1">
      <c r="A37" s="59" t="s">
        <v>3</v>
      </c>
      <c r="E37" s="60">
        <f>SUM(E7:E36)</f>
        <v>43909.630000000034</v>
      </c>
    </row>
    <row r="38" ht="13.5" thickTop="1"/>
    <row r="39" spans="2:6" ht="22.5">
      <c r="B39" s="61" t="s">
        <v>74</v>
      </c>
      <c r="C39" s="113">
        <f>NvsEndTime</f>
        <v>44582.58153935185</v>
      </c>
      <c r="D39" s="113"/>
      <c r="F39" s="62"/>
    </row>
    <row r="41" spans="2:2" ht="12.75" hidden="1">
      <c r="B41" s="40" t="str">
        <f>"Y"</f>
        <v>Y</v>
      </c>
    </row>
  </sheetData>
  <mergeCells count="1">
    <mergeCell ref="C39:D39"/>
  </mergeCells>
  <pageMargins left="0.75" right="0.75" top="1" bottom="1" header="0.5" footer="0.5"/>
  <pageSetup orientation="landscape" r:id="rId5"/>
  <headerFooter alignWithMargins="0"/>
  <drawing r:id="rId3"/>
  <legacyDrawing r:id="rId4"/>
  <controls>
    <mc:AlternateContent xmlns:mc="http://schemas.openxmlformats.org/markup-compatibility/2006">
      <mc:Choice Requires="x14">
        <control shapeId="3073" r:id="rId2" name="CommandButton2">
          <controlPr defaultSize="0" autoLine="0" autoPict="0" r:id="rId1">
            <anchor moveWithCells="1">
              <from>
                <xdr:col>6</xdr:col>
                <xdr:colOff>76200</xdr:colOff>
                <xdr:row>2</xdr:row>
                <xdr:rowOff>114300</xdr:rowOff>
              </from>
              <to>
                <xdr:col>9</xdr:col>
                <xdr:colOff>333375</xdr:colOff>
                <xdr:row>4</xdr:row>
                <xdr:rowOff>57150</xdr:rowOff>
              </to>
            </anchor>
          </controlPr>
        </control>
      </mc:Choice>
      <mc:Fallback>
        <control shapeId="3073" r:id="rId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/>
  <dimension ref="A1:A3"/>
  <sheetViews>
    <sheetView workbookViewId="0" topLeftCell="A1">
      <selection pane="topLeft" activeCell="A5" sqref="A5"/>
    </sheetView>
  </sheetViews>
  <sheetFormatPr defaultRowHeight="12.75"/>
  <cols>
    <col min="1" max="16384" width="9.14285714285714" style="12"/>
  </cols>
  <sheetData>
    <row r="1" spans="1:1" ht="15.75">
      <c r="A1" s="13" t="s">
        <v>85</v>
      </c>
    </row>
    <row r="2" spans="1:1" ht="12.75">
      <c r="A2" s="12" t="s">
        <v>86</v>
      </c>
    </row>
    <row r="3" spans="1:1" ht="12.75">
      <c r="A3" s="12" t="s">
        <v>87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A903</vt:lpstr>
      <vt:lpstr>A2539000 STLAUDIT</vt:lpstr>
      <vt:lpstr>$46k accrualreversal</vt:lpstr>
      <vt:lpstr>A2539000 detail</vt:lpstr>
      <vt:lpstr>Updates</vt:lpstr>
    </vt:vector>
  </TitlesOfParts>
  <Template/>
  <Manager/>
  <Company/>
  <HyperlinkBase>p:\psfs\psprod\jrnldoc\prod</HyperlinkBase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