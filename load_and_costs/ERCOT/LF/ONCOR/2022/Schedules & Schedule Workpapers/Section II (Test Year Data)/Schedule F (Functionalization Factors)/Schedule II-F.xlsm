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vbaProject.bin" ContentType="application/vnd.ms-office.vbaProject"/>
  <Override PartName="/xl/ctrProps/ctrProp1.xml" ContentType="application/vnd.ms-excel.controlproperties+xml"/>
  <Override PartName="/xl/drawings/drawing1.xml" ContentType="application/vnd.openxmlformats-officedocument.drawing+xml"/>
  <Default Extension="vml" ContentType="application/vnd.openxmlformats-officedocument.vmlDrawing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4" Type="http://schemas.openxmlformats.org/officeDocument/2006/relationships/custom-properties" Target="docProps/custom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ection II (Test Year Data)\Schedule F (Functionalization Factors)\"/>
    </mc:Choice>
  </mc:AlternateContent>
  <bookViews>
    <workbookView xWindow="540" yWindow="-270" windowWidth="11835" windowHeight="6825" tabRatio="699" activeTab="2"/>
  </bookViews>
  <sheets>
    <sheet name="Link Sheet" sheetId="138" r:id="rId3"/>
    <sheet name="II-F Alloc_Data" sheetId="2" r:id="rId4"/>
    <sheet name="II-F Alloc_Factor" sheetId="3" r:id="rId5"/>
  </sheets>
  <externalReferences>
    <externalReference r:id="rId8"/>
    <externalReference r:id="rId9"/>
    <externalReference r:id="rId10"/>
    <externalReference r:id="rId11"/>
  </externalReferences>
  <definedNames>
    <definedName name="_xlnm.Print_Area" localSheetId="1">'II-F Alloc_Data'!$A$11:$N$42</definedName>
    <definedName name="_xlnm.Print_Area" localSheetId="2">'II-F Alloc_Factor'!$A$10:$N$42</definedName>
  </definedNames>
  <calcPr calcId="152511"/>
</workbook>
</file>

<file path=xl/calcChain.xml><?xml version="1.0" encoding="utf-8"?>
<calcChain xmlns="http://schemas.openxmlformats.org/spreadsheetml/2006/main">
  <c r="N42" i="2" l="1"/>
</calcChain>
</file>

<file path=xl/sharedStrings.xml><?xml version="1.0" encoding="utf-8"?>
<sst xmlns="http://schemas.openxmlformats.org/spreadsheetml/2006/main" count="168" uniqueCount="83">
  <si>
    <t>Functional Allocation Data</t>
  </si>
  <si>
    <t>Description</t>
  </si>
  <si>
    <t>FF Label</t>
  </si>
  <si>
    <t>TOTAL</t>
  </si>
  <si>
    <t>Functional Allocation Factors</t>
  </si>
  <si>
    <t>FF</t>
  </si>
  <si>
    <t>#</t>
  </si>
  <si>
    <t>MET</t>
  </si>
  <si>
    <t>TDCS</t>
  </si>
  <si>
    <t>TRAN</t>
  </si>
  <si>
    <t>DIST</t>
  </si>
  <si>
    <t>(a)</t>
  </si>
  <si>
    <t>(b)</t>
  </si>
  <si>
    <t>(c)</t>
  </si>
  <si>
    <t>(d)</t>
  </si>
  <si>
    <t>(e)</t>
  </si>
  <si>
    <t>(f)</t>
  </si>
  <si>
    <t>(g)</t>
  </si>
  <si>
    <t>(h)</t>
  </si>
  <si>
    <t>Line</t>
  </si>
  <si>
    <t>No</t>
  </si>
  <si>
    <t>PAYXAG</t>
  </si>
  <si>
    <t>TOMXFP</t>
  </si>
  <si>
    <t>PLTSVC-N</t>
  </si>
  <si>
    <t>DISTMAX</t>
  </si>
  <si>
    <t>DISTOPX</t>
  </si>
  <si>
    <t>C902_3</t>
  </si>
  <si>
    <t>Net Plant in Service</t>
  </si>
  <si>
    <t>Payroll, Excluding Admin. &amp; General Salaries</t>
  </si>
  <si>
    <t>Total O&amp;M Expense, Excluding Fuel &amp; Purchase Power</t>
  </si>
  <si>
    <t>DIST Maintenance Composite Allocator</t>
  </si>
  <si>
    <t>DIST Operations Composite Allocator</t>
  </si>
  <si>
    <t>Composite Allocator</t>
  </si>
  <si>
    <t>(i)</t>
  </si>
  <si>
    <t>C906_9</t>
  </si>
  <si>
    <t>Total Cost of Service</t>
  </si>
  <si>
    <t>A924</t>
  </si>
  <si>
    <t>A925</t>
  </si>
  <si>
    <t>Account 924</t>
  </si>
  <si>
    <t>Account 925</t>
  </si>
  <si>
    <t>Account 926</t>
  </si>
  <si>
    <t>A926</t>
  </si>
  <si>
    <t>Net Plant in Service (Distribution Spread)</t>
  </si>
  <si>
    <t>PLTSVC-d</t>
  </si>
  <si>
    <t>Account 930.2</t>
  </si>
  <si>
    <t>A930.2</t>
  </si>
  <si>
    <t>Administrative and General Salaries</t>
  </si>
  <si>
    <t>A920</t>
  </si>
  <si>
    <t>Intangible</t>
  </si>
  <si>
    <t>Net Intangible Plant</t>
  </si>
  <si>
    <t>A165</t>
  </si>
  <si>
    <t>Account 165</t>
  </si>
  <si>
    <t>Contributions</t>
  </si>
  <si>
    <t xml:space="preserve">Contributions and Donations </t>
  </si>
  <si>
    <t>Materials &amp; Supplies</t>
  </si>
  <si>
    <t>M&amp;S</t>
  </si>
  <si>
    <t>TCS</t>
  </si>
  <si>
    <t>Synchronized Interest</t>
  </si>
  <si>
    <t>Sync_Int</t>
  </si>
  <si>
    <t>Property Insurance Reserve</t>
  </si>
  <si>
    <t>Ins_Reserve</t>
  </si>
  <si>
    <t>PLTSVC-m</t>
  </si>
  <si>
    <t>D-PAYXAG</t>
  </si>
  <si>
    <t>T-PAYXAG</t>
  </si>
  <si>
    <t>Distribution Payroll Factor</t>
  </si>
  <si>
    <t>Transmissiion Payroll Factor</t>
  </si>
  <si>
    <t>Not Used</t>
  </si>
  <si>
    <t>NTU</t>
  </si>
  <si>
    <t>DC</t>
  </si>
  <si>
    <t>Consol</t>
  </si>
  <si>
    <t>TIE</t>
  </si>
  <si>
    <t>(j)</t>
  </si>
  <si>
    <t>(k)</t>
  </si>
  <si>
    <t>(n)</t>
  </si>
  <si>
    <t>(o)</t>
  </si>
  <si>
    <t>Net Plant in Service - Oncor Only</t>
  </si>
  <si>
    <t>Net Plant in Service - NTU Only</t>
  </si>
  <si>
    <t>PLTSVC-ONC</t>
  </si>
  <si>
    <t>PLTSVC-NTU</t>
  </si>
  <si>
    <t>Net Plant in Service (Oncor + NTU)</t>
  </si>
  <si>
    <t>Total Cost of Service (Oncor + NTU)</t>
  </si>
  <si>
    <t>Total Cost of Service (Oncor Only)</t>
  </si>
  <si>
    <t>TCS_ONC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</si>
</sst>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</numFmts>
  <fonts count="11">
    <font>
      <sz val="10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b/>
      <u val="single"/>
      <sz val="10"/>
      <name val="Arial"/>
      <family val="2"/>
    </font>
    <font>
      <u val="single"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</border>
    <border>
      <left style="medium">
        <color auto="1"/>
      </left>
      <right style="medium">
        <color auto="1"/>
      </right>
      <top/>
      <bottom/>
    </border>
    <border>
      <left style="medium">
        <color auto="1"/>
      </left>
      <right style="medium">
        <color auto="1"/>
      </right>
      <top/>
      <bottom style="medium">
        <color auto="1"/>
      </bottom>
    </border>
    <border>
      <left/>
      <right/>
      <top style="medium">
        <color auto="1"/>
      </top>
      <bottom/>
    </border>
    <border>
      <left/>
      <right/>
      <top/>
      <bottom style="thin">
        <color auto="1"/>
      </bottom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/>
      <right/>
      <top style="thin">
        <color auto="1"/>
      </top>
      <bottom style="thin">
        <color auto="1"/>
      </bottom>
    </border>
    <border>
      <left/>
      <right style="thin">
        <color auto="1"/>
      </right>
      <top style="thin">
        <color auto="1"/>
      </top>
      <bottom style="thin">
        <color auto="1"/>
      </bottom>
    </border>
  </borders>
  <cellStyleXfs count="21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4" fillId="0" borderId="0" applyNumberFormat="0" applyFill="0" applyBorder="0">
      <alignment/>
      <protection locked="0"/>
    </xf>
  </cellStyleXfs>
  <cellXfs count="67">
    <xf numFmtId="0" fontId="0" fillId="0" borderId="0" xfId="0"/>
    <xf numFmtId="0" fontId="0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6" fillId="0" borderId="0" xfId="0" applyFont="1" applyBorder="1"/>
    <xf numFmtId="0" fontId="0" fillId="0" borderId="0" xfId="0" applyFont="1" applyFill="1" applyBorder="1"/>
    <xf numFmtId="0" fontId="0" fillId="0" borderId="0" xfId="0" applyFont="1" applyBorder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0" fontId="5" fillId="0" borderId="0" xfId="0" applyFont="1" applyBorder="1"/>
    <xf numFmtId="0" fontId="6" fillId="0" borderId="1" xfId="0" applyFont="1" applyFill="1" applyBorder="1"/>
    <xf numFmtId="0" fontId="6" fillId="0" borderId="1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0" fillId="0" borderId="0" xfId="0" applyFont="1" applyFill="1" applyBorder="1" quotePrefix="1"/>
    <xf numFmtId="164" fontId="0" fillId="0" borderId="0" xfId="18" applyNumberFormat="1" applyFont="1" applyBorder="1"/>
    <xf numFmtId="164" fontId="0" fillId="0" borderId="0" xfId="18" applyNumberFormat="1" applyFont="1" applyFill="1" applyBorder="1"/>
    <xf numFmtId="0" fontId="0" fillId="0" borderId="4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6" fillId="0" borderId="1" xfId="0" applyFont="1" applyFill="1" applyBorder="1" applyAlignment="1" quotePrefix="1">
      <alignment horizontal="center"/>
    </xf>
    <xf numFmtId="0" fontId="8" fillId="0" borderId="0" xfId="0" applyFont="1" applyBorder="1" applyAlignment="1">
      <alignment horizontal="center"/>
    </xf>
    <xf numFmtId="0" fontId="0" fillId="0" borderId="0" xfId="0" applyFont="1" applyFill="1"/>
    <xf numFmtId="0" fontId="0" fillId="0" borderId="3" xfId="0" applyFont="1" applyFill="1" applyBorder="1" applyAlignment="1">
      <alignment horizontal="center"/>
    </xf>
    <xf numFmtId="0" fontId="0" fillId="0" borderId="4" xfId="0" applyFont="1" applyFill="1" applyBorder="1" applyAlignment="1" quotePrefix="1">
      <alignment horizontal="center"/>
    </xf>
    <xf numFmtId="0" fontId="5" fillId="0" borderId="0" xfId="0" applyFont="1" applyFill="1" applyBorder="1" applyAlignment="1">
      <alignment horizontal="center"/>
    </xf>
    <xf numFmtId="9" fontId="0" fillId="0" borderId="0" xfId="15" applyFont="1" applyBorder="1" applyAlignment="1">
      <alignment horizontal="center"/>
    </xf>
    <xf numFmtId="164" fontId="0" fillId="0" borderId="4" xfId="18" applyNumberFormat="1" applyFont="1" applyFill="1" applyBorder="1" applyAlignment="1">
      <alignment horizontal="center"/>
    </xf>
    <xf numFmtId="9" fontId="0" fillId="0" borderId="0" xfId="15" applyFont="1" applyFill="1" applyBorder="1" applyAlignment="1">
      <alignment horizontal="center"/>
    </xf>
    <xf numFmtId="9" fontId="0" fillId="0" borderId="0" xfId="15" applyFont="1" applyFill="1" applyBorder="1"/>
    <xf numFmtId="0" fontId="8" fillId="0" borderId="0" xfId="0" applyFont="1" applyBorder="1"/>
    <xf numFmtId="164" fontId="8" fillId="0" borderId="0" xfId="0" applyNumberFormat="1" applyFont="1" applyFill="1" applyBorder="1"/>
    <xf numFmtId="9" fontId="0" fillId="0" borderId="0" xfId="15" applyFont="1" applyBorder="1"/>
    <xf numFmtId="164" fontId="8" fillId="0" borderId="0" xfId="0" applyNumberFormat="1" applyFont="1" applyBorder="1"/>
    <xf numFmtId="0" fontId="5" fillId="0" borderId="0" xfId="0" applyFont="1" applyBorder="1" applyAlignment="1">
      <alignment horizontal="center"/>
    </xf>
    <xf numFmtId="164" fontId="7" fillId="0" borderId="0" xfId="18" applyNumberFormat="1" applyFont="1" applyBorder="1"/>
    <xf numFmtId="9" fontId="4" fillId="0" borderId="0" xfId="20" applyNumberFormat="1" applyFont="1" applyFill="1" applyBorder="1" applyAlignment="1" applyProtection="1">
      <alignment/>
      <protection/>
    </xf>
    <xf numFmtId="1" fontId="0" fillId="0" borderId="0" xfId="15" applyNumberFormat="1" applyFont="1" applyFill="1" applyBorder="1" applyAlignment="1">
      <alignment horizontal="center"/>
    </xf>
    <xf numFmtId="0" fontId="0" fillId="0" borderId="0" xfId="18" applyNumberFormat="1" applyFont="1" applyBorder="1" applyAlignment="1">
      <alignment horizontal="center"/>
    </xf>
    <xf numFmtId="9" fontId="6" fillId="0" borderId="0" xfId="15" applyFont="1" applyBorder="1"/>
    <xf numFmtId="9" fontId="6" fillId="0" borderId="0" xfId="15" applyFont="1" applyBorder="1" applyAlignment="1">
      <alignment horizontal="center"/>
    </xf>
    <xf numFmtId="164" fontId="6" fillId="0" borderId="1" xfId="18" applyNumberFormat="1" applyFont="1" applyFill="1" applyBorder="1" applyAlignment="1">
      <alignment horizontal="center"/>
    </xf>
    <xf numFmtId="164" fontId="6" fillId="0" borderId="2" xfId="18" applyNumberFormat="1" applyFont="1" applyFill="1" applyBorder="1" applyAlignment="1">
      <alignment horizontal="center"/>
    </xf>
    <xf numFmtId="14" fontId="6" fillId="0" borderId="0" xfId="0" applyNumberFormat="1" applyFont="1" applyFill="1" applyBorder="1" applyAlignment="1">
      <alignment horizontal="left"/>
    </xf>
    <xf numFmtId="9" fontId="0" fillId="0" borderId="4" xfId="15" applyFont="1" applyFill="1" applyBorder="1"/>
    <xf numFmtId="0" fontId="0" fillId="0" borderId="0" xfId="0" applyAlignment="1">
      <alignment horizontal="center"/>
    </xf>
    <xf numFmtId="164" fontId="9" fillId="0" borderId="0" xfId="18" applyNumberFormat="1" applyFont="1" applyFill="1" applyBorder="1"/>
    <xf numFmtId="164" fontId="6" fillId="0" borderId="0" xfId="18" applyNumberFormat="1" applyFont="1" applyBorder="1"/>
    <xf numFmtId="10" fontId="6" fillId="0" borderId="0" xfId="15" applyNumberFormat="1" applyFont="1" applyBorder="1"/>
    <xf numFmtId="164" fontId="7" fillId="0" borderId="0" xfId="18" applyNumberFormat="1" applyFont="1" applyFill="1" applyBorder="1"/>
    <xf numFmtId="10" fontId="0" fillId="0" borderId="0" xfId="15" applyNumberFormat="1" applyFont="1" applyFill="1" applyBorder="1"/>
    <xf numFmtId="0" fontId="0" fillId="0" borderId="3" xfId="0" applyFont="1" applyFill="1" applyBorder="1" applyAlignment="1">
      <alignment horizontal="center"/>
    </xf>
    <xf numFmtId="9" fontId="0" fillId="0" borderId="0" xfId="15" applyFont="1" applyFill="1" applyBorder="1"/>
    <xf numFmtId="164" fontId="7" fillId="0" borderId="5" xfId="18" applyNumberFormat="1" applyFont="1" applyFill="1" applyBorder="1" applyAlignment="1">
      <alignment/>
    </xf>
    <xf numFmtId="9" fontId="5" fillId="0" borderId="0" xfId="15" applyFont="1" applyFill="1" applyBorder="1" applyAlignment="1">
      <alignment horizontal="center"/>
    </xf>
    <xf numFmtId="9" fontId="0" fillId="0" borderId="0" xfId="15" applyFont="1" applyBorder="1"/>
    <xf numFmtId="41" fontId="0" fillId="0" borderId="0" xfId="0" applyNumberFormat="1" applyFont="1" applyBorder="1"/>
    <xf numFmtId="0" fontId="0" fillId="0" borderId="0" xfId="0" applyFont="1" applyFill="1" applyAlignment="1">
      <alignment horizontal="center"/>
    </xf>
    <xf numFmtId="10" fontId="6" fillId="0" borderId="0" xfId="15" applyNumberFormat="1" applyFont="1" applyFill="1" applyBorder="1"/>
    <xf numFmtId="41" fontId="6" fillId="0" borderId="0" xfId="18" applyNumberFormat="1" applyFont="1" applyBorder="1"/>
    <xf numFmtId="9" fontId="0" fillId="0" borderId="0" xfId="15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ont="1" applyBorder="1" applyAlignment="1">
      <alignment horizontal="center"/>
    </xf>
    <xf numFmtId="10" fontId="0" fillId="0" borderId="0" xfId="0" applyNumberFormat="1" applyFont="1" applyBorder="1"/>
    <xf numFmtId="164" fontId="7" fillId="0" borderId="6" xfId="18" applyNumberFormat="1" applyFont="1" applyFill="1" applyBorder="1" applyAlignment="1">
      <alignment horizontal="center"/>
    </xf>
    <xf numFmtId="164" fontId="7" fillId="0" borderId="7" xfId="18" applyNumberFormat="1" applyFont="1" applyFill="1" applyBorder="1" applyAlignment="1">
      <alignment horizontal="center"/>
    </xf>
    <xf numFmtId="164" fontId="7" fillId="0" borderId="8" xfId="18" applyNumberFormat="1" applyFont="1" applyFill="1" applyBorder="1" applyAlignment="1">
      <alignment horizontal="center"/>
    </xf>
    <xf numFmtId="9" fontId="5" fillId="0" borderId="0" xfId="15" applyFont="1" applyFill="1" applyBorder="1" applyAlignment="1">
      <alignment horizontal="center"/>
    </xf>
  </cellXfs>
  <cellStyles count="7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Hyperlink" xfId="20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worksheet" Target="worksheets/sheet3.xml" /><Relationship Id="rId1" Type="http://schemas.openxmlformats.org/officeDocument/2006/relationships/theme" Target="theme/theme1.xml" /><Relationship Id="rId2" Type="http://schemas.microsoft.com/office/2006/relationships/vbaProject" Target="vbaProject.bin" /><Relationship Id="rId8" Type="http://schemas.openxmlformats.org/officeDocument/2006/relationships/externalLink" Target="externalLinks/externalLink1.xml" /><Relationship Id="rId4" Type="http://schemas.openxmlformats.org/officeDocument/2006/relationships/worksheet" Target="worksheets/sheet2.xml" /><Relationship Id="rId9" Type="http://schemas.openxmlformats.org/officeDocument/2006/relationships/externalLink" Target="externalLinks/externalLink2.xml" /><Relationship Id="rId6" Type="http://schemas.openxmlformats.org/officeDocument/2006/relationships/styles" Target="styles.xml" /><Relationship Id="rId10" Type="http://schemas.openxmlformats.org/officeDocument/2006/relationships/externalLink" Target="externalLinks/externalLink3.xml" /><Relationship Id="rId12" Type="http://schemas.openxmlformats.org/officeDocument/2006/relationships/calcChain" Target="calcChain.xml" /><Relationship Id="rId11" Type="http://schemas.openxmlformats.org/officeDocument/2006/relationships/externalLink" Target="externalLinks/externalLink4.xml" /><Relationship Id="rId3" Type="http://schemas.openxmlformats.org/officeDocument/2006/relationships/worksheet" Target="worksheets/sheet1.xml" /><Relationship Id="rId7" Type="http://schemas.openxmlformats.org/officeDocument/2006/relationships/sharedStrings" Target="sharedStrings.xml" /></Relationships>
</file>

<file path=xl/ctrProps/ctr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</xdr:row>
          <xdr:rowOff>142875</xdr:rowOff>
        </xdr:from>
        <xdr:to>
          <xdr:col>5</xdr:col>
          <xdr:colOff>476250</xdr:colOff>
          <xdr:row>7</xdr:row>
          <xdr:rowOff>0</xdr:rowOff>
        </xdr:to>
        <xdr:sp macro="[0]!Print_Schedules" fLocksText="0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>
              <a:spLocks noRot="1"/>
            </xdr:cNvSpPr>
          </xdr:nvSpPr>
          <xdr:spPr>
            <a:xfrm>
              <a:off x="1847850" y="628650"/>
              <a:ext cx="1676400" cy="504825"/>
            </a:xfrm>
            <a:prstGeom prst="rect"/>
            <a:ln>
              <a:solidFill>
                <a:srgbClr val="000000"/>
              </a:solidFill>
            </a:ln>
          </xdr:spPr>
          <xdr:txBody>
            <a:bodyPr lIns="27432" tIns="22860" rIns="27432" bIns="22860" vertOverflow="clip" wrap="square" anchor="ctr" upright="1"/>
            <a:p>
              <a:pPr algn="ctr" rtl="0"/>
              <a:r>
                <a:rPr lang="en-US" sz="1000" u="none" b="0" i="0" baseline="0">
                  <a:solidFill>
                    <a:srgbClr val="000000"/>
                  </a:solidFill>
                  <a:latin typeface="Arial"/>
                  <a:cs typeface="Arial"/>
                </a:rPr>
                <a:t>Print Schedules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/Schedule%20Headings.xlsm" TargetMode="External" 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/Section%20II%20(Test%20Year%20Data)/Schedule%20B%20(Rate%20Base)/Schedule%20II-B.xlsm" TargetMode="External" /></Relationships>
</file>

<file path=xl/externalLinks/_rels/externalLink3.xml.rels><?xml version="1.0" encoding="UTF-8" standalone="yes"?><Relationships xmlns="http://schemas.openxmlformats.org/package/2006/relationships"><Relationship Id="rId1" Type="http://schemas.openxmlformats.org/officeDocument/2006/relationships/externalLinkPath" Target="/Section%20I%20(Summary)/Schedule%20I-A.xlsm" TargetMode="External" /></Relationships>
</file>

<file path=xl/externalLinks/_rels/externalLink4.xml.rels><?xml version="1.0" encoding="UTF-8" standalone="yes"?><Relationships xmlns="http://schemas.openxmlformats.org/package/2006/relationships"><Relationship Id="rId1" Type="http://schemas.openxmlformats.org/officeDocument/2006/relationships/externalLinkPath" Target="/Section%20II%20(Test%20Year%20Data)/Schedule%20E%20(Other%20Items)/Schedule%20II-E.xlsm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put Data"/>
      <sheetName val="Schedule Sponsors"/>
    </sheetNames>
    <sheetDataSet>
      <sheetData sheetId="0">
        <row r="2">
          <cell r="A2" t="str">
            <v>ONCOR ELECTRIC DELIVERY COMPANY LLC</v>
          </cell>
        </row>
        <row r="4">
          <cell r="A4" t="str">
            <v>TEST YEAR ENDING DECEMBER 31, 2021</v>
          </cell>
        </row>
        <row r="9">
          <cell r="A9" t="str">
            <v>2022 RATE CASE</v>
          </cell>
        </row>
      </sheetData>
      <sheetData sheetId="1">
        <row r="120">
          <cell r="A120" t="str">
            <v>II-F  </v>
          </cell>
          <cell r="B120" t="str">
            <v>FUNCTIONALIZATION FACTORS</v>
          </cell>
          <cell r="D120" t="str">
            <v>W. ALAN LEDBETTER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nk Sheet"/>
      <sheetName val="II-B"/>
      <sheetName val="II-B-1"/>
      <sheetName val="II-B-1a"/>
      <sheetName val="II-B-2"/>
      <sheetName val="II-B-3"/>
      <sheetName val="II-B-4"/>
      <sheetName val="II-B-5"/>
      <sheetName val="II-B-6"/>
      <sheetName val="II-B-7"/>
      <sheetName val="II-B-8"/>
      <sheetName val="II-B-9"/>
      <sheetName val="II-B-10"/>
      <sheetName val="II-B-11"/>
      <sheetName val="II-B-12"/>
      <sheetName val="II-B-13"/>
      <sheetName val="II-B-14"/>
      <sheetName val="II-B-14 Attachment 1"/>
      <sheetName val="II-B-15A"/>
      <sheetName val="II-B-15B"/>
    </sheetNames>
    <sheetDataSet>
      <sheetData sheetId="0">
        <row r="111">
          <cell r="D111">
            <v>77242553.12</v>
          </cell>
          <cell r="E111">
            <v>0</v>
          </cell>
          <cell r="F111">
            <v>0</v>
          </cell>
          <cell r="H111">
            <v>74690404.41</v>
          </cell>
          <cell r="I111">
            <v>0</v>
          </cell>
          <cell r="K111">
            <v>105783.33</v>
          </cell>
          <cell r="L111">
            <v>0</v>
          </cell>
        </row>
        <row r="113">
          <cell r="D113">
            <v>10576723.4246154</v>
          </cell>
          <cell r="E113">
            <v>0</v>
          </cell>
          <cell r="F113">
            <v>0</v>
          </cell>
          <cell r="H113">
            <v>100121671.995385</v>
          </cell>
          <cell r="I113">
            <v>0</v>
          </cell>
          <cell r="K113">
            <v>3524809.17076923</v>
          </cell>
          <cell r="L113">
            <v>930191.569999999</v>
          </cell>
        </row>
        <row r="122">
          <cell r="D122">
            <v>147968574.68</v>
          </cell>
          <cell r="E122">
            <v>0</v>
          </cell>
          <cell r="F122">
            <v>0</v>
          </cell>
          <cell r="H122">
            <v>209210524.99</v>
          </cell>
          <cell r="I122">
            <v>0</v>
          </cell>
          <cell r="K122">
            <v>30140290.23</v>
          </cell>
          <cell r="L122">
            <v>226263015.17</v>
          </cell>
        </row>
      </sheetData>
      <sheetData sheetId="1">
        <row r="22">
          <cell r="G22">
            <v>9078657048.36</v>
          </cell>
          <cell r="H22">
            <v>1413505644.17</v>
          </cell>
          <cell r="I22">
            <v>11582390.28</v>
          </cell>
          <cell r="K22">
            <v>9845662713.45</v>
          </cell>
          <cell r="L22">
            <v>115590307.41</v>
          </cell>
          <cell r="N22">
            <v>334838711.58</v>
          </cell>
          <cell r="O22">
            <v>285533472.22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43">
          <cell r="O43">
            <v>0</v>
          </cell>
          <cell r="P43">
            <v>0</v>
          </cell>
          <cell r="S43">
            <v>0</v>
          </cell>
        </row>
        <row r="44">
          <cell r="O44">
            <v>0</v>
          </cell>
          <cell r="P44">
            <v>0</v>
          </cell>
          <cell r="S44">
            <v>0</v>
          </cell>
        </row>
        <row r="49">
          <cell r="N49">
            <v>1332943.57</v>
          </cell>
          <cell r="R49">
            <v>221954256.47</v>
          </cell>
          <cell r="U49">
            <v>0</v>
          </cell>
          <cell r="V49">
            <v>0</v>
          </cell>
        </row>
        <row r="50">
          <cell r="N50">
            <v>20801047.32</v>
          </cell>
          <cell r="R50">
            <v>340803895.18</v>
          </cell>
          <cell r="U50">
            <v>0</v>
          </cell>
          <cell r="V50">
            <v>0</v>
          </cell>
        </row>
      </sheetData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Link Sheet"/>
      <sheetName val="I-A"/>
      <sheetName val="I-A-1"/>
      <sheetName val="I-A-2"/>
    </sheetNames>
    <sheetDataSet>
      <sheetData sheetId="0">
        <row r="9">
          <cell r="E9">
            <v>1312691944.03153</v>
          </cell>
          <cell r="F9">
            <v>173262366.47111</v>
          </cell>
          <cell r="G9">
            <v>2245377.725655</v>
          </cell>
          <cell r="I9">
            <v>4012552544.04846</v>
          </cell>
          <cell r="J9">
            <v>13295686.2265148</v>
          </cell>
          <cell r="L9">
            <v>205435693.370629</v>
          </cell>
          <cell r="M9">
            <v>104584405.96905</v>
          </cell>
        </row>
      </sheetData>
      <sheetData sheetId="1"/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Link Sheet"/>
      <sheetName val="II-E-1"/>
      <sheetName val="II-E-2"/>
      <sheetName val="II-E-2.1"/>
      <sheetName val="II-E-3 Attachment"/>
      <sheetName val="II-E-3"/>
      <sheetName val="II-E-3.1"/>
      <sheetName val="II-E-3.2a"/>
      <sheetName val="II-E-3.2b"/>
      <sheetName val="II-E-3.3"/>
      <sheetName val="II-E-3.4"/>
      <sheetName val="II-E-3.5"/>
      <sheetName val="II-E-3.5a"/>
      <sheetName val="II-E-3.6"/>
      <sheetName val="II-E-3.7"/>
      <sheetName val="II-E-3.8"/>
      <sheetName val="II-E-3.9"/>
      <sheetName val="II-E-3.10"/>
      <sheetName val="II-E-3.11"/>
      <sheetName val="II-E-3.12"/>
      <sheetName val="II-E-3.13"/>
      <sheetName val="II-E-3.14"/>
      <sheetName val="II-E-3.15"/>
      <sheetName val="II-E-3.16"/>
      <sheetName val="II-E-3.17"/>
      <sheetName val="II-E-3.18"/>
      <sheetName val="II-E-3.19"/>
      <sheetName val="II-E-3.20"/>
      <sheetName val="II-E-3.21"/>
      <sheetName val="II-E-3.22"/>
      <sheetName val="II-E-3.23"/>
      <sheetName val="II-E-3.24"/>
      <sheetName val="II-E-4"/>
      <sheetName val="II-E-4.1"/>
      <sheetName val="II-E-4.1.1"/>
      <sheetName val="II-E-4.2"/>
      <sheetName val="II-E-4.3"/>
      <sheetName val="II-E-4.4"/>
      <sheetName val="II-E-4.5"/>
      <sheetName val="II-E-4.6"/>
      <sheetName val="II-E-5"/>
    </sheetNames>
    <sheetDataSet>
      <sheetData sheetId="0"/>
      <sheetData sheetId="1"/>
      <sheetData sheetId="2"/>
      <sheetData sheetId="3"/>
      <sheetData sheetId="4"/>
      <sheetData sheetId="5">
        <row r="20">
          <cell r="N20">
            <v>187113184.37</v>
          </cell>
          <cell r="R20">
            <v>218383546.59</v>
          </cell>
          <cell r="U20">
            <v>10153815.38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ctrlProp" Target="../ctrProps/ctrProp1.xml" /><Relationship Id="rId2" Type="http://schemas.openxmlformats.org/officeDocument/2006/relationships/drawing" Target="../drawings/drawing1.xml" /><Relationship Id="rId4" Type="http://schemas.openxmlformats.org/officeDocument/2006/relationships/printerSettings" Target="../printerSettings/printerSettings1.bin" /><Relationship Id="rId3" Type="http://schemas.openxmlformats.org/officeDocument/2006/relationships/vmlDrawing" Target="../drawings/vmlDrawing1.vml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">
    <tabColor indexed="10"/>
  </sheetPr>
  <dimension ref="A1"/>
  <sheetViews>
    <sheetView workbookViewId="0" topLeftCell="A1"/>
  </sheetViews>
  <sheetFormatPr defaultRowHeight="12.75"/>
  <sheetData/>
  <pageMargins left="0.75" right="0.75" top="1" bottom="1" header="0.5" footer="0.5"/>
  <pageSetup orientation="portrait" r:id="rId4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" name="Button 1">
              <controlPr defaultSize="0" print="0" autoLine="0" autoPict="0" macro="[0]!Print_Schedules">
                <anchor moveWithCells="1" sizeWithCells="1">
                  <from>
                    <xdr:col>3</xdr:col>
                    <xdr:colOff>19050</xdr:colOff>
                    <xdr:row>3</xdr:row>
                    <xdr:rowOff>142875</xdr:rowOff>
                  </from>
                  <to>
                    <xdr:col>5</xdr:col>
                    <xdr:colOff>476250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9">
    <pageSetUpPr fitToPage="1"/>
  </sheetPr>
  <dimension ref="A1:P43"/>
  <sheetViews>
    <sheetView zoomScale="85" zoomScaleNormal="85" workbookViewId="0" topLeftCell="A1">
      <pane xSplit="4" ySplit="13" topLeftCell="E14" activePane="bottomRight" state="frozen"/>
      <selection pane="topLeft" activeCell="A1" sqref="A1"/>
      <selection pane="bottomLeft" activeCell="A14" sqref="A14"/>
      <selection pane="topRight" activeCell="E1" sqref="E1"/>
      <selection pane="bottomRight" activeCell="A3" sqref="A3"/>
    </sheetView>
  </sheetViews>
  <sheetFormatPr defaultColWidth="9.14428571428571" defaultRowHeight="12.75"/>
  <cols>
    <col min="1" max="2" width="5.71428571428571" style="6" customWidth="1"/>
    <col min="3" max="3" width="48.4285714285714" style="6" bestFit="1" customWidth="1"/>
    <col min="4" max="4" width="13.4285714285714" style="1" bestFit="1" customWidth="1"/>
    <col min="5" max="5" width="16.7142857142857" style="6" bestFit="1" customWidth="1"/>
    <col min="6" max="8" width="16.7142857142857" style="6" customWidth="1"/>
    <col min="9" max="9" width="16.7142857142857" style="6" bestFit="1" customWidth="1"/>
    <col min="10" max="10" width="14.1428571428571" style="6" customWidth="1"/>
    <col min="11" max="11" width="15.2857142857143" style="6" bestFit="1" customWidth="1"/>
    <col min="12" max="12" width="14.1428571428571" style="6" customWidth="1"/>
    <col min="13" max="13" width="16" style="6" customWidth="1"/>
    <col min="14" max="14" width="17.2857142857143" style="15" customWidth="1"/>
    <col min="15" max="15" width="14.1428571428571" style="1" customWidth="1"/>
    <col min="16" max="16" width="13.8571428571429" style="6" customWidth="1"/>
    <col min="17" max="16384" width="9.14285714285714" style="6"/>
  </cols>
  <sheetData>
    <row r="1" spans="1:1" ht="12.75">
      <c r="A1" s="4" t="str">
        <f>+'[1]Input Data'!$A$9</f>
        <v>2022 RATE CASE</v>
      </c>
    </row>
    <row r="2" spans="1:14" ht="12.75">
      <c r="A2" s="8" t="str">
        <f>+'[1]Input Data'!$A$2</f>
        <v>ONCOR ELECTRIC DELIVERY COMPANY LLC</v>
      </c>
      <c r="B2" s="5"/>
      <c r="C2" s="5"/>
      <c r="D2" s="18"/>
      <c r="E2" s="5"/>
      <c r="F2" s="5"/>
      <c r="G2" s="5"/>
      <c r="H2" s="5"/>
      <c r="I2" s="5"/>
      <c r="J2" s="5"/>
      <c r="K2" s="5"/>
      <c r="L2" s="5"/>
      <c r="M2" s="5"/>
      <c r="N2" s="5"/>
    </row>
    <row r="3" spans="1:14" ht="12.75">
      <c r="A3" s="7" t="str">
        <f>CONCATENATE('[1]Schedule Sponsors'!$A$120,'[1]Schedule Sponsors'!$B$120)</f>
        <v>II-F  FUNCTIONALIZATION FACTORS</v>
      </c>
      <c r="B3" s="5"/>
      <c r="D3" s="18"/>
      <c r="E3" s="5"/>
      <c r="F3" s="5"/>
      <c r="G3" s="5"/>
      <c r="H3" s="5"/>
      <c r="I3" s="5"/>
      <c r="J3" s="5"/>
      <c r="K3" s="5"/>
      <c r="L3" s="5"/>
      <c r="M3" s="5"/>
      <c r="N3" s="21"/>
    </row>
    <row r="4" spans="1:14" ht="12.75">
      <c r="A4" s="42" t="str">
        <f>+'[1]Input Data'!$A$4</f>
        <v>TEST YEAR ENDING DECEMBER 31, 2021</v>
      </c>
      <c r="B4" s="5"/>
      <c r="D4" s="18"/>
      <c r="E4" s="14"/>
      <c r="F4" s="14"/>
      <c r="G4" s="14"/>
      <c r="H4" s="14"/>
      <c r="I4" s="5"/>
      <c r="J4" s="5"/>
      <c r="K4" s="5"/>
      <c r="L4" s="5"/>
      <c r="M4" s="5"/>
      <c r="N4" s="21"/>
    </row>
    <row r="5" spans="1:14" ht="12.75">
      <c r="A5" s="7" t="str">
        <f>CONCATENATE("SPONSOR: ",'[1]Schedule Sponsors'!$D$120)</f>
        <v>SPONSOR: W. ALAN LEDBETTER</v>
      </c>
      <c r="B5" s="5"/>
      <c r="D5" s="18"/>
      <c r="E5" s="5"/>
      <c r="F5" s="5"/>
      <c r="G5" s="5"/>
      <c r="H5" s="5"/>
      <c r="I5" s="5"/>
      <c r="J5" s="5"/>
      <c r="K5" s="5"/>
      <c r="L5" s="5"/>
      <c r="M5" s="5"/>
      <c r="N5" s="16"/>
    </row>
    <row r="6" spans="2:14" ht="12.75">
      <c r="B6" s="5"/>
      <c r="D6" s="18"/>
      <c r="E6" s="5"/>
      <c r="F6" s="5"/>
      <c r="G6" s="5"/>
      <c r="H6" s="5"/>
      <c r="I6" s="5"/>
      <c r="J6" s="5"/>
      <c r="K6" s="5"/>
      <c r="L6" s="5"/>
      <c r="M6" s="5"/>
      <c r="N6" s="16"/>
    </row>
    <row r="7" spans="2:14" ht="12.75">
      <c r="B7" s="5"/>
      <c r="D7" s="18"/>
      <c r="E7" s="5"/>
      <c r="F7" s="5"/>
      <c r="G7" s="5"/>
      <c r="H7" s="5"/>
      <c r="I7" s="5"/>
      <c r="J7" s="5"/>
      <c r="K7" s="5"/>
      <c r="L7" s="5"/>
      <c r="M7" s="5"/>
      <c r="N7" s="16"/>
    </row>
    <row r="8" spans="1:14" ht="12.75">
      <c r="A8" s="5"/>
      <c r="B8" s="8"/>
      <c r="C8" s="5"/>
      <c r="D8" s="18"/>
      <c r="E8" s="5"/>
      <c r="F8" s="5"/>
      <c r="G8" s="5"/>
      <c r="H8" s="5"/>
      <c r="I8" s="5"/>
      <c r="J8" s="5"/>
      <c r="K8" s="5"/>
      <c r="L8" s="5"/>
      <c r="M8" s="5"/>
      <c r="N8" s="16"/>
    </row>
    <row r="9" spans="1:14" ht="12.75">
      <c r="A9" s="18"/>
      <c r="B9" s="24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6"/>
    </row>
    <row r="10" spans="1:14" ht="13.5" thickBot="1">
      <c r="A10" s="18"/>
      <c r="B10" s="24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6"/>
    </row>
    <row r="11" spans="1:15" s="4" customFormat="1" ht="12.75">
      <c r="A11" s="11" t="s">
        <v>19</v>
      </c>
      <c r="B11" s="11" t="s">
        <v>5</v>
      </c>
      <c r="C11" s="11"/>
      <c r="D11" s="11"/>
      <c r="E11" s="11"/>
      <c r="F11" s="11" t="s">
        <v>67</v>
      </c>
      <c r="G11" s="11" t="s">
        <v>68</v>
      </c>
      <c r="H11" s="11" t="s">
        <v>69</v>
      </c>
      <c r="I11" s="11"/>
      <c r="J11" s="11" t="s">
        <v>67</v>
      </c>
      <c r="K11" s="11" t="s">
        <v>69</v>
      </c>
      <c r="L11" s="11"/>
      <c r="M11" s="11"/>
      <c r="N11" s="40"/>
      <c r="O11" s="39"/>
    </row>
    <row r="12" spans="1:15" s="4" customFormat="1" ht="12.75">
      <c r="A12" s="12" t="s">
        <v>20</v>
      </c>
      <c r="B12" s="12" t="s">
        <v>6</v>
      </c>
      <c r="C12" s="12" t="s">
        <v>1</v>
      </c>
      <c r="D12" s="12" t="s">
        <v>2</v>
      </c>
      <c r="E12" s="12" t="s">
        <v>9</v>
      </c>
      <c r="F12" s="12" t="s">
        <v>9</v>
      </c>
      <c r="G12" s="12" t="s">
        <v>70</v>
      </c>
      <c r="H12" s="12" t="s">
        <v>9</v>
      </c>
      <c r="I12" s="12" t="s">
        <v>10</v>
      </c>
      <c r="J12" s="12" t="s">
        <v>10</v>
      </c>
      <c r="K12" s="12" t="s">
        <v>10</v>
      </c>
      <c r="L12" s="12" t="s">
        <v>7</v>
      </c>
      <c r="M12" s="12" t="s">
        <v>8</v>
      </c>
      <c r="N12" s="41" t="s">
        <v>3</v>
      </c>
      <c r="O12" s="39"/>
    </row>
    <row r="13" spans="1:15" s="4" customFormat="1" ht="13.5" thickBot="1">
      <c r="A13" s="13"/>
      <c r="B13" s="22" t="s">
        <v>11</v>
      </c>
      <c r="C13" s="22" t="s">
        <v>12</v>
      </c>
      <c r="D13" s="22" t="s">
        <v>13</v>
      </c>
      <c r="E13" s="22" t="s">
        <v>14</v>
      </c>
      <c r="F13" s="50" t="s">
        <v>15</v>
      </c>
      <c r="G13" s="50" t="s">
        <v>16</v>
      </c>
      <c r="H13" s="50" t="s">
        <v>17</v>
      </c>
      <c r="I13" s="50" t="s">
        <v>18</v>
      </c>
      <c r="J13" s="50" t="s">
        <v>33</v>
      </c>
      <c r="K13" s="50" t="s">
        <v>71</v>
      </c>
      <c r="L13" s="50" t="s">
        <v>72</v>
      </c>
      <c r="M13" s="50" t="s">
        <v>73</v>
      </c>
      <c r="N13" s="50" t="s">
        <v>74</v>
      </c>
      <c r="O13" s="39"/>
    </row>
    <row r="14" spans="2:15" s="5" customFormat="1" ht="12.75"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26"/>
      <c r="O14" s="27"/>
    </row>
    <row r="15" spans="1:3" ht="12.75">
      <c r="A15" s="1">
        <v>1</v>
      </c>
      <c r="C15" s="3" t="s">
        <v>0</v>
      </c>
    </row>
    <row r="16" spans="1:1" ht="12.75">
      <c r="A16" s="1">
        <v>2</v>
      </c>
    </row>
    <row r="17" spans="1:15" s="29" customFormat="1" ht="12.75">
      <c r="A17" s="1">
        <v>3</v>
      </c>
      <c r="B17" s="18"/>
      <c r="C17" s="28" t="s">
        <v>28</v>
      </c>
      <c r="D17" s="18" t="s">
        <v>21</v>
      </c>
      <c r="E17" s="48">
        <v>41326409.659999982</v>
      </c>
      <c r="F17" s="48">
        <v>0</v>
      </c>
      <c r="G17" s="48">
        <v>0</v>
      </c>
      <c r="H17" s="48">
        <f>SUM(E17:G17)</f>
        <v>41326409.659999982</v>
      </c>
      <c r="I17" s="48">
        <v>114012694.42999975</v>
      </c>
      <c r="J17" s="48">
        <v>0</v>
      </c>
      <c r="K17" s="48">
        <f>SUM(I17:J17)</f>
        <v>114012694.42999975</v>
      </c>
      <c r="L17" s="48">
        <v>31085348.769999996</v>
      </c>
      <c r="M17" s="48">
        <v>1250915.3300000001</v>
      </c>
      <c r="N17" s="45">
        <f>+H17+K17+L17+M17</f>
        <v>187675368.18999973</v>
      </c>
      <c r="O17" s="20"/>
    </row>
    <row r="18" spans="1:16" s="5" customFormat="1" ht="12.75">
      <c r="A18" s="1">
        <v>4</v>
      </c>
      <c r="B18" s="18"/>
      <c r="C18" s="28" t="s">
        <v>29</v>
      </c>
      <c r="D18" s="27" t="s">
        <v>22</v>
      </c>
      <c r="E18" s="48">
        <v>221433683.98000106</v>
      </c>
      <c r="F18" s="48">
        <v>0</v>
      </c>
      <c r="G18" s="48">
        <v>0</v>
      </c>
      <c r="H18" s="48">
        <f t="shared" si="0" ref="H18:H32">SUM(E18:G18)</f>
        <v>221433683.98000106</v>
      </c>
      <c r="I18" s="48">
        <v>2117557264.4700036</v>
      </c>
      <c r="J18" s="48">
        <v>0</v>
      </c>
      <c r="K18" s="48">
        <f t="shared" si="1" ref="K18:K32">SUM(I18:J18)</f>
        <v>2117557264.4700036</v>
      </c>
      <c r="L18" s="48">
        <v>116306605.15000159</v>
      </c>
      <c r="M18" s="48">
        <v>94325653.580000028</v>
      </c>
      <c r="N18" s="45">
        <f t="shared" si="2" ref="N18:N32">+H18+K18+L18+M18</f>
        <v>2549623207.180006</v>
      </c>
      <c r="O18" s="16"/>
      <c r="P18" s="30"/>
    </row>
    <row r="19" spans="1:16" ht="12.75">
      <c r="A19" s="1">
        <v>5</v>
      </c>
      <c r="C19" s="51" t="s">
        <v>79</v>
      </c>
      <c r="D19" s="44" t="s">
        <v>23</v>
      </c>
      <c r="E19" s="48">
        <f>+'[2]II-B'!G22</f>
        <v>9078657048.3599987</v>
      </c>
      <c r="F19" s="48">
        <f>+'[2]II-B'!H22</f>
        <v>1413505644.1699998</v>
      </c>
      <c r="G19" s="48">
        <f>+'[2]II-B'!I22</f>
        <v>11582390.280000001</v>
      </c>
      <c r="H19" s="48">
        <f t="shared" si="0"/>
        <v>10503745082.81</v>
      </c>
      <c r="I19" s="48">
        <f>+'[2]II-B'!K22</f>
        <v>9845662713.4499969</v>
      </c>
      <c r="J19" s="48">
        <f>+'[2]II-B'!L22</f>
        <v>115590307.41</v>
      </c>
      <c r="K19" s="48">
        <f t="shared" si="1"/>
        <v>9961253020.8599968</v>
      </c>
      <c r="L19" s="48">
        <f>+'[2]II-B'!N22</f>
        <v>334838711.58000004</v>
      </c>
      <c r="M19" s="48">
        <f>+'[2]II-B'!O22</f>
        <v>285533472.22000003</v>
      </c>
      <c r="N19" s="45">
        <f t="shared" si="2"/>
        <v>21085370287.470001</v>
      </c>
      <c r="O19" s="15"/>
      <c r="P19" s="32"/>
    </row>
    <row r="20" spans="1:16" s="9" customFormat="1" ht="12.75">
      <c r="A20" s="1">
        <v>6</v>
      </c>
      <c r="C20" s="28" t="s">
        <v>30</v>
      </c>
      <c r="D20" s="44" t="s">
        <v>24</v>
      </c>
      <c r="E20" s="48">
        <v>406672.37000000011</v>
      </c>
      <c r="F20" s="48">
        <v>0</v>
      </c>
      <c r="G20" s="48">
        <v>0</v>
      </c>
      <c r="H20" s="48">
        <f t="shared" si="0"/>
        <v>406672.37000000011</v>
      </c>
      <c r="I20" s="48">
        <v>160425154.55000052</v>
      </c>
      <c r="J20" s="48">
        <v>0</v>
      </c>
      <c r="K20" s="48">
        <f t="shared" si="1"/>
        <v>160425154.55000052</v>
      </c>
      <c r="L20" s="48">
        <v>16702839.540000007</v>
      </c>
      <c r="M20" s="48">
        <v>0</v>
      </c>
      <c r="N20" s="45">
        <f t="shared" si="2"/>
        <v>177534666.46000052</v>
      </c>
      <c r="O20" s="33"/>
      <c r="P20" s="32"/>
    </row>
    <row r="21" spans="1:16" ht="12.75">
      <c r="A21" s="1">
        <v>7</v>
      </c>
      <c r="C21" s="28" t="s">
        <v>31</v>
      </c>
      <c r="D21" s="44" t="s">
        <v>25</v>
      </c>
      <c r="E21" s="48">
        <v>199831.28</v>
      </c>
      <c r="F21" s="48">
        <v>0</v>
      </c>
      <c r="G21" s="48">
        <v>0</v>
      </c>
      <c r="H21" s="48">
        <f t="shared" si="0"/>
        <v>199831.28</v>
      </c>
      <c r="I21" s="48">
        <v>39034580.680000283</v>
      </c>
      <c r="J21" s="48">
        <v>0</v>
      </c>
      <c r="K21" s="48">
        <f t="shared" si="1"/>
        <v>39034580.680000283</v>
      </c>
      <c r="L21" s="48">
        <v>28582785.119999975</v>
      </c>
      <c r="M21" s="48">
        <v>0</v>
      </c>
      <c r="N21" s="45">
        <f t="shared" si="2"/>
        <v>67817197.080000252</v>
      </c>
      <c r="O21" s="34"/>
      <c r="P21" s="32"/>
    </row>
    <row r="22" spans="1:16" ht="12.75">
      <c r="A22" s="1">
        <v>8</v>
      </c>
      <c r="C22" s="28" t="s">
        <v>32</v>
      </c>
      <c r="D22" s="44" t="s">
        <v>26</v>
      </c>
      <c r="E22" s="48">
        <v>0</v>
      </c>
      <c r="F22" s="48">
        <v>0</v>
      </c>
      <c r="G22" s="48">
        <v>0</v>
      </c>
      <c r="H22" s="48">
        <f t="shared" si="0"/>
        <v>0</v>
      </c>
      <c r="I22" s="48">
        <v>10743.1</v>
      </c>
      <c r="J22" s="48">
        <v>0</v>
      </c>
      <c r="K22" s="48">
        <f t="shared" si="1"/>
        <v>10743.1</v>
      </c>
      <c r="L22" s="48">
        <v>8727371.9599999972</v>
      </c>
      <c r="M22" s="48">
        <v>10906553.98</v>
      </c>
      <c r="N22" s="45">
        <f t="shared" si="2"/>
        <v>19644669.039999999</v>
      </c>
      <c r="O22" s="34"/>
      <c r="P22" s="32"/>
    </row>
    <row r="23" spans="1:16" ht="12.75">
      <c r="A23" s="1">
        <v>9</v>
      </c>
      <c r="C23" s="28" t="s">
        <v>32</v>
      </c>
      <c r="D23" s="44" t="s">
        <v>34</v>
      </c>
      <c r="E23" s="48">
        <v>0</v>
      </c>
      <c r="F23" s="48">
        <v>0</v>
      </c>
      <c r="G23" s="48">
        <v>0</v>
      </c>
      <c r="H23" s="48">
        <f t="shared" si="0"/>
        <v>0</v>
      </c>
      <c r="I23" s="48">
        <v>249937.92000000001</v>
      </c>
      <c r="J23" s="48">
        <v>0</v>
      </c>
      <c r="K23" s="48">
        <f t="shared" si="1"/>
        <v>249937.92000000001</v>
      </c>
      <c r="L23" s="48">
        <v>579610.07999999996</v>
      </c>
      <c r="M23" s="48">
        <v>46425416.93</v>
      </c>
      <c r="N23" s="45">
        <f t="shared" si="2"/>
        <v>47254964.93</v>
      </c>
      <c r="O23" s="34"/>
      <c r="P23" s="32"/>
    </row>
    <row r="24" spans="1:15" s="5" customFormat="1" ht="12.75">
      <c r="A24" s="1">
        <v>10</v>
      </c>
      <c r="C24" s="51" t="s">
        <v>80</v>
      </c>
      <c r="D24" s="18" t="s">
        <v>56</v>
      </c>
      <c r="E24" s="48">
        <f>IF(ISERROR(+'[3]Link Sheet'!E9),0,+'[3]Link Sheet'!E9)</f>
        <v>1312691944.0315251</v>
      </c>
      <c r="F24" s="48">
        <f>IF(ISERROR(+'[3]Link Sheet'!F9),0,+'[3]Link Sheet'!F9)</f>
        <v>173262366.47110999</v>
      </c>
      <c r="G24" s="48">
        <f>IF(ISERROR(+'[3]Link Sheet'!G9),0,+'[3]Link Sheet'!G9)</f>
        <v>2245377.7256550002</v>
      </c>
      <c r="H24" s="48">
        <f t="shared" si="0"/>
        <v>1488199688.2282901</v>
      </c>
      <c r="I24" s="48">
        <f>IF(ISERROR(+'[3]Link Sheet'!I9),0,+'[3]Link Sheet'!I9)</f>
        <v>4012552544.0484595</v>
      </c>
      <c r="J24" s="48">
        <f>IF(ISERROR(+'[3]Link Sheet'!J9),0,+'[3]Link Sheet'!J9)</f>
        <v>13295686.226514787</v>
      </c>
      <c r="K24" s="48">
        <f t="shared" si="1"/>
        <v>4025848230.2749743</v>
      </c>
      <c r="L24" s="48">
        <f>IF(ISERROR(+'[3]Link Sheet'!L9),0,+'[3]Link Sheet'!L9)</f>
        <v>205435693.37062925</v>
      </c>
      <c r="M24" s="48">
        <f>IF(ISERROR(+'[3]Link Sheet'!M9),0,+'[3]Link Sheet'!M9)</f>
        <v>104584405.96904974</v>
      </c>
      <c r="N24" s="45">
        <f t="shared" si="2"/>
        <v>5824068017.8429432</v>
      </c>
      <c r="O24" s="18"/>
    </row>
    <row r="25" spans="1:14" ht="12.75">
      <c r="A25" s="1">
        <v>11</v>
      </c>
      <c r="C25" s="28" t="s">
        <v>38</v>
      </c>
      <c r="D25" s="44" t="s">
        <v>36</v>
      </c>
      <c r="E25" s="48">
        <v>3750923.0800000001</v>
      </c>
      <c r="F25" s="48">
        <v>2012</v>
      </c>
      <c r="G25" s="48">
        <v>0</v>
      </c>
      <c r="H25" s="48">
        <f t="shared" si="0"/>
        <v>3752935.0800000001</v>
      </c>
      <c r="I25" s="48">
        <v>109928258.52000001</v>
      </c>
      <c r="J25" s="48">
        <v>0</v>
      </c>
      <c r="K25" s="48">
        <f t="shared" si="1"/>
        <v>109928258.52000001</v>
      </c>
      <c r="L25" s="48">
        <v>0</v>
      </c>
      <c r="M25" s="48">
        <v>0</v>
      </c>
      <c r="N25" s="45">
        <f t="shared" si="2"/>
        <v>113681193.60000001</v>
      </c>
    </row>
    <row r="26" spans="1:14" ht="12.75">
      <c r="A26" s="1">
        <v>12</v>
      </c>
      <c r="C26" s="28" t="s">
        <v>39</v>
      </c>
      <c r="D26" s="1" t="s">
        <v>37</v>
      </c>
      <c r="E26" s="48">
        <v>5191566.0999999987</v>
      </c>
      <c r="F26" s="48">
        <v>0</v>
      </c>
      <c r="G26" s="48">
        <v>0</v>
      </c>
      <c r="H26" s="48">
        <f t="shared" si="0"/>
        <v>5191566.0999999987</v>
      </c>
      <c r="I26" s="48">
        <v>18825328.479999997</v>
      </c>
      <c r="J26" s="48">
        <v>0</v>
      </c>
      <c r="K26" s="48">
        <f t="shared" si="1"/>
        <v>18825328.479999997</v>
      </c>
      <c r="L26" s="48">
        <v>0</v>
      </c>
      <c r="M26" s="48">
        <v>0</v>
      </c>
      <c r="N26" s="45">
        <f t="shared" si="2"/>
        <v>24016894.579999994</v>
      </c>
    </row>
    <row r="27" spans="1:14" ht="12.75">
      <c r="A27" s="1">
        <v>13</v>
      </c>
      <c r="C27" s="28" t="s">
        <v>40</v>
      </c>
      <c r="D27" s="1" t="s">
        <v>41</v>
      </c>
      <c r="E27" s="48">
        <v>43490769.829999998</v>
      </c>
      <c r="F27" s="48">
        <v>0</v>
      </c>
      <c r="G27" s="48">
        <v>0</v>
      </c>
      <c r="H27" s="48">
        <f t="shared" si="0"/>
        <v>43490769.829999998</v>
      </c>
      <c r="I27" s="48">
        <v>75014996.4000002</v>
      </c>
      <c r="J27" s="48">
        <v>0</v>
      </c>
      <c r="K27" s="48">
        <f t="shared" si="1"/>
        <v>75014996.4000002</v>
      </c>
      <c r="L27" s="48">
        <v>24848257.429999702</v>
      </c>
      <c r="M27" s="48">
        <v>8162108.3499999857</v>
      </c>
      <c r="N27" s="45">
        <f t="shared" si="2"/>
        <v>151516132.0099999</v>
      </c>
    </row>
    <row r="28" spans="1:14" ht="12.75">
      <c r="A28" s="1">
        <v>14</v>
      </c>
      <c r="C28" s="28" t="s">
        <v>42</v>
      </c>
      <c r="D28" s="44" t="s">
        <v>43</v>
      </c>
      <c r="E28" s="48">
        <v>0</v>
      </c>
      <c r="F28" s="48">
        <v>0</v>
      </c>
      <c r="G28" s="48">
        <v>0</v>
      </c>
      <c r="H28" s="48">
        <f t="shared" si="0"/>
        <v>0</v>
      </c>
      <c r="I28" s="48">
        <f>+I19</f>
        <v>9845662713.4499969</v>
      </c>
      <c r="J28" s="48">
        <v>0</v>
      </c>
      <c r="K28" s="48">
        <f t="shared" si="1"/>
        <v>9845662713.4499969</v>
      </c>
      <c r="L28" s="48">
        <f t="shared" si="3" ref="L28">+L19</f>
        <v>334838711.58000004</v>
      </c>
      <c r="M28" s="48">
        <f>+M19</f>
        <v>285533472.22000003</v>
      </c>
      <c r="N28" s="46">
        <f t="shared" si="2"/>
        <v>10466034897.249996</v>
      </c>
    </row>
    <row r="29" spans="1:14" ht="12.75">
      <c r="A29" s="1">
        <v>15</v>
      </c>
      <c r="C29" s="28" t="s">
        <v>44</v>
      </c>
      <c r="D29" s="1" t="s">
        <v>45</v>
      </c>
      <c r="E29" s="48">
        <v>2127782.1800000006</v>
      </c>
      <c r="F29" s="48">
        <v>0.37</v>
      </c>
      <c r="G29" s="48">
        <v>0</v>
      </c>
      <c r="H29" s="48">
        <f t="shared" si="0"/>
        <v>2127782.5500000007</v>
      </c>
      <c r="I29" s="48">
        <v>8518849.799999997</v>
      </c>
      <c r="J29" s="48">
        <v>0</v>
      </c>
      <c r="K29" s="48">
        <f t="shared" si="1"/>
        <v>8518849.799999997</v>
      </c>
      <c r="L29" s="48">
        <v>2023482.6400000006</v>
      </c>
      <c r="M29" s="48">
        <v>4939541.0100000007</v>
      </c>
      <c r="N29" s="46">
        <f t="shared" si="2"/>
        <v>17609656</v>
      </c>
    </row>
    <row r="30" spans="1:14" ht="12.75">
      <c r="A30" s="1">
        <v>16</v>
      </c>
      <c r="C30" s="5" t="s">
        <v>46</v>
      </c>
      <c r="D30" s="1" t="s">
        <v>47</v>
      </c>
      <c r="E30" s="48">
        <v>17986473.949999996</v>
      </c>
      <c r="F30" s="48">
        <v>0</v>
      </c>
      <c r="G30" s="48">
        <v>0</v>
      </c>
      <c r="H30" s="48">
        <f t="shared" si="0"/>
        <v>17986473.949999996</v>
      </c>
      <c r="I30" s="48">
        <v>43637831.739999995</v>
      </c>
      <c r="J30" s="48">
        <v>0</v>
      </c>
      <c r="K30" s="48">
        <f t="shared" si="1"/>
        <v>43637831.739999995</v>
      </c>
      <c r="L30" s="48">
        <v>11796549.199999996</v>
      </c>
      <c r="M30" s="48">
        <v>17767778.319999997</v>
      </c>
      <c r="N30" s="46">
        <f t="shared" si="2"/>
        <v>91188633.209999979</v>
      </c>
    </row>
    <row r="31" spans="1:14" ht="12.75">
      <c r="A31" s="1">
        <v>17</v>
      </c>
      <c r="C31" s="28" t="s">
        <v>49</v>
      </c>
      <c r="D31" s="1" t="s">
        <v>48</v>
      </c>
      <c r="E31" s="48">
        <f>+'[2]Link Sheet'!D122</f>
        <v>147968574.68000001</v>
      </c>
      <c r="F31" s="48">
        <f>+'[2]Link Sheet'!E122</f>
        <v>0</v>
      </c>
      <c r="G31" s="48">
        <f>+'[2]Link Sheet'!F122</f>
        <v>0</v>
      </c>
      <c r="H31" s="48">
        <f t="shared" si="0"/>
        <v>147968574.68000001</v>
      </c>
      <c r="I31" s="48">
        <f>+'[2]Link Sheet'!H122</f>
        <v>209210524.99000001</v>
      </c>
      <c r="J31" s="48">
        <f>+'[2]Link Sheet'!I122</f>
        <v>0</v>
      </c>
      <c r="K31" s="48">
        <f t="shared" si="1"/>
        <v>209210524.99000001</v>
      </c>
      <c r="L31" s="48">
        <f>+'[2]Link Sheet'!K122</f>
        <v>30140290.230000019</v>
      </c>
      <c r="M31" s="48">
        <f>+'[2]Link Sheet'!L122</f>
        <v>226263015.17000002</v>
      </c>
      <c r="N31" s="46">
        <f t="shared" si="2"/>
        <v>613582405.07000005</v>
      </c>
    </row>
    <row r="32" spans="1:14" ht="12.75">
      <c r="A32" s="1">
        <v>18</v>
      </c>
      <c r="C32" s="31" t="s">
        <v>51</v>
      </c>
      <c r="D32" s="25" t="s">
        <v>50</v>
      </c>
      <c r="E32" s="48">
        <f>+'[2]Link Sheet'!D113</f>
        <v>10576723.424615383</v>
      </c>
      <c r="F32" s="48">
        <f>+'[2]Link Sheet'!E113</f>
        <v>0</v>
      </c>
      <c r="G32" s="48">
        <f>+'[2]Link Sheet'!F113</f>
        <v>0</v>
      </c>
      <c r="H32" s="48">
        <f t="shared" si="0"/>
        <v>10576723.424615383</v>
      </c>
      <c r="I32" s="48">
        <f>+'[2]Link Sheet'!H113</f>
        <v>100121671.99538463</v>
      </c>
      <c r="J32" s="48">
        <f>+'[2]Link Sheet'!I113</f>
        <v>0</v>
      </c>
      <c r="K32" s="48">
        <f t="shared" si="1"/>
        <v>100121671.99538463</v>
      </c>
      <c r="L32" s="48">
        <f>+'[2]Link Sheet'!K113</f>
        <v>3524809.17076923</v>
      </c>
      <c r="M32" s="48">
        <f>+'[2]Link Sheet'!L113</f>
        <v>930191.56999999855</v>
      </c>
      <c r="N32" s="46">
        <f t="shared" si="2"/>
        <v>115153396.16076924</v>
      </c>
    </row>
    <row r="33" spans="1:14" ht="12.75">
      <c r="A33" s="1">
        <v>19</v>
      </c>
      <c r="C33" s="28" t="s">
        <v>53</v>
      </c>
      <c r="D33" s="1" t="s">
        <v>52</v>
      </c>
      <c r="E33" s="63" t="s">
        <v>66</v>
      </c>
      <c r="F33" s="64"/>
      <c r="G33" s="64"/>
      <c r="H33" s="64"/>
      <c r="I33" s="64"/>
      <c r="J33" s="64"/>
      <c r="K33" s="64"/>
      <c r="L33" s="64"/>
      <c r="M33" s="64"/>
      <c r="N33" s="65"/>
    </row>
    <row r="34" spans="1:14" ht="12.75">
      <c r="A34" s="1">
        <v>20</v>
      </c>
      <c r="C34" s="28" t="s">
        <v>54</v>
      </c>
      <c r="D34" s="1" t="s">
        <v>55</v>
      </c>
      <c r="E34" s="48">
        <f>+'[2]Link Sheet'!D111</f>
        <v>77242553.11999999</v>
      </c>
      <c r="F34" s="48">
        <f>+'[2]Link Sheet'!E111</f>
        <v>0</v>
      </c>
      <c r="G34" s="48">
        <f>+'[2]Link Sheet'!F111</f>
        <v>0</v>
      </c>
      <c r="H34" s="48">
        <f t="shared" si="4" ref="H34:H36">SUM(E34:G34)</f>
        <v>77242553.11999999</v>
      </c>
      <c r="I34" s="48">
        <f>+'[2]Link Sheet'!H111</f>
        <v>74690404.409999996</v>
      </c>
      <c r="J34" s="48">
        <f>+'[2]Link Sheet'!I111</f>
        <v>0</v>
      </c>
      <c r="K34" s="48">
        <f t="shared" si="5" ref="K34:K36">SUM(I34:J34)</f>
        <v>74690404.409999996</v>
      </c>
      <c r="L34" s="48">
        <f>+'[2]Link Sheet'!K111</f>
        <v>105783.33</v>
      </c>
      <c r="M34" s="48">
        <f>+'[2]Link Sheet'!L111</f>
        <v>0</v>
      </c>
      <c r="N34" s="46">
        <f t="shared" si="6" ref="N34:N36">+H34+K34+L34+M34</f>
        <v>152038740.85999998</v>
      </c>
    </row>
    <row r="35" spans="1:14" ht="12.75">
      <c r="A35" s="1">
        <v>21</v>
      </c>
      <c r="C35" s="28" t="s">
        <v>57</v>
      </c>
      <c r="D35" s="25" t="s">
        <v>58</v>
      </c>
      <c r="E35" s="48">
        <f>+'[4]II-E-3'!N20</f>
        <v>187113184.37000001</v>
      </c>
      <c r="F35" s="48">
        <v>0</v>
      </c>
      <c r="G35" s="48">
        <v>0</v>
      </c>
      <c r="H35" s="48">
        <f t="shared" si="4"/>
        <v>187113184.37000001</v>
      </c>
      <c r="I35" s="48">
        <f>+'[4]II-E-3'!R20</f>
        <v>218383546.59</v>
      </c>
      <c r="J35" s="48">
        <v>0</v>
      </c>
      <c r="K35" s="48">
        <f t="shared" si="5"/>
        <v>218383546.59</v>
      </c>
      <c r="L35" s="48">
        <f>+'[4]II-E-3'!U20</f>
        <v>10153815.380000001</v>
      </c>
      <c r="M35" s="48">
        <v>2557110.1000000001</v>
      </c>
      <c r="N35" s="46">
        <f t="shared" si="6"/>
        <v>418207656.44000006</v>
      </c>
    </row>
    <row r="36" spans="1:14" ht="12.75">
      <c r="A36" s="1">
        <v>22</v>
      </c>
      <c r="C36" s="28" t="s">
        <v>59</v>
      </c>
      <c r="D36" s="27" t="s">
        <v>60</v>
      </c>
      <c r="E36" s="52">
        <f>+'[2]II-B-12'!N49+'[2]II-B-12'!N50</f>
        <v>22133990.890000001</v>
      </c>
      <c r="F36" s="52">
        <f>+'[2]II-B-12'!O43+'[2]II-B-12'!O44</f>
        <v>0</v>
      </c>
      <c r="G36" s="52">
        <f>+'[2]II-B-12'!P43+'[2]II-B-12'!P44</f>
        <v>0</v>
      </c>
      <c r="H36" s="48">
        <f t="shared" si="4"/>
        <v>22133990.890000001</v>
      </c>
      <c r="I36" s="52">
        <f>+'[2]II-B-12'!R49+'[2]II-B-12'!R50</f>
        <v>562758151.64999998</v>
      </c>
      <c r="J36" s="52">
        <f>+'[2]II-B-12'!S43+'[2]II-B-12'!S44</f>
        <v>0</v>
      </c>
      <c r="K36" s="48">
        <f t="shared" si="5"/>
        <v>562758151.64999998</v>
      </c>
      <c r="L36" s="52">
        <f>+'[2]II-B-12'!U49+'[2]II-B-12'!U50</f>
        <v>0</v>
      </c>
      <c r="M36" s="52">
        <f>+'[2]II-B-12'!V49+'[2]II-B-12'!V50</f>
        <v>0</v>
      </c>
      <c r="N36" s="46">
        <f t="shared" si="6"/>
        <v>584892142.53999996</v>
      </c>
    </row>
    <row r="37" spans="1:14" ht="12.75">
      <c r="A37" s="1">
        <v>23</v>
      </c>
      <c r="C37" s="28" t="s">
        <v>27</v>
      </c>
      <c r="D37" s="44" t="s">
        <v>61</v>
      </c>
      <c r="E37" s="63" t="s">
        <v>66</v>
      </c>
      <c r="F37" s="64"/>
      <c r="G37" s="64"/>
      <c r="H37" s="64"/>
      <c r="I37" s="64"/>
      <c r="J37" s="64"/>
      <c r="K37" s="64"/>
      <c r="L37" s="64"/>
      <c r="M37" s="64"/>
      <c r="N37" s="65"/>
    </row>
    <row r="38" spans="1:14" ht="12.75">
      <c r="A38" s="1">
        <v>24</v>
      </c>
      <c r="C38" s="51" t="s">
        <v>64</v>
      </c>
      <c r="D38" s="1" t="s">
        <v>62</v>
      </c>
      <c r="E38" s="55">
        <v>499001.22000000003</v>
      </c>
      <c r="F38" s="55">
        <v>0</v>
      </c>
      <c r="G38" s="55">
        <v>0</v>
      </c>
      <c r="H38" s="48">
        <f t="shared" si="7" ref="H38:H42">SUM(E38:G38)</f>
        <v>499001.22000000003</v>
      </c>
      <c r="I38" s="55">
        <v>104258327.96999975</v>
      </c>
      <c r="J38" s="55">
        <v>0</v>
      </c>
      <c r="K38" s="48">
        <f t="shared" si="8" ref="K38:K42">SUM(I38:J38)</f>
        <v>104258327.96999975</v>
      </c>
      <c r="L38" s="55">
        <v>31085348.769999996</v>
      </c>
      <c r="M38" s="55">
        <v>1250915.3300000001</v>
      </c>
      <c r="N38" s="58">
        <f t="shared" si="9" ref="N38:N42">+H38+K38+L38+M38</f>
        <v>137093593.28999975</v>
      </c>
    </row>
    <row r="39" spans="1:14" ht="12.75">
      <c r="A39" s="1">
        <v>25</v>
      </c>
      <c r="C39" s="51" t="s">
        <v>65</v>
      </c>
      <c r="D39" s="1" t="s">
        <v>63</v>
      </c>
      <c r="E39" s="55">
        <v>40827408.439999983</v>
      </c>
      <c r="F39" s="55">
        <v>0</v>
      </c>
      <c r="G39" s="55">
        <v>0</v>
      </c>
      <c r="H39" s="48">
        <f t="shared" si="7"/>
        <v>40827408.439999983</v>
      </c>
      <c r="I39" s="55">
        <v>9754366.4600000028</v>
      </c>
      <c r="J39" s="55">
        <v>0</v>
      </c>
      <c r="K39" s="48">
        <f t="shared" si="8"/>
        <v>9754366.4600000028</v>
      </c>
      <c r="L39" s="55">
        <v>0</v>
      </c>
      <c r="M39" s="55">
        <v>0</v>
      </c>
      <c r="N39" s="58">
        <f t="shared" si="9"/>
        <v>50581774.899999984</v>
      </c>
    </row>
    <row r="40" spans="1:14" ht="12.75">
      <c r="A40" s="1">
        <v>26</v>
      </c>
      <c r="C40" s="6" t="s">
        <v>75</v>
      </c>
      <c r="D40" s="1" t="s">
        <v>77</v>
      </c>
      <c r="E40" s="55">
        <f>+E19</f>
        <v>9078657048.3599987</v>
      </c>
      <c r="F40" s="55">
        <v>0</v>
      </c>
      <c r="G40" s="55">
        <f>+G19</f>
        <v>11582390.280000001</v>
      </c>
      <c r="H40" s="48">
        <f t="shared" si="7"/>
        <v>9090239438.6399994</v>
      </c>
      <c r="I40" s="55">
        <f>+I19</f>
        <v>9845662713.4499969</v>
      </c>
      <c r="J40" s="55">
        <v>0</v>
      </c>
      <c r="K40" s="48">
        <f t="shared" si="8"/>
        <v>9845662713.4499969</v>
      </c>
      <c r="L40" s="55">
        <f>+L19</f>
        <v>334838711.58000004</v>
      </c>
      <c r="M40" s="55">
        <f>+M19</f>
        <v>285533472.22000003</v>
      </c>
      <c r="N40" s="58">
        <f t="shared" si="9"/>
        <v>19556274335.889999</v>
      </c>
    </row>
    <row r="41" spans="1:14" ht="12.75">
      <c r="A41" s="1">
        <v>27</v>
      </c>
      <c r="C41" s="6" t="s">
        <v>76</v>
      </c>
      <c r="D41" s="1" t="s">
        <v>78</v>
      </c>
      <c r="E41" s="55">
        <v>0</v>
      </c>
      <c r="F41" s="55">
        <f>+F19</f>
        <v>1413505644.1699998</v>
      </c>
      <c r="G41" s="55">
        <v>0</v>
      </c>
      <c r="H41" s="48">
        <f t="shared" si="7"/>
        <v>1413505644.1699998</v>
      </c>
      <c r="I41" s="55">
        <v>0</v>
      </c>
      <c r="J41" s="55">
        <f>+J19</f>
        <v>115590307.41</v>
      </c>
      <c r="K41" s="48">
        <f t="shared" si="8"/>
        <v>115590307.41</v>
      </c>
      <c r="L41" s="55">
        <v>0</v>
      </c>
      <c r="M41" s="55">
        <v>0</v>
      </c>
      <c r="N41" s="58">
        <f t="shared" si="9"/>
        <v>1529095951.5799999</v>
      </c>
    </row>
    <row r="42" spans="1:14" ht="12.75">
      <c r="A42" s="1">
        <v>28</v>
      </c>
      <c r="C42" s="51" t="s">
        <v>81</v>
      </c>
      <c r="D42" s="61" t="s">
        <v>82</v>
      </c>
      <c r="E42" s="55">
        <f>+E24</f>
        <v>1312691944.0315251</v>
      </c>
      <c r="F42" s="55">
        <v>0</v>
      </c>
      <c r="G42" s="55">
        <v>0</v>
      </c>
      <c r="H42" s="48">
        <f t="shared" si="7"/>
        <v>1312691944.0315251</v>
      </c>
      <c r="I42" s="55">
        <f>+I24</f>
        <v>4012552544.0484595</v>
      </c>
      <c r="J42" s="55">
        <v>0</v>
      </c>
      <c r="K42" s="48">
        <f t="shared" si="8"/>
        <v>4012552544.0484595</v>
      </c>
      <c r="L42" s="55">
        <f>+L24</f>
        <v>205435693.37062925</v>
      </c>
      <c r="M42" s="55">
        <f>+M24</f>
        <v>104584405.96904974</v>
      </c>
      <c r="N42" s="58">
        <f t="shared" si="9"/>
        <v>5635264587.4196634</v>
      </c>
    </row>
    <row r="43" spans="3:3" ht="12.75">
      <c r="C43" s="51"/>
    </row>
  </sheetData>
  <mergeCells count="2">
    <mergeCell ref="E33:N33"/>
    <mergeCell ref="E37:N37"/>
  </mergeCells>
  <printOptions horizontalCentered="1"/>
  <pageMargins left="0.5" right="0.5" top="2.5" bottom="0.5" header="1.25" footer="0.25"/>
  <pageSetup horizontalDpi="2400" verticalDpi="2400" orientation="landscape" pageOrder="overThenDown" scale="55" r:id="rId1"/>
  <headerFooter alignWithMargins="0">
    <oddHeader>&amp;C&amp;B
2022 RATE CASE
ONCOR ELECTRIC DELIVERY COMPANY LLC
II-F  FUNCTIONALIZATION FACTORS
TEST YEAR ENDING DECEMBER 31, 2021
SPONSOR: W. ALAN LEDBETTER&amp;R&amp;"Arial,Bold"Schedule II-F
Page 1 of 2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0">
    <pageSetUpPr fitToPage="1"/>
  </sheetPr>
  <dimension ref="A1:Q42"/>
  <sheetViews>
    <sheetView tabSelected="1" zoomScale="85" zoomScaleNormal="85" workbookViewId="0" topLeftCell="A1">
      <pane xSplit="4" ySplit="13" topLeftCell="E14" activePane="bottomRight" state="frozen"/>
      <selection pane="topLeft" activeCell="A1" sqref="A1"/>
      <selection pane="bottomLeft" activeCell="A14" sqref="A14"/>
      <selection pane="topRight" activeCell="E1" sqref="E1"/>
      <selection pane="bottomRight" activeCell="D23" sqref="D23"/>
    </sheetView>
  </sheetViews>
  <sheetFormatPr defaultColWidth="9.14428571428571" defaultRowHeight="12.75"/>
  <cols>
    <col min="1" max="1" width="5.71428571428571" style="31" customWidth="1"/>
    <col min="2" max="2" width="5.71428571428571" style="15" customWidth="1"/>
    <col min="3" max="3" width="56.5714285714286" style="31" bestFit="1" customWidth="1"/>
    <col min="4" max="4" width="13.4285714285714" style="25" bestFit="1" customWidth="1"/>
    <col min="5" max="8" width="12.5714285714286" style="31" customWidth="1"/>
    <col min="9" max="11" width="11.1428571428571" style="31" customWidth="1"/>
    <col min="12" max="13" width="12.1428571428571" style="31" customWidth="1"/>
    <col min="14" max="14" width="12.7142857142857" style="31" customWidth="1"/>
    <col min="15" max="15" width="10.4285714285714" style="31" customWidth="1"/>
    <col min="16" max="16" width="11" style="31" customWidth="1"/>
    <col min="17" max="17" width="8.85714285714286" style="25" customWidth="1"/>
    <col min="18" max="16384" width="9.14285714285714" style="31"/>
  </cols>
  <sheetData>
    <row r="1" spans="1:1" ht="12.75">
      <c r="A1" s="38" t="str">
        <f>+'[1]Input Data'!$A$9</f>
        <v>2022 RATE CASE</v>
      </c>
    </row>
    <row r="2" spans="1:14" ht="12.75">
      <c r="A2" s="8" t="str">
        <f>+'[1]Input Data'!$A$2</f>
        <v>ONCOR ELECTRIC DELIVERY COMPANY LLC</v>
      </c>
      <c r="B2" s="16"/>
      <c r="C2" s="28"/>
      <c r="D2" s="27"/>
      <c r="E2" s="28"/>
      <c r="F2" s="28"/>
      <c r="G2" s="28"/>
      <c r="H2" s="28"/>
      <c r="I2" s="35"/>
      <c r="J2" s="35"/>
      <c r="K2" s="35"/>
      <c r="L2" s="28"/>
      <c r="M2" s="28"/>
      <c r="N2" s="5"/>
    </row>
    <row r="3" spans="1:14" ht="12.75">
      <c r="A3" s="7" t="str">
        <f>CONCATENATE('[1]Schedule Sponsors'!$A$120,'[1]Schedule Sponsors'!$B$120)</f>
        <v>II-F  FUNCTIONALIZATION FACTORS</v>
      </c>
      <c r="B3" s="5"/>
      <c r="D3" s="27"/>
      <c r="E3" s="28"/>
      <c r="F3" s="28"/>
      <c r="G3" s="28"/>
      <c r="H3" s="28"/>
      <c r="I3" s="28"/>
      <c r="J3" s="28"/>
      <c r="K3" s="28"/>
      <c r="L3" s="28"/>
      <c r="M3" s="28"/>
      <c r="N3" s="21"/>
    </row>
    <row r="4" spans="1:14" ht="12.75">
      <c r="A4" s="42" t="str">
        <f>+'[1]Input Data'!$A$4</f>
        <v>TEST YEAR ENDING DECEMBER 31, 2021</v>
      </c>
      <c r="B4" s="5"/>
      <c r="D4" s="27"/>
      <c r="E4" s="28"/>
      <c r="F4" s="28"/>
      <c r="G4" s="28"/>
      <c r="H4" s="28"/>
      <c r="I4" s="28"/>
      <c r="J4" s="28"/>
      <c r="K4" s="28"/>
      <c r="L4" s="28"/>
      <c r="M4" s="28"/>
      <c r="N4" s="21"/>
    </row>
    <row r="5" spans="1:14" ht="12.75">
      <c r="A5" s="7" t="str">
        <f>CONCATENATE("SPONSOR: ",'[1]Schedule Sponsors'!$D$120)</f>
        <v>SPONSOR: W. ALAN LEDBETTER</v>
      </c>
      <c r="B5" s="5"/>
      <c r="D5" s="27"/>
      <c r="E5" s="28"/>
      <c r="F5" s="28"/>
      <c r="G5" s="28"/>
      <c r="H5" s="28"/>
      <c r="I5" s="28"/>
      <c r="J5" s="28"/>
      <c r="K5" s="28"/>
      <c r="L5" s="28"/>
      <c r="M5" s="28"/>
      <c r="N5" s="28"/>
    </row>
    <row r="6" spans="2:14" ht="12.75">
      <c r="B6" s="5"/>
      <c r="D6" s="27"/>
      <c r="E6" s="28"/>
      <c r="F6" s="28"/>
      <c r="G6" s="28"/>
      <c r="H6" s="28"/>
      <c r="I6" s="28"/>
      <c r="J6" s="28"/>
      <c r="K6" s="28"/>
      <c r="L6" s="28"/>
      <c r="M6" s="28"/>
      <c r="N6" s="28"/>
    </row>
    <row r="7" spans="2:14" ht="12.75">
      <c r="B7" s="5"/>
      <c r="C7" s="66"/>
      <c r="D7" s="66"/>
      <c r="E7" s="66"/>
      <c r="F7" s="66"/>
      <c r="G7" s="66"/>
      <c r="H7" s="66"/>
      <c r="I7" s="66"/>
      <c r="J7" s="66"/>
      <c r="K7" s="66"/>
      <c r="L7" s="66"/>
      <c r="M7" s="53"/>
      <c r="N7" s="28"/>
    </row>
    <row r="8" spans="1:14" ht="12.75">
      <c r="A8" s="28"/>
      <c r="B8" s="8"/>
      <c r="C8" s="5"/>
      <c r="D8" s="27"/>
      <c r="E8" s="28"/>
      <c r="F8" s="28"/>
      <c r="G8" s="28"/>
      <c r="H8" s="28"/>
      <c r="I8" s="28"/>
      <c r="J8" s="28"/>
      <c r="K8" s="28"/>
      <c r="L8" s="28"/>
      <c r="M8" s="28"/>
      <c r="N8" s="28"/>
    </row>
    <row r="9" spans="1:14" ht="13.5" thickBot="1">
      <c r="A9" s="28"/>
      <c r="B9" s="16"/>
      <c r="C9" s="28"/>
      <c r="D9" s="27"/>
      <c r="E9" s="36"/>
      <c r="F9" s="36"/>
      <c r="G9" s="36"/>
      <c r="H9" s="36"/>
      <c r="I9" s="36"/>
      <c r="J9" s="36"/>
      <c r="K9" s="36"/>
      <c r="L9" s="36"/>
      <c r="M9" s="36"/>
      <c r="N9" s="36"/>
    </row>
    <row r="10" spans="1:17" s="38" customFormat="1" ht="12.75">
      <c r="A10" s="10"/>
      <c r="B10" s="11"/>
      <c r="C10" s="11"/>
      <c r="D10" s="11"/>
      <c r="E10" s="19"/>
      <c r="F10" s="19"/>
      <c r="G10" s="19"/>
      <c r="H10" s="19"/>
      <c r="I10" s="11"/>
      <c r="J10" s="11"/>
      <c r="K10" s="11"/>
      <c r="L10" s="11"/>
      <c r="M10" s="11"/>
      <c r="N10" s="11"/>
      <c r="O10" s="2"/>
      <c r="P10" s="4"/>
      <c r="Q10" s="2"/>
    </row>
    <row r="11" spans="1:17" s="38" customFormat="1" ht="12.75">
      <c r="A11" s="12" t="s">
        <v>19</v>
      </c>
      <c r="B11" s="12" t="s">
        <v>5</v>
      </c>
      <c r="C11" s="12"/>
      <c r="D11" s="12"/>
      <c r="E11" s="12"/>
      <c r="F11" s="12" t="s">
        <v>67</v>
      </c>
      <c r="G11" s="12" t="s">
        <v>68</v>
      </c>
      <c r="H11" s="12" t="s">
        <v>69</v>
      </c>
      <c r="I11" s="12"/>
      <c r="J11" s="12" t="s">
        <v>67</v>
      </c>
      <c r="K11" s="12" t="s">
        <v>69</v>
      </c>
      <c r="L11" s="12"/>
      <c r="M11" s="12"/>
      <c r="N11" s="12"/>
      <c r="O11" s="39"/>
      <c r="P11" s="4"/>
      <c r="Q11" s="39"/>
    </row>
    <row r="12" spans="1:17" s="38" customFormat="1" ht="12.75">
      <c r="A12" s="12" t="s">
        <v>20</v>
      </c>
      <c r="B12" s="12" t="s">
        <v>6</v>
      </c>
      <c r="C12" s="12" t="s">
        <v>1</v>
      </c>
      <c r="D12" s="12" t="s">
        <v>2</v>
      </c>
      <c r="E12" s="12" t="s">
        <v>9</v>
      </c>
      <c r="F12" s="12" t="s">
        <v>9</v>
      </c>
      <c r="G12" s="12" t="s">
        <v>70</v>
      </c>
      <c r="H12" s="12" t="s">
        <v>9</v>
      </c>
      <c r="I12" s="12" t="s">
        <v>10</v>
      </c>
      <c r="J12" s="12" t="s">
        <v>10</v>
      </c>
      <c r="K12" s="12" t="s">
        <v>10</v>
      </c>
      <c r="L12" s="12" t="s">
        <v>7</v>
      </c>
      <c r="M12" s="12" t="s">
        <v>8</v>
      </c>
      <c r="N12" s="12" t="s">
        <v>3</v>
      </c>
      <c r="O12" s="39"/>
      <c r="P12" s="4"/>
      <c r="Q12" s="39"/>
    </row>
    <row r="13" spans="1:16" ht="13.5" thickBot="1">
      <c r="A13" s="22"/>
      <c r="B13" s="22" t="s">
        <v>11</v>
      </c>
      <c r="C13" s="22" t="s">
        <v>12</v>
      </c>
      <c r="D13" s="22" t="s">
        <v>13</v>
      </c>
      <c r="E13" s="22" t="s">
        <v>14</v>
      </c>
      <c r="F13" s="22" t="s">
        <v>15</v>
      </c>
      <c r="G13" s="22" t="s">
        <v>16</v>
      </c>
      <c r="H13" s="22" t="s">
        <v>17</v>
      </c>
      <c r="I13" s="22" t="s">
        <v>18</v>
      </c>
      <c r="J13" s="22" t="s">
        <v>33</v>
      </c>
      <c r="K13" s="22" t="s">
        <v>71</v>
      </c>
      <c r="L13" s="22" t="s">
        <v>72</v>
      </c>
      <c r="M13" s="50" t="s">
        <v>73</v>
      </c>
      <c r="N13" s="50" t="s">
        <v>74</v>
      </c>
      <c r="O13" s="25"/>
      <c r="P13" s="6"/>
    </row>
    <row r="14" spans="1:17" s="28" customFormat="1" ht="12.75">
      <c r="A14" s="43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23"/>
      <c r="O14" s="27"/>
      <c r="P14" s="5"/>
      <c r="Q14" s="27"/>
    </row>
    <row r="15" spans="1:16" ht="12.75">
      <c r="A15" s="37">
        <v>1</v>
      </c>
      <c r="B15" s="6"/>
      <c r="C15" s="3" t="s">
        <v>4</v>
      </c>
      <c r="D15" s="1"/>
      <c r="E15" s="6"/>
      <c r="F15" s="6"/>
      <c r="G15" s="6"/>
      <c r="H15" s="6"/>
      <c r="I15" s="6"/>
      <c r="J15" s="6"/>
      <c r="K15" s="6"/>
      <c r="L15" s="6"/>
      <c r="M15" s="6"/>
      <c r="N15" s="6"/>
      <c r="O15" s="1"/>
      <c r="P15" s="6"/>
    </row>
    <row r="16" spans="1:16" ht="12.75">
      <c r="A16" s="37">
        <v>2</v>
      </c>
      <c r="B16" s="6"/>
      <c r="C16" s="6"/>
      <c r="D16" s="1"/>
      <c r="E16" s="2"/>
      <c r="F16" s="2"/>
      <c r="G16" s="2"/>
      <c r="H16" s="2"/>
      <c r="I16" s="2"/>
      <c r="J16" s="2"/>
      <c r="K16" s="2"/>
      <c r="L16" s="2"/>
      <c r="M16" s="2"/>
      <c r="N16" s="2"/>
      <c r="O16" s="1"/>
      <c r="P16" s="6"/>
    </row>
    <row r="17" spans="1:16" ht="12.75">
      <c r="A17" s="37">
        <v>3</v>
      </c>
      <c r="B17" s="1"/>
      <c r="C17" s="28" t="str">
        <f>+'II-F Alloc_Data'!C17</f>
        <v>Payroll, Excluding Admin. &amp; General Salaries</v>
      </c>
      <c r="D17" s="18" t="s">
        <v>21</v>
      </c>
      <c r="E17" s="49">
        <f>IF(ISERROR(+'II-F Alloc_Data'!E17/'II-F Alloc_Data'!$N17),0,+'II-F Alloc_Data'!E17/'II-F Alloc_Data'!$N17)</f>
        <v>0.22020156432122592</v>
      </c>
      <c r="F17" s="49">
        <f>IF(ISERROR(+'II-F Alloc_Data'!F17/'II-F Alloc_Data'!$N17),0,+'II-F Alloc_Data'!F17/'II-F Alloc_Data'!$N17)</f>
        <v>0</v>
      </c>
      <c r="G17" s="49">
        <f>IF(ISERROR(+'II-F Alloc_Data'!G17/'II-F Alloc_Data'!$N17),0,+'II-F Alloc_Data'!G17/'II-F Alloc_Data'!$N17)</f>
        <v>0</v>
      </c>
      <c r="H17" s="49">
        <f>SUM(E17:G17)</f>
        <v>0.22020156432122592</v>
      </c>
      <c r="I17" s="49">
        <f>IF(ISERROR(+'II-F Alloc_Data'!I17/'II-F Alloc_Data'!$N17),0,+'II-F Alloc_Data'!I17/'II-F Alloc_Data'!$N17)</f>
        <v>0.60749951114828782</v>
      </c>
      <c r="J17" s="49">
        <f>IF(ISERROR(+'II-F Alloc_Data'!J17/'II-F Alloc_Data'!$N17),0,+'II-F Alloc_Data'!J17/'II-F Alloc_Data'!$N17)</f>
        <v>0</v>
      </c>
      <c r="K17" s="49">
        <f>SUM(I17:J17)</f>
        <v>0.60749951114828782</v>
      </c>
      <c r="L17" s="49">
        <f>IF(ISERROR(+'II-F Alloc_Data'!L17/'II-F Alloc_Data'!$N17),0,+'II-F Alloc_Data'!L17/'II-F Alloc_Data'!$N17)</f>
        <v>0.16563361015245035</v>
      </c>
      <c r="M17" s="49">
        <f>1-H17-K17-L17</f>
        <v>0.0066653143780358859</v>
      </c>
      <c r="N17" s="47">
        <f>+H17+K17+L17+M17</f>
        <v>1</v>
      </c>
      <c r="O17" s="1"/>
      <c r="P17" s="62"/>
    </row>
    <row r="18" spans="1:16" ht="12.75">
      <c r="A18" s="37">
        <v>4</v>
      </c>
      <c r="B18" s="1"/>
      <c r="C18" s="28" t="str">
        <f>+'II-F Alloc_Data'!C18</f>
        <v>Total O&amp;M Expense, Excluding Fuel &amp; Purchase Power</v>
      </c>
      <c r="D18" s="27" t="s">
        <v>22</v>
      </c>
      <c r="E18" s="49">
        <f>IF(ISERROR(+'II-F Alloc_Data'!E18/'II-F Alloc_Data'!$N18),0,+'II-F Alloc_Data'!E18/'II-F Alloc_Data'!$N18)</f>
        <v>0.086849571872589099</v>
      </c>
      <c r="F18" s="49">
        <f>IF(ISERROR(+'II-F Alloc_Data'!F18/'II-F Alloc_Data'!$N18),0,+'II-F Alloc_Data'!F18/'II-F Alloc_Data'!$N18)</f>
        <v>0</v>
      </c>
      <c r="G18" s="49">
        <f>IF(ISERROR(+'II-F Alloc_Data'!G18/'II-F Alloc_Data'!$N18),0,+'II-F Alloc_Data'!G18/'II-F Alloc_Data'!$N18)</f>
        <v>0</v>
      </c>
      <c r="H18" s="49">
        <f>SUM(E18:G18)</f>
        <v>0.086849571872589099</v>
      </c>
      <c r="I18" s="49">
        <f>IF(ISERROR(+'II-F Alloc_Data'!I18/'II-F Alloc_Data'!$N18),0,+'II-F Alloc_Data'!I18/'II-F Alloc_Data'!$N18)</f>
        <v>0.8305373352841865</v>
      </c>
      <c r="J18" s="49">
        <f>IF(ISERROR(+'II-F Alloc_Data'!J18/'II-F Alloc_Data'!$N18),0,+'II-F Alloc_Data'!J18/'II-F Alloc_Data'!$N18)</f>
        <v>0</v>
      </c>
      <c r="K18" s="49">
        <f>SUM(I18:J18)</f>
        <v>0.8305373352841865</v>
      </c>
      <c r="L18" s="49">
        <f>IF(ISERROR(+'II-F Alloc_Data'!L18/'II-F Alloc_Data'!$N18),0,+'II-F Alloc_Data'!L18/'II-F Alloc_Data'!$N18)</f>
        <v>0.045617173871994106</v>
      </c>
      <c r="M18" s="49">
        <f>1-H18-K18-L18</f>
        <v>0.036995918971230272</v>
      </c>
      <c r="N18" s="57">
        <f t="shared" si="0" ref="N18:N42">+H18+K18+L18+M18</f>
        <v>1</v>
      </c>
      <c r="O18" s="1"/>
      <c r="P18" s="6"/>
    </row>
    <row r="19" spans="1:14" ht="12.75">
      <c r="A19" s="37">
        <v>5</v>
      </c>
      <c r="B19" s="6"/>
      <c r="C19" s="28" t="str">
        <f>+'II-F Alloc_Data'!C19</f>
        <v>Net Plant in Service (Oncor + NTU)</v>
      </c>
      <c r="D19" s="60" t="s">
        <v>23</v>
      </c>
      <c r="E19" s="49">
        <f>IF(ISERROR(+'II-F Alloc_Data'!E19/'II-F Alloc_Data'!$N19),0,+'II-F Alloc_Data'!E19/'II-F Alloc_Data'!$N19)</f>
        <v>0.43056664049931331</v>
      </c>
      <c r="F19" s="49">
        <f>IF(ISERROR(+'II-F Alloc_Data'!F19/'II-F Alloc_Data'!$N19),0,+'II-F Alloc_Data'!F19/'II-F Alloc_Data'!$N19)</f>
        <v>0.06703726920128962</v>
      </c>
      <c r="G19" s="49">
        <f>IF(ISERROR(+'II-F Alloc_Data'!G19/'II-F Alloc_Data'!$N19),0,+'II-F Alloc_Data'!G19/'II-F Alloc_Data'!$N19)</f>
        <v>0.00054930931361840229</v>
      </c>
      <c r="H19" s="49">
        <f t="shared" si="1" ref="H19:H32">SUM(E19:G19)</f>
        <v>0.49815321901422133</v>
      </c>
      <c r="I19" s="49">
        <f>IF(ISERROR(+'II-F Alloc_Data'!I19/'II-F Alloc_Data'!$N19),0,+'II-F Alloc_Data'!I19/'II-F Alloc_Data'!$N19)</f>
        <v>0.46694284137380265</v>
      </c>
      <c r="J19" s="49">
        <f>IF(ISERROR(+'II-F Alloc_Data'!J19/'II-F Alloc_Data'!$N19),0,+'II-F Alloc_Data'!J19/'II-F Alloc_Data'!$N19)</f>
        <v>0.0054820145832909385</v>
      </c>
      <c r="K19" s="49">
        <f t="shared" si="2" ref="K19:K32">SUM(I19:J19)</f>
        <v>0.4724248559570936</v>
      </c>
      <c r="L19" s="49">
        <f>IF(ISERROR(+'II-F Alloc_Data'!L19/'II-F Alloc_Data'!$N19),0,+'II-F Alloc_Data'!L19/'II-F Alloc_Data'!$N19)</f>
        <v>0.015880143768638402</v>
      </c>
      <c r="M19" s="49">
        <f>IF(ISERROR(+'II-F Alloc_Data'!M19/'II-F Alloc_Data'!$N19),0,+'II-F Alloc_Data'!M19/'II-F Alloc_Data'!$N19)</f>
        <v>0.013541781260046381</v>
      </c>
      <c r="N19" s="57">
        <f>+M19+L19+K19+H19</f>
        <v>0.99999999999999978</v>
      </c>
    </row>
    <row r="20" spans="1:14" ht="12.75">
      <c r="A20" s="37">
        <v>6</v>
      </c>
      <c r="B20" s="9"/>
      <c r="C20" s="28" t="str">
        <f>+'II-F Alloc_Data'!C20</f>
        <v>DIST Maintenance Composite Allocator</v>
      </c>
      <c r="D20" s="44" t="s">
        <v>24</v>
      </c>
      <c r="E20" s="49">
        <f>IF(ISERROR(+'II-F Alloc_Data'!E20/'II-F Alloc_Data'!$N20),0,+'II-F Alloc_Data'!E20/'II-F Alloc_Data'!$N20)</f>
        <v>0.0022906645677092338</v>
      </c>
      <c r="F20" s="49">
        <f>IF(ISERROR(+'II-F Alloc_Data'!F20/'II-F Alloc_Data'!$N20),0,+'II-F Alloc_Data'!F20/'II-F Alloc_Data'!$N20)</f>
        <v>0</v>
      </c>
      <c r="G20" s="49">
        <f>IF(ISERROR(+'II-F Alloc_Data'!G20/'II-F Alloc_Data'!$N20),0,+'II-F Alloc_Data'!G20/'II-F Alloc_Data'!$N20)</f>
        <v>0</v>
      </c>
      <c r="H20" s="49">
        <f t="shared" si="1"/>
        <v>0.0022906645677092338</v>
      </c>
      <c r="I20" s="49">
        <f>IF(ISERROR(+'II-F Alloc_Data'!I20/'II-F Alloc_Data'!$N20),0,+'II-F Alloc_Data'!I20/'II-F Alloc_Data'!$N20)</f>
        <v>0.90362720559787202</v>
      </c>
      <c r="J20" s="49">
        <f>IF(ISERROR(+'II-F Alloc_Data'!J20/'II-F Alloc_Data'!$N20),0,+'II-F Alloc_Data'!J20/'II-F Alloc_Data'!$N20)</f>
        <v>0</v>
      </c>
      <c r="K20" s="49">
        <f t="shared" si="2"/>
        <v>0.90362720559787202</v>
      </c>
      <c r="L20" s="49">
        <f>IF(ISERROR(+'II-F Alloc_Data'!L20/'II-F Alloc_Data'!$N20),0,+'II-F Alloc_Data'!L20/'II-F Alloc_Data'!$N20)</f>
        <v>0.094082129834418812</v>
      </c>
      <c r="M20" s="49">
        <f>IF(ISERROR(+'II-F Alloc_Data'!M20/'II-F Alloc_Data'!$N20),0,+'II-F Alloc_Data'!M20/'II-F Alloc_Data'!$N20)</f>
        <v>0</v>
      </c>
      <c r="N20" s="47">
        <f t="shared" si="0"/>
        <v>1</v>
      </c>
    </row>
    <row r="21" spans="1:14" ht="12.75">
      <c r="A21" s="37">
        <v>7</v>
      </c>
      <c r="B21" s="9"/>
      <c r="C21" s="28" t="str">
        <f>+'II-F Alloc_Data'!C21</f>
        <v>DIST Operations Composite Allocator</v>
      </c>
      <c r="D21" s="44" t="s">
        <v>25</v>
      </c>
      <c r="E21" s="49">
        <f>IF(ISERROR(+'II-F Alloc_Data'!E21/'II-F Alloc_Data'!$N21),0,+'II-F Alloc_Data'!E21/'II-F Alloc_Data'!$N21)</f>
        <v>0.0029466166194434418</v>
      </c>
      <c r="F21" s="49">
        <f>IF(ISERROR(+'II-F Alloc_Data'!F21/'II-F Alloc_Data'!$N21),0,+'II-F Alloc_Data'!F21/'II-F Alloc_Data'!$N21)</f>
        <v>0</v>
      </c>
      <c r="G21" s="49">
        <f>IF(ISERROR(+'II-F Alloc_Data'!G21/'II-F Alloc_Data'!$N21),0,+'II-F Alloc_Data'!G21/'II-F Alloc_Data'!$N21)</f>
        <v>0</v>
      </c>
      <c r="H21" s="49">
        <f t="shared" si="1"/>
        <v>0.0029466166194434418</v>
      </c>
      <c r="I21" s="49">
        <f>IF(ISERROR(+'II-F Alloc_Data'!I21/'II-F Alloc_Data'!$N21),0,+'II-F Alloc_Data'!I21/'II-F Alloc_Data'!$N21)</f>
        <v>0.5755852845695365</v>
      </c>
      <c r="J21" s="49">
        <f>IF(ISERROR(+'II-F Alloc_Data'!J21/'II-F Alloc_Data'!$N21),0,+'II-F Alloc_Data'!J21/'II-F Alloc_Data'!$N21)</f>
        <v>0</v>
      </c>
      <c r="K21" s="49">
        <f t="shared" si="2"/>
        <v>0.5755852845695365</v>
      </c>
      <c r="L21" s="49">
        <f>IF(ISERROR(+'II-F Alloc_Data'!L21/'II-F Alloc_Data'!$N21),0,+'II-F Alloc_Data'!L21/'II-F Alloc_Data'!$N21)</f>
        <v>0.42146809881102015</v>
      </c>
      <c r="M21" s="49">
        <f>IF(ISERROR(+'II-F Alloc_Data'!M21/'II-F Alloc_Data'!$N21),0,+'II-F Alloc_Data'!M21/'II-F Alloc_Data'!$N21)</f>
        <v>0</v>
      </c>
      <c r="N21" s="47">
        <f t="shared" si="0"/>
        <v>1</v>
      </c>
    </row>
    <row r="22" spans="1:14" ht="12.75">
      <c r="A22" s="37">
        <v>8</v>
      </c>
      <c r="B22" s="9"/>
      <c r="C22" s="28" t="str">
        <f>+'II-F Alloc_Data'!C22</f>
        <v>Composite Allocator</v>
      </c>
      <c r="D22" s="44" t="s">
        <v>26</v>
      </c>
      <c r="E22" s="49">
        <f>IF(ISERROR(+'II-F Alloc_Data'!E22/'II-F Alloc_Data'!$N22),0,+'II-F Alloc_Data'!E22/'II-F Alloc_Data'!$N22)</f>
        <v>0</v>
      </c>
      <c r="F22" s="49">
        <f>IF(ISERROR(+'II-F Alloc_Data'!F22/'II-F Alloc_Data'!$N22),0,+'II-F Alloc_Data'!F22/'II-F Alloc_Data'!$N22)</f>
        <v>0</v>
      </c>
      <c r="G22" s="49">
        <f>IF(ISERROR(+'II-F Alloc_Data'!G22/'II-F Alloc_Data'!$N22),0,+'II-F Alloc_Data'!G22/'II-F Alloc_Data'!$N22)</f>
        <v>0</v>
      </c>
      <c r="H22" s="49">
        <f t="shared" si="1"/>
        <v>0</v>
      </c>
      <c r="I22" s="49">
        <f>1-L22-M22</f>
        <v>0.00054687101004990968</v>
      </c>
      <c r="J22" s="49">
        <f>IF(ISERROR(+'II-F Alloc_Data'!J22/'II-F Alloc_Data'!$N22),0,+'II-F Alloc_Data'!J22/'II-F Alloc_Data'!$N22)</f>
        <v>0</v>
      </c>
      <c r="K22" s="49">
        <f t="shared" si="2"/>
        <v>0.00054687101004990968</v>
      </c>
      <c r="L22" s="49">
        <f>IF(ISERROR(+'II-F Alloc_Data'!L22/'II-F Alloc_Data'!$N22),0,+'II-F Alloc_Data'!L22/'II-F Alloc_Data'!$N22)</f>
        <v>0.44426159291508216</v>
      </c>
      <c r="M22" s="49">
        <f>IF(ISERROR(+'II-F Alloc_Data'!M22/'II-F Alloc_Data'!$N22),0,+'II-F Alloc_Data'!M22/'II-F Alloc_Data'!$N22)</f>
        <v>0.55519153607486793</v>
      </c>
      <c r="N22" s="47">
        <f t="shared" si="0"/>
        <v>1</v>
      </c>
    </row>
    <row r="23" spans="1:14" ht="12.75">
      <c r="A23" s="37">
        <v>9</v>
      </c>
      <c r="B23" s="9"/>
      <c r="C23" s="28" t="s">
        <v>32</v>
      </c>
      <c r="D23" s="44" t="s">
        <v>34</v>
      </c>
      <c r="E23" s="49">
        <f>IF(ISERROR(+'II-F Alloc_Data'!E23/'II-F Alloc_Data'!$N23),0,+'II-F Alloc_Data'!E23/'II-F Alloc_Data'!$N23)</f>
        <v>0</v>
      </c>
      <c r="F23" s="49">
        <f>IF(ISERROR(+'II-F Alloc_Data'!F23/'II-F Alloc_Data'!$N23),0,+'II-F Alloc_Data'!F23/'II-F Alloc_Data'!$N23)</f>
        <v>0</v>
      </c>
      <c r="G23" s="49">
        <f>IF(ISERROR(+'II-F Alloc_Data'!G23/'II-F Alloc_Data'!$N23),0,+'II-F Alloc_Data'!G23/'II-F Alloc_Data'!$N23)</f>
        <v>0</v>
      </c>
      <c r="H23" s="49">
        <f t="shared" si="1"/>
        <v>0</v>
      </c>
      <c r="I23" s="49">
        <f>1-L23-M23</f>
        <v>0.0052891356573905313</v>
      </c>
      <c r="J23" s="49">
        <f>IF(ISERROR(+'II-F Alloc_Data'!J23/'II-F Alloc_Data'!$N23),0,+'II-F Alloc_Data'!J23/'II-F Alloc_Data'!$N23)</f>
        <v>0</v>
      </c>
      <c r="K23" s="49">
        <f t="shared" si="2"/>
        <v>0.0052891356573905313</v>
      </c>
      <c r="L23" s="49">
        <f>IF(ISERROR(+'II-F Alloc_Data'!L23/'II-F Alloc_Data'!$N23),0,+'II-F Alloc_Data'!L23/'II-F Alloc_Data'!$N23)</f>
        <v>0.012265591157640077</v>
      </c>
      <c r="M23" s="49">
        <f>IF(ISERROR(+'II-F Alloc_Data'!M23/'II-F Alloc_Data'!$N23),0,+'II-F Alloc_Data'!M23/'II-F Alloc_Data'!$N23)</f>
        <v>0.98244527318496944</v>
      </c>
      <c r="N23" s="47">
        <f t="shared" si="0"/>
        <v>1</v>
      </c>
    </row>
    <row r="24" spans="1:14" ht="12.75">
      <c r="A24" s="37">
        <v>10</v>
      </c>
      <c r="B24" s="9"/>
      <c r="C24" s="28" t="s">
        <v>35</v>
      </c>
      <c r="D24" s="25" t="s">
        <v>56</v>
      </c>
      <c r="E24" s="49">
        <f>IF(ISERROR(+'II-F Alloc_Data'!E24/'II-F Alloc_Data'!$N24),0,+'II-F Alloc_Data'!E24/'II-F Alloc_Data'!$N24)</f>
        <v>0.22539090203100101</v>
      </c>
      <c r="F24" s="49">
        <f>IF(ISERROR(+'II-F Alloc_Data'!F24/'II-F Alloc_Data'!$N24),0,+'II-F Alloc_Data'!F24/'II-F Alloc_Data'!$N24)</f>
        <v>0.029749372078123681</v>
      </c>
      <c r="G24" s="49">
        <f>IF(ISERROR(+'II-F Alloc_Data'!G24/'II-F Alloc_Data'!$N24),0,+'II-F Alloc_Data'!G24/'II-F Alloc_Data'!$N24)</f>
        <v>0.00038553425522777797</v>
      </c>
      <c r="H24" s="49">
        <f t="shared" si="1"/>
        <v>0.25552580836435251</v>
      </c>
      <c r="I24" s="49">
        <f>IF(ISERROR(+'II-F Alloc_Data'!I24/'II-F Alloc_Data'!$N24),0,+'II-F Alloc_Data'!I24/'II-F Alloc_Data'!$N24)</f>
        <v>0.68896045371643622</v>
      </c>
      <c r="J24" s="49">
        <f>IF(ISERROR(+'II-F Alloc_Data'!J24/'II-F Alloc_Data'!$N24),0,+'II-F Alloc_Data'!J24/'II-F Alloc_Data'!$N24)</f>
        <v>0.0022828864954498079</v>
      </c>
      <c r="K24" s="49">
        <f t="shared" si="2"/>
        <v>0.69124334021188605</v>
      </c>
      <c r="L24" s="49">
        <f>IF(ISERROR(+'II-F Alloc_Data'!L24/'II-F Alloc_Data'!$N24),0,+'II-F Alloc_Data'!L24/'II-F Alloc_Data'!$N24)</f>
        <v>0.035273573856150868</v>
      </c>
      <c r="M24" s="49">
        <f>IF(ISERROR(+'II-F Alloc_Data'!M24/'II-F Alloc_Data'!$N24),0,+'II-F Alloc_Data'!M24/'II-F Alloc_Data'!$N24)</f>
        <v>0.017957277567610654</v>
      </c>
      <c r="N24" s="47">
        <f t="shared" si="0"/>
        <v>1</v>
      </c>
    </row>
    <row r="25" spans="1:14" ht="12.75">
      <c r="A25" s="37">
        <v>11</v>
      </c>
      <c r="C25" s="28" t="s">
        <v>38</v>
      </c>
      <c r="D25" s="44" t="s">
        <v>36</v>
      </c>
      <c r="E25" s="49">
        <f>IF(ISERROR(+'II-F Alloc_Data'!E25/'II-F Alloc_Data'!$N25),0,+'II-F Alloc_Data'!E25/'II-F Alloc_Data'!$N25)</f>
        <v>0.032995106413098038</v>
      </c>
      <c r="F25" s="49">
        <f>IF(ISERROR(+'II-F Alloc_Data'!F25/'II-F Alloc_Data'!$N25),0,+'II-F Alloc_Data'!F25/'II-F Alloc_Data'!$N25)</f>
        <v>1.7698617830135097E-05</v>
      </c>
      <c r="G25" s="49">
        <f>IF(ISERROR(+'II-F Alloc_Data'!G25/'II-F Alloc_Data'!$N25),0,+'II-F Alloc_Data'!G25/'II-F Alloc_Data'!$N25)</f>
        <v>0</v>
      </c>
      <c r="H25" s="49">
        <f t="shared" si="1"/>
        <v>0.033012805030928176</v>
      </c>
      <c r="I25" s="49">
        <f>IF(ISERROR(+'II-F Alloc_Data'!I25/'II-F Alloc_Data'!$N25),0,+'II-F Alloc_Data'!I25/'II-F Alloc_Data'!$N25)</f>
        <v>0.96698719496907182</v>
      </c>
      <c r="J25" s="49">
        <f>IF(ISERROR(+'II-F Alloc_Data'!J25/'II-F Alloc_Data'!$N25),0,+'II-F Alloc_Data'!J25/'II-F Alloc_Data'!$N25)</f>
        <v>0</v>
      </c>
      <c r="K25" s="49">
        <f t="shared" si="2"/>
        <v>0.96698719496907182</v>
      </c>
      <c r="L25" s="49">
        <f>IF(ISERROR(+'II-F Alloc_Data'!L25/'II-F Alloc_Data'!$N25),0,+'II-F Alloc_Data'!L25/'II-F Alloc_Data'!$N25)</f>
        <v>0</v>
      </c>
      <c r="M25" s="49">
        <f>IF(ISERROR(+'II-F Alloc_Data'!M25/'II-F Alloc_Data'!$N25),0,+'II-F Alloc_Data'!M25/'II-F Alloc_Data'!$N25)</f>
        <v>0</v>
      </c>
      <c r="N25" s="47">
        <f t="shared" si="0"/>
        <v>1</v>
      </c>
    </row>
    <row r="26" spans="1:14" ht="12.75">
      <c r="A26" s="37">
        <v>12</v>
      </c>
      <c r="C26" s="28" t="s">
        <v>39</v>
      </c>
      <c r="D26" s="1" t="s">
        <v>37</v>
      </c>
      <c r="E26" s="49">
        <f>IF(ISERROR(+'II-F Alloc_Data'!E26/'II-F Alloc_Data'!$N26),0,+'II-F Alloc_Data'!E26/'II-F Alloc_Data'!$N26)</f>
        <v>0.2161630881422639</v>
      </c>
      <c r="F26" s="49">
        <f>IF(ISERROR(+'II-F Alloc_Data'!F26/'II-F Alloc_Data'!$N26),0,+'II-F Alloc_Data'!F26/'II-F Alloc_Data'!$N26)</f>
        <v>0</v>
      </c>
      <c r="G26" s="49">
        <f>IF(ISERROR(+'II-F Alloc_Data'!G26/'II-F Alloc_Data'!$N26),0,+'II-F Alloc_Data'!G26/'II-F Alloc_Data'!$N26)</f>
        <v>0</v>
      </c>
      <c r="H26" s="49">
        <f t="shared" si="1"/>
        <v>0.2161630881422639</v>
      </c>
      <c r="I26" s="49">
        <f>IF(ISERROR(+'II-F Alloc_Data'!I26/'II-F Alloc_Data'!$N26),0,+'II-F Alloc_Data'!I26/'II-F Alloc_Data'!$N26)</f>
        <v>0.78383691185773618</v>
      </c>
      <c r="J26" s="49">
        <f>IF(ISERROR(+'II-F Alloc_Data'!J26/'II-F Alloc_Data'!$N26),0,+'II-F Alloc_Data'!J26/'II-F Alloc_Data'!$N26)</f>
        <v>0</v>
      </c>
      <c r="K26" s="49">
        <f t="shared" si="2"/>
        <v>0.78383691185773618</v>
      </c>
      <c r="L26" s="49">
        <f>IF(ISERROR(+'II-F Alloc_Data'!L26/'II-F Alloc_Data'!$N26),0,+'II-F Alloc_Data'!L26/'II-F Alloc_Data'!$N26)</f>
        <v>0</v>
      </c>
      <c r="M26" s="49">
        <f>IF(ISERROR(+'II-F Alloc_Data'!M26/'II-F Alloc_Data'!$N26),0,+'II-F Alloc_Data'!M26/'II-F Alloc_Data'!$N26)</f>
        <v>0</v>
      </c>
      <c r="N26" s="47">
        <f t="shared" si="0"/>
        <v>1</v>
      </c>
    </row>
    <row r="27" spans="1:14" ht="12.75">
      <c r="A27" s="37">
        <v>13</v>
      </c>
      <c r="C27" s="31" t="s">
        <v>40</v>
      </c>
      <c r="D27" s="25" t="s">
        <v>41</v>
      </c>
      <c r="E27" s="49">
        <f>IF(ISERROR(+'II-F Alloc_Data'!E27/'II-F Alloc_Data'!$N27),0,+'II-F Alloc_Data'!E27/'II-F Alloc_Data'!$N27)</f>
        <v>0.28703722338377574</v>
      </c>
      <c r="F27" s="49">
        <f>IF(ISERROR(+'II-F Alloc_Data'!F27/'II-F Alloc_Data'!$N27),0,+'II-F Alloc_Data'!F27/'II-F Alloc_Data'!$N27)</f>
        <v>0</v>
      </c>
      <c r="G27" s="49">
        <f>IF(ISERROR(+'II-F Alloc_Data'!G27/'II-F Alloc_Data'!$N27),0,+'II-F Alloc_Data'!G27/'II-F Alloc_Data'!$N27)</f>
        <v>0</v>
      </c>
      <c r="H27" s="49">
        <f t="shared" si="1"/>
        <v>0.28703722338377574</v>
      </c>
      <c r="I27" s="49">
        <f>IF(ISERROR(+'II-F Alloc_Data'!I27/'II-F Alloc_Data'!$N27),0,+'II-F Alloc_Data'!I27/'II-F Alloc_Data'!$N27)</f>
        <v>0.49509577234356333</v>
      </c>
      <c r="J27" s="49">
        <f>IF(ISERROR(+'II-F Alloc_Data'!J27/'II-F Alloc_Data'!$N27),0,+'II-F Alloc_Data'!J27/'II-F Alloc_Data'!$N27)</f>
        <v>0</v>
      </c>
      <c r="K27" s="49">
        <f t="shared" si="2"/>
        <v>0.49509577234356333</v>
      </c>
      <c r="L27" s="49">
        <f>IF(ISERROR(+'II-F Alloc_Data'!L27/'II-F Alloc_Data'!$N27),0,+'II-F Alloc_Data'!L27/'II-F Alloc_Data'!$N27)</f>
        <v>0.16399743776695502</v>
      </c>
      <c r="M27" s="49">
        <f>IF(ISERROR(+'II-F Alloc_Data'!M27/'II-F Alloc_Data'!$N27),0,+'II-F Alloc_Data'!M27/'II-F Alloc_Data'!$N27)</f>
        <v>0.053869566505705777</v>
      </c>
      <c r="N27" s="47">
        <f t="shared" si="0"/>
        <v>0.99999999999999989</v>
      </c>
    </row>
    <row r="28" spans="1:14" ht="12.75">
      <c r="A28" s="37">
        <v>14</v>
      </c>
      <c r="C28" s="28" t="s">
        <v>42</v>
      </c>
      <c r="D28" s="25" t="s">
        <v>43</v>
      </c>
      <c r="E28" s="49">
        <f>IF(ISERROR(+'II-F Alloc_Data'!E28/'II-F Alloc_Data'!$N28),0,+'II-F Alloc_Data'!E28/'II-F Alloc_Data'!$N28)</f>
        <v>0</v>
      </c>
      <c r="F28" s="49">
        <f>IF(ISERROR(+'II-F Alloc_Data'!F28/'II-F Alloc_Data'!$N28),0,+'II-F Alloc_Data'!F28/'II-F Alloc_Data'!$N28)</f>
        <v>0</v>
      </c>
      <c r="G28" s="49">
        <f>IF(ISERROR(+'II-F Alloc_Data'!G28/'II-F Alloc_Data'!$N28),0,+'II-F Alloc_Data'!G28/'II-F Alloc_Data'!$N28)</f>
        <v>0</v>
      </c>
      <c r="H28" s="49">
        <f t="shared" si="1"/>
        <v>0</v>
      </c>
      <c r="I28" s="49">
        <f>IF(ISERROR(+'II-F Alloc_Data'!I28/'II-F Alloc_Data'!$N28),0,+'II-F Alloc_Data'!I28/'II-F Alloc_Data'!$N28)</f>
        <v>0.94072519441311964</v>
      </c>
      <c r="J28" s="49">
        <f>IF(ISERROR(+'II-F Alloc_Data'!J28/'II-F Alloc_Data'!$N28),0,+'II-F Alloc_Data'!J28/'II-F Alloc_Data'!$N28)</f>
        <v>0</v>
      </c>
      <c r="K28" s="49">
        <f t="shared" si="2"/>
        <v>0.94072519441311964</v>
      </c>
      <c r="L28" s="49">
        <f>IF(ISERROR(+'II-F Alloc_Data'!L28/'II-F Alloc_Data'!$N28),0,+'II-F Alloc_Data'!L28/'II-F Alloc_Data'!$N28)</f>
        <v>0.031992890800314512</v>
      </c>
      <c r="M28" s="49">
        <f>IF(ISERROR(+'II-F Alloc_Data'!M28/'II-F Alloc_Data'!$N28),0,+'II-F Alloc_Data'!M28/'II-F Alloc_Data'!$N28)</f>
        <v>0.027281914786565963</v>
      </c>
      <c r="N28" s="47">
        <f>+M28+L28+K28+H28</f>
        <v>1</v>
      </c>
    </row>
    <row r="29" spans="1:14" ht="12.75">
      <c r="A29" s="37">
        <v>15</v>
      </c>
      <c r="C29" s="31" t="str">
        <f>+'II-F Alloc_Data'!C29</f>
        <v>Account 930.2</v>
      </c>
      <c r="D29" s="25" t="str">
        <f>+'II-F Alloc_Data'!D29</f>
        <v>A930.2</v>
      </c>
      <c r="E29" s="49">
        <f>IF(ISERROR(+'II-F Alloc_Data'!E29/'II-F Alloc_Data'!$N29),0,+'II-F Alloc_Data'!E29/'II-F Alloc_Data'!$N29)</f>
        <v>0.12083042280894077</v>
      </c>
      <c r="F29" s="49">
        <f>IF(ISERROR(+'II-F Alloc_Data'!F29/'II-F Alloc_Data'!$N29),0,+'II-F Alloc_Data'!F29/'II-F Alloc_Data'!$N29)</f>
        <v>2.1011199764492845E-08</v>
      </c>
      <c r="G29" s="49">
        <f>IF(ISERROR(+'II-F Alloc_Data'!G29/'II-F Alloc_Data'!$N29),0,+'II-F Alloc_Data'!G29/'II-F Alloc_Data'!$N29)</f>
        <v>0</v>
      </c>
      <c r="H29" s="49">
        <f t="shared" si="1"/>
        <v>0.12083044382014054</v>
      </c>
      <c r="I29" s="49">
        <f>IF(ISERROR(+'II-F Alloc_Data'!I29/'II-F Alloc_Data'!$N29),0,+'II-F Alloc_Data'!I29/'II-F Alloc_Data'!$N29)</f>
        <v>0.48376014840948606</v>
      </c>
      <c r="J29" s="49">
        <f>IF(ISERROR(+'II-F Alloc_Data'!J29/'II-F Alloc_Data'!$N29),0,+'II-F Alloc_Data'!J29/'II-F Alloc_Data'!$N29)</f>
        <v>0</v>
      </c>
      <c r="K29" s="49">
        <f t="shared" si="2"/>
        <v>0.48376014840948606</v>
      </c>
      <c r="L29" s="49">
        <f>IF(ISERROR(+'II-F Alloc_Data'!L29/'II-F Alloc_Data'!$N29),0,+'II-F Alloc_Data'!L29/'II-F Alloc_Data'!$N29)</f>
        <v>0.11490756207844155</v>
      </c>
      <c r="M29" s="49">
        <f>IF(ISERROR(+'II-F Alloc_Data'!M29/'II-F Alloc_Data'!$N29),0,+'II-F Alloc_Data'!M29/'II-F Alloc_Data'!$N29)</f>
        <v>0.28050184569193176</v>
      </c>
      <c r="N29" s="47">
        <f t="shared" si="0"/>
        <v>1</v>
      </c>
    </row>
    <row r="30" spans="1:14" ht="12.75">
      <c r="A30" s="37">
        <v>16</v>
      </c>
      <c r="C30" s="5" t="s">
        <v>46</v>
      </c>
      <c r="D30" s="25" t="s">
        <v>47</v>
      </c>
      <c r="E30" s="49">
        <f>IF(ISERROR(+'II-F Alloc_Data'!E30/'II-F Alloc_Data'!$N30),0,+'II-F Alloc_Data'!E30/'II-F Alloc_Data'!$N30)</f>
        <v>0.19724469286186816</v>
      </c>
      <c r="F30" s="49">
        <f>IF(ISERROR(+'II-F Alloc_Data'!F30/'II-F Alloc_Data'!$N30),0,+'II-F Alloc_Data'!F30/'II-F Alloc_Data'!$N30)</f>
        <v>0</v>
      </c>
      <c r="G30" s="49">
        <f>IF(ISERROR(+'II-F Alloc_Data'!G30/'II-F Alloc_Data'!$N30),0,+'II-F Alloc_Data'!G30/'II-F Alloc_Data'!$N30)</f>
        <v>0</v>
      </c>
      <c r="H30" s="49">
        <f t="shared" si="1"/>
        <v>0.19724469286186816</v>
      </c>
      <c r="I30" s="49">
        <f>IF(ISERROR(+'II-F Alloc_Data'!I30/'II-F Alloc_Data'!$N30),0,+'II-F Alloc_Data'!I30/'II-F Alloc_Data'!$N30)</f>
        <v>0.4785446409697317</v>
      </c>
      <c r="J30" s="49">
        <f>IF(ISERROR(+'II-F Alloc_Data'!J30/'II-F Alloc_Data'!$N30),0,+'II-F Alloc_Data'!J30/'II-F Alloc_Data'!$N30)</f>
        <v>0</v>
      </c>
      <c r="K30" s="49">
        <f t="shared" si="2"/>
        <v>0.4785446409697317</v>
      </c>
      <c r="L30" s="49">
        <f>IF(ISERROR(+'II-F Alloc_Data'!L30/'II-F Alloc_Data'!$N30),0,+'II-F Alloc_Data'!L30/'II-F Alloc_Data'!$N30)</f>
        <v>0.12936425061699858</v>
      </c>
      <c r="M30" s="49">
        <f>IF(ISERROR(+'II-F Alloc_Data'!M30/'II-F Alloc_Data'!$N30),0,+'II-F Alloc_Data'!M30/'II-F Alloc_Data'!$N30)</f>
        <v>0.19484641555140161</v>
      </c>
      <c r="N30" s="47">
        <f t="shared" si="0"/>
        <v>1</v>
      </c>
    </row>
    <row r="31" spans="1:14" ht="12.75">
      <c r="A31" s="37">
        <v>17</v>
      </c>
      <c r="C31" s="28" t="s">
        <v>49</v>
      </c>
      <c r="D31" s="25" t="s">
        <v>48</v>
      </c>
      <c r="E31" s="49">
        <f>IF(ISERROR(+'II-F Alloc_Data'!E31/'II-F Alloc_Data'!$N31),0,+'II-F Alloc_Data'!E31/'II-F Alloc_Data'!$N31)</f>
        <v>0.24115517892518304</v>
      </c>
      <c r="F31" s="49">
        <f>IF(ISERROR(+'II-F Alloc_Data'!F31/'II-F Alloc_Data'!$N31),0,+'II-F Alloc_Data'!F31/'II-F Alloc_Data'!$N31)</f>
        <v>0</v>
      </c>
      <c r="G31" s="49">
        <f>IF(ISERROR(+'II-F Alloc_Data'!G31/'II-F Alloc_Data'!$N31),0,+'II-F Alloc_Data'!G31/'II-F Alloc_Data'!$N31)</f>
        <v>0</v>
      </c>
      <c r="H31" s="49">
        <f t="shared" si="1"/>
        <v>0.24115517892518304</v>
      </c>
      <c r="I31" s="49">
        <f>IF(ISERROR(+'II-F Alloc_Data'!I31/'II-F Alloc_Data'!$N31),0,+'II-F Alloc_Data'!I31/'II-F Alloc_Data'!$N31)</f>
        <v>0.34096565230897125</v>
      </c>
      <c r="J31" s="49">
        <f>IF(ISERROR(+'II-F Alloc_Data'!J31/'II-F Alloc_Data'!$N31),0,+'II-F Alloc_Data'!J31/'II-F Alloc_Data'!$N31)</f>
        <v>0</v>
      </c>
      <c r="K31" s="49">
        <f t="shared" si="2"/>
        <v>0.34096565230897125</v>
      </c>
      <c r="L31" s="49">
        <f>IF(ISERROR(+'II-F Alloc_Data'!L31/'II-F Alloc_Data'!$N31),0,+'II-F Alloc_Data'!L31/'II-F Alloc_Data'!$N31)</f>
        <v>0.049121829408653735</v>
      </c>
      <c r="M31" s="49">
        <f>IF(ISERROR(+'II-F Alloc_Data'!M31/'II-F Alloc_Data'!$N31),0,+'II-F Alloc_Data'!M31/'II-F Alloc_Data'!$N31)</f>
        <v>0.36875733935719196</v>
      </c>
      <c r="N31" s="47">
        <f>+M31+L31+K31+H31</f>
        <v>0.99999999999999989</v>
      </c>
    </row>
    <row r="32" spans="1:14" ht="12.75">
      <c r="A32" s="37">
        <v>18</v>
      </c>
      <c r="C32" s="31" t="s">
        <v>51</v>
      </c>
      <c r="D32" s="25" t="s">
        <v>50</v>
      </c>
      <c r="E32" s="49">
        <f>IF(ISERROR(+'II-F Alloc_Data'!E32/'II-F Alloc_Data'!$N32),0,+'II-F Alloc_Data'!E32/'II-F Alloc_Data'!$N32)</f>
        <v>0.091848992537301208</v>
      </c>
      <c r="F32" s="49">
        <f>IF(ISERROR(+'II-F Alloc_Data'!F32/'II-F Alloc_Data'!$N32),0,+'II-F Alloc_Data'!F32/'II-F Alloc_Data'!$N32)</f>
        <v>0</v>
      </c>
      <c r="G32" s="49">
        <f>IF(ISERROR(+'II-F Alloc_Data'!G32/'II-F Alloc_Data'!$N32),0,+'II-F Alloc_Data'!G32/'II-F Alloc_Data'!$N32)</f>
        <v>0</v>
      </c>
      <c r="H32" s="49">
        <f t="shared" si="1"/>
        <v>0.091848992537301208</v>
      </c>
      <c r="I32" s="49">
        <f>IF(ISERROR(+'II-F Alloc_Data'!I32/'II-F Alloc_Data'!$N32),0,+'II-F Alloc_Data'!I32/'II-F Alloc_Data'!$N32)</f>
        <v>0.86946347509891631</v>
      </c>
      <c r="J32" s="49">
        <f>IF(ISERROR(+'II-F Alloc_Data'!J32/'II-F Alloc_Data'!$N32),0,+'II-F Alloc_Data'!J32/'II-F Alloc_Data'!$N32)</f>
        <v>0</v>
      </c>
      <c r="K32" s="49">
        <f t="shared" si="2"/>
        <v>0.86946347509891631</v>
      </c>
      <c r="L32" s="49">
        <f>IF(ISERROR(+'II-F Alloc_Data'!L32/'II-F Alloc_Data'!$N32),0,+'II-F Alloc_Data'!L32/'II-F Alloc_Data'!$N32)</f>
        <v>0.030609684892385927</v>
      </c>
      <c r="M32" s="49">
        <f>IF(ISERROR(+'II-F Alloc_Data'!M32/'II-F Alloc_Data'!$N32),0,+'II-F Alloc_Data'!M32/'II-F Alloc_Data'!$N32)</f>
        <v>0.0080778474713965806</v>
      </c>
      <c r="N32" s="47">
        <f t="shared" si="0"/>
        <v>1</v>
      </c>
    </row>
    <row r="33" spans="1:14" ht="12.75">
      <c r="A33" s="37">
        <v>19</v>
      </c>
      <c r="C33" s="28" t="s">
        <v>53</v>
      </c>
      <c r="D33" s="1" t="s">
        <v>52</v>
      </c>
      <c r="E33" s="49"/>
      <c r="F33" s="49"/>
      <c r="G33" s="49"/>
      <c r="H33" s="49"/>
      <c r="I33" s="49"/>
      <c r="J33" s="49"/>
      <c r="K33" s="49"/>
      <c r="L33" s="49"/>
      <c r="M33" s="49"/>
      <c r="N33" s="47">
        <f t="shared" si="0"/>
        <v>0</v>
      </c>
    </row>
    <row r="34" spans="1:14" ht="12.75">
      <c r="A34" s="37">
        <v>20</v>
      </c>
      <c r="C34" s="28" t="s">
        <v>54</v>
      </c>
      <c r="D34" s="1" t="s">
        <v>55</v>
      </c>
      <c r="E34" s="49">
        <f>IF(ISERROR(+'II-F Alloc_Data'!E34/'II-F Alloc_Data'!$N34),0,+'II-F Alloc_Data'!E34/'II-F Alloc_Data'!$N34)</f>
        <v>0.50804520402550768</v>
      </c>
      <c r="F34" s="49">
        <f>IF(ISERROR(+'II-F Alloc_Data'!F34/'II-F Alloc_Data'!$N34),0,+'II-F Alloc_Data'!F34/'II-F Alloc_Data'!$N34)</f>
        <v>0</v>
      </c>
      <c r="G34" s="49">
        <f>IF(ISERROR(+'II-F Alloc_Data'!G34/'II-F Alloc_Data'!$N34),0,+'II-F Alloc_Data'!G34/'II-F Alloc_Data'!$N34)</f>
        <v>0</v>
      </c>
      <c r="H34" s="49">
        <f t="shared" si="3" ref="H34:H36">SUM(E34:G34)</f>
        <v>0.50804520402550768</v>
      </c>
      <c r="I34" s="49">
        <f>IF(ISERROR(+'II-F Alloc_Data'!I34/'II-F Alloc_Data'!$N34),0,+'II-F Alloc_Data'!I34/'II-F Alloc_Data'!$N34)</f>
        <v>0.49125903034658952</v>
      </c>
      <c r="J34" s="49">
        <f>IF(ISERROR(+'II-F Alloc_Data'!J34/'II-F Alloc_Data'!$N34),0,+'II-F Alloc_Data'!J34/'II-F Alloc_Data'!$N34)</f>
        <v>0</v>
      </c>
      <c r="K34" s="49">
        <f t="shared" si="4" ref="K34:K36">SUM(I34:J34)</f>
        <v>0.49125903034658952</v>
      </c>
      <c r="L34" s="49">
        <f>IF(ISERROR(+'II-F Alloc_Data'!L34/'II-F Alloc_Data'!$N34),0,+'II-F Alloc_Data'!L34/'II-F Alloc_Data'!$N34)</f>
        <v>0.00069576562790274097</v>
      </c>
      <c r="M34" s="49">
        <f>IF(ISERROR(+'II-F Alloc_Data'!M34/'II-F Alloc_Data'!$N34),0,+'II-F Alloc_Data'!M34/'II-F Alloc_Data'!$N34)</f>
        <v>0</v>
      </c>
      <c r="N34" s="47">
        <f t="shared" si="0"/>
        <v>1</v>
      </c>
    </row>
    <row r="35" spans="1:14" ht="12.75">
      <c r="A35" s="37">
        <v>21</v>
      </c>
      <c r="C35" s="28" t="s">
        <v>57</v>
      </c>
      <c r="D35" s="25" t="s">
        <v>58</v>
      </c>
      <c r="E35" s="49">
        <f>IF(ISERROR(+'II-F Alloc_Data'!E35/'II-F Alloc_Data'!$N35),0,+'II-F Alloc_Data'!E35/'II-F Alloc_Data'!$N35)</f>
        <v>0.44741692670766536</v>
      </c>
      <c r="F35" s="49">
        <f>IF(ISERROR(+'II-F Alloc_Data'!F35/'II-F Alloc_Data'!$N35),0,+'II-F Alloc_Data'!F35/'II-F Alloc_Data'!$N35)</f>
        <v>0</v>
      </c>
      <c r="G35" s="49">
        <f>IF(ISERROR(+'II-F Alloc_Data'!G35/'II-F Alloc_Data'!$N35),0,+'II-F Alloc_Data'!G35/'II-F Alloc_Data'!$N35)</f>
        <v>0</v>
      </c>
      <c r="H35" s="49">
        <f t="shared" si="3"/>
        <v>0.44741692670766536</v>
      </c>
      <c r="I35" s="49">
        <f>IF(ISERROR(+'II-F Alloc_Data'!I35/'II-F Alloc_Data'!$N35),0,+'II-F Alloc_Data'!I35/'II-F Alloc_Data'!$N35)</f>
        <v>0.52218925987389553</v>
      </c>
      <c r="J35" s="49">
        <f>IF(ISERROR(+'II-F Alloc_Data'!J35/'II-F Alloc_Data'!$N35),0,+'II-F Alloc_Data'!J35/'II-F Alloc_Data'!$N35)</f>
        <v>0</v>
      </c>
      <c r="K35" s="49">
        <f t="shared" si="4"/>
        <v>0.52218925987389553</v>
      </c>
      <c r="L35" s="49">
        <f>IF(ISERROR(+'II-F Alloc_Data'!L35/'II-F Alloc_Data'!$N35),0,+'II-F Alloc_Data'!L35/'II-F Alloc_Data'!$N35)</f>
        <v>0.024279362712855454</v>
      </c>
      <c r="M35" s="49">
        <f>IF(ISERROR(+'II-F Alloc_Data'!M35/'II-F Alloc_Data'!$N35),0,+'II-F Alloc_Data'!M35/'II-F Alloc_Data'!$N35)</f>
        <v>0.0061144507055835469</v>
      </c>
      <c r="N35" s="47">
        <f t="shared" si="0"/>
        <v>0.99999999999999989</v>
      </c>
    </row>
    <row r="36" spans="1:14" ht="12.75">
      <c r="A36" s="37">
        <v>22</v>
      </c>
      <c r="B36" s="6"/>
      <c r="C36" s="28" t="s">
        <v>59</v>
      </c>
      <c r="D36" s="27" t="s">
        <v>60</v>
      </c>
      <c r="E36" s="49">
        <f>IF(ISERROR(+'II-F Alloc_Data'!E36/'II-F Alloc_Data'!$N36),0,+'II-F Alloc_Data'!E36/'II-F Alloc_Data'!$N36)</f>
        <v>0.037842859016500273</v>
      </c>
      <c r="F36" s="49">
        <f>IF(ISERROR(+'II-F Alloc_Data'!F36/'II-F Alloc_Data'!$N36),0,+'II-F Alloc_Data'!F36/'II-F Alloc_Data'!$N36)</f>
        <v>0</v>
      </c>
      <c r="G36" s="49">
        <f>IF(ISERROR(+'II-F Alloc_Data'!G36/'II-F Alloc_Data'!$N36),0,+'II-F Alloc_Data'!G36/'II-F Alloc_Data'!$N36)</f>
        <v>0</v>
      </c>
      <c r="H36" s="49">
        <f t="shared" si="3"/>
        <v>0.037842859016500273</v>
      </c>
      <c r="I36" s="49">
        <f>IF(ISERROR(+'II-F Alloc_Data'!I36/'II-F Alloc_Data'!$N36),0,+'II-F Alloc_Data'!I36/'II-F Alloc_Data'!$N36)</f>
        <v>0.9621571409834998</v>
      </c>
      <c r="J36" s="49">
        <f>IF(ISERROR(+'II-F Alloc_Data'!J36/'II-F Alloc_Data'!$N36),0,+'II-F Alloc_Data'!J36/'II-F Alloc_Data'!$N36)</f>
        <v>0</v>
      </c>
      <c r="K36" s="49">
        <f t="shared" si="4"/>
        <v>0.9621571409834998</v>
      </c>
      <c r="L36" s="49">
        <f>IF(ISERROR(+'II-F Alloc_Data'!L36/'II-F Alloc_Data'!$N36),0,+'II-F Alloc_Data'!L36/'II-F Alloc_Data'!$N36)</f>
        <v>0</v>
      </c>
      <c r="M36" s="49">
        <f>IF(ISERROR(+'II-F Alloc_Data'!M36/'II-F Alloc_Data'!$N36),0,+'II-F Alloc_Data'!M36/'II-F Alloc_Data'!$N36)</f>
        <v>0</v>
      </c>
      <c r="N36" s="47">
        <f t="shared" si="0"/>
        <v>1</v>
      </c>
    </row>
    <row r="37" spans="1:14" ht="12.75">
      <c r="A37" s="37">
        <v>23</v>
      </c>
      <c r="C37" s="28" t="s">
        <v>27</v>
      </c>
      <c r="D37" s="27" t="s">
        <v>61</v>
      </c>
      <c r="E37" s="49"/>
      <c r="F37" s="49"/>
      <c r="G37" s="49"/>
      <c r="H37" s="49"/>
      <c r="I37" s="49"/>
      <c r="J37" s="49"/>
      <c r="K37" s="49"/>
      <c r="L37" s="49"/>
      <c r="M37" s="49"/>
      <c r="N37" s="47">
        <f>+M37+L37+K37+H37</f>
        <v>0</v>
      </c>
    </row>
    <row r="38" spans="1:14" ht="12.75">
      <c r="A38" s="37">
        <v>24</v>
      </c>
      <c r="B38" s="6"/>
      <c r="C38" s="51" t="s">
        <v>64</v>
      </c>
      <c r="D38" s="1" t="s">
        <v>62</v>
      </c>
      <c r="E38" s="49">
        <f>IF(ISERROR(+'II-F Alloc_Data'!E38/'II-F Alloc_Data'!$N38),0,+'II-F Alloc_Data'!E38/'II-F Alloc_Data'!$N38)</f>
        <v>0.0036398580562728568</v>
      </c>
      <c r="F38" s="49">
        <f>IF(ISERROR(+'II-F Alloc_Data'!F38/'II-F Alloc_Data'!$N38),0,+'II-F Alloc_Data'!F38/'II-F Alloc_Data'!$N38)</f>
        <v>0</v>
      </c>
      <c r="G38" s="49">
        <f>IF(ISERROR(+'II-F Alloc_Data'!G38/'II-F Alloc_Data'!$N38),0,+'II-F Alloc_Data'!G38/'II-F Alloc_Data'!$N38)</f>
        <v>0</v>
      </c>
      <c r="H38" s="49">
        <f t="shared" si="5" ref="H38:H42">SUM(E38:G38)</f>
        <v>0.0036398580562728568</v>
      </c>
      <c r="I38" s="49">
        <f>IF(ISERROR(+'II-F Alloc_Data'!I38/'II-F Alloc_Data'!$N38),0,+'II-F Alloc_Data'!I38/'II-F Alloc_Data'!$N38)</f>
        <v>0.7604901547037124</v>
      </c>
      <c r="J38" s="49">
        <f>IF(ISERROR(+'II-F Alloc_Data'!J38/'II-F Alloc_Data'!$N38),0,+'II-F Alloc_Data'!J38/'II-F Alloc_Data'!$N38)</f>
        <v>0</v>
      </c>
      <c r="K38" s="49">
        <f t="shared" si="6" ref="K38:K42">SUM(I38:J38)</f>
        <v>0.7604901547037124</v>
      </c>
      <c r="L38" s="49">
        <f>IF(ISERROR(+'II-F Alloc_Data'!L38/'II-F Alloc_Data'!$N38),0,+'II-F Alloc_Data'!L38/'II-F Alloc_Data'!$N38)</f>
        <v>0.2267454519500694</v>
      </c>
      <c r="M38" s="49">
        <f>IF(ISERROR(+'II-F Alloc_Data'!M38/'II-F Alloc_Data'!$N38),0,+'II-F Alloc_Data'!M38/'II-F Alloc_Data'!$N38)</f>
        <v>0.0091245352899452202</v>
      </c>
      <c r="N38" s="47">
        <f t="shared" si="0"/>
        <v>0.99999999999999978</v>
      </c>
    </row>
    <row r="39" spans="1:14" ht="12.75">
      <c r="A39" s="37">
        <v>25</v>
      </c>
      <c r="B39" s="6"/>
      <c r="C39" s="51" t="s">
        <v>65</v>
      </c>
      <c r="D39" s="1" t="s">
        <v>63</v>
      </c>
      <c r="E39" s="49">
        <f>IF(ISERROR(+'II-F Alloc_Data'!E39/'II-F Alloc_Data'!$N39),0,+'II-F Alloc_Data'!E39/'II-F Alloc_Data'!$N39)</f>
        <v>0.80715650094753788</v>
      </c>
      <c r="F39" s="49">
        <f>IF(ISERROR(+'II-F Alloc_Data'!F39/'II-F Alloc_Data'!$N39),0,+'II-F Alloc_Data'!F39/'II-F Alloc_Data'!$N39)</f>
        <v>0</v>
      </c>
      <c r="G39" s="49">
        <f>IF(ISERROR(+'II-F Alloc_Data'!G39/'II-F Alloc_Data'!$N39),0,+'II-F Alloc_Data'!G39/'II-F Alloc_Data'!$N39)</f>
        <v>0</v>
      </c>
      <c r="H39" s="49">
        <f t="shared" si="5"/>
        <v>0.80715650094753788</v>
      </c>
      <c r="I39" s="49">
        <f>IF(ISERROR(+'II-F Alloc_Data'!I39/'II-F Alloc_Data'!$N39),0,+'II-F Alloc_Data'!I39/'II-F Alloc_Data'!$N39)</f>
        <v>0.1928434990524622</v>
      </c>
      <c r="J39" s="49">
        <f>IF(ISERROR(+'II-F Alloc_Data'!J39/'II-F Alloc_Data'!$N39),0,+'II-F Alloc_Data'!J39/'II-F Alloc_Data'!$N39)</f>
        <v>0</v>
      </c>
      <c r="K39" s="49">
        <f t="shared" si="6"/>
        <v>0.1928434990524622</v>
      </c>
      <c r="L39" s="49">
        <f>IF(ISERROR(+'II-F Alloc_Data'!L39/'II-F Alloc_Data'!$N39),0,+'II-F Alloc_Data'!L39/'II-F Alloc_Data'!$N39)</f>
        <v>0</v>
      </c>
      <c r="M39" s="49">
        <f>IF(ISERROR(+'II-F Alloc_Data'!M39/'II-F Alloc_Data'!$N39),0,+'II-F Alloc_Data'!M39/'II-F Alloc_Data'!$N39)</f>
        <v>0</v>
      </c>
      <c r="N39" s="47">
        <f t="shared" si="0"/>
        <v>1</v>
      </c>
    </row>
    <row r="40" spans="1:14" ht="12.75">
      <c r="A40" s="37">
        <v>26</v>
      </c>
      <c r="C40" s="51" t="s">
        <v>75</v>
      </c>
      <c r="D40" s="56" t="s">
        <v>77</v>
      </c>
      <c r="E40" s="49">
        <f>IF(ISERROR(+'II-F Alloc_Data'!E40/'II-F Alloc_Data'!$N40),0,+'II-F Alloc_Data'!E40/'II-F Alloc_Data'!$N40)</f>
        <v>0.46423244491404464</v>
      </c>
      <c r="F40" s="49">
        <f>IF(ISERROR(+'II-F Alloc_Data'!F40/'II-F Alloc_Data'!$N40),0,+'II-F Alloc_Data'!F40/'II-F Alloc_Data'!$N40)</f>
        <v>0</v>
      </c>
      <c r="G40" s="49">
        <f>IF(ISERROR(+'II-F Alloc_Data'!G40/'II-F Alloc_Data'!$N40),0,+'II-F Alloc_Data'!G40/'II-F Alloc_Data'!$N40)</f>
        <v>0.00059225955215527976</v>
      </c>
      <c r="H40" s="49">
        <f t="shared" si="5"/>
        <v>0.46482470446619994</v>
      </c>
      <c r="I40" s="49">
        <f>IF(ISERROR(+'II-F Alloc_Data'!I40/'II-F Alloc_Data'!$N40),0,+'II-F Alloc_Data'!I40/'II-F Alloc_Data'!$N40)</f>
        <v>0.50345288393613263</v>
      </c>
      <c r="J40" s="49">
        <f>IF(ISERROR(+'II-F Alloc_Data'!J40/'II-F Alloc_Data'!$N40),0,+'II-F Alloc_Data'!J40/'II-F Alloc_Data'!$N40)</f>
        <v>0</v>
      </c>
      <c r="K40" s="49">
        <f t="shared" si="6"/>
        <v>0.50345288393613263</v>
      </c>
      <c r="L40" s="49">
        <f>IF(ISERROR(+'II-F Alloc_Data'!L40/'II-F Alloc_Data'!$N40),0,+'II-F Alloc_Data'!L40/'II-F Alloc_Data'!$N40)</f>
        <v>0.017121804789038905</v>
      </c>
      <c r="M40" s="49">
        <f>IF(ISERROR(+'II-F Alloc_Data'!M40/'II-F Alloc_Data'!$N40),0,+'II-F Alloc_Data'!M40/'II-F Alloc_Data'!$N40)</f>
        <v>0.014600606808628383</v>
      </c>
      <c r="N40" s="57">
        <f t="shared" si="0"/>
        <v>0.99999999999999989</v>
      </c>
    </row>
    <row r="41" spans="1:14" ht="12.75">
      <c r="A41" s="37">
        <v>27</v>
      </c>
      <c r="C41" s="54" t="s">
        <v>76</v>
      </c>
      <c r="D41" s="59" t="s">
        <v>78</v>
      </c>
      <c r="E41" s="49">
        <f>IF(ISERROR(+'II-F Alloc_Data'!E41/'II-F Alloc_Data'!$N41),0,+'II-F Alloc_Data'!E41/'II-F Alloc_Data'!$N41)</f>
        <v>0</v>
      </c>
      <c r="F41" s="49">
        <f>IF(ISERROR(+'II-F Alloc_Data'!F41/'II-F Alloc_Data'!$N41),0,+'II-F Alloc_Data'!F41/'II-F Alloc_Data'!$N41)</f>
        <v>0.92440611245451165</v>
      </c>
      <c r="G41" s="49">
        <f>IF(ISERROR(+'II-F Alloc_Data'!G41/'II-F Alloc_Data'!$N41),0,+'II-F Alloc_Data'!G41/'II-F Alloc_Data'!$N41)</f>
        <v>0</v>
      </c>
      <c r="H41" s="49">
        <f t="shared" si="5"/>
        <v>0.92440611245451165</v>
      </c>
      <c r="I41" s="49">
        <f>IF(ISERROR(+'II-F Alloc_Data'!I41/'II-F Alloc_Data'!$N41),0,+'II-F Alloc_Data'!I41/'II-F Alloc_Data'!$N41)</f>
        <v>0</v>
      </c>
      <c r="J41" s="49">
        <f>IF(ISERROR(+'II-F Alloc_Data'!J41/'II-F Alloc_Data'!$N41),0,+'II-F Alloc_Data'!J41/'II-F Alloc_Data'!$N41)</f>
        <v>0.075593887545488334</v>
      </c>
      <c r="K41" s="49">
        <f t="shared" si="6"/>
        <v>0.075593887545488334</v>
      </c>
      <c r="L41" s="49">
        <f>IF(ISERROR(+'II-F Alloc_Data'!L41/'II-F Alloc_Data'!$N41),0,+'II-F Alloc_Data'!L41/'II-F Alloc_Data'!$N41)</f>
        <v>0</v>
      </c>
      <c r="M41" s="49">
        <f>IF(ISERROR(+'II-F Alloc_Data'!M41/'II-F Alloc_Data'!$N41),0,+'II-F Alloc_Data'!M41/'II-F Alloc_Data'!$N41)</f>
        <v>0</v>
      </c>
      <c r="N41" s="57">
        <f t="shared" si="0"/>
        <v>1</v>
      </c>
    </row>
    <row r="42" spans="1:14" ht="12.75">
      <c r="A42" s="37">
        <v>28</v>
      </c>
      <c r="C42" s="51" t="s">
        <v>81</v>
      </c>
      <c r="D42" s="61" t="s">
        <v>82</v>
      </c>
      <c r="E42" s="49">
        <f>IF(ISERROR(+'II-F Alloc_Data'!E42/'II-F Alloc_Data'!$N42),0,+'II-F Alloc_Data'!E42/'II-F Alloc_Data'!$N42)</f>
        <v>0.23294237984175911</v>
      </c>
      <c r="F42" s="49">
        <f>IF(ISERROR(+'II-F Alloc_Data'!F42/'II-F Alloc_Data'!$N42),0,+'II-F Alloc_Data'!F42/'II-F Alloc_Data'!$N42)</f>
        <v>0</v>
      </c>
      <c r="G42" s="49">
        <f>IF(ISERROR(+'II-F Alloc_Data'!G42/'II-F Alloc_Data'!$N42),0,+'II-F Alloc_Data'!G42/'II-F Alloc_Data'!$N42)</f>
        <v>0</v>
      </c>
      <c r="H42" s="49">
        <f t="shared" si="5"/>
        <v>0.23294237984175911</v>
      </c>
      <c r="I42" s="49">
        <f>IF(ISERROR(+'II-F Alloc_Data'!I42/'II-F Alloc_Data'!$N42),0,+'II-F Alloc_Data'!I42/'II-F Alloc_Data'!$N42)</f>
        <v>0.71204332676875626</v>
      </c>
      <c r="J42" s="49">
        <f>IF(ISERROR(+'II-F Alloc_Data'!J42/'II-F Alloc_Data'!$N42),0,+'II-F Alloc_Data'!J42/'II-F Alloc_Data'!$N42)</f>
        <v>0</v>
      </c>
      <c r="K42" s="49">
        <f t="shared" si="6"/>
        <v>0.71204332676875626</v>
      </c>
      <c r="L42" s="49">
        <f>IF(ISERROR(+'II-F Alloc_Data'!L42/'II-F Alloc_Data'!$N42),0,+'II-F Alloc_Data'!L42/'II-F Alloc_Data'!$N42)</f>
        <v>0.036455376705691898</v>
      </c>
      <c r="M42" s="49">
        <f>IF(ISERROR(+'II-F Alloc_Data'!M42/'II-F Alloc_Data'!$N42),0,+'II-F Alloc_Data'!M42/'II-F Alloc_Data'!$N42)</f>
        <v>0.018558916683792833</v>
      </c>
      <c r="N42" s="57">
        <f t="shared" si="0"/>
        <v>1</v>
      </c>
    </row>
  </sheetData>
  <mergeCells count="1">
    <mergeCell ref="C7:L7"/>
  </mergeCells>
  <printOptions horizontalCentered="1"/>
  <pageMargins left="0.5" right="0.5" top="2.5" bottom="0.5" header="1.25" footer="0"/>
  <pageSetup orientation="landscape" pageOrder="overThenDown" scale="64" r:id="rId1"/>
  <headerFooter alignWithMargins="0">
    <oddHeader>&amp;C&amp;B
2022 RATE CASE
ONCOR ELECTRIC DELIVERY COMPANY LLC
II-F  FUNCTIONALIZATION FACTORS
TEST YEAR ENDING DECEMBER 31, 2021
SPONSOR: W. ALAN LEDBETTER&amp;R&amp;"Arial,Bold"Schedule II-F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Link Sheet</vt:lpstr>
      <vt:lpstr>II-F Alloc_Data</vt:lpstr>
      <vt:lpstr>II-F Alloc_Factor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-932767527</vt:i4>
  </property>
  <property fmtid="{D5CDD505-2E9C-101B-9397-08002B2CF9AE}" pid="3" name="_EmailSubject">
    <vt:lpwstr>IOU RFP</vt:lpwstr>
  </property>
  <property fmtid="{D5CDD505-2E9C-101B-9397-08002B2CF9AE}" pid="4" name="_AuthorEmail">
    <vt:lpwstr>Ruth.Stark@puc.state.tx.us</vt:lpwstr>
  </property>
  <property fmtid="{D5CDD505-2E9C-101B-9397-08002B2CF9AE}" pid="5" name="_AuthorEmailDisplayName">
    <vt:lpwstr>Stark, Ruth</vt:lpwstr>
  </property>
  <property fmtid="{D5CDD505-2E9C-101B-9397-08002B2CF9AE}" pid="6" name="_PreviousAdHocReviewCycleID">
    <vt:i4>-513871875</vt:i4>
  </property>
  <property fmtid="{D5CDD505-2E9C-101B-9397-08002B2CF9AE}" pid="7" name="_ReviewingToolsShownOnce">
    <vt:lpwstr/>
  </property>
</Properties>
</file>