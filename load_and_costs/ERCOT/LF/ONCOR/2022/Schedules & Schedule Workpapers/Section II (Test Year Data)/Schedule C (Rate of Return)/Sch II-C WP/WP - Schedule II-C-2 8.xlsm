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C (Rate of Return)\Sch II-C WP\"/>
    </mc:Choice>
  </mc:AlternateContent>
  <bookViews>
    <workbookView xWindow="0" yWindow="15" windowWidth="15195" windowHeight="8445" activeTab="0"/>
  </bookViews>
  <sheets>
    <sheet name="Sched II-C-2.8 WP" sheetId="1" r:id="rId2"/>
  </sheets>
  <definedNames>
    <definedName name="_xlnm.Print_Area" localSheetId="0">'Sched II-C-2.8 WP'!$A$8:$M$144</definedName>
    <definedName name="_xlnm.Print_Titles" localSheetId="0">'Sched II-C-2.8 WP'!$1:$7</definedName>
  </definedNames>
  <calcPr fullCalcOnLoad="1"/>
</workbook>
</file>

<file path=xl/calcChain.xml><?xml version="1.0" encoding="utf-8"?>
<calcChain xmlns="http://schemas.openxmlformats.org/spreadsheetml/2006/main">
  <c r="L141" i="1" l="1"/>
</calcChain>
</file>

<file path=xl/sharedStrings.xml><?xml version="1.0" encoding="utf-8"?>
<sst xmlns="http://schemas.openxmlformats.org/spreadsheetml/2006/main" count="114" uniqueCount="69">
  <si>
    <t>1) Total Debt as a Percent of Total Capital</t>
  </si>
  <si>
    <t>Long-Term Debt Due Currently</t>
  </si>
  <si>
    <t>+ Long-Term Debt Less Due Currently</t>
  </si>
  <si>
    <t>- Transition Bonds Outstanding</t>
  </si>
  <si>
    <t>TOTAL DEBT</t>
  </si>
  <si>
    <t>Denominator:</t>
  </si>
  <si>
    <t>Total Debt</t>
  </si>
  <si>
    <t>+ Preferred Stock</t>
  </si>
  <si>
    <t>+ Preferred Trust Securities</t>
  </si>
  <si>
    <t>+ Common Equity</t>
  </si>
  <si>
    <t>TOTAL CAPITAL</t>
  </si>
  <si>
    <t>Numerator:</t>
  </si>
  <si>
    <t>2) Total CWIP as a Percent of Net Plant</t>
  </si>
  <si>
    <t>Total Construction Work in Progress</t>
  </si>
  <si>
    <t>Total Utility Plant</t>
  </si>
  <si>
    <t>- Accumulated Depreciation and Amortization</t>
  </si>
  <si>
    <t>+ CWIP</t>
  </si>
  <si>
    <t>+ Property Held for Future Use</t>
  </si>
  <si>
    <t>NET PLANT</t>
  </si>
  <si>
    <t>3) Construction Expenditures as a Percent of Average Total Capital</t>
  </si>
  <si>
    <t>- AFUDC Equity</t>
  </si>
  <si>
    <t>- AFUDC Debt</t>
  </si>
  <si>
    <t>CASH CONSTRUCTION EXPENDITURES</t>
  </si>
  <si>
    <t>Beginning Total Capital</t>
  </si>
  <si>
    <t>Ending Total Capital</t>
  </si>
  <si>
    <t>AVERAGE TOTAL CAPITAL</t>
  </si>
  <si>
    <t>4) Pre-Tax Interest Coverage</t>
  </si>
  <si>
    <t>Income From Continuing Operations</t>
  </si>
  <si>
    <t>+/- Nonrecurring Items (Before Tax)</t>
  </si>
  <si>
    <t>+ Income Taxes</t>
  </si>
  <si>
    <t>- Interest Incurred on Transition Bonds</t>
  </si>
  <si>
    <t>INTEREST INCURRED</t>
  </si>
  <si>
    <t>PRE-TAX INCOME</t>
  </si>
  <si>
    <t>5) Funds From Operations / Total Debt</t>
  </si>
  <si>
    <t>TOTAL FUNDS FROM OPERATIONS</t>
  </si>
  <si>
    <t>6) Fixed Charge Coverage Ratio</t>
  </si>
  <si>
    <t>+ 1/3 of Rental Expenses</t>
  </si>
  <si>
    <t>7) Fixed Charge Coverage Ratio (incl. Dist on Pref Trust Securities)</t>
  </si>
  <si>
    <t>+ Distributions related to Pref Trust Securities</t>
  </si>
  <si>
    <t>8) Funds From Operations Interest Coverage</t>
  </si>
  <si>
    <t>+ Cash Interest Paid</t>
  </si>
  <si>
    <t>TOTAL FUNDS FROM OPS</t>
  </si>
  <si>
    <t>9) Net Cash Flow / Capital Outlays</t>
  </si>
  <si>
    <t>- Preferred Dividends</t>
  </si>
  <si>
    <t>- Common Dividends</t>
  </si>
  <si>
    <t>NET CASH FLOW</t>
  </si>
  <si>
    <t>Cash Construction Expenditures/Capex</t>
  </si>
  <si>
    <t>10) Cash Coverage of Common Dividends</t>
  </si>
  <si>
    <t>Common Dividends</t>
  </si>
  <si>
    <t>Net Income after Preferred Dividends</t>
  </si>
  <si>
    <t>Beginning Common Equity</t>
  </si>
  <si>
    <t>Ending Common Equity</t>
  </si>
  <si>
    <t>AVERAGE COMMON EQUITY</t>
  </si>
  <si>
    <t>Interest Incurred (less Transition bond interest)</t>
  </si>
  <si>
    <t>Interest Incurred (Less Transition Bond Interest)</t>
  </si>
  <si>
    <t>11) Return on Average Common Equity</t>
  </si>
  <si>
    <t>+ Interest Incurred (excl. AFUDC debt))</t>
  </si>
  <si>
    <t>+ Notes Payable</t>
  </si>
  <si>
    <t>- Adjustment to Common Equity For Docket No.</t>
  </si>
  <si>
    <t>- Notes Payable</t>
  </si>
  <si>
    <t>ONCOR ELECTRIC DELIVERY COMPANY LLC</t>
  </si>
  <si>
    <t>Capital Expenditures (See Note 1)</t>
  </si>
  <si>
    <t>Interest Incurred (See Note 2)</t>
  </si>
  <si>
    <t>CF from Ops (Before Working Cap Changes - See Note 3)</t>
  </si>
  <si>
    <t>+ Interest Incurred (See Note 2)</t>
  </si>
  <si>
    <t>CF from Ops (Before Working Cap Charges - See Note 3)</t>
  </si>
  <si>
    <t>2022 RATE CASE</t>
  </si>
  <si>
    <t>FOR THE TEST YEAR ENDING DECEMBER 31, 2021</t>
  </si>
  <si>
    <t>SPONSOR: K. FEASE AND W. ALAN LEDBETTER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</si>
</sst>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0.00_);[Red]\(0.00\)"/>
  </numFmts>
  <fonts count="10">
    <font>
      <sz val="10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12"/>
      <name val="Arial"/>
      <family val="2"/>
    </font>
    <font>
      <b/>
      <sz val="8"/>
      <color indexed="8"/>
      <name val="Tahoma"/>
      <family val="2"/>
    </font>
    <font>
      <sz val="8"/>
      <color indexed="8"/>
      <name val="Tahoma"/>
      <family val="2"/>
    </font>
    <font>
      <sz val="12"/>
      <color rgb="FF0000FF"/>
      <name val="Arial"/>
      <family val="2"/>
    </font>
    <font>
      <sz val="12"/>
      <color rgb="FF0070C0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auto="1"/>
      </bottom>
    </border>
    <border>
      <left/>
      <right/>
      <top style="thin">
        <color auto="1"/>
      </top>
      <bottom style="thin">
        <color auto="1"/>
      </bottom>
    </border>
  </borders>
  <cellStyleXfs count="22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0" fillId="0" borderId="0" applyFont="0" applyFill="0" applyBorder="0" applyAlignment="0" applyProtection="0"/>
    <xf numFmtId="0" fontId="0" fillId="0" borderId="0">
      <alignment/>
      <protection/>
    </xf>
  </cellStyleXfs>
  <cellXfs count="38">
    <xf numFmtId="0" fontId="0" fillId="0" borderId="0" xfId="0"/>
    <xf numFmtId="0" fontId="3" fillId="0" borderId="0" xfId="0" applyFont="1"/>
    <xf numFmtId="0" fontId="3" fillId="0" borderId="0" xfId="21" applyFont="1" applyFill="1" applyAlignment="1" applyProtection="1">
      <alignment horizontal="centerContinuous"/>
      <protection/>
    </xf>
    <xf numFmtId="0" fontId="3" fillId="0" borderId="0" xfId="0" applyFont="1" applyFill="1"/>
    <xf numFmtId="38" fontId="3" fillId="0" borderId="0" xfId="0" applyNumberFormat="1" applyFont="1"/>
    <xf numFmtId="0" fontId="4" fillId="0" borderId="0" xfId="0" applyFont="1" applyFill="1" applyAlignment="1">
      <alignment horizontal="center"/>
    </xf>
    <xf numFmtId="0" fontId="4" fillId="0" borderId="0" xfId="0" applyNumberFormat="1" applyFont="1" applyAlignment="1">
      <alignment horizontal="center"/>
    </xf>
    <xf numFmtId="10" fontId="4" fillId="0" borderId="0" xfId="0" applyNumberFormat="1" applyFont="1"/>
    <xf numFmtId="0" fontId="5" fillId="0" borderId="0" xfId="0" applyFont="1"/>
    <xf numFmtId="38" fontId="3" fillId="0" borderId="0" xfId="0" applyNumberFormat="1" applyFont="1" applyFill="1" applyBorder="1"/>
    <xf numFmtId="164" fontId="4" fillId="0" borderId="0" xfId="0" applyNumberFormat="1" applyFont="1"/>
    <xf numFmtId="0" fontId="4" fillId="0" borderId="0" xfId="0" applyFont="1"/>
    <xf numFmtId="0" fontId="3" fillId="0" borderId="0" xfId="0" applyFont="1" applyFill="1" applyBorder="1"/>
    <xf numFmtId="10" fontId="4" fillId="0" borderId="0" xfId="0" applyNumberFormat="1" applyFont="1" applyFill="1" applyBorder="1"/>
    <xf numFmtId="0" fontId="8" fillId="0" borderId="0" xfId="0" applyFont="1" applyFill="1" applyBorder="1"/>
    <xf numFmtId="38" fontId="8" fillId="0" borderId="0" xfId="0" applyNumberFormat="1" applyFont="1" applyFill="1" applyBorder="1"/>
    <xf numFmtId="0" fontId="8" fillId="0" borderId="0" xfId="0" applyFont="1" applyFill="1" applyBorder="1" quotePrefix="1"/>
    <xf numFmtId="0" fontId="3" fillId="0" borderId="0" xfId="0" applyFont="1" applyFill="1" applyBorder="1" quotePrefix="1"/>
    <xf numFmtId="164" fontId="4" fillId="0" borderId="0" xfId="0" applyNumberFormat="1" applyFont="1" applyFill="1" applyBorder="1"/>
    <xf numFmtId="0" fontId="4" fillId="0" borderId="0" xfId="0" applyFont="1" applyFill="1" applyBorder="1"/>
    <xf numFmtId="0" fontId="0" fillId="0" borderId="0" xfId="0" applyFont="1" applyFill="1" applyBorder="1"/>
    <xf numFmtId="0" fontId="4" fillId="0" borderId="0" xfId="0" applyFont="1" applyFill="1" applyBorder="1" applyAlignment="1">
      <alignment horizontal="center"/>
    </xf>
    <xf numFmtId="0" fontId="4" fillId="0" borderId="1" xfId="21" applyFont="1" applyBorder="1" applyAlignment="1">
      <alignment horizontal="center"/>
      <protection/>
    </xf>
    <xf numFmtId="0" fontId="3" fillId="0" borderId="0" xfId="21" applyFont="1">
      <alignment/>
      <protection/>
    </xf>
    <xf numFmtId="10" fontId="4" fillId="0" borderId="0" xfId="21" applyNumberFormat="1" applyFont="1" applyFill="1">
      <alignment/>
      <protection/>
    </xf>
    <xf numFmtId="38" fontId="3" fillId="0" borderId="0" xfId="21" applyNumberFormat="1" applyFont="1" applyFill="1">
      <alignment/>
      <protection/>
    </xf>
    <xf numFmtId="38" fontId="5" fillId="0" borderId="0" xfId="21" applyNumberFormat="1" applyFont="1" applyFill="1">
      <alignment/>
      <protection/>
    </xf>
    <xf numFmtId="38" fontId="5" fillId="0" borderId="1" xfId="21" applyNumberFormat="1" applyFont="1" applyFill="1" applyBorder="1">
      <alignment/>
      <protection/>
    </xf>
    <xf numFmtId="38" fontId="3" fillId="0" borderId="2" xfId="21" applyNumberFormat="1" applyFont="1" applyFill="1" applyBorder="1">
      <alignment/>
      <protection/>
    </xf>
    <xf numFmtId="38" fontId="5" fillId="0" borderId="0" xfId="21" applyNumberFormat="1" applyFont="1" applyFill="1" applyBorder="1">
      <alignment/>
      <protection/>
    </xf>
    <xf numFmtId="38" fontId="3" fillId="0" borderId="1" xfId="21" applyNumberFormat="1" applyFont="1" applyFill="1" applyBorder="1">
      <alignment/>
      <protection/>
    </xf>
    <xf numFmtId="164" fontId="4" fillId="0" borderId="0" xfId="21" applyNumberFormat="1" applyFont="1" applyFill="1">
      <alignment/>
      <protection/>
    </xf>
    <xf numFmtId="38" fontId="3" fillId="0" borderId="0" xfId="21" applyNumberFormat="1" applyFont="1" applyFill="1" applyBorder="1">
      <alignment/>
      <protection/>
    </xf>
    <xf numFmtId="38" fontId="9" fillId="0" borderId="1" xfId="21" applyNumberFormat="1" applyFont="1" applyFill="1" applyBorder="1">
      <alignment/>
      <protection/>
    </xf>
    <xf numFmtId="43" fontId="4" fillId="0" borderId="0" xfId="20" applyFont="1" applyFill="1"/>
    <xf numFmtId="0" fontId="3" fillId="0" borderId="0" xfId="21" applyFont="1" applyFill="1">
      <alignment/>
      <protection/>
    </xf>
    <xf numFmtId="0" fontId="0" fillId="0" borderId="0" xfId="21" applyFill="1" applyAlignment="1">
      <alignment horizontal="center"/>
      <protection/>
    </xf>
    <xf numFmtId="0" fontId="4" fillId="0" borderId="0" xfId="21" applyFont="1" applyFill="1" applyAlignment="1" applyProtection="1">
      <alignment horizontal="center"/>
      <protection/>
    </xf>
  </cellXfs>
  <cellStyles count="8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Comma 10" xfId="20"/>
    <cellStyle name="Normal - Style2" xfId="21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4" Type="http://schemas.openxmlformats.org/officeDocument/2006/relationships/sharedStrings" Target="sharedStrings.xml" /><Relationship Id="rId5" Type="http://schemas.openxmlformats.org/officeDocument/2006/relationships/calcChain" Target="calcChain.xml" /><Relationship Id="rId3" Type="http://schemas.openxmlformats.org/officeDocument/2006/relationships/styles" Target="styles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dimension ref="A1:N154"/>
  <sheetViews>
    <sheetView tabSelected="1" workbookViewId="0" topLeftCell="A1">
      <selection pane="topLeft" activeCell="A1" sqref="A1:M1"/>
    </sheetView>
  </sheetViews>
  <sheetFormatPr defaultRowHeight="15"/>
  <cols>
    <col min="1" max="1" width="14.8571428571429" style="1" customWidth="1"/>
    <col min="2" max="2" width="58.7142857142857" style="1" customWidth="1"/>
    <col min="3" max="3" width="3.71428571428571" style="1" customWidth="1"/>
    <col min="4" max="4" width="15.7142857142857" style="3" customWidth="1"/>
    <col min="5" max="5" width="3.71428571428571" style="1" customWidth="1"/>
    <col min="6" max="6" width="15.7142857142857" style="1" customWidth="1"/>
    <col min="7" max="7" width="3.71428571428571" style="1" customWidth="1"/>
    <col min="8" max="8" width="15.7142857142857" style="1" customWidth="1"/>
    <col min="9" max="9" width="3.71428571428571" style="1" customWidth="1"/>
    <col min="10" max="10" width="15.7142857142857" style="1" customWidth="1"/>
    <col min="11" max="11" width="3.71428571428571" style="1" customWidth="1"/>
    <col min="12" max="12" width="15.7142857142857" style="4" customWidth="1"/>
    <col min="13" max="13" width="3.71428571428571" style="1" customWidth="1"/>
    <col min="14" max="16384" width="9.14285714285714" style="1"/>
  </cols>
  <sheetData>
    <row r="1" spans="1:13" s="11" customFormat="1" ht="15.75">
      <c r="A1" s="37" t="s">
        <v>66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</row>
    <row r="2" spans="1:13" s="11" customFormat="1" ht="15.75">
      <c r="A2" s="37" t="s">
        <v>60</v>
      </c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</row>
    <row r="3" spans="1:13" s="11" customFormat="1" ht="15.75">
      <c r="A3" s="37" t="s">
        <v>67</v>
      </c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</row>
    <row r="4" spans="1:13" s="11" customFormat="1" ht="15.75">
      <c r="A4" s="37" t="s">
        <v>68</v>
      </c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</row>
    <row r="5" spans="1:1" ht="15">
      <c r="A5" s="2"/>
    </row>
    <row r="6" spans="4:4" ht="15.75">
      <c r="D6" s="5"/>
    </row>
    <row r="7" spans="1:12" s="6" customFormat="1" ht="15.75">
      <c r="A7" s="21"/>
      <c r="B7" s="21"/>
      <c r="C7" s="21"/>
      <c r="D7" s="22">
        <v>2017</v>
      </c>
      <c r="E7" s="21"/>
      <c r="F7" s="22">
        <v>2018</v>
      </c>
      <c r="G7" s="21"/>
      <c r="H7" s="22">
        <v>2019</v>
      </c>
      <c r="I7" s="21"/>
      <c r="J7" s="22">
        <v>2020</v>
      </c>
      <c r="K7" s="21"/>
      <c r="L7" s="22">
        <v>2021</v>
      </c>
    </row>
    <row r="8" spans="1:12" ht="15">
      <c r="A8" s="12"/>
      <c r="B8" s="12"/>
      <c r="C8" s="12"/>
      <c r="D8" s="23"/>
      <c r="E8" s="12"/>
      <c r="F8" s="23"/>
      <c r="G8" s="12"/>
      <c r="H8" s="23"/>
      <c r="I8" s="12"/>
      <c r="J8" s="23"/>
      <c r="K8" s="12"/>
      <c r="L8" s="23"/>
    </row>
    <row r="9" spans="1:12" ht="15.75">
      <c r="A9" s="13" t="s">
        <v>0</v>
      </c>
      <c r="B9" s="12"/>
      <c r="C9" s="12"/>
      <c r="D9" s="24">
        <f>D16/D23</f>
        <v>0.59457620528771382</v>
      </c>
      <c r="E9" s="12"/>
      <c r="F9" s="24">
        <f>F16/F23</f>
        <v>0.57327394209354121</v>
      </c>
      <c r="G9" s="12"/>
      <c r="H9" s="24">
        <f>H16/H23</f>
        <v>0.57293742526903146</v>
      </c>
      <c r="I9" s="12"/>
      <c r="J9" s="24">
        <f>J16/J23</f>
        <v>0.54924715824555137</v>
      </c>
      <c r="K9" s="12"/>
      <c r="L9" s="24">
        <f>L16/L23</f>
        <v>0.54996984814429029</v>
      </c>
    </row>
    <row r="10" spans="1:12" ht="15">
      <c r="A10" s="12"/>
      <c r="B10" s="12"/>
      <c r="C10" s="12"/>
      <c r="D10" s="25"/>
      <c r="E10" s="12"/>
      <c r="F10" s="25"/>
      <c r="G10" s="12"/>
      <c r="H10" s="25"/>
      <c r="I10" s="12"/>
      <c r="J10" s="25"/>
      <c r="K10" s="12"/>
      <c r="L10" s="25"/>
    </row>
    <row r="11" spans="1:12" ht="15">
      <c r="A11" s="12" t="s">
        <v>11</v>
      </c>
      <c r="B11" s="14" t="s">
        <v>1</v>
      </c>
      <c r="C11" s="14"/>
      <c r="D11" s="26">
        <v>550</v>
      </c>
      <c r="E11" s="14"/>
      <c r="F11" s="26">
        <v>600</v>
      </c>
      <c r="G11" s="12"/>
      <c r="H11" s="26">
        <v>608</v>
      </c>
      <c r="I11" s="12"/>
      <c r="J11" s="26">
        <v>0</v>
      </c>
      <c r="K11" s="12"/>
      <c r="L11" s="26">
        <v>882</v>
      </c>
    </row>
    <row r="12" spans="1:12" ht="15">
      <c r="A12" s="12"/>
      <c r="B12" s="16" t="s">
        <v>2</v>
      </c>
      <c r="C12" s="16"/>
      <c r="D12" s="26">
        <v>5567</v>
      </c>
      <c r="E12" s="16"/>
      <c r="F12" s="26">
        <v>5835</v>
      </c>
      <c r="G12" s="12"/>
      <c r="H12" s="26">
        <v>8017</v>
      </c>
      <c r="I12" s="12"/>
      <c r="J12" s="26">
        <v>9229</v>
      </c>
      <c r="K12" s="12"/>
      <c r="L12" s="26">
        <v>9150</v>
      </c>
    </row>
    <row r="13" spans="1:12" ht="15">
      <c r="A13" s="12"/>
      <c r="B13" s="16" t="s">
        <v>57</v>
      </c>
      <c r="C13" s="16"/>
      <c r="D13" s="26">
        <v>950</v>
      </c>
      <c r="E13" s="16"/>
      <c r="F13" s="26">
        <v>813</v>
      </c>
      <c r="G13" s="12"/>
      <c r="H13" s="26">
        <v>46</v>
      </c>
      <c r="I13" s="12"/>
      <c r="J13" s="26">
        <v>70</v>
      </c>
      <c r="K13" s="12"/>
      <c r="L13" s="26">
        <v>215</v>
      </c>
    </row>
    <row r="14" spans="1:12" ht="15">
      <c r="A14" s="12"/>
      <c r="B14" s="16" t="s">
        <v>59</v>
      </c>
      <c r="C14" s="16"/>
      <c r="D14" s="26">
        <v>-950</v>
      </c>
      <c r="E14" s="16"/>
      <c r="F14" s="26">
        <v>-813</v>
      </c>
      <c r="G14" s="12"/>
      <c r="H14" s="26">
        <v>-46</v>
      </c>
      <c r="I14" s="12"/>
      <c r="J14" s="26">
        <v>-70</v>
      </c>
      <c r="K14" s="12"/>
      <c r="L14" s="26">
        <v>-215</v>
      </c>
    </row>
    <row r="15" spans="1:12" ht="15">
      <c r="A15" s="12"/>
      <c r="B15" s="16" t="s">
        <v>3</v>
      </c>
      <c r="C15" s="16"/>
      <c r="D15" s="27">
        <v>0</v>
      </c>
      <c r="E15" s="16"/>
      <c r="F15" s="27">
        <v>0</v>
      </c>
      <c r="G15" s="12"/>
      <c r="H15" s="27">
        <v>0</v>
      </c>
      <c r="I15" s="12"/>
      <c r="J15" s="27">
        <v>0</v>
      </c>
      <c r="K15" s="12"/>
      <c r="L15" s="27">
        <v>0</v>
      </c>
    </row>
    <row r="16" spans="1:12" ht="15">
      <c r="A16" s="12"/>
      <c r="B16" s="12" t="s">
        <v>4</v>
      </c>
      <c r="C16" s="12"/>
      <c r="D16" s="28">
        <f>SUM(D11:D15)</f>
        <v>6117</v>
      </c>
      <c r="E16" s="12"/>
      <c r="F16" s="28">
        <f>SUM(F11:F15)</f>
        <v>6435</v>
      </c>
      <c r="G16" s="12"/>
      <c r="H16" s="28">
        <f>SUM(H11:H15)</f>
        <v>8625</v>
      </c>
      <c r="I16" s="12"/>
      <c r="J16" s="28">
        <f>SUM(J11:J15)</f>
        <v>9229</v>
      </c>
      <c r="K16" s="12"/>
      <c r="L16" s="28">
        <f>SUM(L11:L15)</f>
        <v>10032</v>
      </c>
    </row>
    <row r="17" spans="1:12" ht="15">
      <c r="A17" s="12"/>
      <c r="B17" s="12"/>
      <c r="C17" s="12"/>
      <c r="D17" s="25"/>
      <c r="E17" s="12"/>
      <c r="F17" s="25"/>
      <c r="G17" s="12"/>
      <c r="H17" s="25"/>
      <c r="I17" s="12"/>
      <c r="J17" s="25"/>
      <c r="K17" s="12"/>
      <c r="L17" s="25"/>
    </row>
    <row r="18" spans="1:12" ht="15">
      <c r="A18" s="12" t="s">
        <v>5</v>
      </c>
      <c r="B18" s="12" t="s">
        <v>6</v>
      </c>
      <c r="C18" s="12"/>
      <c r="D18" s="25">
        <f>D16</f>
        <v>6117</v>
      </c>
      <c r="E18" s="12"/>
      <c r="F18" s="25">
        <f>F16</f>
        <v>6435</v>
      </c>
      <c r="G18" s="12"/>
      <c r="H18" s="25">
        <f>H16</f>
        <v>8625</v>
      </c>
      <c r="I18" s="12"/>
      <c r="J18" s="25">
        <f>J16</f>
        <v>9229</v>
      </c>
      <c r="K18" s="12"/>
      <c r="L18" s="25">
        <f>L16</f>
        <v>10032</v>
      </c>
    </row>
    <row r="19" spans="1:12" ht="15">
      <c r="A19" s="12"/>
      <c r="B19" s="16" t="s">
        <v>7</v>
      </c>
      <c r="C19" s="16"/>
      <c r="D19" s="26">
        <v>0</v>
      </c>
      <c r="E19" s="16"/>
      <c r="F19" s="26">
        <v>0</v>
      </c>
      <c r="G19" s="12"/>
      <c r="H19" s="26">
        <v>0</v>
      </c>
      <c r="I19" s="12"/>
      <c r="J19" s="26">
        <v>0</v>
      </c>
      <c r="K19" s="12"/>
      <c r="L19" s="26">
        <v>0</v>
      </c>
    </row>
    <row r="20" spans="1:12" ht="15">
      <c r="A20" s="12"/>
      <c r="B20" s="16" t="s">
        <v>8</v>
      </c>
      <c r="C20" s="16"/>
      <c r="D20" s="26">
        <v>0</v>
      </c>
      <c r="E20" s="16"/>
      <c r="F20" s="26">
        <v>0</v>
      </c>
      <c r="G20" s="12"/>
      <c r="H20" s="26">
        <v>0</v>
      </c>
      <c r="I20" s="12"/>
      <c r="J20" s="26">
        <v>0</v>
      </c>
      <c r="K20" s="12"/>
      <c r="L20" s="26">
        <v>0</v>
      </c>
    </row>
    <row r="21" spans="1:12" ht="15">
      <c r="A21" s="12"/>
      <c r="B21" s="16" t="s">
        <v>9</v>
      </c>
      <c r="C21" s="16"/>
      <c r="D21" s="29">
        <v>7903</v>
      </c>
      <c r="E21" s="16"/>
      <c r="F21" s="29">
        <v>8460</v>
      </c>
      <c r="G21" s="12"/>
      <c r="H21" s="29">
        <v>10799</v>
      </c>
      <c r="I21" s="12"/>
      <c r="J21" s="29">
        <v>11932</v>
      </c>
      <c r="K21" s="12"/>
      <c r="L21" s="29">
        <v>12588</v>
      </c>
    </row>
    <row r="22" spans="1:12" ht="15">
      <c r="A22" s="12"/>
      <c r="B22" s="16" t="s">
        <v>58</v>
      </c>
      <c r="C22" s="16"/>
      <c r="D22" s="27">
        <f>SUM(-D21+4171)</f>
        <v>-3732</v>
      </c>
      <c r="E22" s="16"/>
      <c r="F22" s="27">
        <f>SUM(-F21+4790)</f>
        <v>-3670</v>
      </c>
      <c r="G22" s="12"/>
      <c r="H22" s="27">
        <f>SUM(-H21+6429)</f>
        <v>-4370</v>
      </c>
      <c r="I22" s="12"/>
      <c r="J22" s="27">
        <f>SUM(-J21+7574)</f>
        <v>-4358</v>
      </c>
      <c r="K22" s="12"/>
      <c r="L22" s="27">
        <f>SUM(-L21+8209)</f>
        <v>-4379</v>
      </c>
    </row>
    <row r="23" spans="1:12" ht="15">
      <c r="A23" s="12"/>
      <c r="B23" s="12" t="s">
        <v>10</v>
      </c>
      <c r="C23" s="12"/>
      <c r="D23" s="28">
        <f>SUM(D18:D22)</f>
        <v>10288</v>
      </c>
      <c r="E23" s="12"/>
      <c r="F23" s="28">
        <f>SUM(F18:F22)</f>
        <v>11225</v>
      </c>
      <c r="G23" s="12"/>
      <c r="H23" s="28">
        <f>SUM(H18:H22)</f>
        <v>15054</v>
      </c>
      <c r="I23" s="12"/>
      <c r="J23" s="28">
        <f>SUM(J18:J22)</f>
        <v>16803</v>
      </c>
      <c r="K23" s="12"/>
      <c r="L23" s="28">
        <f>SUM(L18:L22)</f>
        <v>18241</v>
      </c>
    </row>
    <row r="24" spans="1:12" ht="15">
      <c r="A24" s="12"/>
      <c r="B24" s="12"/>
      <c r="C24" s="12"/>
      <c r="D24" s="25"/>
      <c r="E24" s="12"/>
      <c r="F24" s="25"/>
      <c r="G24" s="12"/>
      <c r="H24" s="25"/>
      <c r="I24" s="12"/>
      <c r="J24" s="25"/>
      <c r="K24" s="12"/>
      <c r="L24" s="25"/>
    </row>
    <row r="25" spans="1:12" ht="15">
      <c r="A25" s="12"/>
      <c r="B25" s="12"/>
      <c r="C25" s="12"/>
      <c r="D25" s="25"/>
      <c r="E25" s="12"/>
      <c r="F25" s="25"/>
      <c r="G25" s="12"/>
      <c r="H25" s="25"/>
      <c r="I25" s="12"/>
      <c r="J25" s="25"/>
      <c r="K25" s="12"/>
      <c r="L25" s="25"/>
    </row>
    <row r="26" spans="1:12" s="7" customFormat="1" ht="15.75">
      <c r="A26" s="13" t="s">
        <v>12</v>
      </c>
      <c r="B26" s="13"/>
      <c r="C26" s="13"/>
      <c r="D26" s="24">
        <f>D28/D34</f>
        <v>0.027017944754351771</v>
      </c>
      <c r="E26" s="13"/>
      <c r="F26" s="24">
        <f>F28/F34</f>
        <v>0.025916718458669982</v>
      </c>
      <c r="G26" s="13"/>
      <c r="H26" s="24">
        <f>H28/H34</f>
        <v>0.030201342281879196</v>
      </c>
      <c r="I26" s="13"/>
      <c r="J26" s="24">
        <f>J28/J34</f>
        <v>0.027938751472320379</v>
      </c>
      <c r="K26" s="13"/>
      <c r="L26" s="24">
        <f>L28/L34</f>
        <v>0.024265923150649123</v>
      </c>
    </row>
    <row r="27" spans="1:12" ht="15">
      <c r="A27" s="12"/>
      <c r="B27" s="12"/>
      <c r="C27" s="12"/>
      <c r="D27" s="25"/>
      <c r="E27" s="12"/>
      <c r="F27" s="25"/>
      <c r="G27" s="12"/>
      <c r="H27" s="25"/>
      <c r="I27" s="12"/>
      <c r="J27" s="25"/>
      <c r="K27" s="12"/>
      <c r="L27" s="25"/>
    </row>
    <row r="28" spans="1:12" ht="15">
      <c r="A28" s="12" t="s">
        <v>11</v>
      </c>
      <c r="B28" s="14" t="s">
        <v>13</v>
      </c>
      <c r="C28" s="14"/>
      <c r="D28" s="26">
        <v>402</v>
      </c>
      <c r="E28" s="14"/>
      <c r="F28" s="26">
        <v>417</v>
      </c>
      <c r="G28" s="12"/>
      <c r="H28" s="26">
        <v>585</v>
      </c>
      <c r="I28" s="12"/>
      <c r="J28" s="26">
        <v>593</v>
      </c>
      <c r="K28" s="12"/>
      <c r="L28" s="26">
        <v>557</v>
      </c>
    </row>
    <row r="29" spans="1:12" ht="15">
      <c r="A29" s="12"/>
      <c r="B29" s="12"/>
      <c r="C29" s="12"/>
      <c r="D29" s="25"/>
      <c r="E29" s="12"/>
      <c r="F29" s="25"/>
      <c r="G29" s="12"/>
      <c r="H29" s="25"/>
      <c r="I29" s="12"/>
      <c r="J29" s="25"/>
      <c r="K29" s="12"/>
      <c r="L29" s="25"/>
    </row>
    <row r="30" spans="1:12" ht="15">
      <c r="A30" s="12" t="s">
        <v>5</v>
      </c>
      <c r="B30" s="14" t="s">
        <v>14</v>
      </c>
      <c r="C30" s="14"/>
      <c r="D30" s="26">
        <v>21717</v>
      </c>
      <c r="E30" s="14"/>
      <c r="F30" s="26">
        <v>23170</v>
      </c>
      <c r="G30" s="12"/>
      <c r="H30" s="26">
        <v>26749</v>
      </c>
      <c r="I30" s="12"/>
      <c r="J30" s="26">
        <v>28948</v>
      </c>
      <c r="K30" s="12"/>
      <c r="L30" s="26">
        <v>31029</v>
      </c>
    </row>
    <row r="31" spans="1:12" ht="15">
      <c r="A31" s="12"/>
      <c r="B31" s="16" t="s">
        <v>15</v>
      </c>
      <c r="C31" s="16"/>
      <c r="D31" s="26">
        <v>-7255</v>
      </c>
      <c r="E31" s="16"/>
      <c r="F31" s="26">
        <v>-7513</v>
      </c>
      <c r="G31" s="12"/>
      <c r="H31" s="26">
        <v>-7986</v>
      </c>
      <c r="I31" s="12"/>
      <c r="J31" s="26">
        <v>-8336</v>
      </c>
      <c r="K31" s="12"/>
      <c r="L31" s="26">
        <v>-8659</v>
      </c>
    </row>
    <row r="32" spans="1:12" ht="15">
      <c r="A32" s="12"/>
      <c r="B32" s="17" t="s">
        <v>16</v>
      </c>
      <c r="C32" s="17"/>
      <c r="D32" s="25">
        <f>D28</f>
        <v>402</v>
      </c>
      <c r="E32" s="17"/>
      <c r="F32" s="25">
        <f>F28</f>
        <v>417</v>
      </c>
      <c r="G32" s="12"/>
      <c r="H32" s="25">
        <f>H28</f>
        <v>585</v>
      </c>
      <c r="I32" s="12"/>
      <c r="J32" s="25">
        <f>J28</f>
        <v>593</v>
      </c>
      <c r="K32" s="12"/>
      <c r="L32" s="25">
        <f>L28</f>
        <v>557</v>
      </c>
    </row>
    <row r="33" spans="1:13" ht="15">
      <c r="A33" s="12"/>
      <c r="B33" s="16" t="s">
        <v>17</v>
      </c>
      <c r="C33" s="16"/>
      <c r="D33" s="27">
        <v>15</v>
      </c>
      <c r="E33" s="16"/>
      <c r="F33" s="27">
        <v>16</v>
      </c>
      <c r="G33" s="12"/>
      <c r="H33" s="27">
        <v>22</v>
      </c>
      <c r="I33" s="12"/>
      <c r="J33" s="27">
        <v>20</v>
      </c>
      <c r="K33" s="12"/>
      <c r="L33" s="27">
        <v>27</v>
      </c>
      <c r="M33" s="8"/>
    </row>
    <row r="34" spans="1:12" ht="15">
      <c r="A34" s="12"/>
      <c r="B34" s="12" t="s">
        <v>18</v>
      </c>
      <c r="C34" s="12"/>
      <c r="D34" s="28">
        <f>SUM(D30:D33)</f>
        <v>14879</v>
      </c>
      <c r="E34" s="12"/>
      <c r="F34" s="28">
        <f>SUM(F30:F33)</f>
        <v>16090</v>
      </c>
      <c r="G34" s="12"/>
      <c r="H34" s="28">
        <f>SUM(H30:H33)</f>
        <v>19370</v>
      </c>
      <c r="I34" s="12"/>
      <c r="J34" s="28">
        <f>SUM(J30:J33)</f>
        <v>21225</v>
      </c>
      <c r="K34" s="12"/>
      <c r="L34" s="28">
        <f>SUM(L30:L33)</f>
        <v>22954</v>
      </c>
    </row>
    <row r="35" spans="1:12" ht="15">
      <c r="A35" s="12"/>
      <c r="B35" s="12"/>
      <c r="C35" s="12"/>
      <c r="D35" s="25"/>
      <c r="E35" s="12"/>
      <c r="F35" s="25"/>
      <c r="G35" s="12"/>
      <c r="H35" s="25"/>
      <c r="I35" s="12"/>
      <c r="J35" s="25"/>
      <c r="K35" s="12"/>
      <c r="L35" s="25"/>
    </row>
    <row r="36" spans="1:12" ht="15">
      <c r="A36" s="12"/>
      <c r="B36" s="12"/>
      <c r="C36" s="12"/>
      <c r="D36" s="25"/>
      <c r="E36" s="12"/>
      <c r="F36" s="25"/>
      <c r="G36" s="12"/>
      <c r="H36" s="25"/>
      <c r="I36" s="12"/>
      <c r="J36" s="25"/>
      <c r="K36" s="12"/>
      <c r="L36" s="25"/>
    </row>
    <row r="37" spans="1:12" s="7" customFormat="1" ht="15.75">
      <c r="A37" s="13" t="s">
        <v>19</v>
      </c>
      <c r="B37" s="13"/>
      <c r="C37" s="13"/>
      <c r="D37" s="24">
        <f>D42/D46</f>
        <v>0.16096639490952475</v>
      </c>
      <c r="E37" s="13"/>
      <c r="F37" s="24">
        <f>F42/F46</f>
        <v>0.16306419374331799</v>
      </c>
      <c r="G37" s="13"/>
      <c r="H37" s="24">
        <f>H42/H46</f>
        <v>0.15761634765402033</v>
      </c>
      <c r="I37" s="13"/>
      <c r="J37" s="24">
        <f>J42/J46</f>
        <v>0.15644913205888816</v>
      </c>
      <c r="K37" s="13"/>
      <c r="L37" s="24">
        <f>L42/L46</f>
        <v>0.14022371875356696</v>
      </c>
    </row>
    <row r="38" spans="1:12" ht="15">
      <c r="A38" s="12"/>
      <c r="B38" s="12"/>
      <c r="C38" s="12"/>
      <c r="D38" s="25"/>
      <c r="E38" s="12"/>
      <c r="F38" s="25"/>
      <c r="G38" s="12"/>
      <c r="H38" s="25"/>
      <c r="I38" s="12"/>
      <c r="J38" s="25"/>
      <c r="K38" s="12"/>
      <c r="L38" s="25"/>
    </row>
    <row r="39" spans="1:12" ht="15">
      <c r="A39" s="9" t="s">
        <v>11</v>
      </c>
      <c r="B39" s="15" t="s">
        <v>61</v>
      </c>
      <c r="C39" s="15"/>
      <c r="D39" s="26">
        <v>1631</v>
      </c>
      <c r="E39" s="15"/>
      <c r="F39" s="26">
        <v>1767</v>
      </c>
      <c r="G39" s="9"/>
      <c r="H39" s="26">
        <v>2097</v>
      </c>
      <c r="I39" s="9"/>
      <c r="J39" s="26">
        <v>2540</v>
      </c>
      <c r="K39" s="9"/>
      <c r="L39" s="26">
        <v>2497</v>
      </c>
    </row>
    <row r="40" spans="1:12" ht="15">
      <c r="A40" s="12"/>
      <c r="B40" s="16" t="s">
        <v>20</v>
      </c>
      <c r="C40" s="16"/>
      <c r="D40" s="25">
        <v>0</v>
      </c>
      <c r="E40" s="16"/>
      <c r="F40" s="25">
        <v>0</v>
      </c>
      <c r="G40" s="12"/>
      <c r="H40" s="25">
        <v>-10</v>
      </c>
      <c r="I40" s="12"/>
      <c r="J40" s="25">
        <v>-29</v>
      </c>
      <c r="K40" s="12"/>
      <c r="L40" s="25">
        <v>-27</v>
      </c>
    </row>
    <row r="41" spans="1:12" ht="15">
      <c r="A41" s="12"/>
      <c r="B41" s="16" t="s">
        <v>21</v>
      </c>
      <c r="C41" s="16"/>
      <c r="D41" s="30">
        <v>-12</v>
      </c>
      <c r="E41" s="16"/>
      <c r="F41" s="30">
        <v>-13</v>
      </c>
      <c r="G41" s="12"/>
      <c r="H41" s="30">
        <v>-16</v>
      </c>
      <c r="I41" s="12"/>
      <c r="J41" s="30">
        <v>-19</v>
      </c>
      <c r="K41" s="12"/>
      <c r="L41" s="30">
        <v>-13</v>
      </c>
    </row>
    <row r="42" spans="1:12" ht="15">
      <c r="A42" s="12"/>
      <c r="B42" s="12" t="s">
        <v>22</v>
      </c>
      <c r="C42" s="12"/>
      <c r="D42" s="28">
        <f>SUM(D39:D41)</f>
        <v>1619</v>
      </c>
      <c r="E42" s="12"/>
      <c r="F42" s="28">
        <f>SUM(F39:F41)</f>
        <v>1754</v>
      </c>
      <c r="G42" s="12"/>
      <c r="H42" s="28">
        <f>SUM(H39:H41)</f>
        <v>2071</v>
      </c>
      <c r="I42" s="12"/>
      <c r="J42" s="28">
        <f>SUM(J39:J41)</f>
        <v>2492</v>
      </c>
      <c r="K42" s="12"/>
      <c r="L42" s="28">
        <f>SUM(L39:L41)</f>
        <v>2457</v>
      </c>
    </row>
    <row r="43" spans="1:12" ht="15">
      <c r="A43" s="12"/>
      <c r="B43" s="12"/>
      <c r="C43" s="12"/>
      <c r="D43" s="25"/>
      <c r="E43" s="12"/>
      <c r="F43" s="25"/>
      <c r="G43" s="12"/>
      <c r="H43" s="25"/>
      <c r="I43" s="12"/>
      <c r="J43" s="25"/>
      <c r="K43" s="12"/>
      <c r="L43" s="25"/>
    </row>
    <row r="44" spans="1:12" ht="15">
      <c r="A44" s="12" t="s">
        <v>5</v>
      </c>
      <c r="B44" s="12" t="s">
        <v>23</v>
      </c>
      <c r="C44" s="12"/>
      <c r="D44" s="25">
        <v>9828</v>
      </c>
      <c r="E44" s="12"/>
      <c r="F44" s="25">
        <f>SUM(D45)</f>
        <v>10288</v>
      </c>
      <c r="G44" s="12"/>
      <c r="H44" s="25">
        <f>SUM(F45)</f>
        <v>11225</v>
      </c>
      <c r="I44" s="12"/>
      <c r="J44" s="25">
        <f>SUM(H45)</f>
        <v>15054</v>
      </c>
      <c r="K44" s="12"/>
      <c r="L44" s="25">
        <f>SUM(J45)</f>
        <v>16803</v>
      </c>
    </row>
    <row r="45" spans="1:12" ht="15">
      <c r="A45" s="12"/>
      <c r="B45" s="12" t="s">
        <v>24</v>
      </c>
      <c r="C45" s="12"/>
      <c r="D45" s="30">
        <f>D23</f>
        <v>10288</v>
      </c>
      <c r="E45" s="12"/>
      <c r="F45" s="30">
        <f>F23</f>
        <v>11225</v>
      </c>
      <c r="G45" s="12"/>
      <c r="H45" s="30">
        <f>H23</f>
        <v>15054</v>
      </c>
      <c r="I45" s="12"/>
      <c r="J45" s="30">
        <f>J23</f>
        <v>16803</v>
      </c>
      <c r="K45" s="12"/>
      <c r="L45" s="30">
        <f>L23</f>
        <v>18241</v>
      </c>
    </row>
    <row r="46" spans="1:12" ht="15">
      <c r="A46" s="12"/>
      <c r="B46" s="12" t="s">
        <v>25</v>
      </c>
      <c r="C46" s="12"/>
      <c r="D46" s="28">
        <f>AVERAGE(D44:D45)</f>
        <v>10058</v>
      </c>
      <c r="E46" s="12"/>
      <c r="F46" s="28">
        <f>AVERAGE(F44:F45)</f>
        <v>10756.5</v>
      </c>
      <c r="G46" s="12"/>
      <c r="H46" s="28">
        <f>AVERAGE(H44:H45)</f>
        <v>13139.5</v>
      </c>
      <c r="I46" s="12"/>
      <c r="J46" s="28">
        <f>AVERAGE(J44:J45)</f>
        <v>15928.5</v>
      </c>
      <c r="K46" s="12"/>
      <c r="L46" s="28">
        <f>AVERAGE(L44:L45)</f>
        <v>17522</v>
      </c>
    </row>
    <row r="47" spans="1:12" ht="15">
      <c r="A47" s="12"/>
      <c r="B47" s="12"/>
      <c r="C47" s="12"/>
      <c r="D47" s="25"/>
      <c r="E47" s="12"/>
      <c r="F47" s="25"/>
      <c r="G47" s="12"/>
      <c r="H47" s="25"/>
      <c r="I47" s="12"/>
      <c r="J47" s="25"/>
      <c r="K47" s="12"/>
      <c r="L47" s="25"/>
    </row>
    <row r="48" spans="1:12" ht="15">
      <c r="A48" s="12"/>
      <c r="B48" s="12"/>
      <c r="C48" s="12"/>
      <c r="D48" s="25"/>
      <c r="E48" s="12"/>
      <c r="F48" s="25"/>
      <c r="G48" s="12"/>
      <c r="H48" s="25"/>
      <c r="I48" s="12"/>
      <c r="J48" s="25"/>
      <c r="K48" s="12"/>
      <c r="L48" s="25"/>
    </row>
    <row r="49" spans="1:12" s="10" customFormat="1" ht="15.75">
      <c r="A49" s="18" t="s">
        <v>26</v>
      </c>
      <c r="B49" s="18"/>
      <c r="C49" s="18"/>
      <c r="D49" s="31">
        <f>D57/D61</f>
        <v>2.9378531073446328</v>
      </c>
      <c r="E49" s="18"/>
      <c r="F49" s="31">
        <f>F57/F61</f>
        <v>2.8186813186813189</v>
      </c>
      <c r="G49" s="18"/>
      <c r="H49" s="31">
        <f>H57/H61</f>
        <v>2.9539641943734014</v>
      </c>
      <c r="I49" s="18"/>
      <c r="J49" s="31">
        <f>J57/J61</f>
        <v>2.9339622641509435</v>
      </c>
      <c r="K49" s="18"/>
      <c r="L49" s="31">
        <f>L57/L61</f>
        <v>3.103286384976526</v>
      </c>
    </row>
    <row r="50" spans="1:12" ht="15">
      <c r="A50" s="12"/>
      <c r="B50" s="12"/>
      <c r="C50" s="12"/>
      <c r="D50" s="25"/>
      <c r="E50" s="12"/>
      <c r="F50" s="25"/>
      <c r="G50" s="12"/>
      <c r="H50" s="25"/>
      <c r="I50" s="12"/>
      <c r="J50" s="25"/>
      <c r="K50" s="12"/>
      <c r="L50" s="25"/>
    </row>
    <row r="51" spans="1:12" ht="15">
      <c r="A51" s="12" t="s">
        <v>11</v>
      </c>
      <c r="B51" s="14" t="s">
        <v>27</v>
      </c>
      <c r="C51" s="14"/>
      <c r="D51" s="26">
        <v>419</v>
      </c>
      <c r="E51" s="14"/>
      <c r="F51" s="26">
        <v>545</v>
      </c>
      <c r="G51" s="12"/>
      <c r="H51" s="26">
        <v>651</v>
      </c>
      <c r="I51" s="12"/>
      <c r="J51" s="26">
        <v>713</v>
      </c>
      <c r="K51" s="12"/>
      <c r="L51" s="26">
        <v>770</v>
      </c>
    </row>
    <row r="52" spans="1:12" ht="15">
      <c r="A52" s="12"/>
      <c r="B52" s="16" t="s">
        <v>28</v>
      </c>
      <c r="C52" s="16"/>
      <c r="D52" s="26">
        <v>0</v>
      </c>
      <c r="E52" s="16"/>
      <c r="F52" s="26">
        <v>0</v>
      </c>
      <c r="G52" s="12"/>
      <c r="H52" s="26">
        <v>0</v>
      </c>
      <c r="I52" s="12"/>
      <c r="J52" s="26">
        <v>0</v>
      </c>
      <c r="K52" s="12"/>
      <c r="L52" s="26">
        <v>0</v>
      </c>
    </row>
    <row r="53" spans="1:12" ht="15">
      <c r="A53" s="12"/>
      <c r="B53" s="17" t="s">
        <v>20</v>
      </c>
      <c r="C53" s="17"/>
      <c r="D53" s="25">
        <f>D40</f>
        <v>0</v>
      </c>
      <c r="E53" s="17"/>
      <c r="F53" s="25">
        <f>F40</f>
        <v>0</v>
      </c>
      <c r="G53" s="12"/>
      <c r="H53" s="25">
        <f>H40</f>
        <v>-10</v>
      </c>
      <c r="I53" s="12"/>
      <c r="J53" s="25">
        <f>J40</f>
        <v>-29</v>
      </c>
      <c r="K53" s="12"/>
      <c r="L53" s="25">
        <f>L40</f>
        <v>-27</v>
      </c>
    </row>
    <row r="54" spans="1:12" ht="15">
      <c r="A54" s="12"/>
      <c r="B54" s="16" t="s">
        <v>29</v>
      </c>
      <c r="C54" s="16"/>
      <c r="D54" s="26">
        <f>255+12</f>
        <v>267</v>
      </c>
      <c r="E54" s="16"/>
      <c r="F54" s="26">
        <v>117</v>
      </c>
      <c r="G54" s="12"/>
      <c r="H54" s="26">
        <f>138-15</f>
        <v>123</v>
      </c>
      <c r="I54" s="12"/>
      <c r="J54" s="26">
        <v>136</v>
      </c>
      <c r="K54" s="12"/>
      <c r="L54" s="26">
        <f>165-12</f>
        <v>153</v>
      </c>
    </row>
    <row r="55" spans="1:12" s="3" customFormat="1" ht="15">
      <c r="A55" s="12"/>
      <c r="B55" s="16" t="s">
        <v>56</v>
      </c>
      <c r="C55" s="16"/>
      <c r="D55" s="26">
        <f>342-D41</f>
        <v>354</v>
      </c>
      <c r="E55" s="16"/>
      <c r="F55" s="26">
        <f>351-F41</f>
        <v>364</v>
      </c>
      <c r="G55" s="12"/>
      <c r="H55" s="26">
        <f>375-H41</f>
        <v>391</v>
      </c>
      <c r="I55" s="12"/>
      <c r="J55" s="26">
        <f>405-J41</f>
        <v>424</v>
      </c>
      <c r="K55" s="12"/>
      <c r="L55" s="26">
        <f>413-L41</f>
        <v>426</v>
      </c>
    </row>
    <row r="56" spans="1:12" ht="15">
      <c r="A56" s="12"/>
      <c r="B56" s="16" t="s">
        <v>30</v>
      </c>
      <c r="C56" s="16"/>
      <c r="D56" s="27">
        <v>0</v>
      </c>
      <c r="E56" s="16"/>
      <c r="F56" s="27">
        <v>0</v>
      </c>
      <c r="G56" s="12"/>
      <c r="H56" s="27">
        <v>0</v>
      </c>
      <c r="I56" s="12"/>
      <c r="J56" s="27">
        <v>0</v>
      </c>
      <c r="K56" s="12"/>
      <c r="L56" s="27">
        <v>0</v>
      </c>
    </row>
    <row r="57" spans="1:12" ht="15">
      <c r="A57" s="12"/>
      <c r="B57" s="12" t="s">
        <v>32</v>
      </c>
      <c r="C57" s="12"/>
      <c r="D57" s="28">
        <f>SUM(D51:D56)</f>
        <v>1040</v>
      </c>
      <c r="E57" s="12"/>
      <c r="F57" s="28">
        <f>SUM(F51:F56)</f>
        <v>1026</v>
      </c>
      <c r="G57" s="12"/>
      <c r="H57" s="28">
        <f>SUM(H51:H56)</f>
        <v>1155</v>
      </c>
      <c r="I57" s="12"/>
      <c r="J57" s="28">
        <f>SUM(J51:J56)</f>
        <v>1244</v>
      </c>
      <c r="K57" s="12"/>
      <c r="L57" s="28">
        <f>SUM(L51:L56)</f>
        <v>1322</v>
      </c>
    </row>
    <row r="58" spans="1:12" ht="15">
      <c r="A58" s="12"/>
      <c r="B58" s="12"/>
      <c r="C58" s="12"/>
      <c r="D58" s="25"/>
      <c r="E58" s="12"/>
      <c r="F58" s="25"/>
      <c r="G58" s="12"/>
      <c r="H58" s="25"/>
      <c r="I58" s="12"/>
      <c r="J58" s="25"/>
      <c r="K58" s="12"/>
      <c r="L58" s="25"/>
    </row>
    <row r="59" spans="1:12" ht="15">
      <c r="A59" s="12" t="s">
        <v>5</v>
      </c>
      <c r="B59" s="12" t="s">
        <v>62</v>
      </c>
      <c r="C59" s="12"/>
      <c r="D59" s="25">
        <f>D55</f>
        <v>354</v>
      </c>
      <c r="E59" s="12"/>
      <c r="F59" s="25">
        <f>F55</f>
        <v>364</v>
      </c>
      <c r="G59" s="12"/>
      <c r="H59" s="25">
        <f>H55</f>
        <v>391</v>
      </c>
      <c r="I59" s="12"/>
      <c r="J59" s="25">
        <f>J55</f>
        <v>424</v>
      </c>
      <c r="K59" s="12"/>
      <c r="L59" s="25">
        <f>L55</f>
        <v>426</v>
      </c>
    </row>
    <row r="60" spans="1:12" ht="15">
      <c r="A60" s="12"/>
      <c r="B60" s="17" t="s">
        <v>30</v>
      </c>
      <c r="C60" s="17"/>
      <c r="D60" s="30">
        <f>D56</f>
        <v>0</v>
      </c>
      <c r="E60" s="17"/>
      <c r="F60" s="30">
        <f>F56</f>
        <v>0</v>
      </c>
      <c r="G60" s="12"/>
      <c r="H60" s="30">
        <f>H56</f>
        <v>0</v>
      </c>
      <c r="I60" s="12"/>
      <c r="J60" s="30">
        <f>J56</f>
        <v>0</v>
      </c>
      <c r="K60" s="12"/>
      <c r="L60" s="30">
        <f>L56</f>
        <v>0</v>
      </c>
    </row>
    <row r="61" spans="1:12" ht="15">
      <c r="A61" s="12"/>
      <c r="B61" s="12" t="s">
        <v>31</v>
      </c>
      <c r="C61" s="12"/>
      <c r="D61" s="28">
        <f>SUM(D59:D60)</f>
        <v>354</v>
      </c>
      <c r="E61" s="12"/>
      <c r="F61" s="28">
        <f>SUM(F59:F60)</f>
        <v>364</v>
      </c>
      <c r="G61" s="12"/>
      <c r="H61" s="28">
        <f>SUM(H59:H60)</f>
        <v>391</v>
      </c>
      <c r="I61" s="12"/>
      <c r="J61" s="28">
        <f>SUM(J59:J60)</f>
        <v>424</v>
      </c>
      <c r="K61" s="12"/>
      <c r="L61" s="28">
        <f>SUM(L59:L60)</f>
        <v>426</v>
      </c>
    </row>
    <row r="62" spans="1:12" ht="15">
      <c r="A62" s="12"/>
      <c r="B62" s="12"/>
      <c r="C62" s="12"/>
      <c r="D62" s="25"/>
      <c r="E62" s="12"/>
      <c r="F62" s="25"/>
      <c r="G62" s="12"/>
      <c r="H62" s="25"/>
      <c r="I62" s="12"/>
      <c r="J62" s="25"/>
      <c r="K62" s="12"/>
      <c r="L62" s="25"/>
    </row>
    <row r="63" spans="1:12" ht="15">
      <c r="A63" s="12"/>
      <c r="B63" s="12"/>
      <c r="C63" s="12"/>
      <c r="D63" s="25"/>
      <c r="E63" s="12"/>
      <c r="F63" s="25"/>
      <c r="G63" s="12"/>
      <c r="H63" s="25"/>
      <c r="I63" s="12"/>
      <c r="J63" s="25"/>
      <c r="K63" s="12"/>
      <c r="L63" s="25"/>
    </row>
    <row r="64" spans="1:12" s="7" customFormat="1" ht="15.75">
      <c r="A64" s="13" t="s">
        <v>33</v>
      </c>
      <c r="B64" s="13"/>
      <c r="C64" s="13"/>
      <c r="D64" s="24">
        <f>D69/D71</f>
        <v>0.24995913029262712</v>
      </c>
      <c r="E64" s="13"/>
      <c r="F64" s="24">
        <f>F69/F71</f>
        <v>0.20574980574980575</v>
      </c>
      <c r="G64" s="13"/>
      <c r="H64" s="24">
        <f>H69/H71</f>
        <v>0.17194202898550726</v>
      </c>
      <c r="I64" s="13"/>
      <c r="J64" s="24">
        <f>J69/J71</f>
        <v>0.16924910607866509</v>
      </c>
      <c r="K64" s="13"/>
      <c r="L64" s="24">
        <f>L69/L71</f>
        <v>0.16925837320574164</v>
      </c>
    </row>
    <row r="65" spans="1:12" ht="15">
      <c r="A65" s="12"/>
      <c r="B65" s="12"/>
      <c r="C65" s="12"/>
      <c r="D65" s="25"/>
      <c r="E65" s="12"/>
      <c r="F65" s="25"/>
      <c r="G65" s="12"/>
      <c r="H65" s="25"/>
      <c r="I65" s="12"/>
      <c r="J65" s="25"/>
      <c r="K65" s="12"/>
      <c r="L65" s="25"/>
    </row>
    <row r="66" spans="1:12" ht="15">
      <c r="A66" s="12" t="s">
        <v>11</v>
      </c>
      <c r="B66" s="14" t="s">
        <v>63</v>
      </c>
      <c r="C66" s="14"/>
      <c r="D66" s="26">
        <f>419+815+309-2</f>
        <v>1541</v>
      </c>
      <c r="E66" s="14"/>
      <c r="F66" s="26">
        <f>545+777+18-3</f>
        <v>1337</v>
      </c>
      <c r="G66" s="12"/>
      <c r="H66" s="26">
        <f>651+806+55-3</f>
        <v>1509</v>
      </c>
      <c r="I66" s="12"/>
      <c r="J66" s="26">
        <v>1610</v>
      </c>
      <c r="K66" s="12"/>
      <c r="L66" s="26">
        <f>1658-56+127+46-27+27-37</f>
        <v>1738</v>
      </c>
    </row>
    <row r="67" spans="1:12" ht="15">
      <c r="A67" s="12"/>
      <c r="B67" s="17" t="s">
        <v>20</v>
      </c>
      <c r="C67" s="17"/>
      <c r="D67" s="25">
        <f>D40</f>
        <v>0</v>
      </c>
      <c r="E67" s="17"/>
      <c r="F67" s="25">
        <f>F40</f>
        <v>0</v>
      </c>
      <c r="G67" s="12"/>
      <c r="H67" s="25">
        <f>H40</f>
        <v>-10</v>
      </c>
      <c r="I67" s="12"/>
      <c r="J67" s="25">
        <f>J40</f>
        <v>-29</v>
      </c>
      <c r="K67" s="12"/>
      <c r="L67" s="25">
        <f>L40</f>
        <v>-27</v>
      </c>
    </row>
    <row r="68" spans="1:12" ht="15">
      <c r="A68" s="12"/>
      <c r="B68" s="17" t="s">
        <v>21</v>
      </c>
      <c r="C68" s="17"/>
      <c r="D68" s="30">
        <f>D41</f>
        <v>-12</v>
      </c>
      <c r="E68" s="17"/>
      <c r="F68" s="30">
        <f>F41</f>
        <v>-13</v>
      </c>
      <c r="G68" s="12"/>
      <c r="H68" s="30">
        <f>H41</f>
        <v>-16</v>
      </c>
      <c r="I68" s="12"/>
      <c r="J68" s="30">
        <f>J41</f>
        <v>-19</v>
      </c>
      <c r="K68" s="12"/>
      <c r="L68" s="30">
        <f>L41</f>
        <v>-13</v>
      </c>
    </row>
    <row r="69" spans="1:12" ht="15">
      <c r="A69" s="12"/>
      <c r="B69" s="12" t="s">
        <v>34</v>
      </c>
      <c r="C69" s="12"/>
      <c r="D69" s="28">
        <f>SUM(D66:D68)</f>
        <v>1529</v>
      </c>
      <c r="E69" s="12"/>
      <c r="F69" s="28">
        <f>SUM(F66:F68)</f>
        <v>1324</v>
      </c>
      <c r="G69" s="12"/>
      <c r="H69" s="28">
        <f>SUM(H66:H68)</f>
        <v>1483</v>
      </c>
      <c r="I69" s="12"/>
      <c r="J69" s="28">
        <f>SUM(J66:J68)</f>
        <v>1562</v>
      </c>
      <c r="K69" s="12"/>
      <c r="L69" s="28">
        <f>SUM(L66:L68)</f>
        <v>1698</v>
      </c>
    </row>
    <row r="70" spans="1:12" ht="15">
      <c r="A70" s="12"/>
      <c r="B70" s="12"/>
      <c r="C70" s="12"/>
      <c r="D70" s="25"/>
      <c r="E70" s="12"/>
      <c r="F70" s="25"/>
      <c r="G70" s="12"/>
      <c r="H70" s="25"/>
      <c r="I70" s="12"/>
      <c r="J70" s="25"/>
      <c r="K70" s="12"/>
      <c r="L70" s="25"/>
    </row>
    <row r="71" spans="1:12" ht="15">
      <c r="A71" s="12" t="s">
        <v>5</v>
      </c>
      <c r="B71" s="12" t="s">
        <v>4</v>
      </c>
      <c r="C71" s="12"/>
      <c r="D71" s="25">
        <f>D16</f>
        <v>6117</v>
      </c>
      <c r="E71" s="12"/>
      <c r="F71" s="25">
        <f>F16</f>
        <v>6435</v>
      </c>
      <c r="G71" s="12"/>
      <c r="H71" s="25">
        <f>H16</f>
        <v>8625</v>
      </c>
      <c r="I71" s="12"/>
      <c r="J71" s="25">
        <f>J16</f>
        <v>9229</v>
      </c>
      <c r="K71" s="12"/>
      <c r="L71" s="25">
        <f>L16</f>
        <v>10032</v>
      </c>
    </row>
    <row r="72" spans="1:12" ht="15">
      <c r="A72" s="12"/>
      <c r="B72" s="12"/>
      <c r="C72" s="12"/>
      <c r="D72" s="25"/>
      <c r="E72" s="12"/>
      <c r="F72" s="25"/>
      <c r="G72" s="12"/>
      <c r="H72" s="25"/>
      <c r="I72" s="12"/>
      <c r="J72" s="25"/>
      <c r="K72" s="12"/>
      <c r="L72" s="25"/>
    </row>
    <row r="73" spans="1:12" ht="15">
      <c r="A73" s="12"/>
      <c r="B73" s="12"/>
      <c r="C73" s="12"/>
      <c r="D73" s="25"/>
      <c r="E73" s="12"/>
      <c r="F73" s="25"/>
      <c r="G73" s="12"/>
      <c r="H73" s="25"/>
      <c r="I73" s="12"/>
      <c r="J73" s="25"/>
      <c r="K73" s="12"/>
      <c r="L73" s="25"/>
    </row>
    <row r="74" spans="1:12" s="10" customFormat="1" ht="15.75">
      <c r="A74" s="18" t="s">
        <v>35</v>
      </c>
      <c r="B74" s="18"/>
      <c r="C74" s="18"/>
      <c r="D74" s="31">
        <f>D83/D87</f>
        <v>2.9162011173184359</v>
      </c>
      <c r="E74" s="18"/>
      <c r="F74" s="31">
        <f>F83/F87</f>
        <v>2.7989130434782608</v>
      </c>
      <c r="G74" s="18"/>
      <c r="H74" s="31">
        <f>H83/H87</f>
        <v>2.9390862944162435</v>
      </c>
      <c r="I74" s="18"/>
      <c r="J74" s="31">
        <f>J83/J87</f>
        <v>2.9203747072599531</v>
      </c>
      <c r="K74" s="18"/>
      <c r="L74" s="31">
        <f>L83/L87</f>
        <v>3.0885780885780885</v>
      </c>
    </row>
    <row r="75" spans="1:12" ht="15">
      <c r="A75" s="12"/>
      <c r="B75" s="12"/>
      <c r="C75" s="12"/>
      <c r="D75" s="25"/>
      <c r="E75" s="12"/>
      <c r="F75" s="25"/>
      <c r="G75" s="12"/>
      <c r="H75" s="25"/>
      <c r="I75" s="12"/>
      <c r="J75" s="25"/>
      <c r="K75" s="12"/>
      <c r="L75" s="25"/>
    </row>
    <row r="76" spans="1:12" ht="15">
      <c r="A76" s="12" t="s">
        <v>11</v>
      </c>
      <c r="B76" s="12" t="s">
        <v>27</v>
      </c>
      <c r="C76" s="12"/>
      <c r="D76" s="25">
        <f>D51</f>
        <v>419</v>
      </c>
      <c r="E76" s="12"/>
      <c r="F76" s="25">
        <f>F51</f>
        <v>545</v>
      </c>
      <c r="G76" s="12"/>
      <c r="H76" s="25">
        <f>H51</f>
        <v>651</v>
      </c>
      <c r="I76" s="12"/>
      <c r="J76" s="25">
        <f>J51</f>
        <v>713</v>
      </c>
      <c r="K76" s="12"/>
      <c r="L76" s="25">
        <f>L51</f>
        <v>770</v>
      </c>
    </row>
    <row r="77" spans="1:12" ht="15">
      <c r="A77" s="12"/>
      <c r="B77" s="17" t="s">
        <v>28</v>
      </c>
      <c r="C77" s="17"/>
      <c r="D77" s="25">
        <f>D52</f>
        <v>0</v>
      </c>
      <c r="E77" s="17"/>
      <c r="F77" s="25">
        <f>F52</f>
        <v>0</v>
      </c>
      <c r="G77" s="12"/>
      <c r="H77" s="25">
        <f>H52</f>
        <v>0</v>
      </c>
      <c r="I77" s="12"/>
      <c r="J77" s="25">
        <f>J52</f>
        <v>0</v>
      </c>
      <c r="K77" s="12"/>
      <c r="L77" s="25">
        <f>L52</f>
        <v>0</v>
      </c>
    </row>
    <row r="78" spans="1:12" ht="15">
      <c r="A78" s="12"/>
      <c r="B78" s="17" t="s">
        <v>20</v>
      </c>
      <c r="C78" s="17"/>
      <c r="D78" s="25">
        <f>D40</f>
        <v>0</v>
      </c>
      <c r="E78" s="17"/>
      <c r="F78" s="25">
        <f>F40</f>
        <v>0</v>
      </c>
      <c r="G78" s="12"/>
      <c r="H78" s="25">
        <f>H40</f>
        <v>-10</v>
      </c>
      <c r="I78" s="12"/>
      <c r="J78" s="25">
        <f>J40</f>
        <v>-29</v>
      </c>
      <c r="K78" s="12"/>
      <c r="L78" s="25">
        <f>L40</f>
        <v>-27</v>
      </c>
    </row>
    <row r="79" spans="1:12" ht="15">
      <c r="A79" s="12"/>
      <c r="B79" s="17" t="s">
        <v>29</v>
      </c>
      <c r="C79" s="17"/>
      <c r="D79" s="25">
        <f>D54</f>
        <v>267</v>
      </c>
      <c r="E79" s="17"/>
      <c r="F79" s="25">
        <f>F54</f>
        <v>117</v>
      </c>
      <c r="G79" s="12"/>
      <c r="H79" s="25">
        <f>H54</f>
        <v>123</v>
      </c>
      <c r="I79" s="12"/>
      <c r="J79" s="25">
        <f>J54</f>
        <v>136</v>
      </c>
      <c r="K79" s="12"/>
      <c r="L79" s="25">
        <f>L54</f>
        <v>153</v>
      </c>
    </row>
    <row r="80" spans="1:12" ht="15">
      <c r="A80" s="12"/>
      <c r="B80" s="17" t="s">
        <v>64</v>
      </c>
      <c r="C80" s="17"/>
      <c r="D80" s="25">
        <f>D55</f>
        <v>354</v>
      </c>
      <c r="E80" s="17"/>
      <c r="F80" s="25">
        <f>F55</f>
        <v>364</v>
      </c>
      <c r="G80" s="12"/>
      <c r="H80" s="25">
        <f>H55</f>
        <v>391</v>
      </c>
      <c r="I80" s="12"/>
      <c r="J80" s="25">
        <f>J55</f>
        <v>424</v>
      </c>
      <c r="K80" s="12"/>
      <c r="L80" s="25">
        <f>L55</f>
        <v>426</v>
      </c>
    </row>
    <row r="81" spans="1:12" ht="15">
      <c r="A81" s="12"/>
      <c r="B81" s="17" t="s">
        <v>30</v>
      </c>
      <c r="C81" s="17"/>
      <c r="D81" s="25">
        <f>D60</f>
        <v>0</v>
      </c>
      <c r="E81" s="17"/>
      <c r="F81" s="25">
        <f>F60</f>
        <v>0</v>
      </c>
      <c r="G81" s="12"/>
      <c r="H81" s="25">
        <f>H60</f>
        <v>0</v>
      </c>
      <c r="I81" s="12"/>
      <c r="J81" s="25">
        <f>J60</f>
        <v>0</v>
      </c>
      <c r="K81" s="12"/>
      <c r="L81" s="25">
        <f>L60</f>
        <v>0</v>
      </c>
    </row>
    <row r="82" spans="1:12" ht="15">
      <c r="A82" s="12"/>
      <c r="B82" s="16" t="s">
        <v>36</v>
      </c>
      <c r="C82" s="16"/>
      <c r="D82" s="27">
        <v>4</v>
      </c>
      <c r="E82" s="16"/>
      <c r="F82" s="27">
        <v>4</v>
      </c>
      <c r="G82" s="12"/>
      <c r="H82" s="27">
        <v>3</v>
      </c>
      <c r="I82" s="12"/>
      <c r="J82" s="27">
        <v>3</v>
      </c>
      <c r="K82" s="12"/>
      <c r="L82" s="27">
        <v>3</v>
      </c>
    </row>
    <row r="83" spans="1:12" ht="15">
      <c r="A83" s="12"/>
      <c r="B83" s="12"/>
      <c r="C83" s="12"/>
      <c r="D83" s="28">
        <f>SUM(D76:D82)</f>
        <v>1044</v>
      </c>
      <c r="E83" s="12"/>
      <c r="F83" s="28">
        <f>SUM(F76:F82)</f>
        <v>1030</v>
      </c>
      <c r="G83" s="12"/>
      <c r="H83" s="28">
        <f>SUM(H76:H82)</f>
        <v>1158</v>
      </c>
      <c r="I83" s="12"/>
      <c r="J83" s="28">
        <f>SUM(J76:J82)</f>
        <v>1247</v>
      </c>
      <c r="K83" s="12"/>
      <c r="L83" s="28">
        <f>SUM(L76:L82)</f>
        <v>1325</v>
      </c>
    </row>
    <row r="84" spans="1:12" ht="15">
      <c r="A84" s="12"/>
      <c r="B84" s="12"/>
      <c r="C84" s="12"/>
      <c r="D84" s="25"/>
      <c r="E84" s="12"/>
      <c r="F84" s="25"/>
      <c r="G84" s="12"/>
      <c r="H84" s="25"/>
      <c r="I84" s="12"/>
      <c r="J84" s="25"/>
      <c r="K84" s="12"/>
      <c r="L84" s="25"/>
    </row>
    <row r="85" spans="1:12" ht="15">
      <c r="A85" s="12" t="s">
        <v>5</v>
      </c>
      <c r="B85" s="12" t="s">
        <v>54</v>
      </c>
      <c r="C85" s="12"/>
      <c r="D85" s="25">
        <f>+D61</f>
        <v>354</v>
      </c>
      <c r="E85" s="12"/>
      <c r="F85" s="25">
        <f>+F61</f>
        <v>364</v>
      </c>
      <c r="G85" s="12"/>
      <c r="H85" s="25">
        <f>+H61</f>
        <v>391</v>
      </c>
      <c r="I85" s="12"/>
      <c r="J85" s="25">
        <f>+J61</f>
        <v>424</v>
      </c>
      <c r="K85" s="12"/>
      <c r="L85" s="25">
        <f>+L61</f>
        <v>426</v>
      </c>
    </row>
    <row r="86" spans="1:12" ht="15">
      <c r="A86" s="12"/>
      <c r="B86" s="17" t="s">
        <v>36</v>
      </c>
      <c r="C86" s="17"/>
      <c r="D86" s="30">
        <f>D82</f>
        <v>4</v>
      </c>
      <c r="E86" s="17"/>
      <c r="F86" s="30">
        <f>F82</f>
        <v>4</v>
      </c>
      <c r="G86" s="12"/>
      <c r="H86" s="30">
        <f>H82</f>
        <v>3</v>
      </c>
      <c r="I86" s="12"/>
      <c r="J86" s="30">
        <f>J82</f>
        <v>3</v>
      </c>
      <c r="K86" s="12"/>
      <c r="L86" s="30">
        <f>L82</f>
        <v>3</v>
      </c>
    </row>
    <row r="87" spans="1:12" ht="15">
      <c r="A87" s="12"/>
      <c r="B87" s="12"/>
      <c r="C87" s="12"/>
      <c r="D87" s="28">
        <f>SUM(D85:D86)</f>
        <v>358</v>
      </c>
      <c r="E87" s="12"/>
      <c r="F87" s="28">
        <f>SUM(F85:F86)</f>
        <v>368</v>
      </c>
      <c r="G87" s="12"/>
      <c r="H87" s="28">
        <f>SUM(H85:H86)</f>
        <v>394</v>
      </c>
      <c r="I87" s="12"/>
      <c r="J87" s="28">
        <f>SUM(J85:J86)</f>
        <v>427</v>
      </c>
      <c r="K87" s="12"/>
      <c r="L87" s="28">
        <f>SUM(L85:L86)</f>
        <v>429</v>
      </c>
    </row>
    <row r="88" spans="1:12" ht="15">
      <c r="A88" s="12"/>
      <c r="B88" s="12"/>
      <c r="C88" s="12"/>
      <c r="D88" s="25"/>
      <c r="E88" s="12"/>
      <c r="F88" s="25"/>
      <c r="G88" s="12"/>
      <c r="H88" s="25"/>
      <c r="I88" s="12"/>
      <c r="J88" s="25"/>
      <c r="K88" s="12"/>
      <c r="L88" s="25"/>
    </row>
    <row r="89" spans="1:12" s="10" customFormat="1" ht="15.75">
      <c r="A89" s="18" t="s">
        <v>37</v>
      </c>
      <c r="B89" s="18"/>
      <c r="C89" s="18"/>
      <c r="D89" s="31">
        <f>D99/D105</f>
        <v>2.9162011173184359</v>
      </c>
      <c r="E89" s="18"/>
      <c r="F89" s="31">
        <f>F99/F105</f>
        <v>2.7989130434782608</v>
      </c>
      <c r="G89" s="18"/>
      <c r="H89" s="31">
        <f>H99/H105</f>
        <v>2.9390862944162435</v>
      </c>
      <c r="I89" s="18"/>
      <c r="J89" s="31">
        <f>J99/J105</f>
        <v>2.9203747072599531</v>
      </c>
      <c r="K89" s="18"/>
      <c r="L89" s="31">
        <f>L99/L105</f>
        <v>3.0885780885780885</v>
      </c>
    </row>
    <row r="90" spans="1:12" ht="15">
      <c r="A90" s="12"/>
      <c r="B90" s="12"/>
      <c r="C90" s="12"/>
      <c r="D90" s="25"/>
      <c r="E90" s="12"/>
      <c r="F90" s="25"/>
      <c r="G90" s="12"/>
      <c r="H90" s="25"/>
      <c r="I90" s="12"/>
      <c r="J90" s="25"/>
      <c r="K90" s="12"/>
      <c r="L90" s="25"/>
    </row>
    <row r="91" spans="1:12" ht="15">
      <c r="A91" s="12" t="s">
        <v>11</v>
      </c>
      <c r="B91" s="12" t="s">
        <v>27</v>
      </c>
      <c r="C91" s="12"/>
      <c r="D91" s="25">
        <f>D76</f>
        <v>419</v>
      </c>
      <c r="E91" s="12"/>
      <c r="F91" s="25">
        <f>F76</f>
        <v>545</v>
      </c>
      <c r="G91" s="12"/>
      <c r="H91" s="25">
        <f>H76</f>
        <v>651</v>
      </c>
      <c r="I91" s="12"/>
      <c r="J91" s="25">
        <f>J76</f>
        <v>713</v>
      </c>
      <c r="K91" s="12"/>
      <c r="L91" s="25">
        <f>L76</f>
        <v>770</v>
      </c>
    </row>
    <row r="92" spans="1:12" ht="15">
      <c r="A92" s="12"/>
      <c r="B92" s="17" t="s">
        <v>28</v>
      </c>
      <c r="C92" s="17"/>
      <c r="D92" s="25">
        <f>D52</f>
        <v>0</v>
      </c>
      <c r="E92" s="17"/>
      <c r="F92" s="25">
        <f>F52</f>
        <v>0</v>
      </c>
      <c r="G92" s="12"/>
      <c r="H92" s="25">
        <f>H52</f>
        <v>0</v>
      </c>
      <c r="I92" s="12"/>
      <c r="J92" s="25">
        <f>J52</f>
        <v>0</v>
      </c>
      <c r="K92" s="12"/>
      <c r="L92" s="25">
        <f>L52</f>
        <v>0</v>
      </c>
    </row>
    <row r="93" spans="1:12" ht="15">
      <c r="A93" s="12"/>
      <c r="B93" s="17" t="s">
        <v>20</v>
      </c>
      <c r="C93" s="17"/>
      <c r="D93" s="25">
        <f>D40</f>
        <v>0</v>
      </c>
      <c r="E93" s="17"/>
      <c r="F93" s="25">
        <f>F40</f>
        <v>0</v>
      </c>
      <c r="G93" s="12"/>
      <c r="H93" s="25">
        <f>H40</f>
        <v>-10</v>
      </c>
      <c r="I93" s="12"/>
      <c r="J93" s="25">
        <f>J40</f>
        <v>-29</v>
      </c>
      <c r="K93" s="12"/>
      <c r="L93" s="25">
        <f>L40</f>
        <v>-27</v>
      </c>
    </row>
    <row r="94" spans="1:12" ht="15">
      <c r="A94" s="12"/>
      <c r="B94" s="17" t="s">
        <v>29</v>
      </c>
      <c r="C94" s="17"/>
      <c r="D94" s="25">
        <f>D79</f>
        <v>267</v>
      </c>
      <c r="E94" s="17"/>
      <c r="F94" s="25">
        <f>F79</f>
        <v>117</v>
      </c>
      <c r="G94" s="12"/>
      <c r="H94" s="25">
        <f>H79</f>
        <v>123</v>
      </c>
      <c r="I94" s="12"/>
      <c r="J94" s="25">
        <f>J79</f>
        <v>136</v>
      </c>
      <c r="K94" s="12"/>
      <c r="L94" s="25">
        <f>L79</f>
        <v>153</v>
      </c>
    </row>
    <row r="95" spans="1:12" ht="15">
      <c r="A95" s="12"/>
      <c r="B95" s="17" t="s">
        <v>64</v>
      </c>
      <c r="C95" s="17"/>
      <c r="D95" s="25">
        <f>D80</f>
        <v>354</v>
      </c>
      <c r="E95" s="17"/>
      <c r="F95" s="25">
        <f>F80</f>
        <v>364</v>
      </c>
      <c r="G95" s="12"/>
      <c r="H95" s="25">
        <f>H80</f>
        <v>391</v>
      </c>
      <c r="I95" s="12"/>
      <c r="J95" s="25">
        <f>J80</f>
        <v>424</v>
      </c>
      <c r="K95" s="12"/>
      <c r="L95" s="25">
        <f>L80</f>
        <v>426</v>
      </c>
    </row>
    <row r="96" spans="1:12" ht="15">
      <c r="A96" s="12"/>
      <c r="B96" s="17" t="s">
        <v>30</v>
      </c>
      <c r="C96" s="17"/>
      <c r="D96" s="25">
        <f>D81</f>
        <v>0</v>
      </c>
      <c r="E96" s="17"/>
      <c r="F96" s="25">
        <f>F81</f>
        <v>0</v>
      </c>
      <c r="G96" s="12"/>
      <c r="H96" s="25">
        <f>H81</f>
        <v>0</v>
      </c>
      <c r="I96" s="12"/>
      <c r="J96" s="25">
        <f>J81</f>
        <v>0</v>
      </c>
      <c r="K96" s="12"/>
      <c r="L96" s="25">
        <f>L81</f>
        <v>0</v>
      </c>
    </row>
    <row r="97" spans="1:12" ht="15">
      <c r="A97" s="12"/>
      <c r="B97" s="17" t="s">
        <v>36</v>
      </c>
      <c r="C97" s="17"/>
      <c r="D97" s="25">
        <f>D82</f>
        <v>4</v>
      </c>
      <c r="E97" s="17"/>
      <c r="F97" s="25">
        <f>F82</f>
        <v>4</v>
      </c>
      <c r="G97" s="12"/>
      <c r="H97" s="25">
        <f>H82</f>
        <v>3</v>
      </c>
      <c r="I97" s="12"/>
      <c r="J97" s="25">
        <f>J82</f>
        <v>3</v>
      </c>
      <c r="K97" s="12"/>
      <c r="L97" s="25">
        <f>L82</f>
        <v>3</v>
      </c>
    </row>
    <row r="98" spans="1:12" ht="15">
      <c r="A98" s="12"/>
      <c r="B98" s="16" t="s">
        <v>38</v>
      </c>
      <c r="C98" s="16"/>
      <c r="D98" s="27">
        <v>0</v>
      </c>
      <c r="E98" s="16"/>
      <c r="F98" s="27">
        <v>0</v>
      </c>
      <c r="G98" s="12"/>
      <c r="H98" s="27">
        <v>0</v>
      </c>
      <c r="I98" s="12"/>
      <c r="J98" s="27">
        <v>0</v>
      </c>
      <c r="K98" s="12"/>
      <c r="L98" s="27">
        <v>0</v>
      </c>
    </row>
    <row r="99" spans="1:12" ht="15">
      <c r="A99" s="12"/>
      <c r="B99" s="12"/>
      <c r="C99" s="12"/>
      <c r="D99" s="28">
        <f>SUM(D91:D98)</f>
        <v>1044</v>
      </c>
      <c r="E99" s="12"/>
      <c r="F99" s="28">
        <f>SUM(F91:F98)</f>
        <v>1030</v>
      </c>
      <c r="G99" s="12"/>
      <c r="H99" s="28">
        <f>SUM(H91:H98)</f>
        <v>1158</v>
      </c>
      <c r="I99" s="12"/>
      <c r="J99" s="28">
        <f>SUM(J91:J98)</f>
        <v>1247</v>
      </c>
      <c r="K99" s="12"/>
      <c r="L99" s="28">
        <f>SUM(L91:L98)</f>
        <v>1325</v>
      </c>
    </row>
    <row r="100" spans="1:12" ht="15">
      <c r="A100" s="12"/>
      <c r="B100" s="12"/>
      <c r="C100" s="12"/>
      <c r="D100" s="25"/>
      <c r="E100" s="12"/>
      <c r="F100" s="25"/>
      <c r="G100" s="12"/>
      <c r="H100" s="25"/>
      <c r="I100" s="12"/>
      <c r="J100" s="25"/>
      <c r="K100" s="12"/>
      <c r="L100" s="25"/>
    </row>
    <row r="101" spans="1:12" ht="15">
      <c r="A101" s="12" t="s">
        <v>5</v>
      </c>
      <c r="B101" s="12" t="s">
        <v>62</v>
      </c>
      <c r="C101" s="12"/>
      <c r="D101" s="25">
        <f>D95</f>
        <v>354</v>
      </c>
      <c r="E101" s="12"/>
      <c r="F101" s="25">
        <f>F95</f>
        <v>364</v>
      </c>
      <c r="G101" s="12"/>
      <c r="H101" s="25">
        <f>H95</f>
        <v>391</v>
      </c>
      <c r="I101" s="12"/>
      <c r="J101" s="25">
        <f>J95</f>
        <v>424</v>
      </c>
      <c r="K101" s="12"/>
      <c r="L101" s="25">
        <f>L95</f>
        <v>426</v>
      </c>
    </row>
    <row r="102" spans="1:12" ht="15">
      <c r="A102" s="12"/>
      <c r="B102" s="17" t="s">
        <v>30</v>
      </c>
      <c r="C102" s="17"/>
      <c r="D102" s="25">
        <f>D96</f>
        <v>0</v>
      </c>
      <c r="E102" s="17"/>
      <c r="F102" s="25">
        <f>F96</f>
        <v>0</v>
      </c>
      <c r="G102" s="12"/>
      <c r="H102" s="25">
        <f>H96</f>
        <v>0</v>
      </c>
      <c r="I102" s="12"/>
      <c r="J102" s="25">
        <f>J96</f>
        <v>0</v>
      </c>
      <c r="K102" s="12"/>
      <c r="L102" s="25">
        <f>L96</f>
        <v>0</v>
      </c>
    </row>
    <row r="103" spans="1:12" ht="15">
      <c r="A103" s="12"/>
      <c r="B103" s="17" t="s">
        <v>36</v>
      </c>
      <c r="C103" s="17"/>
      <c r="D103" s="32">
        <f>D97</f>
        <v>4</v>
      </c>
      <c r="E103" s="17"/>
      <c r="F103" s="32">
        <f>F97</f>
        <v>4</v>
      </c>
      <c r="G103" s="12"/>
      <c r="H103" s="32">
        <f>H97</f>
        <v>3</v>
      </c>
      <c r="I103" s="12"/>
      <c r="J103" s="32">
        <f>J97</f>
        <v>3</v>
      </c>
      <c r="K103" s="12"/>
      <c r="L103" s="32">
        <f>L97</f>
        <v>3</v>
      </c>
    </row>
    <row r="104" spans="1:12" ht="15">
      <c r="A104" s="12"/>
      <c r="B104" s="17" t="s">
        <v>38</v>
      </c>
      <c r="C104" s="17"/>
      <c r="D104" s="30">
        <f>D98</f>
        <v>0</v>
      </c>
      <c r="E104" s="17"/>
      <c r="F104" s="30">
        <f>F98</f>
        <v>0</v>
      </c>
      <c r="G104" s="12"/>
      <c r="H104" s="30">
        <f>H98</f>
        <v>0</v>
      </c>
      <c r="I104" s="12"/>
      <c r="J104" s="30">
        <f>J98</f>
        <v>0</v>
      </c>
      <c r="K104" s="12"/>
      <c r="L104" s="30">
        <f>L98</f>
        <v>0</v>
      </c>
    </row>
    <row r="105" spans="1:12" ht="15">
      <c r="A105" s="12"/>
      <c r="B105" s="12"/>
      <c r="C105" s="12"/>
      <c r="D105" s="28">
        <f>SUM(D101:D104)</f>
        <v>358</v>
      </c>
      <c r="E105" s="12"/>
      <c r="F105" s="28">
        <f>SUM(F101:F104)</f>
        <v>368</v>
      </c>
      <c r="G105" s="12"/>
      <c r="H105" s="28">
        <f>SUM(H101:H104)</f>
        <v>394</v>
      </c>
      <c r="I105" s="12"/>
      <c r="J105" s="28">
        <f>SUM(J101:J104)</f>
        <v>427</v>
      </c>
      <c r="K105" s="12"/>
      <c r="L105" s="28">
        <f>SUM(L101:L104)</f>
        <v>429</v>
      </c>
    </row>
    <row r="106" spans="1:12" ht="15">
      <c r="A106" s="12"/>
      <c r="B106" s="12"/>
      <c r="C106" s="12"/>
      <c r="D106" s="25"/>
      <c r="E106" s="12"/>
      <c r="F106" s="25"/>
      <c r="G106" s="12"/>
      <c r="H106" s="25"/>
      <c r="I106" s="12"/>
      <c r="J106" s="25"/>
      <c r="K106" s="12"/>
      <c r="L106" s="25"/>
    </row>
    <row r="107" spans="1:12" s="10" customFormat="1" ht="15.75">
      <c r="A107" s="18" t="s">
        <v>39</v>
      </c>
      <c r="B107" s="18"/>
      <c r="C107" s="18"/>
      <c r="D107" s="31">
        <f>D111/D113</f>
        <v>5.2937853107344637</v>
      </c>
      <c r="E107" s="18"/>
      <c r="F107" s="31">
        <f>F111/F113</f>
        <v>4.6483516483516487</v>
      </c>
      <c r="G107" s="18"/>
      <c r="H107" s="31">
        <f>H111/H113</f>
        <v>4.7340153452685421</v>
      </c>
      <c r="I107" s="18"/>
      <c r="J107" s="31">
        <f>J111/J113</f>
        <v>4.6415094339622645</v>
      </c>
      <c r="K107" s="18"/>
      <c r="L107" s="31">
        <f>L111/L113</f>
        <v>4.938967136150235</v>
      </c>
    </row>
    <row r="108" spans="1:12" ht="15.75">
      <c r="A108" s="12"/>
      <c r="B108" s="12"/>
      <c r="C108" s="12"/>
      <c r="D108" s="31"/>
      <c r="E108" s="12"/>
      <c r="F108" s="31"/>
      <c r="G108" s="12"/>
      <c r="H108" s="31"/>
      <c r="I108" s="12"/>
      <c r="J108" s="31"/>
      <c r="K108" s="12"/>
      <c r="L108" s="31"/>
    </row>
    <row r="109" spans="1:12" ht="15">
      <c r="A109" s="12" t="s">
        <v>11</v>
      </c>
      <c r="B109" s="12" t="s">
        <v>65</v>
      </c>
      <c r="C109" s="12"/>
      <c r="D109" s="25">
        <f>D69</f>
        <v>1529</v>
      </c>
      <c r="E109" s="12"/>
      <c r="F109" s="25">
        <f>F69</f>
        <v>1324</v>
      </c>
      <c r="G109" s="12"/>
      <c r="H109" s="25">
        <f>H69</f>
        <v>1483</v>
      </c>
      <c r="I109" s="12"/>
      <c r="J109" s="25">
        <f>J69</f>
        <v>1562</v>
      </c>
      <c r="K109" s="12"/>
      <c r="L109" s="25">
        <f>L69</f>
        <v>1698</v>
      </c>
    </row>
    <row r="110" spans="1:12" ht="15">
      <c r="A110" s="12"/>
      <c r="B110" s="16" t="s">
        <v>40</v>
      </c>
      <c r="C110" s="16"/>
      <c r="D110" s="27">
        <f>345-0</f>
        <v>345</v>
      </c>
      <c r="E110" s="16"/>
      <c r="F110" s="27">
        <v>368</v>
      </c>
      <c r="G110" s="12"/>
      <c r="H110" s="27">
        <v>368</v>
      </c>
      <c r="I110" s="12"/>
      <c r="J110" s="27">
        <v>406</v>
      </c>
      <c r="K110" s="12"/>
      <c r="L110" s="27">
        <v>406</v>
      </c>
    </row>
    <row r="111" spans="1:12" ht="15">
      <c r="A111" s="12"/>
      <c r="B111" s="12" t="s">
        <v>41</v>
      </c>
      <c r="C111" s="12"/>
      <c r="D111" s="28">
        <f>SUM(D109:D110)</f>
        <v>1874</v>
      </c>
      <c r="E111" s="12"/>
      <c r="F111" s="28">
        <f>SUM(F109:F110)</f>
        <v>1692</v>
      </c>
      <c r="G111" s="12"/>
      <c r="H111" s="28">
        <f>SUM(H109:H110)</f>
        <v>1851</v>
      </c>
      <c r="I111" s="12"/>
      <c r="J111" s="28">
        <f>SUM(J109:J110)</f>
        <v>1968</v>
      </c>
      <c r="K111" s="12"/>
      <c r="L111" s="28">
        <f>SUM(L109:L110)</f>
        <v>2104</v>
      </c>
    </row>
    <row r="112" spans="1:12" ht="15">
      <c r="A112" s="12"/>
      <c r="B112" s="12"/>
      <c r="C112" s="12"/>
      <c r="D112" s="25"/>
      <c r="E112" s="12"/>
      <c r="F112" s="25"/>
      <c r="G112" s="12"/>
      <c r="H112" s="25"/>
      <c r="I112" s="12"/>
      <c r="J112" s="25"/>
      <c r="K112" s="12"/>
      <c r="L112" s="25"/>
    </row>
    <row r="113" spans="1:12" ht="15">
      <c r="A113" s="12" t="s">
        <v>5</v>
      </c>
      <c r="B113" s="12" t="s">
        <v>53</v>
      </c>
      <c r="C113" s="12"/>
      <c r="D113" s="25">
        <f>D85</f>
        <v>354</v>
      </c>
      <c r="E113" s="12"/>
      <c r="F113" s="25">
        <f>F85</f>
        <v>364</v>
      </c>
      <c r="G113" s="12"/>
      <c r="H113" s="25">
        <f>H85</f>
        <v>391</v>
      </c>
      <c r="I113" s="12"/>
      <c r="J113" s="25">
        <f>J85</f>
        <v>424</v>
      </c>
      <c r="K113" s="12"/>
      <c r="L113" s="25">
        <f>L85</f>
        <v>426</v>
      </c>
    </row>
    <row r="114" spans="1:12" ht="15">
      <c r="A114" s="12"/>
      <c r="B114" s="12"/>
      <c r="C114" s="12"/>
      <c r="D114" s="25"/>
      <c r="E114" s="12"/>
      <c r="F114" s="25"/>
      <c r="G114" s="12"/>
      <c r="H114" s="25"/>
      <c r="I114" s="12"/>
      <c r="J114" s="25"/>
      <c r="K114" s="12"/>
      <c r="L114" s="25"/>
    </row>
    <row r="115" spans="1:12" ht="15">
      <c r="A115" s="12"/>
      <c r="B115" s="12"/>
      <c r="C115" s="12"/>
      <c r="D115" s="25"/>
      <c r="E115" s="12"/>
      <c r="F115" s="25"/>
      <c r="G115" s="12"/>
      <c r="H115" s="25"/>
      <c r="I115" s="12"/>
      <c r="J115" s="25"/>
      <c r="K115" s="12"/>
      <c r="L115" s="25"/>
    </row>
    <row r="116" spans="1:12" s="7" customFormat="1" ht="15.75">
      <c r="A116" s="13" t="s">
        <v>42</v>
      </c>
      <c r="B116" s="13"/>
      <c r="C116" s="13"/>
      <c r="D116" s="24">
        <f>D121/D123</f>
        <v>0.79802347127856699</v>
      </c>
      <c r="E116" s="13"/>
      <c r="F116" s="24">
        <f>F121/F123</f>
        <v>0.63568985176738879</v>
      </c>
      <c r="G116" s="13"/>
      <c r="H116" s="24">
        <f>H121/H123</f>
        <v>0.56204732013520042</v>
      </c>
      <c r="I116" s="13"/>
      <c r="J116" s="24">
        <f>J121/J123</f>
        <v>0.4839486356340289</v>
      </c>
      <c r="K116" s="13"/>
      <c r="L116" s="24">
        <f>L121/L123</f>
        <v>0.34961334961334961</v>
      </c>
    </row>
    <row r="117" spans="1:12" ht="15">
      <c r="A117" s="12"/>
      <c r="B117" s="12"/>
      <c r="C117" s="12"/>
      <c r="D117" s="25"/>
      <c r="E117" s="12"/>
      <c r="F117" s="25"/>
      <c r="G117" s="12"/>
      <c r="H117" s="25"/>
      <c r="I117" s="12"/>
      <c r="J117" s="25"/>
      <c r="K117" s="12"/>
      <c r="L117" s="25"/>
    </row>
    <row r="118" spans="1:12" ht="15">
      <c r="A118" s="12" t="s">
        <v>11</v>
      </c>
      <c r="B118" s="12" t="s">
        <v>65</v>
      </c>
      <c r="C118" s="12"/>
      <c r="D118" s="25">
        <f>D69</f>
        <v>1529</v>
      </c>
      <c r="E118" s="12"/>
      <c r="F118" s="25">
        <f>F69</f>
        <v>1324</v>
      </c>
      <c r="G118" s="12"/>
      <c r="H118" s="25">
        <f>H69</f>
        <v>1483</v>
      </c>
      <c r="I118" s="12"/>
      <c r="J118" s="25">
        <f>J69</f>
        <v>1562</v>
      </c>
      <c r="K118" s="12"/>
      <c r="L118" s="25">
        <f>L69</f>
        <v>1698</v>
      </c>
    </row>
    <row r="119" spans="1:12" ht="15">
      <c r="A119" s="12"/>
      <c r="B119" s="16" t="s">
        <v>43</v>
      </c>
      <c r="C119" s="16"/>
      <c r="D119" s="26">
        <v>0</v>
      </c>
      <c r="E119" s="16"/>
      <c r="F119" s="26">
        <v>0</v>
      </c>
      <c r="G119" s="12"/>
      <c r="H119" s="26">
        <v>0</v>
      </c>
      <c r="I119" s="12"/>
      <c r="J119" s="26">
        <v>0</v>
      </c>
      <c r="K119" s="12"/>
      <c r="L119" s="26">
        <v>0</v>
      </c>
    </row>
    <row r="120" spans="1:12" ht="15">
      <c r="A120" s="12"/>
      <c r="B120" s="16" t="s">
        <v>44</v>
      </c>
      <c r="C120" s="16"/>
      <c r="D120" s="33">
        <v>-237</v>
      </c>
      <c r="E120" s="16"/>
      <c r="F120" s="33">
        <v>-209</v>
      </c>
      <c r="G120" s="12"/>
      <c r="H120" s="33">
        <v>-319</v>
      </c>
      <c r="I120" s="12"/>
      <c r="J120" s="33">
        <v>-356</v>
      </c>
      <c r="K120" s="12"/>
      <c r="L120" s="33">
        <v>-839</v>
      </c>
    </row>
    <row r="121" spans="1:12" ht="15">
      <c r="A121" s="12"/>
      <c r="B121" s="12" t="s">
        <v>45</v>
      </c>
      <c r="C121" s="12"/>
      <c r="D121" s="28">
        <f>SUM(D118:D120)</f>
        <v>1292</v>
      </c>
      <c r="E121" s="12"/>
      <c r="F121" s="28">
        <f>SUM(F118:F120)</f>
        <v>1115</v>
      </c>
      <c r="G121" s="12"/>
      <c r="H121" s="28">
        <f>SUM(H118:H120)</f>
        <v>1164</v>
      </c>
      <c r="I121" s="12"/>
      <c r="J121" s="28">
        <f>SUM(J118:J120)</f>
        <v>1206</v>
      </c>
      <c r="K121" s="12"/>
      <c r="L121" s="28">
        <f>SUM(L118:L120)</f>
        <v>859</v>
      </c>
    </row>
    <row r="122" spans="1:12" ht="15">
      <c r="A122" s="12"/>
      <c r="B122" s="12"/>
      <c r="C122" s="12"/>
      <c r="D122" s="25"/>
      <c r="E122" s="12"/>
      <c r="F122" s="25"/>
      <c r="G122" s="12"/>
      <c r="H122" s="25"/>
      <c r="I122" s="12"/>
      <c r="J122" s="25"/>
      <c r="K122" s="12"/>
      <c r="L122" s="25"/>
    </row>
    <row r="123" spans="1:12" ht="15">
      <c r="A123" s="12" t="s">
        <v>5</v>
      </c>
      <c r="B123" s="12" t="s">
        <v>46</v>
      </c>
      <c r="C123" s="12"/>
      <c r="D123" s="25">
        <f>D42</f>
        <v>1619</v>
      </c>
      <c r="E123" s="12"/>
      <c r="F123" s="25">
        <f>F42</f>
        <v>1754</v>
      </c>
      <c r="G123" s="12"/>
      <c r="H123" s="25">
        <f>H42</f>
        <v>2071</v>
      </c>
      <c r="I123" s="12"/>
      <c r="J123" s="25">
        <f>J42</f>
        <v>2492</v>
      </c>
      <c r="K123" s="12"/>
      <c r="L123" s="25">
        <f>L42</f>
        <v>2457</v>
      </c>
    </row>
    <row r="124" spans="1:12" ht="15">
      <c r="A124" s="12"/>
      <c r="B124" s="12"/>
      <c r="C124" s="12"/>
      <c r="D124" s="25"/>
      <c r="E124" s="12"/>
      <c r="F124" s="25"/>
      <c r="G124" s="12"/>
      <c r="H124" s="25"/>
      <c r="I124" s="12"/>
      <c r="J124" s="25"/>
      <c r="K124" s="12"/>
      <c r="L124" s="25"/>
    </row>
    <row r="125" spans="1:12" ht="15">
      <c r="A125" s="12"/>
      <c r="B125" s="12"/>
      <c r="C125" s="12"/>
      <c r="D125" s="25"/>
      <c r="E125" s="12"/>
      <c r="F125" s="25"/>
      <c r="G125" s="12"/>
      <c r="H125" s="25"/>
      <c r="I125" s="12"/>
      <c r="J125" s="25"/>
      <c r="K125" s="12"/>
      <c r="L125" s="25"/>
    </row>
    <row r="126" spans="1:12" s="11" customFormat="1" ht="15.75">
      <c r="A126" s="19" t="s">
        <v>47</v>
      </c>
      <c r="B126" s="19"/>
      <c r="C126" s="19"/>
      <c r="D126" s="34">
        <f>D130/D132</f>
        <v>6.4514767932489452</v>
      </c>
      <c r="E126" s="19"/>
      <c r="F126" s="34">
        <f>F130/F132</f>
        <v>6.3349282296650715</v>
      </c>
      <c r="G126" s="19"/>
      <c r="H126" s="34">
        <f>H130/H132</f>
        <v>4.6489028213166144</v>
      </c>
      <c r="I126" s="19"/>
      <c r="J126" s="34">
        <f>J130/J132</f>
        <v>4.3876404494382024</v>
      </c>
      <c r="K126" s="19"/>
      <c r="L126" s="34">
        <f>L130/L132</f>
        <v>2.0238379022646007</v>
      </c>
    </row>
    <row r="127" spans="1:12" ht="15">
      <c r="A127" s="12"/>
      <c r="B127" s="12"/>
      <c r="C127" s="12"/>
      <c r="D127" s="25"/>
      <c r="E127" s="12"/>
      <c r="F127" s="25"/>
      <c r="G127" s="12"/>
      <c r="H127" s="25"/>
      <c r="I127" s="12"/>
      <c r="J127" s="25"/>
      <c r="K127" s="12"/>
      <c r="L127" s="25"/>
    </row>
    <row r="128" spans="1:12" ht="15">
      <c r="A128" s="12" t="s">
        <v>11</v>
      </c>
      <c r="B128" s="12" t="s">
        <v>65</v>
      </c>
      <c r="C128" s="12"/>
      <c r="D128" s="25">
        <f>D69</f>
        <v>1529</v>
      </c>
      <c r="E128" s="12"/>
      <c r="F128" s="25">
        <f>F69</f>
        <v>1324</v>
      </c>
      <c r="G128" s="12"/>
      <c r="H128" s="25">
        <f>H69</f>
        <v>1483</v>
      </c>
      <c r="I128" s="12"/>
      <c r="J128" s="25">
        <f>J69</f>
        <v>1562</v>
      </c>
      <c r="K128" s="12"/>
      <c r="L128" s="25">
        <f>L69</f>
        <v>1698</v>
      </c>
    </row>
    <row r="129" spans="1:12" ht="15">
      <c r="A129" s="12"/>
      <c r="B129" s="17" t="s">
        <v>43</v>
      </c>
      <c r="C129" s="17"/>
      <c r="D129" s="30">
        <f>D119</f>
        <v>0</v>
      </c>
      <c r="E129" s="17"/>
      <c r="F129" s="30">
        <f>F119</f>
        <v>0</v>
      </c>
      <c r="G129" s="12"/>
      <c r="H129" s="30">
        <f>H119</f>
        <v>0</v>
      </c>
      <c r="I129" s="12"/>
      <c r="J129" s="30">
        <f>J119</f>
        <v>0</v>
      </c>
      <c r="K129" s="12"/>
      <c r="L129" s="30">
        <f>L119</f>
        <v>0</v>
      </c>
    </row>
    <row r="130" spans="1:12" ht="15">
      <c r="A130" s="12"/>
      <c r="B130" s="12"/>
      <c r="C130" s="12"/>
      <c r="D130" s="28">
        <f>SUM(D128:D129)</f>
        <v>1529</v>
      </c>
      <c r="E130" s="12"/>
      <c r="F130" s="28">
        <f>SUM(F128:F129)</f>
        <v>1324</v>
      </c>
      <c r="G130" s="12"/>
      <c r="H130" s="28">
        <f>SUM(H128:H129)</f>
        <v>1483</v>
      </c>
      <c r="I130" s="12"/>
      <c r="J130" s="28">
        <f>SUM(J128:J129)</f>
        <v>1562</v>
      </c>
      <c r="K130" s="12"/>
      <c r="L130" s="28">
        <f>SUM(L128:L129)</f>
        <v>1698</v>
      </c>
    </row>
    <row r="131" spans="1:12" ht="15">
      <c r="A131" s="12"/>
      <c r="B131" s="12"/>
      <c r="C131" s="12"/>
      <c r="D131" s="25"/>
      <c r="E131" s="12"/>
      <c r="F131" s="25"/>
      <c r="G131" s="12"/>
      <c r="H131" s="25"/>
      <c r="I131" s="12"/>
      <c r="J131" s="25"/>
      <c r="K131" s="12"/>
      <c r="L131" s="25"/>
    </row>
    <row r="132" spans="1:12" ht="15">
      <c r="A132" s="12" t="s">
        <v>5</v>
      </c>
      <c r="B132" s="12" t="s">
        <v>48</v>
      </c>
      <c r="C132" s="12"/>
      <c r="D132" s="25">
        <f>-D120</f>
        <v>237</v>
      </c>
      <c r="E132" s="12"/>
      <c r="F132" s="25">
        <f>-F120</f>
        <v>209</v>
      </c>
      <c r="G132" s="12"/>
      <c r="H132" s="25">
        <f>-H120</f>
        <v>319</v>
      </c>
      <c r="I132" s="12"/>
      <c r="J132" s="25">
        <f>-J120</f>
        <v>356</v>
      </c>
      <c r="K132" s="12"/>
      <c r="L132" s="25">
        <f>-L120</f>
        <v>839</v>
      </c>
    </row>
    <row r="133" spans="1:12" ht="15">
      <c r="A133" s="12"/>
      <c r="B133" s="12"/>
      <c r="C133" s="12"/>
      <c r="D133" s="25"/>
      <c r="E133" s="12"/>
      <c r="F133" s="25"/>
      <c r="G133" s="12"/>
      <c r="H133" s="25"/>
      <c r="I133" s="12"/>
      <c r="J133" s="25"/>
      <c r="K133" s="12"/>
      <c r="L133" s="25"/>
    </row>
    <row r="134" spans="1:12" ht="15">
      <c r="A134" s="12"/>
      <c r="B134" s="12"/>
      <c r="C134" s="12"/>
      <c r="D134" s="25"/>
      <c r="E134" s="12"/>
      <c r="F134" s="25"/>
      <c r="G134" s="12"/>
      <c r="H134" s="25"/>
      <c r="I134" s="12"/>
      <c r="J134" s="25"/>
      <c r="K134" s="12"/>
      <c r="L134" s="25"/>
    </row>
    <row r="135" spans="1:12" s="7" customFormat="1" ht="15.75">
      <c r="A135" s="13" t="s">
        <v>55</v>
      </c>
      <c r="B135" s="13"/>
      <c r="C135" s="13"/>
      <c r="D135" s="24">
        <f>D137/D141</f>
        <v>0.10269607843137255</v>
      </c>
      <c r="E135" s="13"/>
      <c r="F135" s="24">
        <f>F137/F141</f>
        <v>0.12163821002120299</v>
      </c>
      <c r="G135" s="13"/>
      <c r="H135" s="24">
        <f>H137/H141</f>
        <v>0.11605312416436403</v>
      </c>
      <c r="I135" s="13"/>
      <c r="J135" s="24">
        <f>J137/J141</f>
        <v>0.1018353210026423</v>
      </c>
      <c r="K135" s="13"/>
      <c r="L135" s="24">
        <f>L137/L141</f>
        <v>0.097573338402078186</v>
      </c>
    </row>
    <row r="136" spans="1:12" ht="15">
      <c r="A136" s="12"/>
      <c r="B136" s="12"/>
      <c r="C136" s="12"/>
      <c r="D136" s="25"/>
      <c r="E136" s="12"/>
      <c r="F136" s="25"/>
      <c r="G136" s="12"/>
      <c r="H136" s="25"/>
      <c r="I136" s="12"/>
      <c r="J136" s="25"/>
      <c r="K136" s="12"/>
      <c r="L136" s="25"/>
    </row>
    <row r="137" spans="1:12" ht="15">
      <c r="A137" s="12" t="s">
        <v>11</v>
      </c>
      <c r="B137" s="12" t="s">
        <v>49</v>
      </c>
      <c r="C137" s="12"/>
      <c r="D137" s="25">
        <f>D51+D119</f>
        <v>419</v>
      </c>
      <c r="E137" s="12"/>
      <c r="F137" s="25">
        <f>F51+F119</f>
        <v>545</v>
      </c>
      <c r="G137" s="12"/>
      <c r="H137" s="25">
        <f>H51+H119</f>
        <v>651</v>
      </c>
      <c r="I137" s="12"/>
      <c r="J137" s="25">
        <f>J51+J119</f>
        <v>713</v>
      </c>
      <c r="K137" s="12"/>
      <c r="L137" s="25">
        <f>L51+L119</f>
        <v>770</v>
      </c>
    </row>
    <row r="138" spans="1:12" ht="15">
      <c r="A138" s="12"/>
      <c r="B138" s="12"/>
      <c r="C138" s="12"/>
      <c r="D138" s="25"/>
      <c r="E138" s="12"/>
      <c r="F138" s="25"/>
      <c r="G138" s="12"/>
      <c r="H138" s="25"/>
      <c r="I138" s="12"/>
      <c r="J138" s="25"/>
      <c r="K138" s="12"/>
      <c r="L138" s="25"/>
    </row>
    <row r="139" spans="1:12" ht="15">
      <c r="A139" s="12" t="s">
        <v>5</v>
      </c>
      <c r="B139" s="12" t="s">
        <v>50</v>
      </c>
      <c r="C139" s="12"/>
      <c r="D139" s="25">
        <v>3989</v>
      </c>
      <c r="E139" s="12"/>
      <c r="F139" s="25">
        <f>SUM(D140)</f>
        <v>4171</v>
      </c>
      <c r="G139" s="12"/>
      <c r="H139" s="25">
        <f>SUM(F140)</f>
        <v>4790</v>
      </c>
      <c r="I139" s="12"/>
      <c r="J139" s="25">
        <f>SUM(H140)</f>
        <v>6429</v>
      </c>
      <c r="K139" s="12"/>
      <c r="L139" s="25">
        <f>SUM(J140)</f>
        <v>7574</v>
      </c>
    </row>
    <row r="140" spans="1:12" ht="15">
      <c r="A140" s="12"/>
      <c r="B140" s="12" t="s">
        <v>51</v>
      </c>
      <c r="C140" s="12"/>
      <c r="D140" s="30">
        <f>D22+D21</f>
        <v>4171</v>
      </c>
      <c r="E140" s="12"/>
      <c r="F140" s="30">
        <f>F22+F21</f>
        <v>4790</v>
      </c>
      <c r="G140" s="12"/>
      <c r="H140" s="30">
        <f>H22+H21</f>
        <v>6429</v>
      </c>
      <c r="I140" s="12"/>
      <c r="J140" s="30">
        <f>J22+J21</f>
        <v>7574</v>
      </c>
      <c r="K140" s="12"/>
      <c r="L140" s="30">
        <f>L22+L21</f>
        <v>8209</v>
      </c>
    </row>
    <row r="141" spans="1:12" ht="15">
      <c r="A141" s="12"/>
      <c r="B141" s="12" t="s">
        <v>52</v>
      </c>
      <c r="C141" s="12"/>
      <c r="D141" s="28">
        <f>AVERAGE(D139:D140)</f>
        <v>4080</v>
      </c>
      <c r="E141" s="12"/>
      <c r="F141" s="28">
        <f>AVERAGE(F139:F140)</f>
        <v>4480.5</v>
      </c>
      <c r="G141" s="12"/>
      <c r="H141" s="28">
        <f>AVERAGE(H139:H140)</f>
        <v>5609.5</v>
      </c>
      <c r="I141" s="12"/>
      <c r="J141" s="28">
        <f>AVERAGE(J139:J140)</f>
        <v>7001.5</v>
      </c>
      <c r="K141" s="12"/>
      <c r="L141" s="28">
        <f>AVERAGE(L139:L140)</f>
        <v>7891.5</v>
      </c>
    </row>
    <row r="142" spans="1:12" ht="15">
      <c r="A142" s="12"/>
      <c r="B142" s="12"/>
      <c r="C142" s="12"/>
      <c r="D142" s="35"/>
      <c r="E142" s="12"/>
      <c r="F142" s="35"/>
      <c r="G142" s="12"/>
      <c r="H142" s="35"/>
      <c r="I142" s="12"/>
      <c r="J142" s="35"/>
      <c r="K142" s="12"/>
      <c r="L142" s="35"/>
    </row>
    <row r="143" spans="1:12" ht="15">
      <c r="A143" s="12"/>
      <c r="B143" s="12"/>
      <c r="C143" s="12"/>
      <c r="D143" s="35"/>
      <c r="E143" s="12"/>
      <c r="F143" s="35"/>
      <c r="G143" s="12"/>
      <c r="H143" s="35"/>
      <c r="I143" s="12"/>
      <c r="J143" s="35"/>
      <c r="K143" s="12"/>
      <c r="L143" s="35"/>
    </row>
    <row r="144" spans="1:14" ht="15.75">
      <c r="A144" s="13"/>
      <c r="B144" s="13"/>
      <c r="C144" s="13"/>
      <c r="D144" s="24"/>
      <c r="E144" s="13"/>
      <c r="F144" s="24"/>
      <c r="G144" s="13"/>
      <c r="H144" s="24"/>
      <c r="I144" s="13"/>
      <c r="J144" s="24"/>
      <c r="K144" s="13"/>
      <c r="L144" s="24"/>
      <c r="N144" s="4"/>
    </row>
    <row r="145" spans="1:12" ht="15">
      <c r="A145" s="20"/>
      <c r="B145" s="20"/>
      <c r="C145" s="20"/>
      <c r="D145" s="36"/>
      <c r="E145" s="20"/>
      <c r="F145" s="36"/>
      <c r="G145" s="20"/>
      <c r="H145" s="36"/>
      <c r="I145" s="20"/>
      <c r="J145" s="36"/>
      <c r="K145" s="20"/>
      <c r="L145" s="36"/>
    </row>
    <row r="146" spans="1:13" ht="15">
      <c r="A146" s="12"/>
      <c r="B146" s="12"/>
      <c r="C146" s="12"/>
      <c r="D146" s="17"/>
      <c r="E146" s="17"/>
      <c r="F146" s="17"/>
      <c r="G146" s="17"/>
      <c r="H146" s="17"/>
      <c r="I146" s="17"/>
      <c r="J146" s="17"/>
      <c r="K146" s="17"/>
      <c r="L146" s="17"/>
      <c r="M146" s="17"/>
    </row>
    <row r="147" spans="1:13" ht="15">
      <c r="A147" s="12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</row>
    <row r="148" spans="1:13" ht="15">
      <c r="A148" s="12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</row>
    <row r="149" spans="1:13" ht="15">
      <c r="A149" s="12"/>
      <c r="B149" s="16"/>
      <c r="C149" s="16"/>
      <c r="D149" s="17"/>
      <c r="E149" s="17"/>
      <c r="F149" s="17"/>
      <c r="G149" s="17"/>
      <c r="H149" s="17"/>
      <c r="I149" s="17"/>
      <c r="J149" s="17"/>
      <c r="K149" s="17"/>
      <c r="L149" s="17"/>
      <c r="M149" s="17"/>
    </row>
    <row r="150" spans="1:13" ht="15">
      <c r="A150" s="12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</row>
    <row r="151" spans="1:13" ht="15">
      <c r="A151" s="12"/>
      <c r="B151" s="12"/>
      <c r="C151" s="12"/>
      <c r="D151" s="17"/>
      <c r="E151" s="17"/>
      <c r="F151" s="17"/>
      <c r="G151" s="17"/>
      <c r="H151" s="17"/>
      <c r="I151" s="17"/>
      <c r="J151" s="17"/>
      <c r="K151" s="17"/>
      <c r="L151" s="17"/>
      <c r="M151" s="17"/>
    </row>
    <row r="152" spans="1:13" ht="15">
      <c r="A152" s="12"/>
      <c r="B152" s="14"/>
      <c r="C152" s="14"/>
      <c r="D152" s="17"/>
      <c r="E152" s="17"/>
      <c r="F152" s="17"/>
      <c r="G152" s="17"/>
      <c r="H152" s="17"/>
      <c r="I152" s="17"/>
      <c r="J152" s="17"/>
      <c r="K152" s="17"/>
      <c r="L152" s="17"/>
      <c r="M152" s="17"/>
    </row>
    <row r="153" spans="1:13" ht="15">
      <c r="A153" s="12"/>
      <c r="B153" s="12"/>
      <c r="C153" s="12"/>
      <c r="D153" s="17"/>
      <c r="E153" s="17"/>
      <c r="F153" s="17"/>
      <c r="G153" s="17"/>
      <c r="H153" s="17"/>
      <c r="I153" s="17"/>
      <c r="J153" s="17"/>
      <c r="K153" s="17"/>
      <c r="L153" s="17"/>
      <c r="M153" s="17"/>
    </row>
    <row r="154" spans="4:13" ht="15">
      <c r="D154" s="17"/>
      <c r="E154" s="17"/>
      <c r="F154" s="17"/>
      <c r="G154" s="17"/>
      <c r="H154" s="17"/>
      <c r="I154" s="17"/>
      <c r="J154" s="17"/>
      <c r="K154" s="17"/>
      <c r="L154" s="17"/>
      <c r="M154" s="17"/>
    </row>
  </sheetData>
  <mergeCells count="4">
    <mergeCell ref="A1:M1"/>
    <mergeCell ref="A2:M2"/>
    <mergeCell ref="A3:M3"/>
    <mergeCell ref="A4:M4"/>
  </mergeCells>
  <printOptions horizontalCentered="1"/>
  <pageMargins left="0.5" right="0.5" top="1.5" bottom="0.5" header="1" footer="0.5"/>
  <pageSetup fitToHeight="3" orientation="landscape" scale="60" r:id="rId1"/>
  <headerFooter alignWithMargins="0">
    <oddHeader>&amp;RWP/Schedule  II-C-2.8
Page &amp;P of &amp;N</oddHeader>
  </headerFooter>
  <rowBreaks count="2" manualBreakCount="2">
    <brk id="48" max="12" man="1"/>
    <brk id="88" max="12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Sched II-C-2.8 WP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