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26083" windowHeight="11072" activeTab="0"/>
  </bookViews>
  <sheets>
    <sheet name="WP II-E-1_01" sheetId="1" r:id="rId2"/>
  </sheets>
  <definedNames>
    <definedName name="_xlnm.Print_Area" localSheetId="0">'WP II-E-1_01'!$A$8:$D$38</definedName>
    <definedName name="_xlnm.Print_Titles" localSheetId="0">'WP II-E-1_01'!$1:$7</definedName>
  </definedNames>
  <calcPr calcId="191029" iterate="1" iterateCount="100" iterateDelta="0.001"/>
  <extLst/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<sst xmlns="http://schemas.openxmlformats.org/spreadsheetml/2006/main" count="88" uniqueCount="38">
  <si>
    <t>Function</t>
  </si>
  <si>
    <t>Grand Total</t>
  </si>
  <si>
    <t>ONCOR ELECTRIC DELIVERY COMPANY LLC</t>
  </si>
  <si>
    <t>SPONSOR: D. A. WATSON</t>
  </si>
  <si>
    <t>NTUSU</t>
  </si>
  <si>
    <t>II-E-1_1 PER BOOK DEPRECIATION AND AMORTIZATION EXPENSE</t>
  </si>
  <si>
    <t>Business Unit</t>
  </si>
  <si>
    <t>Per Book Expense</t>
  </si>
  <si>
    <t>Line Item</t>
  </si>
  <si>
    <t>General Plant</t>
  </si>
  <si>
    <t>Distribution (Non Substation)</t>
  </si>
  <si>
    <t>4031300-Depr-Distribution System</t>
  </si>
  <si>
    <t>4031304-Depr - Distribution - IDR</t>
  </si>
  <si>
    <t>4031730-Depn Exp-Transportation Equipm</t>
  </si>
  <si>
    <t>4031770-Gen Plt-Commun Equip</t>
  </si>
  <si>
    <t>4031796-Depr - General Plant - AMS</t>
  </si>
  <si>
    <t>4031798-Depr-General Plant</t>
  </si>
  <si>
    <t>4041000-Electric Plant</t>
  </si>
  <si>
    <t>4041003-Amortization Expense - AMS</t>
  </si>
  <si>
    <t>4031200-Depr-Transmission Plant</t>
  </si>
  <si>
    <t>4031211-Depr Exp - Transm Substation</t>
  </si>
  <si>
    <t>4031310-Depr-Dist Substation</t>
  </si>
  <si>
    <t>ESD</t>
  </si>
  <si>
    <t>Intangible Plant</t>
  </si>
  <si>
    <t>Transmission Pant</t>
  </si>
  <si>
    <t>Distribution Substation</t>
  </si>
  <si>
    <t>4031202-Depr-Transmission-Sandow</t>
  </si>
  <si>
    <t>TRN</t>
  </si>
  <si>
    <t>Transmission Pant Total</t>
  </si>
  <si>
    <t>Distribution (Non Substation) Total</t>
  </si>
  <si>
    <t>Distribution Substation Total</t>
  </si>
  <si>
    <t>General Plant Total</t>
  </si>
  <si>
    <t>Intangible Plant Total</t>
  </si>
  <si>
    <t>2022 RATE CASE</t>
  </si>
  <si>
    <t>FOR THE TEST YEAR ENDING DECEMBER 31, 2021</t>
  </si>
  <si>
    <t>4031795-Depr - Leasehold Improvements</t>
  </si>
  <si>
    <t>Transportation Eqiupment</t>
  </si>
  <si>
    <t>Transportation Eqiupment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</si>
</sst>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 Unicode MS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23">
    <xf numFmtId="0" fontId="0" fillId="0" borderId="0" xfId="0"/>
    <xf numFmtId="0" fontId="0" fillId="0" borderId="0" xfId="0" applyBorder="1"/>
    <xf numFmtId="0" fontId="4" fillId="0" borderId="0" xfId="20" applyFont="1" applyBorder="1" applyAlignment="1">
      <alignment horizontal="center"/>
      <protection/>
    </xf>
    <xf numFmtId="39" fontId="4" fillId="0" borderId="0" xfId="20" applyNumberFormat="1" applyFont="1" applyBorder="1">
      <alignment/>
      <protection/>
    </xf>
    <xf numFmtId="0" fontId="3" fillId="0" borderId="0" xfId="20" applyFont="1" applyAlignment="1">
      <alignment horizontal="center"/>
      <protection/>
    </xf>
    <xf numFmtId="4" fontId="3" fillId="0" borderId="0" xfId="20" applyNumberFormat="1" applyFont="1" applyAlignment="1">
      <alignment horizontal="center"/>
      <protection/>
    </xf>
    <xf numFmtId="43" fontId="5" fillId="0" borderId="0" xfId="18" applyFont="1" applyFill="1"/>
    <xf numFmtId="0" fontId="4" fillId="0" borderId="0" xfId="20" applyFont="1" applyAlignment="1">
      <alignment horizontal="center"/>
      <protection/>
    </xf>
    <xf numFmtId="43" fontId="4" fillId="0" borderId="0" xfId="18" applyFont="1" applyFill="1" applyAlignment="1">
      <alignment horizontal="right"/>
    </xf>
    <xf numFmtId="39" fontId="4" fillId="0" borderId="0" xfId="20" applyNumberFormat="1" applyFont="1" applyBorder="1" applyAlignment="1">
      <alignment horizontal="right"/>
      <protection/>
    </xf>
    <xf numFmtId="43" fontId="0" fillId="0" borderId="0" xfId="0" applyNumberFormat="1" applyBorder="1"/>
    <xf numFmtId="4" fontId="0" fillId="0" borderId="0" xfId="0" applyNumberFormat="1" applyBorder="1"/>
    <xf numFmtId="39" fontId="4" fillId="0" borderId="0" xfId="18" applyNumberFormat="1" applyFont="1" applyFill="1" applyAlignment="1">
      <alignment horizontal="right"/>
    </xf>
    <xf numFmtId="0" fontId="3" fillId="0" borderId="1" xfId="20" applyFont="1" applyBorder="1" applyAlignment="1">
      <alignment horizontal="center"/>
      <protection/>
    </xf>
    <xf numFmtId="0" fontId="3" fillId="0" borderId="2" xfId="20" applyFont="1" applyBorder="1" applyAlignment="1">
      <alignment horizontal="center"/>
      <protection/>
    </xf>
    <xf numFmtId="0" fontId="4" fillId="0" borderId="0" xfId="20" applyFont="1" applyAlignment="1" quotePrefix="1">
      <alignment horizontal="center"/>
      <protection/>
    </xf>
    <xf numFmtId="0" fontId="3" fillId="0" borderId="0" xfId="20" applyFont="1" applyAlignment="1">
      <alignment horizontal="center"/>
      <protection/>
    </xf>
    <xf numFmtId="0" fontId="3" fillId="0" borderId="0" xfId="20" applyFont="1" applyAlignment="1">
      <alignment horizontal="center"/>
      <protection/>
    </xf>
    <xf numFmtId="39" fontId="4" fillId="0" borderId="0" xfId="20" applyNumberFormat="1" applyFont="1" applyFill="1" applyAlignment="1">
      <alignment horizontal="right"/>
      <protection/>
    </xf>
    <xf numFmtId="0" fontId="3" fillId="0" borderId="0" xfId="20" applyFont="1" applyBorder="1" applyAlignment="1">
      <alignment horizontal="center"/>
      <protection/>
    </xf>
    <xf numFmtId="39" fontId="3" fillId="0" borderId="2" xfId="20" applyNumberFormat="1" applyFont="1" applyBorder="1" applyAlignment="1">
      <alignment horizontal="right"/>
      <protection/>
    </xf>
    <xf numFmtId="0" fontId="0" fillId="0" borderId="0" xfId="0" applyAlignment="1">
      <alignment horizontal="center"/>
    </xf>
    <xf numFmtId="0" fontId="3" fillId="0" borderId="0" xfId="20" applyFont="1" applyAlignment="1">
      <alignment horizontal="center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49"/>
  <sheetViews>
    <sheetView tabSelected="1" workbookViewId="0" topLeftCell="A1">
      <pane ySplit="6" topLeftCell="A7" activePane="bottomLeft" state="frozen"/>
      <selection pane="topLeft" activeCell="A1" sqref="A1"/>
      <selection pane="bottomLeft" activeCell="D8" sqref="D8"/>
    </sheetView>
  </sheetViews>
  <sheetFormatPr defaultRowHeight="15" outlineLevelRow="2"/>
  <cols>
    <col min="1" max="1" width="38.1428571428571" customWidth="1"/>
    <col min="2" max="2" width="49.8571428571429" customWidth="1"/>
    <col min="3" max="3" width="37.2857142857143" customWidth="1"/>
    <col min="4" max="4" width="23.7142857142857" style="1" customWidth="1"/>
    <col min="5" max="5" width="3.57142857142857" customWidth="1"/>
    <col min="6" max="6" width="1.71428571428571" customWidth="1"/>
  </cols>
  <sheetData>
    <row r="1" spans="1:6" ht="14.3">
      <c r="A1" s="22" t="s">
        <v>33</v>
      </c>
      <c r="B1" s="22"/>
      <c r="C1" s="22"/>
      <c r="D1" s="22"/>
      <c r="E1" s="22"/>
      <c r="F1" s="22"/>
    </row>
    <row r="2" spans="1:6" ht="14.3">
      <c r="A2" s="22" t="s">
        <v>2</v>
      </c>
      <c r="B2" s="22"/>
      <c r="C2" s="22"/>
      <c r="D2" s="22"/>
      <c r="E2" s="22"/>
      <c r="F2" s="22"/>
    </row>
    <row r="3" spans="1:6" ht="14.3">
      <c r="A3" s="22" t="s">
        <v>5</v>
      </c>
      <c r="B3" s="22"/>
      <c r="C3" s="22"/>
      <c r="D3" s="22"/>
      <c r="E3" s="22"/>
      <c r="F3" s="22"/>
    </row>
    <row r="4" spans="1:6" ht="14.3">
      <c r="A4" s="22" t="s">
        <v>34</v>
      </c>
      <c r="B4" s="22"/>
      <c r="C4" s="22"/>
      <c r="D4" s="22"/>
      <c r="E4" s="22"/>
      <c r="F4" s="22"/>
    </row>
    <row r="5" spans="1:6" ht="14.3">
      <c r="A5" s="22" t="s">
        <v>3</v>
      </c>
      <c r="B5" s="22"/>
      <c r="C5" s="22"/>
      <c r="D5" s="22"/>
      <c r="E5" s="22"/>
      <c r="F5" s="22"/>
    </row>
    <row r="6" spans="1:6" ht="14.3">
      <c r="A6" s="4"/>
      <c r="B6" s="4"/>
      <c r="C6" s="4"/>
      <c r="D6" s="4"/>
      <c r="E6" s="4"/>
      <c r="F6" s="4"/>
    </row>
    <row r="7" spans="1:6" ht="14.3">
      <c r="A7" s="13" t="s">
        <v>6</v>
      </c>
      <c r="B7" s="13" t="s">
        <v>0</v>
      </c>
      <c r="C7" s="13" t="s">
        <v>8</v>
      </c>
      <c r="D7" s="13" t="s">
        <v>7</v>
      </c>
      <c r="E7" s="4"/>
      <c r="F7" s="4"/>
    </row>
    <row r="8" spans="1:6" ht="14.3" outlineLevel="2">
      <c r="A8" s="7" t="s">
        <v>4</v>
      </c>
      <c r="B8" s="7" t="s">
        <v>24</v>
      </c>
      <c r="C8" s="6" t="s">
        <v>19</v>
      </c>
      <c r="D8" s="8">
        <v>30502034.41</v>
      </c>
      <c r="E8" s="4"/>
      <c r="F8" s="4"/>
    </row>
    <row r="9" spans="1:6" ht="14.3" outlineLevel="2">
      <c r="A9" s="2" t="s">
        <v>27</v>
      </c>
      <c r="B9" s="7" t="s">
        <v>24</v>
      </c>
      <c r="C9" s="2" t="s">
        <v>19</v>
      </c>
      <c r="D9" s="8">
        <v>219968525.36000001</v>
      </c>
      <c r="E9" s="4"/>
      <c r="F9" s="4"/>
    </row>
    <row r="10" spans="1:6" ht="14.3" outlineLevel="2">
      <c r="A10" s="2" t="s">
        <v>27</v>
      </c>
      <c r="B10" s="7" t="s">
        <v>24</v>
      </c>
      <c r="C10" s="2" t="s">
        <v>26</v>
      </c>
      <c r="D10" s="8">
        <v>2219.7599999999998</v>
      </c>
      <c r="E10" s="4"/>
      <c r="F10" s="4"/>
    </row>
    <row r="11" spans="1:6" ht="14.3" outlineLevel="2">
      <c r="A11" s="7" t="s">
        <v>4</v>
      </c>
      <c r="B11" s="7" t="s">
        <v>24</v>
      </c>
      <c r="C11" s="6" t="s">
        <v>20</v>
      </c>
      <c r="D11" s="8">
        <v>11566560.560000002</v>
      </c>
      <c r="E11" s="4"/>
      <c r="F11" s="4"/>
    </row>
    <row r="12" spans="1:6" ht="14.3" outlineLevel="2">
      <c r="A12" s="2" t="s">
        <v>27</v>
      </c>
      <c r="B12" s="7" t="s">
        <v>24</v>
      </c>
      <c r="C12" s="2" t="s">
        <v>20</v>
      </c>
      <c r="D12" s="8">
        <v>93576312.61999999</v>
      </c>
      <c r="E12" s="4"/>
      <c r="F12" s="4"/>
    </row>
    <row r="13" spans="1:6" ht="14.3" outlineLevel="1">
      <c r="A13" s="2"/>
      <c r="B13" s="17" t="s">
        <v>28</v>
      </c>
      <c r="C13" s="2"/>
      <c r="D13" s="8">
        <f>SUBTOTAL(9,D8:D12)</f>
        <v>355615652.70999998</v>
      </c>
      <c r="E13" s="17"/>
      <c r="F13" s="17"/>
    </row>
    <row r="14" spans="1:6" ht="14.3" outlineLevel="2">
      <c r="A14" s="7" t="s">
        <v>22</v>
      </c>
      <c r="B14" s="7" t="s">
        <v>10</v>
      </c>
      <c r="C14" s="7" t="s">
        <v>11</v>
      </c>
      <c r="D14" s="18">
        <v>330681059.91000003</v>
      </c>
      <c r="E14" s="4"/>
      <c r="F14" s="4"/>
    </row>
    <row r="15" spans="1:6" ht="14.3" outlineLevel="2">
      <c r="A15" s="7" t="s">
        <v>4</v>
      </c>
      <c r="B15" s="7" t="s">
        <v>10</v>
      </c>
      <c r="C15" s="6" t="s">
        <v>11</v>
      </c>
      <c r="D15" s="12">
        <v>138897.95999999999</v>
      </c>
      <c r="E15" s="4"/>
      <c r="F15" s="4"/>
    </row>
    <row r="16" spans="1:6" ht="14.3" outlineLevel="2">
      <c r="A16" s="7" t="s">
        <v>22</v>
      </c>
      <c r="B16" s="7" t="s">
        <v>10</v>
      </c>
      <c r="C16" s="7" t="s">
        <v>12</v>
      </c>
      <c r="D16" s="18">
        <v>6246100.2600000007</v>
      </c>
      <c r="E16" s="4"/>
      <c r="F16" s="4"/>
    </row>
    <row r="17" spans="1:6" ht="14.3" outlineLevel="1">
      <c r="A17" s="7"/>
      <c r="B17" s="17" t="s">
        <v>29</v>
      </c>
      <c r="C17" s="7"/>
      <c r="D17" s="18">
        <f>SUBTOTAL(9,D14:D16)</f>
        <v>337066058.13</v>
      </c>
      <c r="E17" s="17"/>
      <c r="F17" s="17"/>
    </row>
    <row r="18" spans="1:6" ht="14.3" outlineLevel="2">
      <c r="A18" s="7" t="s">
        <v>4</v>
      </c>
      <c r="B18" s="7" t="s">
        <v>25</v>
      </c>
      <c r="C18" s="6" t="s">
        <v>21</v>
      </c>
      <c r="D18" s="12">
        <v>4160368.7600000002</v>
      </c>
      <c r="E18" s="4"/>
      <c r="F18" s="4"/>
    </row>
    <row r="19" spans="1:6" ht="14.3" outlineLevel="2">
      <c r="A19" s="2" t="s">
        <v>27</v>
      </c>
      <c r="B19" s="2" t="s">
        <v>25</v>
      </c>
      <c r="C19" s="2" t="s">
        <v>21</v>
      </c>
      <c r="D19" s="12">
        <v>40002595.480000004</v>
      </c>
      <c r="E19" s="4"/>
      <c r="F19" s="4"/>
    </row>
    <row r="20" spans="1:6" ht="14.3" outlineLevel="1">
      <c r="A20" s="2"/>
      <c r="B20" s="19" t="s">
        <v>30</v>
      </c>
      <c r="C20" s="2"/>
      <c r="D20" s="12">
        <f>SUBTOTAL(9,D18:D19)</f>
        <v>44162964.240000002</v>
      </c>
      <c r="E20" s="17"/>
      <c r="F20" s="17"/>
    </row>
    <row r="21" spans="1:6" ht="14.3" outlineLevel="2">
      <c r="A21" s="7" t="s">
        <v>22</v>
      </c>
      <c r="B21" s="21" t="s">
        <v>36</v>
      </c>
      <c r="C21" s="7" t="s">
        <v>13</v>
      </c>
      <c r="D21" s="18">
        <v>1052635.5500000001</v>
      </c>
      <c r="E21" s="15"/>
      <c r="F21" s="4"/>
    </row>
    <row r="22" spans="1:6" ht="14.3" outlineLevel="2">
      <c r="A22" s="7" t="s">
        <v>4</v>
      </c>
      <c r="B22" s="7" t="s">
        <v>36</v>
      </c>
      <c r="C22" s="6" t="s">
        <v>13</v>
      </c>
      <c r="D22" s="12">
        <v>71042.639999999999</v>
      </c>
      <c r="E22" s="4"/>
      <c r="F22" s="4"/>
    </row>
    <row r="23" spans="1:6" ht="14.3" outlineLevel="2">
      <c r="A23" s="2" t="s">
        <v>27</v>
      </c>
      <c r="B23" s="2" t="s">
        <v>36</v>
      </c>
      <c r="C23" s="2" t="s">
        <v>13</v>
      </c>
      <c r="D23" s="12">
        <v>572003.80000000005</v>
      </c>
      <c r="E23" s="4"/>
      <c r="F23" s="4"/>
    </row>
    <row r="24" spans="1:6" ht="14.3" outlineLevel="1">
      <c r="A24" s="2"/>
      <c r="B24" s="19" t="s">
        <v>37</v>
      </c>
      <c r="C24" s="2"/>
      <c r="D24" s="12">
        <f>SUBTOTAL(9,D21:D23)</f>
        <v>1695681.99</v>
      </c>
      <c r="E24" s="17"/>
      <c r="F24" s="17"/>
    </row>
    <row r="25" spans="1:6" ht="14.3" outlineLevel="2">
      <c r="A25" s="7" t="s">
        <v>22</v>
      </c>
      <c r="B25" s="7" t="s">
        <v>9</v>
      </c>
      <c r="C25" s="7" t="s">
        <v>14</v>
      </c>
      <c r="D25" s="18">
        <v>1697132.2799999998</v>
      </c>
      <c r="E25" s="4"/>
      <c r="F25" s="4"/>
    </row>
    <row r="26" spans="1:6" ht="14.3" outlineLevel="2">
      <c r="A26" s="7" t="s">
        <v>27</v>
      </c>
      <c r="B26" s="7" t="s">
        <v>9</v>
      </c>
      <c r="C26" s="7" t="s">
        <v>35</v>
      </c>
      <c r="D26" s="18">
        <v>98939.759999999966</v>
      </c>
      <c r="E26" s="16"/>
      <c r="F26" s="16"/>
    </row>
    <row r="27" spans="1:6" ht="14.3" outlineLevel="2">
      <c r="A27" s="7" t="s">
        <v>22</v>
      </c>
      <c r="B27" s="7" t="s">
        <v>9</v>
      </c>
      <c r="C27" s="7" t="s">
        <v>35</v>
      </c>
      <c r="D27" s="18">
        <v>341905.59000000003</v>
      </c>
      <c r="E27" s="16"/>
      <c r="F27" s="16"/>
    </row>
    <row r="28" spans="1:6" ht="14.3" outlineLevel="2">
      <c r="A28" s="7" t="s">
        <v>27</v>
      </c>
      <c r="B28" s="7" t="s">
        <v>9</v>
      </c>
      <c r="C28" s="7" t="s">
        <v>16</v>
      </c>
      <c r="D28" s="18">
        <v>8777087.790000001</v>
      </c>
      <c r="E28" s="4"/>
      <c r="F28" s="4"/>
    </row>
    <row r="29" spans="1:6" ht="14.3" outlineLevel="2">
      <c r="A29" s="2" t="s">
        <v>27</v>
      </c>
      <c r="B29" s="2" t="s">
        <v>9</v>
      </c>
      <c r="C29" s="2" t="s">
        <v>14</v>
      </c>
      <c r="D29" s="12">
        <v>2994942.3900000001</v>
      </c>
      <c r="E29" s="4"/>
      <c r="F29" s="4"/>
    </row>
    <row r="30" spans="1:6" ht="14.3" outlineLevel="2">
      <c r="A30" s="7" t="s">
        <v>22</v>
      </c>
      <c r="B30" s="7" t="s">
        <v>9</v>
      </c>
      <c r="C30" s="7" t="s">
        <v>15</v>
      </c>
      <c r="D30" s="18">
        <v>2310012.3599999999</v>
      </c>
      <c r="E30" s="4"/>
      <c r="F30" s="4"/>
    </row>
    <row r="31" spans="1:6" ht="14.3" outlineLevel="2">
      <c r="A31" s="7" t="s">
        <v>22</v>
      </c>
      <c r="B31" s="7" t="s">
        <v>9</v>
      </c>
      <c r="C31" s="7" t="s">
        <v>16</v>
      </c>
      <c r="D31" s="18">
        <v>22978577.370000001</v>
      </c>
      <c r="E31" s="4"/>
      <c r="F31" s="4"/>
    </row>
    <row r="32" spans="1:6" ht="14.3" outlineLevel="2">
      <c r="A32" s="2" t="s">
        <v>4</v>
      </c>
      <c r="B32" s="2" t="s">
        <v>9</v>
      </c>
      <c r="C32" s="6" t="s">
        <v>16</v>
      </c>
      <c r="D32" s="12">
        <v>173363.06</v>
      </c>
      <c r="E32" s="4"/>
      <c r="F32" s="4"/>
    </row>
    <row r="33" spans="1:6" ht="14.3" outlineLevel="1">
      <c r="A33" s="2"/>
      <c r="B33" s="19" t="s">
        <v>31</v>
      </c>
      <c r="C33" s="6"/>
      <c r="D33" s="12">
        <f>SUBTOTAL(9,D25:D32)</f>
        <v>39371960.600000009</v>
      </c>
      <c r="E33" s="17"/>
      <c r="F33" s="17"/>
    </row>
    <row r="34" spans="1:6" ht="14.3" outlineLevel="2">
      <c r="A34" s="7" t="s">
        <v>22</v>
      </c>
      <c r="B34" s="7" t="s">
        <v>23</v>
      </c>
      <c r="C34" s="7" t="s">
        <v>17</v>
      </c>
      <c r="D34" s="18">
        <v>54199036.300000004</v>
      </c>
      <c r="E34" s="4"/>
      <c r="F34" s="4"/>
    </row>
    <row r="35" spans="1:6" ht="14.3" outlineLevel="2">
      <c r="A35" s="2" t="s">
        <v>27</v>
      </c>
      <c r="B35" s="2" t="s">
        <v>23</v>
      </c>
      <c r="C35" s="2" t="s">
        <v>17</v>
      </c>
      <c r="D35" s="12">
        <v>11190967.6</v>
      </c>
      <c r="E35" s="4"/>
      <c r="F35" s="4"/>
    </row>
    <row r="36" spans="1:6" ht="14.3" outlineLevel="2">
      <c r="A36" s="7" t="s">
        <v>22</v>
      </c>
      <c r="B36" s="2" t="s">
        <v>23</v>
      </c>
      <c r="C36" s="7" t="s">
        <v>18</v>
      </c>
      <c r="D36" s="18">
        <v>1083338.3999999997</v>
      </c>
      <c r="E36" s="4"/>
      <c r="F36" s="4"/>
    </row>
    <row r="37" spans="1:6" ht="14.3" outlineLevel="1">
      <c r="A37" s="7"/>
      <c r="B37" s="19" t="s">
        <v>32</v>
      </c>
      <c r="C37" s="7"/>
      <c r="D37" s="18">
        <f>SUBTOTAL(9,D34:D36)</f>
        <v>66473342.300000004</v>
      </c>
      <c r="E37" s="17"/>
      <c r="F37" s="17"/>
    </row>
    <row r="38" spans="1:6" ht="14.95" outlineLevel="1" thickBot="1">
      <c r="A38" s="4"/>
      <c r="B38" s="14" t="s">
        <v>1</v>
      </c>
      <c r="C38" s="14"/>
      <c r="D38" s="20">
        <f>SUBTOTAL(9,D8:D36)</f>
        <v>844385659.96999979</v>
      </c>
      <c r="E38" s="1"/>
      <c r="F38" s="3"/>
    </row>
    <row r="39" spans="1:6" ht="14.95" thickTop="1">
      <c r="A39" s="2"/>
      <c r="B39" s="2"/>
      <c r="C39" s="2"/>
      <c r="D39" s="9"/>
      <c r="E39" s="1"/>
      <c r="F39" s="3"/>
    </row>
    <row r="41" spans="2:4" ht="14.3">
      <c r="B41" s="15"/>
      <c r="D41" s="10"/>
    </row>
    <row r="45" spans="2:4" ht="14.3">
      <c r="B45" s="4"/>
      <c r="C45" s="4"/>
      <c r="D45" s="5"/>
    </row>
    <row r="46" spans="2:4" ht="14.3">
      <c r="B46" s="4"/>
      <c r="C46" s="4"/>
      <c r="D46" s="5"/>
    </row>
    <row r="47" spans="2:4" ht="14.3">
      <c r="B47" s="4"/>
      <c r="C47" s="4"/>
      <c r="D47" s="5"/>
    </row>
    <row r="48" spans="2:4" ht="14.3">
      <c r="B48" s="4"/>
      <c r="C48" s="4"/>
      <c r="D48" s="5"/>
    </row>
    <row r="49" spans="4:4" ht="14.3">
      <c r="D49" s="11"/>
    </row>
  </sheetData>
  <sortState ref="A8:D39">
    <sortCondition sortBy="value" ref="C8:C39"/>
  </sortState>
  <mergeCells count="5">
    <mergeCell ref="A1:F1"/>
    <mergeCell ref="A2:F2"/>
    <mergeCell ref="A3:F3"/>
    <mergeCell ref="A4:F4"/>
    <mergeCell ref="A5:F5"/>
  </mergeCells>
  <pageMargins left="0.7" right="0.7" top="2.25" bottom="0.75" header="1.5" footer="0.3"/>
  <pageSetup fitToHeight="4" orientation="landscape" scale="82" r:id="rId1"/>
  <headerFooter>
    <oddHeader>&amp;R&amp;"Arial,Bold"&amp;12WP/II-E-1/01
Page 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II-E-1_01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