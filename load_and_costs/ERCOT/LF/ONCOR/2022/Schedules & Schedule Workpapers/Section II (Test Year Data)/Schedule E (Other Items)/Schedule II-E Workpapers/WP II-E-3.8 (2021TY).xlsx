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0" yWindow="0" windowWidth="23040" windowHeight="8890" activeTab="0"/>
  </bookViews>
  <sheets>
    <sheet name="WP II-E-3.8" sheetId="2" r:id="rId2"/>
  </sheets>
  <definedNames>
    <definedName name="_xlnm.Print_Titles" localSheetId="0">'WP II-E-3.8'!$B:$C,'WP II-E-3.8'!$1:$9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2" i="2" l="1"/>
</calcChain>
</file>

<file path=xl/sharedStrings.xml><?xml version="1.0" encoding="utf-8"?>
<sst xmlns="http://schemas.openxmlformats.org/spreadsheetml/2006/main" count="115" uniqueCount="50">
  <si>
    <t>2022 RATE CASE</t>
  </si>
  <si>
    <t>ONCOR ELECTRIC DELIVERY COMPANY LLC</t>
  </si>
  <si>
    <t>TEST YEAR ENDING DECEMBER 31, 2021</t>
  </si>
  <si>
    <t>SPONSOR: B. L. CLUTTER</t>
  </si>
  <si>
    <t>Line No</t>
  </si>
  <si>
    <t>(a)</t>
  </si>
  <si>
    <t>(b)</t>
  </si>
  <si>
    <t>(d)</t>
  </si>
  <si>
    <t>(e)</t>
  </si>
  <si>
    <t>(i)</t>
  </si>
  <si>
    <t>(j)</t>
  </si>
  <si>
    <t>Depreciation Differences</t>
  </si>
  <si>
    <t>AFUDC</t>
  </si>
  <si>
    <t>Intangible</t>
  </si>
  <si>
    <t>CIAC</t>
  </si>
  <si>
    <t>Mixed Service Cost</t>
  </si>
  <si>
    <t>Tax Repairs</t>
  </si>
  <si>
    <t>Tax Capitalized Interest</t>
  </si>
  <si>
    <t>Pension_OPEB Non Srvc Cost</t>
  </si>
  <si>
    <t>Other</t>
  </si>
  <si>
    <t>Timing Difference</t>
  </si>
  <si>
    <t>Vintage</t>
  </si>
  <si>
    <t>Beginning Difference</t>
  </si>
  <si>
    <t>Current Difference</t>
  </si>
  <si>
    <t>Ending Difference</t>
  </si>
  <si>
    <t>Beginning DFIT Balance</t>
  </si>
  <si>
    <t xml:space="preserve"> DFIT Prosivion</t>
  </si>
  <si>
    <t xml:space="preserve"> DFIT Reversal</t>
  </si>
  <si>
    <t>Ending DFIT Balance</t>
  </si>
  <si>
    <t>Ending DFIT Balance at Stat Rate</t>
  </si>
  <si>
    <t>(c )</t>
  </si>
  <si>
    <t>(f)</t>
  </si>
  <si>
    <t>(g)</t>
  </si>
  <si>
    <t>(h)</t>
  </si>
  <si>
    <t>ONCOR</t>
  </si>
  <si>
    <t>Depreciation Difference Total</t>
  </si>
  <si>
    <t>AFUDC Total</t>
  </si>
  <si>
    <t>Intangible Total</t>
  </si>
  <si>
    <t>CIAC Total</t>
  </si>
  <si>
    <t>Mixed Service Cost Total</t>
  </si>
  <si>
    <t>Repairs Total</t>
  </si>
  <si>
    <t>Tax Capitalized Interest Total</t>
  </si>
  <si>
    <t>Pension_OPEB Non Srvc Cost Total</t>
  </si>
  <si>
    <t>Other Total</t>
  </si>
  <si>
    <t>Oncor 2017 - 2021 Additions</t>
  </si>
  <si>
    <t>NTU</t>
  </si>
  <si>
    <t>Thru 2018</t>
  </si>
  <si>
    <t>NTU Acquired and 2019 - 2021 Additions</t>
  </si>
  <si>
    <t>TOTAL ADDITIONS SINCE LAST FILING</t>
  </si>
  <si>
    <t>PLANT-RELATED ADFIT BY TIMING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</si>
</sst>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u val="single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double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3" fillId="0" borderId="0">
      <alignment/>
      <protection/>
    </xf>
  </cellStyleXfs>
  <cellXfs count="36">
    <xf numFmtId="0" fontId="0" fillId="0" borderId="0" xfId="0"/>
    <xf numFmtId="0" fontId="1" fillId="0" borderId="0" xfId="0" applyFont="1"/>
    <xf numFmtId="0" fontId="1" fillId="0" borderId="0" xfId="0" applyFont="1" applyFill="1"/>
    <xf numFmtId="0" fontId="3" fillId="0" borderId="0" xfId="22" applyFont="1">
      <alignment/>
      <protection/>
    </xf>
    <xf numFmtId="0" fontId="1" fillId="0" borderId="0" xfId="0" applyFont="1" applyAlignment="1">
      <alignment horizontal="center"/>
    </xf>
    <xf numFmtId="0" fontId="4" fillId="0" borderId="0" xfId="0" applyFont="1"/>
    <xf numFmtId="164" fontId="1" fillId="0" borderId="0" xfId="0" applyNumberFormat="1" applyFont="1"/>
    <xf numFmtId="164" fontId="5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43" fontId="4" fillId="0" borderId="1" xfId="18" applyFont="1" applyBorder="1" applyAlignment="1">
      <alignment horizontal="center" wrapText="1"/>
    </xf>
    <xf numFmtId="164" fontId="4" fillId="0" borderId="1" xfId="18" applyNumberFormat="1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18" applyNumberFormat="1" applyFont="1" applyAlignment="1">
      <alignment horizontal="center"/>
    </xf>
    <xf numFmtId="164" fontId="1" fillId="0" borderId="0" xfId="18" applyNumberFormat="1" applyFont="1"/>
    <xf numFmtId="164" fontId="4" fillId="0" borderId="2" xfId="18" applyNumberFormat="1" applyFont="1" applyBorder="1"/>
    <xf numFmtId="164" fontId="4" fillId="0" borderId="0" xfId="0" applyNumberFormat="1" applyFont="1"/>
    <xf numFmtId="164" fontId="1" fillId="0" borderId="0" xfId="18" applyNumberFormat="1" applyFont="1" applyFill="1"/>
    <xf numFmtId="164" fontId="4" fillId="0" borderId="2" xfId="0" applyNumberFormat="1" applyFont="1" applyBorder="1"/>
    <xf numFmtId="0" fontId="4" fillId="0" borderId="0" xfId="0" applyFont="1" applyFill="1"/>
    <xf numFmtId="44" fontId="4" fillId="0" borderId="0" xfId="16" applyFont="1" applyFill="1"/>
    <xf numFmtId="164" fontId="4" fillId="0" borderId="3" xfId="0" applyNumberFormat="1" applyFont="1" applyBorder="1"/>
    <xf numFmtId="0" fontId="6" fillId="0" borderId="0" xfId="0" applyFont="1"/>
    <xf numFmtId="10" fontId="2" fillId="0" borderId="0" xfId="22" applyNumberFormat="1" applyFont="1" applyBorder="1" applyAlignment="1">
      <alignment horizontal="center"/>
      <protection/>
    </xf>
    <xf numFmtId="164" fontId="3" fillId="0" borderId="0" xfId="18" applyNumberFormat="1" applyFont="1" applyBorder="1" applyAlignment="1">
      <alignment horizontal="center"/>
    </xf>
    <xf numFmtId="164" fontId="4" fillId="0" borderId="0" xfId="0" applyNumberFormat="1" applyFont="1" applyBorder="1"/>
    <xf numFmtId="164" fontId="4" fillId="0" borderId="4" xfId="0" applyNumberFormat="1" applyFont="1" applyBorder="1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/>
    </xf>
    <xf numFmtId="0" fontId="2" fillId="0" borderId="0" xfId="22" applyFont="1" applyAlignment="1">
      <alignment/>
      <protection/>
    </xf>
    <xf numFmtId="0" fontId="2" fillId="0" borderId="0" xfId="22" applyFont="1" applyFill="1" applyBorder="1" applyAlignment="1">
      <alignment/>
      <protection/>
    </xf>
    <xf numFmtId="14" fontId="2" fillId="0" borderId="0" xfId="22" applyNumberFormat="1" applyFont="1" applyFill="1" applyBorder="1" applyAlignment="1">
      <alignment/>
      <protection/>
    </xf>
    <xf numFmtId="0" fontId="2" fillId="0" borderId="0" xfId="22" applyFont="1" applyAlignment="1">
      <alignment horizontal="center"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4" xfId="20"/>
    <cellStyle name="Comma 2" xfId="21"/>
    <cellStyle name="Normal 2 2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92D050"/>
  </sheetPr>
  <dimension ref="A1:M113"/>
  <sheetViews>
    <sheetView tabSelected="1" zoomScale="80" zoomScaleNormal="80" zoomScaleSheetLayoutView="80" workbookViewId="0" topLeftCell="A1">
      <pane xSplit="3" ySplit="8" topLeftCell="D9" activePane="bottomRight" state="frozen"/>
      <selection pane="topLeft" activeCell="A1" sqref="A1:J1"/>
      <selection pane="bottomLeft" activeCell="A1" sqref="A1:J1"/>
      <selection pane="topRight" activeCell="A1" sqref="A1:J1"/>
      <selection pane="bottomRight" activeCell="N9" sqref="N9"/>
    </sheetView>
  </sheetViews>
  <sheetFormatPr defaultColWidth="9.18428571428571" defaultRowHeight="12.75"/>
  <cols>
    <col min="1" max="1" width="9.71428571428571" style="4" bestFit="1" customWidth="1"/>
    <col min="2" max="2" width="39.5714285714286" style="1" customWidth="1"/>
    <col min="3" max="3" width="10.7142857142857" style="4" customWidth="1"/>
    <col min="4" max="4" width="17.5714285714286" style="6" bestFit="1" customWidth="1"/>
    <col min="5" max="5" width="17.4285714285714" style="6" customWidth="1"/>
    <col min="6" max="6" width="17.5714285714286" style="6" bestFit="1" customWidth="1"/>
    <col min="7" max="7" width="15.4285714285714" style="6" customWidth="1"/>
    <col min="8" max="8" width="14.8571428571429" style="6" bestFit="1" customWidth="1"/>
    <col min="9" max="11" width="17.5714285714286" style="6" bestFit="1" customWidth="1"/>
    <col min="12" max="12" width="16" style="6" customWidth="1"/>
    <col min="13" max="13" width="16.2857142857143" style="1" bestFit="1" customWidth="1"/>
    <col min="14" max="16384" width="9.14285714285714" style="1"/>
  </cols>
  <sheetData>
    <row r="1" spans="1:12" s="3" customFormat="1" ht="1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2"/>
    </row>
    <row r="2" spans="1:12" s="3" customFormat="1" ht="1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3"/>
    </row>
    <row r="3" spans="1:12" s="3" customFormat="1" ht="13">
      <c r="A3" s="35" t="s">
        <v>49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3"/>
    </row>
    <row r="4" spans="1:12" s="3" customFormat="1" ht="13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4"/>
    </row>
    <row r="5" spans="1:12" s="3" customFormat="1" ht="13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3"/>
    </row>
    <row r="6" spans="2:2" ht="13">
      <c r="B6" s="5"/>
    </row>
    <row r="7" spans="2:11" ht="13">
      <c r="B7" s="5"/>
      <c r="D7" s="7"/>
      <c r="E7" s="7"/>
      <c r="F7" s="7"/>
      <c r="G7" s="7"/>
      <c r="H7" s="7"/>
      <c r="I7" s="7"/>
      <c r="J7" s="7"/>
      <c r="K7" s="7"/>
    </row>
    <row r="8" spans="1:11" s="11" customFormat="1" ht="40.5" customHeight="1">
      <c r="A8" s="8" t="s">
        <v>4</v>
      </c>
      <c r="B8" s="8" t="s">
        <v>20</v>
      </c>
      <c r="C8" s="9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10" t="s">
        <v>28</v>
      </c>
      <c r="K8" s="10" t="s">
        <v>29</v>
      </c>
    </row>
    <row r="9" spans="2:12" s="30" customFormat="1" ht="12.5">
      <c r="B9" s="4" t="s">
        <v>5</v>
      </c>
      <c r="C9" s="4" t="s">
        <v>6</v>
      </c>
      <c r="D9" s="31" t="s">
        <v>30</v>
      </c>
      <c r="E9" s="31" t="s">
        <v>7</v>
      </c>
      <c r="F9" s="31" t="s">
        <v>8</v>
      </c>
      <c r="G9" s="31" t="s">
        <v>31</v>
      </c>
      <c r="H9" s="31" t="s">
        <v>32</v>
      </c>
      <c r="I9" s="31" t="s">
        <v>33</v>
      </c>
      <c r="J9" s="31" t="s">
        <v>9</v>
      </c>
      <c r="K9" s="31" t="s">
        <v>10</v>
      </c>
      <c r="L9" s="31"/>
    </row>
    <row r="10" spans="1:12" s="11" customFormat="1" ht="13">
      <c r="A10" s="4">
        <v>1</v>
      </c>
      <c r="B10" s="14" t="s">
        <v>34</v>
      </c>
      <c r="C10" s="12"/>
      <c r="D10" s="13"/>
      <c r="E10" s="13"/>
      <c r="F10" s="13"/>
      <c r="G10" s="13"/>
      <c r="H10" s="13"/>
      <c r="I10" s="13"/>
      <c r="J10" s="13"/>
      <c r="K10" s="13"/>
      <c r="L10" s="13"/>
    </row>
    <row r="11" spans="1:12" s="11" customFormat="1" ht="13">
      <c r="A11" s="4">
        <f>+A10+1</f>
        <v>2</v>
      </c>
      <c r="B11" s="15"/>
      <c r="C11" s="12"/>
      <c r="D11" s="13"/>
      <c r="E11" s="13"/>
      <c r="F11" s="13"/>
      <c r="G11" s="13"/>
      <c r="H11" s="13"/>
      <c r="I11" s="13"/>
      <c r="J11" s="13"/>
      <c r="K11" s="13"/>
      <c r="L11" s="13"/>
    </row>
    <row r="12" spans="1:11" ht="12.5">
      <c r="A12" s="4">
        <f t="shared" si="0" ref="A12:A75">+A11+1</f>
        <v>3</v>
      </c>
      <c r="B12" s="1" t="s">
        <v>11</v>
      </c>
      <c r="C12" s="16">
        <v>2017</v>
      </c>
      <c r="D12" s="17">
        <v>672416083.83000004</v>
      </c>
      <c r="E12" s="17">
        <f>+F12-D12</f>
        <v>5501018.8799999952</v>
      </c>
      <c r="F12" s="17">
        <v>677917102.71000004</v>
      </c>
      <c r="G12" s="17">
        <v>228287057.81999999</v>
      </c>
      <c r="H12" s="17">
        <v>1619430.8100000001</v>
      </c>
      <c r="I12" s="17">
        <v>-735940.32999999996</v>
      </c>
      <c r="J12" s="17">
        <v>229170548.30000001</v>
      </c>
      <c r="K12" s="17">
        <v>142362591.56999999</v>
      </c>
    </row>
    <row r="13" spans="1:11" ht="12.5">
      <c r="A13" s="4">
        <f t="shared" si="0"/>
        <v>4</v>
      </c>
      <c r="B13" s="1" t="s">
        <v>11</v>
      </c>
      <c r="C13" s="16">
        <v>2018</v>
      </c>
      <c r="D13" s="17">
        <v>323613646.85000002</v>
      </c>
      <c r="E13" s="17">
        <f t="shared" si="1" ref="E13:E16">+F13-D13</f>
        <v>54043915.909999967</v>
      </c>
      <c r="F13" s="17">
        <v>377657562.75999999</v>
      </c>
      <c r="G13" s="17">
        <v>67958865.859999999</v>
      </c>
      <c r="H13" s="17">
        <v>11431121.949999999</v>
      </c>
      <c r="I13" s="17">
        <v>-81899.589999999997</v>
      </c>
      <c r="J13" s="17">
        <v>79308088.219999999</v>
      </c>
      <c r="K13" s="17">
        <v>79308088.180000007</v>
      </c>
    </row>
    <row r="14" spans="1:11" ht="12.5">
      <c r="A14" s="4">
        <f t="shared" si="0"/>
        <v>5</v>
      </c>
      <c r="B14" s="1" t="s">
        <v>11</v>
      </c>
      <c r="C14" s="16">
        <v>2019</v>
      </c>
      <c r="D14" s="17">
        <v>181576828.75999999</v>
      </c>
      <c r="E14" s="17">
        <f t="shared" si="1"/>
        <v>87745217.829999983</v>
      </c>
      <c r="F14" s="17">
        <v>269322046.58999997</v>
      </c>
      <c r="G14" s="17">
        <v>38131134.130000003</v>
      </c>
      <c r="H14" s="17">
        <v>18412561.359999999</v>
      </c>
      <c r="I14" s="17">
        <v>13934.389999999999</v>
      </c>
      <c r="J14" s="17">
        <v>56557629.880000003</v>
      </c>
      <c r="K14" s="17">
        <v>56557629.780000001</v>
      </c>
    </row>
    <row r="15" spans="1:11" ht="12.5">
      <c r="A15" s="4">
        <f t="shared" si="0"/>
        <v>6</v>
      </c>
      <c r="B15" s="1" t="s">
        <v>11</v>
      </c>
      <c r="C15" s="16">
        <v>2020</v>
      </c>
      <c r="D15" s="17">
        <v>57926432.810000002</v>
      </c>
      <c r="E15" s="17">
        <f t="shared" si="1"/>
        <v>147133294.38999999</v>
      </c>
      <c r="F15" s="17">
        <v>205059727.19999999</v>
      </c>
      <c r="G15" s="17">
        <v>12164550.84</v>
      </c>
      <c r="H15" s="17">
        <v>30493301.859999999</v>
      </c>
      <c r="I15" s="17">
        <v>404690.01000000001</v>
      </c>
      <c r="J15" s="17">
        <v>43062542.700000003</v>
      </c>
      <c r="K15" s="17">
        <v>43062542.710000001</v>
      </c>
    </row>
    <row r="16" spans="1:11" ht="12.5">
      <c r="A16" s="4">
        <f t="shared" si="0"/>
        <v>7</v>
      </c>
      <c r="B16" s="1" t="s">
        <v>11</v>
      </c>
      <c r="C16" s="16">
        <v>2021</v>
      </c>
      <c r="D16" s="17">
        <v>0</v>
      </c>
      <c r="E16" s="17">
        <f t="shared" si="1"/>
        <v>74408151.049999997</v>
      </c>
      <c r="F16" s="17">
        <v>74408151.049999997</v>
      </c>
      <c r="G16" s="17">
        <v>0</v>
      </c>
      <c r="H16" s="17">
        <v>15625711.69</v>
      </c>
      <c r="I16" s="17">
        <v>0</v>
      </c>
      <c r="J16" s="17">
        <v>15625711.69</v>
      </c>
      <c r="K16" s="17">
        <v>15625711.720000001</v>
      </c>
    </row>
    <row r="17" spans="1:13" s="5" customFormat="1" ht="13">
      <c r="A17" s="4">
        <f t="shared" si="0"/>
        <v>8</v>
      </c>
      <c r="B17" s="5" t="s">
        <v>35</v>
      </c>
      <c r="C17" s="12"/>
      <c r="D17" s="18">
        <f>SUM(D12:D16)</f>
        <v>1235532992.25</v>
      </c>
      <c r="E17" s="18">
        <f t="shared" si="2" ref="E17:K17">SUM(E12:E16)</f>
        <v>368831598.05999994</v>
      </c>
      <c r="F17" s="18">
        <f t="shared" si="2"/>
        <v>1604364590.3099999</v>
      </c>
      <c r="G17" s="18">
        <f t="shared" si="2"/>
        <v>346541608.64999998</v>
      </c>
      <c r="H17" s="18">
        <f t="shared" si="2"/>
        <v>77582127.670000002</v>
      </c>
      <c r="I17" s="18">
        <f>SUM(I12:I16)</f>
        <v>-399215.5199999999</v>
      </c>
      <c r="J17" s="18">
        <f t="shared" si="2"/>
        <v>423724520.78999996</v>
      </c>
      <c r="K17" s="18">
        <f t="shared" si="2"/>
        <v>336916563.95999998</v>
      </c>
      <c r="M17" s="19"/>
    </row>
    <row r="18" spans="1:12" ht="12.5">
      <c r="A18" s="4">
        <f t="shared" si="0"/>
        <v>9</v>
      </c>
      <c r="L18" s="1"/>
    </row>
    <row r="19" spans="1:11" s="2" customFormat="1" ht="12.5">
      <c r="A19" s="4">
        <f t="shared" si="0"/>
        <v>10</v>
      </c>
      <c r="B19" s="2" t="s">
        <v>12</v>
      </c>
      <c r="C19" s="16">
        <v>2017</v>
      </c>
      <c r="D19" s="20">
        <v>13912185.869999999</v>
      </c>
      <c r="E19" s="17">
        <f>+F19-D19</f>
        <v>-761046</v>
      </c>
      <c r="F19" s="20">
        <v>13151139.869999999</v>
      </c>
      <c r="G19" s="20">
        <v>4869290.29</v>
      </c>
      <c r="H19" s="20">
        <v>0</v>
      </c>
      <c r="I19" s="20">
        <v>-266367.01000000001</v>
      </c>
      <c r="J19" s="20">
        <v>4602923.2800000003</v>
      </c>
      <c r="K19" s="20">
        <v>2761739.3700000001</v>
      </c>
    </row>
    <row r="20" spans="1:12" ht="12.5">
      <c r="A20" s="4">
        <f t="shared" si="0"/>
        <v>11</v>
      </c>
      <c r="B20" s="2" t="s">
        <v>12</v>
      </c>
      <c r="C20" s="16">
        <v>2018</v>
      </c>
      <c r="D20" s="17">
        <v>10637480.6</v>
      </c>
      <c r="E20" s="17">
        <f t="shared" si="3" ref="E20:E23">+F20-D20</f>
        <v>-393724.4299999997</v>
      </c>
      <c r="F20" s="17">
        <v>10243756.17</v>
      </c>
      <c r="G20" s="17">
        <v>2233870.8500000001</v>
      </c>
      <c r="H20" s="17">
        <v>0</v>
      </c>
      <c r="I20" s="17">
        <v>-82682.100000000006</v>
      </c>
      <c r="J20" s="17">
        <v>2151188.75</v>
      </c>
      <c r="K20" s="17">
        <v>2151188.7999999998</v>
      </c>
      <c r="L20" s="1"/>
    </row>
    <row r="21" spans="1:12" ht="12.5">
      <c r="A21" s="4">
        <f t="shared" si="0"/>
        <v>12</v>
      </c>
      <c r="B21" s="2" t="s">
        <v>12</v>
      </c>
      <c r="C21" s="16">
        <v>2019</v>
      </c>
      <c r="D21" s="17">
        <v>21707232.609999999</v>
      </c>
      <c r="E21" s="17">
        <f t="shared" si="3"/>
        <v>-786112.96999999881</v>
      </c>
      <c r="F21" s="17">
        <v>20921119.640000001</v>
      </c>
      <c r="G21" s="17">
        <v>3143107.29</v>
      </c>
      <c r="H21" s="17">
        <v>0</v>
      </c>
      <c r="I21" s="17">
        <v>-114957.16</v>
      </c>
      <c r="J21" s="17">
        <v>3028150.1299999999</v>
      </c>
      <c r="K21" s="17">
        <v>4393435.1299999999</v>
      </c>
      <c r="L21" s="1"/>
    </row>
    <row r="22" spans="1:12" ht="12.5">
      <c r="A22" s="4">
        <f t="shared" si="0"/>
        <v>13</v>
      </c>
      <c r="B22" s="2" t="s">
        <v>12</v>
      </c>
      <c r="C22" s="16">
        <v>2020</v>
      </c>
      <c r="D22" s="17">
        <v>41166454.659999996</v>
      </c>
      <c r="E22" s="17">
        <f t="shared" si="3"/>
        <v>-1237095.9799999967</v>
      </c>
      <c r="F22" s="17">
        <v>39929358.68</v>
      </c>
      <c r="G22" s="17">
        <v>3814638.1800000002</v>
      </c>
      <c r="H22" s="17">
        <v>0</v>
      </c>
      <c r="I22" s="17">
        <v>-115174.88000000001</v>
      </c>
      <c r="J22" s="17">
        <v>3699463.2999999998</v>
      </c>
      <c r="K22" s="17">
        <v>8385165.3200000003</v>
      </c>
      <c r="L22" s="1"/>
    </row>
    <row r="23" spans="1:12" ht="12.5">
      <c r="A23" s="4">
        <f t="shared" si="0"/>
        <v>14</v>
      </c>
      <c r="B23" s="2" t="s">
        <v>12</v>
      </c>
      <c r="C23" s="16">
        <v>2021</v>
      </c>
      <c r="D23" s="17">
        <v>0</v>
      </c>
      <c r="E23" s="17">
        <f t="shared" si="3"/>
        <v>40349274.100000001</v>
      </c>
      <c r="F23" s="17">
        <v>40349274.100000001</v>
      </c>
      <c r="G23" s="17">
        <v>0</v>
      </c>
      <c r="H23" s="17">
        <v>4629546.1699999999</v>
      </c>
      <c r="I23" s="17">
        <v>-64086.529999999999</v>
      </c>
      <c r="J23" s="17">
        <v>4565459.6299999999</v>
      </c>
      <c r="K23" s="17">
        <v>8473347.5600000005</v>
      </c>
      <c r="L23" s="1"/>
    </row>
    <row r="24" spans="1:11" s="5" customFormat="1" ht="13">
      <c r="A24" s="4">
        <f t="shared" si="0"/>
        <v>15</v>
      </c>
      <c r="B24" s="5" t="s">
        <v>36</v>
      </c>
      <c r="C24" s="12"/>
      <c r="D24" s="21">
        <f>SUM(D19:D23)</f>
        <v>87423353.739999995</v>
      </c>
      <c r="E24" s="21">
        <f t="shared" si="4" ref="E24:K24">SUM(E19:E23)</f>
        <v>37171294.720000006</v>
      </c>
      <c r="F24" s="21">
        <f t="shared" si="4"/>
        <v>124594648.46000001</v>
      </c>
      <c r="G24" s="21">
        <f t="shared" si="4"/>
        <v>14060906.609999999</v>
      </c>
      <c r="H24" s="21">
        <f t="shared" si="4"/>
        <v>4629546.1699999999</v>
      </c>
      <c r="I24" s="21">
        <f t="shared" si="4"/>
        <v>-643267.68000000005</v>
      </c>
      <c r="J24" s="21">
        <f t="shared" si="4"/>
        <v>18047185.09</v>
      </c>
      <c r="K24" s="21">
        <f t="shared" si="4"/>
        <v>26164876.18</v>
      </c>
    </row>
    <row r="25" spans="1:12" ht="12.5">
      <c r="A25" s="4">
        <f t="shared" si="0"/>
        <v>16</v>
      </c>
      <c r="L25" s="1"/>
    </row>
    <row r="26" spans="1:11" s="2" customFormat="1" ht="12.5">
      <c r="A26" s="4">
        <f t="shared" si="0"/>
        <v>17</v>
      </c>
      <c r="B26" s="2" t="s">
        <v>13</v>
      </c>
      <c r="C26" s="16">
        <v>2017</v>
      </c>
      <c r="D26" s="20">
        <v>180252462.09999999</v>
      </c>
      <c r="E26" s="17">
        <f>+F26-D26</f>
        <v>-12713672.409999996</v>
      </c>
      <c r="F26" s="20">
        <v>167538789.69</v>
      </c>
      <c r="G26" s="20">
        <v>48169574.409999996</v>
      </c>
      <c r="H26" s="20">
        <v>0</v>
      </c>
      <c r="I26" s="20">
        <v>-3376052.4900000002</v>
      </c>
      <c r="J26" s="20">
        <v>44793521.920000002</v>
      </c>
      <c r="K26" s="20">
        <v>35183145.829999998</v>
      </c>
    </row>
    <row r="27" spans="1:12" ht="12.5">
      <c r="A27" s="4">
        <f t="shared" si="0"/>
        <v>18</v>
      </c>
      <c r="B27" s="2" t="s">
        <v>13</v>
      </c>
      <c r="C27" s="16">
        <v>2018</v>
      </c>
      <c r="D27" s="17">
        <v>90142802.379999995</v>
      </c>
      <c r="E27" s="17">
        <f t="shared" si="5" ref="E27:E30">+F27-D27</f>
        <v>-5287817.7099999934</v>
      </c>
      <c r="F27" s="17">
        <v>84854984.670000002</v>
      </c>
      <c r="G27" s="17">
        <v>18929988.489999998</v>
      </c>
      <c r="H27" s="17">
        <v>0</v>
      </c>
      <c r="I27" s="17">
        <v>-1110441.72</v>
      </c>
      <c r="J27" s="17">
        <v>17819546.77</v>
      </c>
      <c r="K27" s="17">
        <v>17819546.780000001</v>
      </c>
      <c r="L27" s="1"/>
    </row>
    <row r="28" spans="1:12" ht="12.5">
      <c r="A28" s="4">
        <f t="shared" si="0"/>
        <v>19</v>
      </c>
      <c r="B28" s="2" t="s">
        <v>13</v>
      </c>
      <c r="C28" s="16">
        <v>2019</v>
      </c>
      <c r="D28" s="17">
        <v>129520053.09</v>
      </c>
      <c r="E28" s="17">
        <f t="shared" si="5"/>
        <v>-7915116.900000006</v>
      </c>
      <c r="F28" s="17">
        <v>121604936.19</v>
      </c>
      <c r="G28" s="17">
        <v>27199211.16</v>
      </c>
      <c r="H28" s="17">
        <v>0</v>
      </c>
      <c r="I28" s="17">
        <v>-1662174.5500000001</v>
      </c>
      <c r="J28" s="17">
        <v>25537036.609999999</v>
      </c>
      <c r="K28" s="17">
        <v>25537036.600000001</v>
      </c>
      <c r="L28" s="1"/>
    </row>
    <row r="29" spans="1:12" ht="12.5">
      <c r="A29" s="4">
        <f t="shared" si="0"/>
        <v>20</v>
      </c>
      <c r="B29" s="2" t="s">
        <v>13</v>
      </c>
      <c r="C29" s="16">
        <v>2020</v>
      </c>
      <c r="D29" s="17">
        <v>87383840.120000005</v>
      </c>
      <c r="E29" s="17">
        <f t="shared" si="5"/>
        <v>-2676616.700000003</v>
      </c>
      <c r="F29" s="17">
        <v>84707223.420000002</v>
      </c>
      <c r="G29" s="17">
        <v>18350606.420000002</v>
      </c>
      <c r="H29" s="17">
        <v>0</v>
      </c>
      <c r="I29" s="17">
        <v>-562089.48999999999</v>
      </c>
      <c r="J29" s="17">
        <v>17788516.93</v>
      </c>
      <c r="K29" s="17">
        <v>17788516.920000002</v>
      </c>
      <c r="L29" s="1"/>
    </row>
    <row r="30" spans="1:12" ht="12.5">
      <c r="A30" s="4">
        <f t="shared" si="0"/>
        <v>21</v>
      </c>
      <c r="B30" s="2" t="s">
        <v>13</v>
      </c>
      <c r="C30" s="16">
        <v>2021</v>
      </c>
      <c r="D30" s="17">
        <v>0</v>
      </c>
      <c r="E30" s="17">
        <f t="shared" si="5"/>
        <v>110529532.91</v>
      </c>
      <c r="F30" s="17">
        <v>110529532.91</v>
      </c>
      <c r="G30" s="17">
        <v>0</v>
      </c>
      <c r="H30" s="17">
        <v>23717918.559999999</v>
      </c>
      <c r="I30" s="17">
        <v>-506716.65000000002</v>
      </c>
      <c r="J30" s="17">
        <v>23211201.91</v>
      </c>
      <c r="K30" s="17">
        <v>23211201.91</v>
      </c>
      <c r="L30" s="1"/>
    </row>
    <row r="31" spans="1:11" s="5" customFormat="1" ht="13">
      <c r="A31" s="4">
        <f t="shared" si="0"/>
        <v>22</v>
      </c>
      <c r="B31" s="5" t="s">
        <v>37</v>
      </c>
      <c r="C31" s="12"/>
      <c r="D31" s="21">
        <f>SUM(D26:D30)</f>
        <v>487299157.69000006</v>
      </c>
      <c r="E31" s="21">
        <f t="shared" si="6" ref="E31:K31">SUM(E26:E30)</f>
        <v>81936309.189999998</v>
      </c>
      <c r="F31" s="21">
        <f t="shared" si="6"/>
        <v>569235466.88</v>
      </c>
      <c r="G31" s="21">
        <f t="shared" si="6"/>
        <v>112649380.47999999</v>
      </c>
      <c r="H31" s="21">
        <f t="shared" si="6"/>
        <v>23717918.559999999</v>
      </c>
      <c r="I31" s="21">
        <f t="shared" si="6"/>
        <v>-7217474.9000000004</v>
      </c>
      <c r="J31" s="21">
        <f t="shared" si="6"/>
        <v>129149824.13999999</v>
      </c>
      <c r="K31" s="21">
        <f t="shared" si="6"/>
        <v>119539448.04000001</v>
      </c>
    </row>
    <row r="32" spans="1:12" ht="12.5">
      <c r="A32" s="4">
        <f t="shared" si="0"/>
        <v>23</v>
      </c>
      <c r="L32" s="1"/>
    </row>
    <row r="33" spans="1:12" ht="12.5">
      <c r="A33" s="4">
        <f t="shared" si="0"/>
        <v>24</v>
      </c>
      <c r="B33" s="2" t="s">
        <v>14</v>
      </c>
      <c r="C33" s="16">
        <v>2017</v>
      </c>
      <c r="D33" s="17">
        <v>-47329024.329999998</v>
      </c>
      <c r="E33" s="17">
        <f>+F33-D33</f>
        <v>4131004.6199999973</v>
      </c>
      <c r="F33" s="17">
        <v>-43198019.710000001</v>
      </c>
      <c r="G33" s="17">
        <v>-14818894.52</v>
      </c>
      <c r="H33" s="17">
        <v>0</v>
      </c>
      <c r="I33" s="17">
        <v>1289197.4399999999</v>
      </c>
      <c r="J33" s="17">
        <v>-13529697.08</v>
      </c>
      <c r="K33" s="17">
        <v>-9071584.1399999987</v>
      </c>
      <c r="L33" s="1"/>
    </row>
    <row r="34" spans="1:12" ht="12.5">
      <c r="A34" s="4">
        <f t="shared" si="0"/>
        <v>25</v>
      </c>
      <c r="B34" s="2" t="s">
        <v>14</v>
      </c>
      <c r="C34" s="16">
        <v>2018</v>
      </c>
      <c r="D34" s="17">
        <v>-54855634.410000004</v>
      </c>
      <c r="E34" s="17">
        <f t="shared" si="7" ref="E34:E37">+F34-D34</f>
        <v>4644237.5900000036</v>
      </c>
      <c r="F34" s="17">
        <v>-50211396.82</v>
      </c>
      <c r="G34" s="17">
        <v>-11519683.18</v>
      </c>
      <c r="H34" s="17">
        <v>0</v>
      </c>
      <c r="I34" s="17">
        <v>975289.87</v>
      </c>
      <c r="J34" s="17">
        <v>-10544393.309999999</v>
      </c>
      <c r="K34" s="17">
        <v>-10544393.33</v>
      </c>
      <c r="L34" s="1"/>
    </row>
    <row r="35" spans="1:12" ht="12.5">
      <c r="A35" s="4">
        <f t="shared" si="0"/>
        <v>26</v>
      </c>
      <c r="B35" s="2" t="s">
        <v>14</v>
      </c>
      <c r="C35" s="16">
        <v>2019</v>
      </c>
      <c r="D35" s="17">
        <v>-80287749.430000007</v>
      </c>
      <c r="E35" s="17">
        <f t="shared" si="7"/>
        <v>7165753.5400000066</v>
      </c>
      <c r="F35" s="17">
        <v>-73121995.890000001</v>
      </c>
      <c r="G35" s="17">
        <v>-16860427.399999999</v>
      </c>
      <c r="H35" s="17">
        <v>0</v>
      </c>
      <c r="I35" s="17">
        <v>1504808.28</v>
      </c>
      <c r="J35" s="17">
        <v>-15355619.119999999</v>
      </c>
      <c r="K35" s="17">
        <v>-15355619.130000001</v>
      </c>
      <c r="L35" s="1"/>
    </row>
    <row r="36" spans="1:12" ht="12.5">
      <c r="A36" s="4">
        <f t="shared" si="0"/>
        <v>27</v>
      </c>
      <c r="B36" s="2" t="s">
        <v>14</v>
      </c>
      <c r="C36" s="16">
        <v>2020</v>
      </c>
      <c r="D36" s="17">
        <v>-78175254</v>
      </c>
      <c r="E36" s="17">
        <f t="shared" si="7"/>
        <v>7313539.3200000077</v>
      </c>
      <c r="F36" s="17">
        <v>-70861714.679999992</v>
      </c>
      <c r="G36" s="17">
        <v>-16416803.349999998</v>
      </c>
      <c r="H36" s="17">
        <v>0</v>
      </c>
      <c r="I36" s="17">
        <v>1535843.27</v>
      </c>
      <c r="J36" s="17">
        <v>-14880960.08</v>
      </c>
      <c r="K36" s="17">
        <v>-14880960.08</v>
      </c>
      <c r="L36" s="1"/>
    </row>
    <row r="37" spans="1:12" ht="12.5">
      <c r="A37" s="4">
        <f t="shared" si="0"/>
        <v>28</v>
      </c>
      <c r="B37" s="2" t="s">
        <v>14</v>
      </c>
      <c r="C37" s="16">
        <v>2021</v>
      </c>
      <c r="D37" s="17">
        <v>0</v>
      </c>
      <c r="E37" s="17">
        <f t="shared" si="7"/>
        <v>-84212134.739999995</v>
      </c>
      <c r="F37" s="17">
        <v>-84212134.739999995</v>
      </c>
      <c r="G37" s="17">
        <v>0</v>
      </c>
      <c r="H37" s="17">
        <v>-18479947.420000002</v>
      </c>
      <c r="I37" s="17">
        <v>795399.13</v>
      </c>
      <c r="J37" s="17">
        <v>-17684548.27</v>
      </c>
      <c r="K37" s="17">
        <v>-17684548.300000001</v>
      </c>
      <c r="L37" s="1"/>
    </row>
    <row r="38" spans="1:11" s="5" customFormat="1" ht="13">
      <c r="A38" s="4">
        <f t="shared" si="0"/>
        <v>29</v>
      </c>
      <c r="B38" s="5" t="s">
        <v>38</v>
      </c>
      <c r="C38" s="12"/>
      <c r="D38" s="21">
        <f>SUM(D33:D37)</f>
        <v>-260647662.17000002</v>
      </c>
      <c r="E38" s="21">
        <f t="shared" si="8" ref="E38:K38">SUM(E33:E37)</f>
        <v>-60957599.669999979</v>
      </c>
      <c r="F38" s="21">
        <f t="shared" si="8"/>
        <v>-321605261.84000003</v>
      </c>
      <c r="G38" s="21">
        <f t="shared" si="8"/>
        <v>-59615808.449999988</v>
      </c>
      <c r="H38" s="21">
        <f t="shared" si="8"/>
        <v>-18479947.420000002</v>
      </c>
      <c r="I38" s="21">
        <f t="shared" si="8"/>
        <v>6100537.9899999993</v>
      </c>
      <c r="J38" s="21">
        <f t="shared" si="8"/>
        <v>-71995217.859999999</v>
      </c>
      <c r="K38" s="21">
        <f t="shared" si="8"/>
        <v>-67537104.980000004</v>
      </c>
    </row>
    <row r="39" spans="1:12" ht="12.5">
      <c r="A39" s="4">
        <f t="shared" si="0"/>
        <v>30</v>
      </c>
      <c r="L39" s="1"/>
    </row>
    <row r="40" spans="1:11" s="2" customFormat="1" ht="12.5">
      <c r="A40" s="4">
        <f t="shared" si="0"/>
        <v>31</v>
      </c>
      <c r="B40" s="2" t="s">
        <v>15</v>
      </c>
      <c r="C40" s="16">
        <v>2017</v>
      </c>
      <c r="D40" s="20">
        <v>21234729.640000001</v>
      </c>
      <c r="E40" s="17">
        <f>+F40-D40</f>
        <v>-793215.3200000003</v>
      </c>
      <c r="F40" s="20">
        <v>20441514.32</v>
      </c>
      <c r="G40" s="20">
        <v>7432129.1399999997</v>
      </c>
      <c r="H40" s="20">
        <v>0</v>
      </c>
      <c r="I40" s="20">
        <v>-277624.48999999999</v>
      </c>
      <c r="J40" s="20">
        <v>7154504.6500000004</v>
      </c>
      <c r="K40" s="20">
        <v>4292718.0099999998</v>
      </c>
    </row>
    <row r="41" spans="1:12" ht="12.5">
      <c r="A41" s="4">
        <f t="shared" si="0"/>
        <v>32</v>
      </c>
      <c r="B41" s="2" t="s">
        <v>15</v>
      </c>
      <c r="C41" s="16">
        <v>2018</v>
      </c>
      <c r="D41" s="20">
        <v>29419525.41</v>
      </c>
      <c r="E41" s="17">
        <f t="shared" si="9" ref="E41:E44">+F41-D41</f>
        <v>-1104088.8300000019</v>
      </c>
      <c r="F41" s="20">
        <v>28315436.579999998</v>
      </c>
      <c r="G41" s="20">
        <v>6178100.3700000001</v>
      </c>
      <c r="H41" s="20">
        <v>0</v>
      </c>
      <c r="I41" s="20">
        <v>-231858.64999999999</v>
      </c>
      <c r="J41" s="20">
        <v>5946241.7199999997</v>
      </c>
      <c r="K41" s="20">
        <v>5946241.6799999997</v>
      </c>
      <c r="L41" s="1"/>
    </row>
    <row r="42" spans="1:12" ht="12.5">
      <c r="A42" s="4">
        <f t="shared" si="0"/>
        <v>33</v>
      </c>
      <c r="B42" s="2" t="s">
        <v>15</v>
      </c>
      <c r="C42" s="16">
        <v>2019</v>
      </c>
      <c r="D42" s="20">
        <v>25637009.32</v>
      </c>
      <c r="E42" s="17">
        <f t="shared" si="9"/>
        <v>-994826.96000000089</v>
      </c>
      <c r="F42" s="20">
        <v>24642182.359999999</v>
      </c>
      <c r="G42" s="20">
        <v>5383771.9100000001</v>
      </c>
      <c r="H42" s="20">
        <v>0</v>
      </c>
      <c r="I42" s="20">
        <v>-208913.64000000001</v>
      </c>
      <c r="J42" s="20">
        <v>5174858.2699999996</v>
      </c>
      <c r="K42" s="20">
        <v>5174858.2999999998</v>
      </c>
      <c r="L42" s="1"/>
    </row>
    <row r="43" spans="1:12" ht="12.5">
      <c r="A43" s="4">
        <f t="shared" si="0"/>
        <v>34</v>
      </c>
      <c r="B43" s="2" t="s">
        <v>15</v>
      </c>
      <c r="C43" s="16">
        <v>2020</v>
      </c>
      <c r="D43" s="20">
        <v>39701352.780000001</v>
      </c>
      <c r="E43" s="17">
        <f t="shared" si="9"/>
        <v>-1366316.7800000012</v>
      </c>
      <c r="F43" s="20">
        <v>38335036</v>
      </c>
      <c r="G43" s="20">
        <v>8337284.1100000003</v>
      </c>
      <c r="H43" s="20">
        <v>0</v>
      </c>
      <c r="I43" s="20">
        <v>-286926.53000000003</v>
      </c>
      <c r="J43" s="20">
        <v>8050357.5800000001</v>
      </c>
      <c r="K43" s="20">
        <v>8050357.5599999996</v>
      </c>
      <c r="L43" s="1"/>
    </row>
    <row r="44" spans="1:12" ht="12.5">
      <c r="A44" s="4">
        <f t="shared" si="0"/>
        <v>35</v>
      </c>
      <c r="B44" s="2" t="s">
        <v>15</v>
      </c>
      <c r="C44" s="16">
        <v>2021</v>
      </c>
      <c r="D44" s="20">
        <v>0</v>
      </c>
      <c r="E44" s="17">
        <f t="shared" si="9"/>
        <v>35474246.710000001</v>
      </c>
      <c r="F44" s="20">
        <v>35474246.710000001</v>
      </c>
      <c r="G44" s="20">
        <v>0</v>
      </c>
      <c r="H44" s="20">
        <v>7556497.3499999996</v>
      </c>
      <c r="I44" s="20">
        <v>-106905.53999999999</v>
      </c>
      <c r="J44" s="20">
        <v>7449591.8300000001</v>
      </c>
      <c r="K44" s="20">
        <v>7449591.8099999996</v>
      </c>
      <c r="L44" s="1"/>
    </row>
    <row r="45" spans="1:11" s="5" customFormat="1" ht="13">
      <c r="A45" s="4">
        <f t="shared" si="0"/>
        <v>36</v>
      </c>
      <c r="B45" s="5" t="s">
        <v>39</v>
      </c>
      <c r="C45" s="12"/>
      <c r="D45" s="21">
        <f>SUM(D40:D44)</f>
        <v>115992617.15000001</v>
      </c>
      <c r="E45" s="21">
        <f t="shared" si="10" ref="E45:K45">SUM(E40:E44)</f>
        <v>31215798.819999997</v>
      </c>
      <c r="F45" s="21">
        <f t="shared" si="10"/>
        <v>147208415.97</v>
      </c>
      <c r="G45" s="21">
        <f t="shared" si="10"/>
        <v>27331285.530000001</v>
      </c>
      <c r="H45" s="21">
        <f t="shared" si="10"/>
        <v>7556497.3499999996</v>
      </c>
      <c r="I45" s="21">
        <f t="shared" si="10"/>
        <v>-1112228.8500000001</v>
      </c>
      <c r="J45" s="21">
        <f t="shared" si="10"/>
        <v>33775554.049999997</v>
      </c>
      <c r="K45" s="21">
        <f t="shared" si="10"/>
        <v>30913767.359999996</v>
      </c>
    </row>
    <row r="46" spans="1:12" ht="12.5">
      <c r="A46" s="4">
        <f t="shared" si="0"/>
        <v>37</v>
      </c>
      <c r="L46" s="1"/>
    </row>
    <row r="47" spans="1:11" s="2" customFormat="1" ht="12.5">
      <c r="A47" s="4">
        <f t="shared" si="0"/>
        <v>38</v>
      </c>
      <c r="B47" s="2" t="s">
        <v>16</v>
      </c>
      <c r="C47" s="16">
        <v>2017</v>
      </c>
      <c r="D47" s="20">
        <v>114433678.25</v>
      </c>
      <c r="E47" s="17">
        <f>+F47-D47</f>
        <v>-4109257.6900000125</v>
      </c>
      <c r="F47" s="20">
        <v>110324420.55999999</v>
      </c>
      <c r="G47" s="20">
        <v>40051766.630000003</v>
      </c>
      <c r="H47" s="20">
        <v>0</v>
      </c>
      <c r="I47" s="20">
        <v>-1438239.48</v>
      </c>
      <c r="J47" s="20">
        <v>38613527.149999999</v>
      </c>
      <c r="K47" s="20">
        <v>23168128.319999997</v>
      </c>
    </row>
    <row r="48" spans="1:12" ht="12.5">
      <c r="A48" s="4">
        <f t="shared" si="0"/>
        <v>39</v>
      </c>
      <c r="B48" s="2" t="s">
        <v>16</v>
      </c>
      <c r="C48" s="16">
        <v>2018</v>
      </c>
      <c r="D48" s="20">
        <v>159024702.70000002</v>
      </c>
      <c r="E48" s="17">
        <f t="shared" si="11" ref="E48:E51">+F48-D48</f>
        <v>-5789945.3100000322</v>
      </c>
      <c r="F48" s="20">
        <v>153234757.38999999</v>
      </c>
      <c r="G48" s="20">
        <v>33395187.59</v>
      </c>
      <c r="H48" s="20">
        <v>0</v>
      </c>
      <c r="I48" s="20">
        <v>-1215888.51</v>
      </c>
      <c r="J48" s="20">
        <v>32179299.080000002</v>
      </c>
      <c r="K48" s="20">
        <v>32179299.050000001</v>
      </c>
      <c r="L48" s="1"/>
    </row>
    <row r="49" spans="1:12" ht="12.5">
      <c r="A49" s="4">
        <f t="shared" si="0"/>
        <v>40</v>
      </c>
      <c r="B49" s="2" t="s">
        <v>16</v>
      </c>
      <c r="C49" s="16">
        <v>2019</v>
      </c>
      <c r="D49" s="20">
        <v>160468132.09999999</v>
      </c>
      <c r="E49" s="17">
        <f t="shared" si="11"/>
        <v>-5331208.9699999988</v>
      </c>
      <c r="F49" s="20">
        <v>155136923.13</v>
      </c>
      <c r="G49" s="20">
        <v>33698307.740000002</v>
      </c>
      <c r="H49" s="20">
        <v>0</v>
      </c>
      <c r="I49" s="20">
        <v>-1119553.9099999999</v>
      </c>
      <c r="J49" s="20">
        <v>32578753.829999998</v>
      </c>
      <c r="K49" s="20">
        <v>32578753.859999999</v>
      </c>
      <c r="L49" s="1"/>
    </row>
    <row r="50" spans="1:12" ht="12.5">
      <c r="A50" s="4">
        <f t="shared" si="0"/>
        <v>41</v>
      </c>
      <c r="B50" s="2" t="s">
        <v>16</v>
      </c>
      <c r="C50" s="16">
        <v>2020</v>
      </c>
      <c r="D50" s="20">
        <v>160538528.81999999</v>
      </c>
      <c r="E50" s="17">
        <f t="shared" si="11"/>
        <v>-4860779.4099999964</v>
      </c>
      <c r="F50" s="20">
        <v>155677749.41</v>
      </c>
      <c r="G50" s="20">
        <v>33713091.019999996</v>
      </c>
      <c r="H50" s="20">
        <v>0</v>
      </c>
      <c r="I50" s="20">
        <v>-1020763.6799999999</v>
      </c>
      <c r="J50" s="20">
        <v>32692327.34</v>
      </c>
      <c r="K50" s="20">
        <v>32692327.369999997</v>
      </c>
      <c r="L50" s="1"/>
    </row>
    <row r="51" spans="1:12" ht="12.5">
      <c r="A51" s="4">
        <f t="shared" si="0"/>
        <v>42</v>
      </c>
      <c r="B51" s="2" t="s">
        <v>16</v>
      </c>
      <c r="C51" s="16">
        <v>2021</v>
      </c>
      <c r="D51" s="20">
        <v>0</v>
      </c>
      <c r="E51" s="17">
        <f t="shared" si="11"/>
        <v>148409336.94</v>
      </c>
      <c r="F51" s="20">
        <v>148409336.94</v>
      </c>
      <c r="G51" s="20">
        <v>0</v>
      </c>
      <c r="H51" s="20">
        <v>31610880.68</v>
      </c>
      <c r="I51" s="20">
        <v>-444919.89000000001</v>
      </c>
      <c r="J51" s="20">
        <v>31165960.780000001</v>
      </c>
      <c r="K51" s="20">
        <v>31165960.760000002</v>
      </c>
      <c r="L51" s="1"/>
    </row>
    <row r="52" spans="1:11" s="5" customFormat="1" ht="13">
      <c r="A52" s="4">
        <f t="shared" si="0"/>
        <v>43</v>
      </c>
      <c r="B52" s="22" t="s">
        <v>40</v>
      </c>
      <c r="C52" s="12"/>
      <c r="D52" s="18">
        <f>SUM(D47:D51)</f>
        <v>594465041.87000012</v>
      </c>
      <c r="E52" s="18">
        <f t="shared" si="12" ref="E52:K52">SUM(E47:E51)</f>
        <v>128318145.55999996</v>
      </c>
      <c r="F52" s="18">
        <f t="shared" si="12"/>
        <v>722783187.43000007</v>
      </c>
      <c r="G52" s="18">
        <f t="shared" si="12"/>
        <v>140858352.98000002</v>
      </c>
      <c r="H52" s="18">
        <f t="shared" si="12"/>
        <v>31610880.68</v>
      </c>
      <c r="I52" s="18">
        <f t="shared" si="12"/>
        <v>-5239365.4699999997</v>
      </c>
      <c r="J52" s="18">
        <f t="shared" si="12"/>
        <v>167229868.18000001</v>
      </c>
      <c r="K52" s="18">
        <f t="shared" si="12"/>
        <v>151784469.35999998</v>
      </c>
    </row>
    <row r="53" spans="1:12" ht="12.5">
      <c r="A53" s="4">
        <f t="shared" si="0"/>
        <v>44</v>
      </c>
      <c r="L53" s="1"/>
    </row>
    <row r="54" spans="1:11" s="2" customFormat="1" ht="12.5">
      <c r="A54" s="4">
        <f t="shared" si="0"/>
        <v>45</v>
      </c>
      <c r="B54" s="2" t="s">
        <v>17</v>
      </c>
      <c r="C54" s="16">
        <v>2017</v>
      </c>
      <c r="D54" s="20">
        <v>-12547077.310000001</v>
      </c>
      <c r="E54" s="17">
        <f>+F54-D54</f>
        <v>1220100.8200000003</v>
      </c>
      <c r="F54" s="20">
        <v>-11326976.49</v>
      </c>
      <c r="G54" s="20">
        <v>-4391453.5800000001</v>
      </c>
      <c r="H54" s="20">
        <v>0</v>
      </c>
      <c r="I54" s="20">
        <v>427032.94</v>
      </c>
      <c r="J54" s="20">
        <v>-3964420.6400000001</v>
      </c>
      <c r="K54" s="20">
        <v>-2378665.0600000001</v>
      </c>
    </row>
    <row r="55" spans="1:12" ht="12.5">
      <c r="A55" s="4">
        <f t="shared" si="0"/>
        <v>46</v>
      </c>
      <c r="B55" s="2" t="s">
        <v>17</v>
      </c>
      <c r="C55" s="16">
        <v>2018</v>
      </c>
      <c r="D55" s="20">
        <v>-15302772.039999999</v>
      </c>
      <c r="E55" s="17">
        <f t="shared" si="13" ref="E55:E58">+F55-D55</f>
        <v>1488586.6599999983</v>
      </c>
      <c r="F55" s="20">
        <v>-13814185.380000001</v>
      </c>
      <c r="G55" s="20">
        <v>-3213582.0800000001</v>
      </c>
      <c r="H55" s="20">
        <v>0</v>
      </c>
      <c r="I55" s="20">
        <v>312603.21000000002</v>
      </c>
      <c r="J55" s="20">
        <v>-2900978.8700000001</v>
      </c>
      <c r="K55" s="20">
        <v>-2900978.9300000002</v>
      </c>
      <c r="L55" s="1"/>
    </row>
    <row r="56" spans="1:12" ht="12.5">
      <c r="A56" s="4">
        <f t="shared" si="0"/>
        <v>47</v>
      </c>
      <c r="B56" s="2" t="s">
        <v>17</v>
      </c>
      <c r="C56" s="16">
        <v>2019</v>
      </c>
      <c r="D56" s="20">
        <v>-15797802.19</v>
      </c>
      <c r="E56" s="17">
        <f t="shared" si="13"/>
        <v>1533784.5800000001</v>
      </c>
      <c r="F56" s="20">
        <v>-14264017.609999999</v>
      </c>
      <c r="G56" s="20">
        <v>-3317538.3900000001</v>
      </c>
      <c r="H56" s="20">
        <v>0</v>
      </c>
      <c r="I56" s="20">
        <v>322094.77000000002</v>
      </c>
      <c r="J56" s="20">
        <v>-2995443.6200000001</v>
      </c>
      <c r="K56" s="20">
        <v>-2995443.7000000002</v>
      </c>
      <c r="L56" s="1"/>
    </row>
    <row r="57" spans="1:12" ht="12.5">
      <c r="A57" s="4">
        <f t="shared" si="0"/>
        <v>48</v>
      </c>
      <c r="B57" s="2" t="s">
        <v>17</v>
      </c>
      <c r="C57" s="16">
        <v>2020</v>
      </c>
      <c r="D57" s="20">
        <v>-16834887.399999999</v>
      </c>
      <c r="E57" s="17">
        <f t="shared" si="13"/>
        <v>1643021.7199999988</v>
      </c>
      <c r="F57" s="20">
        <v>-15191865.68</v>
      </c>
      <c r="G57" s="20">
        <v>-3535326.3100000001</v>
      </c>
      <c r="H57" s="20">
        <v>0</v>
      </c>
      <c r="I57" s="20">
        <v>345034.56</v>
      </c>
      <c r="J57" s="20">
        <v>-3190291.75</v>
      </c>
      <c r="K57" s="20">
        <v>-3190291.79</v>
      </c>
      <c r="L57" s="1"/>
    </row>
    <row r="58" spans="1:12" ht="12.5">
      <c r="A58" s="4">
        <f t="shared" si="0"/>
        <v>49</v>
      </c>
      <c r="B58" s="2" t="s">
        <v>17</v>
      </c>
      <c r="C58" s="16">
        <v>2021</v>
      </c>
      <c r="D58" s="20">
        <v>0</v>
      </c>
      <c r="E58" s="17">
        <f t="shared" si="13"/>
        <v>-17042713.84</v>
      </c>
      <c r="F58" s="20">
        <v>-17042713.84</v>
      </c>
      <c r="G58" s="20">
        <v>0</v>
      </c>
      <c r="H58" s="20">
        <v>-3761729.96</v>
      </c>
      <c r="I58" s="20">
        <v>182760.06</v>
      </c>
      <c r="J58" s="20">
        <v>-3578969.9199999999</v>
      </c>
      <c r="K58" s="20">
        <v>-3578969.9100000001</v>
      </c>
      <c r="L58" s="1"/>
    </row>
    <row r="59" spans="1:11" s="5" customFormat="1" ht="13">
      <c r="A59" s="4">
        <f t="shared" si="0"/>
        <v>50</v>
      </c>
      <c r="B59" s="5" t="s">
        <v>41</v>
      </c>
      <c r="C59" s="12"/>
      <c r="D59" s="21">
        <f>SUM(D54:D58)</f>
        <v>-60482538.939999998</v>
      </c>
      <c r="E59" s="21">
        <f t="shared" si="14" ref="E59:K59">SUM(E54:E58)</f>
        <v>-11157220.060000002</v>
      </c>
      <c r="F59" s="21">
        <f t="shared" si="14"/>
        <v>-71639759</v>
      </c>
      <c r="G59" s="21">
        <f t="shared" si="14"/>
        <v>-14457900.360000001</v>
      </c>
      <c r="H59" s="21">
        <f t="shared" si="14"/>
        <v>-3761729.96</v>
      </c>
      <c r="I59" s="21">
        <f t="shared" si="14"/>
        <v>1589525.54</v>
      </c>
      <c r="J59" s="21">
        <f t="shared" si="14"/>
        <v>-16630104.799999999</v>
      </c>
      <c r="K59" s="21">
        <f t="shared" si="14"/>
        <v>-15044349.390000001</v>
      </c>
    </row>
    <row r="60" spans="1:12" ht="12.5">
      <c r="A60" s="4">
        <f t="shared" si="0"/>
        <v>51</v>
      </c>
      <c r="L60" s="1"/>
    </row>
    <row r="61" spans="1:11" s="2" customFormat="1" ht="12.5">
      <c r="A61" s="4">
        <f t="shared" si="0"/>
        <v>52</v>
      </c>
      <c r="B61" s="2" t="s">
        <v>18</v>
      </c>
      <c r="C61" s="16">
        <v>2017</v>
      </c>
      <c r="D61" s="20">
        <v>0</v>
      </c>
      <c r="E61" s="17">
        <f>+F61-D61</f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</row>
    <row r="62" spans="1:12" ht="12.5">
      <c r="A62" s="4">
        <f t="shared" si="0"/>
        <v>53</v>
      </c>
      <c r="B62" s="2" t="s">
        <v>18</v>
      </c>
      <c r="C62" s="16">
        <v>2018</v>
      </c>
      <c r="D62" s="20">
        <v>37093720.270000003</v>
      </c>
      <c r="E62" s="17">
        <f t="shared" si="15" ref="E62:E65">+F62-D62</f>
        <v>-1396190.1900000051</v>
      </c>
      <c r="F62" s="20">
        <v>35697530.079999998</v>
      </c>
      <c r="G62" s="20">
        <v>7789681.3099999996</v>
      </c>
      <c r="H62" s="20">
        <v>0</v>
      </c>
      <c r="I62" s="20">
        <v>-293199.97999999998</v>
      </c>
      <c r="J62" s="20">
        <v>7496481.3300000001</v>
      </c>
      <c r="K62" s="20">
        <v>7496481.3200000003</v>
      </c>
      <c r="L62" s="1"/>
    </row>
    <row r="63" spans="1:12" ht="12.5">
      <c r="A63" s="4">
        <f t="shared" si="0"/>
        <v>54</v>
      </c>
      <c r="B63" s="2" t="s">
        <v>18</v>
      </c>
      <c r="C63" s="16">
        <v>2019</v>
      </c>
      <c r="D63" s="20">
        <v>29508346.84</v>
      </c>
      <c r="E63" s="17">
        <f t="shared" si="15"/>
        <v>-1139610.379999999</v>
      </c>
      <c r="F63" s="20">
        <v>28368736.460000001</v>
      </c>
      <c r="G63" s="20">
        <v>6196752.8700000001</v>
      </c>
      <c r="H63" s="20">
        <v>0</v>
      </c>
      <c r="I63" s="20">
        <v>-239318.16</v>
      </c>
      <c r="J63" s="20">
        <v>5957434.71</v>
      </c>
      <c r="K63" s="20">
        <v>5957434.6600000001</v>
      </c>
      <c r="L63" s="1"/>
    </row>
    <row r="64" spans="1:12" ht="12.5">
      <c r="A64" s="4">
        <f t="shared" si="0"/>
        <v>55</v>
      </c>
      <c r="B64" s="2" t="s">
        <v>18</v>
      </c>
      <c r="C64" s="16">
        <v>2020</v>
      </c>
      <c r="D64" s="20">
        <v>23361525.859999999</v>
      </c>
      <c r="E64" s="17">
        <f t="shared" si="15"/>
        <v>-799435.48000000045</v>
      </c>
      <c r="F64" s="20">
        <v>22562090.379999999</v>
      </c>
      <c r="G64" s="20">
        <v>4905920.4100000001</v>
      </c>
      <c r="H64" s="20">
        <v>0</v>
      </c>
      <c r="I64" s="20">
        <v>-167881.44</v>
      </c>
      <c r="J64" s="20">
        <v>4738038.9699999997</v>
      </c>
      <c r="K64" s="20">
        <v>4738038.9800000004</v>
      </c>
      <c r="L64" s="1"/>
    </row>
    <row r="65" spans="1:12" ht="12.5">
      <c r="A65" s="4">
        <f t="shared" si="0"/>
        <v>56</v>
      </c>
      <c r="B65" s="2" t="s">
        <v>18</v>
      </c>
      <c r="C65" s="16">
        <v>2021</v>
      </c>
      <c r="D65" s="20">
        <v>0</v>
      </c>
      <c r="E65" s="17">
        <f t="shared" si="15"/>
        <v>23060001.600000001</v>
      </c>
      <c r="F65" s="20">
        <v>23060001.600000001</v>
      </c>
      <c r="G65" s="20">
        <v>0</v>
      </c>
      <c r="H65" s="20">
        <v>4912140.9699999997</v>
      </c>
      <c r="I65" s="20">
        <v>-69540.630000000005</v>
      </c>
      <c r="J65" s="20">
        <v>4842600.3399999999</v>
      </c>
      <c r="K65" s="20">
        <v>4842600.3399999999</v>
      </c>
      <c r="L65" s="1"/>
    </row>
    <row r="66" spans="1:11" s="5" customFormat="1" ht="13">
      <c r="A66" s="4">
        <f t="shared" si="0"/>
        <v>57</v>
      </c>
      <c r="B66" s="5" t="s">
        <v>42</v>
      </c>
      <c r="C66" s="12"/>
      <c r="D66" s="21">
        <f>SUM(D61:D65)</f>
        <v>89963592.969999999</v>
      </c>
      <c r="E66" s="21">
        <f t="shared" si="16" ref="E66:K66">SUM(E61:E65)</f>
        <v>19724765.549999997</v>
      </c>
      <c r="F66" s="21">
        <f t="shared" si="16"/>
        <v>109688358.52000001</v>
      </c>
      <c r="G66" s="21">
        <f t="shared" si="16"/>
        <v>18892354.59</v>
      </c>
      <c r="H66" s="21">
        <f t="shared" si="16"/>
        <v>4912140.9699999997</v>
      </c>
      <c r="I66" s="21">
        <f t="shared" si="16"/>
        <v>-769940.21000000008</v>
      </c>
      <c r="J66" s="21">
        <f t="shared" si="16"/>
        <v>23034555.349999998</v>
      </c>
      <c r="K66" s="21">
        <f t="shared" si="16"/>
        <v>23034555.300000001</v>
      </c>
    </row>
    <row r="67" spans="1:12" ht="12.5">
      <c r="A67" s="4">
        <f t="shared" si="0"/>
        <v>58</v>
      </c>
      <c r="L67" s="1"/>
    </row>
    <row r="68" spans="1:12" ht="12.5">
      <c r="A68" s="4">
        <f t="shared" si="0"/>
        <v>59</v>
      </c>
      <c r="B68" s="1" t="s">
        <v>19</v>
      </c>
      <c r="C68" s="16">
        <v>2017</v>
      </c>
      <c r="D68" s="20">
        <v>1924383.8599999999</v>
      </c>
      <c r="E68" s="17">
        <f>+F68-D68</f>
        <v>-27331.959999999497</v>
      </c>
      <c r="F68" s="20">
        <v>1897051.9000000004</v>
      </c>
      <c r="G68" s="20">
        <v>673535.70999999996</v>
      </c>
      <c r="H68" s="20">
        <v>0</v>
      </c>
      <c r="I68" s="20">
        <v>-9566.2699999999895</v>
      </c>
      <c r="J68" s="20">
        <v>663969.43999999994</v>
      </c>
      <c r="K68" s="20">
        <v>398380.90000000002</v>
      </c>
      <c r="L68" s="1"/>
    </row>
    <row r="69" spans="1:12" ht="12.5">
      <c r="A69" s="4">
        <f t="shared" si="0"/>
        <v>60</v>
      </c>
      <c r="B69" s="1" t="s">
        <v>19</v>
      </c>
      <c r="C69" s="16">
        <v>2018</v>
      </c>
      <c r="D69" s="20">
        <v>0</v>
      </c>
      <c r="E69" s="17">
        <f t="shared" si="17" ref="E69:E72">+F69-D69</f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1"/>
    </row>
    <row r="70" spans="1:12" ht="12.5">
      <c r="A70" s="4">
        <f t="shared" si="0"/>
        <v>61</v>
      </c>
      <c r="B70" s="1" t="s">
        <v>19</v>
      </c>
      <c r="C70" s="16">
        <v>2019</v>
      </c>
      <c r="D70" s="20">
        <v>0</v>
      </c>
      <c r="E70" s="17">
        <f t="shared" si="17"/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1"/>
    </row>
    <row r="71" spans="1:12" ht="12.5">
      <c r="A71" s="4">
        <f t="shared" si="0"/>
        <v>62</v>
      </c>
      <c r="B71" s="1" t="s">
        <v>19</v>
      </c>
      <c r="C71" s="16">
        <v>2020</v>
      </c>
      <c r="D71" s="20">
        <v>0</v>
      </c>
      <c r="E71" s="17">
        <f t="shared" si="17"/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1"/>
    </row>
    <row r="72" spans="1:12" ht="12.5">
      <c r="A72" s="4">
        <f t="shared" si="0"/>
        <v>63</v>
      </c>
      <c r="B72" s="1" t="s">
        <v>19</v>
      </c>
      <c r="C72" s="16">
        <v>2021</v>
      </c>
      <c r="D72" s="20">
        <v>0</v>
      </c>
      <c r="E72" s="17">
        <f t="shared" si="17"/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1"/>
    </row>
    <row r="73" spans="1:11" s="5" customFormat="1" ht="13">
      <c r="A73" s="4">
        <f t="shared" si="0"/>
        <v>64</v>
      </c>
      <c r="B73" s="5" t="s">
        <v>43</v>
      </c>
      <c r="C73" s="12"/>
      <c r="D73" s="21">
        <f>SUM(D68:D72)</f>
        <v>1924383.8599999999</v>
      </c>
      <c r="E73" s="21">
        <f t="shared" si="18" ref="E73:K73">SUM(E68:E72)</f>
        <v>-27331.959999999497</v>
      </c>
      <c r="F73" s="21">
        <f t="shared" si="18"/>
        <v>1897051.9000000004</v>
      </c>
      <c r="G73" s="21">
        <f t="shared" si="18"/>
        <v>673535.70999999996</v>
      </c>
      <c r="H73" s="21">
        <f t="shared" si="18"/>
        <v>0</v>
      </c>
      <c r="I73" s="21">
        <f t="shared" si="18"/>
        <v>-9566.2699999999895</v>
      </c>
      <c r="J73" s="21">
        <f t="shared" si="18"/>
        <v>663969.43999999994</v>
      </c>
      <c r="K73" s="21">
        <f t="shared" si="18"/>
        <v>398380.90000000002</v>
      </c>
    </row>
    <row r="74" spans="1:12" ht="12.5">
      <c r="A74" s="4">
        <f t="shared" si="0"/>
        <v>65</v>
      </c>
      <c r="L74" s="1"/>
    </row>
    <row r="75" spans="1:12" ht="13.5" thickBot="1">
      <c r="A75" s="4">
        <f t="shared" si="0"/>
        <v>66</v>
      </c>
      <c r="B75" s="23" t="s">
        <v>44</v>
      </c>
      <c r="D75" s="24">
        <f>+D17+D24+D31+D38+D45+D52+D59+D66+D73</f>
        <v>2291470938.4200001</v>
      </c>
      <c r="E75" s="24">
        <f t="shared" si="19" ref="E75:K75">+E17+E24+E31+E38+E45+E52+E59+E66+E73</f>
        <v>595055760.2099998</v>
      </c>
      <c r="F75" s="24">
        <f t="shared" si="19"/>
        <v>2886526698.6300001</v>
      </c>
      <c r="G75" s="24">
        <f t="shared" si="19"/>
        <v>586933715.74000013</v>
      </c>
      <c r="H75" s="24">
        <f t="shared" si="19"/>
        <v>127767434.02</v>
      </c>
      <c r="I75" s="24">
        <f t="shared" si="19"/>
        <v>-7700995.370000001</v>
      </c>
      <c r="J75" s="24">
        <f t="shared" si="19"/>
        <v>707000154.38000011</v>
      </c>
      <c r="K75" s="24">
        <f t="shared" si="19"/>
        <v>606170606.7299999</v>
      </c>
      <c r="L75" s="1"/>
    </row>
    <row r="76" spans="1:1" ht="12.5">
      <c r="A76" s="4">
        <f t="shared" si="20" ref="A76:A112">+A75+1</f>
        <v>67</v>
      </c>
    </row>
    <row r="77" spans="1:2" ht="13">
      <c r="A77" s="4">
        <f t="shared" si="20"/>
        <v>68</v>
      </c>
      <c r="B77" s="25" t="s">
        <v>45</v>
      </c>
    </row>
    <row r="78" spans="1:1" ht="12.5">
      <c r="A78" s="4">
        <f t="shared" si="20"/>
        <v>69</v>
      </c>
    </row>
    <row r="79" spans="1:13" ht="13">
      <c r="A79" s="4">
        <f t="shared" si="20"/>
        <v>70</v>
      </c>
      <c r="B79" s="1" t="s">
        <v>11</v>
      </c>
      <c r="C79" s="16" t="s">
        <v>46</v>
      </c>
      <c r="D79" s="17">
        <v>634341830.17999995</v>
      </c>
      <c r="E79" s="17">
        <f t="shared" si="21" ref="E79:E82">+F79-D79</f>
        <v>37232185.310000062</v>
      </c>
      <c r="F79" s="17">
        <v>671574015.49000001</v>
      </c>
      <c r="G79" s="17">
        <v>191095824.95999998</v>
      </c>
      <c r="H79" s="17">
        <v>11487182.279999999</v>
      </c>
      <c r="I79" s="17">
        <v>-6131877.7200000007</v>
      </c>
      <c r="J79" s="17">
        <v>196451129.53</v>
      </c>
      <c r="K79" s="17">
        <v>141030543.25</v>
      </c>
      <c r="L79" s="26"/>
      <c r="M79" s="26"/>
    </row>
    <row r="80" spans="1:13" ht="13">
      <c r="A80" s="4">
        <f t="shared" si="20"/>
        <v>71</v>
      </c>
      <c r="B80" s="1" t="s">
        <v>11</v>
      </c>
      <c r="C80" s="4">
        <v>2019</v>
      </c>
      <c r="D80" s="17">
        <v>1109805.1599999999</v>
      </c>
      <c r="E80" s="17">
        <f t="shared" si="21"/>
        <v>470947.68000000017</v>
      </c>
      <c r="F80" s="27">
        <v>1580752.8400000001</v>
      </c>
      <c r="G80" s="27">
        <v>233059.09</v>
      </c>
      <c r="H80" s="27">
        <v>98926.449999999997</v>
      </c>
      <c r="I80" s="27">
        <v>-27.449999999999999</v>
      </c>
      <c r="J80" s="27">
        <v>331958.09000000003</v>
      </c>
      <c r="K80" s="27">
        <v>331958.09999999998</v>
      </c>
      <c r="L80" s="26"/>
      <c r="M80" s="26"/>
    </row>
    <row r="81" spans="1:13" ht="13">
      <c r="A81" s="4">
        <f t="shared" si="20"/>
        <v>72</v>
      </c>
      <c r="B81" s="1" t="s">
        <v>11</v>
      </c>
      <c r="C81" s="4">
        <v>2020</v>
      </c>
      <c r="D81" s="17">
        <v>70047.419999999998</v>
      </c>
      <c r="E81" s="17">
        <f t="shared" si="21"/>
        <v>314322.48999999999</v>
      </c>
      <c r="F81" s="27">
        <v>384369.90999999997</v>
      </c>
      <c r="G81" s="27">
        <v>14709.959999999999</v>
      </c>
      <c r="H81" s="27">
        <v>69701.529999999999</v>
      </c>
      <c r="I81" s="27">
        <v>-3693.8299999999999</v>
      </c>
      <c r="J81" s="27">
        <v>80717.660000000003</v>
      </c>
      <c r="K81" s="27">
        <v>80717.679999999993</v>
      </c>
      <c r="L81" s="26"/>
      <c r="M81" s="26"/>
    </row>
    <row r="82" spans="1:13" ht="13">
      <c r="A82" s="4">
        <f t="shared" si="20"/>
        <v>73</v>
      </c>
      <c r="B82" s="1" t="s">
        <v>11</v>
      </c>
      <c r="C82" s="4">
        <v>2021</v>
      </c>
      <c r="D82" s="17">
        <v>0</v>
      </c>
      <c r="E82" s="17">
        <f t="shared" si="21"/>
        <v>179220.70999999999</v>
      </c>
      <c r="F82" s="27">
        <v>179220.70999999999</v>
      </c>
      <c r="G82" s="27">
        <v>0</v>
      </c>
      <c r="H82" s="27">
        <v>37636.349999999999</v>
      </c>
      <c r="I82" s="27">
        <v>0</v>
      </c>
      <c r="J82" s="27">
        <v>37636.349999999999</v>
      </c>
      <c r="K82" s="27">
        <v>37636.349999999999</v>
      </c>
      <c r="L82" s="26"/>
      <c r="M82" s="26"/>
    </row>
    <row r="83" spans="1:13" s="5" customFormat="1" ht="13">
      <c r="A83" s="4">
        <f t="shared" si="20"/>
        <v>74</v>
      </c>
      <c r="B83" s="5" t="s">
        <v>35</v>
      </c>
      <c r="C83" s="12"/>
      <c r="D83" s="18">
        <f>SUM(D79:D82)</f>
        <v>635521682.75999987</v>
      </c>
      <c r="E83" s="18">
        <f t="shared" si="22" ref="E83:K83">SUM(E79:E82)</f>
        <v>38196676.190000065</v>
      </c>
      <c r="F83" s="18">
        <f t="shared" si="22"/>
        <v>673718358.95000005</v>
      </c>
      <c r="G83" s="18">
        <f t="shared" si="22"/>
        <v>191343594.00999999</v>
      </c>
      <c r="H83" s="18">
        <f t="shared" si="22"/>
        <v>11693446.609999998</v>
      </c>
      <c r="I83" s="18">
        <f t="shared" si="22"/>
        <v>-6135599.0000000009</v>
      </c>
      <c r="J83" s="18">
        <f t="shared" si="22"/>
        <v>196901441.63</v>
      </c>
      <c r="K83" s="18">
        <f t="shared" si="22"/>
        <v>141480855.38</v>
      </c>
      <c r="M83" s="19"/>
    </row>
    <row r="84" spans="1:13" ht="13">
      <c r="A84" s="4">
        <f t="shared" si="20"/>
        <v>75</v>
      </c>
      <c r="B84" s="5"/>
      <c r="E84" s="26"/>
      <c r="F84" s="26"/>
      <c r="G84" s="26"/>
      <c r="H84" s="26"/>
      <c r="I84" s="26"/>
      <c r="J84" s="26"/>
      <c r="K84" s="26"/>
      <c r="L84" s="26"/>
      <c r="M84" s="26"/>
    </row>
    <row r="85" spans="1:13" ht="13">
      <c r="A85" s="4">
        <f t="shared" si="20"/>
        <v>76</v>
      </c>
      <c r="B85" s="1" t="s">
        <v>12</v>
      </c>
      <c r="C85" s="16" t="s">
        <v>46</v>
      </c>
      <c r="D85" s="17">
        <v>67062339.530000001</v>
      </c>
      <c r="E85" s="17">
        <f t="shared" si="23" ref="E85:E88">+F85-D85</f>
        <v>-2128580.8999999985</v>
      </c>
      <c r="F85" s="17">
        <v>64933758.630000003</v>
      </c>
      <c r="G85" s="17">
        <v>22998197.07</v>
      </c>
      <c r="H85" s="17">
        <v>0</v>
      </c>
      <c r="I85" s="17">
        <v>-730201.54000000004</v>
      </c>
      <c r="J85" s="17">
        <v>22267995.530000001</v>
      </c>
      <c r="K85" s="17">
        <v>13636089.309999999</v>
      </c>
      <c r="L85" s="26"/>
      <c r="M85" s="26"/>
    </row>
    <row r="86" spans="1:13" ht="13">
      <c r="A86" s="4">
        <f t="shared" si="20"/>
        <v>77</v>
      </c>
      <c r="B86" s="1" t="s">
        <v>12</v>
      </c>
      <c r="C86" s="4">
        <v>2019</v>
      </c>
      <c r="D86" s="17">
        <v>85350.540000000008</v>
      </c>
      <c r="E86" s="17">
        <f t="shared" si="23"/>
        <v>-357.8300000000163</v>
      </c>
      <c r="F86" s="27">
        <v>84992.709999999992</v>
      </c>
      <c r="G86" s="27">
        <v>17923.599999999999</v>
      </c>
      <c r="H86" s="27">
        <v>0</v>
      </c>
      <c r="I86" s="27">
        <v>-75.140000000000001</v>
      </c>
      <c r="J86" s="27">
        <v>17848.459999999999</v>
      </c>
      <c r="K86" s="27">
        <v>17848.470000000001</v>
      </c>
      <c r="L86" s="26"/>
      <c r="M86" s="26"/>
    </row>
    <row r="87" spans="1:13" ht="13">
      <c r="A87" s="4">
        <f t="shared" si="20"/>
        <v>78</v>
      </c>
      <c r="B87" s="1" t="s">
        <v>12</v>
      </c>
      <c r="C87" s="4">
        <v>2020</v>
      </c>
      <c r="D87" s="17">
        <v>3856.5999999999999</v>
      </c>
      <c r="E87" s="17">
        <f t="shared" si="23"/>
        <v>-102.92000000000007</v>
      </c>
      <c r="F87" s="27">
        <v>3753.6799999999998</v>
      </c>
      <c r="G87" s="27">
        <v>809.88999999999999</v>
      </c>
      <c r="H87" s="27">
        <v>0</v>
      </c>
      <c r="I87" s="27">
        <v>-21.609999999999999</v>
      </c>
      <c r="J87" s="27">
        <v>788.27999999999997</v>
      </c>
      <c r="K87" s="27">
        <v>788.26999999999998</v>
      </c>
      <c r="L87" s="26"/>
      <c r="M87" s="26"/>
    </row>
    <row r="88" spans="1:13" ht="13">
      <c r="A88" s="4">
        <f t="shared" si="20"/>
        <v>79</v>
      </c>
      <c r="B88" s="1" t="s">
        <v>12</v>
      </c>
      <c r="C88" s="4">
        <v>2021</v>
      </c>
      <c r="D88" s="17">
        <v>0</v>
      </c>
      <c r="E88" s="17">
        <f t="shared" si="23"/>
        <v>4184.4700000000003</v>
      </c>
      <c r="F88" s="27">
        <v>4184.4700000000003</v>
      </c>
      <c r="G88" s="27">
        <v>0</v>
      </c>
      <c r="H88" s="27">
        <v>890.83000000000004</v>
      </c>
      <c r="I88" s="27">
        <v>-12.09</v>
      </c>
      <c r="J88" s="27">
        <v>878.74000000000001</v>
      </c>
      <c r="K88" s="27">
        <v>878.74000000000001</v>
      </c>
      <c r="L88" s="26"/>
      <c r="M88" s="26"/>
    </row>
    <row r="89" spans="1:13" s="5" customFormat="1" ht="13">
      <c r="A89" s="4">
        <f t="shared" si="20"/>
        <v>80</v>
      </c>
      <c r="B89" s="5" t="s">
        <v>36</v>
      </c>
      <c r="C89" s="12"/>
      <c r="D89" s="18">
        <f>SUM(D85:D88)</f>
        <v>67151546.670000002</v>
      </c>
      <c r="E89" s="18">
        <f t="shared" si="24" ref="E89:K89">SUM(E85:E88)</f>
        <v>-2124857.1799999983</v>
      </c>
      <c r="F89" s="18">
        <f t="shared" si="24"/>
        <v>65026689.490000002</v>
      </c>
      <c r="G89" s="18">
        <f t="shared" si="24"/>
        <v>23016930.560000002</v>
      </c>
      <c r="H89" s="18">
        <f t="shared" si="24"/>
        <v>890.83000000000004</v>
      </c>
      <c r="I89" s="18">
        <f t="shared" si="24"/>
        <v>-730310.38</v>
      </c>
      <c r="J89" s="18">
        <f t="shared" si="24"/>
        <v>22287511.010000002</v>
      </c>
      <c r="K89" s="18">
        <f t="shared" si="24"/>
        <v>13655604.789999999</v>
      </c>
      <c r="M89" s="19"/>
    </row>
    <row r="90" spans="1:13" ht="13">
      <c r="A90" s="4">
        <f t="shared" si="20"/>
        <v>81</v>
      </c>
      <c r="E90" s="26"/>
      <c r="F90" s="26"/>
      <c r="G90" s="26"/>
      <c r="H90" s="26"/>
      <c r="I90" s="26"/>
      <c r="J90" s="26"/>
      <c r="K90" s="26"/>
      <c r="L90" s="26"/>
      <c r="M90" s="26"/>
    </row>
    <row r="91" spans="1:13" ht="13">
      <c r="A91" s="4">
        <f t="shared" si="20"/>
        <v>82</v>
      </c>
      <c r="B91" s="2" t="s">
        <v>14</v>
      </c>
      <c r="C91" s="16" t="s">
        <v>46</v>
      </c>
      <c r="D91" s="17">
        <v>-9250767.6199999992</v>
      </c>
      <c r="E91" s="17">
        <f t="shared" si="25" ref="E91:E94">+F91-D91</f>
        <v>881384.13999999873</v>
      </c>
      <c r="F91" s="17">
        <v>-8369383.4800000004</v>
      </c>
      <c r="G91" s="17">
        <v>-3237768.6499999999</v>
      </c>
      <c r="H91" s="17">
        <v>0</v>
      </c>
      <c r="I91" s="17">
        <v>308484.39000000001</v>
      </c>
      <c r="J91" s="17">
        <v>-2929284.2599999998</v>
      </c>
      <c r="K91" s="17">
        <v>-1757570.53</v>
      </c>
      <c r="L91" s="26"/>
      <c r="M91" s="26"/>
    </row>
    <row r="92" spans="1:13" ht="13">
      <c r="A92" s="4">
        <f t="shared" si="20"/>
        <v>83</v>
      </c>
      <c r="B92" s="2" t="s">
        <v>14</v>
      </c>
      <c r="C92" s="4">
        <v>2019</v>
      </c>
      <c r="D92" s="17">
        <v>0</v>
      </c>
      <c r="E92" s="17">
        <f t="shared" si="25"/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6"/>
      <c r="M92" s="26"/>
    </row>
    <row r="93" spans="1:13" ht="13">
      <c r="A93" s="4">
        <f t="shared" si="20"/>
        <v>84</v>
      </c>
      <c r="B93" s="2" t="s">
        <v>14</v>
      </c>
      <c r="C93" s="4">
        <v>2020</v>
      </c>
      <c r="D93" s="17">
        <v>0</v>
      </c>
      <c r="E93" s="17">
        <f t="shared" si="25"/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6"/>
      <c r="M93" s="26"/>
    </row>
    <row r="94" spans="1:13" ht="13">
      <c r="A94" s="4">
        <f t="shared" si="20"/>
        <v>85</v>
      </c>
      <c r="B94" s="2" t="s">
        <v>14</v>
      </c>
      <c r="C94" s="4">
        <v>2021</v>
      </c>
      <c r="D94" s="17">
        <v>0</v>
      </c>
      <c r="E94" s="17">
        <f t="shared" si="25"/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6"/>
      <c r="M94" s="26"/>
    </row>
    <row r="95" spans="1:13" s="5" customFormat="1" ht="13">
      <c r="A95" s="4">
        <f t="shared" si="20"/>
        <v>86</v>
      </c>
      <c r="B95" s="5" t="s">
        <v>38</v>
      </c>
      <c r="C95" s="12"/>
      <c r="D95" s="18">
        <f>SUM(D91:D94)</f>
        <v>-9250767.6199999992</v>
      </c>
      <c r="E95" s="18">
        <f t="shared" si="26" ref="E95:K95">SUM(E91:E94)</f>
        <v>881384.13999999873</v>
      </c>
      <c r="F95" s="18">
        <f t="shared" si="26"/>
        <v>-8369383.4800000004</v>
      </c>
      <c r="G95" s="18">
        <f t="shared" si="26"/>
        <v>-3237768.6499999999</v>
      </c>
      <c r="H95" s="18">
        <f t="shared" si="26"/>
        <v>0</v>
      </c>
      <c r="I95" s="18">
        <f t="shared" si="26"/>
        <v>308484.39000000001</v>
      </c>
      <c r="J95" s="18">
        <f t="shared" si="26"/>
        <v>-2929284.2599999998</v>
      </c>
      <c r="K95" s="18">
        <f t="shared" si="26"/>
        <v>-1757570.53</v>
      </c>
      <c r="M95" s="19"/>
    </row>
    <row r="96" spans="1:13" ht="13">
      <c r="A96" s="4">
        <f t="shared" si="20"/>
        <v>87</v>
      </c>
      <c r="E96" s="26"/>
      <c r="F96" s="26"/>
      <c r="G96" s="26"/>
      <c r="H96" s="26"/>
      <c r="I96" s="26"/>
      <c r="J96" s="26"/>
      <c r="K96" s="26"/>
      <c r="L96" s="26"/>
      <c r="M96" s="26"/>
    </row>
    <row r="97" spans="1:13" ht="13">
      <c r="A97" s="4">
        <f t="shared" si="20"/>
        <v>88</v>
      </c>
      <c r="B97" s="2" t="s">
        <v>17</v>
      </c>
      <c r="C97" s="16" t="s">
        <v>46</v>
      </c>
      <c r="D97" s="17">
        <v>-33989249.340000004</v>
      </c>
      <c r="E97" s="17">
        <f t="shared" si="27" ref="E97:E100">+F97-D97</f>
        <v>3213984.6900000051</v>
      </c>
      <c r="F97" s="17">
        <v>-30775264.649999999</v>
      </c>
      <c r="G97" s="17">
        <v>-11580318.710000001</v>
      </c>
      <c r="H97" s="17">
        <v>0</v>
      </c>
      <c r="I97" s="17">
        <v>1094461.29</v>
      </c>
      <c r="J97" s="17">
        <v>-10485857.42</v>
      </c>
      <c r="K97" s="17">
        <v>-6462805.5700000003</v>
      </c>
      <c r="L97" s="26"/>
      <c r="M97" s="26"/>
    </row>
    <row r="98" spans="1:13" ht="13">
      <c r="A98" s="4">
        <f t="shared" si="20"/>
        <v>89</v>
      </c>
      <c r="B98" s="2" t="s">
        <v>17</v>
      </c>
      <c r="C98" s="4">
        <v>2019</v>
      </c>
      <c r="D98" s="17">
        <v>-991060.65000000002</v>
      </c>
      <c r="E98" s="17">
        <f t="shared" si="27"/>
        <v>101477.68000000005</v>
      </c>
      <c r="F98" s="27">
        <v>-889582.96999999997</v>
      </c>
      <c r="G98" s="27">
        <v>-208120.97</v>
      </c>
      <c r="H98" s="27">
        <v>0</v>
      </c>
      <c r="I98" s="27">
        <v>21310.119999999999</v>
      </c>
      <c r="J98" s="27">
        <v>-186810.85000000001</v>
      </c>
      <c r="K98" s="27">
        <v>-186812.42000000001</v>
      </c>
      <c r="L98" s="26"/>
      <c r="M98" s="26"/>
    </row>
    <row r="99" spans="1:13" ht="13">
      <c r="A99" s="4">
        <f t="shared" si="20"/>
        <v>90</v>
      </c>
      <c r="B99" s="2" t="s">
        <v>17</v>
      </c>
      <c r="C99" s="4">
        <v>2020</v>
      </c>
      <c r="D99" s="17">
        <v>0</v>
      </c>
      <c r="E99" s="17">
        <f t="shared" si="27"/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6"/>
      <c r="M99" s="26"/>
    </row>
    <row r="100" spans="1:13" ht="13">
      <c r="A100" s="4">
        <f t="shared" si="20"/>
        <v>91</v>
      </c>
      <c r="B100" s="2" t="s">
        <v>17</v>
      </c>
      <c r="C100" s="4">
        <v>2021</v>
      </c>
      <c r="D100" s="17">
        <v>0</v>
      </c>
      <c r="E100" s="17">
        <f t="shared" si="27"/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6"/>
      <c r="M100" s="26"/>
    </row>
    <row r="101" spans="1:13" s="5" customFormat="1" ht="13">
      <c r="A101" s="4">
        <f t="shared" si="20"/>
        <v>92</v>
      </c>
      <c r="B101" s="5" t="s">
        <v>41</v>
      </c>
      <c r="C101" s="12"/>
      <c r="D101" s="18">
        <f>SUM(D97:D100)</f>
        <v>-34980309.990000002</v>
      </c>
      <c r="E101" s="18">
        <f t="shared" si="28" ref="E101:K101">SUM(E97:E100)</f>
        <v>3315462.3700000052</v>
      </c>
      <c r="F101" s="18">
        <f t="shared" si="28"/>
        <v>-31664847.619999997</v>
      </c>
      <c r="G101" s="18">
        <f t="shared" si="28"/>
        <v>-11788439.680000002</v>
      </c>
      <c r="H101" s="18">
        <f t="shared" si="28"/>
        <v>0</v>
      </c>
      <c r="I101" s="18">
        <f t="shared" si="28"/>
        <v>1115771.4100000002</v>
      </c>
      <c r="J101" s="18">
        <f t="shared" si="28"/>
        <v>-10672668.27</v>
      </c>
      <c r="K101" s="18">
        <f t="shared" si="28"/>
        <v>-6649617.9900000002</v>
      </c>
      <c r="M101" s="19"/>
    </row>
    <row r="102" spans="1:13" ht="13">
      <c r="A102" s="4">
        <f t="shared" si="20"/>
        <v>93</v>
      </c>
      <c r="E102" s="26"/>
      <c r="F102" s="26"/>
      <c r="G102" s="26"/>
      <c r="H102" s="26"/>
      <c r="I102" s="26"/>
      <c r="J102" s="26"/>
      <c r="K102" s="26"/>
      <c r="L102" s="26"/>
      <c r="M102" s="26"/>
    </row>
    <row r="103" spans="1:13" ht="13">
      <c r="A103" s="4">
        <f t="shared" si="20"/>
        <v>94</v>
      </c>
      <c r="B103" s="1" t="s">
        <v>19</v>
      </c>
      <c r="C103" s="16" t="s">
        <v>46</v>
      </c>
      <c r="D103" s="17">
        <v>-34174933.470000006</v>
      </c>
      <c r="E103" s="17">
        <f t="shared" si="29" ref="E103:E106">+F103-D103</f>
        <v>1504230.3700000085</v>
      </c>
      <c r="F103" s="17">
        <v>-32670703.099999998</v>
      </c>
      <c r="G103" s="17">
        <v>-11943649.289999997</v>
      </c>
      <c r="H103" s="17">
        <v>0</v>
      </c>
      <c r="I103" s="17">
        <v>524952.82999999996</v>
      </c>
      <c r="J103" s="17">
        <v>-11418696.469999997</v>
      </c>
      <c r="K103" s="17">
        <v>-6860847.6500000004</v>
      </c>
      <c r="L103" s="26"/>
      <c r="M103" s="26"/>
    </row>
    <row r="104" spans="1:12" ht="12.5">
      <c r="A104" s="4">
        <f t="shared" si="20"/>
        <v>95</v>
      </c>
      <c r="B104" s="1" t="s">
        <v>19</v>
      </c>
      <c r="C104" s="4">
        <v>2019</v>
      </c>
      <c r="D104" s="17">
        <v>5421.54</v>
      </c>
      <c r="E104" s="17">
        <f t="shared" si="29"/>
        <v>0</v>
      </c>
      <c r="F104" s="27">
        <v>5421.54</v>
      </c>
      <c r="G104" s="27">
        <v>1138.52</v>
      </c>
      <c r="H104" s="27">
        <v>0</v>
      </c>
      <c r="I104" s="27">
        <v>0</v>
      </c>
      <c r="J104" s="27">
        <v>1138.52</v>
      </c>
      <c r="K104" s="27">
        <v>1138.52</v>
      </c>
      <c r="L104" s="1"/>
    </row>
    <row r="105" spans="1:13" ht="13">
      <c r="A105" s="4">
        <f t="shared" si="20"/>
        <v>96</v>
      </c>
      <c r="B105" s="1" t="s">
        <v>19</v>
      </c>
      <c r="C105" s="4">
        <v>2020</v>
      </c>
      <c r="D105" s="17">
        <v>0</v>
      </c>
      <c r="E105" s="17">
        <f t="shared" si="29"/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6"/>
      <c r="M105" s="26"/>
    </row>
    <row r="106" spans="1:13" ht="13">
      <c r="A106" s="4">
        <f t="shared" si="20"/>
        <v>97</v>
      </c>
      <c r="B106" s="1" t="s">
        <v>19</v>
      </c>
      <c r="C106" s="4">
        <v>2021</v>
      </c>
      <c r="D106" s="17">
        <v>0</v>
      </c>
      <c r="E106" s="17">
        <f t="shared" si="29"/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6"/>
      <c r="M106" s="26"/>
    </row>
    <row r="107" spans="1:13" s="5" customFormat="1" ht="13">
      <c r="A107" s="4">
        <f t="shared" si="20"/>
        <v>98</v>
      </c>
      <c r="B107" s="5" t="s">
        <v>43</v>
      </c>
      <c r="C107" s="4"/>
      <c r="D107" s="18">
        <f>SUM(D103:D106)</f>
        <v>-34169511.930000007</v>
      </c>
      <c r="E107" s="18">
        <f t="shared" si="30" ref="E107:K107">SUM(E103:E106)</f>
        <v>1504230.3700000085</v>
      </c>
      <c r="F107" s="18">
        <f t="shared" si="30"/>
        <v>-32665281.559999999</v>
      </c>
      <c r="G107" s="18">
        <f t="shared" si="30"/>
        <v>-11942510.769999998</v>
      </c>
      <c r="H107" s="18">
        <f t="shared" si="30"/>
        <v>0</v>
      </c>
      <c r="I107" s="18">
        <f t="shared" si="30"/>
        <v>524952.82999999996</v>
      </c>
      <c r="J107" s="18">
        <f t="shared" si="30"/>
        <v>-11417557.949999997</v>
      </c>
      <c r="K107" s="18">
        <f t="shared" si="30"/>
        <v>-6859709.1300000008</v>
      </c>
      <c r="M107" s="19"/>
    </row>
    <row r="108" spans="1:13" ht="13">
      <c r="A108" s="4">
        <f t="shared" si="20"/>
        <v>99</v>
      </c>
      <c r="E108" s="26"/>
      <c r="F108" s="26"/>
      <c r="G108" s="26"/>
      <c r="H108" s="26"/>
      <c r="I108" s="26"/>
      <c r="J108" s="26"/>
      <c r="K108" s="26"/>
      <c r="L108" s="26"/>
      <c r="M108" s="26"/>
    </row>
    <row r="109" spans="1:13" ht="13.5" thickBot="1">
      <c r="A109" s="4">
        <f t="shared" si="20"/>
        <v>100</v>
      </c>
      <c r="B109" s="23" t="s">
        <v>47</v>
      </c>
      <c r="D109" s="24">
        <f>+D83+D89+D95+D101+D107</f>
        <v>624272639.88999987</v>
      </c>
      <c r="E109" s="24">
        <f t="shared" si="31" ref="E109:K109">+E83+E89+E95+E101+E107</f>
        <v>41772895.890000075</v>
      </c>
      <c r="F109" s="24">
        <f t="shared" si="31"/>
        <v>666045535.78000009</v>
      </c>
      <c r="G109" s="24">
        <f t="shared" si="31"/>
        <v>187391805.46999997</v>
      </c>
      <c r="H109" s="24">
        <f t="shared" si="31"/>
        <v>11694337.439999998</v>
      </c>
      <c r="I109" s="24">
        <f t="shared" si="31"/>
        <v>-4916700.7500000009</v>
      </c>
      <c r="J109" s="24">
        <f t="shared" si="31"/>
        <v>194169442.16</v>
      </c>
      <c r="K109" s="24">
        <f t="shared" si="31"/>
        <v>139869562.51999998</v>
      </c>
      <c r="L109" s="26"/>
      <c r="M109" s="26"/>
    </row>
    <row r="110" spans="1:13" ht="13">
      <c r="A110" s="4">
        <f t="shared" si="20"/>
        <v>101</v>
      </c>
      <c r="B110" s="23"/>
      <c r="D110" s="28"/>
      <c r="E110" s="28"/>
      <c r="F110" s="28"/>
      <c r="G110" s="28"/>
      <c r="H110" s="28"/>
      <c r="I110" s="28"/>
      <c r="J110" s="28"/>
      <c r="K110" s="28"/>
      <c r="L110" s="26"/>
      <c r="M110" s="26"/>
    </row>
    <row r="111" spans="1:13" ht="13">
      <c r="A111" s="4">
        <f t="shared" si="20"/>
        <v>102</v>
      </c>
      <c r="E111" s="26"/>
      <c r="F111" s="26"/>
      <c r="G111" s="26"/>
      <c r="H111" s="26"/>
      <c r="I111" s="26"/>
      <c r="J111" s="26"/>
      <c r="K111" s="26"/>
      <c r="L111" s="26"/>
      <c r="M111" s="26"/>
    </row>
    <row r="112" spans="1:13" ht="13.5" thickBot="1">
      <c r="A112" s="4">
        <f t="shared" si="20"/>
        <v>103</v>
      </c>
      <c r="B112" s="5" t="s">
        <v>48</v>
      </c>
      <c r="D112" s="29">
        <f>+D75+D109</f>
        <v>2915743578.3099999</v>
      </c>
      <c r="E112" s="29">
        <f t="shared" si="32" ref="E112:K112">+E75+E109</f>
        <v>636828656.0999999</v>
      </c>
      <c r="F112" s="29">
        <f t="shared" si="32"/>
        <v>3552572234.4100003</v>
      </c>
      <c r="G112" s="29">
        <f t="shared" si="32"/>
        <v>774325521.21000004</v>
      </c>
      <c r="H112" s="29">
        <f t="shared" si="32"/>
        <v>139461771.45999998</v>
      </c>
      <c r="I112" s="29">
        <f t="shared" si="32"/>
        <v>-12617696.120000001</v>
      </c>
      <c r="J112" s="29">
        <f t="shared" si="32"/>
        <v>901169596.54000008</v>
      </c>
      <c r="K112" s="29">
        <f t="shared" si="32"/>
        <v>746040169.24999988</v>
      </c>
      <c r="L112" s="26"/>
      <c r="M112" s="26"/>
    </row>
    <row r="113" spans="5:13" ht="13.5" thickTop="1">
      <c r="E113" s="26"/>
      <c r="F113" s="26"/>
      <c r="G113" s="26"/>
      <c r="H113" s="26"/>
      <c r="I113" s="26"/>
      <c r="J113" s="26"/>
      <c r="K113" s="26"/>
      <c r="L113" s="26"/>
      <c r="M113" s="26"/>
    </row>
  </sheetData>
  <mergeCells count="5">
    <mergeCell ref="A1:K1"/>
    <mergeCell ref="A2:K2"/>
    <mergeCell ref="A3:K3"/>
    <mergeCell ref="A4:K4"/>
    <mergeCell ref="A5:K5"/>
  </mergeCells>
  <printOptions horizontalCentered="1"/>
  <pageMargins left="0.5" right="0.5" top="1.75" bottom="0.25" header="1.5" footer="0.3"/>
  <pageSetup orientation="landscape" scale="53" r:id="rId1"/>
  <headerFooter>
    <oddHeader>&amp;R&amp;"-,Bold"WP/II-E-3.8/1
Page &amp;P of &amp;N</oddHeader>
  </headerFooter>
  <rowBreaks count="1" manualBreakCount="1">
    <brk id="6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II-E-3.8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