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23040" windowHeight="8310" activeTab="0"/>
  </bookViews>
  <sheets>
    <sheet name="WP II-E-3.19" sheetId="1" r:id="rId2"/>
  </sheets>
  <definedNames>
    <definedName name="_xlnm.Print_Area" localSheetId="0">'WP II-E-3.19'!$A$1:$L$96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6" i="1" l="1"/>
</calcChain>
</file>

<file path=xl/sharedStrings.xml><?xml version="1.0" encoding="utf-8"?>
<sst xmlns="http://schemas.openxmlformats.org/spreadsheetml/2006/main" count="97" uniqueCount="78">
  <si>
    <t>Oncor (excl NTU)</t>
  </si>
  <si>
    <t>Protected</t>
  </si>
  <si>
    <t>Liberalized Depreciation</t>
  </si>
  <si>
    <t>Contributions in Aid of Construction</t>
  </si>
  <si>
    <t>2018 Amortization</t>
  </si>
  <si>
    <t>2019 Amortization</t>
  </si>
  <si>
    <t>2020 Amortization</t>
  </si>
  <si>
    <t>Test Year Amortization</t>
  </si>
  <si>
    <t>Sec 1031 LKE Basis Difference</t>
  </si>
  <si>
    <t>Audit Adjustments</t>
  </si>
  <si>
    <t>AFUDC Debt</t>
  </si>
  <si>
    <t>Casualty Losses</t>
  </si>
  <si>
    <t>Software</t>
  </si>
  <si>
    <t>Repair Expense</t>
  </si>
  <si>
    <t>Mixed Service Cost</t>
  </si>
  <si>
    <t>Tax Capitalized Interest</t>
  </si>
  <si>
    <t>Bad Debts</t>
  </si>
  <si>
    <t>Deferred Revenue - AMS - FBOS</t>
  </si>
  <si>
    <t>Vacation Pay Accrual</t>
  </si>
  <si>
    <t>Performance Enhancement Plan</t>
  </si>
  <si>
    <t>Deferred Unbilled TCRF/EECRF Reg Liability</t>
  </si>
  <si>
    <t>Reg Asset - TCRF</t>
  </si>
  <si>
    <t>IBNR - Medical/PIPD</t>
  </si>
  <si>
    <t>Supplemental Retirement Plan</t>
  </si>
  <si>
    <t>LTIP Amortization</t>
  </si>
  <si>
    <t>OPEB FAS 106</t>
  </si>
  <si>
    <t>OPEB FAS 112</t>
  </si>
  <si>
    <t>Salary Deferral Plan - Assets</t>
  </si>
  <si>
    <t>Salary Deferral Plan - Liabilities</t>
  </si>
  <si>
    <t>Pension Plan Contributions</t>
  </si>
  <si>
    <t>Pension Plan Expense</t>
  </si>
  <si>
    <t>Amo of Organizational Expenditures</t>
  </si>
  <si>
    <t>Mark-to-Market</t>
  </si>
  <si>
    <t>Prepaid Insurance</t>
  </si>
  <si>
    <t>Provision for Self Insurance</t>
  </si>
  <si>
    <t>Deferred Revenue - AMS Fed</t>
  </si>
  <si>
    <t>Regulatory Asset for Employee Benefit</t>
  </si>
  <si>
    <t>Reg Asset Costs - AMS Meters</t>
  </si>
  <si>
    <t>Regulatory Asset for Deferred Depreciation</t>
  </si>
  <si>
    <t>Debt Recall Premium and Expense</t>
  </si>
  <si>
    <t>Reg Asset - Defaulted REPs</t>
  </si>
  <si>
    <t>Reg Asset - Local Gross Receipts Taxes</t>
  </si>
  <si>
    <t>Reg Asset - Sharyland Whlsle Dist Sub Tariff</t>
  </si>
  <si>
    <t>Reg Asset Workers Comp</t>
  </si>
  <si>
    <t>Rate Case Expense</t>
  </si>
  <si>
    <t>Non-plant-related</t>
  </si>
  <si>
    <t>Plant-related</t>
  </si>
  <si>
    <t>Total Excess Deferrred Taxes</t>
  </si>
  <si>
    <t>Protected excess returned in rates</t>
  </si>
  <si>
    <t>Protected excess amortized</t>
  </si>
  <si>
    <t>Excess Reserve</t>
  </si>
  <si>
    <t>Amortization Method</t>
  </si>
  <si>
    <t>ARAM</t>
  </si>
  <si>
    <t>Total Protected</t>
  </si>
  <si>
    <t>NTU</t>
  </si>
  <si>
    <t>Balance at 12/31/17 (2017 Tax Return)</t>
  </si>
  <si>
    <t>Basis Differences In-service</t>
  </si>
  <si>
    <t>Basis Differences CWIP</t>
  </si>
  <si>
    <t>Capitalized Intangibles</t>
  </si>
  <si>
    <t>Transaction Costs</t>
  </si>
  <si>
    <t>Protected Excess Returned in Rates</t>
  </si>
  <si>
    <t>Protected Excess Amortized</t>
  </si>
  <si>
    <t>Total Oncor including NTU Excess Deferred Taxes</t>
  </si>
  <si>
    <t>Page 1 of 1</t>
  </si>
  <si>
    <t>ONCOR ELECTRIC DELIVERY COMPANY LLC</t>
  </si>
  <si>
    <t>SPONSOR:  B. L. CLUTTER</t>
  </si>
  <si>
    <t>WP/II-E-3.19</t>
  </si>
  <si>
    <t>ANALYSIS OF EXCESS DEFERRED TAXES BY TIMING DIFFERENCE</t>
  </si>
  <si>
    <t>Other Basis Differences</t>
  </si>
  <si>
    <t>Non-protected</t>
  </si>
  <si>
    <t>Total Non-protected</t>
  </si>
  <si>
    <t>Excess reserve</t>
  </si>
  <si>
    <t>2021 Amortization</t>
  </si>
  <si>
    <t>Balance at 12/31/21</t>
  </si>
  <si>
    <t xml:space="preserve">Adjusted Balance at 12/31/17 </t>
  </si>
  <si>
    <t>2022 RATE CASE</t>
  </si>
  <si>
    <t>TEST YEAR ENDING DECEMBER 31, 2021</t>
  </si>
  <si>
    <t>Amo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</si>
</sst>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 val="single"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</cellStyleXfs>
  <cellXfs count="33">
    <xf numFmtId="0" fontId="0" fillId="0" borderId="0" xfId="0"/>
    <xf numFmtId="0" fontId="1" fillId="0" borderId="0" xfId="20" applyFont="1">
      <alignment/>
      <protection/>
    </xf>
    <xf numFmtId="0" fontId="2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164" fontId="1" fillId="0" borderId="0" xfId="18" applyNumberFormat="1" applyFont="1"/>
    <xf numFmtId="164" fontId="1" fillId="0" borderId="0" xfId="0" applyNumberFormat="1" applyFont="1"/>
    <xf numFmtId="164" fontId="1" fillId="0" borderId="2" xfId="18" applyNumberFormat="1" applyFont="1" applyBorder="1"/>
    <xf numFmtId="164" fontId="1" fillId="0" borderId="2" xfId="0" applyNumberFormat="1" applyFont="1" applyBorder="1"/>
    <xf numFmtId="164" fontId="3" fillId="0" borderId="2" xfId="0" applyNumberFormat="1" applyFont="1" applyBorder="1"/>
    <xf numFmtId="164" fontId="3" fillId="0" borderId="2" xfId="18" applyNumberFormat="1" applyFont="1" applyBorder="1"/>
    <xf numFmtId="164" fontId="3" fillId="0" borderId="3" xfId="0" applyNumberFormat="1" applyFont="1" applyBorder="1"/>
    <xf numFmtId="0" fontId="1" fillId="0" borderId="0" xfId="0" applyFont="1" applyFill="1"/>
    <xf numFmtId="164" fontId="1" fillId="0" borderId="0" xfId="0" applyNumberFormat="1" applyFont="1" applyFill="1"/>
    <xf numFmtId="164" fontId="1" fillId="0" borderId="0" xfId="18" applyNumberFormat="1" applyFont="1" applyFill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164" fontId="3" fillId="0" borderId="2" xfId="18" applyNumberFormat="1" applyFont="1" applyFill="1" applyBorder="1"/>
    <xf numFmtId="164" fontId="1" fillId="0" borderId="2" xfId="18" applyNumberFormat="1" applyFont="1" applyFill="1" applyBorder="1"/>
    <xf numFmtId="164" fontId="1" fillId="0" borderId="2" xfId="0" applyNumberFormat="1" applyFont="1" applyFill="1" applyBorder="1"/>
    <xf numFmtId="164" fontId="3" fillId="0" borderId="2" xfId="0" applyNumberFormat="1" applyFont="1" applyFill="1" applyBorder="1"/>
    <xf numFmtId="164" fontId="3" fillId="0" borderId="3" xfId="0" applyNumberFormat="1" applyFont="1" applyFill="1" applyBorder="1"/>
    <xf numFmtId="0" fontId="1" fillId="0" borderId="0" xfId="0" applyFont="1" applyFill="1" applyBorder="1" applyAlignment="1">
      <alignment horizontal="center" wrapText="1"/>
    </xf>
    <xf numFmtId="0" fontId="1" fillId="0" borderId="0" xfId="20" applyFont="1" applyFill="1">
      <alignment/>
      <protection/>
    </xf>
    <xf numFmtId="0" fontId="4" fillId="0" borderId="0" xfId="0" applyFont="1" applyAlignment="1">
      <alignment/>
    </xf>
    <xf numFmtId="0" fontId="4" fillId="0" borderId="0" xfId="0" applyFont="1" applyAlignment="1">
      <alignment horizontal="center"/>
    </xf>
    <xf numFmtId="43" fontId="1" fillId="0" borderId="2" xfId="18" applyNumberFormat="1" applyFont="1" applyFill="1" applyBorder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8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dimension ref="A1:Q105"/>
  <sheetViews>
    <sheetView tabSelected="1" zoomScale="80" zoomScaleNormal="80" workbookViewId="0" topLeftCell="A1">
      <selection pane="topLeft" activeCell="M17" sqref="M17"/>
    </sheetView>
  </sheetViews>
  <sheetFormatPr defaultRowHeight="12.75"/>
  <cols>
    <col min="1" max="1" width="1.57142857142857" style="3" customWidth="1"/>
    <col min="2" max="2" width="40.8571428571429" style="3" customWidth="1"/>
    <col min="3" max="7" width="14.5714285714286" style="3" customWidth="1"/>
    <col min="8" max="8" width="14.5714285714286" style="12" customWidth="1"/>
    <col min="9" max="9" width="2.42857142857143" style="12" customWidth="1"/>
    <col min="10" max="10" width="14.5714285714286" style="12" customWidth="1"/>
    <col min="11" max="11" width="2.57142857142857" style="3" customWidth="1"/>
    <col min="12" max="12" width="11.7142857142857" style="16" customWidth="1"/>
    <col min="13" max="13" width="12.8571428571429" style="3" bestFit="1" customWidth="1"/>
    <col min="14" max="14" width="12.7142857142857" style="3" bestFit="1" customWidth="1"/>
    <col min="15" max="15" width="10.4285714285714" style="3" bestFit="1" customWidth="1"/>
    <col min="16" max="16" width="2" style="3" bestFit="1" customWidth="1"/>
    <col min="17" max="16384" width="8.71428571428571" style="3"/>
  </cols>
  <sheetData>
    <row r="1" spans="1:16" ht="14.5">
      <c r="A1" s="17"/>
      <c r="B1"/>
      <c r="C1"/>
      <c r="D1"/>
      <c r="E1" s="18"/>
      <c r="L1" s="19" t="s">
        <v>66</v>
      </c>
      <c r="O1" s="12" t="s">
        <v>77</v>
      </c>
      <c r="P1" s="12">
        <v>5</v>
      </c>
    </row>
    <row r="2" spans="1:12" ht="14.5">
      <c r="A2" s="17"/>
      <c r="B2"/>
      <c r="C2"/>
      <c r="D2"/>
      <c r="E2" s="18"/>
      <c r="L2" s="19" t="s">
        <v>63</v>
      </c>
    </row>
    <row r="3" spans="1:7" ht="14.5">
      <c r="A3" s="17"/>
      <c r="B3"/>
      <c r="C3"/>
      <c r="D3"/>
      <c r="E3" s="20"/>
      <c r="F3"/>
      <c r="G3"/>
    </row>
    <row r="4" spans="1:12" ht="13">
      <c r="A4" s="31" t="s">
        <v>75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13">
      <c r="A5" s="31" t="s">
        <v>64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ht="13">
      <c r="A6" s="31" t="s">
        <v>67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ht="13">
      <c r="A7" s="31" t="s">
        <v>76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 ht="13">
      <c r="A8" s="31" t="s">
        <v>65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</row>
    <row r="10" spans="4:16" ht="13"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3" spans="1:12" ht="37.5">
      <c r="A13" s="2" t="s">
        <v>0</v>
      </c>
      <c r="C13" s="4" t="s">
        <v>74</v>
      </c>
      <c r="D13" s="4" t="s">
        <v>4</v>
      </c>
      <c r="E13" s="4" t="s">
        <v>5</v>
      </c>
      <c r="F13" s="4" t="s">
        <v>6</v>
      </c>
      <c r="G13" s="4" t="s">
        <v>72</v>
      </c>
      <c r="H13" s="22" t="s">
        <v>73</v>
      </c>
      <c r="J13" s="22" t="s">
        <v>7</v>
      </c>
      <c r="L13" s="4" t="s">
        <v>51</v>
      </c>
    </row>
    <row r="14" spans="1:1" ht="12.5">
      <c r="A14" s="3" t="s">
        <v>1</v>
      </c>
    </row>
    <row r="15" spans="2:12" ht="12.5">
      <c r="B15" s="3" t="s">
        <v>2</v>
      </c>
      <c r="C15" s="5">
        <f>-1035933780+28099190</f>
        <v>-1007834590</v>
      </c>
      <c r="D15" s="5">
        <v>18401003</v>
      </c>
      <c r="E15" s="5">
        <v>18009935</v>
      </c>
      <c r="F15" s="5">
        <v>17412844</v>
      </c>
      <c r="G15" s="5">
        <v>16902061</v>
      </c>
      <c r="H15" s="14">
        <f>SUM(C15:G15)</f>
        <v>-937108747</v>
      </c>
      <c r="J15" s="13">
        <f>+G15</f>
        <v>16902061</v>
      </c>
      <c r="L15" s="16" t="s">
        <v>52</v>
      </c>
    </row>
    <row r="16" spans="2:17" ht="12.5">
      <c r="B16" s="3" t="s">
        <v>3</v>
      </c>
      <c r="C16" s="5">
        <f>31618214-317826</f>
        <v>31300388</v>
      </c>
      <c r="D16" s="5">
        <v>-3609515</v>
      </c>
      <c r="E16" s="5">
        <v>-3349333</v>
      </c>
      <c r="F16" s="5">
        <v>-3036764</v>
      </c>
      <c r="G16" s="5">
        <v>-2732761</v>
      </c>
      <c r="H16" s="14">
        <f>SUM(C16:G16)</f>
        <v>18572015</v>
      </c>
      <c r="J16" s="13">
        <f>+G16</f>
        <v>-2732761</v>
      </c>
      <c r="L16" s="16" t="s">
        <v>52</v>
      </c>
      <c r="M16" s="12"/>
      <c r="N16" s="12"/>
      <c r="O16" s="12"/>
      <c r="P16" s="12"/>
      <c r="Q16" s="12"/>
    </row>
    <row r="17" spans="1:17" ht="13">
      <c r="A17" s="3" t="s">
        <v>53</v>
      </c>
      <c r="C17" s="10">
        <f t="shared" si="0" ref="C17:J17">SUM(C15:C16)</f>
        <v>-976534202</v>
      </c>
      <c r="D17" s="10">
        <f t="shared" si="0"/>
        <v>14791488</v>
      </c>
      <c r="E17" s="10">
        <f t="shared" si="0"/>
        <v>14660602</v>
      </c>
      <c r="F17" s="10">
        <f t="shared" si="0"/>
        <v>14376080</v>
      </c>
      <c r="G17" s="10">
        <f t="shared" si="0"/>
        <v>14169300</v>
      </c>
      <c r="H17" s="23">
        <f t="shared" si="0"/>
        <v>-918536732</v>
      </c>
      <c r="J17" s="23">
        <f t="shared" si="0"/>
        <v>14169300</v>
      </c>
      <c r="M17" s="12"/>
      <c r="N17" s="12"/>
      <c r="O17" s="12"/>
      <c r="P17" s="12"/>
      <c r="Q17" s="12"/>
    </row>
    <row r="18" spans="13:17" ht="12.5">
      <c r="M18" s="12"/>
      <c r="N18" s="12"/>
      <c r="O18" s="12"/>
      <c r="P18" s="12"/>
      <c r="Q18" s="12"/>
    </row>
    <row r="19" spans="1:17" ht="12.5">
      <c r="A19" s="3" t="s">
        <v>69</v>
      </c>
      <c r="M19" s="12"/>
      <c r="N19" s="12"/>
      <c r="O19" s="12"/>
      <c r="P19" s="12"/>
      <c r="Q19" s="12"/>
    </row>
    <row r="20" spans="2:17" ht="12.5">
      <c r="B20" s="3" t="s">
        <v>8</v>
      </c>
      <c r="C20" s="5">
        <v>-27781364</v>
      </c>
      <c r="D20" s="5">
        <v>1000043</v>
      </c>
      <c r="E20" s="5">
        <v>2832179</v>
      </c>
      <c r="F20" s="5">
        <v>2720056</v>
      </c>
      <c r="G20" s="5">
        <v>2720056</v>
      </c>
      <c r="H20" s="14">
        <f t="shared" si="1" ref="H20:H28">SUM(C20:G20)</f>
        <v>-18509030</v>
      </c>
      <c r="J20" s="13">
        <f>ROUND(-H20/$P$1,2)</f>
        <v>3701806</v>
      </c>
      <c r="L20" s="16" t="str">
        <f>$P$1&amp;" years"</f>
        <v>5 years</v>
      </c>
      <c r="M20" s="13"/>
      <c r="N20" s="14"/>
      <c r="O20" s="14"/>
      <c r="P20" s="14"/>
      <c r="Q20" s="12"/>
    </row>
    <row r="21" spans="2:17" ht="12.5">
      <c r="B21" s="3" t="s">
        <v>9</v>
      </c>
      <c r="C21" s="5">
        <v>-14929634</v>
      </c>
      <c r="D21" s="5">
        <v>524874</v>
      </c>
      <c r="E21" s="5">
        <v>1493624</v>
      </c>
      <c r="F21" s="5">
        <v>1493624</v>
      </c>
      <c r="G21" s="5">
        <v>1493624</v>
      </c>
      <c r="H21" s="14">
        <f t="shared" si="1"/>
        <v>-9923888</v>
      </c>
      <c r="J21" s="13">
        <f t="shared" si="2" ref="J21:J28">ROUND(-H21/$P$1,2)</f>
        <v>1984777.6000000001</v>
      </c>
      <c r="L21" s="16" t="str">
        <f t="shared" si="3" ref="L21:L28">$P$1&amp;" years"</f>
        <v>5 years</v>
      </c>
      <c r="M21" s="13"/>
      <c r="N21" s="14"/>
      <c r="O21" s="14"/>
      <c r="P21" s="13"/>
      <c r="Q21" s="12"/>
    </row>
    <row r="22" spans="2:17" ht="12.5">
      <c r="B22" s="3" t="s">
        <v>10</v>
      </c>
      <c r="C22" s="5">
        <v>-17684564</v>
      </c>
      <c r="D22" s="5">
        <v>621553</v>
      </c>
      <c r="E22" s="5">
        <v>1768741</v>
      </c>
      <c r="F22" s="5">
        <v>1768741</v>
      </c>
      <c r="G22" s="5">
        <v>1768741</v>
      </c>
      <c r="H22" s="14">
        <f t="shared" si="1"/>
        <v>-11756788</v>
      </c>
      <c r="J22" s="13">
        <f t="shared" si="2"/>
        <v>2351357.6000000001</v>
      </c>
      <c r="L22" s="16" t="str">
        <f t="shared" si="3"/>
        <v>5 years</v>
      </c>
      <c r="M22" s="13"/>
      <c r="N22" s="14"/>
      <c r="O22" s="14"/>
      <c r="P22" s="13"/>
      <c r="Q22" s="12"/>
    </row>
    <row r="23" spans="2:17" ht="12.5">
      <c r="B23" s="3" t="s">
        <v>11</v>
      </c>
      <c r="C23" s="5">
        <v>-10421128</v>
      </c>
      <c r="D23" s="5">
        <v>366562</v>
      </c>
      <c r="E23" s="5">
        <v>1043119</v>
      </c>
      <c r="F23" s="5">
        <v>1043119</v>
      </c>
      <c r="G23" s="5">
        <v>1043119</v>
      </c>
      <c r="H23" s="14">
        <f t="shared" si="1"/>
        <v>-6925209</v>
      </c>
      <c r="J23" s="13">
        <f t="shared" si="2"/>
        <v>1385041.8000000001</v>
      </c>
      <c r="L23" s="16" t="str">
        <f t="shared" si="3"/>
        <v>5 years</v>
      </c>
      <c r="M23" s="13"/>
      <c r="N23" s="14"/>
      <c r="O23" s="14"/>
      <c r="P23" s="13"/>
      <c r="Q23" s="12"/>
    </row>
    <row r="24" spans="2:17" ht="12.5">
      <c r="B24" s="3" t="s">
        <v>12</v>
      </c>
      <c r="C24" s="5">
        <v>-55840111</v>
      </c>
      <c r="D24" s="5">
        <v>2670477</v>
      </c>
      <c r="E24" s="5">
        <v>7599323</v>
      </c>
      <c r="F24" s="5">
        <v>7599323</v>
      </c>
      <c r="G24" s="5">
        <v>7599323</v>
      </c>
      <c r="H24" s="14">
        <f t="shared" si="1"/>
        <v>-30371665</v>
      </c>
      <c r="J24" s="13">
        <f t="shared" si="2"/>
        <v>6074333</v>
      </c>
      <c r="L24" s="16" t="str">
        <f t="shared" si="3"/>
        <v>5 years</v>
      </c>
      <c r="M24" s="13"/>
      <c r="N24" s="14"/>
      <c r="O24" s="14"/>
      <c r="P24" s="13"/>
      <c r="Q24" s="12"/>
    </row>
    <row r="25" spans="2:17" ht="12.5">
      <c r="B25" s="3" t="s">
        <v>13</v>
      </c>
      <c r="C25" s="5">
        <v>-124829359</v>
      </c>
      <c r="D25" s="5">
        <v>4447707</v>
      </c>
      <c r="E25" s="5">
        <v>12656748</v>
      </c>
      <c r="F25" s="5">
        <v>12656748</v>
      </c>
      <c r="G25" s="5">
        <v>12656748</v>
      </c>
      <c r="H25" s="14">
        <f t="shared" si="1"/>
        <v>-82411408</v>
      </c>
      <c r="J25" s="13">
        <f t="shared" si="2"/>
        <v>16482281.6</v>
      </c>
      <c r="L25" s="16" t="str">
        <f t="shared" si="3"/>
        <v>5 years</v>
      </c>
      <c r="M25" s="13"/>
      <c r="N25" s="14"/>
      <c r="O25" s="14"/>
      <c r="P25" s="13"/>
      <c r="Q25" s="12"/>
    </row>
    <row r="26" spans="2:17" ht="12.5">
      <c r="B26" s="3" t="s">
        <v>14</v>
      </c>
      <c r="C26" s="5">
        <v>-51536667</v>
      </c>
      <c r="D26" s="5">
        <v>1804291</v>
      </c>
      <c r="E26" s="5">
        <v>5134433</v>
      </c>
      <c r="F26" s="5">
        <v>5134433</v>
      </c>
      <c r="G26" s="5">
        <v>5134433</v>
      </c>
      <c r="H26" s="14">
        <f t="shared" si="1"/>
        <v>-34329077</v>
      </c>
      <c r="J26" s="13">
        <f t="shared" si="2"/>
        <v>6865815.4000000004</v>
      </c>
      <c r="L26" s="16" t="str">
        <f t="shared" si="3"/>
        <v>5 years</v>
      </c>
      <c r="M26" s="13"/>
      <c r="N26" s="14"/>
      <c r="O26" s="14"/>
      <c r="P26" s="13"/>
      <c r="Q26" s="12"/>
    </row>
    <row r="27" spans="2:17" ht="12.5">
      <c r="B27" s="3" t="s">
        <v>15</v>
      </c>
      <c r="C27" s="5">
        <v>19719719</v>
      </c>
      <c r="D27" s="5">
        <v>-697255</v>
      </c>
      <c r="E27" s="5">
        <v>-1984164</v>
      </c>
      <c r="F27" s="5">
        <v>-1984164</v>
      </c>
      <c r="G27" s="5">
        <v>-1984164</v>
      </c>
      <c r="H27" s="14">
        <f t="shared" si="1"/>
        <v>13069972</v>
      </c>
      <c r="J27" s="13">
        <f t="shared" si="2"/>
        <v>-2613994.3999999999</v>
      </c>
      <c r="L27" s="16" t="str">
        <f t="shared" si="3"/>
        <v>5 years</v>
      </c>
      <c r="M27" s="13"/>
      <c r="N27" s="14"/>
      <c r="O27" s="14"/>
      <c r="P27" s="13"/>
      <c r="Q27" s="12"/>
    </row>
    <row r="28" spans="2:17" ht="12.5">
      <c r="B28" s="3" t="s">
        <v>68</v>
      </c>
      <c r="C28" s="5">
        <v>-1614801</v>
      </c>
      <c r="D28" s="5">
        <f>10207+1</f>
        <v>10208</v>
      </c>
      <c r="E28" s="5">
        <v>29045</v>
      </c>
      <c r="F28" s="5">
        <v>29045</v>
      </c>
      <c r="G28" s="5">
        <v>29045</v>
      </c>
      <c r="H28" s="14">
        <f t="shared" si="1"/>
        <v>-1517458</v>
      </c>
      <c r="J28" s="13">
        <f t="shared" si="2"/>
        <v>303491.59999999998</v>
      </c>
      <c r="L28" s="16" t="str">
        <f t="shared" si="3"/>
        <v>5 years</v>
      </c>
      <c r="M28" s="13"/>
      <c r="N28" s="14"/>
      <c r="O28" s="14"/>
      <c r="P28" s="13"/>
      <c r="Q28" s="12"/>
    </row>
    <row r="29" spans="2:17" ht="12.5">
      <c r="B29" s="3" t="s">
        <v>46</v>
      </c>
      <c r="C29" s="7">
        <f t="shared" si="4" ref="C29:H29">SUM(C20:C28)</f>
        <v>-284917909</v>
      </c>
      <c r="D29" s="7">
        <f t="shared" si="4"/>
        <v>10748460</v>
      </c>
      <c r="E29" s="7">
        <f t="shared" si="4"/>
        <v>30573048</v>
      </c>
      <c r="F29" s="7">
        <f t="shared" si="4"/>
        <v>30460925</v>
      </c>
      <c r="G29" s="7">
        <f t="shared" si="4"/>
        <v>30460925</v>
      </c>
      <c r="H29" s="24">
        <f t="shared" si="4"/>
        <v>-182674551</v>
      </c>
      <c r="J29" s="24">
        <f>SUM(J20:J28)</f>
        <v>36534910.200000003</v>
      </c>
      <c r="M29" s="12"/>
      <c r="N29" s="12"/>
      <c r="O29" s="12"/>
      <c r="P29" s="12"/>
      <c r="Q29" s="12"/>
    </row>
    <row r="30" spans="10:17" ht="12.5">
      <c r="J30" s="13"/>
      <c r="M30" s="13"/>
      <c r="N30" s="13"/>
      <c r="O30" s="13"/>
      <c r="P30" s="13"/>
      <c r="Q30" s="12"/>
    </row>
    <row r="31" spans="2:13" s="12" customFormat="1" ht="12.5">
      <c r="B31" s="29" t="s">
        <v>16</v>
      </c>
      <c r="C31" s="14">
        <v>487273</v>
      </c>
      <c r="D31" s="14">
        <v>-11265</v>
      </c>
      <c r="E31" s="14">
        <v>-48727</v>
      </c>
      <c r="F31" s="14">
        <v>-48727</v>
      </c>
      <c r="G31" s="14">
        <v>-48727</v>
      </c>
      <c r="H31" s="14">
        <f t="shared" si="5" ref="H31:H59">SUM(C31:G31)</f>
        <v>329827</v>
      </c>
      <c r="J31" s="13">
        <f>ROUND(-H31/$P$1,2)</f>
        <v>-65965.399999999994</v>
      </c>
      <c r="L31" s="16" t="str">
        <f t="shared" si="6" ref="L31:L59">$P$1&amp;" years"</f>
        <v>5 years</v>
      </c>
      <c r="M31" s="13"/>
    </row>
    <row r="32" spans="2:13" s="12" customFormat="1" ht="12.5">
      <c r="B32" s="29" t="s">
        <v>17</v>
      </c>
      <c r="C32" s="14">
        <v>153781</v>
      </c>
      <c r="D32" s="14">
        <v>-3555</v>
      </c>
      <c r="E32" s="14">
        <v>-15378</v>
      </c>
      <c r="F32" s="14">
        <v>-15378</v>
      </c>
      <c r="G32" s="14">
        <v>-15378</v>
      </c>
      <c r="H32" s="14">
        <f t="shared" si="5"/>
        <v>104092</v>
      </c>
      <c r="J32" s="13">
        <f t="shared" si="7" ref="J32:J59">ROUND(-H32/$P$1,2)</f>
        <v>-20818.400000000001</v>
      </c>
      <c r="L32" s="16" t="str">
        <f t="shared" si="6"/>
        <v>5 years</v>
      </c>
      <c r="M32" s="13"/>
    </row>
    <row r="33" spans="2:14" s="12" customFormat="1" ht="12.5">
      <c r="B33" s="29" t="s">
        <v>18</v>
      </c>
      <c r="C33" s="14">
        <v>407491</v>
      </c>
      <c r="D33" s="14">
        <v>-11708</v>
      </c>
      <c r="E33" s="14">
        <v>-40749</v>
      </c>
      <c r="F33" s="14">
        <v>-40749</v>
      </c>
      <c r="G33" s="14">
        <v>-40749</v>
      </c>
      <c r="H33" s="14">
        <f t="shared" si="5"/>
        <v>273536</v>
      </c>
      <c r="J33" s="13">
        <f t="shared" si="7"/>
        <v>-54707.199999999997</v>
      </c>
      <c r="L33" s="16" t="str">
        <f t="shared" si="6"/>
        <v>5 years</v>
      </c>
      <c r="M33" s="13"/>
      <c r="N33" s="13"/>
    </row>
    <row r="34" spans="2:13" s="12" customFormat="1" ht="12.5">
      <c r="B34" s="29" t="s">
        <v>19</v>
      </c>
      <c r="C34" s="14">
        <v>4376044</v>
      </c>
      <c r="D34" s="14">
        <v>-125730</v>
      </c>
      <c r="E34" s="14">
        <v>-437604</v>
      </c>
      <c r="F34" s="14">
        <v>-437604</v>
      </c>
      <c r="G34" s="14">
        <v>-437604</v>
      </c>
      <c r="H34" s="14">
        <f t="shared" si="5"/>
        <v>2937502</v>
      </c>
      <c r="J34" s="13">
        <f t="shared" si="7"/>
        <v>-587500.40000000002</v>
      </c>
      <c r="L34" s="16" t="str">
        <f t="shared" si="6"/>
        <v>5 years</v>
      </c>
      <c r="M34" s="13"/>
    </row>
    <row r="35" spans="2:13" s="12" customFormat="1" ht="12.5">
      <c r="B35" s="29" t="s">
        <v>20</v>
      </c>
      <c r="C35" s="14">
        <v>8894452</v>
      </c>
      <c r="D35" s="14">
        <v>-207831</v>
      </c>
      <c r="E35" s="14">
        <v>-898990</v>
      </c>
      <c r="F35" s="14">
        <v>-898990</v>
      </c>
      <c r="G35" s="14">
        <v>-898990</v>
      </c>
      <c r="H35" s="14">
        <f t="shared" si="5"/>
        <v>5989651</v>
      </c>
      <c r="J35" s="13">
        <f t="shared" si="7"/>
        <v>-1197930.2</v>
      </c>
      <c r="L35" s="16" t="str">
        <f t="shared" si="6"/>
        <v>5 years</v>
      </c>
      <c r="M35" s="13"/>
    </row>
    <row r="36" spans="2:13" s="12" customFormat="1" ht="12.5">
      <c r="B36" s="29" t="s">
        <v>21</v>
      </c>
      <c r="C36" s="14">
        <v>-1095521</v>
      </c>
      <c r="D36" s="14">
        <v>25327</v>
      </c>
      <c r="E36" s="14">
        <v>109552</v>
      </c>
      <c r="F36" s="14">
        <v>109552</v>
      </c>
      <c r="G36" s="14">
        <v>109552</v>
      </c>
      <c r="H36" s="14">
        <f t="shared" si="5"/>
        <v>-741538</v>
      </c>
      <c r="J36" s="13">
        <f t="shared" si="7"/>
        <v>148307.60000000001</v>
      </c>
      <c r="L36" s="16" t="str">
        <f t="shared" si="6"/>
        <v>5 years</v>
      </c>
      <c r="M36" s="13"/>
    </row>
    <row r="37" spans="2:13" s="12" customFormat="1" ht="12.5">
      <c r="B37" s="29" t="s">
        <v>22</v>
      </c>
      <c r="C37" s="14">
        <v>766226</v>
      </c>
      <c r="D37" s="14">
        <v>-21591</v>
      </c>
      <c r="E37" s="14">
        <v>-76623</v>
      </c>
      <c r="F37" s="14">
        <v>-76623</v>
      </c>
      <c r="G37" s="14">
        <v>-76623</v>
      </c>
      <c r="H37" s="14">
        <f t="shared" si="5"/>
        <v>514766</v>
      </c>
      <c r="J37" s="13">
        <f t="shared" si="7"/>
        <v>-102953.2</v>
      </c>
      <c r="L37" s="16" t="str">
        <f t="shared" si="6"/>
        <v>5 years</v>
      </c>
      <c r="M37" s="13"/>
    </row>
    <row r="38" spans="2:13" s="12" customFormat="1" ht="12.5">
      <c r="B38" s="29" t="s">
        <v>23</v>
      </c>
      <c r="C38" s="14">
        <v>5775019</v>
      </c>
      <c r="D38" s="14">
        <v>-156110</v>
      </c>
      <c r="E38" s="14">
        <v>-577502</v>
      </c>
      <c r="F38" s="14">
        <v>-577502</v>
      </c>
      <c r="G38" s="14">
        <v>-577502</v>
      </c>
      <c r="H38" s="14">
        <f t="shared" si="5"/>
        <v>3886403</v>
      </c>
      <c r="J38" s="13">
        <f t="shared" si="7"/>
        <v>-777280.59999999998</v>
      </c>
      <c r="L38" s="16" t="str">
        <f t="shared" si="6"/>
        <v>5 years</v>
      </c>
      <c r="M38" s="13"/>
    </row>
    <row r="39" spans="2:13" s="12" customFormat="1" ht="12.5">
      <c r="B39" s="29" t="s">
        <v>24</v>
      </c>
      <c r="C39" s="14">
        <v>3877248</v>
      </c>
      <c r="D39" s="14">
        <v>-104809</v>
      </c>
      <c r="E39" s="14">
        <v>-387725</v>
      </c>
      <c r="F39" s="14">
        <v>-387725</v>
      </c>
      <c r="G39" s="14">
        <v>-387725</v>
      </c>
      <c r="H39" s="14">
        <f t="shared" si="5"/>
        <v>2609264</v>
      </c>
      <c r="J39" s="13">
        <f t="shared" si="7"/>
        <v>-521852.79999999999</v>
      </c>
      <c r="L39" s="16" t="str">
        <f t="shared" si="6"/>
        <v>5 years</v>
      </c>
      <c r="M39" s="13"/>
    </row>
    <row r="40" spans="2:13" s="12" customFormat="1" ht="12.5">
      <c r="B40" s="29" t="s">
        <v>25</v>
      </c>
      <c r="C40" s="14">
        <v>101282638</v>
      </c>
      <c r="D40" s="14">
        <f>-2737860</f>
        <v>-2737860</v>
      </c>
      <c r="E40" s="14">
        <v>-10128264</v>
      </c>
      <c r="F40" s="14">
        <v>-10128264</v>
      </c>
      <c r="G40" s="14">
        <v>-10128264</v>
      </c>
      <c r="H40" s="14">
        <f t="shared" si="5"/>
        <v>68159986</v>
      </c>
      <c r="J40" s="13">
        <f t="shared" si="7"/>
        <v>-13631997.199999999</v>
      </c>
      <c r="L40" s="16" t="str">
        <f t="shared" si="6"/>
        <v>5 years</v>
      </c>
      <c r="M40" s="13"/>
    </row>
    <row r="41" spans="2:13" s="12" customFormat="1" ht="12.5">
      <c r="B41" s="29" t="s">
        <v>26</v>
      </c>
      <c r="C41" s="14">
        <v>2642610</v>
      </c>
      <c r="D41" s="14">
        <v>-71435</v>
      </c>
      <c r="E41" s="14">
        <v>-264261</v>
      </c>
      <c r="F41" s="14">
        <v>-264261</v>
      </c>
      <c r="G41" s="14">
        <v>-264261</v>
      </c>
      <c r="H41" s="14">
        <f t="shared" si="5"/>
        <v>1778392</v>
      </c>
      <c r="J41" s="13">
        <f t="shared" si="7"/>
        <v>-355678.40000000002</v>
      </c>
      <c r="L41" s="16" t="str">
        <f t="shared" si="6"/>
        <v>5 years</v>
      </c>
      <c r="M41" s="13"/>
    </row>
    <row r="42" spans="2:14" s="12" customFormat="1" ht="12.5">
      <c r="B42" s="29" t="s">
        <v>27</v>
      </c>
      <c r="C42" s="14">
        <v>-745632</v>
      </c>
      <c r="D42" s="14">
        <v>19617</v>
      </c>
      <c r="E42" s="14">
        <v>74563</v>
      </c>
      <c r="F42" s="14">
        <v>74563</v>
      </c>
      <c r="G42" s="14">
        <v>74563</v>
      </c>
      <c r="H42" s="14">
        <f t="shared" si="5"/>
        <v>-502326</v>
      </c>
      <c r="J42" s="13">
        <f t="shared" si="7"/>
        <v>100465.2</v>
      </c>
      <c r="L42" s="16" t="str">
        <f t="shared" si="6"/>
        <v>5 years</v>
      </c>
      <c r="M42" s="13"/>
      <c r="N42" s="13"/>
    </row>
    <row r="43" spans="2:13" s="12" customFormat="1" ht="12.5">
      <c r="B43" s="29" t="s">
        <v>28</v>
      </c>
      <c r="C43" s="14">
        <v>6267147</v>
      </c>
      <c r="D43" s="14">
        <v>-164884</v>
      </c>
      <c r="E43" s="14">
        <v>-626715</v>
      </c>
      <c r="F43" s="14">
        <v>-626715</v>
      </c>
      <c r="G43" s="14">
        <v>-626715</v>
      </c>
      <c r="H43" s="14">
        <f t="shared" si="5"/>
        <v>4222118</v>
      </c>
      <c r="J43" s="13">
        <f t="shared" si="7"/>
        <v>-844423.59999999998</v>
      </c>
      <c r="L43" s="16" t="str">
        <f t="shared" si="6"/>
        <v>5 years</v>
      </c>
      <c r="M43" s="13"/>
    </row>
    <row r="44" spans="2:14" s="12" customFormat="1" ht="12.5">
      <c r="B44" s="29" t="s">
        <v>29</v>
      </c>
      <c r="C44" s="14">
        <v>-90457633</v>
      </c>
      <c r="D44" s="14">
        <v>2445086</v>
      </c>
      <c r="E44" s="14">
        <v>9045195</v>
      </c>
      <c r="F44" s="14">
        <v>9045195</v>
      </c>
      <c r="G44" s="14">
        <v>9045195</v>
      </c>
      <c r="H44" s="14">
        <f t="shared" si="5"/>
        <v>-60876962</v>
      </c>
      <c r="J44" s="13">
        <f t="shared" si="7"/>
        <v>12175392.4</v>
      </c>
      <c r="L44" s="16" t="str">
        <f t="shared" si="6"/>
        <v>5 years</v>
      </c>
      <c r="M44" s="13"/>
      <c r="N44" s="13"/>
    </row>
    <row r="45" spans="2:13" s="12" customFormat="1" ht="12.5">
      <c r="B45" s="29" t="s">
        <v>30</v>
      </c>
      <c r="C45" s="14">
        <v>113089103</v>
      </c>
      <c r="D45" s="14">
        <v>-3057011</v>
      </c>
      <c r="E45" s="14">
        <v>-11308910</v>
      </c>
      <c r="F45" s="14">
        <v>-11308910</v>
      </c>
      <c r="G45" s="14">
        <v>-11308910</v>
      </c>
      <c r="H45" s="14">
        <f t="shared" si="5"/>
        <v>76105362</v>
      </c>
      <c r="J45" s="13">
        <f t="shared" si="7"/>
        <v>-15221072.4</v>
      </c>
      <c r="L45" s="16" t="str">
        <f t="shared" si="6"/>
        <v>5 years</v>
      </c>
      <c r="M45" s="13"/>
    </row>
    <row r="46" spans="2:13" s="12" customFormat="1" ht="12.5">
      <c r="B46" s="29" t="s">
        <v>31</v>
      </c>
      <c r="C46" s="14">
        <v>23670</v>
      </c>
      <c r="D46" s="14">
        <v>-832</v>
      </c>
      <c r="E46" s="14">
        <v>-2367</v>
      </c>
      <c r="F46" s="14">
        <v>-2367</v>
      </c>
      <c r="G46" s="14">
        <v>-2367</v>
      </c>
      <c r="H46" s="14">
        <f t="shared" si="5"/>
        <v>15737</v>
      </c>
      <c r="J46" s="13">
        <f t="shared" si="7"/>
        <v>-3147.4000000000001</v>
      </c>
      <c r="L46" s="16" t="str">
        <f t="shared" si="6"/>
        <v>5 years</v>
      </c>
      <c r="M46" s="13"/>
    </row>
    <row r="47" spans="2:13" s="12" customFormat="1" ht="12.5">
      <c r="B47" s="29" t="s">
        <v>32</v>
      </c>
      <c r="C47" s="14">
        <v>3909303</v>
      </c>
      <c r="D47" s="14">
        <v>-137377</v>
      </c>
      <c r="E47" s="14">
        <v>-390930</v>
      </c>
      <c r="F47" s="14">
        <v>-390930</v>
      </c>
      <c r="G47" s="14">
        <v>-390930</v>
      </c>
      <c r="H47" s="14">
        <f t="shared" si="5"/>
        <v>2599136</v>
      </c>
      <c r="J47" s="13">
        <f t="shared" si="7"/>
        <v>-519827.20000000001</v>
      </c>
      <c r="L47" s="16" t="str">
        <f t="shared" si="6"/>
        <v>5 years</v>
      </c>
      <c r="M47" s="13"/>
    </row>
    <row r="48" spans="2:13" ht="12.5">
      <c r="B48" s="1" t="s">
        <v>33</v>
      </c>
      <c r="C48" s="5">
        <v>-845968</v>
      </c>
      <c r="D48" s="5">
        <v>19918</v>
      </c>
      <c r="E48" s="5">
        <v>84597</v>
      </c>
      <c r="F48" s="5">
        <v>84597</v>
      </c>
      <c r="G48" s="5">
        <v>84597</v>
      </c>
      <c r="H48" s="14">
        <f t="shared" si="5"/>
        <v>-572259</v>
      </c>
      <c r="J48" s="13">
        <f t="shared" si="7"/>
        <v>114451.8</v>
      </c>
      <c r="L48" s="16" t="str">
        <f t="shared" si="6"/>
        <v>5 years</v>
      </c>
      <c r="M48" s="13"/>
    </row>
    <row r="49" spans="2:13" ht="12.5">
      <c r="B49" s="1" t="s">
        <v>34</v>
      </c>
      <c r="C49" s="5">
        <v>-61439218</v>
      </c>
      <c r="D49" s="5">
        <v>1425800</v>
      </c>
      <c r="E49" s="5">
        <v>6143922</v>
      </c>
      <c r="F49" s="5">
        <v>6143922</v>
      </c>
      <c r="G49" s="5">
        <v>6143922</v>
      </c>
      <c r="H49" s="14">
        <f t="shared" si="5"/>
        <v>-41581652</v>
      </c>
      <c r="J49" s="13">
        <f t="shared" si="7"/>
        <v>8316330.4000000004</v>
      </c>
      <c r="L49" s="16" t="str">
        <f t="shared" si="6"/>
        <v>5 years</v>
      </c>
      <c r="M49" s="13"/>
    </row>
    <row r="50" spans="2:13" ht="12.5">
      <c r="B50" s="1" t="s">
        <v>35</v>
      </c>
      <c r="C50" s="5">
        <v>-29291668</v>
      </c>
      <c r="D50" s="5">
        <v>677173</v>
      </c>
      <c r="E50" s="5">
        <v>2929167</v>
      </c>
      <c r="F50" s="5">
        <v>2929167</v>
      </c>
      <c r="G50" s="5">
        <v>2929167</v>
      </c>
      <c r="H50" s="14">
        <f t="shared" si="5"/>
        <v>-19826994</v>
      </c>
      <c r="J50" s="13">
        <f t="shared" si="7"/>
        <v>3965398.7999999998</v>
      </c>
      <c r="L50" s="16" t="str">
        <f t="shared" si="6"/>
        <v>5 years</v>
      </c>
      <c r="M50" s="13"/>
    </row>
    <row r="51" spans="2:13" ht="12.5">
      <c r="B51" s="1" t="s">
        <v>36</v>
      </c>
      <c r="C51" s="5">
        <v>-50661092</v>
      </c>
      <c r="D51" s="5">
        <v>1369464</v>
      </c>
      <c r="E51" s="5">
        <v>5066109</v>
      </c>
      <c r="F51" s="5">
        <v>5066109</v>
      </c>
      <c r="G51" s="5">
        <v>5066109</v>
      </c>
      <c r="H51" s="14">
        <f t="shared" si="5"/>
        <v>-34093301</v>
      </c>
      <c r="J51" s="13">
        <f t="shared" si="7"/>
        <v>6818660.2000000002</v>
      </c>
      <c r="L51" s="16" t="str">
        <f t="shared" si="6"/>
        <v>5 years</v>
      </c>
      <c r="M51" s="13"/>
    </row>
    <row r="52" spans="2:13" ht="12.5">
      <c r="B52" s="1" t="s">
        <v>37</v>
      </c>
      <c r="C52" s="5">
        <v>-442962</v>
      </c>
      <c r="D52" s="5">
        <v>10241</v>
      </c>
      <c r="E52" s="5">
        <v>44296</v>
      </c>
      <c r="F52" s="5">
        <v>44296</v>
      </c>
      <c r="G52" s="5">
        <v>44296</v>
      </c>
      <c r="H52" s="14">
        <f t="shared" si="5"/>
        <v>-299833</v>
      </c>
      <c r="J52" s="13">
        <f t="shared" si="7"/>
        <v>59966.599999999999</v>
      </c>
      <c r="L52" s="16" t="str">
        <f t="shared" si="6"/>
        <v>5 years</v>
      </c>
      <c r="M52" s="13"/>
    </row>
    <row r="53" spans="2:13" ht="12.5">
      <c r="B53" s="1" t="s">
        <v>38</v>
      </c>
      <c r="C53" s="5">
        <v>-8000968</v>
      </c>
      <c r="D53" s="5">
        <v>184969</v>
      </c>
      <c r="E53" s="5">
        <v>800097</v>
      </c>
      <c r="F53" s="5">
        <v>800097</v>
      </c>
      <c r="G53" s="5">
        <v>800097</v>
      </c>
      <c r="H53" s="14">
        <f t="shared" si="5"/>
        <v>-5415708</v>
      </c>
      <c r="J53" s="13">
        <f t="shared" si="7"/>
        <v>1083141.6000000001</v>
      </c>
      <c r="L53" s="16" t="str">
        <f t="shared" si="6"/>
        <v>5 years</v>
      </c>
      <c r="M53" s="13"/>
    </row>
    <row r="54" spans="2:13" ht="12.5">
      <c r="B54" s="1" t="s">
        <v>39</v>
      </c>
      <c r="C54" s="5">
        <v>-1616832</v>
      </c>
      <c r="D54" s="5">
        <v>56817</v>
      </c>
      <c r="E54" s="5">
        <v>161683</v>
      </c>
      <c r="F54" s="5">
        <v>161683</v>
      </c>
      <c r="G54" s="5">
        <v>161683</v>
      </c>
      <c r="H54" s="14">
        <f t="shared" si="5"/>
        <v>-1074966</v>
      </c>
      <c r="J54" s="13">
        <f t="shared" si="7"/>
        <v>214993.20000000001</v>
      </c>
      <c r="L54" s="16" t="str">
        <f t="shared" si="6"/>
        <v>5 years</v>
      </c>
      <c r="M54" s="13"/>
    </row>
    <row r="55" spans="2:13" ht="12.5">
      <c r="B55" s="1" t="s">
        <v>40</v>
      </c>
      <c r="C55" s="5">
        <v>-108999</v>
      </c>
      <c r="D55" s="5">
        <v>2520</v>
      </c>
      <c r="E55" s="5">
        <v>10900</v>
      </c>
      <c r="F55" s="5">
        <v>10900</v>
      </c>
      <c r="G55" s="5">
        <v>10900</v>
      </c>
      <c r="H55" s="14">
        <f t="shared" si="5"/>
        <v>-73779</v>
      </c>
      <c r="J55" s="13">
        <f t="shared" si="7"/>
        <v>14755.799999999999</v>
      </c>
      <c r="L55" s="16" t="str">
        <f t="shared" si="6"/>
        <v>5 years</v>
      </c>
      <c r="M55" s="13"/>
    </row>
    <row r="56" spans="2:13" ht="12.5">
      <c r="B56" s="1" t="s">
        <v>41</v>
      </c>
      <c r="C56" s="5">
        <v>-2762504</v>
      </c>
      <c r="D56" s="5">
        <v>63864</v>
      </c>
      <c r="E56" s="5">
        <v>276250</v>
      </c>
      <c r="F56" s="5">
        <v>276250</v>
      </c>
      <c r="G56" s="5">
        <v>276250</v>
      </c>
      <c r="H56" s="14">
        <f t="shared" si="5"/>
        <v>-1869890</v>
      </c>
      <c r="J56" s="13">
        <f t="shared" si="7"/>
        <v>373978</v>
      </c>
      <c r="L56" s="16" t="str">
        <f t="shared" si="6"/>
        <v>5 years</v>
      </c>
      <c r="M56" s="13"/>
    </row>
    <row r="57" spans="2:13" ht="12.5">
      <c r="B57" s="1" t="s">
        <v>42</v>
      </c>
      <c r="C57" s="5">
        <v>-211160</v>
      </c>
      <c r="D57" s="5">
        <v>4882</v>
      </c>
      <c r="E57" s="5">
        <v>21116</v>
      </c>
      <c r="F57" s="5">
        <v>21116</v>
      </c>
      <c r="G57" s="5">
        <v>21116</v>
      </c>
      <c r="H57" s="14">
        <f t="shared" si="5"/>
        <v>-142930</v>
      </c>
      <c r="J57" s="13">
        <f t="shared" si="7"/>
        <v>28586</v>
      </c>
      <c r="L57" s="16" t="str">
        <f t="shared" si="6"/>
        <v>5 years</v>
      </c>
      <c r="M57" s="13"/>
    </row>
    <row r="58" spans="2:13" ht="12.5">
      <c r="B58" s="1" t="s">
        <v>43</v>
      </c>
      <c r="C58" s="5">
        <v>-648133</v>
      </c>
      <c r="D58" s="5">
        <v>17520</v>
      </c>
      <c r="E58" s="5">
        <v>64813</v>
      </c>
      <c r="F58" s="5">
        <v>64813</v>
      </c>
      <c r="G58" s="5">
        <v>64813</v>
      </c>
      <c r="H58" s="14">
        <f t="shared" si="5"/>
        <v>-436174</v>
      </c>
      <c r="J58" s="13">
        <f t="shared" si="7"/>
        <v>87234.800000000003</v>
      </c>
      <c r="L58" s="16" t="str">
        <f t="shared" si="6"/>
        <v>5 years</v>
      </c>
      <c r="M58" s="13"/>
    </row>
    <row r="59" spans="2:13" ht="12.5">
      <c r="B59" s="1" t="s">
        <v>44</v>
      </c>
      <c r="C59" s="5">
        <v>-712803</v>
      </c>
      <c r="D59" s="5">
        <v>16479</v>
      </c>
      <c r="E59" s="5">
        <v>71280</v>
      </c>
      <c r="F59" s="5">
        <v>71280</v>
      </c>
      <c r="G59" s="5">
        <v>71280</v>
      </c>
      <c r="H59" s="14">
        <f t="shared" si="5"/>
        <v>-482484</v>
      </c>
      <c r="J59" s="13">
        <f t="shared" si="7"/>
        <v>96496.800000000003</v>
      </c>
      <c r="L59" s="16" t="str">
        <f t="shared" si="6"/>
        <v>5 years</v>
      </c>
      <c r="M59" s="13"/>
    </row>
    <row r="60" spans="2:10" ht="12.5">
      <c r="B60" s="3" t="s">
        <v>45</v>
      </c>
      <c r="C60" s="8">
        <f>SUM(C31:C59)</f>
        <v>2910912</v>
      </c>
      <c r="D60" s="8">
        <f>SUM(D31:D59)</f>
        <v>-472321</v>
      </c>
      <c r="E60" s="8">
        <f t="shared" si="8" ref="E60:J60">SUM(E31:E59)</f>
        <v>-301205</v>
      </c>
      <c r="F60" s="8">
        <f t="shared" si="8"/>
        <v>-301205</v>
      </c>
      <c r="G60" s="8">
        <f t="shared" si="8"/>
        <v>-301205</v>
      </c>
      <c r="H60" s="25">
        <f t="shared" si="8"/>
        <v>1534976</v>
      </c>
      <c r="J60" s="25">
        <f t="shared" si="8"/>
        <v>-306995.19999999518</v>
      </c>
    </row>
    <row r="62" spans="2:10" ht="12.5">
      <c r="B62" s="3" t="s">
        <v>48</v>
      </c>
      <c r="D62" s="6">
        <f>8273416</f>
        <v>8273416</v>
      </c>
      <c r="E62" s="6">
        <f>22126157</f>
        <v>22126157</v>
      </c>
      <c r="F62" s="6">
        <f>22126157</f>
        <v>22126157</v>
      </c>
      <c r="G62" s="6">
        <f>22126157</f>
        <v>22126157</v>
      </c>
      <c r="H62" s="14">
        <f>SUM(C62:G62)</f>
        <v>74651887</v>
      </c>
      <c r="J62" s="13"/>
    </row>
    <row r="63" spans="2:10" ht="12.5">
      <c r="B63" s="3" t="s">
        <v>49</v>
      </c>
      <c r="D63" s="6">
        <f>+D17</f>
        <v>14791488</v>
      </c>
      <c r="E63" s="6">
        <f t="shared" si="9" ref="E63:G63">+E17</f>
        <v>14660602</v>
      </c>
      <c r="F63" s="6">
        <f t="shared" si="9"/>
        <v>14376080</v>
      </c>
      <c r="G63" s="6">
        <f t="shared" si="9"/>
        <v>14169300</v>
      </c>
      <c r="H63" s="14">
        <f>SUM(C63:G63)</f>
        <v>57997470</v>
      </c>
      <c r="J63" s="13"/>
    </row>
    <row r="64" spans="2:12" ht="12.5">
      <c r="B64" s="3" t="s">
        <v>71</v>
      </c>
      <c r="C64" s="15"/>
      <c r="D64" s="8">
        <f>+D62-D63</f>
        <v>-6518072</v>
      </c>
      <c r="E64" s="8">
        <f t="shared" si="10" ref="E64:H64">+E62-E63</f>
        <v>7465555</v>
      </c>
      <c r="F64" s="8">
        <f t="shared" si="10"/>
        <v>7750077</v>
      </c>
      <c r="G64" s="8">
        <f t="shared" si="10"/>
        <v>7956857</v>
      </c>
      <c r="H64" s="25">
        <f t="shared" si="10"/>
        <v>16654417</v>
      </c>
      <c r="J64" s="25">
        <f>-ROUND(H64/$P$1,2)</f>
        <v>-3330883.3999999999</v>
      </c>
      <c r="L64" s="16" t="str">
        <f>$P$1&amp;" years"</f>
        <v>5 years</v>
      </c>
    </row>
    <row r="66" spans="1:10" ht="13">
      <c r="A66" s="3" t="s">
        <v>70</v>
      </c>
      <c r="C66" s="9">
        <f t="shared" si="11" ref="C66:H66">+C29+C60+C64</f>
        <v>-282006997</v>
      </c>
      <c r="D66" s="9">
        <f t="shared" si="11"/>
        <v>3758067</v>
      </c>
      <c r="E66" s="9">
        <f t="shared" si="11"/>
        <v>37737398</v>
      </c>
      <c r="F66" s="9">
        <f t="shared" si="11"/>
        <v>37909797</v>
      </c>
      <c r="G66" s="9">
        <f t="shared" si="12" ref="G66">+G29+G60+G64</f>
        <v>38116577</v>
      </c>
      <c r="H66" s="26">
        <f t="shared" si="11"/>
        <v>-164485158</v>
      </c>
      <c r="J66" s="26">
        <f t="shared" si="13" ref="J66">+J29+J60+J64</f>
        <v>32897031.600000009</v>
      </c>
    </row>
    <row r="68" spans="1:10" ht="13.5" thickBot="1">
      <c r="A68" s="3" t="s">
        <v>47</v>
      </c>
      <c r="C68" s="11">
        <f t="shared" si="14" ref="C68:H68">+C17+C66</f>
        <v>-1258541199</v>
      </c>
      <c r="D68" s="11">
        <f t="shared" si="14"/>
        <v>18549555</v>
      </c>
      <c r="E68" s="11">
        <f t="shared" si="14"/>
        <v>52398000</v>
      </c>
      <c r="F68" s="11">
        <f t="shared" si="14"/>
        <v>52285877</v>
      </c>
      <c r="G68" s="11">
        <f t="shared" si="15" ref="G68">+G17+G66</f>
        <v>52285877</v>
      </c>
      <c r="H68" s="27">
        <f t="shared" si="14"/>
        <v>-1083021890</v>
      </c>
      <c r="J68" s="27">
        <f t="shared" si="16" ref="J68">+J17+J66</f>
        <v>47066331.600000009</v>
      </c>
    </row>
    <row r="69" ht="13" thickTop="1"/>
    <row r="72" spans="1:12" ht="37.5">
      <c r="A72" s="2" t="s">
        <v>54</v>
      </c>
      <c r="C72" s="4" t="s">
        <v>55</v>
      </c>
      <c r="D72" s="4" t="s">
        <v>4</v>
      </c>
      <c r="E72" s="4" t="s">
        <v>5</v>
      </c>
      <c r="F72" s="4" t="s">
        <v>6</v>
      </c>
      <c r="G72" s="4" t="s">
        <v>72</v>
      </c>
      <c r="H72" s="22" t="s">
        <v>73</v>
      </c>
      <c r="J72" s="22" t="s">
        <v>7</v>
      </c>
      <c r="L72" s="4" t="s">
        <v>51</v>
      </c>
    </row>
    <row r="73" spans="1:12" ht="12.5">
      <c r="A73" s="3" t="s">
        <v>1</v>
      </c>
      <c r="C73" s="21"/>
      <c r="D73" s="21"/>
      <c r="E73" s="21"/>
      <c r="F73" s="21"/>
      <c r="G73" s="21"/>
      <c r="H73" s="28"/>
      <c r="J73" s="28"/>
      <c r="L73" s="21"/>
    </row>
    <row r="74" spans="2:12" ht="12.5">
      <c r="B74" s="3" t="s">
        <v>2</v>
      </c>
      <c r="C74" s="5">
        <f>-64008046+7538628-C75-1</f>
        <v>-58219443</v>
      </c>
      <c r="D74" s="5">
        <f>2183872-D75</f>
        <v>2343736.5</v>
      </c>
      <c r="E74" s="5">
        <f>+D74</f>
        <v>2343736.5</v>
      </c>
      <c r="F74" s="5">
        <f>2177573-F75</f>
        <v>2312761</v>
      </c>
      <c r="G74" s="5">
        <f>2064457-G75</f>
        <v>2187851</v>
      </c>
      <c r="H74" s="14">
        <f t="shared" si="17" ref="H74:H75">SUM(C74:G74)</f>
        <v>-49031358</v>
      </c>
      <c r="J74" s="13">
        <f>+G74</f>
        <v>2187851</v>
      </c>
      <c r="L74" s="16" t="s">
        <v>52</v>
      </c>
    </row>
    <row r="75" spans="2:12" ht="12.5">
      <c r="B75" s="3" t="s">
        <v>3</v>
      </c>
      <c r="C75" s="5">
        <v>1750024</v>
      </c>
      <c r="D75" s="5">
        <f>(1430295-C75)/2</f>
        <v>-159864.5</v>
      </c>
      <c r="E75" s="5">
        <f>+D75</f>
        <v>-159864.5</v>
      </c>
      <c r="F75" s="5">
        <v>-135188</v>
      </c>
      <c r="G75" s="5">
        <v>-123394</v>
      </c>
      <c r="H75" s="14">
        <f t="shared" si="17"/>
        <v>1171713</v>
      </c>
      <c r="J75" s="13">
        <f>+G75</f>
        <v>-123394</v>
      </c>
      <c r="L75" s="16" t="s">
        <v>52</v>
      </c>
    </row>
    <row r="76" spans="1:10" ht="13">
      <c r="A76" s="3" t="s">
        <v>53</v>
      </c>
      <c r="C76" s="10">
        <f>SUM(C74:C75)</f>
        <v>-56469419</v>
      </c>
      <c r="D76" s="10">
        <f t="shared" si="18" ref="D76:H76">SUM(D74:D75)</f>
        <v>2183872</v>
      </c>
      <c r="E76" s="10">
        <f t="shared" si="18"/>
        <v>2183872</v>
      </c>
      <c r="F76" s="10">
        <f t="shared" si="18"/>
        <v>2177573</v>
      </c>
      <c r="G76" s="10">
        <f t="shared" si="18"/>
        <v>2064457</v>
      </c>
      <c r="H76" s="23">
        <f t="shared" si="18"/>
        <v>-47859645</v>
      </c>
      <c r="J76" s="23">
        <f>SUM(J74:J75)</f>
        <v>2064457</v>
      </c>
    </row>
    <row r="78" spans="1:1" ht="12.5">
      <c r="A78" s="3" t="s">
        <v>69</v>
      </c>
    </row>
    <row r="79" spans="2:12" ht="12.5">
      <c r="B79" s="3" t="s">
        <v>56</v>
      </c>
      <c r="C79" s="5">
        <f>-1018212+613517</f>
        <v>-404695</v>
      </c>
      <c r="D79" s="5">
        <v>0</v>
      </c>
      <c r="E79" s="5">
        <v>0</v>
      </c>
      <c r="F79" s="5">
        <v>0</v>
      </c>
      <c r="G79" s="5">
        <v>0</v>
      </c>
      <c r="H79" s="14">
        <f t="shared" si="19" ref="H79:H80">SUM(C79:G79)</f>
        <v>-404695</v>
      </c>
      <c r="J79" s="14">
        <f>ROUND(-H79/$P$1,2)</f>
        <v>80939</v>
      </c>
      <c r="L79" s="16" t="str">
        <f t="shared" si="20" ref="L79:L80">$P$1&amp;" years"</f>
        <v>5 years</v>
      </c>
    </row>
    <row r="80" spans="2:12" ht="12.5">
      <c r="B80" s="3" t="s">
        <v>57</v>
      </c>
      <c r="C80" s="5">
        <v>221488</v>
      </c>
      <c r="D80" s="5">
        <v>0</v>
      </c>
      <c r="E80" s="5">
        <v>0</v>
      </c>
      <c r="F80" s="5">
        <v>0</v>
      </c>
      <c r="G80" s="5">
        <v>0</v>
      </c>
      <c r="H80" s="14">
        <f t="shared" si="19"/>
        <v>221488</v>
      </c>
      <c r="J80" s="14">
        <f>ROUND(-H80/$P$1,2)</f>
        <v>-44297.599999999999</v>
      </c>
      <c r="L80" s="16" t="str">
        <f t="shared" si="20"/>
        <v>5 years</v>
      </c>
    </row>
    <row r="81" spans="2:10" ht="12.5">
      <c r="B81" s="3" t="s">
        <v>46</v>
      </c>
      <c r="C81" s="7">
        <f>SUM(C79:C80)</f>
        <v>-183207</v>
      </c>
      <c r="D81" s="7">
        <f t="shared" si="21" ref="D81:H81">SUM(D79:D80)</f>
        <v>0</v>
      </c>
      <c r="E81" s="7">
        <f t="shared" si="21"/>
        <v>0</v>
      </c>
      <c r="F81" s="7">
        <f t="shared" si="21"/>
        <v>0</v>
      </c>
      <c r="G81" s="7">
        <f t="shared" si="21"/>
        <v>0</v>
      </c>
      <c r="H81" s="24">
        <f t="shared" si="21"/>
        <v>-183207</v>
      </c>
      <c r="J81" s="24">
        <f>SUM(J79:J80)</f>
        <v>36641.400000000001</v>
      </c>
    </row>
    <row r="83" spans="2:12" ht="12.5">
      <c r="B83" s="3" t="s">
        <v>58</v>
      </c>
      <c r="C83" s="5">
        <v>862123</v>
      </c>
      <c r="D83" s="5">
        <v>0</v>
      </c>
      <c r="E83" s="5">
        <v>0</v>
      </c>
      <c r="F83" s="5">
        <v>0</v>
      </c>
      <c r="G83" s="5">
        <v>0</v>
      </c>
      <c r="H83" s="14">
        <f t="shared" si="22" ref="H83:H84">SUM(C83:G83)</f>
        <v>862123</v>
      </c>
      <c r="J83" s="14">
        <f>ROUND(-H83/$P$1,2)</f>
        <v>-172424.60000000001</v>
      </c>
      <c r="L83" s="16" t="str">
        <f t="shared" si="23" ref="L83:L84">$P$1&amp;" years"</f>
        <v>5 years</v>
      </c>
    </row>
    <row r="84" spans="2:12" ht="12.5">
      <c r="B84" s="3" t="s">
        <v>59</v>
      </c>
      <c r="C84" s="5">
        <v>11625</v>
      </c>
      <c r="D84" s="5">
        <v>0</v>
      </c>
      <c r="E84" s="5">
        <v>0</v>
      </c>
      <c r="F84" s="5">
        <v>0</v>
      </c>
      <c r="G84" s="5">
        <v>0</v>
      </c>
      <c r="H84" s="14">
        <f t="shared" si="22"/>
        <v>11625</v>
      </c>
      <c r="J84" s="14">
        <f>ROUND(-H84/$P$1,2)</f>
        <v>-2325</v>
      </c>
      <c r="L84" s="16" t="str">
        <f t="shared" si="23"/>
        <v>5 years</v>
      </c>
    </row>
    <row r="85" spans="2:10" ht="12.5">
      <c r="B85" s="3" t="s">
        <v>45</v>
      </c>
      <c r="C85" s="8">
        <f>SUM(C83:C84)</f>
        <v>873748</v>
      </c>
      <c r="D85" s="8">
        <f t="shared" si="24" ref="D85:H85">SUM(D83:D84)</f>
        <v>0</v>
      </c>
      <c r="E85" s="8">
        <f t="shared" si="24"/>
        <v>0</v>
      </c>
      <c r="F85" s="8">
        <f t="shared" si="24"/>
        <v>0</v>
      </c>
      <c r="G85" s="8">
        <f t="shared" si="24"/>
        <v>0</v>
      </c>
      <c r="H85" s="24">
        <f t="shared" si="24"/>
        <v>873748</v>
      </c>
      <c r="J85" s="32">
        <f>SUM(J83:J84)</f>
        <v>-174749.60000000001</v>
      </c>
    </row>
    <row r="87" spans="2:10" ht="12.5">
      <c r="B87" s="3" t="s">
        <v>60</v>
      </c>
      <c r="D87" s="6">
        <v>0</v>
      </c>
      <c r="E87" s="6">
        <v>0</v>
      </c>
      <c r="F87" s="6">
        <v>0</v>
      </c>
      <c r="G87" s="6"/>
      <c r="H87" s="14">
        <f t="shared" si="25" ref="H87:H88">SUM(C87:G87)</f>
        <v>0</v>
      </c>
      <c r="J87" s="13"/>
    </row>
    <row r="88" spans="2:10" ht="12.5">
      <c r="B88" s="3" t="s">
        <v>61</v>
      </c>
      <c r="D88" s="6">
        <f>+D76</f>
        <v>2183872</v>
      </c>
      <c r="E88" s="6">
        <f>+E76</f>
        <v>2183872</v>
      </c>
      <c r="F88" s="6">
        <f>+F76</f>
        <v>2177573</v>
      </c>
      <c r="G88" s="6">
        <f>+G76</f>
        <v>2064457</v>
      </c>
      <c r="H88" s="14">
        <f t="shared" si="25"/>
        <v>8609774</v>
      </c>
      <c r="J88" s="13"/>
    </row>
    <row r="89" spans="2:12" ht="12.5">
      <c r="B89" s="3" t="s">
        <v>50</v>
      </c>
      <c r="C89" s="15"/>
      <c r="D89" s="8">
        <f>+D87-D88</f>
        <v>-2183872</v>
      </c>
      <c r="E89" s="8">
        <f t="shared" si="26" ref="E89">+E87-E88</f>
        <v>-2183872</v>
      </c>
      <c r="F89" s="8">
        <f t="shared" si="27" ref="F89:G89">+F87-F88</f>
        <v>-2177573</v>
      </c>
      <c r="G89" s="8">
        <f t="shared" si="27"/>
        <v>-2064457</v>
      </c>
      <c r="H89" s="25">
        <f t="shared" si="28" ref="H89">+H87-H88</f>
        <v>-8609774</v>
      </c>
      <c r="J89" s="25">
        <f>ROUND(-H89/$P$1,2)</f>
        <v>1721954.8000000001</v>
      </c>
      <c r="L89" s="16" t="str">
        <f>$P$1&amp;" years"</f>
        <v>5 years</v>
      </c>
    </row>
    <row r="91" spans="1:10" ht="13">
      <c r="A91" s="3" t="s">
        <v>70</v>
      </c>
      <c r="C91" s="9">
        <f>+C81+C85+C89</f>
        <v>690541</v>
      </c>
      <c r="D91" s="9">
        <f t="shared" si="29" ref="D91:J91">+D81+D85+D89</f>
        <v>-2183872</v>
      </c>
      <c r="E91" s="9">
        <f t="shared" si="29"/>
        <v>-2183872</v>
      </c>
      <c r="F91" s="9">
        <f t="shared" si="29"/>
        <v>-2177573</v>
      </c>
      <c r="G91" s="9">
        <f t="shared" si="30" ref="G91">+G81+G85+G89</f>
        <v>-2064457</v>
      </c>
      <c r="H91" s="26">
        <f t="shared" si="29"/>
        <v>-7919233</v>
      </c>
      <c r="J91" s="26">
        <f t="shared" si="29"/>
        <v>1583846.6000000001</v>
      </c>
    </row>
    <row r="93" spans="1:10" ht="13.5" thickBot="1">
      <c r="A93" s="3" t="s">
        <v>47</v>
      </c>
      <c r="C93" s="11">
        <f t="shared" si="31" ref="C93:H93">+C76+C91</f>
        <v>-55778878</v>
      </c>
      <c r="D93" s="11">
        <f t="shared" si="31"/>
        <v>0</v>
      </c>
      <c r="E93" s="11">
        <f t="shared" si="31"/>
        <v>0</v>
      </c>
      <c r="F93" s="11">
        <f t="shared" si="31"/>
        <v>0</v>
      </c>
      <c r="G93" s="11">
        <f t="shared" si="31"/>
        <v>0</v>
      </c>
      <c r="H93" s="27">
        <f t="shared" si="31"/>
        <v>-55778878</v>
      </c>
      <c r="J93" s="27">
        <f>+J76+J91</f>
        <v>3648303.6000000001</v>
      </c>
    </row>
    <row r="94" ht="13" thickTop="1"/>
    <row r="96" spans="1:10" ht="13.5" thickBot="1">
      <c r="A96" s="3" t="s">
        <v>62</v>
      </c>
      <c r="C96" s="11">
        <f t="shared" si="32" ref="C96:H96">+C68+C93</f>
        <v>-1314320077</v>
      </c>
      <c r="D96" s="11">
        <f t="shared" si="32"/>
        <v>18549555</v>
      </c>
      <c r="E96" s="11">
        <f t="shared" si="32"/>
        <v>52398000</v>
      </c>
      <c r="F96" s="11">
        <f t="shared" si="32"/>
        <v>52285877</v>
      </c>
      <c r="G96" s="11">
        <f t="shared" si="32"/>
        <v>52285877</v>
      </c>
      <c r="H96" s="27">
        <f t="shared" si="32"/>
        <v>-1138800768</v>
      </c>
      <c r="J96" s="27">
        <f>+J68+J93</f>
        <v>50714635.20000001</v>
      </c>
    </row>
    <row r="97" ht="13" thickTop="1"/>
    <row r="101" spans="8:10" ht="12.5">
      <c r="H101" s="13"/>
      <c r="I101" s="13"/>
      <c r="J101" s="13"/>
    </row>
    <row r="102" spans="8:10" ht="12.5">
      <c r="H102" s="13"/>
      <c r="I102" s="13"/>
      <c r="J102" s="13"/>
    </row>
    <row r="103" spans="8:10" ht="12.5">
      <c r="H103" s="13"/>
      <c r="I103" s="13"/>
      <c r="J103" s="13"/>
    </row>
    <row r="105" spans="8:10" ht="12.5">
      <c r="H105" s="13"/>
      <c r="I105" s="13"/>
      <c r="J105" s="13"/>
    </row>
  </sheetData>
  <mergeCells count="5">
    <mergeCell ref="A4:L4"/>
    <mergeCell ref="A5:L5"/>
    <mergeCell ref="A6:L6"/>
    <mergeCell ref="A7:L7"/>
    <mergeCell ref="A8:L8"/>
  </mergeCells>
  <pageMargins left="1.5" right="0.7" top="1" bottom="0.35" header="0.3" footer="0.3"/>
  <pageSetup orientation="portrait" scale="4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II-E-3.19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