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19200" windowHeight="7305" activeTab="0"/>
  </bookViews>
  <sheets>
    <sheet name="WP II-E-4.1.1 CSR" sheetId="1" r:id="rId2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<sst xmlns="http://schemas.openxmlformats.org/spreadsheetml/2006/main" count="51" uniqueCount="51">
  <si>
    <t>CSREFUND</t>
  </si>
  <si>
    <t>CSRFDGRD</t>
  </si>
  <si>
    <t>GuardlightsCap Struct Ref</t>
  </si>
  <si>
    <t>CSRFDLPR</t>
  </si>
  <si>
    <t>Prim grtr 10kw Cap Struct Ref</t>
  </si>
  <si>
    <t>CSRFDLSC</t>
  </si>
  <si>
    <t>SEC Gtr 10kw Cap Structure Ref</t>
  </si>
  <si>
    <t>CSRFDMTL</t>
  </si>
  <si>
    <t>Metered SL Cap Struct Ref</t>
  </si>
  <si>
    <t>CSRFDRES</t>
  </si>
  <si>
    <t>RES Cap Structure Refund</t>
  </si>
  <si>
    <t>CSRFDSPR</t>
  </si>
  <si>
    <t>Prim less 10kw Cap Struct Ref</t>
  </si>
  <si>
    <t>CSRFDSSC</t>
  </si>
  <si>
    <t>Sec less10kw Cap Structure Ref</t>
  </si>
  <si>
    <t>CSRFDSUB</t>
  </si>
  <si>
    <t>Prim Substation Cap Struct Ref</t>
  </si>
  <si>
    <t>CSRFDTRN</t>
  </si>
  <si>
    <t>Transmission Cap Struct Ref</t>
  </si>
  <si>
    <t>CSRFDUML</t>
  </si>
  <si>
    <t>Unmtr SL Cap Struct Ref</t>
  </si>
  <si>
    <t>WCSRDLS0</t>
  </si>
  <si>
    <t>WCSRXFMR</t>
  </si>
  <si>
    <t>Wholesale DLS Cap Struct Ref</t>
  </si>
  <si>
    <t>Wholesale XFMR Cap Struct Ref</t>
  </si>
  <si>
    <t>Cap Structure Refund Regulatory Liability</t>
  </si>
  <si>
    <t>Over-Refund of Capital Structure Refund to be collected</t>
  </si>
  <si>
    <t>Requested recovery</t>
  </si>
  <si>
    <t>Reg Liability Refund</t>
  </si>
  <si>
    <t>Docket No. 48522 allocation factors *</t>
  </si>
  <si>
    <t>* Docket No. 48522, Item No. 1, page 11 of 21.</t>
  </si>
  <si>
    <t>Refunds to date (incl. cancel/rebills)</t>
  </si>
  <si>
    <t>Factors as a % of total</t>
  </si>
  <si>
    <t>Three projects reflect lighting class.</t>
  </si>
  <si>
    <t>Page 1 of 1</t>
  </si>
  <si>
    <t>Oncor Electric Delivery Company LLC</t>
  </si>
  <si>
    <t>Cap Structure</t>
  </si>
  <si>
    <t>Amount to be refunded</t>
  </si>
  <si>
    <t>Over-Refund of Capital Structure Refund (Docket No. 48522 Rider CSR &amp; Rider WCSR - DLS &amp; XFMR)</t>
  </si>
  <si>
    <t>Over-refund/to be collected/(refunded)</t>
  </si>
  <si>
    <t>To be collected/(refunded)</t>
  </si>
  <si>
    <t>Regulatory Liability Account 2541351 by project for the Capital Structure Refund</t>
  </si>
  <si>
    <t>WP II-E-4.1.1 CSR</t>
  </si>
  <si>
    <t>Excluding Network Transmission (fully refunded)</t>
  </si>
  <si>
    <t xml:space="preserve">Balance at 12-31-2021 </t>
  </si>
  <si>
    <t>K&amp;M adjustment #38</t>
  </si>
  <si>
    <t>Account 928</t>
  </si>
  <si>
    <t>Over 5 years</t>
  </si>
  <si>
    <t>2022 Rate Case</t>
  </si>
  <si>
    <t>For Test Year Ending December 31, 2021</t>
  </si>
  <si>
    <t>Sponsor: 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</si>
</sst>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00000%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u val="single"/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25">
    <xf numFmtId="0" fontId="0" fillId="0" borderId="0" xfId="0"/>
    <xf numFmtId="40" fontId="3" fillId="0" borderId="0" xfId="20" applyNumberFormat="1" applyFont="1" applyFill="1" applyAlignment="1">
      <alignment horizontal="center"/>
      <protection/>
    </xf>
    <xf numFmtId="40" fontId="3" fillId="0" borderId="0" xfId="20" applyNumberFormat="1" applyFont="1" applyFill="1">
      <alignment/>
      <protection/>
    </xf>
    <xf numFmtId="0" fontId="4" fillId="0" borderId="0" xfId="0" applyFont="1"/>
    <xf numFmtId="44" fontId="4" fillId="0" borderId="0" xfId="16" applyFont="1"/>
    <xf numFmtId="0" fontId="4" fillId="0" borderId="0" xfId="0" applyNumberFormat="1" applyFont="1"/>
    <xf numFmtId="0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44" fontId="4" fillId="0" borderId="0" xfId="16" applyFont="1" applyAlignment="1">
      <alignment horizontal="center"/>
    </xf>
    <xf numFmtId="44" fontId="4" fillId="0" borderId="0" xfId="0" applyNumberFormat="1" applyFont="1" applyFill="1"/>
    <xf numFmtId="0" fontId="4" fillId="0" borderId="0" xfId="0" applyFont="1" applyFill="1"/>
    <xf numFmtId="44" fontId="4" fillId="0" borderId="0" xfId="16" applyFont="1" applyFill="1"/>
    <xf numFmtId="164" fontId="4" fillId="0" borderId="0" xfId="15" applyNumberFormat="1" applyFont="1" applyFill="1"/>
    <xf numFmtId="44" fontId="4" fillId="0" borderId="1" xfId="16" applyFont="1" applyFill="1" applyBorder="1"/>
    <xf numFmtId="164" fontId="4" fillId="0" borderId="1" xfId="15" applyNumberFormat="1" applyFont="1" applyFill="1" applyBorder="1"/>
    <xf numFmtId="44" fontId="4" fillId="0" borderId="1" xfId="0" applyNumberFormat="1" applyFont="1" applyFill="1" applyBorder="1"/>
    <xf numFmtId="164" fontId="4" fillId="0" borderId="0" xfId="0" applyNumberFormat="1" applyFont="1" applyFill="1"/>
    <xf numFmtId="0" fontId="4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left"/>
    </xf>
    <xf numFmtId="0" fontId="6" fillId="0" borderId="0" xfId="0" applyFont="1"/>
    <xf numFmtId="44" fontId="6" fillId="0" borderId="0" xfId="16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3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I51"/>
  <sheetViews>
    <sheetView tabSelected="1" workbookViewId="0" topLeftCell="A1">
      <selection pane="topLeft" activeCell="C29" sqref="C29"/>
    </sheetView>
  </sheetViews>
  <sheetFormatPr defaultColWidth="8.71428571428571" defaultRowHeight="11.25"/>
  <cols>
    <col min="1" max="1" width="9.85714285714286" style="3" customWidth="1"/>
    <col min="2" max="2" width="36.2857142857143" style="3" customWidth="1"/>
    <col min="3" max="3" width="16.1428571428571" style="3" customWidth="1"/>
    <col min="4" max="4" width="17.4285714285714" style="3" bestFit="1" customWidth="1"/>
    <col min="5" max="5" width="35.4285714285714" style="3" bestFit="1" customWidth="1"/>
    <col min="6" max="6" width="16.8571428571429" style="3" bestFit="1" customWidth="1"/>
    <col min="7" max="7" width="14.7142857142857" style="4" bestFit="1" customWidth="1"/>
    <col min="8" max="8" width="28.4285714285714" style="4" bestFit="1" customWidth="1"/>
    <col min="9" max="9" width="19.5714285714286" style="3" bestFit="1" customWidth="1"/>
    <col min="10" max="16384" width="8.71428571428571" style="3"/>
  </cols>
  <sheetData>
    <row r="1" spans="1:9" s="21" customFormat="1" ht="11.25">
      <c r="A1" s="21" t="s">
        <v>48</v>
      </c>
      <c r="G1" s="22"/>
      <c r="H1" s="22"/>
      <c r="I1" s="23" t="s">
        <v>42</v>
      </c>
    </row>
    <row r="2" spans="1:9" s="21" customFormat="1" ht="11.25">
      <c r="A2" s="21" t="s">
        <v>35</v>
      </c>
      <c r="G2" s="22"/>
      <c r="H2" s="22"/>
      <c r="I2" s="23" t="s">
        <v>34</v>
      </c>
    </row>
    <row r="3" spans="1:8" s="21" customFormat="1" ht="11.25">
      <c r="A3" s="21" t="s">
        <v>38</v>
      </c>
      <c r="G3" s="22"/>
      <c r="H3" s="22"/>
    </row>
    <row r="4" spans="1:9" s="21" customFormat="1" ht="11.25">
      <c r="A4" s="21" t="s">
        <v>49</v>
      </c>
      <c r="G4" s="22"/>
      <c r="H4" s="22"/>
      <c r="I4" s="23"/>
    </row>
    <row r="5" spans="1:9" s="21" customFormat="1" ht="11.25">
      <c r="A5" s="21" t="s">
        <v>50</v>
      </c>
      <c r="G5" s="22"/>
      <c r="H5" s="22"/>
      <c r="I5" s="24"/>
    </row>
    <row r="6" spans="9:9" ht="11.25">
      <c r="I6" s="8" t="s">
        <v>27</v>
      </c>
    </row>
    <row r="7" spans="1:9" ht="11.25">
      <c r="A7" s="9" t="s">
        <v>41</v>
      </c>
      <c r="G7" s="10" t="s">
        <v>36</v>
      </c>
      <c r="I7" s="7" t="s">
        <v>40</v>
      </c>
    </row>
    <row r="8" spans="1:9" ht="11.25">
      <c r="A8" s="1" t="s">
        <v>0</v>
      </c>
      <c r="B8" s="2" t="s">
        <v>25</v>
      </c>
      <c r="C8" s="4">
        <v>-3491822.1000000001</v>
      </c>
      <c r="D8" s="5" t="s">
        <v>37</v>
      </c>
      <c r="E8" s="6" t="s">
        <v>29</v>
      </c>
      <c r="F8" s="6" t="s">
        <v>32</v>
      </c>
      <c r="G8" s="6" t="s">
        <v>28</v>
      </c>
      <c r="H8" s="6" t="s">
        <v>39</v>
      </c>
      <c r="I8" s="6" t="s">
        <v>47</v>
      </c>
    </row>
    <row r="9" spans="1:9" ht="11.25">
      <c r="A9" s="1"/>
      <c r="B9" s="2"/>
      <c r="C9" s="4"/>
      <c r="I9" s="4"/>
    </row>
    <row r="10" spans="1:9" s="12" customFormat="1" ht="11.25">
      <c r="A10" s="1" t="s">
        <v>1</v>
      </c>
      <c r="B10" s="2" t="s">
        <v>2</v>
      </c>
      <c r="C10" s="13">
        <v>-9542.630000000001</v>
      </c>
      <c r="E10" s="14"/>
      <c r="F10" s="14"/>
      <c r="G10" s="13"/>
      <c r="H10" s="13"/>
      <c r="I10" s="13"/>
    </row>
    <row r="11" spans="1:9" s="12" customFormat="1" ht="11.25">
      <c r="A11" s="1" t="s">
        <v>3</v>
      </c>
      <c r="B11" s="2" t="s">
        <v>4</v>
      </c>
      <c r="C11" s="13">
        <v>-167006.44</v>
      </c>
      <c r="E11" s="14">
        <v>0.024568880000000001</v>
      </c>
      <c r="F11" s="14">
        <f>E11/E$22</f>
        <v>0.042038149623178471</v>
      </c>
      <c r="G11" s="13">
        <f>F11*C$8</f>
        <v>-146789.73989732127</v>
      </c>
      <c r="H11" s="13">
        <f>-(C11-G11)</f>
        <v>20216.700102678733</v>
      </c>
      <c r="I11" s="13">
        <f>H11/5</f>
        <v>4043.3400205357466</v>
      </c>
    </row>
    <row r="12" spans="1:9" s="12" customFormat="1" ht="11.25">
      <c r="A12" s="1" t="s">
        <v>5</v>
      </c>
      <c r="B12" s="2" t="s">
        <v>6</v>
      </c>
      <c r="C12" s="13">
        <v>-1414921.29</v>
      </c>
      <c r="E12" s="14">
        <v>0.2222016</v>
      </c>
      <c r="F12" s="14">
        <f>E12/E$22</f>
        <v>0.38019413613114039</v>
      </c>
      <c r="G12" s="13">
        <f>F12*C$8</f>
        <v>-1327570.2868331245</v>
      </c>
      <c r="H12" s="13">
        <f t="shared" si="0" ref="H12:H21">-(C12-G12)</f>
        <v>87351.003166875569</v>
      </c>
      <c r="I12" s="13">
        <f>H12/5</f>
        <v>17470.200633375112</v>
      </c>
    </row>
    <row r="13" spans="1:9" s="12" customFormat="1" ht="11.25">
      <c r="A13" s="1" t="s">
        <v>7</v>
      </c>
      <c r="B13" s="2" t="s">
        <v>8</v>
      </c>
      <c r="C13" s="13">
        <v>-1212.24</v>
      </c>
      <c r="E13" s="14"/>
      <c r="F13" s="14"/>
      <c r="G13" s="13"/>
      <c r="H13" s="13"/>
      <c r="I13" s="13">
        <f t="shared" si="1" ref="I13">H13/4</f>
        <v>0</v>
      </c>
    </row>
    <row r="14" spans="1:9" s="12" customFormat="1" ht="11.25">
      <c r="A14" s="1" t="s">
        <v>9</v>
      </c>
      <c r="B14" s="2" t="s">
        <v>10</v>
      </c>
      <c r="C14" s="13">
        <v>-1837915.23</v>
      </c>
      <c r="E14" s="14">
        <v>0.31122306999999999</v>
      </c>
      <c r="F14" s="14">
        <f t="shared" si="2" ref="F14:F21">E14/E$22</f>
        <v>0.53251275527598108</v>
      </c>
      <c r="G14" s="13">
        <f t="shared" si="3" ref="G14:G21">F14*C$8</f>
        <v>-1859439.8074045624</v>
      </c>
      <c r="H14" s="13">
        <f t="shared" si="0"/>
        <v>-21524.577404562384</v>
      </c>
      <c r="I14" s="13">
        <f t="shared" si="4" ref="I14:I21">H14/5</f>
        <v>-4304.9154809124766</v>
      </c>
    </row>
    <row r="15" spans="1:9" s="12" customFormat="1" ht="11.25">
      <c r="A15" s="1" t="s">
        <v>11</v>
      </c>
      <c r="B15" s="2" t="s">
        <v>12</v>
      </c>
      <c r="C15" s="13">
        <v>-919.20000000000005</v>
      </c>
      <c r="E15" s="14">
        <v>0.00015394000000000001</v>
      </c>
      <c r="F15" s="14">
        <f t="shared" si="2"/>
        <v>0.00026339632710127992</v>
      </c>
      <c r="G15" s="13">
        <f t="shared" si="3"/>
        <v>-919.73311603107823</v>
      </c>
      <c r="H15" s="13">
        <f t="shared" si="0"/>
        <v>-0.53311603107817973</v>
      </c>
      <c r="I15" s="13">
        <f t="shared" si="4"/>
        <v>-0.10662320621563595</v>
      </c>
    </row>
    <row r="16" spans="1:9" s="12" customFormat="1" ht="11.25">
      <c r="A16" s="1" t="s">
        <v>13</v>
      </c>
      <c r="B16" s="2" t="s">
        <v>14</v>
      </c>
      <c r="C16" s="13">
        <v>-92152.059999999998</v>
      </c>
      <c r="E16" s="14">
        <v>0.014786479999999999</v>
      </c>
      <c r="F16" s="14">
        <f t="shared" si="2"/>
        <v>0.025300146308669176</v>
      </c>
      <c r="G16" s="13">
        <f t="shared" si="3"/>
        <v>-88343.61001384446</v>
      </c>
      <c r="H16" s="13">
        <f t="shared" si="0"/>
        <v>3808.4499861555378</v>
      </c>
      <c r="I16" s="13">
        <f t="shared" si="4"/>
        <v>761.68999723110755</v>
      </c>
    </row>
    <row r="17" spans="1:9" s="12" customFormat="1" ht="11.25">
      <c r="A17" s="1" t="s">
        <v>15</v>
      </c>
      <c r="B17" s="2" t="s">
        <v>16</v>
      </c>
      <c r="C17" s="13">
        <v>-10784.31</v>
      </c>
      <c r="E17" s="14">
        <v>0.00157406</v>
      </c>
      <c r="F17" s="14">
        <f t="shared" si="2"/>
        <v>0.002693267653871902</v>
      </c>
      <c r="G17" s="13">
        <f t="shared" si="3"/>
        <v>-9404.4115150050584</v>
      </c>
      <c r="H17" s="13">
        <f t="shared" si="0"/>
        <v>1379.8984849949411</v>
      </c>
      <c r="I17" s="13">
        <f t="shared" si="4"/>
        <v>275.97969699898823</v>
      </c>
    </row>
    <row r="18" spans="1:9" s="12" customFormat="1" ht="11.25">
      <c r="A18" s="1" t="s">
        <v>17</v>
      </c>
      <c r="B18" s="2" t="s">
        <v>18</v>
      </c>
      <c r="C18" s="13">
        <v>-7254.0900000000001</v>
      </c>
      <c r="E18" s="14">
        <v>0.00113927</v>
      </c>
      <c r="F18" s="14">
        <f t="shared" si="2"/>
        <v>0.0019493278782426603</v>
      </c>
      <c r="G18" s="13">
        <f t="shared" si="3"/>
        <v>-6806.7061653938308</v>
      </c>
      <c r="H18" s="13">
        <f t="shared" si="0"/>
        <v>447.38383460616933</v>
      </c>
      <c r="I18" s="13">
        <f t="shared" si="4"/>
        <v>89.47676692123386</v>
      </c>
    </row>
    <row r="19" spans="1:9" s="12" customFormat="1" ht="11.25">
      <c r="A19" s="1" t="s">
        <v>19</v>
      </c>
      <c r="B19" s="2" t="s">
        <v>20</v>
      </c>
      <c r="C19" s="13">
        <v>-31611.84</v>
      </c>
      <c r="E19" s="14">
        <v>0.0071701999999999998</v>
      </c>
      <c r="F19" s="14">
        <f t="shared" si="2"/>
        <v>0.012268444488642309</v>
      </c>
      <c r="G19" s="13">
        <f t="shared" si="3"/>
        <v>-42839.225598064411</v>
      </c>
      <c r="H19" s="13">
        <f>-(C19-G19+C13+C10)</f>
        <v>-472.51559806441037</v>
      </c>
      <c r="I19" s="13">
        <f t="shared" si="4"/>
        <v>-94.503119612882074</v>
      </c>
    </row>
    <row r="20" spans="1:9" s="12" customFormat="1" ht="11.25">
      <c r="A20" s="1" t="s">
        <v>21</v>
      </c>
      <c r="B20" s="2" t="s">
        <v>23</v>
      </c>
      <c r="C20" s="13">
        <v>-40.469999999999999</v>
      </c>
      <c r="E20" s="14">
        <v>0.0013289599999999999</v>
      </c>
      <c r="F20" s="14">
        <f t="shared" si="2"/>
        <v>0.0022738936135151158</v>
      </c>
      <c r="G20" s="13">
        <f t="shared" si="3"/>
        <v>-7940.0319727209398</v>
      </c>
      <c r="H20" s="13">
        <f t="shared" si="0"/>
        <v>-7899.5619727209396</v>
      </c>
      <c r="I20" s="13">
        <f t="shared" si="4"/>
        <v>-1579.9123945441879</v>
      </c>
    </row>
    <row r="21" spans="1:9" s="12" customFormat="1" ht="11.25">
      <c r="A21" s="1" t="s">
        <v>22</v>
      </c>
      <c r="B21" s="2" t="s">
        <v>24</v>
      </c>
      <c r="C21" s="15">
        <v>-106.79000000000001</v>
      </c>
      <c r="E21" s="16">
        <v>0.00029600999999999998</v>
      </c>
      <c r="F21" s="16">
        <f t="shared" si="2"/>
        <v>0.00050648269965733309</v>
      </c>
      <c r="G21" s="15">
        <f t="shared" si="3"/>
        <v>-1768.5474839311382</v>
      </c>
      <c r="H21" s="15">
        <f t="shared" si="0"/>
        <v>-1661.7574839311383</v>
      </c>
      <c r="I21" s="15">
        <f t="shared" si="4"/>
        <v>-332.35149678622764</v>
      </c>
    </row>
    <row r="22" spans="2:9" s="12" customFormat="1" ht="11.25">
      <c r="B22" s="12" t="s">
        <v>31</v>
      </c>
      <c r="C22" s="17">
        <f>SUM(C10:C21)</f>
        <v>-3573466.5900000003</v>
      </c>
      <c r="E22" s="18">
        <f>SUM(E10:E21)</f>
        <v>0.58444247000000016</v>
      </c>
      <c r="F22" s="18">
        <f>SUM(F10:F21)</f>
        <v>0.99999999999999978</v>
      </c>
      <c r="G22" s="13">
        <f>SUM(G10:G21)</f>
        <v>-3491822.0999999987</v>
      </c>
      <c r="H22" s="13">
        <f>SUM(H10:H21)</f>
        <v>81644.490000001009</v>
      </c>
      <c r="I22" s="13">
        <f>SUM(I10:I21)</f>
        <v>16328.898000000198</v>
      </c>
    </row>
    <row r="23" spans="7:9" s="12" customFormat="1" ht="11.25">
      <c r="G23" s="13"/>
      <c r="H23" s="13"/>
      <c r="I23" s="19" t="s">
        <v>45</v>
      </c>
    </row>
    <row r="24" spans="1:9" s="12" customFormat="1" ht="11.25">
      <c r="A24" s="12" t="s">
        <v>26</v>
      </c>
      <c r="C24" s="11">
        <f>C8-C22</f>
        <v>81644.490000000224</v>
      </c>
      <c r="D24" s="12" t="s">
        <v>44</v>
      </c>
      <c r="E24" s="20" t="s">
        <v>43</v>
      </c>
      <c r="F24" s="18"/>
      <c r="G24" s="13"/>
      <c r="H24" s="13"/>
      <c r="I24" s="19" t="s">
        <v>46</v>
      </c>
    </row>
    <row r="25" spans="4:8" s="12" customFormat="1" ht="11.25">
      <c r="D25" s="11"/>
      <c r="E25" s="11"/>
      <c r="F25" s="11"/>
      <c r="G25" s="13"/>
      <c r="H25" s="13"/>
    </row>
    <row r="26" spans="1:8" s="12" customFormat="1" ht="11.25">
      <c r="A26" s="12" t="s">
        <v>30</v>
      </c>
      <c r="G26" s="13"/>
      <c r="H26" s="13"/>
    </row>
    <row r="27" spans="1:8" s="12" customFormat="1" ht="11.25">
      <c r="A27" s="12" t="s">
        <v>33</v>
      </c>
      <c r="G27" s="13"/>
      <c r="H27" s="13"/>
    </row>
    <row r="28" spans="7:8" s="12" customFormat="1" ht="11.25">
      <c r="G28" s="13"/>
      <c r="H28" s="13"/>
    </row>
    <row r="29" spans="7:8" s="12" customFormat="1" ht="11.25">
      <c r="G29" s="13"/>
      <c r="H29" s="13"/>
    </row>
    <row r="30" spans="7:8" s="12" customFormat="1" ht="11.25">
      <c r="G30" s="13"/>
      <c r="H30" s="13"/>
    </row>
    <row r="31" spans="7:8" s="12" customFormat="1" ht="11.25">
      <c r="G31" s="13"/>
      <c r="H31" s="13"/>
    </row>
    <row r="38" spans="4:4" ht="11.25">
      <c r="D38" s="4"/>
    </row>
    <row r="39" spans="4:4" ht="11.25">
      <c r="D39" s="4"/>
    </row>
    <row r="40" spans="4:4" ht="11.25">
      <c r="D40" s="4"/>
    </row>
    <row r="41" spans="4:4" ht="11.25">
      <c r="D41" s="4"/>
    </row>
    <row r="42" spans="4:4" ht="11.25">
      <c r="D42" s="4"/>
    </row>
    <row r="43" spans="4:4" ht="11.25">
      <c r="D43" s="4"/>
    </row>
    <row r="44" spans="4:4" ht="11.25">
      <c r="D44" s="4"/>
    </row>
    <row r="45" spans="4:4" ht="11.25">
      <c r="D45" s="4"/>
    </row>
    <row r="46" spans="4:4" ht="11.25">
      <c r="D46" s="4"/>
    </row>
    <row r="47" spans="4:4" ht="11.25">
      <c r="D47" s="4"/>
    </row>
    <row r="48" spans="4:4" ht="11.25">
      <c r="D48" s="4"/>
    </row>
    <row r="49" spans="4:4" ht="11.25">
      <c r="D49" s="4"/>
    </row>
    <row r="50" spans="4:4" ht="11.25">
      <c r="D50" s="4"/>
    </row>
    <row r="51" spans="4:4" ht="11.25">
      <c r="D51" s="4"/>
    </row>
  </sheetData>
  <pageMargins left="0.45" right="0.45" top="1.5" bottom="0.5" header="0.3" footer="0.3"/>
  <pageSetup orientation="landscape" scale="6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II-E-4.1.1 CSR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