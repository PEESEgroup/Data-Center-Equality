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E (Other Items)\Schedule II-E Workpapers\"/>
    </mc:Choice>
  </mc:AlternateContent>
  <bookViews>
    <workbookView xWindow="0" yWindow="0" windowWidth="19200" windowHeight="7305" activeTab="0"/>
  </bookViews>
  <sheets>
    <sheet name="WP II-E-4.1.1 Intang Asset Over" sheetId="1" r:id="rId2"/>
  </sheets>
  <definedNames>
    <definedName name="aaaa">#REF!</definedName>
    <definedName name="APN">#REF!</definedName>
    <definedName name="ASD">#REF!</definedName>
    <definedName name="Completed">#REF!</definedName>
    <definedName name="Elapsed">#REF!</definedName>
    <definedName name="FY">#REF!</definedName>
    <definedName name="KeyControlFigure">#REF!</definedName>
    <definedName name="LYN">#REF!</definedName>
    <definedName name="NvsASD">"V2020-12-31"</definedName>
    <definedName name="NvsAutoDrillOk">"VN"</definedName>
    <definedName name="NvsElapsedTime">0.000243055554165039</definedName>
    <definedName name="NvsEndTime">44211.9082291667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"%,X,RZF.ACCOUNT.nPlosion,CZF.."</definedName>
    <definedName name="NvsPanelBusUnit">"V"</definedName>
    <definedName name="NvsPanelEffdt">"V3000-01-01"</definedName>
    <definedName name="NvsPanelSetid">"VSHARE"</definedName>
    <definedName name="NvsReqBU">"VX0001"</definedName>
    <definedName name="NvsReqBUOnly">"VN"</definedName>
    <definedName name="NvsTransLed">"VN"</definedName>
    <definedName name="NvsTree.F_ACNT_D_NONRG">"YSNYN"</definedName>
    <definedName name="NvsTree.F_BU_D_BASE_FCR">"YSNNN"</definedName>
    <definedName name="NvsTreeASD">"V2020-12-31"</definedName>
    <definedName name="NvsValTbl.ACCOUNT">"GL_ACCOUNT_TBL"</definedName>
    <definedName name="NvsValTbl.BUSINESS_UNIT">"BUS_UNIT_TBL_FS"</definedName>
    <definedName name="NvsValTbl.CURRENCY_CD">"CURRENCY_CD_VW"</definedName>
    <definedName name="NvsValTbl.PF_SCENARIO_ID">"PF_SCENARIO_VW"</definedName>
    <definedName name="NvsValTbl.SCENARIO">"SCENARIO_ALL_VW"</definedName>
    <definedName name="PED">#REF!</definedName>
    <definedName name="_xlnm.Print_Area" localSheetId="0">'WP II-E-4.1.1 Intang Asset Over'!$A$1:$L$66</definedName>
    <definedName name="RID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5" i="1" l="1"/>
</calcChain>
</file>

<file path=xl/sharedStrings.xml><?xml version="1.0" encoding="utf-8"?>
<sst xmlns="http://schemas.openxmlformats.org/spreadsheetml/2006/main" count="80" uniqueCount="72">
  <si>
    <t>Transmission</t>
  </si>
  <si>
    <t>Distribution</t>
  </si>
  <si>
    <t>Accumulated Provision for Amortization</t>
  </si>
  <si>
    <t>Amortization Adjustment</t>
  </si>
  <si>
    <t>Amortization Expense</t>
  </si>
  <si>
    <t>To adjust amortization expense for untimely intangible plant retirements</t>
  </si>
  <si>
    <t>Operating Revenues</t>
  </si>
  <si>
    <t>Interest Expense</t>
  </si>
  <si>
    <t>Regulatory Liability</t>
  </si>
  <si>
    <t>To accrue regulatory liability for overbilling related to intangible retirements</t>
  </si>
  <si>
    <t>Total</t>
  </si>
  <si>
    <t>Excess Amortization in Rates</t>
  </si>
  <si>
    <t>Operating Revenue Debit Breakdown:</t>
  </si>
  <si>
    <t>12ME 12/31/2021</t>
  </si>
  <si>
    <t>Distribution DCRF Total:</t>
  </si>
  <si>
    <t>Account</t>
  </si>
  <si>
    <t>DCRF Rev</t>
  </si>
  <si>
    <t>Sub-Total</t>
  </si>
  <si>
    <t>Residential</t>
  </si>
  <si>
    <t>4405008</t>
  </si>
  <si>
    <t>Small Sec-IDR</t>
  </si>
  <si>
    <t>4425008</t>
  </si>
  <si>
    <t>Texas GMT on Excess Amort</t>
  </si>
  <si>
    <t>Small Sec-NIDR</t>
  </si>
  <si>
    <t>4425208</t>
  </si>
  <si>
    <t>Small Pri-IDR</t>
  </si>
  <si>
    <t>4426008</t>
  </si>
  <si>
    <t>Small Pri-NIDR</t>
  </si>
  <si>
    <t>4426208</t>
  </si>
  <si>
    <t>Large Sec-IDR</t>
  </si>
  <si>
    <t>4427008</t>
  </si>
  <si>
    <t>Large Sec-NIDR</t>
  </si>
  <si>
    <t>4427208</t>
  </si>
  <si>
    <t>Large Pri-IDR</t>
  </si>
  <si>
    <t>4428008</t>
  </si>
  <si>
    <t>Large Pri-NIDR</t>
  </si>
  <si>
    <t>4428208</t>
  </si>
  <si>
    <t>Substation-IDR</t>
  </si>
  <si>
    <t>4428108</t>
  </si>
  <si>
    <t>Lower Return on Rate Base</t>
  </si>
  <si>
    <t>Substation-NIDR</t>
  </si>
  <si>
    <t>4428128</t>
  </si>
  <si>
    <t>4429008</t>
  </si>
  <si>
    <t>Unmetered Ltg</t>
  </si>
  <si>
    <t>4445008</t>
  </si>
  <si>
    <t>Metered Ltg</t>
  </si>
  <si>
    <t>4446008</t>
  </si>
  <si>
    <t>GuardLights</t>
  </si>
  <si>
    <t>4447008</t>
  </si>
  <si>
    <t>Wholesale-Substn</t>
  </si>
  <si>
    <t>Wholesale-DL</t>
  </si>
  <si>
    <t>Carrying Cost on Overbilling</t>
  </si>
  <si>
    <t>Transmission Total:</t>
  </si>
  <si>
    <t>Interest Expense Breakdown:</t>
  </si>
  <si>
    <t>Net Regulatory Liability by Year</t>
  </si>
  <si>
    <t>Total at 12/31/2021</t>
  </si>
  <si>
    <t>2021 test year entries</t>
  </si>
  <si>
    <t>Oncor Electric Delivery Company LLC</t>
  </si>
  <si>
    <t>Reg liability - to be refunded</t>
  </si>
  <si>
    <t>Regulatory Liability 2541300-Int Asset Over-Amortization</t>
  </si>
  <si>
    <t>Page 1 of 1</t>
  </si>
  <si>
    <t>WP/II-E-4.1.1 Intangible Asset Over-Amortization Regulatory Liability</t>
  </si>
  <si>
    <t>Sch II-B-12</t>
  </si>
  <si>
    <t>Sch II-E-4.1</t>
  </si>
  <si>
    <t>Account 407</t>
  </si>
  <si>
    <t>TRAN</t>
  </si>
  <si>
    <t>DIST</t>
  </si>
  <si>
    <t>to be refunded over 5 years</t>
  </si>
  <si>
    <t>2022 Rate Case</t>
  </si>
  <si>
    <t>For Test Year Ending December 31, 2021</t>
  </si>
  <si>
    <t>Sponsor:  W. Alan Ledbetter</t>
  </si>
  <si>
    <t>Amortization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</si>
</sst>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000%"/>
  </numFmts>
  <fonts count="9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 val="single"/>
      <sz val="11"/>
      <color theme="1"/>
      <name val="Calibri"/>
      <family val="2"/>
      <scheme val="minor"/>
    </font>
    <font>
      <u val="single"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</border>
    <border>
      <left/>
      <right/>
      <top style="medium">
        <color auto="1"/>
      </top>
      <bottom/>
    </border>
    <border>
      <left/>
      <right style="medium">
        <color auto="1"/>
      </right>
      <top style="medium">
        <color auto="1"/>
      </top>
      <bottom/>
    </border>
    <border>
      <left style="medium">
        <color auto="1"/>
      </left>
      <right/>
      <top/>
      <bottom/>
    </border>
    <border>
      <left/>
      <right style="medium">
        <color auto="1"/>
      </right>
      <top/>
      <bottom/>
    </border>
    <border>
      <left style="medium">
        <color auto="1"/>
      </left>
      <right/>
      <top/>
      <bottom style="medium">
        <color auto="1"/>
      </bottom>
    </border>
    <border>
      <left/>
      <right/>
      <top/>
      <bottom style="medium">
        <color auto="1"/>
      </bottom>
    </border>
    <border>
      <left/>
      <right style="medium">
        <color auto="1"/>
      </right>
      <top/>
      <bottom style="medium">
        <color auto="1"/>
      </bottom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6" fillId="0" borderId="0">
      <alignment/>
      <protection/>
    </xf>
  </cellStyleXfs>
  <cellXfs count="37">
    <xf numFmtId="0" fontId="0" fillId="0" borderId="0" xfId="0"/>
    <xf numFmtId="0" fontId="2" fillId="0" borderId="0" xfId="0" applyFont="1" applyAlignment="1">
      <alignment horizontal="center"/>
    </xf>
    <xf numFmtId="43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0" xfId="0" applyFont="1"/>
    <xf numFmtId="0" fontId="0" fillId="0" borderId="4" xfId="0" applyBorder="1"/>
    <xf numFmtId="0" fontId="0" fillId="0" borderId="0" xfId="0" applyBorder="1"/>
    <xf numFmtId="0" fontId="0" fillId="0" borderId="0" xfId="0" applyAlignment="1">
      <alignment horizontal="center"/>
    </xf>
    <xf numFmtId="40" fontId="0" fillId="0" borderId="0" xfId="0" applyNumberFormat="1"/>
    <xf numFmtId="0" fontId="4" fillId="0" borderId="0" xfId="0" applyFont="1" applyAlignment="1">
      <alignment horizontal="left" indent="1"/>
    </xf>
    <xf numFmtId="0" fontId="0" fillId="0" borderId="5" xfId="0" applyBorder="1"/>
    <xf numFmtId="43" fontId="0" fillId="0" borderId="5" xfId="0" applyNumberFormat="1" applyBorder="1"/>
    <xf numFmtId="43" fontId="5" fillId="0" borderId="0" xfId="0" applyNumberFormat="1" applyFont="1"/>
    <xf numFmtId="40" fontId="5" fillId="0" borderId="0" xfId="0" applyNumberFormat="1" applyFont="1"/>
    <xf numFmtId="0" fontId="0" fillId="0" borderId="0" xfId="0" applyAlignment="1">
      <alignment horizontal="left" inden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2" xfId="0" applyFont="1" applyBorder="1" applyAlignment="1">
      <alignment horizontal="center"/>
    </xf>
    <xf numFmtId="43" fontId="5" fillId="0" borderId="3" xfId="0" applyNumberFormat="1" applyFont="1" applyBorder="1"/>
    <xf numFmtId="0" fontId="0" fillId="0" borderId="4" xfId="0" applyBorder="1" applyAlignment="1">
      <alignment horizontal="left" indent="1"/>
    </xf>
    <xf numFmtId="0" fontId="0" fillId="0" borderId="0" xfId="0" applyBorder="1" applyAlignment="1" quotePrefix="1">
      <alignment horizontal="center"/>
    </xf>
    <xf numFmtId="164" fontId="0" fillId="0" borderId="0" xfId="15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6" xfId="0" applyBorder="1" applyAlignment="1">
      <alignment horizontal="left" indent="1"/>
    </xf>
    <xf numFmtId="0" fontId="0" fillId="0" borderId="7" xfId="0" applyBorder="1" applyAlignment="1">
      <alignment horizontal="center"/>
    </xf>
    <xf numFmtId="164" fontId="0" fillId="0" borderId="7" xfId="15" applyNumberFormat="1" applyFont="1" applyBorder="1" applyAlignment="1">
      <alignment horizontal="center"/>
    </xf>
    <xf numFmtId="43" fontId="0" fillId="0" borderId="8" xfId="0" applyNumberFormat="1" applyBorder="1"/>
    <xf numFmtId="0" fontId="0" fillId="0" borderId="0" xfId="0" applyBorder="1" applyAlignment="1">
      <alignment horizontal="center"/>
    </xf>
    <xf numFmtId="10" fontId="0" fillId="0" borderId="0" xfId="15" applyNumberFormat="1" applyFont="1" applyAlignment="1">
      <alignment horizontal="center"/>
    </xf>
    <xf numFmtId="0" fontId="0" fillId="0" borderId="0" xfId="0" applyFont="1"/>
    <xf numFmtId="164" fontId="0" fillId="0" borderId="0" xfId="15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20" applyFont="1" applyAlignment="1">
      <alignment horizontal="right"/>
      <protection/>
    </xf>
    <xf numFmtId="0" fontId="7" fillId="0" borderId="0" xfId="0" applyFont="1" applyAlignment="1">
      <alignment horizontal="right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Relationship Id="rId3" Type="http://schemas.openxmlformats.org/officeDocument/2006/relationships/styles" Target="styles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7</xdr:col>
      <xdr:colOff>274320</xdr:colOff>
      <xdr:row>31</xdr:row>
      <xdr:rowOff>22860</xdr:rowOff>
    </xdr:from>
    <xdr:to>
      <xdr:col>7</xdr:col>
      <xdr:colOff>320039</xdr:colOff>
      <xdr:row>32</xdr:row>
      <xdr:rowOff>152400</xdr:rowOff>
    </xdr:to>
    <xdr:sp macro="" fLocksText="0">
      <xdr:nvSpPr>
        <xdr:cNvPr id="2" name="Right Brace 1"/>
        <xdr:cNvSpPr/>
      </xdr:nvSpPr>
      <xdr:spPr>
        <a:xfrm>
          <a:off x="6819900" y="6048375"/>
          <a:ext cx="47625" cy="323850"/>
        </a:xfrm>
        <a:prstGeom prst="rightBrace"/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7</xdr:col>
      <xdr:colOff>281940</xdr:colOff>
      <xdr:row>33</xdr:row>
      <xdr:rowOff>30480</xdr:rowOff>
    </xdr:from>
    <xdr:to>
      <xdr:col>7</xdr:col>
      <xdr:colOff>327659</xdr:colOff>
      <xdr:row>34</xdr:row>
      <xdr:rowOff>160020</xdr:rowOff>
    </xdr:to>
    <xdr:sp macro="" fLocksText="0">
      <xdr:nvSpPr>
        <xdr:cNvPr id="3" name="Right Brace 2"/>
        <xdr:cNvSpPr/>
      </xdr:nvSpPr>
      <xdr:spPr>
        <a:xfrm>
          <a:off x="6829425" y="6438900"/>
          <a:ext cx="38100" cy="323850"/>
        </a:xfrm>
        <a:prstGeom prst="rightBrace"/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7</xdr:col>
      <xdr:colOff>281940</xdr:colOff>
      <xdr:row>35</xdr:row>
      <xdr:rowOff>22860</xdr:rowOff>
    </xdr:from>
    <xdr:to>
      <xdr:col>7</xdr:col>
      <xdr:colOff>327659</xdr:colOff>
      <xdr:row>36</xdr:row>
      <xdr:rowOff>152400</xdr:rowOff>
    </xdr:to>
    <xdr:sp macro="" fLocksText="0">
      <xdr:nvSpPr>
        <xdr:cNvPr id="4" name="Right Brace 3"/>
        <xdr:cNvSpPr/>
      </xdr:nvSpPr>
      <xdr:spPr>
        <a:xfrm>
          <a:off x="6829425" y="6810375"/>
          <a:ext cx="38100" cy="323850"/>
        </a:xfrm>
        <a:prstGeom prst="rightBrace"/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7</xdr:col>
      <xdr:colOff>281940</xdr:colOff>
      <xdr:row>37</xdr:row>
      <xdr:rowOff>45720</xdr:rowOff>
    </xdr:from>
    <xdr:to>
      <xdr:col>7</xdr:col>
      <xdr:colOff>327659</xdr:colOff>
      <xdr:row>38</xdr:row>
      <xdr:rowOff>152400</xdr:rowOff>
    </xdr:to>
    <xdr:sp macro="" fLocksText="0">
      <xdr:nvSpPr>
        <xdr:cNvPr id="5" name="Right Brace 4"/>
        <xdr:cNvSpPr/>
      </xdr:nvSpPr>
      <xdr:spPr>
        <a:xfrm>
          <a:off x="6829425" y="7219950"/>
          <a:ext cx="38100" cy="323850"/>
        </a:xfrm>
        <a:prstGeom prst="rightBrace"/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7</xdr:col>
      <xdr:colOff>281940</xdr:colOff>
      <xdr:row>39</xdr:row>
      <xdr:rowOff>30480</xdr:rowOff>
    </xdr:from>
    <xdr:to>
      <xdr:col>7</xdr:col>
      <xdr:colOff>327659</xdr:colOff>
      <xdr:row>40</xdr:row>
      <xdr:rowOff>160020</xdr:rowOff>
    </xdr:to>
    <xdr:sp macro="" fLocksText="0">
      <xdr:nvSpPr>
        <xdr:cNvPr id="6" name="Right Brace 5"/>
        <xdr:cNvSpPr/>
      </xdr:nvSpPr>
      <xdr:spPr>
        <a:xfrm>
          <a:off x="6829425" y="7610475"/>
          <a:ext cx="38100" cy="323850"/>
        </a:xfrm>
        <a:prstGeom prst="rightBrace"/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7</xdr:col>
      <xdr:colOff>274320</xdr:colOff>
      <xdr:row>42</xdr:row>
      <xdr:rowOff>22860</xdr:rowOff>
    </xdr:from>
    <xdr:to>
      <xdr:col>7</xdr:col>
      <xdr:colOff>327660</xdr:colOff>
      <xdr:row>44</xdr:row>
      <xdr:rowOff>175260</xdr:rowOff>
    </xdr:to>
    <xdr:sp macro="" fLocksText="0">
      <xdr:nvSpPr>
        <xdr:cNvPr id="7" name="Right Brace 6"/>
        <xdr:cNvSpPr/>
      </xdr:nvSpPr>
      <xdr:spPr>
        <a:xfrm>
          <a:off x="6819900" y="8172450"/>
          <a:ext cx="47625" cy="533400"/>
        </a:xfrm>
        <a:prstGeom prst="rightBrace"/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t"/>
        <a:lstStyle/>
        <a:p>
          <a:pPr algn="l"/>
          <a:endParaRPr 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M71"/>
  <sheetViews>
    <sheetView tabSelected="1" workbookViewId="0" topLeftCell="A1">
      <selection pane="topLeft" activeCell="L12" sqref="L12"/>
    </sheetView>
  </sheetViews>
  <sheetFormatPr defaultRowHeight="15"/>
  <cols>
    <col min="1" max="1" width="25.8571428571429" customWidth="1"/>
    <col min="2" max="3" width="14.8571428571429" customWidth="1"/>
    <col min="5" max="5" width="15.1428571428571" customWidth="1"/>
    <col min="9" max="9" width="14.1428571428571" bestFit="1" customWidth="1"/>
    <col min="10" max="10" width="14.5714285714286" bestFit="1" customWidth="1"/>
    <col min="11" max="11" width="11.2857142857143" bestFit="1" customWidth="1"/>
    <col min="12" max="12" width="14.4285714285714" customWidth="1"/>
    <col min="13" max="13" width="6" customWidth="1"/>
  </cols>
  <sheetData>
    <row r="1" spans="1:12" s="34" customFormat="1" ht="15">
      <c r="A1" s="34" t="s">
        <v>68</v>
      </c>
      <c r="L1" s="35" t="s">
        <v>61</v>
      </c>
    </row>
    <row r="2" spans="1:12" s="34" customFormat="1" ht="15">
      <c r="A2" s="34" t="s">
        <v>57</v>
      </c>
      <c r="L2" s="36" t="s">
        <v>60</v>
      </c>
    </row>
    <row r="3" spans="1:12" s="34" customFormat="1" ht="15">
      <c r="A3" s="34" t="s">
        <v>59</v>
      </c>
      <c r="L3" s="36"/>
    </row>
    <row r="4" spans="1:12" s="34" customFormat="1" ht="15">
      <c r="A4" s="34" t="s">
        <v>69</v>
      </c>
      <c r="L4" s="36"/>
    </row>
    <row r="5" spans="1:12" s="34" customFormat="1" ht="15">
      <c r="A5" s="34" t="s">
        <v>70</v>
      </c>
      <c r="L5" s="36"/>
    </row>
    <row r="6" spans="12:12" s="34" customFormat="1" ht="15">
      <c r="L6" s="36"/>
    </row>
    <row r="7" spans="12:12" s="34" customFormat="1" ht="15">
      <c r="L7" s="36"/>
    </row>
    <row r="8" spans="12:12" s="34" customFormat="1" ht="15">
      <c r="L8" s="36"/>
    </row>
    <row r="9" spans="5:5" ht="15">
      <c r="E9" t="s">
        <v>56</v>
      </c>
    </row>
    <row r="10" spans="2:9" ht="15">
      <c r="B10" s="1" t="s">
        <v>0</v>
      </c>
      <c r="C10" s="1" t="s">
        <v>1</v>
      </c>
      <c r="E10" t="s">
        <v>2</v>
      </c>
      <c r="I10" s="2">
        <f>C22+B22</f>
        <v>21804052.935294677</v>
      </c>
    </row>
    <row r="11" spans="1:10" ht="15.75">
      <c r="A11" s="6" t="s">
        <v>3</v>
      </c>
      <c r="F11" t="s">
        <v>4</v>
      </c>
      <c r="J11" s="2">
        <f>+B22+C22</f>
        <v>21804052.935294677</v>
      </c>
    </row>
    <row r="12" spans="1:5" ht="15">
      <c r="A12" s="9">
        <v>2012</v>
      </c>
      <c r="B12" s="2">
        <v>0</v>
      </c>
      <c r="C12" s="10">
        <v>47160.084049180463</v>
      </c>
      <c r="E12" s="11" t="s">
        <v>5</v>
      </c>
    </row>
    <row r="13" spans="1:3" ht="15">
      <c r="A13" s="9">
        <v>2013</v>
      </c>
      <c r="B13" s="2">
        <v>0</v>
      </c>
      <c r="C13" s="10">
        <v>130329.59234399998</v>
      </c>
    </row>
    <row r="14" spans="1:9" ht="15">
      <c r="A14" s="9">
        <v>2014</v>
      </c>
      <c r="B14" s="2">
        <v>0</v>
      </c>
      <c r="C14" s="10">
        <v>267039.00528799999</v>
      </c>
      <c r="E14" t="s">
        <v>6</v>
      </c>
      <c r="I14" s="2">
        <f>+B31+C31+B39+C39+B47+C47</f>
        <v>13205968.532570988</v>
      </c>
    </row>
    <row r="15" spans="1:9" ht="15">
      <c r="A15" s="9">
        <v>2015</v>
      </c>
      <c r="B15" s="2">
        <v>0</v>
      </c>
      <c r="C15" s="10">
        <v>543783.79139599996</v>
      </c>
      <c r="E15" t="s">
        <v>7</v>
      </c>
      <c r="I15" s="2">
        <f>+B55+C55</f>
        <v>330974.3899999999</v>
      </c>
    </row>
    <row r="16" spans="1:10" ht="15">
      <c r="A16" s="9">
        <v>2016</v>
      </c>
      <c r="B16" s="2">
        <v>25339.067751999999</v>
      </c>
      <c r="C16" s="10">
        <v>802661.76770535763</v>
      </c>
      <c r="F16" t="s">
        <v>8</v>
      </c>
      <c r="J16" s="2">
        <f>+B31+C31+B39+C39+B47+C47+B55+C55</f>
        <v>13536942.922570989</v>
      </c>
    </row>
    <row r="17" spans="1:5" ht="15">
      <c r="A17" s="9">
        <v>2017</v>
      </c>
      <c r="B17" s="2">
        <v>36256.144125374049</v>
      </c>
      <c r="C17" s="10">
        <v>928688.46705924557</v>
      </c>
      <c r="E17" s="11" t="s">
        <v>9</v>
      </c>
    </row>
    <row r="18" spans="1:3" ht="15">
      <c r="A18" s="9">
        <v>2018</v>
      </c>
      <c r="B18" s="2">
        <v>40133.424994000001</v>
      </c>
      <c r="C18" s="10">
        <v>4071810.5211449992</v>
      </c>
    </row>
    <row r="19" spans="1:9" ht="15">
      <c r="A19" s="9">
        <v>2019</v>
      </c>
      <c r="B19" s="2">
        <v>40133.424994000001</v>
      </c>
      <c r="C19" s="10">
        <v>4699103.6361554554</v>
      </c>
      <c r="I19" s="2"/>
    </row>
    <row r="20" spans="1:9" ht="15">
      <c r="A20" s="9">
        <v>2020</v>
      </c>
      <c r="B20" s="2">
        <v>40133.424994000001</v>
      </c>
      <c r="C20" s="10">
        <v>4971160.1673780009</v>
      </c>
      <c r="I20" s="2"/>
    </row>
    <row r="21" spans="1:10" ht="17.25">
      <c r="A21" s="9">
        <v>2021</v>
      </c>
      <c r="B21" s="14">
        <v>40133.424994000001</v>
      </c>
      <c r="C21" s="15">
        <v>5120186.9909210643</v>
      </c>
      <c r="I21" s="2"/>
      <c r="J21" s="2"/>
    </row>
    <row r="22" spans="1:9" ht="15">
      <c r="A22" s="9" t="s">
        <v>10</v>
      </c>
      <c r="B22" s="2">
        <f>SUM(B12:B21)</f>
        <v>222128.91185337404</v>
      </c>
      <c r="C22" s="2">
        <f>SUM(C12:C21)</f>
        <v>21581924.023441304</v>
      </c>
      <c r="I22" s="2"/>
    </row>
    <row r="23" spans="9:9" ht="17.25">
      <c r="I23" s="14"/>
    </row>
    <row r="24" spans="1:9" ht="15.75">
      <c r="A24" s="6" t="s">
        <v>8</v>
      </c>
      <c r="F24" s="16"/>
      <c r="I24" s="2"/>
    </row>
    <row r="25" spans="1:1" ht="15">
      <c r="A25" t="s">
        <v>11</v>
      </c>
    </row>
    <row r="26" spans="1:3" ht="15.75" thickBot="1">
      <c r="A26" s="9">
        <v>2017</v>
      </c>
      <c r="B26" s="2">
        <v>3790.3790227518411</v>
      </c>
      <c r="C26" s="2">
        <v>69136.053162652344</v>
      </c>
    </row>
    <row r="27" spans="1:10" ht="15">
      <c r="A27" s="9">
        <v>2018</v>
      </c>
      <c r="B27" s="2">
        <v>40133.424994000001</v>
      </c>
      <c r="C27" s="2">
        <v>1645679.4841733333</v>
      </c>
      <c r="E27" s="3"/>
      <c r="F27" s="4"/>
      <c r="G27" s="4"/>
      <c r="H27" s="4"/>
      <c r="I27" s="4"/>
      <c r="J27" s="5"/>
    </row>
    <row r="28" spans="1:10" ht="15">
      <c r="A28" s="9">
        <v>2019</v>
      </c>
      <c r="B28" s="2">
        <v>40133.424994000001</v>
      </c>
      <c r="C28" s="2">
        <v>3872200.6322339997</v>
      </c>
      <c r="E28" s="7" t="s">
        <v>12</v>
      </c>
      <c r="F28" s="8"/>
      <c r="G28" s="8"/>
      <c r="H28" s="8"/>
      <c r="I28" s="8"/>
      <c r="J28" s="12"/>
    </row>
    <row r="29" spans="1:13" ht="15.75" thickBot="1">
      <c r="A29" s="9">
        <v>2020</v>
      </c>
      <c r="B29" s="2">
        <v>40133.424994000001</v>
      </c>
      <c r="C29" s="2">
        <v>4770813.514378001</v>
      </c>
      <c r="E29" s="17"/>
      <c r="F29" s="18"/>
      <c r="G29" s="18"/>
      <c r="H29" s="18"/>
      <c r="I29" s="18"/>
      <c r="J29" s="19"/>
      <c r="L29" s="9" t="s">
        <v>13</v>
      </c>
      <c r="M29" s="9"/>
    </row>
    <row r="30" spans="1:13" ht="17.25">
      <c r="A30" s="9">
        <v>2021</v>
      </c>
      <c r="B30" s="14">
        <v>40133.424994000001</v>
      </c>
      <c r="C30" s="14">
        <v>4971160.1673780009</v>
      </c>
      <c r="E30" s="3" t="s">
        <v>14</v>
      </c>
      <c r="F30" s="4"/>
      <c r="G30" s="20" t="s">
        <v>15</v>
      </c>
      <c r="H30" s="4"/>
      <c r="I30" s="4"/>
      <c r="J30" s="21">
        <f>+C31+C39+C47</f>
        <v>13047818.447733326</v>
      </c>
      <c r="L30" s="1" t="s">
        <v>16</v>
      </c>
      <c r="M30" s="1"/>
    </row>
    <row r="31" spans="1:12" ht="15">
      <c r="A31" s="9" t="s">
        <v>17</v>
      </c>
      <c r="B31" s="2">
        <f>SUM(B26:B30)</f>
        <v>164324.07899875185</v>
      </c>
      <c r="C31" s="2">
        <f>SUM(C26:C30)</f>
        <v>15328989.851325987</v>
      </c>
      <c r="E31" s="22" t="s">
        <v>18</v>
      </c>
      <c r="F31" s="8"/>
      <c r="G31" s="23" t="s">
        <v>19</v>
      </c>
      <c r="H31" s="8"/>
      <c r="I31" s="24">
        <v>0.53194799999999998</v>
      </c>
      <c r="J31" s="13">
        <f>ROUND($J$30*I31,2)</f>
        <v>6940760.9299999997</v>
      </c>
      <c r="L31">
        <v>70018750.920000002</v>
      </c>
    </row>
    <row r="32" spans="1:13" ht="15">
      <c r="A32" s="9"/>
      <c r="B32" s="2"/>
      <c r="C32" s="2"/>
      <c r="E32" s="22" t="s">
        <v>20</v>
      </c>
      <c r="F32" s="8"/>
      <c r="G32" s="23" t="s">
        <v>21</v>
      </c>
      <c r="H32" s="8"/>
      <c r="I32" s="33">
        <v>0.023432999999999999</v>
      </c>
      <c r="J32" s="13">
        <f>ROUND($J$30*I32*(L32/(L32+L33)),2)</f>
        <v>134.24000000000001</v>
      </c>
      <c r="L32" s="2">
        <v>1381.5999999999999</v>
      </c>
      <c r="M32" s="2"/>
    </row>
    <row r="33" spans="1:13" ht="15">
      <c r="A33" t="s">
        <v>22</v>
      </c>
      <c r="E33" s="22" t="s">
        <v>23</v>
      </c>
      <c r="F33" s="8"/>
      <c r="G33" s="23" t="s">
        <v>24</v>
      </c>
      <c r="H33" s="8"/>
      <c r="I33" s="33"/>
      <c r="J33" s="13">
        <f>ROUND($J$30*I32,2)-J32</f>
        <v>305615.29000000004</v>
      </c>
      <c r="L33" s="2">
        <v>3145342.71</v>
      </c>
      <c r="M33" s="2"/>
    </row>
    <row r="34" spans="1:13" ht="15">
      <c r="A34" s="9">
        <v>2017</v>
      </c>
      <c r="B34" s="2">
        <v>20.005620482084218</v>
      </c>
      <c r="C34" s="2">
        <v>364.90008859247905</v>
      </c>
      <c r="E34" s="22" t="s">
        <v>25</v>
      </c>
      <c r="F34" s="8"/>
      <c r="G34" s="23" t="s">
        <v>26</v>
      </c>
      <c r="H34" s="8"/>
      <c r="I34" s="33">
        <v>0.00018699999999999999</v>
      </c>
      <c r="J34" s="13">
        <f>ROUND($J$30*I34*(L34/(L34+L35)),2)</f>
        <v>21.350000000000001</v>
      </c>
      <c r="L34" s="2">
        <v>194.16999999999999</v>
      </c>
      <c r="M34" s="2"/>
    </row>
    <row r="35" spans="1:13" ht="15">
      <c r="A35" s="9">
        <v>2018</v>
      </c>
      <c r="B35" s="2">
        <v>211.824217118332</v>
      </c>
      <c r="C35" s="2">
        <v>8685.8963174668534</v>
      </c>
      <c r="E35" s="22" t="s">
        <v>27</v>
      </c>
      <c r="F35" s="8"/>
      <c r="G35" s="23" t="s">
        <v>28</v>
      </c>
      <c r="H35" s="8"/>
      <c r="I35" s="33"/>
      <c r="J35" s="13">
        <f>ROUND($J$30*I34,2)-J34</f>
        <v>2418.5900000000001</v>
      </c>
      <c r="L35" s="2">
        <v>21990.990000000002</v>
      </c>
      <c r="M35" s="2"/>
    </row>
    <row r="36" spans="1:13" ht="15">
      <c r="A36" s="9">
        <v>2019</v>
      </c>
      <c r="B36" s="2">
        <v>211.824217118332</v>
      </c>
      <c r="C36" s="2">
        <v>20437.474936931048</v>
      </c>
      <c r="E36" s="22" t="s">
        <v>29</v>
      </c>
      <c r="F36" s="8"/>
      <c r="G36" s="23" t="s">
        <v>30</v>
      </c>
      <c r="H36" s="8"/>
      <c r="I36" s="33">
        <v>0.38188899999999998</v>
      </c>
      <c r="J36" s="13">
        <f>ROUND($J$30*I36*(L36/(L36+L37)),2)</f>
        <v>1530173.4099999999</v>
      </c>
      <c r="L36" s="2">
        <v>16035658.68</v>
      </c>
      <c r="M36" s="2"/>
    </row>
    <row r="37" spans="1:13" ht="15">
      <c r="A37" s="9">
        <v>2020</v>
      </c>
      <c r="B37" s="2">
        <v>211.824217118332</v>
      </c>
      <c r="C37" s="2">
        <v>25180.353728887079</v>
      </c>
      <c r="E37" s="22" t="s">
        <v>31</v>
      </c>
      <c r="F37" s="8"/>
      <c r="G37" s="23" t="s">
        <v>32</v>
      </c>
      <c r="H37" s="8"/>
      <c r="I37" s="33"/>
      <c r="J37" s="13">
        <f>ROUND($J$30*I36,2)-J36</f>
        <v>3452644.9299999997</v>
      </c>
      <c r="L37" s="2">
        <v>36182458.340000004</v>
      </c>
      <c r="M37" s="2"/>
    </row>
    <row r="38" spans="1:13" ht="17.25">
      <c r="A38" s="9">
        <v>2021</v>
      </c>
      <c r="B38" s="14">
        <v>211.824217118332</v>
      </c>
      <c r="C38" s="14">
        <v>26237.783363421077</v>
      </c>
      <c r="E38" s="22" t="s">
        <v>33</v>
      </c>
      <c r="F38" s="8"/>
      <c r="G38" s="23" t="s">
        <v>34</v>
      </c>
      <c r="H38" s="8"/>
      <c r="I38" s="33">
        <v>0.039354</v>
      </c>
      <c r="J38" s="13">
        <f>ROUND($J$30*I38*(L38/(L38+L39)),2)</f>
        <v>432942.90999999997</v>
      </c>
      <c r="L38" s="2">
        <v>4681002.6600000001</v>
      </c>
      <c r="M38" s="2"/>
    </row>
    <row r="39" spans="1:13" ht="15">
      <c r="A39" s="9" t="s">
        <v>17</v>
      </c>
      <c r="B39" s="2">
        <f>SUM(B34:B38)</f>
        <v>867.30248895541217</v>
      </c>
      <c r="C39" s="2">
        <f>SUM(C34:C38)</f>
        <v>80906.408435298537</v>
      </c>
      <c r="E39" s="22" t="s">
        <v>35</v>
      </c>
      <c r="F39" s="8"/>
      <c r="G39" s="23" t="s">
        <v>36</v>
      </c>
      <c r="H39" s="8"/>
      <c r="I39" s="33"/>
      <c r="J39" s="13">
        <f>ROUND($J$30*I38,2)-J38</f>
        <v>80540.940000000002</v>
      </c>
      <c r="L39" s="2">
        <v>870813.04000000004</v>
      </c>
      <c r="M39" s="2"/>
    </row>
    <row r="40" spans="1:13" ht="15">
      <c r="A40" s="9"/>
      <c r="B40" s="2"/>
      <c r="C40" s="2"/>
      <c r="E40" s="22" t="s">
        <v>37</v>
      </c>
      <c r="F40" s="8"/>
      <c r="G40" s="23" t="s">
        <v>38</v>
      </c>
      <c r="H40" s="8"/>
      <c r="I40" s="33">
        <v>0.0025539999999999998</v>
      </c>
      <c r="J40" s="13">
        <f>ROUND($J$30*I40*(L40/(L40+L41)),2)</f>
        <v>33178.120000000003</v>
      </c>
      <c r="L40" s="2">
        <v>406288.09999999998</v>
      </c>
      <c r="M40" s="2"/>
    </row>
    <row r="41" spans="1:13" ht="15">
      <c r="A41" t="s">
        <v>39</v>
      </c>
      <c r="E41" s="22" t="s">
        <v>40</v>
      </c>
      <c r="F41" s="8"/>
      <c r="G41" s="23" t="s">
        <v>41</v>
      </c>
      <c r="H41" s="8"/>
      <c r="I41" s="33"/>
      <c r="J41" s="13">
        <f>ROUND($J$30*I40,2)-J40</f>
        <v>146.00999999999476</v>
      </c>
      <c r="L41" s="2">
        <v>1788.01</v>
      </c>
      <c r="M41" s="2"/>
    </row>
    <row r="42" spans="1:13" ht="15">
      <c r="A42" s="9">
        <v>2017</v>
      </c>
      <c r="B42" s="2">
        <v>-162.41796867458368</v>
      </c>
      <c r="C42" s="2">
        <v>-14531.340858952797</v>
      </c>
      <c r="E42" s="22" t="s">
        <v>0</v>
      </c>
      <c r="F42" s="8"/>
      <c r="G42" s="23" t="s">
        <v>42</v>
      </c>
      <c r="H42" s="8"/>
      <c r="I42" s="24">
        <v>0.0010100000000000001</v>
      </c>
      <c r="J42" s="13">
        <f t="shared" si="0" ref="J42:J46">ROUND($J$30*I42,2)</f>
        <v>13178.299999999999</v>
      </c>
      <c r="L42" s="2">
        <v>162115.37</v>
      </c>
      <c r="M42" s="2"/>
    </row>
    <row r="43" spans="1:13" ht="15">
      <c r="A43" s="9">
        <v>2018</v>
      </c>
      <c r="B43" s="2">
        <v>-1719.719670342321</v>
      </c>
      <c r="C43" s="2">
        <v>-180455.56666984194</v>
      </c>
      <c r="E43" s="22" t="s">
        <v>43</v>
      </c>
      <c r="F43" s="8"/>
      <c r="G43" s="23" t="s">
        <v>44</v>
      </c>
      <c r="H43" s="8"/>
      <c r="I43" s="33">
        <v>0.016830999999999999</v>
      </c>
      <c r="J43" s="13">
        <f>ROUND($J$30*I43*(L43/(L43+L44+L45)),2)</f>
        <v>163086.82000000001</v>
      </c>
      <c r="L43" s="2">
        <v>1665867.6799999999</v>
      </c>
      <c r="M43" s="2"/>
    </row>
    <row r="44" spans="1:13" ht="15">
      <c r="A44" s="9">
        <v>2019</v>
      </c>
      <c r="B44" s="2">
        <v>-1719.719670342321</v>
      </c>
      <c r="C44" s="2">
        <v>-350246.25193616032</v>
      </c>
      <c r="E44" s="22" t="s">
        <v>45</v>
      </c>
      <c r="F44" s="8"/>
      <c r="G44" s="23" t="s">
        <v>46</v>
      </c>
      <c r="H44" s="8"/>
      <c r="I44" s="33"/>
      <c r="J44" s="13">
        <f>ROUND($J$30*I43*(L44/(L43+L44+L45)),2)</f>
        <v>5656.8000000000002</v>
      </c>
      <c r="L44" s="2">
        <v>57781.949999999997</v>
      </c>
      <c r="M44" s="2"/>
    </row>
    <row r="45" spans="1:13" ht="15">
      <c r="A45" s="9">
        <v>2020</v>
      </c>
      <c r="B45" s="2">
        <v>-1719.719670342321</v>
      </c>
      <c r="C45" s="2">
        <v>-718015.87303393183</v>
      </c>
      <c r="E45" s="22" t="s">
        <v>47</v>
      </c>
      <c r="F45" s="8"/>
      <c r="G45" s="23" t="s">
        <v>48</v>
      </c>
      <c r="H45" s="8"/>
      <c r="I45" s="33"/>
      <c r="J45" s="13">
        <f>ROUND($J$30*I43,2)-J43-J44</f>
        <v>50864.209999999977</v>
      </c>
      <c r="L45" s="2">
        <v>519557.88</v>
      </c>
      <c r="M45" s="2"/>
    </row>
    <row r="46" spans="1:13" ht="17.25">
      <c r="A46" s="9">
        <v>2021</v>
      </c>
      <c r="B46" s="14">
        <v>-1719.719670342321</v>
      </c>
      <c r="C46" s="14">
        <v>-1098828.7795290721</v>
      </c>
      <c r="E46" s="22" t="s">
        <v>49</v>
      </c>
      <c r="F46" s="8"/>
      <c r="G46" s="25">
        <v>4471008</v>
      </c>
      <c r="H46" s="8"/>
      <c r="I46" s="24">
        <v>0.00049600000000000002</v>
      </c>
      <c r="J46" s="13">
        <f t="shared" si="0"/>
        <v>6471.7200000000003</v>
      </c>
      <c r="L46" s="2"/>
      <c r="M46" s="2"/>
    </row>
    <row r="47" spans="1:13" ht="15.75" thickBot="1">
      <c r="A47" s="9" t="s">
        <v>17</v>
      </c>
      <c r="B47" s="2">
        <f>SUM(B42:B46)</f>
        <v>-7041.2966500438688</v>
      </c>
      <c r="C47" s="2">
        <f>SUM(C42:C46)</f>
        <v>-2362077.8120279592</v>
      </c>
      <c r="E47" s="26" t="s">
        <v>50</v>
      </c>
      <c r="F47" s="18"/>
      <c r="G47" s="27">
        <v>4471009</v>
      </c>
      <c r="H47" s="18"/>
      <c r="I47" s="28">
        <v>0.0022980000000000001</v>
      </c>
      <c r="J47" s="29">
        <f>ROUND($J$30*I47,2)-0.01</f>
        <v>29983.880000000001</v>
      </c>
      <c r="L47" s="2"/>
      <c r="M47" s="2"/>
    </row>
    <row r="48" spans="1:10" ht="15">
      <c r="A48" s="9"/>
      <c r="B48" s="2"/>
      <c r="C48" s="2"/>
      <c r="E48" s="3"/>
      <c r="F48" s="4"/>
      <c r="G48" s="4"/>
      <c r="H48" s="4"/>
      <c r="I48" s="4"/>
      <c r="J48" s="5"/>
    </row>
    <row r="49" spans="1:10" ht="15">
      <c r="A49" t="s">
        <v>51</v>
      </c>
      <c r="E49" s="7" t="s">
        <v>52</v>
      </c>
      <c r="F49" s="8"/>
      <c r="G49" s="30">
        <v>4470000</v>
      </c>
      <c r="H49" s="8"/>
      <c r="I49" s="8"/>
      <c r="J49" s="13">
        <f>+B31+B39+B47</f>
        <v>158150.0848376634</v>
      </c>
    </row>
    <row r="50" spans="1:10" ht="15.75" thickBot="1">
      <c r="A50" s="9">
        <v>2017</v>
      </c>
      <c r="B50" s="2">
        <v>0.21000000000000002</v>
      </c>
      <c r="C50" s="2">
        <v>51.230000000000004</v>
      </c>
      <c r="D50" s="31">
        <v>0.0057999999999999996</v>
      </c>
      <c r="E50" s="17"/>
      <c r="F50" s="18"/>
      <c r="G50" s="18"/>
      <c r="H50" s="18"/>
      <c r="I50" s="18"/>
      <c r="J50" s="19"/>
    </row>
    <row r="51" spans="1:10" ht="15.75" thickBot="1">
      <c r="A51" s="9">
        <v>2018</v>
      </c>
      <c r="B51" s="2">
        <v>224.92000000000002</v>
      </c>
      <c r="C51" s="2">
        <v>7055.3000000000002</v>
      </c>
      <c r="D51" s="31">
        <v>0.010500000000000001</v>
      </c>
      <c r="E51" s="8"/>
      <c r="F51" s="8"/>
      <c r="G51" s="8"/>
      <c r="H51" s="8"/>
      <c r="I51" s="8"/>
      <c r="J51" s="8"/>
    </row>
    <row r="52" spans="1:10" ht="15">
      <c r="A52" s="9">
        <v>2019</v>
      </c>
      <c r="B52" s="2">
        <v>1207.7600000000002</v>
      </c>
      <c r="C52" s="2">
        <v>68899.300000000003</v>
      </c>
      <c r="D52" s="31">
        <v>0.019900000000000001</v>
      </c>
      <c r="E52" s="3" t="s">
        <v>53</v>
      </c>
      <c r="F52" s="4"/>
      <c r="G52" s="4"/>
      <c r="H52" s="4"/>
      <c r="I52" s="4"/>
      <c r="J52" s="5"/>
    </row>
    <row r="53" spans="1:10" ht="15">
      <c r="A53" s="9">
        <v>2020</v>
      </c>
      <c r="B53" s="2">
        <v>2374.54</v>
      </c>
      <c r="C53" s="2">
        <v>162862.61999999997</v>
      </c>
      <c r="D53" s="31">
        <v>0.0235</v>
      </c>
      <c r="E53" s="7"/>
      <c r="F53" s="8"/>
      <c r="G53" s="8"/>
      <c r="H53" s="8"/>
      <c r="I53" s="8"/>
      <c r="J53" s="12"/>
    </row>
    <row r="54" spans="1:10" ht="17.25">
      <c r="A54" s="9">
        <v>2021</v>
      </c>
      <c r="B54" s="14">
        <v>1160.6200000000001</v>
      </c>
      <c r="C54" s="14">
        <v>87137.88999999997</v>
      </c>
      <c r="D54" s="31">
        <v>0.0082000000000000007</v>
      </c>
      <c r="E54" s="7" t="s">
        <v>1</v>
      </c>
      <c r="F54" s="8"/>
      <c r="G54" s="25">
        <v>4310100</v>
      </c>
      <c r="H54" s="8"/>
      <c r="I54" s="8"/>
      <c r="J54" s="13">
        <f>+C55</f>
        <v>326006.33999999991</v>
      </c>
    </row>
    <row r="55" spans="1:10" ht="15.75" thickBot="1">
      <c r="A55" s="9" t="s">
        <v>17</v>
      </c>
      <c r="B55" s="2">
        <f>SUM(B50:B54)</f>
        <v>4968.0500000000002</v>
      </c>
      <c r="C55" s="2">
        <f>SUM(C50:C54)</f>
        <v>326006.33999999991</v>
      </c>
      <c r="D55" s="31"/>
      <c r="E55" s="17" t="s">
        <v>0</v>
      </c>
      <c r="F55" s="18"/>
      <c r="G55" s="27">
        <v>4310100</v>
      </c>
      <c r="H55" s="18"/>
      <c r="I55" s="18"/>
      <c r="J55" s="29">
        <f>+B55</f>
        <v>4968.0500000000002</v>
      </c>
    </row>
    <row r="56" spans="1:4" ht="15">
      <c r="A56" s="9"/>
      <c r="B56" s="2"/>
      <c r="C56" s="2"/>
      <c r="D56" s="31"/>
    </row>
    <row r="57" spans="1:4" ht="15">
      <c r="A57" t="s">
        <v>54</v>
      </c>
      <c r="D57" s="31"/>
    </row>
    <row r="58" spans="1:4" ht="15">
      <c r="A58" s="9">
        <v>2017</v>
      </c>
      <c r="B58" s="2">
        <f t="shared" si="1" ref="B58:C62">+B26+B34+B42+B50</f>
        <v>3648.1766745593418</v>
      </c>
      <c r="C58" s="2">
        <f t="shared" si="1"/>
        <v>55020.842392292026</v>
      </c>
      <c r="D58" s="31"/>
    </row>
    <row r="59" spans="1:4" ht="15">
      <c r="A59" s="9">
        <v>2018</v>
      </c>
      <c r="B59" s="2">
        <f t="shared" si="1"/>
        <v>38850.449540776011</v>
      </c>
      <c r="C59" s="2">
        <f t="shared" si="1"/>
        <v>1480965.1138209582</v>
      </c>
      <c r="D59" s="31"/>
    </row>
    <row r="60" spans="1:12" ht="15">
      <c r="A60" s="9">
        <v>2019</v>
      </c>
      <c r="B60" s="2">
        <f t="shared" si="1"/>
        <v>39833.289540776015</v>
      </c>
      <c r="C60" s="2">
        <f t="shared" si="1"/>
        <v>3611291.1552347699</v>
      </c>
      <c r="D60" s="31"/>
      <c r="K60" s="2"/>
      <c r="L60" s="2"/>
    </row>
    <row r="61" spans="1:4" ht="15">
      <c r="A61" s="9">
        <v>2020</v>
      </c>
      <c r="B61" s="2">
        <f t="shared" si="1"/>
        <v>41000.069540776014</v>
      </c>
      <c r="C61" s="2">
        <f t="shared" si="1"/>
        <v>4240840.6150729554</v>
      </c>
      <c r="D61" s="31"/>
    </row>
    <row r="62" spans="1:12" ht="17.25">
      <c r="A62" s="9">
        <v>2021</v>
      </c>
      <c r="B62" s="14">
        <f t="shared" si="1"/>
        <v>39786.149540776016</v>
      </c>
      <c r="C62" s="14">
        <f t="shared" si="1"/>
        <v>3985707.0612123501</v>
      </c>
      <c r="D62" s="31"/>
      <c r="E62" s="1" t="s">
        <v>10</v>
      </c>
      <c r="K62" s="9"/>
      <c r="L62" s="9"/>
    </row>
    <row r="63" spans="1:12" ht="15">
      <c r="A63" s="9" t="s">
        <v>55</v>
      </c>
      <c r="B63" s="2">
        <f>SUM(B58:B62)</f>
        <v>163118.13483766338</v>
      </c>
      <c r="C63" s="2">
        <f>SUM(C58:C62)</f>
        <v>13373824.787733324</v>
      </c>
      <c r="D63" s="31"/>
      <c r="E63" s="2">
        <f>-SUM(B63:C63)</f>
        <v>-13536942.922570987</v>
      </c>
      <c r="F63" t="s">
        <v>58</v>
      </c>
      <c r="I63" t="s">
        <v>62</v>
      </c>
      <c r="K63" s="1" t="s">
        <v>65</v>
      </c>
      <c r="L63" s="1" t="s">
        <v>66</v>
      </c>
    </row>
    <row r="64" spans="4:4" ht="15">
      <c r="D64" s="31"/>
    </row>
    <row r="65" spans="1:12" ht="15">
      <c r="A65" s="32" t="s">
        <v>71</v>
      </c>
      <c r="B65" s="2">
        <f>-B63/5</f>
        <v>-32623.626967532677</v>
      </c>
      <c r="C65" s="2">
        <f>-C63/5</f>
        <v>-2674764.9575466649</v>
      </c>
      <c r="D65" s="31"/>
      <c r="E65" s="2">
        <f>SUM(B65:D65)</f>
        <v>-2707388.5845141974</v>
      </c>
      <c r="F65" t="s">
        <v>67</v>
      </c>
      <c r="I65" t="s">
        <v>63</v>
      </c>
      <c r="J65" t="s">
        <v>64</v>
      </c>
      <c r="K65" s="2">
        <f>-B63/5</f>
        <v>-32623.626967532677</v>
      </c>
      <c r="L65" s="2">
        <f>E65-K65</f>
        <v>-2674764.9575466649</v>
      </c>
    </row>
    <row r="66" spans="2:4" ht="15">
      <c r="B66" s="2"/>
      <c r="C66" s="2"/>
      <c r="D66" s="31"/>
    </row>
    <row r="67" spans="2:4" ht="15">
      <c r="B67" s="2"/>
      <c r="C67" s="2"/>
      <c r="D67" s="31"/>
    </row>
    <row r="68" spans="2:4" ht="15">
      <c r="B68" s="2"/>
      <c r="C68" s="2"/>
      <c r="D68" s="31"/>
    </row>
    <row r="69" spans="2:4" ht="17.25">
      <c r="B69" s="14"/>
      <c r="C69" s="14"/>
      <c r="D69" s="31"/>
    </row>
    <row r="70" spans="2:3" ht="15">
      <c r="B70" s="2"/>
      <c r="C70" s="2"/>
    </row>
    <row r="71" spans="2:3" ht="28.35" customHeight="1">
      <c r="B71" s="2"/>
      <c r="C71" s="2"/>
    </row>
  </sheetData>
  <mergeCells count="6">
    <mergeCell ref="I43:I45"/>
    <mergeCell ref="I32:I33"/>
    <mergeCell ref="I34:I35"/>
    <mergeCell ref="I36:I37"/>
    <mergeCell ref="I38:I39"/>
    <mergeCell ref="I40:I41"/>
  </mergeCells>
  <pageMargins left="1.5" right="0.5" top="0.5" bottom="0.5" header="0.3" footer="0.3"/>
  <pageSetup orientation="portrait" scale="51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II-E-4.1.1 Intang Asset Over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