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N:\2022 Rate Case\Section II (Test Year Data)\Schedule E (Other Items)\Schedule II-E Workpapers\"/>
    </mc:Choice>
  </mc:AlternateContent>
  <bookViews>
    <workbookView xWindow="0" yWindow="0" windowWidth="23040" windowHeight="8890" activeTab="0"/>
  </bookViews>
  <sheets>
    <sheet name="WP II-E-3.15" sheetId="1" r:id="rId2"/>
  </sheets>
  <definedNames>
    <definedName name="_xlnm.Print_Area" localSheetId="0">'WP II-E-3.15'!$A$1:$E$108</definedName>
    <definedName name="_xlnm.Print_Titles" localSheetId="0">'WP II-E-3.15'!$1:$13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28" i="1" l="1"/>
</calcChain>
</file>

<file path=xl/sharedStrings.xml><?xml version="1.0" encoding="utf-8"?>
<sst xmlns="http://schemas.openxmlformats.org/spreadsheetml/2006/main" count="115" uniqueCount="110">
  <si>
    <t>2022 RATE CASE</t>
  </si>
  <si>
    <t>ONCOR ELECTRIC DELIVERY COMPANY LLC</t>
  </si>
  <si>
    <t>ANALYSIS OF TEST YEAR FIT - TAX METHOD 2</t>
  </si>
  <si>
    <t>TEST YEAR ENDING DECEMBER 31, 2021</t>
  </si>
  <si>
    <t>SPONSOR: B. L. CLUTTER</t>
  </si>
  <si>
    <t>Line</t>
  </si>
  <si>
    <t>No.</t>
  </si>
  <si>
    <t>Description</t>
  </si>
  <si>
    <t>Total</t>
  </si>
  <si>
    <t>Operating</t>
  </si>
  <si>
    <t>Non-Operating</t>
  </si>
  <si>
    <t>(a)</t>
  </si>
  <si>
    <t>(b)</t>
  </si>
  <si>
    <t>(c)</t>
  </si>
  <si>
    <t>(d)</t>
  </si>
  <si>
    <t>Income Before Taxes</t>
  </si>
  <si>
    <t>Permanent Items:</t>
  </si>
  <si>
    <t>Meals &amp; Entertainment</t>
  </si>
  <si>
    <t>AFUDC Equity</t>
  </si>
  <si>
    <t>Nondeductible Penalties &amp; Fees</t>
  </si>
  <si>
    <t>Social Club Dues</t>
  </si>
  <si>
    <t>Commuter Expenses</t>
  </si>
  <si>
    <t>Civic and Political Activities</t>
  </si>
  <si>
    <t>Employee Compensation Plans</t>
  </si>
  <si>
    <t>Non-recoverable Pension &amp; OPEBs</t>
  </si>
  <si>
    <t>SARs Capitalized</t>
  </si>
  <si>
    <t>Amortization of Organizational Expenditures</t>
  </si>
  <si>
    <t>Deductible State Tax</t>
  </si>
  <si>
    <t>Total Permanent Items</t>
  </si>
  <si>
    <t>Temporary Differences:</t>
  </si>
  <si>
    <t>Liberalized Depreciation</t>
  </si>
  <si>
    <t xml:space="preserve">  Tax &gt; Book Depreciation</t>
  </si>
  <si>
    <t>Software Development Costs</t>
  </si>
  <si>
    <t>Repair Expense</t>
  </si>
  <si>
    <t>Cost of Removal</t>
  </si>
  <si>
    <t>Self-Contructed Assets Sec. 263A</t>
  </si>
  <si>
    <t>CIAC</t>
  </si>
  <si>
    <t>Capitalized Interest</t>
  </si>
  <si>
    <t>AFUDC Debt</t>
  </si>
  <si>
    <t>Gain/(Loss) on Disposition of Assets</t>
  </si>
  <si>
    <t>P&amp;O Non-Service Cost (CWIP&amp;PIS)</t>
  </si>
  <si>
    <t>Supplemental Retirement Plan</t>
  </si>
  <si>
    <t>LTIP Amortization</t>
  </si>
  <si>
    <t>Other Post Employement Benefits - FAS 106</t>
  </si>
  <si>
    <t>Other Post Employement Benefits - FAS 112</t>
  </si>
  <si>
    <t>Salary Deferral Plan</t>
  </si>
  <si>
    <t>Pension Accrual / Funding Difference</t>
  </si>
  <si>
    <t>Bad Debts</t>
  </si>
  <si>
    <t>Prepaid Insurance</t>
  </si>
  <si>
    <t>Vacation Pay Accrual</t>
  </si>
  <si>
    <t>Performance Incentive Plan</t>
  </si>
  <si>
    <t>Rate Case Expenses</t>
  </si>
  <si>
    <t>Deferred Unbilled TCRF/EECRF Reg Liability</t>
  </si>
  <si>
    <t>Cap Structure Refund</t>
  </si>
  <si>
    <t>FIT Refund</t>
  </si>
  <si>
    <t>Deferred Unbilled EECRF Reg Liability</t>
  </si>
  <si>
    <t>Interest Rate Savings Reg Liability</t>
  </si>
  <si>
    <t>Reg Liability - COVID19 - Retail Surcharge</t>
  </si>
  <si>
    <t>Reg Liability - Deferred OPEB Cost</t>
  </si>
  <si>
    <t>Reg Liability - Over-Collection of Int Asset Amort</t>
  </si>
  <si>
    <t>Self Insurance Reserve</t>
  </si>
  <si>
    <t>IBNR Medical Dental</t>
  </si>
  <si>
    <t>G/L on Interest Rate Swaps</t>
  </si>
  <si>
    <t>Deferred FICA Payments</t>
  </si>
  <si>
    <t>Deferred Revenue - AMS</t>
  </si>
  <si>
    <t>Regulatory Asset for Employee Benefit</t>
  </si>
  <si>
    <t>Reg Asset Costs – AMS Meters</t>
  </si>
  <si>
    <t>Regulatory Asset for Energy Efficiency Performance Bonus</t>
  </si>
  <si>
    <t>Regulatory Asset - HB 2483 Mbl Gens &amp; Reloc Costs</t>
  </si>
  <si>
    <t>Debt Recall Premium and Expense</t>
  </si>
  <si>
    <t>Contra Debt Amortization - Oncor</t>
  </si>
  <si>
    <t>Merger Transaction Costs</t>
  </si>
  <si>
    <t>Regulatory Asset for TCRF</t>
  </si>
  <si>
    <t>Regulatory Asset for Energy Efficiency Program Costs</t>
  </si>
  <si>
    <t>Reg Asset - Defaulted REPs</t>
  </si>
  <si>
    <t>Reg Asset - Sharyland Whlsle Dist Sub Tariff</t>
  </si>
  <si>
    <t>Reg Asset - NTU Transition Costs</t>
  </si>
  <si>
    <t>Reg Asset - Power Line Safety</t>
  </si>
  <si>
    <t>Reg Asset - COVID19 - Incremental Expense</t>
  </si>
  <si>
    <t>Leased Assets</t>
  </si>
  <si>
    <t>Regulatory Asset for Workers Compensation</t>
  </si>
  <si>
    <t>Taxable Income</t>
  </si>
  <si>
    <t>Tax Rate</t>
  </si>
  <si>
    <t>Federal Income Taxes before credits</t>
  </si>
  <si>
    <t>Less: credits</t>
  </si>
  <si>
    <t xml:space="preserve">  R&amp;D Credit</t>
  </si>
  <si>
    <t>Federal Income Tax after credits</t>
  </si>
  <si>
    <t xml:space="preserve">  Federal Impact of State Tax Adjustments</t>
  </si>
  <si>
    <t xml:space="preserve">  Prior Period Adjustments</t>
  </si>
  <si>
    <t xml:space="preserve">  Interest on FIN 48</t>
  </si>
  <si>
    <t>Current Federal Income Taxes</t>
  </si>
  <si>
    <t>Deferred Income Taxes on Temporary Differences</t>
  </si>
  <si>
    <t>Deferred Only Items:</t>
  </si>
  <si>
    <t xml:space="preserve">  Depreciation Differences</t>
  </si>
  <si>
    <t xml:space="preserve">  Protected Excess Deferred Taxes</t>
  </si>
  <si>
    <t xml:space="preserve">  Non-protected Excess Deferred Taxes</t>
  </si>
  <si>
    <t xml:space="preserve">  Federal Benefit of State Deferred</t>
  </si>
  <si>
    <t>Total Deferred Federal Income Taxes</t>
  </si>
  <si>
    <t>Investment Tax Credit Adjustments</t>
  </si>
  <si>
    <t>Total Federal Income Taxes</t>
  </si>
  <si>
    <t xml:space="preserve">Total - Line 95 should be </t>
  </si>
  <si>
    <t>Line 95 is</t>
  </si>
  <si>
    <t>difference</t>
  </si>
  <si>
    <t>Deferred - Line 91 plus Line 93 should be</t>
  </si>
  <si>
    <t>Line 91 plus Line 93 is</t>
  </si>
  <si>
    <t>Current - Line 81 should be</t>
  </si>
  <si>
    <t xml:space="preserve">Line 81 is </t>
  </si>
  <si>
    <t xml:space="preserve">TI - Line 72 should be </t>
  </si>
  <si>
    <t>Line 72 is</t>
  </si>
  <si>
    <t xml:space="preserve">  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</si>
</sst>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7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9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</border>
    <border>
      <left style="medium">
        <color auto="1"/>
      </left>
      <right style="medium">
        <color auto="1"/>
      </right>
      <top/>
      <bottom/>
    </border>
    <border>
      <left style="medium">
        <color auto="1"/>
      </left>
      <right style="medium">
        <color auto="1"/>
      </right>
      <top/>
      <bottom style="medium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double">
        <color auto="1"/>
      </bottom>
    </border>
    <border>
      <left/>
      <right/>
      <top/>
      <bottom style="double">
        <color auto="1"/>
      </bottom>
    </border>
    <border>
      <left/>
      <right/>
      <top/>
      <bottom style="thin">
        <color auto="1"/>
      </bottom>
    </border>
  </borders>
  <cellStyleXfs count="21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>
      <alignment/>
      <protection/>
    </xf>
  </cellStyleXfs>
  <cellXfs count="37">
    <xf numFmtId="0" fontId="0" fillId="0" borderId="0" xfId="0"/>
    <xf numFmtId="0" fontId="1" fillId="0" borderId="0" xfId="0" applyFont="1"/>
    <xf numFmtId="0" fontId="3" fillId="0" borderId="0" xfId="0" applyFont="1"/>
    <xf numFmtId="164" fontId="3" fillId="0" borderId="0" xfId="18" applyNumberFormat="1" applyFont="1"/>
    <xf numFmtId="0" fontId="2" fillId="0" borderId="1" xfId="0" applyFont="1" applyBorder="1" applyAlignment="1">
      <alignment horizontal="center"/>
    </xf>
    <xf numFmtId="164" fontId="2" fillId="0" borderId="1" xfId="18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64" fontId="2" fillId="0" borderId="2" xfId="18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3" xfId="0" applyFont="1" applyBorder="1" applyAlignment="1" quotePrefix="1">
      <alignment horizontal="center"/>
    </xf>
    <xf numFmtId="164" fontId="3" fillId="0" borderId="3" xfId="18" applyNumberFormat="1" applyFont="1" applyBorder="1" applyAlignment="1" quotePrefix="1">
      <alignment horizontal="center"/>
    </xf>
    <xf numFmtId="0" fontId="3" fillId="0" borderId="0" xfId="0" applyFont="1" applyAlignment="1">
      <alignment horizontal="center"/>
    </xf>
    <xf numFmtId="164" fontId="3" fillId="0" borderId="0" xfId="18" applyNumberFormat="1" applyFont="1" applyFill="1"/>
    <xf numFmtId="164" fontId="3" fillId="0" borderId="0" xfId="18" applyNumberFormat="1" applyFont="1" applyFill="1" applyBorder="1"/>
    <xf numFmtId="164" fontId="1" fillId="0" borderId="0" xfId="18" applyNumberFormat="1" applyFont="1"/>
    <xf numFmtId="0" fontId="3" fillId="0" borderId="0" xfId="20" applyFont="1" applyFill="1" applyAlignment="1">
      <alignment/>
      <protection/>
    </xf>
    <xf numFmtId="0" fontId="3" fillId="0" borderId="0" xfId="0" applyFont="1" applyFill="1" applyBorder="1"/>
    <xf numFmtId="0" fontId="3" fillId="0" borderId="0" xfId="0" applyFont="1" applyAlignment="1">
      <alignment wrapText="1"/>
    </xf>
    <xf numFmtId="164" fontId="3" fillId="0" borderId="4" xfId="18" applyNumberFormat="1" applyFont="1" applyBorder="1" applyAlignment="1">
      <alignment wrapText="1"/>
    </xf>
    <xf numFmtId="164" fontId="1" fillId="0" borderId="0" xfId="0" applyNumberFormat="1" applyFont="1"/>
    <xf numFmtId="164" fontId="3" fillId="0" borderId="0" xfId="18" applyNumberFormat="1" applyFont="1" applyAlignment="1">
      <alignment wrapText="1"/>
    </xf>
    <xf numFmtId="0" fontId="3" fillId="0" borderId="0" xfId="0" applyFont="1" applyFill="1"/>
    <xf numFmtId="43" fontId="3" fillId="0" borderId="0" xfId="18" applyNumberFormat="1" applyFont="1" applyFill="1"/>
    <xf numFmtId="164" fontId="3" fillId="0" borderId="4" xfId="18" applyNumberFormat="1" applyFont="1" applyFill="1" applyBorder="1"/>
    <xf numFmtId="43" fontId="1" fillId="0" borderId="0" xfId="18" applyFont="1"/>
    <xf numFmtId="9" fontId="3" fillId="0" borderId="0" xfId="15" applyNumberFormat="1" applyFont="1" applyFill="1" applyBorder="1"/>
    <xf numFmtId="164" fontId="3" fillId="0" borderId="5" xfId="18" applyNumberFormat="1" applyFont="1" applyFill="1" applyBorder="1"/>
    <xf numFmtId="164" fontId="3" fillId="0" borderId="0" xfId="0" applyNumberFormat="1" applyFont="1" applyFill="1"/>
    <xf numFmtId="164" fontId="3" fillId="0" borderId="6" xfId="0" applyNumberFormat="1" applyFont="1" applyFill="1" applyBorder="1"/>
    <xf numFmtId="164" fontId="3" fillId="0" borderId="0" xfId="0" applyNumberFormat="1" applyFont="1" applyFill="1" applyBorder="1"/>
    <xf numFmtId="164" fontId="3" fillId="0" borderId="5" xfId="0" applyNumberFormat="1" applyFont="1" applyFill="1" applyBorder="1"/>
    <xf numFmtId="164" fontId="4" fillId="0" borderId="5" xfId="0" applyNumberFormat="1" applyFont="1" applyFill="1" applyBorder="1"/>
    <xf numFmtId="164" fontId="3" fillId="0" borderId="7" xfId="18" applyNumberFormat="1" applyFont="1" applyBorder="1"/>
    <xf numFmtId="164" fontId="3" fillId="0" borderId="7" xfId="18" applyNumberFormat="1" applyFont="1" applyFill="1" applyBorder="1"/>
    <xf numFmtId="0" fontId="2" fillId="0" borderId="0" xfId="0" applyFont="1" applyAlignment="1">
      <alignment horizontal="center"/>
    </xf>
    <xf numFmtId="0" fontId="2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</cellXfs>
  <cellStyles count="7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Normal_2008 Q1 Variance Report" xfId="2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5" Type="http://schemas.openxmlformats.org/officeDocument/2006/relationships/calcChain" Target="calcChain.xml" /><Relationship Id="rId3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>
    <pageSetUpPr fitToPage="1"/>
  </sheetPr>
  <dimension ref="A1:I128"/>
  <sheetViews>
    <sheetView tabSelected="1" zoomScale="80" zoomScaleNormal="80" workbookViewId="0" topLeftCell="A1">
      <selection pane="topLeft" activeCell="H9" sqref="H9"/>
    </sheetView>
  </sheetViews>
  <sheetFormatPr defaultColWidth="9.18428571428571" defaultRowHeight="12.75"/>
  <cols>
    <col min="1" max="1" width="5" style="2" bestFit="1" customWidth="1"/>
    <col min="2" max="2" width="54.4285714285714" style="2" customWidth="1"/>
    <col min="3" max="3" width="18.7142857142857" style="2" customWidth="1"/>
    <col min="4" max="4" width="18.7142857142857" style="3" customWidth="1"/>
    <col min="5" max="5" width="18.7142857142857" style="2" customWidth="1"/>
    <col min="6" max="6" width="9.14285714285714" style="1"/>
    <col min="7" max="8" width="13.4285714285714" style="1" bestFit="1" customWidth="1"/>
    <col min="9" max="9" width="11.8571428571429" style="1" bestFit="1" customWidth="1"/>
    <col min="10" max="16384" width="9.14285714285714" style="1"/>
  </cols>
  <sheetData>
    <row r="1" spans="1:5" ht="13">
      <c r="A1" s="34" t="s">
        <v>0</v>
      </c>
      <c r="B1" s="34"/>
      <c r="C1" s="34"/>
      <c r="D1" s="34"/>
      <c r="E1" s="34"/>
    </row>
    <row r="2" spans="1:5" ht="13">
      <c r="A2" s="35" t="s">
        <v>1</v>
      </c>
      <c r="B2" s="35"/>
      <c r="C2" s="35"/>
      <c r="D2" s="35"/>
      <c r="E2" s="35"/>
    </row>
    <row r="3" spans="1:5" ht="13">
      <c r="A3" s="36" t="s">
        <v>2</v>
      </c>
      <c r="B3" s="36"/>
      <c r="C3" s="36"/>
      <c r="D3" s="36"/>
      <c r="E3" s="36"/>
    </row>
    <row r="4" spans="1:5" ht="13">
      <c r="A4" s="36" t="s">
        <v>3</v>
      </c>
      <c r="B4" s="36"/>
      <c r="C4" s="36"/>
      <c r="D4" s="36"/>
      <c r="E4" s="36"/>
    </row>
    <row r="5" spans="1:5" ht="13">
      <c r="A5" s="35" t="s">
        <v>4</v>
      </c>
      <c r="B5" s="35"/>
      <c r="C5" s="35"/>
      <c r="D5" s="35"/>
      <c r="E5" s="35"/>
    </row>
    <row r="9" ht="13" thickBot="1"/>
    <row r="10" spans="1:5" ht="13">
      <c r="A10" s="4" t="s">
        <v>5</v>
      </c>
      <c r="B10" s="4"/>
      <c r="C10" s="4"/>
      <c r="D10" s="5"/>
      <c r="E10" s="4"/>
    </row>
    <row r="11" spans="1:5" ht="13">
      <c r="A11" s="6" t="s">
        <v>6</v>
      </c>
      <c r="B11" s="6" t="s">
        <v>7</v>
      </c>
      <c r="C11" s="6" t="s">
        <v>8</v>
      </c>
      <c r="D11" s="7" t="s">
        <v>9</v>
      </c>
      <c r="E11" s="6" t="s">
        <v>10</v>
      </c>
    </row>
    <row r="12" spans="1:5" ht="13" thickBot="1">
      <c r="A12" s="8"/>
      <c r="B12" s="8" t="s">
        <v>11</v>
      </c>
      <c r="C12" s="9" t="s">
        <v>12</v>
      </c>
      <c r="D12" s="10" t="s">
        <v>13</v>
      </c>
      <c r="E12" s="9" t="s">
        <v>14</v>
      </c>
    </row>
    <row r="14" spans="1:5" ht="12.5">
      <c r="A14" s="11">
        <v>1</v>
      </c>
      <c r="B14" s="2" t="s">
        <v>15</v>
      </c>
      <c r="C14" s="12">
        <f>SUM(D14:E14)</f>
        <v>922954111.88999987</v>
      </c>
      <c r="D14" s="12">
        <v>954300874.07999992</v>
      </c>
      <c r="E14" s="13">
        <v>-31346762.189999998</v>
      </c>
    </row>
    <row r="15" spans="1:5" ht="12.5">
      <c r="A15" s="11">
        <f t="shared" si="0" ref="A15:A78">A14+1</f>
        <v>2</v>
      </c>
      <c r="C15" s="3"/>
      <c r="E15" s="3"/>
    </row>
    <row r="16" spans="1:5" ht="12.5">
      <c r="A16" s="11">
        <f t="shared" si="0"/>
        <v>3</v>
      </c>
      <c r="B16" s="2" t="s">
        <v>16</v>
      </c>
      <c r="C16" s="3"/>
      <c r="E16" s="3"/>
    </row>
    <row r="17" spans="1:5" ht="12.5">
      <c r="A17" s="11">
        <f t="shared" si="0"/>
        <v>4</v>
      </c>
      <c r="B17" s="2" t="s">
        <v>17</v>
      </c>
      <c r="C17" s="3">
        <f t="shared" si="1" ref="C17:C27">SUM(D17:E17)</f>
        <v>1697686.1499999999</v>
      </c>
      <c r="D17" s="14">
        <v>1697686.1499999999</v>
      </c>
      <c r="E17" s="3">
        <v>0</v>
      </c>
    </row>
    <row r="18" spans="1:5" ht="12.5">
      <c r="A18" s="11">
        <f t="shared" si="0"/>
        <v>5</v>
      </c>
      <c r="B18" s="15" t="s">
        <v>18</v>
      </c>
      <c r="C18" s="3">
        <f t="shared" si="1"/>
        <v>-27208032.84</v>
      </c>
      <c r="D18" s="14">
        <v>0</v>
      </c>
      <c r="E18" s="3">
        <v>-27208032.84</v>
      </c>
    </row>
    <row r="19" spans="1:5" ht="12.5">
      <c r="A19" s="11">
        <f t="shared" si="0"/>
        <v>6</v>
      </c>
      <c r="B19" s="1" t="s">
        <v>19</v>
      </c>
      <c r="C19" s="3">
        <f t="shared" si="1"/>
        <v>764038.15000000002</v>
      </c>
      <c r="D19" s="14">
        <v>0</v>
      </c>
      <c r="E19" s="3">
        <v>764038.15000000002</v>
      </c>
    </row>
    <row r="20" spans="1:5" ht="12.5">
      <c r="A20" s="11">
        <f t="shared" si="0"/>
        <v>7</v>
      </c>
      <c r="B20" s="16" t="s">
        <v>20</v>
      </c>
      <c r="C20" s="3">
        <f t="shared" si="1"/>
        <v>207160</v>
      </c>
      <c r="D20" s="14">
        <v>207160</v>
      </c>
      <c r="E20" s="3">
        <v>0</v>
      </c>
    </row>
    <row r="21" spans="1:5" ht="12.5">
      <c r="A21" s="11">
        <f t="shared" si="0"/>
        <v>8</v>
      </c>
      <c r="B21" s="2" t="s">
        <v>21</v>
      </c>
      <c r="C21" s="3">
        <f t="shared" si="1"/>
        <v>1420342.1399999999</v>
      </c>
      <c r="D21" s="13">
        <v>1420342.1399999999</v>
      </c>
      <c r="E21" s="13">
        <v>0</v>
      </c>
    </row>
    <row r="22" spans="1:5" ht="12.5">
      <c r="A22" s="11">
        <f t="shared" si="0"/>
        <v>9</v>
      </c>
      <c r="B22" s="1" t="s">
        <v>22</v>
      </c>
      <c r="C22" s="3">
        <f t="shared" si="1"/>
        <v>3172908.9100000001</v>
      </c>
      <c r="D22" s="13">
        <v>0</v>
      </c>
      <c r="E22" s="13">
        <v>3172908.9100000001</v>
      </c>
    </row>
    <row r="23" spans="1:5" ht="12.5">
      <c r="A23" s="11">
        <f t="shared" si="0"/>
        <v>10</v>
      </c>
      <c r="B23" s="16" t="s">
        <v>23</v>
      </c>
      <c r="C23" s="3">
        <f t="shared" si="1"/>
        <v>-14387667.84</v>
      </c>
      <c r="D23" s="13">
        <v>-4969701.4299999997</v>
      </c>
      <c r="E23" s="13">
        <v>-9417966.4100000001</v>
      </c>
    </row>
    <row r="24" spans="1:5" ht="12.5">
      <c r="A24" s="11">
        <f t="shared" si="0"/>
        <v>11</v>
      </c>
      <c r="B24" s="15" t="s">
        <v>24</v>
      </c>
      <c r="C24" s="3">
        <f t="shared" si="1"/>
        <v>3439754</v>
      </c>
      <c r="D24" s="13">
        <v>0</v>
      </c>
      <c r="E24" s="13">
        <v>3439754</v>
      </c>
    </row>
    <row r="25" spans="1:5" ht="12.5">
      <c r="A25" s="11">
        <f t="shared" si="0"/>
        <v>12</v>
      </c>
      <c r="B25" s="15" t="s">
        <v>25</v>
      </c>
      <c r="C25" s="3">
        <f t="shared" si="1"/>
        <v>353019</v>
      </c>
      <c r="D25" s="13">
        <v>0</v>
      </c>
      <c r="E25" s="13">
        <v>353019</v>
      </c>
    </row>
    <row r="26" spans="1:5" ht="12.5">
      <c r="A26" s="11">
        <f t="shared" si="0"/>
        <v>13</v>
      </c>
      <c r="B26" s="2" t="s">
        <v>26</v>
      </c>
      <c r="C26" s="3">
        <f t="shared" si="1"/>
        <v>-120366.48</v>
      </c>
      <c r="D26" s="3">
        <v>-120366.48</v>
      </c>
      <c r="E26" s="3">
        <v>0</v>
      </c>
    </row>
    <row r="27" spans="1:5" ht="12.5">
      <c r="A27" s="11">
        <f t="shared" si="0"/>
        <v>14</v>
      </c>
      <c r="B27" s="2" t="s">
        <v>27</v>
      </c>
      <c r="C27" s="12">
        <f t="shared" si="1"/>
        <v>-24149922.430000003</v>
      </c>
      <c r="D27" s="12">
        <v>-24127297.260000002</v>
      </c>
      <c r="E27" s="12">
        <v>-22625.169999999998</v>
      </c>
    </row>
    <row r="28" spans="1:9" ht="12.5">
      <c r="A28" s="11">
        <f t="shared" si="0"/>
        <v>15</v>
      </c>
      <c r="B28" s="17" t="s">
        <v>28</v>
      </c>
      <c r="C28" s="18">
        <f>SUM(C17:C27)</f>
        <v>-54811081.240000002</v>
      </c>
      <c r="D28" s="18">
        <f>SUM(D17:D27)</f>
        <v>-25892176.880000003</v>
      </c>
      <c r="E28" s="18">
        <f>SUM(E17:E27)</f>
        <v>-28918904.360000003</v>
      </c>
      <c r="G28" s="19"/>
      <c r="I28" s="19"/>
    </row>
    <row r="29" spans="1:5" ht="12.5">
      <c r="A29" s="11">
        <f t="shared" si="0"/>
        <v>16</v>
      </c>
      <c r="B29" s="17"/>
      <c r="C29" s="20"/>
      <c r="D29" s="20"/>
      <c r="E29" s="20"/>
    </row>
    <row r="30" spans="1:5" ht="12.5">
      <c r="A30" s="11">
        <f t="shared" si="0"/>
        <v>17</v>
      </c>
      <c r="B30" s="17" t="s">
        <v>29</v>
      </c>
      <c r="C30" s="20"/>
      <c r="D30" s="20"/>
      <c r="E30" s="20"/>
    </row>
    <row r="31" spans="1:5" ht="12.5">
      <c r="A31" s="11">
        <f t="shared" si="0"/>
        <v>18</v>
      </c>
      <c r="B31" s="21" t="s">
        <v>30</v>
      </c>
      <c r="C31" s="12"/>
      <c r="D31" s="12"/>
      <c r="E31" s="12"/>
    </row>
    <row r="32" spans="1:5" ht="12.5">
      <c r="A32" s="11">
        <f t="shared" si="0"/>
        <v>19</v>
      </c>
      <c r="B32" s="21" t="s">
        <v>31</v>
      </c>
      <c r="C32" s="12">
        <f t="shared" si="2" ref="C32:C82">SUM(D32:E32)</f>
        <v>-140027422.63999999</v>
      </c>
      <c r="D32" s="12">
        <v>-140027422.63999999</v>
      </c>
      <c r="E32" s="12">
        <v>0</v>
      </c>
    </row>
    <row r="33" spans="1:5" ht="12.5">
      <c r="A33" s="11">
        <f t="shared" si="0"/>
        <v>20</v>
      </c>
      <c r="B33" s="16" t="s">
        <v>32</v>
      </c>
      <c r="C33" s="12">
        <f t="shared" si="2"/>
        <v>-135840688.63999999</v>
      </c>
      <c r="D33" s="13">
        <v>-135840688.63999999</v>
      </c>
      <c r="E33" s="13">
        <v>0</v>
      </c>
    </row>
    <row r="34" spans="1:5" ht="12.5">
      <c r="A34" s="11">
        <f t="shared" si="0"/>
        <v>21</v>
      </c>
      <c r="B34" s="16" t="s">
        <v>33</v>
      </c>
      <c r="C34" s="12">
        <f t="shared" si="2"/>
        <v>-151262484.15000001</v>
      </c>
      <c r="D34" s="12">
        <v>-151262484.15000001</v>
      </c>
      <c r="E34" s="12">
        <v>0</v>
      </c>
    </row>
    <row r="35" spans="1:5" ht="12.5">
      <c r="A35" s="11">
        <f t="shared" si="0"/>
        <v>22</v>
      </c>
      <c r="B35" s="16" t="s">
        <v>34</v>
      </c>
      <c r="C35" s="12">
        <f t="shared" si="2"/>
        <v>-129340535.97</v>
      </c>
      <c r="D35" s="12">
        <v>-129340535.97</v>
      </c>
      <c r="E35" s="12"/>
    </row>
    <row r="36" spans="1:5" ht="12.5">
      <c r="A36" s="11">
        <f t="shared" si="0"/>
        <v>23</v>
      </c>
      <c r="B36" s="16" t="s">
        <v>35</v>
      </c>
      <c r="C36" s="12">
        <f t="shared" si="2"/>
        <v>-36210731.759999998</v>
      </c>
      <c r="D36" s="12">
        <v>-36210731.759999998</v>
      </c>
      <c r="E36" s="12">
        <v>0</v>
      </c>
    </row>
    <row r="37" spans="1:5" ht="12.5">
      <c r="A37" s="11">
        <f t="shared" si="0"/>
        <v>24</v>
      </c>
      <c r="B37" s="16" t="s">
        <v>36</v>
      </c>
      <c r="C37" s="12">
        <f t="shared" si="2"/>
        <v>48861822.740000002</v>
      </c>
      <c r="D37" s="12">
        <v>48861822.740000002</v>
      </c>
      <c r="E37" s="12">
        <v>0</v>
      </c>
    </row>
    <row r="38" spans="1:5" ht="12.5">
      <c r="A38" s="11">
        <f t="shared" si="0"/>
        <v>25</v>
      </c>
      <c r="B38" s="16" t="s">
        <v>37</v>
      </c>
      <c r="C38" s="12">
        <f t="shared" si="2"/>
        <v>17913000</v>
      </c>
      <c r="D38" s="12">
        <v>17913000</v>
      </c>
      <c r="E38" s="12">
        <v>0</v>
      </c>
    </row>
    <row r="39" spans="1:5" ht="12.5">
      <c r="A39" s="11">
        <f t="shared" si="0"/>
        <v>26</v>
      </c>
      <c r="B39" s="16" t="s">
        <v>38</v>
      </c>
      <c r="C39" s="12">
        <f t="shared" si="2"/>
        <v>-14204809.119999999</v>
      </c>
      <c r="D39" s="12">
        <v>-14204809.119999999</v>
      </c>
      <c r="E39" s="12">
        <v>0</v>
      </c>
    </row>
    <row r="40" spans="1:5" ht="12.5">
      <c r="A40" s="11">
        <f t="shared" si="0"/>
        <v>27</v>
      </c>
      <c r="B40" s="16" t="s">
        <v>39</v>
      </c>
      <c r="C40" s="12">
        <f t="shared" si="2"/>
        <v>-12047944.15</v>
      </c>
      <c r="D40" s="12">
        <v>-12047944.15</v>
      </c>
      <c r="E40" s="12">
        <v>0</v>
      </c>
    </row>
    <row r="41" spans="1:5" ht="12.5">
      <c r="A41" s="11">
        <f t="shared" si="0"/>
        <v>28</v>
      </c>
      <c r="B41" s="16" t="s">
        <v>40</v>
      </c>
      <c r="C41" s="12">
        <f t="shared" si="2"/>
        <v>-21475300.600000001</v>
      </c>
      <c r="D41" s="12">
        <v>0</v>
      </c>
      <c r="E41" s="12">
        <v>-21475300.600000001</v>
      </c>
    </row>
    <row r="42" spans="1:5" ht="12.5">
      <c r="A42" s="11">
        <f t="shared" si="0"/>
        <v>29</v>
      </c>
      <c r="B42" s="16" t="s">
        <v>41</v>
      </c>
      <c r="C42" s="12">
        <f t="shared" si="2"/>
        <v>1214871.04</v>
      </c>
      <c r="D42" s="12">
        <v>1214871.04</v>
      </c>
      <c r="E42" s="12">
        <v>0</v>
      </c>
    </row>
    <row r="43" spans="1:5" ht="12.5">
      <c r="A43" s="11">
        <f t="shared" si="0"/>
        <v>30</v>
      </c>
      <c r="B43" s="16" t="s">
        <v>42</v>
      </c>
      <c r="C43" s="12">
        <f t="shared" si="2"/>
        <v>3635364.5299999998</v>
      </c>
      <c r="D43" s="12">
        <v>3635364.5299999998</v>
      </c>
      <c r="E43" s="12">
        <v>0</v>
      </c>
    </row>
    <row r="44" spans="1:5" ht="12.5">
      <c r="A44" s="11">
        <f t="shared" si="0"/>
        <v>31</v>
      </c>
      <c r="B44" s="16" t="s">
        <v>43</v>
      </c>
      <c r="C44" s="12">
        <f t="shared" si="2"/>
        <v>-10463199.029999999</v>
      </c>
      <c r="D44" s="12">
        <v>-10463199.029999999</v>
      </c>
      <c r="E44" s="13">
        <v>0</v>
      </c>
    </row>
    <row r="45" spans="1:5" ht="12.5">
      <c r="A45" s="11">
        <f t="shared" si="0"/>
        <v>32</v>
      </c>
      <c r="B45" s="16" t="s">
        <v>44</v>
      </c>
      <c r="C45" s="12">
        <f t="shared" si="2"/>
        <v>51677.68</v>
      </c>
      <c r="D45" s="12">
        <v>51677.68</v>
      </c>
      <c r="E45" s="13">
        <v>0</v>
      </c>
    </row>
    <row r="46" spans="1:5" ht="12.5">
      <c r="A46" s="11">
        <f t="shared" si="0"/>
        <v>33</v>
      </c>
      <c r="B46" s="16" t="s">
        <v>45</v>
      </c>
      <c r="C46" s="12">
        <f t="shared" si="2"/>
        <v>7788021.2199999997</v>
      </c>
      <c r="D46" s="12">
        <v>7788021.2199999997</v>
      </c>
      <c r="E46" s="13">
        <v>0</v>
      </c>
    </row>
    <row r="47" spans="1:5" ht="12.5">
      <c r="A47" s="11">
        <f t="shared" si="0"/>
        <v>34</v>
      </c>
      <c r="B47" s="16" t="s">
        <v>46</v>
      </c>
      <c r="C47" s="12">
        <f t="shared" si="2"/>
        <v>60560259</v>
      </c>
      <c r="D47" s="13">
        <v>60560259</v>
      </c>
      <c r="E47" s="13">
        <v>0</v>
      </c>
    </row>
    <row r="48" spans="1:5" ht="12.5">
      <c r="A48" s="11">
        <f t="shared" si="0"/>
        <v>35</v>
      </c>
      <c r="B48" s="16" t="s">
        <v>47</v>
      </c>
      <c r="C48" s="12">
        <f t="shared" si="2"/>
        <v>4755508.2800000003</v>
      </c>
      <c r="D48" s="12">
        <v>4755508.2800000003</v>
      </c>
      <c r="E48" s="12">
        <v>0</v>
      </c>
    </row>
    <row r="49" spans="1:5" ht="12.5">
      <c r="A49" s="11">
        <f t="shared" si="0"/>
        <v>36</v>
      </c>
      <c r="B49" s="16" t="s">
        <v>48</v>
      </c>
      <c r="C49" s="12">
        <f t="shared" si="2"/>
        <v>-1923023.8200000001</v>
      </c>
      <c r="D49" s="12">
        <v>-1923023.8200000001</v>
      </c>
      <c r="E49" s="13">
        <v>0</v>
      </c>
    </row>
    <row r="50" spans="1:5" ht="12.5">
      <c r="A50" s="11">
        <f t="shared" si="0"/>
        <v>37</v>
      </c>
      <c r="B50" s="16" t="s">
        <v>49</v>
      </c>
      <c r="C50" s="12">
        <f t="shared" si="2"/>
        <v>-332580.73999999999</v>
      </c>
      <c r="D50" s="12">
        <v>-332580.73999999999</v>
      </c>
      <c r="E50" s="13">
        <v>0</v>
      </c>
    </row>
    <row r="51" spans="1:5" ht="12.5">
      <c r="A51" s="11">
        <f t="shared" si="0"/>
        <v>38</v>
      </c>
      <c r="B51" s="16" t="s">
        <v>50</v>
      </c>
      <c r="C51" s="12">
        <f t="shared" si="2"/>
        <v>-14185444.199999999</v>
      </c>
      <c r="D51" s="12">
        <v>-14185444.199999999</v>
      </c>
      <c r="E51" s="12">
        <v>0</v>
      </c>
    </row>
    <row r="52" spans="1:5" ht="12.5">
      <c r="A52" s="11">
        <f t="shared" si="0"/>
        <v>39</v>
      </c>
      <c r="B52" s="16" t="s">
        <v>51</v>
      </c>
      <c r="C52" s="12">
        <f t="shared" si="2"/>
        <v>-2990594.2599999998</v>
      </c>
      <c r="D52" s="12">
        <v>-2990594.2599999998</v>
      </c>
      <c r="E52" s="12">
        <v>0</v>
      </c>
    </row>
    <row r="53" spans="1:5" ht="12.5">
      <c r="A53" s="11">
        <f t="shared" si="0"/>
        <v>40</v>
      </c>
      <c r="B53" s="16" t="s">
        <v>52</v>
      </c>
      <c r="C53" s="12">
        <f t="shared" si="2"/>
        <v>-3864232.2999999998</v>
      </c>
      <c r="D53" s="22">
        <v>-3864232.2999999998</v>
      </c>
      <c r="E53" s="12">
        <v>0</v>
      </c>
    </row>
    <row r="54" spans="1:5" ht="12.5">
      <c r="A54" s="11">
        <f t="shared" si="0"/>
        <v>41</v>
      </c>
      <c r="B54" s="16" t="s">
        <v>53</v>
      </c>
      <c r="C54" s="12">
        <f t="shared" si="2"/>
        <v>213</v>
      </c>
      <c r="D54" s="12">
        <v>213</v>
      </c>
      <c r="E54" s="12">
        <v>0</v>
      </c>
    </row>
    <row r="55" spans="1:5" ht="12.5">
      <c r="A55" s="11">
        <f t="shared" si="0"/>
        <v>42</v>
      </c>
      <c r="B55" s="16" t="s">
        <v>54</v>
      </c>
      <c r="C55" s="12">
        <f t="shared" si="2"/>
        <v>2894</v>
      </c>
      <c r="D55" s="12">
        <v>2894</v>
      </c>
      <c r="E55" s="12">
        <v>0</v>
      </c>
    </row>
    <row r="56" spans="1:5" ht="12.5">
      <c r="A56" s="11">
        <f t="shared" si="0"/>
        <v>43</v>
      </c>
      <c r="B56" s="16" t="s">
        <v>55</v>
      </c>
      <c r="C56" s="12">
        <f t="shared" si="2"/>
        <v>107246</v>
      </c>
      <c r="D56" s="12">
        <v>107246</v>
      </c>
      <c r="E56" s="12">
        <v>0</v>
      </c>
    </row>
    <row r="57" spans="1:5" ht="12.5">
      <c r="A57" s="11">
        <f t="shared" si="0"/>
        <v>44</v>
      </c>
      <c r="B57" s="16" t="s">
        <v>56</v>
      </c>
      <c r="C57" s="12">
        <f t="shared" si="2"/>
        <v>-432008.09000000003</v>
      </c>
      <c r="D57" s="12">
        <v>-432008.09000000003</v>
      </c>
      <c r="E57" s="12">
        <v>0</v>
      </c>
    </row>
    <row r="58" spans="1:5" ht="12.5">
      <c r="A58" s="11">
        <f t="shared" si="0"/>
        <v>45</v>
      </c>
      <c r="B58" s="16" t="s">
        <v>57</v>
      </c>
      <c r="C58" s="12">
        <f t="shared" si="2"/>
        <v>5787313.4800000004</v>
      </c>
      <c r="D58" s="12">
        <v>5787313.4800000004</v>
      </c>
      <c r="E58" s="12">
        <v>0</v>
      </c>
    </row>
    <row r="59" spans="1:5" ht="12.5">
      <c r="A59" s="11">
        <f t="shared" si="0"/>
        <v>46</v>
      </c>
      <c r="B59" s="16" t="s">
        <v>58</v>
      </c>
      <c r="C59" s="12">
        <f t="shared" si="2"/>
        <v>10657230</v>
      </c>
      <c r="D59" s="12">
        <v>10657230</v>
      </c>
      <c r="E59" s="12">
        <v>0</v>
      </c>
    </row>
    <row r="60" spans="1:5" ht="12.5">
      <c r="A60" s="11">
        <f t="shared" si="0"/>
        <v>47</v>
      </c>
      <c r="B60" s="16" t="s">
        <v>59</v>
      </c>
      <c r="C60" s="12">
        <f t="shared" si="2"/>
        <v>13536942.92</v>
      </c>
      <c r="D60" s="12">
        <v>13536942.92</v>
      </c>
      <c r="E60" s="12">
        <v>0</v>
      </c>
    </row>
    <row r="61" spans="1:5" ht="12.5">
      <c r="A61" s="11">
        <f t="shared" si="0"/>
        <v>48</v>
      </c>
      <c r="B61" s="16" t="s">
        <v>60</v>
      </c>
      <c r="C61" s="12">
        <f t="shared" si="2"/>
        <v>-75167029.950000003</v>
      </c>
      <c r="D61" s="12">
        <v>-75167029.950000003</v>
      </c>
      <c r="E61" s="12">
        <v>0</v>
      </c>
    </row>
    <row r="62" spans="1:5" ht="12.5">
      <c r="A62" s="11">
        <f t="shared" si="0"/>
        <v>49</v>
      </c>
      <c r="B62" s="16" t="s">
        <v>61</v>
      </c>
      <c r="C62" s="12">
        <f t="shared" si="2"/>
        <v>2055700</v>
      </c>
      <c r="D62" s="12">
        <v>2055700</v>
      </c>
      <c r="E62" s="13">
        <v>0</v>
      </c>
    </row>
    <row r="63" spans="1:5" ht="12.5">
      <c r="A63" s="11">
        <f t="shared" si="0"/>
        <v>50</v>
      </c>
      <c r="B63" s="16" t="s">
        <v>62</v>
      </c>
      <c r="C63" s="12">
        <f t="shared" si="2"/>
        <v>1718757.3300000001</v>
      </c>
      <c r="D63" s="12">
        <v>1718757.3300000001</v>
      </c>
      <c r="E63" s="13">
        <v>0</v>
      </c>
    </row>
    <row r="64" spans="1:5" ht="12.5">
      <c r="A64" s="11">
        <f t="shared" si="0"/>
        <v>51</v>
      </c>
      <c r="B64" s="16" t="s">
        <v>26</v>
      </c>
      <c r="C64" s="12">
        <f t="shared" si="2"/>
        <v>-28983.400000000001</v>
      </c>
      <c r="D64" s="12">
        <v>-28983.400000000001</v>
      </c>
      <c r="E64" s="12">
        <v>0</v>
      </c>
    </row>
    <row r="65" spans="1:5" ht="12.5">
      <c r="A65" s="11">
        <f t="shared" si="0"/>
        <v>52</v>
      </c>
      <c r="B65" s="16" t="s">
        <v>63</v>
      </c>
      <c r="C65" s="12">
        <f t="shared" si="2"/>
        <v>-9956282</v>
      </c>
      <c r="D65" s="12">
        <v>-9956282</v>
      </c>
      <c r="E65" s="12">
        <v>0</v>
      </c>
    </row>
    <row r="66" spans="1:5" ht="12.5">
      <c r="A66" s="11">
        <f t="shared" si="0"/>
        <v>53</v>
      </c>
      <c r="B66" s="16" t="s">
        <v>64</v>
      </c>
      <c r="C66" s="12">
        <f t="shared" si="2"/>
        <v>20475725.59</v>
      </c>
      <c r="D66" s="12">
        <v>20475725.59</v>
      </c>
      <c r="E66" s="12">
        <v>0</v>
      </c>
    </row>
    <row r="67" spans="1:5" ht="12.5">
      <c r="A67" s="11">
        <f t="shared" si="0"/>
        <v>54</v>
      </c>
      <c r="B67" s="16" t="s">
        <v>65</v>
      </c>
      <c r="C67" s="12">
        <f t="shared" si="2"/>
        <v>53575328.280000001</v>
      </c>
      <c r="D67" s="13">
        <v>53575328.280000001</v>
      </c>
      <c r="E67" s="13">
        <v>0</v>
      </c>
    </row>
    <row r="68" spans="1:5" ht="12.5">
      <c r="A68" s="11">
        <f t="shared" si="0"/>
        <v>55</v>
      </c>
      <c r="B68" s="16" t="s">
        <v>66</v>
      </c>
      <c r="C68" s="12">
        <f t="shared" si="2"/>
        <v>644985.47999999998</v>
      </c>
      <c r="D68" s="12">
        <v>644985.47999999998</v>
      </c>
      <c r="E68" s="12">
        <v>0</v>
      </c>
    </row>
    <row r="69" spans="1:5" ht="12.5">
      <c r="A69" s="11">
        <f t="shared" si="0"/>
        <v>56</v>
      </c>
      <c r="B69" s="16" t="s">
        <v>67</v>
      </c>
      <c r="C69" s="12">
        <f t="shared" si="2"/>
        <v>-16546989</v>
      </c>
      <c r="D69" s="12">
        <v>-16546989</v>
      </c>
      <c r="E69" s="12">
        <v>0</v>
      </c>
    </row>
    <row r="70" spans="1:5" ht="12.5">
      <c r="A70" s="11">
        <f t="shared" si="0"/>
        <v>57</v>
      </c>
      <c r="B70" s="16" t="s">
        <v>68</v>
      </c>
      <c r="C70" s="12">
        <f t="shared" si="2"/>
        <v>-26088</v>
      </c>
      <c r="D70" s="12">
        <v>-26088</v>
      </c>
      <c r="E70" s="12">
        <v>0</v>
      </c>
    </row>
    <row r="71" spans="1:5" ht="12.5">
      <c r="A71" s="11">
        <f t="shared" si="0"/>
        <v>58</v>
      </c>
      <c r="B71" s="16" t="s">
        <v>69</v>
      </c>
      <c r="C71" s="12">
        <f t="shared" si="2"/>
        <v>4466184.5199999996</v>
      </c>
      <c r="D71" s="12">
        <v>4466184.5199999996</v>
      </c>
      <c r="E71" s="12">
        <v>0</v>
      </c>
    </row>
    <row r="72" spans="1:5" ht="12.5">
      <c r="A72" s="11">
        <f t="shared" si="0"/>
        <v>59</v>
      </c>
      <c r="B72" s="16" t="s">
        <v>70</v>
      </c>
      <c r="C72" s="12">
        <f t="shared" si="2"/>
        <v>873131.76000000001</v>
      </c>
      <c r="D72" s="12">
        <v>873131.76000000001</v>
      </c>
      <c r="E72" s="12">
        <v>0</v>
      </c>
    </row>
    <row r="73" spans="1:5" ht="12.5">
      <c r="A73" s="11">
        <f t="shared" si="0"/>
        <v>60</v>
      </c>
      <c r="B73" s="16" t="s">
        <v>71</v>
      </c>
      <c r="C73" s="12">
        <f t="shared" si="2"/>
        <v>-767374.25</v>
      </c>
      <c r="D73" s="12">
        <v>-767374.25</v>
      </c>
      <c r="E73" s="12">
        <v>0</v>
      </c>
    </row>
    <row r="74" spans="1:5" ht="12.5">
      <c r="A74" s="11">
        <f t="shared" si="0"/>
        <v>61</v>
      </c>
      <c r="B74" s="16" t="s">
        <v>72</v>
      </c>
      <c r="C74" s="12">
        <f t="shared" si="2"/>
        <v>-41275820.060000002</v>
      </c>
      <c r="D74" s="12">
        <v>-41275820.060000002</v>
      </c>
      <c r="E74" s="12">
        <v>0</v>
      </c>
    </row>
    <row r="75" spans="1:5" ht="12.5">
      <c r="A75" s="11">
        <f t="shared" si="0"/>
        <v>62</v>
      </c>
      <c r="B75" s="16" t="s">
        <v>73</v>
      </c>
      <c r="C75" s="12">
        <f t="shared" si="2"/>
        <v>-4415075.1200000001</v>
      </c>
      <c r="D75" s="12">
        <v>-4415075.1200000001</v>
      </c>
      <c r="E75" s="12">
        <v>0</v>
      </c>
    </row>
    <row r="76" spans="1:5" ht="12.5">
      <c r="A76" s="11">
        <f t="shared" si="0"/>
        <v>63</v>
      </c>
      <c r="B76" s="16" t="s">
        <v>74</v>
      </c>
      <c r="C76" s="12">
        <f t="shared" si="2"/>
        <v>-8914694.1999999993</v>
      </c>
      <c r="D76" s="12">
        <v>-8914694.1999999993</v>
      </c>
      <c r="E76" s="12">
        <v>0</v>
      </c>
    </row>
    <row r="77" spans="1:5" ht="12.5">
      <c r="A77" s="11">
        <f t="shared" si="0"/>
        <v>64</v>
      </c>
      <c r="B77" s="16" t="s">
        <v>75</v>
      </c>
      <c r="C77" s="12">
        <f t="shared" si="2"/>
        <v>-20686977.960000001</v>
      </c>
      <c r="D77" s="12">
        <v>-20686977.960000001</v>
      </c>
      <c r="E77" s="12">
        <v>0</v>
      </c>
    </row>
    <row r="78" spans="1:5" ht="12.5">
      <c r="A78" s="11">
        <f t="shared" si="0"/>
        <v>65</v>
      </c>
      <c r="B78" s="16" t="s">
        <v>76</v>
      </c>
      <c r="C78" s="12">
        <f t="shared" si="2"/>
        <v>-200822.88000000001</v>
      </c>
      <c r="D78" s="12">
        <v>-200822.88000000001</v>
      </c>
      <c r="E78" s="12">
        <v>0</v>
      </c>
    </row>
    <row r="79" spans="1:5" ht="12.5">
      <c r="A79" s="11">
        <f t="shared" si="3" ref="A79:A108">A78+1</f>
        <v>66</v>
      </c>
      <c r="B79" s="16" t="s">
        <v>77</v>
      </c>
      <c r="C79" s="12">
        <f t="shared" si="2"/>
        <v>-3283144.73</v>
      </c>
      <c r="D79" s="12">
        <v>-3283144.73</v>
      </c>
      <c r="E79" s="12">
        <v>0</v>
      </c>
    </row>
    <row r="80" spans="1:5" ht="12.5">
      <c r="A80" s="11">
        <f t="shared" si="3"/>
        <v>67</v>
      </c>
      <c r="B80" s="16" t="s">
        <v>78</v>
      </c>
      <c r="C80" s="12">
        <f t="shared" si="2"/>
        <v>-13300366.51</v>
      </c>
      <c r="D80" s="12">
        <v>-13300366.51</v>
      </c>
      <c r="E80" s="3">
        <v>0</v>
      </c>
    </row>
    <row r="81" spans="1:5" ht="12.5">
      <c r="A81" s="11">
        <f t="shared" si="3"/>
        <v>68</v>
      </c>
      <c r="B81" s="16" t="s">
        <v>79</v>
      </c>
      <c r="C81" s="12">
        <f t="shared" si="2"/>
        <v>2912141.7999999998</v>
      </c>
      <c r="D81" s="12">
        <v>2912141.7999999998</v>
      </c>
      <c r="E81" s="3">
        <v>0</v>
      </c>
    </row>
    <row r="82" spans="1:5" ht="12.5">
      <c r="A82" s="11">
        <f t="shared" si="3"/>
        <v>69</v>
      </c>
      <c r="B82" s="16" t="s">
        <v>80</v>
      </c>
      <c r="C82" s="12">
        <f t="shared" si="2"/>
        <v>290399.58000000002</v>
      </c>
      <c r="D82" s="12">
        <v>290399.58000000002</v>
      </c>
      <c r="E82" s="3">
        <v>0</v>
      </c>
    </row>
    <row r="83" spans="1:5" ht="12.5">
      <c r="A83" s="11">
        <f t="shared" si="3"/>
        <v>70</v>
      </c>
      <c r="B83" s="2" t="s">
        <v>109</v>
      </c>
      <c r="C83" s="23">
        <f>SUM(C32:C82)</f>
        <v>-607285929.30000007</v>
      </c>
      <c r="D83" s="23">
        <f>SUM(D32:D82)</f>
        <v>-585810628.69999993</v>
      </c>
      <c r="E83" s="23">
        <f>SUM(E32:E82)</f>
        <v>-21475300.600000001</v>
      </c>
    </row>
    <row r="84" spans="1:8" ht="12.5">
      <c r="A84" s="11">
        <f t="shared" si="3"/>
        <v>71</v>
      </c>
      <c r="C84" s="3"/>
      <c r="E84" s="3"/>
      <c r="G84" s="19"/>
      <c r="H84" s="24"/>
    </row>
    <row r="85" spans="1:5" ht="12.5">
      <c r="A85" s="11">
        <f t="shared" si="3"/>
        <v>72</v>
      </c>
      <c r="B85" s="2" t="s">
        <v>81</v>
      </c>
      <c r="C85" s="13">
        <f>C14+C28+C83</f>
        <v>260857101.34999979</v>
      </c>
      <c r="D85" s="13">
        <f>D14+D28+D83</f>
        <v>342598068.5</v>
      </c>
      <c r="E85" s="13">
        <f>E14+E28+E83</f>
        <v>-81740967.150000006</v>
      </c>
    </row>
    <row r="86" spans="1:5" ht="12.5">
      <c r="A86" s="11">
        <f t="shared" si="3"/>
        <v>73</v>
      </c>
      <c r="B86" s="2" t="s">
        <v>82</v>
      </c>
      <c r="C86" s="25">
        <v>0.20999999999999999</v>
      </c>
      <c r="D86" s="25">
        <v>0.20999999999999999</v>
      </c>
      <c r="E86" s="25">
        <v>0.20999999999999999</v>
      </c>
    </row>
    <row r="87" spans="1:5" ht="12.5">
      <c r="A87" s="11">
        <f t="shared" si="3"/>
        <v>74</v>
      </c>
      <c r="B87" s="2" t="s">
        <v>83</v>
      </c>
      <c r="C87" s="13">
        <f>ROUND(C85*C86,2)</f>
        <v>54779991.280000001</v>
      </c>
      <c r="D87" s="13">
        <f>ROUND(D85*D86,2)</f>
        <v>71945594.390000001</v>
      </c>
      <c r="E87" s="13">
        <f>ROUND(E85*E86,2)</f>
        <v>-17165603.100000001</v>
      </c>
    </row>
    <row r="88" spans="1:5" ht="12.5">
      <c r="A88" s="11">
        <f t="shared" si="3"/>
        <v>75</v>
      </c>
      <c r="B88" s="2" t="s">
        <v>84</v>
      </c>
      <c r="C88" s="3"/>
      <c r="E88" s="3"/>
    </row>
    <row r="89" spans="1:5" ht="12.5">
      <c r="A89" s="11">
        <f t="shared" si="3"/>
        <v>76</v>
      </c>
      <c r="B89" s="2" t="s">
        <v>85</v>
      </c>
      <c r="C89" s="3">
        <f>SUM(D89:E89)</f>
        <v>352219</v>
      </c>
      <c r="D89" s="12">
        <v>352219</v>
      </c>
      <c r="E89" s="3">
        <v>0</v>
      </c>
    </row>
    <row r="90" spans="1:5" ht="12.5">
      <c r="A90" s="11">
        <f t="shared" si="3"/>
        <v>77</v>
      </c>
      <c r="B90" s="2" t="s">
        <v>86</v>
      </c>
      <c r="C90" s="13">
        <f>+C87-C89</f>
        <v>54427772.280000001</v>
      </c>
      <c r="D90" s="13">
        <f>+D87-D89</f>
        <v>71593375.390000001</v>
      </c>
      <c r="E90" s="13">
        <f>+E87-E89</f>
        <v>-17165603.100000001</v>
      </c>
    </row>
    <row r="91" spans="1:5" ht="12.5">
      <c r="A91" s="11">
        <f t="shared" si="3"/>
        <v>78</v>
      </c>
      <c r="B91" s="2" t="s">
        <v>87</v>
      </c>
      <c r="C91" s="13">
        <f>SUM(D91:E91)</f>
        <v>29870.400000000001</v>
      </c>
      <c r="D91" s="14">
        <f>ROUND((205790-63550)*0.21,2)</f>
        <v>29870.400000000001</v>
      </c>
      <c r="E91" s="13">
        <v>0</v>
      </c>
    </row>
    <row r="92" spans="1:8" ht="12.5">
      <c r="A92" s="11">
        <f t="shared" si="3"/>
        <v>79</v>
      </c>
      <c r="B92" s="2" t="s">
        <v>88</v>
      </c>
      <c r="C92" s="3">
        <f>SUM(D92:E92)</f>
        <v>7319115.7799999993</v>
      </c>
      <c r="D92" s="13">
        <v>7265245.2699999996</v>
      </c>
      <c r="E92" s="3">
        <v>53870.510000000002</v>
      </c>
      <c r="H92" s="19"/>
    </row>
    <row r="93" spans="1:5" ht="12.5">
      <c r="A93" s="11">
        <f t="shared" si="3"/>
        <v>80</v>
      </c>
      <c r="B93" s="2" t="s">
        <v>89</v>
      </c>
      <c r="C93" s="3">
        <f>SUM(D93:E93)</f>
        <v>13309</v>
      </c>
      <c r="D93" s="13">
        <v>13309</v>
      </c>
      <c r="E93" s="3">
        <v>0</v>
      </c>
    </row>
    <row r="94" spans="1:5" ht="13" thickBot="1">
      <c r="A94" s="11">
        <f t="shared" si="3"/>
        <v>81</v>
      </c>
      <c r="B94" s="2" t="s">
        <v>90</v>
      </c>
      <c r="C94" s="26">
        <f>SUM(C90:C93)</f>
        <v>61790067.460000001</v>
      </c>
      <c r="D94" s="26">
        <f t="shared" si="4" ref="D94:E94">SUM(D90:D93)</f>
        <v>78901800.060000002</v>
      </c>
      <c r="E94" s="26">
        <f t="shared" si="4"/>
        <v>-17111732.59</v>
      </c>
    </row>
    <row r="95" spans="1:5" ht="13" thickTop="1">
      <c r="A95" s="11">
        <f t="shared" si="3"/>
        <v>82</v>
      </c>
      <c r="C95" s="3"/>
      <c r="E95" s="3"/>
    </row>
    <row r="96" spans="1:5" ht="12.5">
      <c r="A96" s="11">
        <f t="shared" si="3"/>
        <v>83</v>
      </c>
      <c r="B96" s="2" t="s">
        <v>91</v>
      </c>
      <c r="C96" s="27">
        <f>ROUND(-C83*21%,2)</f>
        <v>127530045.15000001</v>
      </c>
      <c r="D96" s="27">
        <f>ROUND(-D83*21%,2)</f>
        <v>123020232.03</v>
      </c>
      <c r="E96" s="27">
        <f>ROUND(-E83*21%,2)</f>
        <v>4509813.1299999999</v>
      </c>
    </row>
    <row r="97" spans="1:5" ht="12.5">
      <c r="A97" s="11">
        <f t="shared" si="3"/>
        <v>84</v>
      </c>
      <c r="C97" s="3"/>
      <c r="E97" s="3"/>
    </row>
    <row r="98" spans="1:5" ht="12.5">
      <c r="A98" s="11">
        <f t="shared" si="3"/>
        <v>85</v>
      </c>
      <c r="B98" s="2" t="s">
        <v>92</v>
      </c>
      <c r="C98" s="3"/>
      <c r="E98" s="3"/>
    </row>
    <row r="99" spans="1:5" ht="12.5">
      <c r="A99" s="11">
        <f t="shared" si="3"/>
        <v>86</v>
      </c>
      <c r="B99" s="2" t="s">
        <v>93</v>
      </c>
      <c r="C99" s="3">
        <f>SUM(D99:E99)</f>
        <v>280766.15000000002</v>
      </c>
      <c r="D99" s="12">
        <v>280766.15000000002</v>
      </c>
      <c r="E99" s="3">
        <v>0</v>
      </c>
    </row>
    <row r="100" spans="1:5" ht="12.5">
      <c r="A100" s="11">
        <f t="shared" si="3"/>
        <v>87</v>
      </c>
      <c r="B100" s="2" t="s">
        <v>94</v>
      </c>
      <c r="C100" s="3">
        <f t="shared" si="5" ref="C100:C103">SUM(D100:E100)</f>
        <v>-22126157.399999999</v>
      </c>
      <c r="D100" s="12">
        <v>-22126157.399999999</v>
      </c>
      <c r="E100" s="3">
        <v>0</v>
      </c>
    </row>
    <row r="101" spans="1:5" ht="12.5">
      <c r="A101" s="11">
        <f t="shared" si="3"/>
        <v>88</v>
      </c>
      <c r="B101" s="2" t="s">
        <v>95</v>
      </c>
      <c r="C101" s="3">
        <f t="shared" si="5"/>
        <v>-30159718.919999998</v>
      </c>
      <c r="D101" s="12">
        <v>-30159718.919999998</v>
      </c>
      <c r="E101" s="3">
        <v>0</v>
      </c>
    </row>
    <row r="102" spans="1:5" ht="12.5">
      <c r="A102" s="11">
        <f t="shared" si="3"/>
        <v>89</v>
      </c>
      <c r="B102" s="2" t="s">
        <v>96</v>
      </c>
      <c r="C102" s="3">
        <f t="shared" si="5"/>
        <v>22574.490000000002</v>
      </c>
      <c r="D102" s="12">
        <f>ROUND(107497.56*0.21,2)</f>
        <v>22574.490000000002</v>
      </c>
      <c r="E102" s="3">
        <v>0</v>
      </c>
    </row>
    <row r="103" spans="1:5" ht="12.5">
      <c r="A103" s="11">
        <f t="shared" si="3"/>
        <v>90</v>
      </c>
      <c r="B103" s="2" t="s">
        <v>88</v>
      </c>
      <c r="C103" s="32">
        <f t="shared" si="5"/>
        <v>-7559826.4500000002</v>
      </c>
      <c r="D103" s="33">
        <v>-7559826.4500000002</v>
      </c>
      <c r="E103" s="32">
        <v>0</v>
      </c>
    </row>
    <row r="104" spans="1:5" ht="13" thickBot="1">
      <c r="A104" s="11">
        <f t="shared" si="3"/>
        <v>91</v>
      </c>
      <c r="B104" s="2" t="s">
        <v>97</v>
      </c>
      <c r="C104" s="28">
        <f>SUM(C96:C103)</f>
        <v>67987683.019999996</v>
      </c>
      <c r="D104" s="28">
        <f>SUM(D96:D103)</f>
        <v>63477869.899999991</v>
      </c>
      <c r="E104" s="28">
        <f>SUM(E96:E103)</f>
        <v>4509813.1299999999</v>
      </c>
    </row>
    <row r="105" spans="1:1" ht="13" thickTop="1">
      <c r="A105" s="11">
        <f t="shared" si="3"/>
        <v>92</v>
      </c>
    </row>
    <row r="106" spans="1:5" ht="12.5">
      <c r="A106" s="11">
        <f t="shared" si="3"/>
        <v>93</v>
      </c>
      <c r="B106" s="2" t="s">
        <v>98</v>
      </c>
      <c r="C106" s="29">
        <f>SUM(D106:E106)</f>
        <v>-1174249.98</v>
      </c>
      <c r="D106" s="29">
        <v>-1174249.98</v>
      </c>
      <c r="E106" s="29">
        <v>0</v>
      </c>
    </row>
    <row r="107" spans="1:1" ht="12.5">
      <c r="A107" s="11">
        <f t="shared" si="3"/>
        <v>94</v>
      </c>
    </row>
    <row r="108" spans="1:5" ht="13" thickBot="1">
      <c r="A108" s="11">
        <f t="shared" si="3"/>
        <v>95</v>
      </c>
      <c r="B108" s="2" t="s">
        <v>99</v>
      </c>
      <c r="C108" s="30">
        <f>+C104+C94+C106</f>
        <v>128603500.49999999</v>
      </c>
      <c r="D108" s="30">
        <f>+D104+D94+D106</f>
        <v>141205419.97999999</v>
      </c>
      <c r="E108" s="30">
        <f>+E104+E94+E106</f>
        <v>-12601919.460000001</v>
      </c>
    </row>
    <row r="109" spans="1:1" ht="13" thickTop="1">
      <c r="A109" s="11"/>
    </row>
    <row r="110" spans="1:1" ht="12.5">
      <c r="A110" s="11"/>
    </row>
    <row r="111" spans="1:7" ht="12.5">
      <c r="A111" s="11"/>
      <c r="G111" s="24"/>
    </row>
    <row r="112" spans="1:1" ht="12.5">
      <c r="A112" s="11"/>
    </row>
    <row r="113" spans="1:5" ht="12.5">
      <c r="A113" s="11"/>
      <c r="B113" s="2" t="s">
        <v>100</v>
      </c>
      <c r="C113" s="12">
        <f>SUM(D113:E113)</f>
        <v>128603500.52999999</v>
      </c>
      <c r="D113" s="3">
        <v>141205420.41999999</v>
      </c>
      <c r="E113" s="3">
        <v>-12601919.890000001</v>
      </c>
    </row>
    <row r="114" spans="1:5" ht="12.5">
      <c r="A114" s="11"/>
      <c r="B114" s="2" t="s">
        <v>101</v>
      </c>
      <c r="C114" s="27">
        <f>SUM(D114:E114)</f>
        <v>128603500.51999998</v>
      </c>
      <c r="D114" s="27">
        <f t="shared" si="6" ref="D114:E114">+D108</f>
        <v>141205419.97999999</v>
      </c>
      <c r="E114" s="27">
        <f t="shared" si="6"/>
        <v>-12601919.460000001</v>
      </c>
    </row>
    <row r="115" spans="1:5" ht="13" thickBot="1">
      <c r="A115" s="11"/>
      <c r="B115" s="2" t="s">
        <v>102</v>
      </c>
      <c r="C115" s="31">
        <f>C113-C114</f>
        <v>0.01000000536441803</v>
      </c>
      <c r="D115" s="31">
        <f t="shared" si="7" ref="D115:E115">D113-D114</f>
        <v>0.43999999761581421</v>
      </c>
      <c r="E115" s="31">
        <f t="shared" si="7"/>
        <v>-0.42999999970197678</v>
      </c>
    </row>
    <row r="116" spans="1:3" ht="13" thickTop="1">
      <c r="A116" s="11"/>
      <c r="C116" s="27"/>
    </row>
    <row r="117" spans="1:5" ht="12.5">
      <c r="A117" s="11"/>
      <c r="B117" s="2" t="s">
        <v>103</v>
      </c>
      <c r="C117" s="27">
        <f>SUM(D117:E117)</f>
        <v>66813433.019999973</v>
      </c>
      <c r="D117" s="3">
        <v>62303619.889999971</v>
      </c>
      <c r="E117" s="3">
        <v>4509813.1299999999</v>
      </c>
    </row>
    <row r="118" spans="1:5" ht="12.5">
      <c r="A118" s="11"/>
      <c r="B118" s="2" t="s">
        <v>104</v>
      </c>
      <c r="C118" s="27">
        <f>SUM(D118:E118)</f>
        <v>66813433.049999997</v>
      </c>
      <c r="D118" s="27">
        <f t="shared" si="8" ref="D118:E118">D104+D106</f>
        <v>62303619.919999994</v>
      </c>
      <c r="E118" s="27">
        <f t="shared" si="8"/>
        <v>4509813.1299999999</v>
      </c>
    </row>
    <row r="119" spans="1:5" ht="13" thickBot="1">
      <c r="A119" s="11"/>
      <c r="B119" s="2" t="s">
        <v>102</v>
      </c>
      <c r="C119" s="31">
        <f>C117-C118</f>
        <v>-0.030000023543834686</v>
      </c>
      <c r="D119" s="31">
        <f t="shared" si="9" ref="D119:E119">D117-D118</f>
        <v>-0.030000023543834686</v>
      </c>
      <c r="E119" s="31">
        <f t="shared" si="9"/>
        <v>0</v>
      </c>
    </row>
    <row r="120" spans="1:3" ht="13" thickTop="1">
      <c r="A120" s="11"/>
      <c r="C120" s="29"/>
    </row>
    <row r="121" spans="1:5" ht="12.5">
      <c r="A121" s="11"/>
      <c r="B121" s="2" t="s">
        <v>105</v>
      </c>
      <c r="C121" s="27">
        <f>SUM(D121:E121)</f>
        <v>61790067.509999998</v>
      </c>
      <c r="D121" s="3">
        <v>78901800.530000001</v>
      </c>
      <c r="E121" s="3">
        <v>-17111733.020000003</v>
      </c>
    </row>
    <row r="122" spans="1:5" ht="12.5">
      <c r="A122" s="11"/>
      <c r="B122" s="2" t="s">
        <v>106</v>
      </c>
      <c r="C122" s="27">
        <f>SUM(D122:E122)</f>
        <v>61790067.469999999</v>
      </c>
      <c r="D122" s="27">
        <f>D94</f>
        <v>78901800.060000002</v>
      </c>
      <c r="E122" s="27">
        <f>E94</f>
        <v>-17111732.59</v>
      </c>
    </row>
    <row r="123" spans="2:5" ht="13" thickBot="1">
      <c r="B123" s="2" t="s">
        <v>102</v>
      </c>
      <c r="C123" s="31">
        <f>C121-C122</f>
        <v>0.039999999105930328</v>
      </c>
      <c r="D123" s="31">
        <f t="shared" si="10" ref="D123:E123">D121-D122</f>
        <v>0.4699999988079071</v>
      </c>
      <c r="E123" s="31">
        <f t="shared" si="10"/>
        <v>-0.43000000342726707</v>
      </c>
    </row>
    <row r="124" ht="13" thickTop="1"/>
    <row r="126" spans="2:5" ht="12.5">
      <c r="B126" s="2" t="s">
        <v>107</v>
      </c>
      <c r="C126" s="12">
        <v>260857101.34999999</v>
      </c>
      <c r="D126" s="3">
        <v>342598068.5</v>
      </c>
      <c r="E126" s="3">
        <v>-81740967.150000006</v>
      </c>
    </row>
    <row r="127" spans="2:5" ht="12.5">
      <c r="B127" s="2" t="s">
        <v>108</v>
      </c>
      <c r="C127" s="27">
        <f>+C85</f>
        <v>260857101.34999979</v>
      </c>
      <c r="D127" s="27">
        <f t="shared" si="11" ref="D127:E127">+D85</f>
        <v>342598068.5</v>
      </c>
      <c r="E127" s="27">
        <f t="shared" si="11"/>
        <v>-81740967.150000006</v>
      </c>
    </row>
    <row r="128" spans="2:5" ht="13" thickBot="1">
      <c r="B128" s="2" t="s">
        <v>102</v>
      </c>
      <c r="C128" s="31">
        <f>C126-C127</f>
        <v>0</v>
      </c>
      <c r="D128" s="31">
        <f t="shared" si="12" ref="D128:E128">D126-D127</f>
        <v>0</v>
      </c>
      <c r="E128" s="31">
        <f t="shared" si="12"/>
        <v>0</v>
      </c>
    </row>
    <row r="129" ht="13" thickTop="1"/>
  </sheetData>
  <mergeCells count="5">
    <mergeCell ref="A1:E1"/>
    <mergeCell ref="A2:E2"/>
    <mergeCell ref="A3:E3"/>
    <mergeCell ref="A4:E4"/>
    <mergeCell ref="A5:E5"/>
  </mergeCells>
  <printOptions horizontalCentered="1"/>
  <pageMargins left="1.5" right="0.7" top="1.5" bottom="0.75" header="1" footer="0.3"/>
  <pageSetup fitToHeight="2" orientation="portrait" scale="69" r:id="rId1"/>
  <headerFooter>
    <oddHeader>&amp;RWP/II-E-3.15/1
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II-E-3.15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