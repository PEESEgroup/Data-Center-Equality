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0" yWindow="0" windowWidth="28800" windowHeight="12705" activeTab="0"/>
  </bookViews>
  <sheets>
    <sheet name="WP II-E-4.1.1 TRF" sheetId="1" r:id="rId2"/>
  </sheets>
  <definedNames>
    <definedName name="_xlnm.Print_Area" localSheetId="0">'WP II-E-4.1.1 TRF'!$A$1:$F$29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1" l="1"/>
</calcChain>
</file>

<file path=xl/sharedStrings.xml><?xml version="1.0" encoding="utf-8"?>
<sst xmlns="http://schemas.openxmlformats.org/spreadsheetml/2006/main" count="48" uniqueCount="48">
  <si>
    <t>FITDSGRD</t>
  </si>
  <si>
    <t>Guardlights FIT Ref</t>
  </si>
  <si>
    <t>FITDSLPR</t>
  </si>
  <si>
    <t>Primary grtr 10kw FIT Ref</t>
  </si>
  <si>
    <t>FITDSLSC</t>
  </si>
  <si>
    <t>Secondary gtr 10kw FIT Ref</t>
  </si>
  <si>
    <t>FITDSMTL</t>
  </si>
  <si>
    <t>Metered SL FIT Ref</t>
  </si>
  <si>
    <t>FITDSRES</t>
  </si>
  <si>
    <t>Residential FIT Ref</t>
  </si>
  <si>
    <t>FITDSSPR</t>
  </si>
  <si>
    <t>Primary less 10kw FIT Ref</t>
  </si>
  <si>
    <t>FITDSSSC</t>
  </si>
  <si>
    <t>Secondary less 10kw FIT Ref</t>
  </si>
  <si>
    <t>FITDSSUB</t>
  </si>
  <si>
    <t>Primary Substation FIT Ref</t>
  </si>
  <si>
    <t>FITDSTRN</t>
  </si>
  <si>
    <t>Transmission FIT Ref</t>
  </si>
  <si>
    <t>FITDSUML</t>
  </si>
  <si>
    <t>Unmetered SL  FIT Ref</t>
  </si>
  <si>
    <t>FITRFDLS</t>
  </si>
  <si>
    <t>FIT RATE CHANGE REFUND</t>
  </si>
  <si>
    <t>FITRFXFM</t>
  </si>
  <si>
    <t>FIT RATE CHANGE REFUND XFMR</t>
  </si>
  <si>
    <t>FITRLDIS</t>
  </si>
  <si>
    <t>REG LIABILITY FOR FIT CHANGE</t>
  </si>
  <si>
    <t>Docket No. 48325, Item No. 128, Page 13 of 28</t>
  </si>
  <si>
    <t>Refunds to-date incl. cancel/rebills</t>
  </si>
  <si>
    <t>Requested recovery</t>
  </si>
  <si>
    <t>Three projects reflect lighting class.</t>
  </si>
  <si>
    <t>Total</t>
  </si>
  <si>
    <t>Oncor Electric Delivery Company LLC</t>
  </si>
  <si>
    <t>Page 1 of 1</t>
  </si>
  <si>
    <t>Project</t>
  </si>
  <si>
    <t>Project Description</t>
  </si>
  <si>
    <t>Regulatory Liability Account 2541351</t>
  </si>
  <si>
    <t>Over-Refund of Tax Refund Factor (Docket No. 48325 Rider TRF &amp; Rider WTRF - DLS &amp; XFMR)</t>
  </si>
  <si>
    <t>Over-refund to be collected/(refunded)</t>
  </si>
  <si>
    <t>To be collected/(refunded)</t>
  </si>
  <si>
    <t>for the Tax Refund Factor</t>
  </si>
  <si>
    <t>WP II-E-4.1.1 TRF</t>
  </si>
  <si>
    <t>Balance at Dec 31, 2021</t>
  </si>
  <si>
    <t>K&amp;M adjustment #39</t>
  </si>
  <si>
    <t>Account 928</t>
  </si>
  <si>
    <t>Over 5 years</t>
  </si>
  <si>
    <t>2022 Rate Case</t>
  </si>
  <si>
    <t>For Test Year Ending December 31, 2021</t>
  </si>
  <si>
    <t>Sponsor:  W. Alan Ledbetter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</si>
</sst>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8"/>
      <color theme="1"/>
      <name val="Arial"/>
      <family val="2"/>
    </font>
    <font>
      <sz val="8"/>
      <color theme="1"/>
      <name val="Arial"/>
      <family val="2"/>
    </font>
    <font>
      <u val="singleAccounting"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/>
      <protection/>
    </xf>
  </cellStyleXfs>
  <cellXfs count="34">
    <xf numFmtId="0" fontId="0" fillId="0" borderId="0" xfId="0"/>
    <xf numFmtId="44" fontId="0" fillId="0" borderId="0" xfId="16" applyFont="1"/>
    <xf numFmtId="164" fontId="0" fillId="0" borderId="0" xfId="16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16" applyFont="1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16" applyFont="1" applyBorder="1" applyAlignment="1">
      <alignment horizontal="center"/>
    </xf>
    <xf numFmtId="164" fontId="0" fillId="0" borderId="1" xfId="16" applyNumberFormat="1" applyFont="1" applyBorder="1" applyAlignment="1">
      <alignment horizontal="center"/>
    </xf>
    <xf numFmtId="44" fontId="5" fillId="0" borderId="0" xfId="16" applyFont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0" fillId="0" borderId="0" xfId="0" applyFont="1"/>
    <xf numFmtId="0" fontId="0" fillId="0" borderId="0" xfId="0" applyFill="1"/>
    <xf numFmtId="44" fontId="0" fillId="0" borderId="0" xfId="0" applyNumberFormat="1" applyFill="1"/>
    <xf numFmtId="164" fontId="0" fillId="0" borderId="0" xfId="16" applyNumberFormat="1" applyFont="1" applyFill="1" applyAlignment="1">
      <alignment horizontal="center"/>
    </xf>
    <xf numFmtId="44" fontId="0" fillId="0" borderId="0" xfId="16" applyFont="1" applyFill="1"/>
    <xf numFmtId="164" fontId="0" fillId="0" borderId="0" xfId="16" applyNumberFormat="1" applyFont="1" applyFill="1"/>
    <xf numFmtId="44" fontId="0" fillId="0" borderId="0" xfId="0" applyNumberFormat="1" applyFill="1" applyAlignment="1">
      <alignment horizontal="right"/>
    </xf>
    <xf numFmtId="0" fontId="6" fillId="0" borderId="0" xfId="0" applyFont="1"/>
    <xf numFmtId="44" fontId="6" fillId="0" borderId="0" xfId="16" applyFont="1"/>
    <xf numFmtId="164" fontId="6" fillId="0" borderId="0" xfId="16" applyNumberFormat="1" applyFont="1"/>
    <xf numFmtId="0" fontId="7" fillId="0" borderId="0" xfId="0" applyFont="1" applyAlignment="1">
      <alignment horizontal="right"/>
    </xf>
    <xf numFmtId="0" fontId="7" fillId="0" borderId="0" xfId="0" applyFont="1"/>
    <xf numFmtId="44" fontId="7" fillId="0" borderId="0" xfId="16" applyFont="1"/>
    <xf numFmtId="0" fontId="6" fillId="0" borderId="0" xfId="0" applyFont="1" applyAlignment="1">
      <alignment horizontal="center"/>
    </xf>
    <xf numFmtId="44" fontId="6" fillId="0" borderId="0" xfId="16" applyFont="1" applyAlignment="1">
      <alignment horizontal="center"/>
    </xf>
    <xf numFmtId="44" fontId="0" fillId="0" borderId="0" xfId="16" applyNumberFormat="1" applyFont="1" applyFill="1"/>
    <xf numFmtId="164" fontId="0" fillId="0" borderId="1" xfId="16" applyNumberFormat="1" applyFont="1" applyFill="1" applyBorder="1"/>
    <xf numFmtId="44" fontId="0" fillId="0" borderId="1" xfId="16" applyNumberFormat="1" applyFont="1" applyFill="1" applyBorder="1"/>
    <xf numFmtId="44" fontId="0" fillId="0" borderId="1" xfId="16" applyFont="1" applyFill="1" applyBorder="1"/>
    <xf numFmtId="44" fontId="0" fillId="0" borderId="1" xfId="0" applyNumberFormat="1" applyFill="1" applyBorder="1"/>
    <xf numFmtId="0" fontId="0" fillId="0" borderId="0" xfId="0" applyFill="1" applyAlignment="1">
      <alignment horizontal="right"/>
    </xf>
    <xf numFmtId="0" fontId="4" fillId="0" borderId="0" xfId="0" applyFont="1" applyFill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 2 3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H50"/>
  <sheetViews>
    <sheetView tabSelected="1" workbookViewId="0" topLeftCell="A1">
      <selection pane="topLeft" activeCell="C7" sqref="C7"/>
    </sheetView>
  </sheetViews>
  <sheetFormatPr defaultRowHeight="15"/>
  <cols>
    <col min="1" max="1" width="9.42857142857143" customWidth="1"/>
    <col min="2" max="2" width="28.4285714285714" bestFit="1" customWidth="1"/>
    <col min="3" max="3" width="39.4285714285714" bestFit="1" customWidth="1"/>
    <col min="4" max="4" width="31.1428571428571" style="1" bestFit="1" customWidth="1"/>
    <col min="5" max="5" width="35.2857142857143" style="2" bestFit="1" customWidth="1"/>
    <col min="6" max="6" width="24.5714285714286" bestFit="1" customWidth="1"/>
  </cols>
  <sheetData>
    <row r="1" spans="1:6" s="19" customFormat="1" ht="15">
      <c r="A1" s="19" t="s">
        <v>45</v>
      </c>
      <c r="D1" s="20"/>
      <c r="E1" s="21"/>
      <c r="F1" s="22" t="s">
        <v>40</v>
      </c>
    </row>
    <row r="2" spans="1:8" s="19" customFormat="1" ht="15">
      <c r="A2" s="19" t="s">
        <v>31</v>
      </c>
      <c r="B2" s="23"/>
      <c r="C2" s="23"/>
      <c r="D2" s="23"/>
      <c r="E2" s="23"/>
      <c r="F2" s="22" t="s">
        <v>32</v>
      </c>
      <c r="G2" s="24"/>
      <c r="H2" s="24"/>
    </row>
    <row r="3" spans="1:8" s="19" customFormat="1" ht="15">
      <c r="A3" s="19" t="s">
        <v>36</v>
      </c>
      <c r="B3" s="23"/>
      <c r="C3" s="23"/>
      <c r="D3" s="23"/>
      <c r="E3" s="23"/>
      <c r="G3" s="24"/>
      <c r="H3" s="24"/>
    </row>
    <row r="4" spans="1:5" s="19" customFormat="1" ht="15">
      <c r="A4" s="19" t="s">
        <v>46</v>
      </c>
      <c r="D4" s="20"/>
      <c r="E4" s="21"/>
    </row>
    <row r="5" spans="1:5" s="19" customFormat="1" ht="15">
      <c r="A5" s="19" t="s">
        <v>47</v>
      </c>
      <c r="C5" s="25"/>
      <c r="D5" s="26"/>
      <c r="E5" s="21"/>
    </row>
    <row r="6" spans="3:5" s="19" customFormat="1" ht="15">
      <c r="C6" s="25"/>
      <c r="D6" s="26"/>
      <c r="E6" s="21"/>
    </row>
    <row r="7" spans="3:5" s="19" customFormat="1" ht="15">
      <c r="C7" s="25"/>
      <c r="D7" s="26"/>
      <c r="E7" s="21"/>
    </row>
    <row r="8" spans="1:5" ht="15">
      <c r="A8" s="12"/>
      <c r="C8" s="5"/>
      <c r="D8" s="6"/>
      <c r="E8" s="6" t="s">
        <v>35</v>
      </c>
    </row>
    <row r="9" spans="1:6" ht="17.25">
      <c r="A9" s="12"/>
      <c r="C9" s="5"/>
      <c r="D9" s="6"/>
      <c r="E9" s="6" t="s">
        <v>39</v>
      </c>
      <c r="F9" s="10" t="s">
        <v>28</v>
      </c>
    </row>
    <row r="10" spans="3:6" ht="15">
      <c r="C10" s="5"/>
      <c r="D10" s="6"/>
      <c r="E10" s="15" t="s">
        <v>41</v>
      </c>
      <c r="F10" s="6" t="s">
        <v>38</v>
      </c>
    </row>
    <row r="11" spans="1:6" ht="15">
      <c r="A11" s="7" t="s">
        <v>33</v>
      </c>
      <c r="B11" s="7" t="s">
        <v>34</v>
      </c>
      <c r="C11" s="7" t="s">
        <v>26</v>
      </c>
      <c r="D11" s="8" t="s">
        <v>27</v>
      </c>
      <c r="E11" s="9" t="s">
        <v>37</v>
      </c>
      <c r="F11" s="8" t="s">
        <v>44</v>
      </c>
    </row>
    <row r="12" spans="1:3" ht="15">
      <c r="A12" t="s">
        <v>24</v>
      </c>
      <c r="B12" t="s">
        <v>25</v>
      </c>
      <c r="C12" s="2">
        <v>-57776722</v>
      </c>
    </row>
    <row r="13" spans="3:3" ht="15">
      <c r="C13" s="2"/>
    </row>
    <row r="14" spans="1:5" s="13" customFormat="1" ht="15">
      <c r="A14" s="13" t="s">
        <v>0</v>
      </c>
      <c r="B14" s="13" t="s">
        <v>1</v>
      </c>
      <c r="C14" s="27"/>
      <c r="D14" s="27">
        <v>136108.92000000001</v>
      </c>
      <c r="E14" s="16"/>
    </row>
    <row r="15" spans="1:6" s="13" customFormat="1" ht="15">
      <c r="A15" s="13" t="s">
        <v>2</v>
      </c>
      <c r="B15" s="13" t="s">
        <v>3</v>
      </c>
      <c r="C15" s="17">
        <v>-2804446</v>
      </c>
      <c r="D15" s="27">
        <v>3206979.02</v>
      </c>
      <c r="E15" s="16">
        <f>((C15/C$27)*C$12)+D15</f>
        <v>402533.02000000002</v>
      </c>
      <c r="F15" s="14">
        <f>E15/5</f>
        <v>80506.604000000007</v>
      </c>
    </row>
    <row r="16" spans="1:6" s="13" customFormat="1" ht="15">
      <c r="A16" s="13" t="s">
        <v>4</v>
      </c>
      <c r="B16" s="13" t="s">
        <v>5</v>
      </c>
      <c r="C16" s="17">
        <v>-20632346</v>
      </c>
      <c r="D16" s="27">
        <v>21971226.469999999</v>
      </c>
      <c r="E16" s="16">
        <f>((C16/C$27)*C$12)+D16</f>
        <v>1338880.4699999988</v>
      </c>
      <c r="F16" s="14">
        <f>E16/5</f>
        <v>267776.09399999975</v>
      </c>
    </row>
    <row r="17" spans="1:6" s="13" customFormat="1" ht="15">
      <c r="A17" s="13" t="s">
        <v>6</v>
      </c>
      <c r="B17" s="13" t="s">
        <v>7</v>
      </c>
      <c r="C17" s="17"/>
      <c r="D17" s="27">
        <v>21018.900000000001</v>
      </c>
      <c r="E17" s="16"/>
      <c r="F17" s="14"/>
    </row>
    <row r="18" spans="1:6" s="13" customFormat="1" ht="15">
      <c r="A18" s="13" t="s">
        <v>8</v>
      </c>
      <c r="B18" s="13" t="s">
        <v>9</v>
      </c>
      <c r="C18" s="17">
        <f>-31765367+1</f>
        <v>-31765366</v>
      </c>
      <c r="D18" s="27">
        <v>32455092.379999999</v>
      </c>
      <c r="E18" s="16">
        <f>((C18/C$27)*C$12)+D18</f>
        <v>689726.37999999523</v>
      </c>
      <c r="F18" s="14">
        <f t="shared" si="0" ref="F18:F25">E18/5</f>
        <v>137945.27599999905</v>
      </c>
    </row>
    <row r="19" spans="1:6" s="13" customFormat="1" ht="15">
      <c r="A19" s="13" t="s">
        <v>10</v>
      </c>
      <c r="B19" s="13" t="s">
        <v>11</v>
      </c>
      <c r="C19" s="17">
        <v>-18590</v>
      </c>
      <c r="D19" s="27">
        <v>18992.670000000002</v>
      </c>
      <c r="E19" s="16">
        <f>((C19/C$27)*C$12)+D19</f>
        <v>402.67000000000189</v>
      </c>
      <c r="F19" s="14">
        <f t="shared" si="0"/>
        <v>80.534000000000376</v>
      </c>
    </row>
    <row r="20" spans="1:6" s="13" customFormat="1" ht="15">
      <c r="A20" s="13" t="s">
        <v>12</v>
      </c>
      <c r="B20" s="13" t="s">
        <v>13</v>
      </c>
      <c r="C20" s="17">
        <v>-1431657</v>
      </c>
      <c r="D20" s="27">
        <v>1364443</v>
      </c>
      <c r="E20" s="16">
        <f>((C20/C$27)*C$12)+D20</f>
        <v>-67214</v>
      </c>
      <c r="F20" s="14">
        <f t="shared" si="0"/>
        <v>-13442.799999999999</v>
      </c>
    </row>
    <row r="21" spans="1:6" s="13" customFormat="1" ht="15">
      <c r="A21" s="13" t="s">
        <v>14</v>
      </c>
      <c r="B21" s="13" t="s">
        <v>15</v>
      </c>
      <c r="C21" s="17">
        <v>-206308</v>
      </c>
      <c r="D21" s="27">
        <v>225329.20999999999</v>
      </c>
      <c r="E21" s="16">
        <f>((C21/C$27)*C$12)+D21</f>
        <v>19021.209999999992</v>
      </c>
      <c r="F21" s="14">
        <f t="shared" si="0"/>
        <v>3804.2419999999984</v>
      </c>
    </row>
    <row r="22" spans="1:6" s="13" customFormat="1" ht="15">
      <c r="A22" s="13" t="s">
        <v>16</v>
      </c>
      <c r="B22" s="13" t="s">
        <v>17</v>
      </c>
      <c r="C22" s="17">
        <v>-129003</v>
      </c>
      <c r="D22" s="27">
        <v>128944.39</v>
      </c>
      <c r="E22" s="16">
        <f>((C22/C$27)*C$12)+D22</f>
        <v>-58.610000000000582</v>
      </c>
      <c r="F22" s="14">
        <f t="shared" si="0"/>
        <v>-11.722000000000117</v>
      </c>
    </row>
    <row r="23" spans="1:6" s="13" customFormat="1" ht="15">
      <c r="A23" s="13" t="s">
        <v>18</v>
      </c>
      <c r="B23" s="13" t="s">
        <v>19</v>
      </c>
      <c r="C23" s="17">
        <v>-619407</v>
      </c>
      <c r="D23" s="27">
        <v>442404.97999999998</v>
      </c>
      <c r="E23" s="16">
        <f>((C23/C$27)*C$12)+D23+D17+D14</f>
        <v>-19874.200000000012</v>
      </c>
      <c r="F23" s="14">
        <f t="shared" si="0"/>
        <v>-3974.8400000000024</v>
      </c>
    </row>
    <row r="24" spans="1:6" s="13" customFormat="1" ht="15">
      <c r="A24" s="13" t="s">
        <v>20</v>
      </c>
      <c r="B24" s="13" t="s">
        <v>21</v>
      </c>
      <c r="C24" s="17">
        <v>-139285</v>
      </c>
      <c r="D24" s="27">
        <v>141996.67999999999</v>
      </c>
      <c r="E24" s="16">
        <f>((C24/C$27)*C$12)+D24</f>
        <v>2711.679999999993</v>
      </c>
      <c r="F24" s="14">
        <f t="shared" si="0"/>
        <v>542.33599999999865</v>
      </c>
    </row>
    <row r="25" spans="1:6" s="13" customFormat="1" ht="15">
      <c r="A25" s="13" t="s">
        <v>22</v>
      </c>
      <c r="B25" s="13" t="s">
        <v>23</v>
      </c>
      <c r="C25" s="28">
        <v>-30314</v>
      </c>
      <c r="D25" s="29">
        <v>32488.670000000002</v>
      </c>
      <c r="E25" s="30">
        <f>((C25/C$27)*C$12)+D25</f>
        <v>2174.6700000000055</v>
      </c>
      <c r="F25" s="31">
        <f t="shared" si="0"/>
        <v>434.93400000000111</v>
      </c>
    </row>
    <row r="26" spans="3:5" s="13" customFormat="1" ht="15">
      <c r="C26" s="17"/>
      <c r="D26" s="16"/>
      <c r="E26" s="17"/>
    </row>
    <row r="27" spans="2:6" s="13" customFormat="1" ht="15">
      <c r="B27" s="13" t="s">
        <v>30</v>
      </c>
      <c r="C27" s="17">
        <f>SUM(C14:C26)</f>
        <v>-57776722</v>
      </c>
      <c r="D27" s="16">
        <f>SUM(D14:D26)</f>
        <v>60145025.289999999</v>
      </c>
      <c r="E27" s="16">
        <f>SUM(E14:E26)</f>
        <v>2368303.289999994</v>
      </c>
      <c r="F27" s="16">
        <f>SUM(F14:F26)</f>
        <v>473660.65799999877</v>
      </c>
    </row>
    <row r="28" spans="4:6" s="13" customFormat="1" ht="15">
      <c r="D28" s="16"/>
      <c r="E28" s="17"/>
      <c r="F28" s="32" t="s">
        <v>42</v>
      </c>
    </row>
    <row r="29" spans="1:6" s="13" customFormat="1" ht="15">
      <c r="A29" s="33" t="s">
        <v>29</v>
      </c>
      <c r="D29" s="16"/>
      <c r="E29" s="17"/>
      <c r="F29" s="18" t="s">
        <v>43</v>
      </c>
    </row>
    <row r="30" spans="4:5" s="13" customFormat="1" ht="15">
      <c r="D30" s="16"/>
      <c r="E30" s="17"/>
    </row>
    <row r="31" spans="4:5" s="13" customFormat="1" ht="15">
      <c r="D31" s="15"/>
      <c r="E31" s="15"/>
    </row>
    <row r="32" spans="4:6" ht="15">
      <c r="D32" s="16"/>
      <c r="E32" s="17"/>
      <c r="F32" s="3"/>
    </row>
    <row r="33" spans="6:6" ht="15">
      <c r="F33" s="4"/>
    </row>
    <row r="34" spans="6:6" ht="15">
      <c r="F34" s="11"/>
    </row>
    <row r="36" spans="1:2" ht="15">
      <c r="A36" s="13"/>
      <c r="B36" s="13"/>
    </row>
    <row r="37" spans="1:2" ht="15">
      <c r="A37" s="13"/>
      <c r="B37" s="14"/>
    </row>
    <row r="38" spans="1:2" ht="15">
      <c r="A38" s="13"/>
      <c r="B38" s="14"/>
    </row>
    <row r="39" spans="1:2" ht="15">
      <c r="A39" s="13"/>
      <c r="B39" s="14"/>
    </row>
    <row r="40" spans="1:2" ht="15">
      <c r="A40" s="13"/>
      <c r="B40" s="14"/>
    </row>
    <row r="41" spans="1:2" ht="15">
      <c r="A41" s="13"/>
      <c r="B41" s="14"/>
    </row>
    <row r="42" spans="1:2" ht="15">
      <c r="A42" s="13"/>
      <c r="B42" s="14"/>
    </row>
    <row r="43" spans="1:2" ht="15">
      <c r="A43" s="13"/>
      <c r="B43" s="14"/>
    </row>
    <row r="44" spans="1:2" ht="15">
      <c r="A44" s="13"/>
      <c r="B44" s="14"/>
    </row>
    <row r="45" spans="1:2" ht="15">
      <c r="A45" s="13"/>
      <c r="B45" s="14"/>
    </row>
    <row r="46" spans="1:2" ht="15">
      <c r="A46" s="13"/>
      <c r="B46" s="14"/>
    </row>
    <row r="47" spans="1:2" ht="15">
      <c r="A47" s="13"/>
      <c r="B47" s="14"/>
    </row>
    <row r="48" spans="1:2" ht="15">
      <c r="A48" s="13"/>
      <c r="B48" s="14"/>
    </row>
    <row r="49" spans="1:2" ht="15">
      <c r="A49" s="13"/>
      <c r="B49" s="13"/>
    </row>
    <row r="50" spans="1:2" ht="15">
      <c r="A50" s="13"/>
      <c r="B50" s="13"/>
    </row>
  </sheetData>
  <pageMargins left="0.5" right="0.5" top="1.5" bottom="0.5" header="0.3" footer="0.3"/>
  <pageSetup orientation="landscape" scale="7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II-E-4.1.1 TRF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