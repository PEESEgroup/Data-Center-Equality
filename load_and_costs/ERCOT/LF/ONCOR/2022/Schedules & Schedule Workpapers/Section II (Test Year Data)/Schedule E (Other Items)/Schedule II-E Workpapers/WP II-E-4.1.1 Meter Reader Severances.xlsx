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14715" windowHeight="4185" activeTab="0"/>
  </bookViews>
  <sheets>
    <sheet name="WP II-E-4.1.1 AMS MR Severances" sheetId="1" r:id="rId2"/>
  </sheets>
  <definedNames>
    <definedName name="_xlnm.Print_Area" localSheetId="0">'WP II-E-4.1.1 AMS MR Severances'!$A$11:$J$205</definedName>
    <definedName name="_xlnm.Print_Titles" localSheetId="0">'WP II-E-4.1.1 AMS MR Severances'!$1:$10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2" i="1" l="1"/>
</calcChain>
</file>

<file path=xl/sharedStrings.xml><?xml version="1.0" encoding="utf-8"?>
<sst xmlns="http://schemas.openxmlformats.org/spreadsheetml/2006/main" count="39" uniqueCount="39">
  <si>
    <t>Current Month</t>
  </si>
  <si>
    <t>Beg/End Bal Month</t>
  </si>
  <si>
    <t>Beginning Bal</t>
  </si>
  <si>
    <t>Prior month amortization</t>
  </si>
  <si>
    <t>Activity</t>
  </si>
  <si>
    <t>Ending Balance</t>
  </si>
  <si>
    <t>Amortization Periods</t>
  </si>
  <si>
    <t>Current Month Amortization</t>
  </si>
  <si>
    <t>26 days of amort based on prior rate case amortization of 11 years</t>
  </si>
  <si>
    <t>4 days of amortization based on Dkt 46957 amort of 5 years</t>
  </si>
  <si>
    <t>11/27/2017 - 11/30/2017</t>
  </si>
  <si>
    <t>November 26, 2017 Unamortized Bal</t>
  </si>
  <si>
    <t>Monthly Amortization</t>
  </si>
  <si>
    <t>Months</t>
  </si>
  <si>
    <t>Reference Docket No. 46957 Finding of Fact Nos.:</t>
  </si>
  <si>
    <t>36. All Oncor investment, including advanced metering system (AMS) investment, through</t>
  </si>
  <si>
    <t>the end of the test year (December 31, 2016) of $10,989,502,464, including</t>
  </si>
  <si>
    <t>$12,570,327,998 of net plant in service, as presented in Oncor's RFP, is prudent and</t>
  </si>
  <si>
    <t>includable in rate base, except that the six neighborhood reliability lithium-ion batteries</t>
  </si>
  <si>
    <t>used by Oncor are not included in this finding. Oncor can seek a prudence finding related</t>
  </si>
  <si>
    <t>to these batteries in a future proceeding.</t>
  </si>
  <si>
    <t>37. All investment in the distribution and transmission assets that are provided to Oncor in the</t>
  </si>
  <si>
    <t>Sharyland Transaction are used by and useful to Oncor in providing service, are prudent,</t>
  </si>
  <si>
    <t>reasonable, and necessary, and are includable in Oncor's rate base, which with the</t>
  </si>
  <si>
    <t>inclusion of those assets is $10,991,993,213.</t>
  </si>
  <si>
    <t>Five-year amortization was approved in Docket No. 46957 and began 11-27-2017 when rates were effective.  (Previously, recovered through AMCRF which ended 11-26-2017.)</t>
  </si>
  <si>
    <t>Test year amortization</t>
  </si>
  <si>
    <t>per year</t>
  </si>
  <si>
    <t>A902</t>
  </si>
  <si>
    <t>Reg Asset Account 1824000 Meter Reader Severances (AMS)</t>
  </si>
  <si>
    <t>Meter Reader Severances (AMS) were approved in Docket No. 46957.</t>
  </si>
  <si>
    <t>partial month (26 days)</t>
  </si>
  <si>
    <t>K&amp;M O&amp;M adjustment #35</t>
  </si>
  <si>
    <t>Requesting five-year amortization in the 2021 base rate case</t>
  </si>
  <si>
    <t>If approved in 2022 base rate case, amortization schedule will be revised to reflect five-year recovery of 12-31-2021 balance.</t>
  </si>
  <si>
    <t>ONCOR ELECTRIC DELIVERY COMPANY LLC</t>
  </si>
  <si>
    <t>2022 Rate Case</t>
  </si>
  <si>
    <t>For Test Year Ending December 31, 2021</t>
  </si>
  <si>
    <t>Sponsor: 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</si>
</sst>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mmmm\-yy;@"/>
    <numFmt numFmtId="165" formatCode="0_);\(0\)"/>
    <numFmt numFmtId="166" formatCode="mm/dd/yy;@"/>
    <numFmt numFmtId="167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43" fontId="2" fillId="0" borderId="0" applyFont="0" applyFill="0" applyBorder="0" applyAlignment="0" applyProtection="0"/>
  </cellStyleXfs>
  <cellXfs count="27">
    <xf numFmtId="0" fontId="0" fillId="0" borderId="0" xfId="0"/>
    <xf numFmtId="43" fontId="2" fillId="0" borderId="0" xfId="21" applyFont="1" applyFill="1"/>
    <xf numFmtId="165" fontId="0" fillId="0" borderId="0" xfId="21" applyNumberFormat="1" applyFont="1" applyFill="1"/>
    <xf numFmtId="43" fontId="2" fillId="0" borderId="0" xfId="20" applyNumberFormat="1" applyFill="1">
      <alignment/>
      <protection/>
    </xf>
    <xf numFmtId="0" fontId="2" fillId="0" borderId="0" xfId="20" applyFill="1">
      <alignment/>
      <protection/>
    </xf>
    <xf numFmtId="17" fontId="2" fillId="0" borderId="0" xfId="20" applyNumberFormat="1" applyFill="1">
      <alignment/>
      <protection/>
    </xf>
    <xf numFmtId="166" fontId="2" fillId="0" borderId="0" xfId="20" applyNumberFormat="1" applyFill="1" applyAlignment="1">
      <alignment/>
      <protection/>
    </xf>
    <xf numFmtId="166" fontId="2" fillId="0" borderId="0" xfId="20" applyNumberFormat="1" applyFill="1" applyAlignment="1">
      <alignment horizontal="right"/>
      <protection/>
    </xf>
    <xf numFmtId="164" fontId="2" fillId="0" borderId="0" xfId="20" applyNumberFormat="1" applyFont="1" applyFill="1">
      <alignment/>
      <protection/>
    </xf>
    <xf numFmtId="43" fontId="0" fillId="0" borderId="0" xfId="21" applyFont="1" applyFill="1"/>
    <xf numFmtId="43" fontId="3" fillId="0" borderId="0" xfId="21" applyFont="1" applyFill="1"/>
    <xf numFmtId="0" fontId="2" fillId="0" borderId="0" xfId="20" applyFill="1" applyBorder="1">
      <alignment/>
      <protection/>
    </xf>
    <xf numFmtId="43" fontId="2" fillId="0" borderId="0" xfId="20" applyNumberFormat="1" applyFill="1" applyBorder="1">
      <alignment/>
      <protection/>
    </xf>
    <xf numFmtId="43" fontId="2" fillId="0" borderId="1" xfId="20" applyNumberFormat="1" applyFill="1" applyBorder="1">
      <alignment/>
      <protection/>
    </xf>
    <xf numFmtId="0" fontId="2" fillId="0" borderId="0" xfId="20" applyFill="1" applyAlignment="1">
      <alignment horizontal="right"/>
      <protection/>
    </xf>
    <xf numFmtId="164" fontId="2" fillId="0" borderId="0" xfId="20" applyNumberFormat="1" applyFill="1">
      <alignment/>
      <protection/>
    </xf>
    <xf numFmtId="0" fontId="3" fillId="0" borderId="2" xfId="20" applyFont="1" applyFill="1" applyBorder="1" applyAlignment="1">
      <alignment horizontal="center" wrapText="1"/>
      <protection/>
    </xf>
    <xf numFmtId="0" fontId="5" fillId="0" borderId="0" xfId="20" applyFont="1" applyFill="1">
      <alignment/>
      <protection/>
    </xf>
    <xf numFmtId="0" fontId="2" fillId="0" borderId="0" xfId="20" applyFont="1" applyFill="1">
      <alignment/>
      <protection/>
    </xf>
    <xf numFmtId="164" fontId="2" fillId="0" borderId="0" xfId="20" applyNumberFormat="1" applyFill="1" quotePrefix="1">
      <alignment/>
      <protection/>
    </xf>
    <xf numFmtId="0" fontId="4" fillId="0" borderId="0" xfId="20" applyFont="1" applyFill="1">
      <alignment/>
      <protection/>
    </xf>
    <xf numFmtId="0" fontId="6" fillId="0" borderId="0" xfId="20" applyFont="1" applyFill="1">
      <alignment/>
      <protection/>
    </xf>
    <xf numFmtId="167" fontId="0" fillId="0" borderId="1" xfId="21" applyNumberFormat="1" applyFont="1" applyFill="1" applyBorder="1"/>
    <xf numFmtId="0" fontId="3" fillId="0" borderId="0" xfId="20" applyFont="1" applyFill="1">
      <alignment/>
      <protection/>
    </xf>
    <xf numFmtId="0" fontId="3" fillId="0" borderId="0" xfId="20" applyFont="1" applyFill="1" applyAlignment="1">
      <alignment horizontal="right"/>
      <protection/>
    </xf>
    <xf numFmtId="164" fontId="3" fillId="0" borderId="2" xfId="20" applyNumberFormat="1" applyFont="1" applyFill="1" applyBorder="1" applyAlignment="1">
      <alignment horizontal="center" wrapText="1"/>
      <protection/>
    </xf>
    <xf numFmtId="0" fontId="3" fillId="0" borderId="0" xfId="20" applyFont="1" applyFill="1" applyAlignment="1">
      <alignment horizontal="center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Comma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O204"/>
  <sheetViews>
    <sheetView tabSelected="1" workbookViewId="0" topLeftCell="A1">
      <selection pane="topLeft" activeCell="E39" sqref="E39"/>
    </sheetView>
  </sheetViews>
  <sheetFormatPr defaultRowHeight="12.75"/>
  <cols>
    <col min="1" max="1" width="9.14285714285714" style="4"/>
    <col min="2" max="2" width="22.1428571428571" style="15" customWidth="1"/>
    <col min="3" max="3" width="12.8571428571429" style="4" customWidth="1"/>
    <col min="4" max="4" width="16.5714285714286" style="4" customWidth="1"/>
    <col min="5" max="5" width="13.1428571428571" style="4" customWidth="1"/>
    <col min="6" max="6" width="15.4285714285714" style="4" customWidth="1"/>
    <col min="7" max="7" width="15.2857142857143" style="4" customWidth="1"/>
    <col min="8" max="8" width="16.2857142857143" style="4" customWidth="1"/>
    <col min="9" max="9" width="14.8571428571429" style="4" customWidth="1"/>
    <col min="10" max="10" width="12.7142857142857" style="4" customWidth="1"/>
    <col min="11" max="13" width="11.7142857142857" style="4" customWidth="1"/>
    <col min="14" max="14" width="18.8571428571429" style="4" bestFit="1" customWidth="1"/>
    <col min="15" max="15" width="12.5714285714286" style="4" customWidth="1"/>
    <col min="16" max="16" width="12.8571428571429" style="4" customWidth="1"/>
    <col min="17" max="17" width="15.7142857142857" style="4" customWidth="1"/>
    <col min="18" max="18" width="13.1428571428571" style="4" customWidth="1"/>
    <col min="19" max="257" width="9.14285714285714" style="4"/>
    <col min="258" max="258" width="22" style="4" customWidth="1"/>
    <col min="259" max="259" width="12.8571428571429" style="4" customWidth="1"/>
    <col min="260" max="260" width="16.5714285714286" style="4" customWidth="1"/>
    <col min="261" max="261" width="13.1428571428571" style="4" customWidth="1"/>
    <col min="262" max="262" width="15.4285714285714" style="4" customWidth="1"/>
    <col min="263" max="263" width="13.4285714285714" style="4" customWidth="1"/>
    <col min="264" max="264" width="14" style="4" customWidth="1"/>
    <col min="265" max="265" width="14.8571428571429" style="4" customWidth="1"/>
    <col min="266" max="266" width="12.7142857142857" style="4" customWidth="1"/>
    <col min="267" max="269" width="11.7142857142857" style="4" customWidth="1"/>
    <col min="270" max="270" width="12.4285714285714" style="4" customWidth="1"/>
    <col min="271" max="271" width="12.5714285714286" style="4" customWidth="1"/>
    <col min="272" max="272" width="12.8571428571429" style="4" customWidth="1"/>
    <col min="273" max="273" width="15.7142857142857" style="4" customWidth="1"/>
    <col min="274" max="274" width="13.1428571428571" style="4" customWidth="1"/>
    <col min="275" max="513" width="9.14285714285714" style="4"/>
    <col min="514" max="514" width="22" style="4" customWidth="1"/>
    <col min="515" max="515" width="12.8571428571429" style="4" customWidth="1"/>
    <col min="516" max="516" width="16.5714285714286" style="4" customWidth="1"/>
    <col min="517" max="517" width="13.1428571428571" style="4" customWidth="1"/>
    <col min="518" max="518" width="15.4285714285714" style="4" customWidth="1"/>
    <col min="519" max="519" width="13.4285714285714" style="4" customWidth="1"/>
    <col min="520" max="520" width="14" style="4" customWidth="1"/>
    <col min="521" max="521" width="14.8571428571429" style="4" customWidth="1"/>
    <col min="522" max="522" width="12.7142857142857" style="4" customWidth="1"/>
    <col min="523" max="525" width="11.7142857142857" style="4" customWidth="1"/>
    <col min="526" max="526" width="12.4285714285714" style="4" customWidth="1"/>
    <col min="527" max="527" width="12.5714285714286" style="4" customWidth="1"/>
    <col min="528" max="528" width="12.8571428571429" style="4" customWidth="1"/>
    <col min="529" max="529" width="15.7142857142857" style="4" customWidth="1"/>
    <col min="530" max="530" width="13.1428571428571" style="4" customWidth="1"/>
    <col min="531" max="769" width="9.14285714285714" style="4"/>
    <col min="770" max="770" width="22" style="4" customWidth="1"/>
    <col min="771" max="771" width="12.8571428571429" style="4" customWidth="1"/>
    <col min="772" max="772" width="16.5714285714286" style="4" customWidth="1"/>
    <col min="773" max="773" width="13.1428571428571" style="4" customWidth="1"/>
    <col min="774" max="774" width="15.4285714285714" style="4" customWidth="1"/>
    <col min="775" max="775" width="13.4285714285714" style="4" customWidth="1"/>
    <col min="776" max="776" width="14" style="4" customWidth="1"/>
    <col min="777" max="777" width="14.8571428571429" style="4" customWidth="1"/>
    <col min="778" max="778" width="12.7142857142857" style="4" customWidth="1"/>
    <col min="779" max="781" width="11.7142857142857" style="4" customWidth="1"/>
    <col min="782" max="782" width="12.4285714285714" style="4" customWidth="1"/>
    <col min="783" max="783" width="12.5714285714286" style="4" customWidth="1"/>
    <col min="784" max="784" width="12.8571428571429" style="4" customWidth="1"/>
    <col min="785" max="785" width="15.7142857142857" style="4" customWidth="1"/>
    <col min="786" max="786" width="13.1428571428571" style="4" customWidth="1"/>
    <col min="787" max="1025" width="9.14285714285714" style="4"/>
    <col min="1026" max="1026" width="22" style="4" customWidth="1"/>
    <col min="1027" max="1027" width="12.8571428571429" style="4" customWidth="1"/>
    <col min="1028" max="1028" width="16.5714285714286" style="4" customWidth="1"/>
    <col min="1029" max="1029" width="13.1428571428571" style="4" customWidth="1"/>
    <col min="1030" max="1030" width="15.4285714285714" style="4" customWidth="1"/>
    <col min="1031" max="1031" width="13.4285714285714" style="4" customWidth="1"/>
    <col min="1032" max="1032" width="14" style="4" customWidth="1"/>
    <col min="1033" max="1033" width="14.8571428571429" style="4" customWidth="1"/>
    <col min="1034" max="1034" width="12.7142857142857" style="4" customWidth="1"/>
    <col min="1035" max="1037" width="11.7142857142857" style="4" customWidth="1"/>
    <col min="1038" max="1038" width="12.4285714285714" style="4" customWidth="1"/>
    <col min="1039" max="1039" width="12.5714285714286" style="4" customWidth="1"/>
    <col min="1040" max="1040" width="12.8571428571429" style="4" customWidth="1"/>
    <col min="1041" max="1041" width="15.7142857142857" style="4" customWidth="1"/>
    <col min="1042" max="1042" width="13.1428571428571" style="4" customWidth="1"/>
    <col min="1043" max="1281" width="9.14285714285714" style="4"/>
    <col min="1282" max="1282" width="22" style="4" customWidth="1"/>
    <col min="1283" max="1283" width="12.8571428571429" style="4" customWidth="1"/>
    <col min="1284" max="1284" width="16.5714285714286" style="4" customWidth="1"/>
    <col min="1285" max="1285" width="13.1428571428571" style="4" customWidth="1"/>
    <col min="1286" max="1286" width="15.4285714285714" style="4" customWidth="1"/>
    <col min="1287" max="1287" width="13.4285714285714" style="4" customWidth="1"/>
    <col min="1288" max="1288" width="14" style="4" customWidth="1"/>
    <col min="1289" max="1289" width="14.8571428571429" style="4" customWidth="1"/>
    <col min="1290" max="1290" width="12.7142857142857" style="4" customWidth="1"/>
    <col min="1291" max="1293" width="11.7142857142857" style="4" customWidth="1"/>
    <col min="1294" max="1294" width="12.4285714285714" style="4" customWidth="1"/>
    <col min="1295" max="1295" width="12.5714285714286" style="4" customWidth="1"/>
    <col min="1296" max="1296" width="12.8571428571429" style="4" customWidth="1"/>
    <col min="1297" max="1297" width="15.7142857142857" style="4" customWidth="1"/>
    <col min="1298" max="1298" width="13.1428571428571" style="4" customWidth="1"/>
    <col min="1299" max="1537" width="9.14285714285714" style="4"/>
    <col min="1538" max="1538" width="22" style="4" customWidth="1"/>
    <col min="1539" max="1539" width="12.8571428571429" style="4" customWidth="1"/>
    <col min="1540" max="1540" width="16.5714285714286" style="4" customWidth="1"/>
    <col min="1541" max="1541" width="13.1428571428571" style="4" customWidth="1"/>
    <col min="1542" max="1542" width="15.4285714285714" style="4" customWidth="1"/>
    <col min="1543" max="1543" width="13.4285714285714" style="4" customWidth="1"/>
    <col min="1544" max="1544" width="14" style="4" customWidth="1"/>
    <col min="1545" max="1545" width="14.8571428571429" style="4" customWidth="1"/>
    <col min="1546" max="1546" width="12.7142857142857" style="4" customWidth="1"/>
    <col min="1547" max="1549" width="11.7142857142857" style="4" customWidth="1"/>
    <col min="1550" max="1550" width="12.4285714285714" style="4" customWidth="1"/>
    <col min="1551" max="1551" width="12.5714285714286" style="4" customWidth="1"/>
    <col min="1552" max="1552" width="12.8571428571429" style="4" customWidth="1"/>
    <col min="1553" max="1553" width="15.7142857142857" style="4" customWidth="1"/>
    <col min="1554" max="1554" width="13.1428571428571" style="4" customWidth="1"/>
    <col min="1555" max="1793" width="9.14285714285714" style="4"/>
    <col min="1794" max="1794" width="22" style="4" customWidth="1"/>
    <col min="1795" max="1795" width="12.8571428571429" style="4" customWidth="1"/>
    <col min="1796" max="1796" width="16.5714285714286" style="4" customWidth="1"/>
    <col min="1797" max="1797" width="13.1428571428571" style="4" customWidth="1"/>
    <col min="1798" max="1798" width="15.4285714285714" style="4" customWidth="1"/>
    <col min="1799" max="1799" width="13.4285714285714" style="4" customWidth="1"/>
    <col min="1800" max="1800" width="14" style="4" customWidth="1"/>
    <col min="1801" max="1801" width="14.8571428571429" style="4" customWidth="1"/>
    <col min="1802" max="1802" width="12.7142857142857" style="4" customWidth="1"/>
    <col min="1803" max="1805" width="11.7142857142857" style="4" customWidth="1"/>
    <col min="1806" max="1806" width="12.4285714285714" style="4" customWidth="1"/>
    <col min="1807" max="1807" width="12.5714285714286" style="4" customWidth="1"/>
    <col min="1808" max="1808" width="12.8571428571429" style="4" customWidth="1"/>
    <col min="1809" max="1809" width="15.7142857142857" style="4" customWidth="1"/>
    <col min="1810" max="1810" width="13.1428571428571" style="4" customWidth="1"/>
    <col min="1811" max="2049" width="9.14285714285714" style="4"/>
    <col min="2050" max="2050" width="22" style="4" customWidth="1"/>
    <col min="2051" max="2051" width="12.8571428571429" style="4" customWidth="1"/>
    <col min="2052" max="2052" width="16.5714285714286" style="4" customWidth="1"/>
    <col min="2053" max="2053" width="13.1428571428571" style="4" customWidth="1"/>
    <col min="2054" max="2054" width="15.4285714285714" style="4" customWidth="1"/>
    <col min="2055" max="2055" width="13.4285714285714" style="4" customWidth="1"/>
    <col min="2056" max="2056" width="14" style="4" customWidth="1"/>
    <col min="2057" max="2057" width="14.8571428571429" style="4" customWidth="1"/>
    <col min="2058" max="2058" width="12.7142857142857" style="4" customWidth="1"/>
    <col min="2059" max="2061" width="11.7142857142857" style="4" customWidth="1"/>
    <col min="2062" max="2062" width="12.4285714285714" style="4" customWidth="1"/>
    <col min="2063" max="2063" width="12.5714285714286" style="4" customWidth="1"/>
    <col min="2064" max="2064" width="12.8571428571429" style="4" customWidth="1"/>
    <col min="2065" max="2065" width="15.7142857142857" style="4" customWidth="1"/>
    <col min="2066" max="2066" width="13.1428571428571" style="4" customWidth="1"/>
    <col min="2067" max="2305" width="9.14285714285714" style="4"/>
    <col min="2306" max="2306" width="22" style="4" customWidth="1"/>
    <col min="2307" max="2307" width="12.8571428571429" style="4" customWidth="1"/>
    <col min="2308" max="2308" width="16.5714285714286" style="4" customWidth="1"/>
    <col min="2309" max="2309" width="13.1428571428571" style="4" customWidth="1"/>
    <col min="2310" max="2310" width="15.4285714285714" style="4" customWidth="1"/>
    <col min="2311" max="2311" width="13.4285714285714" style="4" customWidth="1"/>
    <col min="2312" max="2312" width="14" style="4" customWidth="1"/>
    <col min="2313" max="2313" width="14.8571428571429" style="4" customWidth="1"/>
    <col min="2314" max="2314" width="12.7142857142857" style="4" customWidth="1"/>
    <col min="2315" max="2317" width="11.7142857142857" style="4" customWidth="1"/>
    <col min="2318" max="2318" width="12.4285714285714" style="4" customWidth="1"/>
    <col min="2319" max="2319" width="12.5714285714286" style="4" customWidth="1"/>
    <col min="2320" max="2320" width="12.8571428571429" style="4" customWidth="1"/>
    <col min="2321" max="2321" width="15.7142857142857" style="4" customWidth="1"/>
    <col min="2322" max="2322" width="13.1428571428571" style="4" customWidth="1"/>
    <col min="2323" max="2561" width="9.14285714285714" style="4"/>
    <col min="2562" max="2562" width="22" style="4" customWidth="1"/>
    <col min="2563" max="2563" width="12.8571428571429" style="4" customWidth="1"/>
    <col min="2564" max="2564" width="16.5714285714286" style="4" customWidth="1"/>
    <col min="2565" max="2565" width="13.1428571428571" style="4" customWidth="1"/>
    <col min="2566" max="2566" width="15.4285714285714" style="4" customWidth="1"/>
    <col min="2567" max="2567" width="13.4285714285714" style="4" customWidth="1"/>
    <col min="2568" max="2568" width="14" style="4" customWidth="1"/>
    <col min="2569" max="2569" width="14.8571428571429" style="4" customWidth="1"/>
    <col min="2570" max="2570" width="12.7142857142857" style="4" customWidth="1"/>
    <col min="2571" max="2573" width="11.7142857142857" style="4" customWidth="1"/>
    <col min="2574" max="2574" width="12.4285714285714" style="4" customWidth="1"/>
    <col min="2575" max="2575" width="12.5714285714286" style="4" customWidth="1"/>
    <col min="2576" max="2576" width="12.8571428571429" style="4" customWidth="1"/>
    <col min="2577" max="2577" width="15.7142857142857" style="4" customWidth="1"/>
    <col min="2578" max="2578" width="13.1428571428571" style="4" customWidth="1"/>
    <col min="2579" max="2817" width="9.14285714285714" style="4"/>
    <col min="2818" max="2818" width="22" style="4" customWidth="1"/>
    <col min="2819" max="2819" width="12.8571428571429" style="4" customWidth="1"/>
    <col min="2820" max="2820" width="16.5714285714286" style="4" customWidth="1"/>
    <col min="2821" max="2821" width="13.1428571428571" style="4" customWidth="1"/>
    <col min="2822" max="2822" width="15.4285714285714" style="4" customWidth="1"/>
    <col min="2823" max="2823" width="13.4285714285714" style="4" customWidth="1"/>
    <col min="2824" max="2824" width="14" style="4" customWidth="1"/>
    <col min="2825" max="2825" width="14.8571428571429" style="4" customWidth="1"/>
    <col min="2826" max="2826" width="12.7142857142857" style="4" customWidth="1"/>
    <col min="2827" max="2829" width="11.7142857142857" style="4" customWidth="1"/>
    <col min="2830" max="2830" width="12.4285714285714" style="4" customWidth="1"/>
    <col min="2831" max="2831" width="12.5714285714286" style="4" customWidth="1"/>
    <col min="2832" max="2832" width="12.8571428571429" style="4" customWidth="1"/>
    <col min="2833" max="2833" width="15.7142857142857" style="4" customWidth="1"/>
    <col min="2834" max="2834" width="13.1428571428571" style="4" customWidth="1"/>
    <col min="2835" max="3073" width="9.14285714285714" style="4"/>
    <col min="3074" max="3074" width="22" style="4" customWidth="1"/>
    <col min="3075" max="3075" width="12.8571428571429" style="4" customWidth="1"/>
    <col min="3076" max="3076" width="16.5714285714286" style="4" customWidth="1"/>
    <col min="3077" max="3077" width="13.1428571428571" style="4" customWidth="1"/>
    <col min="3078" max="3078" width="15.4285714285714" style="4" customWidth="1"/>
    <col min="3079" max="3079" width="13.4285714285714" style="4" customWidth="1"/>
    <col min="3080" max="3080" width="14" style="4" customWidth="1"/>
    <col min="3081" max="3081" width="14.8571428571429" style="4" customWidth="1"/>
    <col min="3082" max="3082" width="12.7142857142857" style="4" customWidth="1"/>
    <col min="3083" max="3085" width="11.7142857142857" style="4" customWidth="1"/>
    <col min="3086" max="3086" width="12.4285714285714" style="4" customWidth="1"/>
    <col min="3087" max="3087" width="12.5714285714286" style="4" customWidth="1"/>
    <col min="3088" max="3088" width="12.8571428571429" style="4" customWidth="1"/>
    <col min="3089" max="3089" width="15.7142857142857" style="4" customWidth="1"/>
    <col min="3090" max="3090" width="13.1428571428571" style="4" customWidth="1"/>
    <col min="3091" max="3329" width="9.14285714285714" style="4"/>
    <col min="3330" max="3330" width="22" style="4" customWidth="1"/>
    <col min="3331" max="3331" width="12.8571428571429" style="4" customWidth="1"/>
    <col min="3332" max="3332" width="16.5714285714286" style="4" customWidth="1"/>
    <col min="3333" max="3333" width="13.1428571428571" style="4" customWidth="1"/>
    <col min="3334" max="3334" width="15.4285714285714" style="4" customWidth="1"/>
    <col min="3335" max="3335" width="13.4285714285714" style="4" customWidth="1"/>
    <col min="3336" max="3336" width="14" style="4" customWidth="1"/>
    <col min="3337" max="3337" width="14.8571428571429" style="4" customWidth="1"/>
    <col min="3338" max="3338" width="12.7142857142857" style="4" customWidth="1"/>
    <col min="3339" max="3341" width="11.7142857142857" style="4" customWidth="1"/>
    <col min="3342" max="3342" width="12.4285714285714" style="4" customWidth="1"/>
    <col min="3343" max="3343" width="12.5714285714286" style="4" customWidth="1"/>
    <col min="3344" max="3344" width="12.8571428571429" style="4" customWidth="1"/>
    <col min="3345" max="3345" width="15.7142857142857" style="4" customWidth="1"/>
    <col min="3346" max="3346" width="13.1428571428571" style="4" customWidth="1"/>
    <col min="3347" max="3585" width="9.14285714285714" style="4"/>
    <col min="3586" max="3586" width="22" style="4" customWidth="1"/>
    <col min="3587" max="3587" width="12.8571428571429" style="4" customWidth="1"/>
    <col min="3588" max="3588" width="16.5714285714286" style="4" customWidth="1"/>
    <col min="3589" max="3589" width="13.1428571428571" style="4" customWidth="1"/>
    <col min="3590" max="3590" width="15.4285714285714" style="4" customWidth="1"/>
    <col min="3591" max="3591" width="13.4285714285714" style="4" customWidth="1"/>
    <col min="3592" max="3592" width="14" style="4" customWidth="1"/>
    <col min="3593" max="3593" width="14.8571428571429" style="4" customWidth="1"/>
    <col min="3594" max="3594" width="12.7142857142857" style="4" customWidth="1"/>
    <col min="3595" max="3597" width="11.7142857142857" style="4" customWidth="1"/>
    <col min="3598" max="3598" width="12.4285714285714" style="4" customWidth="1"/>
    <col min="3599" max="3599" width="12.5714285714286" style="4" customWidth="1"/>
    <col min="3600" max="3600" width="12.8571428571429" style="4" customWidth="1"/>
    <col min="3601" max="3601" width="15.7142857142857" style="4" customWidth="1"/>
    <col min="3602" max="3602" width="13.1428571428571" style="4" customWidth="1"/>
    <col min="3603" max="3841" width="9.14285714285714" style="4"/>
    <col min="3842" max="3842" width="22" style="4" customWidth="1"/>
    <col min="3843" max="3843" width="12.8571428571429" style="4" customWidth="1"/>
    <col min="3844" max="3844" width="16.5714285714286" style="4" customWidth="1"/>
    <col min="3845" max="3845" width="13.1428571428571" style="4" customWidth="1"/>
    <col min="3846" max="3846" width="15.4285714285714" style="4" customWidth="1"/>
    <col min="3847" max="3847" width="13.4285714285714" style="4" customWidth="1"/>
    <col min="3848" max="3848" width="14" style="4" customWidth="1"/>
    <col min="3849" max="3849" width="14.8571428571429" style="4" customWidth="1"/>
    <col min="3850" max="3850" width="12.7142857142857" style="4" customWidth="1"/>
    <col min="3851" max="3853" width="11.7142857142857" style="4" customWidth="1"/>
    <col min="3854" max="3854" width="12.4285714285714" style="4" customWidth="1"/>
    <col min="3855" max="3855" width="12.5714285714286" style="4" customWidth="1"/>
    <col min="3856" max="3856" width="12.8571428571429" style="4" customWidth="1"/>
    <col min="3857" max="3857" width="15.7142857142857" style="4" customWidth="1"/>
    <col min="3858" max="3858" width="13.1428571428571" style="4" customWidth="1"/>
    <col min="3859" max="4097" width="9.14285714285714" style="4"/>
    <col min="4098" max="4098" width="22" style="4" customWidth="1"/>
    <col min="4099" max="4099" width="12.8571428571429" style="4" customWidth="1"/>
    <col min="4100" max="4100" width="16.5714285714286" style="4" customWidth="1"/>
    <col min="4101" max="4101" width="13.1428571428571" style="4" customWidth="1"/>
    <col min="4102" max="4102" width="15.4285714285714" style="4" customWidth="1"/>
    <col min="4103" max="4103" width="13.4285714285714" style="4" customWidth="1"/>
    <col min="4104" max="4104" width="14" style="4" customWidth="1"/>
    <col min="4105" max="4105" width="14.8571428571429" style="4" customWidth="1"/>
    <col min="4106" max="4106" width="12.7142857142857" style="4" customWidth="1"/>
    <col min="4107" max="4109" width="11.7142857142857" style="4" customWidth="1"/>
    <col min="4110" max="4110" width="12.4285714285714" style="4" customWidth="1"/>
    <col min="4111" max="4111" width="12.5714285714286" style="4" customWidth="1"/>
    <col min="4112" max="4112" width="12.8571428571429" style="4" customWidth="1"/>
    <col min="4113" max="4113" width="15.7142857142857" style="4" customWidth="1"/>
    <col min="4114" max="4114" width="13.1428571428571" style="4" customWidth="1"/>
    <col min="4115" max="4353" width="9.14285714285714" style="4"/>
    <col min="4354" max="4354" width="22" style="4" customWidth="1"/>
    <col min="4355" max="4355" width="12.8571428571429" style="4" customWidth="1"/>
    <col min="4356" max="4356" width="16.5714285714286" style="4" customWidth="1"/>
    <col min="4357" max="4357" width="13.1428571428571" style="4" customWidth="1"/>
    <col min="4358" max="4358" width="15.4285714285714" style="4" customWidth="1"/>
    <col min="4359" max="4359" width="13.4285714285714" style="4" customWidth="1"/>
    <col min="4360" max="4360" width="14" style="4" customWidth="1"/>
    <col min="4361" max="4361" width="14.8571428571429" style="4" customWidth="1"/>
    <col min="4362" max="4362" width="12.7142857142857" style="4" customWidth="1"/>
    <col min="4363" max="4365" width="11.7142857142857" style="4" customWidth="1"/>
    <col min="4366" max="4366" width="12.4285714285714" style="4" customWidth="1"/>
    <col min="4367" max="4367" width="12.5714285714286" style="4" customWidth="1"/>
    <col min="4368" max="4368" width="12.8571428571429" style="4" customWidth="1"/>
    <col min="4369" max="4369" width="15.7142857142857" style="4" customWidth="1"/>
    <col min="4370" max="4370" width="13.1428571428571" style="4" customWidth="1"/>
    <col min="4371" max="4609" width="9.14285714285714" style="4"/>
    <col min="4610" max="4610" width="22" style="4" customWidth="1"/>
    <col min="4611" max="4611" width="12.8571428571429" style="4" customWidth="1"/>
    <col min="4612" max="4612" width="16.5714285714286" style="4" customWidth="1"/>
    <col min="4613" max="4613" width="13.1428571428571" style="4" customWidth="1"/>
    <col min="4614" max="4614" width="15.4285714285714" style="4" customWidth="1"/>
    <col min="4615" max="4615" width="13.4285714285714" style="4" customWidth="1"/>
    <col min="4616" max="4616" width="14" style="4" customWidth="1"/>
    <col min="4617" max="4617" width="14.8571428571429" style="4" customWidth="1"/>
    <col min="4618" max="4618" width="12.7142857142857" style="4" customWidth="1"/>
    <col min="4619" max="4621" width="11.7142857142857" style="4" customWidth="1"/>
    <col min="4622" max="4622" width="12.4285714285714" style="4" customWidth="1"/>
    <col min="4623" max="4623" width="12.5714285714286" style="4" customWidth="1"/>
    <col min="4624" max="4624" width="12.8571428571429" style="4" customWidth="1"/>
    <col min="4625" max="4625" width="15.7142857142857" style="4" customWidth="1"/>
    <col min="4626" max="4626" width="13.1428571428571" style="4" customWidth="1"/>
    <col min="4627" max="4865" width="9.14285714285714" style="4"/>
    <col min="4866" max="4866" width="22" style="4" customWidth="1"/>
    <col min="4867" max="4867" width="12.8571428571429" style="4" customWidth="1"/>
    <col min="4868" max="4868" width="16.5714285714286" style="4" customWidth="1"/>
    <col min="4869" max="4869" width="13.1428571428571" style="4" customWidth="1"/>
    <col min="4870" max="4870" width="15.4285714285714" style="4" customWidth="1"/>
    <col min="4871" max="4871" width="13.4285714285714" style="4" customWidth="1"/>
    <col min="4872" max="4872" width="14" style="4" customWidth="1"/>
    <col min="4873" max="4873" width="14.8571428571429" style="4" customWidth="1"/>
    <col min="4874" max="4874" width="12.7142857142857" style="4" customWidth="1"/>
    <col min="4875" max="4877" width="11.7142857142857" style="4" customWidth="1"/>
    <col min="4878" max="4878" width="12.4285714285714" style="4" customWidth="1"/>
    <col min="4879" max="4879" width="12.5714285714286" style="4" customWidth="1"/>
    <col min="4880" max="4880" width="12.8571428571429" style="4" customWidth="1"/>
    <col min="4881" max="4881" width="15.7142857142857" style="4" customWidth="1"/>
    <col min="4882" max="4882" width="13.1428571428571" style="4" customWidth="1"/>
    <col min="4883" max="5121" width="9.14285714285714" style="4"/>
    <col min="5122" max="5122" width="22" style="4" customWidth="1"/>
    <col min="5123" max="5123" width="12.8571428571429" style="4" customWidth="1"/>
    <col min="5124" max="5124" width="16.5714285714286" style="4" customWidth="1"/>
    <col min="5125" max="5125" width="13.1428571428571" style="4" customWidth="1"/>
    <col min="5126" max="5126" width="15.4285714285714" style="4" customWidth="1"/>
    <col min="5127" max="5127" width="13.4285714285714" style="4" customWidth="1"/>
    <col min="5128" max="5128" width="14" style="4" customWidth="1"/>
    <col min="5129" max="5129" width="14.8571428571429" style="4" customWidth="1"/>
    <col min="5130" max="5130" width="12.7142857142857" style="4" customWidth="1"/>
    <col min="5131" max="5133" width="11.7142857142857" style="4" customWidth="1"/>
    <col min="5134" max="5134" width="12.4285714285714" style="4" customWidth="1"/>
    <col min="5135" max="5135" width="12.5714285714286" style="4" customWidth="1"/>
    <col min="5136" max="5136" width="12.8571428571429" style="4" customWidth="1"/>
    <col min="5137" max="5137" width="15.7142857142857" style="4" customWidth="1"/>
    <col min="5138" max="5138" width="13.1428571428571" style="4" customWidth="1"/>
    <col min="5139" max="5377" width="9.14285714285714" style="4"/>
    <col min="5378" max="5378" width="22" style="4" customWidth="1"/>
    <col min="5379" max="5379" width="12.8571428571429" style="4" customWidth="1"/>
    <col min="5380" max="5380" width="16.5714285714286" style="4" customWidth="1"/>
    <col min="5381" max="5381" width="13.1428571428571" style="4" customWidth="1"/>
    <col min="5382" max="5382" width="15.4285714285714" style="4" customWidth="1"/>
    <col min="5383" max="5383" width="13.4285714285714" style="4" customWidth="1"/>
    <col min="5384" max="5384" width="14" style="4" customWidth="1"/>
    <col min="5385" max="5385" width="14.8571428571429" style="4" customWidth="1"/>
    <col min="5386" max="5386" width="12.7142857142857" style="4" customWidth="1"/>
    <col min="5387" max="5389" width="11.7142857142857" style="4" customWidth="1"/>
    <col min="5390" max="5390" width="12.4285714285714" style="4" customWidth="1"/>
    <col min="5391" max="5391" width="12.5714285714286" style="4" customWidth="1"/>
    <col min="5392" max="5392" width="12.8571428571429" style="4" customWidth="1"/>
    <col min="5393" max="5393" width="15.7142857142857" style="4" customWidth="1"/>
    <col min="5394" max="5394" width="13.1428571428571" style="4" customWidth="1"/>
    <col min="5395" max="5633" width="9.14285714285714" style="4"/>
    <col min="5634" max="5634" width="22" style="4" customWidth="1"/>
    <col min="5635" max="5635" width="12.8571428571429" style="4" customWidth="1"/>
    <col min="5636" max="5636" width="16.5714285714286" style="4" customWidth="1"/>
    <col min="5637" max="5637" width="13.1428571428571" style="4" customWidth="1"/>
    <col min="5638" max="5638" width="15.4285714285714" style="4" customWidth="1"/>
    <col min="5639" max="5639" width="13.4285714285714" style="4" customWidth="1"/>
    <col min="5640" max="5640" width="14" style="4" customWidth="1"/>
    <col min="5641" max="5641" width="14.8571428571429" style="4" customWidth="1"/>
    <col min="5642" max="5642" width="12.7142857142857" style="4" customWidth="1"/>
    <col min="5643" max="5645" width="11.7142857142857" style="4" customWidth="1"/>
    <col min="5646" max="5646" width="12.4285714285714" style="4" customWidth="1"/>
    <col min="5647" max="5647" width="12.5714285714286" style="4" customWidth="1"/>
    <col min="5648" max="5648" width="12.8571428571429" style="4" customWidth="1"/>
    <col min="5649" max="5649" width="15.7142857142857" style="4" customWidth="1"/>
    <col min="5650" max="5650" width="13.1428571428571" style="4" customWidth="1"/>
    <col min="5651" max="5889" width="9.14285714285714" style="4"/>
    <col min="5890" max="5890" width="22" style="4" customWidth="1"/>
    <col min="5891" max="5891" width="12.8571428571429" style="4" customWidth="1"/>
    <col min="5892" max="5892" width="16.5714285714286" style="4" customWidth="1"/>
    <col min="5893" max="5893" width="13.1428571428571" style="4" customWidth="1"/>
    <col min="5894" max="5894" width="15.4285714285714" style="4" customWidth="1"/>
    <col min="5895" max="5895" width="13.4285714285714" style="4" customWidth="1"/>
    <col min="5896" max="5896" width="14" style="4" customWidth="1"/>
    <col min="5897" max="5897" width="14.8571428571429" style="4" customWidth="1"/>
    <col min="5898" max="5898" width="12.7142857142857" style="4" customWidth="1"/>
    <col min="5899" max="5901" width="11.7142857142857" style="4" customWidth="1"/>
    <col min="5902" max="5902" width="12.4285714285714" style="4" customWidth="1"/>
    <col min="5903" max="5903" width="12.5714285714286" style="4" customWidth="1"/>
    <col min="5904" max="5904" width="12.8571428571429" style="4" customWidth="1"/>
    <col min="5905" max="5905" width="15.7142857142857" style="4" customWidth="1"/>
    <col min="5906" max="5906" width="13.1428571428571" style="4" customWidth="1"/>
    <col min="5907" max="6145" width="9.14285714285714" style="4"/>
    <col min="6146" max="6146" width="22" style="4" customWidth="1"/>
    <col min="6147" max="6147" width="12.8571428571429" style="4" customWidth="1"/>
    <col min="6148" max="6148" width="16.5714285714286" style="4" customWidth="1"/>
    <col min="6149" max="6149" width="13.1428571428571" style="4" customWidth="1"/>
    <col min="6150" max="6150" width="15.4285714285714" style="4" customWidth="1"/>
    <col min="6151" max="6151" width="13.4285714285714" style="4" customWidth="1"/>
    <col min="6152" max="6152" width="14" style="4" customWidth="1"/>
    <col min="6153" max="6153" width="14.8571428571429" style="4" customWidth="1"/>
    <col min="6154" max="6154" width="12.7142857142857" style="4" customWidth="1"/>
    <col min="6155" max="6157" width="11.7142857142857" style="4" customWidth="1"/>
    <col min="6158" max="6158" width="12.4285714285714" style="4" customWidth="1"/>
    <col min="6159" max="6159" width="12.5714285714286" style="4" customWidth="1"/>
    <col min="6160" max="6160" width="12.8571428571429" style="4" customWidth="1"/>
    <col min="6161" max="6161" width="15.7142857142857" style="4" customWidth="1"/>
    <col min="6162" max="6162" width="13.1428571428571" style="4" customWidth="1"/>
    <col min="6163" max="6401" width="9.14285714285714" style="4"/>
    <col min="6402" max="6402" width="22" style="4" customWidth="1"/>
    <col min="6403" max="6403" width="12.8571428571429" style="4" customWidth="1"/>
    <col min="6404" max="6404" width="16.5714285714286" style="4" customWidth="1"/>
    <col min="6405" max="6405" width="13.1428571428571" style="4" customWidth="1"/>
    <col min="6406" max="6406" width="15.4285714285714" style="4" customWidth="1"/>
    <col min="6407" max="6407" width="13.4285714285714" style="4" customWidth="1"/>
    <col min="6408" max="6408" width="14" style="4" customWidth="1"/>
    <col min="6409" max="6409" width="14.8571428571429" style="4" customWidth="1"/>
    <col min="6410" max="6410" width="12.7142857142857" style="4" customWidth="1"/>
    <col min="6411" max="6413" width="11.7142857142857" style="4" customWidth="1"/>
    <col min="6414" max="6414" width="12.4285714285714" style="4" customWidth="1"/>
    <col min="6415" max="6415" width="12.5714285714286" style="4" customWidth="1"/>
    <col min="6416" max="6416" width="12.8571428571429" style="4" customWidth="1"/>
    <col min="6417" max="6417" width="15.7142857142857" style="4" customWidth="1"/>
    <col min="6418" max="6418" width="13.1428571428571" style="4" customWidth="1"/>
    <col min="6419" max="6657" width="9.14285714285714" style="4"/>
    <col min="6658" max="6658" width="22" style="4" customWidth="1"/>
    <col min="6659" max="6659" width="12.8571428571429" style="4" customWidth="1"/>
    <col min="6660" max="6660" width="16.5714285714286" style="4" customWidth="1"/>
    <col min="6661" max="6661" width="13.1428571428571" style="4" customWidth="1"/>
    <col min="6662" max="6662" width="15.4285714285714" style="4" customWidth="1"/>
    <col min="6663" max="6663" width="13.4285714285714" style="4" customWidth="1"/>
    <col min="6664" max="6664" width="14" style="4" customWidth="1"/>
    <col min="6665" max="6665" width="14.8571428571429" style="4" customWidth="1"/>
    <col min="6666" max="6666" width="12.7142857142857" style="4" customWidth="1"/>
    <col min="6667" max="6669" width="11.7142857142857" style="4" customWidth="1"/>
    <col min="6670" max="6670" width="12.4285714285714" style="4" customWidth="1"/>
    <col min="6671" max="6671" width="12.5714285714286" style="4" customWidth="1"/>
    <col min="6672" max="6672" width="12.8571428571429" style="4" customWidth="1"/>
    <col min="6673" max="6673" width="15.7142857142857" style="4" customWidth="1"/>
    <col min="6674" max="6674" width="13.1428571428571" style="4" customWidth="1"/>
    <col min="6675" max="6913" width="9.14285714285714" style="4"/>
    <col min="6914" max="6914" width="22" style="4" customWidth="1"/>
    <col min="6915" max="6915" width="12.8571428571429" style="4" customWidth="1"/>
    <col min="6916" max="6916" width="16.5714285714286" style="4" customWidth="1"/>
    <col min="6917" max="6917" width="13.1428571428571" style="4" customWidth="1"/>
    <col min="6918" max="6918" width="15.4285714285714" style="4" customWidth="1"/>
    <col min="6919" max="6919" width="13.4285714285714" style="4" customWidth="1"/>
    <col min="6920" max="6920" width="14" style="4" customWidth="1"/>
    <col min="6921" max="6921" width="14.8571428571429" style="4" customWidth="1"/>
    <col min="6922" max="6922" width="12.7142857142857" style="4" customWidth="1"/>
    <col min="6923" max="6925" width="11.7142857142857" style="4" customWidth="1"/>
    <col min="6926" max="6926" width="12.4285714285714" style="4" customWidth="1"/>
    <col min="6927" max="6927" width="12.5714285714286" style="4" customWidth="1"/>
    <col min="6928" max="6928" width="12.8571428571429" style="4" customWidth="1"/>
    <col min="6929" max="6929" width="15.7142857142857" style="4" customWidth="1"/>
    <col min="6930" max="6930" width="13.1428571428571" style="4" customWidth="1"/>
    <col min="6931" max="7169" width="9.14285714285714" style="4"/>
    <col min="7170" max="7170" width="22" style="4" customWidth="1"/>
    <col min="7171" max="7171" width="12.8571428571429" style="4" customWidth="1"/>
    <col min="7172" max="7172" width="16.5714285714286" style="4" customWidth="1"/>
    <col min="7173" max="7173" width="13.1428571428571" style="4" customWidth="1"/>
    <col min="7174" max="7174" width="15.4285714285714" style="4" customWidth="1"/>
    <col min="7175" max="7175" width="13.4285714285714" style="4" customWidth="1"/>
    <col min="7176" max="7176" width="14" style="4" customWidth="1"/>
    <col min="7177" max="7177" width="14.8571428571429" style="4" customWidth="1"/>
    <col min="7178" max="7178" width="12.7142857142857" style="4" customWidth="1"/>
    <col min="7179" max="7181" width="11.7142857142857" style="4" customWidth="1"/>
    <col min="7182" max="7182" width="12.4285714285714" style="4" customWidth="1"/>
    <col min="7183" max="7183" width="12.5714285714286" style="4" customWidth="1"/>
    <col min="7184" max="7184" width="12.8571428571429" style="4" customWidth="1"/>
    <col min="7185" max="7185" width="15.7142857142857" style="4" customWidth="1"/>
    <col min="7186" max="7186" width="13.1428571428571" style="4" customWidth="1"/>
    <col min="7187" max="7425" width="9.14285714285714" style="4"/>
    <col min="7426" max="7426" width="22" style="4" customWidth="1"/>
    <col min="7427" max="7427" width="12.8571428571429" style="4" customWidth="1"/>
    <col min="7428" max="7428" width="16.5714285714286" style="4" customWidth="1"/>
    <col min="7429" max="7429" width="13.1428571428571" style="4" customWidth="1"/>
    <col min="7430" max="7430" width="15.4285714285714" style="4" customWidth="1"/>
    <col min="7431" max="7431" width="13.4285714285714" style="4" customWidth="1"/>
    <col min="7432" max="7432" width="14" style="4" customWidth="1"/>
    <col min="7433" max="7433" width="14.8571428571429" style="4" customWidth="1"/>
    <col min="7434" max="7434" width="12.7142857142857" style="4" customWidth="1"/>
    <col min="7435" max="7437" width="11.7142857142857" style="4" customWidth="1"/>
    <col min="7438" max="7438" width="12.4285714285714" style="4" customWidth="1"/>
    <col min="7439" max="7439" width="12.5714285714286" style="4" customWidth="1"/>
    <col min="7440" max="7440" width="12.8571428571429" style="4" customWidth="1"/>
    <col min="7441" max="7441" width="15.7142857142857" style="4" customWidth="1"/>
    <col min="7442" max="7442" width="13.1428571428571" style="4" customWidth="1"/>
    <col min="7443" max="7681" width="9.14285714285714" style="4"/>
    <col min="7682" max="7682" width="22" style="4" customWidth="1"/>
    <col min="7683" max="7683" width="12.8571428571429" style="4" customWidth="1"/>
    <col min="7684" max="7684" width="16.5714285714286" style="4" customWidth="1"/>
    <col min="7685" max="7685" width="13.1428571428571" style="4" customWidth="1"/>
    <col min="7686" max="7686" width="15.4285714285714" style="4" customWidth="1"/>
    <col min="7687" max="7687" width="13.4285714285714" style="4" customWidth="1"/>
    <col min="7688" max="7688" width="14" style="4" customWidth="1"/>
    <col min="7689" max="7689" width="14.8571428571429" style="4" customWidth="1"/>
    <col min="7690" max="7690" width="12.7142857142857" style="4" customWidth="1"/>
    <col min="7691" max="7693" width="11.7142857142857" style="4" customWidth="1"/>
    <col min="7694" max="7694" width="12.4285714285714" style="4" customWidth="1"/>
    <col min="7695" max="7695" width="12.5714285714286" style="4" customWidth="1"/>
    <col min="7696" max="7696" width="12.8571428571429" style="4" customWidth="1"/>
    <col min="7697" max="7697" width="15.7142857142857" style="4" customWidth="1"/>
    <col min="7698" max="7698" width="13.1428571428571" style="4" customWidth="1"/>
    <col min="7699" max="7937" width="9.14285714285714" style="4"/>
    <col min="7938" max="7938" width="22" style="4" customWidth="1"/>
    <col min="7939" max="7939" width="12.8571428571429" style="4" customWidth="1"/>
    <col min="7940" max="7940" width="16.5714285714286" style="4" customWidth="1"/>
    <col min="7941" max="7941" width="13.1428571428571" style="4" customWidth="1"/>
    <col min="7942" max="7942" width="15.4285714285714" style="4" customWidth="1"/>
    <col min="7943" max="7943" width="13.4285714285714" style="4" customWidth="1"/>
    <col min="7944" max="7944" width="14" style="4" customWidth="1"/>
    <col min="7945" max="7945" width="14.8571428571429" style="4" customWidth="1"/>
    <col min="7946" max="7946" width="12.7142857142857" style="4" customWidth="1"/>
    <col min="7947" max="7949" width="11.7142857142857" style="4" customWidth="1"/>
    <col min="7950" max="7950" width="12.4285714285714" style="4" customWidth="1"/>
    <col min="7951" max="7951" width="12.5714285714286" style="4" customWidth="1"/>
    <col min="7952" max="7952" width="12.8571428571429" style="4" customWidth="1"/>
    <col min="7953" max="7953" width="15.7142857142857" style="4" customWidth="1"/>
    <col min="7954" max="7954" width="13.1428571428571" style="4" customWidth="1"/>
    <col min="7955" max="8193" width="9.14285714285714" style="4"/>
    <col min="8194" max="8194" width="22" style="4" customWidth="1"/>
    <col min="8195" max="8195" width="12.8571428571429" style="4" customWidth="1"/>
    <col min="8196" max="8196" width="16.5714285714286" style="4" customWidth="1"/>
    <col min="8197" max="8197" width="13.1428571428571" style="4" customWidth="1"/>
    <col min="8198" max="8198" width="15.4285714285714" style="4" customWidth="1"/>
    <col min="8199" max="8199" width="13.4285714285714" style="4" customWidth="1"/>
    <col min="8200" max="8200" width="14" style="4" customWidth="1"/>
    <col min="8201" max="8201" width="14.8571428571429" style="4" customWidth="1"/>
    <col min="8202" max="8202" width="12.7142857142857" style="4" customWidth="1"/>
    <col min="8203" max="8205" width="11.7142857142857" style="4" customWidth="1"/>
    <col min="8206" max="8206" width="12.4285714285714" style="4" customWidth="1"/>
    <col min="8207" max="8207" width="12.5714285714286" style="4" customWidth="1"/>
    <col min="8208" max="8208" width="12.8571428571429" style="4" customWidth="1"/>
    <col min="8209" max="8209" width="15.7142857142857" style="4" customWidth="1"/>
    <col min="8210" max="8210" width="13.1428571428571" style="4" customWidth="1"/>
    <col min="8211" max="8449" width="9.14285714285714" style="4"/>
    <col min="8450" max="8450" width="22" style="4" customWidth="1"/>
    <col min="8451" max="8451" width="12.8571428571429" style="4" customWidth="1"/>
    <col min="8452" max="8452" width="16.5714285714286" style="4" customWidth="1"/>
    <col min="8453" max="8453" width="13.1428571428571" style="4" customWidth="1"/>
    <col min="8454" max="8454" width="15.4285714285714" style="4" customWidth="1"/>
    <col min="8455" max="8455" width="13.4285714285714" style="4" customWidth="1"/>
    <col min="8456" max="8456" width="14" style="4" customWidth="1"/>
    <col min="8457" max="8457" width="14.8571428571429" style="4" customWidth="1"/>
    <col min="8458" max="8458" width="12.7142857142857" style="4" customWidth="1"/>
    <col min="8459" max="8461" width="11.7142857142857" style="4" customWidth="1"/>
    <col min="8462" max="8462" width="12.4285714285714" style="4" customWidth="1"/>
    <col min="8463" max="8463" width="12.5714285714286" style="4" customWidth="1"/>
    <col min="8464" max="8464" width="12.8571428571429" style="4" customWidth="1"/>
    <col min="8465" max="8465" width="15.7142857142857" style="4" customWidth="1"/>
    <col min="8466" max="8466" width="13.1428571428571" style="4" customWidth="1"/>
    <col min="8467" max="8705" width="9.14285714285714" style="4"/>
    <col min="8706" max="8706" width="22" style="4" customWidth="1"/>
    <col min="8707" max="8707" width="12.8571428571429" style="4" customWidth="1"/>
    <col min="8708" max="8708" width="16.5714285714286" style="4" customWidth="1"/>
    <col min="8709" max="8709" width="13.1428571428571" style="4" customWidth="1"/>
    <col min="8710" max="8710" width="15.4285714285714" style="4" customWidth="1"/>
    <col min="8711" max="8711" width="13.4285714285714" style="4" customWidth="1"/>
    <col min="8712" max="8712" width="14" style="4" customWidth="1"/>
    <col min="8713" max="8713" width="14.8571428571429" style="4" customWidth="1"/>
    <col min="8714" max="8714" width="12.7142857142857" style="4" customWidth="1"/>
    <col min="8715" max="8717" width="11.7142857142857" style="4" customWidth="1"/>
    <col min="8718" max="8718" width="12.4285714285714" style="4" customWidth="1"/>
    <col min="8719" max="8719" width="12.5714285714286" style="4" customWidth="1"/>
    <col min="8720" max="8720" width="12.8571428571429" style="4" customWidth="1"/>
    <col min="8721" max="8721" width="15.7142857142857" style="4" customWidth="1"/>
    <col min="8722" max="8722" width="13.1428571428571" style="4" customWidth="1"/>
    <col min="8723" max="8961" width="9.14285714285714" style="4"/>
    <col min="8962" max="8962" width="22" style="4" customWidth="1"/>
    <col min="8963" max="8963" width="12.8571428571429" style="4" customWidth="1"/>
    <col min="8964" max="8964" width="16.5714285714286" style="4" customWidth="1"/>
    <col min="8965" max="8965" width="13.1428571428571" style="4" customWidth="1"/>
    <col min="8966" max="8966" width="15.4285714285714" style="4" customWidth="1"/>
    <col min="8967" max="8967" width="13.4285714285714" style="4" customWidth="1"/>
    <col min="8968" max="8968" width="14" style="4" customWidth="1"/>
    <col min="8969" max="8969" width="14.8571428571429" style="4" customWidth="1"/>
    <col min="8970" max="8970" width="12.7142857142857" style="4" customWidth="1"/>
    <col min="8971" max="8973" width="11.7142857142857" style="4" customWidth="1"/>
    <col min="8974" max="8974" width="12.4285714285714" style="4" customWidth="1"/>
    <col min="8975" max="8975" width="12.5714285714286" style="4" customWidth="1"/>
    <col min="8976" max="8976" width="12.8571428571429" style="4" customWidth="1"/>
    <col min="8977" max="8977" width="15.7142857142857" style="4" customWidth="1"/>
    <col min="8978" max="8978" width="13.1428571428571" style="4" customWidth="1"/>
    <col min="8979" max="9217" width="9.14285714285714" style="4"/>
    <col min="9218" max="9218" width="22" style="4" customWidth="1"/>
    <col min="9219" max="9219" width="12.8571428571429" style="4" customWidth="1"/>
    <col min="9220" max="9220" width="16.5714285714286" style="4" customWidth="1"/>
    <col min="9221" max="9221" width="13.1428571428571" style="4" customWidth="1"/>
    <col min="9222" max="9222" width="15.4285714285714" style="4" customWidth="1"/>
    <col min="9223" max="9223" width="13.4285714285714" style="4" customWidth="1"/>
    <col min="9224" max="9224" width="14" style="4" customWidth="1"/>
    <col min="9225" max="9225" width="14.8571428571429" style="4" customWidth="1"/>
    <col min="9226" max="9226" width="12.7142857142857" style="4" customWidth="1"/>
    <col min="9227" max="9229" width="11.7142857142857" style="4" customWidth="1"/>
    <col min="9230" max="9230" width="12.4285714285714" style="4" customWidth="1"/>
    <col min="9231" max="9231" width="12.5714285714286" style="4" customWidth="1"/>
    <col min="9232" max="9232" width="12.8571428571429" style="4" customWidth="1"/>
    <col min="9233" max="9233" width="15.7142857142857" style="4" customWidth="1"/>
    <col min="9234" max="9234" width="13.1428571428571" style="4" customWidth="1"/>
    <col min="9235" max="9473" width="9.14285714285714" style="4"/>
    <col min="9474" max="9474" width="22" style="4" customWidth="1"/>
    <col min="9475" max="9475" width="12.8571428571429" style="4" customWidth="1"/>
    <col min="9476" max="9476" width="16.5714285714286" style="4" customWidth="1"/>
    <col min="9477" max="9477" width="13.1428571428571" style="4" customWidth="1"/>
    <col min="9478" max="9478" width="15.4285714285714" style="4" customWidth="1"/>
    <col min="9479" max="9479" width="13.4285714285714" style="4" customWidth="1"/>
    <col min="9480" max="9480" width="14" style="4" customWidth="1"/>
    <col min="9481" max="9481" width="14.8571428571429" style="4" customWidth="1"/>
    <col min="9482" max="9482" width="12.7142857142857" style="4" customWidth="1"/>
    <col min="9483" max="9485" width="11.7142857142857" style="4" customWidth="1"/>
    <col min="9486" max="9486" width="12.4285714285714" style="4" customWidth="1"/>
    <col min="9487" max="9487" width="12.5714285714286" style="4" customWidth="1"/>
    <col min="9488" max="9488" width="12.8571428571429" style="4" customWidth="1"/>
    <col min="9489" max="9489" width="15.7142857142857" style="4" customWidth="1"/>
    <col min="9490" max="9490" width="13.1428571428571" style="4" customWidth="1"/>
    <col min="9491" max="9729" width="9.14285714285714" style="4"/>
    <col min="9730" max="9730" width="22" style="4" customWidth="1"/>
    <col min="9731" max="9731" width="12.8571428571429" style="4" customWidth="1"/>
    <col min="9732" max="9732" width="16.5714285714286" style="4" customWidth="1"/>
    <col min="9733" max="9733" width="13.1428571428571" style="4" customWidth="1"/>
    <col min="9734" max="9734" width="15.4285714285714" style="4" customWidth="1"/>
    <col min="9735" max="9735" width="13.4285714285714" style="4" customWidth="1"/>
    <col min="9736" max="9736" width="14" style="4" customWidth="1"/>
    <col min="9737" max="9737" width="14.8571428571429" style="4" customWidth="1"/>
    <col min="9738" max="9738" width="12.7142857142857" style="4" customWidth="1"/>
    <col min="9739" max="9741" width="11.7142857142857" style="4" customWidth="1"/>
    <col min="9742" max="9742" width="12.4285714285714" style="4" customWidth="1"/>
    <col min="9743" max="9743" width="12.5714285714286" style="4" customWidth="1"/>
    <col min="9744" max="9744" width="12.8571428571429" style="4" customWidth="1"/>
    <col min="9745" max="9745" width="15.7142857142857" style="4" customWidth="1"/>
    <col min="9746" max="9746" width="13.1428571428571" style="4" customWidth="1"/>
    <col min="9747" max="9985" width="9.14285714285714" style="4"/>
    <col min="9986" max="9986" width="22" style="4" customWidth="1"/>
    <col min="9987" max="9987" width="12.8571428571429" style="4" customWidth="1"/>
    <col min="9988" max="9988" width="16.5714285714286" style="4" customWidth="1"/>
    <col min="9989" max="9989" width="13.1428571428571" style="4" customWidth="1"/>
    <col min="9990" max="9990" width="15.4285714285714" style="4" customWidth="1"/>
    <col min="9991" max="9991" width="13.4285714285714" style="4" customWidth="1"/>
    <col min="9992" max="9992" width="14" style="4" customWidth="1"/>
    <col min="9993" max="9993" width="14.8571428571429" style="4" customWidth="1"/>
    <col min="9994" max="9994" width="12.7142857142857" style="4" customWidth="1"/>
    <col min="9995" max="9997" width="11.7142857142857" style="4" customWidth="1"/>
    <col min="9998" max="9998" width="12.4285714285714" style="4" customWidth="1"/>
    <col min="9999" max="9999" width="12.5714285714286" style="4" customWidth="1"/>
    <col min="10000" max="10000" width="12.8571428571429" style="4" customWidth="1"/>
    <col min="10001" max="10001" width="15.7142857142857" style="4" customWidth="1"/>
    <col min="10002" max="10002" width="13.1428571428571" style="4" customWidth="1"/>
    <col min="10003" max="10241" width="9.14285714285714" style="4"/>
    <col min="10242" max="10242" width="22" style="4" customWidth="1"/>
    <col min="10243" max="10243" width="12.8571428571429" style="4" customWidth="1"/>
    <col min="10244" max="10244" width="16.5714285714286" style="4" customWidth="1"/>
    <col min="10245" max="10245" width="13.1428571428571" style="4" customWidth="1"/>
    <col min="10246" max="10246" width="15.4285714285714" style="4" customWidth="1"/>
    <col min="10247" max="10247" width="13.4285714285714" style="4" customWidth="1"/>
    <col min="10248" max="10248" width="14" style="4" customWidth="1"/>
    <col min="10249" max="10249" width="14.8571428571429" style="4" customWidth="1"/>
    <col min="10250" max="10250" width="12.7142857142857" style="4" customWidth="1"/>
    <col min="10251" max="10253" width="11.7142857142857" style="4" customWidth="1"/>
    <col min="10254" max="10254" width="12.4285714285714" style="4" customWidth="1"/>
    <col min="10255" max="10255" width="12.5714285714286" style="4" customWidth="1"/>
    <col min="10256" max="10256" width="12.8571428571429" style="4" customWidth="1"/>
    <col min="10257" max="10257" width="15.7142857142857" style="4" customWidth="1"/>
    <col min="10258" max="10258" width="13.1428571428571" style="4" customWidth="1"/>
    <col min="10259" max="10497" width="9.14285714285714" style="4"/>
    <col min="10498" max="10498" width="22" style="4" customWidth="1"/>
    <col min="10499" max="10499" width="12.8571428571429" style="4" customWidth="1"/>
    <col min="10500" max="10500" width="16.5714285714286" style="4" customWidth="1"/>
    <col min="10501" max="10501" width="13.1428571428571" style="4" customWidth="1"/>
    <col min="10502" max="10502" width="15.4285714285714" style="4" customWidth="1"/>
    <col min="10503" max="10503" width="13.4285714285714" style="4" customWidth="1"/>
    <col min="10504" max="10504" width="14" style="4" customWidth="1"/>
    <col min="10505" max="10505" width="14.8571428571429" style="4" customWidth="1"/>
    <col min="10506" max="10506" width="12.7142857142857" style="4" customWidth="1"/>
    <col min="10507" max="10509" width="11.7142857142857" style="4" customWidth="1"/>
    <col min="10510" max="10510" width="12.4285714285714" style="4" customWidth="1"/>
    <col min="10511" max="10511" width="12.5714285714286" style="4" customWidth="1"/>
    <col min="10512" max="10512" width="12.8571428571429" style="4" customWidth="1"/>
    <col min="10513" max="10513" width="15.7142857142857" style="4" customWidth="1"/>
    <col min="10514" max="10514" width="13.1428571428571" style="4" customWidth="1"/>
    <col min="10515" max="10753" width="9.14285714285714" style="4"/>
    <col min="10754" max="10754" width="22" style="4" customWidth="1"/>
    <col min="10755" max="10755" width="12.8571428571429" style="4" customWidth="1"/>
    <col min="10756" max="10756" width="16.5714285714286" style="4" customWidth="1"/>
    <col min="10757" max="10757" width="13.1428571428571" style="4" customWidth="1"/>
    <col min="10758" max="10758" width="15.4285714285714" style="4" customWidth="1"/>
    <col min="10759" max="10759" width="13.4285714285714" style="4" customWidth="1"/>
    <col min="10760" max="10760" width="14" style="4" customWidth="1"/>
    <col min="10761" max="10761" width="14.8571428571429" style="4" customWidth="1"/>
    <col min="10762" max="10762" width="12.7142857142857" style="4" customWidth="1"/>
    <col min="10763" max="10765" width="11.7142857142857" style="4" customWidth="1"/>
    <col min="10766" max="10766" width="12.4285714285714" style="4" customWidth="1"/>
    <col min="10767" max="10767" width="12.5714285714286" style="4" customWidth="1"/>
    <col min="10768" max="10768" width="12.8571428571429" style="4" customWidth="1"/>
    <col min="10769" max="10769" width="15.7142857142857" style="4" customWidth="1"/>
    <col min="10770" max="10770" width="13.1428571428571" style="4" customWidth="1"/>
    <col min="10771" max="11009" width="9.14285714285714" style="4"/>
    <col min="11010" max="11010" width="22" style="4" customWidth="1"/>
    <col min="11011" max="11011" width="12.8571428571429" style="4" customWidth="1"/>
    <col min="11012" max="11012" width="16.5714285714286" style="4" customWidth="1"/>
    <col min="11013" max="11013" width="13.1428571428571" style="4" customWidth="1"/>
    <col min="11014" max="11014" width="15.4285714285714" style="4" customWidth="1"/>
    <col min="11015" max="11015" width="13.4285714285714" style="4" customWidth="1"/>
    <col min="11016" max="11016" width="14" style="4" customWidth="1"/>
    <col min="11017" max="11017" width="14.8571428571429" style="4" customWidth="1"/>
    <col min="11018" max="11018" width="12.7142857142857" style="4" customWidth="1"/>
    <col min="11019" max="11021" width="11.7142857142857" style="4" customWidth="1"/>
    <col min="11022" max="11022" width="12.4285714285714" style="4" customWidth="1"/>
    <col min="11023" max="11023" width="12.5714285714286" style="4" customWidth="1"/>
    <col min="11024" max="11024" width="12.8571428571429" style="4" customWidth="1"/>
    <col min="11025" max="11025" width="15.7142857142857" style="4" customWidth="1"/>
    <col min="11026" max="11026" width="13.1428571428571" style="4" customWidth="1"/>
    <col min="11027" max="11265" width="9.14285714285714" style="4"/>
    <col min="11266" max="11266" width="22" style="4" customWidth="1"/>
    <col min="11267" max="11267" width="12.8571428571429" style="4" customWidth="1"/>
    <col min="11268" max="11268" width="16.5714285714286" style="4" customWidth="1"/>
    <col min="11269" max="11269" width="13.1428571428571" style="4" customWidth="1"/>
    <col min="11270" max="11270" width="15.4285714285714" style="4" customWidth="1"/>
    <col min="11271" max="11271" width="13.4285714285714" style="4" customWidth="1"/>
    <col min="11272" max="11272" width="14" style="4" customWidth="1"/>
    <col min="11273" max="11273" width="14.8571428571429" style="4" customWidth="1"/>
    <col min="11274" max="11274" width="12.7142857142857" style="4" customWidth="1"/>
    <col min="11275" max="11277" width="11.7142857142857" style="4" customWidth="1"/>
    <col min="11278" max="11278" width="12.4285714285714" style="4" customWidth="1"/>
    <col min="11279" max="11279" width="12.5714285714286" style="4" customWidth="1"/>
    <col min="11280" max="11280" width="12.8571428571429" style="4" customWidth="1"/>
    <col min="11281" max="11281" width="15.7142857142857" style="4" customWidth="1"/>
    <col min="11282" max="11282" width="13.1428571428571" style="4" customWidth="1"/>
    <col min="11283" max="11521" width="9.14285714285714" style="4"/>
    <col min="11522" max="11522" width="22" style="4" customWidth="1"/>
    <col min="11523" max="11523" width="12.8571428571429" style="4" customWidth="1"/>
    <col min="11524" max="11524" width="16.5714285714286" style="4" customWidth="1"/>
    <col min="11525" max="11525" width="13.1428571428571" style="4" customWidth="1"/>
    <col min="11526" max="11526" width="15.4285714285714" style="4" customWidth="1"/>
    <col min="11527" max="11527" width="13.4285714285714" style="4" customWidth="1"/>
    <col min="11528" max="11528" width="14" style="4" customWidth="1"/>
    <col min="11529" max="11529" width="14.8571428571429" style="4" customWidth="1"/>
    <col min="11530" max="11530" width="12.7142857142857" style="4" customWidth="1"/>
    <col min="11531" max="11533" width="11.7142857142857" style="4" customWidth="1"/>
    <col min="11534" max="11534" width="12.4285714285714" style="4" customWidth="1"/>
    <col min="11535" max="11535" width="12.5714285714286" style="4" customWidth="1"/>
    <col min="11536" max="11536" width="12.8571428571429" style="4" customWidth="1"/>
    <col min="11537" max="11537" width="15.7142857142857" style="4" customWidth="1"/>
    <col min="11538" max="11538" width="13.1428571428571" style="4" customWidth="1"/>
    <col min="11539" max="11777" width="9.14285714285714" style="4"/>
    <col min="11778" max="11778" width="22" style="4" customWidth="1"/>
    <col min="11779" max="11779" width="12.8571428571429" style="4" customWidth="1"/>
    <col min="11780" max="11780" width="16.5714285714286" style="4" customWidth="1"/>
    <col min="11781" max="11781" width="13.1428571428571" style="4" customWidth="1"/>
    <col min="11782" max="11782" width="15.4285714285714" style="4" customWidth="1"/>
    <col min="11783" max="11783" width="13.4285714285714" style="4" customWidth="1"/>
    <col min="11784" max="11784" width="14" style="4" customWidth="1"/>
    <col min="11785" max="11785" width="14.8571428571429" style="4" customWidth="1"/>
    <col min="11786" max="11786" width="12.7142857142857" style="4" customWidth="1"/>
    <col min="11787" max="11789" width="11.7142857142857" style="4" customWidth="1"/>
    <col min="11790" max="11790" width="12.4285714285714" style="4" customWidth="1"/>
    <col min="11791" max="11791" width="12.5714285714286" style="4" customWidth="1"/>
    <col min="11792" max="11792" width="12.8571428571429" style="4" customWidth="1"/>
    <col min="11793" max="11793" width="15.7142857142857" style="4" customWidth="1"/>
    <col min="11794" max="11794" width="13.1428571428571" style="4" customWidth="1"/>
    <col min="11795" max="12033" width="9.14285714285714" style="4"/>
    <col min="12034" max="12034" width="22" style="4" customWidth="1"/>
    <col min="12035" max="12035" width="12.8571428571429" style="4" customWidth="1"/>
    <col min="12036" max="12036" width="16.5714285714286" style="4" customWidth="1"/>
    <col min="12037" max="12037" width="13.1428571428571" style="4" customWidth="1"/>
    <col min="12038" max="12038" width="15.4285714285714" style="4" customWidth="1"/>
    <col min="12039" max="12039" width="13.4285714285714" style="4" customWidth="1"/>
    <col min="12040" max="12040" width="14" style="4" customWidth="1"/>
    <col min="12041" max="12041" width="14.8571428571429" style="4" customWidth="1"/>
    <col min="12042" max="12042" width="12.7142857142857" style="4" customWidth="1"/>
    <col min="12043" max="12045" width="11.7142857142857" style="4" customWidth="1"/>
    <col min="12046" max="12046" width="12.4285714285714" style="4" customWidth="1"/>
    <col min="12047" max="12047" width="12.5714285714286" style="4" customWidth="1"/>
    <col min="12048" max="12048" width="12.8571428571429" style="4" customWidth="1"/>
    <col min="12049" max="12049" width="15.7142857142857" style="4" customWidth="1"/>
    <col min="12050" max="12050" width="13.1428571428571" style="4" customWidth="1"/>
    <col min="12051" max="12289" width="9.14285714285714" style="4"/>
    <col min="12290" max="12290" width="22" style="4" customWidth="1"/>
    <col min="12291" max="12291" width="12.8571428571429" style="4" customWidth="1"/>
    <col min="12292" max="12292" width="16.5714285714286" style="4" customWidth="1"/>
    <col min="12293" max="12293" width="13.1428571428571" style="4" customWidth="1"/>
    <col min="12294" max="12294" width="15.4285714285714" style="4" customWidth="1"/>
    <col min="12295" max="12295" width="13.4285714285714" style="4" customWidth="1"/>
    <col min="12296" max="12296" width="14" style="4" customWidth="1"/>
    <col min="12297" max="12297" width="14.8571428571429" style="4" customWidth="1"/>
    <col min="12298" max="12298" width="12.7142857142857" style="4" customWidth="1"/>
    <col min="12299" max="12301" width="11.7142857142857" style="4" customWidth="1"/>
    <col min="12302" max="12302" width="12.4285714285714" style="4" customWidth="1"/>
    <col min="12303" max="12303" width="12.5714285714286" style="4" customWidth="1"/>
    <col min="12304" max="12304" width="12.8571428571429" style="4" customWidth="1"/>
    <col min="12305" max="12305" width="15.7142857142857" style="4" customWidth="1"/>
    <col min="12306" max="12306" width="13.1428571428571" style="4" customWidth="1"/>
    <col min="12307" max="12545" width="9.14285714285714" style="4"/>
    <col min="12546" max="12546" width="22" style="4" customWidth="1"/>
    <col min="12547" max="12547" width="12.8571428571429" style="4" customWidth="1"/>
    <col min="12548" max="12548" width="16.5714285714286" style="4" customWidth="1"/>
    <col min="12549" max="12549" width="13.1428571428571" style="4" customWidth="1"/>
    <col min="12550" max="12550" width="15.4285714285714" style="4" customWidth="1"/>
    <col min="12551" max="12551" width="13.4285714285714" style="4" customWidth="1"/>
    <col min="12552" max="12552" width="14" style="4" customWidth="1"/>
    <col min="12553" max="12553" width="14.8571428571429" style="4" customWidth="1"/>
    <col min="12554" max="12554" width="12.7142857142857" style="4" customWidth="1"/>
    <col min="12555" max="12557" width="11.7142857142857" style="4" customWidth="1"/>
    <col min="12558" max="12558" width="12.4285714285714" style="4" customWidth="1"/>
    <col min="12559" max="12559" width="12.5714285714286" style="4" customWidth="1"/>
    <col min="12560" max="12560" width="12.8571428571429" style="4" customWidth="1"/>
    <col min="12561" max="12561" width="15.7142857142857" style="4" customWidth="1"/>
    <col min="12562" max="12562" width="13.1428571428571" style="4" customWidth="1"/>
    <col min="12563" max="12801" width="9.14285714285714" style="4"/>
    <col min="12802" max="12802" width="22" style="4" customWidth="1"/>
    <col min="12803" max="12803" width="12.8571428571429" style="4" customWidth="1"/>
    <col min="12804" max="12804" width="16.5714285714286" style="4" customWidth="1"/>
    <col min="12805" max="12805" width="13.1428571428571" style="4" customWidth="1"/>
    <col min="12806" max="12806" width="15.4285714285714" style="4" customWidth="1"/>
    <col min="12807" max="12807" width="13.4285714285714" style="4" customWidth="1"/>
    <col min="12808" max="12808" width="14" style="4" customWidth="1"/>
    <col min="12809" max="12809" width="14.8571428571429" style="4" customWidth="1"/>
    <col min="12810" max="12810" width="12.7142857142857" style="4" customWidth="1"/>
    <col min="12811" max="12813" width="11.7142857142857" style="4" customWidth="1"/>
    <col min="12814" max="12814" width="12.4285714285714" style="4" customWidth="1"/>
    <col min="12815" max="12815" width="12.5714285714286" style="4" customWidth="1"/>
    <col min="12816" max="12816" width="12.8571428571429" style="4" customWidth="1"/>
    <col min="12817" max="12817" width="15.7142857142857" style="4" customWidth="1"/>
    <col min="12818" max="12818" width="13.1428571428571" style="4" customWidth="1"/>
    <col min="12819" max="13057" width="9.14285714285714" style="4"/>
    <col min="13058" max="13058" width="22" style="4" customWidth="1"/>
    <col min="13059" max="13059" width="12.8571428571429" style="4" customWidth="1"/>
    <col min="13060" max="13060" width="16.5714285714286" style="4" customWidth="1"/>
    <col min="13061" max="13061" width="13.1428571428571" style="4" customWidth="1"/>
    <col min="13062" max="13062" width="15.4285714285714" style="4" customWidth="1"/>
    <col min="13063" max="13063" width="13.4285714285714" style="4" customWidth="1"/>
    <col min="13064" max="13064" width="14" style="4" customWidth="1"/>
    <col min="13065" max="13065" width="14.8571428571429" style="4" customWidth="1"/>
    <col min="13066" max="13066" width="12.7142857142857" style="4" customWidth="1"/>
    <col min="13067" max="13069" width="11.7142857142857" style="4" customWidth="1"/>
    <col min="13070" max="13070" width="12.4285714285714" style="4" customWidth="1"/>
    <col min="13071" max="13071" width="12.5714285714286" style="4" customWidth="1"/>
    <col min="13072" max="13072" width="12.8571428571429" style="4" customWidth="1"/>
    <col min="13073" max="13073" width="15.7142857142857" style="4" customWidth="1"/>
    <col min="13074" max="13074" width="13.1428571428571" style="4" customWidth="1"/>
    <col min="13075" max="13313" width="9.14285714285714" style="4"/>
    <col min="13314" max="13314" width="22" style="4" customWidth="1"/>
    <col min="13315" max="13315" width="12.8571428571429" style="4" customWidth="1"/>
    <col min="13316" max="13316" width="16.5714285714286" style="4" customWidth="1"/>
    <col min="13317" max="13317" width="13.1428571428571" style="4" customWidth="1"/>
    <col min="13318" max="13318" width="15.4285714285714" style="4" customWidth="1"/>
    <col min="13319" max="13319" width="13.4285714285714" style="4" customWidth="1"/>
    <col min="13320" max="13320" width="14" style="4" customWidth="1"/>
    <col min="13321" max="13321" width="14.8571428571429" style="4" customWidth="1"/>
    <col min="13322" max="13322" width="12.7142857142857" style="4" customWidth="1"/>
    <col min="13323" max="13325" width="11.7142857142857" style="4" customWidth="1"/>
    <col min="13326" max="13326" width="12.4285714285714" style="4" customWidth="1"/>
    <col min="13327" max="13327" width="12.5714285714286" style="4" customWidth="1"/>
    <col min="13328" max="13328" width="12.8571428571429" style="4" customWidth="1"/>
    <col min="13329" max="13329" width="15.7142857142857" style="4" customWidth="1"/>
    <col min="13330" max="13330" width="13.1428571428571" style="4" customWidth="1"/>
    <col min="13331" max="13569" width="9.14285714285714" style="4"/>
    <col min="13570" max="13570" width="22" style="4" customWidth="1"/>
    <col min="13571" max="13571" width="12.8571428571429" style="4" customWidth="1"/>
    <col min="13572" max="13572" width="16.5714285714286" style="4" customWidth="1"/>
    <col min="13573" max="13573" width="13.1428571428571" style="4" customWidth="1"/>
    <col min="13574" max="13574" width="15.4285714285714" style="4" customWidth="1"/>
    <col min="13575" max="13575" width="13.4285714285714" style="4" customWidth="1"/>
    <col min="13576" max="13576" width="14" style="4" customWidth="1"/>
    <col min="13577" max="13577" width="14.8571428571429" style="4" customWidth="1"/>
    <col min="13578" max="13578" width="12.7142857142857" style="4" customWidth="1"/>
    <col min="13579" max="13581" width="11.7142857142857" style="4" customWidth="1"/>
    <col min="13582" max="13582" width="12.4285714285714" style="4" customWidth="1"/>
    <col min="13583" max="13583" width="12.5714285714286" style="4" customWidth="1"/>
    <col min="13584" max="13584" width="12.8571428571429" style="4" customWidth="1"/>
    <col min="13585" max="13585" width="15.7142857142857" style="4" customWidth="1"/>
    <col min="13586" max="13586" width="13.1428571428571" style="4" customWidth="1"/>
    <col min="13587" max="13825" width="9.14285714285714" style="4"/>
    <col min="13826" max="13826" width="22" style="4" customWidth="1"/>
    <col min="13827" max="13827" width="12.8571428571429" style="4" customWidth="1"/>
    <col min="13828" max="13828" width="16.5714285714286" style="4" customWidth="1"/>
    <col min="13829" max="13829" width="13.1428571428571" style="4" customWidth="1"/>
    <col min="13830" max="13830" width="15.4285714285714" style="4" customWidth="1"/>
    <col min="13831" max="13831" width="13.4285714285714" style="4" customWidth="1"/>
    <col min="13832" max="13832" width="14" style="4" customWidth="1"/>
    <col min="13833" max="13833" width="14.8571428571429" style="4" customWidth="1"/>
    <col min="13834" max="13834" width="12.7142857142857" style="4" customWidth="1"/>
    <col min="13835" max="13837" width="11.7142857142857" style="4" customWidth="1"/>
    <col min="13838" max="13838" width="12.4285714285714" style="4" customWidth="1"/>
    <col min="13839" max="13839" width="12.5714285714286" style="4" customWidth="1"/>
    <col min="13840" max="13840" width="12.8571428571429" style="4" customWidth="1"/>
    <col min="13841" max="13841" width="15.7142857142857" style="4" customWidth="1"/>
    <col min="13842" max="13842" width="13.1428571428571" style="4" customWidth="1"/>
    <col min="13843" max="14081" width="9.14285714285714" style="4"/>
    <col min="14082" max="14082" width="22" style="4" customWidth="1"/>
    <col min="14083" max="14083" width="12.8571428571429" style="4" customWidth="1"/>
    <col min="14084" max="14084" width="16.5714285714286" style="4" customWidth="1"/>
    <col min="14085" max="14085" width="13.1428571428571" style="4" customWidth="1"/>
    <col min="14086" max="14086" width="15.4285714285714" style="4" customWidth="1"/>
    <col min="14087" max="14087" width="13.4285714285714" style="4" customWidth="1"/>
    <col min="14088" max="14088" width="14" style="4" customWidth="1"/>
    <col min="14089" max="14089" width="14.8571428571429" style="4" customWidth="1"/>
    <col min="14090" max="14090" width="12.7142857142857" style="4" customWidth="1"/>
    <col min="14091" max="14093" width="11.7142857142857" style="4" customWidth="1"/>
    <col min="14094" max="14094" width="12.4285714285714" style="4" customWidth="1"/>
    <col min="14095" max="14095" width="12.5714285714286" style="4" customWidth="1"/>
    <col min="14096" max="14096" width="12.8571428571429" style="4" customWidth="1"/>
    <col min="14097" max="14097" width="15.7142857142857" style="4" customWidth="1"/>
    <col min="14098" max="14098" width="13.1428571428571" style="4" customWidth="1"/>
    <col min="14099" max="14337" width="9.14285714285714" style="4"/>
    <col min="14338" max="14338" width="22" style="4" customWidth="1"/>
    <col min="14339" max="14339" width="12.8571428571429" style="4" customWidth="1"/>
    <col min="14340" max="14340" width="16.5714285714286" style="4" customWidth="1"/>
    <col min="14341" max="14341" width="13.1428571428571" style="4" customWidth="1"/>
    <col min="14342" max="14342" width="15.4285714285714" style="4" customWidth="1"/>
    <col min="14343" max="14343" width="13.4285714285714" style="4" customWidth="1"/>
    <col min="14344" max="14344" width="14" style="4" customWidth="1"/>
    <col min="14345" max="14345" width="14.8571428571429" style="4" customWidth="1"/>
    <col min="14346" max="14346" width="12.7142857142857" style="4" customWidth="1"/>
    <col min="14347" max="14349" width="11.7142857142857" style="4" customWidth="1"/>
    <col min="14350" max="14350" width="12.4285714285714" style="4" customWidth="1"/>
    <col min="14351" max="14351" width="12.5714285714286" style="4" customWidth="1"/>
    <col min="14352" max="14352" width="12.8571428571429" style="4" customWidth="1"/>
    <col min="14353" max="14353" width="15.7142857142857" style="4" customWidth="1"/>
    <col min="14354" max="14354" width="13.1428571428571" style="4" customWidth="1"/>
    <col min="14355" max="14593" width="9.14285714285714" style="4"/>
    <col min="14594" max="14594" width="22" style="4" customWidth="1"/>
    <col min="14595" max="14595" width="12.8571428571429" style="4" customWidth="1"/>
    <col min="14596" max="14596" width="16.5714285714286" style="4" customWidth="1"/>
    <col min="14597" max="14597" width="13.1428571428571" style="4" customWidth="1"/>
    <col min="14598" max="14598" width="15.4285714285714" style="4" customWidth="1"/>
    <col min="14599" max="14599" width="13.4285714285714" style="4" customWidth="1"/>
    <col min="14600" max="14600" width="14" style="4" customWidth="1"/>
    <col min="14601" max="14601" width="14.8571428571429" style="4" customWidth="1"/>
    <col min="14602" max="14602" width="12.7142857142857" style="4" customWidth="1"/>
    <col min="14603" max="14605" width="11.7142857142857" style="4" customWidth="1"/>
    <col min="14606" max="14606" width="12.4285714285714" style="4" customWidth="1"/>
    <col min="14607" max="14607" width="12.5714285714286" style="4" customWidth="1"/>
    <col min="14608" max="14608" width="12.8571428571429" style="4" customWidth="1"/>
    <col min="14609" max="14609" width="15.7142857142857" style="4" customWidth="1"/>
    <col min="14610" max="14610" width="13.1428571428571" style="4" customWidth="1"/>
    <col min="14611" max="14849" width="9.14285714285714" style="4"/>
    <col min="14850" max="14850" width="22" style="4" customWidth="1"/>
    <col min="14851" max="14851" width="12.8571428571429" style="4" customWidth="1"/>
    <col min="14852" max="14852" width="16.5714285714286" style="4" customWidth="1"/>
    <col min="14853" max="14853" width="13.1428571428571" style="4" customWidth="1"/>
    <col min="14854" max="14854" width="15.4285714285714" style="4" customWidth="1"/>
    <col min="14855" max="14855" width="13.4285714285714" style="4" customWidth="1"/>
    <col min="14856" max="14856" width="14" style="4" customWidth="1"/>
    <col min="14857" max="14857" width="14.8571428571429" style="4" customWidth="1"/>
    <col min="14858" max="14858" width="12.7142857142857" style="4" customWidth="1"/>
    <col min="14859" max="14861" width="11.7142857142857" style="4" customWidth="1"/>
    <col min="14862" max="14862" width="12.4285714285714" style="4" customWidth="1"/>
    <col min="14863" max="14863" width="12.5714285714286" style="4" customWidth="1"/>
    <col min="14864" max="14864" width="12.8571428571429" style="4" customWidth="1"/>
    <col min="14865" max="14865" width="15.7142857142857" style="4" customWidth="1"/>
    <col min="14866" max="14866" width="13.1428571428571" style="4" customWidth="1"/>
    <col min="14867" max="15105" width="9.14285714285714" style="4"/>
    <col min="15106" max="15106" width="22" style="4" customWidth="1"/>
    <col min="15107" max="15107" width="12.8571428571429" style="4" customWidth="1"/>
    <col min="15108" max="15108" width="16.5714285714286" style="4" customWidth="1"/>
    <col min="15109" max="15109" width="13.1428571428571" style="4" customWidth="1"/>
    <col min="15110" max="15110" width="15.4285714285714" style="4" customWidth="1"/>
    <col min="15111" max="15111" width="13.4285714285714" style="4" customWidth="1"/>
    <col min="15112" max="15112" width="14" style="4" customWidth="1"/>
    <col min="15113" max="15113" width="14.8571428571429" style="4" customWidth="1"/>
    <col min="15114" max="15114" width="12.7142857142857" style="4" customWidth="1"/>
    <col min="15115" max="15117" width="11.7142857142857" style="4" customWidth="1"/>
    <col min="15118" max="15118" width="12.4285714285714" style="4" customWidth="1"/>
    <col min="15119" max="15119" width="12.5714285714286" style="4" customWidth="1"/>
    <col min="15120" max="15120" width="12.8571428571429" style="4" customWidth="1"/>
    <col min="15121" max="15121" width="15.7142857142857" style="4" customWidth="1"/>
    <col min="15122" max="15122" width="13.1428571428571" style="4" customWidth="1"/>
    <col min="15123" max="15361" width="9.14285714285714" style="4"/>
    <col min="15362" max="15362" width="22" style="4" customWidth="1"/>
    <col min="15363" max="15363" width="12.8571428571429" style="4" customWidth="1"/>
    <col min="15364" max="15364" width="16.5714285714286" style="4" customWidth="1"/>
    <col min="15365" max="15365" width="13.1428571428571" style="4" customWidth="1"/>
    <col min="15366" max="15366" width="15.4285714285714" style="4" customWidth="1"/>
    <col min="15367" max="15367" width="13.4285714285714" style="4" customWidth="1"/>
    <col min="15368" max="15368" width="14" style="4" customWidth="1"/>
    <col min="15369" max="15369" width="14.8571428571429" style="4" customWidth="1"/>
    <col min="15370" max="15370" width="12.7142857142857" style="4" customWidth="1"/>
    <col min="15371" max="15373" width="11.7142857142857" style="4" customWidth="1"/>
    <col min="15374" max="15374" width="12.4285714285714" style="4" customWidth="1"/>
    <col min="15375" max="15375" width="12.5714285714286" style="4" customWidth="1"/>
    <col min="15376" max="15376" width="12.8571428571429" style="4" customWidth="1"/>
    <col min="15377" max="15377" width="15.7142857142857" style="4" customWidth="1"/>
    <col min="15378" max="15378" width="13.1428571428571" style="4" customWidth="1"/>
    <col min="15379" max="15617" width="9.14285714285714" style="4"/>
    <col min="15618" max="15618" width="22" style="4" customWidth="1"/>
    <col min="15619" max="15619" width="12.8571428571429" style="4" customWidth="1"/>
    <col min="15620" max="15620" width="16.5714285714286" style="4" customWidth="1"/>
    <col min="15621" max="15621" width="13.1428571428571" style="4" customWidth="1"/>
    <col min="15622" max="15622" width="15.4285714285714" style="4" customWidth="1"/>
    <col min="15623" max="15623" width="13.4285714285714" style="4" customWidth="1"/>
    <col min="15624" max="15624" width="14" style="4" customWidth="1"/>
    <col min="15625" max="15625" width="14.8571428571429" style="4" customWidth="1"/>
    <col min="15626" max="15626" width="12.7142857142857" style="4" customWidth="1"/>
    <col min="15627" max="15629" width="11.7142857142857" style="4" customWidth="1"/>
    <col min="15630" max="15630" width="12.4285714285714" style="4" customWidth="1"/>
    <col min="15631" max="15631" width="12.5714285714286" style="4" customWidth="1"/>
    <col min="15632" max="15632" width="12.8571428571429" style="4" customWidth="1"/>
    <col min="15633" max="15633" width="15.7142857142857" style="4" customWidth="1"/>
    <col min="15634" max="15634" width="13.1428571428571" style="4" customWidth="1"/>
    <col min="15635" max="15873" width="9.14285714285714" style="4"/>
    <col min="15874" max="15874" width="22" style="4" customWidth="1"/>
    <col min="15875" max="15875" width="12.8571428571429" style="4" customWidth="1"/>
    <col min="15876" max="15876" width="16.5714285714286" style="4" customWidth="1"/>
    <col min="15877" max="15877" width="13.1428571428571" style="4" customWidth="1"/>
    <col min="15878" max="15878" width="15.4285714285714" style="4" customWidth="1"/>
    <col min="15879" max="15879" width="13.4285714285714" style="4" customWidth="1"/>
    <col min="15880" max="15880" width="14" style="4" customWidth="1"/>
    <col min="15881" max="15881" width="14.8571428571429" style="4" customWidth="1"/>
    <col min="15882" max="15882" width="12.7142857142857" style="4" customWidth="1"/>
    <col min="15883" max="15885" width="11.7142857142857" style="4" customWidth="1"/>
    <col min="15886" max="15886" width="12.4285714285714" style="4" customWidth="1"/>
    <col min="15887" max="15887" width="12.5714285714286" style="4" customWidth="1"/>
    <col min="15888" max="15888" width="12.8571428571429" style="4" customWidth="1"/>
    <col min="15889" max="15889" width="15.7142857142857" style="4" customWidth="1"/>
    <col min="15890" max="15890" width="13.1428571428571" style="4" customWidth="1"/>
    <col min="15891" max="16129" width="9.14285714285714" style="4"/>
    <col min="16130" max="16130" width="22" style="4" customWidth="1"/>
    <col min="16131" max="16131" width="12.8571428571429" style="4" customWidth="1"/>
    <col min="16132" max="16132" width="16.5714285714286" style="4" customWidth="1"/>
    <col min="16133" max="16133" width="13.1428571428571" style="4" customWidth="1"/>
    <col min="16134" max="16134" width="15.4285714285714" style="4" customWidth="1"/>
    <col min="16135" max="16135" width="13.4285714285714" style="4" customWidth="1"/>
    <col min="16136" max="16136" width="14" style="4" customWidth="1"/>
    <col min="16137" max="16137" width="14.8571428571429" style="4" customWidth="1"/>
    <col min="16138" max="16138" width="12.7142857142857" style="4" customWidth="1"/>
    <col min="16139" max="16141" width="11.7142857142857" style="4" customWidth="1"/>
    <col min="16142" max="16142" width="12.4285714285714" style="4" customWidth="1"/>
    <col min="16143" max="16143" width="12.5714285714286" style="4" customWidth="1"/>
    <col min="16144" max="16144" width="12.8571428571429" style="4" customWidth="1"/>
    <col min="16145" max="16145" width="15.7142857142857" style="4" customWidth="1"/>
    <col min="16146" max="16146" width="13.1428571428571" style="4" customWidth="1"/>
    <col min="16147" max="16384" width="9.14285714285714" style="4"/>
  </cols>
  <sheetData>
    <row r="1" spans="1:15" s="23" customFormat="1" ht="12.75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  <c r="O1" s="24"/>
    </row>
    <row r="2" spans="1:15" s="23" customFormat="1" ht="12.75">
      <c r="A2" s="26" t="s">
        <v>35</v>
      </c>
      <c r="B2" s="26"/>
      <c r="C2" s="26"/>
      <c r="D2" s="26"/>
      <c r="E2" s="26"/>
      <c r="F2" s="26"/>
      <c r="G2" s="26"/>
      <c r="H2" s="26"/>
      <c r="I2" s="26"/>
      <c r="J2" s="26"/>
      <c r="O2" s="24"/>
    </row>
    <row r="3" spans="1:10" s="23" customFormat="1" ht="12.75">
      <c r="A3" s="26" t="s">
        <v>29</v>
      </c>
      <c r="B3" s="26"/>
      <c r="C3" s="26"/>
      <c r="D3" s="26"/>
      <c r="E3" s="26"/>
      <c r="F3" s="26"/>
      <c r="G3" s="26"/>
      <c r="H3" s="26"/>
      <c r="I3" s="26"/>
      <c r="J3" s="26"/>
    </row>
    <row r="4" spans="1:15" s="23" customFormat="1" ht="12.75">
      <c r="A4" s="26" t="s">
        <v>37</v>
      </c>
      <c r="B4" s="26"/>
      <c r="C4" s="26"/>
      <c r="D4" s="26"/>
      <c r="E4" s="26"/>
      <c r="F4" s="26"/>
      <c r="G4" s="26"/>
      <c r="H4" s="26"/>
      <c r="I4" s="26"/>
      <c r="J4" s="26"/>
      <c r="O4" s="24"/>
    </row>
    <row r="5" spans="1:15" s="23" customFormat="1" ht="12.75">
      <c r="A5" s="26" t="s">
        <v>38</v>
      </c>
      <c r="B5" s="26"/>
      <c r="C5" s="26"/>
      <c r="D5" s="26"/>
      <c r="E5" s="26"/>
      <c r="F5" s="26"/>
      <c r="G5" s="26"/>
      <c r="H5" s="26"/>
      <c r="I5" s="26"/>
      <c r="J5" s="26"/>
      <c r="O5" s="24"/>
    </row>
    <row r="6" spans="1:2" ht="12.75">
      <c r="A6" s="8"/>
      <c r="B6" s="8"/>
    </row>
    <row r="7" spans="1:2" ht="12.75">
      <c r="A7" s="4" t="s">
        <v>30</v>
      </c>
      <c r="B7" s="8"/>
    </row>
    <row r="8" spans="1:1" ht="12.75">
      <c r="A8" s="4" t="s">
        <v>25</v>
      </c>
    </row>
    <row r="9" spans="1:1" ht="12.75">
      <c r="A9" s="8"/>
    </row>
    <row r="10" spans="1:8" ht="25.5">
      <c r="A10" s="25" t="s">
        <v>0</v>
      </c>
      <c r="B10" s="25" t="s">
        <v>1</v>
      </c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2:8" ht="12.75">
      <c r="B11" s="15">
        <v>39783</v>
      </c>
      <c r="F11" s="4">
        <v>0</v>
      </c>
      <c r="G11" s="4">
        <v>132</v>
      </c>
      <c r="H11" s="4">
        <v>0</v>
      </c>
    </row>
    <row r="12" spans="2:8" ht="12.75" hidden="1">
      <c r="B12" s="15">
        <v>39814</v>
      </c>
      <c r="C12" s="4">
        <v>0</v>
      </c>
      <c r="D12" s="4">
        <v>0</v>
      </c>
      <c r="E12" s="4">
        <v>0</v>
      </c>
      <c r="F12" s="4">
        <v>0</v>
      </c>
      <c r="G12" s="4">
        <v>131</v>
      </c>
      <c r="H12" s="4">
        <v>0</v>
      </c>
    </row>
    <row r="13" spans="2:8" ht="12.75" hidden="1">
      <c r="B13" s="15">
        <v>39845</v>
      </c>
      <c r="C13" s="4">
        <v>0</v>
      </c>
      <c r="D13" s="4">
        <v>0</v>
      </c>
      <c r="E13" s="4">
        <v>0</v>
      </c>
      <c r="F13" s="4">
        <v>0</v>
      </c>
      <c r="G13" s="4">
        <v>130</v>
      </c>
      <c r="H13" s="4">
        <v>0</v>
      </c>
    </row>
    <row r="14" spans="2:8" ht="12.75" hidden="1">
      <c r="B14" s="15">
        <v>39873</v>
      </c>
      <c r="C14" s="4">
        <v>0</v>
      </c>
      <c r="D14" s="4">
        <v>0</v>
      </c>
      <c r="E14" s="4">
        <v>0</v>
      </c>
      <c r="F14" s="4">
        <v>0</v>
      </c>
      <c r="G14" s="4">
        <v>129</v>
      </c>
      <c r="H14" s="4">
        <v>0</v>
      </c>
    </row>
    <row r="15" spans="2:8" ht="12.75" hidden="1">
      <c r="B15" s="15">
        <v>39904</v>
      </c>
      <c r="C15" s="4">
        <v>0</v>
      </c>
      <c r="D15" s="4">
        <v>0</v>
      </c>
      <c r="E15" s="4">
        <v>0</v>
      </c>
      <c r="F15" s="4">
        <v>0</v>
      </c>
      <c r="G15" s="4">
        <v>128</v>
      </c>
      <c r="H15" s="4">
        <v>0</v>
      </c>
    </row>
    <row r="16" spans="2:8" ht="12.75" hidden="1">
      <c r="B16" s="15">
        <v>39934</v>
      </c>
      <c r="C16" s="4">
        <v>0</v>
      </c>
      <c r="D16" s="4">
        <v>0</v>
      </c>
      <c r="E16" s="4">
        <v>0</v>
      </c>
      <c r="F16" s="4">
        <v>0</v>
      </c>
      <c r="G16" s="4">
        <v>127</v>
      </c>
      <c r="H16" s="4">
        <v>0</v>
      </c>
    </row>
    <row r="17" spans="2:8" ht="12.75" hidden="1">
      <c r="B17" s="15">
        <v>39965</v>
      </c>
      <c r="C17" s="4">
        <v>0</v>
      </c>
      <c r="D17" s="4">
        <v>0</v>
      </c>
      <c r="E17" s="4">
        <v>0</v>
      </c>
      <c r="F17" s="4">
        <v>0</v>
      </c>
      <c r="G17" s="4">
        <v>126</v>
      </c>
      <c r="H17" s="4">
        <v>0</v>
      </c>
    </row>
    <row r="18" spans="2:8" ht="12.75" hidden="1">
      <c r="B18" s="15">
        <v>39995</v>
      </c>
      <c r="C18" s="4">
        <v>0</v>
      </c>
      <c r="D18" s="4">
        <v>0</v>
      </c>
      <c r="E18" s="4">
        <v>0</v>
      </c>
      <c r="F18" s="4">
        <v>0</v>
      </c>
      <c r="G18" s="4">
        <v>125</v>
      </c>
      <c r="H18" s="4">
        <v>0</v>
      </c>
    </row>
    <row r="19" spans="2:8" ht="12.75" hidden="1">
      <c r="B19" s="15">
        <v>40026</v>
      </c>
      <c r="C19" s="4">
        <v>0</v>
      </c>
      <c r="D19" s="4">
        <v>0</v>
      </c>
      <c r="E19" s="4">
        <v>0</v>
      </c>
      <c r="F19" s="4">
        <v>0</v>
      </c>
      <c r="G19" s="4">
        <v>124</v>
      </c>
      <c r="H19" s="4">
        <v>0</v>
      </c>
    </row>
    <row r="20" spans="2:8" ht="12.75" hidden="1">
      <c r="B20" s="15">
        <v>40057</v>
      </c>
      <c r="C20" s="4">
        <v>0</v>
      </c>
      <c r="D20" s="4">
        <v>0</v>
      </c>
      <c r="E20" s="4">
        <v>0</v>
      </c>
      <c r="F20" s="4">
        <v>0</v>
      </c>
      <c r="G20" s="4">
        <v>123</v>
      </c>
      <c r="H20" s="4">
        <v>0</v>
      </c>
    </row>
    <row r="21" spans="2:8" ht="12.75" hidden="1">
      <c r="B21" s="15">
        <v>40087</v>
      </c>
      <c r="C21" s="4">
        <v>0</v>
      </c>
      <c r="D21" s="4">
        <v>0</v>
      </c>
      <c r="E21" s="4">
        <v>0</v>
      </c>
      <c r="F21" s="4">
        <v>0</v>
      </c>
      <c r="G21" s="4">
        <v>122</v>
      </c>
      <c r="H21" s="4">
        <v>0</v>
      </c>
    </row>
    <row r="22" spans="2:8" ht="12.75" hidden="1">
      <c r="B22" s="15">
        <v>40118</v>
      </c>
      <c r="C22" s="4">
        <v>0</v>
      </c>
      <c r="D22" s="4">
        <v>0</v>
      </c>
      <c r="E22" s="4">
        <v>0</v>
      </c>
      <c r="F22" s="4">
        <v>0</v>
      </c>
      <c r="G22" s="4">
        <v>121</v>
      </c>
      <c r="H22" s="4">
        <v>0</v>
      </c>
    </row>
    <row r="23" spans="2:8" ht="12.75" hidden="1">
      <c r="B23" s="15">
        <v>40148</v>
      </c>
      <c r="C23" s="4">
        <v>0</v>
      </c>
      <c r="D23" s="4">
        <v>0</v>
      </c>
      <c r="E23" s="4">
        <v>0</v>
      </c>
      <c r="F23" s="4">
        <v>0</v>
      </c>
      <c r="G23" s="4">
        <v>120</v>
      </c>
      <c r="H23" s="4">
        <v>0</v>
      </c>
    </row>
    <row r="24" spans="2:8" ht="12.75" hidden="1">
      <c r="B24" s="15">
        <v>40179</v>
      </c>
      <c r="C24" s="4">
        <v>0</v>
      </c>
      <c r="D24" s="4">
        <v>0</v>
      </c>
      <c r="E24" s="4">
        <v>0</v>
      </c>
      <c r="F24" s="4">
        <v>0</v>
      </c>
      <c r="G24" s="4">
        <v>119</v>
      </c>
      <c r="H24" s="4">
        <v>0</v>
      </c>
    </row>
    <row r="25" spans="2:8" ht="12.75" hidden="1">
      <c r="B25" s="15">
        <v>40210</v>
      </c>
      <c r="C25" s="4">
        <v>0</v>
      </c>
      <c r="D25" s="4">
        <v>0</v>
      </c>
      <c r="E25" s="4">
        <v>0</v>
      </c>
      <c r="F25" s="4">
        <v>0</v>
      </c>
      <c r="G25" s="4">
        <v>118</v>
      </c>
      <c r="H25" s="4">
        <v>0</v>
      </c>
    </row>
    <row r="26" spans="2:8" ht="12.75" hidden="1">
      <c r="B26" s="15">
        <v>40238</v>
      </c>
      <c r="C26" s="4">
        <v>0</v>
      </c>
      <c r="D26" s="4">
        <v>0</v>
      </c>
      <c r="E26" s="4">
        <v>0</v>
      </c>
      <c r="F26" s="4">
        <v>0</v>
      </c>
      <c r="G26" s="4">
        <v>117</v>
      </c>
      <c r="H26" s="4">
        <v>0</v>
      </c>
    </row>
    <row r="27" spans="2:8" ht="12.75" hidden="1">
      <c r="B27" s="15">
        <v>40269</v>
      </c>
      <c r="C27" s="4">
        <v>0</v>
      </c>
      <c r="D27" s="4">
        <v>0</v>
      </c>
      <c r="E27" s="4">
        <v>0</v>
      </c>
      <c r="F27" s="4">
        <v>0</v>
      </c>
      <c r="G27" s="4">
        <v>116</v>
      </c>
      <c r="H27" s="4">
        <v>0</v>
      </c>
    </row>
    <row r="28" spans="2:8" ht="12.75" hidden="1">
      <c r="B28" s="15">
        <v>40299</v>
      </c>
      <c r="C28" s="4">
        <v>0</v>
      </c>
      <c r="D28" s="4">
        <v>0</v>
      </c>
      <c r="E28" s="4">
        <v>0</v>
      </c>
      <c r="F28" s="4">
        <v>0</v>
      </c>
      <c r="G28" s="4">
        <v>115</v>
      </c>
      <c r="H28" s="4">
        <v>0</v>
      </c>
    </row>
    <row r="29" spans="2:8" ht="12.75" hidden="1">
      <c r="B29" s="15">
        <v>40330</v>
      </c>
      <c r="C29" s="4">
        <v>0</v>
      </c>
      <c r="D29" s="4">
        <v>0</v>
      </c>
      <c r="E29" s="4">
        <v>0</v>
      </c>
      <c r="F29" s="4">
        <v>0</v>
      </c>
      <c r="G29" s="4">
        <v>114</v>
      </c>
      <c r="H29" s="4">
        <v>0</v>
      </c>
    </row>
    <row r="30" spans="2:8" ht="12.75" hidden="1">
      <c r="B30" s="15">
        <v>40360</v>
      </c>
      <c r="C30" s="4">
        <v>0</v>
      </c>
      <c r="D30" s="4">
        <v>0</v>
      </c>
      <c r="E30" s="4">
        <v>0</v>
      </c>
      <c r="F30" s="4">
        <v>0</v>
      </c>
      <c r="G30" s="4">
        <v>113</v>
      </c>
      <c r="H30" s="4">
        <v>0</v>
      </c>
    </row>
    <row r="31" spans="2:8" ht="12.75" hidden="1">
      <c r="B31" s="15">
        <v>40391</v>
      </c>
      <c r="C31" s="4">
        <v>0</v>
      </c>
      <c r="D31" s="4">
        <v>0</v>
      </c>
      <c r="E31" s="4">
        <v>0</v>
      </c>
      <c r="F31" s="4">
        <v>0</v>
      </c>
      <c r="G31" s="4">
        <v>112</v>
      </c>
      <c r="H31" s="4">
        <v>0</v>
      </c>
    </row>
    <row r="32" spans="2:8" ht="12.75" hidden="1">
      <c r="B32" s="15">
        <v>40422</v>
      </c>
      <c r="C32" s="4">
        <v>0</v>
      </c>
      <c r="D32" s="4">
        <v>0</v>
      </c>
      <c r="E32" s="4">
        <v>0</v>
      </c>
      <c r="F32" s="4">
        <v>0</v>
      </c>
      <c r="G32" s="4">
        <v>111</v>
      </c>
      <c r="H32" s="4">
        <v>0</v>
      </c>
    </row>
    <row r="33" spans="2:8" ht="12.75" hidden="1">
      <c r="B33" s="15">
        <v>40452</v>
      </c>
      <c r="C33" s="4">
        <v>0</v>
      </c>
      <c r="D33" s="4">
        <v>0</v>
      </c>
      <c r="E33" s="4">
        <v>0</v>
      </c>
      <c r="F33" s="4">
        <v>0</v>
      </c>
      <c r="G33" s="4">
        <v>110</v>
      </c>
      <c r="H33" s="4">
        <v>0</v>
      </c>
    </row>
    <row r="34" spans="2:8" ht="12.75" hidden="1">
      <c r="B34" s="15">
        <v>40483</v>
      </c>
      <c r="C34" s="4">
        <v>0</v>
      </c>
      <c r="D34" s="4">
        <v>0</v>
      </c>
      <c r="E34" s="4">
        <v>0</v>
      </c>
      <c r="F34" s="4">
        <v>0</v>
      </c>
      <c r="G34" s="4">
        <v>109</v>
      </c>
      <c r="H34" s="4">
        <v>0</v>
      </c>
    </row>
    <row r="35" spans="1:14" ht="15">
      <c r="A35" s="5">
        <v>40573</v>
      </c>
      <c r="B35" s="15">
        <v>40513</v>
      </c>
      <c r="C35" s="4">
        <v>0</v>
      </c>
      <c r="D35" s="4">
        <v>0</v>
      </c>
      <c r="E35" s="9">
        <v>48474.400000000001</v>
      </c>
      <c r="F35" s="9">
        <v>48474.400000000001</v>
      </c>
      <c r="G35" s="4">
        <v>108</v>
      </c>
      <c r="H35" s="3">
        <f t="shared" si="0" ref="H35:H98">ROUND(F35/G35,2)</f>
        <v>448.83999999999998</v>
      </c>
      <c r="K35" s="11"/>
      <c r="L35" s="11"/>
      <c r="M35" s="11"/>
      <c r="N35" s="11"/>
    </row>
    <row r="36" spans="1:14" ht="15">
      <c r="A36" s="5">
        <f>+A35+29</f>
        <v>40602</v>
      </c>
      <c r="B36" s="15">
        <v>40544</v>
      </c>
      <c r="C36" s="3">
        <f t="shared" si="1" ref="C36:C47">F35</f>
        <v>48474.400000000001</v>
      </c>
      <c r="D36" s="3">
        <f>-H35</f>
        <v>-448.83999999999998</v>
      </c>
      <c r="E36" s="9">
        <f>F36-SUM(C36:D36)</f>
        <v>0</v>
      </c>
      <c r="F36" s="9">
        <v>48025.559999999998</v>
      </c>
      <c r="G36" s="2">
        <v>107</v>
      </c>
      <c r="H36" s="3">
        <f>ROUND(F36/G36,2)</f>
        <v>448.83999999999998</v>
      </c>
      <c r="K36" s="11"/>
      <c r="L36" s="11"/>
      <c r="M36" s="11"/>
      <c r="N36" s="11"/>
    </row>
    <row r="37" spans="1:14" ht="15">
      <c r="A37" s="5">
        <f>+A36+29</f>
        <v>40631</v>
      </c>
      <c r="B37" s="15">
        <v>40575</v>
      </c>
      <c r="C37" s="3">
        <f t="shared" si="1"/>
        <v>48025.559999999998</v>
      </c>
      <c r="D37" s="3">
        <v>-448.83999999999998</v>
      </c>
      <c r="E37" s="9">
        <f>F37-SUM(C37:D37)</f>
        <v>2140</v>
      </c>
      <c r="F37" s="9">
        <v>49716.720000000001</v>
      </c>
      <c r="G37" s="2">
        <v>106</v>
      </c>
      <c r="H37" s="3">
        <f>ROUND(F37/G37,2)</f>
        <v>469.02999999999997</v>
      </c>
      <c r="K37" s="11"/>
      <c r="L37" s="11"/>
      <c r="M37" s="11"/>
      <c r="N37" s="11"/>
    </row>
    <row r="38" spans="1:14" ht="15">
      <c r="A38" s="5">
        <f>+A37+29</f>
        <v>40660</v>
      </c>
      <c r="B38" s="15">
        <v>40603</v>
      </c>
      <c r="C38" s="3">
        <f t="shared" si="1"/>
        <v>49716.720000000001</v>
      </c>
      <c r="D38" s="3">
        <f>H37*-1</f>
        <v>-469.02999999999997</v>
      </c>
      <c r="E38" s="9">
        <f>35618.84+469.03</f>
        <v>36087.869999999995</v>
      </c>
      <c r="F38" s="9">
        <f>SUM(C38:E38)</f>
        <v>85335.559999999998</v>
      </c>
      <c r="G38" s="2">
        <v>105</v>
      </c>
      <c r="H38" s="3">
        <f t="shared" si="0"/>
        <v>812.72000000000003</v>
      </c>
      <c r="K38" s="11"/>
      <c r="L38" s="11"/>
      <c r="M38" s="11"/>
      <c r="N38" s="11"/>
    </row>
    <row r="39" spans="1:14" ht="15">
      <c r="A39" s="5">
        <f>+A38+29</f>
        <v>40689</v>
      </c>
      <c r="B39" s="15">
        <v>40634</v>
      </c>
      <c r="C39" s="3">
        <f t="shared" si="1"/>
        <v>85335.559999999998</v>
      </c>
      <c r="D39" s="3">
        <v>-812.72000000000003</v>
      </c>
      <c r="E39" s="9">
        <f>F39-C39-D39</f>
        <v>25033.639999999999</v>
      </c>
      <c r="F39" s="9">
        <v>109556.48</v>
      </c>
      <c r="G39" s="2">
        <v>104</v>
      </c>
      <c r="H39" s="3">
        <f t="shared" si="0"/>
        <v>1053.4300000000001</v>
      </c>
      <c r="K39" s="11"/>
      <c r="L39" s="11"/>
      <c r="M39" s="11"/>
      <c r="N39" s="11"/>
    </row>
    <row r="40" spans="1:14" ht="15">
      <c r="A40" s="5">
        <f t="shared" si="2" ref="A40:A94">+A39+30</f>
        <v>40719</v>
      </c>
      <c r="B40" s="15">
        <v>40664</v>
      </c>
      <c r="C40" s="3">
        <f t="shared" si="1"/>
        <v>109556.48</v>
      </c>
      <c r="D40" s="3">
        <v>-1053.4300000000001</v>
      </c>
      <c r="E40" s="9">
        <v>0</v>
      </c>
      <c r="F40" s="9">
        <v>108503.05</v>
      </c>
      <c r="G40" s="2">
        <v>103</v>
      </c>
      <c r="H40" s="3">
        <f t="shared" si="0"/>
        <v>1053.4300000000001</v>
      </c>
      <c r="K40" s="11"/>
      <c r="L40" s="11"/>
      <c r="M40" s="11"/>
      <c r="N40" s="11"/>
    </row>
    <row r="41" spans="1:14" ht="15">
      <c r="A41" s="5">
        <f t="shared" si="2"/>
        <v>40749</v>
      </c>
      <c r="B41" s="15">
        <v>40695</v>
      </c>
      <c r="C41" s="3">
        <f t="shared" si="1"/>
        <v>108503.05</v>
      </c>
      <c r="D41" s="3">
        <f>H40*-1</f>
        <v>-1053.4300000000001</v>
      </c>
      <c r="E41" s="9">
        <f>F41-C41-D41</f>
        <v>-7.503331289626658E-12</v>
      </c>
      <c r="F41" s="9">
        <v>107449.62</v>
      </c>
      <c r="G41" s="2">
        <v>102</v>
      </c>
      <c r="H41" s="3">
        <f t="shared" si="0"/>
        <v>1053.4300000000001</v>
      </c>
      <c r="K41" s="11"/>
      <c r="L41" s="11"/>
      <c r="M41" s="11"/>
      <c r="N41" s="11"/>
    </row>
    <row r="42" spans="1:14" ht="15">
      <c r="A42" s="5">
        <f t="shared" si="2"/>
        <v>40779</v>
      </c>
      <c r="B42" s="15">
        <v>40725</v>
      </c>
      <c r="C42" s="3">
        <f t="shared" si="1"/>
        <v>107449.62</v>
      </c>
      <c r="D42" s="3">
        <v>-1053.4300000000001</v>
      </c>
      <c r="E42" s="9">
        <f>F42-C42-D42</f>
        <v>7.0485839387401938E-12</v>
      </c>
      <c r="F42" s="9">
        <v>106396.19</v>
      </c>
      <c r="G42" s="2">
        <v>101</v>
      </c>
      <c r="H42" s="3">
        <f t="shared" si="0"/>
        <v>1053.4300000000001</v>
      </c>
      <c r="K42" s="11"/>
      <c r="L42" s="11"/>
      <c r="M42" s="11"/>
      <c r="N42" s="11"/>
    </row>
    <row r="43" spans="1:14" ht="15">
      <c r="A43" s="5">
        <f t="shared" si="2"/>
        <v>40809</v>
      </c>
      <c r="B43" s="15">
        <v>40756</v>
      </c>
      <c r="C43" s="3">
        <f t="shared" si="1"/>
        <v>106396.19</v>
      </c>
      <c r="D43" s="3">
        <v>-1053.4300000000001</v>
      </c>
      <c r="E43" s="9">
        <v>0</v>
      </c>
      <c r="F43" s="9">
        <f t="shared" si="3" ref="F43:F61">C43+D43+E43</f>
        <v>105342.76000000001</v>
      </c>
      <c r="G43" s="2">
        <v>100</v>
      </c>
      <c r="H43" s="3">
        <f t="shared" si="0"/>
        <v>1053.4300000000001</v>
      </c>
      <c r="K43" s="11"/>
      <c r="L43" s="11"/>
      <c r="M43" s="11"/>
      <c r="N43" s="11"/>
    </row>
    <row r="44" spans="1:14" ht="15">
      <c r="A44" s="5">
        <f t="shared" si="2"/>
        <v>40839</v>
      </c>
      <c r="B44" s="15">
        <v>40787</v>
      </c>
      <c r="C44" s="3">
        <f t="shared" si="1"/>
        <v>105342.76000000001</v>
      </c>
      <c r="D44" s="3">
        <v>-1053.4300000000001</v>
      </c>
      <c r="E44" s="9">
        <v>0</v>
      </c>
      <c r="F44" s="1">
        <f t="shared" si="3"/>
        <v>104289.33000000002</v>
      </c>
      <c r="G44" s="2">
        <v>99</v>
      </c>
      <c r="H44" s="3">
        <f t="shared" si="0"/>
        <v>1053.4300000000001</v>
      </c>
      <c r="K44" s="11"/>
      <c r="L44" s="11"/>
      <c r="M44" s="11"/>
      <c r="N44" s="11"/>
    </row>
    <row r="45" spans="1:14" ht="15">
      <c r="A45" s="5">
        <f t="shared" si="2"/>
        <v>40869</v>
      </c>
      <c r="B45" s="15">
        <v>40817</v>
      </c>
      <c r="C45" s="3">
        <f t="shared" si="1"/>
        <v>104289.33000000002</v>
      </c>
      <c r="D45" s="3">
        <f>H44*-1</f>
        <v>-1053.4300000000001</v>
      </c>
      <c r="E45" s="9"/>
      <c r="F45" s="1">
        <f t="shared" si="3"/>
        <v>103235.90000000002</v>
      </c>
      <c r="G45" s="2">
        <v>98</v>
      </c>
      <c r="H45" s="3">
        <f t="shared" si="0"/>
        <v>1053.4300000000001</v>
      </c>
      <c r="K45" s="11"/>
      <c r="L45" s="11"/>
      <c r="M45" s="11"/>
      <c r="N45" s="11"/>
    </row>
    <row r="46" spans="1:8" ht="15">
      <c r="A46" s="5">
        <f t="shared" si="2"/>
        <v>40899</v>
      </c>
      <c r="B46" s="15">
        <v>40848</v>
      </c>
      <c r="C46" s="3">
        <f t="shared" si="1"/>
        <v>103235.90000000002</v>
      </c>
      <c r="D46" s="3">
        <f>H45*-1</f>
        <v>-1053.4300000000001</v>
      </c>
      <c r="E46" s="9"/>
      <c r="F46" s="1">
        <f t="shared" si="3"/>
        <v>102182.47000000003</v>
      </c>
      <c r="G46" s="2">
        <v>97</v>
      </c>
      <c r="H46" s="3">
        <f t="shared" si="0"/>
        <v>1053.4300000000001</v>
      </c>
    </row>
    <row r="47" spans="1:8" ht="15">
      <c r="A47" s="5">
        <f t="shared" si="2"/>
        <v>40929</v>
      </c>
      <c r="B47" s="15">
        <v>40878</v>
      </c>
      <c r="C47" s="3">
        <f t="shared" si="1"/>
        <v>102182.47000000003</v>
      </c>
      <c r="D47" s="3">
        <f>H46*-1</f>
        <v>-1053.4300000000001</v>
      </c>
      <c r="E47" s="9"/>
      <c r="F47" s="1">
        <f t="shared" si="3"/>
        <v>101129.04000000004</v>
      </c>
      <c r="G47" s="2">
        <v>96</v>
      </c>
      <c r="H47" s="3">
        <f t="shared" si="0"/>
        <v>1053.4300000000001</v>
      </c>
    </row>
    <row r="48" spans="1:8" ht="15">
      <c r="A48" s="5">
        <f t="shared" si="2"/>
        <v>40959</v>
      </c>
      <c r="B48" s="15">
        <v>40909</v>
      </c>
      <c r="C48" s="3">
        <v>101129.03999999999</v>
      </c>
      <c r="D48" s="3">
        <v>-1053.4300000000001</v>
      </c>
      <c r="E48" s="9"/>
      <c r="F48" s="1">
        <f t="shared" si="3"/>
        <v>100075.61</v>
      </c>
      <c r="G48" s="2">
        <v>95</v>
      </c>
      <c r="H48" s="3">
        <f t="shared" si="0"/>
        <v>1053.4300000000001</v>
      </c>
    </row>
    <row r="49" spans="1:8" ht="15">
      <c r="A49" s="5">
        <f t="shared" si="2"/>
        <v>40989</v>
      </c>
      <c r="B49" s="15">
        <v>40940</v>
      </c>
      <c r="C49" s="3">
        <f t="shared" si="4" ref="C49:C112">F48</f>
        <v>100075.61</v>
      </c>
      <c r="D49" s="3">
        <v>-1053.4300000000001</v>
      </c>
      <c r="E49" s="9"/>
      <c r="F49" s="1">
        <f t="shared" si="3"/>
        <v>99022.180000000008</v>
      </c>
      <c r="G49" s="2">
        <v>94</v>
      </c>
      <c r="H49" s="3">
        <f t="shared" si="0"/>
        <v>1053.4300000000001</v>
      </c>
    </row>
    <row r="50" spans="1:8" ht="15">
      <c r="A50" s="5">
        <f t="shared" si="2"/>
        <v>41019</v>
      </c>
      <c r="B50" s="15">
        <v>40969</v>
      </c>
      <c r="C50" s="3">
        <f t="shared" si="4"/>
        <v>99022.180000000008</v>
      </c>
      <c r="D50" s="3">
        <f>H49*-1</f>
        <v>-1053.4300000000001</v>
      </c>
      <c r="E50" s="9"/>
      <c r="F50" s="1">
        <f t="shared" si="3"/>
        <v>97968.750000000015</v>
      </c>
      <c r="G50" s="2">
        <v>93</v>
      </c>
      <c r="H50" s="3">
        <f t="shared" si="0"/>
        <v>1053.4300000000001</v>
      </c>
    </row>
    <row r="51" spans="1:8" ht="15">
      <c r="A51" s="5">
        <f t="shared" si="2"/>
        <v>41049</v>
      </c>
      <c r="B51" s="15">
        <v>41000</v>
      </c>
      <c r="C51" s="3">
        <f t="shared" si="4"/>
        <v>97968.750000000015</v>
      </c>
      <c r="D51" s="3">
        <v>-1053.4300000000001</v>
      </c>
      <c r="E51" s="9">
        <v>0</v>
      </c>
      <c r="F51" s="1">
        <f t="shared" si="3"/>
        <v>96915.320000000022</v>
      </c>
      <c r="G51" s="2">
        <v>92</v>
      </c>
      <c r="H51" s="3">
        <f t="shared" si="0"/>
        <v>1053.4300000000001</v>
      </c>
    </row>
    <row r="52" spans="1:8" ht="15">
      <c r="A52" s="5">
        <f t="shared" si="2"/>
        <v>41079</v>
      </c>
      <c r="B52" s="15">
        <v>41030</v>
      </c>
      <c r="C52" s="3">
        <f t="shared" si="4"/>
        <v>96915.320000000022</v>
      </c>
      <c r="D52" s="3">
        <f>H51*-1</f>
        <v>-1053.4300000000001</v>
      </c>
      <c r="E52" s="9"/>
      <c r="F52" s="1">
        <f t="shared" si="3"/>
        <v>95861.890000000029</v>
      </c>
      <c r="G52" s="2">
        <v>91</v>
      </c>
      <c r="H52" s="3">
        <f t="shared" si="0"/>
        <v>1053.4300000000001</v>
      </c>
    </row>
    <row r="53" spans="1:8" ht="15">
      <c r="A53" s="5">
        <f t="shared" si="2"/>
        <v>41109</v>
      </c>
      <c r="B53" s="15">
        <v>41061</v>
      </c>
      <c r="C53" s="3">
        <f t="shared" si="4"/>
        <v>95861.890000000029</v>
      </c>
      <c r="D53" s="3">
        <f>H52*-1</f>
        <v>-1053.4300000000001</v>
      </c>
      <c r="E53" s="9">
        <v>9190.9899999999998</v>
      </c>
      <c r="F53" s="1">
        <f t="shared" si="3"/>
        <v>103999.45000000004</v>
      </c>
      <c r="G53" s="2">
        <v>90</v>
      </c>
      <c r="H53" s="3">
        <f t="shared" si="0"/>
        <v>1155.55</v>
      </c>
    </row>
    <row r="54" spans="1:8" ht="15">
      <c r="A54" s="5">
        <f t="shared" si="2"/>
        <v>41139</v>
      </c>
      <c r="B54" s="15">
        <v>41091</v>
      </c>
      <c r="C54" s="3">
        <f t="shared" si="4"/>
        <v>103999.45000000004</v>
      </c>
      <c r="D54" s="3">
        <f>H53*-1</f>
        <v>-1155.55</v>
      </c>
      <c r="E54" s="9"/>
      <c r="F54" s="1">
        <f t="shared" si="3"/>
        <v>102843.90000000004</v>
      </c>
      <c r="G54" s="2">
        <v>89</v>
      </c>
      <c r="H54" s="3">
        <f t="shared" si="0"/>
        <v>1155.55</v>
      </c>
    </row>
    <row r="55" spans="1:8" ht="15">
      <c r="A55" s="5">
        <f t="shared" si="2"/>
        <v>41169</v>
      </c>
      <c r="B55" s="15">
        <v>41122</v>
      </c>
      <c r="C55" s="3">
        <f t="shared" si="4"/>
        <v>102843.90000000004</v>
      </c>
      <c r="D55" s="3">
        <v>-1155.55</v>
      </c>
      <c r="E55" s="9"/>
      <c r="F55" s="1">
        <f t="shared" si="3"/>
        <v>101688.35000000004</v>
      </c>
      <c r="G55" s="2">
        <v>88</v>
      </c>
      <c r="H55" s="3">
        <f t="shared" si="0"/>
        <v>1155.55</v>
      </c>
    </row>
    <row r="56" spans="1:8" ht="15">
      <c r="A56" s="5">
        <f t="shared" si="2"/>
        <v>41199</v>
      </c>
      <c r="B56" s="15">
        <v>41153</v>
      </c>
      <c r="C56" s="3">
        <f t="shared" si="4"/>
        <v>101688.35000000004</v>
      </c>
      <c r="D56" s="3">
        <f t="shared" si="5" ref="D56:D61">H55*-1</f>
        <v>-1155.55</v>
      </c>
      <c r="E56" s="9"/>
      <c r="F56" s="1">
        <f t="shared" si="3"/>
        <v>100532.80000000003</v>
      </c>
      <c r="G56" s="2">
        <v>87</v>
      </c>
      <c r="H56" s="3">
        <f t="shared" si="0"/>
        <v>1155.55</v>
      </c>
    </row>
    <row r="57" spans="1:8" ht="15">
      <c r="A57" s="5">
        <f t="shared" si="2"/>
        <v>41229</v>
      </c>
      <c r="B57" s="15">
        <v>41183</v>
      </c>
      <c r="C57" s="3">
        <f t="shared" si="4"/>
        <v>100532.80000000003</v>
      </c>
      <c r="D57" s="3">
        <f t="shared" si="5"/>
        <v>-1155.55</v>
      </c>
      <c r="E57" s="9"/>
      <c r="F57" s="1">
        <f t="shared" si="3"/>
        <v>99377.250000000029</v>
      </c>
      <c r="G57" s="2">
        <v>86</v>
      </c>
      <c r="H57" s="3">
        <f t="shared" si="0"/>
        <v>1155.55</v>
      </c>
    </row>
    <row r="58" spans="1:8" ht="15">
      <c r="A58" s="5">
        <f t="shared" si="2"/>
        <v>41259</v>
      </c>
      <c r="B58" s="15">
        <v>41214</v>
      </c>
      <c r="C58" s="3">
        <f t="shared" si="4"/>
        <v>99377.250000000029</v>
      </c>
      <c r="D58" s="3">
        <f t="shared" si="5"/>
        <v>-1155.55</v>
      </c>
      <c r="E58" s="9"/>
      <c r="F58" s="1">
        <f t="shared" si="3"/>
        <v>98221.700000000026</v>
      </c>
      <c r="G58" s="2">
        <v>85</v>
      </c>
      <c r="H58" s="3">
        <f t="shared" si="0"/>
        <v>1155.55</v>
      </c>
    </row>
    <row r="59" spans="1:8" ht="15">
      <c r="A59" s="5">
        <f t="shared" si="2"/>
        <v>41289</v>
      </c>
      <c r="B59" s="15">
        <v>41244</v>
      </c>
      <c r="C59" s="3">
        <f t="shared" si="4"/>
        <v>98221.700000000026</v>
      </c>
      <c r="D59" s="3">
        <f t="shared" si="5"/>
        <v>-1155.55</v>
      </c>
      <c r="E59" s="9">
        <v>985788.47999999998</v>
      </c>
      <c r="F59" s="1">
        <f t="shared" si="3"/>
        <v>1082854.6299999999</v>
      </c>
      <c r="G59" s="2">
        <v>84</v>
      </c>
      <c r="H59" s="3">
        <f t="shared" si="0"/>
        <v>12891.129999999999</v>
      </c>
    </row>
    <row r="60" spans="1:8" ht="15">
      <c r="A60" s="5">
        <f t="shared" si="2"/>
        <v>41319</v>
      </c>
      <c r="B60" s="15">
        <v>41275</v>
      </c>
      <c r="C60" s="3">
        <f t="shared" si="4"/>
        <v>1082854.6299999999</v>
      </c>
      <c r="D60" s="3">
        <f t="shared" si="5"/>
        <v>-12891.129999999999</v>
      </c>
      <c r="E60" s="9">
        <v>-17080.970000000001</v>
      </c>
      <c r="F60" s="1">
        <f t="shared" si="3"/>
        <v>1052882.53</v>
      </c>
      <c r="G60" s="2">
        <v>83</v>
      </c>
      <c r="H60" s="3">
        <f t="shared" si="0"/>
        <v>12685.33</v>
      </c>
    </row>
    <row r="61" spans="1:9" ht="15">
      <c r="A61" s="5">
        <f t="shared" si="2"/>
        <v>41349</v>
      </c>
      <c r="B61" s="15">
        <v>41306</v>
      </c>
      <c r="C61" s="3">
        <f t="shared" si="4"/>
        <v>1052882.53</v>
      </c>
      <c r="D61" s="3">
        <f t="shared" si="5"/>
        <v>-12685.33</v>
      </c>
      <c r="E61" s="9">
        <v>26270.429999999997</v>
      </c>
      <c r="F61" s="1">
        <f t="shared" si="3"/>
        <v>1066467.6300000001</v>
      </c>
      <c r="G61" s="2">
        <v>82</v>
      </c>
      <c r="H61" s="3">
        <f>ROUND(F61/G61,2)+0.01</f>
        <v>13005.710000000001</v>
      </c>
      <c r="I61" s="3"/>
    </row>
    <row r="62" spans="1:9" ht="15">
      <c r="A62" s="5">
        <f t="shared" si="2"/>
        <v>41379</v>
      </c>
      <c r="B62" s="15">
        <v>41334</v>
      </c>
      <c r="C62" s="3">
        <f t="shared" si="4"/>
        <v>1066467.6300000001</v>
      </c>
      <c r="D62" s="3">
        <f>-H61</f>
        <v>-13005.710000000001</v>
      </c>
      <c r="E62" s="9">
        <v>0</v>
      </c>
      <c r="F62" s="1">
        <f>C62+D62+E62</f>
        <v>1053461.9200000002</v>
      </c>
      <c r="G62" s="2">
        <v>81</v>
      </c>
      <c r="H62" s="3">
        <f t="shared" si="0"/>
        <v>13005.700000000001</v>
      </c>
      <c r="I62" s="3"/>
    </row>
    <row r="63" spans="1:9" ht="15">
      <c r="A63" s="5">
        <f t="shared" si="2"/>
        <v>41409</v>
      </c>
      <c r="B63" s="15">
        <v>41365</v>
      </c>
      <c r="C63" s="3">
        <f t="shared" si="4"/>
        <v>1053461.9200000002</v>
      </c>
      <c r="D63" s="3">
        <f>H61*-1</f>
        <v>-13005.710000000001</v>
      </c>
      <c r="E63" s="9"/>
      <c r="F63" s="1">
        <f>C63+D63+E63</f>
        <v>1040456.2100000002</v>
      </c>
      <c r="G63" s="2">
        <v>80</v>
      </c>
      <c r="H63" s="3">
        <f t="shared" si="0"/>
        <v>13005.700000000001</v>
      </c>
      <c r="I63" s="3"/>
    </row>
    <row r="64" spans="1:8" ht="15">
      <c r="A64" s="5">
        <f t="shared" si="2"/>
        <v>41439</v>
      </c>
      <c r="B64" s="15">
        <v>41395</v>
      </c>
      <c r="C64" s="3">
        <f t="shared" si="4"/>
        <v>1040456.2100000002</v>
      </c>
      <c r="D64" s="3">
        <f>H63*-1</f>
        <v>-13005.700000000001</v>
      </c>
      <c r="E64" s="9"/>
      <c r="F64" s="1">
        <f>C64+D64+E64</f>
        <v>1027450.5100000002</v>
      </c>
      <c r="G64" s="2">
        <v>79</v>
      </c>
      <c r="H64" s="3">
        <f t="shared" si="0"/>
        <v>13005.700000000001</v>
      </c>
    </row>
    <row r="65" spans="1:8" ht="15">
      <c r="A65" s="5">
        <f t="shared" si="2"/>
        <v>41469</v>
      </c>
      <c r="B65" s="15">
        <v>41426</v>
      </c>
      <c r="C65" s="3">
        <f t="shared" si="4"/>
        <v>1027450.5100000002</v>
      </c>
      <c r="D65" s="3">
        <f>-H64</f>
        <v>-13005.700000000001</v>
      </c>
      <c r="E65" s="9"/>
      <c r="F65" s="1">
        <f>C65+D65+E65+0.01</f>
        <v>1014444.8200000003</v>
      </c>
      <c r="G65" s="2">
        <v>78</v>
      </c>
      <c r="H65" s="3">
        <f t="shared" si="0"/>
        <v>13005.700000000001</v>
      </c>
    </row>
    <row r="66" spans="1:8" ht="15">
      <c r="A66" s="5">
        <f t="shared" si="2"/>
        <v>41499</v>
      </c>
      <c r="B66" s="15">
        <v>41456</v>
      </c>
      <c r="C66" s="3">
        <f t="shared" si="4"/>
        <v>1014444.8200000003</v>
      </c>
      <c r="D66" s="3">
        <f>-H65</f>
        <v>-13005.700000000001</v>
      </c>
      <c r="E66" s="9"/>
      <c r="F66" s="1">
        <f t="shared" si="6" ref="F66:F129">C66+D66+E66</f>
        <v>1001439.1200000003</v>
      </c>
      <c r="G66" s="2">
        <v>77</v>
      </c>
      <c r="H66" s="3">
        <f t="shared" si="0"/>
        <v>13005.700000000001</v>
      </c>
    </row>
    <row r="67" spans="1:8" ht="15">
      <c r="A67" s="5">
        <f t="shared" si="2"/>
        <v>41529</v>
      </c>
      <c r="B67" s="15">
        <v>41487</v>
      </c>
      <c r="C67" s="3">
        <f t="shared" si="4"/>
        <v>1001439.1200000003</v>
      </c>
      <c r="D67" s="3">
        <f>-H66</f>
        <v>-13005.700000000001</v>
      </c>
      <c r="E67" s="9"/>
      <c r="F67" s="1">
        <f t="shared" si="6"/>
        <v>988433.42000000039</v>
      </c>
      <c r="G67" s="2">
        <v>76</v>
      </c>
      <c r="H67" s="3">
        <f t="shared" si="0"/>
        <v>13005.700000000001</v>
      </c>
    </row>
    <row r="68" spans="1:8" ht="15">
      <c r="A68" s="5">
        <f t="shared" si="2"/>
        <v>41559</v>
      </c>
      <c r="B68" s="15">
        <v>41518</v>
      </c>
      <c r="C68" s="3">
        <f t="shared" si="4"/>
        <v>988433.42000000039</v>
      </c>
      <c r="D68" s="3">
        <v>-13005.700000000001</v>
      </c>
      <c r="E68" s="9"/>
      <c r="F68" s="1">
        <f t="shared" si="6"/>
        <v>975427.72000000044</v>
      </c>
      <c r="G68" s="2">
        <v>75</v>
      </c>
      <c r="H68" s="3">
        <f t="shared" si="0"/>
        <v>13005.700000000001</v>
      </c>
    </row>
    <row r="69" spans="1:8" ht="15">
      <c r="A69" s="5">
        <f t="shared" si="2"/>
        <v>41589</v>
      </c>
      <c r="B69" s="15">
        <v>41548</v>
      </c>
      <c r="C69" s="3">
        <f t="shared" si="4"/>
        <v>975427.72000000044</v>
      </c>
      <c r="D69" s="3">
        <f>H68*-1</f>
        <v>-13005.700000000001</v>
      </c>
      <c r="E69" s="9"/>
      <c r="F69" s="1">
        <f t="shared" si="6"/>
        <v>962422.02000000048</v>
      </c>
      <c r="G69" s="2">
        <v>74</v>
      </c>
      <c r="H69" s="3">
        <f t="shared" si="0"/>
        <v>13005.700000000001</v>
      </c>
    </row>
    <row r="70" spans="1:8" ht="15">
      <c r="A70" s="5">
        <f t="shared" si="2"/>
        <v>41619</v>
      </c>
      <c r="B70" s="15">
        <v>41579</v>
      </c>
      <c r="C70" s="3">
        <f t="shared" si="4"/>
        <v>962422.02000000048</v>
      </c>
      <c r="D70" s="3">
        <f>H69*-1</f>
        <v>-13005.700000000001</v>
      </c>
      <c r="E70" s="9"/>
      <c r="F70" s="1">
        <f t="shared" si="6"/>
        <v>949416.32000000053</v>
      </c>
      <c r="G70" s="2">
        <v>73</v>
      </c>
      <c r="H70" s="3">
        <f t="shared" si="0"/>
        <v>13005.700000000001</v>
      </c>
    </row>
    <row r="71" spans="1:8" ht="15">
      <c r="A71" s="5">
        <f t="shared" si="2"/>
        <v>41649</v>
      </c>
      <c r="B71" s="15">
        <v>41609</v>
      </c>
      <c r="C71" s="3">
        <f t="shared" si="4"/>
        <v>949416.32000000053</v>
      </c>
      <c r="D71" s="3">
        <f>H69*-1</f>
        <v>-13005.700000000001</v>
      </c>
      <c r="E71" s="9"/>
      <c r="F71" s="1">
        <f t="shared" si="6"/>
        <v>936410.62000000058</v>
      </c>
      <c r="G71" s="2">
        <v>72</v>
      </c>
      <c r="H71" s="3">
        <f t="shared" si="0"/>
        <v>13005.700000000001</v>
      </c>
    </row>
    <row r="72" spans="1:8" ht="15">
      <c r="A72" s="5">
        <f t="shared" si="2"/>
        <v>41679</v>
      </c>
      <c r="B72" s="15">
        <v>41640</v>
      </c>
      <c r="C72" s="3">
        <f t="shared" si="4"/>
        <v>936410.62000000058</v>
      </c>
      <c r="D72" s="3">
        <f>H71*-1</f>
        <v>-13005.700000000001</v>
      </c>
      <c r="E72" s="9"/>
      <c r="F72" s="1">
        <f t="shared" si="6"/>
        <v>923404.92000000062</v>
      </c>
      <c r="G72" s="2">
        <v>71</v>
      </c>
      <c r="H72" s="3">
        <f t="shared" si="0"/>
        <v>13005.700000000001</v>
      </c>
    </row>
    <row r="73" spans="1:8" ht="15">
      <c r="A73" s="5">
        <f t="shared" si="2"/>
        <v>41709</v>
      </c>
      <c r="B73" s="19">
        <v>41671</v>
      </c>
      <c r="C73" s="3">
        <f t="shared" si="4"/>
        <v>923404.92000000062</v>
      </c>
      <c r="D73" s="3">
        <f>H72*-1</f>
        <v>-13005.700000000001</v>
      </c>
      <c r="E73" s="9"/>
      <c r="F73" s="1">
        <f t="shared" si="6"/>
        <v>910399.22000000067</v>
      </c>
      <c r="G73" s="2">
        <v>70</v>
      </c>
      <c r="H73" s="3">
        <f t="shared" si="0"/>
        <v>13005.700000000001</v>
      </c>
    </row>
    <row r="74" spans="1:8" ht="15">
      <c r="A74" s="5">
        <f t="shared" si="2"/>
        <v>41739</v>
      </c>
      <c r="B74" s="19">
        <v>41699</v>
      </c>
      <c r="C74" s="3">
        <f t="shared" si="4"/>
        <v>910399.22000000067</v>
      </c>
      <c r="D74" s="3">
        <f>H72*-1</f>
        <v>-13005.700000000001</v>
      </c>
      <c r="E74" s="9"/>
      <c r="F74" s="1">
        <f t="shared" si="6"/>
        <v>897393.52000000072</v>
      </c>
      <c r="G74" s="2">
        <v>69</v>
      </c>
      <c r="H74" s="3">
        <f t="shared" si="0"/>
        <v>13005.700000000001</v>
      </c>
    </row>
    <row r="75" spans="1:8" ht="15">
      <c r="A75" s="5">
        <f t="shared" si="2"/>
        <v>41769</v>
      </c>
      <c r="B75" s="19">
        <v>41730</v>
      </c>
      <c r="C75" s="3">
        <f t="shared" si="4"/>
        <v>897393.52000000072</v>
      </c>
      <c r="D75" s="3">
        <f>H73*-1</f>
        <v>-13005.700000000001</v>
      </c>
      <c r="E75" s="9"/>
      <c r="F75" s="1">
        <f t="shared" si="6"/>
        <v>884387.82000000076</v>
      </c>
      <c r="G75" s="2">
        <v>68</v>
      </c>
      <c r="H75" s="3">
        <f t="shared" si="0"/>
        <v>13005.700000000001</v>
      </c>
    </row>
    <row r="76" spans="1:8" ht="15">
      <c r="A76" s="5">
        <f t="shared" si="2"/>
        <v>41799</v>
      </c>
      <c r="B76" s="19">
        <v>41760</v>
      </c>
      <c r="C76" s="3">
        <f t="shared" si="4"/>
        <v>884387.82000000076</v>
      </c>
      <c r="D76" s="3">
        <f>H74*-1</f>
        <v>-13005.700000000001</v>
      </c>
      <c r="E76" s="9"/>
      <c r="F76" s="1">
        <f t="shared" si="6"/>
        <v>871382.12000000081</v>
      </c>
      <c r="G76" s="2">
        <v>67</v>
      </c>
      <c r="H76" s="3">
        <f t="shared" si="0"/>
        <v>13005.700000000001</v>
      </c>
    </row>
    <row r="77" spans="1:8" ht="15">
      <c r="A77" s="5">
        <f t="shared" si="2"/>
        <v>41829</v>
      </c>
      <c r="B77" s="19">
        <v>41791</v>
      </c>
      <c r="C77" s="3">
        <f t="shared" si="4"/>
        <v>871382.12000000081</v>
      </c>
      <c r="D77" s="3">
        <f>H76*-1</f>
        <v>-13005.700000000001</v>
      </c>
      <c r="E77" s="9"/>
      <c r="F77" s="1">
        <f t="shared" si="6"/>
        <v>858376.42000000086</v>
      </c>
      <c r="G77" s="2">
        <v>66</v>
      </c>
      <c r="H77" s="3">
        <f t="shared" si="0"/>
        <v>13005.700000000001</v>
      </c>
    </row>
    <row r="78" spans="1:8" ht="15">
      <c r="A78" s="5">
        <f t="shared" si="2"/>
        <v>41859</v>
      </c>
      <c r="B78" s="19">
        <v>41821</v>
      </c>
      <c r="C78" s="3">
        <f t="shared" si="4"/>
        <v>858376.42000000086</v>
      </c>
      <c r="D78" s="3">
        <f>H77*-1</f>
        <v>-13005.700000000001</v>
      </c>
      <c r="E78" s="9"/>
      <c r="F78" s="1">
        <f t="shared" si="6"/>
        <v>845370.7200000009</v>
      </c>
      <c r="G78" s="2">
        <v>65</v>
      </c>
      <c r="H78" s="3">
        <f t="shared" si="0"/>
        <v>13005.700000000001</v>
      </c>
    </row>
    <row r="79" spans="1:8" ht="15">
      <c r="A79" s="5">
        <f t="shared" si="2"/>
        <v>41889</v>
      </c>
      <c r="B79" s="15">
        <v>41852</v>
      </c>
      <c r="C79" s="3">
        <f t="shared" si="4"/>
        <v>845370.7200000009</v>
      </c>
      <c r="D79" s="3">
        <f>H77*-1</f>
        <v>-13005.700000000001</v>
      </c>
      <c r="F79" s="1">
        <f t="shared" si="6"/>
        <v>832365.02000000095</v>
      </c>
      <c r="G79" s="2">
        <v>64</v>
      </c>
      <c r="H79" s="3">
        <f t="shared" si="0"/>
        <v>13005.700000000001</v>
      </c>
    </row>
    <row r="80" spans="1:8" ht="15">
      <c r="A80" s="5">
        <f t="shared" si="2"/>
        <v>41919</v>
      </c>
      <c r="B80" s="15">
        <v>41883</v>
      </c>
      <c r="C80" s="3">
        <f t="shared" si="4"/>
        <v>832365.02000000095</v>
      </c>
      <c r="D80" s="3">
        <f>H78*-1</f>
        <v>-13005.700000000001</v>
      </c>
      <c r="F80" s="1">
        <f t="shared" si="6"/>
        <v>819359.320000001</v>
      </c>
      <c r="G80" s="2">
        <v>63</v>
      </c>
      <c r="H80" s="3">
        <f t="shared" si="0"/>
        <v>13005.700000000001</v>
      </c>
    </row>
    <row r="81" spans="1:8" ht="15">
      <c r="A81" s="5">
        <f t="shared" si="2"/>
        <v>41949</v>
      </c>
      <c r="B81" s="15">
        <v>41913</v>
      </c>
      <c r="C81" s="3">
        <f t="shared" si="4"/>
        <v>819359.320000001</v>
      </c>
      <c r="D81" s="3">
        <f>H78*-1</f>
        <v>-13005.700000000001</v>
      </c>
      <c r="F81" s="1">
        <f t="shared" si="6"/>
        <v>806353.62000000104</v>
      </c>
      <c r="G81" s="2">
        <v>62</v>
      </c>
      <c r="H81" s="3">
        <f t="shared" si="0"/>
        <v>13005.700000000001</v>
      </c>
    </row>
    <row r="82" spans="1:8" ht="15">
      <c r="A82" s="5">
        <f t="shared" si="2"/>
        <v>41979</v>
      </c>
      <c r="B82" s="15">
        <v>41944</v>
      </c>
      <c r="C82" s="3">
        <f t="shared" si="4"/>
        <v>806353.62000000104</v>
      </c>
      <c r="D82" s="3">
        <f>H78*-1</f>
        <v>-13005.700000000001</v>
      </c>
      <c r="F82" s="1">
        <f t="shared" si="6"/>
        <v>793347.92000000109</v>
      </c>
      <c r="G82" s="2">
        <v>61</v>
      </c>
      <c r="H82" s="3">
        <f t="shared" si="0"/>
        <v>13005.700000000001</v>
      </c>
    </row>
    <row r="83" spans="1:8" ht="15">
      <c r="A83" s="5">
        <f t="shared" si="2"/>
        <v>42009</v>
      </c>
      <c r="B83" s="15">
        <v>41974</v>
      </c>
      <c r="C83" s="3">
        <f t="shared" si="4"/>
        <v>793347.92000000109</v>
      </c>
      <c r="D83" s="3">
        <f>H79*-1</f>
        <v>-13005.700000000001</v>
      </c>
      <c r="F83" s="1">
        <f t="shared" si="6"/>
        <v>780342.22000000114</v>
      </c>
      <c r="G83" s="2">
        <v>60</v>
      </c>
      <c r="H83" s="3">
        <f t="shared" si="0"/>
        <v>13005.700000000001</v>
      </c>
    </row>
    <row r="84" spans="1:8" ht="15">
      <c r="A84" s="5">
        <f t="shared" si="2"/>
        <v>42039</v>
      </c>
      <c r="B84" s="15">
        <v>42005</v>
      </c>
      <c r="C84" s="3">
        <f t="shared" si="4"/>
        <v>780342.22000000114</v>
      </c>
      <c r="D84" s="3">
        <f>H80*-1</f>
        <v>-13005.700000000001</v>
      </c>
      <c r="F84" s="1">
        <f t="shared" si="6"/>
        <v>767336.52000000118</v>
      </c>
      <c r="G84" s="2">
        <v>59</v>
      </c>
      <c r="H84" s="3">
        <f t="shared" si="0"/>
        <v>13005.700000000001</v>
      </c>
    </row>
    <row r="85" spans="1:8" ht="15">
      <c r="A85" s="5">
        <f t="shared" si="2"/>
        <v>42069</v>
      </c>
      <c r="B85" s="8">
        <v>42036</v>
      </c>
      <c r="C85" s="3">
        <f t="shared" si="4"/>
        <v>767336.52000000118</v>
      </c>
      <c r="D85" s="3">
        <f t="shared" si="7" ref="D85:D148">-H84</f>
        <v>-13005.700000000001</v>
      </c>
      <c r="F85" s="1">
        <f t="shared" si="6"/>
        <v>754330.82000000123</v>
      </c>
      <c r="G85" s="2">
        <f t="shared" si="8" ref="G85:G117">+G84-1</f>
        <v>58</v>
      </c>
      <c r="H85" s="3">
        <f t="shared" si="0"/>
        <v>13005.700000000001</v>
      </c>
    </row>
    <row r="86" spans="1:8" ht="15">
      <c r="A86" s="5">
        <f t="shared" si="2"/>
        <v>42099</v>
      </c>
      <c r="B86" s="8">
        <v>42064</v>
      </c>
      <c r="C86" s="3">
        <f t="shared" si="4"/>
        <v>754330.82000000123</v>
      </c>
      <c r="D86" s="3">
        <f t="shared" si="7"/>
        <v>-13005.700000000001</v>
      </c>
      <c r="F86" s="1">
        <f t="shared" si="6"/>
        <v>741325.12000000128</v>
      </c>
      <c r="G86" s="2">
        <f t="shared" si="8"/>
        <v>57</v>
      </c>
      <c r="H86" s="3">
        <f t="shared" si="0"/>
        <v>13005.700000000001</v>
      </c>
    </row>
    <row r="87" spans="1:8" ht="15">
      <c r="A87" s="5">
        <f t="shared" si="2"/>
        <v>42129</v>
      </c>
      <c r="B87" s="8">
        <v>42095</v>
      </c>
      <c r="C87" s="3">
        <f t="shared" si="4"/>
        <v>741325.12000000128</v>
      </c>
      <c r="D87" s="3">
        <f t="shared" si="7"/>
        <v>-13005.700000000001</v>
      </c>
      <c r="F87" s="1">
        <f t="shared" si="6"/>
        <v>728319.42000000132</v>
      </c>
      <c r="G87" s="2">
        <f t="shared" si="8"/>
        <v>56</v>
      </c>
      <c r="H87" s="3">
        <f t="shared" si="0"/>
        <v>13005.700000000001</v>
      </c>
    </row>
    <row r="88" spans="1:8" ht="15">
      <c r="A88" s="5">
        <f t="shared" si="2"/>
        <v>42159</v>
      </c>
      <c r="B88" s="8">
        <v>42125</v>
      </c>
      <c r="C88" s="3">
        <f t="shared" si="4"/>
        <v>728319.42000000132</v>
      </c>
      <c r="D88" s="3">
        <f t="shared" si="7"/>
        <v>-13005.700000000001</v>
      </c>
      <c r="F88" s="1">
        <f t="shared" si="6"/>
        <v>715313.72000000137</v>
      </c>
      <c r="G88" s="2">
        <f t="shared" si="8"/>
        <v>55</v>
      </c>
      <c r="H88" s="3">
        <f t="shared" si="0"/>
        <v>13005.700000000001</v>
      </c>
    </row>
    <row r="89" spans="1:8" ht="15">
      <c r="A89" s="5">
        <f t="shared" si="2"/>
        <v>42189</v>
      </c>
      <c r="B89" s="8">
        <v>42156</v>
      </c>
      <c r="C89" s="3">
        <f t="shared" si="4"/>
        <v>715313.72000000137</v>
      </c>
      <c r="D89" s="3">
        <f t="shared" si="7"/>
        <v>-13005.700000000001</v>
      </c>
      <c r="F89" s="1">
        <f t="shared" si="6"/>
        <v>702308.02000000142</v>
      </c>
      <c r="G89" s="2">
        <f t="shared" si="8"/>
        <v>54</v>
      </c>
      <c r="H89" s="3">
        <f t="shared" si="0"/>
        <v>13005.700000000001</v>
      </c>
    </row>
    <row r="90" spans="1:8" ht="15">
      <c r="A90" s="5">
        <f t="shared" si="2"/>
        <v>42219</v>
      </c>
      <c r="B90" s="8">
        <v>42186</v>
      </c>
      <c r="C90" s="3">
        <f t="shared" si="4"/>
        <v>702308.02000000142</v>
      </c>
      <c r="D90" s="3">
        <f t="shared" si="7"/>
        <v>-13005.700000000001</v>
      </c>
      <c r="F90" s="1">
        <f t="shared" si="6"/>
        <v>689302.32000000146</v>
      </c>
      <c r="G90" s="2">
        <f t="shared" si="8"/>
        <v>53</v>
      </c>
      <c r="H90" s="3">
        <f t="shared" si="0"/>
        <v>13005.700000000001</v>
      </c>
    </row>
    <row r="91" spans="1:8" ht="15">
      <c r="A91" s="5">
        <f t="shared" si="2"/>
        <v>42249</v>
      </c>
      <c r="B91" s="8">
        <v>42217</v>
      </c>
      <c r="C91" s="3">
        <f t="shared" si="4"/>
        <v>689302.32000000146</v>
      </c>
      <c r="D91" s="3">
        <f t="shared" si="7"/>
        <v>-13005.700000000001</v>
      </c>
      <c r="F91" s="1">
        <f t="shared" si="6"/>
        <v>676296.62000000151</v>
      </c>
      <c r="G91" s="2">
        <f t="shared" si="8"/>
        <v>52</v>
      </c>
      <c r="H91" s="3">
        <f t="shared" si="0"/>
        <v>13005.700000000001</v>
      </c>
    </row>
    <row r="92" spans="1:9" ht="15">
      <c r="A92" s="5">
        <f t="shared" si="2"/>
        <v>42279</v>
      </c>
      <c r="B92" s="8">
        <v>42248</v>
      </c>
      <c r="C92" s="3">
        <f t="shared" si="4"/>
        <v>676296.62000000151</v>
      </c>
      <c r="D92" s="3">
        <f t="shared" si="7"/>
        <v>-13005.700000000001</v>
      </c>
      <c r="F92" s="1">
        <f t="shared" si="6"/>
        <v>663290.92000000156</v>
      </c>
      <c r="G92" s="2">
        <f t="shared" si="8"/>
        <v>51</v>
      </c>
      <c r="H92" s="3">
        <f t="shared" si="0"/>
        <v>13005.700000000001</v>
      </c>
      <c r="I92" s="20"/>
    </row>
    <row r="93" spans="1:9" ht="15">
      <c r="A93" s="5">
        <f t="shared" si="2"/>
        <v>42309</v>
      </c>
      <c r="B93" s="8">
        <v>42308</v>
      </c>
      <c r="C93" s="3">
        <f t="shared" si="4"/>
        <v>663290.92000000156</v>
      </c>
      <c r="D93" s="3">
        <f t="shared" si="7"/>
        <v>-13005.700000000001</v>
      </c>
      <c r="F93" s="1">
        <f t="shared" si="6"/>
        <v>650285.2200000016</v>
      </c>
      <c r="G93" s="2">
        <f t="shared" si="8"/>
        <v>50</v>
      </c>
      <c r="H93" s="3">
        <f t="shared" si="0"/>
        <v>13005.700000000001</v>
      </c>
      <c r="I93" s="20"/>
    </row>
    <row r="94" spans="1:9" ht="15">
      <c r="A94" s="5">
        <f t="shared" si="2"/>
        <v>42339</v>
      </c>
      <c r="B94" s="8">
        <v>42338</v>
      </c>
      <c r="C94" s="3">
        <f t="shared" si="4"/>
        <v>650285.2200000016</v>
      </c>
      <c r="D94" s="3">
        <f t="shared" si="7"/>
        <v>-13005.700000000001</v>
      </c>
      <c r="F94" s="1">
        <f t="shared" si="6"/>
        <v>637279.52000000165</v>
      </c>
      <c r="G94" s="2">
        <f t="shared" si="8"/>
        <v>49</v>
      </c>
      <c r="H94" s="3">
        <f t="shared" si="0"/>
        <v>13005.700000000001</v>
      </c>
      <c r="I94" s="20"/>
    </row>
    <row r="95" spans="1:9" ht="15">
      <c r="A95" s="5">
        <v>42399</v>
      </c>
      <c r="B95" s="8">
        <v>42369</v>
      </c>
      <c r="C95" s="3">
        <f t="shared" si="4"/>
        <v>637279.52000000165</v>
      </c>
      <c r="D95" s="3">
        <f t="shared" si="7"/>
        <v>-13005.700000000001</v>
      </c>
      <c r="F95" s="1">
        <f t="shared" si="6"/>
        <v>624273.8200000017</v>
      </c>
      <c r="G95" s="2">
        <f t="shared" si="8"/>
        <v>48</v>
      </c>
      <c r="H95" s="3">
        <f t="shared" si="0"/>
        <v>13005.700000000001</v>
      </c>
      <c r="I95" s="20"/>
    </row>
    <row r="96" spans="1:9" ht="15">
      <c r="A96" s="5">
        <f t="shared" si="9" ref="A96:A115">+A95+30</f>
        <v>42429</v>
      </c>
      <c r="B96" s="8">
        <v>42400</v>
      </c>
      <c r="C96" s="3">
        <f t="shared" si="4"/>
        <v>624273.8200000017</v>
      </c>
      <c r="D96" s="3">
        <f t="shared" si="7"/>
        <v>-13005.700000000001</v>
      </c>
      <c r="F96" s="1">
        <f t="shared" si="6"/>
        <v>611268.12000000174</v>
      </c>
      <c r="G96" s="2">
        <f t="shared" si="8"/>
        <v>47</v>
      </c>
      <c r="H96" s="3">
        <f t="shared" si="0"/>
        <v>13005.700000000001</v>
      </c>
      <c r="I96" s="20"/>
    </row>
    <row r="97" spans="1:10" ht="15">
      <c r="A97" s="5">
        <f t="shared" si="9"/>
        <v>42459</v>
      </c>
      <c r="B97" s="8">
        <v>42428</v>
      </c>
      <c r="C97" s="3">
        <f t="shared" si="4"/>
        <v>611268.12000000174</v>
      </c>
      <c r="D97" s="3">
        <f t="shared" si="7"/>
        <v>-13005.700000000001</v>
      </c>
      <c r="F97" s="1">
        <f t="shared" si="6"/>
        <v>598262.42000000179</v>
      </c>
      <c r="G97" s="2">
        <f t="shared" si="8"/>
        <v>46</v>
      </c>
      <c r="H97" s="3">
        <f t="shared" si="0"/>
        <v>13005.700000000001</v>
      </c>
      <c r="I97" s="20"/>
      <c r="J97" s="3"/>
    </row>
    <row r="98" spans="1:9" ht="15">
      <c r="A98" s="5">
        <f t="shared" si="9"/>
        <v>42489</v>
      </c>
      <c r="B98" s="8">
        <v>42460</v>
      </c>
      <c r="C98" s="3">
        <f t="shared" si="4"/>
        <v>598262.42000000179</v>
      </c>
      <c r="D98" s="3">
        <f t="shared" si="7"/>
        <v>-13005.700000000001</v>
      </c>
      <c r="F98" s="1">
        <f t="shared" si="6"/>
        <v>585256.72000000183</v>
      </c>
      <c r="G98" s="2">
        <f t="shared" si="8"/>
        <v>45</v>
      </c>
      <c r="H98" s="3">
        <f t="shared" si="0"/>
        <v>13005.700000000001</v>
      </c>
      <c r="I98" s="20"/>
    </row>
    <row r="99" spans="1:9" ht="15">
      <c r="A99" s="5">
        <f t="shared" si="9"/>
        <v>42519</v>
      </c>
      <c r="B99" s="8">
        <v>42490</v>
      </c>
      <c r="C99" s="3">
        <f t="shared" si="4"/>
        <v>585256.72000000183</v>
      </c>
      <c r="D99" s="3">
        <f t="shared" si="7"/>
        <v>-13005.700000000001</v>
      </c>
      <c r="F99" s="1">
        <f t="shared" si="6"/>
        <v>572251.02000000188</v>
      </c>
      <c r="G99" s="2">
        <f t="shared" si="8"/>
        <v>44</v>
      </c>
      <c r="H99" s="3">
        <f t="shared" si="10" ref="H99:H116">ROUND(F99/G99,2)</f>
        <v>13005.709999999999</v>
      </c>
      <c r="I99" s="20"/>
    </row>
    <row r="100" spans="1:9" ht="15">
      <c r="A100" s="5">
        <f t="shared" si="9"/>
        <v>42549</v>
      </c>
      <c r="B100" s="8">
        <v>42520</v>
      </c>
      <c r="C100" s="3">
        <f t="shared" si="4"/>
        <v>572251.02000000188</v>
      </c>
      <c r="D100" s="3">
        <f t="shared" si="7"/>
        <v>-13005.709999999999</v>
      </c>
      <c r="F100" s="1">
        <f t="shared" si="6"/>
        <v>559245.31000000192</v>
      </c>
      <c r="G100" s="2">
        <f t="shared" si="8"/>
        <v>43</v>
      </c>
      <c r="H100" s="3">
        <f t="shared" si="10"/>
        <v>13005.700000000001</v>
      </c>
      <c r="I100" s="20"/>
    </row>
    <row r="101" spans="1:9" ht="15">
      <c r="A101" s="5">
        <f t="shared" si="9"/>
        <v>42579</v>
      </c>
      <c r="B101" s="8">
        <v>42551</v>
      </c>
      <c r="C101" s="3">
        <f t="shared" si="4"/>
        <v>559245.31000000192</v>
      </c>
      <c r="D101" s="3">
        <f t="shared" si="7"/>
        <v>-13005.700000000001</v>
      </c>
      <c r="F101" s="1">
        <f t="shared" si="6"/>
        <v>546239.61000000197</v>
      </c>
      <c r="G101" s="2">
        <f t="shared" si="8"/>
        <v>42</v>
      </c>
      <c r="H101" s="3">
        <f t="shared" si="10"/>
        <v>13005.709999999999</v>
      </c>
      <c r="I101" s="20"/>
    </row>
    <row r="102" spans="1:9" ht="15">
      <c r="A102" s="5">
        <f t="shared" si="9"/>
        <v>42609</v>
      </c>
      <c r="B102" s="8">
        <v>42582</v>
      </c>
      <c r="C102" s="3">
        <f t="shared" si="4"/>
        <v>546239.61000000197</v>
      </c>
      <c r="D102" s="3">
        <f t="shared" si="7"/>
        <v>-13005.709999999999</v>
      </c>
      <c r="F102" s="1">
        <f t="shared" si="6"/>
        <v>533233.900000002</v>
      </c>
      <c r="G102" s="2">
        <f t="shared" si="8"/>
        <v>41</v>
      </c>
      <c r="H102" s="3">
        <f t="shared" si="10"/>
        <v>13005.700000000001</v>
      </c>
      <c r="I102" s="20"/>
    </row>
    <row r="103" spans="1:9" ht="15">
      <c r="A103" s="5">
        <f t="shared" si="9"/>
        <v>42639</v>
      </c>
      <c r="B103" s="8">
        <v>42613</v>
      </c>
      <c r="C103" s="3">
        <f t="shared" si="4"/>
        <v>533233.900000002</v>
      </c>
      <c r="D103" s="3">
        <f t="shared" si="7"/>
        <v>-13005.700000000001</v>
      </c>
      <c r="F103" s="1">
        <f t="shared" si="6"/>
        <v>520228.20000000199</v>
      </c>
      <c r="G103" s="2">
        <f t="shared" si="8"/>
        <v>40</v>
      </c>
      <c r="H103" s="3">
        <f t="shared" si="10"/>
        <v>13005.709999999999</v>
      </c>
      <c r="I103" s="20"/>
    </row>
    <row r="104" spans="1:9" ht="15">
      <c r="A104" s="5">
        <f t="shared" si="9"/>
        <v>42669</v>
      </c>
      <c r="B104" s="8">
        <v>42643</v>
      </c>
      <c r="C104" s="3">
        <f t="shared" si="4"/>
        <v>520228.20000000199</v>
      </c>
      <c r="D104" s="3">
        <f t="shared" si="7"/>
        <v>-13005.709999999999</v>
      </c>
      <c r="F104" s="1">
        <f t="shared" si="6"/>
        <v>507222.49000000197</v>
      </c>
      <c r="G104" s="2">
        <f t="shared" si="8"/>
        <v>39</v>
      </c>
      <c r="H104" s="3">
        <f t="shared" si="10"/>
        <v>13005.700000000001</v>
      </c>
      <c r="I104" s="20"/>
    </row>
    <row r="105" spans="1:9" ht="15">
      <c r="A105" s="5">
        <f t="shared" si="9"/>
        <v>42699</v>
      </c>
      <c r="B105" s="8">
        <v>42674</v>
      </c>
      <c r="C105" s="3">
        <f t="shared" si="4"/>
        <v>507222.49000000197</v>
      </c>
      <c r="D105" s="3">
        <f t="shared" si="7"/>
        <v>-13005.700000000001</v>
      </c>
      <c r="F105" s="1">
        <f t="shared" si="6"/>
        <v>494216.79000000196</v>
      </c>
      <c r="G105" s="2">
        <f t="shared" si="8"/>
        <v>38</v>
      </c>
      <c r="H105" s="3">
        <f t="shared" si="10"/>
        <v>13005.709999999999</v>
      </c>
      <c r="I105" s="20"/>
    </row>
    <row r="106" spans="1:9" ht="15">
      <c r="A106" s="5">
        <f t="shared" si="9"/>
        <v>42729</v>
      </c>
      <c r="B106" s="8">
        <v>42704</v>
      </c>
      <c r="C106" s="3">
        <f t="shared" si="4"/>
        <v>494216.79000000196</v>
      </c>
      <c r="D106" s="3">
        <f t="shared" si="7"/>
        <v>-13005.709999999999</v>
      </c>
      <c r="F106" s="1">
        <f t="shared" si="6"/>
        <v>481211.08000000194</v>
      </c>
      <c r="G106" s="2">
        <f t="shared" si="8"/>
        <v>37</v>
      </c>
      <c r="H106" s="3">
        <f t="shared" si="10"/>
        <v>13005.700000000001</v>
      </c>
      <c r="I106" s="20"/>
    </row>
    <row r="107" spans="1:9" ht="15">
      <c r="A107" s="5">
        <f t="shared" si="9"/>
        <v>42759</v>
      </c>
      <c r="B107" s="8">
        <v>42735</v>
      </c>
      <c r="C107" s="3">
        <f t="shared" si="4"/>
        <v>481211.08000000194</v>
      </c>
      <c r="D107" s="3">
        <f t="shared" si="7"/>
        <v>-13005.700000000001</v>
      </c>
      <c r="F107" s="1">
        <f t="shared" si="6"/>
        <v>468205.38000000193</v>
      </c>
      <c r="G107" s="2">
        <f t="shared" si="8"/>
        <v>36</v>
      </c>
      <c r="H107" s="3">
        <f t="shared" si="10"/>
        <v>13005.709999999999</v>
      </c>
      <c r="I107" s="20"/>
    </row>
    <row r="108" spans="1:9" ht="15">
      <c r="A108" s="5">
        <f t="shared" si="9"/>
        <v>42789</v>
      </c>
      <c r="B108" s="8">
        <v>42766</v>
      </c>
      <c r="C108" s="3">
        <f t="shared" si="4"/>
        <v>468205.38000000193</v>
      </c>
      <c r="D108" s="3">
        <f t="shared" si="7"/>
        <v>-13005.709999999999</v>
      </c>
      <c r="F108" s="1">
        <f t="shared" si="6"/>
        <v>455199.6700000019</v>
      </c>
      <c r="G108" s="2">
        <f t="shared" si="8"/>
        <v>35</v>
      </c>
      <c r="H108" s="3">
        <f t="shared" si="10"/>
        <v>13005.700000000001</v>
      </c>
      <c r="I108" s="20"/>
    </row>
    <row r="109" spans="1:9" ht="15">
      <c r="A109" s="5">
        <f t="shared" si="9"/>
        <v>42819</v>
      </c>
      <c r="B109" s="8">
        <v>42794</v>
      </c>
      <c r="C109" s="3">
        <f t="shared" si="4"/>
        <v>455199.6700000019</v>
      </c>
      <c r="D109" s="3">
        <f t="shared" si="7"/>
        <v>-13005.700000000001</v>
      </c>
      <c r="F109" s="1">
        <f t="shared" si="6"/>
        <v>442193.97000000189</v>
      </c>
      <c r="G109" s="2">
        <f t="shared" si="8"/>
        <v>34</v>
      </c>
      <c r="H109" s="3">
        <f t="shared" si="10"/>
        <v>13005.709999999999</v>
      </c>
      <c r="I109" s="20"/>
    </row>
    <row r="110" spans="1:9" ht="15">
      <c r="A110" s="5">
        <f t="shared" si="9"/>
        <v>42849</v>
      </c>
      <c r="B110" s="8">
        <v>42825</v>
      </c>
      <c r="C110" s="3">
        <f t="shared" si="4"/>
        <v>442193.97000000189</v>
      </c>
      <c r="D110" s="3">
        <f t="shared" si="7"/>
        <v>-13005.709999999999</v>
      </c>
      <c r="F110" s="1">
        <f t="shared" si="6"/>
        <v>429188.26000000187</v>
      </c>
      <c r="G110" s="2">
        <f t="shared" si="8"/>
        <v>33</v>
      </c>
      <c r="H110" s="3">
        <f t="shared" si="10"/>
        <v>13005.700000000001</v>
      </c>
      <c r="I110" s="20"/>
    </row>
    <row r="111" spans="1:9" ht="15">
      <c r="A111" s="5">
        <f t="shared" si="9"/>
        <v>42879</v>
      </c>
      <c r="B111" s="8">
        <v>42855</v>
      </c>
      <c r="C111" s="3">
        <f t="shared" si="4"/>
        <v>429188.26000000187</v>
      </c>
      <c r="D111" s="3">
        <f t="shared" si="7"/>
        <v>-13005.700000000001</v>
      </c>
      <c r="F111" s="1">
        <f t="shared" si="6"/>
        <v>416182.56000000186</v>
      </c>
      <c r="G111" s="2">
        <f t="shared" si="8"/>
        <v>32</v>
      </c>
      <c r="H111" s="3">
        <f t="shared" si="10"/>
        <v>13005.709999999999</v>
      </c>
      <c r="I111" s="20"/>
    </row>
    <row r="112" spans="1:9" ht="15">
      <c r="A112" s="5">
        <f t="shared" si="9"/>
        <v>42909</v>
      </c>
      <c r="B112" s="8">
        <v>42886</v>
      </c>
      <c r="C112" s="3">
        <f t="shared" si="4"/>
        <v>416182.56000000186</v>
      </c>
      <c r="D112" s="3">
        <f t="shared" si="7"/>
        <v>-13005.709999999999</v>
      </c>
      <c r="F112" s="1">
        <f t="shared" si="6"/>
        <v>403176.85000000184</v>
      </c>
      <c r="G112" s="2">
        <f t="shared" si="8"/>
        <v>31</v>
      </c>
      <c r="H112" s="3">
        <f t="shared" si="10"/>
        <v>13005.700000000001</v>
      </c>
      <c r="I112" s="20"/>
    </row>
    <row r="113" spans="1:9" ht="15">
      <c r="A113" s="5">
        <f t="shared" si="9"/>
        <v>42939</v>
      </c>
      <c r="B113" s="8">
        <v>42916</v>
      </c>
      <c r="C113" s="3">
        <f t="shared" si="11" ref="C113:C176">F112</f>
        <v>403176.85000000184</v>
      </c>
      <c r="D113" s="3">
        <f t="shared" si="7"/>
        <v>-13005.700000000001</v>
      </c>
      <c r="F113" s="1">
        <f t="shared" si="6"/>
        <v>390171.15000000183</v>
      </c>
      <c r="G113" s="2">
        <f t="shared" si="8"/>
        <v>30</v>
      </c>
      <c r="H113" s="3">
        <f t="shared" si="10"/>
        <v>13005.709999999999</v>
      </c>
      <c r="I113" s="20"/>
    </row>
    <row r="114" spans="1:9" ht="15">
      <c r="A114" s="5">
        <f t="shared" si="9"/>
        <v>42969</v>
      </c>
      <c r="B114" s="8">
        <v>42947</v>
      </c>
      <c r="C114" s="3">
        <f t="shared" si="11"/>
        <v>390171.15000000183</v>
      </c>
      <c r="D114" s="3">
        <f t="shared" si="7"/>
        <v>-13005.709999999999</v>
      </c>
      <c r="F114" s="1">
        <f t="shared" si="6"/>
        <v>377165.44000000181</v>
      </c>
      <c r="G114" s="2">
        <f t="shared" si="8"/>
        <v>29</v>
      </c>
      <c r="H114" s="3">
        <f t="shared" si="10"/>
        <v>13005.700000000001</v>
      </c>
      <c r="I114" s="20"/>
    </row>
    <row r="115" spans="1:9" ht="15">
      <c r="A115" s="5">
        <f t="shared" si="9"/>
        <v>42999</v>
      </c>
      <c r="B115" s="8">
        <v>42978</v>
      </c>
      <c r="C115" s="3">
        <f t="shared" si="11"/>
        <v>377165.44000000181</v>
      </c>
      <c r="D115" s="3">
        <f t="shared" si="7"/>
        <v>-13005.700000000001</v>
      </c>
      <c r="F115" s="1">
        <f t="shared" si="6"/>
        <v>364159.7400000018</v>
      </c>
      <c r="G115" s="2">
        <f t="shared" si="8"/>
        <v>28</v>
      </c>
      <c r="H115" s="3">
        <f t="shared" si="10"/>
        <v>13005.709999999999</v>
      </c>
      <c r="I115" s="20"/>
    </row>
    <row r="116" spans="1:9" ht="15">
      <c r="A116" s="5">
        <v>43039</v>
      </c>
      <c r="B116" s="8">
        <v>43008</v>
      </c>
      <c r="C116" s="3">
        <f t="shared" si="11"/>
        <v>364159.7400000018</v>
      </c>
      <c r="D116" s="3">
        <f t="shared" si="7"/>
        <v>-13005.709999999999</v>
      </c>
      <c r="F116" s="1">
        <f t="shared" si="6"/>
        <v>351154.03000000177</v>
      </c>
      <c r="G116" s="2">
        <f t="shared" si="8"/>
        <v>27</v>
      </c>
      <c r="H116" s="3">
        <f t="shared" si="10"/>
        <v>13005.700000000001</v>
      </c>
      <c r="I116" s="20"/>
    </row>
    <row r="117" spans="1:8" ht="15">
      <c r="A117" s="5">
        <v>43069</v>
      </c>
      <c r="B117" s="6">
        <v>43039</v>
      </c>
      <c r="C117" s="3">
        <f t="shared" si="11"/>
        <v>351154.03000000177</v>
      </c>
      <c r="D117" s="3">
        <f t="shared" si="7"/>
        <v>-13005.700000000001</v>
      </c>
      <c r="F117" s="1">
        <f t="shared" si="6"/>
        <v>338148.33000000176</v>
      </c>
      <c r="G117" s="2">
        <f t="shared" si="8"/>
        <v>26</v>
      </c>
      <c r="H117" s="3">
        <f>ROUND(F117/G117,2)*26/30</f>
        <v>11271.615333333331</v>
      </c>
    </row>
    <row r="118" spans="1:8" ht="15">
      <c r="A118" s="5">
        <v>43069</v>
      </c>
      <c r="B118" s="6">
        <v>43065</v>
      </c>
      <c r="C118" s="3">
        <f t="shared" si="11"/>
        <v>338148.33000000176</v>
      </c>
      <c r="D118" s="3">
        <f t="shared" si="7"/>
        <v>-11271.615333333331</v>
      </c>
      <c r="F118" s="1">
        <f t="shared" si="6"/>
        <v>326876.71466666844</v>
      </c>
      <c r="G118" s="2">
        <v>60</v>
      </c>
      <c r="H118" s="3">
        <f>+$B$198*4/30</f>
        <v>726.39333333333332</v>
      </c>
    </row>
    <row r="119" spans="1:8" ht="15">
      <c r="A119" s="5">
        <v>43099</v>
      </c>
      <c r="B119" s="7" t="s">
        <v>10</v>
      </c>
      <c r="C119" s="3">
        <f t="shared" si="11"/>
        <v>326876.71466666844</v>
      </c>
      <c r="D119" s="3">
        <f t="shared" si="7"/>
        <v>-726.39333333333332</v>
      </c>
      <c r="F119" s="1">
        <f t="shared" si="6"/>
        <v>326150.32133333513</v>
      </c>
      <c r="G119" s="2">
        <v>60</v>
      </c>
      <c r="H119" s="3">
        <f t="shared" si="12" ref="H119:H150">ROUND(+$B$198,2)</f>
        <v>5447.9499999999998</v>
      </c>
    </row>
    <row r="120" spans="1:8" ht="15">
      <c r="A120" s="5">
        <f>+A119+30</f>
        <v>43129</v>
      </c>
      <c r="B120" s="8">
        <v>43100</v>
      </c>
      <c r="C120" s="3">
        <f t="shared" si="11"/>
        <v>326150.32133333513</v>
      </c>
      <c r="D120" s="3">
        <f t="shared" si="7"/>
        <v>-5447.9499999999998</v>
      </c>
      <c r="F120" s="1">
        <f t="shared" si="6"/>
        <v>320702.37133333512</v>
      </c>
      <c r="G120" s="2">
        <f>+G119-1</f>
        <v>59</v>
      </c>
      <c r="H120" s="3">
        <f t="shared" si="12"/>
        <v>5447.9499999999998</v>
      </c>
    </row>
    <row r="121" spans="1:8" ht="15">
      <c r="A121" s="5">
        <f t="shared" si="13" ref="A121:B136">+A120+30</f>
        <v>43159</v>
      </c>
      <c r="B121" s="8">
        <f t="shared" si="13"/>
        <v>43130</v>
      </c>
      <c r="C121" s="3">
        <f t="shared" si="11"/>
        <v>320702.37133333512</v>
      </c>
      <c r="D121" s="3">
        <f t="shared" si="7"/>
        <v>-5447.9499999999998</v>
      </c>
      <c r="F121" s="1">
        <f t="shared" si="6"/>
        <v>315254.42133333511</v>
      </c>
      <c r="G121" s="2">
        <f t="shared" si="14" ref="G121:G178">+G120-1</f>
        <v>58</v>
      </c>
      <c r="H121" s="3">
        <f t="shared" si="12"/>
        <v>5447.9499999999998</v>
      </c>
    </row>
    <row r="122" spans="1:8" ht="15">
      <c r="A122" s="5">
        <f t="shared" si="13"/>
        <v>43189</v>
      </c>
      <c r="B122" s="8">
        <f>+B121+28</f>
        <v>43158</v>
      </c>
      <c r="C122" s="3">
        <f t="shared" si="11"/>
        <v>315254.42133333511</v>
      </c>
      <c r="D122" s="3">
        <f t="shared" si="7"/>
        <v>-5447.9499999999998</v>
      </c>
      <c r="F122" s="1">
        <f t="shared" si="6"/>
        <v>309806.4713333351</v>
      </c>
      <c r="G122" s="2">
        <f t="shared" si="14"/>
        <v>57</v>
      </c>
      <c r="H122" s="3">
        <f t="shared" si="12"/>
        <v>5447.9499999999998</v>
      </c>
    </row>
    <row r="123" spans="1:10" ht="15">
      <c r="A123" s="5">
        <f t="shared" si="13"/>
        <v>43219</v>
      </c>
      <c r="B123" s="8">
        <f t="shared" si="13"/>
        <v>43188</v>
      </c>
      <c r="C123" s="3">
        <f t="shared" si="11"/>
        <v>309806.4713333351</v>
      </c>
      <c r="D123" s="3">
        <f t="shared" si="7"/>
        <v>-5447.9499999999998</v>
      </c>
      <c r="F123" s="1">
        <f t="shared" si="6"/>
        <v>304358.52133333508</v>
      </c>
      <c r="G123" s="2">
        <f t="shared" si="14"/>
        <v>56</v>
      </c>
      <c r="H123" s="3">
        <f t="shared" si="12"/>
        <v>5447.9499999999998</v>
      </c>
      <c r="J123" s="9"/>
    </row>
    <row r="124" spans="1:10" ht="15">
      <c r="A124" s="5">
        <f t="shared" si="13"/>
        <v>43249</v>
      </c>
      <c r="B124" s="8">
        <f t="shared" si="13"/>
        <v>43218</v>
      </c>
      <c r="C124" s="3">
        <f t="shared" si="11"/>
        <v>304358.52133333508</v>
      </c>
      <c r="D124" s="3">
        <f t="shared" si="7"/>
        <v>-5447.9499999999998</v>
      </c>
      <c r="F124" s="1">
        <f t="shared" si="6"/>
        <v>298910.57133333507</v>
      </c>
      <c r="G124" s="2">
        <f t="shared" si="14"/>
        <v>55</v>
      </c>
      <c r="H124" s="3">
        <f t="shared" si="12"/>
        <v>5447.9499999999998</v>
      </c>
      <c r="J124" s="9"/>
    </row>
    <row r="125" spans="1:10" ht="15">
      <c r="A125" s="5">
        <f t="shared" si="13"/>
        <v>43279</v>
      </c>
      <c r="B125" s="8">
        <f t="shared" si="13"/>
        <v>43248</v>
      </c>
      <c r="C125" s="3">
        <f t="shared" si="11"/>
        <v>298910.57133333507</v>
      </c>
      <c r="D125" s="3">
        <f t="shared" si="7"/>
        <v>-5447.9499999999998</v>
      </c>
      <c r="F125" s="1">
        <f t="shared" si="6"/>
        <v>293462.62133333506</v>
      </c>
      <c r="G125" s="2">
        <f t="shared" si="14"/>
        <v>54</v>
      </c>
      <c r="H125" s="3">
        <f t="shared" si="12"/>
        <v>5447.9499999999998</v>
      </c>
      <c r="J125" s="9"/>
    </row>
    <row r="126" spans="1:10" ht="15">
      <c r="A126" s="5">
        <f t="shared" si="13"/>
        <v>43309</v>
      </c>
      <c r="B126" s="8">
        <f t="shared" si="13"/>
        <v>43278</v>
      </c>
      <c r="C126" s="3">
        <f t="shared" si="11"/>
        <v>293462.62133333506</v>
      </c>
      <c r="D126" s="3">
        <f t="shared" si="7"/>
        <v>-5447.9499999999998</v>
      </c>
      <c r="F126" s="1">
        <f t="shared" si="6"/>
        <v>288014.67133333505</v>
      </c>
      <c r="G126" s="2">
        <f t="shared" si="14"/>
        <v>53</v>
      </c>
      <c r="H126" s="3">
        <f t="shared" si="12"/>
        <v>5447.9499999999998</v>
      </c>
      <c r="J126" s="9"/>
    </row>
    <row r="127" spans="1:10" ht="15">
      <c r="A127" s="5">
        <f t="shared" si="13"/>
        <v>43339</v>
      </c>
      <c r="B127" s="8">
        <f t="shared" si="13"/>
        <v>43308</v>
      </c>
      <c r="C127" s="3">
        <f t="shared" si="11"/>
        <v>288014.67133333505</v>
      </c>
      <c r="D127" s="3">
        <f t="shared" si="7"/>
        <v>-5447.9499999999998</v>
      </c>
      <c r="F127" s="1">
        <f t="shared" si="6"/>
        <v>282566.72133333504</v>
      </c>
      <c r="G127" s="2">
        <f t="shared" si="14"/>
        <v>52</v>
      </c>
      <c r="H127" s="3">
        <f t="shared" si="12"/>
        <v>5447.9499999999998</v>
      </c>
      <c r="J127" s="9"/>
    </row>
    <row r="128" spans="1:10" ht="15">
      <c r="A128" s="5">
        <f t="shared" si="13"/>
        <v>43369</v>
      </c>
      <c r="B128" s="8">
        <f t="shared" si="13"/>
        <v>43338</v>
      </c>
      <c r="C128" s="3">
        <f t="shared" si="11"/>
        <v>282566.72133333504</v>
      </c>
      <c r="D128" s="3">
        <f t="shared" si="7"/>
        <v>-5447.9499999999998</v>
      </c>
      <c r="F128" s="1">
        <f t="shared" si="6"/>
        <v>277118.77133333503</v>
      </c>
      <c r="G128" s="2">
        <f t="shared" si="14"/>
        <v>51</v>
      </c>
      <c r="H128" s="3">
        <f t="shared" si="12"/>
        <v>5447.9499999999998</v>
      </c>
      <c r="J128" s="9"/>
    </row>
    <row r="129" spans="1:10" ht="15">
      <c r="A129" s="5">
        <f t="shared" si="13"/>
        <v>43399</v>
      </c>
      <c r="B129" s="8">
        <f t="shared" si="13"/>
        <v>43368</v>
      </c>
      <c r="C129" s="3">
        <f t="shared" si="11"/>
        <v>277118.77133333503</v>
      </c>
      <c r="D129" s="3">
        <f t="shared" si="7"/>
        <v>-5447.9499999999998</v>
      </c>
      <c r="F129" s="1">
        <f t="shared" si="6"/>
        <v>271670.82133333501</v>
      </c>
      <c r="G129" s="2">
        <f t="shared" si="14"/>
        <v>50</v>
      </c>
      <c r="H129" s="3">
        <f t="shared" si="12"/>
        <v>5447.9499999999998</v>
      </c>
      <c r="J129" s="9"/>
    </row>
    <row r="130" spans="1:10" ht="15">
      <c r="A130" s="5">
        <f t="shared" si="13"/>
        <v>43429</v>
      </c>
      <c r="B130" s="8">
        <f t="shared" si="13"/>
        <v>43398</v>
      </c>
      <c r="C130" s="3">
        <f t="shared" si="11"/>
        <v>271670.82133333501</v>
      </c>
      <c r="D130" s="3">
        <f t="shared" si="7"/>
        <v>-5447.9499999999998</v>
      </c>
      <c r="F130" s="1">
        <f t="shared" si="15" ref="F130:F178">C130+D130+E130</f>
        <v>266222.871333335</v>
      </c>
      <c r="G130" s="2">
        <f t="shared" si="14"/>
        <v>49</v>
      </c>
      <c r="H130" s="3">
        <f t="shared" si="12"/>
        <v>5447.9499999999998</v>
      </c>
      <c r="J130" s="9"/>
    </row>
    <row r="131" spans="1:10" ht="13.5" customHeight="1">
      <c r="A131" s="5">
        <f t="shared" si="13"/>
        <v>43459</v>
      </c>
      <c r="B131" s="8">
        <f t="shared" si="13"/>
        <v>43428</v>
      </c>
      <c r="C131" s="3">
        <f t="shared" si="11"/>
        <v>266222.871333335</v>
      </c>
      <c r="D131" s="3">
        <f t="shared" si="7"/>
        <v>-5447.9499999999998</v>
      </c>
      <c r="F131" s="1">
        <f t="shared" si="15"/>
        <v>260774.92133333499</v>
      </c>
      <c r="G131" s="2">
        <f t="shared" si="14"/>
        <v>48</v>
      </c>
      <c r="H131" s="3">
        <f t="shared" si="12"/>
        <v>5447.9499999999998</v>
      </c>
      <c r="J131" s="9"/>
    </row>
    <row r="132" spans="1:10" ht="15">
      <c r="A132" s="5">
        <f t="shared" si="13"/>
        <v>43489</v>
      </c>
      <c r="B132" s="8">
        <f t="shared" si="13"/>
        <v>43458</v>
      </c>
      <c r="C132" s="3">
        <f t="shared" si="11"/>
        <v>260774.92133333499</v>
      </c>
      <c r="D132" s="3">
        <f t="shared" si="7"/>
        <v>-5447.9499999999998</v>
      </c>
      <c r="F132" s="1">
        <f t="shared" si="15"/>
        <v>255326.97133333498</v>
      </c>
      <c r="G132" s="2">
        <f t="shared" si="14"/>
        <v>47</v>
      </c>
      <c r="H132" s="3">
        <f t="shared" si="12"/>
        <v>5447.9499999999998</v>
      </c>
      <c r="J132" s="9"/>
    </row>
    <row r="133" spans="1:10" ht="15">
      <c r="A133" s="5">
        <f t="shared" si="13"/>
        <v>43519</v>
      </c>
      <c r="B133" s="8">
        <f t="shared" si="13"/>
        <v>43488</v>
      </c>
      <c r="C133" s="3">
        <f t="shared" si="11"/>
        <v>255326.97133333498</v>
      </c>
      <c r="D133" s="3">
        <f t="shared" si="7"/>
        <v>-5447.9499999999998</v>
      </c>
      <c r="F133" s="1">
        <f t="shared" si="15"/>
        <v>249879.02133333497</v>
      </c>
      <c r="G133" s="2">
        <f t="shared" si="14"/>
        <v>46</v>
      </c>
      <c r="H133" s="3">
        <f t="shared" si="12"/>
        <v>5447.9499999999998</v>
      </c>
      <c r="J133" s="9"/>
    </row>
    <row r="134" spans="1:10" ht="15">
      <c r="A134" s="5">
        <f t="shared" si="13"/>
        <v>43549</v>
      </c>
      <c r="B134" s="8">
        <f t="shared" si="13"/>
        <v>43518</v>
      </c>
      <c r="C134" s="3">
        <f t="shared" si="11"/>
        <v>249879.02133333497</v>
      </c>
      <c r="D134" s="3">
        <f t="shared" si="7"/>
        <v>-5447.9499999999998</v>
      </c>
      <c r="F134" s="1">
        <f t="shared" si="15"/>
        <v>244431.07133333496</v>
      </c>
      <c r="G134" s="2">
        <f t="shared" si="14"/>
        <v>45</v>
      </c>
      <c r="H134" s="3">
        <f t="shared" si="12"/>
        <v>5447.9499999999998</v>
      </c>
      <c r="J134" s="9"/>
    </row>
    <row r="135" spans="1:10" ht="15">
      <c r="A135" s="5">
        <f t="shared" si="13"/>
        <v>43579</v>
      </c>
      <c r="B135" s="8">
        <f t="shared" si="13"/>
        <v>43548</v>
      </c>
      <c r="C135" s="3">
        <f t="shared" si="11"/>
        <v>244431.07133333496</v>
      </c>
      <c r="D135" s="3">
        <f t="shared" si="7"/>
        <v>-5447.9499999999998</v>
      </c>
      <c r="F135" s="1">
        <f t="shared" si="15"/>
        <v>238983.12133333494</v>
      </c>
      <c r="G135" s="2">
        <f t="shared" si="14"/>
        <v>44</v>
      </c>
      <c r="H135" s="3">
        <f t="shared" si="12"/>
        <v>5447.9499999999998</v>
      </c>
      <c r="J135" s="9"/>
    </row>
    <row r="136" spans="1:15" ht="15">
      <c r="A136" s="5">
        <f t="shared" si="13"/>
        <v>43609</v>
      </c>
      <c r="B136" s="8">
        <f t="shared" si="13"/>
        <v>43578</v>
      </c>
      <c r="C136" s="3">
        <f t="shared" si="11"/>
        <v>238983.12133333494</v>
      </c>
      <c r="D136" s="3">
        <f t="shared" si="7"/>
        <v>-5447.9499999999998</v>
      </c>
      <c r="F136" s="1">
        <f t="shared" si="15"/>
        <v>233535.17133333493</v>
      </c>
      <c r="G136" s="2">
        <f t="shared" si="14"/>
        <v>43</v>
      </c>
      <c r="H136" s="3">
        <f t="shared" si="12"/>
        <v>5447.9499999999998</v>
      </c>
      <c r="J136" s="9"/>
      <c r="O136" s="14"/>
    </row>
    <row r="137" spans="1:15" ht="15">
      <c r="A137" s="5">
        <f t="shared" si="16" ref="A137:B152">+A136+30</f>
        <v>43639</v>
      </c>
      <c r="B137" s="8">
        <f t="shared" si="16"/>
        <v>43608</v>
      </c>
      <c r="C137" s="3">
        <f t="shared" si="11"/>
        <v>233535.17133333493</v>
      </c>
      <c r="D137" s="3">
        <f t="shared" si="7"/>
        <v>-5447.9499999999998</v>
      </c>
      <c r="F137" s="1">
        <f t="shared" si="15"/>
        <v>228087.22133333492</v>
      </c>
      <c r="G137" s="2">
        <f t="shared" si="14"/>
        <v>42</v>
      </c>
      <c r="H137" s="3">
        <f t="shared" si="12"/>
        <v>5447.9499999999998</v>
      </c>
      <c r="J137" s="9"/>
      <c r="O137" s="14"/>
    </row>
    <row r="138" spans="1:10" ht="15">
      <c r="A138" s="5">
        <f t="shared" si="16"/>
        <v>43669</v>
      </c>
      <c r="B138" s="8">
        <f t="shared" si="16"/>
        <v>43638</v>
      </c>
      <c r="C138" s="3">
        <f t="shared" si="11"/>
        <v>228087.22133333492</v>
      </c>
      <c r="D138" s="3">
        <f t="shared" si="7"/>
        <v>-5447.9499999999998</v>
      </c>
      <c r="F138" s="1">
        <f t="shared" si="15"/>
        <v>222639.27133333491</v>
      </c>
      <c r="G138" s="2">
        <f t="shared" si="14"/>
        <v>41</v>
      </c>
      <c r="H138" s="3">
        <f t="shared" si="12"/>
        <v>5447.9499999999998</v>
      </c>
      <c r="J138" s="9"/>
    </row>
    <row r="139" spans="1:10" ht="15">
      <c r="A139" s="5">
        <f t="shared" si="16"/>
        <v>43699</v>
      </c>
      <c r="B139" s="8">
        <f t="shared" si="16"/>
        <v>43668</v>
      </c>
      <c r="C139" s="3">
        <f t="shared" si="11"/>
        <v>222639.27133333491</v>
      </c>
      <c r="D139" s="3">
        <f t="shared" si="7"/>
        <v>-5447.9499999999998</v>
      </c>
      <c r="F139" s="1">
        <f t="shared" si="15"/>
        <v>217191.3213333349</v>
      </c>
      <c r="G139" s="2">
        <f t="shared" si="14"/>
        <v>40</v>
      </c>
      <c r="H139" s="3">
        <f t="shared" si="12"/>
        <v>5447.9499999999998</v>
      </c>
      <c r="J139" s="9"/>
    </row>
    <row r="140" spans="1:10" ht="15">
      <c r="A140" s="5">
        <f t="shared" si="16"/>
        <v>43729</v>
      </c>
      <c r="B140" s="8">
        <f t="shared" si="16"/>
        <v>43698</v>
      </c>
      <c r="C140" s="3">
        <f t="shared" si="11"/>
        <v>217191.3213333349</v>
      </c>
      <c r="D140" s="3">
        <f t="shared" si="7"/>
        <v>-5447.9499999999998</v>
      </c>
      <c r="F140" s="1">
        <f t="shared" si="15"/>
        <v>211743.37133333489</v>
      </c>
      <c r="G140" s="2">
        <f t="shared" si="14"/>
        <v>39</v>
      </c>
      <c r="H140" s="3">
        <f t="shared" si="12"/>
        <v>5447.9499999999998</v>
      </c>
      <c r="J140" s="9"/>
    </row>
    <row r="141" spans="1:10" ht="15">
      <c r="A141" s="5">
        <f t="shared" si="16"/>
        <v>43759</v>
      </c>
      <c r="B141" s="8">
        <f t="shared" si="16"/>
        <v>43728</v>
      </c>
      <c r="C141" s="3">
        <f t="shared" si="11"/>
        <v>211743.37133333489</v>
      </c>
      <c r="D141" s="3">
        <f t="shared" si="7"/>
        <v>-5447.9499999999998</v>
      </c>
      <c r="F141" s="1">
        <f t="shared" si="15"/>
        <v>206295.42133333487</v>
      </c>
      <c r="G141" s="2">
        <f t="shared" si="14"/>
        <v>38</v>
      </c>
      <c r="H141" s="3">
        <f t="shared" si="12"/>
        <v>5447.9499999999998</v>
      </c>
      <c r="J141" s="9"/>
    </row>
    <row r="142" spans="1:10" ht="15">
      <c r="A142" s="5">
        <f t="shared" si="16"/>
        <v>43789</v>
      </c>
      <c r="B142" s="8">
        <f t="shared" si="16"/>
        <v>43758</v>
      </c>
      <c r="C142" s="3">
        <f t="shared" si="11"/>
        <v>206295.42133333487</v>
      </c>
      <c r="D142" s="3">
        <f t="shared" si="7"/>
        <v>-5447.9499999999998</v>
      </c>
      <c r="F142" s="1">
        <f t="shared" si="15"/>
        <v>200847.47133333486</v>
      </c>
      <c r="G142" s="2">
        <f t="shared" si="14"/>
        <v>37</v>
      </c>
      <c r="H142" s="3">
        <f t="shared" si="12"/>
        <v>5447.9499999999998</v>
      </c>
      <c r="J142" s="9"/>
    </row>
    <row r="143" spans="1:10" ht="14.25" customHeight="1">
      <c r="A143" s="5">
        <f t="shared" si="16"/>
        <v>43819</v>
      </c>
      <c r="B143" s="8">
        <f t="shared" si="16"/>
        <v>43788</v>
      </c>
      <c r="C143" s="3">
        <f t="shared" si="11"/>
        <v>200847.47133333486</v>
      </c>
      <c r="D143" s="3">
        <f t="shared" si="7"/>
        <v>-5447.9499999999998</v>
      </c>
      <c r="F143" s="1">
        <f t="shared" si="15"/>
        <v>195399.52133333485</v>
      </c>
      <c r="G143" s="2">
        <f t="shared" si="14"/>
        <v>36</v>
      </c>
      <c r="H143" s="3">
        <f t="shared" si="12"/>
        <v>5447.9499999999998</v>
      </c>
      <c r="J143" s="9"/>
    </row>
    <row r="144" spans="1:10" ht="15">
      <c r="A144" s="5">
        <f t="shared" si="16"/>
        <v>43849</v>
      </c>
      <c r="B144" s="8">
        <f t="shared" si="16"/>
        <v>43818</v>
      </c>
      <c r="C144" s="3">
        <f t="shared" si="11"/>
        <v>195399.52133333485</v>
      </c>
      <c r="D144" s="3">
        <f t="shared" si="7"/>
        <v>-5447.9499999999998</v>
      </c>
      <c r="F144" s="1">
        <f t="shared" si="15"/>
        <v>189951.57133333484</v>
      </c>
      <c r="G144" s="2">
        <f t="shared" si="14"/>
        <v>35</v>
      </c>
      <c r="H144" s="3">
        <f t="shared" si="12"/>
        <v>5447.9499999999998</v>
      </c>
      <c r="J144" s="9"/>
    </row>
    <row r="145" spans="1:10" ht="15">
      <c r="A145" s="5">
        <f t="shared" si="16"/>
        <v>43879</v>
      </c>
      <c r="B145" s="8">
        <f t="shared" si="16"/>
        <v>43848</v>
      </c>
      <c r="C145" s="3">
        <f t="shared" si="11"/>
        <v>189951.57133333484</v>
      </c>
      <c r="D145" s="3">
        <f t="shared" si="7"/>
        <v>-5447.9499999999998</v>
      </c>
      <c r="F145" s="1">
        <f t="shared" si="15"/>
        <v>184503.62133333483</v>
      </c>
      <c r="G145" s="2">
        <f t="shared" si="14"/>
        <v>34</v>
      </c>
      <c r="H145" s="3">
        <f t="shared" si="12"/>
        <v>5447.9499999999998</v>
      </c>
      <c r="J145" s="9"/>
    </row>
    <row r="146" spans="1:10" ht="15">
      <c r="A146" s="5">
        <f t="shared" si="16"/>
        <v>43909</v>
      </c>
      <c r="B146" s="8">
        <f t="shared" si="16"/>
        <v>43878</v>
      </c>
      <c r="C146" s="3">
        <f t="shared" si="11"/>
        <v>184503.62133333483</v>
      </c>
      <c r="D146" s="3">
        <f t="shared" si="7"/>
        <v>-5447.9499999999998</v>
      </c>
      <c r="F146" s="1">
        <f t="shared" si="15"/>
        <v>179055.67133333482</v>
      </c>
      <c r="G146" s="2">
        <f t="shared" si="14"/>
        <v>33</v>
      </c>
      <c r="H146" s="3">
        <f t="shared" si="12"/>
        <v>5447.9499999999998</v>
      </c>
      <c r="J146" s="9"/>
    </row>
    <row r="147" spans="1:10" ht="15">
      <c r="A147" s="5">
        <f t="shared" si="16"/>
        <v>43939</v>
      </c>
      <c r="B147" s="8">
        <f t="shared" si="16"/>
        <v>43908</v>
      </c>
      <c r="C147" s="3">
        <f t="shared" si="11"/>
        <v>179055.67133333482</v>
      </c>
      <c r="D147" s="3">
        <f t="shared" si="7"/>
        <v>-5447.9499999999998</v>
      </c>
      <c r="F147" s="1">
        <f t="shared" si="15"/>
        <v>173607.72133333481</v>
      </c>
      <c r="G147" s="2">
        <f t="shared" si="14"/>
        <v>32</v>
      </c>
      <c r="H147" s="3">
        <f t="shared" si="12"/>
        <v>5447.9499999999998</v>
      </c>
      <c r="J147" s="9"/>
    </row>
    <row r="148" spans="1:10" ht="15">
      <c r="A148" s="5">
        <f t="shared" si="16"/>
        <v>43969</v>
      </c>
      <c r="B148" s="8">
        <f t="shared" si="16"/>
        <v>43938</v>
      </c>
      <c r="C148" s="3">
        <f t="shared" si="11"/>
        <v>173607.72133333481</v>
      </c>
      <c r="D148" s="3">
        <f t="shared" si="7"/>
        <v>-5447.9499999999998</v>
      </c>
      <c r="F148" s="1">
        <f t="shared" si="15"/>
        <v>168159.77133333479</v>
      </c>
      <c r="G148" s="2">
        <f t="shared" si="14"/>
        <v>31</v>
      </c>
      <c r="H148" s="3">
        <f t="shared" si="12"/>
        <v>5447.9499999999998</v>
      </c>
      <c r="J148" s="9"/>
    </row>
    <row r="149" spans="1:10" ht="15">
      <c r="A149" s="5">
        <f t="shared" si="16"/>
        <v>43999</v>
      </c>
      <c r="B149" s="8">
        <f t="shared" si="16"/>
        <v>43968</v>
      </c>
      <c r="C149" s="3">
        <f t="shared" si="11"/>
        <v>168159.77133333479</v>
      </c>
      <c r="D149" s="3">
        <f t="shared" si="17" ref="D149:D178">-H148</f>
        <v>-5447.9499999999998</v>
      </c>
      <c r="F149" s="1">
        <f t="shared" si="15"/>
        <v>162711.82133333478</v>
      </c>
      <c r="G149" s="2">
        <f t="shared" si="14"/>
        <v>30</v>
      </c>
      <c r="H149" s="3">
        <f t="shared" si="12"/>
        <v>5447.9499999999998</v>
      </c>
      <c r="J149" s="9"/>
    </row>
    <row r="150" spans="1:10" ht="15">
      <c r="A150" s="5">
        <f t="shared" si="16"/>
        <v>44029</v>
      </c>
      <c r="B150" s="8">
        <f t="shared" si="16"/>
        <v>43998</v>
      </c>
      <c r="C150" s="3">
        <f t="shared" si="11"/>
        <v>162711.82133333478</v>
      </c>
      <c r="D150" s="3">
        <f t="shared" si="17"/>
        <v>-5447.9499999999998</v>
      </c>
      <c r="F150" s="1">
        <f t="shared" si="15"/>
        <v>157263.87133333477</v>
      </c>
      <c r="G150" s="2">
        <f t="shared" si="14"/>
        <v>29</v>
      </c>
      <c r="H150" s="3">
        <f t="shared" si="12"/>
        <v>5447.9499999999998</v>
      </c>
      <c r="J150" s="9"/>
    </row>
    <row r="151" spans="1:10" ht="15">
      <c r="A151" s="5">
        <f t="shared" si="16"/>
        <v>44059</v>
      </c>
      <c r="B151" s="8">
        <f t="shared" si="16"/>
        <v>44028</v>
      </c>
      <c r="C151" s="3">
        <f t="shared" si="11"/>
        <v>157263.87133333477</v>
      </c>
      <c r="D151" s="3">
        <f t="shared" si="17"/>
        <v>-5447.9499999999998</v>
      </c>
      <c r="F151" s="1">
        <f t="shared" si="15"/>
        <v>151815.92133333476</v>
      </c>
      <c r="G151" s="2">
        <f t="shared" si="14"/>
        <v>28</v>
      </c>
      <c r="H151" s="3">
        <f t="shared" si="18" ref="H151:H177">ROUND(+$B$198,2)</f>
        <v>5447.9499999999998</v>
      </c>
      <c r="J151" s="9"/>
    </row>
    <row r="152" spans="1:10" ht="15">
      <c r="A152" s="5">
        <f t="shared" si="16"/>
        <v>44089</v>
      </c>
      <c r="B152" s="8">
        <f t="shared" si="16"/>
        <v>44058</v>
      </c>
      <c r="C152" s="3">
        <f t="shared" si="11"/>
        <v>151815.92133333476</v>
      </c>
      <c r="D152" s="3">
        <f t="shared" si="17"/>
        <v>-5447.9499999999998</v>
      </c>
      <c r="F152" s="1">
        <f t="shared" si="15"/>
        <v>146367.97133333475</v>
      </c>
      <c r="G152" s="2">
        <f t="shared" si="14"/>
        <v>27</v>
      </c>
      <c r="H152" s="3">
        <f t="shared" si="18"/>
        <v>5447.9499999999998</v>
      </c>
      <c r="J152" s="9"/>
    </row>
    <row r="153" spans="1:10" ht="15">
      <c r="A153" s="5">
        <f t="shared" si="19" ref="A153:B168">+A152+30</f>
        <v>44119</v>
      </c>
      <c r="B153" s="8">
        <f t="shared" si="19"/>
        <v>44088</v>
      </c>
      <c r="C153" s="3">
        <f t="shared" si="11"/>
        <v>146367.97133333475</v>
      </c>
      <c r="D153" s="3">
        <f t="shared" si="17"/>
        <v>-5447.9499999999998</v>
      </c>
      <c r="F153" s="1">
        <f t="shared" si="15"/>
        <v>140920.02133333474</v>
      </c>
      <c r="G153" s="2">
        <f t="shared" si="14"/>
        <v>26</v>
      </c>
      <c r="H153" s="3">
        <f t="shared" si="18"/>
        <v>5447.9499999999998</v>
      </c>
      <c r="J153" s="9"/>
    </row>
    <row r="154" spans="1:10" ht="15">
      <c r="A154" s="5">
        <f t="shared" si="19"/>
        <v>44149</v>
      </c>
      <c r="B154" s="8">
        <f t="shared" si="19"/>
        <v>44118</v>
      </c>
      <c r="C154" s="3">
        <f t="shared" si="11"/>
        <v>140920.02133333474</v>
      </c>
      <c r="D154" s="3">
        <f t="shared" si="17"/>
        <v>-5447.9499999999998</v>
      </c>
      <c r="F154" s="1">
        <f t="shared" si="15"/>
        <v>135472.07133333472</v>
      </c>
      <c r="G154" s="2">
        <f t="shared" si="14"/>
        <v>25</v>
      </c>
      <c r="H154" s="3">
        <f t="shared" si="18"/>
        <v>5447.9499999999998</v>
      </c>
      <c r="J154" s="9"/>
    </row>
    <row r="155" spans="1:14" ht="15">
      <c r="A155" s="5">
        <f t="shared" si="19"/>
        <v>44179</v>
      </c>
      <c r="B155" s="8">
        <f t="shared" si="19"/>
        <v>44148</v>
      </c>
      <c r="C155" s="3">
        <f t="shared" si="11"/>
        <v>135472.07133333472</v>
      </c>
      <c r="D155" s="3">
        <f t="shared" si="17"/>
        <v>-5447.9499999999998</v>
      </c>
      <c r="F155" s="1">
        <f t="shared" si="15"/>
        <v>130024.12133333473</v>
      </c>
      <c r="G155" s="2">
        <f t="shared" si="14"/>
        <v>24</v>
      </c>
      <c r="H155" s="3">
        <f t="shared" si="18"/>
        <v>5447.9499999999998</v>
      </c>
      <c r="J155" s="11"/>
      <c r="K155" s="11"/>
      <c r="L155" s="11"/>
      <c r="M155" s="12"/>
      <c r="N155" s="11"/>
    </row>
    <row r="156" spans="1:14" ht="15">
      <c r="A156" s="5">
        <f t="shared" si="19"/>
        <v>44209</v>
      </c>
      <c r="B156" s="8">
        <f t="shared" si="19"/>
        <v>44178</v>
      </c>
      <c r="C156" s="3">
        <f t="shared" si="11"/>
        <v>130024.12133333473</v>
      </c>
      <c r="D156" s="3">
        <f t="shared" si="17"/>
        <v>-5447.9499999999998</v>
      </c>
      <c r="F156" s="10">
        <f t="shared" si="15"/>
        <v>124576.17133333473</v>
      </c>
      <c r="G156" s="2">
        <f t="shared" si="14"/>
        <v>23</v>
      </c>
      <c r="H156" s="3">
        <f t="shared" si="18"/>
        <v>5447.9499999999998</v>
      </c>
      <c r="M156" s="12"/>
      <c r="N156" s="11"/>
    </row>
    <row r="157" spans="1:14" ht="15">
      <c r="A157" s="5">
        <f t="shared" si="19"/>
        <v>44239</v>
      </c>
      <c r="B157" s="8">
        <f t="shared" si="19"/>
        <v>44208</v>
      </c>
      <c r="C157" s="3">
        <f t="shared" si="11"/>
        <v>124576.17133333473</v>
      </c>
      <c r="D157" s="3">
        <f t="shared" si="17"/>
        <v>-5447.9499999999998</v>
      </c>
      <c r="F157" s="1">
        <f t="shared" si="15"/>
        <v>119128.22133333473</v>
      </c>
      <c r="G157" s="2">
        <f t="shared" si="14"/>
        <v>22</v>
      </c>
      <c r="H157" s="3">
        <f t="shared" si="18"/>
        <v>5447.9499999999998</v>
      </c>
      <c r="L157" s="14"/>
      <c r="M157" s="3"/>
      <c r="N157" s="11"/>
    </row>
    <row r="158" spans="1:8" ht="15">
      <c r="A158" s="5">
        <f t="shared" si="19"/>
        <v>44269</v>
      </c>
      <c r="B158" s="8">
        <f t="shared" si="19"/>
        <v>44238</v>
      </c>
      <c r="C158" s="3">
        <f t="shared" si="11"/>
        <v>119128.22133333473</v>
      </c>
      <c r="D158" s="3">
        <f t="shared" si="17"/>
        <v>-5447.9499999999998</v>
      </c>
      <c r="F158" s="1">
        <f t="shared" si="15"/>
        <v>113680.27133333474</v>
      </c>
      <c r="G158" s="2">
        <f t="shared" si="14"/>
        <v>21</v>
      </c>
      <c r="H158" s="3">
        <f t="shared" si="18"/>
        <v>5447.9499999999998</v>
      </c>
    </row>
    <row r="159" spans="1:8" ht="15">
      <c r="A159" s="5">
        <f t="shared" si="19"/>
        <v>44299</v>
      </c>
      <c r="B159" s="8">
        <f t="shared" si="19"/>
        <v>44268</v>
      </c>
      <c r="C159" s="3">
        <f t="shared" si="11"/>
        <v>113680.27133333474</v>
      </c>
      <c r="D159" s="3">
        <f t="shared" si="17"/>
        <v>-5447.9499999999998</v>
      </c>
      <c r="F159" s="1">
        <f t="shared" si="15"/>
        <v>108232.32133333474</v>
      </c>
      <c r="G159" s="2">
        <f t="shared" si="14"/>
        <v>20</v>
      </c>
      <c r="H159" s="3">
        <f t="shared" si="18"/>
        <v>5447.9499999999998</v>
      </c>
    </row>
    <row r="160" spans="1:8" ht="15">
      <c r="A160" s="5">
        <f t="shared" si="19"/>
        <v>44329</v>
      </c>
      <c r="B160" s="8">
        <f t="shared" si="19"/>
        <v>44298</v>
      </c>
      <c r="C160" s="3">
        <f t="shared" si="11"/>
        <v>108232.32133333474</v>
      </c>
      <c r="D160" s="3">
        <f t="shared" si="17"/>
        <v>-5447.9499999999998</v>
      </c>
      <c r="F160" s="1">
        <f t="shared" si="15"/>
        <v>102784.37133333474</v>
      </c>
      <c r="G160" s="2">
        <f t="shared" si="14"/>
        <v>19</v>
      </c>
      <c r="H160" s="3">
        <f t="shared" si="18"/>
        <v>5447.9499999999998</v>
      </c>
    </row>
    <row r="161" spans="1:8" ht="15">
      <c r="A161" s="5">
        <f t="shared" si="19"/>
        <v>44359</v>
      </c>
      <c r="B161" s="8">
        <f t="shared" si="19"/>
        <v>44328</v>
      </c>
      <c r="C161" s="3">
        <f t="shared" si="11"/>
        <v>102784.37133333474</v>
      </c>
      <c r="D161" s="3">
        <f t="shared" si="17"/>
        <v>-5447.9499999999998</v>
      </c>
      <c r="F161" s="1">
        <f t="shared" si="15"/>
        <v>97336.421333334743</v>
      </c>
      <c r="G161" s="2">
        <f t="shared" si="14"/>
        <v>18</v>
      </c>
      <c r="H161" s="3">
        <f t="shared" si="18"/>
        <v>5447.9499999999998</v>
      </c>
    </row>
    <row r="162" spans="1:8" ht="15">
      <c r="A162" s="5">
        <f t="shared" si="19"/>
        <v>44389</v>
      </c>
      <c r="B162" s="8">
        <f t="shared" si="19"/>
        <v>44358</v>
      </c>
      <c r="C162" s="3">
        <f t="shared" si="11"/>
        <v>97336.421333334743</v>
      </c>
      <c r="D162" s="3">
        <f t="shared" si="17"/>
        <v>-5447.9499999999998</v>
      </c>
      <c r="F162" s="1">
        <f t="shared" si="15"/>
        <v>91888.471333334746</v>
      </c>
      <c r="G162" s="2">
        <f t="shared" si="14"/>
        <v>17</v>
      </c>
      <c r="H162" s="3">
        <f t="shared" si="18"/>
        <v>5447.9499999999998</v>
      </c>
    </row>
    <row r="163" spans="1:8" ht="15">
      <c r="A163" s="5">
        <f t="shared" si="19"/>
        <v>44419</v>
      </c>
      <c r="B163" s="8">
        <f t="shared" si="19"/>
        <v>44388</v>
      </c>
      <c r="C163" s="3">
        <f t="shared" si="11"/>
        <v>91888.471333334746</v>
      </c>
      <c r="D163" s="3">
        <f t="shared" si="17"/>
        <v>-5447.9499999999998</v>
      </c>
      <c r="F163" s="1">
        <f t="shared" si="15"/>
        <v>86440.521333334749</v>
      </c>
      <c r="G163" s="2">
        <f t="shared" si="14"/>
        <v>16</v>
      </c>
      <c r="H163" s="3">
        <f t="shared" si="18"/>
        <v>5447.9499999999998</v>
      </c>
    </row>
    <row r="164" spans="1:8" ht="15">
      <c r="A164" s="5">
        <f t="shared" si="19"/>
        <v>44449</v>
      </c>
      <c r="B164" s="8">
        <f t="shared" si="19"/>
        <v>44418</v>
      </c>
      <c r="C164" s="3">
        <f t="shared" si="11"/>
        <v>86440.521333334749</v>
      </c>
      <c r="D164" s="3">
        <f t="shared" si="17"/>
        <v>-5447.9499999999998</v>
      </c>
      <c r="F164" s="1">
        <f t="shared" si="15"/>
        <v>80992.571333334752</v>
      </c>
      <c r="G164" s="2">
        <f t="shared" si="14"/>
        <v>15</v>
      </c>
      <c r="H164" s="3">
        <f t="shared" si="18"/>
        <v>5447.9499999999998</v>
      </c>
    </row>
    <row r="165" spans="1:8" ht="15">
      <c r="A165" s="5">
        <f t="shared" si="19"/>
        <v>44479</v>
      </c>
      <c r="B165" s="8">
        <f t="shared" si="19"/>
        <v>44448</v>
      </c>
      <c r="C165" s="3">
        <f t="shared" si="11"/>
        <v>80992.571333334752</v>
      </c>
      <c r="D165" s="3">
        <f t="shared" si="17"/>
        <v>-5447.9499999999998</v>
      </c>
      <c r="F165" s="1">
        <f t="shared" si="15"/>
        <v>75544.621333334755</v>
      </c>
      <c r="G165" s="2">
        <f t="shared" si="14"/>
        <v>14</v>
      </c>
      <c r="H165" s="3">
        <f t="shared" si="18"/>
        <v>5447.9499999999998</v>
      </c>
    </row>
    <row r="166" spans="1:8" ht="15">
      <c r="A166" s="5">
        <f t="shared" si="19"/>
        <v>44509</v>
      </c>
      <c r="B166" s="8">
        <f t="shared" si="19"/>
        <v>44478</v>
      </c>
      <c r="C166" s="3">
        <f t="shared" si="11"/>
        <v>75544.621333334755</v>
      </c>
      <c r="D166" s="3">
        <f t="shared" si="17"/>
        <v>-5447.9499999999998</v>
      </c>
      <c r="F166" s="1">
        <f t="shared" si="15"/>
        <v>70096.671333334758</v>
      </c>
      <c r="G166" s="2">
        <f t="shared" si="14"/>
        <v>13</v>
      </c>
      <c r="H166" s="3">
        <f t="shared" si="18"/>
        <v>5447.9499999999998</v>
      </c>
    </row>
    <row r="167" spans="1:8" ht="15">
      <c r="A167" s="5">
        <f t="shared" si="19"/>
        <v>44539</v>
      </c>
      <c r="B167" s="8">
        <f t="shared" si="19"/>
        <v>44508</v>
      </c>
      <c r="C167" s="3">
        <f t="shared" si="11"/>
        <v>70096.671333334758</v>
      </c>
      <c r="D167" s="3">
        <f t="shared" si="17"/>
        <v>-5447.9499999999998</v>
      </c>
      <c r="F167" s="1">
        <f t="shared" si="15"/>
        <v>64648.721333334761</v>
      </c>
      <c r="G167" s="2">
        <f t="shared" si="14"/>
        <v>12</v>
      </c>
      <c r="H167" s="3">
        <f t="shared" si="18"/>
        <v>5447.9499999999998</v>
      </c>
    </row>
    <row r="168" spans="1:8" ht="15">
      <c r="A168" s="5">
        <f t="shared" si="19"/>
        <v>44569</v>
      </c>
      <c r="B168" s="8">
        <f t="shared" si="19"/>
        <v>44538</v>
      </c>
      <c r="C168" s="3">
        <f t="shared" si="11"/>
        <v>64648.721333334761</v>
      </c>
      <c r="D168" s="3">
        <f t="shared" si="17"/>
        <v>-5447.9499999999998</v>
      </c>
      <c r="F168" s="10">
        <f t="shared" si="15"/>
        <v>59200.771333334764</v>
      </c>
      <c r="G168" s="2">
        <f t="shared" si="14"/>
        <v>11</v>
      </c>
      <c r="H168" s="3">
        <f t="shared" si="18"/>
        <v>5447.9499999999998</v>
      </c>
    </row>
    <row r="169" spans="1:8" ht="15">
      <c r="A169" s="5">
        <f t="shared" si="20" ref="A169:B178">+A168+30</f>
        <v>44599</v>
      </c>
      <c r="B169" s="8">
        <f t="shared" si="20"/>
        <v>44568</v>
      </c>
      <c r="C169" s="3">
        <f t="shared" si="11"/>
        <v>59200.771333334764</v>
      </c>
      <c r="D169" s="3">
        <f t="shared" si="17"/>
        <v>-5447.9499999999998</v>
      </c>
      <c r="F169" s="1">
        <f t="shared" si="15"/>
        <v>53752.821333334767</v>
      </c>
      <c r="G169" s="2">
        <f t="shared" si="14"/>
        <v>10</v>
      </c>
      <c r="H169" s="3">
        <f t="shared" si="18"/>
        <v>5447.9499999999998</v>
      </c>
    </row>
    <row r="170" spans="1:8" ht="15">
      <c r="A170" s="5">
        <f t="shared" si="20"/>
        <v>44629</v>
      </c>
      <c r="B170" s="8">
        <f t="shared" si="20"/>
        <v>44598</v>
      </c>
      <c r="C170" s="3">
        <f t="shared" si="11"/>
        <v>53752.821333334767</v>
      </c>
      <c r="D170" s="3">
        <f t="shared" si="17"/>
        <v>-5447.9499999999998</v>
      </c>
      <c r="F170" s="1">
        <f t="shared" si="15"/>
        <v>48304.87133333477</v>
      </c>
      <c r="G170" s="2">
        <f t="shared" si="14"/>
        <v>9</v>
      </c>
      <c r="H170" s="3">
        <f t="shared" si="18"/>
        <v>5447.9499999999998</v>
      </c>
    </row>
    <row r="171" spans="1:8" ht="15">
      <c r="A171" s="5">
        <f t="shared" si="20"/>
        <v>44659</v>
      </c>
      <c r="B171" s="8">
        <f t="shared" si="20"/>
        <v>44628</v>
      </c>
      <c r="C171" s="3">
        <f t="shared" si="11"/>
        <v>48304.87133333477</v>
      </c>
      <c r="D171" s="3">
        <f t="shared" si="17"/>
        <v>-5447.9499999999998</v>
      </c>
      <c r="F171" s="1">
        <f t="shared" si="15"/>
        <v>42856.921333334772</v>
      </c>
      <c r="G171" s="2">
        <f t="shared" si="14"/>
        <v>8</v>
      </c>
      <c r="H171" s="3">
        <f t="shared" si="18"/>
        <v>5447.9499999999998</v>
      </c>
    </row>
    <row r="172" spans="1:8" ht="15">
      <c r="A172" s="5">
        <f t="shared" si="20"/>
        <v>44689</v>
      </c>
      <c r="B172" s="8">
        <f t="shared" si="20"/>
        <v>44658</v>
      </c>
      <c r="C172" s="3">
        <f t="shared" si="11"/>
        <v>42856.921333334772</v>
      </c>
      <c r="D172" s="3">
        <f t="shared" si="17"/>
        <v>-5447.9499999999998</v>
      </c>
      <c r="F172" s="1">
        <f t="shared" si="15"/>
        <v>37408.971333334775</v>
      </c>
      <c r="G172" s="2">
        <f t="shared" si="14"/>
        <v>7</v>
      </c>
      <c r="H172" s="3">
        <f t="shared" si="18"/>
        <v>5447.9499999999998</v>
      </c>
    </row>
    <row r="173" spans="1:8" ht="15">
      <c r="A173" s="5">
        <f t="shared" si="20"/>
        <v>44719</v>
      </c>
      <c r="B173" s="8">
        <f t="shared" si="20"/>
        <v>44688</v>
      </c>
      <c r="C173" s="3">
        <f t="shared" si="11"/>
        <v>37408.971333334775</v>
      </c>
      <c r="D173" s="3">
        <f t="shared" si="17"/>
        <v>-5447.9499999999998</v>
      </c>
      <c r="F173" s="1">
        <f t="shared" si="15"/>
        <v>31961.021333334775</v>
      </c>
      <c r="G173" s="2">
        <f t="shared" si="14"/>
        <v>6</v>
      </c>
      <c r="H173" s="3">
        <f t="shared" si="18"/>
        <v>5447.9499999999998</v>
      </c>
    </row>
    <row r="174" spans="1:8" ht="15">
      <c r="A174" s="5">
        <f t="shared" si="20"/>
        <v>44749</v>
      </c>
      <c r="B174" s="8">
        <f t="shared" si="20"/>
        <v>44718</v>
      </c>
      <c r="C174" s="3">
        <f t="shared" si="11"/>
        <v>31961.021333334775</v>
      </c>
      <c r="D174" s="3">
        <f t="shared" si="17"/>
        <v>-5447.9499999999998</v>
      </c>
      <c r="F174" s="1">
        <f t="shared" si="15"/>
        <v>26513.071333334774</v>
      </c>
      <c r="G174" s="2">
        <f t="shared" si="14"/>
        <v>5</v>
      </c>
      <c r="H174" s="3">
        <f t="shared" si="18"/>
        <v>5447.9499999999998</v>
      </c>
    </row>
    <row r="175" spans="1:8" ht="15">
      <c r="A175" s="5">
        <f t="shared" si="20"/>
        <v>44779</v>
      </c>
      <c r="B175" s="8">
        <f t="shared" si="20"/>
        <v>44748</v>
      </c>
      <c r="C175" s="3">
        <f t="shared" si="11"/>
        <v>26513.071333334774</v>
      </c>
      <c r="D175" s="3">
        <f t="shared" si="17"/>
        <v>-5447.9499999999998</v>
      </c>
      <c r="F175" s="1">
        <f t="shared" si="15"/>
        <v>21065.121333334773</v>
      </c>
      <c r="G175" s="2">
        <f t="shared" si="14"/>
        <v>4</v>
      </c>
      <c r="H175" s="3">
        <f t="shared" si="18"/>
        <v>5447.9499999999998</v>
      </c>
    </row>
    <row r="176" spans="1:8" ht="15">
      <c r="A176" s="5">
        <f t="shared" si="20"/>
        <v>44809</v>
      </c>
      <c r="B176" s="8">
        <f t="shared" si="20"/>
        <v>44778</v>
      </c>
      <c r="C176" s="3">
        <f t="shared" si="11"/>
        <v>21065.121333334773</v>
      </c>
      <c r="D176" s="3">
        <f t="shared" si="17"/>
        <v>-5447.9499999999998</v>
      </c>
      <c r="F176" s="1">
        <f t="shared" si="15"/>
        <v>15617.171333334773</v>
      </c>
      <c r="G176" s="2">
        <f t="shared" si="14"/>
        <v>3</v>
      </c>
      <c r="H176" s="3">
        <f t="shared" si="18"/>
        <v>5447.9499999999998</v>
      </c>
    </row>
    <row r="177" spans="1:8" ht="15">
      <c r="A177" s="5">
        <f t="shared" si="20"/>
        <v>44839</v>
      </c>
      <c r="B177" s="8">
        <f t="shared" si="20"/>
        <v>44808</v>
      </c>
      <c r="C177" s="3">
        <f t="shared" si="21" ref="C177:C178">F176</f>
        <v>15617.171333334773</v>
      </c>
      <c r="D177" s="3">
        <f t="shared" si="17"/>
        <v>-5447.9499999999998</v>
      </c>
      <c r="F177" s="1">
        <f t="shared" si="15"/>
        <v>10169.221333334772</v>
      </c>
      <c r="G177" s="2">
        <f t="shared" si="14"/>
        <v>2</v>
      </c>
      <c r="H177" s="3">
        <f t="shared" si="18"/>
        <v>5447.9499999999998</v>
      </c>
    </row>
    <row r="178" spans="1:9" ht="15">
      <c r="A178" s="5">
        <f t="shared" si="20"/>
        <v>44869</v>
      </c>
      <c r="B178" s="8">
        <f t="shared" si="20"/>
        <v>44838</v>
      </c>
      <c r="C178" s="3">
        <f t="shared" si="21"/>
        <v>10169.221333334772</v>
      </c>
      <c r="D178" s="3">
        <f t="shared" si="17"/>
        <v>-5447.9499999999998</v>
      </c>
      <c r="F178" s="1">
        <f t="shared" si="15"/>
        <v>4721.271333334772</v>
      </c>
      <c r="G178" s="2">
        <f t="shared" si="14"/>
        <v>1</v>
      </c>
      <c r="H178" s="3">
        <f>F178</f>
        <v>4721.271333334772</v>
      </c>
      <c r="I178" s="18" t="s">
        <v>31</v>
      </c>
    </row>
    <row r="181" spans="1:1" ht="12.75">
      <c r="A181" s="17" t="s">
        <v>14</v>
      </c>
    </row>
    <row r="182" spans="1:1" ht="12.75">
      <c r="A182" s="4" t="s">
        <v>15</v>
      </c>
    </row>
    <row r="183" spans="1:1" ht="12.75">
      <c r="A183" s="4" t="s">
        <v>16</v>
      </c>
    </row>
    <row r="184" spans="1:1" ht="12.75">
      <c r="A184" s="18" t="s">
        <v>17</v>
      </c>
    </row>
    <row r="185" spans="1:1" ht="12.75">
      <c r="A185" s="18" t="s">
        <v>18</v>
      </c>
    </row>
    <row r="186" spans="1:1" ht="12.75">
      <c r="A186" s="18" t="s">
        <v>19</v>
      </c>
    </row>
    <row r="187" spans="1:1" ht="12.75">
      <c r="A187" s="18" t="s">
        <v>20</v>
      </c>
    </row>
    <row r="188" spans="1:1" ht="12.75">
      <c r="A188" s="4" t="s">
        <v>21</v>
      </c>
    </row>
    <row r="189" spans="1:1" ht="12.75">
      <c r="A189" s="4" t="s">
        <v>22</v>
      </c>
    </row>
    <row r="190" spans="1:1" ht="12.75">
      <c r="A190" s="4" t="s">
        <v>23</v>
      </c>
    </row>
    <row r="191" spans="1:1" ht="12.75">
      <c r="A191" s="4" t="s">
        <v>24</v>
      </c>
    </row>
    <row r="194" spans="1:2" ht="12.75">
      <c r="A194" s="21" t="s">
        <v>8</v>
      </c>
      <c r="B194" s="4"/>
    </row>
    <row r="195" spans="1:2" ht="12.75">
      <c r="A195" s="21" t="s">
        <v>9</v>
      </c>
      <c r="B195" s="4"/>
    </row>
    <row r="196" spans="2:3" ht="15">
      <c r="B196" s="9">
        <f>+F118</f>
        <v>326876.71466666844</v>
      </c>
      <c r="C196" s="18" t="s">
        <v>11</v>
      </c>
    </row>
    <row r="197" spans="2:3" ht="15">
      <c r="B197" s="22">
        <v>60</v>
      </c>
      <c r="C197" s="4" t="s">
        <v>13</v>
      </c>
    </row>
    <row r="198" spans="2:3" ht="15">
      <c r="B198" s="9">
        <f>ROUND(+B196/B197,2)</f>
        <v>5447.9499999999998</v>
      </c>
      <c r="C198" s="18" t="s">
        <v>12</v>
      </c>
    </row>
    <row r="199" spans="2:2" ht="15">
      <c r="B199" s="9"/>
    </row>
    <row r="200" spans="2:6" ht="12.75">
      <c r="B200" s="11"/>
      <c r="C200" s="11"/>
      <c r="D200" s="11"/>
      <c r="E200" s="12">
        <f>-SUM(D157:D168)</f>
        <v>65375.399999999987</v>
      </c>
      <c r="F200" s="11" t="s">
        <v>26</v>
      </c>
    </row>
    <row r="201" spans="1:6" ht="12.75">
      <c r="A201" s="4" t="s">
        <v>33</v>
      </c>
      <c r="B201" s="4"/>
      <c r="E201" s="13">
        <f>F168/5</f>
        <v>11840.154266666952</v>
      </c>
      <c r="F201" s="11" t="s">
        <v>27</v>
      </c>
    </row>
    <row r="202" spans="2:6" ht="12.75">
      <c r="B202" s="4"/>
      <c r="D202" s="14" t="s">
        <v>32</v>
      </c>
      <c r="E202" s="3">
        <f>E201-E200</f>
        <v>-53535.245733333039</v>
      </c>
      <c r="F202" s="11" t="s">
        <v>28</v>
      </c>
    </row>
    <row r="203" spans="2:2" ht="12.75">
      <c r="B203" s="4"/>
    </row>
    <row r="204" spans="1:2" ht="12.75">
      <c r="A204" s="4" t="s">
        <v>34</v>
      </c>
      <c r="B204" s="4"/>
    </row>
  </sheetData>
  <mergeCells count="5">
    <mergeCell ref="A1:J1"/>
    <mergeCell ref="A2:J2"/>
    <mergeCell ref="A3:J3"/>
    <mergeCell ref="A4:J4"/>
    <mergeCell ref="A5:J5"/>
  </mergeCells>
  <dataValidations count="1">
    <dataValidation errorStyle="information" type="list" allowBlank="1" showInputMessage="1" showErrorMessage="1" prompt="This field only accepts 'NEXT' or the current journal ID - OK to accept this value" error="This field only accepts 'NEXT' or the current journal ID - OK to accept this value" sqref="F7">
      <formula1>"NEXT"</formula1>
    </dataValidation>
  </dataValidations>
  <pageMargins left="1.5" right="0.5" top="1.5" bottom="0.5" header="1" footer="0.3"/>
  <pageSetup fitToHeight="0" orientation="portrait" scale="55" r:id="rId1"/>
  <headerFooter>
    <oddHeader>&amp;R&amp;"-,Bold"WP/II-E-4.1.1 AMS Meter Reader Severances Regulatory Asset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II-E-4.1.1 AMS MR Severances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