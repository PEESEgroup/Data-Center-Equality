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emf" ContentType="image/x-emf"/>
  <Override PartName="/xl/ctrProps/ctrProp1.xml" ContentType="application/vnd.ms-excel.controlproperties+xml"/>
  <Override PartName="/xl/ctrProps/ctrProp2.xml" ContentType="application/vnd.ms-excel.controlproperties+xml"/>
  <Override PartName="/xl/ctrProps/ctrProp3.xml" ContentType="application/vnd.ms-excel.controlproperties+xml"/>
  <Override PartName="/xl/ctrProps/ctrProp4.xml" ContentType="application/vnd.ms-excel.controlproperties+xml"/>
  <Override PartName="/xl/ctrProps/ctrProp5.xml" ContentType="application/vnd.ms-excel.controlproperties+xml"/>
  <Override PartName="/xl/ctrProps/ctrProp6.xml" ContentType="application/vnd.ms-excel.controlproperties+xml"/>
  <Override PartName="/xl/ctrProps/ctrProp7.xml" ContentType="application/vnd.ms-excel.controlproperties+xml"/>
  <Override PartName="/xl/ctrProps/ctrProp8.xml" ContentType="application/vnd.ms-excel.controlproperties+xml"/>
  <Override PartName="/xl/ctrProps/ctrProp9.xml" ContentType="application/vnd.ms-excel.controlproperties+xml"/>
  <Override PartName="/xl/ctrProps/ctrProp10.xml" ContentType="application/vnd.ms-excel.controlproperties+xml"/>
  <Override PartName="/xl/ctrProps/ctrProp11.xml" ContentType="application/vnd.ms-excel.controlproperties+xml"/>
  <Override PartName="/xl/ctrProps/ctrProp12.xml" ContentType="application/vnd.ms-excel.controlproperties+xml"/>
  <Override PartName="/xl/ctrProps/ctrProp13.xml" ContentType="application/vnd.ms-excel.controlproperties+xml"/>
  <Override PartName="/xl/ctrProps/ctrProp14.xml" ContentType="application/vnd.ms-excel.controlproperties+xml"/>
  <Override PartName="/xl/ctrProps/ctrProp15.xml" ContentType="application/vnd.ms-excel.controlproperties+xml"/>
  <Override PartName="/xl/ctrProps/ctrProp16.xml" ContentType="application/vnd.ms-excel.controlproperties+xml"/>
  <Override PartName="/xl/ctrProps/ctrProp17.xml" ContentType="application/vnd.ms-excel.controlproperties+xml"/>
  <Override PartName="/xl/ctrProps/ctrProp18.xml" ContentType="application/vnd.ms-excel.controlproperties+xml"/>
  <Override PartName="/xl/ctrProps/ctrProp19.xml" ContentType="application/vnd.ms-excel.controlproperties+xml"/>
  <Override PartName="/xl/ctrProps/ctrProp20.xml" ContentType="application/vnd.ms-excel.controlproperties+xml"/>
  <Override PartName="/xl/ctrProps/ctrProp21.xml" ContentType="application/vnd.ms-excel.controlproperties+xml"/>
  <Override PartName="/xl/ctrProps/ctrProp22.xml" ContentType="application/vnd.ms-excel.controlproperties+xml"/>
  <Override PartName="/xl/ctrProps/ctrProp23.xml" ContentType="application/vnd.ms-excel.controlproperties+xml"/>
  <Override PartName="/xl/ctrProps/ctrProp24.xml" ContentType="application/vnd.ms-excel.controlproperties+xml"/>
  <Override PartName="/xl/ctrProps/ctrProp25.xml" ContentType="application/vnd.ms-excel.controlproperties+xml"/>
  <Override PartName="/xl/ctrProps/ctrProp26.xml" ContentType="application/vnd.ms-excel.controlproperties+xml"/>
  <Override PartName="/xl/ctrProps/ctrProp27.xml" ContentType="application/vnd.ms-excel.controlproperties+xml"/>
  <Override PartName="/xl/ctrProps/ctrProp28.xml" ContentType="application/vnd.ms-excel.controlproperties+xml"/>
  <Override PartName="/xl/ctrProps/ctrProp29.xml" ContentType="application/vnd.ms-excel.controlproperties+xml"/>
  <Override PartName="/xl/ctrProps/ctrProp30.xml" ContentType="application/vnd.ms-excel.controlproperties+xml"/>
  <Override PartName="/xl/ctrProps/ctrProp31.xml" ContentType="application/vnd.ms-excel.controlproperties+xml"/>
  <Override PartName="/xl/ctrProps/ctrProp32.xml" ContentType="application/vnd.ms-excel.controlproperties+xml"/>
  <Override PartName="/xl/ctrProps/ctrProp33.xml" ContentType="application/vnd.ms-excel.controlproperties+xml"/>
  <Override PartName="/xl/ctrProps/ctrProp34.xml" ContentType="application/vnd.ms-excel.controlproperties+xml"/>
  <Override PartName="/xl/ctrProps/ctrProp35.xml" ContentType="application/vnd.ms-excel.controlproperties+xml"/>
  <Override PartName="/xl/ctrProps/ctrProp36.xml" ContentType="application/vnd.ms-excel.controlproperties+xml"/>
  <Override PartName="/xl/ctrProps/ctrProp37.xml" ContentType="application/vnd.ms-excel.controlproperties+xml"/>
  <Override PartName="/xl/ctrProps/ctrProp38.xml" ContentType="application/vnd.ms-excel.controlproperties+xml"/>
  <Override PartName="/xl/ctrProps/ctrProp39.xml" ContentType="application/vnd.ms-excel.controlproperties+xml"/>
  <Override PartName="/xl/ctrProps/ctrProp40.xml" ContentType="application/vnd.ms-excel.controlproperties+xml"/>
  <Override PartName="/xl/ctrProps/ctrProp41.xml" ContentType="application/vnd.ms-excel.controlproperties+xml"/>
  <Override PartName="/xl/ctrProps/ctrProp42.xml" ContentType="application/vnd.ms-excel.controlproperties+xml"/>
  <Override PartName="/xl/ctrProps/ctrProp43.xml" ContentType="application/vnd.ms-excel.controlproperties+xml"/>
  <Override PartName="/xl/ctrProps/ctrProp44.xml" ContentType="application/vnd.ms-excel.controlproperties+xml"/>
  <Override PartName="/xl/ctrProps/ctrProp45.xml" ContentType="application/vnd.ms-excel.controlproperties+xml"/>
  <Override PartName="/xl/ctrProps/ctrProp46.xml" ContentType="application/vnd.ms-excel.controlproperties+xml"/>
  <Override PartName="/xl/ctrProps/ctrProp47.xml" ContentType="application/vnd.ms-excel.controlproperties+xml"/>
  <Override PartName="/xl/ctrProps/ctrProp48.xml" ContentType="application/vnd.ms-excel.controlproperties+xml"/>
  <Override PartName="/xl/ctrProps/ctrProp49.xml" ContentType="application/vnd.ms-excel.controlproperties+xml"/>
  <Override PartName="/xl/ctrProps/ctrProp50.xml" ContentType="application/vnd.ms-excel.controlproperties+xml"/>
  <Override PartName="/xl/ctrProps/ctrProp51.xml" ContentType="application/vnd.ms-excel.controlproperties+xml"/>
  <Override PartName="/xl/ctrProps/ctrProp52.xml" ContentType="application/vnd.ms-excel.controlproperties+xml"/>
  <Override PartName="/xl/ctrProps/ctrProp53.xml" ContentType="application/vnd.ms-excel.controlproperties+xml"/>
  <Override PartName="/xl/ctrProps/ctrProp54.xml" ContentType="application/vnd.ms-excel.controlproperties+xml"/>
  <Override PartName="/xl/ctrProps/ctrProp55.xml" ContentType="application/vnd.ms-excel.controlproperties+xml"/>
  <Override PartName="/xl/ctrProps/ctrProp56.xml" ContentType="application/vnd.ms-excel.controlproperties+xml"/>
  <Override PartName="/xl/ctrProps/ctrProp57.xml" ContentType="application/vnd.ms-excel.controlproperties+xml"/>
  <Override PartName="/xl/ctrProps/ctrProp58.xml" ContentType="application/vnd.ms-excel.controlproperties+xml"/>
  <Override PartName="/xl/ctrProps/ctrProp59.xml" ContentType="application/vnd.ms-excel.controlproperties+xml"/>
  <Override PartName="/xl/ctrProps/ctrProp60.xml" ContentType="application/vnd.ms-excel.controlproperties+xml"/>
  <Override PartName="/xl/ctrProps/ctrProp61.xml" ContentType="application/vnd.ms-excel.controlproperties+xml"/>
  <Override PartName="/xl/ctrProps/ctrProp62.xml" ContentType="application/vnd.ms-excel.controlproperties+xml"/>
  <Override PartName="/xl/ctrProps/ctrProp63.xml" ContentType="application/vnd.ms-excel.controlproperties+xml"/>
  <Override PartName="/xl/ctrProps/ctrProp64.xml" ContentType="application/vnd.ms-excel.controlproperties+xml"/>
  <Override PartName="/xl/ctrProps/ctrProp65.xml" ContentType="application/vnd.ms-excel.controlproperties+xml"/>
  <Override PartName="/xl/ctrProps/ctrProp66.xml" ContentType="application/vnd.ms-excel.controlproperties+xml"/>
  <Override PartName="/xl/ctrProps/ctrProp67.xml" ContentType="application/vnd.ms-excel.controlproperties+xml"/>
  <Override PartName="/xl/ctrProps/ctrProp68.xml" ContentType="application/vnd.ms-excel.controlproperties+xml"/>
  <Override PartName="/xl/ctrProps/ctrProp69.xml" ContentType="application/vnd.ms-excel.controlproperties+xml"/>
  <Override PartName="/xl/ctrProps/ctrProp70.xml" ContentType="application/vnd.ms-excel.controlproperties+xml"/>
  <Override PartName="/xl/ctrProps/ctrProp71.xml" ContentType="application/vnd.ms-excel.controlproperties+xml"/>
  <Override PartName="/xl/ctrProps/ctrProp72.xml" ContentType="application/vnd.ms-excel.controlproperties+xml"/>
  <Override PartName="/xl/ctrProps/ctrProp73.xml" ContentType="application/vnd.ms-excel.controlproperties+xml"/>
  <Override PartName="/xl/ctrProps/ctrProp74.xml" ContentType="application/vnd.ms-excel.controlproperties+xml"/>
  <Override PartName="/xl/ctrProps/ctrProp75.xml" ContentType="application/vnd.ms-excel.controlproperties+xml"/>
  <Override PartName="/xl/ctrProps/ctrProp76.xml" ContentType="application/vnd.ms-excel.controlproperties+xml"/>
  <Override PartName="/xl/ctrProps/ctrProp77.xml" ContentType="application/vnd.ms-excel.controlproperties+xml"/>
  <Override PartName="/xl/ctrProps/ctrProp78.xml" ContentType="application/vnd.ms-excel.controlproperties+xml"/>
  <Override PartName="/xl/ctrProps/ctrProp79.xml" ContentType="application/vnd.ms-excel.controlproperties+xml"/>
  <Override PartName="/xl/ctrProps/ctrProp80.xml" ContentType="application/vnd.ms-excel.controlproperties+xml"/>
  <Override PartName="/xl/ctrProps/ctrProp81.xml" ContentType="application/vnd.ms-excel.controlproperties+xml"/>
  <Override PartName="/xl/ctrProps/ctrProp82.xml" ContentType="application/vnd.ms-excel.controlproperties+xml"/>
  <Override PartName="/xl/ctrProps/ctrProp83.xml" ContentType="application/vnd.ms-excel.controlproperties+xml"/>
  <Override PartName="/xl/ctrProps/ctrProp84.xml" ContentType="application/vnd.ms-excel.controlproperties+xml"/>
  <Override PartName="/xl/ctrProps/ctrProp85.xml" ContentType="application/vnd.ms-excel.controlproperties+xml"/>
  <Override PartName="/xl/ctrProps/ctrProp86.xml" ContentType="application/vnd.ms-excel.controlproperties+xml"/>
  <Override PartName="/xl/ctrProps/ctrProp87.xml" ContentType="application/vnd.ms-excel.controlproperties+xml"/>
  <Override PartName="/xl/ctrProps/ctrProp88.xml" ContentType="application/vnd.ms-excel.controlproperties+xml"/>
  <Override PartName="/xl/ctrProps/ctrProp89.xml" ContentType="application/vnd.ms-excel.controlproperties+xml"/>
  <Override PartName="/xl/ctrProps/ctrProp90.xml" ContentType="application/vnd.ms-excel.controlproperties+xml"/>
  <Override PartName="/xl/ctrProps/ctrProp91.xml" ContentType="application/vnd.ms-excel.controlproperties+xml"/>
  <Override PartName="/xl/ctrProps/ctrProp92.xml" ContentType="application/vnd.ms-excel.controlproperties+xml"/>
  <Override PartName="/xl/ctrProps/ctrProp93.xml" ContentType="application/vnd.ms-excel.controlproperties+xml"/>
  <Override PartName="/xl/ctrProps/ctrProp94.xml" ContentType="application/vnd.ms-excel.controlproperties+xml"/>
  <Override PartName="/xl/ctrProps/ctrProp95.xml" ContentType="application/vnd.ms-excel.controlproperties+xml"/>
  <Override PartName="/xl/ctrProps/ctrProp96.xml" ContentType="application/vnd.ms-excel.controlproperties+xml"/>
  <Override PartName="/xl/ctrProps/ctrProp97.xml" ContentType="application/vnd.ms-excel.controlproperties+xml"/>
  <Override PartName="/xl/ctrProps/ctrProp98.xml" ContentType="application/vnd.ms-excel.controlproperties+xml"/>
  <Override PartName="/xl/ctrProps/ctrProp99.xml" ContentType="application/vnd.ms-excel.controlproperties+xml"/>
  <Override PartName="/xl/ctrProps/ctrProp100.xml" ContentType="application/vnd.ms-excel.controlproperties+xml"/>
  <Override PartName="/xl/ctrProps/ctrProp101.xml" ContentType="application/vnd.ms-excel.controlproperties+xml"/>
  <Override PartName="/xl/ctrProps/ctrProp102.xml" ContentType="application/vnd.ms-excel.controlproperties+xml"/>
  <Override PartName="/xl/ctrProps/ctrProp103.xml" ContentType="application/vnd.ms-excel.controlproperties+xml"/>
  <Override PartName="/xl/ctrProps/ctrProp104.xml" ContentType="application/vnd.ms-excel.controlproperties+xml"/>
  <Override PartName="/xl/ctrProps/ctrProp105.xml" ContentType="application/vnd.ms-excel.controlproperties+xml"/>
  <Override PartName="/xl/ctrProps/ctrProp106.xml" ContentType="application/vnd.ms-excel.controlproperties+xml"/>
  <Override PartName="/xl/ctrProps/ctrProp107.xml" ContentType="application/vnd.ms-excel.controlproperties+xml"/>
  <Override PartName="/xl/ctrProps/ctrProp108.xml" ContentType="application/vnd.ms-excel.controlproperties+xml"/>
  <Override PartName="/xl/ctrProps/ctrProp109.xml" ContentType="application/vnd.ms-excel.controlproperties+xml"/>
  <Override PartName="/xl/ctrProps/ctrProp110.xml" ContentType="application/vnd.ms-excel.controlproperties+xml"/>
  <Override PartName="/xl/ctrProps/ctrProp111.xml" ContentType="application/vnd.ms-excel.controlproperties+xml"/>
  <Override PartName="/xl/ctrProps/ctrProp112.xml" ContentType="application/vnd.ms-excel.controlproperties+xml"/>
  <Override PartName="/xl/ctrProps/ctrProp113.xml" ContentType="application/vnd.ms-excel.controlproperties+xml"/>
  <Override PartName="/xl/ctrProps/ctrProp114.xml" ContentType="application/vnd.ms-excel.controlproperties+xml"/>
  <Override PartName="/xl/ctrProps/ctrProp115.xml" ContentType="application/vnd.ms-excel.controlproperties+xml"/>
  <Override PartName="/xl/ctrProps/ctrProp116.xml" ContentType="application/vnd.ms-excel.controlproperties+xml"/>
  <Override PartName="/xl/ctrProps/ctrProp117.xml" ContentType="application/vnd.ms-excel.controlproperties+xml"/>
  <Override PartName="/xl/ctrProps/ctrProp118.xml" ContentType="application/vnd.ms-excel.controlproperties+xml"/>
  <Override PartName="/xl/ctrProps/ctrProp119.xml" ContentType="application/vnd.ms-excel.controlproperties+xml"/>
  <Override PartName="/xl/ctrProps/ctrProp120.xml" ContentType="application/vnd.ms-excel.controlproperties+xml"/>
  <Override PartName="/xl/ctrProps/ctrProp121.xml" ContentType="application/vnd.ms-excel.controlproperties+xml"/>
  <Override PartName="/xl/ctrProps/ctrProp122.xml" ContentType="application/vnd.ms-excel.controlproperties+xml"/>
  <Override PartName="/xl/ctrProps/ctrProp123.xml" ContentType="application/vnd.ms-excel.controlproperties+xml"/>
  <Override PartName="/xl/ctrProps/ctrProp124.xml" ContentType="application/vnd.ms-excel.controlproperties+xml"/>
  <Override PartName="/xl/ctrProps/ctrProp125.xml" ContentType="application/vnd.ms-excel.controlproperties+xml"/>
  <Override PartName="/xl/ctrProps/ctrProp126.xml" ContentType="application/vnd.ms-excel.controlproperties+xml"/>
  <Override PartName="/xl/ctrProps/ctrProp127.xml" ContentType="application/vnd.ms-excel.controlproperties+xml"/>
  <Override PartName="/xl/ctrProps/ctrProp128.xml" ContentType="application/vnd.ms-excel.controlproperties+xml"/>
  <Override PartName="/xl/ctrProps/ctrProp129.xml" ContentType="application/vnd.ms-excel.controlproperties+xml"/>
  <Override PartName="/xl/ctrProps/ctrProp130.xml" ContentType="application/vnd.ms-excel.controlproperties+xml"/>
  <Override PartName="/xl/ctrProps/ctrProp131.xml" ContentType="application/vnd.ms-excel.controlproperties+xml"/>
  <Override PartName="/xl/ctrProps/ctrProp132.xml" ContentType="application/vnd.ms-excel.controlproperties+xml"/>
  <Override PartName="/xl/ctrProps/ctrProp133.xml" ContentType="application/vnd.ms-excel.controlproperties+xml"/>
  <Override PartName="/xl/ctrProps/ctrProp134.xml" ContentType="application/vnd.ms-excel.controlproperties+xml"/>
  <Override PartName="/xl/ctrProps/ctrProp135.xml" ContentType="application/vnd.ms-excel.controlproperties+xml"/>
  <Override PartName="/xl/ctrProps/ctrProp136.xml" ContentType="application/vnd.ms-excel.controlproperties+xml"/>
  <Override PartName="/xl/ctrProps/ctrProp137.xml" ContentType="application/vnd.ms-excel.controlproperties+xml"/>
  <Override PartName="/xl/ctrProps/ctrProp138.xml" ContentType="application/vnd.ms-excel.controlproperties+xml"/>
  <Override PartName="/xl/ctrProps/ctrProp139.xml" ContentType="application/vnd.ms-excel.controlproperties+xml"/>
  <Override PartName="/xl/ctrProps/ctrProp140.xml" ContentType="application/vnd.ms-excel.controlproperties+xml"/>
  <Override PartName="/xl/ctrProps/ctrProp141.xml" ContentType="application/vnd.ms-excel.controlproperties+xml"/>
  <Override PartName="/xl/ctrProps/ctrProp142.xml" ContentType="application/vnd.ms-excel.controlproperties+xml"/>
  <Override PartName="/xl/ctrProps/ctrProp143.xml" ContentType="application/vnd.ms-excel.controlproperties+xml"/>
  <Override PartName="/xl/ctrProps/ctrProp144.xml" ContentType="application/vnd.ms-excel.controlproperties+xml"/>
  <Override PartName="/xl/ctrProps/ctrProp145.xml" ContentType="application/vnd.ms-excel.controlproperties+xml"/>
  <Override PartName="/xl/ctrProps/ctrProp146.xml" ContentType="application/vnd.ms-excel.controlproperties+xml"/>
  <Override PartName="/xl/ctrProps/ctrProp147.xml" ContentType="application/vnd.ms-excel.controlproperties+xml"/>
  <Override PartName="/xl/ctrProps/ctrProp148.xml" ContentType="application/vnd.ms-excel.controlproperties+xml"/>
  <Override PartName="/xl/ctrProps/ctrProp149.xml" ContentType="application/vnd.ms-excel.controlproperties+xml"/>
  <Override PartName="/xl/ctrProps/ctrProp150.xml" ContentType="application/vnd.ms-excel.controlproperties+xml"/>
  <Override PartName="/xl/ctrProps/ctrProp151.xml" ContentType="application/vnd.ms-excel.controlproperties+xml"/>
  <Override PartName="/xl/ctrProps/ctrProp152.xml" ContentType="application/vnd.ms-excel.controlproperties+xml"/>
  <Override PartName="/xl/ctrProps/ctrProp153.xml" ContentType="application/vnd.ms-excel.controlproperties+xml"/>
  <Override PartName="/xl/ctrProps/ctrProp154.xml" ContentType="application/vnd.ms-excel.controlproperties+xml"/>
  <Override PartName="/xl/ctrProps/ctrProp155.xml" ContentType="application/vnd.ms-excel.controlproperties+xml"/>
  <Override PartName="/xl/ctrProps/ctrProp156.xml" ContentType="application/vnd.ms-excel.controlproperties+xml"/>
  <Override PartName="/xl/ctrProps/ctrProp157.xml" ContentType="application/vnd.ms-excel.controlproperties+xml"/>
  <Override PartName="/xl/ctrProps/ctrProp158.xml" ContentType="application/vnd.ms-excel.controlproperties+xml"/>
  <Override PartName="/xl/ctrProps/ctrProp159.xml" ContentType="application/vnd.ms-excel.controlproperties+xml"/>
  <Override PartName="/xl/ctrProps/ctrProp160.xml" ContentType="application/vnd.ms-excel.controlproperties+xml"/>
  <Override PartName="/xl/ctrProps/ctrProp161.xml" ContentType="application/vnd.ms-excel.controlproperties+xml"/>
  <Override PartName="/xl/ctrProps/ctrProp162.xml" ContentType="application/vnd.ms-excel.controlproperties+xml"/>
  <Override PartName="/xl/ctrProps/ctrProp163.xml" ContentType="application/vnd.ms-excel.controlproperties+xml"/>
  <Override PartName="/xl/ctrProps/ctrProp164.xml" ContentType="application/vnd.ms-excel.controlproperties+xml"/>
  <Override PartName="/xl/ctrProps/ctrProp165.xml" ContentType="application/vnd.ms-excel.controlproperties+xml"/>
  <Override PartName="/xl/ctrProps/ctrProp166.xml" ContentType="application/vnd.ms-excel.controlproperties+xml"/>
  <Override PartName="/xl/ctrProps/ctrProp167.xml" ContentType="application/vnd.ms-excel.controlproperties+xml"/>
  <Override PartName="/xl/ctrProps/ctrProp168.xml" ContentType="application/vnd.ms-excel.controlproperties+xml"/>
  <Override PartName="/xl/ctrProps/ctrProp169.xml" ContentType="application/vnd.ms-excel.controlproperties+xml"/>
  <Override PartName="/xl/ctrProps/ctrProp170.xml" ContentType="application/vnd.ms-excel.controlproperties+xml"/>
  <Override PartName="/xl/ctrProps/ctrProp171.xml" ContentType="application/vnd.ms-excel.controlproperties+xml"/>
  <Override PartName="/xl/ctrProps/ctrProp172.xml" ContentType="application/vnd.ms-excel.controlproperties+xml"/>
  <Override PartName="/xl/ctrProps/ctrProp173.xml" ContentType="application/vnd.ms-excel.controlproperties+xml"/>
  <Override PartName="/xl/ctrProps/ctrProp174.xml" ContentType="application/vnd.ms-excel.controlproperties+xml"/>
  <Override PartName="/xl/ctrProps/ctrProp175.xml" ContentType="application/vnd.ms-excel.controlproperties+xml"/>
  <Override PartName="/xl/ctrProps/ctrProp176.xml" ContentType="application/vnd.ms-excel.controlproperties+xml"/>
  <Override PartName="/xl/ctrProps/ctrProp177.xml" ContentType="application/vnd.ms-excel.controlproperties+xml"/>
  <Override PartName="/xl/ctrProps/ctrProp178.xml" ContentType="application/vnd.ms-excel.controlproperties+xml"/>
  <Override PartName="/xl/ctrProps/ctrProp179.xml" ContentType="application/vnd.ms-excel.controlproperties+xml"/>
  <Override PartName="/xl/ctrProps/ctrProp180.xml" ContentType="application/vnd.ms-excel.controlproperties+xml"/>
  <Override PartName="/xl/ctrProps/ctrProp181.xml" ContentType="application/vnd.ms-excel.controlproperties+xml"/>
  <Override PartName="/xl/ctrProps/ctrProp182.xml" ContentType="application/vnd.ms-excel.controlproperties+xml"/>
  <Override PartName="/xl/ctrProps/ctrProp183.xml" ContentType="application/vnd.ms-excel.controlproperties+xml"/>
  <Override PartName="/xl/ctrProps/ctrProp184.xml" ContentType="application/vnd.ms-excel.controlproperties+xml"/>
  <Override PartName="/xl/ctrProps/ctrProp185.xml" ContentType="application/vnd.ms-excel.controlproperties+xml"/>
  <Override PartName="/xl/ctrProps/ctrProp186.xml" ContentType="application/vnd.ms-excel.controlproperties+xml"/>
  <Override PartName="/xl/ctrProps/ctrProp187.xml" ContentType="application/vnd.ms-excel.controlproperties+xml"/>
  <Override PartName="/xl/ctrProps/ctrProp188.xml" ContentType="application/vnd.ms-excel.controlproperties+xml"/>
  <Override PartName="/xl/ctrProps/ctrProp189.xml" ContentType="application/vnd.ms-excel.controlproperties+xml"/>
  <Override PartName="/xl/ctrProps/ctrProp190.xml" ContentType="application/vnd.ms-excel.controlproperties+xml"/>
  <Override PartName="/xl/ctrProps/ctrProp191.xml" ContentType="application/vnd.ms-excel.controlproperties+xml"/>
  <Override PartName="/xl/ctrProps/ctrProp192.xml" ContentType="application/vnd.ms-excel.controlproperties+xml"/>
  <Override PartName="/xl/ctrProps/ctrProp193.xml" ContentType="application/vnd.ms-excel.controlproperties+xml"/>
  <Override PartName="/xl/ctrProps/ctrProp194.xml" ContentType="application/vnd.ms-excel.controlproperties+xml"/>
  <Override PartName="/xl/ctrProps/ctrProp195.xml" ContentType="application/vnd.ms-excel.controlproperties+xml"/>
  <Override PartName="/xl/ctrProps/ctrProp196.xml" ContentType="application/vnd.ms-excel.controlproperties+xml"/>
  <Override PartName="/xl/ctrProps/ctrProp197.xml" ContentType="application/vnd.ms-excel.controlproperties+xml"/>
  <Override PartName="/xl/ctrProps/ctrProp198.xml" ContentType="application/vnd.ms-excel.controlproperties+xml"/>
  <Override PartName="/xl/ctrProps/ctrProp199.xml" ContentType="application/vnd.ms-excel.controlproperties+xml"/>
  <Override PartName="/xl/ctrProps/ctrProp200.xml" ContentType="application/vnd.ms-excel.controlproperties+xml"/>
  <Override PartName="/xl/ctrProps/ctrProp201.xml" ContentType="application/vnd.ms-excel.controlproperties+xml"/>
  <Override PartName="/xl/ctrProps/ctrProp202.xml" ContentType="application/vnd.ms-excel.controlproperties+xml"/>
  <Override PartName="/xl/ctrProps/ctrProp203.xml" ContentType="application/vnd.ms-excel.controlproperties+xml"/>
  <Override PartName="/xl/ctrProps/ctrProp204.xml" ContentType="application/vnd.ms-excel.controlproperties+xml"/>
  <Override PartName="/xl/ctrProps/ctrProp205.xml" ContentType="application/vnd.ms-excel.controlproperties+xml"/>
  <Override PartName="/xl/ctrProps/ctrProp206.xml" ContentType="application/vnd.ms-excel.controlproperties+xml"/>
  <Override PartName="/xl/ctrProps/ctrProp207.xml" ContentType="application/vnd.ms-excel.controlproperties+xml"/>
  <Override PartName="/xl/ctrProps/ctrProp208.xml" ContentType="application/vnd.ms-excel.controlproperties+xml"/>
  <Override PartName="/xl/ctrProps/ctrProp209.xml" ContentType="application/vnd.ms-excel.controlproperties+xml"/>
  <Override PartName="/xl/ctrProps/ctrProp210.xml" ContentType="application/vnd.ms-excel.controlproperties+xml"/>
  <Override PartName="/xl/ctrProps/ctrProp211.xml" ContentType="application/vnd.ms-excel.controlproperties+xml"/>
  <Override PartName="/xl/ctrProps/ctrProp212.xml" ContentType="application/vnd.ms-excel.controlproperties+xml"/>
  <Override PartName="/xl/ctrProps/ctrProp213.xml" ContentType="application/vnd.ms-excel.controlproperties+xml"/>
  <Override PartName="/xl/ctrProps/ctrProp214.xml" ContentType="application/vnd.ms-excel.controlproperties+xml"/>
  <Override PartName="/xl/ctrProps/ctrProp215.xml" ContentType="application/vnd.ms-excel.controlproperties+xml"/>
  <Override PartName="/xl/ctrProps/ctrProp216.xml" ContentType="application/vnd.ms-excel.controlproperties+xml"/>
  <Override PartName="/xl/ctrProps/ctrProp217.xml" ContentType="application/vnd.ms-excel.controlproperties+xml"/>
  <Override PartName="/xl/ctrProps/ctrProp218.xml" ContentType="application/vnd.ms-excel.controlproperties+xml"/>
  <Override PartName="/xl/ctrProps/ctrProp219.xml" ContentType="application/vnd.ms-excel.controlproperties+xml"/>
  <Override PartName="/xl/ctrProps/ctrProp220.xml" ContentType="application/vnd.ms-excel.controlproperties+xml"/>
  <Override PartName="/xl/ctrProps/ctrProp221.xml" ContentType="application/vnd.ms-excel.controlproperties+xml"/>
  <Override PartName="/xl/ctrProps/ctrProp222.xml" ContentType="application/vnd.ms-excel.controlproperties+xml"/>
  <Override PartName="/xl/ctrProps/ctrProp223.xml" ContentType="application/vnd.ms-excel.controlproperties+xml"/>
  <Override PartName="/xl/ctrProps/ctrProp224.xml" ContentType="application/vnd.ms-excel.controlproperties+xml"/>
  <Override PartName="/xl/ctrProps/ctrProp225.xml" ContentType="application/vnd.ms-excel.controlproperties+xml"/>
  <Override PartName="/xl/ctrProps/ctrProp226.xml" ContentType="application/vnd.ms-excel.controlproperties+xml"/>
  <Override PartName="/xl/ctrProps/ctrProp227.xml" ContentType="application/vnd.ms-excel.controlproperties+xml"/>
  <Override PartName="/xl/ctrProps/ctrProp228.xml" ContentType="application/vnd.ms-excel.controlproperties+xml"/>
  <Override PartName="/xl/ctrProps/ctrProp229.xml" ContentType="application/vnd.ms-excel.controlproperties+xml"/>
  <Override PartName="/xl/ctrProps/ctrProp230.xml" ContentType="application/vnd.ms-excel.controlproperties+xml"/>
  <Override PartName="/xl/ctrProps/ctrProp231.xml" ContentType="application/vnd.ms-excel.controlproperties+xml"/>
  <Override PartName="/xl/ctrProps/ctrProp232.xml" ContentType="application/vnd.ms-excel.controlproperties+xml"/>
  <Override PartName="/xl/ctrProps/ctrProp233.xml" ContentType="application/vnd.ms-excel.controlproperties+xml"/>
  <Override PartName="/xl/ctrProps/ctrProp234.xml" ContentType="application/vnd.ms-excel.controlproperties+xml"/>
  <Override PartName="/xl/ctrProps/ctrProp235.xml" ContentType="application/vnd.ms-excel.controlproperties+xml"/>
  <Override PartName="/xl/ctrProps/ctrProp236.xml" ContentType="application/vnd.ms-excel.controlproperties+xml"/>
  <Override PartName="/xl/ctrProps/ctrProp237.xml" ContentType="application/vnd.ms-excel.controlproperties+xml"/>
  <Override PartName="/xl/ctrProps/ctrProp238.xml" ContentType="application/vnd.ms-excel.controlproperties+xml"/>
  <Override PartName="/xl/ctrProps/ctrProp239.xml" ContentType="application/vnd.ms-excel.controlproperties+xml"/>
  <Override PartName="/xl/ctrProps/ctrProp240.xml" ContentType="application/vnd.ms-excel.controlproperties+xml"/>
  <Override PartName="/xl/ctrProps/ctrProp241.xml" ContentType="application/vnd.ms-excel.controlproperties+xml"/>
  <Override PartName="/xl/ctrProps/ctrProp242.xml" ContentType="application/vnd.ms-excel.controlproperties+xml"/>
  <Override PartName="/xl/ctrProps/ctrProp243.xml" ContentType="application/vnd.ms-excel.controlproperties+xml"/>
  <Override PartName="/xl/ctrProps/ctrProp244.xml" ContentType="application/vnd.ms-excel.controlproperties+xml"/>
  <Override PartName="/xl/ctrProps/ctrProp245.xml" ContentType="application/vnd.ms-excel.controlproperties+xml"/>
  <Override PartName="/xl/ctrProps/ctrProp246.xml" ContentType="application/vnd.ms-excel.controlproperties+xml"/>
  <Override PartName="/xl/ctrProps/ctrProp247.xml" ContentType="application/vnd.ms-excel.controlproperties+xml"/>
  <Override PartName="/xl/ctrProps/ctrProp248.xml" ContentType="application/vnd.ms-excel.controlproperties+xml"/>
  <Override PartName="/xl/ctrProps/ctrProp249.xml" ContentType="application/vnd.ms-excel.controlproperties+xml"/>
  <Override PartName="/xl/ctrProps/ctrProp250.xml" ContentType="application/vnd.ms-excel.controlproperties+xml"/>
  <Override PartName="/xl/ctrProps/ctrProp251.xml" ContentType="application/vnd.ms-excel.controlproperties+xml"/>
  <Override PartName="/xl/ctrProps/ctrProp252.xml" ContentType="application/vnd.ms-excel.controlproperties+xml"/>
  <Override PartName="/xl/ctrProps/ctrProp253.xml" ContentType="application/vnd.ms-excel.controlproperties+xml"/>
  <Override PartName="/xl/ctrProps/ctrProp254.xml" ContentType="application/vnd.ms-excel.controlproperties+xml"/>
  <Override PartName="/xl/ctrProps/ctrProp255.xml" ContentType="application/vnd.ms-excel.controlproperties+xml"/>
  <Override PartName="/xl/ctrProps/ctrProp256.xml" ContentType="application/vnd.ms-excel.controlproperties+xml"/>
  <Override PartName="/xl/ctrProps/ctrProp257.xml" ContentType="application/vnd.ms-excel.controlproperties+xml"/>
  <Override PartName="/xl/ctrProps/ctrProp258.xml" ContentType="application/vnd.ms-excel.controlproperties+xml"/>
  <Override PartName="/xl/ctrProps/ctrProp259.xml" ContentType="application/vnd.ms-excel.controlproperties+xml"/>
  <Override PartName="/xl/ctrProps/ctrProp260.xml" ContentType="application/vnd.ms-excel.controlproperties+xml"/>
  <Override PartName="/xl/ctrProps/ctrProp261.xml" ContentType="application/vnd.ms-excel.controlproperties+xml"/>
  <Override PartName="/xl/ctrProps/ctrProp262.xml" ContentType="application/vnd.ms-excel.controlproperties+xml"/>
  <Override PartName="/xl/ctrProps/ctrProp263.xml" ContentType="application/vnd.ms-excel.controlproperties+xml"/>
  <Override PartName="/xl/ctrProps/ctrProp264.xml" ContentType="application/vnd.ms-excel.controlproperties+xml"/>
  <Override PartName="/xl/ctrProps/ctrProp265.xml" ContentType="application/vnd.ms-excel.controlproperties+xml"/>
  <Override PartName="/xl/ctrProps/ctrProp266.xml" ContentType="application/vnd.ms-excel.controlproperties+xml"/>
  <Override PartName="/xl/ctrProps/ctrProp267.xml" ContentType="application/vnd.ms-excel.controlproperties+xml"/>
  <Override PartName="/xl/ctrProps/ctrProp268.xml" ContentType="application/vnd.ms-excel.controlproperties+xml"/>
  <Override PartName="/xl/ctrProps/ctrProp269.xml" ContentType="application/vnd.ms-excel.controlproperties+xml"/>
  <Override PartName="/xl/ctrProps/ctrProp270.xml" ContentType="application/vnd.ms-excel.controlproperties+xml"/>
  <Override PartName="/xl/ctrProps/ctrProp271.xml" ContentType="application/vnd.ms-excel.controlproperties+xml"/>
  <Override PartName="/xl/ctrProps/ctrProp272.xml" ContentType="application/vnd.ms-excel.controlproperties+xml"/>
  <Override PartName="/xl/ctrProps/ctrProp273.xml" ContentType="application/vnd.ms-excel.controlproperties+xml"/>
  <Override PartName="/xl/ctrProps/ctrProp274.xml" ContentType="application/vnd.ms-excel.controlproperties+xml"/>
  <Override PartName="/xl/ctrProps/ctrProp275.xml" ContentType="application/vnd.ms-excel.controlproperties+xml"/>
  <Override PartName="/xl/ctrProps/ctrProp276.xml" ContentType="application/vnd.ms-excel.controlproperties+xml"/>
  <Override PartName="/xl/ctrProps/ctrProp277.xml" ContentType="application/vnd.ms-excel.controlproperties+xml"/>
  <Override PartName="/xl/ctrProps/ctrProp278.xml" ContentType="application/vnd.ms-excel.controlproperties+xml"/>
  <Override PartName="/xl/ctrProps/ctrProp279.xml" ContentType="application/vnd.ms-excel.controlproperties+xml"/>
  <Override PartName="/xl/ctrProps/ctrProp280.xml" ContentType="application/vnd.ms-excel.controlproperties+xml"/>
  <Override PartName="/xl/ctrProps/ctrProp281.xml" ContentType="application/vnd.ms-excel.controlproperties+xml"/>
  <Override PartName="/xl/ctrProps/ctrProp282.xml" ContentType="application/vnd.ms-excel.controlproperties+xml"/>
  <Override PartName="/xl/ctrProps/ctrProp283.xml" ContentType="application/vnd.ms-excel.controlproperties+xml"/>
  <Override PartName="/xl/ctrProps/ctrProp284.xml" ContentType="application/vnd.ms-excel.controlproperties+xml"/>
  <Override PartName="/xl/ctrProps/ctrProp285.xml" ContentType="application/vnd.ms-excel.controlproperties+xml"/>
  <Override PartName="/xl/ctrProps/ctrProp286.xml" ContentType="application/vnd.ms-excel.controlproperties+xml"/>
  <Override PartName="/xl/ctrProps/ctrProp287.xml" ContentType="application/vnd.ms-excel.controlproperties+xml"/>
  <Override PartName="/xl/ctrProps/ctrProp288.xml" ContentType="application/vnd.ms-excel.controlproperties+xml"/>
  <Override PartName="/xl/ctrProps/ctrProp289.xml" ContentType="application/vnd.ms-excel.controlproperties+xml"/>
  <Override PartName="/xl/ctrProps/ctrProp290.xml" ContentType="application/vnd.ms-excel.controlproperties+xml"/>
  <Override PartName="/xl/ctrProps/ctrProp291.xml" ContentType="application/vnd.ms-excel.controlproperties+xml"/>
  <Override PartName="/xl/ctrProps/ctrProp292.xml" ContentType="application/vnd.ms-excel.controlproperties+xml"/>
  <Override PartName="/xl/ctrProps/ctrProp293.xml" ContentType="application/vnd.ms-excel.controlproperties+xml"/>
  <Override PartName="/xl/ctrProps/ctrProp294.xml" ContentType="application/vnd.ms-excel.controlproperties+xml"/>
  <Override PartName="/xl/ctrProps/ctrProp295.xml" ContentType="application/vnd.ms-excel.controlproperties+xml"/>
  <Override PartName="/xl/ctrProps/ctrProp296.xml" ContentType="application/vnd.ms-excel.controlproperties+xml"/>
  <Override PartName="/xl/ctrProps/ctrProp297.xml" ContentType="application/vnd.ms-excel.controlproperties+xml"/>
  <Override PartName="/xl/ctrProps/ctrProp298.xml" ContentType="application/vnd.ms-excel.controlproperties+xml"/>
  <Override PartName="/xl/ctrProps/ctrProp299.xml" ContentType="application/vnd.ms-excel.controlproperties+xml"/>
  <Override PartName="/xl/ctrProps/ctrProp300.xml" ContentType="application/vnd.ms-excel.controlproperties+xml"/>
  <Override PartName="/xl/ctrProps/ctrProp301.xml" ContentType="application/vnd.ms-excel.controlproperties+xml"/>
  <Override PartName="/xl/ctrProps/ctrProp302.xml" ContentType="application/vnd.ms-excel.controlproperties+xml"/>
  <Override PartName="/xl/ctrProps/ctrProp303.xml" ContentType="application/vnd.ms-excel.controlproperties+xml"/>
  <Override PartName="/xl/ctrProps/ctrProp304.xml" ContentType="application/vnd.ms-excel.controlproperties+xml"/>
  <Override PartName="/xl/ctrProps/ctrProp305.xml" ContentType="application/vnd.ms-excel.controlproperties+xml"/>
  <Override PartName="/xl/ctrProps/ctrProp306.xml" ContentType="application/vnd.ms-excel.controlproperties+xml"/>
  <Override PartName="/xl/ctrProps/ctrProp307.xml" ContentType="application/vnd.ms-excel.controlproperties+xml"/>
  <Override PartName="/xl/ctrProps/ctrProp308.xml" ContentType="application/vnd.ms-excel.controlproperties+xml"/>
  <Override PartName="/xl/ctrProps/ctrProp309.xml" ContentType="application/vnd.ms-excel.controlproperties+xml"/>
  <Override PartName="/xl/ctrProps/ctrProp310.xml" ContentType="application/vnd.ms-excel.controlproperties+xml"/>
  <Override PartName="/xl/ctrProps/ctrProp311.xml" ContentType="application/vnd.ms-excel.controlproperties+xml"/>
  <Override PartName="/xl/ctrProps/ctrProp312.xml" ContentType="application/vnd.ms-excel.controlproperties+xml"/>
  <Override PartName="/xl/ctrProps/ctrProp313.xml" ContentType="application/vnd.ms-excel.controlproperties+xml"/>
  <Override PartName="/xl/ctrProps/ctrProp314.xml" ContentType="application/vnd.ms-excel.controlproperties+xml"/>
  <Override PartName="/xl/ctrProps/ctrProp315.xml" ContentType="application/vnd.ms-excel.controlproperties+xml"/>
  <Override PartName="/xl/ctrProps/ctrProp316.xml" ContentType="application/vnd.ms-excel.controlproperties+xml"/>
  <Override PartName="/xl/ctrProps/ctrProp317.xml" ContentType="application/vnd.ms-excel.controlproperties+xml"/>
  <Override PartName="/xl/ctrProps/ctrProp318.xml" ContentType="application/vnd.ms-excel.controlproperties+xml"/>
  <Override PartName="/xl/ctrProps/ctrProp319.xml" ContentType="application/vnd.ms-excel.controlproperties+xml"/>
  <Override PartName="/xl/ctrProps/ctrProp320.xml" ContentType="application/vnd.ms-excel.controlproperties+xml"/>
  <Override PartName="/xl/ctrProps/ctrProp321.xml" ContentType="application/vnd.ms-excel.controlproperties+xml"/>
  <Override PartName="/xl/ctrProps/ctrProp322.xml" ContentType="application/vnd.ms-excel.controlproperties+xml"/>
  <Override PartName="/xl/ctrProps/ctrProp323.xml" ContentType="application/vnd.ms-excel.controlproperties+xml"/>
  <Override PartName="/xl/ctrProps/ctrProp324.xml" ContentType="application/vnd.ms-excel.controlproperties+xml"/>
  <Override PartName="/xl/ctrProps/ctrProp325.xml" ContentType="application/vnd.ms-excel.controlproperties+xml"/>
  <Override PartName="/xl/ctrProps/ctrProp326.xml" ContentType="application/vnd.ms-excel.controlproperties+xml"/>
  <Override PartName="/xl/ctrProps/ctrProp327.xml" ContentType="application/vnd.ms-excel.controlproperties+xml"/>
  <Override PartName="/xl/ctrProps/ctrProp328.xml" ContentType="application/vnd.ms-excel.controlproperties+xml"/>
  <Override PartName="/xl/ctrProps/ctrProp329.xml" ContentType="application/vnd.ms-excel.controlproperties+xml"/>
  <Override PartName="/xl/ctrProps/ctrProp330.xml" ContentType="application/vnd.ms-excel.controlproperties+xml"/>
  <Override PartName="/xl/ctrProps/ctrProp331.xml" ContentType="application/vnd.ms-excel.controlproperties+xml"/>
  <Override PartName="/xl/ctrProps/ctrProp332.xml" ContentType="application/vnd.ms-excel.controlproperties+xml"/>
  <Override PartName="/xl/ctrProps/ctrProp333.xml" ContentType="application/vnd.ms-excel.controlproperties+xml"/>
  <Override PartName="/xl/ctrProps/ctrProp334.xml" ContentType="application/vnd.ms-excel.controlproperties+xml"/>
  <Override PartName="/xl/ctrProps/ctrProp335.xml" ContentType="application/vnd.ms-excel.controlproperties+xml"/>
  <Override PartName="/xl/ctrProps/ctrProp336.xml" ContentType="application/vnd.ms-excel.controlproperties+xml"/>
  <Override PartName="/xl/ctrProps/ctrProp337.xml" ContentType="application/vnd.ms-excel.controlproperties+xml"/>
  <Override PartName="/xl/ctrProps/ctrProp338.xml" ContentType="application/vnd.ms-excel.controlproperties+xml"/>
  <Override PartName="/xl/ctrProps/ctrProp339.xml" ContentType="application/vnd.ms-excel.controlproperties+xml"/>
  <Override PartName="/xl/ctrProps/ctrProp340.xml" ContentType="application/vnd.ms-excel.controlproperties+xml"/>
  <Override PartName="/xl/ctrProps/ctrProp341.xml" ContentType="application/vnd.ms-excel.controlproperties+xml"/>
  <Override PartName="/xl/ctrProps/ctrProp342.xml" ContentType="application/vnd.ms-excel.controlproperties+xml"/>
  <Override PartName="/xl/ctrProps/ctrProp343.xml" ContentType="application/vnd.ms-excel.controlproperties+xml"/>
  <Override PartName="/xl/ctrProps/ctrProp344.xml" ContentType="application/vnd.ms-excel.controlproperties+xml"/>
  <Override PartName="/xl/ctrProps/ctrProp345.xml" ContentType="application/vnd.ms-excel.controlproperties+xml"/>
  <Override PartName="/xl/ctrProps/ctrProp346.xml" ContentType="application/vnd.ms-excel.controlproperties+xml"/>
  <Override PartName="/xl/ctrProps/ctrProp347.xml" ContentType="application/vnd.ms-excel.controlproperties+xml"/>
  <Override PartName="/xl/ctrProps/ctrProp348.xml" ContentType="application/vnd.ms-excel.controlproperties+xml"/>
  <Override PartName="/xl/ctrProps/ctrProp349.xml" ContentType="application/vnd.ms-excel.controlproperties+xml"/>
  <Override PartName="/xl/ctrProps/ctrProp350.xml" ContentType="application/vnd.ms-excel.controlproperties+xml"/>
  <Override PartName="/xl/ctrProps/ctrProp351.xml" ContentType="application/vnd.ms-excel.controlproperties+xml"/>
  <Override PartName="/xl/ctrProps/ctrProp352.xml" ContentType="application/vnd.ms-excel.controlproperties+xml"/>
  <Override PartName="/xl/ctrProps/ctrProp353.xml" ContentType="application/vnd.ms-excel.controlproperties+xml"/>
  <Override PartName="/xl/ctrProps/ctrProp354.xml" ContentType="application/vnd.ms-excel.controlproperties+xml"/>
  <Override PartName="/xl/ctrProps/ctrProp355.xml" ContentType="application/vnd.ms-excel.controlproperties+xml"/>
  <Override PartName="/xl/ctrProps/ctrProp356.xml" ContentType="application/vnd.ms-excel.controlproperties+xml"/>
  <Override PartName="/xl/ctrProps/ctrProp357.xml" ContentType="application/vnd.ms-excel.controlproperties+xml"/>
  <Override PartName="/xl/ctrProps/ctrProp358.xml" ContentType="application/vnd.ms-excel.controlproperties+xml"/>
  <Override PartName="/xl/ctrProps/ctrProp359.xml" ContentType="application/vnd.ms-excel.controlproperties+xml"/>
  <Override PartName="/xl/ctrProps/ctrProp360.xml" ContentType="application/vnd.ms-excel.controlproperties+xml"/>
  <Override PartName="/xl/ctrProps/ctrProp361.xml" ContentType="application/vnd.ms-excel.controlproperties+xml"/>
  <Override PartName="/xl/ctrProps/ctrProp362.xml" ContentType="application/vnd.ms-excel.controlproperties+xml"/>
  <Override PartName="/xl/ctrProps/ctrProp363.xml" ContentType="application/vnd.ms-excel.controlproperties+xml"/>
  <Override PartName="/xl/ctrProps/ctrProp364.xml" ContentType="application/vnd.ms-excel.controlproperties+xml"/>
  <Override PartName="/xl/ctrProps/ctrProp365.xml" ContentType="application/vnd.ms-excel.controlproperties+xml"/>
  <Override PartName="/xl/ctrProps/ctrProp366.xml" ContentType="application/vnd.ms-excel.controlproperties+xml"/>
  <Override PartName="/xl/ctrProps/ctrProp367.xml" ContentType="application/vnd.ms-excel.controlproperties+xml"/>
  <Override PartName="/xl/ctrProps/ctrProp368.xml" ContentType="application/vnd.ms-excel.controlproperties+xml"/>
  <Override PartName="/xl/ctrProps/ctrProp369.xml" ContentType="application/vnd.ms-excel.controlproperties+xml"/>
  <Override PartName="/xl/ctrProps/ctrProp370.xml" ContentType="application/vnd.ms-excel.controlproperties+xml"/>
  <Override PartName="/xl/ctrProps/ctrProp371.xml" ContentType="application/vnd.ms-excel.controlproperties+xml"/>
  <Override PartName="/xl/ctrProps/ctrProp372.xml" ContentType="application/vnd.ms-excel.controlproperties+xml"/>
  <Override PartName="/xl/ctrProps/ctrProp373.xml" ContentType="application/vnd.ms-excel.controlproperties+xml"/>
  <Override PartName="/xl/ctrProps/ctrProp374.xml" ContentType="application/vnd.ms-excel.controlproperties+xml"/>
  <Override PartName="/xl/ctrProps/ctrProp375.xml" ContentType="application/vnd.ms-excel.controlproperties+xml"/>
  <Override PartName="/xl/ctrProps/ctrProp376.xml" ContentType="application/vnd.ms-excel.controlproperties+xml"/>
  <Override PartName="/xl/ctrProps/ctrProp377.xml" ContentType="application/vnd.ms-excel.controlproperties+xml"/>
  <Override PartName="/xl/ctrProps/ctrProp378.xml" ContentType="application/vnd.ms-excel.controlproperties+xml"/>
  <Override PartName="/xl/ctrProps/ctrProp379.xml" ContentType="application/vnd.ms-excel.controlproperties+xml"/>
  <Override PartName="/xl/ctrProps/ctrProp380.xml" ContentType="application/vnd.ms-excel.controlproperties+xml"/>
  <Override PartName="/xl/drawings/drawing1.xml" ContentType="application/vnd.openxmlformats-officedocument.drawing+xml"/>
  <Default Extension="vml" ContentType="application/vnd.openxmlformats-officedocument.vmlDrawing"/>
  <Default Extension="bin" ContentType="application/vnd.openxmlformats-officedocument.spreadsheetml.printerSettings"/>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drawings/drawing3.xml" ContentType="application/vnd.openxmlformats-officedocument.drawing+xml"/>
  <Override PartName="/xl/worksheets/sheet3.xml" ContentType="application/vnd.openxmlformats-officedocument.spreadsheetml.worksheet+xml"/>
  <Override PartName="/xl/ctrProps/ctrProp381.xml" ContentType="application/vnd.ms-excel.controlproperties+xml"/>
  <Override PartName="/xl/ctrProps/ctrProp382.xml" ContentType="application/vnd.ms-excel.controlproperties+xml"/>
  <Override PartName="/xl/ctrProps/ctrProp383.xml" ContentType="application/vnd.ms-excel.controlproperties+xml"/>
  <Override PartName="/xl/ctrProps/ctrProp384.xml" ContentType="application/vnd.ms-excel.controlproperties+xml"/>
  <Override PartName="/xl/ctrProps/ctrProp385.xml" ContentType="application/vnd.ms-excel.controlproperties+xml"/>
  <Override PartName="/xl/ctrProps/ctrProp386.xml" ContentType="application/vnd.ms-excel.controlproperties+xml"/>
  <Override PartName="/xl/ctrProps/ctrProp387.xml" ContentType="application/vnd.ms-excel.controlproperties+xml"/>
  <Override PartName="/xl/ctrProps/ctrProp388.xml" ContentType="application/vnd.ms-excel.controlproperties+xml"/>
  <Override PartName="/xl/ctrProps/ctrProp389.xml" ContentType="application/vnd.ms-excel.controlproperties+xml"/>
  <Override PartName="/xl/ctrProps/ctrProp390.xml" ContentType="application/vnd.ms-excel.controlproperties+xml"/>
  <Override PartName="/xl/ctrProps/ctrProp391.xml" ContentType="application/vnd.ms-excel.controlproperties+xml"/>
  <Override PartName="/xl/ctrProps/ctrProp392.xml" ContentType="application/vnd.ms-excel.controlproperties+xml"/>
  <Override PartName="/xl/ctrProps/ctrProp393.xml" ContentType="application/vnd.ms-excel.controlproperties+xml"/>
  <Override PartName="/xl/ctrProps/ctrProp394.xml" ContentType="application/vnd.ms-excel.controlproperties+xml"/>
  <Override PartName="/xl/ctrProps/ctrProp395.xml" ContentType="application/vnd.ms-excel.controlproperties+xml"/>
  <Override PartName="/xl/ctrProps/ctrProp396.xml" ContentType="application/vnd.ms-excel.controlproperties+xml"/>
  <Override PartName="/xl/ctrProps/ctrProp397.xml" ContentType="application/vnd.ms-excel.controlproperties+xml"/>
  <Override PartName="/xl/ctrProps/ctrProp398.xml" ContentType="application/vnd.ms-excel.controlproperties+xml"/>
  <Override PartName="/xl/ctrProps/ctrProp399.xml" ContentType="application/vnd.ms-excel.controlproperties+xml"/>
  <Override PartName="/xl/ctrProps/ctrProp400.xml" ContentType="application/vnd.ms-excel.controlproperties+xml"/>
  <Override PartName="/xl/ctrProps/ctrProp401.xml" ContentType="application/vnd.ms-excel.controlproperties+xml"/>
  <Override PartName="/xl/ctrProps/ctrProp402.xml" ContentType="application/vnd.ms-excel.controlproperties+xml"/>
  <Override PartName="/xl/ctrProps/ctrProp403.xml" ContentType="application/vnd.ms-excel.controlproperties+xml"/>
  <Override PartName="/xl/ctrProps/ctrProp404.xml" ContentType="application/vnd.ms-excel.controlproperties+xml"/>
  <Override PartName="/xl/ctrProps/ctrProp405.xml" ContentType="application/vnd.ms-excel.controlproperties+xml"/>
  <Override PartName="/xl/ctrProps/ctrProp406.xml" ContentType="application/vnd.ms-excel.controlproperties+xml"/>
  <Override PartName="/xl/ctrProps/ctrProp407.xml" ContentType="application/vnd.ms-excel.controlproperties+xml"/>
  <Override PartName="/xl/ctrProps/ctrProp408.xml" ContentType="application/vnd.ms-excel.controlproperties+xml"/>
  <Override PartName="/xl/ctrProps/ctrProp409.xml" ContentType="application/vnd.ms-excel.controlproperties+xml"/>
  <Override PartName="/xl/ctrProps/ctrProp410.xml" ContentType="application/vnd.ms-excel.controlproperties+xml"/>
  <Override PartName="/xl/ctrProps/ctrProp411.xml" ContentType="application/vnd.ms-excel.controlproperties+xml"/>
  <Override PartName="/xl/ctrProps/ctrProp412.xml" ContentType="application/vnd.ms-excel.controlproperties+xml"/>
  <Override PartName="/xl/ctrProps/ctrProp413.xml" ContentType="application/vnd.ms-excel.controlproperties+xml"/>
  <Override PartName="/xl/ctrProps/ctrProp414.xml" ContentType="application/vnd.ms-excel.controlproperties+xml"/>
  <Override PartName="/xl/ctrProps/ctrProp415.xml" ContentType="application/vnd.ms-excel.controlproperties+xml"/>
  <Override PartName="/xl/ctrProps/ctrProp416.xml" ContentType="application/vnd.ms-excel.controlproperties+xml"/>
  <Override PartName="/xl/ctrProps/ctrProp417.xml" ContentType="application/vnd.ms-excel.controlproperties+xml"/>
  <Override PartName="/xl/ctrProps/ctrProp418.xml" ContentType="application/vnd.ms-excel.controlproperties+xml"/>
  <Override PartName="/xl/ctrProps/ctrProp419.xml" ContentType="application/vnd.ms-excel.controlproperties+xml"/>
  <Override PartName="/xl/ctrProps/ctrProp420.xml" ContentType="application/vnd.ms-excel.controlproperties+xml"/>
  <Override PartName="/xl/ctrProps/ctrProp421.xml" ContentType="application/vnd.ms-excel.controlproperties+xml"/>
  <Override PartName="/xl/ctrProps/ctrProp422.xml" ContentType="application/vnd.ms-excel.controlproperties+xml"/>
  <Override PartName="/xl/ctrProps/ctrProp423.xml" ContentType="application/vnd.ms-excel.controlproperties+xml"/>
  <Override PartName="/xl/ctrProps/ctrProp424.xml" ContentType="application/vnd.ms-excel.controlproperties+xml"/>
  <Override PartName="/xl/ctrProps/ctrProp425.xml" ContentType="application/vnd.ms-excel.controlproperties+xml"/>
  <Override PartName="/xl/ctrProps/ctrProp426.xml" ContentType="application/vnd.ms-excel.controlproperties+xml"/>
  <Override PartName="/xl/ctrProps/ctrProp427.xml" ContentType="application/vnd.ms-excel.controlproperties+xml"/>
  <Override PartName="/xl/ctrProps/ctrProp428.xml" ContentType="application/vnd.ms-excel.controlproperties+xml"/>
  <Override PartName="/xl/ctrProps/ctrProp429.xml" ContentType="application/vnd.ms-excel.controlproperties+xml"/>
  <Override PartName="/xl/ctrProps/ctrProp430.xml" ContentType="application/vnd.ms-excel.controlproperties+xml"/>
  <Override PartName="/xl/ctrProps/ctrProp431.xml" ContentType="application/vnd.ms-excel.controlproperties+xml"/>
  <Override PartName="/xl/ctrProps/ctrProp432.xml" ContentType="application/vnd.ms-excel.controlproperties+xml"/>
  <Override PartName="/xl/ctrProps/ctrProp433.xml" ContentType="application/vnd.ms-excel.controlproperties+xml"/>
  <Override PartName="/xl/ctrProps/ctrProp434.xml" ContentType="application/vnd.ms-excel.controlproperties+xml"/>
  <Override PartName="/xl/ctrProps/ctrProp435.xml" ContentType="application/vnd.ms-excel.controlproperties+xml"/>
  <Override PartName="/xl/ctrProps/ctrProp436.xml" ContentType="application/vnd.ms-excel.controlproperties+xml"/>
  <Override PartName="/xl/ctrProps/ctrProp437.xml" ContentType="application/vnd.ms-excel.controlproperties+xml"/>
  <Override PartName="/xl/ctrProps/ctrProp438.xml" ContentType="application/vnd.ms-excel.controlproperties+xml"/>
  <Override PartName="/xl/ctrProps/ctrProp439.xml" ContentType="application/vnd.ms-excel.controlproperties+xml"/>
  <Override PartName="/xl/ctrProps/ctrProp440.xml" ContentType="application/vnd.ms-excel.controlproperties+xml"/>
  <Override PartName="/xl/ctrProps/ctrProp441.xml" ContentType="application/vnd.ms-excel.controlproperties+xml"/>
  <Override PartName="/xl/ctrProps/ctrProp442.xml" ContentType="application/vnd.ms-excel.controlproperties+xml"/>
  <Override PartName="/xl/ctrProps/ctrProp443.xml" ContentType="application/vnd.ms-excel.controlproperties+xml"/>
  <Override PartName="/xl/ctrProps/ctrProp444.xml" ContentType="application/vnd.ms-excel.controlproperties+xml"/>
  <Override PartName="/xl/ctrProps/ctrProp445.xml" ContentType="application/vnd.ms-excel.controlproperties+xml"/>
  <Override PartName="/xl/ctrProps/ctrProp446.xml" ContentType="application/vnd.ms-excel.controlproperties+xml"/>
  <Override PartName="/xl/ctrProps/ctrProp447.xml" ContentType="application/vnd.ms-excel.controlproperties+xml"/>
  <Override PartName="/xl/ctrProps/ctrProp448.xml" ContentType="application/vnd.ms-excel.controlproperties+xml"/>
  <Override PartName="/xl/ctrProps/ctrProp449.xml" ContentType="application/vnd.ms-excel.controlproperties+xml"/>
  <Override PartName="/xl/ctrProps/ctrProp450.xml" ContentType="application/vnd.ms-excel.controlproperties+xml"/>
  <Override PartName="/xl/ctrProps/ctrProp451.xml" ContentType="application/vnd.ms-excel.controlproperties+xml"/>
  <Override PartName="/xl/ctrProps/ctrProp452.xml" ContentType="application/vnd.ms-excel.controlproperties+xml"/>
  <Override PartName="/xl/ctrProps/ctrProp453.xml" ContentType="application/vnd.ms-excel.controlproperties+xml"/>
  <Override PartName="/xl/ctrProps/ctrProp454.xml" ContentType="application/vnd.ms-excel.controlproperties+xml"/>
  <Override PartName="/xl/ctrProps/ctrProp455.xml" ContentType="application/vnd.ms-excel.controlproperties+xml"/>
  <Override PartName="/xl/ctrProps/ctrProp456.xml" ContentType="application/vnd.ms-excel.controlproperties+xml"/>
  <Override PartName="/xl/ctrProps/ctrProp457.xml" ContentType="application/vnd.ms-excel.controlproperties+xml"/>
  <Override PartName="/xl/ctrProps/ctrProp458.xml" ContentType="application/vnd.ms-excel.controlproperties+xml"/>
  <Override PartName="/xl/ctrProps/ctrProp459.xml" ContentType="application/vnd.ms-excel.controlproperties+xml"/>
  <Override PartName="/xl/ctrProps/ctrProp460.xml" ContentType="application/vnd.ms-excel.controlproperties+xml"/>
  <Override PartName="/xl/ctrProps/ctrProp461.xml" ContentType="application/vnd.ms-excel.controlproperties+xml"/>
  <Override PartName="/xl/ctrProps/ctrProp462.xml" ContentType="application/vnd.ms-excel.controlproperties+xml"/>
  <Override PartName="/xl/ctrProps/ctrProp463.xml" ContentType="application/vnd.ms-excel.controlproperties+xml"/>
  <Override PartName="/xl/ctrProps/ctrProp464.xml" ContentType="application/vnd.ms-excel.controlproperties+xml"/>
  <Override PartName="/xl/ctrProps/ctrProp465.xml" ContentType="application/vnd.ms-excel.controlproperties+xml"/>
  <Override PartName="/xl/ctrProps/ctrProp466.xml" ContentType="application/vnd.ms-excel.controlproperties+xml"/>
  <Override PartName="/xl/ctrProps/ctrProp467.xml" ContentType="application/vnd.ms-excel.controlproperties+xml"/>
  <Override PartName="/xl/ctrProps/ctrProp468.xml" ContentType="application/vnd.ms-excel.controlproperties+xml"/>
  <Override PartName="/xl/ctrProps/ctrProp469.xml" ContentType="application/vnd.ms-excel.controlproperties+xml"/>
  <Override PartName="/xl/ctrProps/ctrProp470.xml" ContentType="application/vnd.ms-excel.controlproperties+xml"/>
  <Override PartName="/xl/ctrProps/ctrProp471.xml" ContentType="application/vnd.ms-excel.controlproperties+xml"/>
  <Override PartName="/xl/ctrProps/ctrProp472.xml" ContentType="application/vnd.ms-excel.controlproperties+xml"/>
  <Override PartName="/xl/ctrProps/ctrProp473.xml" ContentType="application/vnd.ms-excel.controlproperties+xml"/>
  <Override PartName="/xl/ctrProps/ctrProp474.xml" ContentType="application/vnd.ms-excel.controlproperties+xml"/>
  <Override PartName="/xl/ctrProps/ctrProp475.xml" ContentType="application/vnd.ms-excel.controlproperties+xml"/>
  <Override PartName="/xl/ctrProps/ctrProp476.xml" ContentType="application/vnd.ms-excel.controlproperties+xml"/>
  <Override PartName="/xl/ctrProps/ctrProp477.xml" ContentType="application/vnd.ms-excel.controlproperties+xml"/>
  <Override PartName="/xl/ctrProps/ctrProp478.xml" ContentType="application/vnd.ms-excel.controlproperties+xml"/>
  <Override PartName="/xl/ctrProps/ctrProp479.xml" ContentType="application/vnd.ms-excel.controlproperties+xml"/>
  <Override PartName="/xl/ctrProps/ctrProp480.xml" ContentType="application/vnd.ms-excel.controlproperties+xml"/>
  <Override PartName="/xl/ctrProps/ctrProp481.xml" ContentType="application/vnd.ms-excel.controlproperties+xml"/>
  <Override PartName="/xl/ctrProps/ctrProp482.xml" ContentType="application/vnd.ms-excel.controlproperties+xml"/>
  <Override PartName="/xl/ctrProps/ctrProp483.xml" ContentType="application/vnd.ms-excel.controlproperties+xml"/>
  <Override PartName="/xl/ctrProps/ctrProp484.xml" ContentType="application/vnd.ms-excel.controlproperties+xml"/>
  <Override PartName="/xl/ctrProps/ctrProp485.xml" ContentType="application/vnd.ms-excel.controlproperties+xml"/>
  <Override PartName="/xl/ctrProps/ctrProp486.xml" ContentType="application/vnd.ms-excel.controlproperties+xml"/>
  <Override PartName="/xl/ctrProps/ctrProp487.xml" ContentType="application/vnd.ms-excel.controlproperties+xml"/>
  <Override PartName="/xl/ctrProps/ctrProp488.xml" ContentType="application/vnd.ms-excel.controlproperties+xml"/>
  <Override PartName="/xl/ctrProps/ctrProp489.xml" ContentType="application/vnd.ms-excel.controlproperties+xml"/>
  <Override PartName="/xl/ctrProps/ctrProp490.xml" ContentType="application/vnd.ms-excel.controlproperties+xml"/>
  <Override PartName="/xl/ctrProps/ctrProp491.xml" ContentType="application/vnd.ms-excel.controlproperties+xml"/>
  <Override PartName="/xl/ctrProps/ctrProp492.xml" ContentType="application/vnd.ms-excel.controlproperties+xml"/>
  <Override PartName="/xl/ctrProps/ctrProp493.xml" ContentType="application/vnd.ms-excel.controlproperties+xml"/>
  <Override PartName="/xl/ctrProps/ctrProp494.xml" ContentType="application/vnd.ms-excel.controlproperties+xml"/>
  <Override PartName="/xl/ctrProps/ctrProp495.xml" ContentType="application/vnd.ms-excel.controlproperties+xml"/>
  <Override PartName="/xl/ctrProps/ctrProp496.xml" ContentType="application/vnd.ms-excel.controlproperties+xml"/>
  <Override PartName="/xl/ctrProps/ctrProp497.xml" ContentType="application/vnd.ms-excel.controlproperties+xml"/>
  <Override PartName="/xl/ctrProps/ctrProp498.xml" ContentType="application/vnd.ms-excel.controlproperties+xml"/>
  <Override PartName="/xl/ctrProps/ctrProp499.xml" ContentType="application/vnd.ms-excel.controlproperties+xml"/>
  <Override PartName="/xl/ctrProps/ctrProp500.xml" ContentType="application/vnd.ms-excel.controlproperties+xml"/>
  <Override PartName="/xl/ctrProps/ctrProp501.xml" ContentType="application/vnd.ms-excel.controlproperties+xml"/>
  <Override PartName="/xl/ctrProps/ctrProp502.xml" ContentType="application/vnd.ms-excel.controlproperties+xml"/>
  <Override PartName="/xl/ctrProps/ctrProp503.xml" ContentType="application/vnd.ms-excel.controlproperties+xml"/>
  <Override PartName="/xl/ctrProps/ctrProp504.xml" ContentType="application/vnd.ms-excel.controlproperties+xml"/>
  <Override PartName="/xl/ctrProps/ctrProp505.xml" ContentType="application/vnd.ms-excel.controlproperties+xml"/>
  <Override PartName="/xl/ctrProps/ctrProp506.xml" ContentType="application/vnd.ms-excel.controlproperties+xml"/>
  <Override PartName="/xl/ctrProps/ctrProp507.xml" ContentType="application/vnd.ms-excel.controlproperties+xml"/>
  <Override PartName="/xl/ctrProps/ctrProp508.xml" ContentType="application/vnd.ms-excel.controlproperties+xml"/>
  <Override PartName="/xl/ctrProps/ctrProp509.xml" ContentType="application/vnd.ms-excel.controlproperties+xml"/>
  <Override PartName="/xl/ctrProps/ctrProp510.xml" ContentType="application/vnd.ms-excel.controlproperties+xml"/>
  <Override PartName="/xl/ctrProps/ctrProp511.xml" ContentType="application/vnd.ms-excel.controlproperties+xml"/>
  <Override PartName="/xl/ctrProps/ctrProp512.xml" ContentType="application/vnd.ms-excel.controlproperties+xml"/>
  <Override PartName="/xl/ctrProps/ctrProp513.xml" ContentType="application/vnd.ms-excel.controlproperties+xml"/>
  <Override PartName="/xl/ctrProps/ctrProp514.xml" ContentType="application/vnd.ms-excel.controlproperties+xml"/>
  <Override PartName="/xl/ctrProps/ctrProp515.xml" ContentType="application/vnd.ms-excel.controlproperties+xml"/>
  <Override PartName="/xl/ctrProps/ctrProp516.xml" ContentType="application/vnd.ms-excel.controlproperties+xml"/>
  <Override PartName="/xl/ctrProps/ctrProp517.xml" ContentType="application/vnd.ms-excel.controlproperties+xml"/>
  <Override PartName="/xl/ctrProps/ctrProp518.xml" ContentType="application/vnd.ms-excel.controlproperties+xml"/>
  <Override PartName="/xl/ctrProps/ctrProp519.xml" ContentType="application/vnd.ms-excel.controlproperties+xml"/>
  <Override PartName="/xl/ctrProps/ctrProp520.xml" ContentType="application/vnd.ms-excel.controlproperties+xml"/>
  <Override PartName="/xl/ctrProps/ctrProp521.xml" ContentType="application/vnd.ms-excel.controlproperties+xml"/>
  <Override PartName="/xl/ctrProps/ctrProp522.xml" ContentType="application/vnd.ms-excel.controlproperties+xml"/>
  <Override PartName="/xl/ctrProps/ctrProp523.xml" ContentType="application/vnd.ms-excel.controlproperties+xml"/>
  <Override PartName="/xl/ctrProps/ctrProp524.xml" ContentType="application/vnd.ms-excel.controlproperties+xml"/>
  <Override PartName="/xl/ctrProps/ctrProp525.xml" ContentType="application/vnd.ms-excel.controlproperties+xml"/>
  <Override PartName="/xl/ctrProps/ctrProp526.xml" ContentType="application/vnd.ms-excel.controlproperties+xml"/>
  <Override PartName="/xl/ctrProps/ctrProp527.xml" ContentType="application/vnd.ms-excel.controlproperties+xml"/>
  <Override PartName="/xl/ctrProps/ctrProp528.xml" ContentType="application/vnd.ms-excel.controlproperties+xml"/>
  <Override PartName="/xl/ctrProps/ctrProp529.xml" ContentType="application/vnd.ms-excel.controlproperties+xml"/>
  <Override PartName="/xl/ctrProps/ctrProp530.xml" ContentType="application/vnd.ms-excel.controlproperties+xml"/>
  <Override PartName="/xl/ctrProps/ctrProp531.xml" ContentType="application/vnd.ms-excel.controlproperties+xml"/>
  <Override PartName="/xl/ctrProps/ctrProp532.xml" ContentType="application/vnd.ms-excel.controlproperties+xml"/>
  <Override PartName="/xl/ctrProps/ctrProp533.xml" ContentType="application/vnd.ms-excel.controlproperties+xml"/>
  <Override PartName="/xl/ctrProps/ctrProp534.xml" ContentType="application/vnd.ms-excel.controlproperties+xml"/>
  <Override PartName="/xl/ctrProps/ctrProp535.xml" ContentType="application/vnd.ms-excel.controlproperties+xml"/>
  <Override PartName="/xl/ctrProps/ctrProp536.xml" ContentType="application/vnd.ms-excel.controlproperties+xml"/>
  <Override PartName="/xl/ctrProps/ctrProp537.xml" ContentType="application/vnd.ms-excel.controlproperties+xml"/>
  <Override PartName="/xl/ctrProps/ctrProp538.xml" ContentType="application/vnd.ms-excel.controlproperties+xml"/>
  <Override PartName="/xl/ctrProps/ctrProp539.xml" ContentType="application/vnd.ms-excel.controlproperties+xml"/>
  <Override PartName="/xl/ctrProps/ctrProp540.xml" ContentType="application/vnd.ms-excel.controlproperties+xml"/>
  <Override PartName="/xl/ctrProps/ctrProp541.xml" ContentType="application/vnd.ms-excel.controlproperties+xml"/>
  <Override PartName="/xl/ctrProps/ctrProp542.xml" ContentType="application/vnd.ms-excel.controlproperties+xml"/>
  <Override PartName="/xl/ctrProps/ctrProp543.xml" ContentType="application/vnd.ms-excel.controlproperties+xml"/>
  <Override PartName="/xl/ctrProps/ctrProp544.xml" ContentType="application/vnd.ms-excel.controlproperties+xml"/>
  <Override PartName="/xl/ctrProps/ctrProp545.xml" ContentType="application/vnd.ms-excel.controlproperties+xml"/>
  <Override PartName="/xl/ctrProps/ctrProp546.xml" ContentType="application/vnd.ms-excel.controlproperties+xml"/>
  <Override PartName="/xl/ctrProps/ctrProp547.xml" ContentType="application/vnd.ms-excel.controlproperties+xml"/>
  <Override PartName="/xl/ctrProps/ctrProp548.xml" ContentType="application/vnd.ms-excel.controlproperties+xml"/>
  <Override PartName="/xl/ctrProps/ctrProp549.xml" ContentType="application/vnd.ms-excel.controlproperties+xml"/>
  <Override PartName="/xl/ctrProps/ctrProp550.xml" ContentType="application/vnd.ms-excel.controlproperties+xml"/>
  <Override PartName="/xl/ctrProps/ctrProp551.xml" ContentType="application/vnd.ms-excel.controlproperties+xml"/>
  <Override PartName="/xl/ctrProps/ctrProp552.xml" ContentType="application/vnd.ms-excel.controlproperties+xml"/>
  <Override PartName="/xl/ctrProps/ctrProp553.xml" ContentType="application/vnd.ms-excel.controlproperties+xml"/>
  <Override PartName="/xl/ctrProps/ctrProp554.xml" ContentType="application/vnd.ms-excel.controlproperties+xml"/>
  <Override PartName="/xl/ctrProps/ctrProp555.xml" ContentType="application/vnd.ms-excel.controlproperties+xml"/>
  <Override PartName="/xl/ctrProps/ctrProp556.xml" ContentType="application/vnd.ms-excel.controlproperties+xml"/>
  <Override PartName="/xl/ctrProps/ctrProp557.xml" ContentType="application/vnd.ms-excel.controlproperties+xml"/>
  <Override PartName="/xl/ctrProps/ctrProp558.xml" ContentType="application/vnd.ms-excel.controlproperties+xml"/>
  <Override PartName="/xl/ctrProps/ctrProp559.xml" ContentType="application/vnd.ms-excel.controlproperties+xml"/>
  <Override PartName="/xl/ctrProps/ctrProp560.xml" ContentType="application/vnd.ms-excel.controlproperties+xml"/>
  <Override PartName="/xl/ctrProps/ctrProp561.xml" ContentType="application/vnd.ms-excel.controlproperties+xml"/>
  <Override PartName="/xl/ctrProps/ctrProp562.xml" ContentType="application/vnd.ms-excel.controlproperties+xml"/>
  <Override PartName="/xl/ctrProps/ctrProp563.xml" ContentType="application/vnd.ms-excel.controlproperties+xml"/>
  <Override PartName="/xl/ctrProps/ctrProp564.xml" ContentType="application/vnd.ms-excel.controlproperties+xml"/>
  <Override PartName="/xl/ctrProps/ctrProp565.xml" ContentType="application/vnd.ms-excel.controlproperties+xml"/>
  <Override PartName="/xl/ctrProps/ctrProp566.xml" ContentType="application/vnd.ms-excel.controlproperties+xml"/>
  <Override PartName="/xl/ctrProps/ctrProp567.xml" ContentType="application/vnd.ms-excel.controlproperties+xml"/>
  <Override PartName="/xl/ctrProps/ctrProp568.xml" ContentType="application/vnd.ms-excel.controlproperties+xml"/>
  <Override PartName="/xl/ctrProps/ctrProp569.xml" ContentType="application/vnd.ms-excel.controlproperties+xml"/>
  <Override PartName="/xl/ctrProps/ctrProp570.xml" ContentType="application/vnd.ms-excel.controlproperties+xml"/>
  <Override PartName="/xl/ctrProps/ctrProp571.xml" ContentType="application/vnd.ms-excel.controlproperties+xml"/>
  <Override PartName="/xl/ctrProps/ctrProp572.xml" ContentType="application/vnd.ms-excel.controlproperties+xml"/>
  <Override PartName="/xl/ctrProps/ctrProp573.xml" ContentType="application/vnd.ms-excel.controlproperties+xml"/>
  <Override PartName="/xl/ctrProps/ctrProp574.xml" ContentType="application/vnd.ms-excel.controlproperties+xml"/>
  <Override PartName="/xl/ctrProps/ctrProp575.xml" ContentType="application/vnd.ms-excel.controlproperties+xml"/>
  <Override PartName="/xl/ctrProps/ctrProp576.xml" ContentType="application/vnd.ms-excel.controlproperties+xml"/>
  <Override PartName="/xl/ctrProps/ctrProp577.xml" ContentType="application/vnd.ms-excel.controlproperties+xml"/>
  <Override PartName="/xl/ctrProps/ctrProp578.xml" ContentType="application/vnd.ms-excel.controlproperties+xml"/>
  <Override PartName="/xl/ctrProps/ctrProp579.xml" ContentType="application/vnd.ms-excel.controlproperties+xml"/>
  <Override PartName="/xl/ctrProps/ctrProp580.xml" ContentType="application/vnd.ms-excel.controlproperties+xml"/>
  <Override PartName="/xl/ctrProps/ctrProp581.xml" ContentType="application/vnd.ms-excel.controlproperties+xml"/>
  <Override PartName="/xl/ctrProps/ctrProp582.xml" ContentType="application/vnd.ms-excel.controlproperties+xml"/>
  <Override PartName="/xl/ctrProps/ctrProp583.xml" ContentType="application/vnd.ms-excel.controlproperties+xml"/>
  <Override PartName="/xl/ctrProps/ctrProp584.xml" ContentType="application/vnd.ms-excel.controlproperties+xml"/>
  <Override PartName="/xl/ctrProps/ctrProp585.xml" ContentType="application/vnd.ms-excel.controlproperties+xml"/>
  <Override PartName="/xl/ctrProps/ctrProp586.xml" ContentType="application/vnd.ms-excel.controlproperties+xml"/>
  <Override PartName="/xl/ctrProps/ctrProp587.xml" ContentType="application/vnd.ms-excel.controlproperties+xml"/>
  <Override PartName="/xl/ctrProps/ctrProp588.xml" ContentType="application/vnd.ms-excel.controlproperties+xml"/>
  <Override PartName="/xl/ctrProps/ctrProp589.xml" ContentType="application/vnd.ms-excel.controlproperties+xml"/>
  <Override PartName="/xl/ctrProps/ctrProp590.xml" ContentType="application/vnd.ms-excel.controlproperties+xml"/>
  <Override PartName="/xl/ctrProps/ctrProp591.xml" ContentType="application/vnd.ms-excel.controlproperties+xml"/>
  <Override PartName="/xl/ctrProps/ctrProp592.xml" ContentType="application/vnd.ms-excel.controlproperties+xml"/>
  <Override PartName="/xl/ctrProps/ctrProp593.xml" ContentType="application/vnd.ms-excel.controlproperties+xml"/>
  <Override PartName="/xl/ctrProps/ctrProp594.xml" ContentType="application/vnd.ms-excel.controlproperties+xml"/>
  <Override PartName="/xl/ctrProps/ctrProp595.xml" ContentType="application/vnd.ms-excel.controlproperties+xml"/>
  <Override PartName="/xl/ctrProps/ctrProp596.xml" ContentType="application/vnd.ms-excel.controlproperties+xml"/>
  <Override PartName="/xl/ctrProps/ctrProp597.xml" ContentType="application/vnd.ms-excel.controlproperties+xml"/>
  <Override PartName="/xl/ctrProps/ctrProp598.xml" ContentType="application/vnd.ms-excel.controlproperties+xml"/>
  <Override PartName="/xl/ctrProps/ctrProp599.xml" ContentType="application/vnd.ms-excel.controlproperties+xml"/>
  <Override PartName="/xl/ctrProps/ctrProp600.xml" ContentType="application/vnd.ms-excel.controlproperties+xml"/>
  <Override PartName="/xl/ctrProps/ctrProp601.xml" ContentType="application/vnd.ms-excel.controlproperties+xml"/>
  <Override PartName="/xl/ctrProps/ctrProp602.xml" ContentType="application/vnd.ms-excel.controlproperties+xml"/>
  <Override PartName="/xl/ctrProps/ctrProp603.xml" ContentType="application/vnd.ms-excel.controlproperties+xml"/>
  <Override PartName="/xl/ctrProps/ctrProp604.xml" ContentType="application/vnd.ms-excel.controlproperties+xml"/>
  <Override PartName="/xl/ctrProps/ctrProp605.xml" ContentType="application/vnd.ms-excel.controlproperties+xml"/>
  <Override PartName="/xl/ctrProps/ctrProp606.xml" ContentType="application/vnd.ms-excel.controlproperties+xml"/>
  <Override PartName="/xl/ctrProps/ctrProp607.xml" ContentType="application/vnd.ms-excel.controlproperties+xml"/>
  <Override PartName="/xl/ctrProps/ctrProp608.xml" ContentType="application/vnd.ms-excel.controlproperties+xml"/>
  <Override PartName="/xl/ctrProps/ctrProp609.xml" ContentType="application/vnd.ms-excel.controlproperties+xml"/>
  <Override PartName="/xl/ctrProps/ctrProp610.xml" ContentType="application/vnd.ms-excel.controlproperties+xml"/>
  <Override PartName="/xl/ctrProps/ctrProp611.xml" ContentType="application/vnd.ms-excel.controlproperties+xml"/>
  <Override PartName="/xl/ctrProps/ctrProp612.xml" ContentType="application/vnd.ms-excel.controlproperties+xml"/>
  <Override PartName="/xl/ctrProps/ctrProp613.xml" ContentType="application/vnd.ms-excel.controlproperties+xml"/>
  <Override PartName="/xl/ctrProps/ctrProp614.xml" ContentType="application/vnd.ms-excel.controlproperties+xml"/>
  <Override PartName="/xl/ctrProps/ctrProp615.xml" ContentType="application/vnd.ms-excel.controlproperties+xml"/>
  <Override PartName="/xl/ctrProps/ctrProp616.xml" ContentType="application/vnd.ms-excel.controlproperties+xml"/>
  <Override PartName="/xl/ctrProps/ctrProp617.xml" ContentType="application/vnd.ms-excel.controlproperties+xml"/>
  <Override PartName="/xl/ctrProps/ctrProp618.xml" ContentType="application/vnd.ms-excel.controlproperties+xml"/>
  <Override PartName="/xl/ctrProps/ctrProp619.xml" ContentType="application/vnd.ms-excel.controlproperties+xml"/>
  <Override PartName="/xl/ctrProps/ctrProp620.xml" ContentType="application/vnd.ms-excel.controlproperties+xml"/>
  <Override PartName="/xl/ctrProps/ctrProp621.xml" ContentType="application/vnd.ms-excel.controlproperties+xml"/>
  <Override PartName="/xl/ctrProps/ctrProp622.xml" ContentType="application/vnd.ms-excel.controlproperties+xml"/>
  <Override PartName="/xl/ctrProps/ctrProp623.xml" ContentType="application/vnd.ms-excel.controlproperties+xml"/>
  <Override PartName="/xl/ctrProps/ctrProp624.xml" ContentType="application/vnd.ms-excel.controlproperties+xml"/>
  <Override PartName="/xl/ctrProps/ctrProp625.xml" ContentType="application/vnd.ms-excel.controlproperties+xml"/>
  <Override PartName="/xl/ctrProps/ctrProp626.xml" ContentType="application/vnd.ms-excel.controlproperties+xml"/>
  <Override PartName="/xl/ctrProps/ctrProp627.xml" ContentType="application/vnd.ms-excel.controlproperties+xml"/>
  <Override PartName="/xl/ctrProps/ctrProp628.xml" ContentType="application/vnd.ms-excel.controlproperties+xml"/>
  <Override PartName="/xl/ctrProps/ctrProp629.xml" ContentType="application/vnd.ms-excel.controlproperties+xml"/>
  <Override PartName="/xl/ctrProps/ctrProp630.xml" ContentType="application/vnd.ms-excel.controlproperties+xml"/>
  <Override PartName="/xl/ctrProps/ctrProp631.xml" ContentType="application/vnd.ms-excel.controlproperties+xml"/>
  <Override PartName="/xl/ctrProps/ctrProp632.xml" ContentType="application/vnd.ms-excel.controlproperties+xml"/>
  <Override PartName="/xl/ctrProps/ctrProp633.xml" ContentType="application/vnd.ms-excel.controlproperties+xml"/>
  <Override PartName="/xl/ctrProps/ctrProp634.xml" ContentType="application/vnd.ms-excel.controlproperties+xml"/>
  <Override PartName="/xl/ctrProps/ctrProp635.xml" ContentType="application/vnd.ms-excel.controlproperties+xml"/>
  <Override PartName="/xl/ctrProps/ctrProp636.xml" ContentType="application/vnd.ms-excel.controlproperties+xml"/>
  <Override PartName="/xl/ctrProps/ctrProp637.xml" ContentType="application/vnd.ms-excel.controlproperties+xml"/>
  <Override PartName="/xl/ctrProps/ctrProp638.xml" ContentType="application/vnd.ms-excel.controlproperties+xml"/>
  <Override PartName="/xl/ctrProps/ctrProp639.xml" ContentType="application/vnd.ms-excel.controlproperties+xml"/>
  <Override PartName="/xl/ctrProps/ctrProp640.xml" ContentType="application/vnd.ms-excel.controlproperties+xml"/>
  <Override PartName="/xl/ctrProps/ctrProp641.xml" ContentType="application/vnd.ms-excel.controlproperties+xml"/>
  <Override PartName="/xl/ctrProps/ctrProp642.xml" ContentType="application/vnd.ms-excel.controlproperties+xml"/>
  <Override PartName="/xl/ctrProps/ctrProp643.xml" ContentType="application/vnd.ms-excel.controlproperties+xml"/>
  <Override PartName="/xl/ctrProps/ctrProp644.xml" ContentType="application/vnd.ms-excel.controlproperties+xml"/>
  <Override PartName="/xl/ctrProps/ctrProp645.xml" ContentType="application/vnd.ms-excel.controlproperties+xml"/>
  <Override PartName="/xl/ctrProps/ctrProp646.xml" ContentType="application/vnd.ms-excel.controlproperties+xml"/>
  <Override PartName="/xl/ctrProps/ctrProp647.xml" ContentType="application/vnd.ms-excel.controlproperties+xml"/>
  <Override PartName="/xl/ctrProps/ctrProp648.xml" ContentType="application/vnd.ms-excel.controlproperties+xml"/>
  <Override PartName="/xl/ctrProps/ctrProp649.xml" ContentType="application/vnd.ms-excel.controlproperties+xml"/>
  <Override PartName="/xl/ctrProps/ctrProp650.xml" ContentType="application/vnd.ms-excel.controlproperties+xml"/>
  <Override PartName="/xl/ctrProps/ctrProp651.xml" ContentType="application/vnd.ms-excel.controlproperties+xml"/>
  <Override PartName="/xl/ctrProps/ctrProp652.xml" ContentType="application/vnd.ms-excel.controlproperties+xml"/>
  <Override PartName="/xl/ctrProps/ctrProp653.xml" ContentType="application/vnd.ms-excel.controlproperties+xml"/>
  <Override PartName="/xl/ctrProps/ctrProp654.xml" ContentType="application/vnd.ms-excel.controlproperties+xml"/>
  <Override PartName="/xl/ctrProps/ctrProp655.xml" ContentType="application/vnd.ms-excel.controlproperties+xml"/>
  <Override PartName="/xl/ctrProps/ctrProp656.xml" ContentType="application/vnd.ms-excel.controlproperties+xml"/>
  <Override PartName="/xl/ctrProps/ctrProp657.xml" ContentType="application/vnd.ms-excel.controlproperties+xml"/>
  <Override PartName="/xl/ctrProps/ctrProp658.xml" ContentType="application/vnd.ms-excel.controlproperties+xml"/>
  <Override PartName="/xl/ctrProps/ctrProp659.xml" ContentType="application/vnd.ms-excel.controlproperties+xml"/>
  <Override PartName="/xl/ctrProps/ctrProp660.xml" ContentType="application/vnd.ms-excel.controlproperties+xml"/>
  <Override PartName="/xl/ctrProps/ctrProp661.xml" ContentType="application/vnd.ms-excel.controlproperties+xml"/>
  <Override PartName="/xl/ctrProps/ctrProp662.xml" ContentType="application/vnd.ms-excel.controlproperties+xml"/>
  <Override PartName="/xl/ctrProps/ctrProp663.xml" ContentType="application/vnd.ms-excel.controlproperties+xml"/>
  <Override PartName="/xl/ctrProps/ctrProp664.xml" ContentType="application/vnd.ms-excel.controlproperties+xml"/>
  <Override PartName="/xl/ctrProps/ctrProp665.xml" ContentType="application/vnd.ms-excel.controlproperties+xml"/>
  <Override PartName="/xl/ctrProps/ctrProp666.xml" ContentType="application/vnd.ms-excel.controlproperties+xml"/>
  <Override PartName="/xl/ctrProps/ctrProp667.xml" ContentType="application/vnd.ms-excel.controlproperties+xml"/>
  <Override PartName="/xl/ctrProps/ctrProp668.xml" ContentType="application/vnd.ms-excel.controlproperties+xml"/>
  <Override PartName="/xl/ctrProps/ctrProp669.xml" ContentType="application/vnd.ms-excel.controlproperties+xml"/>
  <Override PartName="/xl/ctrProps/ctrProp670.xml" ContentType="application/vnd.ms-excel.controlproperties+xml"/>
  <Override PartName="/xl/ctrProps/ctrProp671.xml" ContentType="application/vnd.ms-excel.controlproperties+xml"/>
  <Override PartName="/xl/ctrProps/ctrProp672.xml" ContentType="application/vnd.ms-excel.controlproperties+xml"/>
  <Override PartName="/xl/ctrProps/ctrProp673.xml" ContentType="application/vnd.ms-excel.controlproperties+xml"/>
  <Override PartName="/xl/ctrProps/ctrProp674.xml" ContentType="application/vnd.ms-excel.controlproperties+xml"/>
  <Override PartName="/xl/ctrProps/ctrProp675.xml" ContentType="application/vnd.ms-excel.controlproperties+xml"/>
  <Override PartName="/xl/ctrProps/ctrProp676.xml" ContentType="application/vnd.ms-excel.controlproperties+xml"/>
  <Override PartName="/xl/ctrProps/ctrProp677.xml" ContentType="application/vnd.ms-excel.controlproperties+xml"/>
  <Override PartName="/xl/ctrProps/ctrProp678.xml" ContentType="application/vnd.ms-excel.controlproperties+xml"/>
  <Override PartName="/xl/ctrProps/ctrProp679.xml" ContentType="application/vnd.ms-excel.controlproperties+xml"/>
  <Override PartName="/xl/ctrProps/ctrProp680.xml" ContentType="application/vnd.ms-excel.controlproperties+xml"/>
  <Override PartName="/xl/ctrProps/ctrProp681.xml" ContentType="application/vnd.ms-excel.controlproperties+xml"/>
  <Override PartName="/xl/ctrProps/ctrProp682.xml" ContentType="application/vnd.ms-excel.controlproperties+xml"/>
  <Override PartName="/xl/ctrProps/ctrProp683.xml" ContentType="application/vnd.ms-excel.controlproperties+xml"/>
  <Override PartName="/xl/ctrProps/ctrProp684.xml" ContentType="application/vnd.ms-excel.controlproperties+xml"/>
  <Override PartName="/xl/ctrProps/ctrProp685.xml" ContentType="application/vnd.ms-excel.controlproperties+xml"/>
  <Override PartName="/xl/ctrProps/ctrProp686.xml" ContentType="application/vnd.ms-excel.controlproperties+xml"/>
  <Override PartName="/xl/ctrProps/ctrProp687.xml" ContentType="application/vnd.ms-excel.controlproperties+xml"/>
  <Override PartName="/xl/ctrProps/ctrProp688.xml" ContentType="application/vnd.ms-excel.controlproperties+xml"/>
  <Override PartName="/xl/ctrProps/ctrProp689.xml" ContentType="application/vnd.ms-excel.controlproperties+xml"/>
  <Override PartName="/xl/ctrProps/ctrProp690.xml" ContentType="application/vnd.ms-excel.controlproperties+xml"/>
  <Override PartName="/xl/ctrProps/ctrProp691.xml" ContentType="application/vnd.ms-excel.controlproperties+xml"/>
  <Override PartName="/xl/ctrProps/ctrProp692.xml" ContentType="application/vnd.ms-excel.controlproperties+xml"/>
  <Override PartName="/xl/ctrProps/ctrProp693.xml" ContentType="application/vnd.ms-excel.controlproperties+xml"/>
  <Override PartName="/xl/ctrProps/ctrProp694.xml" ContentType="application/vnd.ms-excel.controlproperties+xml"/>
  <Override PartName="/xl/ctrProps/ctrProp695.xml" ContentType="application/vnd.ms-excel.controlproperties+xml"/>
  <Override PartName="/xl/ctrProps/ctrProp696.xml" ContentType="application/vnd.ms-excel.controlproperties+xml"/>
  <Override PartName="/xl/ctrProps/ctrProp697.xml" ContentType="application/vnd.ms-excel.controlproperties+xml"/>
  <Override PartName="/xl/ctrProps/ctrProp698.xml" ContentType="application/vnd.ms-excel.controlproperties+xml"/>
  <Override PartName="/xl/ctrProps/ctrProp699.xml" ContentType="application/vnd.ms-excel.controlproperties+xml"/>
  <Override PartName="/xl/ctrProps/ctrProp700.xml" ContentType="application/vnd.ms-excel.controlproperties+xml"/>
  <Override PartName="/xl/ctrProps/ctrProp701.xml" ContentType="application/vnd.ms-excel.controlproperties+xml"/>
  <Override PartName="/xl/ctrProps/ctrProp702.xml" ContentType="application/vnd.ms-excel.controlproperties+xml"/>
  <Override PartName="/xl/ctrProps/ctrProp703.xml" ContentType="application/vnd.ms-excel.controlproperties+xml"/>
  <Override PartName="/xl/ctrProps/ctrProp704.xml" ContentType="application/vnd.ms-excel.controlproperties+xml"/>
  <Override PartName="/xl/ctrProps/ctrProp705.xml" ContentType="application/vnd.ms-excel.controlproperties+xml"/>
  <Override PartName="/xl/ctrProps/ctrProp706.xml" ContentType="application/vnd.ms-excel.controlproperties+xml"/>
  <Override PartName="/xl/ctrProps/ctrProp707.xml" ContentType="application/vnd.ms-excel.controlproperties+xml"/>
  <Override PartName="/xl/ctrProps/ctrProp708.xml" ContentType="application/vnd.ms-excel.controlproperties+xml"/>
  <Override PartName="/xl/ctrProps/ctrProp709.xml" ContentType="application/vnd.ms-excel.controlproperties+xml"/>
  <Override PartName="/xl/ctrProps/ctrProp710.xml" ContentType="application/vnd.ms-excel.controlproperties+xml"/>
  <Override PartName="/xl/ctrProps/ctrProp711.xml" ContentType="application/vnd.ms-excel.controlproperties+xml"/>
  <Override PartName="/xl/ctrProps/ctrProp712.xml" ContentType="application/vnd.ms-excel.controlproperties+xml"/>
  <Override PartName="/xl/ctrProps/ctrProp713.xml" ContentType="application/vnd.ms-excel.controlproperties+xml"/>
  <Override PartName="/xl/ctrProps/ctrProp714.xml" ContentType="application/vnd.ms-excel.controlproperties+xml"/>
  <Override PartName="/xl/ctrProps/ctrProp715.xml" ContentType="application/vnd.ms-excel.controlproperties+xml"/>
  <Override PartName="/xl/ctrProps/ctrProp716.xml" ContentType="application/vnd.ms-excel.controlproperties+xml"/>
  <Override PartName="/xl/ctrProps/ctrProp717.xml" ContentType="application/vnd.ms-excel.controlproperties+xml"/>
  <Override PartName="/xl/ctrProps/ctrProp718.xml" ContentType="application/vnd.ms-excel.controlproperties+xml"/>
  <Override PartName="/xl/ctrProps/ctrProp719.xml" ContentType="application/vnd.ms-excel.controlproperties+xml"/>
  <Override PartName="/xl/ctrProps/ctrProp720.xml" ContentType="application/vnd.ms-excel.controlproperties+xml"/>
  <Override PartName="/xl/ctrProps/ctrProp721.xml" ContentType="application/vnd.ms-excel.controlproperties+xml"/>
  <Override PartName="/xl/ctrProps/ctrProp722.xml" ContentType="application/vnd.ms-excel.controlproperties+xml"/>
  <Override PartName="/xl/ctrProps/ctrProp723.xml" ContentType="application/vnd.ms-excel.controlproperties+xml"/>
  <Override PartName="/xl/ctrProps/ctrProp724.xml" ContentType="application/vnd.ms-excel.controlproperties+xml"/>
  <Override PartName="/xl/ctrProps/ctrProp725.xml" ContentType="application/vnd.ms-excel.controlproperties+xml"/>
  <Override PartName="/xl/ctrProps/ctrProp726.xml" ContentType="application/vnd.ms-excel.controlproperties+xml"/>
  <Override PartName="/xl/ctrProps/ctrProp727.xml" ContentType="application/vnd.ms-excel.controlproperties+xml"/>
  <Override PartName="/xl/ctrProps/ctrProp728.xml" ContentType="application/vnd.ms-excel.controlproperties+xml"/>
  <Override PartName="/xl/ctrProps/ctrProp729.xml" ContentType="application/vnd.ms-excel.controlproperties+xml"/>
  <Override PartName="/xl/ctrProps/ctrProp730.xml" ContentType="application/vnd.ms-excel.controlproperties+xml"/>
  <Override PartName="/xl/ctrProps/ctrProp731.xml" ContentType="application/vnd.ms-excel.controlproperties+xml"/>
  <Override PartName="/xl/ctrProps/ctrProp732.xml" ContentType="application/vnd.ms-excel.controlproperties+xml"/>
  <Override PartName="/xl/ctrProps/ctrProp733.xml" ContentType="application/vnd.ms-excel.controlproperties+xml"/>
  <Override PartName="/xl/ctrProps/ctrProp734.xml" ContentType="application/vnd.ms-excel.controlproperties+xml"/>
  <Override PartName="/xl/ctrProps/ctrProp735.xml" ContentType="application/vnd.ms-excel.controlproperties+xml"/>
  <Override PartName="/xl/ctrProps/ctrProp736.xml" ContentType="application/vnd.ms-excel.controlproperties+xml"/>
  <Override PartName="/xl/ctrProps/ctrProp737.xml" ContentType="application/vnd.ms-excel.controlproperties+xml"/>
  <Override PartName="/xl/ctrProps/ctrProp738.xml" ContentType="application/vnd.ms-excel.controlproperties+xml"/>
  <Override PartName="/xl/ctrProps/ctrProp739.xml" ContentType="application/vnd.ms-excel.controlproperties+xml"/>
  <Override PartName="/xl/ctrProps/ctrProp740.xml" ContentType="application/vnd.ms-excel.controlproperties+xml"/>
  <Override PartName="/xl/ctrProps/ctrProp741.xml" ContentType="application/vnd.ms-excel.controlproperties+xml"/>
  <Override PartName="/xl/ctrProps/ctrProp742.xml" ContentType="application/vnd.ms-excel.controlproperties+xml"/>
  <Override PartName="/xl/ctrProps/ctrProp743.xml" ContentType="application/vnd.ms-excel.controlproperties+xml"/>
  <Override PartName="/xl/ctrProps/ctrProp744.xml" ContentType="application/vnd.ms-excel.controlproperties+xml"/>
  <Override PartName="/xl/ctrProps/ctrProp745.xml" ContentType="application/vnd.ms-excel.controlproperties+xml"/>
  <Override PartName="/xl/ctrProps/ctrProp746.xml" ContentType="application/vnd.ms-excel.controlproperties+xml"/>
  <Override PartName="/xl/ctrProps/ctrProp747.xml" ContentType="application/vnd.ms-excel.controlproperties+xml"/>
  <Override PartName="/xl/ctrProps/ctrProp748.xml" ContentType="application/vnd.ms-excel.controlproperties+xml"/>
  <Override PartName="/xl/ctrProps/ctrProp749.xml" ContentType="application/vnd.ms-excel.controlproperties+xml"/>
  <Override PartName="/xl/ctrProps/ctrProp750.xml" ContentType="application/vnd.ms-excel.controlproperties+xml"/>
  <Override PartName="/xl/ctrProps/ctrProp751.xml" ContentType="application/vnd.ms-excel.controlproperties+xml"/>
  <Override PartName="/xl/ctrProps/ctrProp752.xml" ContentType="application/vnd.ms-excel.controlproperties+xml"/>
  <Override PartName="/xl/ctrProps/ctrProp753.xml" ContentType="application/vnd.ms-excel.controlproperties+xml"/>
  <Override PartName="/xl/ctrProps/ctrProp754.xml" ContentType="application/vnd.ms-excel.controlproperties+xml"/>
  <Override PartName="/xl/ctrProps/ctrProp755.xml" ContentType="application/vnd.ms-excel.controlproperties+xml"/>
  <Override PartName="/xl/ctrProps/ctrProp756.xml" ContentType="application/vnd.ms-excel.controlproperties+xml"/>
  <Override PartName="/xl/ctrProps/ctrProp757.xml" ContentType="application/vnd.ms-excel.controlproperties+xml"/>
  <Override PartName="/xl/ctrProps/ctrProp758.xml" ContentType="application/vnd.ms-excel.controlproperties+xml"/>
  <Override PartName="/xl/ctrProps/ctrProp759.xml" ContentType="application/vnd.ms-excel.controlproperties+xml"/>
  <Override PartName="/xl/ctrProps/ctrProp760.xml" ContentType="application/vnd.ms-excel.controlproperties+xml"/>
  <Override PartName="/xl/drawings/drawing4.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attachedToolbars.bin" ContentType="application/vnd.ms-excel.attachedToolbars"/>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705" yWindow="105" windowWidth="15480" windowHeight="5985" tabRatio="886" firstSheet="4" activeTab="4"/>
  </bookViews>
  <sheets>
    <sheet name="Coversheet" sheetId="11" state="hidden" r:id="rId2"/>
    <sheet name="Connect Information" sheetId="12" state="hidden" r:id="rId3"/>
    <sheet name="Template" sheetId="6" state="hidden" r:id="rId4"/>
    <sheet name="Data Input" sheetId="9" state="hidden" r:id="rId5"/>
    <sheet name="WP II-E-4.1.1 AMS RCE" sheetId="18" r:id="rId6"/>
    <sheet name="11AMSREC" sheetId="20" r:id="rId7"/>
    <sheet name="13AMSREC" sheetId="21" r:id="rId8"/>
    <sheet name="DOC35718" sheetId="26" r:id="rId9"/>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0">#REF!</definedName>
    <definedName name="\F">#REF!</definedName>
    <definedName name="\S">#REF!</definedName>
    <definedName name="\V">#REF!</definedName>
    <definedName name="\Y">#REF!</definedName>
    <definedName name="_\4">#REF!</definedName>
    <definedName name="_0">#REF!</definedName>
    <definedName name="_2_ALT_Y_">#REF!</definedName>
    <definedName name="_3_ALT_F">#REF!</definedName>
    <definedName name="_Key1" hidden="1">#REF!</definedName>
    <definedName name="_Order1" hidden="1">255</definedName>
    <definedName name="_P">#REF!</definedName>
    <definedName name="_Sort" hidden="1">#REF!</definedName>
    <definedName name="A_R_INTERCOMPANY">#REF!</definedName>
    <definedName name="Account">#REF!</definedName>
    <definedName name="Account2">#REF!</definedName>
    <definedName name="AccountDescr">#REF!</definedName>
    <definedName name="AccountDescr2">#REF!</definedName>
    <definedName name="acct">#REF!</definedName>
    <definedName name="acct_mo">#REF!</definedName>
    <definedName name="Activity">#REF!</definedName>
    <definedName name="Activity2">#REF!</definedName>
    <definedName name="ActivityDescr">#REF!</definedName>
    <definedName name="ActivityDescr2">#REF!</definedName>
    <definedName name="Affiliate">#REF!</definedName>
    <definedName name="Affiliate2">#REF!</definedName>
    <definedName name="AffiliateDescr">#REF!</definedName>
    <definedName name="APN">#REF!</definedName>
    <definedName name="arintercompany">#REF!</definedName>
    <definedName name="ASD">'[1]FIM trial bal'!$M$5</definedName>
    <definedName name="backup_servicer_start_date">[2]Main!#REF!</definedName>
    <definedName name="Backup_Servicing_Trigger">[2]Main!#REF!</definedName>
    <definedName name="Bond_Cashflows">#REF!</definedName>
    <definedName name="BU">#REF!</definedName>
    <definedName name="BUDGET">#REF!</definedName>
    <definedName name="BUNODE">#REF!</definedName>
    <definedName name="BusinessUnit">#REF!</definedName>
    <definedName name="BusinessUnit2">#REF!</definedName>
    <definedName name="By_Summary_Ledger">#REF!</definedName>
    <definedName name="calc_method">[2]Main!#REF!</definedName>
    <definedName name="calc_res">[2]Main!#REF!</definedName>
    <definedName name="Cancel">[3]!Cancel</definedName>
    <definedName name="Choice_Period_Lag">[2]Main!#REF!</definedName>
    <definedName name="Class_A1">#REF!</definedName>
    <definedName name="Class_A2">#REF!</definedName>
    <definedName name="Class_A3">#REF!</definedName>
    <definedName name="colcurve">'[4]Classes &amp; Groups'!$C$89</definedName>
    <definedName name="Completed">#REF!</definedName>
    <definedName name="COPY">#REF!</definedName>
    <definedName name="Credit" localSheetId="5">[5]JOURNAL!#REF!</definedName>
    <definedName name="Credit" localSheetId="7">[5]JOURNAL!#REF!</definedName>
    <definedName name="Credit">[6]JOURNAL!#REF!</definedName>
    <definedName name="D">41291.2506944444</definedName>
    <definedName name="Date">#REF!</definedName>
    <definedName name="Date_Choice">[2]Main!#REF!</definedName>
    <definedName name="Date_Closing">[7]Main!$B$7</definedName>
    <definedName name="Date_First_Payment">[7]Main!$B$8</definedName>
    <definedName name="Date_Interim_TrueUp">[2]Main!#REF!</definedName>
    <definedName name="Date1">#REF!</definedName>
    <definedName name="Date2">#REF!</definedName>
    <definedName name="DATES">#REF!</definedName>
    <definedName name="Debit" localSheetId="5">[5]JOURNAL!#REF!</definedName>
    <definedName name="Debit" localSheetId="7">[5]JOURNAL!#REF!</definedName>
    <definedName name="Debit">[6]JOURNAL!#REF!</definedName>
    <definedName name="Dept">#REF!</definedName>
    <definedName name="DeptDescr">#REF!</definedName>
    <definedName name="DeptDescr2">#REF!</definedName>
    <definedName name="DeptID">#REF!</definedName>
    <definedName name="DeptID2">#REF!</definedName>
    <definedName name="DeptIDDescr">#REF!</definedName>
    <definedName name="EC">#REF!</definedName>
    <definedName name="ECDescr">#REF!</definedName>
    <definedName name="ECDescr2">#REF!</definedName>
    <definedName name="ECID">#REF!</definedName>
    <definedName name="Elapsed">#REF!</definedName>
    <definedName name="ELECTRIC">#REF!</definedName>
    <definedName name="Enable_Interim_Trueup">[2]Main!#REF!</definedName>
    <definedName name="entry" localSheetId="5">[5]JOURNAL!$B$9:$R$240,[5]JOURNAL!$I$3,[5]JOURNAL!$G$3,[5]JOURNAL!$E$3,[5]JOURNAL!$B$7,[5]JOURNAL!$B$3</definedName>
    <definedName name="entry" localSheetId="7">[5]JOURNAL!$B$9:$R$240,[5]JOURNAL!$I$3,[5]JOURNAL!$G$3,[5]JOURNAL!$E$3,[5]JOURNAL!$B$7,[5]JOURNAL!$B$3</definedName>
    <definedName name="entry">[6]JOURNAL!$B$9:$R$239,[6]JOURNAL!$I$3,[6]JOURNAL!$G$3,[6]JOURNAL!$E$3,[6]JOURNAL!$B$7,[6]JOURNAL!$B$3</definedName>
    <definedName name="EntryFields" localSheetId="5">[5]JOURNAL!$B$9:$R$240,[5]JOURNAL!$I$3,[5]JOURNAL!$G$3,[5]JOURNAL!$E$3,[5]JOURNAL!$B$7,[5]JOURNAL!$B$3</definedName>
    <definedName name="EntryFields" localSheetId="7">[5]JOURNAL!$B$9:$R$240,[5]JOURNAL!$I$3,[5]JOURNAL!$G$3,[5]JOURNAL!$E$3,[5]JOURNAL!$B$7,[5]JOURNAL!$B$3</definedName>
    <definedName name="EntryFields">[6]JOURNAL!$B$9:$R$239,[6]JOURNAL!$I$3,[6]JOURNAL!$G$3,[6]JOURNAL!$E$3,[6]JOURNAL!$B$7,[6]JOURNAL!$B$3</definedName>
    <definedName name="ESD_Administration">#REF!</definedName>
    <definedName name="EssLatest">"Jan1998"</definedName>
    <definedName name="Forecast_Uncapped">#REF!</definedName>
    <definedName name="form">#REF!</definedName>
    <definedName name="FY">#REF!</definedName>
    <definedName name="FYY">#REF!</definedName>
    <definedName name="Header">#REF!</definedName>
    <definedName name="hours">#REF!</definedName>
    <definedName name="Ind_def_month">[7]Main!$J$21</definedName>
    <definedName name="Industrial_Client_Percentage">[7]Main!$F$22</definedName>
    <definedName name="Industrial_Clients_Default">[7]Main!$F$21</definedName>
    <definedName name="KeyControlFigure">#REF!</definedName>
    <definedName name="Labels">#REF!</definedName>
    <definedName name="LeapYearCheck">#REF!</definedName>
    <definedName name="Ledgers">#REF!</definedName>
    <definedName name="Lines" localSheetId="5">[5]JOURNAL!#REF!</definedName>
    <definedName name="Lines" localSheetId="7">[5]JOURNAL!#REF!</definedName>
    <definedName name="Lines">[6]JOURNAL!#REF!</definedName>
    <definedName name="ListOfManagers">#REF!</definedName>
    <definedName name="ListofMgrs">#REF!</definedName>
    <definedName name="ListofMgrs2">#REF!</definedName>
    <definedName name="Location">#REF!</definedName>
    <definedName name="Location2">#REF!</definedName>
    <definedName name="LocationDescr">#REF!</definedName>
    <definedName name="LocationDescr2">#REF!</definedName>
    <definedName name="LYN">#REF!</definedName>
    <definedName name="MenuList1">"List Box 3"</definedName>
    <definedName name="MgrList">#REF!</definedName>
    <definedName name="MONTH">#REF!</definedName>
    <definedName name="Monthly_Cutoff_Date">[2]Main!#REF!</definedName>
    <definedName name="NvsAnswerCol">"'[AGRECV1.xls]BU Descriptions'!$A$5:$A$27"</definedName>
    <definedName name="NvsASD">"V2020-12-31"</definedName>
    <definedName name="NvsAutoDrillOk">"VN"</definedName>
    <definedName name="NvsElapsedTime">0.000347222223354038</definedName>
    <definedName name="NvsEndTime">43308.4355902778</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"%,X,RZF..nPloded,CZF.."</definedName>
    <definedName name="NvsPanelBusUnit">"V"</definedName>
    <definedName name="NvsPanelEffdt">"V2999-01-01"</definedName>
    <definedName name="NvsPanelSetid">"VSHARE"</definedName>
    <definedName name="NvsParentRef">"'[ESD Trial Balance Jan 2004.xls]Sheet1'!$H$183"</definedName>
    <definedName name="NvsQueryName">"IVCD_AR1"</definedName>
    <definedName name="NvsReqBU">"VX0001"</definedName>
    <definedName name="NvsReqBUOnly">"VN"</definedName>
    <definedName name="NvsTranslateLedger">#REF!</definedName>
    <definedName name="NvsTransLed">"VN"</definedName>
    <definedName name="NvsTreeASD">"V2020-12-31"</definedName>
    <definedName name="NvsValTbl.ACCOUNT">"GL_ACCOUNT_TBL"</definedName>
    <definedName name="NvsValTbl.AFFILIATE">"BUS_UNIT_TBL_FS"</definedName>
    <definedName name="NvsValTbl.BUSINESS_UNIT">"BUS_UNIT_TBL_GL"</definedName>
    <definedName name="NvsValTbl.CURRENCY_CD">"CURRENCY_CD_TBL"</definedName>
    <definedName name="NvsValTbl.DEPTID">"DEPARTMENT_TBL"</definedName>
    <definedName name="NvsValTbl.PROJECT_ID">"PROJECT"</definedName>
    <definedName name="NvsValTbl.TU_ACTIVITY">"TU_ACTIVITY_TBL"</definedName>
    <definedName name="NvsValTbl.TU_EC">"TU_EC_TBL"</definedName>
    <definedName name="NvsValTbl.TU_LOCATION">"TU_LOC_TBL"</definedName>
    <definedName name="OK">[3]!OK</definedName>
    <definedName name="one">#REF!</definedName>
    <definedName name="PBAL">#REF!</definedName>
    <definedName name="PCHANGE">#REF!</definedName>
    <definedName name="PED">#REF!</definedName>
    <definedName name="Period">#REF!</definedName>
    <definedName name="pmt_1">[2]Main!#REF!</definedName>
    <definedName name="pmt_2">[2]Main!#REF!</definedName>
    <definedName name="pricing">#REF!</definedName>
    <definedName name="_xlnm.Print_Area" localSheetId="5">'11AMSREC'!$A$10:$J$168</definedName>
    <definedName name="_xlnm.Print_Area" localSheetId="6">'13AMSREC'!$A$11:$K$168</definedName>
    <definedName name="_xlnm.Print_Area" localSheetId="0">Coversheet!#REF!</definedName>
    <definedName name="_xlnm.Print_Area" localSheetId="3">'Data Input'!#REF!</definedName>
    <definedName name="_xlnm.Print_Area" localSheetId="7">'DOC35718'!$A$10:$J$191</definedName>
    <definedName name="_xlnm.Print_Titles" localSheetId="5">'11AMSREC'!$10:$10</definedName>
    <definedName name="_xlnm.Print_Titles" localSheetId="6">'13AMSREC'!$11:$11</definedName>
    <definedName name="_xlnm.Print_Titles" localSheetId="7">'DOC35718'!$10:$10</definedName>
    <definedName name="ProjectName">{"Client Name or Project Name"}</definedName>
    <definedName name="Recalculate_Forecast">[2]Main!#REF!</definedName>
    <definedName name="Release_CS_Reinv">[2]Main!#REF!</definedName>
    <definedName name="Release_GS_Reinv">[2]Main!#REF!</definedName>
    <definedName name="Release_OC_Reinv">[2]Main!#REF!</definedName>
    <definedName name="Release_RS_Reinv">[2]Main!#REF!</definedName>
    <definedName name="RespMger">#REF!</definedName>
    <definedName name="RID">#REF!</definedName>
    <definedName name="rngAction">'Connect Information'!$B$15</definedName>
    <definedName name="rngBlockFactor">'Connect Information'!$B$13</definedName>
    <definedName name="rngCIName">Template!$A$2</definedName>
    <definedName name="rngCINameHidden">'Connect Information'!$A$20</definedName>
    <definedName name="rngHTTPPort">'Connect Information'!$B$9</definedName>
    <definedName name="rngMachineName">'Connect Information'!$B$7</definedName>
    <definedName name="rngNode">'Connect Information'!$B$12</definedName>
    <definedName name="rngPortal">'Connect Information'!$B$8</definedName>
    <definedName name="rngProtocol">'Connect Information'!$B$10</definedName>
    <definedName name="rngPSSiteName">'Connect Information'!$B$11</definedName>
    <definedName name="rngResHeaders">#REF!</definedName>
    <definedName name="rngURL">#REF!</definedName>
    <definedName name="rngXmlConst">#REF!</definedName>
    <definedName name="RTT">#REF!</definedName>
    <definedName name="Stress_Scenarios">#REF!</definedName>
    <definedName name="Stub_Period">[2]Main!#REF!</definedName>
    <definedName name="summary">#REF!</definedName>
    <definedName name="TABLE" localSheetId="0">Coversheet!#REF!</definedName>
    <definedName name="TABLE" localSheetId="3">'Data Input'!#REF!</definedName>
    <definedName name="TABLE_2" localSheetId="0">Coversheet!#REF!</definedName>
    <definedName name="TABLE_2" localSheetId="3">'Data Input'!#REF!</definedName>
    <definedName name="Task">#REF!</definedName>
    <definedName name="Task2">#REF!</definedName>
    <definedName name="TaskDescr">#REF!</definedName>
    <definedName name="Test">[8]LSGD!$T$4:$U$15</definedName>
    <definedName name="Total">#REF!</definedName>
    <definedName name="varcol">'[4]Forecast (Var - Capped)'!$E$4</definedName>
    <definedName name="Variables">#REF!</definedName>
    <definedName name="xxxx">[9]JOURNAL!#REF!</definedName>
  </definedNames>
  <calcPr calcId="152511"/>
</workbook>
</file>

<file path=xl/calcChain.xml><?xml version="1.0" encoding="utf-8"?>
<calcChain xmlns="http://schemas.openxmlformats.org/spreadsheetml/2006/main">
  <c r="K12" i="18" l="1"/>
</calcChain>
</file>

<file path=xl/sharedStrings.xml><?xml version="1.0" encoding="utf-8"?>
<sst xmlns="http://schemas.openxmlformats.org/spreadsheetml/2006/main" count="281" uniqueCount="136">
  <si>
    <t>Collection</t>
  </si>
  <si>
    <t>Property</t>
  </si>
  <si>
    <t>Record Type</t>
  </si>
  <si>
    <t>Sequence</t>
  </si>
  <si>
    <t>Field Type</t>
  </si>
  <si>
    <t>Status</t>
  </si>
  <si>
    <t>Line No</t>
  </si>
  <si>
    <t>Record type</t>
  </si>
  <si>
    <t>EMPLOYEE</t>
  </si>
  <si>
    <t>Chunking</t>
  </si>
  <si>
    <t>Key / Required</t>
  </si>
  <si>
    <t>Web Server Machine Name:</t>
  </si>
  <si>
    <t>Portal:</t>
  </si>
  <si>
    <t>HTTP Port:</t>
  </si>
  <si>
    <t>Protocol:</t>
  </si>
  <si>
    <t>PeopleSoft Site Name:</t>
  </si>
  <si>
    <t>Node:</t>
  </si>
  <si>
    <t>Blocking Factor:</t>
  </si>
  <si>
    <t>Action:</t>
  </si>
  <si>
    <t>PSFT_EP</t>
  </si>
  <si>
    <t>TU_ACCT_REC_ENTRY</t>
  </si>
  <si>
    <t>BUSINESS_UNIT</t>
  </si>
  <si>
    <t>000</t>
  </si>
  <si>
    <t>Y/R</t>
  </si>
  <si>
    <t>Business Unit</t>
  </si>
  <si>
    <t>MONTH</t>
  </si>
  <si>
    <t>Month</t>
  </si>
  <si>
    <t>YEAR</t>
  </si>
  <si>
    <t xml:space="preserve"> </t>
  </si>
  <si>
    <t>Year</t>
  </si>
  <si>
    <t>TU_ACCT_REF_NUM</t>
  </si>
  <si>
    <t>Account Recon Reference Group</t>
  </si>
  <si>
    <t>TU_BU_TYPE</t>
  </si>
  <si>
    <t>Business Unit Type</t>
  </si>
  <si>
    <t>TU_BU_GROUP</t>
  </si>
  <si>
    <t>Business Unit Recon Group</t>
  </si>
  <si>
    <t>TU_RECON_FREQ</t>
  </si>
  <si>
    <t>Reconcile Frequency</t>
  </si>
  <si>
    <t>TU_SOURCE_OF_INFO</t>
  </si>
  <si>
    <t xml:space="preserve"> / </t>
  </si>
  <si>
    <t>Source of Information</t>
  </si>
  <si>
    <t>TU_BAL_PER_GL</t>
  </si>
  <si>
    <t>General Ledger Balance</t>
  </si>
  <si>
    <t>TU_BAL_PER_SYS</t>
  </si>
  <si>
    <t>Balance Per System/WorkSheet</t>
  </si>
  <si>
    <t>TU_TOT_HRS_ACCTRCN</t>
  </si>
  <si>
    <t>Total Hours Doing Acct Recon</t>
  </si>
  <si>
    <t>OPRID</t>
  </si>
  <si>
    <t>User ID</t>
  </si>
  <si>
    <t>TU_REC_PREP_DT</t>
  </si>
  <si>
    <t>CHAR</t>
  </si>
  <si>
    <t>Account Recon Prep Date</t>
  </si>
  <si>
    <t>TU_APPROVER_ID</t>
  </si>
  <si>
    <t>Approver ID</t>
  </si>
  <si>
    <t>TU_REC_APPRV_DT</t>
  </si>
  <si>
    <t>Account Recon Approved Date</t>
  </si>
  <si>
    <t>Accounting Owner</t>
  </si>
  <si>
    <t>TU_ACCT_REC_LN</t>
  </si>
  <si>
    <t>SEQNBR</t>
  </si>
  <si>
    <t>100</t>
  </si>
  <si>
    <t xml:space="preserve">Y/ </t>
  </si>
  <si>
    <t>Sequence Number</t>
  </si>
  <si>
    <t>TU_ACCT_REC_DTL_BU</t>
  </si>
  <si>
    <t>Acct Recon Detail Line BU</t>
  </si>
  <si>
    <t>ACCOUNT</t>
  </si>
  <si>
    <t>Account</t>
  </si>
  <si>
    <t>DEPTID</t>
  </si>
  <si>
    <t>Department</t>
  </si>
  <si>
    <t>AFFILIATE</t>
  </si>
  <si>
    <t>Affiliate</t>
  </si>
  <si>
    <t>TU_EC</t>
  </si>
  <si>
    <t>Expense Code</t>
  </si>
  <si>
    <t>TU_ACTIVITY</t>
  </si>
  <si>
    <t>Activity</t>
  </si>
  <si>
    <t>TU_LOCATION</t>
  </si>
  <si>
    <t>Location</t>
  </si>
  <si>
    <t>PROJECT_ID</t>
  </si>
  <si>
    <t>Project</t>
  </si>
  <si>
    <t>MONETARY_AMOUNT</t>
  </si>
  <si>
    <t>Monetary Amount</t>
  </si>
  <si>
    <t>TU_ACCT_REC_DTLCMT</t>
  </si>
  <si>
    <t>Acct Recon Detail Line Comment</t>
  </si>
  <si>
    <t>Template</t>
  </si>
  <si>
    <t>TU_ACCOUNTINGOWNER</t>
  </si>
  <si>
    <t>CREATE</t>
  </si>
  <si>
    <t>fimprod.corp.oncor.com</t>
  </si>
  <si>
    <t>https</t>
  </si>
  <si>
    <t>fimprod</t>
  </si>
  <si>
    <t>11AMSREC</t>
  </si>
  <si>
    <t>2011 AMS Reconciliation Case</t>
  </si>
  <si>
    <t>13AMSREC</t>
  </si>
  <si>
    <t>DOC35718</t>
  </si>
  <si>
    <t>Rate Case Expenses for AMS</t>
  </si>
  <si>
    <t>Unit</t>
  </si>
  <si>
    <t>Amortization</t>
  </si>
  <si>
    <t>Reconciled Balance</t>
  </si>
  <si>
    <t>ESD</t>
  </si>
  <si>
    <t>Date</t>
  </si>
  <si>
    <t>Beginning Balance</t>
  </si>
  <si>
    <t>Monthly Amortization</t>
  </si>
  <si>
    <t>Adjustments</t>
  </si>
  <si>
    <t>Ending Balance</t>
  </si>
  <si>
    <t>Periods Remaining</t>
  </si>
  <si>
    <t>26 days of amort based on prior rate case amortization of 11 years</t>
  </si>
  <si>
    <t>4 days of amortization based on Dkt 46957 amort of 5 years</t>
  </si>
  <si>
    <t>November 26, 2017 Unamortized Bal</t>
  </si>
  <si>
    <t>Approved</t>
  </si>
  <si>
    <t>2013 AMS Reconciliation Expense</t>
  </si>
  <si>
    <t>36. All Oncor investment, including advanced metering system (AMS) investment, through</t>
  </si>
  <si>
    <t>the end of the test year (December 31, 2016) of $10,989,502,464, including</t>
  </si>
  <si>
    <t>$12,570,327,998 of net plant in service, as presented in Oncor's RFP, is prudent and</t>
  </si>
  <si>
    <t>includable in rate base, except that the six neighborhood reliability lithium-ion batteries</t>
  </si>
  <si>
    <t>used by Oncor are not included in this finding. Oncor can seek a prudence finding related</t>
  </si>
  <si>
    <t>to these batteries in a future proceeding.</t>
  </si>
  <si>
    <t>37. All investment in the distribution and transmission assets that are provided to Oncor in the</t>
  </si>
  <si>
    <t>Sharyland Transaction are used by and useful to Oncor in providing service, are prudent,</t>
  </si>
  <si>
    <t>reasonable, and necessary, and are includable in Oncor's rate base, which with the</t>
  </si>
  <si>
    <t>inclusion of those assets is $10,991,993,213.</t>
  </si>
  <si>
    <t>year</t>
  </si>
  <si>
    <t>Five-year amortization was approved in Docket No. 46957 and began 11-27-2017 when rates were effective.</t>
  </si>
  <si>
    <t>months (five-year amortization)</t>
  </si>
  <si>
    <t>Description</t>
  </si>
  <si>
    <t>Test year amortizations</t>
  </si>
  <si>
    <t>Account 928</t>
  </si>
  <si>
    <t>Amortizations</t>
  </si>
  <si>
    <t>Rate Case Expenses</t>
  </si>
  <si>
    <t>These rate case expenses were approved in Docket No. 46957. Reference Docket No. 46957 Finding of Fact Nos.:</t>
  </si>
  <si>
    <t>These rate case expenses were approved in Docket No. 46957.</t>
  </si>
  <si>
    <t>If approved in 2022 base rate case, amortization schedule will be revised to reflect approved recovery.</t>
  </si>
  <si>
    <t>At 12-31-2021</t>
  </si>
  <si>
    <t>through 12-31-2021</t>
  </si>
  <si>
    <t>K&amp;M adjustment #36</t>
  </si>
  <si>
    <t>Five-year amortizations were approved in Docket No. 46957 and began 11-27-2017 when rates were effective.  In this case, requesting five-year amortization of unamortized balances at 12-31-2021 that were previously approved.</t>
  </si>
  <si>
    <t>Requesting five-year amortization in the 2022 base rate case</t>
  </si>
  <si>
    <t xml:space="preserve">If approved in 2022 base rate case, amortization schedule </t>
  </si>
  <si>
    <t>will be revised to reflect approved recovery.</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</si>
</sst>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409]mmmm\-yy;@"/>
    <numFmt numFmtId="165" formatCode="[$-409]mmm\-yy;@"/>
    <numFmt numFmtId="166" formatCode="mm/dd/yy;@"/>
    <numFmt numFmtId="167" formatCode="_(* #,##0_);_(* \(#,##0\);_(* &quot;-&quot;??_);_(@_)"/>
  </numFmts>
  <fonts count="18">
    <font>
      <sz val="10"/>
      <name val="Arial"/>
      <family val="2"/>
    </font>
    <font>
      <sz val="10"/>
      <color theme="1"/>
      <name val="Arial"/>
      <family val="2"/>
    </font>
    <font>
      <b/>
      <sz val="10"/>
      <name val="Arial"/>
      <family val="2"/>
    </font>
    <font>
      <sz val="10"/>
      <color indexed="22"/>
      <name val="Arial"/>
      <family val="2"/>
    </font>
    <font>
      <b/>
      <sz val="14"/>
      <color indexed="12"/>
      <name val="Arial"/>
      <family val="2"/>
    </font>
    <font>
      <b/>
      <sz val="10"/>
      <name val="Times New Roman"/>
      <family val="1"/>
    </font>
    <font>
      <sz val="10"/>
      <name val="Times New Roman"/>
      <family val="1"/>
    </font>
    <font>
      <sz val="8"/>
      <name val="Arial"/>
      <family val="2"/>
    </font>
    <font>
      <sz val="10"/>
      <color indexed="62"/>
      <name val="Arial"/>
      <family val="2"/>
    </font>
    <font>
      <i/>
      <sz val="10"/>
      <name val="Arial"/>
      <family val="2"/>
    </font>
    <font>
      <u val="single"/>
      <sz val="10"/>
      <name val="Arial"/>
      <family val="2"/>
    </font>
    <font>
      <b/>
      <u val="single"/>
      <sz val="10"/>
      <name val="Arial"/>
      <family val="2"/>
    </font>
    <font>
      <b/>
      <sz val="8"/>
      <name val="Tahoma"/>
      <family val="2"/>
    </font>
    <font>
      <sz val="8"/>
      <name val="Tahoma"/>
      <family val="2"/>
    </font>
    <font>
      <sz val="10"/>
      <color rgb="FF000000"/>
      <name val="Arial"/>
      <family val="2"/>
    </font>
    <font>
      <b/>
      <sz val="10"/>
      <color rgb="FF000000"/>
      <name val="Arial"/>
      <family val="2"/>
    </font>
    <font>
      <b/>
      <sz val="10"/>
      <color rgb="FF000080"/>
      <name val="Arial"/>
      <family val="2"/>
    </font>
    <font>
      <b/>
      <sz val="10"/>
      <color rgb="FF0000FF"/>
      <name val="Arial"/>
      <family val="2"/>
    </font>
  </fonts>
  <fills count="10">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22"/>
        <bgColor indexed="64"/>
      </patternFill>
    </fill>
    <fill>
      <patternFill patternType="solid">
        <fgColor indexed="15"/>
        <bgColor indexed="64"/>
      </patternFill>
    </fill>
    <fill>
      <patternFill patternType="solid">
        <fgColor indexed="43"/>
        <bgColor indexed="64"/>
      </patternFill>
    </fill>
    <fill>
      <patternFill patternType="solid">
        <fgColor indexed="52"/>
        <bgColor indexed="64"/>
      </patternFill>
    </fill>
    <fill>
      <patternFill patternType="solid">
        <fgColor indexed="9"/>
        <bgColor indexed="64"/>
      </patternFill>
    </fill>
  </fills>
  <borders count="25">
    <border>
      <left/>
      <right/>
      <top/>
      <bottom/>
      <diagonal/>
    </border>
    <border>
      <left/>
      <right/>
      <top/>
      <bottom style="medium">
        <color indexed="45"/>
      </bottom>
    </border>
    <border>
      <left style="thin">
        <color auto="1"/>
      </left>
      <right style="thin">
        <color auto="1"/>
      </right>
      <top/>
      <bottom/>
    </border>
    <border>
      <left/>
      <right/>
      <top/>
      <bottom style="thin">
        <color indexed="45"/>
      </bottom>
    </border>
    <border>
      <left/>
      <right/>
      <top style="medium">
        <color indexed="45"/>
      </top>
      <bottom/>
    </border>
    <border>
      <left/>
      <right/>
      <top/>
      <bottom style="double">
        <color indexed="45"/>
      </bottom>
    </border>
    <border>
      <left style="medium">
        <color auto="1"/>
      </left>
      <right/>
      <top style="medium">
        <color auto="1"/>
      </top>
      <bottom style="medium">
        <color auto="1"/>
      </bottom>
    </border>
    <border>
      <left/>
      <right/>
      <top style="medium">
        <color auto="1"/>
      </top>
      <bottom style="medium">
        <color auto="1"/>
      </bottom>
    </border>
    <border>
      <left/>
      <right style="medium">
        <color auto="1"/>
      </right>
      <top style="medium">
        <color auto="1"/>
      </top>
      <bottom style="medium">
        <color auto="1"/>
      </bottom>
    </border>
    <border>
      <left style="medium">
        <color auto="1"/>
      </left>
      <right style="medium">
        <color auto="1"/>
      </right>
      <top style="medium">
        <color auto="1"/>
      </top>
      <bottom style="medium">
        <color auto="1"/>
      </bottom>
    </border>
    <border>
      <left style="medium">
        <color auto="1"/>
      </left>
      <right style="medium">
        <color auto="1"/>
      </right>
      <top style="medium">
        <color auto="1"/>
      </top>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thin">
        <color auto="1"/>
      </right>
      <top style="thin">
        <color auto="1"/>
      </top>
      <bottom style="medium">
        <color auto="1"/>
      </bottom>
    </border>
    <border>
      <left style="thin">
        <color auto="1"/>
      </left>
      <right style="medium">
        <color auto="1"/>
      </right>
      <top style="medium">
        <color auto="1"/>
      </top>
      <bottom style="thin">
        <color auto="1"/>
      </bottom>
    </border>
    <border>
      <left style="thin">
        <color auto="1"/>
      </left>
      <right style="medium">
        <color auto="1"/>
      </right>
      <top style="thin">
        <color auto="1"/>
      </top>
      <bottom style="medium">
        <color auto="1"/>
      </bottom>
    </border>
    <border>
      <left/>
      <right/>
      <top style="medium">
        <color auto="1"/>
      </top>
      <bottom/>
    </border>
    <border>
      <left/>
      <right style="thin">
        <color auto="1"/>
      </right>
      <top style="medium">
        <color auto="1"/>
      </top>
      <bottom/>
    </border>
    <border>
      <left style="medium">
        <color auto="1"/>
      </left>
      <right/>
      <top/>
      <bottom style="medium">
        <color auto="1"/>
      </bottom>
    </border>
    <border>
      <left/>
      <right/>
      <top/>
      <bottom style="medium">
        <color auto="1"/>
      </bottom>
    </border>
    <border>
      <left style="thin">
        <color auto="1"/>
      </left>
      <right/>
      <top style="thin">
        <color auto="1"/>
      </top>
      <bottom style="thin">
        <color auto="1"/>
      </bottom>
    </border>
    <border>
      <left style="thin">
        <color auto="1"/>
      </left>
      <right style="thin">
        <color auto="1"/>
      </right>
      <top style="thin">
        <color auto="1"/>
      </top>
      <bottom style="thin">
        <color auto="1"/>
      </bottom>
    </border>
    <border>
      <left/>
      <right/>
      <top style="thin">
        <color auto="1"/>
      </top>
      <bottom style="double">
        <color auto="1"/>
      </bottom>
    </border>
    <border>
      <left/>
      <right/>
      <top/>
      <bottom style="thin">
        <color auto="1"/>
      </bottom>
    </border>
  </borders>
  <cellStyleXfs count="3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43" fontId="8" fillId="0" borderId="0">
      <alignment/>
      <protection/>
    </xf>
    <xf numFmtId="0" fontId="5" fillId="0" borderId="1" applyNumberFormat="0" applyAlignment="0" applyProtection="0"/>
    <xf numFmtId="0" fontId="6" fillId="2" borderId="0" applyNumberFormat="0" applyFont="0" applyBorder="0" applyAlignment="0" applyProtection="0"/>
    <xf numFmtId="0" fontId="7" fillId="3" borderId="2" applyNumberFormat="0" applyFont="0" applyBorder="0" applyProtection="0">
      <alignment/>
    </xf>
    <xf numFmtId="0" fontId="7" fillId="4" borderId="2" applyNumberFormat="0" applyFont="0" applyBorder="0" applyProtection="0">
      <alignment/>
    </xf>
    <xf numFmtId="0" fontId="6" fillId="0" borderId="3" applyNumberFormat="0" applyAlignment="0" applyProtection="0"/>
    <xf numFmtId="0" fontId="6" fillId="0" borderId="4" applyNumberFormat="0" applyAlignment="0" applyProtection="0"/>
    <xf numFmtId="0" fontId="5" fillId="0" borderId="5" applyNumberFormat="0" applyAlignment="0" applyProtection="0"/>
  </cellStyleXfs>
  <cellXfs count="97">
    <xf numFmtId="0" fontId="0" fillId="0" borderId="0" xfId="0"/>
    <xf numFmtId="0" fontId="0" fillId="0" borderId="0" xfId="0" applyFill="1" applyBorder="1" applyAlignment="1" applyProtection="1">
      <alignment horizontal="center"/>
      <protection hidden="1"/>
    </xf>
    <xf numFmtId="0" fontId="0" fillId="0" borderId="0" xfId="0" applyFill="1" applyBorder="1" applyAlignment="1" applyProtection="1">
      <alignment horizontal="left" vertical="center"/>
      <protection hidden="1"/>
    </xf>
    <xf numFmtId="0" fontId="0" fillId="5" borderId="0" xfId="0" applyFill="1"/>
    <xf numFmtId="0" fontId="0" fillId="0" borderId="0" xfId="0" applyBorder="1" applyProtection="1">
      <protection hidden="1"/>
    </xf>
    <xf numFmtId="0" fontId="0" fillId="0" borderId="0" xfId="0" applyFill="1" applyBorder="1" applyProtection="1">
      <protection hidden="1"/>
    </xf>
    <xf numFmtId="49" fontId="0" fillId="0" borderId="0" xfId="0" applyNumberFormat="1" applyFill="1" applyBorder="1" applyAlignment="1" applyProtection="1">
      <alignment horizontal="center" vertical="center" wrapText="1"/>
      <protection hidden="1"/>
    </xf>
    <xf numFmtId="49" fontId="0" fillId="0" borderId="0" xfId="0" applyNumberFormat="1" applyFill="1" applyBorder="1" applyProtection="1">
      <protection hidden="1"/>
    </xf>
    <xf numFmtId="49" fontId="0" fillId="0" borderId="0" xfId="0" applyNumberFormat="1"/>
    <xf numFmtId="0" fontId="2" fillId="5" borderId="0" xfId="0" applyFont="1" applyFill="1"/>
    <xf numFmtId="0" fontId="3" fillId="5" borderId="0" xfId="0" applyFont="1" applyFill="1"/>
    <xf numFmtId="0" fontId="2" fillId="6" borderId="6" xfId="0" applyFont="1" applyFill="1" applyBorder="1"/>
    <xf numFmtId="0" fontId="2" fillId="6" borderId="7" xfId="0" applyFont="1" applyFill="1" applyBorder="1"/>
    <xf numFmtId="49" fontId="2" fillId="6" borderId="8" xfId="0" applyNumberFormat="1" applyFont="1" applyFill="1" applyBorder="1"/>
    <xf numFmtId="49" fontId="2" fillId="5" borderId="9" xfId="0" applyNumberFormat="1" applyFont="1" applyFill="1" applyBorder="1"/>
    <xf numFmtId="49" fontId="2" fillId="0" borderId="0" xfId="0" applyNumberFormat="1" applyFont="1"/>
    <xf numFmtId="0" fontId="4" fillId="0" borderId="0" xfId="0" applyFont="1"/>
    <xf numFmtId="0" fontId="2" fillId="5" borderId="10" xfId="0" applyFont="1" applyFill="1" applyBorder="1"/>
    <xf numFmtId="49" fontId="2" fillId="5" borderId="10" xfId="0" applyNumberFormat="1"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49" fontId="0" fillId="0" borderId="15" xfId="0" applyNumberFormat="1" applyBorder="1"/>
    <xf numFmtId="49" fontId="0" fillId="0" borderId="16" xfId="0" applyNumberFormat="1" applyBorder="1"/>
    <xf numFmtId="0" fontId="0" fillId="0" borderId="17" xfId="0" applyFill="1" applyBorder="1"/>
    <xf numFmtId="0" fontId="0" fillId="0" borderId="18" xfId="0" applyFill="1" applyBorder="1"/>
    <xf numFmtId="0" fontId="0" fillId="0" borderId="19" xfId="0" applyFill="1" applyBorder="1"/>
    <xf numFmtId="0" fontId="0" fillId="0" borderId="20" xfId="0" applyFill="1" applyBorder="1"/>
    <xf numFmtId="49" fontId="0" fillId="7" borderId="9" xfId="0" applyNumberFormat="1" applyFill="1" applyBorder="1"/>
    <xf numFmtId="49" fontId="0" fillId="8" borderId="9" xfId="0" applyNumberFormat="1" applyFill="1" applyBorder="1"/>
    <xf numFmtId="49" fontId="2" fillId="8" borderId="21" xfId="0" applyNumberFormat="1" applyFont="1" applyFill="1" applyBorder="1" applyAlignment="1">
      <alignment/>
    </xf>
    <xf numFmtId="49" fontId="2" fillId="8" borderId="22" xfId="0" applyNumberFormat="1" applyFont="1" applyFill="1" applyBorder="1" applyAlignment="1">
      <alignment/>
    </xf>
    <xf numFmtId="0" fontId="0" fillId="0" borderId="0" xfId="0" applyAlignment="1">
      <alignment/>
    </xf>
    <xf numFmtId="0" fontId="0" fillId="0" borderId="0" xfId="0" applyFont="1"/>
    <xf numFmtId="0" fontId="0" fillId="5" borderId="0" xfId="0" applyFont="1" applyFill="1"/>
    <xf numFmtId="0" fontId="0" fillId="0" borderId="0" xfId="0" applyFont="1" applyAlignment="1">
      <alignment horizontal="left"/>
    </xf>
    <xf numFmtId="0" fontId="2" fillId="0" borderId="0" xfId="23" applyFont="1" applyAlignment="1">
      <alignment horizontal="left"/>
      <protection/>
    </xf>
    <xf numFmtId="0" fontId="0" fillId="0" borderId="0" xfId="23">
      <alignment/>
      <protection/>
    </xf>
    <xf numFmtId="43" fontId="0" fillId="0" borderId="0" xfId="21" applyFont="1"/>
    <xf numFmtId="0" fontId="2" fillId="0" borderId="0" xfId="23" applyFont="1">
      <alignment/>
      <protection/>
    </xf>
    <xf numFmtId="0" fontId="0" fillId="0" borderId="0" xfId="23" applyFill="1" applyAlignment="1">
      <alignment horizontal="center"/>
      <protection/>
    </xf>
    <xf numFmtId="43" fontId="0" fillId="0" borderId="0" xfId="21" applyFont="1" applyFill="1"/>
    <xf numFmtId="43" fontId="0" fillId="0" borderId="0" xfId="23" applyNumberFormat="1" applyFont="1" applyFill="1" applyBorder="1" applyAlignment="1">
      <alignment horizontal="center" wrapText="1"/>
      <protection/>
    </xf>
    <xf numFmtId="43" fontId="0" fillId="0" borderId="0" xfId="21" applyFont="1" applyFill="1" applyBorder="1" applyAlignment="1">
      <alignment horizontal="center"/>
    </xf>
    <xf numFmtId="0" fontId="0" fillId="0" borderId="0" xfId="23" applyFill="1">
      <alignment/>
      <protection/>
    </xf>
    <xf numFmtId="40" fontId="0" fillId="0" borderId="0" xfId="23" applyNumberFormat="1" applyFont="1" applyFill="1" applyAlignment="1">
      <alignment horizontal="center"/>
      <protection/>
    </xf>
    <xf numFmtId="39" fontId="0" fillId="0" borderId="0" xfId="23" applyNumberFormat="1" applyFill="1">
      <alignment/>
      <protection/>
    </xf>
    <xf numFmtId="43" fontId="0" fillId="0" borderId="0" xfId="21" applyFont="1" applyFill="1"/>
    <xf numFmtId="43" fontId="2" fillId="0" borderId="23" xfId="21" applyFont="1" applyBorder="1"/>
    <xf numFmtId="0" fontId="9" fillId="0" borderId="0" xfId="23" applyFont="1">
      <alignment/>
      <protection/>
    </xf>
    <xf numFmtId="43" fontId="0" fillId="0" borderId="0" xfId="21" applyFont="1"/>
    <xf numFmtId="0" fontId="0" fillId="0" borderId="0" xfId="23" applyFont="1">
      <alignment/>
      <protection/>
    </xf>
    <xf numFmtId="0" fontId="7" fillId="0" borderId="0" xfId="23" applyFont="1">
      <alignment/>
      <protection/>
    </xf>
    <xf numFmtId="14" fontId="0" fillId="0" borderId="0" xfId="23" applyNumberFormat="1">
      <alignment/>
      <protection/>
    </xf>
    <xf numFmtId="0" fontId="10" fillId="0" borderId="0" xfId="23" applyFont="1" applyAlignment="1">
      <alignment horizontal="center"/>
      <protection/>
    </xf>
    <xf numFmtId="0" fontId="10" fillId="0" borderId="0" xfId="23" applyFont="1">
      <alignment/>
      <protection/>
    </xf>
    <xf numFmtId="0" fontId="0" fillId="0" borderId="0" xfId="23" applyFont="1" applyAlignment="1">
      <alignment horizontal="center"/>
      <protection/>
    </xf>
    <xf numFmtId="39" fontId="0" fillId="0" borderId="0" xfId="23" applyNumberFormat="1">
      <alignment/>
      <protection/>
    </xf>
    <xf numFmtId="165" fontId="0" fillId="0" borderId="0" xfId="23" applyNumberFormat="1">
      <alignment/>
      <protection/>
    </xf>
    <xf numFmtId="43" fontId="0" fillId="0" borderId="0" xfId="21"/>
    <xf numFmtId="39" fontId="0" fillId="0" borderId="0" xfId="23" applyNumberFormat="1" applyFont="1" applyFill="1">
      <alignment/>
      <protection/>
    </xf>
    <xf numFmtId="0" fontId="0" fillId="0" borderId="0" xfId="23" applyFont="1" applyFill="1">
      <alignment/>
      <protection/>
    </xf>
    <xf numFmtId="43" fontId="0" fillId="0" borderId="0" xfId="21" applyFill="1"/>
    <xf numFmtId="165" fontId="0" fillId="0" borderId="0" xfId="23" applyNumberFormat="1" applyFont="1" applyFill="1">
      <alignment/>
      <protection/>
    </xf>
    <xf numFmtId="165" fontId="0" fillId="0" borderId="0" xfId="23" applyNumberFormat="1" applyFill="1">
      <alignment/>
      <protection/>
    </xf>
    <xf numFmtId="166" fontId="0" fillId="0" borderId="0" xfId="23" applyNumberFormat="1">
      <alignment/>
      <protection/>
    </xf>
    <xf numFmtId="43" fontId="0" fillId="0" borderId="0" xfId="20" applyFont="1"/>
    <xf numFmtId="0" fontId="2" fillId="0" borderId="0" xfId="23" applyFont="1" applyFill="1">
      <alignment/>
      <protection/>
    </xf>
    <xf numFmtId="0" fontId="11" fillId="0" borderId="0" xfId="23" applyFont="1" applyFill="1" applyAlignment="1">
      <alignment horizontal="center"/>
      <protection/>
    </xf>
    <xf numFmtId="43" fontId="0" fillId="0" borderId="0" xfId="20" applyFont="1"/>
    <xf numFmtId="39" fontId="0" fillId="9" borderId="0" xfId="23" applyNumberFormat="1" applyFill="1">
      <alignment/>
      <protection/>
    </xf>
    <xf numFmtId="43" fontId="0" fillId="0" borderId="0" xfId="23" applyNumberFormat="1" applyFill="1">
      <alignment/>
      <protection/>
    </xf>
    <xf numFmtId="43" fontId="0" fillId="0" borderId="0" xfId="23" applyNumberFormat="1">
      <alignment/>
      <protection/>
    </xf>
    <xf numFmtId="43" fontId="0" fillId="0" borderId="24" xfId="23" applyNumberFormat="1" applyFill="1" applyBorder="1">
      <alignment/>
      <protection/>
    </xf>
    <xf numFmtId="0" fontId="0" fillId="0" borderId="0" xfId="23" applyAlignment="1">
      <alignment horizontal="center"/>
      <protection/>
    </xf>
    <xf numFmtId="43" fontId="0" fillId="0" borderId="0" xfId="21" applyFont="1" applyAlignment="1">
      <alignment horizontal="center"/>
    </xf>
    <xf numFmtId="0" fontId="0" fillId="0" borderId="24" xfId="23" applyBorder="1" applyAlignment="1">
      <alignment horizontal="center"/>
      <protection/>
    </xf>
    <xf numFmtId="0" fontId="10" fillId="0" borderId="0" xfId="23" applyFont="1" applyFill="1" applyAlignment="1">
      <alignment horizontal="center"/>
      <protection/>
    </xf>
    <xf numFmtId="43" fontId="0" fillId="0" borderId="0" xfId="21" applyFont="1" applyFill="1" applyAlignment="1">
      <alignment horizontal="left"/>
    </xf>
    <xf numFmtId="40" fontId="0" fillId="0" borderId="0" xfId="23" applyNumberFormat="1" applyFont="1" applyFill="1" applyAlignment="1">
      <alignment horizontal="left"/>
      <protection/>
    </xf>
    <xf numFmtId="0" fontId="0" fillId="0" borderId="0" xfId="23" applyFill="1" applyAlignment="1">
      <alignment horizontal="left"/>
      <protection/>
    </xf>
    <xf numFmtId="39" fontId="0" fillId="0" borderId="24" xfId="23" applyNumberFormat="1" applyFill="1" applyBorder="1">
      <alignment/>
      <protection/>
    </xf>
    <xf numFmtId="0" fontId="0" fillId="0" borderId="0" xfId="23" applyAlignment="1">
      <alignment horizontal="right"/>
      <protection/>
    </xf>
    <xf numFmtId="167" fontId="0" fillId="0" borderId="24" xfId="20" applyNumberFormat="1" applyFont="1" applyBorder="1"/>
    <xf numFmtId="0" fontId="0" fillId="0" borderId="24" xfId="23" applyFont="1" applyBorder="1" applyAlignment="1">
      <alignment horizontal="center" wrapText="1"/>
      <protection/>
    </xf>
    <xf numFmtId="0" fontId="0" fillId="0" borderId="24" xfId="23" applyFont="1" applyBorder="1" applyAlignment="1">
      <alignment horizontal="center"/>
      <protection/>
    </xf>
    <xf numFmtId="43" fontId="0" fillId="0" borderId="0" xfId="23" applyNumberFormat="1" applyFont="1" applyFill="1">
      <alignment/>
      <protection/>
    </xf>
    <xf numFmtId="0" fontId="2" fillId="0" borderId="0" xfId="23" applyFont="1" applyFill="1" applyAlignment="1">
      <alignment horizontal="left"/>
      <protection/>
    </xf>
    <xf numFmtId="0" fontId="0" fillId="0" borderId="0" xfId="23" applyFill="1" applyAlignment="1">
      <alignment horizontal="right"/>
      <protection/>
    </xf>
    <xf numFmtId="14" fontId="0" fillId="0" borderId="0" xfId="23" applyNumberFormat="1" applyFill="1">
      <alignment/>
      <protection/>
    </xf>
    <xf numFmtId="164" fontId="0" fillId="0" borderId="0" xfId="23" applyNumberFormat="1" applyFont="1" applyFill="1">
      <alignment/>
      <protection/>
    </xf>
    <xf numFmtId="0" fontId="10" fillId="0" borderId="0" xfId="23" applyFont="1" applyFill="1">
      <alignment/>
      <protection/>
    </xf>
    <xf numFmtId="0" fontId="0" fillId="0" borderId="0" xfId="23" applyFont="1" applyFill="1" applyAlignment="1">
      <alignment horizontal="center"/>
      <protection/>
    </xf>
    <xf numFmtId="166" fontId="0" fillId="0" borderId="0" xfId="23" applyNumberFormat="1" applyFill="1">
      <alignment/>
      <protection/>
    </xf>
    <xf numFmtId="43" fontId="0" fillId="0" borderId="0" xfId="20" applyFont="1" applyFill="1"/>
    <xf numFmtId="167" fontId="0" fillId="0" borderId="24" xfId="20" applyNumberFormat="1" applyFont="1" applyFill="1" applyBorder="1"/>
  </cellXfs>
  <cellStyles count="19">
    <cellStyle name="Normal" xfId="0" builtinId="0"/>
    <cellStyle name="Percent" xfId="15" builtinId="5"/>
    <cellStyle name="Currency" xfId="16" builtinId="4"/>
    <cellStyle name="Currency [0]" xfId="17" builtinId="7"/>
    <cellStyle name="Comma" xfId="18" builtinId="3"/>
    <cellStyle name="Comma [0]" xfId="19" builtinId="6"/>
    <cellStyle name="Comma 10" xfId="20"/>
    <cellStyle name="Comma 2" xfId="21"/>
    <cellStyle name="Comma 3" xfId="22"/>
    <cellStyle name="Normal 2" xfId="23"/>
    <cellStyle name="Normal 3" xfId="24"/>
    <cellStyle name="nPlosion" xfId="25"/>
    <cellStyle name="PB Table Heading" xfId="26"/>
    <cellStyle name="PB Table Highlight1" xfId="27"/>
    <cellStyle name="PB Table Highlight2" xfId="28"/>
    <cellStyle name="PB Table Highlight3" xfId="29"/>
    <cellStyle name="PB Table Standard Row" xfId="30"/>
    <cellStyle name="PB Table Subtotal Row" xfId="31"/>
    <cellStyle name="PB Table Total Row" xfId="3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22" Type="http://schemas.microsoft.com/office/2006/relationships/attachedToolbars" Target="attachedToolbars.bin" /><Relationship Id="rId5" Type="http://schemas.openxmlformats.org/officeDocument/2006/relationships/worksheet" Target="worksheets/sheet4.xml" /><Relationship Id="rId7" Type="http://schemas.openxmlformats.org/officeDocument/2006/relationships/worksheet" Target="worksheets/sheet6.xml" /><Relationship Id="rId9" Type="http://schemas.openxmlformats.org/officeDocument/2006/relationships/worksheet" Target="worksheets/sheet8.xml" /><Relationship Id="rId2" Type="http://schemas.openxmlformats.org/officeDocument/2006/relationships/worksheet" Target="worksheets/sheet1.xml" /><Relationship Id="rId18" Type="http://schemas.openxmlformats.org/officeDocument/2006/relationships/externalLink" Target="externalLinks/externalLink7.xml" /><Relationship Id="rId14" Type="http://schemas.openxmlformats.org/officeDocument/2006/relationships/externalLink" Target="externalLinks/externalLink3.xml" /><Relationship Id="rId15" Type="http://schemas.openxmlformats.org/officeDocument/2006/relationships/externalLink" Target="externalLinks/externalLink4.xml" /><Relationship Id="rId16" Type="http://schemas.openxmlformats.org/officeDocument/2006/relationships/externalLink" Target="externalLinks/externalLink5.xml" /><Relationship Id="rId17" Type="http://schemas.openxmlformats.org/officeDocument/2006/relationships/externalLink" Target="externalLinks/externalLink6.xml" /><Relationship Id="rId10" Type="http://schemas.openxmlformats.org/officeDocument/2006/relationships/styles" Target="styles.xml" /><Relationship Id="rId11" Type="http://schemas.openxmlformats.org/officeDocument/2006/relationships/sharedStrings" Target="sharedStrings.xml" /><Relationship Id="rId12" Type="http://schemas.openxmlformats.org/officeDocument/2006/relationships/externalLink" Target="externalLinks/externalLink1.xml" /><Relationship Id="rId1" Type="http://schemas.openxmlformats.org/officeDocument/2006/relationships/theme" Target="theme/theme1.xml" /><Relationship Id="rId4" Type="http://schemas.openxmlformats.org/officeDocument/2006/relationships/worksheet" Target="worksheets/sheet3.xml" /><Relationship Id="rId6" Type="http://schemas.openxmlformats.org/officeDocument/2006/relationships/worksheet" Target="worksheets/sheet5.xml" /><Relationship Id="rId8" Type="http://schemas.openxmlformats.org/officeDocument/2006/relationships/worksheet" Target="worksheets/sheet7.xml" /><Relationship Id="rId19" Type="http://schemas.openxmlformats.org/officeDocument/2006/relationships/externalLink" Target="externalLinks/externalLink8.xml" /><Relationship Id="rId13" Type="http://schemas.openxmlformats.org/officeDocument/2006/relationships/externalLink" Target="externalLinks/externalLink2.xml" /><Relationship Id="rId21" Type="http://schemas.openxmlformats.org/officeDocument/2006/relationships/calcChain" Target="calcChain.xml" /><Relationship Id="rId20" Type="http://schemas.openxmlformats.org/officeDocument/2006/relationships/externalLink" Target="externalLinks/externalLink9.xml" /></Relationships>
</file>

<file path=xl/activeX/_rels/activeX1.xml.rels><?xml version="1.0" encoding="UTF-8" standalone="yes"?><Relationships xmlns="http://schemas.openxmlformats.org/package/2006/relationships"><Relationship Id="rId1" Type="http://schemas.microsoft.com/office/2006/relationships/activeXControlBinary" Target="activeX1.bin" /></Relationships>
</file>

<file path=xl/activeX/_rels/activeX2.xml.rels><?xml version="1.0" encoding="UTF-8" standalone="yes"?><Relationships xmlns="http://schemas.openxmlformats.org/package/2006/relationships"><Relationship Id="rId1" Type="http://schemas.microsoft.com/office/2006/relationships/activeXControlBinary" Target="activeX2.bin" /></Relationships>
</file>

<file path=xl/activeX/_rels/activeX3.xml.rels><?xml version="1.0" encoding="UTF-8" standalone="yes"?><Relationships xmlns="http://schemas.openxmlformats.org/package/2006/relationships"><Relationship Id="rId1" Type="http://schemas.microsoft.com/office/2006/relationships/activeXControlBinary" Target="activeX3.bin" /></Relationships>
</file>

<file path=xl/activeX/_rels/activeX4.xml.rels><?xml version="1.0" encoding="UTF-8" standalone="yes"?><Relationships xmlns="http://schemas.openxmlformats.org/package/2006/relationships"><Relationship Id="rId1" Type="http://schemas.microsoft.com/office/2006/relationships/activeXControlBinary" Target="activeX4.bin" /></Relationships>
</file>

<file path=xl/activeX/_rels/activeX5.xml.rels><?xml version="1.0" encoding="UTF-8" standalone="yes"?><Relationships xmlns="http://schemas.openxmlformats.org/package/2006/relationships"><Relationship Id="rId1" Type="http://schemas.microsoft.com/office/2006/relationships/activeXControlBinary" Target="activeX5.bin" /></Relationships>
</file>

<file path=xl/activeX/_rels/activeX6.xml.rels><?xml version="1.0" encoding="UTF-8" standalone="yes"?><Relationships xmlns="http://schemas.openxmlformats.org/package/2006/relationships"><Relationship Id="rId1" Type="http://schemas.microsoft.com/office/2006/relationships/activeXControlBinary" Target="activeX6.bin" /></Relationships>
</file>

<file path=xl/activeX/activeX1.xml><?xml version="1.0" encoding="utf-8"?>
<ax:ocx xmlns:ax="http://schemas.microsoft.com/office/2006/activeX" xmlns:r="http://schemas.openxmlformats.org/officeDocument/2006/relationships" ax:classid="{d7053240-ce69-11cd-a777-00dd01143c57}" r:id="rId1" ax:persistence="persistStreamInit"/>
</file>

<file path=xl/activeX/activeX2.xml><?xml version="1.0" encoding="utf-8"?>
<ax:ocx xmlns:ax="http://schemas.microsoft.com/office/2006/activeX" xmlns:r="http://schemas.openxmlformats.org/officeDocument/2006/relationships" ax:classid="{d7053240-ce69-11cd-a777-00dd01143c57}" r:id="rId1" ax:persistence="persistStreamInit"/>
</file>

<file path=xl/activeX/activeX3.xml><?xml version="1.0" encoding="utf-8"?>
<ax:ocx xmlns:ax="http://schemas.microsoft.com/office/2006/activeX" xmlns:r="http://schemas.openxmlformats.org/officeDocument/2006/relationships" ax:classid="{d7053240-ce69-11cd-a777-00dd01143c57}" r:id="rId1" ax:persistence="persistStreamInit"/>
</file>

<file path=xl/activeX/activeX4.xml><?xml version="1.0" encoding="utf-8"?>
<ax:ocx xmlns:ax="http://schemas.microsoft.com/office/2006/activeX" xmlns:r="http://schemas.openxmlformats.org/officeDocument/2006/relationships" ax:classid="{d7053240-ce69-11cd-a777-00dd01143c57}" r:id="rId1" ax:persistence="persistStreamInit"/>
</file>

<file path=xl/activeX/activeX5.xml><?xml version="1.0" encoding="utf-8"?>
<ax:ocx xmlns:ax="http://schemas.microsoft.com/office/2006/activeX" xmlns:r="http://schemas.openxmlformats.org/officeDocument/2006/relationships" ax:classid="{d7053240-ce69-11cd-a777-00dd01143c57}" r:id="rId1" ax:persistence="persistStreamInit"/>
</file>

<file path=xl/activeX/activeX6.xml><?xml version="1.0" encoding="utf-8"?>
<ax:ocx xmlns:ax="http://schemas.microsoft.com/office/2006/activeX" xmlns:r="http://schemas.openxmlformats.org/officeDocument/2006/relationships" ax:classid="{d7053240-ce69-11cd-a777-00dd01143c57}" r:id="rId1" ax:persistence="persistStreamInit"/>
</file>

<file path=xl/ctrProps/ctrProp1.xml><?xml version="1.0" encoding="utf-8"?>
<formControlPr xmlns="http://schemas.microsoft.com/office/spreadsheetml/2009/9/main" objectType="Button" lockText="1"/>
</file>

<file path=xl/ctrProps/ctrProp2.xml><?xml version="1.0" encoding="utf-8"?>
<formControlPr xmlns="http://schemas.microsoft.com/office/spreadsheetml/2009/9/main" objectType="Button" lockText="1"/>
</file>

<file path=xl/ctrProps/ctrProp3.xml><?xml version="1.0" encoding="utf-8"?>
<formControlPr xmlns="http://schemas.microsoft.com/office/spreadsheetml/2009/9/main" objectType="Button" lockText="1"/>
</file>

<file path=xl/ctrProps/ctrProp4.xml><?xml version="1.0" encoding="utf-8"?>
<formControlPr xmlns="http://schemas.microsoft.com/office/spreadsheetml/2009/9/main" objectType="Button" lockText="1"/>
</file>

<file path=xl/ctrProps/ctrProp5.xml><?xml version="1.0" encoding="utf-8"?>
<formControlPr xmlns="http://schemas.microsoft.com/office/spreadsheetml/2009/9/main" objectType="Button" lockText="1"/>
</file>

<file path=xl/ctrProps/ctrProp6.xml><?xml version="1.0" encoding="utf-8"?>
<formControlPr xmlns="http://schemas.microsoft.com/office/spreadsheetml/2009/9/main" objectType="Button" lockText="1"/>
</file>

<file path=xl/ctrProps/ctrProp7.xml><?xml version="1.0" encoding="utf-8"?>
<formControlPr xmlns="http://schemas.microsoft.com/office/spreadsheetml/2009/9/main" objectType="Button" lockText="1"/>
</file>

<file path=xl/ctrProps/ctrProp8.xml><?xml version="1.0" encoding="utf-8"?>
<formControlPr xmlns="http://schemas.microsoft.com/office/spreadsheetml/2009/9/main" objectType="Button" lockText="1"/>
</file>

<file path=xl/ctrProps/ctrProp9.xml><?xml version="1.0" encoding="utf-8"?>
<formControlPr xmlns="http://schemas.microsoft.com/office/spreadsheetml/2009/9/main" objectType="Button" lockText="1"/>
</file>

<file path=xl/ctrProps/ctrProp10.xml><?xml version="1.0" encoding="utf-8"?>
<formControlPr xmlns="http://schemas.microsoft.com/office/spreadsheetml/2009/9/main" objectType="Button" lockText="1"/>
</file>

<file path=xl/ctrProps/ctrProp11.xml><?xml version="1.0" encoding="utf-8"?>
<formControlPr xmlns="http://schemas.microsoft.com/office/spreadsheetml/2009/9/main" objectType="Button" lockText="1"/>
</file>

<file path=xl/ctrProps/ctrProp12.xml><?xml version="1.0" encoding="utf-8"?>
<formControlPr xmlns="http://schemas.microsoft.com/office/spreadsheetml/2009/9/main" objectType="Button" lockText="1"/>
</file>

<file path=xl/ctrProps/ctrProp13.xml><?xml version="1.0" encoding="utf-8"?>
<formControlPr xmlns="http://schemas.microsoft.com/office/spreadsheetml/2009/9/main" objectType="Button" lockText="1"/>
</file>

<file path=xl/ctrProps/ctrProp14.xml><?xml version="1.0" encoding="utf-8"?>
<formControlPr xmlns="http://schemas.microsoft.com/office/spreadsheetml/2009/9/main" objectType="Button" lockText="1"/>
</file>

<file path=xl/ctrProps/ctrProp15.xml><?xml version="1.0" encoding="utf-8"?>
<formControlPr xmlns="http://schemas.microsoft.com/office/spreadsheetml/2009/9/main" objectType="Button" lockText="1"/>
</file>

<file path=xl/ctrProps/ctrProp16.xml><?xml version="1.0" encoding="utf-8"?>
<formControlPr xmlns="http://schemas.microsoft.com/office/spreadsheetml/2009/9/main" objectType="Button" lockText="1"/>
</file>

<file path=xl/ctrProps/ctrProp17.xml><?xml version="1.0" encoding="utf-8"?>
<formControlPr xmlns="http://schemas.microsoft.com/office/spreadsheetml/2009/9/main" objectType="Button" lockText="1"/>
</file>

<file path=xl/ctrProps/ctrProp18.xml><?xml version="1.0" encoding="utf-8"?>
<formControlPr xmlns="http://schemas.microsoft.com/office/spreadsheetml/2009/9/main" objectType="Button" lockText="1"/>
</file>

<file path=xl/ctrProps/ctrProp19.xml><?xml version="1.0" encoding="utf-8"?>
<formControlPr xmlns="http://schemas.microsoft.com/office/spreadsheetml/2009/9/main" objectType="Button" lockText="1"/>
</file>

<file path=xl/ctrProps/ctrProp20.xml><?xml version="1.0" encoding="utf-8"?>
<formControlPr xmlns="http://schemas.microsoft.com/office/spreadsheetml/2009/9/main" objectType="Button" lockText="1"/>
</file>

<file path=xl/ctrProps/ctrProp21.xml><?xml version="1.0" encoding="utf-8"?>
<formControlPr xmlns="http://schemas.microsoft.com/office/spreadsheetml/2009/9/main" objectType="Button" lockText="1"/>
</file>

<file path=xl/ctrProps/ctrProp22.xml><?xml version="1.0" encoding="utf-8"?>
<formControlPr xmlns="http://schemas.microsoft.com/office/spreadsheetml/2009/9/main" objectType="Button" lockText="1"/>
</file>

<file path=xl/ctrProps/ctrProp23.xml><?xml version="1.0" encoding="utf-8"?>
<formControlPr xmlns="http://schemas.microsoft.com/office/spreadsheetml/2009/9/main" objectType="Button" lockText="1"/>
</file>

<file path=xl/ctrProps/ctrProp24.xml><?xml version="1.0" encoding="utf-8"?>
<formControlPr xmlns="http://schemas.microsoft.com/office/spreadsheetml/2009/9/main" objectType="Button" lockText="1"/>
</file>

<file path=xl/ctrProps/ctrProp25.xml><?xml version="1.0" encoding="utf-8"?>
<formControlPr xmlns="http://schemas.microsoft.com/office/spreadsheetml/2009/9/main" objectType="Button" lockText="1"/>
</file>

<file path=xl/ctrProps/ctrProp26.xml><?xml version="1.0" encoding="utf-8"?>
<formControlPr xmlns="http://schemas.microsoft.com/office/spreadsheetml/2009/9/main" objectType="Button" lockText="1"/>
</file>

<file path=xl/ctrProps/ctrProp27.xml><?xml version="1.0" encoding="utf-8"?>
<formControlPr xmlns="http://schemas.microsoft.com/office/spreadsheetml/2009/9/main" objectType="Button" lockText="1"/>
</file>

<file path=xl/ctrProps/ctrProp28.xml><?xml version="1.0" encoding="utf-8"?>
<formControlPr xmlns="http://schemas.microsoft.com/office/spreadsheetml/2009/9/main" objectType="Button" lockText="1"/>
</file>

<file path=xl/ctrProps/ctrProp29.xml><?xml version="1.0" encoding="utf-8"?>
<formControlPr xmlns="http://schemas.microsoft.com/office/spreadsheetml/2009/9/main" objectType="Button" lockText="1"/>
</file>

<file path=xl/ctrProps/ctrProp30.xml><?xml version="1.0" encoding="utf-8"?>
<formControlPr xmlns="http://schemas.microsoft.com/office/spreadsheetml/2009/9/main" objectType="Button" lockText="1"/>
</file>

<file path=xl/ctrProps/ctrProp31.xml><?xml version="1.0" encoding="utf-8"?>
<formControlPr xmlns="http://schemas.microsoft.com/office/spreadsheetml/2009/9/main" objectType="Button" lockText="1"/>
</file>

<file path=xl/ctrProps/ctrProp32.xml><?xml version="1.0" encoding="utf-8"?>
<formControlPr xmlns="http://schemas.microsoft.com/office/spreadsheetml/2009/9/main" objectType="Button" lockText="1"/>
</file>

<file path=xl/ctrProps/ctrProp33.xml><?xml version="1.0" encoding="utf-8"?>
<formControlPr xmlns="http://schemas.microsoft.com/office/spreadsheetml/2009/9/main" objectType="Button" lockText="1"/>
</file>

<file path=xl/ctrProps/ctrProp34.xml><?xml version="1.0" encoding="utf-8"?>
<formControlPr xmlns="http://schemas.microsoft.com/office/spreadsheetml/2009/9/main" objectType="Button" lockText="1"/>
</file>

<file path=xl/ctrProps/ctrProp35.xml><?xml version="1.0" encoding="utf-8"?>
<formControlPr xmlns="http://schemas.microsoft.com/office/spreadsheetml/2009/9/main" objectType="Button" lockText="1"/>
</file>

<file path=xl/ctrProps/ctrProp36.xml><?xml version="1.0" encoding="utf-8"?>
<formControlPr xmlns="http://schemas.microsoft.com/office/spreadsheetml/2009/9/main" objectType="Button" lockText="1"/>
</file>

<file path=xl/ctrProps/ctrProp37.xml><?xml version="1.0" encoding="utf-8"?>
<formControlPr xmlns="http://schemas.microsoft.com/office/spreadsheetml/2009/9/main" objectType="Button" lockText="1"/>
</file>

<file path=xl/ctrProps/ctrProp38.xml><?xml version="1.0" encoding="utf-8"?>
<formControlPr xmlns="http://schemas.microsoft.com/office/spreadsheetml/2009/9/main" objectType="Button" lockText="1"/>
</file>

<file path=xl/ctrProps/ctrProp39.xml><?xml version="1.0" encoding="utf-8"?>
<formControlPr xmlns="http://schemas.microsoft.com/office/spreadsheetml/2009/9/main" objectType="Button" lockText="1"/>
</file>

<file path=xl/ctrProps/ctrProp40.xml><?xml version="1.0" encoding="utf-8"?>
<formControlPr xmlns="http://schemas.microsoft.com/office/spreadsheetml/2009/9/main" objectType="Button" lockText="1"/>
</file>

<file path=xl/ctrProps/ctrProp41.xml><?xml version="1.0" encoding="utf-8"?>
<formControlPr xmlns="http://schemas.microsoft.com/office/spreadsheetml/2009/9/main" objectType="Button" lockText="1"/>
</file>

<file path=xl/ctrProps/ctrProp42.xml><?xml version="1.0" encoding="utf-8"?>
<formControlPr xmlns="http://schemas.microsoft.com/office/spreadsheetml/2009/9/main" objectType="Button" lockText="1"/>
</file>

<file path=xl/ctrProps/ctrProp43.xml><?xml version="1.0" encoding="utf-8"?>
<formControlPr xmlns="http://schemas.microsoft.com/office/spreadsheetml/2009/9/main" objectType="Button" lockText="1"/>
</file>

<file path=xl/ctrProps/ctrProp44.xml><?xml version="1.0" encoding="utf-8"?>
<formControlPr xmlns="http://schemas.microsoft.com/office/spreadsheetml/2009/9/main" objectType="Button" lockText="1"/>
</file>

<file path=xl/ctrProps/ctrProp45.xml><?xml version="1.0" encoding="utf-8"?>
<formControlPr xmlns="http://schemas.microsoft.com/office/spreadsheetml/2009/9/main" objectType="Button" lockText="1"/>
</file>

<file path=xl/ctrProps/ctrProp46.xml><?xml version="1.0" encoding="utf-8"?>
<formControlPr xmlns="http://schemas.microsoft.com/office/spreadsheetml/2009/9/main" objectType="Button" lockText="1"/>
</file>

<file path=xl/ctrProps/ctrProp47.xml><?xml version="1.0" encoding="utf-8"?>
<formControlPr xmlns="http://schemas.microsoft.com/office/spreadsheetml/2009/9/main" objectType="Button" lockText="1"/>
</file>

<file path=xl/ctrProps/ctrProp48.xml><?xml version="1.0" encoding="utf-8"?>
<formControlPr xmlns="http://schemas.microsoft.com/office/spreadsheetml/2009/9/main" objectType="Button" lockText="1"/>
</file>

<file path=xl/ctrProps/ctrProp49.xml><?xml version="1.0" encoding="utf-8"?>
<formControlPr xmlns="http://schemas.microsoft.com/office/spreadsheetml/2009/9/main" objectType="Button" lockText="1"/>
</file>

<file path=xl/ctrProps/ctrProp50.xml><?xml version="1.0" encoding="utf-8"?>
<formControlPr xmlns="http://schemas.microsoft.com/office/spreadsheetml/2009/9/main" objectType="Button" lockText="1"/>
</file>

<file path=xl/ctrProps/ctrProp51.xml><?xml version="1.0" encoding="utf-8"?>
<formControlPr xmlns="http://schemas.microsoft.com/office/spreadsheetml/2009/9/main" objectType="Button" lockText="1"/>
</file>

<file path=xl/ctrProps/ctrProp52.xml><?xml version="1.0" encoding="utf-8"?>
<formControlPr xmlns="http://schemas.microsoft.com/office/spreadsheetml/2009/9/main" objectType="Button" lockText="1"/>
</file>

<file path=xl/ctrProps/ctrProp53.xml><?xml version="1.0" encoding="utf-8"?>
<formControlPr xmlns="http://schemas.microsoft.com/office/spreadsheetml/2009/9/main" objectType="Button" lockText="1"/>
</file>

<file path=xl/ctrProps/ctrProp54.xml><?xml version="1.0" encoding="utf-8"?>
<formControlPr xmlns="http://schemas.microsoft.com/office/spreadsheetml/2009/9/main" objectType="Button" lockText="1"/>
</file>

<file path=xl/ctrProps/ctrProp55.xml><?xml version="1.0" encoding="utf-8"?>
<formControlPr xmlns="http://schemas.microsoft.com/office/spreadsheetml/2009/9/main" objectType="Button" lockText="1"/>
</file>

<file path=xl/ctrProps/ctrProp56.xml><?xml version="1.0" encoding="utf-8"?>
<formControlPr xmlns="http://schemas.microsoft.com/office/spreadsheetml/2009/9/main" objectType="Button" lockText="1"/>
</file>

<file path=xl/ctrProps/ctrProp57.xml><?xml version="1.0" encoding="utf-8"?>
<formControlPr xmlns="http://schemas.microsoft.com/office/spreadsheetml/2009/9/main" objectType="Button" lockText="1"/>
</file>

<file path=xl/ctrProps/ctrProp58.xml><?xml version="1.0" encoding="utf-8"?>
<formControlPr xmlns="http://schemas.microsoft.com/office/spreadsheetml/2009/9/main" objectType="Button" lockText="1"/>
</file>

<file path=xl/ctrProps/ctrProp59.xml><?xml version="1.0" encoding="utf-8"?>
<formControlPr xmlns="http://schemas.microsoft.com/office/spreadsheetml/2009/9/main" objectType="Button" lockText="1"/>
</file>

<file path=xl/ctrProps/ctrProp60.xml><?xml version="1.0" encoding="utf-8"?>
<formControlPr xmlns="http://schemas.microsoft.com/office/spreadsheetml/2009/9/main" objectType="Button" lockText="1"/>
</file>

<file path=xl/ctrProps/ctrProp61.xml><?xml version="1.0" encoding="utf-8"?>
<formControlPr xmlns="http://schemas.microsoft.com/office/spreadsheetml/2009/9/main" objectType="Button" lockText="1"/>
</file>

<file path=xl/ctrProps/ctrProp62.xml><?xml version="1.0" encoding="utf-8"?>
<formControlPr xmlns="http://schemas.microsoft.com/office/spreadsheetml/2009/9/main" objectType="Button" lockText="1"/>
</file>

<file path=xl/ctrProps/ctrProp63.xml><?xml version="1.0" encoding="utf-8"?>
<formControlPr xmlns="http://schemas.microsoft.com/office/spreadsheetml/2009/9/main" objectType="Button" lockText="1"/>
</file>

<file path=xl/ctrProps/ctrProp64.xml><?xml version="1.0" encoding="utf-8"?>
<formControlPr xmlns="http://schemas.microsoft.com/office/spreadsheetml/2009/9/main" objectType="Button" lockText="1"/>
</file>

<file path=xl/ctrProps/ctrProp65.xml><?xml version="1.0" encoding="utf-8"?>
<formControlPr xmlns="http://schemas.microsoft.com/office/spreadsheetml/2009/9/main" objectType="Button" lockText="1"/>
</file>

<file path=xl/ctrProps/ctrProp66.xml><?xml version="1.0" encoding="utf-8"?>
<formControlPr xmlns="http://schemas.microsoft.com/office/spreadsheetml/2009/9/main" objectType="Button" lockText="1"/>
</file>

<file path=xl/ctrProps/ctrProp67.xml><?xml version="1.0" encoding="utf-8"?>
<formControlPr xmlns="http://schemas.microsoft.com/office/spreadsheetml/2009/9/main" objectType="Button" lockText="1"/>
</file>

<file path=xl/ctrProps/ctrProp68.xml><?xml version="1.0" encoding="utf-8"?>
<formControlPr xmlns="http://schemas.microsoft.com/office/spreadsheetml/2009/9/main" objectType="Button" lockText="1"/>
</file>

<file path=xl/ctrProps/ctrProp69.xml><?xml version="1.0" encoding="utf-8"?>
<formControlPr xmlns="http://schemas.microsoft.com/office/spreadsheetml/2009/9/main" objectType="Button" lockText="1"/>
</file>

<file path=xl/ctrProps/ctrProp70.xml><?xml version="1.0" encoding="utf-8"?>
<formControlPr xmlns="http://schemas.microsoft.com/office/spreadsheetml/2009/9/main" objectType="Button" lockText="1"/>
</file>

<file path=xl/ctrProps/ctrProp71.xml><?xml version="1.0" encoding="utf-8"?>
<formControlPr xmlns="http://schemas.microsoft.com/office/spreadsheetml/2009/9/main" objectType="Button" lockText="1"/>
</file>

<file path=xl/ctrProps/ctrProp72.xml><?xml version="1.0" encoding="utf-8"?>
<formControlPr xmlns="http://schemas.microsoft.com/office/spreadsheetml/2009/9/main" objectType="Button" lockText="1"/>
</file>

<file path=xl/ctrProps/ctrProp73.xml><?xml version="1.0" encoding="utf-8"?>
<formControlPr xmlns="http://schemas.microsoft.com/office/spreadsheetml/2009/9/main" objectType="Button" lockText="1"/>
</file>

<file path=xl/ctrProps/ctrProp74.xml><?xml version="1.0" encoding="utf-8"?>
<formControlPr xmlns="http://schemas.microsoft.com/office/spreadsheetml/2009/9/main" objectType="Button" lockText="1"/>
</file>

<file path=xl/ctrProps/ctrProp75.xml><?xml version="1.0" encoding="utf-8"?>
<formControlPr xmlns="http://schemas.microsoft.com/office/spreadsheetml/2009/9/main" objectType="Button" lockText="1"/>
</file>

<file path=xl/ctrProps/ctrProp76.xml><?xml version="1.0" encoding="utf-8"?>
<formControlPr xmlns="http://schemas.microsoft.com/office/spreadsheetml/2009/9/main" objectType="Button" lockText="1"/>
</file>

<file path=xl/ctrProps/ctrProp77.xml><?xml version="1.0" encoding="utf-8"?>
<formControlPr xmlns="http://schemas.microsoft.com/office/spreadsheetml/2009/9/main" objectType="Button" lockText="1"/>
</file>

<file path=xl/ctrProps/ctrProp78.xml><?xml version="1.0" encoding="utf-8"?>
<formControlPr xmlns="http://schemas.microsoft.com/office/spreadsheetml/2009/9/main" objectType="Button" lockText="1"/>
</file>

<file path=xl/ctrProps/ctrProp79.xml><?xml version="1.0" encoding="utf-8"?>
<formControlPr xmlns="http://schemas.microsoft.com/office/spreadsheetml/2009/9/main" objectType="Button" lockText="1"/>
</file>

<file path=xl/ctrProps/ctrProp80.xml><?xml version="1.0" encoding="utf-8"?>
<formControlPr xmlns="http://schemas.microsoft.com/office/spreadsheetml/2009/9/main" objectType="Button" lockText="1"/>
</file>

<file path=xl/ctrProps/ctrProp81.xml><?xml version="1.0" encoding="utf-8"?>
<formControlPr xmlns="http://schemas.microsoft.com/office/spreadsheetml/2009/9/main" objectType="Button" lockText="1"/>
</file>

<file path=xl/ctrProps/ctrProp82.xml><?xml version="1.0" encoding="utf-8"?>
<formControlPr xmlns="http://schemas.microsoft.com/office/spreadsheetml/2009/9/main" objectType="Button" lockText="1"/>
</file>

<file path=xl/ctrProps/ctrProp83.xml><?xml version="1.0" encoding="utf-8"?>
<formControlPr xmlns="http://schemas.microsoft.com/office/spreadsheetml/2009/9/main" objectType="Button" lockText="1"/>
</file>

<file path=xl/ctrProps/ctrProp84.xml><?xml version="1.0" encoding="utf-8"?>
<formControlPr xmlns="http://schemas.microsoft.com/office/spreadsheetml/2009/9/main" objectType="Button" lockText="1"/>
</file>

<file path=xl/ctrProps/ctrProp85.xml><?xml version="1.0" encoding="utf-8"?>
<formControlPr xmlns="http://schemas.microsoft.com/office/spreadsheetml/2009/9/main" objectType="Button" lockText="1"/>
</file>

<file path=xl/ctrProps/ctrProp86.xml><?xml version="1.0" encoding="utf-8"?>
<formControlPr xmlns="http://schemas.microsoft.com/office/spreadsheetml/2009/9/main" objectType="Button" lockText="1"/>
</file>

<file path=xl/ctrProps/ctrProp87.xml><?xml version="1.0" encoding="utf-8"?>
<formControlPr xmlns="http://schemas.microsoft.com/office/spreadsheetml/2009/9/main" objectType="Button" lockText="1"/>
</file>

<file path=xl/ctrProps/ctrProp88.xml><?xml version="1.0" encoding="utf-8"?>
<formControlPr xmlns="http://schemas.microsoft.com/office/spreadsheetml/2009/9/main" objectType="Button" lockText="1"/>
</file>

<file path=xl/ctrProps/ctrProp89.xml><?xml version="1.0" encoding="utf-8"?>
<formControlPr xmlns="http://schemas.microsoft.com/office/spreadsheetml/2009/9/main" objectType="Button" lockText="1"/>
</file>

<file path=xl/ctrProps/ctrProp90.xml><?xml version="1.0" encoding="utf-8"?>
<formControlPr xmlns="http://schemas.microsoft.com/office/spreadsheetml/2009/9/main" objectType="Button" lockText="1"/>
</file>

<file path=xl/ctrProps/ctrProp91.xml><?xml version="1.0" encoding="utf-8"?>
<formControlPr xmlns="http://schemas.microsoft.com/office/spreadsheetml/2009/9/main" objectType="Button" lockText="1"/>
</file>

<file path=xl/ctrProps/ctrProp92.xml><?xml version="1.0" encoding="utf-8"?>
<formControlPr xmlns="http://schemas.microsoft.com/office/spreadsheetml/2009/9/main" objectType="Button" lockText="1"/>
</file>

<file path=xl/ctrProps/ctrProp93.xml><?xml version="1.0" encoding="utf-8"?>
<formControlPr xmlns="http://schemas.microsoft.com/office/spreadsheetml/2009/9/main" objectType="Button" lockText="1"/>
</file>

<file path=xl/ctrProps/ctrProp94.xml><?xml version="1.0" encoding="utf-8"?>
<formControlPr xmlns="http://schemas.microsoft.com/office/spreadsheetml/2009/9/main" objectType="Button" lockText="1"/>
</file>

<file path=xl/ctrProps/ctrProp95.xml><?xml version="1.0" encoding="utf-8"?>
<formControlPr xmlns="http://schemas.microsoft.com/office/spreadsheetml/2009/9/main" objectType="Button" lockText="1"/>
</file>

<file path=xl/ctrProps/ctrProp96.xml><?xml version="1.0" encoding="utf-8"?>
<formControlPr xmlns="http://schemas.microsoft.com/office/spreadsheetml/2009/9/main" objectType="Button" lockText="1"/>
</file>

<file path=xl/ctrProps/ctrProp97.xml><?xml version="1.0" encoding="utf-8"?>
<formControlPr xmlns="http://schemas.microsoft.com/office/spreadsheetml/2009/9/main" objectType="Button" lockText="1"/>
</file>

<file path=xl/ctrProps/ctrProp98.xml><?xml version="1.0" encoding="utf-8"?>
<formControlPr xmlns="http://schemas.microsoft.com/office/spreadsheetml/2009/9/main" objectType="Button" lockText="1"/>
</file>

<file path=xl/ctrProps/ctrProp99.xml><?xml version="1.0" encoding="utf-8"?>
<formControlPr xmlns="http://schemas.microsoft.com/office/spreadsheetml/2009/9/main" objectType="Button" lockText="1"/>
</file>

<file path=xl/ctrProps/ctrProp100.xml><?xml version="1.0" encoding="utf-8"?>
<formControlPr xmlns="http://schemas.microsoft.com/office/spreadsheetml/2009/9/main" objectType="Button" lockText="1"/>
</file>

<file path=xl/ctrProps/ctrProp101.xml><?xml version="1.0" encoding="utf-8"?>
<formControlPr xmlns="http://schemas.microsoft.com/office/spreadsheetml/2009/9/main" objectType="Button" lockText="1"/>
</file>

<file path=xl/ctrProps/ctrProp102.xml><?xml version="1.0" encoding="utf-8"?>
<formControlPr xmlns="http://schemas.microsoft.com/office/spreadsheetml/2009/9/main" objectType="Button" lockText="1"/>
</file>

<file path=xl/ctrProps/ctrProp103.xml><?xml version="1.0" encoding="utf-8"?>
<formControlPr xmlns="http://schemas.microsoft.com/office/spreadsheetml/2009/9/main" objectType="Button" lockText="1"/>
</file>

<file path=xl/ctrProps/ctrProp104.xml><?xml version="1.0" encoding="utf-8"?>
<formControlPr xmlns="http://schemas.microsoft.com/office/spreadsheetml/2009/9/main" objectType="Button" lockText="1"/>
</file>

<file path=xl/ctrProps/ctrProp105.xml><?xml version="1.0" encoding="utf-8"?>
<formControlPr xmlns="http://schemas.microsoft.com/office/spreadsheetml/2009/9/main" objectType="Button" lockText="1"/>
</file>

<file path=xl/ctrProps/ctrProp106.xml><?xml version="1.0" encoding="utf-8"?>
<formControlPr xmlns="http://schemas.microsoft.com/office/spreadsheetml/2009/9/main" objectType="Button" lockText="1"/>
</file>

<file path=xl/ctrProps/ctrProp107.xml><?xml version="1.0" encoding="utf-8"?>
<formControlPr xmlns="http://schemas.microsoft.com/office/spreadsheetml/2009/9/main" objectType="Button" lockText="1"/>
</file>

<file path=xl/ctrProps/ctrProp108.xml><?xml version="1.0" encoding="utf-8"?>
<formControlPr xmlns="http://schemas.microsoft.com/office/spreadsheetml/2009/9/main" objectType="Button" lockText="1"/>
</file>

<file path=xl/ctrProps/ctrProp109.xml><?xml version="1.0" encoding="utf-8"?>
<formControlPr xmlns="http://schemas.microsoft.com/office/spreadsheetml/2009/9/main" objectType="Button" lockText="1"/>
</file>

<file path=xl/ctrProps/ctrProp110.xml><?xml version="1.0" encoding="utf-8"?>
<formControlPr xmlns="http://schemas.microsoft.com/office/spreadsheetml/2009/9/main" objectType="Button" lockText="1"/>
</file>

<file path=xl/ctrProps/ctrProp111.xml><?xml version="1.0" encoding="utf-8"?>
<formControlPr xmlns="http://schemas.microsoft.com/office/spreadsheetml/2009/9/main" objectType="Button" lockText="1"/>
</file>

<file path=xl/ctrProps/ctrProp112.xml><?xml version="1.0" encoding="utf-8"?>
<formControlPr xmlns="http://schemas.microsoft.com/office/spreadsheetml/2009/9/main" objectType="Button" lockText="1"/>
</file>

<file path=xl/ctrProps/ctrProp113.xml><?xml version="1.0" encoding="utf-8"?>
<formControlPr xmlns="http://schemas.microsoft.com/office/spreadsheetml/2009/9/main" objectType="Button" lockText="1"/>
</file>

<file path=xl/ctrProps/ctrProp114.xml><?xml version="1.0" encoding="utf-8"?>
<formControlPr xmlns="http://schemas.microsoft.com/office/spreadsheetml/2009/9/main" objectType="Button" lockText="1"/>
</file>

<file path=xl/ctrProps/ctrProp115.xml><?xml version="1.0" encoding="utf-8"?>
<formControlPr xmlns="http://schemas.microsoft.com/office/spreadsheetml/2009/9/main" objectType="Button" lockText="1"/>
</file>

<file path=xl/ctrProps/ctrProp116.xml><?xml version="1.0" encoding="utf-8"?>
<formControlPr xmlns="http://schemas.microsoft.com/office/spreadsheetml/2009/9/main" objectType="Button" lockText="1"/>
</file>

<file path=xl/ctrProps/ctrProp117.xml><?xml version="1.0" encoding="utf-8"?>
<formControlPr xmlns="http://schemas.microsoft.com/office/spreadsheetml/2009/9/main" objectType="Button" lockText="1"/>
</file>

<file path=xl/ctrProps/ctrProp118.xml><?xml version="1.0" encoding="utf-8"?>
<formControlPr xmlns="http://schemas.microsoft.com/office/spreadsheetml/2009/9/main" objectType="Button" lockText="1"/>
</file>

<file path=xl/ctrProps/ctrProp119.xml><?xml version="1.0" encoding="utf-8"?>
<formControlPr xmlns="http://schemas.microsoft.com/office/spreadsheetml/2009/9/main" objectType="Button" lockText="1"/>
</file>

<file path=xl/ctrProps/ctrProp120.xml><?xml version="1.0" encoding="utf-8"?>
<formControlPr xmlns="http://schemas.microsoft.com/office/spreadsheetml/2009/9/main" objectType="Button" lockText="1"/>
</file>

<file path=xl/ctrProps/ctrProp121.xml><?xml version="1.0" encoding="utf-8"?>
<formControlPr xmlns="http://schemas.microsoft.com/office/spreadsheetml/2009/9/main" objectType="Button" lockText="1"/>
</file>

<file path=xl/ctrProps/ctrProp122.xml><?xml version="1.0" encoding="utf-8"?>
<formControlPr xmlns="http://schemas.microsoft.com/office/spreadsheetml/2009/9/main" objectType="Button" lockText="1"/>
</file>

<file path=xl/ctrProps/ctrProp123.xml><?xml version="1.0" encoding="utf-8"?>
<formControlPr xmlns="http://schemas.microsoft.com/office/spreadsheetml/2009/9/main" objectType="Button" lockText="1"/>
</file>

<file path=xl/ctrProps/ctrProp124.xml><?xml version="1.0" encoding="utf-8"?>
<formControlPr xmlns="http://schemas.microsoft.com/office/spreadsheetml/2009/9/main" objectType="Button" lockText="1"/>
</file>

<file path=xl/ctrProps/ctrProp125.xml><?xml version="1.0" encoding="utf-8"?>
<formControlPr xmlns="http://schemas.microsoft.com/office/spreadsheetml/2009/9/main" objectType="Button" lockText="1"/>
</file>

<file path=xl/ctrProps/ctrProp126.xml><?xml version="1.0" encoding="utf-8"?>
<formControlPr xmlns="http://schemas.microsoft.com/office/spreadsheetml/2009/9/main" objectType="Button" lockText="1"/>
</file>

<file path=xl/ctrProps/ctrProp127.xml><?xml version="1.0" encoding="utf-8"?>
<formControlPr xmlns="http://schemas.microsoft.com/office/spreadsheetml/2009/9/main" objectType="Button" lockText="1"/>
</file>

<file path=xl/ctrProps/ctrProp128.xml><?xml version="1.0" encoding="utf-8"?>
<formControlPr xmlns="http://schemas.microsoft.com/office/spreadsheetml/2009/9/main" objectType="Button" lockText="1"/>
</file>

<file path=xl/ctrProps/ctrProp129.xml><?xml version="1.0" encoding="utf-8"?>
<formControlPr xmlns="http://schemas.microsoft.com/office/spreadsheetml/2009/9/main" objectType="Button" lockText="1"/>
</file>

<file path=xl/ctrProps/ctrProp130.xml><?xml version="1.0" encoding="utf-8"?>
<formControlPr xmlns="http://schemas.microsoft.com/office/spreadsheetml/2009/9/main" objectType="Button" lockText="1"/>
</file>

<file path=xl/ctrProps/ctrProp131.xml><?xml version="1.0" encoding="utf-8"?>
<formControlPr xmlns="http://schemas.microsoft.com/office/spreadsheetml/2009/9/main" objectType="Button" lockText="1"/>
</file>

<file path=xl/ctrProps/ctrProp132.xml><?xml version="1.0" encoding="utf-8"?>
<formControlPr xmlns="http://schemas.microsoft.com/office/spreadsheetml/2009/9/main" objectType="Button" lockText="1"/>
</file>

<file path=xl/ctrProps/ctrProp133.xml><?xml version="1.0" encoding="utf-8"?>
<formControlPr xmlns="http://schemas.microsoft.com/office/spreadsheetml/2009/9/main" objectType="Button" lockText="1"/>
</file>

<file path=xl/ctrProps/ctrProp134.xml><?xml version="1.0" encoding="utf-8"?>
<formControlPr xmlns="http://schemas.microsoft.com/office/spreadsheetml/2009/9/main" objectType="Button" lockText="1"/>
</file>

<file path=xl/ctrProps/ctrProp135.xml><?xml version="1.0" encoding="utf-8"?>
<formControlPr xmlns="http://schemas.microsoft.com/office/spreadsheetml/2009/9/main" objectType="Button" lockText="1"/>
</file>

<file path=xl/ctrProps/ctrProp136.xml><?xml version="1.0" encoding="utf-8"?>
<formControlPr xmlns="http://schemas.microsoft.com/office/spreadsheetml/2009/9/main" objectType="Button" lockText="1"/>
</file>

<file path=xl/ctrProps/ctrProp137.xml><?xml version="1.0" encoding="utf-8"?>
<formControlPr xmlns="http://schemas.microsoft.com/office/spreadsheetml/2009/9/main" objectType="Button" lockText="1"/>
</file>

<file path=xl/ctrProps/ctrProp138.xml><?xml version="1.0" encoding="utf-8"?>
<formControlPr xmlns="http://schemas.microsoft.com/office/spreadsheetml/2009/9/main" objectType="Button" lockText="1"/>
</file>

<file path=xl/ctrProps/ctrProp139.xml><?xml version="1.0" encoding="utf-8"?>
<formControlPr xmlns="http://schemas.microsoft.com/office/spreadsheetml/2009/9/main" objectType="Button" lockText="1"/>
</file>

<file path=xl/ctrProps/ctrProp140.xml><?xml version="1.0" encoding="utf-8"?>
<formControlPr xmlns="http://schemas.microsoft.com/office/spreadsheetml/2009/9/main" objectType="Button" lockText="1"/>
</file>

<file path=xl/ctrProps/ctrProp141.xml><?xml version="1.0" encoding="utf-8"?>
<formControlPr xmlns="http://schemas.microsoft.com/office/spreadsheetml/2009/9/main" objectType="Button" lockText="1"/>
</file>

<file path=xl/ctrProps/ctrProp142.xml><?xml version="1.0" encoding="utf-8"?>
<formControlPr xmlns="http://schemas.microsoft.com/office/spreadsheetml/2009/9/main" objectType="Button" lockText="1"/>
</file>

<file path=xl/ctrProps/ctrProp143.xml><?xml version="1.0" encoding="utf-8"?>
<formControlPr xmlns="http://schemas.microsoft.com/office/spreadsheetml/2009/9/main" objectType="Button" lockText="1"/>
</file>

<file path=xl/ctrProps/ctrProp144.xml><?xml version="1.0" encoding="utf-8"?>
<formControlPr xmlns="http://schemas.microsoft.com/office/spreadsheetml/2009/9/main" objectType="Button" lockText="1"/>
</file>

<file path=xl/ctrProps/ctrProp145.xml><?xml version="1.0" encoding="utf-8"?>
<formControlPr xmlns="http://schemas.microsoft.com/office/spreadsheetml/2009/9/main" objectType="Button" lockText="1"/>
</file>

<file path=xl/ctrProps/ctrProp146.xml><?xml version="1.0" encoding="utf-8"?>
<formControlPr xmlns="http://schemas.microsoft.com/office/spreadsheetml/2009/9/main" objectType="Button" lockText="1"/>
</file>

<file path=xl/ctrProps/ctrProp147.xml><?xml version="1.0" encoding="utf-8"?>
<formControlPr xmlns="http://schemas.microsoft.com/office/spreadsheetml/2009/9/main" objectType="Button" lockText="1"/>
</file>

<file path=xl/ctrProps/ctrProp148.xml><?xml version="1.0" encoding="utf-8"?>
<formControlPr xmlns="http://schemas.microsoft.com/office/spreadsheetml/2009/9/main" objectType="Button" lockText="1"/>
</file>

<file path=xl/ctrProps/ctrProp149.xml><?xml version="1.0" encoding="utf-8"?>
<formControlPr xmlns="http://schemas.microsoft.com/office/spreadsheetml/2009/9/main" objectType="Button" lockText="1"/>
</file>

<file path=xl/ctrProps/ctrProp150.xml><?xml version="1.0" encoding="utf-8"?>
<formControlPr xmlns="http://schemas.microsoft.com/office/spreadsheetml/2009/9/main" objectType="Button" lockText="1"/>
</file>

<file path=xl/ctrProps/ctrProp151.xml><?xml version="1.0" encoding="utf-8"?>
<formControlPr xmlns="http://schemas.microsoft.com/office/spreadsheetml/2009/9/main" objectType="Button" lockText="1"/>
</file>

<file path=xl/ctrProps/ctrProp152.xml><?xml version="1.0" encoding="utf-8"?>
<formControlPr xmlns="http://schemas.microsoft.com/office/spreadsheetml/2009/9/main" objectType="Button" lockText="1"/>
</file>

<file path=xl/ctrProps/ctrProp153.xml><?xml version="1.0" encoding="utf-8"?>
<formControlPr xmlns="http://schemas.microsoft.com/office/spreadsheetml/2009/9/main" objectType="Button" lockText="1"/>
</file>

<file path=xl/ctrProps/ctrProp154.xml><?xml version="1.0" encoding="utf-8"?>
<formControlPr xmlns="http://schemas.microsoft.com/office/spreadsheetml/2009/9/main" objectType="Button" lockText="1"/>
</file>

<file path=xl/ctrProps/ctrProp155.xml><?xml version="1.0" encoding="utf-8"?>
<formControlPr xmlns="http://schemas.microsoft.com/office/spreadsheetml/2009/9/main" objectType="Button" lockText="1"/>
</file>

<file path=xl/ctrProps/ctrProp156.xml><?xml version="1.0" encoding="utf-8"?>
<formControlPr xmlns="http://schemas.microsoft.com/office/spreadsheetml/2009/9/main" objectType="Button" lockText="1"/>
</file>

<file path=xl/ctrProps/ctrProp157.xml><?xml version="1.0" encoding="utf-8"?>
<formControlPr xmlns="http://schemas.microsoft.com/office/spreadsheetml/2009/9/main" objectType="Button" lockText="1"/>
</file>

<file path=xl/ctrProps/ctrProp158.xml><?xml version="1.0" encoding="utf-8"?>
<formControlPr xmlns="http://schemas.microsoft.com/office/spreadsheetml/2009/9/main" objectType="Button" lockText="1"/>
</file>

<file path=xl/ctrProps/ctrProp159.xml><?xml version="1.0" encoding="utf-8"?>
<formControlPr xmlns="http://schemas.microsoft.com/office/spreadsheetml/2009/9/main" objectType="Button" lockText="1"/>
</file>

<file path=xl/ctrProps/ctrProp160.xml><?xml version="1.0" encoding="utf-8"?>
<formControlPr xmlns="http://schemas.microsoft.com/office/spreadsheetml/2009/9/main" objectType="Button" lockText="1"/>
</file>

<file path=xl/ctrProps/ctrProp161.xml><?xml version="1.0" encoding="utf-8"?>
<formControlPr xmlns="http://schemas.microsoft.com/office/spreadsheetml/2009/9/main" objectType="Button" lockText="1"/>
</file>

<file path=xl/ctrProps/ctrProp162.xml><?xml version="1.0" encoding="utf-8"?>
<formControlPr xmlns="http://schemas.microsoft.com/office/spreadsheetml/2009/9/main" objectType="Button" lockText="1"/>
</file>

<file path=xl/ctrProps/ctrProp163.xml><?xml version="1.0" encoding="utf-8"?>
<formControlPr xmlns="http://schemas.microsoft.com/office/spreadsheetml/2009/9/main" objectType="Button" lockText="1"/>
</file>

<file path=xl/ctrProps/ctrProp164.xml><?xml version="1.0" encoding="utf-8"?>
<formControlPr xmlns="http://schemas.microsoft.com/office/spreadsheetml/2009/9/main" objectType="Button" lockText="1"/>
</file>

<file path=xl/ctrProps/ctrProp165.xml><?xml version="1.0" encoding="utf-8"?>
<formControlPr xmlns="http://schemas.microsoft.com/office/spreadsheetml/2009/9/main" objectType="Button" lockText="1"/>
</file>

<file path=xl/ctrProps/ctrProp166.xml><?xml version="1.0" encoding="utf-8"?>
<formControlPr xmlns="http://schemas.microsoft.com/office/spreadsheetml/2009/9/main" objectType="Button" lockText="1"/>
</file>

<file path=xl/ctrProps/ctrProp167.xml><?xml version="1.0" encoding="utf-8"?>
<formControlPr xmlns="http://schemas.microsoft.com/office/spreadsheetml/2009/9/main" objectType="Button" lockText="1"/>
</file>

<file path=xl/ctrProps/ctrProp168.xml><?xml version="1.0" encoding="utf-8"?>
<formControlPr xmlns="http://schemas.microsoft.com/office/spreadsheetml/2009/9/main" objectType="Button" lockText="1"/>
</file>

<file path=xl/ctrProps/ctrProp169.xml><?xml version="1.0" encoding="utf-8"?>
<formControlPr xmlns="http://schemas.microsoft.com/office/spreadsheetml/2009/9/main" objectType="Button" lockText="1"/>
</file>

<file path=xl/ctrProps/ctrProp170.xml><?xml version="1.0" encoding="utf-8"?>
<formControlPr xmlns="http://schemas.microsoft.com/office/spreadsheetml/2009/9/main" objectType="Button" lockText="1"/>
</file>

<file path=xl/ctrProps/ctrProp171.xml><?xml version="1.0" encoding="utf-8"?>
<formControlPr xmlns="http://schemas.microsoft.com/office/spreadsheetml/2009/9/main" objectType="Button" lockText="1"/>
</file>

<file path=xl/ctrProps/ctrProp172.xml><?xml version="1.0" encoding="utf-8"?>
<formControlPr xmlns="http://schemas.microsoft.com/office/spreadsheetml/2009/9/main" objectType="Button" lockText="1"/>
</file>

<file path=xl/ctrProps/ctrProp173.xml><?xml version="1.0" encoding="utf-8"?>
<formControlPr xmlns="http://schemas.microsoft.com/office/spreadsheetml/2009/9/main" objectType="Button" lockText="1"/>
</file>

<file path=xl/ctrProps/ctrProp174.xml><?xml version="1.0" encoding="utf-8"?>
<formControlPr xmlns="http://schemas.microsoft.com/office/spreadsheetml/2009/9/main" objectType="Button" lockText="1"/>
</file>

<file path=xl/ctrProps/ctrProp175.xml><?xml version="1.0" encoding="utf-8"?>
<formControlPr xmlns="http://schemas.microsoft.com/office/spreadsheetml/2009/9/main" objectType="Button" lockText="1"/>
</file>

<file path=xl/ctrProps/ctrProp176.xml><?xml version="1.0" encoding="utf-8"?>
<formControlPr xmlns="http://schemas.microsoft.com/office/spreadsheetml/2009/9/main" objectType="Button" lockText="1"/>
</file>

<file path=xl/ctrProps/ctrProp177.xml><?xml version="1.0" encoding="utf-8"?>
<formControlPr xmlns="http://schemas.microsoft.com/office/spreadsheetml/2009/9/main" objectType="Button" lockText="1"/>
</file>

<file path=xl/ctrProps/ctrProp178.xml><?xml version="1.0" encoding="utf-8"?>
<formControlPr xmlns="http://schemas.microsoft.com/office/spreadsheetml/2009/9/main" objectType="Button" lockText="1"/>
</file>

<file path=xl/ctrProps/ctrProp179.xml><?xml version="1.0" encoding="utf-8"?>
<formControlPr xmlns="http://schemas.microsoft.com/office/spreadsheetml/2009/9/main" objectType="Button" lockText="1"/>
</file>

<file path=xl/ctrProps/ctrProp180.xml><?xml version="1.0" encoding="utf-8"?>
<formControlPr xmlns="http://schemas.microsoft.com/office/spreadsheetml/2009/9/main" objectType="Button" lockText="1"/>
</file>

<file path=xl/ctrProps/ctrProp181.xml><?xml version="1.0" encoding="utf-8"?>
<formControlPr xmlns="http://schemas.microsoft.com/office/spreadsheetml/2009/9/main" objectType="Button" lockText="1"/>
</file>

<file path=xl/ctrProps/ctrProp182.xml><?xml version="1.0" encoding="utf-8"?>
<formControlPr xmlns="http://schemas.microsoft.com/office/spreadsheetml/2009/9/main" objectType="Button" lockText="1"/>
</file>

<file path=xl/ctrProps/ctrProp183.xml><?xml version="1.0" encoding="utf-8"?>
<formControlPr xmlns="http://schemas.microsoft.com/office/spreadsheetml/2009/9/main" objectType="Button" lockText="1"/>
</file>

<file path=xl/ctrProps/ctrProp184.xml><?xml version="1.0" encoding="utf-8"?>
<formControlPr xmlns="http://schemas.microsoft.com/office/spreadsheetml/2009/9/main" objectType="Button" lockText="1"/>
</file>

<file path=xl/ctrProps/ctrProp185.xml><?xml version="1.0" encoding="utf-8"?>
<formControlPr xmlns="http://schemas.microsoft.com/office/spreadsheetml/2009/9/main" objectType="Button" lockText="1"/>
</file>

<file path=xl/ctrProps/ctrProp186.xml><?xml version="1.0" encoding="utf-8"?>
<formControlPr xmlns="http://schemas.microsoft.com/office/spreadsheetml/2009/9/main" objectType="Button" lockText="1"/>
</file>

<file path=xl/ctrProps/ctrProp187.xml><?xml version="1.0" encoding="utf-8"?>
<formControlPr xmlns="http://schemas.microsoft.com/office/spreadsheetml/2009/9/main" objectType="Button" lockText="1"/>
</file>

<file path=xl/ctrProps/ctrProp188.xml><?xml version="1.0" encoding="utf-8"?>
<formControlPr xmlns="http://schemas.microsoft.com/office/spreadsheetml/2009/9/main" objectType="Button" lockText="1"/>
</file>

<file path=xl/ctrProps/ctrProp189.xml><?xml version="1.0" encoding="utf-8"?>
<formControlPr xmlns="http://schemas.microsoft.com/office/spreadsheetml/2009/9/main" objectType="Button" lockText="1"/>
</file>

<file path=xl/ctrProps/ctrProp190.xml><?xml version="1.0" encoding="utf-8"?>
<formControlPr xmlns="http://schemas.microsoft.com/office/spreadsheetml/2009/9/main" objectType="Button" lockText="1"/>
</file>

<file path=xl/ctrProps/ctrProp191.xml><?xml version="1.0" encoding="utf-8"?>
<formControlPr xmlns="http://schemas.microsoft.com/office/spreadsheetml/2009/9/main" objectType="Button" lockText="1"/>
</file>

<file path=xl/ctrProps/ctrProp192.xml><?xml version="1.0" encoding="utf-8"?>
<formControlPr xmlns="http://schemas.microsoft.com/office/spreadsheetml/2009/9/main" objectType="Button" lockText="1"/>
</file>

<file path=xl/ctrProps/ctrProp193.xml><?xml version="1.0" encoding="utf-8"?>
<formControlPr xmlns="http://schemas.microsoft.com/office/spreadsheetml/2009/9/main" objectType="Button" lockText="1"/>
</file>

<file path=xl/ctrProps/ctrProp194.xml><?xml version="1.0" encoding="utf-8"?>
<formControlPr xmlns="http://schemas.microsoft.com/office/spreadsheetml/2009/9/main" objectType="Button" lockText="1"/>
</file>

<file path=xl/ctrProps/ctrProp195.xml><?xml version="1.0" encoding="utf-8"?>
<formControlPr xmlns="http://schemas.microsoft.com/office/spreadsheetml/2009/9/main" objectType="Button" lockText="1"/>
</file>

<file path=xl/ctrProps/ctrProp196.xml><?xml version="1.0" encoding="utf-8"?>
<formControlPr xmlns="http://schemas.microsoft.com/office/spreadsheetml/2009/9/main" objectType="Button" lockText="1"/>
</file>

<file path=xl/ctrProps/ctrProp197.xml><?xml version="1.0" encoding="utf-8"?>
<formControlPr xmlns="http://schemas.microsoft.com/office/spreadsheetml/2009/9/main" objectType="Button" lockText="1"/>
</file>

<file path=xl/ctrProps/ctrProp198.xml><?xml version="1.0" encoding="utf-8"?>
<formControlPr xmlns="http://schemas.microsoft.com/office/spreadsheetml/2009/9/main" objectType="Button" lockText="1"/>
</file>

<file path=xl/ctrProps/ctrProp199.xml><?xml version="1.0" encoding="utf-8"?>
<formControlPr xmlns="http://schemas.microsoft.com/office/spreadsheetml/2009/9/main" objectType="Button" lockText="1"/>
</file>

<file path=xl/ctrProps/ctrProp200.xml><?xml version="1.0" encoding="utf-8"?>
<formControlPr xmlns="http://schemas.microsoft.com/office/spreadsheetml/2009/9/main" objectType="Button" lockText="1"/>
</file>

<file path=xl/ctrProps/ctrProp201.xml><?xml version="1.0" encoding="utf-8"?>
<formControlPr xmlns="http://schemas.microsoft.com/office/spreadsheetml/2009/9/main" objectType="Button" lockText="1"/>
</file>

<file path=xl/ctrProps/ctrProp202.xml><?xml version="1.0" encoding="utf-8"?>
<formControlPr xmlns="http://schemas.microsoft.com/office/spreadsheetml/2009/9/main" objectType="Button" lockText="1"/>
</file>

<file path=xl/ctrProps/ctrProp203.xml><?xml version="1.0" encoding="utf-8"?>
<formControlPr xmlns="http://schemas.microsoft.com/office/spreadsheetml/2009/9/main" objectType="Button" lockText="1"/>
</file>

<file path=xl/ctrProps/ctrProp204.xml><?xml version="1.0" encoding="utf-8"?>
<formControlPr xmlns="http://schemas.microsoft.com/office/spreadsheetml/2009/9/main" objectType="Button" lockText="1"/>
</file>

<file path=xl/ctrProps/ctrProp205.xml><?xml version="1.0" encoding="utf-8"?>
<formControlPr xmlns="http://schemas.microsoft.com/office/spreadsheetml/2009/9/main" objectType="Button" lockText="1"/>
</file>

<file path=xl/ctrProps/ctrProp206.xml><?xml version="1.0" encoding="utf-8"?>
<formControlPr xmlns="http://schemas.microsoft.com/office/spreadsheetml/2009/9/main" objectType="Button" lockText="1"/>
</file>

<file path=xl/ctrProps/ctrProp207.xml><?xml version="1.0" encoding="utf-8"?>
<formControlPr xmlns="http://schemas.microsoft.com/office/spreadsheetml/2009/9/main" objectType="Button" lockText="1"/>
</file>

<file path=xl/ctrProps/ctrProp208.xml><?xml version="1.0" encoding="utf-8"?>
<formControlPr xmlns="http://schemas.microsoft.com/office/spreadsheetml/2009/9/main" objectType="Button" lockText="1"/>
</file>

<file path=xl/ctrProps/ctrProp209.xml><?xml version="1.0" encoding="utf-8"?>
<formControlPr xmlns="http://schemas.microsoft.com/office/spreadsheetml/2009/9/main" objectType="Button" lockText="1"/>
</file>

<file path=xl/ctrProps/ctrProp210.xml><?xml version="1.0" encoding="utf-8"?>
<formControlPr xmlns="http://schemas.microsoft.com/office/spreadsheetml/2009/9/main" objectType="Button" lockText="1"/>
</file>

<file path=xl/ctrProps/ctrProp211.xml><?xml version="1.0" encoding="utf-8"?>
<formControlPr xmlns="http://schemas.microsoft.com/office/spreadsheetml/2009/9/main" objectType="Button" lockText="1"/>
</file>

<file path=xl/ctrProps/ctrProp212.xml><?xml version="1.0" encoding="utf-8"?>
<formControlPr xmlns="http://schemas.microsoft.com/office/spreadsheetml/2009/9/main" objectType="Button" lockText="1"/>
</file>

<file path=xl/ctrProps/ctrProp213.xml><?xml version="1.0" encoding="utf-8"?>
<formControlPr xmlns="http://schemas.microsoft.com/office/spreadsheetml/2009/9/main" objectType="Button" lockText="1"/>
</file>

<file path=xl/ctrProps/ctrProp214.xml><?xml version="1.0" encoding="utf-8"?>
<formControlPr xmlns="http://schemas.microsoft.com/office/spreadsheetml/2009/9/main" objectType="Button" lockText="1"/>
</file>

<file path=xl/ctrProps/ctrProp215.xml><?xml version="1.0" encoding="utf-8"?>
<formControlPr xmlns="http://schemas.microsoft.com/office/spreadsheetml/2009/9/main" objectType="Button" lockText="1"/>
</file>

<file path=xl/ctrProps/ctrProp216.xml><?xml version="1.0" encoding="utf-8"?>
<formControlPr xmlns="http://schemas.microsoft.com/office/spreadsheetml/2009/9/main" objectType="Button" lockText="1"/>
</file>

<file path=xl/ctrProps/ctrProp217.xml><?xml version="1.0" encoding="utf-8"?>
<formControlPr xmlns="http://schemas.microsoft.com/office/spreadsheetml/2009/9/main" objectType="Button" lockText="1"/>
</file>

<file path=xl/ctrProps/ctrProp218.xml><?xml version="1.0" encoding="utf-8"?>
<formControlPr xmlns="http://schemas.microsoft.com/office/spreadsheetml/2009/9/main" objectType="Button" lockText="1"/>
</file>

<file path=xl/ctrProps/ctrProp219.xml><?xml version="1.0" encoding="utf-8"?>
<formControlPr xmlns="http://schemas.microsoft.com/office/spreadsheetml/2009/9/main" objectType="Button" lockText="1"/>
</file>

<file path=xl/ctrProps/ctrProp220.xml><?xml version="1.0" encoding="utf-8"?>
<formControlPr xmlns="http://schemas.microsoft.com/office/spreadsheetml/2009/9/main" objectType="Button" lockText="1"/>
</file>

<file path=xl/ctrProps/ctrProp221.xml><?xml version="1.0" encoding="utf-8"?>
<formControlPr xmlns="http://schemas.microsoft.com/office/spreadsheetml/2009/9/main" objectType="Button" lockText="1"/>
</file>

<file path=xl/ctrProps/ctrProp222.xml><?xml version="1.0" encoding="utf-8"?>
<formControlPr xmlns="http://schemas.microsoft.com/office/spreadsheetml/2009/9/main" objectType="Button" lockText="1"/>
</file>

<file path=xl/ctrProps/ctrProp223.xml><?xml version="1.0" encoding="utf-8"?>
<formControlPr xmlns="http://schemas.microsoft.com/office/spreadsheetml/2009/9/main" objectType="Button" lockText="1"/>
</file>

<file path=xl/ctrProps/ctrProp224.xml><?xml version="1.0" encoding="utf-8"?>
<formControlPr xmlns="http://schemas.microsoft.com/office/spreadsheetml/2009/9/main" objectType="Button" lockText="1"/>
</file>

<file path=xl/ctrProps/ctrProp225.xml><?xml version="1.0" encoding="utf-8"?>
<formControlPr xmlns="http://schemas.microsoft.com/office/spreadsheetml/2009/9/main" objectType="Button" lockText="1"/>
</file>

<file path=xl/ctrProps/ctrProp226.xml><?xml version="1.0" encoding="utf-8"?>
<formControlPr xmlns="http://schemas.microsoft.com/office/spreadsheetml/2009/9/main" objectType="Button" lockText="1"/>
</file>

<file path=xl/ctrProps/ctrProp227.xml><?xml version="1.0" encoding="utf-8"?>
<formControlPr xmlns="http://schemas.microsoft.com/office/spreadsheetml/2009/9/main" objectType="Button" lockText="1"/>
</file>

<file path=xl/ctrProps/ctrProp228.xml><?xml version="1.0" encoding="utf-8"?>
<formControlPr xmlns="http://schemas.microsoft.com/office/spreadsheetml/2009/9/main" objectType="Button" lockText="1"/>
</file>

<file path=xl/ctrProps/ctrProp229.xml><?xml version="1.0" encoding="utf-8"?>
<formControlPr xmlns="http://schemas.microsoft.com/office/spreadsheetml/2009/9/main" objectType="Button" lockText="1"/>
</file>

<file path=xl/ctrProps/ctrProp230.xml><?xml version="1.0" encoding="utf-8"?>
<formControlPr xmlns="http://schemas.microsoft.com/office/spreadsheetml/2009/9/main" objectType="Button" lockText="1"/>
</file>

<file path=xl/ctrProps/ctrProp231.xml><?xml version="1.0" encoding="utf-8"?>
<formControlPr xmlns="http://schemas.microsoft.com/office/spreadsheetml/2009/9/main" objectType="Button" lockText="1"/>
</file>

<file path=xl/ctrProps/ctrProp232.xml><?xml version="1.0" encoding="utf-8"?>
<formControlPr xmlns="http://schemas.microsoft.com/office/spreadsheetml/2009/9/main" objectType="Button" lockText="1"/>
</file>

<file path=xl/ctrProps/ctrProp233.xml><?xml version="1.0" encoding="utf-8"?>
<formControlPr xmlns="http://schemas.microsoft.com/office/spreadsheetml/2009/9/main" objectType="Button" lockText="1"/>
</file>

<file path=xl/ctrProps/ctrProp234.xml><?xml version="1.0" encoding="utf-8"?>
<formControlPr xmlns="http://schemas.microsoft.com/office/spreadsheetml/2009/9/main" objectType="Button" lockText="1"/>
</file>

<file path=xl/ctrProps/ctrProp235.xml><?xml version="1.0" encoding="utf-8"?>
<formControlPr xmlns="http://schemas.microsoft.com/office/spreadsheetml/2009/9/main" objectType="Button" lockText="1"/>
</file>

<file path=xl/ctrProps/ctrProp236.xml><?xml version="1.0" encoding="utf-8"?>
<formControlPr xmlns="http://schemas.microsoft.com/office/spreadsheetml/2009/9/main" objectType="Button" lockText="1"/>
</file>

<file path=xl/ctrProps/ctrProp237.xml><?xml version="1.0" encoding="utf-8"?>
<formControlPr xmlns="http://schemas.microsoft.com/office/spreadsheetml/2009/9/main" objectType="Button" lockText="1"/>
</file>

<file path=xl/ctrProps/ctrProp238.xml><?xml version="1.0" encoding="utf-8"?>
<formControlPr xmlns="http://schemas.microsoft.com/office/spreadsheetml/2009/9/main" objectType="Button" lockText="1"/>
</file>

<file path=xl/ctrProps/ctrProp239.xml><?xml version="1.0" encoding="utf-8"?>
<formControlPr xmlns="http://schemas.microsoft.com/office/spreadsheetml/2009/9/main" objectType="Button" lockText="1"/>
</file>

<file path=xl/ctrProps/ctrProp240.xml><?xml version="1.0" encoding="utf-8"?>
<formControlPr xmlns="http://schemas.microsoft.com/office/spreadsheetml/2009/9/main" objectType="Button" lockText="1"/>
</file>

<file path=xl/ctrProps/ctrProp241.xml><?xml version="1.0" encoding="utf-8"?>
<formControlPr xmlns="http://schemas.microsoft.com/office/spreadsheetml/2009/9/main" objectType="Button" lockText="1"/>
</file>

<file path=xl/ctrProps/ctrProp242.xml><?xml version="1.0" encoding="utf-8"?>
<formControlPr xmlns="http://schemas.microsoft.com/office/spreadsheetml/2009/9/main" objectType="Button" lockText="1"/>
</file>

<file path=xl/ctrProps/ctrProp243.xml><?xml version="1.0" encoding="utf-8"?>
<formControlPr xmlns="http://schemas.microsoft.com/office/spreadsheetml/2009/9/main" objectType="Button" lockText="1"/>
</file>

<file path=xl/ctrProps/ctrProp244.xml><?xml version="1.0" encoding="utf-8"?>
<formControlPr xmlns="http://schemas.microsoft.com/office/spreadsheetml/2009/9/main" objectType="Button" lockText="1"/>
</file>

<file path=xl/ctrProps/ctrProp245.xml><?xml version="1.0" encoding="utf-8"?>
<formControlPr xmlns="http://schemas.microsoft.com/office/spreadsheetml/2009/9/main" objectType="Button" lockText="1"/>
</file>

<file path=xl/ctrProps/ctrProp246.xml><?xml version="1.0" encoding="utf-8"?>
<formControlPr xmlns="http://schemas.microsoft.com/office/spreadsheetml/2009/9/main" objectType="Button" lockText="1"/>
</file>

<file path=xl/ctrProps/ctrProp247.xml><?xml version="1.0" encoding="utf-8"?>
<formControlPr xmlns="http://schemas.microsoft.com/office/spreadsheetml/2009/9/main" objectType="Button" lockText="1"/>
</file>

<file path=xl/ctrProps/ctrProp248.xml><?xml version="1.0" encoding="utf-8"?>
<formControlPr xmlns="http://schemas.microsoft.com/office/spreadsheetml/2009/9/main" objectType="Button" lockText="1"/>
</file>

<file path=xl/ctrProps/ctrProp249.xml><?xml version="1.0" encoding="utf-8"?>
<formControlPr xmlns="http://schemas.microsoft.com/office/spreadsheetml/2009/9/main" objectType="Button" lockText="1"/>
</file>

<file path=xl/ctrProps/ctrProp250.xml><?xml version="1.0" encoding="utf-8"?>
<formControlPr xmlns="http://schemas.microsoft.com/office/spreadsheetml/2009/9/main" objectType="Button" lockText="1"/>
</file>

<file path=xl/ctrProps/ctrProp251.xml><?xml version="1.0" encoding="utf-8"?>
<formControlPr xmlns="http://schemas.microsoft.com/office/spreadsheetml/2009/9/main" objectType="Button" lockText="1"/>
</file>

<file path=xl/ctrProps/ctrProp252.xml><?xml version="1.0" encoding="utf-8"?>
<formControlPr xmlns="http://schemas.microsoft.com/office/spreadsheetml/2009/9/main" objectType="Button" lockText="1"/>
</file>

<file path=xl/ctrProps/ctrProp253.xml><?xml version="1.0" encoding="utf-8"?>
<formControlPr xmlns="http://schemas.microsoft.com/office/spreadsheetml/2009/9/main" objectType="Button" lockText="1"/>
</file>

<file path=xl/ctrProps/ctrProp254.xml><?xml version="1.0" encoding="utf-8"?>
<formControlPr xmlns="http://schemas.microsoft.com/office/spreadsheetml/2009/9/main" objectType="Button" lockText="1"/>
</file>

<file path=xl/ctrProps/ctrProp255.xml><?xml version="1.0" encoding="utf-8"?>
<formControlPr xmlns="http://schemas.microsoft.com/office/spreadsheetml/2009/9/main" objectType="Button" lockText="1"/>
</file>

<file path=xl/ctrProps/ctrProp256.xml><?xml version="1.0" encoding="utf-8"?>
<formControlPr xmlns="http://schemas.microsoft.com/office/spreadsheetml/2009/9/main" objectType="Button" lockText="1"/>
</file>

<file path=xl/ctrProps/ctrProp257.xml><?xml version="1.0" encoding="utf-8"?>
<formControlPr xmlns="http://schemas.microsoft.com/office/spreadsheetml/2009/9/main" objectType="Button" lockText="1"/>
</file>

<file path=xl/ctrProps/ctrProp258.xml><?xml version="1.0" encoding="utf-8"?>
<formControlPr xmlns="http://schemas.microsoft.com/office/spreadsheetml/2009/9/main" objectType="Button" lockText="1"/>
</file>

<file path=xl/ctrProps/ctrProp259.xml><?xml version="1.0" encoding="utf-8"?>
<formControlPr xmlns="http://schemas.microsoft.com/office/spreadsheetml/2009/9/main" objectType="Button" lockText="1"/>
</file>

<file path=xl/ctrProps/ctrProp260.xml><?xml version="1.0" encoding="utf-8"?>
<formControlPr xmlns="http://schemas.microsoft.com/office/spreadsheetml/2009/9/main" objectType="Button" lockText="1"/>
</file>

<file path=xl/ctrProps/ctrProp261.xml><?xml version="1.0" encoding="utf-8"?>
<formControlPr xmlns="http://schemas.microsoft.com/office/spreadsheetml/2009/9/main" objectType="Button" lockText="1"/>
</file>

<file path=xl/ctrProps/ctrProp262.xml><?xml version="1.0" encoding="utf-8"?>
<formControlPr xmlns="http://schemas.microsoft.com/office/spreadsheetml/2009/9/main" objectType="Button" lockText="1"/>
</file>

<file path=xl/ctrProps/ctrProp263.xml><?xml version="1.0" encoding="utf-8"?>
<formControlPr xmlns="http://schemas.microsoft.com/office/spreadsheetml/2009/9/main" objectType="Button" lockText="1"/>
</file>

<file path=xl/ctrProps/ctrProp264.xml><?xml version="1.0" encoding="utf-8"?>
<formControlPr xmlns="http://schemas.microsoft.com/office/spreadsheetml/2009/9/main" objectType="Button" lockText="1"/>
</file>

<file path=xl/ctrProps/ctrProp265.xml><?xml version="1.0" encoding="utf-8"?>
<formControlPr xmlns="http://schemas.microsoft.com/office/spreadsheetml/2009/9/main" objectType="Button" lockText="1"/>
</file>

<file path=xl/ctrProps/ctrProp266.xml><?xml version="1.0" encoding="utf-8"?>
<formControlPr xmlns="http://schemas.microsoft.com/office/spreadsheetml/2009/9/main" objectType="Button" lockText="1"/>
</file>

<file path=xl/ctrProps/ctrProp267.xml><?xml version="1.0" encoding="utf-8"?>
<formControlPr xmlns="http://schemas.microsoft.com/office/spreadsheetml/2009/9/main" objectType="Button" lockText="1"/>
</file>

<file path=xl/ctrProps/ctrProp268.xml><?xml version="1.0" encoding="utf-8"?>
<formControlPr xmlns="http://schemas.microsoft.com/office/spreadsheetml/2009/9/main" objectType="Button" lockText="1"/>
</file>

<file path=xl/ctrProps/ctrProp269.xml><?xml version="1.0" encoding="utf-8"?>
<formControlPr xmlns="http://schemas.microsoft.com/office/spreadsheetml/2009/9/main" objectType="Button" lockText="1"/>
</file>

<file path=xl/ctrProps/ctrProp270.xml><?xml version="1.0" encoding="utf-8"?>
<formControlPr xmlns="http://schemas.microsoft.com/office/spreadsheetml/2009/9/main" objectType="Button" lockText="1"/>
</file>

<file path=xl/ctrProps/ctrProp271.xml><?xml version="1.0" encoding="utf-8"?>
<formControlPr xmlns="http://schemas.microsoft.com/office/spreadsheetml/2009/9/main" objectType="Button" lockText="1"/>
</file>

<file path=xl/ctrProps/ctrProp272.xml><?xml version="1.0" encoding="utf-8"?>
<formControlPr xmlns="http://schemas.microsoft.com/office/spreadsheetml/2009/9/main" objectType="Button" lockText="1"/>
</file>

<file path=xl/ctrProps/ctrProp273.xml><?xml version="1.0" encoding="utf-8"?>
<formControlPr xmlns="http://schemas.microsoft.com/office/spreadsheetml/2009/9/main" objectType="Button" lockText="1"/>
</file>

<file path=xl/ctrProps/ctrProp274.xml><?xml version="1.0" encoding="utf-8"?>
<formControlPr xmlns="http://schemas.microsoft.com/office/spreadsheetml/2009/9/main" objectType="Button" lockText="1"/>
</file>

<file path=xl/ctrProps/ctrProp275.xml><?xml version="1.0" encoding="utf-8"?>
<formControlPr xmlns="http://schemas.microsoft.com/office/spreadsheetml/2009/9/main" objectType="Button" lockText="1"/>
</file>

<file path=xl/ctrProps/ctrProp276.xml><?xml version="1.0" encoding="utf-8"?>
<formControlPr xmlns="http://schemas.microsoft.com/office/spreadsheetml/2009/9/main" objectType="Button" lockText="1"/>
</file>

<file path=xl/ctrProps/ctrProp277.xml><?xml version="1.0" encoding="utf-8"?>
<formControlPr xmlns="http://schemas.microsoft.com/office/spreadsheetml/2009/9/main" objectType="Button" lockText="1"/>
</file>

<file path=xl/ctrProps/ctrProp278.xml><?xml version="1.0" encoding="utf-8"?>
<formControlPr xmlns="http://schemas.microsoft.com/office/spreadsheetml/2009/9/main" objectType="Button" lockText="1"/>
</file>

<file path=xl/ctrProps/ctrProp279.xml><?xml version="1.0" encoding="utf-8"?>
<formControlPr xmlns="http://schemas.microsoft.com/office/spreadsheetml/2009/9/main" objectType="Button" lockText="1"/>
</file>

<file path=xl/ctrProps/ctrProp280.xml><?xml version="1.0" encoding="utf-8"?>
<formControlPr xmlns="http://schemas.microsoft.com/office/spreadsheetml/2009/9/main" objectType="Button" lockText="1"/>
</file>

<file path=xl/ctrProps/ctrProp281.xml><?xml version="1.0" encoding="utf-8"?>
<formControlPr xmlns="http://schemas.microsoft.com/office/spreadsheetml/2009/9/main" objectType="Button" lockText="1"/>
</file>

<file path=xl/ctrProps/ctrProp282.xml><?xml version="1.0" encoding="utf-8"?>
<formControlPr xmlns="http://schemas.microsoft.com/office/spreadsheetml/2009/9/main" objectType="Button" lockText="1"/>
</file>

<file path=xl/ctrProps/ctrProp283.xml><?xml version="1.0" encoding="utf-8"?>
<formControlPr xmlns="http://schemas.microsoft.com/office/spreadsheetml/2009/9/main" objectType="Button" lockText="1"/>
</file>

<file path=xl/ctrProps/ctrProp284.xml><?xml version="1.0" encoding="utf-8"?>
<formControlPr xmlns="http://schemas.microsoft.com/office/spreadsheetml/2009/9/main" objectType="Button" lockText="1"/>
</file>

<file path=xl/ctrProps/ctrProp285.xml><?xml version="1.0" encoding="utf-8"?>
<formControlPr xmlns="http://schemas.microsoft.com/office/spreadsheetml/2009/9/main" objectType="Button" lockText="1"/>
</file>

<file path=xl/ctrProps/ctrProp286.xml><?xml version="1.0" encoding="utf-8"?>
<formControlPr xmlns="http://schemas.microsoft.com/office/spreadsheetml/2009/9/main" objectType="Button" lockText="1"/>
</file>

<file path=xl/ctrProps/ctrProp287.xml><?xml version="1.0" encoding="utf-8"?>
<formControlPr xmlns="http://schemas.microsoft.com/office/spreadsheetml/2009/9/main" objectType="Button" lockText="1"/>
</file>

<file path=xl/ctrProps/ctrProp288.xml><?xml version="1.0" encoding="utf-8"?>
<formControlPr xmlns="http://schemas.microsoft.com/office/spreadsheetml/2009/9/main" objectType="Button" lockText="1"/>
</file>

<file path=xl/ctrProps/ctrProp289.xml><?xml version="1.0" encoding="utf-8"?>
<formControlPr xmlns="http://schemas.microsoft.com/office/spreadsheetml/2009/9/main" objectType="Button" lockText="1"/>
</file>

<file path=xl/ctrProps/ctrProp290.xml><?xml version="1.0" encoding="utf-8"?>
<formControlPr xmlns="http://schemas.microsoft.com/office/spreadsheetml/2009/9/main" objectType="Button" lockText="1"/>
</file>

<file path=xl/ctrProps/ctrProp291.xml><?xml version="1.0" encoding="utf-8"?>
<formControlPr xmlns="http://schemas.microsoft.com/office/spreadsheetml/2009/9/main" objectType="Button" lockText="1"/>
</file>

<file path=xl/ctrProps/ctrProp292.xml><?xml version="1.0" encoding="utf-8"?>
<formControlPr xmlns="http://schemas.microsoft.com/office/spreadsheetml/2009/9/main" objectType="Button" lockText="1"/>
</file>

<file path=xl/ctrProps/ctrProp293.xml><?xml version="1.0" encoding="utf-8"?>
<formControlPr xmlns="http://schemas.microsoft.com/office/spreadsheetml/2009/9/main" objectType="Button" lockText="1"/>
</file>

<file path=xl/ctrProps/ctrProp294.xml><?xml version="1.0" encoding="utf-8"?>
<formControlPr xmlns="http://schemas.microsoft.com/office/spreadsheetml/2009/9/main" objectType="Button" lockText="1"/>
</file>

<file path=xl/ctrProps/ctrProp295.xml><?xml version="1.0" encoding="utf-8"?>
<formControlPr xmlns="http://schemas.microsoft.com/office/spreadsheetml/2009/9/main" objectType="Button" lockText="1"/>
</file>

<file path=xl/ctrProps/ctrProp296.xml><?xml version="1.0" encoding="utf-8"?>
<formControlPr xmlns="http://schemas.microsoft.com/office/spreadsheetml/2009/9/main" objectType="Button" lockText="1"/>
</file>

<file path=xl/ctrProps/ctrProp297.xml><?xml version="1.0" encoding="utf-8"?>
<formControlPr xmlns="http://schemas.microsoft.com/office/spreadsheetml/2009/9/main" objectType="Button" lockText="1"/>
</file>

<file path=xl/ctrProps/ctrProp298.xml><?xml version="1.0" encoding="utf-8"?>
<formControlPr xmlns="http://schemas.microsoft.com/office/spreadsheetml/2009/9/main" objectType="Button" lockText="1"/>
</file>

<file path=xl/ctrProps/ctrProp299.xml><?xml version="1.0" encoding="utf-8"?>
<formControlPr xmlns="http://schemas.microsoft.com/office/spreadsheetml/2009/9/main" objectType="Button" lockText="1"/>
</file>

<file path=xl/ctrProps/ctrProp300.xml><?xml version="1.0" encoding="utf-8"?>
<formControlPr xmlns="http://schemas.microsoft.com/office/spreadsheetml/2009/9/main" objectType="Button" lockText="1"/>
</file>

<file path=xl/ctrProps/ctrProp301.xml><?xml version="1.0" encoding="utf-8"?>
<formControlPr xmlns="http://schemas.microsoft.com/office/spreadsheetml/2009/9/main" objectType="Button" lockText="1"/>
</file>

<file path=xl/ctrProps/ctrProp302.xml><?xml version="1.0" encoding="utf-8"?>
<formControlPr xmlns="http://schemas.microsoft.com/office/spreadsheetml/2009/9/main" objectType="Button" lockText="1"/>
</file>

<file path=xl/ctrProps/ctrProp303.xml><?xml version="1.0" encoding="utf-8"?>
<formControlPr xmlns="http://schemas.microsoft.com/office/spreadsheetml/2009/9/main" objectType="Button" lockText="1"/>
</file>

<file path=xl/ctrProps/ctrProp304.xml><?xml version="1.0" encoding="utf-8"?>
<formControlPr xmlns="http://schemas.microsoft.com/office/spreadsheetml/2009/9/main" objectType="Button" lockText="1"/>
</file>

<file path=xl/ctrProps/ctrProp305.xml><?xml version="1.0" encoding="utf-8"?>
<formControlPr xmlns="http://schemas.microsoft.com/office/spreadsheetml/2009/9/main" objectType="Button" lockText="1"/>
</file>

<file path=xl/ctrProps/ctrProp306.xml><?xml version="1.0" encoding="utf-8"?>
<formControlPr xmlns="http://schemas.microsoft.com/office/spreadsheetml/2009/9/main" objectType="Button" lockText="1"/>
</file>

<file path=xl/ctrProps/ctrProp307.xml><?xml version="1.0" encoding="utf-8"?>
<formControlPr xmlns="http://schemas.microsoft.com/office/spreadsheetml/2009/9/main" objectType="Button" lockText="1"/>
</file>

<file path=xl/ctrProps/ctrProp308.xml><?xml version="1.0" encoding="utf-8"?>
<formControlPr xmlns="http://schemas.microsoft.com/office/spreadsheetml/2009/9/main" objectType="Button" lockText="1"/>
</file>

<file path=xl/ctrProps/ctrProp309.xml><?xml version="1.0" encoding="utf-8"?>
<formControlPr xmlns="http://schemas.microsoft.com/office/spreadsheetml/2009/9/main" objectType="Button" lockText="1"/>
</file>

<file path=xl/ctrProps/ctrProp310.xml><?xml version="1.0" encoding="utf-8"?>
<formControlPr xmlns="http://schemas.microsoft.com/office/spreadsheetml/2009/9/main" objectType="Button" lockText="1"/>
</file>

<file path=xl/ctrProps/ctrProp311.xml><?xml version="1.0" encoding="utf-8"?>
<formControlPr xmlns="http://schemas.microsoft.com/office/spreadsheetml/2009/9/main" objectType="Button" lockText="1"/>
</file>

<file path=xl/ctrProps/ctrProp312.xml><?xml version="1.0" encoding="utf-8"?>
<formControlPr xmlns="http://schemas.microsoft.com/office/spreadsheetml/2009/9/main" objectType="Button" lockText="1"/>
</file>

<file path=xl/ctrProps/ctrProp313.xml><?xml version="1.0" encoding="utf-8"?>
<formControlPr xmlns="http://schemas.microsoft.com/office/spreadsheetml/2009/9/main" objectType="Button" lockText="1"/>
</file>

<file path=xl/ctrProps/ctrProp314.xml><?xml version="1.0" encoding="utf-8"?>
<formControlPr xmlns="http://schemas.microsoft.com/office/spreadsheetml/2009/9/main" objectType="Button" lockText="1"/>
</file>

<file path=xl/ctrProps/ctrProp315.xml><?xml version="1.0" encoding="utf-8"?>
<formControlPr xmlns="http://schemas.microsoft.com/office/spreadsheetml/2009/9/main" objectType="Button" lockText="1"/>
</file>

<file path=xl/ctrProps/ctrProp316.xml><?xml version="1.0" encoding="utf-8"?>
<formControlPr xmlns="http://schemas.microsoft.com/office/spreadsheetml/2009/9/main" objectType="Button" lockText="1"/>
</file>

<file path=xl/ctrProps/ctrProp317.xml><?xml version="1.0" encoding="utf-8"?>
<formControlPr xmlns="http://schemas.microsoft.com/office/spreadsheetml/2009/9/main" objectType="Button" lockText="1"/>
</file>

<file path=xl/ctrProps/ctrProp318.xml><?xml version="1.0" encoding="utf-8"?>
<formControlPr xmlns="http://schemas.microsoft.com/office/spreadsheetml/2009/9/main" objectType="Button" lockText="1"/>
</file>

<file path=xl/ctrProps/ctrProp319.xml><?xml version="1.0" encoding="utf-8"?>
<formControlPr xmlns="http://schemas.microsoft.com/office/spreadsheetml/2009/9/main" objectType="Button" lockText="1"/>
</file>

<file path=xl/ctrProps/ctrProp320.xml><?xml version="1.0" encoding="utf-8"?>
<formControlPr xmlns="http://schemas.microsoft.com/office/spreadsheetml/2009/9/main" objectType="Button" lockText="1"/>
</file>

<file path=xl/ctrProps/ctrProp321.xml><?xml version="1.0" encoding="utf-8"?>
<formControlPr xmlns="http://schemas.microsoft.com/office/spreadsheetml/2009/9/main" objectType="Button" lockText="1"/>
</file>

<file path=xl/ctrProps/ctrProp322.xml><?xml version="1.0" encoding="utf-8"?>
<formControlPr xmlns="http://schemas.microsoft.com/office/spreadsheetml/2009/9/main" objectType="Button" lockText="1"/>
</file>

<file path=xl/ctrProps/ctrProp323.xml><?xml version="1.0" encoding="utf-8"?>
<formControlPr xmlns="http://schemas.microsoft.com/office/spreadsheetml/2009/9/main" objectType="Button" lockText="1"/>
</file>

<file path=xl/ctrProps/ctrProp324.xml><?xml version="1.0" encoding="utf-8"?>
<formControlPr xmlns="http://schemas.microsoft.com/office/spreadsheetml/2009/9/main" objectType="Button" lockText="1"/>
</file>

<file path=xl/ctrProps/ctrProp325.xml><?xml version="1.0" encoding="utf-8"?>
<formControlPr xmlns="http://schemas.microsoft.com/office/spreadsheetml/2009/9/main" objectType="Button" lockText="1"/>
</file>

<file path=xl/ctrProps/ctrProp326.xml><?xml version="1.0" encoding="utf-8"?>
<formControlPr xmlns="http://schemas.microsoft.com/office/spreadsheetml/2009/9/main" objectType="Button" lockText="1"/>
</file>

<file path=xl/ctrProps/ctrProp327.xml><?xml version="1.0" encoding="utf-8"?>
<formControlPr xmlns="http://schemas.microsoft.com/office/spreadsheetml/2009/9/main" objectType="Button" lockText="1"/>
</file>

<file path=xl/ctrProps/ctrProp328.xml><?xml version="1.0" encoding="utf-8"?>
<formControlPr xmlns="http://schemas.microsoft.com/office/spreadsheetml/2009/9/main" objectType="Button" lockText="1"/>
</file>

<file path=xl/ctrProps/ctrProp329.xml><?xml version="1.0" encoding="utf-8"?>
<formControlPr xmlns="http://schemas.microsoft.com/office/spreadsheetml/2009/9/main" objectType="Button" lockText="1"/>
</file>

<file path=xl/ctrProps/ctrProp330.xml><?xml version="1.0" encoding="utf-8"?>
<formControlPr xmlns="http://schemas.microsoft.com/office/spreadsheetml/2009/9/main" objectType="Button" lockText="1"/>
</file>

<file path=xl/ctrProps/ctrProp331.xml><?xml version="1.0" encoding="utf-8"?>
<formControlPr xmlns="http://schemas.microsoft.com/office/spreadsheetml/2009/9/main" objectType="Button" lockText="1"/>
</file>

<file path=xl/ctrProps/ctrProp332.xml><?xml version="1.0" encoding="utf-8"?>
<formControlPr xmlns="http://schemas.microsoft.com/office/spreadsheetml/2009/9/main" objectType="Button" lockText="1"/>
</file>

<file path=xl/ctrProps/ctrProp333.xml><?xml version="1.0" encoding="utf-8"?>
<formControlPr xmlns="http://schemas.microsoft.com/office/spreadsheetml/2009/9/main" objectType="Button" lockText="1"/>
</file>

<file path=xl/ctrProps/ctrProp334.xml><?xml version="1.0" encoding="utf-8"?>
<formControlPr xmlns="http://schemas.microsoft.com/office/spreadsheetml/2009/9/main" objectType="Button" lockText="1"/>
</file>

<file path=xl/ctrProps/ctrProp335.xml><?xml version="1.0" encoding="utf-8"?>
<formControlPr xmlns="http://schemas.microsoft.com/office/spreadsheetml/2009/9/main" objectType="Button" lockText="1"/>
</file>

<file path=xl/ctrProps/ctrProp336.xml><?xml version="1.0" encoding="utf-8"?>
<formControlPr xmlns="http://schemas.microsoft.com/office/spreadsheetml/2009/9/main" objectType="Button" lockText="1"/>
</file>

<file path=xl/ctrProps/ctrProp337.xml><?xml version="1.0" encoding="utf-8"?>
<formControlPr xmlns="http://schemas.microsoft.com/office/spreadsheetml/2009/9/main" objectType="Button" lockText="1"/>
</file>

<file path=xl/ctrProps/ctrProp338.xml><?xml version="1.0" encoding="utf-8"?>
<formControlPr xmlns="http://schemas.microsoft.com/office/spreadsheetml/2009/9/main" objectType="Button" lockText="1"/>
</file>

<file path=xl/ctrProps/ctrProp339.xml><?xml version="1.0" encoding="utf-8"?>
<formControlPr xmlns="http://schemas.microsoft.com/office/spreadsheetml/2009/9/main" objectType="Button" lockText="1"/>
</file>

<file path=xl/ctrProps/ctrProp340.xml><?xml version="1.0" encoding="utf-8"?>
<formControlPr xmlns="http://schemas.microsoft.com/office/spreadsheetml/2009/9/main" objectType="Button" lockText="1"/>
</file>

<file path=xl/ctrProps/ctrProp341.xml><?xml version="1.0" encoding="utf-8"?>
<formControlPr xmlns="http://schemas.microsoft.com/office/spreadsheetml/2009/9/main" objectType="Button" lockText="1"/>
</file>

<file path=xl/ctrProps/ctrProp342.xml><?xml version="1.0" encoding="utf-8"?>
<formControlPr xmlns="http://schemas.microsoft.com/office/spreadsheetml/2009/9/main" objectType="Button" lockText="1"/>
</file>

<file path=xl/ctrProps/ctrProp343.xml><?xml version="1.0" encoding="utf-8"?>
<formControlPr xmlns="http://schemas.microsoft.com/office/spreadsheetml/2009/9/main" objectType="Button" lockText="1"/>
</file>

<file path=xl/ctrProps/ctrProp344.xml><?xml version="1.0" encoding="utf-8"?>
<formControlPr xmlns="http://schemas.microsoft.com/office/spreadsheetml/2009/9/main" objectType="Button" lockText="1"/>
</file>

<file path=xl/ctrProps/ctrProp345.xml><?xml version="1.0" encoding="utf-8"?>
<formControlPr xmlns="http://schemas.microsoft.com/office/spreadsheetml/2009/9/main" objectType="Button" lockText="1"/>
</file>

<file path=xl/ctrProps/ctrProp346.xml><?xml version="1.0" encoding="utf-8"?>
<formControlPr xmlns="http://schemas.microsoft.com/office/spreadsheetml/2009/9/main" objectType="Button" lockText="1"/>
</file>

<file path=xl/ctrProps/ctrProp347.xml><?xml version="1.0" encoding="utf-8"?>
<formControlPr xmlns="http://schemas.microsoft.com/office/spreadsheetml/2009/9/main" objectType="Button" lockText="1"/>
</file>

<file path=xl/ctrProps/ctrProp348.xml><?xml version="1.0" encoding="utf-8"?>
<formControlPr xmlns="http://schemas.microsoft.com/office/spreadsheetml/2009/9/main" objectType="Button" lockText="1"/>
</file>

<file path=xl/ctrProps/ctrProp349.xml><?xml version="1.0" encoding="utf-8"?>
<formControlPr xmlns="http://schemas.microsoft.com/office/spreadsheetml/2009/9/main" objectType="Button" lockText="1"/>
</file>

<file path=xl/ctrProps/ctrProp350.xml><?xml version="1.0" encoding="utf-8"?>
<formControlPr xmlns="http://schemas.microsoft.com/office/spreadsheetml/2009/9/main" objectType="Button" lockText="1"/>
</file>

<file path=xl/ctrProps/ctrProp351.xml><?xml version="1.0" encoding="utf-8"?>
<formControlPr xmlns="http://schemas.microsoft.com/office/spreadsheetml/2009/9/main" objectType="Button" lockText="1"/>
</file>

<file path=xl/ctrProps/ctrProp352.xml><?xml version="1.0" encoding="utf-8"?>
<formControlPr xmlns="http://schemas.microsoft.com/office/spreadsheetml/2009/9/main" objectType="Button" lockText="1"/>
</file>

<file path=xl/ctrProps/ctrProp353.xml><?xml version="1.0" encoding="utf-8"?>
<formControlPr xmlns="http://schemas.microsoft.com/office/spreadsheetml/2009/9/main" objectType="Button" lockText="1"/>
</file>

<file path=xl/ctrProps/ctrProp354.xml><?xml version="1.0" encoding="utf-8"?>
<formControlPr xmlns="http://schemas.microsoft.com/office/spreadsheetml/2009/9/main" objectType="Button" lockText="1"/>
</file>

<file path=xl/ctrProps/ctrProp355.xml><?xml version="1.0" encoding="utf-8"?>
<formControlPr xmlns="http://schemas.microsoft.com/office/spreadsheetml/2009/9/main" objectType="Button" lockText="1"/>
</file>

<file path=xl/ctrProps/ctrProp356.xml><?xml version="1.0" encoding="utf-8"?>
<formControlPr xmlns="http://schemas.microsoft.com/office/spreadsheetml/2009/9/main" objectType="Button" lockText="1"/>
</file>

<file path=xl/ctrProps/ctrProp357.xml><?xml version="1.0" encoding="utf-8"?>
<formControlPr xmlns="http://schemas.microsoft.com/office/spreadsheetml/2009/9/main" objectType="Button" lockText="1"/>
</file>

<file path=xl/ctrProps/ctrProp358.xml><?xml version="1.0" encoding="utf-8"?>
<formControlPr xmlns="http://schemas.microsoft.com/office/spreadsheetml/2009/9/main" objectType="Button" lockText="1"/>
</file>

<file path=xl/ctrProps/ctrProp359.xml><?xml version="1.0" encoding="utf-8"?>
<formControlPr xmlns="http://schemas.microsoft.com/office/spreadsheetml/2009/9/main" objectType="Button" lockText="1"/>
</file>

<file path=xl/ctrProps/ctrProp360.xml><?xml version="1.0" encoding="utf-8"?>
<formControlPr xmlns="http://schemas.microsoft.com/office/spreadsheetml/2009/9/main" objectType="Button" lockText="1"/>
</file>

<file path=xl/ctrProps/ctrProp361.xml><?xml version="1.0" encoding="utf-8"?>
<formControlPr xmlns="http://schemas.microsoft.com/office/spreadsheetml/2009/9/main" objectType="Button" lockText="1"/>
</file>

<file path=xl/ctrProps/ctrProp362.xml><?xml version="1.0" encoding="utf-8"?>
<formControlPr xmlns="http://schemas.microsoft.com/office/spreadsheetml/2009/9/main" objectType="Button" lockText="1"/>
</file>

<file path=xl/ctrProps/ctrProp363.xml><?xml version="1.0" encoding="utf-8"?>
<formControlPr xmlns="http://schemas.microsoft.com/office/spreadsheetml/2009/9/main" objectType="Button" lockText="1"/>
</file>

<file path=xl/ctrProps/ctrProp364.xml><?xml version="1.0" encoding="utf-8"?>
<formControlPr xmlns="http://schemas.microsoft.com/office/spreadsheetml/2009/9/main" objectType="Button" lockText="1"/>
</file>

<file path=xl/ctrProps/ctrProp365.xml><?xml version="1.0" encoding="utf-8"?>
<formControlPr xmlns="http://schemas.microsoft.com/office/spreadsheetml/2009/9/main" objectType="Button" lockText="1"/>
</file>

<file path=xl/ctrProps/ctrProp366.xml><?xml version="1.0" encoding="utf-8"?>
<formControlPr xmlns="http://schemas.microsoft.com/office/spreadsheetml/2009/9/main" objectType="Button" lockText="1"/>
</file>

<file path=xl/ctrProps/ctrProp367.xml><?xml version="1.0" encoding="utf-8"?>
<formControlPr xmlns="http://schemas.microsoft.com/office/spreadsheetml/2009/9/main" objectType="Button" lockText="1"/>
</file>

<file path=xl/ctrProps/ctrProp368.xml><?xml version="1.0" encoding="utf-8"?>
<formControlPr xmlns="http://schemas.microsoft.com/office/spreadsheetml/2009/9/main" objectType="Button" lockText="1"/>
</file>

<file path=xl/ctrProps/ctrProp369.xml><?xml version="1.0" encoding="utf-8"?>
<formControlPr xmlns="http://schemas.microsoft.com/office/spreadsheetml/2009/9/main" objectType="Button" lockText="1"/>
</file>

<file path=xl/ctrProps/ctrProp370.xml><?xml version="1.0" encoding="utf-8"?>
<formControlPr xmlns="http://schemas.microsoft.com/office/spreadsheetml/2009/9/main" objectType="Button" lockText="1"/>
</file>

<file path=xl/ctrProps/ctrProp371.xml><?xml version="1.0" encoding="utf-8"?>
<formControlPr xmlns="http://schemas.microsoft.com/office/spreadsheetml/2009/9/main" objectType="Button" lockText="1"/>
</file>

<file path=xl/ctrProps/ctrProp372.xml><?xml version="1.0" encoding="utf-8"?>
<formControlPr xmlns="http://schemas.microsoft.com/office/spreadsheetml/2009/9/main" objectType="Button" lockText="1"/>
</file>

<file path=xl/ctrProps/ctrProp373.xml><?xml version="1.0" encoding="utf-8"?>
<formControlPr xmlns="http://schemas.microsoft.com/office/spreadsheetml/2009/9/main" objectType="Button" lockText="1"/>
</file>

<file path=xl/ctrProps/ctrProp374.xml><?xml version="1.0" encoding="utf-8"?>
<formControlPr xmlns="http://schemas.microsoft.com/office/spreadsheetml/2009/9/main" objectType="Button" lockText="1"/>
</file>

<file path=xl/ctrProps/ctrProp375.xml><?xml version="1.0" encoding="utf-8"?>
<formControlPr xmlns="http://schemas.microsoft.com/office/spreadsheetml/2009/9/main" objectType="Button" lockText="1"/>
</file>

<file path=xl/ctrProps/ctrProp376.xml><?xml version="1.0" encoding="utf-8"?>
<formControlPr xmlns="http://schemas.microsoft.com/office/spreadsheetml/2009/9/main" objectType="Button" lockText="1"/>
</file>

<file path=xl/ctrProps/ctrProp377.xml><?xml version="1.0" encoding="utf-8"?>
<formControlPr xmlns="http://schemas.microsoft.com/office/spreadsheetml/2009/9/main" objectType="Button" lockText="1"/>
</file>

<file path=xl/ctrProps/ctrProp378.xml><?xml version="1.0" encoding="utf-8"?>
<formControlPr xmlns="http://schemas.microsoft.com/office/spreadsheetml/2009/9/main" objectType="Button" lockText="1"/>
</file>

<file path=xl/ctrProps/ctrProp379.xml><?xml version="1.0" encoding="utf-8"?>
<formControlPr xmlns="http://schemas.microsoft.com/office/spreadsheetml/2009/9/main" objectType="Button" lockText="1"/>
</file>

<file path=xl/ctrProps/ctrProp380.xml><?xml version="1.0" encoding="utf-8"?>
<formControlPr xmlns="http://schemas.microsoft.com/office/spreadsheetml/2009/9/main" objectType="Button" lockText="1"/>
</file>

<file path=xl/ctrProps/ctrProp381.xml><?xml version="1.0" encoding="utf-8"?>
<formControlPr xmlns="http://schemas.microsoft.com/office/spreadsheetml/2009/9/main" objectType="Button" lockText="1"/>
</file>

<file path=xl/ctrProps/ctrProp382.xml><?xml version="1.0" encoding="utf-8"?>
<formControlPr xmlns="http://schemas.microsoft.com/office/spreadsheetml/2009/9/main" objectType="Button" lockText="1"/>
</file>

<file path=xl/ctrProps/ctrProp383.xml><?xml version="1.0" encoding="utf-8"?>
<formControlPr xmlns="http://schemas.microsoft.com/office/spreadsheetml/2009/9/main" objectType="Button" lockText="1"/>
</file>

<file path=xl/ctrProps/ctrProp384.xml><?xml version="1.0" encoding="utf-8"?>
<formControlPr xmlns="http://schemas.microsoft.com/office/spreadsheetml/2009/9/main" objectType="Button" lockText="1"/>
</file>

<file path=xl/ctrProps/ctrProp385.xml><?xml version="1.0" encoding="utf-8"?>
<formControlPr xmlns="http://schemas.microsoft.com/office/spreadsheetml/2009/9/main" objectType="Button" lockText="1"/>
</file>

<file path=xl/ctrProps/ctrProp386.xml><?xml version="1.0" encoding="utf-8"?>
<formControlPr xmlns="http://schemas.microsoft.com/office/spreadsheetml/2009/9/main" objectType="Button" lockText="1"/>
</file>

<file path=xl/ctrProps/ctrProp387.xml><?xml version="1.0" encoding="utf-8"?>
<formControlPr xmlns="http://schemas.microsoft.com/office/spreadsheetml/2009/9/main" objectType="Button" lockText="1"/>
</file>

<file path=xl/ctrProps/ctrProp388.xml><?xml version="1.0" encoding="utf-8"?>
<formControlPr xmlns="http://schemas.microsoft.com/office/spreadsheetml/2009/9/main" objectType="Button" lockText="1"/>
</file>

<file path=xl/ctrProps/ctrProp389.xml><?xml version="1.0" encoding="utf-8"?>
<formControlPr xmlns="http://schemas.microsoft.com/office/spreadsheetml/2009/9/main" objectType="Button" lockText="1"/>
</file>

<file path=xl/ctrProps/ctrProp390.xml><?xml version="1.0" encoding="utf-8"?>
<formControlPr xmlns="http://schemas.microsoft.com/office/spreadsheetml/2009/9/main" objectType="Button" lockText="1"/>
</file>

<file path=xl/ctrProps/ctrProp391.xml><?xml version="1.0" encoding="utf-8"?>
<formControlPr xmlns="http://schemas.microsoft.com/office/spreadsheetml/2009/9/main" objectType="Button" lockText="1"/>
</file>

<file path=xl/ctrProps/ctrProp392.xml><?xml version="1.0" encoding="utf-8"?>
<formControlPr xmlns="http://schemas.microsoft.com/office/spreadsheetml/2009/9/main" objectType="Button" lockText="1"/>
</file>

<file path=xl/ctrProps/ctrProp393.xml><?xml version="1.0" encoding="utf-8"?>
<formControlPr xmlns="http://schemas.microsoft.com/office/spreadsheetml/2009/9/main" objectType="Button" lockText="1"/>
</file>

<file path=xl/ctrProps/ctrProp394.xml><?xml version="1.0" encoding="utf-8"?>
<formControlPr xmlns="http://schemas.microsoft.com/office/spreadsheetml/2009/9/main" objectType="Button" lockText="1"/>
</file>

<file path=xl/ctrProps/ctrProp395.xml><?xml version="1.0" encoding="utf-8"?>
<formControlPr xmlns="http://schemas.microsoft.com/office/spreadsheetml/2009/9/main" objectType="Button" lockText="1"/>
</file>

<file path=xl/ctrProps/ctrProp396.xml><?xml version="1.0" encoding="utf-8"?>
<formControlPr xmlns="http://schemas.microsoft.com/office/spreadsheetml/2009/9/main" objectType="Button" lockText="1"/>
</file>

<file path=xl/ctrProps/ctrProp397.xml><?xml version="1.0" encoding="utf-8"?>
<formControlPr xmlns="http://schemas.microsoft.com/office/spreadsheetml/2009/9/main" objectType="Button" lockText="1"/>
</file>

<file path=xl/ctrProps/ctrProp398.xml><?xml version="1.0" encoding="utf-8"?>
<formControlPr xmlns="http://schemas.microsoft.com/office/spreadsheetml/2009/9/main" objectType="Button" lockText="1"/>
</file>

<file path=xl/ctrProps/ctrProp399.xml><?xml version="1.0" encoding="utf-8"?>
<formControlPr xmlns="http://schemas.microsoft.com/office/spreadsheetml/2009/9/main" objectType="Button" lockText="1"/>
</file>

<file path=xl/ctrProps/ctrProp400.xml><?xml version="1.0" encoding="utf-8"?>
<formControlPr xmlns="http://schemas.microsoft.com/office/spreadsheetml/2009/9/main" objectType="Button" lockText="1"/>
</file>

<file path=xl/ctrProps/ctrProp401.xml><?xml version="1.0" encoding="utf-8"?>
<formControlPr xmlns="http://schemas.microsoft.com/office/spreadsheetml/2009/9/main" objectType="Button" lockText="1"/>
</file>

<file path=xl/ctrProps/ctrProp402.xml><?xml version="1.0" encoding="utf-8"?>
<formControlPr xmlns="http://schemas.microsoft.com/office/spreadsheetml/2009/9/main" objectType="Button" lockText="1"/>
</file>

<file path=xl/ctrProps/ctrProp403.xml><?xml version="1.0" encoding="utf-8"?>
<formControlPr xmlns="http://schemas.microsoft.com/office/spreadsheetml/2009/9/main" objectType="Button" lockText="1"/>
</file>

<file path=xl/ctrProps/ctrProp404.xml><?xml version="1.0" encoding="utf-8"?>
<formControlPr xmlns="http://schemas.microsoft.com/office/spreadsheetml/2009/9/main" objectType="Button" lockText="1"/>
</file>

<file path=xl/ctrProps/ctrProp405.xml><?xml version="1.0" encoding="utf-8"?>
<formControlPr xmlns="http://schemas.microsoft.com/office/spreadsheetml/2009/9/main" objectType="Button" lockText="1"/>
</file>

<file path=xl/ctrProps/ctrProp406.xml><?xml version="1.0" encoding="utf-8"?>
<formControlPr xmlns="http://schemas.microsoft.com/office/spreadsheetml/2009/9/main" objectType="Button" lockText="1"/>
</file>

<file path=xl/ctrProps/ctrProp407.xml><?xml version="1.0" encoding="utf-8"?>
<formControlPr xmlns="http://schemas.microsoft.com/office/spreadsheetml/2009/9/main" objectType="Button" lockText="1"/>
</file>

<file path=xl/ctrProps/ctrProp408.xml><?xml version="1.0" encoding="utf-8"?>
<formControlPr xmlns="http://schemas.microsoft.com/office/spreadsheetml/2009/9/main" objectType="Button" lockText="1"/>
</file>

<file path=xl/ctrProps/ctrProp409.xml><?xml version="1.0" encoding="utf-8"?>
<formControlPr xmlns="http://schemas.microsoft.com/office/spreadsheetml/2009/9/main" objectType="Button" lockText="1"/>
</file>

<file path=xl/ctrProps/ctrProp410.xml><?xml version="1.0" encoding="utf-8"?>
<formControlPr xmlns="http://schemas.microsoft.com/office/spreadsheetml/2009/9/main" objectType="Button" lockText="1"/>
</file>

<file path=xl/ctrProps/ctrProp411.xml><?xml version="1.0" encoding="utf-8"?>
<formControlPr xmlns="http://schemas.microsoft.com/office/spreadsheetml/2009/9/main" objectType="Button" lockText="1"/>
</file>

<file path=xl/ctrProps/ctrProp412.xml><?xml version="1.0" encoding="utf-8"?>
<formControlPr xmlns="http://schemas.microsoft.com/office/spreadsheetml/2009/9/main" objectType="Button" lockText="1"/>
</file>

<file path=xl/ctrProps/ctrProp413.xml><?xml version="1.0" encoding="utf-8"?>
<formControlPr xmlns="http://schemas.microsoft.com/office/spreadsheetml/2009/9/main" objectType="Button" lockText="1"/>
</file>

<file path=xl/ctrProps/ctrProp414.xml><?xml version="1.0" encoding="utf-8"?>
<formControlPr xmlns="http://schemas.microsoft.com/office/spreadsheetml/2009/9/main" objectType="Button" lockText="1"/>
</file>

<file path=xl/ctrProps/ctrProp415.xml><?xml version="1.0" encoding="utf-8"?>
<formControlPr xmlns="http://schemas.microsoft.com/office/spreadsheetml/2009/9/main" objectType="Button" lockText="1"/>
</file>

<file path=xl/ctrProps/ctrProp416.xml><?xml version="1.0" encoding="utf-8"?>
<formControlPr xmlns="http://schemas.microsoft.com/office/spreadsheetml/2009/9/main" objectType="Button" lockText="1"/>
</file>

<file path=xl/ctrProps/ctrProp417.xml><?xml version="1.0" encoding="utf-8"?>
<formControlPr xmlns="http://schemas.microsoft.com/office/spreadsheetml/2009/9/main" objectType="Button" lockText="1"/>
</file>

<file path=xl/ctrProps/ctrProp418.xml><?xml version="1.0" encoding="utf-8"?>
<formControlPr xmlns="http://schemas.microsoft.com/office/spreadsheetml/2009/9/main" objectType="Button" lockText="1"/>
</file>

<file path=xl/ctrProps/ctrProp419.xml><?xml version="1.0" encoding="utf-8"?>
<formControlPr xmlns="http://schemas.microsoft.com/office/spreadsheetml/2009/9/main" objectType="Button" lockText="1"/>
</file>

<file path=xl/ctrProps/ctrProp420.xml><?xml version="1.0" encoding="utf-8"?>
<formControlPr xmlns="http://schemas.microsoft.com/office/spreadsheetml/2009/9/main" objectType="Button" lockText="1"/>
</file>

<file path=xl/ctrProps/ctrProp421.xml><?xml version="1.0" encoding="utf-8"?>
<formControlPr xmlns="http://schemas.microsoft.com/office/spreadsheetml/2009/9/main" objectType="Button" lockText="1"/>
</file>

<file path=xl/ctrProps/ctrProp422.xml><?xml version="1.0" encoding="utf-8"?>
<formControlPr xmlns="http://schemas.microsoft.com/office/spreadsheetml/2009/9/main" objectType="Button" lockText="1"/>
</file>

<file path=xl/ctrProps/ctrProp423.xml><?xml version="1.0" encoding="utf-8"?>
<formControlPr xmlns="http://schemas.microsoft.com/office/spreadsheetml/2009/9/main" objectType="Button" lockText="1"/>
</file>

<file path=xl/ctrProps/ctrProp424.xml><?xml version="1.0" encoding="utf-8"?>
<formControlPr xmlns="http://schemas.microsoft.com/office/spreadsheetml/2009/9/main" objectType="Button" lockText="1"/>
</file>

<file path=xl/ctrProps/ctrProp425.xml><?xml version="1.0" encoding="utf-8"?>
<formControlPr xmlns="http://schemas.microsoft.com/office/spreadsheetml/2009/9/main" objectType="Button" lockText="1"/>
</file>

<file path=xl/ctrProps/ctrProp426.xml><?xml version="1.0" encoding="utf-8"?>
<formControlPr xmlns="http://schemas.microsoft.com/office/spreadsheetml/2009/9/main" objectType="Button" lockText="1"/>
</file>

<file path=xl/ctrProps/ctrProp427.xml><?xml version="1.0" encoding="utf-8"?>
<formControlPr xmlns="http://schemas.microsoft.com/office/spreadsheetml/2009/9/main" objectType="Button" lockText="1"/>
</file>

<file path=xl/ctrProps/ctrProp428.xml><?xml version="1.0" encoding="utf-8"?>
<formControlPr xmlns="http://schemas.microsoft.com/office/spreadsheetml/2009/9/main" objectType="Button" lockText="1"/>
</file>

<file path=xl/ctrProps/ctrProp429.xml><?xml version="1.0" encoding="utf-8"?>
<formControlPr xmlns="http://schemas.microsoft.com/office/spreadsheetml/2009/9/main" objectType="Button" lockText="1"/>
</file>

<file path=xl/ctrProps/ctrProp430.xml><?xml version="1.0" encoding="utf-8"?>
<formControlPr xmlns="http://schemas.microsoft.com/office/spreadsheetml/2009/9/main" objectType="Button" lockText="1"/>
</file>

<file path=xl/ctrProps/ctrProp431.xml><?xml version="1.0" encoding="utf-8"?>
<formControlPr xmlns="http://schemas.microsoft.com/office/spreadsheetml/2009/9/main" objectType="Button" lockText="1"/>
</file>

<file path=xl/ctrProps/ctrProp432.xml><?xml version="1.0" encoding="utf-8"?>
<formControlPr xmlns="http://schemas.microsoft.com/office/spreadsheetml/2009/9/main" objectType="Button" lockText="1"/>
</file>

<file path=xl/ctrProps/ctrProp433.xml><?xml version="1.0" encoding="utf-8"?>
<formControlPr xmlns="http://schemas.microsoft.com/office/spreadsheetml/2009/9/main" objectType="Button" lockText="1"/>
</file>

<file path=xl/ctrProps/ctrProp434.xml><?xml version="1.0" encoding="utf-8"?>
<formControlPr xmlns="http://schemas.microsoft.com/office/spreadsheetml/2009/9/main" objectType="Button" lockText="1"/>
</file>

<file path=xl/ctrProps/ctrProp435.xml><?xml version="1.0" encoding="utf-8"?>
<formControlPr xmlns="http://schemas.microsoft.com/office/spreadsheetml/2009/9/main" objectType="Button" lockText="1"/>
</file>

<file path=xl/ctrProps/ctrProp436.xml><?xml version="1.0" encoding="utf-8"?>
<formControlPr xmlns="http://schemas.microsoft.com/office/spreadsheetml/2009/9/main" objectType="Button" lockText="1"/>
</file>

<file path=xl/ctrProps/ctrProp437.xml><?xml version="1.0" encoding="utf-8"?>
<formControlPr xmlns="http://schemas.microsoft.com/office/spreadsheetml/2009/9/main" objectType="Button" lockText="1"/>
</file>

<file path=xl/ctrProps/ctrProp438.xml><?xml version="1.0" encoding="utf-8"?>
<formControlPr xmlns="http://schemas.microsoft.com/office/spreadsheetml/2009/9/main" objectType="Button" lockText="1"/>
</file>

<file path=xl/ctrProps/ctrProp439.xml><?xml version="1.0" encoding="utf-8"?>
<formControlPr xmlns="http://schemas.microsoft.com/office/spreadsheetml/2009/9/main" objectType="Button" lockText="1"/>
</file>

<file path=xl/ctrProps/ctrProp440.xml><?xml version="1.0" encoding="utf-8"?>
<formControlPr xmlns="http://schemas.microsoft.com/office/spreadsheetml/2009/9/main" objectType="Button" lockText="1"/>
</file>

<file path=xl/ctrProps/ctrProp441.xml><?xml version="1.0" encoding="utf-8"?>
<formControlPr xmlns="http://schemas.microsoft.com/office/spreadsheetml/2009/9/main" objectType="Button" lockText="1"/>
</file>

<file path=xl/ctrProps/ctrProp442.xml><?xml version="1.0" encoding="utf-8"?>
<formControlPr xmlns="http://schemas.microsoft.com/office/spreadsheetml/2009/9/main" objectType="Button" lockText="1"/>
</file>

<file path=xl/ctrProps/ctrProp443.xml><?xml version="1.0" encoding="utf-8"?>
<formControlPr xmlns="http://schemas.microsoft.com/office/spreadsheetml/2009/9/main" objectType="Button" lockText="1"/>
</file>

<file path=xl/ctrProps/ctrProp444.xml><?xml version="1.0" encoding="utf-8"?>
<formControlPr xmlns="http://schemas.microsoft.com/office/spreadsheetml/2009/9/main" objectType="Button" lockText="1"/>
</file>

<file path=xl/ctrProps/ctrProp445.xml><?xml version="1.0" encoding="utf-8"?>
<formControlPr xmlns="http://schemas.microsoft.com/office/spreadsheetml/2009/9/main" objectType="Button" lockText="1"/>
</file>

<file path=xl/ctrProps/ctrProp446.xml><?xml version="1.0" encoding="utf-8"?>
<formControlPr xmlns="http://schemas.microsoft.com/office/spreadsheetml/2009/9/main" objectType="Button" lockText="1"/>
</file>

<file path=xl/ctrProps/ctrProp447.xml><?xml version="1.0" encoding="utf-8"?>
<formControlPr xmlns="http://schemas.microsoft.com/office/spreadsheetml/2009/9/main" objectType="Button" lockText="1"/>
</file>

<file path=xl/ctrProps/ctrProp448.xml><?xml version="1.0" encoding="utf-8"?>
<formControlPr xmlns="http://schemas.microsoft.com/office/spreadsheetml/2009/9/main" objectType="Button" lockText="1"/>
</file>

<file path=xl/ctrProps/ctrProp449.xml><?xml version="1.0" encoding="utf-8"?>
<formControlPr xmlns="http://schemas.microsoft.com/office/spreadsheetml/2009/9/main" objectType="Button" lockText="1"/>
</file>

<file path=xl/ctrProps/ctrProp450.xml><?xml version="1.0" encoding="utf-8"?>
<formControlPr xmlns="http://schemas.microsoft.com/office/spreadsheetml/2009/9/main" objectType="Button" lockText="1"/>
</file>

<file path=xl/ctrProps/ctrProp451.xml><?xml version="1.0" encoding="utf-8"?>
<formControlPr xmlns="http://schemas.microsoft.com/office/spreadsheetml/2009/9/main" objectType="Button" lockText="1"/>
</file>

<file path=xl/ctrProps/ctrProp452.xml><?xml version="1.0" encoding="utf-8"?>
<formControlPr xmlns="http://schemas.microsoft.com/office/spreadsheetml/2009/9/main" objectType="Button" lockText="1"/>
</file>

<file path=xl/ctrProps/ctrProp453.xml><?xml version="1.0" encoding="utf-8"?>
<formControlPr xmlns="http://schemas.microsoft.com/office/spreadsheetml/2009/9/main" objectType="Button" lockText="1"/>
</file>

<file path=xl/ctrProps/ctrProp454.xml><?xml version="1.0" encoding="utf-8"?>
<formControlPr xmlns="http://schemas.microsoft.com/office/spreadsheetml/2009/9/main" objectType="Button" lockText="1"/>
</file>

<file path=xl/ctrProps/ctrProp455.xml><?xml version="1.0" encoding="utf-8"?>
<formControlPr xmlns="http://schemas.microsoft.com/office/spreadsheetml/2009/9/main" objectType="Button" lockText="1"/>
</file>

<file path=xl/ctrProps/ctrProp456.xml><?xml version="1.0" encoding="utf-8"?>
<formControlPr xmlns="http://schemas.microsoft.com/office/spreadsheetml/2009/9/main" objectType="Button" lockText="1"/>
</file>

<file path=xl/ctrProps/ctrProp457.xml><?xml version="1.0" encoding="utf-8"?>
<formControlPr xmlns="http://schemas.microsoft.com/office/spreadsheetml/2009/9/main" objectType="Button" lockText="1"/>
</file>

<file path=xl/ctrProps/ctrProp458.xml><?xml version="1.0" encoding="utf-8"?>
<formControlPr xmlns="http://schemas.microsoft.com/office/spreadsheetml/2009/9/main" objectType="Button" lockText="1"/>
</file>

<file path=xl/ctrProps/ctrProp459.xml><?xml version="1.0" encoding="utf-8"?>
<formControlPr xmlns="http://schemas.microsoft.com/office/spreadsheetml/2009/9/main" objectType="Button" lockText="1"/>
</file>

<file path=xl/ctrProps/ctrProp460.xml><?xml version="1.0" encoding="utf-8"?>
<formControlPr xmlns="http://schemas.microsoft.com/office/spreadsheetml/2009/9/main" objectType="Button" lockText="1"/>
</file>

<file path=xl/ctrProps/ctrProp461.xml><?xml version="1.0" encoding="utf-8"?>
<formControlPr xmlns="http://schemas.microsoft.com/office/spreadsheetml/2009/9/main" objectType="Button" lockText="1"/>
</file>

<file path=xl/ctrProps/ctrProp462.xml><?xml version="1.0" encoding="utf-8"?>
<formControlPr xmlns="http://schemas.microsoft.com/office/spreadsheetml/2009/9/main" objectType="Button" lockText="1"/>
</file>

<file path=xl/ctrProps/ctrProp463.xml><?xml version="1.0" encoding="utf-8"?>
<formControlPr xmlns="http://schemas.microsoft.com/office/spreadsheetml/2009/9/main" objectType="Button" lockText="1"/>
</file>

<file path=xl/ctrProps/ctrProp464.xml><?xml version="1.0" encoding="utf-8"?>
<formControlPr xmlns="http://schemas.microsoft.com/office/spreadsheetml/2009/9/main" objectType="Button" lockText="1"/>
</file>

<file path=xl/ctrProps/ctrProp465.xml><?xml version="1.0" encoding="utf-8"?>
<formControlPr xmlns="http://schemas.microsoft.com/office/spreadsheetml/2009/9/main" objectType="Button" lockText="1"/>
</file>

<file path=xl/ctrProps/ctrProp466.xml><?xml version="1.0" encoding="utf-8"?>
<formControlPr xmlns="http://schemas.microsoft.com/office/spreadsheetml/2009/9/main" objectType="Button" lockText="1"/>
</file>

<file path=xl/ctrProps/ctrProp467.xml><?xml version="1.0" encoding="utf-8"?>
<formControlPr xmlns="http://schemas.microsoft.com/office/spreadsheetml/2009/9/main" objectType="Button" lockText="1"/>
</file>

<file path=xl/ctrProps/ctrProp468.xml><?xml version="1.0" encoding="utf-8"?>
<formControlPr xmlns="http://schemas.microsoft.com/office/spreadsheetml/2009/9/main" objectType="Button" lockText="1"/>
</file>

<file path=xl/ctrProps/ctrProp469.xml><?xml version="1.0" encoding="utf-8"?>
<formControlPr xmlns="http://schemas.microsoft.com/office/spreadsheetml/2009/9/main" objectType="Button" lockText="1"/>
</file>

<file path=xl/ctrProps/ctrProp470.xml><?xml version="1.0" encoding="utf-8"?>
<formControlPr xmlns="http://schemas.microsoft.com/office/spreadsheetml/2009/9/main" objectType="Button" lockText="1"/>
</file>

<file path=xl/ctrProps/ctrProp471.xml><?xml version="1.0" encoding="utf-8"?>
<formControlPr xmlns="http://schemas.microsoft.com/office/spreadsheetml/2009/9/main" objectType="Button" lockText="1"/>
</file>

<file path=xl/ctrProps/ctrProp472.xml><?xml version="1.0" encoding="utf-8"?>
<formControlPr xmlns="http://schemas.microsoft.com/office/spreadsheetml/2009/9/main" objectType="Button" lockText="1"/>
</file>

<file path=xl/ctrProps/ctrProp473.xml><?xml version="1.0" encoding="utf-8"?>
<formControlPr xmlns="http://schemas.microsoft.com/office/spreadsheetml/2009/9/main" objectType="Button" lockText="1"/>
</file>

<file path=xl/ctrProps/ctrProp474.xml><?xml version="1.0" encoding="utf-8"?>
<formControlPr xmlns="http://schemas.microsoft.com/office/spreadsheetml/2009/9/main" objectType="Button" lockText="1"/>
</file>

<file path=xl/ctrProps/ctrProp475.xml><?xml version="1.0" encoding="utf-8"?>
<formControlPr xmlns="http://schemas.microsoft.com/office/spreadsheetml/2009/9/main" objectType="Button" lockText="1"/>
</file>

<file path=xl/ctrProps/ctrProp476.xml><?xml version="1.0" encoding="utf-8"?>
<formControlPr xmlns="http://schemas.microsoft.com/office/spreadsheetml/2009/9/main" objectType="Button" lockText="1"/>
</file>

<file path=xl/ctrProps/ctrProp477.xml><?xml version="1.0" encoding="utf-8"?>
<formControlPr xmlns="http://schemas.microsoft.com/office/spreadsheetml/2009/9/main" objectType="Button" lockText="1"/>
</file>

<file path=xl/ctrProps/ctrProp478.xml><?xml version="1.0" encoding="utf-8"?>
<formControlPr xmlns="http://schemas.microsoft.com/office/spreadsheetml/2009/9/main" objectType="Button" lockText="1"/>
</file>

<file path=xl/ctrProps/ctrProp479.xml><?xml version="1.0" encoding="utf-8"?>
<formControlPr xmlns="http://schemas.microsoft.com/office/spreadsheetml/2009/9/main" objectType="Button" lockText="1"/>
</file>

<file path=xl/ctrProps/ctrProp480.xml><?xml version="1.0" encoding="utf-8"?>
<formControlPr xmlns="http://schemas.microsoft.com/office/spreadsheetml/2009/9/main" objectType="Button" lockText="1"/>
</file>

<file path=xl/ctrProps/ctrProp481.xml><?xml version="1.0" encoding="utf-8"?>
<formControlPr xmlns="http://schemas.microsoft.com/office/spreadsheetml/2009/9/main" objectType="Button" lockText="1"/>
</file>

<file path=xl/ctrProps/ctrProp482.xml><?xml version="1.0" encoding="utf-8"?>
<formControlPr xmlns="http://schemas.microsoft.com/office/spreadsheetml/2009/9/main" objectType="Button" lockText="1"/>
</file>

<file path=xl/ctrProps/ctrProp483.xml><?xml version="1.0" encoding="utf-8"?>
<formControlPr xmlns="http://schemas.microsoft.com/office/spreadsheetml/2009/9/main" objectType="Button" lockText="1"/>
</file>

<file path=xl/ctrProps/ctrProp484.xml><?xml version="1.0" encoding="utf-8"?>
<formControlPr xmlns="http://schemas.microsoft.com/office/spreadsheetml/2009/9/main" objectType="Button" lockText="1"/>
</file>

<file path=xl/ctrProps/ctrProp485.xml><?xml version="1.0" encoding="utf-8"?>
<formControlPr xmlns="http://schemas.microsoft.com/office/spreadsheetml/2009/9/main" objectType="Button" lockText="1"/>
</file>

<file path=xl/ctrProps/ctrProp486.xml><?xml version="1.0" encoding="utf-8"?>
<formControlPr xmlns="http://schemas.microsoft.com/office/spreadsheetml/2009/9/main" objectType="Button" lockText="1"/>
</file>

<file path=xl/ctrProps/ctrProp487.xml><?xml version="1.0" encoding="utf-8"?>
<formControlPr xmlns="http://schemas.microsoft.com/office/spreadsheetml/2009/9/main" objectType="Button" lockText="1"/>
</file>

<file path=xl/ctrProps/ctrProp488.xml><?xml version="1.0" encoding="utf-8"?>
<formControlPr xmlns="http://schemas.microsoft.com/office/spreadsheetml/2009/9/main" objectType="Button" lockText="1"/>
</file>

<file path=xl/ctrProps/ctrProp489.xml><?xml version="1.0" encoding="utf-8"?>
<formControlPr xmlns="http://schemas.microsoft.com/office/spreadsheetml/2009/9/main" objectType="Button" lockText="1"/>
</file>

<file path=xl/ctrProps/ctrProp490.xml><?xml version="1.0" encoding="utf-8"?>
<formControlPr xmlns="http://schemas.microsoft.com/office/spreadsheetml/2009/9/main" objectType="Button" lockText="1"/>
</file>

<file path=xl/ctrProps/ctrProp491.xml><?xml version="1.0" encoding="utf-8"?>
<formControlPr xmlns="http://schemas.microsoft.com/office/spreadsheetml/2009/9/main" objectType="Button" lockText="1"/>
</file>

<file path=xl/ctrProps/ctrProp492.xml><?xml version="1.0" encoding="utf-8"?>
<formControlPr xmlns="http://schemas.microsoft.com/office/spreadsheetml/2009/9/main" objectType="Button" lockText="1"/>
</file>

<file path=xl/ctrProps/ctrProp493.xml><?xml version="1.0" encoding="utf-8"?>
<formControlPr xmlns="http://schemas.microsoft.com/office/spreadsheetml/2009/9/main" objectType="Button" lockText="1"/>
</file>

<file path=xl/ctrProps/ctrProp494.xml><?xml version="1.0" encoding="utf-8"?>
<formControlPr xmlns="http://schemas.microsoft.com/office/spreadsheetml/2009/9/main" objectType="Button" lockText="1"/>
</file>

<file path=xl/ctrProps/ctrProp495.xml><?xml version="1.0" encoding="utf-8"?>
<formControlPr xmlns="http://schemas.microsoft.com/office/spreadsheetml/2009/9/main" objectType="Button" lockText="1"/>
</file>

<file path=xl/ctrProps/ctrProp496.xml><?xml version="1.0" encoding="utf-8"?>
<formControlPr xmlns="http://schemas.microsoft.com/office/spreadsheetml/2009/9/main" objectType="Button" lockText="1"/>
</file>

<file path=xl/ctrProps/ctrProp497.xml><?xml version="1.0" encoding="utf-8"?>
<formControlPr xmlns="http://schemas.microsoft.com/office/spreadsheetml/2009/9/main" objectType="Button" lockText="1"/>
</file>

<file path=xl/ctrProps/ctrProp498.xml><?xml version="1.0" encoding="utf-8"?>
<formControlPr xmlns="http://schemas.microsoft.com/office/spreadsheetml/2009/9/main" objectType="Button" lockText="1"/>
</file>

<file path=xl/ctrProps/ctrProp499.xml><?xml version="1.0" encoding="utf-8"?>
<formControlPr xmlns="http://schemas.microsoft.com/office/spreadsheetml/2009/9/main" objectType="Button" lockText="1"/>
</file>

<file path=xl/ctrProps/ctrProp500.xml><?xml version="1.0" encoding="utf-8"?>
<formControlPr xmlns="http://schemas.microsoft.com/office/spreadsheetml/2009/9/main" objectType="Button" lockText="1"/>
</file>

<file path=xl/ctrProps/ctrProp501.xml><?xml version="1.0" encoding="utf-8"?>
<formControlPr xmlns="http://schemas.microsoft.com/office/spreadsheetml/2009/9/main" objectType="Button" lockText="1"/>
</file>

<file path=xl/ctrProps/ctrProp502.xml><?xml version="1.0" encoding="utf-8"?>
<formControlPr xmlns="http://schemas.microsoft.com/office/spreadsheetml/2009/9/main" objectType="Button" lockText="1"/>
</file>

<file path=xl/ctrProps/ctrProp503.xml><?xml version="1.0" encoding="utf-8"?>
<formControlPr xmlns="http://schemas.microsoft.com/office/spreadsheetml/2009/9/main" objectType="Button" lockText="1"/>
</file>

<file path=xl/ctrProps/ctrProp504.xml><?xml version="1.0" encoding="utf-8"?>
<formControlPr xmlns="http://schemas.microsoft.com/office/spreadsheetml/2009/9/main" objectType="Button" lockText="1"/>
</file>

<file path=xl/ctrProps/ctrProp505.xml><?xml version="1.0" encoding="utf-8"?>
<formControlPr xmlns="http://schemas.microsoft.com/office/spreadsheetml/2009/9/main" objectType="Button" lockText="1"/>
</file>

<file path=xl/ctrProps/ctrProp506.xml><?xml version="1.0" encoding="utf-8"?>
<formControlPr xmlns="http://schemas.microsoft.com/office/spreadsheetml/2009/9/main" objectType="Button" lockText="1"/>
</file>

<file path=xl/ctrProps/ctrProp507.xml><?xml version="1.0" encoding="utf-8"?>
<formControlPr xmlns="http://schemas.microsoft.com/office/spreadsheetml/2009/9/main" objectType="Button" lockText="1"/>
</file>

<file path=xl/ctrProps/ctrProp508.xml><?xml version="1.0" encoding="utf-8"?>
<formControlPr xmlns="http://schemas.microsoft.com/office/spreadsheetml/2009/9/main" objectType="Button" lockText="1"/>
</file>

<file path=xl/ctrProps/ctrProp509.xml><?xml version="1.0" encoding="utf-8"?>
<formControlPr xmlns="http://schemas.microsoft.com/office/spreadsheetml/2009/9/main" objectType="Button" lockText="1"/>
</file>

<file path=xl/ctrProps/ctrProp510.xml><?xml version="1.0" encoding="utf-8"?>
<formControlPr xmlns="http://schemas.microsoft.com/office/spreadsheetml/2009/9/main" objectType="Button" lockText="1"/>
</file>

<file path=xl/ctrProps/ctrProp511.xml><?xml version="1.0" encoding="utf-8"?>
<formControlPr xmlns="http://schemas.microsoft.com/office/spreadsheetml/2009/9/main" objectType="Button" lockText="1"/>
</file>

<file path=xl/ctrProps/ctrProp512.xml><?xml version="1.0" encoding="utf-8"?>
<formControlPr xmlns="http://schemas.microsoft.com/office/spreadsheetml/2009/9/main" objectType="Button" lockText="1"/>
</file>

<file path=xl/ctrProps/ctrProp513.xml><?xml version="1.0" encoding="utf-8"?>
<formControlPr xmlns="http://schemas.microsoft.com/office/spreadsheetml/2009/9/main" objectType="Button" lockText="1"/>
</file>

<file path=xl/ctrProps/ctrProp514.xml><?xml version="1.0" encoding="utf-8"?>
<formControlPr xmlns="http://schemas.microsoft.com/office/spreadsheetml/2009/9/main" objectType="Button" lockText="1"/>
</file>

<file path=xl/ctrProps/ctrProp515.xml><?xml version="1.0" encoding="utf-8"?>
<formControlPr xmlns="http://schemas.microsoft.com/office/spreadsheetml/2009/9/main" objectType="Button" lockText="1"/>
</file>

<file path=xl/ctrProps/ctrProp516.xml><?xml version="1.0" encoding="utf-8"?>
<formControlPr xmlns="http://schemas.microsoft.com/office/spreadsheetml/2009/9/main" objectType="Button" lockText="1"/>
</file>

<file path=xl/ctrProps/ctrProp517.xml><?xml version="1.0" encoding="utf-8"?>
<formControlPr xmlns="http://schemas.microsoft.com/office/spreadsheetml/2009/9/main" objectType="Button" lockText="1"/>
</file>

<file path=xl/ctrProps/ctrProp518.xml><?xml version="1.0" encoding="utf-8"?>
<formControlPr xmlns="http://schemas.microsoft.com/office/spreadsheetml/2009/9/main" objectType="Button" lockText="1"/>
</file>

<file path=xl/ctrProps/ctrProp519.xml><?xml version="1.0" encoding="utf-8"?>
<formControlPr xmlns="http://schemas.microsoft.com/office/spreadsheetml/2009/9/main" objectType="Button" lockText="1"/>
</file>

<file path=xl/ctrProps/ctrProp520.xml><?xml version="1.0" encoding="utf-8"?>
<formControlPr xmlns="http://schemas.microsoft.com/office/spreadsheetml/2009/9/main" objectType="Button" lockText="1"/>
</file>

<file path=xl/ctrProps/ctrProp521.xml><?xml version="1.0" encoding="utf-8"?>
<formControlPr xmlns="http://schemas.microsoft.com/office/spreadsheetml/2009/9/main" objectType="Button" lockText="1"/>
</file>

<file path=xl/ctrProps/ctrProp522.xml><?xml version="1.0" encoding="utf-8"?>
<formControlPr xmlns="http://schemas.microsoft.com/office/spreadsheetml/2009/9/main" objectType="Button" lockText="1"/>
</file>

<file path=xl/ctrProps/ctrProp523.xml><?xml version="1.0" encoding="utf-8"?>
<formControlPr xmlns="http://schemas.microsoft.com/office/spreadsheetml/2009/9/main" objectType="Button" lockText="1"/>
</file>

<file path=xl/ctrProps/ctrProp524.xml><?xml version="1.0" encoding="utf-8"?>
<formControlPr xmlns="http://schemas.microsoft.com/office/spreadsheetml/2009/9/main" objectType="Button" lockText="1"/>
</file>

<file path=xl/ctrProps/ctrProp525.xml><?xml version="1.0" encoding="utf-8"?>
<formControlPr xmlns="http://schemas.microsoft.com/office/spreadsheetml/2009/9/main" objectType="Button" lockText="1"/>
</file>

<file path=xl/ctrProps/ctrProp526.xml><?xml version="1.0" encoding="utf-8"?>
<formControlPr xmlns="http://schemas.microsoft.com/office/spreadsheetml/2009/9/main" objectType="Button" lockText="1"/>
</file>

<file path=xl/ctrProps/ctrProp527.xml><?xml version="1.0" encoding="utf-8"?>
<formControlPr xmlns="http://schemas.microsoft.com/office/spreadsheetml/2009/9/main" objectType="Button" lockText="1"/>
</file>

<file path=xl/ctrProps/ctrProp528.xml><?xml version="1.0" encoding="utf-8"?>
<formControlPr xmlns="http://schemas.microsoft.com/office/spreadsheetml/2009/9/main" objectType="Button" lockText="1"/>
</file>

<file path=xl/ctrProps/ctrProp529.xml><?xml version="1.0" encoding="utf-8"?>
<formControlPr xmlns="http://schemas.microsoft.com/office/spreadsheetml/2009/9/main" objectType="Button" lockText="1"/>
</file>

<file path=xl/ctrProps/ctrProp530.xml><?xml version="1.0" encoding="utf-8"?>
<formControlPr xmlns="http://schemas.microsoft.com/office/spreadsheetml/2009/9/main" objectType="Button" lockText="1"/>
</file>

<file path=xl/ctrProps/ctrProp531.xml><?xml version="1.0" encoding="utf-8"?>
<formControlPr xmlns="http://schemas.microsoft.com/office/spreadsheetml/2009/9/main" objectType="Button" lockText="1"/>
</file>

<file path=xl/ctrProps/ctrProp532.xml><?xml version="1.0" encoding="utf-8"?>
<formControlPr xmlns="http://schemas.microsoft.com/office/spreadsheetml/2009/9/main" objectType="Button" lockText="1"/>
</file>

<file path=xl/ctrProps/ctrProp533.xml><?xml version="1.0" encoding="utf-8"?>
<formControlPr xmlns="http://schemas.microsoft.com/office/spreadsheetml/2009/9/main" objectType="Button" lockText="1"/>
</file>

<file path=xl/ctrProps/ctrProp534.xml><?xml version="1.0" encoding="utf-8"?>
<formControlPr xmlns="http://schemas.microsoft.com/office/spreadsheetml/2009/9/main" objectType="Button" lockText="1"/>
</file>

<file path=xl/ctrProps/ctrProp535.xml><?xml version="1.0" encoding="utf-8"?>
<formControlPr xmlns="http://schemas.microsoft.com/office/spreadsheetml/2009/9/main" objectType="Button" lockText="1"/>
</file>

<file path=xl/ctrProps/ctrProp536.xml><?xml version="1.0" encoding="utf-8"?>
<formControlPr xmlns="http://schemas.microsoft.com/office/spreadsheetml/2009/9/main" objectType="Button" lockText="1"/>
</file>

<file path=xl/ctrProps/ctrProp537.xml><?xml version="1.0" encoding="utf-8"?>
<formControlPr xmlns="http://schemas.microsoft.com/office/spreadsheetml/2009/9/main" objectType="Button" lockText="1"/>
</file>

<file path=xl/ctrProps/ctrProp538.xml><?xml version="1.0" encoding="utf-8"?>
<formControlPr xmlns="http://schemas.microsoft.com/office/spreadsheetml/2009/9/main" objectType="Button" lockText="1"/>
</file>

<file path=xl/ctrProps/ctrProp539.xml><?xml version="1.0" encoding="utf-8"?>
<formControlPr xmlns="http://schemas.microsoft.com/office/spreadsheetml/2009/9/main" objectType="Button" lockText="1"/>
</file>

<file path=xl/ctrProps/ctrProp540.xml><?xml version="1.0" encoding="utf-8"?>
<formControlPr xmlns="http://schemas.microsoft.com/office/spreadsheetml/2009/9/main" objectType="Button" lockText="1"/>
</file>

<file path=xl/ctrProps/ctrProp541.xml><?xml version="1.0" encoding="utf-8"?>
<formControlPr xmlns="http://schemas.microsoft.com/office/spreadsheetml/2009/9/main" objectType="Button" lockText="1"/>
</file>

<file path=xl/ctrProps/ctrProp542.xml><?xml version="1.0" encoding="utf-8"?>
<formControlPr xmlns="http://schemas.microsoft.com/office/spreadsheetml/2009/9/main" objectType="Button" lockText="1"/>
</file>

<file path=xl/ctrProps/ctrProp543.xml><?xml version="1.0" encoding="utf-8"?>
<formControlPr xmlns="http://schemas.microsoft.com/office/spreadsheetml/2009/9/main" objectType="Button" lockText="1"/>
</file>

<file path=xl/ctrProps/ctrProp544.xml><?xml version="1.0" encoding="utf-8"?>
<formControlPr xmlns="http://schemas.microsoft.com/office/spreadsheetml/2009/9/main" objectType="Button" lockText="1"/>
</file>

<file path=xl/ctrProps/ctrProp545.xml><?xml version="1.0" encoding="utf-8"?>
<formControlPr xmlns="http://schemas.microsoft.com/office/spreadsheetml/2009/9/main" objectType="Button" lockText="1"/>
</file>

<file path=xl/ctrProps/ctrProp546.xml><?xml version="1.0" encoding="utf-8"?>
<formControlPr xmlns="http://schemas.microsoft.com/office/spreadsheetml/2009/9/main" objectType="Button" lockText="1"/>
</file>

<file path=xl/ctrProps/ctrProp547.xml><?xml version="1.0" encoding="utf-8"?>
<formControlPr xmlns="http://schemas.microsoft.com/office/spreadsheetml/2009/9/main" objectType="Button" lockText="1"/>
</file>

<file path=xl/ctrProps/ctrProp548.xml><?xml version="1.0" encoding="utf-8"?>
<formControlPr xmlns="http://schemas.microsoft.com/office/spreadsheetml/2009/9/main" objectType="Button" lockText="1"/>
</file>

<file path=xl/ctrProps/ctrProp549.xml><?xml version="1.0" encoding="utf-8"?>
<formControlPr xmlns="http://schemas.microsoft.com/office/spreadsheetml/2009/9/main" objectType="Button" lockText="1"/>
</file>

<file path=xl/ctrProps/ctrProp550.xml><?xml version="1.0" encoding="utf-8"?>
<formControlPr xmlns="http://schemas.microsoft.com/office/spreadsheetml/2009/9/main" objectType="Button" lockText="1"/>
</file>

<file path=xl/ctrProps/ctrProp551.xml><?xml version="1.0" encoding="utf-8"?>
<formControlPr xmlns="http://schemas.microsoft.com/office/spreadsheetml/2009/9/main" objectType="Button" lockText="1"/>
</file>

<file path=xl/ctrProps/ctrProp552.xml><?xml version="1.0" encoding="utf-8"?>
<formControlPr xmlns="http://schemas.microsoft.com/office/spreadsheetml/2009/9/main" objectType="Button" lockText="1"/>
</file>

<file path=xl/ctrProps/ctrProp553.xml><?xml version="1.0" encoding="utf-8"?>
<formControlPr xmlns="http://schemas.microsoft.com/office/spreadsheetml/2009/9/main" objectType="Button" lockText="1"/>
</file>

<file path=xl/ctrProps/ctrProp554.xml><?xml version="1.0" encoding="utf-8"?>
<formControlPr xmlns="http://schemas.microsoft.com/office/spreadsheetml/2009/9/main" objectType="Button" lockText="1"/>
</file>

<file path=xl/ctrProps/ctrProp555.xml><?xml version="1.0" encoding="utf-8"?>
<formControlPr xmlns="http://schemas.microsoft.com/office/spreadsheetml/2009/9/main" objectType="Button" lockText="1"/>
</file>

<file path=xl/ctrProps/ctrProp556.xml><?xml version="1.0" encoding="utf-8"?>
<formControlPr xmlns="http://schemas.microsoft.com/office/spreadsheetml/2009/9/main" objectType="Button" lockText="1"/>
</file>

<file path=xl/ctrProps/ctrProp557.xml><?xml version="1.0" encoding="utf-8"?>
<formControlPr xmlns="http://schemas.microsoft.com/office/spreadsheetml/2009/9/main" objectType="Button" lockText="1"/>
</file>

<file path=xl/ctrProps/ctrProp558.xml><?xml version="1.0" encoding="utf-8"?>
<formControlPr xmlns="http://schemas.microsoft.com/office/spreadsheetml/2009/9/main" objectType="Button" lockText="1"/>
</file>

<file path=xl/ctrProps/ctrProp559.xml><?xml version="1.0" encoding="utf-8"?>
<formControlPr xmlns="http://schemas.microsoft.com/office/spreadsheetml/2009/9/main" objectType="Button" lockText="1"/>
</file>

<file path=xl/ctrProps/ctrProp560.xml><?xml version="1.0" encoding="utf-8"?>
<formControlPr xmlns="http://schemas.microsoft.com/office/spreadsheetml/2009/9/main" objectType="Button" lockText="1"/>
</file>

<file path=xl/ctrProps/ctrProp561.xml><?xml version="1.0" encoding="utf-8"?>
<formControlPr xmlns="http://schemas.microsoft.com/office/spreadsheetml/2009/9/main" objectType="Button" lockText="1"/>
</file>

<file path=xl/ctrProps/ctrProp562.xml><?xml version="1.0" encoding="utf-8"?>
<formControlPr xmlns="http://schemas.microsoft.com/office/spreadsheetml/2009/9/main" objectType="Button" lockText="1"/>
</file>

<file path=xl/ctrProps/ctrProp563.xml><?xml version="1.0" encoding="utf-8"?>
<formControlPr xmlns="http://schemas.microsoft.com/office/spreadsheetml/2009/9/main" objectType="Button" lockText="1"/>
</file>

<file path=xl/ctrProps/ctrProp564.xml><?xml version="1.0" encoding="utf-8"?>
<formControlPr xmlns="http://schemas.microsoft.com/office/spreadsheetml/2009/9/main" objectType="Button" lockText="1"/>
</file>

<file path=xl/ctrProps/ctrProp565.xml><?xml version="1.0" encoding="utf-8"?>
<formControlPr xmlns="http://schemas.microsoft.com/office/spreadsheetml/2009/9/main" objectType="Button" lockText="1"/>
</file>

<file path=xl/ctrProps/ctrProp566.xml><?xml version="1.0" encoding="utf-8"?>
<formControlPr xmlns="http://schemas.microsoft.com/office/spreadsheetml/2009/9/main" objectType="Button" lockText="1"/>
</file>

<file path=xl/ctrProps/ctrProp567.xml><?xml version="1.0" encoding="utf-8"?>
<formControlPr xmlns="http://schemas.microsoft.com/office/spreadsheetml/2009/9/main" objectType="Button" lockText="1"/>
</file>

<file path=xl/ctrProps/ctrProp568.xml><?xml version="1.0" encoding="utf-8"?>
<formControlPr xmlns="http://schemas.microsoft.com/office/spreadsheetml/2009/9/main" objectType="Button" lockText="1"/>
</file>

<file path=xl/ctrProps/ctrProp569.xml><?xml version="1.0" encoding="utf-8"?>
<formControlPr xmlns="http://schemas.microsoft.com/office/spreadsheetml/2009/9/main" objectType="Button" lockText="1"/>
</file>

<file path=xl/ctrProps/ctrProp570.xml><?xml version="1.0" encoding="utf-8"?>
<formControlPr xmlns="http://schemas.microsoft.com/office/spreadsheetml/2009/9/main" objectType="Button" lockText="1"/>
</file>

<file path=xl/ctrProps/ctrProp571.xml><?xml version="1.0" encoding="utf-8"?>
<formControlPr xmlns="http://schemas.microsoft.com/office/spreadsheetml/2009/9/main" objectType="Button" lockText="1"/>
</file>

<file path=xl/ctrProps/ctrProp572.xml><?xml version="1.0" encoding="utf-8"?>
<formControlPr xmlns="http://schemas.microsoft.com/office/spreadsheetml/2009/9/main" objectType="Button" lockText="1"/>
</file>

<file path=xl/ctrProps/ctrProp573.xml><?xml version="1.0" encoding="utf-8"?>
<formControlPr xmlns="http://schemas.microsoft.com/office/spreadsheetml/2009/9/main" objectType="Button" lockText="1"/>
</file>

<file path=xl/ctrProps/ctrProp574.xml><?xml version="1.0" encoding="utf-8"?>
<formControlPr xmlns="http://schemas.microsoft.com/office/spreadsheetml/2009/9/main" objectType="Button" lockText="1"/>
</file>

<file path=xl/ctrProps/ctrProp575.xml><?xml version="1.0" encoding="utf-8"?>
<formControlPr xmlns="http://schemas.microsoft.com/office/spreadsheetml/2009/9/main" objectType="Button" lockText="1"/>
</file>

<file path=xl/ctrProps/ctrProp576.xml><?xml version="1.0" encoding="utf-8"?>
<formControlPr xmlns="http://schemas.microsoft.com/office/spreadsheetml/2009/9/main" objectType="Button" lockText="1"/>
</file>

<file path=xl/ctrProps/ctrProp577.xml><?xml version="1.0" encoding="utf-8"?>
<formControlPr xmlns="http://schemas.microsoft.com/office/spreadsheetml/2009/9/main" objectType="Button" lockText="1"/>
</file>

<file path=xl/ctrProps/ctrProp578.xml><?xml version="1.0" encoding="utf-8"?>
<formControlPr xmlns="http://schemas.microsoft.com/office/spreadsheetml/2009/9/main" objectType="Button" lockText="1"/>
</file>

<file path=xl/ctrProps/ctrProp579.xml><?xml version="1.0" encoding="utf-8"?>
<formControlPr xmlns="http://schemas.microsoft.com/office/spreadsheetml/2009/9/main" objectType="Button" lockText="1"/>
</file>

<file path=xl/ctrProps/ctrProp580.xml><?xml version="1.0" encoding="utf-8"?>
<formControlPr xmlns="http://schemas.microsoft.com/office/spreadsheetml/2009/9/main" objectType="Button" lockText="1"/>
</file>

<file path=xl/ctrProps/ctrProp581.xml><?xml version="1.0" encoding="utf-8"?>
<formControlPr xmlns="http://schemas.microsoft.com/office/spreadsheetml/2009/9/main" objectType="Button" lockText="1"/>
</file>

<file path=xl/ctrProps/ctrProp582.xml><?xml version="1.0" encoding="utf-8"?>
<formControlPr xmlns="http://schemas.microsoft.com/office/spreadsheetml/2009/9/main" objectType="Button" lockText="1"/>
</file>

<file path=xl/ctrProps/ctrProp583.xml><?xml version="1.0" encoding="utf-8"?>
<formControlPr xmlns="http://schemas.microsoft.com/office/spreadsheetml/2009/9/main" objectType="Button" lockText="1"/>
</file>

<file path=xl/ctrProps/ctrProp584.xml><?xml version="1.0" encoding="utf-8"?>
<formControlPr xmlns="http://schemas.microsoft.com/office/spreadsheetml/2009/9/main" objectType="Button" lockText="1"/>
</file>

<file path=xl/ctrProps/ctrProp585.xml><?xml version="1.0" encoding="utf-8"?>
<formControlPr xmlns="http://schemas.microsoft.com/office/spreadsheetml/2009/9/main" objectType="Button" lockText="1"/>
</file>

<file path=xl/ctrProps/ctrProp586.xml><?xml version="1.0" encoding="utf-8"?>
<formControlPr xmlns="http://schemas.microsoft.com/office/spreadsheetml/2009/9/main" objectType="Button" lockText="1"/>
</file>

<file path=xl/ctrProps/ctrProp587.xml><?xml version="1.0" encoding="utf-8"?>
<formControlPr xmlns="http://schemas.microsoft.com/office/spreadsheetml/2009/9/main" objectType="Button" lockText="1"/>
</file>

<file path=xl/ctrProps/ctrProp588.xml><?xml version="1.0" encoding="utf-8"?>
<formControlPr xmlns="http://schemas.microsoft.com/office/spreadsheetml/2009/9/main" objectType="Button" lockText="1"/>
</file>

<file path=xl/ctrProps/ctrProp589.xml><?xml version="1.0" encoding="utf-8"?>
<formControlPr xmlns="http://schemas.microsoft.com/office/spreadsheetml/2009/9/main" objectType="Button" lockText="1"/>
</file>

<file path=xl/ctrProps/ctrProp590.xml><?xml version="1.0" encoding="utf-8"?>
<formControlPr xmlns="http://schemas.microsoft.com/office/spreadsheetml/2009/9/main" objectType="Button" lockText="1"/>
</file>

<file path=xl/ctrProps/ctrProp591.xml><?xml version="1.0" encoding="utf-8"?>
<formControlPr xmlns="http://schemas.microsoft.com/office/spreadsheetml/2009/9/main" objectType="Button" lockText="1"/>
</file>

<file path=xl/ctrProps/ctrProp592.xml><?xml version="1.0" encoding="utf-8"?>
<formControlPr xmlns="http://schemas.microsoft.com/office/spreadsheetml/2009/9/main" objectType="Button" lockText="1"/>
</file>

<file path=xl/ctrProps/ctrProp593.xml><?xml version="1.0" encoding="utf-8"?>
<formControlPr xmlns="http://schemas.microsoft.com/office/spreadsheetml/2009/9/main" objectType="Button" lockText="1"/>
</file>

<file path=xl/ctrProps/ctrProp594.xml><?xml version="1.0" encoding="utf-8"?>
<formControlPr xmlns="http://schemas.microsoft.com/office/spreadsheetml/2009/9/main" objectType="Button" lockText="1"/>
</file>

<file path=xl/ctrProps/ctrProp595.xml><?xml version="1.0" encoding="utf-8"?>
<formControlPr xmlns="http://schemas.microsoft.com/office/spreadsheetml/2009/9/main" objectType="Button" lockText="1"/>
</file>

<file path=xl/ctrProps/ctrProp596.xml><?xml version="1.0" encoding="utf-8"?>
<formControlPr xmlns="http://schemas.microsoft.com/office/spreadsheetml/2009/9/main" objectType="Button" lockText="1"/>
</file>

<file path=xl/ctrProps/ctrProp597.xml><?xml version="1.0" encoding="utf-8"?>
<formControlPr xmlns="http://schemas.microsoft.com/office/spreadsheetml/2009/9/main" objectType="Button" lockText="1"/>
</file>

<file path=xl/ctrProps/ctrProp598.xml><?xml version="1.0" encoding="utf-8"?>
<formControlPr xmlns="http://schemas.microsoft.com/office/spreadsheetml/2009/9/main" objectType="Button" lockText="1"/>
</file>

<file path=xl/ctrProps/ctrProp599.xml><?xml version="1.0" encoding="utf-8"?>
<formControlPr xmlns="http://schemas.microsoft.com/office/spreadsheetml/2009/9/main" objectType="Button" lockText="1"/>
</file>

<file path=xl/ctrProps/ctrProp600.xml><?xml version="1.0" encoding="utf-8"?>
<formControlPr xmlns="http://schemas.microsoft.com/office/spreadsheetml/2009/9/main" objectType="Button" lockText="1"/>
</file>

<file path=xl/ctrProps/ctrProp601.xml><?xml version="1.0" encoding="utf-8"?>
<formControlPr xmlns="http://schemas.microsoft.com/office/spreadsheetml/2009/9/main" objectType="Button" lockText="1"/>
</file>

<file path=xl/ctrProps/ctrProp602.xml><?xml version="1.0" encoding="utf-8"?>
<formControlPr xmlns="http://schemas.microsoft.com/office/spreadsheetml/2009/9/main" objectType="Button" lockText="1"/>
</file>

<file path=xl/ctrProps/ctrProp603.xml><?xml version="1.0" encoding="utf-8"?>
<formControlPr xmlns="http://schemas.microsoft.com/office/spreadsheetml/2009/9/main" objectType="Button" lockText="1"/>
</file>

<file path=xl/ctrProps/ctrProp604.xml><?xml version="1.0" encoding="utf-8"?>
<formControlPr xmlns="http://schemas.microsoft.com/office/spreadsheetml/2009/9/main" objectType="Button" lockText="1"/>
</file>

<file path=xl/ctrProps/ctrProp605.xml><?xml version="1.0" encoding="utf-8"?>
<formControlPr xmlns="http://schemas.microsoft.com/office/spreadsheetml/2009/9/main" objectType="Button" lockText="1"/>
</file>

<file path=xl/ctrProps/ctrProp606.xml><?xml version="1.0" encoding="utf-8"?>
<formControlPr xmlns="http://schemas.microsoft.com/office/spreadsheetml/2009/9/main" objectType="Button" lockText="1"/>
</file>

<file path=xl/ctrProps/ctrProp607.xml><?xml version="1.0" encoding="utf-8"?>
<formControlPr xmlns="http://schemas.microsoft.com/office/spreadsheetml/2009/9/main" objectType="Button" lockText="1"/>
</file>

<file path=xl/ctrProps/ctrProp608.xml><?xml version="1.0" encoding="utf-8"?>
<formControlPr xmlns="http://schemas.microsoft.com/office/spreadsheetml/2009/9/main" objectType="Button" lockText="1"/>
</file>

<file path=xl/ctrProps/ctrProp609.xml><?xml version="1.0" encoding="utf-8"?>
<formControlPr xmlns="http://schemas.microsoft.com/office/spreadsheetml/2009/9/main" objectType="Button" lockText="1"/>
</file>

<file path=xl/ctrProps/ctrProp610.xml><?xml version="1.0" encoding="utf-8"?>
<formControlPr xmlns="http://schemas.microsoft.com/office/spreadsheetml/2009/9/main" objectType="Button" lockText="1"/>
</file>

<file path=xl/ctrProps/ctrProp611.xml><?xml version="1.0" encoding="utf-8"?>
<formControlPr xmlns="http://schemas.microsoft.com/office/spreadsheetml/2009/9/main" objectType="Button" lockText="1"/>
</file>

<file path=xl/ctrProps/ctrProp612.xml><?xml version="1.0" encoding="utf-8"?>
<formControlPr xmlns="http://schemas.microsoft.com/office/spreadsheetml/2009/9/main" objectType="Button" lockText="1"/>
</file>

<file path=xl/ctrProps/ctrProp613.xml><?xml version="1.0" encoding="utf-8"?>
<formControlPr xmlns="http://schemas.microsoft.com/office/spreadsheetml/2009/9/main" objectType="Button" lockText="1"/>
</file>

<file path=xl/ctrProps/ctrProp614.xml><?xml version="1.0" encoding="utf-8"?>
<formControlPr xmlns="http://schemas.microsoft.com/office/spreadsheetml/2009/9/main" objectType="Button" lockText="1"/>
</file>

<file path=xl/ctrProps/ctrProp615.xml><?xml version="1.0" encoding="utf-8"?>
<formControlPr xmlns="http://schemas.microsoft.com/office/spreadsheetml/2009/9/main" objectType="Button" lockText="1"/>
</file>

<file path=xl/ctrProps/ctrProp616.xml><?xml version="1.0" encoding="utf-8"?>
<formControlPr xmlns="http://schemas.microsoft.com/office/spreadsheetml/2009/9/main" objectType="Button" lockText="1"/>
</file>

<file path=xl/ctrProps/ctrProp617.xml><?xml version="1.0" encoding="utf-8"?>
<formControlPr xmlns="http://schemas.microsoft.com/office/spreadsheetml/2009/9/main" objectType="Button" lockText="1"/>
</file>

<file path=xl/ctrProps/ctrProp618.xml><?xml version="1.0" encoding="utf-8"?>
<formControlPr xmlns="http://schemas.microsoft.com/office/spreadsheetml/2009/9/main" objectType="Button" lockText="1"/>
</file>

<file path=xl/ctrProps/ctrProp619.xml><?xml version="1.0" encoding="utf-8"?>
<formControlPr xmlns="http://schemas.microsoft.com/office/spreadsheetml/2009/9/main" objectType="Button" lockText="1"/>
</file>

<file path=xl/ctrProps/ctrProp620.xml><?xml version="1.0" encoding="utf-8"?>
<formControlPr xmlns="http://schemas.microsoft.com/office/spreadsheetml/2009/9/main" objectType="Button" lockText="1"/>
</file>

<file path=xl/ctrProps/ctrProp621.xml><?xml version="1.0" encoding="utf-8"?>
<formControlPr xmlns="http://schemas.microsoft.com/office/spreadsheetml/2009/9/main" objectType="Button" lockText="1"/>
</file>

<file path=xl/ctrProps/ctrProp622.xml><?xml version="1.0" encoding="utf-8"?>
<formControlPr xmlns="http://schemas.microsoft.com/office/spreadsheetml/2009/9/main" objectType="Button" lockText="1"/>
</file>

<file path=xl/ctrProps/ctrProp623.xml><?xml version="1.0" encoding="utf-8"?>
<formControlPr xmlns="http://schemas.microsoft.com/office/spreadsheetml/2009/9/main" objectType="Button" lockText="1"/>
</file>

<file path=xl/ctrProps/ctrProp624.xml><?xml version="1.0" encoding="utf-8"?>
<formControlPr xmlns="http://schemas.microsoft.com/office/spreadsheetml/2009/9/main" objectType="Button" lockText="1"/>
</file>

<file path=xl/ctrProps/ctrProp625.xml><?xml version="1.0" encoding="utf-8"?>
<formControlPr xmlns="http://schemas.microsoft.com/office/spreadsheetml/2009/9/main" objectType="Button" lockText="1"/>
</file>

<file path=xl/ctrProps/ctrProp626.xml><?xml version="1.0" encoding="utf-8"?>
<formControlPr xmlns="http://schemas.microsoft.com/office/spreadsheetml/2009/9/main" objectType="Button" lockText="1"/>
</file>

<file path=xl/ctrProps/ctrProp627.xml><?xml version="1.0" encoding="utf-8"?>
<formControlPr xmlns="http://schemas.microsoft.com/office/spreadsheetml/2009/9/main" objectType="Button" lockText="1"/>
</file>

<file path=xl/ctrProps/ctrProp628.xml><?xml version="1.0" encoding="utf-8"?>
<formControlPr xmlns="http://schemas.microsoft.com/office/spreadsheetml/2009/9/main" objectType="Button" lockText="1"/>
</file>

<file path=xl/ctrProps/ctrProp629.xml><?xml version="1.0" encoding="utf-8"?>
<formControlPr xmlns="http://schemas.microsoft.com/office/spreadsheetml/2009/9/main" objectType="Button" lockText="1"/>
</file>

<file path=xl/ctrProps/ctrProp630.xml><?xml version="1.0" encoding="utf-8"?>
<formControlPr xmlns="http://schemas.microsoft.com/office/spreadsheetml/2009/9/main" objectType="Button" lockText="1"/>
</file>

<file path=xl/ctrProps/ctrProp631.xml><?xml version="1.0" encoding="utf-8"?>
<formControlPr xmlns="http://schemas.microsoft.com/office/spreadsheetml/2009/9/main" objectType="Button" lockText="1"/>
</file>

<file path=xl/ctrProps/ctrProp632.xml><?xml version="1.0" encoding="utf-8"?>
<formControlPr xmlns="http://schemas.microsoft.com/office/spreadsheetml/2009/9/main" objectType="Button" lockText="1"/>
</file>

<file path=xl/ctrProps/ctrProp633.xml><?xml version="1.0" encoding="utf-8"?>
<formControlPr xmlns="http://schemas.microsoft.com/office/spreadsheetml/2009/9/main" objectType="Button" lockText="1"/>
</file>

<file path=xl/ctrProps/ctrProp634.xml><?xml version="1.0" encoding="utf-8"?>
<formControlPr xmlns="http://schemas.microsoft.com/office/spreadsheetml/2009/9/main" objectType="Button" lockText="1"/>
</file>

<file path=xl/ctrProps/ctrProp635.xml><?xml version="1.0" encoding="utf-8"?>
<formControlPr xmlns="http://schemas.microsoft.com/office/spreadsheetml/2009/9/main" objectType="Button" lockText="1"/>
</file>

<file path=xl/ctrProps/ctrProp636.xml><?xml version="1.0" encoding="utf-8"?>
<formControlPr xmlns="http://schemas.microsoft.com/office/spreadsheetml/2009/9/main" objectType="Button" lockText="1"/>
</file>

<file path=xl/ctrProps/ctrProp637.xml><?xml version="1.0" encoding="utf-8"?>
<formControlPr xmlns="http://schemas.microsoft.com/office/spreadsheetml/2009/9/main" objectType="Button" lockText="1"/>
</file>

<file path=xl/ctrProps/ctrProp638.xml><?xml version="1.0" encoding="utf-8"?>
<formControlPr xmlns="http://schemas.microsoft.com/office/spreadsheetml/2009/9/main" objectType="Button" lockText="1"/>
</file>

<file path=xl/ctrProps/ctrProp639.xml><?xml version="1.0" encoding="utf-8"?>
<formControlPr xmlns="http://schemas.microsoft.com/office/spreadsheetml/2009/9/main" objectType="Button" lockText="1"/>
</file>

<file path=xl/ctrProps/ctrProp640.xml><?xml version="1.0" encoding="utf-8"?>
<formControlPr xmlns="http://schemas.microsoft.com/office/spreadsheetml/2009/9/main" objectType="Button" lockText="1"/>
</file>

<file path=xl/ctrProps/ctrProp641.xml><?xml version="1.0" encoding="utf-8"?>
<formControlPr xmlns="http://schemas.microsoft.com/office/spreadsheetml/2009/9/main" objectType="Button" lockText="1"/>
</file>

<file path=xl/ctrProps/ctrProp642.xml><?xml version="1.0" encoding="utf-8"?>
<formControlPr xmlns="http://schemas.microsoft.com/office/spreadsheetml/2009/9/main" objectType="Button" lockText="1"/>
</file>

<file path=xl/ctrProps/ctrProp643.xml><?xml version="1.0" encoding="utf-8"?>
<formControlPr xmlns="http://schemas.microsoft.com/office/spreadsheetml/2009/9/main" objectType="Button" lockText="1"/>
</file>

<file path=xl/ctrProps/ctrProp644.xml><?xml version="1.0" encoding="utf-8"?>
<formControlPr xmlns="http://schemas.microsoft.com/office/spreadsheetml/2009/9/main" objectType="Button" lockText="1"/>
</file>

<file path=xl/ctrProps/ctrProp645.xml><?xml version="1.0" encoding="utf-8"?>
<formControlPr xmlns="http://schemas.microsoft.com/office/spreadsheetml/2009/9/main" objectType="Button" lockText="1"/>
</file>

<file path=xl/ctrProps/ctrProp646.xml><?xml version="1.0" encoding="utf-8"?>
<formControlPr xmlns="http://schemas.microsoft.com/office/spreadsheetml/2009/9/main" objectType="Button" lockText="1"/>
</file>

<file path=xl/ctrProps/ctrProp647.xml><?xml version="1.0" encoding="utf-8"?>
<formControlPr xmlns="http://schemas.microsoft.com/office/spreadsheetml/2009/9/main" objectType="Button" lockText="1"/>
</file>

<file path=xl/ctrProps/ctrProp648.xml><?xml version="1.0" encoding="utf-8"?>
<formControlPr xmlns="http://schemas.microsoft.com/office/spreadsheetml/2009/9/main" objectType="Button" lockText="1"/>
</file>

<file path=xl/ctrProps/ctrProp649.xml><?xml version="1.0" encoding="utf-8"?>
<formControlPr xmlns="http://schemas.microsoft.com/office/spreadsheetml/2009/9/main" objectType="Button" lockText="1"/>
</file>

<file path=xl/ctrProps/ctrProp650.xml><?xml version="1.0" encoding="utf-8"?>
<formControlPr xmlns="http://schemas.microsoft.com/office/spreadsheetml/2009/9/main" objectType="Button" lockText="1"/>
</file>

<file path=xl/ctrProps/ctrProp651.xml><?xml version="1.0" encoding="utf-8"?>
<formControlPr xmlns="http://schemas.microsoft.com/office/spreadsheetml/2009/9/main" objectType="Button" lockText="1"/>
</file>

<file path=xl/ctrProps/ctrProp652.xml><?xml version="1.0" encoding="utf-8"?>
<formControlPr xmlns="http://schemas.microsoft.com/office/spreadsheetml/2009/9/main" objectType="Button" lockText="1"/>
</file>

<file path=xl/ctrProps/ctrProp653.xml><?xml version="1.0" encoding="utf-8"?>
<formControlPr xmlns="http://schemas.microsoft.com/office/spreadsheetml/2009/9/main" objectType="Button" lockText="1"/>
</file>

<file path=xl/ctrProps/ctrProp654.xml><?xml version="1.0" encoding="utf-8"?>
<formControlPr xmlns="http://schemas.microsoft.com/office/spreadsheetml/2009/9/main" objectType="Button" lockText="1"/>
</file>

<file path=xl/ctrProps/ctrProp655.xml><?xml version="1.0" encoding="utf-8"?>
<formControlPr xmlns="http://schemas.microsoft.com/office/spreadsheetml/2009/9/main" objectType="Button" lockText="1"/>
</file>

<file path=xl/ctrProps/ctrProp656.xml><?xml version="1.0" encoding="utf-8"?>
<formControlPr xmlns="http://schemas.microsoft.com/office/spreadsheetml/2009/9/main" objectType="Button" lockText="1"/>
</file>

<file path=xl/ctrProps/ctrProp657.xml><?xml version="1.0" encoding="utf-8"?>
<formControlPr xmlns="http://schemas.microsoft.com/office/spreadsheetml/2009/9/main" objectType="Button" lockText="1"/>
</file>

<file path=xl/ctrProps/ctrProp658.xml><?xml version="1.0" encoding="utf-8"?>
<formControlPr xmlns="http://schemas.microsoft.com/office/spreadsheetml/2009/9/main" objectType="Button" lockText="1"/>
</file>

<file path=xl/ctrProps/ctrProp659.xml><?xml version="1.0" encoding="utf-8"?>
<formControlPr xmlns="http://schemas.microsoft.com/office/spreadsheetml/2009/9/main" objectType="Button" lockText="1"/>
</file>

<file path=xl/ctrProps/ctrProp660.xml><?xml version="1.0" encoding="utf-8"?>
<formControlPr xmlns="http://schemas.microsoft.com/office/spreadsheetml/2009/9/main" objectType="Button" lockText="1"/>
</file>

<file path=xl/ctrProps/ctrProp661.xml><?xml version="1.0" encoding="utf-8"?>
<formControlPr xmlns="http://schemas.microsoft.com/office/spreadsheetml/2009/9/main" objectType="Button" lockText="1"/>
</file>

<file path=xl/ctrProps/ctrProp662.xml><?xml version="1.0" encoding="utf-8"?>
<formControlPr xmlns="http://schemas.microsoft.com/office/spreadsheetml/2009/9/main" objectType="Button" lockText="1"/>
</file>

<file path=xl/ctrProps/ctrProp663.xml><?xml version="1.0" encoding="utf-8"?>
<formControlPr xmlns="http://schemas.microsoft.com/office/spreadsheetml/2009/9/main" objectType="Button" lockText="1"/>
</file>

<file path=xl/ctrProps/ctrProp664.xml><?xml version="1.0" encoding="utf-8"?>
<formControlPr xmlns="http://schemas.microsoft.com/office/spreadsheetml/2009/9/main" objectType="Button" lockText="1"/>
</file>

<file path=xl/ctrProps/ctrProp665.xml><?xml version="1.0" encoding="utf-8"?>
<formControlPr xmlns="http://schemas.microsoft.com/office/spreadsheetml/2009/9/main" objectType="Button" lockText="1"/>
</file>

<file path=xl/ctrProps/ctrProp666.xml><?xml version="1.0" encoding="utf-8"?>
<formControlPr xmlns="http://schemas.microsoft.com/office/spreadsheetml/2009/9/main" objectType="Button" lockText="1"/>
</file>

<file path=xl/ctrProps/ctrProp667.xml><?xml version="1.0" encoding="utf-8"?>
<formControlPr xmlns="http://schemas.microsoft.com/office/spreadsheetml/2009/9/main" objectType="Button" lockText="1"/>
</file>

<file path=xl/ctrProps/ctrProp668.xml><?xml version="1.0" encoding="utf-8"?>
<formControlPr xmlns="http://schemas.microsoft.com/office/spreadsheetml/2009/9/main" objectType="Button" lockText="1"/>
</file>

<file path=xl/ctrProps/ctrProp669.xml><?xml version="1.0" encoding="utf-8"?>
<formControlPr xmlns="http://schemas.microsoft.com/office/spreadsheetml/2009/9/main" objectType="Button" lockText="1"/>
</file>

<file path=xl/ctrProps/ctrProp670.xml><?xml version="1.0" encoding="utf-8"?>
<formControlPr xmlns="http://schemas.microsoft.com/office/spreadsheetml/2009/9/main" objectType="Button" lockText="1"/>
</file>

<file path=xl/ctrProps/ctrProp671.xml><?xml version="1.0" encoding="utf-8"?>
<formControlPr xmlns="http://schemas.microsoft.com/office/spreadsheetml/2009/9/main" objectType="Button" lockText="1"/>
</file>

<file path=xl/ctrProps/ctrProp672.xml><?xml version="1.0" encoding="utf-8"?>
<formControlPr xmlns="http://schemas.microsoft.com/office/spreadsheetml/2009/9/main" objectType="Button" lockText="1"/>
</file>

<file path=xl/ctrProps/ctrProp673.xml><?xml version="1.0" encoding="utf-8"?>
<formControlPr xmlns="http://schemas.microsoft.com/office/spreadsheetml/2009/9/main" objectType="Button" lockText="1"/>
</file>

<file path=xl/ctrProps/ctrProp674.xml><?xml version="1.0" encoding="utf-8"?>
<formControlPr xmlns="http://schemas.microsoft.com/office/spreadsheetml/2009/9/main" objectType="Button" lockText="1"/>
</file>

<file path=xl/ctrProps/ctrProp675.xml><?xml version="1.0" encoding="utf-8"?>
<formControlPr xmlns="http://schemas.microsoft.com/office/spreadsheetml/2009/9/main" objectType="Button" lockText="1"/>
</file>

<file path=xl/ctrProps/ctrProp676.xml><?xml version="1.0" encoding="utf-8"?>
<formControlPr xmlns="http://schemas.microsoft.com/office/spreadsheetml/2009/9/main" objectType="Button" lockText="1"/>
</file>

<file path=xl/ctrProps/ctrProp677.xml><?xml version="1.0" encoding="utf-8"?>
<formControlPr xmlns="http://schemas.microsoft.com/office/spreadsheetml/2009/9/main" objectType="Button" lockText="1"/>
</file>

<file path=xl/ctrProps/ctrProp678.xml><?xml version="1.0" encoding="utf-8"?>
<formControlPr xmlns="http://schemas.microsoft.com/office/spreadsheetml/2009/9/main" objectType="Button" lockText="1"/>
</file>

<file path=xl/ctrProps/ctrProp679.xml><?xml version="1.0" encoding="utf-8"?>
<formControlPr xmlns="http://schemas.microsoft.com/office/spreadsheetml/2009/9/main" objectType="Button" lockText="1"/>
</file>

<file path=xl/ctrProps/ctrProp680.xml><?xml version="1.0" encoding="utf-8"?>
<formControlPr xmlns="http://schemas.microsoft.com/office/spreadsheetml/2009/9/main" objectType="Button" lockText="1"/>
</file>

<file path=xl/ctrProps/ctrProp681.xml><?xml version="1.0" encoding="utf-8"?>
<formControlPr xmlns="http://schemas.microsoft.com/office/spreadsheetml/2009/9/main" objectType="Button" lockText="1"/>
</file>

<file path=xl/ctrProps/ctrProp682.xml><?xml version="1.0" encoding="utf-8"?>
<formControlPr xmlns="http://schemas.microsoft.com/office/spreadsheetml/2009/9/main" objectType="Button" lockText="1"/>
</file>

<file path=xl/ctrProps/ctrProp683.xml><?xml version="1.0" encoding="utf-8"?>
<formControlPr xmlns="http://schemas.microsoft.com/office/spreadsheetml/2009/9/main" objectType="Button" lockText="1"/>
</file>

<file path=xl/ctrProps/ctrProp684.xml><?xml version="1.0" encoding="utf-8"?>
<formControlPr xmlns="http://schemas.microsoft.com/office/spreadsheetml/2009/9/main" objectType="Button" lockText="1"/>
</file>

<file path=xl/ctrProps/ctrProp685.xml><?xml version="1.0" encoding="utf-8"?>
<formControlPr xmlns="http://schemas.microsoft.com/office/spreadsheetml/2009/9/main" objectType="Button" lockText="1"/>
</file>

<file path=xl/ctrProps/ctrProp686.xml><?xml version="1.0" encoding="utf-8"?>
<formControlPr xmlns="http://schemas.microsoft.com/office/spreadsheetml/2009/9/main" objectType="Button" lockText="1"/>
</file>

<file path=xl/ctrProps/ctrProp687.xml><?xml version="1.0" encoding="utf-8"?>
<formControlPr xmlns="http://schemas.microsoft.com/office/spreadsheetml/2009/9/main" objectType="Button" lockText="1"/>
</file>

<file path=xl/ctrProps/ctrProp688.xml><?xml version="1.0" encoding="utf-8"?>
<formControlPr xmlns="http://schemas.microsoft.com/office/spreadsheetml/2009/9/main" objectType="Button" lockText="1"/>
</file>

<file path=xl/ctrProps/ctrProp689.xml><?xml version="1.0" encoding="utf-8"?>
<formControlPr xmlns="http://schemas.microsoft.com/office/spreadsheetml/2009/9/main" objectType="Button" lockText="1"/>
</file>

<file path=xl/ctrProps/ctrProp690.xml><?xml version="1.0" encoding="utf-8"?>
<formControlPr xmlns="http://schemas.microsoft.com/office/spreadsheetml/2009/9/main" objectType="Button" lockText="1"/>
</file>

<file path=xl/ctrProps/ctrProp691.xml><?xml version="1.0" encoding="utf-8"?>
<formControlPr xmlns="http://schemas.microsoft.com/office/spreadsheetml/2009/9/main" objectType="Button" lockText="1"/>
</file>

<file path=xl/ctrProps/ctrProp692.xml><?xml version="1.0" encoding="utf-8"?>
<formControlPr xmlns="http://schemas.microsoft.com/office/spreadsheetml/2009/9/main" objectType="Button" lockText="1"/>
</file>

<file path=xl/ctrProps/ctrProp693.xml><?xml version="1.0" encoding="utf-8"?>
<formControlPr xmlns="http://schemas.microsoft.com/office/spreadsheetml/2009/9/main" objectType="Button" lockText="1"/>
</file>

<file path=xl/ctrProps/ctrProp694.xml><?xml version="1.0" encoding="utf-8"?>
<formControlPr xmlns="http://schemas.microsoft.com/office/spreadsheetml/2009/9/main" objectType="Button" lockText="1"/>
</file>

<file path=xl/ctrProps/ctrProp695.xml><?xml version="1.0" encoding="utf-8"?>
<formControlPr xmlns="http://schemas.microsoft.com/office/spreadsheetml/2009/9/main" objectType="Button" lockText="1"/>
</file>

<file path=xl/ctrProps/ctrProp696.xml><?xml version="1.0" encoding="utf-8"?>
<formControlPr xmlns="http://schemas.microsoft.com/office/spreadsheetml/2009/9/main" objectType="Button" lockText="1"/>
</file>

<file path=xl/ctrProps/ctrProp697.xml><?xml version="1.0" encoding="utf-8"?>
<formControlPr xmlns="http://schemas.microsoft.com/office/spreadsheetml/2009/9/main" objectType="Button" lockText="1"/>
</file>

<file path=xl/ctrProps/ctrProp698.xml><?xml version="1.0" encoding="utf-8"?>
<formControlPr xmlns="http://schemas.microsoft.com/office/spreadsheetml/2009/9/main" objectType="Button" lockText="1"/>
</file>

<file path=xl/ctrProps/ctrProp699.xml><?xml version="1.0" encoding="utf-8"?>
<formControlPr xmlns="http://schemas.microsoft.com/office/spreadsheetml/2009/9/main" objectType="Button" lockText="1"/>
</file>

<file path=xl/ctrProps/ctrProp700.xml><?xml version="1.0" encoding="utf-8"?>
<formControlPr xmlns="http://schemas.microsoft.com/office/spreadsheetml/2009/9/main" objectType="Button" lockText="1"/>
</file>

<file path=xl/ctrProps/ctrProp701.xml><?xml version="1.0" encoding="utf-8"?>
<formControlPr xmlns="http://schemas.microsoft.com/office/spreadsheetml/2009/9/main" objectType="Button" lockText="1"/>
</file>

<file path=xl/ctrProps/ctrProp702.xml><?xml version="1.0" encoding="utf-8"?>
<formControlPr xmlns="http://schemas.microsoft.com/office/spreadsheetml/2009/9/main" objectType="Button" lockText="1"/>
</file>

<file path=xl/ctrProps/ctrProp703.xml><?xml version="1.0" encoding="utf-8"?>
<formControlPr xmlns="http://schemas.microsoft.com/office/spreadsheetml/2009/9/main" objectType="Button" lockText="1"/>
</file>

<file path=xl/ctrProps/ctrProp704.xml><?xml version="1.0" encoding="utf-8"?>
<formControlPr xmlns="http://schemas.microsoft.com/office/spreadsheetml/2009/9/main" objectType="Button" lockText="1"/>
</file>

<file path=xl/ctrProps/ctrProp705.xml><?xml version="1.0" encoding="utf-8"?>
<formControlPr xmlns="http://schemas.microsoft.com/office/spreadsheetml/2009/9/main" objectType="Button" lockText="1"/>
</file>

<file path=xl/ctrProps/ctrProp706.xml><?xml version="1.0" encoding="utf-8"?>
<formControlPr xmlns="http://schemas.microsoft.com/office/spreadsheetml/2009/9/main" objectType="Button" lockText="1"/>
</file>

<file path=xl/ctrProps/ctrProp707.xml><?xml version="1.0" encoding="utf-8"?>
<formControlPr xmlns="http://schemas.microsoft.com/office/spreadsheetml/2009/9/main" objectType="Button" lockText="1"/>
</file>

<file path=xl/ctrProps/ctrProp708.xml><?xml version="1.0" encoding="utf-8"?>
<formControlPr xmlns="http://schemas.microsoft.com/office/spreadsheetml/2009/9/main" objectType="Button" lockText="1"/>
</file>

<file path=xl/ctrProps/ctrProp709.xml><?xml version="1.0" encoding="utf-8"?>
<formControlPr xmlns="http://schemas.microsoft.com/office/spreadsheetml/2009/9/main" objectType="Button" lockText="1"/>
</file>

<file path=xl/ctrProps/ctrProp710.xml><?xml version="1.0" encoding="utf-8"?>
<formControlPr xmlns="http://schemas.microsoft.com/office/spreadsheetml/2009/9/main" objectType="Button" lockText="1"/>
</file>

<file path=xl/ctrProps/ctrProp711.xml><?xml version="1.0" encoding="utf-8"?>
<formControlPr xmlns="http://schemas.microsoft.com/office/spreadsheetml/2009/9/main" objectType="Button" lockText="1"/>
</file>

<file path=xl/ctrProps/ctrProp712.xml><?xml version="1.0" encoding="utf-8"?>
<formControlPr xmlns="http://schemas.microsoft.com/office/spreadsheetml/2009/9/main" objectType="Button" lockText="1"/>
</file>

<file path=xl/ctrProps/ctrProp713.xml><?xml version="1.0" encoding="utf-8"?>
<formControlPr xmlns="http://schemas.microsoft.com/office/spreadsheetml/2009/9/main" objectType="Button" lockText="1"/>
</file>

<file path=xl/ctrProps/ctrProp714.xml><?xml version="1.0" encoding="utf-8"?>
<formControlPr xmlns="http://schemas.microsoft.com/office/spreadsheetml/2009/9/main" objectType="Button" lockText="1"/>
</file>

<file path=xl/ctrProps/ctrProp715.xml><?xml version="1.0" encoding="utf-8"?>
<formControlPr xmlns="http://schemas.microsoft.com/office/spreadsheetml/2009/9/main" objectType="Button" lockText="1"/>
</file>

<file path=xl/ctrProps/ctrProp716.xml><?xml version="1.0" encoding="utf-8"?>
<formControlPr xmlns="http://schemas.microsoft.com/office/spreadsheetml/2009/9/main" objectType="Button" lockText="1"/>
</file>

<file path=xl/ctrProps/ctrProp717.xml><?xml version="1.0" encoding="utf-8"?>
<formControlPr xmlns="http://schemas.microsoft.com/office/spreadsheetml/2009/9/main" objectType="Button" lockText="1"/>
</file>

<file path=xl/ctrProps/ctrProp718.xml><?xml version="1.0" encoding="utf-8"?>
<formControlPr xmlns="http://schemas.microsoft.com/office/spreadsheetml/2009/9/main" objectType="Button" lockText="1"/>
</file>

<file path=xl/ctrProps/ctrProp719.xml><?xml version="1.0" encoding="utf-8"?>
<formControlPr xmlns="http://schemas.microsoft.com/office/spreadsheetml/2009/9/main" objectType="Button" lockText="1"/>
</file>

<file path=xl/ctrProps/ctrProp720.xml><?xml version="1.0" encoding="utf-8"?>
<formControlPr xmlns="http://schemas.microsoft.com/office/spreadsheetml/2009/9/main" objectType="Button" lockText="1"/>
</file>

<file path=xl/ctrProps/ctrProp721.xml><?xml version="1.0" encoding="utf-8"?>
<formControlPr xmlns="http://schemas.microsoft.com/office/spreadsheetml/2009/9/main" objectType="Button" lockText="1"/>
</file>

<file path=xl/ctrProps/ctrProp722.xml><?xml version="1.0" encoding="utf-8"?>
<formControlPr xmlns="http://schemas.microsoft.com/office/spreadsheetml/2009/9/main" objectType="Button" lockText="1"/>
</file>

<file path=xl/ctrProps/ctrProp723.xml><?xml version="1.0" encoding="utf-8"?>
<formControlPr xmlns="http://schemas.microsoft.com/office/spreadsheetml/2009/9/main" objectType="Button" lockText="1"/>
</file>

<file path=xl/ctrProps/ctrProp724.xml><?xml version="1.0" encoding="utf-8"?>
<formControlPr xmlns="http://schemas.microsoft.com/office/spreadsheetml/2009/9/main" objectType="Button" lockText="1"/>
</file>

<file path=xl/ctrProps/ctrProp725.xml><?xml version="1.0" encoding="utf-8"?>
<formControlPr xmlns="http://schemas.microsoft.com/office/spreadsheetml/2009/9/main" objectType="Button" lockText="1"/>
</file>

<file path=xl/ctrProps/ctrProp726.xml><?xml version="1.0" encoding="utf-8"?>
<formControlPr xmlns="http://schemas.microsoft.com/office/spreadsheetml/2009/9/main" objectType="Button" lockText="1"/>
</file>

<file path=xl/ctrProps/ctrProp727.xml><?xml version="1.0" encoding="utf-8"?>
<formControlPr xmlns="http://schemas.microsoft.com/office/spreadsheetml/2009/9/main" objectType="Button" lockText="1"/>
</file>

<file path=xl/ctrProps/ctrProp728.xml><?xml version="1.0" encoding="utf-8"?>
<formControlPr xmlns="http://schemas.microsoft.com/office/spreadsheetml/2009/9/main" objectType="Button" lockText="1"/>
</file>

<file path=xl/ctrProps/ctrProp729.xml><?xml version="1.0" encoding="utf-8"?>
<formControlPr xmlns="http://schemas.microsoft.com/office/spreadsheetml/2009/9/main" objectType="Button" lockText="1"/>
</file>

<file path=xl/ctrProps/ctrProp730.xml><?xml version="1.0" encoding="utf-8"?>
<formControlPr xmlns="http://schemas.microsoft.com/office/spreadsheetml/2009/9/main" objectType="Button" lockText="1"/>
</file>

<file path=xl/ctrProps/ctrProp731.xml><?xml version="1.0" encoding="utf-8"?>
<formControlPr xmlns="http://schemas.microsoft.com/office/spreadsheetml/2009/9/main" objectType="Button" lockText="1"/>
</file>

<file path=xl/ctrProps/ctrProp732.xml><?xml version="1.0" encoding="utf-8"?>
<formControlPr xmlns="http://schemas.microsoft.com/office/spreadsheetml/2009/9/main" objectType="Button" lockText="1"/>
</file>

<file path=xl/ctrProps/ctrProp733.xml><?xml version="1.0" encoding="utf-8"?>
<formControlPr xmlns="http://schemas.microsoft.com/office/spreadsheetml/2009/9/main" objectType="Button" lockText="1"/>
</file>

<file path=xl/ctrProps/ctrProp734.xml><?xml version="1.0" encoding="utf-8"?>
<formControlPr xmlns="http://schemas.microsoft.com/office/spreadsheetml/2009/9/main" objectType="Button" lockText="1"/>
</file>

<file path=xl/ctrProps/ctrProp735.xml><?xml version="1.0" encoding="utf-8"?>
<formControlPr xmlns="http://schemas.microsoft.com/office/spreadsheetml/2009/9/main" objectType="Button" lockText="1"/>
</file>

<file path=xl/ctrProps/ctrProp736.xml><?xml version="1.0" encoding="utf-8"?>
<formControlPr xmlns="http://schemas.microsoft.com/office/spreadsheetml/2009/9/main" objectType="Button" lockText="1"/>
</file>

<file path=xl/ctrProps/ctrProp737.xml><?xml version="1.0" encoding="utf-8"?>
<formControlPr xmlns="http://schemas.microsoft.com/office/spreadsheetml/2009/9/main" objectType="Button" lockText="1"/>
</file>

<file path=xl/ctrProps/ctrProp738.xml><?xml version="1.0" encoding="utf-8"?>
<formControlPr xmlns="http://schemas.microsoft.com/office/spreadsheetml/2009/9/main" objectType="Button" lockText="1"/>
</file>

<file path=xl/ctrProps/ctrProp739.xml><?xml version="1.0" encoding="utf-8"?>
<formControlPr xmlns="http://schemas.microsoft.com/office/spreadsheetml/2009/9/main" objectType="Button" lockText="1"/>
</file>

<file path=xl/ctrProps/ctrProp740.xml><?xml version="1.0" encoding="utf-8"?>
<formControlPr xmlns="http://schemas.microsoft.com/office/spreadsheetml/2009/9/main" objectType="Button" lockText="1"/>
</file>

<file path=xl/ctrProps/ctrProp741.xml><?xml version="1.0" encoding="utf-8"?>
<formControlPr xmlns="http://schemas.microsoft.com/office/spreadsheetml/2009/9/main" objectType="Button" lockText="1"/>
</file>

<file path=xl/ctrProps/ctrProp742.xml><?xml version="1.0" encoding="utf-8"?>
<formControlPr xmlns="http://schemas.microsoft.com/office/spreadsheetml/2009/9/main" objectType="Button" lockText="1"/>
</file>

<file path=xl/ctrProps/ctrProp743.xml><?xml version="1.0" encoding="utf-8"?>
<formControlPr xmlns="http://schemas.microsoft.com/office/spreadsheetml/2009/9/main" objectType="Button" lockText="1"/>
</file>

<file path=xl/ctrProps/ctrProp744.xml><?xml version="1.0" encoding="utf-8"?>
<formControlPr xmlns="http://schemas.microsoft.com/office/spreadsheetml/2009/9/main" objectType="Button" lockText="1"/>
</file>

<file path=xl/ctrProps/ctrProp745.xml><?xml version="1.0" encoding="utf-8"?>
<formControlPr xmlns="http://schemas.microsoft.com/office/spreadsheetml/2009/9/main" objectType="Button" lockText="1"/>
</file>

<file path=xl/ctrProps/ctrProp746.xml><?xml version="1.0" encoding="utf-8"?>
<formControlPr xmlns="http://schemas.microsoft.com/office/spreadsheetml/2009/9/main" objectType="Button" lockText="1"/>
</file>

<file path=xl/ctrProps/ctrProp747.xml><?xml version="1.0" encoding="utf-8"?>
<formControlPr xmlns="http://schemas.microsoft.com/office/spreadsheetml/2009/9/main" objectType="Button" lockText="1"/>
</file>

<file path=xl/ctrProps/ctrProp748.xml><?xml version="1.0" encoding="utf-8"?>
<formControlPr xmlns="http://schemas.microsoft.com/office/spreadsheetml/2009/9/main" objectType="Button" lockText="1"/>
</file>

<file path=xl/ctrProps/ctrProp749.xml><?xml version="1.0" encoding="utf-8"?>
<formControlPr xmlns="http://schemas.microsoft.com/office/spreadsheetml/2009/9/main" objectType="Button" lockText="1"/>
</file>

<file path=xl/ctrProps/ctrProp750.xml><?xml version="1.0" encoding="utf-8"?>
<formControlPr xmlns="http://schemas.microsoft.com/office/spreadsheetml/2009/9/main" objectType="Button" lockText="1"/>
</file>

<file path=xl/ctrProps/ctrProp751.xml><?xml version="1.0" encoding="utf-8"?>
<formControlPr xmlns="http://schemas.microsoft.com/office/spreadsheetml/2009/9/main" objectType="Button" lockText="1"/>
</file>

<file path=xl/ctrProps/ctrProp752.xml><?xml version="1.0" encoding="utf-8"?>
<formControlPr xmlns="http://schemas.microsoft.com/office/spreadsheetml/2009/9/main" objectType="Button" lockText="1"/>
</file>

<file path=xl/ctrProps/ctrProp753.xml><?xml version="1.0" encoding="utf-8"?>
<formControlPr xmlns="http://schemas.microsoft.com/office/spreadsheetml/2009/9/main" objectType="Button" lockText="1"/>
</file>

<file path=xl/ctrProps/ctrProp754.xml><?xml version="1.0" encoding="utf-8"?>
<formControlPr xmlns="http://schemas.microsoft.com/office/spreadsheetml/2009/9/main" objectType="Button" lockText="1"/>
</file>

<file path=xl/ctrProps/ctrProp755.xml><?xml version="1.0" encoding="utf-8"?>
<formControlPr xmlns="http://schemas.microsoft.com/office/spreadsheetml/2009/9/main" objectType="Button" lockText="1"/>
</file>

<file path=xl/ctrProps/ctrProp756.xml><?xml version="1.0" encoding="utf-8"?>
<formControlPr xmlns="http://schemas.microsoft.com/office/spreadsheetml/2009/9/main" objectType="Button" lockText="1"/>
</file>

<file path=xl/ctrProps/ctrProp757.xml><?xml version="1.0" encoding="utf-8"?>
<formControlPr xmlns="http://schemas.microsoft.com/office/spreadsheetml/2009/9/main" objectType="Button" lockText="1"/>
</file>

<file path=xl/ctrProps/ctrProp758.xml><?xml version="1.0" encoding="utf-8"?>
<formControlPr xmlns="http://schemas.microsoft.com/office/spreadsheetml/2009/9/main" objectType="Button" lockText="1"/>
</file>

<file path=xl/ctrProps/ctrProp759.xml><?xml version="1.0" encoding="utf-8"?>
<formControlPr xmlns="http://schemas.microsoft.com/office/spreadsheetml/2009/9/main" objectType="Button" lockText="1"/>
</file>

<file path=xl/ctrProps/ctrProp760.xml><?xml version="1.0" encoding="utf-8"?>
<formControlPr xmlns="http://schemas.microsoft.com/office/spreadsheetml/2009/9/main" objectType="Button" lockText="1"/>
</file>

<file path=xl/drawings/_rels/vmlDrawing2.vml.rels><?xml version="1.0" encoding="UTF-8" standalone="yes"?><Relationships xmlns="http://schemas.openxmlformats.org/package/2006/relationships"><Relationship Id="rId5" Type="http://schemas.openxmlformats.org/officeDocument/2006/relationships/image" Target="../media/image5.emf" /><Relationship Id="rId1" Type="http://schemas.openxmlformats.org/officeDocument/2006/relationships/image" Target="../media/image1.emf" /><Relationship Id="rId2" Type="http://schemas.openxmlformats.org/officeDocument/2006/relationships/image" Target="../media/image2.emf" /><Relationship Id="rId4" Type="http://schemas.openxmlformats.org/officeDocument/2006/relationships/image" Target="../media/image4.emf" /><Relationship Id="rId6" Type="http://schemas.openxmlformats.org/officeDocument/2006/relationships/image" Target="../media/image6.emf" /><Relationship Id="rId3" Type="http://schemas.openxmlformats.org/officeDocument/2006/relationships/image" Target="../media/image3.emf"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47625</xdr:colOff>
      <xdr:row>1</xdr:row>
      <xdr:rowOff>28575</xdr:rowOff>
    </xdr:from>
    <xdr:to>
      <xdr:col>15</xdr:col>
      <xdr:colOff>361950</xdr:colOff>
      <xdr:row>32</xdr:row>
      <xdr:rowOff>9525</xdr:rowOff>
    </xdr:to>
    <xdr:sp macro="" fLocksText="0">
      <xdr:nvSpPr>
        <xdr:cNvPr id="12703" name="Rectangle 415"/>
        <xdr:cNvSpPr>
          <a:spLocks noChangeArrowheads="1"/>
        </xdr:cNvSpPr>
      </xdr:nvSpPr>
      <xdr:spPr bwMode="auto">
        <a:xfrm>
          <a:off x="47625" y="38100"/>
          <a:ext cx="9458325" cy="5505450"/>
        </a:xfrm>
        <a:prstGeom prst="rect"/>
        <a:solidFill>
          <a:srgbClr val="FFFFFF"/>
        </a:solidFill>
        <a:ln w="9525">
          <a:noFill/>
          <a:miter lim="800000"/>
        </a:ln>
        <a:effectLst>
          <a:outerShdw dist="45791" dir="3378596" algn="ctr" rotWithShape="0">
            <a:srgbClr val="4D4D4D"/>
          </a:outerShdw>
        </a:effectLst>
      </xdr:spPr>
      <xdr:txBody>
        <a:bodyPr lIns="54864" tIns="50292" rIns="0" bIns="0" vertOverflow="clip" wrap="square" anchor="t" upright="1"/>
        <a:lstStyle/>
        <a:p>
          <a:pPr algn="l" rtl="0">
            <a:defRPr sz="1000"/>
          </a:pPr>
          <a:r>
            <a:rPr lang="pl-PL" sz="2800" u="none" b="0" i="0" baseline="0">
              <a:solidFill>
                <a:srgbClr val="333399"/>
              </a:solidFill>
              <a:latin typeface="Times New Roman"/>
              <a:cs typeface="Times New Roman"/>
            </a:rPr>
            <a:t>PeopleSoft</a:t>
          </a:r>
          <a:r>
            <a:rPr lang="pl-PL" sz="900" u="none" b="0" i="0" baseline="0">
              <a:solidFill>
                <a:srgbClr val="333399"/>
              </a:solidFill>
              <a:latin typeface="Times New Roman"/>
              <a:cs typeface="Times New Roman"/>
            </a:rPr>
            <a:t>®</a:t>
          </a:r>
          <a:r>
            <a:rPr lang="pl-PL" sz="2400" u="none" b="1" i="0" baseline="0">
              <a:solidFill>
                <a:srgbClr val="000000"/>
              </a:solidFill>
              <a:latin typeface="Arial"/>
              <a:cs typeface="Arial"/>
            </a:rPr>
            <a:t>             </a:t>
          </a:r>
          <a:r>
            <a:rPr lang="pl-PL" sz="4800" u="none" b="1" i="0" baseline="0">
              <a:solidFill>
                <a:srgbClr val="333399"/>
              </a:solidFill>
              <a:latin typeface="Arial Black"/>
            </a:rPr>
            <a:t>ExcelToCI</a:t>
          </a:r>
          <a:endParaRPr lang="pl-PL" sz="1000" u="none" b="1" i="0" baseline="0">
            <a:solidFill>
              <a:srgbClr val="000000"/>
            </a:solidFill>
            <a:latin typeface="Arial"/>
            <a:cs typeface="Arial"/>
          </a:endParaRPr>
        </a:p>
        <a:p>
          <a:pPr algn="l" rtl="0">
            <a:defRPr sz="1000"/>
          </a:pPr>
          <a:r>
            <a:rPr lang="pl-PL" sz="1000" u="none" b="1" i="0" baseline="0">
              <a:solidFill>
                <a:srgbClr val="000000"/>
              </a:solidFill>
              <a:latin typeface="Arial"/>
              <a:cs typeface="Arial"/>
            </a:rPr>
            <a:t>The purpose of this workbook is to upload data from Excel into PeopleSoft, using the Component Interface to execute business logic for each transaction. This source workbook contains both worksheets and Excel VBA code modules.  The Worksheets can be copied to other workbooks for distribution without copying the code modules. </a:t>
          </a:r>
          <a:endParaRPr lang="pl-PL" sz="1000" u="none" b="0" i="0" baseline="0">
            <a:solidFill>
              <a:srgbClr val="000000"/>
            </a:solidFill>
            <a:latin typeface="Arial"/>
            <a:cs typeface="Arial"/>
          </a:endParaRPr>
        </a:p>
        <a:p>
          <a:pPr algn="l" rtl="0">
            <a:defRPr sz="1000"/>
          </a:pPr>
          <a:r>
            <a:rPr lang="pl-PL" sz="1000" u="none" b="1" i="0" baseline="0">
              <a:solidFill>
                <a:srgbClr val="000000"/>
              </a:solidFill>
              <a:latin typeface="Arial"/>
              <a:cs typeface="Arial"/>
            </a:rPr>
            <a:t>Process:</a:t>
          </a:r>
          <a:endParaRPr lang="pl-PL" sz="1000" u="none" b="0" i="0" baseline="0">
            <a:solidFill>
              <a:srgbClr val="000000"/>
            </a:solidFill>
            <a:latin typeface="Arial"/>
            <a:cs typeface="Arial"/>
          </a:endParaRPr>
        </a:p>
        <a:p>
          <a:pPr algn="l" rtl="0">
            <a:defRPr sz="1000"/>
          </a:pPr>
          <a:r>
            <a:rPr lang="pl-PL" sz="1000" u="none" b="0" i="0" baseline="0">
              <a:solidFill>
                <a:srgbClr val="000000"/>
              </a:solidFill>
              <a:latin typeface="Arial"/>
              <a:cs typeface="Arial"/>
            </a:rPr>
            <a:t>    1) </a:t>
          </a:r>
          <a:r>
            <a:rPr lang="pl-PL" sz="1000" u="none" b="1" i="0" baseline="0">
              <a:solidFill>
                <a:srgbClr val="000000"/>
              </a:solidFill>
              <a:latin typeface="Arial"/>
              <a:cs typeface="Arial"/>
            </a:rPr>
            <a:t>Connection Information Page:</a:t>
          </a:r>
          <a:r>
            <a:rPr lang="pl-PL" sz="1000" u="none" b="0" i="0" baseline="0">
              <a:solidFill>
                <a:srgbClr val="000000"/>
              </a:solidFill>
              <a:latin typeface="Arial"/>
              <a:cs typeface="Arial"/>
            </a:rPr>
            <a:t> This is the first step. The information provided on this page is required to create a new template or submit data to the database.</a:t>
          </a:r>
        </a:p>
        <a:p>
          <a:pPr algn="l" rtl="0">
            <a:defRPr sz="1000"/>
          </a:pPr>
          <a:r>
            <a:rPr lang="pl-PL" sz="1000" u="none" b="0" i="0" baseline="0">
              <a:solidFill>
                <a:srgbClr val="000000"/>
              </a:solidFill>
              <a:latin typeface="Arial"/>
              <a:cs typeface="Arial"/>
            </a:rPr>
            <a:t>        You will need to know the PeopleSoft web server machine name and port as well as the PIA/Portal name and the default local node. </a:t>
          </a:r>
        </a:p>
        <a:p>
          <a:pPr algn="l" rtl="0">
            <a:defRPr sz="1000"/>
          </a:pPr>
          <a:r>
            <a:rPr lang="pl-PL" sz="1000" u="none" b="0" i="0" baseline="0">
              <a:solidFill>
                <a:srgbClr val="000000"/>
              </a:solidFill>
              <a:latin typeface="Arial"/>
              <a:cs typeface="Arial"/>
            </a:rPr>
            <a:t>        The Action will be filled in automatically.</a:t>
          </a:r>
        </a:p>
        <a:p>
          <a:pPr algn="l" rtl="0"/>
          <a:endParaRPr lang="pl-PL" sz="1000" u="none" b="0" i="0" baseline="0">
            <a:solidFill>
              <a:srgbClr val="000000"/>
            </a:solidFill>
            <a:latin typeface="Arial"/>
            <a:cs typeface="Arial"/>
          </a:endParaRPr>
        </a:p>
        <a:p>
          <a:pPr algn="l" rtl="0">
            <a:defRPr sz="1000"/>
          </a:pPr>
          <a:r>
            <a:rPr lang="pl-PL" sz="1000" u="none" b="0" i="0" baseline="0">
              <a:solidFill>
                <a:srgbClr val="000000"/>
              </a:solidFill>
              <a:latin typeface="Arial"/>
              <a:cs typeface="Arial"/>
            </a:rPr>
            <a:t>   </a:t>
          </a:r>
          <a:r>
            <a:rPr lang="pl-PL" sz="1000" u="none" b="1" i="0" baseline="0">
              <a:solidFill>
                <a:srgbClr val="000000"/>
              </a:solidFill>
              <a:latin typeface="Arial"/>
              <a:cs typeface="Arial"/>
            </a:rPr>
            <a:t> </a:t>
          </a:r>
          <a:r>
            <a:rPr lang="pl-PL" sz="1000" u="none" b="0" i="0" baseline="0">
              <a:solidFill>
                <a:srgbClr val="000000"/>
              </a:solidFill>
              <a:latin typeface="Arial"/>
              <a:cs typeface="Arial"/>
            </a:rPr>
            <a:t>2) </a:t>
          </a:r>
          <a:r>
            <a:rPr lang="pl-PL" sz="1000" u="none" b="1" i="0" baseline="0">
              <a:solidFill>
                <a:srgbClr val="000000"/>
              </a:solidFill>
              <a:latin typeface="Arial"/>
              <a:cs typeface="Arial"/>
            </a:rPr>
            <a:t>Template Page:</a:t>
          </a:r>
          <a:r>
            <a:rPr lang="pl-PL" sz="1000" u="none" b="0" i="0" baseline="0">
              <a:solidFill>
                <a:srgbClr val="000000"/>
              </a:solidFill>
              <a:latin typeface="Arial"/>
              <a:cs typeface="Arial"/>
            </a:rPr>
            <a:t>  This is the second step. It is here that you create the template that you are going to use. The template is based upon the structure of a</a:t>
          </a:r>
        </a:p>
        <a:p>
          <a:pPr algn="l" rtl="0">
            <a:defRPr sz="1000"/>
          </a:pPr>
          <a:r>
            <a:rPr lang="pl-PL" sz="1000" u="none" b="0" i="0" baseline="0">
              <a:solidFill>
                <a:srgbClr val="000000"/>
              </a:solidFill>
              <a:latin typeface="Arial"/>
              <a:cs typeface="Arial"/>
            </a:rPr>
            <a:t>        Component Interface on the PeopleSoft database.</a:t>
          </a:r>
        </a:p>
        <a:p>
          <a:pPr algn="l" rtl="0">
            <a:defRPr sz="1000"/>
          </a:pPr>
          <a:r>
            <a:rPr lang="pl-PL" sz="1000" u="none" b="0" i="0" baseline="0">
              <a:solidFill>
                <a:srgbClr val="000000"/>
              </a:solidFill>
              <a:latin typeface="Arial"/>
              <a:cs typeface="Arial"/>
            </a:rPr>
            <a:t>        a. </a:t>
          </a:r>
          <a:r>
            <a:rPr lang="pl-PL" sz="1000" u="none" b="1" i="0" baseline="0">
              <a:solidFill>
                <a:srgbClr val="000000"/>
              </a:solidFill>
              <a:latin typeface="Arial"/>
              <a:cs typeface="Arial"/>
            </a:rPr>
            <a:t>Build New Template:</a:t>
          </a:r>
          <a:r>
            <a:rPr lang="pl-PL" sz="1000" u="none" b="0" i="0" baseline="0">
              <a:solidFill>
                <a:srgbClr val="000000"/>
              </a:solidFill>
              <a:latin typeface="Arial"/>
              <a:cs typeface="Arial"/>
            </a:rPr>
            <a:t>  When prompted, enter the name of the Component Interface you wish to use. You will also be prompted for your PeopleSoft User ID </a:t>
          </a:r>
        </a:p>
        <a:p>
          <a:pPr algn="l" rtl="0">
            <a:defRPr sz="1000"/>
          </a:pPr>
          <a:r>
            <a:rPr lang="pl-PL" sz="1000" u="none" b="0" i="0" baseline="0">
              <a:solidFill>
                <a:srgbClr val="000000"/>
              </a:solidFill>
              <a:latin typeface="Arial"/>
              <a:cs typeface="Arial"/>
            </a:rPr>
            <a:t>            and password. This connect information is used to retrieve the PeopleSoft Component Interface properties. The component interface structure is fetched and</a:t>
          </a:r>
        </a:p>
        <a:p>
          <a:pPr algn="l" rtl="0">
            <a:defRPr sz="1000"/>
          </a:pPr>
          <a:r>
            <a:rPr lang="pl-PL" sz="1000" u="none" b="0" i="0" baseline="0">
              <a:solidFill>
                <a:srgbClr val="000000"/>
              </a:solidFill>
              <a:latin typeface="Arial"/>
              <a:cs typeface="Arial"/>
            </a:rPr>
            <a:t>            displayed graphically.</a:t>
          </a:r>
        </a:p>
        <a:p>
          <a:pPr algn="l" rtl="0">
            <a:defRPr sz="1000"/>
          </a:pPr>
          <a:r>
            <a:rPr lang="pl-PL" sz="1000" u="none" b="0" i="0" baseline="0">
              <a:solidFill>
                <a:srgbClr val="000000"/>
              </a:solidFill>
              <a:latin typeface="Arial"/>
              <a:cs typeface="Arial"/>
            </a:rPr>
            <a:t>        b. </a:t>
          </a:r>
          <a:r>
            <a:rPr lang="pl-PL" sz="1000" u="none" b="1" i="0" baseline="0">
              <a:solidFill>
                <a:srgbClr val="000000"/>
              </a:solidFill>
              <a:latin typeface="Arial"/>
              <a:cs typeface="Arial"/>
            </a:rPr>
            <a:t>Mark/Unmark/Repaint Buttons:</a:t>
          </a:r>
          <a:r>
            <a:rPr lang="pl-PL" sz="1000" u="none" b="0" i="0" baseline="0">
              <a:solidFill>
                <a:srgbClr val="000000"/>
              </a:solidFill>
              <a:latin typeface="Arial"/>
              <a:cs typeface="Arial"/>
            </a:rPr>
            <a:t> The Mark button marks the selected cell to be used to create the Data Input sheet to gather the data. The Unmark</a:t>
          </a:r>
        </a:p>
        <a:p>
          <a:pPr algn="l" rtl="0">
            <a:defRPr sz="1000"/>
          </a:pPr>
          <a:r>
            <a:rPr lang="pl-PL" sz="1000" u="none" b="0" i="0" baseline="0">
              <a:solidFill>
                <a:srgbClr val="000000"/>
              </a:solidFill>
              <a:latin typeface="Arial"/>
              <a:cs typeface="Arial"/>
            </a:rPr>
            <a:t>            button unmarks the selected cell. The Repaint redraws the PeopleSoft structure. This is helpful if you deselect cells by mistake.</a:t>
          </a:r>
        </a:p>
        <a:p>
          <a:pPr algn="l" rtl="0">
            <a:defRPr sz="1000"/>
          </a:pPr>
          <a:r>
            <a:rPr lang="pl-PL" sz="1000" u="none" b="0" i="0" baseline="0">
              <a:solidFill>
                <a:srgbClr val="000000"/>
              </a:solidFill>
              <a:latin typeface="Arial"/>
              <a:cs typeface="Arial"/>
            </a:rPr>
            <a:t>        c. </a:t>
          </a:r>
          <a:r>
            <a:rPr lang="pl-PL" sz="1000" u="none" b="1" i="0" baseline="0">
              <a:solidFill>
                <a:srgbClr val="000000"/>
              </a:solidFill>
              <a:latin typeface="Arial"/>
              <a:cs typeface="Arial"/>
            </a:rPr>
            <a:t>Build Blank Input Page from Template:</a:t>
          </a:r>
          <a:r>
            <a:rPr lang="pl-PL" sz="1000" u="none" b="0" i="0" baseline="0">
              <a:solidFill>
                <a:srgbClr val="000000"/>
              </a:solidFill>
              <a:latin typeface="Arial"/>
              <a:cs typeface="Arial"/>
            </a:rPr>
            <a:t> This button copies the selected fields into the Data Input worksheet. The Data Input Page becomes active,</a:t>
          </a:r>
        </a:p>
        <a:p>
          <a:pPr algn="l" rtl="0">
            <a:defRPr sz="1000"/>
          </a:pPr>
          <a:r>
            <a:rPr lang="pl-PL" sz="1000" u="none" b="0" i="0" baseline="0">
              <a:solidFill>
                <a:srgbClr val="000000"/>
              </a:solidFill>
              <a:latin typeface="Arial"/>
              <a:cs typeface="Arial"/>
            </a:rPr>
            <a:t>            and you will be prompted before the structures and data on that page are deleted. </a:t>
          </a:r>
        </a:p>
        <a:p>
          <a:pPr algn="l" rtl="0"/>
          <a:endParaRPr lang="pl-PL" sz="1000" u="none" b="0" i="0" baseline="0">
            <a:solidFill>
              <a:srgbClr val="000000"/>
            </a:solidFill>
            <a:latin typeface="Arial"/>
            <a:cs typeface="Arial"/>
          </a:endParaRPr>
        </a:p>
        <a:p>
          <a:pPr algn="l" rtl="0">
            <a:defRPr sz="1000"/>
          </a:pPr>
          <a:r>
            <a:rPr lang="pl-PL" sz="1000" u="none" b="0" i="0" baseline="0">
              <a:solidFill>
                <a:srgbClr val="000000"/>
              </a:solidFill>
              <a:latin typeface="Arial"/>
              <a:cs typeface="Arial"/>
            </a:rPr>
            <a:t>    3) </a:t>
          </a:r>
          <a:r>
            <a:rPr lang="pl-PL" sz="1000" u="none" b="1" i="0" baseline="0">
              <a:solidFill>
                <a:srgbClr val="000000"/>
              </a:solidFill>
              <a:latin typeface="Arial"/>
              <a:cs typeface="Arial"/>
            </a:rPr>
            <a:t>Data Input Page:</a:t>
          </a:r>
          <a:r>
            <a:rPr lang="pl-PL" sz="1000" u="none" b="0" i="0" baseline="0">
              <a:solidFill>
                <a:srgbClr val="000000"/>
              </a:solidFill>
              <a:latin typeface="Arial"/>
              <a:cs typeface="Arial"/>
            </a:rPr>
            <a:t> This is the third step. It is here that you enter values for import to the PeopleSoft database.</a:t>
          </a:r>
        </a:p>
        <a:p>
          <a:pPr algn="l" rtl="0"/>
          <a:endParaRPr lang="pl-PL" sz="1000" u="none" b="0" i="0" baseline="0">
            <a:solidFill>
              <a:srgbClr val="000000"/>
            </a:solidFill>
            <a:latin typeface="Arial"/>
            <a:cs typeface="Arial"/>
          </a:endParaRPr>
        </a:p>
        <a:p>
          <a:pPr algn="l" rtl="0">
            <a:defRPr sz="1000"/>
          </a:pPr>
          <a:r>
            <a:rPr lang="pl-PL" sz="1000" u="none" b="0" i="0" baseline="0">
              <a:solidFill>
                <a:srgbClr val="000000"/>
              </a:solidFill>
              <a:latin typeface="Arial"/>
              <a:cs typeface="Arial"/>
            </a:rPr>
            <a:t>    4) </a:t>
          </a:r>
          <a:r>
            <a:rPr lang="pl-PL" sz="1000" u="none" b="1" i="0" baseline="0">
              <a:solidFill>
                <a:srgbClr val="000000"/>
              </a:solidFill>
              <a:latin typeface="Arial"/>
              <a:cs typeface="Arial"/>
            </a:rPr>
            <a:t>Submit to Database page:</a:t>
          </a:r>
          <a:r>
            <a:rPr lang="pl-PL" sz="1000" u="none" b="0" i="0" baseline="0">
              <a:solidFill>
                <a:srgbClr val="000000"/>
              </a:solidFill>
              <a:latin typeface="Arial"/>
              <a:cs typeface="Arial"/>
            </a:rPr>
            <a:t>  The last step is to format the data and submit to the database.</a:t>
          </a:r>
        </a:p>
        <a:p>
          <a:pPr algn="l" rtl="0">
            <a:defRPr sz="1000"/>
          </a:pPr>
          <a:r>
            <a:rPr lang="pl-PL" sz="1000" u="none" b="0" i="0" baseline="0">
              <a:solidFill>
                <a:srgbClr val="000000"/>
              </a:solidFill>
              <a:latin typeface="Arial"/>
              <a:cs typeface="Arial"/>
            </a:rPr>
            <a:t>        a. </a:t>
          </a:r>
          <a:r>
            <a:rPr lang="pl-PL" sz="1000" u="none" b="1" i="0" baseline="0">
              <a:solidFill>
                <a:srgbClr val="000000"/>
              </a:solidFill>
              <a:latin typeface="Arial"/>
              <a:cs typeface="Arial"/>
            </a:rPr>
            <a:t>Import Items from Data Input Page</a:t>
          </a:r>
          <a:r>
            <a:rPr lang="pl-PL" sz="1000" u="none" b="0" i="0" baseline="0">
              <a:solidFill>
                <a:srgbClr val="000000"/>
              </a:solidFill>
              <a:latin typeface="Arial"/>
              <a:cs typeface="Arial"/>
            </a:rPr>
            <a:t> imports all of the data entered on the Data Input Page and adds it to the Submit to Database page in preparation for</a:t>
          </a:r>
        </a:p>
        <a:p>
          <a:pPr algn="l" rtl="0">
            <a:defRPr sz="1000"/>
          </a:pPr>
          <a:r>
            <a:rPr lang="pl-PL" sz="1000" u="none" b="0" i="0" baseline="0">
              <a:solidFill>
                <a:srgbClr val="000000"/>
              </a:solidFill>
              <a:latin typeface="Arial"/>
              <a:cs typeface="Arial"/>
            </a:rPr>
            <a:t>            submission to the database</a:t>
          </a:r>
        </a:p>
        <a:p>
          <a:pPr algn="l" rtl="0">
            <a:defRPr sz="1000"/>
          </a:pPr>
          <a:r>
            <a:rPr lang="pl-PL" sz="1000" u="none" b="0" i="0" baseline="0">
              <a:solidFill>
                <a:srgbClr val="000000"/>
              </a:solidFill>
              <a:latin typeface="Arial"/>
              <a:cs typeface="Arial"/>
            </a:rPr>
            <a:t>        b. </a:t>
          </a:r>
          <a:r>
            <a:rPr lang="pl-PL" sz="1000" u="none" b="1" i="0" baseline="0">
              <a:solidFill>
                <a:srgbClr val="000000"/>
              </a:solidFill>
              <a:latin typeface="Arial"/>
              <a:cs typeface="Arial"/>
            </a:rPr>
            <a:t>Submit Items on this Page to the Database</a:t>
          </a:r>
          <a:r>
            <a:rPr lang="pl-PL" sz="1000" u="none" b="0" i="0" baseline="0">
              <a:solidFill>
                <a:srgbClr val="000000"/>
              </a:solidFill>
              <a:latin typeface="Arial"/>
              <a:cs typeface="Arial"/>
            </a:rPr>
            <a:t> submits the records to the Database (User ID and Password required). Each row submitted is marked with the</a:t>
          </a:r>
        </a:p>
        <a:p>
          <a:pPr algn="l" rtl="0">
            <a:defRPr sz="1000"/>
          </a:pPr>
          <a:r>
            <a:rPr lang="pl-PL" sz="1000" u="none" b="0" i="0" baseline="0">
              <a:solidFill>
                <a:srgbClr val="000000"/>
              </a:solidFill>
              <a:latin typeface="Arial"/>
              <a:cs typeface="Arial"/>
            </a:rPr>
            <a:t>            reply from the database which will either be OK or Error.</a:t>
          </a:r>
        </a:p>
        <a:p>
          <a:pPr algn="l" rtl="0">
            <a:defRPr sz="1000"/>
          </a:pPr>
          <a:r>
            <a:rPr lang="pl-PL" sz="1000" u="none" b="0" i="0" baseline="0">
              <a:solidFill>
                <a:srgbClr val="000000"/>
              </a:solidFill>
              <a:latin typeface="Arial"/>
              <a:cs typeface="Arial"/>
            </a:rPr>
            <a:t>        c. </a:t>
          </a:r>
          <a:r>
            <a:rPr lang="pl-PL" sz="1000" u="none" b="1" i="0" baseline="0">
              <a:solidFill>
                <a:srgbClr val="000000"/>
              </a:solidFill>
              <a:latin typeface="Arial"/>
              <a:cs typeface="Arial"/>
            </a:rPr>
            <a:t>Post These Results to the Data Input Page</a:t>
          </a:r>
          <a:r>
            <a:rPr lang="pl-PL" sz="1000" u="none" b="0" i="0" baseline="0">
              <a:solidFill>
                <a:srgbClr val="000000"/>
              </a:solidFill>
              <a:latin typeface="Arial"/>
              <a:cs typeface="Arial"/>
            </a:rPr>
            <a:t> marks the Data Input page with the replies received from the database. This gives you the opportunity to correct</a:t>
          </a:r>
        </a:p>
        <a:p>
          <a:pPr algn="l" rtl="0">
            <a:defRPr sz="1000"/>
          </a:pPr>
          <a:r>
            <a:rPr lang="pl-PL" sz="1000" u="none" b="0" i="0" baseline="0">
              <a:solidFill>
                <a:srgbClr val="000000"/>
              </a:solidFill>
              <a:latin typeface="Arial"/>
              <a:cs typeface="Arial"/>
            </a:rPr>
            <a:t>            data that was not submitted properly, and then resubmit the corrected data.</a:t>
          </a:r>
        </a:p>
        <a:p>
          <a:pPr algn="l" rtl="0">
            <a:defRPr sz="1000"/>
          </a:pPr>
          <a:r>
            <a:rPr lang="pl-PL" sz="1000" u="none" b="0" i="0" baseline="0">
              <a:solidFill>
                <a:srgbClr val="000000"/>
              </a:solidFill>
              <a:latin typeface="Arial"/>
              <a:cs typeface="Arial"/>
            </a:rPr>
            <a:t>            On resubmission, "OK" records are not reprocessed, while "Error" records can be corrected, and will be re imported on the next try.</a:t>
          </a:r>
        </a:p>
      </xdr:txBody>
    </xdr:sp>
    <xdr:clientData/>
  </xdr:twoCellAnchor>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89" name="Button 1" hidden="1">
              <a:extLst>
                <a:ext uri="{63B3BB69-23CF-44E3-9099-C40C66FF867C}">
                  <a14:compatExt spid="_x0000_s1228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0" name="Button 2" hidden="1">
              <a:extLst>
                <a:ext uri="{63B3BB69-23CF-44E3-9099-C40C66FF867C}">
                  <a14:compatExt spid="_x0000_s1229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1" name="Button 3" hidden="1">
              <a:extLst>
                <a:ext uri="{63B3BB69-23CF-44E3-9099-C40C66FF867C}">
                  <a14:compatExt spid="_x0000_s1229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2" name="Button 4" hidden="1">
              <a:extLst>
                <a:ext uri="{63B3BB69-23CF-44E3-9099-C40C66FF867C}">
                  <a14:compatExt spid="_x0000_s1229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fLocksText="0">
          <xdr:nvSpPr>
            <xdr:cNvPr id="12293" name="Button 5" hidden="1">
              <a:extLst>
                <a:ext uri="{63B3BB69-23CF-44E3-9099-C40C66FF867C}">
                  <a14:compatExt spid="_x0000_s12293"/>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Button 235</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fLocksText="0">
          <xdr:nvSpPr>
            <xdr:cNvPr id="12294" name="Button 6" hidden="1">
              <a:extLst>
                <a:ext uri="{63B3BB69-23CF-44E3-9099-C40C66FF867C}">
                  <a14:compatExt spid="_x0000_s12294"/>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Button 237</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5" name="Button 7" hidden="1">
              <a:extLst>
                <a:ext uri="{63B3BB69-23CF-44E3-9099-C40C66FF867C}">
                  <a14:compatExt spid="_x0000_s12295"/>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6" name="Button 8" hidden="1">
              <a:extLst>
                <a:ext uri="{63B3BB69-23CF-44E3-9099-C40C66FF867C}">
                  <a14:compatExt spid="_x0000_s12296"/>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7" name="Button 9" hidden="1">
              <a:extLst>
                <a:ext uri="{63B3BB69-23CF-44E3-9099-C40C66FF867C}">
                  <a14:compatExt spid="_x0000_s12297"/>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8" name="Button 10" hidden="1">
              <a:extLst>
                <a:ext uri="{63B3BB69-23CF-44E3-9099-C40C66FF867C}">
                  <a14:compatExt spid="_x0000_s12298"/>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299" name="Button 11" hidden="1">
              <a:extLst>
                <a:ext uri="{63B3BB69-23CF-44E3-9099-C40C66FF867C}">
                  <a14:compatExt spid="_x0000_s1229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300" name="Button 12" hidden="1">
              <a:extLst>
                <a:ext uri="{63B3BB69-23CF-44E3-9099-C40C66FF867C}">
                  <a14:compatExt spid="_x0000_s1230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301" name="Button 13" hidden="1">
              <a:extLst>
                <a:ext uri="{63B3BB69-23CF-44E3-9099-C40C66FF867C}">
                  <a14:compatExt spid="_x0000_s1230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Module1.DoExcelPost" fLocksText="0">
          <xdr:nvSpPr>
            <xdr:cNvPr id="12302" name="Button 14" hidden="1">
              <a:extLst>
                <a:ext uri="{63B3BB69-23CF-44E3-9099-C40C66FF867C}">
                  <a14:compatExt spid="_x0000_s1230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3" name="Button 15" hidden="1">
              <a:extLst>
                <a:ext uri="{63B3BB69-23CF-44E3-9099-C40C66FF867C}">
                  <a14:compatExt spid="_x0000_s12303"/>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4" name="Button 16" hidden="1">
              <a:extLst>
                <a:ext uri="{63B3BB69-23CF-44E3-9099-C40C66FF867C}">
                  <a14:compatExt spid="_x0000_s12304"/>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5" name="Button 17" hidden="1">
              <a:extLst>
                <a:ext uri="{63B3BB69-23CF-44E3-9099-C40C66FF867C}">
                  <a14:compatExt spid="_x0000_s12305"/>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6" name="Button 18" hidden="1">
              <a:extLst>
                <a:ext uri="{63B3BB69-23CF-44E3-9099-C40C66FF867C}">
                  <a14:compatExt spid="_x0000_s12306"/>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7" name="Button 19" hidden="1">
              <a:extLst>
                <a:ext uri="{63B3BB69-23CF-44E3-9099-C40C66FF867C}">
                  <a14:compatExt spid="_x0000_s12307"/>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8" name="Button 20" hidden="1">
              <a:extLst>
                <a:ext uri="{63B3BB69-23CF-44E3-9099-C40C66FF867C}">
                  <a14:compatExt spid="_x0000_s12308"/>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09" name="Button 21" hidden="1">
              <a:extLst>
                <a:ext uri="{63B3BB69-23CF-44E3-9099-C40C66FF867C}">
                  <a14:compatExt spid="_x0000_s1230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0" name="Button 22" hidden="1">
              <a:extLst>
                <a:ext uri="{63B3BB69-23CF-44E3-9099-C40C66FF867C}">
                  <a14:compatExt spid="_x0000_s1231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1" name="Button 23" hidden="1">
              <a:extLst>
                <a:ext uri="{63B3BB69-23CF-44E3-9099-C40C66FF867C}">
                  <a14:compatExt spid="_x0000_s1231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2" name="Button 24" hidden="1">
              <a:extLst>
                <a:ext uri="{63B3BB69-23CF-44E3-9099-C40C66FF867C}">
                  <a14:compatExt spid="_x0000_s1231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3" name="Button 25" hidden="1">
              <a:extLst>
                <a:ext uri="{63B3BB69-23CF-44E3-9099-C40C66FF867C}">
                  <a14:compatExt spid="_x0000_s12313"/>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4" name="Button 26" hidden="1">
              <a:extLst>
                <a:ext uri="{63B3BB69-23CF-44E3-9099-C40C66FF867C}">
                  <a14:compatExt spid="_x0000_s12314"/>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5" name="Button 27" hidden="1">
              <a:extLst>
                <a:ext uri="{63B3BB69-23CF-44E3-9099-C40C66FF867C}">
                  <a14:compatExt spid="_x0000_s12315"/>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6" name="Button 28" hidden="1">
              <a:extLst>
                <a:ext uri="{63B3BB69-23CF-44E3-9099-C40C66FF867C}">
                  <a14:compatExt spid="_x0000_s12316"/>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7" name="Button 29" hidden="1">
              <a:extLst>
                <a:ext uri="{63B3BB69-23CF-44E3-9099-C40C66FF867C}">
                  <a14:compatExt spid="_x0000_s12317"/>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8" name="Button 30" hidden="1">
              <a:extLst>
                <a:ext uri="{63B3BB69-23CF-44E3-9099-C40C66FF867C}">
                  <a14:compatExt spid="_x0000_s12318"/>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19" name="Button 31" hidden="1">
              <a:extLst>
                <a:ext uri="{63B3BB69-23CF-44E3-9099-C40C66FF867C}">
                  <a14:compatExt spid="_x0000_s1231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0" name="Button 32" hidden="1">
              <a:extLst>
                <a:ext uri="{63B3BB69-23CF-44E3-9099-C40C66FF867C}">
                  <a14:compatExt spid="_x0000_s1232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1" name="Button 33" hidden="1">
              <a:extLst>
                <a:ext uri="{63B3BB69-23CF-44E3-9099-C40C66FF867C}">
                  <a14:compatExt spid="_x0000_s1232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2" name="Button 34" hidden="1">
              <a:extLst>
                <a:ext uri="{63B3BB69-23CF-44E3-9099-C40C66FF867C}">
                  <a14:compatExt spid="_x0000_s1232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3" name="Button 35" hidden="1">
              <a:extLst>
                <a:ext uri="{63B3BB69-23CF-44E3-9099-C40C66FF867C}">
                  <a14:compatExt spid="_x0000_s12323"/>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4" name="Button 36" hidden="1">
              <a:extLst>
                <a:ext uri="{63B3BB69-23CF-44E3-9099-C40C66FF867C}">
                  <a14:compatExt spid="_x0000_s12324"/>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5" name="Button 37" hidden="1">
              <a:extLst>
                <a:ext uri="{63B3BB69-23CF-44E3-9099-C40C66FF867C}">
                  <a14:compatExt spid="_x0000_s12325"/>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6" name="Button 38" hidden="1">
              <a:extLst>
                <a:ext uri="{63B3BB69-23CF-44E3-9099-C40C66FF867C}">
                  <a14:compatExt spid="_x0000_s12326"/>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7" name="Button 39" hidden="1">
              <a:extLst>
                <a:ext uri="{63B3BB69-23CF-44E3-9099-C40C66FF867C}">
                  <a14:compatExt spid="_x0000_s12327"/>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8" name="Button 40" hidden="1">
              <a:extLst>
                <a:ext uri="{63B3BB69-23CF-44E3-9099-C40C66FF867C}">
                  <a14:compatExt spid="_x0000_s12328"/>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29" name="Button 41" hidden="1">
              <a:extLst>
                <a:ext uri="{63B3BB69-23CF-44E3-9099-C40C66FF867C}">
                  <a14:compatExt spid="_x0000_s1232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0" name="Button 42" hidden="1">
              <a:extLst>
                <a:ext uri="{63B3BB69-23CF-44E3-9099-C40C66FF867C}">
                  <a14:compatExt spid="_x0000_s1233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1" name="Button 43" hidden="1">
              <a:extLst>
                <a:ext uri="{63B3BB69-23CF-44E3-9099-C40C66FF867C}">
                  <a14:compatExt spid="_x0000_s1233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2" name="Button 44" hidden="1">
              <a:extLst>
                <a:ext uri="{63B3BB69-23CF-44E3-9099-C40C66FF867C}">
                  <a14:compatExt spid="_x0000_s1233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3" name="Button 45" hidden="1">
              <a:extLst>
                <a:ext uri="{63B3BB69-23CF-44E3-9099-C40C66FF867C}">
                  <a14:compatExt spid="_x0000_s12333"/>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4" name="Button 46" hidden="1">
              <a:extLst>
                <a:ext uri="{63B3BB69-23CF-44E3-9099-C40C66FF867C}">
                  <a14:compatExt spid="_x0000_s12334"/>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5" name="Button 47" hidden="1">
              <a:extLst>
                <a:ext uri="{63B3BB69-23CF-44E3-9099-C40C66FF867C}">
                  <a14:compatExt spid="_x0000_s12335"/>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6" name="Button 48" hidden="1">
              <a:extLst>
                <a:ext uri="{63B3BB69-23CF-44E3-9099-C40C66FF867C}">
                  <a14:compatExt spid="_x0000_s12336"/>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7" name="Button 49" hidden="1">
              <a:extLst>
                <a:ext uri="{63B3BB69-23CF-44E3-9099-C40C66FF867C}">
                  <a14:compatExt spid="_x0000_s12337"/>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8" name="Button 50" hidden="1">
              <a:extLst>
                <a:ext uri="{63B3BB69-23CF-44E3-9099-C40C66FF867C}">
                  <a14:compatExt spid="_x0000_s12338"/>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39" name="Button 51" hidden="1">
              <a:extLst>
                <a:ext uri="{63B3BB69-23CF-44E3-9099-C40C66FF867C}">
                  <a14:compatExt spid="_x0000_s1233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0" name="Button 52" hidden="1">
              <a:extLst>
                <a:ext uri="{63B3BB69-23CF-44E3-9099-C40C66FF867C}">
                  <a14:compatExt spid="_x0000_s1234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1" name="Button 53" hidden="1">
              <a:extLst>
                <a:ext uri="{63B3BB69-23CF-44E3-9099-C40C66FF867C}">
                  <a14:compatExt spid="_x0000_s1234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2" name="Button 54" hidden="1">
              <a:extLst>
                <a:ext uri="{63B3BB69-23CF-44E3-9099-C40C66FF867C}">
                  <a14:compatExt spid="_x0000_s1234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3" name="Button 55" hidden="1">
              <a:extLst>
                <a:ext uri="{63B3BB69-23CF-44E3-9099-C40C66FF867C}">
                  <a14:compatExt spid="_x0000_s12343"/>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4" name="Button 56" hidden="1">
              <a:extLst>
                <a:ext uri="{63B3BB69-23CF-44E3-9099-C40C66FF867C}">
                  <a14:compatExt spid="_x0000_s12344"/>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5" name="Button 57" hidden="1">
              <a:extLst>
                <a:ext uri="{63B3BB69-23CF-44E3-9099-C40C66FF867C}">
                  <a14:compatExt spid="_x0000_s12345"/>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6" name="Button 58" hidden="1">
              <a:extLst>
                <a:ext uri="{63B3BB69-23CF-44E3-9099-C40C66FF867C}">
                  <a14:compatExt spid="_x0000_s12346"/>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7" name="Button 59" hidden="1">
              <a:extLst>
                <a:ext uri="{63B3BB69-23CF-44E3-9099-C40C66FF867C}">
                  <a14:compatExt spid="_x0000_s12347"/>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8" name="Button 60" hidden="1">
              <a:extLst>
                <a:ext uri="{63B3BB69-23CF-44E3-9099-C40C66FF867C}">
                  <a14:compatExt spid="_x0000_s12348"/>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49" name="Button 61" hidden="1">
              <a:extLst>
                <a:ext uri="{63B3BB69-23CF-44E3-9099-C40C66FF867C}">
                  <a14:compatExt spid="_x0000_s12349"/>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50" name="Button 62" hidden="1">
              <a:extLst>
                <a:ext uri="{63B3BB69-23CF-44E3-9099-C40C66FF867C}">
                  <a14:compatExt spid="_x0000_s12350"/>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51" name="Button 63" hidden="1">
              <a:extLst>
                <a:ext uri="{63B3BB69-23CF-44E3-9099-C40C66FF867C}">
                  <a14:compatExt spid="_x0000_s12351"/>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xdr:colOff>
          <xdr:row>0</xdr:row>
          <xdr:rowOff>0</xdr:rowOff>
        </xdr:from>
        <xdr:to>
          <xdr:col>4</xdr:col>
          <xdr:colOff>219075</xdr:colOff>
          <xdr:row>0</xdr:row>
          <xdr:rowOff>0</xdr:rowOff>
        </xdr:to>
        <xdr:sp macro="[0]!ValidateComplexObject" fLocksText="0">
          <xdr:nvSpPr>
            <xdr:cNvPr id="12352" name="Button 64" hidden="1">
              <a:extLst>
                <a:ext uri="{63B3BB69-23CF-44E3-9099-C40C66FF867C}">
                  <a14:compatExt spid="_x0000_s12352"/>
                </a:ext>
              </a:extLst>
            </xdr:cNvPr>
            <xdr:cNvSpPr>
              <a:spLocks noRot="1"/>
            </xdr:cNvSpPr>
          </xdr:nvSpPr>
          <xdr:spPr>
            <a:xfrm>
              <a:off x="1857375"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0</xdr:colOff>
          <xdr:row>0</xdr:row>
          <xdr:rowOff>0</xdr:rowOff>
        </xdr:from>
        <xdr:to>
          <xdr:col>7</xdr:col>
          <xdr:colOff>428625</xdr:colOff>
          <xdr:row>0</xdr:row>
          <xdr:rowOff>0</xdr:rowOff>
        </xdr:to>
        <xdr:sp macro="[0]!BuildComplexObjectFromSimpleObject" fLocksText="0">
          <xdr:nvSpPr>
            <xdr:cNvPr id="12353" name="Button 65" hidden="1">
              <a:extLst>
                <a:ext uri="{63B3BB69-23CF-44E3-9099-C40C66FF867C}">
                  <a14:compatExt spid="_x0000_s12353"/>
                </a:ext>
              </a:extLst>
            </xdr:cNvPr>
            <xdr:cNvSpPr>
              <a:spLocks noRot="1"/>
            </xdr:cNvSpPr>
          </xdr:nvSpPr>
          <xdr:spPr>
            <a:xfrm>
              <a:off x="30480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600075</xdr:colOff>
          <xdr:row>0</xdr:row>
          <xdr:rowOff>0</xdr:rowOff>
        </xdr:from>
        <xdr:to>
          <xdr:col>11</xdr:col>
          <xdr:colOff>419100</xdr:colOff>
          <xdr:row>0</xdr:row>
          <xdr:rowOff>0</xdr:rowOff>
        </xdr:to>
        <xdr:sp macro="[0]!ValidateComplexObject" fLocksText="0">
          <xdr:nvSpPr>
            <xdr:cNvPr id="12354" name="Button 66" hidden="1">
              <a:extLst>
                <a:ext uri="{63B3BB69-23CF-44E3-9099-C40C66FF867C}">
                  <a14:compatExt spid="_x0000_s12354"/>
                </a:ext>
              </a:extLst>
            </xdr:cNvPr>
            <xdr:cNvSpPr>
              <a:spLocks noRot="1"/>
            </xdr:cNvSpPr>
          </xdr:nvSpPr>
          <xdr:spPr>
            <a:xfrm>
              <a:off x="54768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0</xdr:colOff>
          <xdr:row>0</xdr:row>
          <xdr:rowOff>0</xdr:rowOff>
        </xdr:from>
        <xdr:to>
          <xdr:col>7</xdr:col>
          <xdr:colOff>428625</xdr:colOff>
          <xdr:row>0</xdr:row>
          <xdr:rowOff>0</xdr:rowOff>
        </xdr:to>
        <xdr:sp macro="[0]!BuildComplexObjectFromSimpleObject" fLocksText="0">
          <xdr:nvSpPr>
            <xdr:cNvPr id="12355" name="Button 67" hidden="1">
              <a:extLst>
                <a:ext uri="{63B3BB69-23CF-44E3-9099-C40C66FF867C}">
                  <a14:compatExt spid="_x0000_s12355"/>
                </a:ext>
              </a:extLst>
            </xdr:cNvPr>
            <xdr:cNvSpPr>
              <a:spLocks noRot="1"/>
            </xdr:cNvSpPr>
          </xdr:nvSpPr>
          <xdr:spPr>
            <a:xfrm>
              <a:off x="30480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600075</xdr:colOff>
          <xdr:row>0</xdr:row>
          <xdr:rowOff>0</xdr:rowOff>
        </xdr:from>
        <xdr:to>
          <xdr:col>11</xdr:col>
          <xdr:colOff>419100</xdr:colOff>
          <xdr:row>0</xdr:row>
          <xdr:rowOff>0</xdr:rowOff>
        </xdr:to>
        <xdr:sp macro="[0]!ValidateComplexObject" fLocksText="0">
          <xdr:nvSpPr>
            <xdr:cNvPr id="12356" name="Button 68" hidden="1">
              <a:extLst>
                <a:ext uri="{63B3BB69-23CF-44E3-9099-C40C66FF867C}">
                  <a14:compatExt spid="_x0000_s12356"/>
                </a:ext>
              </a:extLst>
            </xdr:cNvPr>
            <xdr:cNvSpPr>
              <a:spLocks noRot="1"/>
            </xdr:cNvSpPr>
          </xdr:nvSpPr>
          <xdr:spPr>
            <a:xfrm>
              <a:off x="54768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0</xdr:colOff>
          <xdr:row>0</xdr:row>
          <xdr:rowOff>0</xdr:rowOff>
        </xdr:from>
        <xdr:to>
          <xdr:col>15</xdr:col>
          <xdr:colOff>428625</xdr:colOff>
          <xdr:row>0</xdr:row>
          <xdr:rowOff>0</xdr:rowOff>
        </xdr:to>
        <xdr:sp macro="[0]!PostEditResultsToSimpleObject" fLocksText="0">
          <xdr:nvSpPr>
            <xdr:cNvPr id="12357" name="Button 69" hidden="1">
              <a:extLst>
                <a:ext uri="{63B3BB69-23CF-44E3-9099-C40C66FF867C}">
                  <a14:compatExt spid="_x0000_s12357"/>
                </a:ext>
              </a:extLst>
            </xdr:cNvPr>
            <xdr:cNvSpPr>
              <a:spLocks noRot="1"/>
            </xdr:cNvSpPr>
          </xdr:nvSpPr>
          <xdr:spPr>
            <a:xfrm>
              <a:off x="79248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600075</xdr:colOff>
          <xdr:row>0</xdr:row>
          <xdr:rowOff>0</xdr:rowOff>
        </xdr:from>
        <xdr:to>
          <xdr:col>7</xdr:col>
          <xdr:colOff>419100</xdr:colOff>
          <xdr:row>0</xdr:row>
          <xdr:rowOff>0</xdr:rowOff>
        </xdr:to>
        <xdr:sp macro="[0]!BuildComplexObjectFromSimpleObject" fLocksText="0">
          <xdr:nvSpPr>
            <xdr:cNvPr id="12358" name="Button 70" hidden="1">
              <a:extLst>
                <a:ext uri="{63B3BB69-23CF-44E3-9099-C40C66FF867C}">
                  <a14:compatExt spid="_x0000_s12358"/>
                </a:ext>
              </a:extLst>
            </xdr:cNvPr>
            <xdr:cNvSpPr>
              <a:spLocks noRot="1"/>
            </xdr:cNvSpPr>
          </xdr:nvSpPr>
          <xdr:spPr>
            <a:xfrm>
              <a:off x="30384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600075</xdr:colOff>
          <xdr:row>0</xdr:row>
          <xdr:rowOff>0</xdr:rowOff>
        </xdr:from>
        <xdr:to>
          <xdr:col>11</xdr:col>
          <xdr:colOff>419100</xdr:colOff>
          <xdr:row>0</xdr:row>
          <xdr:rowOff>0</xdr:rowOff>
        </xdr:to>
        <xdr:sp macro="[0]!ValidateComplexObject" fLocksText="0">
          <xdr:nvSpPr>
            <xdr:cNvPr id="12359" name="Button 71" hidden="1">
              <a:extLst>
                <a:ext uri="{63B3BB69-23CF-44E3-9099-C40C66FF867C}">
                  <a14:compatExt spid="_x0000_s12359"/>
                </a:ext>
              </a:extLst>
            </xdr:cNvPr>
            <xdr:cNvSpPr>
              <a:spLocks noRot="1"/>
            </xdr:cNvSpPr>
          </xdr:nvSpPr>
          <xdr:spPr>
            <a:xfrm>
              <a:off x="54768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28575</xdr:colOff>
          <xdr:row>0</xdr:row>
          <xdr:rowOff>0</xdr:rowOff>
        </xdr:from>
        <xdr:to>
          <xdr:col>15</xdr:col>
          <xdr:colOff>457200</xdr:colOff>
          <xdr:row>0</xdr:row>
          <xdr:rowOff>0</xdr:rowOff>
        </xdr:to>
        <xdr:sp macro="[0]!PostEditResultsToSimpleObject" fLocksText="0">
          <xdr:nvSpPr>
            <xdr:cNvPr id="12360" name="Button 72" hidden="1">
              <a:extLst>
                <a:ext uri="{63B3BB69-23CF-44E3-9099-C40C66FF867C}">
                  <a14:compatExt spid="_x0000_s12360"/>
                </a:ext>
              </a:extLst>
            </xdr:cNvPr>
            <xdr:cNvSpPr>
              <a:spLocks noRot="1"/>
            </xdr:cNvSpPr>
          </xdr:nvSpPr>
          <xdr:spPr>
            <a:xfrm>
              <a:off x="79533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600075</xdr:colOff>
          <xdr:row>0</xdr:row>
          <xdr:rowOff>0</xdr:rowOff>
        </xdr:from>
        <xdr:to>
          <xdr:col>7</xdr:col>
          <xdr:colOff>419100</xdr:colOff>
          <xdr:row>0</xdr:row>
          <xdr:rowOff>0</xdr:rowOff>
        </xdr:to>
        <xdr:sp macro="[0]!BuildComplexObjectFromSimpleObject" fLocksText="0">
          <xdr:nvSpPr>
            <xdr:cNvPr id="12361" name="Button 73" hidden="1">
              <a:extLst>
                <a:ext uri="{63B3BB69-23CF-44E3-9099-C40C66FF867C}">
                  <a14:compatExt spid="_x0000_s12361"/>
                </a:ext>
              </a:extLst>
            </xdr:cNvPr>
            <xdr:cNvSpPr>
              <a:spLocks noRot="1"/>
            </xdr:cNvSpPr>
          </xdr:nvSpPr>
          <xdr:spPr>
            <a:xfrm>
              <a:off x="30384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600075</xdr:colOff>
          <xdr:row>0</xdr:row>
          <xdr:rowOff>0</xdr:rowOff>
        </xdr:from>
        <xdr:to>
          <xdr:col>11</xdr:col>
          <xdr:colOff>419100</xdr:colOff>
          <xdr:row>0</xdr:row>
          <xdr:rowOff>0</xdr:rowOff>
        </xdr:to>
        <xdr:sp macro="[0]!ValidateComplexObject" fLocksText="0">
          <xdr:nvSpPr>
            <xdr:cNvPr id="12362" name="Button 74" hidden="1">
              <a:extLst>
                <a:ext uri="{63B3BB69-23CF-44E3-9099-C40C66FF867C}">
                  <a14:compatExt spid="_x0000_s12362"/>
                </a:ext>
              </a:extLst>
            </xdr:cNvPr>
            <xdr:cNvSpPr>
              <a:spLocks noRot="1"/>
            </xdr:cNvSpPr>
          </xdr:nvSpPr>
          <xdr:spPr>
            <a:xfrm>
              <a:off x="54768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28575</xdr:colOff>
          <xdr:row>0</xdr:row>
          <xdr:rowOff>0</xdr:rowOff>
        </xdr:from>
        <xdr:to>
          <xdr:col>15</xdr:col>
          <xdr:colOff>457200</xdr:colOff>
          <xdr:row>0</xdr:row>
          <xdr:rowOff>0</xdr:rowOff>
        </xdr:to>
        <xdr:sp macro="[0]!PostEditResultsToSimpleObject" fLocksText="0">
          <xdr:nvSpPr>
            <xdr:cNvPr id="12363" name="Button 75" hidden="1">
              <a:extLst>
                <a:ext uri="{63B3BB69-23CF-44E3-9099-C40C66FF867C}">
                  <a14:compatExt spid="_x0000_s12363"/>
                </a:ext>
              </a:extLst>
            </xdr:cNvPr>
            <xdr:cNvSpPr>
              <a:spLocks noRot="1"/>
            </xdr:cNvSpPr>
          </xdr:nvSpPr>
          <xdr:spPr>
            <a:xfrm>
              <a:off x="79533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64" name="Button 76" hidden="1">
              <a:extLst>
                <a:ext uri="{63B3BB69-23CF-44E3-9099-C40C66FF867C}">
                  <a14:compatExt spid="_x0000_s12364"/>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ValidateComplexObject" fLocksText="0">
          <xdr:nvSpPr>
            <xdr:cNvPr id="12365" name="Button 77" hidden="1">
              <a:extLst>
                <a:ext uri="{63B3BB69-23CF-44E3-9099-C40C66FF867C}">
                  <a14:compatExt spid="_x0000_s12365"/>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66" name="Button 78" hidden="1">
              <a:extLst>
                <a:ext uri="{63B3BB69-23CF-44E3-9099-C40C66FF867C}">
                  <a14:compatExt spid="_x0000_s12366"/>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67" name="Button 79" hidden="1">
              <a:extLst>
                <a:ext uri="{63B3BB69-23CF-44E3-9099-C40C66FF867C}">
                  <a14:compatExt spid="_x0000_s12367"/>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ValidateComplexObject" fLocksText="0">
          <xdr:nvSpPr>
            <xdr:cNvPr id="12368" name="Button 80" hidden="1">
              <a:extLst>
                <a:ext uri="{63B3BB69-23CF-44E3-9099-C40C66FF867C}">
                  <a14:compatExt spid="_x0000_s12368"/>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69" name="Button 81" hidden="1">
              <a:extLst>
                <a:ext uri="{63B3BB69-23CF-44E3-9099-C40C66FF867C}">
                  <a14:compatExt spid="_x0000_s12369"/>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70" name="Button 82" hidden="1">
              <a:extLst>
                <a:ext uri="{63B3BB69-23CF-44E3-9099-C40C66FF867C}">
                  <a14:compatExt spid="_x0000_s12370"/>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ValidateComplexObject" fLocksText="0">
          <xdr:nvSpPr>
            <xdr:cNvPr id="12371" name="Button 83" hidden="1">
              <a:extLst>
                <a:ext uri="{63B3BB69-23CF-44E3-9099-C40C66FF867C}">
                  <a14:compatExt spid="_x0000_s12371"/>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72" name="Button 84" hidden="1">
              <a:extLst>
                <a:ext uri="{63B3BB69-23CF-44E3-9099-C40C66FF867C}">
                  <a14:compatExt spid="_x0000_s12372"/>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73" name="Button 85" hidden="1">
              <a:extLst>
                <a:ext uri="{63B3BB69-23CF-44E3-9099-C40C66FF867C}">
                  <a14:compatExt spid="_x0000_s12373"/>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ValidateComplexObject" fLocksText="0">
          <xdr:nvSpPr>
            <xdr:cNvPr id="12374" name="Button 86" hidden="1">
              <a:extLst>
                <a:ext uri="{63B3BB69-23CF-44E3-9099-C40C66FF867C}">
                  <a14:compatExt spid="_x0000_s12374"/>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75" name="Button 87" hidden="1">
              <a:extLst>
                <a:ext uri="{63B3BB69-23CF-44E3-9099-C40C66FF867C}">
                  <a14:compatExt spid="_x0000_s12375"/>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76" name="Button 88" hidden="1">
              <a:extLst>
                <a:ext uri="{63B3BB69-23CF-44E3-9099-C40C66FF867C}">
                  <a14:compatExt spid="_x0000_s12376"/>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ValidateComplexObject" fLocksText="0">
          <xdr:nvSpPr>
            <xdr:cNvPr id="12377" name="Button 89" hidden="1">
              <a:extLst>
                <a:ext uri="{63B3BB69-23CF-44E3-9099-C40C66FF867C}">
                  <a14:compatExt spid="_x0000_s12377"/>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78" name="Button 90" hidden="1">
              <a:extLst>
                <a:ext uri="{63B3BB69-23CF-44E3-9099-C40C66FF867C}">
                  <a14:compatExt spid="_x0000_s12378"/>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79" name="Button 91" hidden="1">
              <a:extLst>
                <a:ext uri="{63B3BB69-23CF-44E3-9099-C40C66FF867C}">
                  <a14:compatExt spid="_x0000_s12379"/>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80" name="Button 92" hidden="1">
              <a:extLst>
                <a:ext uri="{63B3BB69-23CF-44E3-9099-C40C66FF867C}">
                  <a14:compatExt spid="_x0000_s12380"/>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81" name="Button 93" hidden="1">
              <a:extLst>
                <a:ext uri="{63B3BB69-23CF-44E3-9099-C40C66FF867C}">
                  <a14:compatExt spid="_x0000_s12381"/>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82" name="Button 94" hidden="1">
              <a:extLst>
                <a:ext uri="{63B3BB69-23CF-44E3-9099-C40C66FF867C}">
                  <a14:compatExt spid="_x0000_s12382"/>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83" name="Button 95" hidden="1">
              <a:extLst>
                <a:ext uri="{63B3BB69-23CF-44E3-9099-C40C66FF867C}">
                  <a14:compatExt spid="_x0000_s12383"/>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84" name="Button 96" hidden="1">
              <a:extLst>
                <a:ext uri="{63B3BB69-23CF-44E3-9099-C40C66FF867C}">
                  <a14:compatExt spid="_x0000_s12384"/>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85" name="Button 97" hidden="1">
              <a:extLst>
                <a:ext uri="{63B3BB69-23CF-44E3-9099-C40C66FF867C}">
                  <a14:compatExt spid="_x0000_s12385"/>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86" name="Button 98" hidden="1">
              <a:extLst>
                <a:ext uri="{63B3BB69-23CF-44E3-9099-C40C66FF867C}">
                  <a14:compatExt spid="_x0000_s12386"/>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87" name="Button 99" hidden="1">
              <a:extLst>
                <a:ext uri="{63B3BB69-23CF-44E3-9099-C40C66FF867C}">
                  <a14:compatExt spid="_x0000_s12387"/>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88" name="Button 100" hidden="1">
              <a:extLst>
                <a:ext uri="{63B3BB69-23CF-44E3-9099-C40C66FF867C}">
                  <a14:compatExt spid="_x0000_s12388"/>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89" name="Button 101" hidden="1">
              <a:extLst>
                <a:ext uri="{63B3BB69-23CF-44E3-9099-C40C66FF867C}">
                  <a14:compatExt spid="_x0000_s12389"/>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90" name="Button 102" hidden="1">
              <a:extLst>
                <a:ext uri="{63B3BB69-23CF-44E3-9099-C40C66FF867C}">
                  <a14:compatExt spid="_x0000_s12390"/>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91" name="Button 103" hidden="1">
              <a:extLst>
                <a:ext uri="{63B3BB69-23CF-44E3-9099-C40C66FF867C}">
                  <a14:compatExt spid="_x0000_s12391"/>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92" name="Button 104" hidden="1">
              <a:extLst>
                <a:ext uri="{63B3BB69-23CF-44E3-9099-C40C66FF867C}">
                  <a14:compatExt spid="_x0000_s12392"/>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93" name="Button 105" hidden="1">
              <a:extLst>
                <a:ext uri="{63B3BB69-23CF-44E3-9099-C40C66FF867C}">
                  <a14:compatExt spid="_x0000_s12393"/>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94" name="Button 106" hidden="1">
              <a:extLst>
                <a:ext uri="{63B3BB69-23CF-44E3-9099-C40C66FF867C}">
                  <a14:compatExt spid="_x0000_s12394"/>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95" name="Button 107" hidden="1">
              <a:extLst>
                <a:ext uri="{63B3BB69-23CF-44E3-9099-C40C66FF867C}">
                  <a14:compatExt spid="_x0000_s12395"/>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96" name="Button 108" hidden="1">
              <a:extLst>
                <a:ext uri="{63B3BB69-23CF-44E3-9099-C40C66FF867C}">
                  <a14:compatExt spid="_x0000_s12396"/>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397" name="Button 109" hidden="1">
              <a:extLst>
                <a:ext uri="{63B3BB69-23CF-44E3-9099-C40C66FF867C}">
                  <a14:compatExt spid="_x0000_s12397"/>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398" name="Button 110" hidden="1">
              <a:extLst>
                <a:ext uri="{63B3BB69-23CF-44E3-9099-C40C66FF867C}">
                  <a14:compatExt spid="_x0000_s12398"/>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399" name="Button 111" hidden="1">
              <a:extLst>
                <a:ext uri="{63B3BB69-23CF-44E3-9099-C40C66FF867C}">
                  <a14:compatExt spid="_x0000_s12399"/>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00" name="Button 112" hidden="1">
              <a:extLst>
                <a:ext uri="{63B3BB69-23CF-44E3-9099-C40C66FF867C}">
                  <a14:compatExt spid="_x0000_s12400"/>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01" name="Button 113" hidden="1">
              <a:extLst>
                <a:ext uri="{63B3BB69-23CF-44E3-9099-C40C66FF867C}">
                  <a14:compatExt spid="_x0000_s12401"/>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02" name="Button 114" hidden="1">
              <a:extLst>
                <a:ext uri="{63B3BB69-23CF-44E3-9099-C40C66FF867C}">
                  <a14:compatExt spid="_x0000_s12402"/>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03" name="Button 115" hidden="1">
              <a:extLst>
                <a:ext uri="{63B3BB69-23CF-44E3-9099-C40C66FF867C}">
                  <a14:compatExt spid="_x0000_s12403"/>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04" name="Button 116" hidden="1">
              <a:extLst>
                <a:ext uri="{63B3BB69-23CF-44E3-9099-C40C66FF867C}">
                  <a14:compatExt spid="_x0000_s12404"/>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05" name="Button 117" hidden="1">
              <a:extLst>
                <a:ext uri="{63B3BB69-23CF-44E3-9099-C40C66FF867C}">
                  <a14:compatExt spid="_x0000_s12405"/>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06" name="Button 118" hidden="1">
              <a:extLst>
                <a:ext uri="{63B3BB69-23CF-44E3-9099-C40C66FF867C}">
                  <a14:compatExt spid="_x0000_s12406"/>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07" name="Button 119" hidden="1">
              <a:extLst>
                <a:ext uri="{63B3BB69-23CF-44E3-9099-C40C66FF867C}">
                  <a14:compatExt spid="_x0000_s12407"/>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08" name="Button 120" hidden="1">
              <a:extLst>
                <a:ext uri="{63B3BB69-23CF-44E3-9099-C40C66FF867C}">
                  <a14:compatExt spid="_x0000_s12408"/>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09" name="Button 121" hidden="1">
              <a:extLst>
                <a:ext uri="{63B3BB69-23CF-44E3-9099-C40C66FF867C}">
                  <a14:compatExt spid="_x0000_s12409"/>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10" name="Button 122" hidden="1">
              <a:extLst>
                <a:ext uri="{63B3BB69-23CF-44E3-9099-C40C66FF867C}">
                  <a14:compatExt spid="_x0000_s12410"/>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11" name="Button 123" hidden="1">
              <a:extLst>
                <a:ext uri="{63B3BB69-23CF-44E3-9099-C40C66FF867C}">
                  <a14:compatExt spid="_x0000_s12411"/>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12" name="Button 124" hidden="1">
              <a:extLst>
                <a:ext uri="{63B3BB69-23CF-44E3-9099-C40C66FF867C}">
                  <a14:compatExt spid="_x0000_s12412"/>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13" name="Button 125" hidden="1">
              <a:extLst>
                <a:ext uri="{63B3BB69-23CF-44E3-9099-C40C66FF867C}">
                  <a14:compatExt spid="_x0000_s12413"/>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14" name="Button 126" hidden="1">
              <a:extLst>
                <a:ext uri="{63B3BB69-23CF-44E3-9099-C40C66FF867C}">
                  <a14:compatExt spid="_x0000_s12414"/>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15" name="Button 127" hidden="1">
              <a:extLst>
                <a:ext uri="{63B3BB69-23CF-44E3-9099-C40C66FF867C}">
                  <a14:compatExt spid="_x0000_s12415"/>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16" name="Button 128" hidden="1">
              <a:extLst>
                <a:ext uri="{63B3BB69-23CF-44E3-9099-C40C66FF867C}">
                  <a14:compatExt spid="_x0000_s12416"/>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17" name="Button 129" hidden="1">
              <a:extLst>
                <a:ext uri="{63B3BB69-23CF-44E3-9099-C40C66FF867C}">
                  <a14:compatExt spid="_x0000_s12417"/>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18" name="Button 130" hidden="1">
              <a:extLst>
                <a:ext uri="{63B3BB69-23CF-44E3-9099-C40C66FF867C}">
                  <a14:compatExt spid="_x0000_s12418"/>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19" name="Button 131" hidden="1">
              <a:extLst>
                <a:ext uri="{63B3BB69-23CF-44E3-9099-C40C66FF867C}">
                  <a14:compatExt spid="_x0000_s12419"/>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20" name="Button 132" hidden="1">
              <a:extLst>
                <a:ext uri="{63B3BB69-23CF-44E3-9099-C40C66FF867C}">
                  <a14:compatExt spid="_x0000_s12420"/>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21" name="Button 133" hidden="1">
              <a:extLst>
                <a:ext uri="{63B3BB69-23CF-44E3-9099-C40C66FF867C}">
                  <a14:compatExt spid="_x0000_s12421"/>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22" name="Button 134" hidden="1">
              <a:extLst>
                <a:ext uri="{63B3BB69-23CF-44E3-9099-C40C66FF867C}">
                  <a14:compatExt spid="_x0000_s12422"/>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23" name="Button 135" hidden="1">
              <a:extLst>
                <a:ext uri="{63B3BB69-23CF-44E3-9099-C40C66FF867C}">
                  <a14:compatExt spid="_x0000_s12423"/>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24" name="Button 136" hidden="1">
              <a:extLst>
                <a:ext uri="{63B3BB69-23CF-44E3-9099-C40C66FF867C}">
                  <a14:compatExt spid="_x0000_s12424"/>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25" name="Button 137" hidden="1">
              <a:extLst>
                <a:ext uri="{63B3BB69-23CF-44E3-9099-C40C66FF867C}">
                  <a14:compatExt spid="_x0000_s12425"/>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26" name="Button 138" hidden="1">
              <a:extLst>
                <a:ext uri="{63B3BB69-23CF-44E3-9099-C40C66FF867C}">
                  <a14:compatExt spid="_x0000_s12426"/>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27" name="Button 139" hidden="1">
              <a:extLst>
                <a:ext uri="{63B3BB69-23CF-44E3-9099-C40C66FF867C}">
                  <a14:compatExt spid="_x0000_s12427"/>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28" name="Button 140" hidden="1">
              <a:extLst>
                <a:ext uri="{63B3BB69-23CF-44E3-9099-C40C66FF867C}">
                  <a14:compatExt spid="_x0000_s12428"/>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29" name="Button 141" hidden="1">
              <a:extLst>
                <a:ext uri="{63B3BB69-23CF-44E3-9099-C40C66FF867C}">
                  <a14:compatExt spid="_x0000_s12429"/>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30" name="Button 142" hidden="1">
              <a:extLst>
                <a:ext uri="{63B3BB69-23CF-44E3-9099-C40C66FF867C}">
                  <a14:compatExt spid="_x0000_s12430"/>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31" name="Button 143" hidden="1">
              <a:extLst>
                <a:ext uri="{63B3BB69-23CF-44E3-9099-C40C66FF867C}">
                  <a14:compatExt spid="_x0000_s12431"/>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32" name="Button 144" hidden="1">
              <a:extLst>
                <a:ext uri="{63B3BB69-23CF-44E3-9099-C40C66FF867C}">
                  <a14:compatExt spid="_x0000_s12432"/>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33" name="Button 145" hidden="1">
              <a:extLst>
                <a:ext uri="{63B3BB69-23CF-44E3-9099-C40C66FF867C}">
                  <a14:compatExt spid="_x0000_s12433"/>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34" name="Button 146" hidden="1">
              <a:extLst>
                <a:ext uri="{63B3BB69-23CF-44E3-9099-C40C66FF867C}">
                  <a14:compatExt spid="_x0000_s12434"/>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35" name="Button 147" hidden="1">
              <a:extLst>
                <a:ext uri="{63B3BB69-23CF-44E3-9099-C40C66FF867C}">
                  <a14:compatExt spid="_x0000_s12435"/>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36" name="Button 148" hidden="1">
              <a:extLst>
                <a:ext uri="{63B3BB69-23CF-44E3-9099-C40C66FF867C}">
                  <a14:compatExt spid="_x0000_s12436"/>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37" name="Button 149" hidden="1">
              <a:extLst>
                <a:ext uri="{63B3BB69-23CF-44E3-9099-C40C66FF867C}">
                  <a14:compatExt spid="_x0000_s12437"/>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38" name="Button 150" hidden="1">
              <a:extLst>
                <a:ext uri="{63B3BB69-23CF-44E3-9099-C40C66FF867C}">
                  <a14:compatExt spid="_x0000_s12438"/>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39" name="Button 151" hidden="1">
              <a:extLst>
                <a:ext uri="{63B3BB69-23CF-44E3-9099-C40C66FF867C}">
                  <a14:compatExt spid="_x0000_s12439"/>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40" name="Button 152" hidden="1">
              <a:extLst>
                <a:ext uri="{63B3BB69-23CF-44E3-9099-C40C66FF867C}">
                  <a14:compatExt spid="_x0000_s12440"/>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41" name="Button 153" hidden="1">
              <a:extLst>
                <a:ext uri="{63B3BB69-23CF-44E3-9099-C40C66FF867C}">
                  <a14:compatExt spid="_x0000_s12441"/>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42" name="Button 154" hidden="1">
              <a:extLst>
                <a:ext uri="{63B3BB69-23CF-44E3-9099-C40C66FF867C}">
                  <a14:compatExt spid="_x0000_s12442"/>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43" name="Button 155" hidden="1">
              <a:extLst>
                <a:ext uri="{63B3BB69-23CF-44E3-9099-C40C66FF867C}">
                  <a14:compatExt spid="_x0000_s12443"/>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44" name="Button 156" hidden="1">
              <a:extLst>
                <a:ext uri="{63B3BB69-23CF-44E3-9099-C40C66FF867C}">
                  <a14:compatExt spid="_x0000_s12444"/>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45" name="Button 157" hidden="1">
              <a:extLst>
                <a:ext uri="{63B3BB69-23CF-44E3-9099-C40C66FF867C}">
                  <a14:compatExt spid="_x0000_s12445"/>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46" name="Button 158" hidden="1">
              <a:extLst>
                <a:ext uri="{63B3BB69-23CF-44E3-9099-C40C66FF867C}">
                  <a14:compatExt spid="_x0000_s12446"/>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47" name="Button 159" hidden="1">
              <a:extLst>
                <a:ext uri="{63B3BB69-23CF-44E3-9099-C40C66FF867C}">
                  <a14:compatExt spid="_x0000_s12447"/>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48" name="Button 160" hidden="1">
              <a:extLst>
                <a:ext uri="{63B3BB69-23CF-44E3-9099-C40C66FF867C}">
                  <a14:compatExt spid="_x0000_s12448"/>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49" name="Button 161" hidden="1">
              <a:extLst>
                <a:ext uri="{63B3BB69-23CF-44E3-9099-C40C66FF867C}">
                  <a14:compatExt spid="_x0000_s12449"/>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50" name="Button 162" hidden="1">
              <a:extLst>
                <a:ext uri="{63B3BB69-23CF-44E3-9099-C40C66FF867C}">
                  <a14:compatExt spid="_x0000_s12450"/>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51" name="Button 163" hidden="1">
              <a:extLst>
                <a:ext uri="{63B3BB69-23CF-44E3-9099-C40C66FF867C}">
                  <a14:compatExt spid="_x0000_s12451"/>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52" name="Button 164" hidden="1">
              <a:extLst>
                <a:ext uri="{63B3BB69-23CF-44E3-9099-C40C66FF867C}">
                  <a14:compatExt spid="_x0000_s12452"/>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53" name="Button 165" hidden="1">
              <a:extLst>
                <a:ext uri="{63B3BB69-23CF-44E3-9099-C40C66FF867C}">
                  <a14:compatExt spid="_x0000_s12453"/>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54" name="Button 166" hidden="1">
              <a:extLst>
                <a:ext uri="{63B3BB69-23CF-44E3-9099-C40C66FF867C}">
                  <a14:compatExt spid="_x0000_s12454"/>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55" name="Button 167" hidden="1">
              <a:extLst>
                <a:ext uri="{63B3BB69-23CF-44E3-9099-C40C66FF867C}">
                  <a14:compatExt spid="_x0000_s12455"/>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56" name="Button 168" hidden="1">
              <a:extLst>
                <a:ext uri="{63B3BB69-23CF-44E3-9099-C40C66FF867C}">
                  <a14:compatExt spid="_x0000_s12456"/>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57" name="Button 169" hidden="1">
              <a:extLst>
                <a:ext uri="{63B3BB69-23CF-44E3-9099-C40C66FF867C}">
                  <a14:compatExt spid="_x0000_s12457"/>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58" name="Button 170" hidden="1">
              <a:extLst>
                <a:ext uri="{63B3BB69-23CF-44E3-9099-C40C66FF867C}">
                  <a14:compatExt spid="_x0000_s12458"/>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59" name="Button 171" hidden="1">
              <a:extLst>
                <a:ext uri="{63B3BB69-23CF-44E3-9099-C40C66FF867C}">
                  <a14:compatExt spid="_x0000_s12459"/>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60" name="Button 172" hidden="1">
              <a:extLst>
                <a:ext uri="{63B3BB69-23CF-44E3-9099-C40C66FF867C}">
                  <a14:compatExt spid="_x0000_s12460"/>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61" name="Button 173" hidden="1">
              <a:extLst>
                <a:ext uri="{63B3BB69-23CF-44E3-9099-C40C66FF867C}">
                  <a14:compatExt spid="_x0000_s12461"/>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62" name="Button 174" hidden="1">
              <a:extLst>
                <a:ext uri="{63B3BB69-23CF-44E3-9099-C40C66FF867C}">
                  <a14:compatExt spid="_x0000_s12462"/>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63" name="Button 175" hidden="1">
              <a:extLst>
                <a:ext uri="{63B3BB69-23CF-44E3-9099-C40C66FF867C}">
                  <a14:compatExt spid="_x0000_s12463"/>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64" name="Button 176" hidden="1">
              <a:extLst>
                <a:ext uri="{63B3BB69-23CF-44E3-9099-C40C66FF867C}">
                  <a14:compatExt spid="_x0000_s12464"/>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65" name="Button 177" hidden="1">
              <a:extLst>
                <a:ext uri="{63B3BB69-23CF-44E3-9099-C40C66FF867C}">
                  <a14:compatExt spid="_x0000_s12465"/>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28575</xdr:colOff>
          <xdr:row>0</xdr:row>
          <xdr:rowOff>0</xdr:rowOff>
        </xdr:from>
        <xdr:to>
          <xdr:col>6</xdr:col>
          <xdr:colOff>457200</xdr:colOff>
          <xdr:row>0</xdr:row>
          <xdr:rowOff>0</xdr:rowOff>
        </xdr:to>
        <xdr:sp macro="[0]!BuildComplexObjectFromSimpleObject" fLocksText="0">
          <xdr:nvSpPr>
            <xdr:cNvPr id="12466" name="Button 178" hidden="1">
              <a:extLst>
                <a:ext uri="{63B3BB69-23CF-44E3-9099-C40C66FF867C}">
                  <a14:compatExt spid="_x0000_s12466"/>
                </a:ext>
              </a:extLst>
            </xdr:cNvPr>
            <xdr:cNvSpPr>
              <a:spLocks noRot="1"/>
            </xdr:cNvSpPr>
          </xdr:nvSpPr>
          <xdr:spPr>
            <a:xfrm>
              <a:off x="246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9525</xdr:colOff>
          <xdr:row>0</xdr:row>
          <xdr:rowOff>0</xdr:rowOff>
        </xdr:from>
        <xdr:to>
          <xdr:col>9</xdr:col>
          <xdr:colOff>438150</xdr:colOff>
          <xdr:row>0</xdr:row>
          <xdr:rowOff>0</xdr:rowOff>
        </xdr:to>
        <xdr:sp macro="[0]!EditLoadComplexObject" fLocksText="0">
          <xdr:nvSpPr>
            <xdr:cNvPr id="12467" name="Button 179" hidden="1">
              <a:extLst>
                <a:ext uri="{63B3BB69-23CF-44E3-9099-C40C66FF867C}">
                  <a14:compatExt spid="_x0000_s12467"/>
                </a:ext>
              </a:extLst>
            </xdr:cNvPr>
            <xdr:cNvSpPr>
              <a:spLocks noRot="1"/>
            </xdr:cNvSpPr>
          </xdr:nvSpPr>
          <xdr:spPr>
            <a:xfrm>
              <a:off x="42767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9525</xdr:colOff>
          <xdr:row>0</xdr:row>
          <xdr:rowOff>0</xdr:rowOff>
        </xdr:from>
        <xdr:to>
          <xdr:col>12</xdr:col>
          <xdr:colOff>438150</xdr:colOff>
          <xdr:row>0</xdr:row>
          <xdr:rowOff>0</xdr:rowOff>
        </xdr:to>
        <xdr:sp macro="[0]!PostEditResultsToSimpleObject" fLocksText="0">
          <xdr:nvSpPr>
            <xdr:cNvPr id="12468" name="Button 180" hidden="1">
              <a:extLst>
                <a:ext uri="{63B3BB69-23CF-44E3-9099-C40C66FF867C}">
                  <a14:compatExt spid="_x0000_s12468"/>
                </a:ext>
              </a:extLst>
            </xdr:cNvPr>
            <xdr:cNvSpPr>
              <a:spLocks noRot="1"/>
            </xdr:cNvSpPr>
          </xdr:nvSpPr>
          <xdr:spPr>
            <a:xfrm>
              <a:off x="61055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69" name="Button 181" hidden="1">
              <a:extLst>
                <a:ext uri="{63B3BB69-23CF-44E3-9099-C40C66FF867C}">
                  <a14:compatExt spid="_x0000_s12469"/>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70" name="Button 182" hidden="1">
              <a:extLst>
                <a:ext uri="{63B3BB69-23CF-44E3-9099-C40C66FF867C}">
                  <a14:compatExt spid="_x0000_s12470"/>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71" name="Button 183" hidden="1">
              <a:extLst>
                <a:ext uri="{63B3BB69-23CF-44E3-9099-C40C66FF867C}">
                  <a14:compatExt spid="_x0000_s12471"/>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72" name="Button 184" hidden="1">
              <a:extLst>
                <a:ext uri="{63B3BB69-23CF-44E3-9099-C40C66FF867C}">
                  <a14:compatExt spid="_x0000_s12472"/>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73" name="Button 185" hidden="1">
              <a:extLst>
                <a:ext uri="{63B3BB69-23CF-44E3-9099-C40C66FF867C}">
                  <a14:compatExt spid="_x0000_s12473"/>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74" name="Button 186" hidden="1">
              <a:extLst>
                <a:ext uri="{63B3BB69-23CF-44E3-9099-C40C66FF867C}">
                  <a14:compatExt spid="_x0000_s12474"/>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75" name="Button 187" hidden="1">
              <a:extLst>
                <a:ext uri="{63B3BB69-23CF-44E3-9099-C40C66FF867C}">
                  <a14:compatExt spid="_x0000_s12475"/>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76" name="Button 188" hidden="1">
              <a:extLst>
                <a:ext uri="{63B3BB69-23CF-44E3-9099-C40C66FF867C}">
                  <a14:compatExt spid="_x0000_s12476"/>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77" name="Button 189" hidden="1">
              <a:extLst>
                <a:ext uri="{63B3BB69-23CF-44E3-9099-C40C66FF867C}">
                  <a14:compatExt spid="_x0000_s12477"/>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78" name="Button 190" hidden="1">
              <a:extLst>
                <a:ext uri="{63B3BB69-23CF-44E3-9099-C40C66FF867C}">
                  <a14:compatExt spid="_x0000_s12478"/>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79" name="Button 191" hidden="1">
              <a:extLst>
                <a:ext uri="{63B3BB69-23CF-44E3-9099-C40C66FF867C}">
                  <a14:compatExt spid="_x0000_s12479"/>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80" name="Button 192" hidden="1">
              <a:extLst>
                <a:ext uri="{63B3BB69-23CF-44E3-9099-C40C66FF867C}">
                  <a14:compatExt spid="_x0000_s12480"/>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81" name="Button 193" hidden="1">
              <a:extLst>
                <a:ext uri="{63B3BB69-23CF-44E3-9099-C40C66FF867C}">
                  <a14:compatExt spid="_x0000_s12481"/>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82" name="Button 194" hidden="1">
              <a:extLst>
                <a:ext uri="{63B3BB69-23CF-44E3-9099-C40C66FF867C}">
                  <a14:compatExt spid="_x0000_s12482"/>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83" name="Button 195" hidden="1">
              <a:extLst>
                <a:ext uri="{63B3BB69-23CF-44E3-9099-C40C66FF867C}">
                  <a14:compatExt spid="_x0000_s12483"/>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84" name="Button 196" hidden="1">
              <a:extLst>
                <a:ext uri="{63B3BB69-23CF-44E3-9099-C40C66FF867C}">
                  <a14:compatExt spid="_x0000_s12484"/>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85" name="Button 197" hidden="1">
              <a:extLst>
                <a:ext uri="{63B3BB69-23CF-44E3-9099-C40C66FF867C}">
                  <a14:compatExt spid="_x0000_s12485"/>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86" name="Button 198" hidden="1">
              <a:extLst>
                <a:ext uri="{63B3BB69-23CF-44E3-9099-C40C66FF867C}">
                  <a14:compatExt spid="_x0000_s12486"/>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87" name="Button 199" hidden="1">
              <a:extLst>
                <a:ext uri="{63B3BB69-23CF-44E3-9099-C40C66FF867C}">
                  <a14:compatExt spid="_x0000_s12487"/>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88" name="Button 200" hidden="1">
              <a:extLst>
                <a:ext uri="{63B3BB69-23CF-44E3-9099-C40C66FF867C}">
                  <a14:compatExt spid="_x0000_s12488"/>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89" name="Button 201" hidden="1">
              <a:extLst>
                <a:ext uri="{63B3BB69-23CF-44E3-9099-C40C66FF867C}">
                  <a14:compatExt spid="_x0000_s12489"/>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90" name="Button 202" hidden="1">
              <a:extLst>
                <a:ext uri="{63B3BB69-23CF-44E3-9099-C40C66FF867C}">
                  <a14:compatExt spid="_x0000_s12490"/>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91" name="Button 203" hidden="1">
              <a:extLst>
                <a:ext uri="{63B3BB69-23CF-44E3-9099-C40C66FF867C}">
                  <a14:compatExt spid="_x0000_s12491"/>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92" name="Button 204" hidden="1">
              <a:extLst>
                <a:ext uri="{63B3BB69-23CF-44E3-9099-C40C66FF867C}">
                  <a14:compatExt spid="_x0000_s12492"/>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93" name="Button 205" hidden="1">
              <a:extLst>
                <a:ext uri="{63B3BB69-23CF-44E3-9099-C40C66FF867C}">
                  <a14:compatExt spid="_x0000_s12493"/>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94" name="Button 206" hidden="1">
              <a:extLst>
                <a:ext uri="{63B3BB69-23CF-44E3-9099-C40C66FF867C}">
                  <a14:compatExt spid="_x0000_s12494"/>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95" name="Button 207" hidden="1">
              <a:extLst>
                <a:ext uri="{63B3BB69-23CF-44E3-9099-C40C66FF867C}">
                  <a14:compatExt spid="_x0000_s12495"/>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96" name="Button 208" hidden="1">
              <a:extLst>
                <a:ext uri="{63B3BB69-23CF-44E3-9099-C40C66FF867C}">
                  <a14:compatExt spid="_x0000_s12496"/>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497" name="Button 209" hidden="1">
              <a:extLst>
                <a:ext uri="{63B3BB69-23CF-44E3-9099-C40C66FF867C}">
                  <a14:compatExt spid="_x0000_s12497"/>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498" name="Button 210" hidden="1">
              <a:extLst>
                <a:ext uri="{63B3BB69-23CF-44E3-9099-C40C66FF867C}">
                  <a14:compatExt spid="_x0000_s12498"/>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499" name="Button 211" hidden="1">
              <a:extLst>
                <a:ext uri="{63B3BB69-23CF-44E3-9099-C40C66FF867C}">
                  <a14:compatExt spid="_x0000_s12499"/>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00" name="Button 212" hidden="1">
              <a:extLst>
                <a:ext uri="{63B3BB69-23CF-44E3-9099-C40C66FF867C}">
                  <a14:compatExt spid="_x0000_s12500"/>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01" name="Button 213" hidden="1">
              <a:extLst>
                <a:ext uri="{63B3BB69-23CF-44E3-9099-C40C66FF867C}">
                  <a14:compatExt spid="_x0000_s12501"/>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02" name="Button 214" hidden="1">
              <a:extLst>
                <a:ext uri="{63B3BB69-23CF-44E3-9099-C40C66FF867C}">
                  <a14:compatExt spid="_x0000_s12502"/>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03" name="Button 215" hidden="1">
              <a:extLst>
                <a:ext uri="{63B3BB69-23CF-44E3-9099-C40C66FF867C}">
                  <a14:compatExt spid="_x0000_s12503"/>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04" name="Button 216" hidden="1">
              <a:extLst>
                <a:ext uri="{63B3BB69-23CF-44E3-9099-C40C66FF867C}">
                  <a14:compatExt spid="_x0000_s12504"/>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05" name="Button 217" hidden="1">
              <a:extLst>
                <a:ext uri="{63B3BB69-23CF-44E3-9099-C40C66FF867C}">
                  <a14:compatExt spid="_x0000_s12505"/>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06" name="Button 218" hidden="1">
              <a:extLst>
                <a:ext uri="{63B3BB69-23CF-44E3-9099-C40C66FF867C}">
                  <a14:compatExt spid="_x0000_s12506"/>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07" name="Button 219" hidden="1">
              <a:extLst>
                <a:ext uri="{63B3BB69-23CF-44E3-9099-C40C66FF867C}">
                  <a14:compatExt spid="_x0000_s12507"/>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08" name="Button 220" hidden="1">
              <a:extLst>
                <a:ext uri="{63B3BB69-23CF-44E3-9099-C40C66FF867C}">
                  <a14:compatExt spid="_x0000_s12508"/>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09" name="Button 221" hidden="1">
              <a:extLst>
                <a:ext uri="{63B3BB69-23CF-44E3-9099-C40C66FF867C}">
                  <a14:compatExt spid="_x0000_s12509"/>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10" name="Button 222" hidden="1">
              <a:extLst>
                <a:ext uri="{63B3BB69-23CF-44E3-9099-C40C66FF867C}">
                  <a14:compatExt spid="_x0000_s12510"/>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11" name="Button 223" hidden="1">
              <a:extLst>
                <a:ext uri="{63B3BB69-23CF-44E3-9099-C40C66FF867C}">
                  <a14:compatExt spid="_x0000_s12511"/>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12" name="Button 224" hidden="1">
              <a:extLst>
                <a:ext uri="{63B3BB69-23CF-44E3-9099-C40C66FF867C}">
                  <a14:compatExt spid="_x0000_s12512"/>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13" name="Button 225" hidden="1">
              <a:extLst>
                <a:ext uri="{63B3BB69-23CF-44E3-9099-C40C66FF867C}">
                  <a14:compatExt spid="_x0000_s12513"/>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14" name="Button 226" hidden="1">
              <a:extLst>
                <a:ext uri="{63B3BB69-23CF-44E3-9099-C40C66FF867C}">
                  <a14:compatExt spid="_x0000_s12514"/>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15" name="Button 227" hidden="1">
              <a:extLst>
                <a:ext uri="{63B3BB69-23CF-44E3-9099-C40C66FF867C}">
                  <a14:compatExt spid="_x0000_s12515"/>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16" name="Button 228" hidden="1">
              <a:extLst>
                <a:ext uri="{63B3BB69-23CF-44E3-9099-C40C66FF867C}">
                  <a14:compatExt spid="_x0000_s12516"/>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17" name="Button 229" hidden="1">
              <a:extLst>
                <a:ext uri="{63B3BB69-23CF-44E3-9099-C40C66FF867C}">
                  <a14:compatExt spid="_x0000_s12517"/>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18" name="Button 230" hidden="1">
              <a:extLst>
                <a:ext uri="{63B3BB69-23CF-44E3-9099-C40C66FF867C}">
                  <a14:compatExt spid="_x0000_s12518"/>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19" name="Button 231" hidden="1">
              <a:extLst>
                <a:ext uri="{63B3BB69-23CF-44E3-9099-C40C66FF867C}">
                  <a14:compatExt spid="_x0000_s12519"/>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20" name="Button 232" hidden="1">
              <a:extLst>
                <a:ext uri="{63B3BB69-23CF-44E3-9099-C40C66FF867C}">
                  <a14:compatExt spid="_x0000_s12520"/>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21" name="Button 233" hidden="1">
              <a:extLst>
                <a:ext uri="{63B3BB69-23CF-44E3-9099-C40C66FF867C}">
                  <a14:compatExt spid="_x0000_s12521"/>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22" name="Button 234" hidden="1">
              <a:extLst>
                <a:ext uri="{63B3BB69-23CF-44E3-9099-C40C66FF867C}">
                  <a14:compatExt spid="_x0000_s12522"/>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23" name="Button 235" hidden="1">
              <a:extLst>
                <a:ext uri="{63B3BB69-23CF-44E3-9099-C40C66FF867C}">
                  <a14:compatExt spid="_x0000_s12523"/>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Construct database objects from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24" name="Button 236" hidden="1">
              <a:extLst>
                <a:ext uri="{63B3BB69-23CF-44E3-9099-C40C66FF867C}">
                  <a14:compatExt spid="_x0000_s12524"/>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25" name="Button 237" hidden="1">
              <a:extLst>
                <a:ext uri="{63B3BB69-23CF-44E3-9099-C40C66FF867C}">
                  <a14:compatExt spid="_x0000_s12525"/>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26" name="Button 238" hidden="1">
              <a:extLst>
                <a:ext uri="{63B3BB69-23CF-44E3-9099-C40C66FF867C}">
                  <a14:compatExt spid="_x0000_s12526"/>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Import data from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161925</xdr:colOff>
          <xdr:row>0</xdr:row>
          <xdr:rowOff>0</xdr:rowOff>
        </xdr:from>
        <xdr:to>
          <xdr:col>11</xdr:col>
          <xdr:colOff>590550</xdr:colOff>
          <xdr:row>0</xdr:row>
          <xdr:rowOff>0</xdr:rowOff>
        </xdr:to>
        <xdr:sp macro="[0]!EditLoadComplexObject" fLocksText="0">
          <xdr:nvSpPr>
            <xdr:cNvPr id="12527" name="Button 239" hidden="1">
              <a:extLst>
                <a:ext uri="{63B3BB69-23CF-44E3-9099-C40C66FF867C}">
                  <a14:compatExt spid="_x0000_s12527"/>
                </a:ext>
              </a:extLst>
            </xdr:cNvPr>
            <xdr:cNvSpPr>
              <a:spLocks noRot="1"/>
            </xdr:cNvSpPr>
          </xdr:nvSpPr>
          <xdr:spPr>
            <a:xfrm>
              <a:off x="5648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Submit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161925</xdr:colOff>
          <xdr:row>0</xdr:row>
          <xdr:rowOff>0</xdr:rowOff>
        </xdr:from>
        <xdr:to>
          <xdr:col>14</xdr:col>
          <xdr:colOff>590550</xdr:colOff>
          <xdr:row>0</xdr:row>
          <xdr:rowOff>0</xdr:rowOff>
        </xdr:to>
        <xdr:sp macro="[0]!PostEditResultsToSimpleObject" fLocksText="0">
          <xdr:nvSpPr>
            <xdr:cNvPr id="12528" name="Button 240" hidden="1">
              <a:extLst>
                <a:ext uri="{63B3BB69-23CF-44E3-9099-C40C66FF867C}">
                  <a14:compatExt spid="_x0000_s12528"/>
                </a:ext>
              </a:extLst>
            </xdr:cNvPr>
            <xdr:cNvSpPr>
              <a:spLocks noRot="1"/>
            </xdr:cNvSpPr>
          </xdr:nvSpPr>
          <xdr:spPr>
            <a:xfrm>
              <a:off x="74771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Post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85725</xdr:colOff>
          <xdr:row>0</xdr:row>
          <xdr:rowOff>0</xdr:rowOff>
        </xdr:from>
        <xdr:to>
          <xdr:col>8</xdr:col>
          <xdr:colOff>514350</xdr:colOff>
          <xdr:row>0</xdr:row>
          <xdr:rowOff>0</xdr:rowOff>
        </xdr:to>
        <xdr:sp macro="[0]!BuildComplexObjectFromSimpleObject" fLocksText="0">
          <xdr:nvSpPr>
            <xdr:cNvPr id="12529" name="Button 241" hidden="1">
              <a:extLst>
                <a:ext uri="{63B3BB69-23CF-44E3-9099-C40C66FF867C}">
                  <a14:compatExt spid="_x0000_s12529"/>
                </a:ext>
              </a:extLst>
            </xdr:cNvPr>
            <xdr:cNvSpPr>
              <a:spLocks noRot="1"/>
            </xdr:cNvSpPr>
          </xdr:nvSpPr>
          <xdr:spPr>
            <a:xfrm>
              <a:off x="374332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285750</xdr:colOff>
          <xdr:row>0</xdr:row>
          <xdr:rowOff>0</xdr:rowOff>
        </xdr:from>
        <xdr:to>
          <xdr:col>12</xdr:col>
          <xdr:colOff>104775</xdr:colOff>
          <xdr:row>0</xdr:row>
          <xdr:rowOff>0</xdr:rowOff>
        </xdr:to>
        <xdr:sp macro="[0]!CreateTemplateFromCIDef" fLocksText="0">
          <xdr:nvSpPr>
            <xdr:cNvPr id="12530" name="Button 242" hidden="1">
              <a:extLst>
                <a:ext uri="{63B3BB69-23CF-44E3-9099-C40C66FF867C}">
                  <a14:compatExt spid="_x0000_s12530"/>
                </a:ext>
              </a:extLst>
            </xdr:cNvPr>
            <xdr:cNvSpPr>
              <a:spLocks noRot="1"/>
            </xdr:cNvSpPr>
          </xdr:nvSpPr>
          <xdr:spPr>
            <a:xfrm>
              <a:off x="577215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Submit the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285750</xdr:colOff>
          <xdr:row>0</xdr:row>
          <xdr:rowOff>0</xdr:rowOff>
        </xdr:from>
        <xdr:to>
          <xdr:col>16</xdr:col>
          <xdr:colOff>104775</xdr:colOff>
          <xdr:row>0</xdr:row>
          <xdr:rowOff>0</xdr:rowOff>
        </xdr:to>
        <xdr:sp macro="[0]!PostEditResultsToSimpleObject" fLocksText="0">
          <xdr:nvSpPr>
            <xdr:cNvPr id="12531" name="Button 243" hidden="1">
              <a:extLst>
                <a:ext uri="{63B3BB69-23CF-44E3-9099-C40C66FF867C}">
                  <a14:compatExt spid="_x0000_s12531"/>
                </a:ext>
              </a:extLst>
            </xdr:cNvPr>
            <xdr:cNvSpPr>
              <a:spLocks noRot="1"/>
            </xdr:cNvSpPr>
          </xdr:nvSpPr>
          <xdr:spPr>
            <a:xfrm>
              <a:off x="821055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Post the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180975</xdr:colOff>
          <xdr:row>0</xdr:row>
          <xdr:rowOff>0</xdr:rowOff>
        </xdr:from>
        <xdr:to>
          <xdr:col>13</xdr:col>
          <xdr:colOff>0</xdr:colOff>
          <xdr:row>0</xdr:row>
          <xdr:rowOff>0</xdr:rowOff>
        </xdr:to>
        <xdr:sp macro="[0]!HighlightTemplateFields" fLocksText="0">
          <xdr:nvSpPr>
            <xdr:cNvPr id="12532" name="Button 244" hidden="1">
              <a:extLst>
                <a:ext uri="{63B3BB69-23CF-44E3-9099-C40C66FF867C}">
                  <a14:compatExt spid="_x0000_s12532"/>
                </a:ext>
              </a:extLst>
            </xdr:cNvPr>
            <xdr:cNvSpPr>
              <a:spLocks noRot="1"/>
            </xdr:cNvSpPr>
          </xdr:nvSpPr>
          <xdr:spPr>
            <a:xfrm>
              <a:off x="6276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Highlight Template</a:t>
              </a:r>
            </a:p>
            <a:p>
              <a:pPr algn="ctr" rtl="0">
                <a:defRPr sz="1000"/>
              </a:pPr>
              <a:r>
                <a:rPr lang="en-US" sz="1000" u="none" b="1" i="0" baseline="0">
                  <a:solidFill>
                    <a:srgbClr val="000000"/>
                  </a:solidFill>
                  <a:latin typeface="Arial"/>
                  <a:cs typeface="Arial"/>
                </a:rPr>
                <a:t>Fields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180975</xdr:colOff>
          <xdr:row>0</xdr:row>
          <xdr:rowOff>0</xdr:rowOff>
        </xdr:from>
        <xdr:to>
          <xdr:col>17</xdr:col>
          <xdr:colOff>0</xdr:colOff>
          <xdr:row>0</xdr:row>
          <xdr:rowOff>0</xdr:rowOff>
        </xdr:to>
        <xdr:sp macro="[0]!HighlightTemplateFields" fLocksText="0">
          <xdr:nvSpPr>
            <xdr:cNvPr id="12533" name="Button 245" hidden="1">
              <a:extLst>
                <a:ext uri="{63B3BB69-23CF-44E3-9099-C40C66FF867C}">
                  <a14:compatExt spid="_x0000_s12533"/>
                </a:ext>
              </a:extLst>
            </xdr:cNvPr>
            <xdr:cNvSpPr>
              <a:spLocks noRot="1"/>
            </xdr:cNvSpPr>
          </xdr:nvSpPr>
          <xdr:spPr>
            <a:xfrm>
              <a:off x="87153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Highlight Template</a:t>
              </a:r>
            </a:p>
            <a:p>
              <a:pPr algn="ctr" rtl="0">
                <a:defRPr sz="1000"/>
              </a:pPr>
              <a:r>
                <a:rPr lang="en-US" sz="1000" u="none" b="1" i="0" baseline="0">
                  <a:solidFill>
                    <a:srgbClr val="000000"/>
                  </a:solidFill>
                  <a:latin typeface="Arial"/>
                  <a:cs typeface="Arial"/>
                </a:rPr>
                <a:t>Fields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180975</xdr:colOff>
          <xdr:row>0</xdr:row>
          <xdr:rowOff>0</xdr:rowOff>
        </xdr:from>
        <xdr:to>
          <xdr:col>13</xdr:col>
          <xdr:colOff>0</xdr:colOff>
          <xdr:row>0</xdr:row>
          <xdr:rowOff>0</xdr:rowOff>
        </xdr:to>
        <xdr:sp macro="[0]!EditLoadComplexObject" fLocksText="0">
          <xdr:nvSpPr>
            <xdr:cNvPr id="12534" name="Button 246" hidden="1">
              <a:extLst>
                <a:ext uri="{63B3BB69-23CF-44E3-9099-C40C66FF867C}">
                  <a14:compatExt spid="_x0000_s12534"/>
                </a:ext>
              </a:extLst>
            </xdr:cNvPr>
            <xdr:cNvSpPr>
              <a:spLocks noRot="1"/>
            </xdr:cNvSpPr>
          </xdr:nvSpPr>
          <xdr:spPr>
            <a:xfrm>
              <a:off x="627697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Submit these items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180975</xdr:colOff>
          <xdr:row>0</xdr:row>
          <xdr:rowOff>0</xdr:rowOff>
        </xdr:from>
        <xdr:to>
          <xdr:col>17</xdr:col>
          <xdr:colOff>0</xdr:colOff>
          <xdr:row>0</xdr:row>
          <xdr:rowOff>0</xdr:rowOff>
        </xdr:to>
        <xdr:sp macro="[0]!PostEditResultsToSimpleObject" fLocksText="0">
          <xdr:nvSpPr>
            <xdr:cNvPr id="12535" name="Button 247" hidden="1">
              <a:extLst>
                <a:ext uri="{63B3BB69-23CF-44E3-9099-C40C66FF867C}">
                  <a14:compatExt spid="_x0000_s12535"/>
                </a:ext>
              </a:extLst>
            </xdr:cNvPr>
            <xdr:cNvSpPr>
              <a:spLocks noRot="1"/>
            </xdr:cNvSpPr>
          </xdr:nvSpPr>
          <xdr:spPr>
            <a:xfrm>
              <a:off x="871537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Post the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180975</xdr:colOff>
          <xdr:row>0</xdr:row>
          <xdr:rowOff>0</xdr:rowOff>
        </xdr:from>
        <xdr:to>
          <xdr:col>9</xdr:col>
          <xdr:colOff>0</xdr:colOff>
          <xdr:row>0</xdr:row>
          <xdr:rowOff>0</xdr:rowOff>
        </xdr:to>
        <xdr:sp macro="[0]!BuildComplexObjectFromSimpleObject" fLocksText="0">
          <xdr:nvSpPr>
            <xdr:cNvPr id="12536" name="Button 248" hidden="1">
              <a:extLst>
                <a:ext uri="{63B3BB69-23CF-44E3-9099-C40C66FF867C}">
                  <a14:compatExt spid="_x0000_s12536"/>
                </a:ext>
              </a:extLst>
            </xdr:cNvPr>
            <xdr:cNvSpPr>
              <a:spLocks noRot="1"/>
            </xdr:cNvSpPr>
          </xdr:nvSpPr>
          <xdr:spPr>
            <a:xfrm>
              <a:off x="383857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514350</xdr:colOff>
          <xdr:row>0</xdr:row>
          <xdr:rowOff>0</xdr:rowOff>
        </xdr:to>
        <xdr:sp macro="[0]!SelectDataInputPage" fLocksText="0">
          <xdr:nvSpPr>
            <xdr:cNvPr id="12537" name="Button 249" hidden="1">
              <a:extLst>
                <a:ext uri="{63B3BB69-23CF-44E3-9099-C40C66FF867C}">
                  <a14:compatExt spid="_x0000_s12537"/>
                </a:ext>
              </a:extLst>
            </xdr:cNvPr>
            <xdr:cNvSpPr>
              <a:spLocks noRot="1"/>
            </xdr:cNvSpPr>
          </xdr:nvSpPr>
          <xdr:spPr>
            <a:xfrm>
              <a:off x="2857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590550</xdr:colOff>
          <xdr:row>0</xdr:row>
          <xdr:rowOff>0</xdr:rowOff>
        </xdr:from>
        <xdr:to>
          <xdr:col>4</xdr:col>
          <xdr:colOff>0</xdr:colOff>
          <xdr:row>0</xdr:row>
          <xdr:rowOff>0</xdr:rowOff>
        </xdr:to>
        <xdr:sp macro="[0]!SelectSubmitPage" fLocksText="0">
          <xdr:nvSpPr>
            <xdr:cNvPr id="12538" name="Button 250" hidden="1">
              <a:extLst>
                <a:ext uri="{63B3BB69-23CF-44E3-9099-C40C66FF867C}">
                  <a14:compatExt spid="_x0000_s12538"/>
                </a:ext>
              </a:extLst>
            </xdr:cNvPr>
            <xdr:cNvSpPr>
              <a:spLocks noRot="1"/>
            </xdr:cNvSpPr>
          </xdr:nvSpPr>
          <xdr:spPr>
            <a:xfrm>
              <a:off x="1200150"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19050</xdr:colOff>
          <xdr:row>0</xdr:row>
          <xdr:rowOff>0</xdr:rowOff>
        </xdr:from>
        <xdr:to>
          <xdr:col>6</xdr:col>
          <xdr:colOff>38100</xdr:colOff>
          <xdr:row>0</xdr:row>
          <xdr:rowOff>0</xdr:rowOff>
        </xdr:to>
        <xdr:sp macro="[0]!getLoginInformation" fLocksText="0">
          <xdr:nvSpPr>
            <xdr:cNvPr id="12539" name="Button 251" hidden="1">
              <a:extLst>
                <a:ext uri="{63B3BB69-23CF-44E3-9099-C40C66FF867C}">
                  <a14:compatExt spid="_x0000_s12539"/>
                </a:ext>
              </a:extLst>
            </xdr:cNvPr>
            <xdr:cNvSpPr>
              <a:spLocks noRot="1"/>
            </xdr:cNvSpPr>
          </xdr:nvSpPr>
          <xdr:spPr>
            <a:xfrm>
              <a:off x="2457450"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95250</xdr:colOff>
          <xdr:row>0</xdr:row>
          <xdr:rowOff>0</xdr:rowOff>
        </xdr:from>
        <xdr:to>
          <xdr:col>8</xdr:col>
          <xdr:colOff>152400</xdr:colOff>
          <xdr:row>0</xdr:row>
          <xdr:rowOff>0</xdr:rowOff>
        </xdr:to>
        <xdr:sp macro="[0]!SelectTemplatePage" fLocksText="0">
          <xdr:nvSpPr>
            <xdr:cNvPr id="12540" name="Button 252" hidden="1">
              <a:extLst>
                <a:ext uri="{63B3BB69-23CF-44E3-9099-C40C66FF867C}">
                  <a14:compatExt spid="_x0000_s12540"/>
                </a:ext>
              </a:extLst>
            </xdr:cNvPr>
            <xdr:cNvSpPr>
              <a:spLocks noRot="1"/>
            </xdr:cNvSpPr>
          </xdr:nvSpPr>
          <xdr:spPr>
            <a:xfrm>
              <a:off x="3752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219075</xdr:colOff>
          <xdr:row>0</xdr:row>
          <xdr:rowOff>0</xdr:rowOff>
        </xdr:from>
        <xdr:to>
          <xdr:col>10</xdr:col>
          <xdr:colOff>276225</xdr:colOff>
          <xdr:row>0</xdr:row>
          <xdr:rowOff>0</xdr:rowOff>
        </xdr:to>
        <xdr:sp macro="[0]!CloseTheTool" fLocksText="0">
          <xdr:nvSpPr>
            <xdr:cNvPr id="12541" name="Button 253" hidden="1">
              <a:extLst>
                <a:ext uri="{63B3BB69-23CF-44E3-9099-C40C66FF867C}">
                  <a14:compatExt spid="_x0000_s12541"/>
                </a:ext>
              </a:extLst>
            </xdr:cNvPr>
            <xdr:cNvSpPr>
              <a:spLocks noRot="1"/>
            </xdr:cNvSpPr>
          </xdr:nvSpPr>
          <xdr:spPr>
            <a:xfrm>
              <a:off x="5095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333375</xdr:colOff>
          <xdr:row>0</xdr:row>
          <xdr:rowOff>0</xdr:rowOff>
        </xdr:from>
        <xdr:to>
          <xdr:col>12</xdr:col>
          <xdr:colOff>390525</xdr:colOff>
          <xdr:row>0</xdr:row>
          <xdr:rowOff>0</xdr:rowOff>
        </xdr:to>
        <xdr:sp macro="[0]!SelectNotepad" fLocksText="0">
          <xdr:nvSpPr>
            <xdr:cNvPr id="12542" name="Button 254" hidden="1">
              <a:extLst>
                <a:ext uri="{63B3BB69-23CF-44E3-9099-C40C66FF867C}">
                  <a14:compatExt spid="_x0000_s12542"/>
                </a:ext>
              </a:extLst>
            </xdr:cNvPr>
            <xdr:cNvSpPr>
              <a:spLocks noRot="1"/>
            </xdr:cNvSpPr>
          </xdr:nvSpPr>
          <xdr:spPr>
            <a:xfrm>
              <a:off x="6429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43" name="Button 255" hidden="1">
              <a:extLst>
                <a:ext uri="{63B3BB69-23CF-44E3-9099-C40C66FF867C}">
                  <a14:compatExt spid="_x0000_s12543"/>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44" name="Button 256" hidden="1">
              <a:extLst>
                <a:ext uri="{63B3BB69-23CF-44E3-9099-C40C66FF867C}">
                  <a14:compatExt spid="_x0000_s12544"/>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45" name="Button 257" hidden="1">
              <a:extLst>
                <a:ext uri="{63B3BB69-23CF-44E3-9099-C40C66FF867C}">
                  <a14:compatExt spid="_x0000_s12545"/>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514350</xdr:colOff>
          <xdr:row>0</xdr:row>
          <xdr:rowOff>0</xdr:rowOff>
        </xdr:to>
        <xdr:sp macro="[0]!SelectDataInputPage" fLocksText="0">
          <xdr:nvSpPr>
            <xdr:cNvPr id="12546" name="Button 258" hidden="1">
              <a:extLst>
                <a:ext uri="{63B3BB69-23CF-44E3-9099-C40C66FF867C}">
                  <a14:compatExt spid="_x0000_s12546"/>
                </a:ext>
              </a:extLst>
            </xdr:cNvPr>
            <xdr:cNvSpPr>
              <a:spLocks noRot="1"/>
            </xdr:cNvSpPr>
          </xdr:nvSpPr>
          <xdr:spPr>
            <a:xfrm>
              <a:off x="2857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590550</xdr:colOff>
          <xdr:row>0</xdr:row>
          <xdr:rowOff>0</xdr:rowOff>
        </xdr:from>
        <xdr:to>
          <xdr:col>4</xdr:col>
          <xdr:colOff>0</xdr:colOff>
          <xdr:row>0</xdr:row>
          <xdr:rowOff>0</xdr:rowOff>
        </xdr:to>
        <xdr:sp macro="[0]!SelectSubmitPage" fLocksText="0">
          <xdr:nvSpPr>
            <xdr:cNvPr id="12547" name="Button 259" hidden="1">
              <a:extLst>
                <a:ext uri="{63B3BB69-23CF-44E3-9099-C40C66FF867C}">
                  <a14:compatExt spid="_x0000_s12547"/>
                </a:ext>
              </a:extLst>
            </xdr:cNvPr>
            <xdr:cNvSpPr>
              <a:spLocks noRot="1"/>
            </xdr:cNvSpPr>
          </xdr:nvSpPr>
          <xdr:spPr>
            <a:xfrm>
              <a:off x="1200150"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19050</xdr:colOff>
          <xdr:row>0</xdr:row>
          <xdr:rowOff>0</xdr:rowOff>
        </xdr:from>
        <xdr:to>
          <xdr:col>6</xdr:col>
          <xdr:colOff>38100</xdr:colOff>
          <xdr:row>0</xdr:row>
          <xdr:rowOff>0</xdr:rowOff>
        </xdr:to>
        <xdr:sp macro="[0]!getLoginInformation" fLocksText="0">
          <xdr:nvSpPr>
            <xdr:cNvPr id="12548" name="Button 260" hidden="1">
              <a:extLst>
                <a:ext uri="{63B3BB69-23CF-44E3-9099-C40C66FF867C}">
                  <a14:compatExt spid="_x0000_s12548"/>
                </a:ext>
              </a:extLst>
            </xdr:cNvPr>
            <xdr:cNvSpPr>
              <a:spLocks noRot="1"/>
            </xdr:cNvSpPr>
          </xdr:nvSpPr>
          <xdr:spPr>
            <a:xfrm>
              <a:off x="2457450"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95250</xdr:colOff>
          <xdr:row>0</xdr:row>
          <xdr:rowOff>0</xdr:rowOff>
        </xdr:from>
        <xdr:to>
          <xdr:col>8</xdr:col>
          <xdr:colOff>152400</xdr:colOff>
          <xdr:row>0</xdr:row>
          <xdr:rowOff>0</xdr:rowOff>
        </xdr:to>
        <xdr:sp macro="[0]!SelectTemplatePage" fLocksText="0">
          <xdr:nvSpPr>
            <xdr:cNvPr id="12549" name="Button 261" hidden="1">
              <a:extLst>
                <a:ext uri="{63B3BB69-23CF-44E3-9099-C40C66FF867C}">
                  <a14:compatExt spid="_x0000_s12549"/>
                </a:ext>
              </a:extLst>
            </xdr:cNvPr>
            <xdr:cNvSpPr>
              <a:spLocks noRot="1"/>
            </xdr:cNvSpPr>
          </xdr:nvSpPr>
          <xdr:spPr>
            <a:xfrm>
              <a:off x="3752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219075</xdr:colOff>
          <xdr:row>0</xdr:row>
          <xdr:rowOff>0</xdr:rowOff>
        </xdr:from>
        <xdr:to>
          <xdr:col>10</xdr:col>
          <xdr:colOff>276225</xdr:colOff>
          <xdr:row>0</xdr:row>
          <xdr:rowOff>0</xdr:rowOff>
        </xdr:to>
        <xdr:sp macro="[0]!CloseTheTool" fLocksText="0">
          <xdr:nvSpPr>
            <xdr:cNvPr id="12550" name="Button 262" hidden="1">
              <a:extLst>
                <a:ext uri="{63B3BB69-23CF-44E3-9099-C40C66FF867C}">
                  <a14:compatExt spid="_x0000_s12550"/>
                </a:ext>
              </a:extLst>
            </xdr:cNvPr>
            <xdr:cNvSpPr>
              <a:spLocks noRot="1"/>
            </xdr:cNvSpPr>
          </xdr:nvSpPr>
          <xdr:spPr>
            <a:xfrm>
              <a:off x="5095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333375</xdr:colOff>
          <xdr:row>0</xdr:row>
          <xdr:rowOff>0</xdr:rowOff>
        </xdr:from>
        <xdr:to>
          <xdr:col>12</xdr:col>
          <xdr:colOff>390525</xdr:colOff>
          <xdr:row>0</xdr:row>
          <xdr:rowOff>0</xdr:rowOff>
        </xdr:to>
        <xdr:sp macro="[0]!SelectNotepad" fLocksText="0">
          <xdr:nvSpPr>
            <xdr:cNvPr id="12551" name="Button 263" hidden="1">
              <a:extLst>
                <a:ext uri="{63B3BB69-23CF-44E3-9099-C40C66FF867C}">
                  <a14:compatExt spid="_x0000_s12551"/>
                </a:ext>
              </a:extLst>
            </xdr:cNvPr>
            <xdr:cNvSpPr>
              <a:spLocks noRot="1"/>
            </xdr:cNvSpPr>
          </xdr:nvSpPr>
          <xdr:spPr>
            <a:xfrm>
              <a:off x="6429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52" name="Button 264" hidden="1">
              <a:extLst>
                <a:ext uri="{63B3BB69-23CF-44E3-9099-C40C66FF867C}">
                  <a14:compatExt spid="_x0000_s12552"/>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53" name="Button 265" hidden="1">
              <a:extLst>
                <a:ext uri="{63B3BB69-23CF-44E3-9099-C40C66FF867C}">
                  <a14:compatExt spid="_x0000_s12553"/>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54" name="Button 266" hidden="1">
              <a:extLst>
                <a:ext uri="{63B3BB69-23CF-44E3-9099-C40C66FF867C}">
                  <a14:compatExt spid="_x0000_s12554"/>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514350</xdr:colOff>
          <xdr:row>0</xdr:row>
          <xdr:rowOff>0</xdr:rowOff>
        </xdr:to>
        <xdr:sp macro="[0]!SelectDataInputPage" fLocksText="0">
          <xdr:nvSpPr>
            <xdr:cNvPr id="12555" name="Button 267" hidden="1">
              <a:extLst>
                <a:ext uri="{63B3BB69-23CF-44E3-9099-C40C66FF867C}">
                  <a14:compatExt spid="_x0000_s12555"/>
                </a:ext>
              </a:extLst>
            </xdr:cNvPr>
            <xdr:cNvSpPr>
              <a:spLocks noRot="1"/>
            </xdr:cNvSpPr>
          </xdr:nvSpPr>
          <xdr:spPr>
            <a:xfrm>
              <a:off x="2857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590550</xdr:colOff>
          <xdr:row>0</xdr:row>
          <xdr:rowOff>0</xdr:rowOff>
        </xdr:from>
        <xdr:to>
          <xdr:col>4</xdr:col>
          <xdr:colOff>0</xdr:colOff>
          <xdr:row>0</xdr:row>
          <xdr:rowOff>0</xdr:rowOff>
        </xdr:to>
        <xdr:sp macro="[0]!SelectSubmitPage" fLocksText="0">
          <xdr:nvSpPr>
            <xdr:cNvPr id="12556" name="Button 268" hidden="1">
              <a:extLst>
                <a:ext uri="{63B3BB69-23CF-44E3-9099-C40C66FF867C}">
                  <a14:compatExt spid="_x0000_s12556"/>
                </a:ext>
              </a:extLst>
            </xdr:cNvPr>
            <xdr:cNvSpPr>
              <a:spLocks noRot="1"/>
            </xdr:cNvSpPr>
          </xdr:nvSpPr>
          <xdr:spPr>
            <a:xfrm>
              <a:off x="1200150"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19050</xdr:colOff>
          <xdr:row>0</xdr:row>
          <xdr:rowOff>0</xdr:rowOff>
        </xdr:from>
        <xdr:to>
          <xdr:col>6</xdr:col>
          <xdr:colOff>38100</xdr:colOff>
          <xdr:row>0</xdr:row>
          <xdr:rowOff>0</xdr:rowOff>
        </xdr:to>
        <xdr:sp macro="[0]!getLoginInformation" fLocksText="0">
          <xdr:nvSpPr>
            <xdr:cNvPr id="12557" name="Button 269" hidden="1">
              <a:extLst>
                <a:ext uri="{63B3BB69-23CF-44E3-9099-C40C66FF867C}">
                  <a14:compatExt spid="_x0000_s12557"/>
                </a:ext>
              </a:extLst>
            </xdr:cNvPr>
            <xdr:cNvSpPr>
              <a:spLocks noRot="1"/>
            </xdr:cNvSpPr>
          </xdr:nvSpPr>
          <xdr:spPr>
            <a:xfrm>
              <a:off x="2457450"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95250</xdr:colOff>
          <xdr:row>0</xdr:row>
          <xdr:rowOff>0</xdr:rowOff>
        </xdr:from>
        <xdr:to>
          <xdr:col>8</xdr:col>
          <xdr:colOff>152400</xdr:colOff>
          <xdr:row>0</xdr:row>
          <xdr:rowOff>0</xdr:rowOff>
        </xdr:to>
        <xdr:sp macro="[0]!SelectTemplatePage" fLocksText="0">
          <xdr:nvSpPr>
            <xdr:cNvPr id="12558" name="Button 270" hidden="1">
              <a:extLst>
                <a:ext uri="{63B3BB69-23CF-44E3-9099-C40C66FF867C}">
                  <a14:compatExt spid="_x0000_s12558"/>
                </a:ext>
              </a:extLst>
            </xdr:cNvPr>
            <xdr:cNvSpPr>
              <a:spLocks noRot="1"/>
            </xdr:cNvSpPr>
          </xdr:nvSpPr>
          <xdr:spPr>
            <a:xfrm>
              <a:off x="3752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219075</xdr:colOff>
          <xdr:row>0</xdr:row>
          <xdr:rowOff>0</xdr:rowOff>
        </xdr:from>
        <xdr:to>
          <xdr:col>10</xdr:col>
          <xdr:colOff>276225</xdr:colOff>
          <xdr:row>0</xdr:row>
          <xdr:rowOff>0</xdr:rowOff>
        </xdr:to>
        <xdr:sp macro="[0]!CloseTheTool" fLocksText="0">
          <xdr:nvSpPr>
            <xdr:cNvPr id="12559" name="Button 271" hidden="1">
              <a:extLst>
                <a:ext uri="{63B3BB69-23CF-44E3-9099-C40C66FF867C}">
                  <a14:compatExt spid="_x0000_s12559"/>
                </a:ext>
              </a:extLst>
            </xdr:cNvPr>
            <xdr:cNvSpPr>
              <a:spLocks noRot="1"/>
            </xdr:cNvSpPr>
          </xdr:nvSpPr>
          <xdr:spPr>
            <a:xfrm>
              <a:off x="5095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333375</xdr:colOff>
          <xdr:row>0</xdr:row>
          <xdr:rowOff>0</xdr:rowOff>
        </xdr:from>
        <xdr:to>
          <xdr:col>12</xdr:col>
          <xdr:colOff>390525</xdr:colOff>
          <xdr:row>0</xdr:row>
          <xdr:rowOff>0</xdr:rowOff>
        </xdr:to>
        <xdr:sp macro="[0]!SelectNotepad" fLocksText="0">
          <xdr:nvSpPr>
            <xdr:cNvPr id="12560" name="Button 272" hidden="1">
              <a:extLst>
                <a:ext uri="{63B3BB69-23CF-44E3-9099-C40C66FF867C}">
                  <a14:compatExt spid="_x0000_s12560"/>
                </a:ext>
              </a:extLst>
            </xdr:cNvPr>
            <xdr:cNvSpPr>
              <a:spLocks noRot="1"/>
            </xdr:cNvSpPr>
          </xdr:nvSpPr>
          <xdr:spPr>
            <a:xfrm>
              <a:off x="6429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61" name="Button 273" hidden="1">
              <a:extLst>
                <a:ext uri="{63B3BB69-23CF-44E3-9099-C40C66FF867C}">
                  <a14:compatExt spid="_x0000_s12561"/>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62" name="Button 274" hidden="1">
              <a:extLst>
                <a:ext uri="{63B3BB69-23CF-44E3-9099-C40C66FF867C}">
                  <a14:compatExt spid="_x0000_s12562"/>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63" name="Button 275" hidden="1">
              <a:extLst>
                <a:ext uri="{63B3BB69-23CF-44E3-9099-C40C66FF867C}">
                  <a14:compatExt spid="_x0000_s12563"/>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514350</xdr:colOff>
          <xdr:row>0</xdr:row>
          <xdr:rowOff>0</xdr:rowOff>
        </xdr:to>
        <xdr:sp macro="[0]!SelectDataInputPage" fLocksText="0">
          <xdr:nvSpPr>
            <xdr:cNvPr id="12564" name="Button 276" hidden="1">
              <a:extLst>
                <a:ext uri="{63B3BB69-23CF-44E3-9099-C40C66FF867C}">
                  <a14:compatExt spid="_x0000_s12564"/>
                </a:ext>
              </a:extLst>
            </xdr:cNvPr>
            <xdr:cNvSpPr>
              <a:spLocks noRot="1"/>
            </xdr:cNvSpPr>
          </xdr:nvSpPr>
          <xdr:spPr>
            <a:xfrm>
              <a:off x="2857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533400</xdr:colOff>
          <xdr:row>0</xdr:row>
          <xdr:rowOff>0</xdr:rowOff>
        </xdr:from>
        <xdr:to>
          <xdr:col>3</xdr:col>
          <xdr:colOff>590550</xdr:colOff>
          <xdr:row>0</xdr:row>
          <xdr:rowOff>0</xdr:rowOff>
        </xdr:to>
        <xdr:sp macro="[0]!SelectSubmitPage" fLocksText="0">
          <xdr:nvSpPr>
            <xdr:cNvPr id="12565" name="Button 277" hidden="1">
              <a:extLst>
                <a:ext uri="{63B3BB69-23CF-44E3-9099-C40C66FF867C}">
                  <a14:compatExt spid="_x0000_s12565"/>
                </a:ext>
              </a:extLst>
            </xdr:cNvPr>
            <xdr:cNvSpPr>
              <a:spLocks noRot="1"/>
            </xdr:cNvSpPr>
          </xdr:nvSpPr>
          <xdr:spPr>
            <a:xfrm>
              <a:off x="114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638175</xdr:colOff>
          <xdr:row>0</xdr:row>
          <xdr:rowOff>0</xdr:rowOff>
        </xdr:from>
        <xdr:to>
          <xdr:col>5</xdr:col>
          <xdr:colOff>600075</xdr:colOff>
          <xdr:row>0</xdr:row>
          <xdr:rowOff>0</xdr:rowOff>
        </xdr:to>
        <xdr:sp macro="[0]!getLoginInformation" fLocksText="0">
          <xdr:nvSpPr>
            <xdr:cNvPr id="12566" name="Button 278" hidden="1">
              <a:extLst>
                <a:ext uri="{63B3BB69-23CF-44E3-9099-C40C66FF867C}">
                  <a14:compatExt spid="_x0000_s12566"/>
                </a:ext>
              </a:extLst>
            </xdr:cNvPr>
            <xdr:cNvSpPr>
              <a:spLocks noRot="1"/>
            </xdr:cNvSpPr>
          </xdr:nvSpPr>
          <xdr:spPr>
            <a:xfrm>
              <a:off x="2438400"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567" name="Button 279" hidden="1">
              <a:extLst>
                <a:ext uri="{63B3BB69-23CF-44E3-9099-C40C66FF867C}">
                  <a14:compatExt spid="_x0000_s12567"/>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85725</xdr:colOff>
          <xdr:row>0</xdr:row>
          <xdr:rowOff>0</xdr:rowOff>
        </xdr:from>
        <xdr:to>
          <xdr:col>10</xdr:col>
          <xdr:colOff>142875</xdr:colOff>
          <xdr:row>0</xdr:row>
          <xdr:rowOff>0</xdr:rowOff>
        </xdr:to>
        <xdr:sp macro="[0]!CloseTheTool" fLocksText="0">
          <xdr:nvSpPr>
            <xdr:cNvPr id="12568" name="Button 280" hidden="1">
              <a:extLst>
                <a:ext uri="{63B3BB69-23CF-44E3-9099-C40C66FF867C}">
                  <a14:compatExt spid="_x0000_s12568"/>
                </a:ext>
              </a:extLst>
            </xdr:cNvPr>
            <xdr:cNvSpPr>
              <a:spLocks noRot="1"/>
            </xdr:cNvSpPr>
          </xdr:nvSpPr>
          <xdr:spPr>
            <a:xfrm>
              <a:off x="49625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0</xdr:row>
          <xdr:rowOff>0</xdr:rowOff>
        </xdr:from>
        <xdr:to>
          <xdr:col>12</xdr:col>
          <xdr:colOff>209550</xdr:colOff>
          <xdr:row>0</xdr:row>
          <xdr:rowOff>0</xdr:rowOff>
        </xdr:to>
        <xdr:sp macro="[0]!SelectNotepad" fLocksText="0">
          <xdr:nvSpPr>
            <xdr:cNvPr id="12569" name="Button 281" hidden="1">
              <a:extLst>
                <a:ext uri="{63B3BB69-23CF-44E3-9099-C40C66FF867C}">
                  <a14:compatExt spid="_x0000_s12569"/>
                </a:ext>
              </a:extLst>
            </xdr:cNvPr>
            <xdr:cNvSpPr>
              <a:spLocks noRot="1"/>
            </xdr:cNvSpPr>
          </xdr:nvSpPr>
          <xdr:spPr>
            <a:xfrm>
              <a:off x="62484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70" name="Button 282" hidden="1">
              <a:extLst>
                <a:ext uri="{63B3BB69-23CF-44E3-9099-C40C66FF867C}">
                  <a14:compatExt spid="_x0000_s12570"/>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71" name="Button 283" hidden="1">
              <a:extLst>
                <a:ext uri="{63B3BB69-23CF-44E3-9099-C40C66FF867C}">
                  <a14:compatExt spid="_x0000_s12571"/>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72" name="Button 284" hidden="1">
              <a:extLst>
                <a:ext uri="{63B3BB69-23CF-44E3-9099-C40C66FF867C}">
                  <a14:compatExt spid="_x0000_s12572"/>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533400</xdr:colOff>
          <xdr:row>0</xdr:row>
          <xdr:rowOff>0</xdr:rowOff>
        </xdr:from>
        <xdr:to>
          <xdr:col>3</xdr:col>
          <xdr:colOff>590550</xdr:colOff>
          <xdr:row>0</xdr:row>
          <xdr:rowOff>0</xdr:rowOff>
        </xdr:to>
        <xdr:sp macro="[0]!SelectSubmitPage" fLocksText="0">
          <xdr:nvSpPr>
            <xdr:cNvPr id="12573" name="Button 285" hidden="1">
              <a:extLst>
                <a:ext uri="{63B3BB69-23CF-44E3-9099-C40C66FF867C}">
                  <a14:compatExt spid="_x0000_s12573"/>
                </a:ext>
              </a:extLst>
            </xdr:cNvPr>
            <xdr:cNvSpPr>
              <a:spLocks noRot="1"/>
            </xdr:cNvSpPr>
          </xdr:nvSpPr>
          <xdr:spPr>
            <a:xfrm>
              <a:off x="114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638175</xdr:colOff>
          <xdr:row>0</xdr:row>
          <xdr:rowOff>0</xdr:rowOff>
        </xdr:from>
        <xdr:to>
          <xdr:col>5</xdr:col>
          <xdr:colOff>600075</xdr:colOff>
          <xdr:row>0</xdr:row>
          <xdr:rowOff>0</xdr:rowOff>
        </xdr:to>
        <xdr:sp macro="[0]!getLoginInformation" fLocksText="0">
          <xdr:nvSpPr>
            <xdr:cNvPr id="12574" name="Button 286" hidden="1">
              <a:extLst>
                <a:ext uri="{63B3BB69-23CF-44E3-9099-C40C66FF867C}">
                  <a14:compatExt spid="_x0000_s12574"/>
                </a:ext>
              </a:extLst>
            </xdr:cNvPr>
            <xdr:cNvSpPr>
              <a:spLocks noRot="1"/>
            </xdr:cNvSpPr>
          </xdr:nvSpPr>
          <xdr:spPr>
            <a:xfrm>
              <a:off x="2438400"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575" name="Button 287" hidden="1">
              <a:extLst>
                <a:ext uri="{63B3BB69-23CF-44E3-9099-C40C66FF867C}">
                  <a14:compatExt spid="_x0000_s12575"/>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85725</xdr:colOff>
          <xdr:row>0</xdr:row>
          <xdr:rowOff>0</xdr:rowOff>
        </xdr:from>
        <xdr:to>
          <xdr:col>10</xdr:col>
          <xdr:colOff>142875</xdr:colOff>
          <xdr:row>0</xdr:row>
          <xdr:rowOff>0</xdr:rowOff>
        </xdr:to>
        <xdr:sp macro="[0]!CloseTheTool" fLocksText="0">
          <xdr:nvSpPr>
            <xdr:cNvPr id="12576" name="Button 288" hidden="1">
              <a:extLst>
                <a:ext uri="{63B3BB69-23CF-44E3-9099-C40C66FF867C}">
                  <a14:compatExt spid="_x0000_s12576"/>
                </a:ext>
              </a:extLst>
            </xdr:cNvPr>
            <xdr:cNvSpPr>
              <a:spLocks noRot="1"/>
            </xdr:cNvSpPr>
          </xdr:nvSpPr>
          <xdr:spPr>
            <a:xfrm>
              <a:off x="49625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0</xdr:row>
          <xdr:rowOff>0</xdr:rowOff>
        </xdr:from>
        <xdr:to>
          <xdr:col>12</xdr:col>
          <xdr:colOff>209550</xdr:colOff>
          <xdr:row>0</xdr:row>
          <xdr:rowOff>0</xdr:rowOff>
        </xdr:to>
        <xdr:sp macro="[0]!SelectNotepad" fLocksText="0">
          <xdr:nvSpPr>
            <xdr:cNvPr id="12577" name="Button 289" hidden="1">
              <a:extLst>
                <a:ext uri="{63B3BB69-23CF-44E3-9099-C40C66FF867C}">
                  <a14:compatExt spid="_x0000_s12577"/>
                </a:ext>
              </a:extLst>
            </xdr:cNvPr>
            <xdr:cNvSpPr>
              <a:spLocks noRot="1"/>
            </xdr:cNvSpPr>
          </xdr:nvSpPr>
          <xdr:spPr>
            <a:xfrm>
              <a:off x="62484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78" name="Button 290" hidden="1">
              <a:extLst>
                <a:ext uri="{63B3BB69-23CF-44E3-9099-C40C66FF867C}">
                  <a14:compatExt spid="_x0000_s12578"/>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79" name="Button 291" hidden="1">
              <a:extLst>
                <a:ext uri="{63B3BB69-23CF-44E3-9099-C40C66FF867C}">
                  <a14:compatExt spid="_x0000_s12579"/>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80" name="Button 292" hidden="1">
              <a:extLst>
                <a:ext uri="{63B3BB69-23CF-44E3-9099-C40C66FF867C}">
                  <a14:compatExt spid="_x0000_s12580"/>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533400</xdr:colOff>
          <xdr:row>0</xdr:row>
          <xdr:rowOff>0</xdr:rowOff>
        </xdr:from>
        <xdr:to>
          <xdr:col>3</xdr:col>
          <xdr:colOff>590550</xdr:colOff>
          <xdr:row>0</xdr:row>
          <xdr:rowOff>0</xdr:rowOff>
        </xdr:to>
        <xdr:sp macro="[0]!SelectSubmitPage" fLocksText="0">
          <xdr:nvSpPr>
            <xdr:cNvPr id="12581" name="Button 293" hidden="1">
              <a:extLst>
                <a:ext uri="{63B3BB69-23CF-44E3-9099-C40C66FF867C}">
                  <a14:compatExt spid="_x0000_s12581"/>
                </a:ext>
              </a:extLst>
            </xdr:cNvPr>
            <xdr:cNvSpPr>
              <a:spLocks noRot="1"/>
            </xdr:cNvSpPr>
          </xdr:nvSpPr>
          <xdr:spPr>
            <a:xfrm>
              <a:off x="114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638175</xdr:colOff>
          <xdr:row>0</xdr:row>
          <xdr:rowOff>0</xdr:rowOff>
        </xdr:from>
        <xdr:to>
          <xdr:col>5</xdr:col>
          <xdr:colOff>600075</xdr:colOff>
          <xdr:row>0</xdr:row>
          <xdr:rowOff>0</xdr:rowOff>
        </xdr:to>
        <xdr:sp macro="[0]!getLoginInformation" fLocksText="0">
          <xdr:nvSpPr>
            <xdr:cNvPr id="12582" name="Button 294" hidden="1">
              <a:extLst>
                <a:ext uri="{63B3BB69-23CF-44E3-9099-C40C66FF867C}">
                  <a14:compatExt spid="_x0000_s12582"/>
                </a:ext>
              </a:extLst>
            </xdr:cNvPr>
            <xdr:cNvSpPr>
              <a:spLocks noRot="1"/>
            </xdr:cNvSpPr>
          </xdr:nvSpPr>
          <xdr:spPr>
            <a:xfrm>
              <a:off x="2438400"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583" name="Button 295" hidden="1">
              <a:extLst>
                <a:ext uri="{63B3BB69-23CF-44E3-9099-C40C66FF867C}">
                  <a14:compatExt spid="_x0000_s12583"/>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85725</xdr:colOff>
          <xdr:row>0</xdr:row>
          <xdr:rowOff>0</xdr:rowOff>
        </xdr:from>
        <xdr:to>
          <xdr:col>10</xdr:col>
          <xdr:colOff>142875</xdr:colOff>
          <xdr:row>0</xdr:row>
          <xdr:rowOff>0</xdr:rowOff>
        </xdr:to>
        <xdr:sp macro="[0]!CloseTheTool" fLocksText="0">
          <xdr:nvSpPr>
            <xdr:cNvPr id="12584" name="Button 296" hidden="1">
              <a:extLst>
                <a:ext uri="{63B3BB69-23CF-44E3-9099-C40C66FF867C}">
                  <a14:compatExt spid="_x0000_s12584"/>
                </a:ext>
              </a:extLst>
            </xdr:cNvPr>
            <xdr:cNvSpPr>
              <a:spLocks noRot="1"/>
            </xdr:cNvSpPr>
          </xdr:nvSpPr>
          <xdr:spPr>
            <a:xfrm>
              <a:off x="49625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0</xdr:row>
          <xdr:rowOff>0</xdr:rowOff>
        </xdr:from>
        <xdr:to>
          <xdr:col>12</xdr:col>
          <xdr:colOff>209550</xdr:colOff>
          <xdr:row>0</xdr:row>
          <xdr:rowOff>0</xdr:rowOff>
        </xdr:to>
        <xdr:sp macro="[0]!SelectNotepad" fLocksText="0">
          <xdr:nvSpPr>
            <xdr:cNvPr id="12585" name="Button 297" hidden="1">
              <a:extLst>
                <a:ext uri="{63B3BB69-23CF-44E3-9099-C40C66FF867C}">
                  <a14:compatExt spid="_x0000_s12585"/>
                </a:ext>
              </a:extLst>
            </xdr:cNvPr>
            <xdr:cNvSpPr>
              <a:spLocks noRot="1"/>
            </xdr:cNvSpPr>
          </xdr:nvSpPr>
          <xdr:spPr>
            <a:xfrm>
              <a:off x="62484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86" name="Button 298" hidden="1">
              <a:extLst>
                <a:ext uri="{63B3BB69-23CF-44E3-9099-C40C66FF867C}">
                  <a14:compatExt spid="_x0000_s12586"/>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87" name="Button 299" hidden="1">
              <a:extLst>
                <a:ext uri="{63B3BB69-23CF-44E3-9099-C40C66FF867C}">
                  <a14:compatExt spid="_x0000_s12587"/>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88" name="Button 300" hidden="1">
              <a:extLst>
                <a:ext uri="{63B3BB69-23CF-44E3-9099-C40C66FF867C}">
                  <a14:compatExt spid="_x0000_s12588"/>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533400</xdr:colOff>
          <xdr:row>0</xdr:row>
          <xdr:rowOff>0</xdr:rowOff>
        </xdr:from>
        <xdr:to>
          <xdr:col>3</xdr:col>
          <xdr:colOff>590550</xdr:colOff>
          <xdr:row>0</xdr:row>
          <xdr:rowOff>0</xdr:rowOff>
        </xdr:to>
        <xdr:sp macro="[0]!SelectSubmitPage" fLocksText="0">
          <xdr:nvSpPr>
            <xdr:cNvPr id="12589" name="Button 301" hidden="1">
              <a:extLst>
                <a:ext uri="{63B3BB69-23CF-44E3-9099-C40C66FF867C}">
                  <a14:compatExt spid="_x0000_s12589"/>
                </a:ext>
              </a:extLst>
            </xdr:cNvPr>
            <xdr:cNvSpPr>
              <a:spLocks noRot="1"/>
            </xdr:cNvSpPr>
          </xdr:nvSpPr>
          <xdr:spPr>
            <a:xfrm>
              <a:off x="114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638175</xdr:colOff>
          <xdr:row>0</xdr:row>
          <xdr:rowOff>0</xdr:rowOff>
        </xdr:from>
        <xdr:to>
          <xdr:col>5</xdr:col>
          <xdr:colOff>600075</xdr:colOff>
          <xdr:row>0</xdr:row>
          <xdr:rowOff>0</xdr:rowOff>
        </xdr:to>
        <xdr:sp macro="[0]!getLoginInformation" fLocksText="0">
          <xdr:nvSpPr>
            <xdr:cNvPr id="12590" name="Button 302" hidden="1">
              <a:extLst>
                <a:ext uri="{63B3BB69-23CF-44E3-9099-C40C66FF867C}">
                  <a14:compatExt spid="_x0000_s12590"/>
                </a:ext>
              </a:extLst>
            </xdr:cNvPr>
            <xdr:cNvSpPr>
              <a:spLocks noRot="1"/>
            </xdr:cNvSpPr>
          </xdr:nvSpPr>
          <xdr:spPr>
            <a:xfrm>
              <a:off x="2438400"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591" name="Button 303" hidden="1">
              <a:extLst>
                <a:ext uri="{63B3BB69-23CF-44E3-9099-C40C66FF867C}">
                  <a14:compatExt spid="_x0000_s12591"/>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85725</xdr:colOff>
          <xdr:row>0</xdr:row>
          <xdr:rowOff>0</xdr:rowOff>
        </xdr:from>
        <xdr:to>
          <xdr:col>10</xdr:col>
          <xdr:colOff>142875</xdr:colOff>
          <xdr:row>0</xdr:row>
          <xdr:rowOff>0</xdr:rowOff>
        </xdr:to>
        <xdr:sp macro="[0]!CloseTheTool" fLocksText="0">
          <xdr:nvSpPr>
            <xdr:cNvPr id="12592" name="Button 304" hidden="1">
              <a:extLst>
                <a:ext uri="{63B3BB69-23CF-44E3-9099-C40C66FF867C}">
                  <a14:compatExt spid="_x0000_s12592"/>
                </a:ext>
              </a:extLst>
            </xdr:cNvPr>
            <xdr:cNvSpPr>
              <a:spLocks noRot="1"/>
            </xdr:cNvSpPr>
          </xdr:nvSpPr>
          <xdr:spPr>
            <a:xfrm>
              <a:off x="49625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0</xdr:row>
          <xdr:rowOff>0</xdr:rowOff>
        </xdr:from>
        <xdr:to>
          <xdr:col>12</xdr:col>
          <xdr:colOff>209550</xdr:colOff>
          <xdr:row>0</xdr:row>
          <xdr:rowOff>0</xdr:rowOff>
        </xdr:to>
        <xdr:sp macro="[0]!SelectNotepad" fLocksText="0">
          <xdr:nvSpPr>
            <xdr:cNvPr id="12593" name="Button 305" hidden="1">
              <a:extLst>
                <a:ext uri="{63B3BB69-23CF-44E3-9099-C40C66FF867C}">
                  <a14:compatExt spid="_x0000_s12593"/>
                </a:ext>
              </a:extLst>
            </xdr:cNvPr>
            <xdr:cNvSpPr>
              <a:spLocks noRot="1"/>
            </xdr:cNvSpPr>
          </xdr:nvSpPr>
          <xdr:spPr>
            <a:xfrm>
              <a:off x="62484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594" name="Button 306" hidden="1">
              <a:extLst>
                <a:ext uri="{63B3BB69-23CF-44E3-9099-C40C66FF867C}">
                  <a14:compatExt spid="_x0000_s12594"/>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595" name="Button 307" hidden="1">
              <a:extLst>
                <a:ext uri="{63B3BB69-23CF-44E3-9099-C40C66FF867C}">
                  <a14:compatExt spid="_x0000_s12595"/>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596" name="Button 308" hidden="1">
              <a:extLst>
                <a:ext uri="{63B3BB69-23CF-44E3-9099-C40C66FF867C}">
                  <a14:compatExt spid="_x0000_s12596"/>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514350</xdr:colOff>
          <xdr:row>0</xdr:row>
          <xdr:rowOff>0</xdr:rowOff>
        </xdr:to>
        <xdr:sp macro="[0]!SelectDataInputPage" fLocksText="0">
          <xdr:nvSpPr>
            <xdr:cNvPr id="12597" name="Button 309" hidden="1">
              <a:extLst>
                <a:ext uri="{63B3BB69-23CF-44E3-9099-C40C66FF867C}">
                  <a14:compatExt spid="_x0000_s12597"/>
                </a:ext>
              </a:extLst>
            </xdr:cNvPr>
            <xdr:cNvSpPr>
              <a:spLocks noRot="1"/>
            </xdr:cNvSpPr>
          </xdr:nvSpPr>
          <xdr:spPr>
            <a:xfrm>
              <a:off x="2857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533400</xdr:colOff>
          <xdr:row>0</xdr:row>
          <xdr:rowOff>0</xdr:rowOff>
        </xdr:from>
        <xdr:to>
          <xdr:col>3</xdr:col>
          <xdr:colOff>590550</xdr:colOff>
          <xdr:row>0</xdr:row>
          <xdr:rowOff>0</xdr:rowOff>
        </xdr:to>
        <xdr:sp macro="[0]!SelectSubmitPage" fLocksText="0">
          <xdr:nvSpPr>
            <xdr:cNvPr id="12598" name="Button 310" hidden="1">
              <a:extLst>
                <a:ext uri="{63B3BB69-23CF-44E3-9099-C40C66FF867C}">
                  <a14:compatExt spid="_x0000_s12598"/>
                </a:ext>
              </a:extLst>
            </xdr:cNvPr>
            <xdr:cNvSpPr>
              <a:spLocks noRot="1"/>
            </xdr:cNvSpPr>
          </xdr:nvSpPr>
          <xdr:spPr>
            <a:xfrm>
              <a:off x="114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638175</xdr:colOff>
          <xdr:row>0</xdr:row>
          <xdr:rowOff>0</xdr:rowOff>
        </xdr:from>
        <xdr:to>
          <xdr:col>5</xdr:col>
          <xdr:colOff>600075</xdr:colOff>
          <xdr:row>0</xdr:row>
          <xdr:rowOff>0</xdr:rowOff>
        </xdr:to>
        <xdr:sp macro="[0]!getLoginInformation" fLocksText="0">
          <xdr:nvSpPr>
            <xdr:cNvPr id="12599" name="Button 311" hidden="1">
              <a:extLst>
                <a:ext uri="{63B3BB69-23CF-44E3-9099-C40C66FF867C}">
                  <a14:compatExt spid="_x0000_s12599"/>
                </a:ext>
              </a:extLst>
            </xdr:cNvPr>
            <xdr:cNvSpPr>
              <a:spLocks noRot="1"/>
            </xdr:cNvSpPr>
          </xdr:nvSpPr>
          <xdr:spPr>
            <a:xfrm>
              <a:off x="2438400"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00" name="Button 312" hidden="1">
              <a:extLst>
                <a:ext uri="{63B3BB69-23CF-44E3-9099-C40C66FF867C}">
                  <a14:compatExt spid="_x0000_s12600"/>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85725</xdr:colOff>
          <xdr:row>0</xdr:row>
          <xdr:rowOff>0</xdr:rowOff>
        </xdr:from>
        <xdr:to>
          <xdr:col>10</xdr:col>
          <xdr:colOff>142875</xdr:colOff>
          <xdr:row>0</xdr:row>
          <xdr:rowOff>0</xdr:rowOff>
        </xdr:to>
        <xdr:sp macro="[0]!CloseTheTool" fLocksText="0">
          <xdr:nvSpPr>
            <xdr:cNvPr id="12601" name="Button 313" hidden="1">
              <a:extLst>
                <a:ext uri="{63B3BB69-23CF-44E3-9099-C40C66FF867C}">
                  <a14:compatExt spid="_x0000_s12601"/>
                </a:ext>
              </a:extLst>
            </xdr:cNvPr>
            <xdr:cNvSpPr>
              <a:spLocks noRot="1"/>
            </xdr:cNvSpPr>
          </xdr:nvSpPr>
          <xdr:spPr>
            <a:xfrm>
              <a:off x="49625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0</xdr:row>
          <xdr:rowOff>0</xdr:rowOff>
        </xdr:from>
        <xdr:to>
          <xdr:col>12</xdr:col>
          <xdr:colOff>209550</xdr:colOff>
          <xdr:row>0</xdr:row>
          <xdr:rowOff>0</xdr:rowOff>
        </xdr:to>
        <xdr:sp macro="[0]!SelectNotepad" fLocksText="0">
          <xdr:nvSpPr>
            <xdr:cNvPr id="12602" name="Button 314" hidden="1">
              <a:extLst>
                <a:ext uri="{63B3BB69-23CF-44E3-9099-C40C66FF867C}">
                  <a14:compatExt spid="_x0000_s12602"/>
                </a:ext>
              </a:extLst>
            </xdr:cNvPr>
            <xdr:cNvSpPr>
              <a:spLocks noRot="1"/>
            </xdr:cNvSpPr>
          </xdr:nvSpPr>
          <xdr:spPr>
            <a:xfrm>
              <a:off x="62484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603" name="Button 315" hidden="1">
              <a:extLst>
                <a:ext uri="{63B3BB69-23CF-44E3-9099-C40C66FF867C}">
                  <a14:compatExt spid="_x0000_s12603"/>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604" name="Button 316" hidden="1">
              <a:extLst>
                <a:ext uri="{63B3BB69-23CF-44E3-9099-C40C66FF867C}">
                  <a14:compatExt spid="_x0000_s12604"/>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605" name="Button 317" hidden="1">
              <a:extLst>
                <a:ext uri="{63B3BB69-23CF-44E3-9099-C40C66FF867C}">
                  <a14:compatExt spid="_x0000_s12605"/>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514350</xdr:colOff>
          <xdr:row>0</xdr:row>
          <xdr:rowOff>0</xdr:rowOff>
        </xdr:to>
        <xdr:sp macro="[0]!SelectDataInputPage" fLocksText="0">
          <xdr:nvSpPr>
            <xdr:cNvPr id="12606" name="Button 318" hidden="1">
              <a:extLst>
                <a:ext uri="{63B3BB69-23CF-44E3-9099-C40C66FF867C}">
                  <a14:compatExt spid="_x0000_s12606"/>
                </a:ext>
              </a:extLst>
            </xdr:cNvPr>
            <xdr:cNvSpPr>
              <a:spLocks noRot="1"/>
            </xdr:cNvSpPr>
          </xdr:nvSpPr>
          <xdr:spPr>
            <a:xfrm>
              <a:off x="2857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533400</xdr:colOff>
          <xdr:row>0</xdr:row>
          <xdr:rowOff>0</xdr:rowOff>
        </xdr:from>
        <xdr:to>
          <xdr:col>3</xdr:col>
          <xdr:colOff>590550</xdr:colOff>
          <xdr:row>0</xdr:row>
          <xdr:rowOff>0</xdr:rowOff>
        </xdr:to>
        <xdr:sp macro="[0]!SelectSubmitPage" fLocksText="0">
          <xdr:nvSpPr>
            <xdr:cNvPr id="12607" name="Button 319" hidden="1">
              <a:extLst>
                <a:ext uri="{63B3BB69-23CF-44E3-9099-C40C66FF867C}">
                  <a14:compatExt spid="_x0000_s12607"/>
                </a:ext>
              </a:extLst>
            </xdr:cNvPr>
            <xdr:cNvSpPr>
              <a:spLocks noRot="1"/>
            </xdr:cNvSpPr>
          </xdr:nvSpPr>
          <xdr:spPr>
            <a:xfrm>
              <a:off x="114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638175</xdr:colOff>
          <xdr:row>0</xdr:row>
          <xdr:rowOff>0</xdr:rowOff>
        </xdr:from>
        <xdr:to>
          <xdr:col>5</xdr:col>
          <xdr:colOff>600075</xdr:colOff>
          <xdr:row>0</xdr:row>
          <xdr:rowOff>0</xdr:rowOff>
        </xdr:to>
        <xdr:sp macro="[0]!getLoginInformation" fLocksText="0">
          <xdr:nvSpPr>
            <xdr:cNvPr id="12608" name="Button 320" hidden="1">
              <a:extLst>
                <a:ext uri="{63B3BB69-23CF-44E3-9099-C40C66FF867C}">
                  <a14:compatExt spid="_x0000_s12608"/>
                </a:ext>
              </a:extLst>
            </xdr:cNvPr>
            <xdr:cNvSpPr>
              <a:spLocks noRot="1"/>
            </xdr:cNvSpPr>
          </xdr:nvSpPr>
          <xdr:spPr>
            <a:xfrm>
              <a:off x="2438400"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09" name="Button 321" hidden="1">
              <a:extLst>
                <a:ext uri="{63B3BB69-23CF-44E3-9099-C40C66FF867C}">
                  <a14:compatExt spid="_x0000_s12609"/>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85725</xdr:colOff>
          <xdr:row>0</xdr:row>
          <xdr:rowOff>0</xdr:rowOff>
        </xdr:from>
        <xdr:to>
          <xdr:col>10</xdr:col>
          <xdr:colOff>142875</xdr:colOff>
          <xdr:row>0</xdr:row>
          <xdr:rowOff>0</xdr:rowOff>
        </xdr:to>
        <xdr:sp macro="[0]!CloseTheTool" fLocksText="0">
          <xdr:nvSpPr>
            <xdr:cNvPr id="12610" name="Button 322" hidden="1">
              <a:extLst>
                <a:ext uri="{63B3BB69-23CF-44E3-9099-C40C66FF867C}">
                  <a14:compatExt spid="_x0000_s12610"/>
                </a:ext>
              </a:extLst>
            </xdr:cNvPr>
            <xdr:cNvSpPr>
              <a:spLocks noRot="1"/>
            </xdr:cNvSpPr>
          </xdr:nvSpPr>
          <xdr:spPr>
            <a:xfrm>
              <a:off x="49625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0</xdr:row>
          <xdr:rowOff>0</xdr:rowOff>
        </xdr:from>
        <xdr:to>
          <xdr:col>12</xdr:col>
          <xdr:colOff>209550</xdr:colOff>
          <xdr:row>0</xdr:row>
          <xdr:rowOff>0</xdr:rowOff>
        </xdr:to>
        <xdr:sp macro="[0]!SelectNotepad" fLocksText="0">
          <xdr:nvSpPr>
            <xdr:cNvPr id="12611" name="Button 323" hidden="1">
              <a:extLst>
                <a:ext uri="{63B3BB69-23CF-44E3-9099-C40C66FF867C}">
                  <a14:compatExt spid="_x0000_s12611"/>
                </a:ext>
              </a:extLst>
            </xdr:cNvPr>
            <xdr:cNvSpPr>
              <a:spLocks noRot="1"/>
            </xdr:cNvSpPr>
          </xdr:nvSpPr>
          <xdr:spPr>
            <a:xfrm>
              <a:off x="62484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612" name="Button 324" hidden="1">
              <a:extLst>
                <a:ext uri="{63B3BB69-23CF-44E3-9099-C40C66FF867C}">
                  <a14:compatExt spid="_x0000_s12612"/>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613" name="Button 325" hidden="1">
              <a:extLst>
                <a:ext uri="{63B3BB69-23CF-44E3-9099-C40C66FF867C}">
                  <a14:compatExt spid="_x0000_s12613"/>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614" name="Button 326" hidden="1">
              <a:extLst>
                <a:ext uri="{63B3BB69-23CF-44E3-9099-C40C66FF867C}">
                  <a14:compatExt spid="_x0000_s12614"/>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15" name="Button 327" hidden="1">
              <a:extLst>
                <a:ext uri="{63B3BB69-23CF-44E3-9099-C40C66FF867C}">
                  <a14:compatExt spid="_x0000_s12615"/>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16" name="Button 328" hidden="1">
              <a:extLst>
                <a:ext uri="{63B3BB69-23CF-44E3-9099-C40C66FF867C}">
                  <a14:compatExt spid="_x0000_s12616"/>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17" name="Button 329" hidden="1">
              <a:extLst>
                <a:ext uri="{63B3BB69-23CF-44E3-9099-C40C66FF867C}">
                  <a14:compatExt spid="_x0000_s12617"/>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18" name="Button 330" hidden="1">
              <a:extLst>
                <a:ext uri="{63B3BB69-23CF-44E3-9099-C40C66FF867C}">
                  <a14:compatExt spid="_x0000_s12618"/>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19" name="Button 331" hidden="1">
              <a:extLst>
                <a:ext uri="{63B3BB69-23CF-44E3-9099-C40C66FF867C}">
                  <a14:compatExt spid="_x0000_s12619"/>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20" name="Button 332" hidden="1">
              <a:extLst>
                <a:ext uri="{63B3BB69-23CF-44E3-9099-C40C66FF867C}">
                  <a14:compatExt spid="_x0000_s12620"/>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621" name="Button 333" hidden="1">
              <a:extLst>
                <a:ext uri="{63B3BB69-23CF-44E3-9099-C40C66FF867C}">
                  <a14:compatExt spid="_x0000_s12621"/>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622" name="Button 334" hidden="1">
              <a:extLst>
                <a:ext uri="{63B3BB69-23CF-44E3-9099-C40C66FF867C}">
                  <a14:compatExt spid="_x0000_s12622"/>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623" name="Button 335" hidden="1">
              <a:extLst>
                <a:ext uri="{63B3BB69-23CF-44E3-9099-C40C66FF867C}">
                  <a14:compatExt spid="_x0000_s12623"/>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24" name="Button 336" hidden="1">
              <a:extLst>
                <a:ext uri="{63B3BB69-23CF-44E3-9099-C40C66FF867C}">
                  <a14:compatExt spid="_x0000_s12624"/>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25" name="Button 337" hidden="1">
              <a:extLst>
                <a:ext uri="{63B3BB69-23CF-44E3-9099-C40C66FF867C}">
                  <a14:compatExt spid="_x0000_s12625"/>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26" name="Button 338" hidden="1">
              <a:extLst>
                <a:ext uri="{63B3BB69-23CF-44E3-9099-C40C66FF867C}">
                  <a14:compatExt spid="_x0000_s12626"/>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27" name="Button 339" hidden="1">
              <a:extLst>
                <a:ext uri="{63B3BB69-23CF-44E3-9099-C40C66FF867C}">
                  <a14:compatExt spid="_x0000_s12627"/>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28" name="Button 340" hidden="1">
              <a:extLst>
                <a:ext uri="{63B3BB69-23CF-44E3-9099-C40C66FF867C}">
                  <a14:compatExt spid="_x0000_s12628"/>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29" name="Button 341" hidden="1">
              <a:extLst>
                <a:ext uri="{63B3BB69-23CF-44E3-9099-C40C66FF867C}">
                  <a14:compatExt spid="_x0000_s12629"/>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630" name="Button 342" hidden="1">
              <a:extLst>
                <a:ext uri="{63B3BB69-23CF-44E3-9099-C40C66FF867C}">
                  <a14:compatExt spid="_x0000_s12630"/>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631" name="Button 343" hidden="1">
              <a:extLst>
                <a:ext uri="{63B3BB69-23CF-44E3-9099-C40C66FF867C}">
                  <a14:compatExt spid="_x0000_s12631"/>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632" name="Button 344" hidden="1">
              <a:extLst>
                <a:ext uri="{63B3BB69-23CF-44E3-9099-C40C66FF867C}">
                  <a14:compatExt spid="_x0000_s12632"/>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33" name="Button 345" hidden="1">
              <a:extLst>
                <a:ext uri="{63B3BB69-23CF-44E3-9099-C40C66FF867C}">
                  <a14:compatExt spid="_x0000_s12633"/>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34" name="Button 346" hidden="1">
              <a:extLst>
                <a:ext uri="{63B3BB69-23CF-44E3-9099-C40C66FF867C}">
                  <a14:compatExt spid="_x0000_s12634"/>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35" name="Button 347" hidden="1">
              <a:extLst>
                <a:ext uri="{63B3BB69-23CF-44E3-9099-C40C66FF867C}">
                  <a14:compatExt spid="_x0000_s12635"/>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36" name="Button 348" hidden="1">
              <a:extLst>
                <a:ext uri="{63B3BB69-23CF-44E3-9099-C40C66FF867C}">
                  <a14:compatExt spid="_x0000_s12636"/>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37" name="Button 349" hidden="1">
              <a:extLst>
                <a:ext uri="{63B3BB69-23CF-44E3-9099-C40C66FF867C}">
                  <a14:compatExt spid="_x0000_s12637"/>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38" name="Button 350" hidden="1">
              <a:extLst>
                <a:ext uri="{63B3BB69-23CF-44E3-9099-C40C66FF867C}">
                  <a14:compatExt spid="_x0000_s12638"/>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639" name="Button 351" hidden="1">
              <a:extLst>
                <a:ext uri="{63B3BB69-23CF-44E3-9099-C40C66FF867C}">
                  <a14:compatExt spid="_x0000_s12639"/>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640" name="Button 352" hidden="1">
              <a:extLst>
                <a:ext uri="{63B3BB69-23CF-44E3-9099-C40C66FF867C}">
                  <a14:compatExt spid="_x0000_s12640"/>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641" name="Button 353" hidden="1">
              <a:extLst>
                <a:ext uri="{63B3BB69-23CF-44E3-9099-C40C66FF867C}">
                  <a14:compatExt spid="_x0000_s12641"/>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42" name="Button 354" hidden="1">
              <a:extLst>
                <a:ext uri="{63B3BB69-23CF-44E3-9099-C40C66FF867C}">
                  <a14:compatExt spid="_x0000_s12642"/>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43" name="Button 355" hidden="1">
              <a:extLst>
                <a:ext uri="{63B3BB69-23CF-44E3-9099-C40C66FF867C}">
                  <a14:compatExt spid="_x0000_s12643"/>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44" name="Button 356" hidden="1">
              <a:extLst>
                <a:ext uri="{63B3BB69-23CF-44E3-9099-C40C66FF867C}">
                  <a14:compatExt spid="_x0000_s12644"/>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45" name="Button 357" hidden="1">
              <a:extLst>
                <a:ext uri="{63B3BB69-23CF-44E3-9099-C40C66FF867C}">
                  <a14:compatExt spid="_x0000_s12645"/>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46" name="Button 358" hidden="1">
              <a:extLst>
                <a:ext uri="{63B3BB69-23CF-44E3-9099-C40C66FF867C}">
                  <a14:compatExt spid="_x0000_s12646"/>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47" name="Button 359" hidden="1">
              <a:extLst>
                <a:ext uri="{63B3BB69-23CF-44E3-9099-C40C66FF867C}">
                  <a14:compatExt spid="_x0000_s12647"/>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38100</xdr:colOff>
          <xdr:row>0</xdr:row>
          <xdr:rowOff>0</xdr:rowOff>
        </xdr:from>
        <xdr:to>
          <xdr:col>6</xdr:col>
          <xdr:colOff>428625</xdr:colOff>
          <xdr:row>0</xdr:row>
          <xdr:rowOff>0</xdr:rowOff>
        </xdr:to>
        <xdr:sp macro="[0]!BuildComplexObjectFromSimpleObject" fLocksText="0">
          <xdr:nvSpPr>
            <xdr:cNvPr id="12648" name="Button 360" hidden="1">
              <a:extLst>
                <a:ext uri="{63B3BB69-23CF-44E3-9099-C40C66FF867C}">
                  <a14:compatExt spid="_x0000_s12648"/>
                </a:ext>
              </a:extLst>
            </xdr:cNvPr>
            <xdr:cNvSpPr>
              <a:spLocks noRot="1"/>
            </xdr:cNvSpPr>
          </xdr:nvSpPr>
          <xdr:spPr>
            <a:xfrm>
              <a:off x="2476500"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9525</xdr:colOff>
          <xdr:row>0</xdr:row>
          <xdr:rowOff>0</xdr:rowOff>
        </xdr:from>
        <xdr:to>
          <xdr:col>10</xdr:col>
          <xdr:colOff>438150</xdr:colOff>
          <xdr:row>0</xdr:row>
          <xdr:rowOff>0</xdr:rowOff>
        </xdr:to>
        <xdr:sp macro="[0]!EditLoadComplexObject" fLocksText="0">
          <xdr:nvSpPr>
            <xdr:cNvPr id="12649" name="Button 361" hidden="1">
              <a:extLst>
                <a:ext uri="{63B3BB69-23CF-44E3-9099-C40C66FF867C}">
                  <a14:compatExt spid="_x0000_s12649"/>
                </a:ext>
              </a:extLst>
            </xdr:cNvPr>
            <xdr:cNvSpPr>
              <a:spLocks noRot="1"/>
            </xdr:cNvSpPr>
          </xdr:nvSpPr>
          <xdr:spPr>
            <a:xfrm>
              <a:off x="48863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0</xdr:row>
          <xdr:rowOff>0</xdr:rowOff>
        </xdr:from>
        <xdr:to>
          <xdr:col>15</xdr:col>
          <xdr:colOff>0</xdr:colOff>
          <xdr:row>0</xdr:row>
          <xdr:rowOff>0</xdr:rowOff>
        </xdr:to>
        <xdr:sp macro="[0]!PostEditResultsToSimpleObject" fLocksText="0">
          <xdr:nvSpPr>
            <xdr:cNvPr id="12650" name="Button 362" hidden="1">
              <a:extLst>
                <a:ext uri="{63B3BB69-23CF-44E3-9099-C40C66FF867C}">
                  <a14:compatExt spid="_x0000_s12650"/>
                </a:ext>
              </a:extLst>
            </xdr:cNvPr>
            <xdr:cNvSpPr>
              <a:spLocks noRot="1"/>
            </xdr:cNvSpPr>
          </xdr:nvSpPr>
          <xdr:spPr>
            <a:xfrm>
              <a:off x="7343775"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51" name="Button 363" hidden="1">
              <a:extLst>
                <a:ext uri="{63B3BB69-23CF-44E3-9099-C40C66FF867C}">
                  <a14:compatExt spid="_x0000_s12651"/>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52" name="Button 364" hidden="1">
              <a:extLst>
                <a:ext uri="{63B3BB69-23CF-44E3-9099-C40C66FF867C}">
                  <a14:compatExt spid="_x0000_s12652"/>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53" name="Button 365" hidden="1">
              <a:extLst>
                <a:ext uri="{63B3BB69-23CF-44E3-9099-C40C66FF867C}">
                  <a14:compatExt spid="_x0000_s12653"/>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54" name="Button 366" hidden="1">
              <a:extLst>
                <a:ext uri="{63B3BB69-23CF-44E3-9099-C40C66FF867C}">
                  <a14:compatExt spid="_x0000_s12654"/>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55" name="Button 367" hidden="1">
              <a:extLst>
                <a:ext uri="{63B3BB69-23CF-44E3-9099-C40C66FF867C}">
                  <a14:compatExt spid="_x0000_s12655"/>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56" name="Button 368" hidden="1">
              <a:extLst>
                <a:ext uri="{63B3BB69-23CF-44E3-9099-C40C66FF867C}">
                  <a14:compatExt spid="_x0000_s12656"/>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57" name="Button 369" hidden="1">
              <a:extLst>
                <a:ext uri="{63B3BB69-23CF-44E3-9099-C40C66FF867C}">
                  <a14:compatExt spid="_x0000_s12657"/>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58" name="Button 370" hidden="1">
              <a:extLst>
                <a:ext uri="{63B3BB69-23CF-44E3-9099-C40C66FF867C}">
                  <a14:compatExt spid="_x0000_s12658"/>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59" name="Button 371" hidden="1">
              <a:extLst>
                <a:ext uri="{63B3BB69-23CF-44E3-9099-C40C66FF867C}">
                  <a14:compatExt spid="_x0000_s12659"/>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60" name="Button 372" hidden="1">
              <a:extLst>
                <a:ext uri="{63B3BB69-23CF-44E3-9099-C40C66FF867C}">
                  <a14:compatExt spid="_x0000_s12660"/>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61" name="Button 373" hidden="1">
              <a:extLst>
                <a:ext uri="{63B3BB69-23CF-44E3-9099-C40C66FF867C}">
                  <a14:compatExt spid="_x0000_s12661"/>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62" name="Button 374" hidden="1">
              <a:extLst>
                <a:ext uri="{63B3BB69-23CF-44E3-9099-C40C66FF867C}">
                  <a14:compatExt spid="_x0000_s12662"/>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9525</xdr:colOff>
          <xdr:row>0</xdr:row>
          <xdr:rowOff>0</xdr:rowOff>
        </xdr:from>
        <xdr:to>
          <xdr:col>1</xdr:col>
          <xdr:colOff>495300</xdr:colOff>
          <xdr:row>0</xdr:row>
          <xdr:rowOff>0</xdr:rowOff>
        </xdr:to>
        <xdr:sp macro="[0]!SelectDataInputPage" fLocksText="0">
          <xdr:nvSpPr>
            <xdr:cNvPr id="12663" name="Button 375" hidden="1">
              <a:extLst>
                <a:ext uri="{63B3BB69-23CF-44E3-9099-C40C66FF867C}">
                  <a14:compatExt spid="_x0000_s12663"/>
                </a:ext>
              </a:extLst>
            </xdr:cNvPr>
            <xdr:cNvSpPr>
              <a:spLocks noRot="1"/>
            </xdr:cNvSpPr>
          </xdr:nvSpPr>
          <xdr:spPr>
            <a:xfrm>
              <a:off x="9525"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523875</xdr:colOff>
          <xdr:row>0</xdr:row>
          <xdr:rowOff>0</xdr:rowOff>
        </xdr:from>
        <xdr:to>
          <xdr:col>3</xdr:col>
          <xdr:colOff>581025</xdr:colOff>
          <xdr:row>0</xdr:row>
          <xdr:rowOff>0</xdr:rowOff>
        </xdr:to>
        <xdr:sp macro="[0]!SelectSubmitPage" fLocksText="0">
          <xdr:nvSpPr>
            <xdr:cNvPr id="12664" name="Button 376" hidden="1">
              <a:extLst>
                <a:ext uri="{63B3BB69-23CF-44E3-9099-C40C66FF867C}">
                  <a14:compatExt spid="_x0000_s12664"/>
                </a:ext>
              </a:extLst>
            </xdr:cNvPr>
            <xdr:cNvSpPr>
              <a:spLocks noRot="1"/>
            </xdr:cNvSpPr>
          </xdr:nvSpPr>
          <xdr:spPr>
            <a:xfrm>
              <a:off x="11334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609600</xdr:colOff>
          <xdr:row>0</xdr:row>
          <xdr:rowOff>0</xdr:rowOff>
        </xdr:from>
        <xdr:to>
          <xdr:col>5</xdr:col>
          <xdr:colOff>571500</xdr:colOff>
          <xdr:row>0</xdr:row>
          <xdr:rowOff>0</xdr:rowOff>
        </xdr:to>
        <xdr:sp macro="[0]!getLoginInformation" fLocksText="0">
          <xdr:nvSpPr>
            <xdr:cNvPr id="12665" name="Button 377" hidden="1">
              <a:extLst>
                <a:ext uri="{63B3BB69-23CF-44E3-9099-C40C66FF867C}">
                  <a14:compatExt spid="_x0000_s12665"/>
                </a:ext>
              </a:extLst>
            </xdr:cNvPr>
            <xdr:cNvSpPr>
              <a:spLocks noRot="1"/>
            </xdr:cNvSpPr>
          </xdr:nvSpPr>
          <xdr:spPr>
            <a:xfrm>
              <a:off x="2438400"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8</xdr:col>
          <xdr:colOff>57150</xdr:colOff>
          <xdr:row>0</xdr:row>
          <xdr:rowOff>0</xdr:rowOff>
        </xdr:to>
        <xdr:sp macro="[0]!SelectTemplatePage" fLocksText="0">
          <xdr:nvSpPr>
            <xdr:cNvPr id="12666" name="Button 378" hidden="1">
              <a:extLst>
                <a:ext uri="{63B3BB69-23CF-44E3-9099-C40C66FF867C}">
                  <a14:compatExt spid="_x0000_s12666"/>
                </a:ext>
              </a:extLst>
            </xdr:cNvPr>
            <xdr:cNvSpPr>
              <a:spLocks noRot="1"/>
            </xdr:cNvSpPr>
          </xdr:nvSpPr>
          <xdr:spPr>
            <a:xfrm>
              <a:off x="36576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76200</xdr:colOff>
          <xdr:row>0</xdr:row>
          <xdr:rowOff>0</xdr:rowOff>
        </xdr:from>
        <xdr:to>
          <xdr:col>10</xdr:col>
          <xdr:colOff>133350</xdr:colOff>
          <xdr:row>0</xdr:row>
          <xdr:rowOff>0</xdr:rowOff>
        </xdr:to>
        <xdr:sp macro="[0]!CloseTheTool" fLocksText="0">
          <xdr:nvSpPr>
            <xdr:cNvPr id="12667" name="Button 379" hidden="1">
              <a:extLst>
                <a:ext uri="{63B3BB69-23CF-44E3-9099-C40C66FF867C}">
                  <a14:compatExt spid="_x0000_s12667"/>
                </a:ext>
              </a:extLst>
            </xdr:cNvPr>
            <xdr:cNvSpPr>
              <a:spLocks noRot="1"/>
            </xdr:cNvSpPr>
          </xdr:nvSpPr>
          <xdr:spPr>
            <a:xfrm>
              <a:off x="49530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142875</xdr:colOff>
          <xdr:row>0</xdr:row>
          <xdr:rowOff>0</xdr:rowOff>
        </xdr:from>
        <xdr:to>
          <xdr:col>12</xdr:col>
          <xdr:colOff>200025</xdr:colOff>
          <xdr:row>0</xdr:row>
          <xdr:rowOff>0</xdr:rowOff>
        </xdr:to>
        <xdr:sp macro="[0]!SelectNotepad" fLocksText="0">
          <xdr:nvSpPr>
            <xdr:cNvPr id="12668" name="Button 380" hidden="1">
              <a:extLst>
                <a:ext uri="{63B3BB69-23CF-44E3-9099-C40C66FF867C}">
                  <a14:compatExt spid="_x0000_s12668"/>
                </a:ext>
              </a:extLst>
            </xdr:cNvPr>
            <xdr:cNvSpPr>
              <a:spLocks noRot="1"/>
            </xdr:cNvSpPr>
          </xdr:nvSpPr>
          <xdr:spPr>
            <a:xfrm>
              <a:off x="62388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0</xdr:col>
      <xdr:colOff>76200</xdr:colOff>
      <xdr:row>0</xdr:row>
      <xdr:rowOff>76200</xdr:rowOff>
    </xdr:from>
    <xdr:to>
      <xdr:col>12</xdr:col>
      <xdr:colOff>9525</xdr:colOff>
      <xdr:row>0</xdr:row>
      <xdr:rowOff>457200</xdr:rowOff>
    </xdr:to>
    <xdr:sp macro="">
      <xdr:nvSpPr>
        <xdr:cNvPr id="13318" name="Text Box 6"/>
        <xdr:cNvSpPr txBox="1">
          <a:spLocks noChangeArrowheads="1"/>
        </xdr:cNvSpPr>
      </xdr:nvSpPr>
      <xdr:spPr bwMode="auto">
        <a:xfrm>
          <a:off x="76200" y="76200"/>
          <a:ext cx="8896350" cy="38100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1" i="0" baseline="0">
              <a:solidFill>
                <a:srgbClr val="0000FF"/>
              </a:solidFill>
              <a:latin typeface="Arial"/>
              <a:cs typeface="Arial"/>
            </a:rPr>
            <a:t>Enter Connect Information</a:t>
          </a:r>
          <a:r>
            <a:rPr lang="pl-PL" sz="1600" u="none" b="0" i="0" baseline="0">
              <a:solidFill>
                <a:srgbClr val="000000"/>
              </a:solidFill>
              <a:latin typeface="Arial"/>
              <a:cs typeface="Arial"/>
            </a:rPr>
            <a:t> &gt; Create Template &gt; Input Data &gt; Stage &amp; Submit Data</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0</xdr:col>
      <xdr:colOff>76200</xdr:colOff>
      <xdr:row>0</xdr:row>
      <xdr:rowOff>85725</xdr:rowOff>
    </xdr:from>
    <xdr:to>
      <xdr:col>7</xdr:col>
      <xdr:colOff>342900</xdr:colOff>
      <xdr:row>0</xdr:row>
      <xdr:rowOff>466725</xdr:rowOff>
    </xdr:to>
    <xdr:sp macro="">
      <xdr:nvSpPr>
        <xdr:cNvPr id="4145" name="Text Box 49"/>
        <xdr:cNvSpPr txBox="1">
          <a:spLocks noChangeArrowheads="1"/>
        </xdr:cNvSpPr>
      </xdr:nvSpPr>
      <xdr:spPr bwMode="auto">
        <a:xfrm>
          <a:off x="76200" y="85725"/>
          <a:ext cx="8896350" cy="38100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fPrintsWithSheet="0"/>
  </xdr:twoCellAnchor>
  <mc:AlternateContent xmlns:mc="http://schemas.openxmlformats.org/markup-compatibility/2006">
    <mc:Choice xmlns:a14="http://schemas.microsoft.com/office/drawing/2010/main" Requires="a14">
      <xdr:twoCellAnchor editAs="absolute">
        <xdr:from>
          <xdr:col>0</xdr:col>
          <xdr:colOff>38100</xdr:colOff>
          <xdr:row>2</xdr:row>
          <xdr:rowOff>19050</xdr:rowOff>
        </xdr:from>
        <xdr:to>
          <xdr:col>2</xdr:col>
          <xdr:colOff>981075</xdr:colOff>
          <xdr:row>2</xdr:row>
          <xdr:rowOff>257175</xdr:rowOff>
        </xdr:to>
        <xdr:sp>
          <xdr:nvSpPr>
            <xdr:cNvPr id="4158" name="btnBuildNewTemplate" hidden="1">
              <a:extLst>
                <a:ext uri="{63B3BB69-23CF-44E3-9099-C40C66FF867C}">
                  <a14:compatExt spid="_x0000_s4158"/>
                </a:ext>
              </a:extLst>
            </xdr:cNvPr>
            <xdr:cNvSpPr>
              <a:spLocks noChangeAspect="1"/>
            </xdr:cNvSpPr>
          </xdr:nvSpPr>
          <xdr:spPr>
            <a:xfrm>
              <a:off x="38100" y="838200"/>
              <a:ext cx="2343150" cy="238125"/>
            </a:xfrm>
            <a:prstGeom prst="rect"/>
            <a:noFill/>
            <a:ln>
              <a:noFill/>
            </a:ln>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38100</xdr:colOff>
          <xdr:row>2</xdr:row>
          <xdr:rowOff>276225</xdr:rowOff>
        </xdr:from>
        <xdr:to>
          <xdr:col>2</xdr:col>
          <xdr:colOff>981075</xdr:colOff>
          <xdr:row>2</xdr:row>
          <xdr:rowOff>514350</xdr:rowOff>
        </xdr:to>
        <xdr:sp>
          <xdr:nvSpPr>
            <xdr:cNvPr id="4159" name="btnMarkSelectedInputCell" hidden="1">
              <a:extLst>
                <a:ext uri="{63B3BB69-23CF-44E3-9099-C40C66FF867C}">
                  <a14:compatExt spid="_x0000_s4159"/>
                </a:ext>
              </a:extLst>
            </xdr:cNvPr>
            <xdr:cNvSpPr>
              <a:spLocks noChangeAspect="1"/>
            </xdr:cNvSpPr>
          </xdr:nvSpPr>
          <xdr:spPr>
            <a:xfrm>
              <a:off x="38100" y="1095375"/>
              <a:ext cx="2343150" cy="238125"/>
            </a:xfrm>
            <a:prstGeom prst="rect"/>
            <a:noFill/>
            <a:ln>
              <a:noFill/>
            </a:ln>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38100</xdr:colOff>
          <xdr:row>2</xdr:row>
          <xdr:rowOff>542925</xdr:rowOff>
        </xdr:from>
        <xdr:to>
          <xdr:col>2</xdr:col>
          <xdr:colOff>981075</xdr:colOff>
          <xdr:row>2</xdr:row>
          <xdr:rowOff>781050</xdr:rowOff>
        </xdr:to>
        <xdr:sp>
          <xdr:nvSpPr>
            <xdr:cNvPr id="4160" name="btnUnmarkSelectedInputCell" hidden="1">
              <a:extLst>
                <a:ext uri="{63B3BB69-23CF-44E3-9099-C40C66FF867C}">
                  <a14:compatExt spid="_x0000_s4160"/>
                </a:ext>
              </a:extLst>
            </xdr:cNvPr>
            <xdr:cNvSpPr>
              <a:spLocks noChangeAspect="1"/>
            </xdr:cNvSpPr>
          </xdr:nvSpPr>
          <xdr:spPr>
            <a:xfrm>
              <a:off x="38100" y="1362075"/>
              <a:ext cx="2343150" cy="238125"/>
            </a:xfrm>
            <a:prstGeom prst="rect"/>
            <a:noFill/>
            <a:ln>
              <a:noFill/>
            </a:ln>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38100</xdr:colOff>
          <xdr:row>2</xdr:row>
          <xdr:rowOff>800100</xdr:rowOff>
        </xdr:from>
        <xdr:to>
          <xdr:col>2</xdr:col>
          <xdr:colOff>981075</xdr:colOff>
          <xdr:row>2</xdr:row>
          <xdr:rowOff>1038225</xdr:rowOff>
        </xdr:to>
        <xdr:sp>
          <xdr:nvSpPr>
            <xdr:cNvPr id="4161" name="btnRepaintInputCell" hidden="1">
              <a:extLst>
                <a:ext uri="{63B3BB69-23CF-44E3-9099-C40C66FF867C}">
                  <a14:compatExt spid="_x0000_s4161"/>
                </a:ext>
              </a:extLst>
            </xdr:cNvPr>
            <xdr:cNvSpPr>
              <a:spLocks noChangeAspect="1"/>
            </xdr:cNvSpPr>
          </xdr:nvSpPr>
          <xdr:spPr>
            <a:xfrm>
              <a:off x="38100" y="1619250"/>
              <a:ext cx="2343150" cy="238125"/>
            </a:xfrm>
            <a:prstGeom prst="rect"/>
            <a:noFill/>
            <a:ln>
              <a:noFill/>
            </a:ln>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38100</xdr:colOff>
          <xdr:row>2</xdr:row>
          <xdr:rowOff>1057275</xdr:rowOff>
        </xdr:from>
        <xdr:to>
          <xdr:col>2</xdr:col>
          <xdr:colOff>981075</xdr:colOff>
          <xdr:row>2</xdr:row>
          <xdr:rowOff>1295400</xdr:rowOff>
        </xdr:to>
        <xdr:sp>
          <xdr:nvSpPr>
            <xdr:cNvPr id="4162" name="btnBuildInputPageFromTemplate" hidden="1">
              <a:extLst>
                <a:ext uri="{63B3BB69-23CF-44E3-9099-C40C66FF867C}">
                  <a14:compatExt spid="_x0000_s4162"/>
                </a:ext>
              </a:extLst>
            </xdr:cNvPr>
            <xdr:cNvSpPr>
              <a:spLocks noChangeAspect="1"/>
            </xdr:cNvSpPr>
          </xdr:nvSpPr>
          <xdr:spPr>
            <a:xfrm>
              <a:off x="38100" y="1876425"/>
              <a:ext cx="2343150" cy="238125"/>
            </a:xfrm>
            <a:prstGeom prst="rect"/>
            <a:noFill/>
            <a:ln>
              <a:noFill/>
            </a:ln>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38100</xdr:colOff>
          <xdr:row>2</xdr:row>
          <xdr:rowOff>1314450</xdr:rowOff>
        </xdr:from>
        <xdr:to>
          <xdr:col>2</xdr:col>
          <xdr:colOff>981075</xdr:colOff>
          <xdr:row>2</xdr:row>
          <xdr:rowOff>1552575</xdr:rowOff>
        </xdr:to>
        <xdr:sp>
          <xdr:nvSpPr>
            <xdr:cNvPr id="4163" name="btnClearTemplate" hidden="1">
              <a:extLst>
                <a:ext uri="{63B3BB69-23CF-44E3-9099-C40C66FF867C}">
                  <a14:compatExt spid="_x0000_s4163"/>
                </a:ext>
              </a:extLst>
            </xdr:cNvPr>
            <xdr:cNvSpPr>
              <a:spLocks noChangeAspect="1"/>
            </xdr:cNvSpPr>
          </xdr:nvSpPr>
          <xdr:spPr>
            <a:xfrm>
              <a:off x="38100" y="2133600"/>
              <a:ext cx="2343150" cy="238125"/>
            </a:xfrm>
            <a:prstGeom prst="rect"/>
            <a:noFill/>
            <a:ln>
              <a:noFill/>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29</xdr:col>
      <xdr:colOff>95250</xdr:colOff>
      <xdr:row>0</xdr:row>
      <xdr:rowOff>0</xdr:rowOff>
    </xdr:from>
    <xdr:to>
      <xdr:col>42</xdr:col>
      <xdr:colOff>9525</xdr:colOff>
      <xdr:row>0</xdr:row>
      <xdr:rowOff>0</xdr:rowOff>
    </xdr:to>
    <xdr:sp macro="">
      <xdr:nvSpPr>
        <xdr:cNvPr id="10678" name="Text Box 438"/>
        <xdr:cNvSpPr txBox="1">
          <a:spLocks noChangeArrowheads="1"/>
        </xdr:cNvSpPr>
      </xdr:nvSpPr>
      <xdr:spPr bwMode="auto">
        <a:xfrm>
          <a:off x="32280225" y="0"/>
          <a:ext cx="78390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29</xdr:col>
      <xdr:colOff>95250</xdr:colOff>
      <xdr:row>0</xdr:row>
      <xdr:rowOff>0</xdr:rowOff>
    </xdr:from>
    <xdr:to>
      <xdr:col>41</xdr:col>
      <xdr:colOff>276225</xdr:colOff>
      <xdr:row>0</xdr:row>
      <xdr:rowOff>0</xdr:rowOff>
    </xdr:to>
    <xdr:sp macro="">
      <xdr:nvSpPr>
        <xdr:cNvPr id="10680" name="Text Box 440"/>
        <xdr:cNvSpPr txBox="1">
          <a:spLocks noChangeArrowheads="1"/>
        </xdr:cNvSpPr>
      </xdr:nvSpPr>
      <xdr:spPr bwMode="auto">
        <a:xfrm>
          <a:off x="322802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29</xdr:col>
      <xdr:colOff>95250</xdr:colOff>
      <xdr:row>0</xdr:row>
      <xdr:rowOff>0</xdr:rowOff>
    </xdr:from>
    <xdr:to>
      <xdr:col>41</xdr:col>
      <xdr:colOff>276225</xdr:colOff>
      <xdr:row>0</xdr:row>
      <xdr:rowOff>0</xdr:rowOff>
    </xdr:to>
    <xdr:sp macro="">
      <xdr:nvSpPr>
        <xdr:cNvPr id="10681" name="Text Box 441"/>
        <xdr:cNvSpPr txBox="1">
          <a:spLocks noChangeArrowheads="1"/>
        </xdr:cNvSpPr>
      </xdr:nvSpPr>
      <xdr:spPr bwMode="auto">
        <a:xfrm>
          <a:off x="322802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29</xdr:col>
      <xdr:colOff>95250</xdr:colOff>
      <xdr:row>0</xdr:row>
      <xdr:rowOff>0</xdr:rowOff>
    </xdr:from>
    <xdr:to>
      <xdr:col>41</xdr:col>
      <xdr:colOff>276225</xdr:colOff>
      <xdr:row>0</xdr:row>
      <xdr:rowOff>0</xdr:rowOff>
    </xdr:to>
    <xdr:sp macro="">
      <xdr:nvSpPr>
        <xdr:cNvPr id="10682" name="Text Box 442"/>
        <xdr:cNvSpPr txBox="1">
          <a:spLocks noChangeArrowheads="1"/>
        </xdr:cNvSpPr>
      </xdr:nvSpPr>
      <xdr:spPr bwMode="auto">
        <a:xfrm>
          <a:off x="322802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28</xdr:col>
      <xdr:colOff>95250</xdr:colOff>
      <xdr:row>0</xdr:row>
      <xdr:rowOff>0</xdr:rowOff>
    </xdr:from>
    <xdr:to>
      <xdr:col>40</xdr:col>
      <xdr:colOff>276225</xdr:colOff>
      <xdr:row>0</xdr:row>
      <xdr:rowOff>0</xdr:rowOff>
    </xdr:to>
    <xdr:sp macro="">
      <xdr:nvSpPr>
        <xdr:cNvPr id="10683" name="Text Box 443"/>
        <xdr:cNvSpPr txBox="1">
          <a:spLocks noChangeArrowheads="1"/>
        </xdr:cNvSpPr>
      </xdr:nvSpPr>
      <xdr:spPr bwMode="auto">
        <a:xfrm>
          <a:off x="316706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28</xdr:col>
      <xdr:colOff>95250</xdr:colOff>
      <xdr:row>0</xdr:row>
      <xdr:rowOff>0</xdr:rowOff>
    </xdr:from>
    <xdr:to>
      <xdr:col>40</xdr:col>
      <xdr:colOff>276225</xdr:colOff>
      <xdr:row>0</xdr:row>
      <xdr:rowOff>0</xdr:rowOff>
    </xdr:to>
    <xdr:sp macro="">
      <xdr:nvSpPr>
        <xdr:cNvPr id="10684" name="Text Box 444"/>
        <xdr:cNvSpPr txBox="1">
          <a:spLocks noChangeArrowheads="1"/>
        </xdr:cNvSpPr>
      </xdr:nvSpPr>
      <xdr:spPr bwMode="auto">
        <a:xfrm>
          <a:off x="316706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27</xdr:col>
      <xdr:colOff>95250</xdr:colOff>
      <xdr:row>0</xdr:row>
      <xdr:rowOff>0</xdr:rowOff>
    </xdr:from>
    <xdr:to>
      <xdr:col>39</xdr:col>
      <xdr:colOff>276225</xdr:colOff>
      <xdr:row>0</xdr:row>
      <xdr:rowOff>0</xdr:rowOff>
    </xdr:to>
    <xdr:sp macro="">
      <xdr:nvSpPr>
        <xdr:cNvPr id="10690" name="Text Box 450"/>
        <xdr:cNvSpPr txBox="1">
          <a:spLocks noChangeArrowheads="1"/>
        </xdr:cNvSpPr>
      </xdr:nvSpPr>
      <xdr:spPr bwMode="auto">
        <a:xfrm>
          <a:off x="310610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27</xdr:col>
      <xdr:colOff>95250</xdr:colOff>
      <xdr:row>0</xdr:row>
      <xdr:rowOff>0</xdr:rowOff>
    </xdr:from>
    <xdr:to>
      <xdr:col>39</xdr:col>
      <xdr:colOff>276225</xdr:colOff>
      <xdr:row>0</xdr:row>
      <xdr:rowOff>0</xdr:rowOff>
    </xdr:to>
    <xdr:sp macro="">
      <xdr:nvSpPr>
        <xdr:cNvPr id="10691" name="Text Box 451"/>
        <xdr:cNvSpPr txBox="1">
          <a:spLocks noChangeArrowheads="1"/>
        </xdr:cNvSpPr>
      </xdr:nvSpPr>
      <xdr:spPr bwMode="auto">
        <a:xfrm>
          <a:off x="310610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27</xdr:col>
      <xdr:colOff>95250</xdr:colOff>
      <xdr:row>0</xdr:row>
      <xdr:rowOff>0</xdr:rowOff>
    </xdr:from>
    <xdr:to>
      <xdr:col>39</xdr:col>
      <xdr:colOff>276225</xdr:colOff>
      <xdr:row>0</xdr:row>
      <xdr:rowOff>0</xdr:rowOff>
    </xdr:to>
    <xdr:sp macro="">
      <xdr:nvSpPr>
        <xdr:cNvPr id="10692" name="Text Box 452"/>
        <xdr:cNvSpPr txBox="1">
          <a:spLocks noChangeArrowheads="1"/>
        </xdr:cNvSpPr>
      </xdr:nvSpPr>
      <xdr:spPr bwMode="auto">
        <a:xfrm>
          <a:off x="310610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27</xdr:col>
      <xdr:colOff>95250</xdr:colOff>
      <xdr:row>0</xdr:row>
      <xdr:rowOff>0</xdr:rowOff>
    </xdr:from>
    <xdr:to>
      <xdr:col>39</xdr:col>
      <xdr:colOff>276225</xdr:colOff>
      <xdr:row>0</xdr:row>
      <xdr:rowOff>0</xdr:rowOff>
    </xdr:to>
    <xdr:sp macro="">
      <xdr:nvSpPr>
        <xdr:cNvPr id="10693" name="Text Box 453"/>
        <xdr:cNvSpPr txBox="1">
          <a:spLocks noChangeArrowheads="1"/>
        </xdr:cNvSpPr>
      </xdr:nvSpPr>
      <xdr:spPr bwMode="auto">
        <a:xfrm>
          <a:off x="31061025" y="0"/>
          <a:ext cx="7496175"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a:t>
          </a:r>
          <a:r>
            <a:rPr lang="pl-PL" sz="1600" u="none" b="1" i="0" baseline="0">
              <a:solidFill>
                <a:srgbClr val="0000FF"/>
              </a:solidFill>
              <a:latin typeface="Arial"/>
              <a:cs typeface="Arial"/>
            </a:rPr>
            <a:t>Create Template</a:t>
          </a:r>
          <a:r>
            <a:rPr lang="pl-PL" sz="1600" u="none" b="0" i="0" baseline="0">
              <a:solidFill>
                <a:srgbClr val="000000"/>
              </a:solidFill>
              <a:latin typeface="Arial"/>
              <a:cs typeface="Arial"/>
            </a:rPr>
            <a:t> &gt; Input Data &gt; Stage &amp; Submit Data</a:t>
          </a:r>
        </a:p>
      </xdr:txBody>
    </xdr:sp>
    <xdr:clientData/>
  </xdr:twoCellAnchor>
  <xdr:twoCellAnchor>
    <xdr:from>
      <xdr:col>27</xdr:col>
      <xdr:colOff>28575</xdr:colOff>
      <xdr:row>0</xdr:row>
      <xdr:rowOff>0</xdr:rowOff>
    </xdr:from>
    <xdr:to>
      <xdr:col>38</xdr:col>
      <xdr:colOff>542925</xdr:colOff>
      <xdr:row>0</xdr:row>
      <xdr:rowOff>0</xdr:rowOff>
    </xdr:to>
    <xdr:sp macro="">
      <xdr:nvSpPr>
        <xdr:cNvPr id="10694" name="Text Box 454"/>
        <xdr:cNvSpPr txBox="1">
          <a:spLocks noChangeArrowheads="1"/>
        </xdr:cNvSpPr>
      </xdr:nvSpPr>
      <xdr:spPr bwMode="auto">
        <a:xfrm>
          <a:off x="30994350" y="0"/>
          <a:ext cx="7219950" cy="0"/>
        </a:xfrm>
        <a:prstGeom prst="rect"/>
        <a:solidFill>
          <a:srgbClr val="FFFFFF"/>
        </a:solidFill>
        <a:ln w="9525">
          <a:solidFill>
            <a:srgbClr val="000000"/>
          </a:solidFill>
          <a:miter lim="800000"/>
        </a:ln>
        <a:effectLst/>
      </xdr:spPr>
      <xdr:txBody>
        <a:bodyPr lIns="36576" tIns="27432" rIns="0" bIns="0" vertOverflow="clip" wrap="square" anchor="t" upright="1"/>
        <a:lstStyle/>
        <a:p>
          <a:pPr algn="l" rtl="0">
            <a:defRPr sz="1000"/>
          </a:pPr>
          <a:r>
            <a:rPr lang="pl-PL" sz="1400" u="none" b="0" i="0" baseline="0">
              <a:solidFill>
                <a:srgbClr val="000000"/>
              </a:solidFill>
              <a:latin typeface="Arial"/>
              <a:cs typeface="Arial"/>
            </a:rPr>
            <a:t>Enter Connect Information&gt;Create Template&gt;</a:t>
          </a:r>
          <a:r>
            <a:rPr lang="pl-PL" sz="1400" u="none" b="0" i="0" baseline="0">
              <a:solidFill>
                <a:srgbClr val="0000FF"/>
              </a:solidFill>
              <a:latin typeface="Arial"/>
              <a:cs typeface="Arial"/>
            </a:rPr>
            <a:t>Input Data</a:t>
          </a:r>
          <a:r>
            <a:rPr lang="pl-PL" sz="1400" u="none" b="0" i="0" baseline="0">
              <a:solidFill>
                <a:srgbClr val="000000"/>
              </a:solidFill>
              <a:latin typeface="Arial"/>
              <a:cs typeface="Arial"/>
            </a:rPr>
            <a:t>&gt;Stage &amp; Submit data</a:t>
          </a:r>
        </a:p>
      </xdr:txBody>
    </xdr:sp>
    <xdr:clientData/>
  </xdr:twoCellAnchor>
  <xdr:twoCellAnchor>
    <xdr:from>
      <xdr:col>27</xdr:col>
      <xdr:colOff>66675</xdr:colOff>
      <xdr:row>0</xdr:row>
      <xdr:rowOff>0</xdr:rowOff>
    </xdr:from>
    <xdr:to>
      <xdr:col>38</xdr:col>
      <xdr:colOff>581025</xdr:colOff>
      <xdr:row>0</xdr:row>
      <xdr:rowOff>0</xdr:rowOff>
    </xdr:to>
    <xdr:sp macro="">
      <xdr:nvSpPr>
        <xdr:cNvPr id="10695" name="Text Box 455"/>
        <xdr:cNvSpPr txBox="1">
          <a:spLocks noChangeArrowheads="1"/>
        </xdr:cNvSpPr>
      </xdr:nvSpPr>
      <xdr:spPr bwMode="auto">
        <a:xfrm>
          <a:off x="31032450" y="0"/>
          <a:ext cx="7219950" cy="0"/>
        </a:xfrm>
        <a:prstGeom prst="rect"/>
        <a:solidFill>
          <a:srgbClr val="FFFFFF"/>
        </a:solidFill>
        <a:ln w="9525">
          <a:solidFill>
            <a:srgbClr val="000000"/>
          </a:solidFill>
          <a:miter lim="800000"/>
        </a:ln>
        <a:effectLst/>
      </xdr:spPr>
      <xdr:txBody>
        <a:bodyPr lIns="36576" tIns="27432" rIns="0" bIns="0" vertOverflow="clip" wrap="square" anchor="t" upright="1"/>
        <a:lstStyle/>
        <a:p>
          <a:pPr algn="l" rtl="0">
            <a:defRPr sz="1000"/>
          </a:pPr>
          <a:r>
            <a:rPr lang="pl-PL" sz="1400" u="none" b="1" i="0" baseline="0">
              <a:solidFill>
                <a:srgbClr val="000000"/>
              </a:solidFill>
              <a:latin typeface="Arial"/>
              <a:cs typeface="Arial"/>
            </a:rPr>
            <a:t>Enter Connect Information&gt;Create Template&gt;</a:t>
          </a:r>
          <a:r>
            <a:rPr lang="pl-PL" sz="1400" u="none" b="1" i="0" baseline="0">
              <a:solidFill>
                <a:srgbClr val="0000FF"/>
              </a:solidFill>
              <a:latin typeface="Arial"/>
              <a:cs typeface="Arial"/>
            </a:rPr>
            <a:t>Input Data</a:t>
          </a:r>
          <a:r>
            <a:rPr lang="pl-PL" sz="1400" u="none" b="1" i="0" baseline="0">
              <a:solidFill>
                <a:srgbClr val="000000"/>
              </a:solidFill>
              <a:latin typeface="Arial"/>
              <a:cs typeface="Arial"/>
            </a:rPr>
            <a:t>&gt;Stage &amp; Submit data</a:t>
          </a:r>
        </a:p>
      </xdr:txBody>
    </xdr:sp>
    <xdr:clientData/>
  </xdr:twoCellAnchor>
  <xdr:twoCellAnchor>
    <xdr:from>
      <xdr:col>27</xdr:col>
      <xdr:colOff>28575</xdr:colOff>
      <xdr:row>0</xdr:row>
      <xdr:rowOff>0</xdr:rowOff>
    </xdr:from>
    <xdr:to>
      <xdr:col>38</xdr:col>
      <xdr:colOff>542925</xdr:colOff>
      <xdr:row>0</xdr:row>
      <xdr:rowOff>0</xdr:rowOff>
    </xdr:to>
    <xdr:sp macro="">
      <xdr:nvSpPr>
        <xdr:cNvPr id="10696" name="Text Box 456"/>
        <xdr:cNvSpPr txBox="1">
          <a:spLocks noChangeArrowheads="1"/>
        </xdr:cNvSpPr>
      </xdr:nvSpPr>
      <xdr:spPr bwMode="auto">
        <a:xfrm>
          <a:off x="30994350" y="0"/>
          <a:ext cx="7219950" cy="0"/>
        </a:xfrm>
        <a:prstGeom prst="rect"/>
        <a:solidFill>
          <a:srgbClr val="FFFFFF"/>
        </a:solidFill>
        <a:ln w="9525">
          <a:solidFill>
            <a:srgbClr val="000000"/>
          </a:solidFill>
          <a:miter lim="800000"/>
        </a:ln>
        <a:effectLst/>
      </xdr:spPr>
      <xdr:txBody>
        <a:bodyPr lIns="36576" tIns="27432" rIns="0" bIns="0" vertOverflow="clip" wrap="square" anchor="t" upright="1"/>
        <a:lstStyle/>
        <a:p>
          <a:pPr algn="l" rtl="0">
            <a:defRPr sz="1000"/>
          </a:pPr>
          <a:r>
            <a:rPr lang="pl-PL" sz="1400" u="none" b="1" i="0" baseline="0">
              <a:solidFill>
                <a:srgbClr val="000000"/>
              </a:solidFill>
              <a:latin typeface="Arial"/>
              <a:cs typeface="Arial"/>
            </a:rPr>
            <a:t>Enter Connect Information&gt;Create Template&gt;</a:t>
          </a:r>
          <a:r>
            <a:rPr lang="pl-PL" sz="1400" u="none" b="1" i="0" baseline="0">
              <a:solidFill>
                <a:srgbClr val="0000FF"/>
              </a:solidFill>
              <a:latin typeface="Arial"/>
              <a:cs typeface="Arial"/>
            </a:rPr>
            <a:t>Input Data</a:t>
          </a:r>
          <a:r>
            <a:rPr lang="pl-PL" sz="1400" u="none" b="1" i="0" baseline="0">
              <a:solidFill>
                <a:srgbClr val="000000"/>
              </a:solidFill>
              <a:latin typeface="Arial"/>
              <a:cs typeface="Arial"/>
            </a:rPr>
            <a:t>&gt;Stage &amp; Submit data</a:t>
          </a:r>
        </a:p>
      </xdr:txBody>
    </xdr:sp>
    <xdr:clientData/>
  </xdr:twoCellAnchor>
  <xdr:twoCellAnchor>
    <xdr:from>
      <xdr:col>27</xdr:col>
      <xdr:colOff>28575</xdr:colOff>
      <xdr:row>0</xdr:row>
      <xdr:rowOff>0</xdr:rowOff>
    </xdr:from>
    <xdr:to>
      <xdr:col>38</xdr:col>
      <xdr:colOff>542925</xdr:colOff>
      <xdr:row>0</xdr:row>
      <xdr:rowOff>0</xdr:rowOff>
    </xdr:to>
    <xdr:sp macro="">
      <xdr:nvSpPr>
        <xdr:cNvPr id="10697" name="Text Box 457"/>
        <xdr:cNvSpPr txBox="1">
          <a:spLocks noChangeArrowheads="1"/>
        </xdr:cNvSpPr>
      </xdr:nvSpPr>
      <xdr:spPr bwMode="auto">
        <a:xfrm>
          <a:off x="30994350" y="0"/>
          <a:ext cx="7219950" cy="0"/>
        </a:xfrm>
        <a:prstGeom prst="rect"/>
        <a:solidFill>
          <a:srgbClr val="FFFFFF"/>
        </a:solidFill>
        <a:ln w="9525">
          <a:solidFill>
            <a:srgbClr val="000000"/>
          </a:solidFill>
          <a:miter lim="800000"/>
        </a:ln>
        <a:effectLst/>
      </xdr:spPr>
      <xdr:txBody>
        <a:bodyPr lIns="36576" tIns="27432" rIns="0" bIns="0" vertOverflow="clip" wrap="square" anchor="t" upright="1"/>
        <a:lstStyle/>
        <a:p>
          <a:pPr algn="l" rtl="0">
            <a:defRPr sz="1000"/>
          </a:pPr>
          <a:r>
            <a:rPr lang="pl-PL" sz="1400" u="none" b="1" i="0" baseline="0">
              <a:solidFill>
                <a:srgbClr val="000000"/>
              </a:solidFill>
              <a:latin typeface="Arial"/>
              <a:cs typeface="Arial"/>
            </a:rPr>
            <a:t>Enter Connect Information&gt;Create Template&gt;</a:t>
          </a:r>
          <a:r>
            <a:rPr lang="pl-PL" sz="1400" u="none" b="1" i="0" baseline="0">
              <a:solidFill>
                <a:srgbClr val="0000FF"/>
              </a:solidFill>
              <a:latin typeface="Arial"/>
              <a:cs typeface="Arial"/>
            </a:rPr>
            <a:t>Input Data</a:t>
          </a:r>
          <a:r>
            <a:rPr lang="pl-PL" sz="1400" u="none" b="1" i="0" baseline="0">
              <a:solidFill>
                <a:srgbClr val="000000"/>
              </a:solidFill>
              <a:latin typeface="Arial"/>
              <a:cs typeface="Arial"/>
            </a:rPr>
            <a:t>&gt;Stage &amp; Submit data</a:t>
          </a:r>
        </a:p>
      </xdr:txBody>
    </xdr:sp>
    <xdr:clientData/>
  </xdr:twoCellAnchor>
  <xdr:twoCellAnchor>
    <xdr:from>
      <xdr:col>27</xdr:col>
      <xdr:colOff>28575</xdr:colOff>
      <xdr:row>0</xdr:row>
      <xdr:rowOff>0</xdr:rowOff>
    </xdr:from>
    <xdr:to>
      <xdr:col>38</xdr:col>
      <xdr:colOff>542925</xdr:colOff>
      <xdr:row>0</xdr:row>
      <xdr:rowOff>0</xdr:rowOff>
    </xdr:to>
    <xdr:sp macro="">
      <xdr:nvSpPr>
        <xdr:cNvPr id="10698" name="Text Box 458"/>
        <xdr:cNvSpPr txBox="1">
          <a:spLocks noChangeArrowheads="1"/>
        </xdr:cNvSpPr>
      </xdr:nvSpPr>
      <xdr:spPr bwMode="auto">
        <a:xfrm>
          <a:off x="30994350" y="0"/>
          <a:ext cx="72199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1" i="0" baseline="0">
              <a:solidFill>
                <a:srgbClr val="000000"/>
              </a:solidFill>
              <a:latin typeface="Arial"/>
              <a:cs typeface="Arial"/>
            </a:rPr>
            <a:t>Enter Connect Information&gt;Create Template&gt;</a:t>
          </a:r>
          <a:r>
            <a:rPr lang="pl-PL" sz="1600" u="none" b="1" i="0" baseline="0">
              <a:solidFill>
                <a:srgbClr val="0000FF"/>
              </a:solidFill>
              <a:latin typeface="Arial"/>
              <a:cs typeface="Arial"/>
            </a:rPr>
            <a:t>Input Data</a:t>
          </a:r>
          <a:r>
            <a:rPr lang="pl-PL" sz="1600" u="none" b="1" i="0" baseline="0">
              <a:solidFill>
                <a:srgbClr val="000000"/>
              </a:solidFill>
              <a:latin typeface="Arial"/>
              <a:cs typeface="Arial"/>
            </a:rPr>
            <a:t>&gt;Stage &amp; Submit data</a:t>
          </a:r>
        </a:p>
      </xdr:txBody>
    </xdr:sp>
    <xdr:clientData/>
  </xdr:twoCellAnchor>
  <xdr:twoCellAnchor>
    <xdr:from>
      <xdr:col>27</xdr:col>
      <xdr:colOff>28575</xdr:colOff>
      <xdr:row>0</xdr:row>
      <xdr:rowOff>0</xdr:rowOff>
    </xdr:from>
    <xdr:to>
      <xdr:col>38</xdr:col>
      <xdr:colOff>542925</xdr:colOff>
      <xdr:row>0</xdr:row>
      <xdr:rowOff>0</xdr:rowOff>
    </xdr:to>
    <xdr:sp macro="">
      <xdr:nvSpPr>
        <xdr:cNvPr id="10699" name="Text Box 459"/>
        <xdr:cNvSpPr txBox="1">
          <a:spLocks noChangeArrowheads="1"/>
        </xdr:cNvSpPr>
      </xdr:nvSpPr>
      <xdr:spPr bwMode="auto">
        <a:xfrm>
          <a:off x="30994350" y="0"/>
          <a:ext cx="72199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Information&gt;Create Template&gt;</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&gt;Stage &amp; Submit data</a:t>
          </a:r>
        </a:p>
      </xdr:txBody>
    </xdr:sp>
    <xdr:clientData/>
  </xdr:twoCellAnchor>
  <xdr:twoCellAnchor>
    <xdr:from>
      <xdr:col>27</xdr:col>
      <xdr:colOff>9525</xdr:colOff>
      <xdr:row>0</xdr:row>
      <xdr:rowOff>0</xdr:rowOff>
    </xdr:from>
    <xdr:to>
      <xdr:col>41</xdr:col>
      <xdr:colOff>371475</xdr:colOff>
      <xdr:row>0</xdr:row>
      <xdr:rowOff>0</xdr:rowOff>
    </xdr:to>
    <xdr:sp macro="">
      <xdr:nvSpPr>
        <xdr:cNvPr id="10700" name="Text Box 460"/>
        <xdr:cNvSpPr txBox="1">
          <a:spLocks noChangeArrowheads="1"/>
        </xdr:cNvSpPr>
      </xdr:nvSpPr>
      <xdr:spPr bwMode="auto">
        <a:xfrm>
          <a:off x="30975300" y="0"/>
          <a:ext cx="88963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Information&gt;Create Template&gt;</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&gt;Stage &amp; Submit data</a:t>
          </a:r>
        </a:p>
      </xdr:txBody>
    </xdr:sp>
    <xdr:clientData/>
  </xdr:twoCellAnchor>
  <xdr:twoCellAnchor>
    <xdr:from>
      <xdr:col>27</xdr:col>
      <xdr:colOff>9525</xdr:colOff>
      <xdr:row>0</xdr:row>
      <xdr:rowOff>0</xdr:rowOff>
    </xdr:from>
    <xdr:to>
      <xdr:col>41</xdr:col>
      <xdr:colOff>371475</xdr:colOff>
      <xdr:row>0</xdr:row>
      <xdr:rowOff>0</xdr:rowOff>
    </xdr:to>
    <xdr:sp macro="">
      <xdr:nvSpPr>
        <xdr:cNvPr id="10701" name="Text Box 461"/>
        <xdr:cNvSpPr txBox="1">
          <a:spLocks noChangeArrowheads="1"/>
        </xdr:cNvSpPr>
      </xdr:nvSpPr>
      <xdr:spPr bwMode="auto">
        <a:xfrm>
          <a:off x="30975300" y="0"/>
          <a:ext cx="88963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a:t>
          </a:r>
          <a:r>
            <a:rPr lang="pl-PL" sz="1600" u="none" b="1" i="0" baseline="0">
              <a:solidFill>
                <a:srgbClr val="0000FF"/>
              </a:solidFill>
              <a:latin typeface="Arial"/>
              <a:cs typeface="Arial"/>
            </a:rPr>
            <a:t>e &gt; Input </a:t>
          </a:r>
          <a:r>
            <a:rPr lang="pl-PL" sz="1600" u="none" b="0" i="0" baseline="0">
              <a:solidFill>
                <a:srgbClr val="000000"/>
              </a:solidFill>
              <a:latin typeface="Arial"/>
              <a:cs typeface="Arial"/>
            </a:rPr>
            <a:t>Data &gt; Stage &amp; Submi</a:t>
          </a:r>
          <a:r>
            <a:rPr lang="pl-PL" sz="1000" u="none" b="0" i="0" baseline="0">
              <a:solidFill>
                <a:srgbClr val="000000"/>
              </a:solidFill>
              <a:latin typeface="Arial"/>
              <a:cs typeface="Arial"/>
            </a:rPr>
            <a:t>t data</a:t>
          </a:r>
        </a:p>
      </xdr:txBody>
    </xdr:sp>
    <xdr:clientData/>
  </xdr:twoCellAnchor>
  <xdr:twoCellAnchor>
    <xdr:from>
      <xdr:col>27</xdr:col>
      <xdr:colOff>9525</xdr:colOff>
      <xdr:row>0</xdr:row>
      <xdr:rowOff>0</xdr:rowOff>
    </xdr:from>
    <xdr:to>
      <xdr:col>41</xdr:col>
      <xdr:colOff>371475</xdr:colOff>
      <xdr:row>0</xdr:row>
      <xdr:rowOff>0</xdr:rowOff>
    </xdr:to>
    <xdr:sp macro="">
      <xdr:nvSpPr>
        <xdr:cNvPr id="10702" name="Text Box 462"/>
        <xdr:cNvSpPr txBox="1">
          <a:spLocks noChangeArrowheads="1"/>
        </xdr:cNvSpPr>
      </xdr:nvSpPr>
      <xdr:spPr bwMode="auto">
        <a:xfrm>
          <a:off x="30975300" y="0"/>
          <a:ext cx="88963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In</a:t>
          </a:r>
          <a:r>
            <a:rPr lang="pl-PL" sz="1600" u="none" b="1" i="0" baseline="0">
              <a:solidFill>
                <a:srgbClr val="0000FF"/>
              </a:solidFill>
              <a:latin typeface="Arial"/>
              <a:cs typeface="Arial"/>
            </a:rPr>
            <a:t>put Data &gt;</a:t>
          </a:r>
          <a:r>
            <a:rPr lang="pl-PL" sz="1600" u="none" b="0" i="0" baseline="0">
              <a:solidFill>
                <a:srgbClr val="000000"/>
              </a:solidFill>
              <a:latin typeface="Arial"/>
              <a:cs typeface="Arial"/>
            </a:rPr>
            <a:t> Stage &amp; Submit data</a:t>
          </a:r>
        </a:p>
      </xdr:txBody>
    </xdr:sp>
    <xdr:clientData/>
  </xdr:twoCellAnchor>
  <xdr:twoCellAnchor>
    <xdr:from>
      <xdr:col>27</xdr:col>
      <xdr:colOff>9525</xdr:colOff>
      <xdr:row>0</xdr:row>
      <xdr:rowOff>0</xdr:rowOff>
    </xdr:from>
    <xdr:to>
      <xdr:col>41</xdr:col>
      <xdr:colOff>371475</xdr:colOff>
      <xdr:row>0</xdr:row>
      <xdr:rowOff>0</xdr:rowOff>
    </xdr:to>
    <xdr:sp macro="">
      <xdr:nvSpPr>
        <xdr:cNvPr id="10703" name="Text Box 463"/>
        <xdr:cNvSpPr txBox="1">
          <a:spLocks noChangeArrowheads="1"/>
        </xdr:cNvSpPr>
      </xdr:nvSpPr>
      <xdr:spPr bwMode="auto">
        <a:xfrm>
          <a:off x="30975300" y="0"/>
          <a:ext cx="88963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27</xdr:col>
      <xdr:colOff>9525</xdr:colOff>
      <xdr:row>0</xdr:row>
      <xdr:rowOff>0</xdr:rowOff>
    </xdr:from>
    <xdr:to>
      <xdr:col>41</xdr:col>
      <xdr:colOff>371475</xdr:colOff>
      <xdr:row>0</xdr:row>
      <xdr:rowOff>0</xdr:rowOff>
    </xdr:to>
    <xdr:sp macro="">
      <xdr:nvSpPr>
        <xdr:cNvPr id="10704" name="Text Box 464"/>
        <xdr:cNvSpPr txBox="1">
          <a:spLocks noChangeArrowheads="1"/>
        </xdr:cNvSpPr>
      </xdr:nvSpPr>
      <xdr:spPr bwMode="auto">
        <a:xfrm>
          <a:off x="30975300" y="0"/>
          <a:ext cx="88963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27</xdr:col>
      <xdr:colOff>9525</xdr:colOff>
      <xdr:row>0</xdr:row>
      <xdr:rowOff>0</xdr:rowOff>
    </xdr:from>
    <xdr:to>
      <xdr:col>41</xdr:col>
      <xdr:colOff>371475</xdr:colOff>
      <xdr:row>0</xdr:row>
      <xdr:rowOff>0</xdr:rowOff>
    </xdr:to>
    <xdr:sp macro="">
      <xdr:nvSpPr>
        <xdr:cNvPr id="10705" name="Text Box 465"/>
        <xdr:cNvSpPr txBox="1">
          <a:spLocks noChangeArrowheads="1"/>
        </xdr:cNvSpPr>
      </xdr:nvSpPr>
      <xdr:spPr bwMode="auto">
        <a:xfrm>
          <a:off x="30975300" y="0"/>
          <a:ext cx="8896350" cy="0"/>
        </a:xfrm>
        <a:prstGeom prst="rect"/>
        <a:solidFill>
          <a:srgbClr val="FFFFFF"/>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26</xdr:col>
      <xdr:colOff>9525</xdr:colOff>
      <xdr:row>0</xdr:row>
      <xdr:rowOff>0</xdr:rowOff>
    </xdr:from>
    <xdr:to>
      <xdr:col>40</xdr:col>
      <xdr:colOff>371475</xdr:colOff>
      <xdr:row>0</xdr:row>
      <xdr:rowOff>0</xdr:rowOff>
    </xdr:to>
    <xdr:sp macro="">
      <xdr:nvSpPr>
        <xdr:cNvPr id="10706" name="Text Box 466"/>
        <xdr:cNvSpPr txBox="1">
          <a:spLocks noChangeArrowheads="1"/>
        </xdr:cNvSpPr>
      </xdr:nvSpPr>
      <xdr:spPr bwMode="auto">
        <a:xfrm>
          <a:off x="30365700" y="0"/>
          <a:ext cx="8896350" cy="0"/>
        </a:xfrm>
        <a:prstGeom prst="rect"/>
        <a:solidFill>
          <a:srgbClr val="0066CC"/>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26</xdr:col>
      <xdr:colOff>9525</xdr:colOff>
      <xdr:row>0</xdr:row>
      <xdr:rowOff>0</xdr:rowOff>
    </xdr:from>
    <xdr:to>
      <xdr:col>40</xdr:col>
      <xdr:colOff>371475</xdr:colOff>
      <xdr:row>0</xdr:row>
      <xdr:rowOff>0</xdr:rowOff>
    </xdr:to>
    <xdr:sp macro="">
      <xdr:nvSpPr>
        <xdr:cNvPr id="10707" name="Text Box 467"/>
        <xdr:cNvSpPr txBox="1">
          <a:spLocks noChangeArrowheads="1"/>
        </xdr:cNvSpPr>
      </xdr:nvSpPr>
      <xdr:spPr bwMode="auto">
        <a:xfrm>
          <a:off x="30365700" y="0"/>
          <a:ext cx="8896350" cy="0"/>
        </a:xfrm>
        <a:prstGeom prst="rect"/>
        <a:solidFill>
          <a:srgbClr val="0066CC"/>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26</xdr:col>
      <xdr:colOff>9525</xdr:colOff>
      <xdr:row>0</xdr:row>
      <xdr:rowOff>0</xdr:rowOff>
    </xdr:from>
    <xdr:to>
      <xdr:col>40</xdr:col>
      <xdr:colOff>371475</xdr:colOff>
      <xdr:row>0</xdr:row>
      <xdr:rowOff>0</xdr:rowOff>
    </xdr:to>
    <xdr:sp macro="">
      <xdr:nvSpPr>
        <xdr:cNvPr id="74228" name="Text Box 468"/>
        <xdr:cNvSpPr txBox="1">
          <a:spLocks noChangeArrowheads="1"/>
        </xdr:cNvSpPr>
      </xdr:nvSpPr>
      <xdr:spPr bwMode="auto">
        <a:xfrm>
          <a:off x="30365700" y="0"/>
          <a:ext cx="8896350" cy="0"/>
        </a:xfrm>
        <a:prstGeom prst="rect"/>
        <a:solidFill>
          <a:srgbClr val="0066CC"/>
        </a:solidFill>
        <a:ln w="9525">
          <a:solidFill>
            <a:srgbClr val="000000"/>
          </a:solidFill>
          <a:miter lim="800000"/>
        </a:ln>
      </xdr:spPr>
      <xdr:txBody>
        <a:bodyPr/>
        <a:p/>
      </xdr:txBody>
    </xdr:sp>
    <xdr:clientData/>
  </xdr:twoCellAnchor>
  <xdr:twoCellAnchor>
    <xdr:from>
      <xdr:col>26</xdr:col>
      <xdr:colOff>9525</xdr:colOff>
      <xdr:row>0</xdr:row>
      <xdr:rowOff>0</xdr:rowOff>
    </xdr:from>
    <xdr:to>
      <xdr:col>40</xdr:col>
      <xdr:colOff>371475</xdr:colOff>
      <xdr:row>0</xdr:row>
      <xdr:rowOff>0</xdr:rowOff>
    </xdr:to>
    <xdr:sp macro="">
      <xdr:nvSpPr>
        <xdr:cNvPr id="10709" name="Text Box 469"/>
        <xdr:cNvSpPr txBox="1">
          <a:spLocks noChangeArrowheads="1"/>
        </xdr:cNvSpPr>
      </xdr:nvSpPr>
      <xdr:spPr bwMode="auto">
        <a:xfrm>
          <a:off x="30365700" y="0"/>
          <a:ext cx="8896350" cy="0"/>
        </a:xfrm>
        <a:prstGeom prst="rect"/>
        <a:solidFill>
          <a:srgbClr val="0066CC"/>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25</xdr:col>
      <xdr:colOff>9525</xdr:colOff>
      <xdr:row>0</xdr:row>
      <xdr:rowOff>0</xdr:rowOff>
    </xdr:from>
    <xdr:to>
      <xdr:col>39</xdr:col>
      <xdr:colOff>371475</xdr:colOff>
      <xdr:row>0</xdr:row>
      <xdr:rowOff>0</xdr:rowOff>
    </xdr:to>
    <xdr:sp macro="">
      <xdr:nvSpPr>
        <xdr:cNvPr id="10710" name="Text Box 470"/>
        <xdr:cNvSpPr txBox="1">
          <a:spLocks noChangeArrowheads="1"/>
        </xdr:cNvSpPr>
      </xdr:nvSpPr>
      <xdr:spPr bwMode="auto">
        <a:xfrm>
          <a:off x="28260675" y="0"/>
          <a:ext cx="10391775" cy="0"/>
        </a:xfrm>
        <a:prstGeom prst="rect"/>
        <a:solidFill>
          <a:srgbClr val="0066CC"/>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25</xdr:col>
      <xdr:colOff>9525</xdr:colOff>
      <xdr:row>0</xdr:row>
      <xdr:rowOff>0</xdr:rowOff>
    </xdr:from>
    <xdr:to>
      <xdr:col>39</xdr:col>
      <xdr:colOff>371475</xdr:colOff>
      <xdr:row>0</xdr:row>
      <xdr:rowOff>0</xdr:rowOff>
    </xdr:to>
    <xdr:sp macro="">
      <xdr:nvSpPr>
        <xdr:cNvPr id="10711" name="Text Box 471"/>
        <xdr:cNvSpPr txBox="1">
          <a:spLocks noChangeArrowheads="1"/>
        </xdr:cNvSpPr>
      </xdr:nvSpPr>
      <xdr:spPr bwMode="auto">
        <a:xfrm>
          <a:off x="28260675" y="0"/>
          <a:ext cx="10391775" cy="0"/>
        </a:xfrm>
        <a:prstGeom prst="rect"/>
        <a:solidFill>
          <a:srgbClr val="0066CC"/>
        </a:solid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24</xdr:col>
      <xdr:colOff>19050</xdr:colOff>
      <xdr:row>0</xdr:row>
      <xdr:rowOff>0</xdr:rowOff>
    </xdr:from>
    <xdr:to>
      <xdr:col>38</xdr:col>
      <xdr:colOff>381000</xdr:colOff>
      <xdr:row>0</xdr:row>
      <xdr:rowOff>0</xdr:rowOff>
    </xdr:to>
    <xdr:sp macro="">
      <xdr:nvSpPr>
        <xdr:cNvPr id="10712" name="Text Box 472"/>
        <xdr:cNvSpPr txBox="1">
          <a:spLocks noChangeArrowheads="1"/>
        </xdr:cNvSpPr>
      </xdr:nvSpPr>
      <xdr:spPr bwMode="auto">
        <a:xfrm>
          <a:off x="27117675" y="0"/>
          <a:ext cx="10934700" cy="0"/>
        </a:xfrm>
        <a:prstGeom prst="rect"/>
        <a:noFill/>
        <a:ln w="9525">
          <a:solidFill>
            <a:srgbClr val="000000"/>
          </a:solidFill>
          <a:miter lim="800000"/>
        </a:ln>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24</xdr:col>
      <xdr:colOff>9525</xdr:colOff>
      <xdr:row>0</xdr:row>
      <xdr:rowOff>0</xdr:rowOff>
    </xdr:from>
    <xdr:to>
      <xdr:col>38</xdr:col>
      <xdr:colOff>371475</xdr:colOff>
      <xdr:row>0</xdr:row>
      <xdr:rowOff>0</xdr:rowOff>
    </xdr:to>
    <xdr:sp macro="">
      <xdr:nvSpPr>
        <xdr:cNvPr id="10715" name="Text Box 475"/>
        <xdr:cNvSpPr txBox="1">
          <a:spLocks noChangeArrowheads="1"/>
        </xdr:cNvSpPr>
      </xdr:nvSpPr>
      <xdr:spPr bwMode="auto">
        <a:xfrm>
          <a:off x="27108150" y="0"/>
          <a:ext cx="109347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23</xdr:col>
      <xdr:colOff>9525</xdr:colOff>
      <xdr:row>0</xdr:row>
      <xdr:rowOff>0</xdr:rowOff>
    </xdr:from>
    <xdr:to>
      <xdr:col>37</xdr:col>
      <xdr:colOff>371475</xdr:colOff>
      <xdr:row>0</xdr:row>
      <xdr:rowOff>0</xdr:rowOff>
    </xdr:to>
    <xdr:sp macro="">
      <xdr:nvSpPr>
        <xdr:cNvPr id="10716" name="Text Box 476"/>
        <xdr:cNvSpPr txBox="1">
          <a:spLocks noChangeArrowheads="1"/>
        </xdr:cNvSpPr>
      </xdr:nvSpPr>
      <xdr:spPr bwMode="auto">
        <a:xfrm>
          <a:off x="26612850" y="0"/>
          <a:ext cx="108204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23</xdr:col>
      <xdr:colOff>9525</xdr:colOff>
      <xdr:row>0</xdr:row>
      <xdr:rowOff>0</xdr:rowOff>
    </xdr:from>
    <xdr:to>
      <xdr:col>37</xdr:col>
      <xdr:colOff>371475</xdr:colOff>
      <xdr:row>0</xdr:row>
      <xdr:rowOff>0</xdr:rowOff>
    </xdr:to>
    <xdr:sp macro="">
      <xdr:nvSpPr>
        <xdr:cNvPr id="10717" name="Text Box 477"/>
        <xdr:cNvSpPr txBox="1">
          <a:spLocks noChangeArrowheads="1"/>
        </xdr:cNvSpPr>
      </xdr:nvSpPr>
      <xdr:spPr bwMode="auto">
        <a:xfrm>
          <a:off x="26612850" y="0"/>
          <a:ext cx="108204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22</xdr:col>
      <xdr:colOff>9525</xdr:colOff>
      <xdr:row>0</xdr:row>
      <xdr:rowOff>0</xdr:rowOff>
    </xdr:from>
    <xdr:to>
      <xdr:col>36</xdr:col>
      <xdr:colOff>371475</xdr:colOff>
      <xdr:row>0</xdr:row>
      <xdr:rowOff>0</xdr:rowOff>
    </xdr:to>
    <xdr:sp macro="">
      <xdr:nvSpPr>
        <xdr:cNvPr id="10718" name="Text Box 478"/>
        <xdr:cNvSpPr txBox="1">
          <a:spLocks noChangeArrowheads="1"/>
        </xdr:cNvSpPr>
      </xdr:nvSpPr>
      <xdr:spPr bwMode="auto">
        <a:xfrm>
          <a:off x="26022300" y="0"/>
          <a:ext cx="108013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22</xdr:col>
      <xdr:colOff>9525</xdr:colOff>
      <xdr:row>0</xdr:row>
      <xdr:rowOff>0</xdr:rowOff>
    </xdr:from>
    <xdr:to>
      <xdr:col>36</xdr:col>
      <xdr:colOff>371475</xdr:colOff>
      <xdr:row>0</xdr:row>
      <xdr:rowOff>0</xdr:rowOff>
    </xdr:to>
    <xdr:sp macro="">
      <xdr:nvSpPr>
        <xdr:cNvPr id="10719" name="Text Box 479"/>
        <xdr:cNvSpPr txBox="1">
          <a:spLocks noChangeArrowheads="1"/>
        </xdr:cNvSpPr>
      </xdr:nvSpPr>
      <xdr:spPr bwMode="auto">
        <a:xfrm>
          <a:off x="26022300" y="0"/>
          <a:ext cx="108013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21</xdr:col>
      <xdr:colOff>9525</xdr:colOff>
      <xdr:row>0</xdr:row>
      <xdr:rowOff>0</xdr:rowOff>
    </xdr:from>
    <xdr:to>
      <xdr:col>35</xdr:col>
      <xdr:colOff>371475</xdr:colOff>
      <xdr:row>0</xdr:row>
      <xdr:rowOff>0</xdr:rowOff>
    </xdr:to>
    <xdr:sp macro="">
      <xdr:nvSpPr>
        <xdr:cNvPr id="10720" name="Text Box 480"/>
        <xdr:cNvSpPr txBox="1">
          <a:spLocks noChangeArrowheads="1"/>
        </xdr:cNvSpPr>
      </xdr:nvSpPr>
      <xdr:spPr bwMode="auto">
        <a:xfrm>
          <a:off x="25517475" y="0"/>
          <a:ext cx="106965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21</xdr:col>
      <xdr:colOff>9525</xdr:colOff>
      <xdr:row>0</xdr:row>
      <xdr:rowOff>0</xdr:rowOff>
    </xdr:from>
    <xdr:to>
      <xdr:col>35</xdr:col>
      <xdr:colOff>371475</xdr:colOff>
      <xdr:row>0</xdr:row>
      <xdr:rowOff>0</xdr:rowOff>
    </xdr:to>
    <xdr:sp macro="">
      <xdr:nvSpPr>
        <xdr:cNvPr id="10721" name="Text Box 481"/>
        <xdr:cNvSpPr txBox="1">
          <a:spLocks noChangeArrowheads="1"/>
        </xdr:cNvSpPr>
      </xdr:nvSpPr>
      <xdr:spPr bwMode="auto">
        <a:xfrm>
          <a:off x="25517475" y="0"/>
          <a:ext cx="106965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21</xdr:col>
      <xdr:colOff>9525</xdr:colOff>
      <xdr:row>0</xdr:row>
      <xdr:rowOff>0</xdr:rowOff>
    </xdr:from>
    <xdr:to>
      <xdr:col>35</xdr:col>
      <xdr:colOff>371475</xdr:colOff>
      <xdr:row>0</xdr:row>
      <xdr:rowOff>0</xdr:rowOff>
    </xdr:to>
    <xdr:sp macro="">
      <xdr:nvSpPr>
        <xdr:cNvPr id="10722" name="Text Box 482"/>
        <xdr:cNvSpPr txBox="1">
          <a:spLocks noChangeArrowheads="1"/>
        </xdr:cNvSpPr>
      </xdr:nvSpPr>
      <xdr:spPr bwMode="auto">
        <a:xfrm>
          <a:off x="25517475" y="0"/>
          <a:ext cx="106965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21</xdr:col>
      <xdr:colOff>9525</xdr:colOff>
      <xdr:row>0</xdr:row>
      <xdr:rowOff>0</xdr:rowOff>
    </xdr:from>
    <xdr:to>
      <xdr:col>35</xdr:col>
      <xdr:colOff>371475</xdr:colOff>
      <xdr:row>0</xdr:row>
      <xdr:rowOff>0</xdr:rowOff>
    </xdr:to>
    <xdr:sp macro="">
      <xdr:nvSpPr>
        <xdr:cNvPr id="10723" name="Text Box 483"/>
        <xdr:cNvSpPr txBox="1">
          <a:spLocks noChangeArrowheads="1"/>
        </xdr:cNvSpPr>
      </xdr:nvSpPr>
      <xdr:spPr bwMode="auto">
        <a:xfrm>
          <a:off x="25517475" y="0"/>
          <a:ext cx="106965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21</xdr:col>
      <xdr:colOff>9525</xdr:colOff>
      <xdr:row>0</xdr:row>
      <xdr:rowOff>0</xdr:rowOff>
    </xdr:from>
    <xdr:to>
      <xdr:col>35</xdr:col>
      <xdr:colOff>371475</xdr:colOff>
      <xdr:row>0</xdr:row>
      <xdr:rowOff>0</xdr:rowOff>
    </xdr:to>
    <xdr:sp macro="">
      <xdr:nvSpPr>
        <xdr:cNvPr id="10724" name="Text Box 484"/>
        <xdr:cNvSpPr txBox="1">
          <a:spLocks noChangeArrowheads="1"/>
        </xdr:cNvSpPr>
      </xdr:nvSpPr>
      <xdr:spPr bwMode="auto">
        <a:xfrm>
          <a:off x="25517475" y="0"/>
          <a:ext cx="106965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20</xdr:col>
      <xdr:colOff>9525</xdr:colOff>
      <xdr:row>0</xdr:row>
      <xdr:rowOff>0</xdr:rowOff>
    </xdr:from>
    <xdr:to>
      <xdr:col>34</xdr:col>
      <xdr:colOff>371475</xdr:colOff>
      <xdr:row>0</xdr:row>
      <xdr:rowOff>0</xdr:rowOff>
    </xdr:to>
    <xdr:sp macro="">
      <xdr:nvSpPr>
        <xdr:cNvPr id="10725" name="Text Box 485"/>
        <xdr:cNvSpPr txBox="1">
          <a:spLocks noChangeArrowheads="1"/>
        </xdr:cNvSpPr>
      </xdr:nvSpPr>
      <xdr:spPr bwMode="auto">
        <a:xfrm>
          <a:off x="24574500" y="0"/>
          <a:ext cx="110299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20</xdr:col>
      <xdr:colOff>9525</xdr:colOff>
      <xdr:row>0</xdr:row>
      <xdr:rowOff>0</xdr:rowOff>
    </xdr:from>
    <xdr:to>
      <xdr:col>34</xdr:col>
      <xdr:colOff>371475</xdr:colOff>
      <xdr:row>0</xdr:row>
      <xdr:rowOff>0</xdr:rowOff>
    </xdr:to>
    <xdr:sp macro="">
      <xdr:nvSpPr>
        <xdr:cNvPr id="10726" name="Text Box 486"/>
        <xdr:cNvSpPr txBox="1">
          <a:spLocks noChangeArrowheads="1"/>
        </xdr:cNvSpPr>
      </xdr:nvSpPr>
      <xdr:spPr bwMode="auto">
        <a:xfrm>
          <a:off x="24574500" y="0"/>
          <a:ext cx="110299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20</xdr:col>
      <xdr:colOff>9525</xdr:colOff>
      <xdr:row>0</xdr:row>
      <xdr:rowOff>0</xdr:rowOff>
    </xdr:from>
    <xdr:to>
      <xdr:col>34</xdr:col>
      <xdr:colOff>371475</xdr:colOff>
      <xdr:row>0</xdr:row>
      <xdr:rowOff>0</xdr:rowOff>
    </xdr:to>
    <xdr:sp macro="">
      <xdr:nvSpPr>
        <xdr:cNvPr id="10727" name="Text Box 487"/>
        <xdr:cNvSpPr txBox="1">
          <a:spLocks noChangeArrowheads="1"/>
        </xdr:cNvSpPr>
      </xdr:nvSpPr>
      <xdr:spPr bwMode="auto">
        <a:xfrm>
          <a:off x="24574500" y="0"/>
          <a:ext cx="110299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28" name="Text Box 488"/>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29" name="Text Box 489"/>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30" name="Text Box 490"/>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31" name="Text Box 491"/>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32" name="Text Box 492"/>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33" name="Text Box 493"/>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34" name="Text Box 494"/>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19</xdr:col>
      <xdr:colOff>9525</xdr:colOff>
      <xdr:row>0</xdr:row>
      <xdr:rowOff>0</xdr:rowOff>
    </xdr:from>
    <xdr:to>
      <xdr:col>33</xdr:col>
      <xdr:colOff>371475</xdr:colOff>
      <xdr:row>0</xdr:row>
      <xdr:rowOff>0</xdr:rowOff>
    </xdr:to>
    <xdr:sp macro="">
      <xdr:nvSpPr>
        <xdr:cNvPr id="10735" name="Text Box 495"/>
        <xdr:cNvSpPr txBox="1">
          <a:spLocks noChangeArrowheads="1"/>
        </xdr:cNvSpPr>
      </xdr:nvSpPr>
      <xdr:spPr bwMode="auto">
        <a:xfrm>
          <a:off x="24041100" y="0"/>
          <a:ext cx="10953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36" name="Text Box 496"/>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38" name="Text Box 498"/>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39" name="Text Box 499"/>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40" name="Text Box 500"/>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41" name="Text Box 501"/>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42" name="Text Box 502"/>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18</xdr:col>
      <xdr:colOff>9525</xdr:colOff>
      <xdr:row>0</xdr:row>
      <xdr:rowOff>0</xdr:rowOff>
    </xdr:from>
    <xdr:to>
      <xdr:col>32</xdr:col>
      <xdr:colOff>371475</xdr:colOff>
      <xdr:row>0</xdr:row>
      <xdr:rowOff>0</xdr:rowOff>
    </xdr:to>
    <xdr:sp macro="">
      <xdr:nvSpPr>
        <xdr:cNvPr id="10743" name="Text Box 503"/>
        <xdr:cNvSpPr txBox="1">
          <a:spLocks noChangeArrowheads="1"/>
        </xdr:cNvSpPr>
      </xdr:nvSpPr>
      <xdr:spPr bwMode="auto">
        <a:xfrm>
          <a:off x="23269575" y="0"/>
          <a:ext cx="11115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17</xdr:col>
      <xdr:colOff>9525</xdr:colOff>
      <xdr:row>0</xdr:row>
      <xdr:rowOff>0</xdr:rowOff>
    </xdr:from>
    <xdr:to>
      <xdr:col>31</xdr:col>
      <xdr:colOff>371475</xdr:colOff>
      <xdr:row>0</xdr:row>
      <xdr:rowOff>0</xdr:rowOff>
    </xdr:to>
    <xdr:sp macro="">
      <xdr:nvSpPr>
        <xdr:cNvPr id="10744" name="Text Box 504"/>
        <xdr:cNvSpPr txBox="1">
          <a:spLocks noChangeArrowheads="1"/>
        </xdr:cNvSpPr>
      </xdr:nvSpPr>
      <xdr:spPr bwMode="auto">
        <a:xfrm>
          <a:off x="22717125" y="0"/>
          <a:ext cx="110585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17</xdr:col>
      <xdr:colOff>9525</xdr:colOff>
      <xdr:row>0</xdr:row>
      <xdr:rowOff>0</xdr:rowOff>
    </xdr:from>
    <xdr:to>
      <xdr:col>31</xdr:col>
      <xdr:colOff>371475</xdr:colOff>
      <xdr:row>0</xdr:row>
      <xdr:rowOff>0</xdr:rowOff>
    </xdr:to>
    <xdr:sp macro="">
      <xdr:nvSpPr>
        <xdr:cNvPr id="10746" name="Text Box 506"/>
        <xdr:cNvSpPr txBox="1">
          <a:spLocks noChangeArrowheads="1"/>
        </xdr:cNvSpPr>
      </xdr:nvSpPr>
      <xdr:spPr bwMode="auto">
        <a:xfrm>
          <a:off x="22717125" y="0"/>
          <a:ext cx="110585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17</xdr:col>
      <xdr:colOff>9525</xdr:colOff>
      <xdr:row>0</xdr:row>
      <xdr:rowOff>0</xdr:rowOff>
    </xdr:from>
    <xdr:to>
      <xdr:col>31</xdr:col>
      <xdr:colOff>371475</xdr:colOff>
      <xdr:row>0</xdr:row>
      <xdr:rowOff>0</xdr:rowOff>
    </xdr:to>
    <xdr:sp macro="">
      <xdr:nvSpPr>
        <xdr:cNvPr id="10747" name="Text Box 507"/>
        <xdr:cNvSpPr txBox="1">
          <a:spLocks noChangeArrowheads="1"/>
        </xdr:cNvSpPr>
      </xdr:nvSpPr>
      <xdr:spPr bwMode="auto">
        <a:xfrm>
          <a:off x="22717125" y="0"/>
          <a:ext cx="110585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16</xdr:col>
      <xdr:colOff>9525</xdr:colOff>
      <xdr:row>0</xdr:row>
      <xdr:rowOff>0</xdr:rowOff>
    </xdr:from>
    <xdr:to>
      <xdr:col>30</xdr:col>
      <xdr:colOff>371475</xdr:colOff>
      <xdr:row>0</xdr:row>
      <xdr:rowOff>0</xdr:rowOff>
    </xdr:to>
    <xdr:sp macro="">
      <xdr:nvSpPr>
        <xdr:cNvPr id="10748" name="Text Box 508"/>
        <xdr:cNvSpPr txBox="1">
          <a:spLocks noChangeArrowheads="1"/>
        </xdr:cNvSpPr>
      </xdr:nvSpPr>
      <xdr:spPr bwMode="auto">
        <a:xfrm>
          <a:off x="21040725" y="0"/>
          <a:ext cx="121253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16</xdr:col>
      <xdr:colOff>9525</xdr:colOff>
      <xdr:row>0</xdr:row>
      <xdr:rowOff>0</xdr:rowOff>
    </xdr:from>
    <xdr:to>
      <xdr:col>30</xdr:col>
      <xdr:colOff>371475</xdr:colOff>
      <xdr:row>0</xdr:row>
      <xdr:rowOff>0</xdr:rowOff>
    </xdr:to>
    <xdr:sp macro="">
      <xdr:nvSpPr>
        <xdr:cNvPr id="10750" name="Text Box 510"/>
        <xdr:cNvSpPr txBox="1">
          <a:spLocks noChangeArrowheads="1"/>
        </xdr:cNvSpPr>
      </xdr:nvSpPr>
      <xdr:spPr bwMode="auto">
        <a:xfrm>
          <a:off x="21040725" y="0"/>
          <a:ext cx="121253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16</xdr:col>
      <xdr:colOff>9525</xdr:colOff>
      <xdr:row>0</xdr:row>
      <xdr:rowOff>0</xdr:rowOff>
    </xdr:from>
    <xdr:to>
      <xdr:col>30</xdr:col>
      <xdr:colOff>371475</xdr:colOff>
      <xdr:row>0</xdr:row>
      <xdr:rowOff>0</xdr:rowOff>
    </xdr:to>
    <xdr:sp macro="">
      <xdr:nvSpPr>
        <xdr:cNvPr id="10751" name="Text Box 511"/>
        <xdr:cNvSpPr txBox="1">
          <a:spLocks noChangeArrowheads="1"/>
        </xdr:cNvSpPr>
      </xdr:nvSpPr>
      <xdr:spPr bwMode="auto">
        <a:xfrm>
          <a:off x="21040725" y="0"/>
          <a:ext cx="121253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15</xdr:col>
      <xdr:colOff>9525</xdr:colOff>
      <xdr:row>0</xdr:row>
      <xdr:rowOff>0</xdr:rowOff>
    </xdr:from>
    <xdr:to>
      <xdr:col>29</xdr:col>
      <xdr:colOff>371475</xdr:colOff>
      <xdr:row>0</xdr:row>
      <xdr:rowOff>0</xdr:rowOff>
    </xdr:to>
    <xdr:sp macro="">
      <xdr:nvSpPr>
        <xdr:cNvPr id="10752" name="Text Box 512"/>
        <xdr:cNvSpPr txBox="1">
          <a:spLocks noChangeArrowheads="1"/>
        </xdr:cNvSpPr>
      </xdr:nvSpPr>
      <xdr:spPr bwMode="auto">
        <a:xfrm>
          <a:off x="19840575" y="0"/>
          <a:ext cx="127158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15</xdr:col>
      <xdr:colOff>9525</xdr:colOff>
      <xdr:row>0</xdr:row>
      <xdr:rowOff>0</xdr:rowOff>
    </xdr:from>
    <xdr:to>
      <xdr:col>29</xdr:col>
      <xdr:colOff>371475</xdr:colOff>
      <xdr:row>0</xdr:row>
      <xdr:rowOff>0</xdr:rowOff>
    </xdr:to>
    <xdr:sp macro="">
      <xdr:nvSpPr>
        <xdr:cNvPr id="10756" name="Text Box 516"/>
        <xdr:cNvSpPr txBox="1">
          <a:spLocks noChangeArrowheads="1"/>
        </xdr:cNvSpPr>
      </xdr:nvSpPr>
      <xdr:spPr bwMode="auto">
        <a:xfrm>
          <a:off x="19840575" y="0"/>
          <a:ext cx="127158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14</xdr:col>
      <xdr:colOff>9525</xdr:colOff>
      <xdr:row>0</xdr:row>
      <xdr:rowOff>0</xdr:rowOff>
    </xdr:from>
    <xdr:to>
      <xdr:col>28</xdr:col>
      <xdr:colOff>38100</xdr:colOff>
      <xdr:row>0</xdr:row>
      <xdr:rowOff>0</xdr:rowOff>
    </xdr:to>
    <xdr:sp macro="">
      <xdr:nvSpPr>
        <xdr:cNvPr id="10757" name="Text Box 517"/>
        <xdr:cNvSpPr txBox="1">
          <a:spLocks noChangeArrowheads="1"/>
        </xdr:cNvSpPr>
      </xdr:nvSpPr>
      <xdr:spPr bwMode="auto">
        <a:xfrm>
          <a:off x="17897475" y="0"/>
          <a:ext cx="13716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14</xdr:col>
      <xdr:colOff>9525</xdr:colOff>
      <xdr:row>0</xdr:row>
      <xdr:rowOff>0</xdr:rowOff>
    </xdr:from>
    <xdr:to>
      <xdr:col>28</xdr:col>
      <xdr:colOff>371475</xdr:colOff>
      <xdr:row>0</xdr:row>
      <xdr:rowOff>0</xdr:rowOff>
    </xdr:to>
    <xdr:sp macro="">
      <xdr:nvSpPr>
        <xdr:cNvPr id="10759" name="Text Box 519"/>
        <xdr:cNvSpPr txBox="1">
          <a:spLocks noChangeArrowheads="1"/>
        </xdr:cNvSpPr>
      </xdr:nvSpPr>
      <xdr:spPr bwMode="auto">
        <a:xfrm>
          <a:off x="17897475" y="0"/>
          <a:ext cx="140493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13</xdr:col>
      <xdr:colOff>9525</xdr:colOff>
      <xdr:row>0</xdr:row>
      <xdr:rowOff>0</xdr:rowOff>
    </xdr:from>
    <xdr:to>
      <xdr:col>27</xdr:col>
      <xdr:colOff>371475</xdr:colOff>
      <xdr:row>0</xdr:row>
      <xdr:rowOff>0</xdr:rowOff>
    </xdr:to>
    <xdr:sp macro="">
      <xdr:nvSpPr>
        <xdr:cNvPr id="10760" name="Text Box 520"/>
        <xdr:cNvSpPr txBox="1">
          <a:spLocks noChangeArrowheads="1"/>
        </xdr:cNvSpPr>
      </xdr:nvSpPr>
      <xdr:spPr bwMode="auto">
        <a:xfrm>
          <a:off x="17116425" y="0"/>
          <a:ext cx="142208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13</xdr:col>
      <xdr:colOff>9525</xdr:colOff>
      <xdr:row>0</xdr:row>
      <xdr:rowOff>0</xdr:rowOff>
    </xdr:from>
    <xdr:to>
      <xdr:col>27</xdr:col>
      <xdr:colOff>371475</xdr:colOff>
      <xdr:row>0</xdr:row>
      <xdr:rowOff>0</xdr:rowOff>
    </xdr:to>
    <xdr:sp macro="">
      <xdr:nvSpPr>
        <xdr:cNvPr id="10762" name="Text Box 522"/>
        <xdr:cNvSpPr txBox="1">
          <a:spLocks noChangeArrowheads="1"/>
        </xdr:cNvSpPr>
      </xdr:nvSpPr>
      <xdr:spPr bwMode="auto">
        <a:xfrm>
          <a:off x="17116425" y="0"/>
          <a:ext cx="142208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13</xdr:col>
      <xdr:colOff>9525</xdr:colOff>
      <xdr:row>0</xdr:row>
      <xdr:rowOff>0</xdr:rowOff>
    </xdr:from>
    <xdr:to>
      <xdr:col>27</xdr:col>
      <xdr:colOff>371475</xdr:colOff>
      <xdr:row>0</xdr:row>
      <xdr:rowOff>0</xdr:rowOff>
    </xdr:to>
    <xdr:sp macro="">
      <xdr:nvSpPr>
        <xdr:cNvPr id="10763" name="Text Box 523"/>
        <xdr:cNvSpPr txBox="1">
          <a:spLocks noChangeArrowheads="1"/>
        </xdr:cNvSpPr>
      </xdr:nvSpPr>
      <xdr:spPr bwMode="auto">
        <a:xfrm>
          <a:off x="17116425" y="0"/>
          <a:ext cx="142208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12</xdr:col>
      <xdr:colOff>9525</xdr:colOff>
      <xdr:row>0</xdr:row>
      <xdr:rowOff>0</xdr:rowOff>
    </xdr:from>
    <xdr:to>
      <xdr:col>25</xdr:col>
      <xdr:colOff>495300</xdr:colOff>
      <xdr:row>0</xdr:row>
      <xdr:rowOff>0</xdr:rowOff>
    </xdr:to>
    <xdr:sp macro="">
      <xdr:nvSpPr>
        <xdr:cNvPr id="10764" name="Text Box 524"/>
        <xdr:cNvSpPr txBox="1">
          <a:spLocks noChangeArrowheads="1"/>
        </xdr:cNvSpPr>
      </xdr:nvSpPr>
      <xdr:spPr bwMode="auto">
        <a:xfrm>
          <a:off x="15478125" y="0"/>
          <a:ext cx="132683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12</xdr:col>
      <xdr:colOff>9525</xdr:colOff>
      <xdr:row>0</xdr:row>
      <xdr:rowOff>0</xdr:rowOff>
    </xdr:from>
    <xdr:to>
      <xdr:col>26</xdr:col>
      <xdr:colOff>371475</xdr:colOff>
      <xdr:row>0</xdr:row>
      <xdr:rowOff>0</xdr:rowOff>
    </xdr:to>
    <xdr:sp macro="">
      <xdr:nvSpPr>
        <xdr:cNvPr id="10770" name="Text Box 530"/>
        <xdr:cNvSpPr txBox="1">
          <a:spLocks noChangeArrowheads="1"/>
        </xdr:cNvSpPr>
      </xdr:nvSpPr>
      <xdr:spPr bwMode="auto">
        <a:xfrm>
          <a:off x="15478125" y="0"/>
          <a:ext cx="152495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12</xdr:col>
      <xdr:colOff>9525</xdr:colOff>
      <xdr:row>0</xdr:row>
      <xdr:rowOff>0</xdr:rowOff>
    </xdr:from>
    <xdr:to>
      <xdr:col>26</xdr:col>
      <xdr:colOff>371475</xdr:colOff>
      <xdr:row>0</xdr:row>
      <xdr:rowOff>0</xdr:rowOff>
    </xdr:to>
    <xdr:sp macro="">
      <xdr:nvSpPr>
        <xdr:cNvPr id="10771" name="Text Box 531"/>
        <xdr:cNvSpPr txBox="1">
          <a:spLocks noChangeArrowheads="1"/>
        </xdr:cNvSpPr>
      </xdr:nvSpPr>
      <xdr:spPr bwMode="auto">
        <a:xfrm>
          <a:off x="15478125" y="0"/>
          <a:ext cx="152495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11</xdr:col>
      <xdr:colOff>9525</xdr:colOff>
      <xdr:row>0</xdr:row>
      <xdr:rowOff>0</xdr:rowOff>
    </xdr:from>
    <xdr:to>
      <xdr:col>23</xdr:col>
      <xdr:colOff>28575</xdr:colOff>
      <xdr:row>0</xdr:row>
      <xdr:rowOff>0</xdr:rowOff>
    </xdr:to>
    <xdr:sp macro="">
      <xdr:nvSpPr>
        <xdr:cNvPr id="10772" name="Text Box 532"/>
        <xdr:cNvSpPr txBox="1">
          <a:spLocks noChangeArrowheads="1"/>
        </xdr:cNvSpPr>
      </xdr:nvSpPr>
      <xdr:spPr bwMode="auto">
        <a:xfrm>
          <a:off x="14982825" y="0"/>
          <a:ext cx="116490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11</xdr:col>
      <xdr:colOff>9525</xdr:colOff>
      <xdr:row>0</xdr:row>
      <xdr:rowOff>0</xdr:rowOff>
    </xdr:from>
    <xdr:to>
      <xdr:col>25</xdr:col>
      <xdr:colOff>371475</xdr:colOff>
      <xdr:row>0</xdr:row>
      <xdr:rowOff>0</xdr:rowOff>
    </xdr:to>
    <xdr:sp macro="">
      <xdr:nvSpPr>
        <xdr:cNvPr id="10774" name="Text Box 534"/>
        <xdr:cNvSpPr txBox="1">
          <a:spLocks noChangeArrowheads="1"/>
        </xdr:cNvSpPr>
      </xdr:nvSpPr>
      <xdr:spPr bwMode="auto">
        <a:xfrm>
          <a:off x="14982825" y="0"/>
          <a:ext cx="136398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10</xdr:col>
      <xdr:colOff>9525</xdr:colOff>
      <xdr:row>0</xdr:row>
      <xdr:rowOff>0</xdr:rowOff>
    </xdr:from>
    <xdr:to>
      <xdr:col>22</xdr:col>
      <xdr:colOff>228600</xdr:colOff>
      <xdr:row>0</xdr:row>
      <xdr:rowOff>0</xdr:rowOff>
    </xdr:to>
    <xdr:sp macro="">
      <xdr:nvSpPr>
        <xdr:cNvPr id="10775" name="Text Box 535"/>
        <xdr:cNvSpPr txBox="1">
          <a:spLocks noChangeArrowheads="1"/>
        </xdr:cNvSpPr>
      </xdr:nvSpPr>
      <xdr:spPr bwMode="auto">
        <a:xfrm>
          <a:off x="13087350" y="0"/>
          <a:ext cx="1315402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10</xdr:col>
      <xdr:colOff>9525</xdr:colOff>
      <xdr:row>0</xdr:row>
      <xdr:rowOff>0</xdr:rowOff>
    </xdr:from>
    <xdr:to>
      <xdr:col>24</xdr:col>
      <xdr:colOff>371475</xdr:colOff>
      <xdr:row>0</xdr:row>
      <xdr:rowOff>0</xdr:rowOff>
    </xdr:to>
    <xdr:sp macro="">
      <xdr:nvSpPr>
        <xdr:cNvPr id="10777" name="Text Box 537"/>
        <xdr:cNvSpPr txBox="1">
          <a:spLocks noChangeArrowheads="1"/>
        </xdr:cNvSpPr>
      </xdr:nvSpPr>
      <xdr:spPr bwMode="auto">
        <a:xfrm>
          <a:off x="13087350" y="0"/>
          <a:ext cx="14382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9</xdr:col>
      <xdr:colOff>9525</xdr:colOff>
      <xdr:row>0</xdr:row>
      <xdr:rowOff>0</xdr:rowOff>
    </xdr:from>
    <xdr:to>
      <xdr:col>21</xdr:col>
      <xdr:colOff>9525</xdr:colOff>
      <xdr:row>0</xdr:row>
      <xdr:rowOff>0</xdr:rowOff>
    </xdr:to>
    <xdr:sp macro="">
      <xdr:nvSpPr>
        <xdr:cNvPr id="10778" name="Text Box 538"/>
        <xdr:cNvSpPr txBox="1">
          <a:spLocks noChangeArrowheads="1"/>
        </xdr:cNvSpPr>
      </xdr:nvSpPr>
      <xdr:spPr bwMode="auto">
        <a:xfrm>
          <a:off x="11049000" y="0"/>
          <a:ext cx="144684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9</xdr:col>
      <xdr:colOff>9525</xdr:colOff>
      <xdr:row>0</xdr:row>
      <xdr:rowOff>0</xdr:rowOff>
    </xdr:from>
    <xdr:to>
      <xdr:col>23</xdr:col>
      <xdr:colOff>371475</xdr:colOff>
      <xdr:row>0</xdr:row>
      <xdr:rowOff>0</xdr:rowOff>
    </xdr:to>
    <xdr:sp macro="">
      <xdr:nvSpPr>
        <xdr:cNvPr id="10779" name="Text Box 539"/>
        <xdr:cNvSpPr txBox="1">
          <a:spLocks noChangeArrowheads="1"/>
        </xdr:cNvSpPr>
      </xdr:nvSpPr>
      <xdr:spPr bwMode="auto">
        <a:xfrm>
          <a:off x="11049000" y="0"/>
          <a:ext cx="159258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9</xdr:col>
      <xdr:colOff>9525</xdr:colOff>
      <xdr:row>0</xdr:row>
      <xdr:rowOff>0</xdr:rowOff>
    </xdr:from>
    <xdr:to>
      <xdr:col>23</xdr:col>
      <xdr:colOff>371475</xdr:colOff>
      <xdr:row>0</xdr:row>
      <xdr:rowOff>0</xdr:rowOff>
    </xdr:to>
    <xdr:sp macro="">
      <xdr:nvSpPr>
        <xdr:cNvPr id="10780" name="Text Box 540"/>
        <xdr:cNvSpPr txBox="1">
          <a:spLocks noChangeArrowheads="1"/>
        </xdr:cNvSpPr>
      </xdr:nvSpPr>
      <xdr:spPr bwMode="auto">
        <a:xfrm>
          <a:off x="11049000" y="0"/>
          <a:ext cx="159258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8</xdr:col>
      <xdr:colOff>9525</xdr:colOff>
      <xdr:row>0</xdr:row>
      <xdr:rowOff>0</xdr:rowOff>
    </xdr:from>
    <xdr:to>
      <xdr:col>22</xdr:col>
      <xdr:colOff>371475</xdr:colOff>
      <xdr:row>0</xdr:row>
      <xdr:rowOff>0</xdr:rowOff>
    </xdr:to>
    <xdr:sp macro="">
      <xdr:nvSpPr>
        <xdr:cNvPr id="10781" name="Text Box 541"/>
        <xdr:cNvSpPr txBox="1">
          <a:spLocks noChangeArrowheads="1"/>
        </xdr:cNvSpPr>
      </xdr:nvSpPr>
      <xdr:spPr bwMode="auto">
        <a:xfrm>
          <a:off x="9467850" y="0"/>
          <a:ext cx="169164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8</xdr:col>
      <xdr:colOff>9525</xdr:colOff>
      <xdr:row>0</xdr:row>
      <xdr:rowOff>0</xdr:rowOff>
    </xdr:from>
    <xdr:to>
      <xdr:col>22</xdr:col>
      <xdr:colOff>371475</xdr:colOff>
      <xdr:row>0</xdr:row>
      <xdr:rowOff>0</xdr:rowOff>
    </xdr:to>
    <xdr:sp macro="">
      <xdr:nvSpPr>
        <xdr:cNvPr id="10784" name="Text Box 544"/>
        <xdr:cNvSpPr txBox="1">
          <a:spLocks noChangeArrowheads="1"/>
        </xdr:cNvSpPr>
      </xdr:nvSpPr>
      <xdr:spPr bwMode="auto">
        <a:xfrm>
          <a:off x="9467850" y="0"/>
          <a:ext cx="169164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8</xdr:col>
      <xdr:colOff>9525</xdr:colOff>
      <xdr:row>0</xdr:row>
      <xdr:rowOff>0</xdr:rowOff>
    </xdr:from>
    <xdr:to>
      <xdr:col>22</xdr:col>
      <xdr:colOff>371475</xdr:colOff>
      <xdr:row>0</xdr:row>
      <xdr:rowOff>0</xdr:rowOff>
    </xdr:to>
    <xdr:sp macro="">
      <xdr:nvSpPr>
        <xdr:cNvPr id="10785" name="Text Box 545"/>
        <xdr:cNvSpPr txBox="1">
          <a:spLocks noChangeArrowheads="1"/>
        </xdr:cNvSpPr>
      </xdr:nvSpPr>
      <xdr:spPr bwMode="auto">
        <a:xfrm>
          <a:off x="9467850" y="0"/>
          <a:ext cx="169164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7</xdr:col>
      <xdr:colOff>9525</xdr:colOff>
      <xdr:row>0</xdr:row>
      <xdr:rowOff>0</xdr:rowOff>
    </xdr:from>
    <xdr:to>
      <xdr:col>18</xdr:col>
      <xdr:colOff>466725</xdr:colOff>
      <xdr:row>0</xdr:row>
      <xdr:rowOff>0</xdr:rowOff>
    </xdr:to>
    <xdr:sp macro="">
      <xdr:nvSpPr>
        <xdr:cNvPr id="10786" name="Text Box 546"/>
        <xdr:cNvSpPr txBox="1">
          <a:spLocks noChangeArrowheads="1"/>
        </xdr:cNvSpPr>
      </xdr:nvSpPr>
      <xdr:spPr bwMode="auto">
        <a:xfrm>
          <a:off x="8067675" y="0"/>
          <a:ext cx="156591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7</xdr:col>
      <xdr:colOff>9525</xdr:colOff>
      <xdr:row>0</xdr:row>
      <xdr:rowOff>0</xdr:rowOff>
    </xdr:from>
    <xdr:to>
      <xdr:col>21</xdr:col>
      <xdr:colOff>371475</xdr:colOff>
      <xdr:row>0</xdr:row>
      <xdr:rowOff>0</xdr:rowOff>
    </xdr:to>
    <xdr:sp macro="">
      <xdr:nvSpPr>
        <xdr:cNvPr id="10787" name="Text Box 547"/>
        <xdr:cNvSpPr txBox="1">
          <a:spLocks noChangeArrowheads="1"/>
        </xdr:cNvSpPr>
      </xdr:nvSpPr>
      <xdr:spPr bwMode="auto">
        <a:xfrm>
          <a:off x="8067675" y="0"/>
          <a:ext cx="178117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6</xdr:col>
      <xdr:colOff>9525</xdr:colOff>
      <xdr:row>0</xdr:row>
      <xdr:rowOff>0</xdr:rowOff>
    </xdr:from>
    <xdr:to>
      <xdr:col>20</xdr:col>
      <xdr:colOff>371475</xdr:colOff>
      <xdr:row>0</xdr:row>
      <xdr:rowOff>0</xdr:rowOff>
    </xdr:to>
    <xdr:sp macro="">
      <xdr:nvSpPr>
        <xdr:cNvPr id="10788" name="Text Box 548"/>
        <xdr:cNvSpPr txBox="1">
          <a:spLocks noChangeArrowheads="1"/>
        </xdr:cNvSpPr>
      </xdr:nvSpPr>
      <xdr:spPr bwMode="auto">
        <a:xfrm>
          <a:off x="6705600" y="0"/>
          <a:ext cx="182308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6</xdr:col>
      <xdr:colOff>9525</xdr:colOff>
      <xdr:row>0</xdr:row>
      <xdr:rowOff>0</xdr:rowOff>
    </xdr:from>
    <xdr:to>
      <xdr:col>20</xdr:col>
      <xdr:colOff>371475</xdr:colOff>
      <xdr:row>0</xdr:row>
      <xdr:rowOff>0</xdr:rowOff>
    </xdr:to>
    <xdr:sp macro="">
      <xdr:nvSpPr>
        <xdr:cNvPr id="10791" name="Text Box 551"/>
        <xdr:cNvSpPr txBox="1">
          <a:spLocks noChangeArrowheads="1"/>
        </xdr:cNvSpPr>
      </xdr:nvSpPr>
      <xdr:spPr bwMode="auto">
        <a:xfrm>
          <a:off x="6705600" y="0"/>
          <a:ext cx="1823085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2" name="Text Box 552"/>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3" name="Text Box 553"/>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4" name="Text Box 554"/>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5" name="Text Box 555"/>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6" name="Text Box 556"/>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7" name="Text Box 557"/>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8" name="Text Box 558"/>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799" name="Text Box 559"/>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5</xdr:col>
      <xdr:colOff>9525</xdr:colOff>
      <xdr:row>0</xdr:row>
      <xdr:rowOff>0</xdr:rowOff>
    </xdr:from>
    <xdr:to>
      <xdr:col>19</xdr:col>
      <xdr:colOff>371475</xdr:colOff>
      <xdr:row>0</xdr:row>
      <xdr:rowOff>0</xdr:rowOff>
    </xdr:to>
    <xdr:sp macro="">
      <xdr:nvSpPr>
        <xdr:cNvPr id="10800" name="Text Box 560"/>
        <xdr:cNvSpPr txBox="1">
          <a:spLocks noChangeArrowheads="1"/>
        </xdr:cNvSpPr>
      </xdr:nvSpPr>
      <xdr:spPr bwMode="auto">
        <a:xfrm>
          <a:off x="4972050" y="0"/>
          <a:ext cx="194310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4</xdr:col>
      <xdr:colOff>9525</xdr:colOff>
      <xdr:row>0</xdr:row>
      <xdr:rowOff>0</xdr:rowOff>
    </xdr:from>
    <xdr:to>
      <xdr:col>18</xdr:col>
      <xdr:colOff>371475</xdr:colOff>
      <xdr:row>0</xdr:row>
      <xdr:rowOff>0</xdr:rowOff>
    </xdr:to>
    <xdr:sp macro="">
      <xdr:nvSpPr>
        <xdr:cNvPr id="10802" name="Text Box 562"/>
        <xdr:cNvSpPr txBox="1">
          <a:spLocks noChangeArrowheads="1"/>
        </xdr:cNvSpPr>
      </xdr:nvSpPr>
      <xdr:spPr bwMode="auto">
        <a:xfrm>
          <a:off x="3752850" y="0"/>
          <a:ext cx="19878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4</xdr:col>
      <xdr:colOff>9525</xdr:colOff>
      <xdr:row>0</xdr:row>
      <xdr:rowOff>0</xdr:rowOff>
    </xdr:from>
    <xdr:to>
      <xdr:col>18</xdr:col>
      <xdr:colOff>371475</xdr:colOff>
      <xdr:row>0</xdr:row>
      <xdr:rowOff>0</xdr:rowOff>
    </xdr:to>
    <xdr:sp macro="">
      <xdr:nvSpPr>
        <xdr:cNvPr id="10803" name="Text Box 563"/>
        <xdr:cNvSpPr txBox="1">
          <a:spLocks noChangeArrowheads="1"/>
        </xdr:cNvSpPr>
      </xdr:nvSpPr>
      <xdr:spPr bwMode="auto">
        <a:xfrm>
          <a:off x="3752850" y="0"/>
          <a:ext cx="19878675"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xdr:from>
      <xdr:col>3</xdr:col>
      <xdr:colOff>9525</xdr:colOff>
      <xdr:row>0</xdr:row>
      <xdr:rowOff>0</xdr:rowOff>
    </xdr:from>
    <xdr:to>
      <xdr:col>16</xdr:col>
      <xdr:colOff>371475</xdr:colOff>
      <xdr:row>0</xdr:row>
      <xdr:rowOff>0</xdr:rowOff>
    </xdr:to>
    <xdr:sp macro="">
      <xdr:nvSpPr>
        <xdr:cNvPr id="10806" name="Text Box 566"/>
        <xdr:cNvSpPr txBox="1">
          <a:spLocks noChangeArrowheads="1"/>
        </xdr:cNvSpPr>
      </xdr:nvSpPr>
      <xdr:spPr bwMode="auto">
        <a:xfrm>
          <a:off x="1666875" y="0"/>
          <a:ext cx="19735800" cy="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 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xdr:twoCellAnchor>
  <xdr:twoCellAnchor editAs="absolute">
    <xdr:from>
      <xdr:col>0</xdr:col>
      <xdr:colOff>76200</xdr:colOff>
      <xdr:row>0</xdr:row>
      <xdr:rowOff>76200</xdr:rowOff>
    </xdr:from>
    <xdr:to>
      <xdr:col>7</xdr:col>
      <xdr:colOff>914400</xdr:colOff>
      <xdr:row>0</xdr:row>
      <xdr:rowOff>457200</xdr:rowOff>
    </xdr:to>
    <xdr:sp macro="">
      <xdr:nvSpPr>
        <xdr:cNvPr id="10825" name="Text Box 585"/>
        <xdr:cNvSpPr txBox="1">
          <a:spLocks noChangeArrowheads="1"/>
        </xdr:cNvSpPr>
      </xdr:nvSpPr>
      <xdr:spPr bwMode="auto">
        <a:xfrm>
          <a:off x="76200" y="76200"/>
          <a:ext cx="8896350" cy="381000"/>
        </a:xfrm>
        <a:prstGeom prst="rect"/>
        <a:gradFill rotWithShape="0">
          <a:gsLst>
            <a:gs pos="0">
              <a:srgbClr val="AAAAAA"/>
            </a:gs>
            <a:gs pos="100000">
              <a:srgbClr val="FFFFFF"/>
            </a:gs>
          </a:gsLst>
          <a:lin ang="5400000" scaled="1"/>
        </a:gradFill>
        <a:ln w="9525">
          <a:noFill/>
          <a:miter lim="800000"/>
        </a:ln>
        <a:effectLst>
          <a:outerShdw dist="45791" dir="3378596" algn="ctr" rotWithShape="0">
            <a:srgbClr val="4D4D4D"/>
          </a:outerShdw>
        </a:effectLst>
      </xdr:spPr>
      <xdr:txBody>
        <a:bodyPr lIns="36576" tIns="32004" rIns="0" bIns="0" vertOverflow="clip" wrap="square" anchor="t" upright="1"/>
        <a:lstStyle/>
        <a:p>
          <a:pPr algn="l" rtl="0">
            <a:defRPr sz="1000"/>
          </a:pPr>
          <a:r>
            <a:rPr lang="pl-PL" sz="1600" u="none" b="0" i="0" baseline="0">
              <a:solidFill>
                <a:srgbClr val="000000"/>
              </a:solidFill>
              <a:latin typeface="Arial"/>
              <a:cs typeface="Arial"/>
            </a:rPr>
            <a:t>Enter Connect Information &gt;Create Template &gt; </a:t>
          </a:r>
          <a:r>
            <a:rPr lang="pl-PL" sz="1600" u="none" b="1" i="0" baseline="0">
              <a:solidFill>
                <a:srgbClr val="0000FF"/>
              </a:solidFill>
              <a:latin typeface="Arial"/>
              <a:cs typeface="Arial"/>
            </a:rPr>
            <a:t>Input Data</a:t>
          </a:r>
          <a:r>
            <a:rPr lang="pl-PL" sz="1600" u="none" b="0" i="0" baseline="0">
              <a:solidFill>
                <a:srgbClr val="000000"/>
              </a:solidFill>
              <a:latin typeface="Arial"/>
              <a:cs typeface="Arial"/>
            </a:rPr>
            <a:t> &gt; Stage &amp; Submit Data</a:t>
          </a:r>
        </a:p>
      </xdr:txBody>
    </xdr:sp>
    <xdr:clientData fPrintsWithSheet="0"/>
  </xdr:twoCellAnchor>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1" name="Button 1" hidden="1">
              <a:extLst>
                <a:ext uri="{63B3BB69-23CF-44E3-9099-C40C66FF867C}">
                  <a14:compatExt spid="_x0000_s1024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2" name="Button 2" hidden="1">
              <a:extLst>
                <a:ext uri="{63B3BB69-23CF-44E3-9099-C40C66FF867C}">
                  <a14:compatExt spid="_x0000_s1024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3" name="Button 3" hidden="1">
              <a:extLst>
                <a:ext uri="{63B3BB69-23CF-44E3-9099-C40C66FF867C}">
                  <a14:compatExt spid="_x0000_s1024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4" name="Button 4" hidden="1">
              <a:extLst>
                <a:ext uri="{63B3BB69-23CF-44E3-9099-C40C66FF867C}">
                  <a14:compatExt spid="_x0000_s1024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fLocksText="0">
          <xdr:nvSpPr>
            <xdr:cNvPr id="10245" name="Button 5" hidden="1">
              <a:extLst>
                <a:ext uri="{63B3BB69-23CF-44E3-9099-C40C66FF867C}">
                  <a14:compatExt spid="_x0000_s10245"/>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Button 235</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fLocksText="0">
          <xdr:nvSpPr>
            <xdr:cNvPr id="10246" name="Button 6" hidden="1">
              <a:extLst>
                <a:ext uri="{63B3BB69-23CF-44E3-9099-C40C66FF867C}">
                  <a14:compatExt spid="_x0000_s10246"/>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Button 237</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7" name="Button 7" hidden="1">
              <a:extLst>
                <a:ext uri="{63B3BB69-23CF-44E3-9099-C40C66FF867C}">
                  <a14:compatExt spid="_x0000_s10247"/>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8" name="Button 8" hidden="1">
              <a:extLst>
                <a:ext uri="{63B3BB69-23CF-44E3-9099-C40C66FF867C}">
                  <a14:compatExt spid="_x0000_s10248"/>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49" name="Button 9" hidden="1">
              <a:extLst>
                <a:ext uri="{63B3BB69-23CF-44E3-9099-C40C66FF867C}">
                  <a14:compatExt spid="_x0000_s10249"/>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50" name="Button 10" hidden="1">
              <a:extLst>
                <a:ext uri="{63B3BB69-23CF-44E3-9099-C40C66FF867C}">
                  <a14:compatExt spid="_x0000_s10250"/>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51" name="Button 11" hidden="1">
              <a:extLst>
                <a:ext uri="{63B3BB69-23CF-44E3-9099-C40C66FF867C}">
                  <a14:compatExt spid="_x0000_s1025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52" name="Button 12" hidden="1">
              <a:extLst>
                <a:ext uri="{63B3BB69-23CF-44E3-9099-C40C66FF867C}">
                  <a14:compatExt spid="_x0000_s1025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53" name="Button 13" hidden="1">
              <a:extLst>
                <a:ext uri="{63B3BB69-23CF-44E3-9099-C40C66FF867C}">
                  <a14:compatExt spid="_x0000_s1025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Module1.DoExcelPost" fLocksText="0">
          <xdr:nvSpPr>
            <xdr:cNvPr id="10254" name="Button 14" hidden="1">
              <a:extLst>
                <a:ext uri="{63B3BB69-23CF-44E3-9099-C40C66FF867C}">
                  <a14:compatExt spid="_x0000_s1025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55" name="Button 15" hidden="1">
              <a:extLst>
                <a:ext uri="{63B3BB69-23CF-44E3-9099-C40C66FF867C}">
                  <a14:compatExt spid="_x0000_s10255"/>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56" name="Button 16" hidden="1">
              <a:extLst>
                <a:ext uri="{63B3BB69-23CF-44E3-9099-C40C66FF867C}">
                  <a14:compatExt spid="_x0000_s10256"/>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57" name="Button 17" hidden="1">
              <a:extLst>
                <a:ext uri="{63B3BB69-23CF-44E3-9099-C40C66FF867C}">
                  <a14:compatExt spid="_x0000_s10257"/>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58" name="Button 18" hidden="1">
              <a:extLst>
                <a:ext uri="{63B3BB69-23CF-44E3-9099-C40C66FF867C}">
                  <a14:compatExt spid="_x0000_s10258"/>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59" name="Button 19" hidden="1">
              <a:extLst>
                <a:ext uri="{63B3BB69-23CF-44E3-9099-C40C66FF867C}">
                  <a14:compatExt spid="_x0000_s10259"/>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0" name="Button 20" hidden="1">
              <a:extLst>
                <a:ext uri="{63B3BB69-23CF-44E3-9099-C40C66FF867C}">
                  <a14:compatExt spid="_x0000_s10260"/>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1" name="Button 21" hidden="1">
              <a:extLst>
                <a:ext uri="{63B3BB69-23CF-44E3-9099-C40C66FF867C}">
                  <a14:compatExt spid="_x0000_s1026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2" name="Button 22" hidden="1">
              <a:extLst>
                <a:ext uri="{63B3BB69-23CF-44E3-9099-C40C66FF867C}">
                  <a14:compatExt spid="_x0000_s1026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3" name="Button 23" hidden="1">
              <a:extLst>
                <a:ext uri="{63B3BB69-23CF-44E3-9099-C40C66FF867C}">
                  <a14:compatExt spid="_x0000_s1026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4" name="Button 24" hidden="1">
              <a:extLst>
                <a:ext uri="{63B3BB69-23CF-44E3-9099-C40C66FF867C}">
                  <a14:compatExt spid="_x0000_s1026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5" name="Button 25" hidden="1">
              <a:extLst>
                <a:ext uri="{63B3BB69-23CF-44E3-9099-C40C66FF867C}">
                  <a14:compatExt spid="_x0000_s10265"/>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6" name="Button 26" hidden="1">
              <a:extLst>
                <a:ext uri="{63B3BB69-23CF-44E3-9099-C40C66FF867C}">
                  <a14:compatExt spid="_x0000_s10266"/>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7" name="Button 27" hidden="1">
              <a:extLst>
                <a:ext uri="{63B3BB69-23CF-44E3-9099-C40C66FF867C}">
                  <a14:compatExt spid="_x0000_s10267"/>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8" name="Button 28" hidden="1">
              <a:extLst>
                <a:ext uri="{63B3BB69-23CF-44E3-9099-C40C66FF867C}">
                  <a14:compatExt spid="_x0000_s10268"/>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69" name="Button 29" hidden="1">
              <a:extLst>
                <a:ext uri="{63B3BB69-23CF-44E3-9099-C40C66FF867C}">
                  <a14:compatExt spid="_x0000_s10269"/>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0" name="Button 30" hidden="1">
              <a:extLst>
                <a:ext uri="{63B3BB69-23CF-44E3-9099-C40C66FF867C}">
                  <a14:compatExt spid="_x0000_s10270"/>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1" name="Button 31" hidden="1">
              <a:extLst>
                <a:ext uri="{63B3BB69-23CF-44E3-9099-C40C66FF867C}">
                  <a14:compatExt spid="_x0000_s1027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2" name="Button 32" hidden="1">
              <a:extLst>
                <a:ext uri="{63B3BB69-23CF-44E3-9099-C40C66FF867C}">
                  <a14:compatExt spid="_x0000_s1027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3" name="Button 33" hidden="1">
              <a:extLst>
                <a:ext uri="{63B3BB69-23CF-44E3-9099-C40C66FF867C}">
                  <a14:compatExt spid="_x0000_s1027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4" name="Button 34" hidden="1">
              <a:extLst>
                <a:ext uri="{63B3BB69-23CF-44E3-9099-C40C66FF867C}">
                  <a14:compatExt spid="_x0000_s1027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5" name="Button 35" hidden="1">
              <a:extLst>
                <a:ext uri="{63B3BB69-23CF-44E3-9099-C40C66FF867C}">
                  <a14:compatExt spid="_x0000_s10275"/>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6" name="Button 36" hidden="1">
              <a:extLst>
                <a:ext uri="{63B3BB69-23CF-44E3-9099-C40C66FF867C}">
                  <a14:compatExt spid="_x0000_s10276"/>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7" name="Button 37" hidden="1">
              <a:extLst>
                <a:ext uri="{63B3BB69-23CF-44E3-9099-C40C66FF867C}">
                  <a14:compatExt spid="_x0000_s10277"/>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8" name="Button 38" hidden="1">
              <a:extLst>
                <a:ext uri="{63B3BB69-23CF-44E3-9099-C40C66FF867C}">
                  <a14:compatExt spid="_x0000_s10278"/>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79" name="Button 39" hidden="1">
              <a:extLst>
                <a:ext uri="{63B3BB69-23CF-44E3-9099-C40C66FF867C}">
                  <a14:compatExt spid="_x0000_s10279"/>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0" name="Button 40" hidden="1">
              <a:extLst>
                <a:ext uri="{63B3BB69-23CF-44E3-9099-C40C66FF867C}">
                  <a14:compatExt spid="_x0000_s10280"/>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1" name="Button 41" hidden="1">
              <a:extLst>
                <a:ext uri="{63B3BB69-23CF-44E3-9099-C40C66FF867C}">
                  <a14:compatExt spid="_x0000_s1028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2" name="Button 42" hidden="1">
              <a:extLst>
                <a:ext uri="{63B3BB69-23CF-44E3-9099-C40C66FF867C}">
                  <a14:compatExt spid="_x0000_s1028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3" name="Button 43" hidden="1">
              <a:extLst>
                <a:ext uri="{63B3BB69-23CF-44E3-9099-C40C66FF867C}">
                  <a14:compatExt spid="_x0000_s1028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4" name="Button 44" hidden="1">
              <a:extLst>
                <a:ext uri="{63B3BB69-23CF-44E3-9099-C40C66FF867C}">
                  <a14:compatExt spid="_x0000_s1028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5" name="Button 45" hidden="1">
              <a:extLst>
                <a:ext uri="{63B3BB69-23CF-44E3-9099-C40C66FF867C}">
                  <a14:compatExt spid="_x0000_s10285"/>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6" name="Button 46" hidden="1">
              <a:extLst>
                <a:ext uri="{63B3BB69-23CF-44E3-9099-C40C66FF867C}">
                  <a14:compatExt spid="_x0000_s10286"/>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7" name="Button 47" hidden="1">
              <a:extLst>
                <a:ext uri="{63B3BB69-23CF-44E3-9099-C40C66FF867C}">
                  <a14:compatExt spid="_x0000_s10287"/>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8" name="Button 48" hidden="1">
              <a:extLst>
                <a:ext uri="{63B3BB69-23CF-44E3-9099-C40C66FF867C}">
                  <a14:compatExt spid="_x0000_s10288"/>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89" name="Button 49" hidden="1">
              <a:extLst>
                <a:ext uri="{63B3BB69-23CF-44E3-9099-C40C66FF867C}">
                  <a14:compatExt spid="_x0000_s10289"/>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0" name="Button 50" hidden="1">
              <a:extLst>
                <a:ext uri="{63B3BB69-23CF-44E3-9099-C40C66FF867C}">
                  <a14:compatExt spid="_x0000_s10290"/>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1" name="Button 51" hidden="1">
              <a:extLst>
                <a:ext uri="{63B3BB69-23CF-44E3-9099-C40C66FF867C}">
                  <a14:compatExt spid="_x0000_s1029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2" name="Button 52" hidden="1">
              <a:extLst>
                <a:ext uri="{63B3BB69-23CF-44E3-9099-C40C66FF867C}">
                  <a14:compatExt spid="_x0000_s1029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3" name="Button 53" hidden="1">
              <a:extLst>
                <a:ext uri="{63B3BB69-23CF-44E3-9099-C40C66FF867C}">
                  <a14:compatExt spid="_x0000_s1029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4" name="Button 54" hidden="1">
              <a:extLst>
                <a:ext uri="{63B3BB69-23CF-44E3-9099-C40C66FF867C}">
                  <a14:compatExt spid="_x0000_s1029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5" name="Button 55" hidden="1">
              <a:extLst>
                <a:ext uri="{63B3BB69-23CF-44E3-9099-C40C66FF867C}">
                  <a14:compatExt spid="_x0000_s10295"/>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6" name="Button 56" hidden="1">
              <a:extLst>
                <a:ext uri="{63B3BB69-23CF-44E3-9099-C40C66FF867C}">
                  <a14:compatExt spid="_x0000_s10296"/>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7" name="Button 57" hidden="1">
              <a:extLst>
                <a:ext uri="{63B3BB69-23CF-44E3-9099-C40C66FF867C}">
                  <a14:compatExt spid="_x0000_s10297"/>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8" name="Button 58" hidden="1">
              <a:extLst>
                <a:ext uri="{63B3BB69-23CF-44E3-9099-C40C66FF867C}">
                  <a14:compatExt spid="_x0000_s10298"/>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299" name="Button 59" hidden="1">
              <a:extLst>
                <a:ext uri="{63B3BB69-23CF-44E3-9099-C40C66FF867C}">
                  <a14:compatExt spid="_x0000_s10299"/>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300" name="Button 60" hidden="1">
              <a:extLst>
                <a:ext uri="{63B3BB69-23CF-44E3-9099-C40C66FF867C}">
                  <a14:compatExt spid="_x0000_s10300"/>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301" name="Button 61" hidden="1">
              <a:extLst>
                <a:ext uri="{63B3BB69-23CF-44E3-9099-C40C66FF867C}">
                  <a14:compatExt spid="_x0000_s10301"/>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302" name="Button 62" hidden="1">
              <a:extLst>
                <a:ext uri="{63B3BB69-23CF-44E3-9099-C40C66FF867C}">
                  <a14:compatExt spid="_x0000_s10302"/>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303" name="Button 63" hidden="1">
              <a:extLst>
                <a:ext uri="{63B3BB69-23CF-44E3-9099-C40C66FF867C}">
                  <a14:compatExt spid="_x0000_s10303"/>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28575</xdr:colOff>
          <xdr:row>0</xdr:row>
          <xdr:rowOff>0</xdr:rowOff>
        </xdr:from>
        <xdr:to>
          <xdr:col>33</xdr:col>
          <xdr:colOff>219075</xdr:colOff>
          <xdr:row>0</xdr:row>
          <xdr:rowOff>0</xdr:rowOff>
        </xdr:to>
        <xdr:sp macro="[0]!ValidateComplexObject" fLocksText="0">
          <xdr:nvSpPr>
            <xdr:cNvPr id="10304" name="Button 64" hidden="1">
              <a:extLst>
                <a:ext uri="{63B3BB69-23CF-44E3-9099-C40C66FF867C}">
                  <a14:compatExt spid="_x0000_s10304"/>
                </a:ext>
              </a:extLst>
            </xdr:cNvPr>
            <xdr:cNvSpPr>
              <a:spLocks noRot="1"/>
            </xdr:cNvSpPr>
          </xdr:nvSpPr>
          <xdr:spPr>
            <a:xfrm>
              <a:off x="34042350" y="0"/>
              <a:ext cx="800100" cy="0"/>
            </a:xfrm>
            <a:prstGeom prst="rect"/>
            <a:ln>
              <a:solidFill>
                <a:srgbClr val="000000"/>
              </a:solidFill>
            </a:ln>
          </xdr:spPr>
          <xdr:txBody>
            <a:bodyPr lIns="27432" tIns="22860" rIns="27432" bIns="22860" vertOverflow="clip" wrap="square" anchor="ctr" upright="1"/>
            <a:p>
              <a:pPr algn="ctr" rtl="0"/>
              <a:r>
                <a:rPr lang="en-US" sz="1000" u="none" b="0" i="0" baseline="0">
                  <a:solidFill>
                    <a:srgbClr val="000000"/>
                  </a:solidFill>
                  <a:latin typeface="Arial"/>
                  <a:cs typeface="Arial"/>
                </a:rPr>
                <a:t>Update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34</xdr:col>
          <xdr:colOff>0</xdr:colOff>
          <xdr:row>0</xdr:row>
          <xdr:rowOff>0</xdr:rowOff>
        </xdr:from>
        <xdr:to>
          <xdr:col>36</xdr:col>
          <xdr:colOff>428625</xdr:colOff>
          <xdr:row>0</xdr:row>
          <xdr:rowOff>0</xdr:rowOff>
        </xdr:to>
        <xdr:sp macro="[0]!BuildComplexObjectFromSimpleObject" fLocksText="0">
          <xdr:nvSpPr>
            <xdr:cNvPr id="10305" name="Button 65" hidden="1">
              <a:extLst>
                <a:ext uri="{63B3BB69-23CF-44E3-9099-C40C66FF867C}">
                  <a14:compatExt spid="_x0000_s10305"/>
                </a:ext>
              </a:extLst>
            </xdr:cNvPr>
            <xdr:cNvSpPr>
              <a:spLocks noRot="1"/>
            </xdr:cNvSpPr>
          </xdr:nvSpPr>
          <xdr:spPr>
            <a:xfrm>
              <a:off x="35232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600075</xdr:colOff>
          <xdr:row>0</xdr:row>
          <xdr:rowOff>0</xdr:rowOff>
        </xdr:from>
        <xdr:to>
          <xdr:col>40</xdr:col>
          <xdr:colOff>419100</xdr:colOff>
          <xdr:row>0</xdr:row>
          <xdr:rowOff>0</xdr:rowOff>
        </xdr:to>
        <xdr:sp macro="[0]!ValidateComplexObject" fLocksText="0">
          <xdr:nvSpPr>
            <xdr:cNvPr id="10306" name="Button 66" hidden="1">
              <a:extLst>
                <a:ext uri="{63B3BB69-23CF-44E3-9099-C40C66FF867C}">
                  <a14:compatExt spid="_x0000_s10306"/>
                </a:ext>
              </a:extLst>
            </xdr:cNvPr>
            <xdr:cNvSpPr>
              <a:spLocks noRot="1"/>
            </xdr:cNvSpPr>
          </xdr:nvSpPr>
          <xdr:spPr>
            <a:xfrm>
              <a:off x="376618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34</xdr:col>
          <xdr:colOff>0</xdr:colOff>
          <xdr:row>0</xdr:row>
          <xdr:rowOff>0</xdr:rowOff>
        </xdr:from>
        <xdr:to>
          <xdr:col>36</xdr:col>
          <xdr:colOff>428625</xdr:colOff>
          <xdr:row>0</xdr:row>
          <xdr:rowOff>0</xdr:rowOff>
        </xdr:to>
        <xdr:sp macro="[0]!BuildComplexObjectFromSimpleObject" fLocksText="0">
          <xdr:nvSpPr>
            <xdr:cNvPr id="10307" name="Button 67" hidden="1">
              <a:extLst>
                <a:ext uri="{63B3BB69-23CF-44E3-9099-C40C66FF867C}">
                  <a14:compatExt spid="_x0000_s10307"/>
                </a:ext>
              </a:extLst>
            </xdr:cNvPr>
            <xdr:cNvSpPr>
              <a:spLocks noRot="1"/>
            </xdr:cNvSpPr>
          </xdr:nvSpPr>
          <xdr:spPr>
            <a:xfrm>
              <a:off x="352329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600075</xdr:colOff>
          <xdr:row>0</xdr:row>
          <xdr:rowOff>0</xdr:rowOff>
        </xdr:from>
        <xdr:to>
          <xdr:col>40</xdr:col>
          <xdr:colOff>419100</xdr:colOff>
          <xdr:row>0</xdr:row>
          <xdr:rowOff>0</xdr:rowOff>
        </xdr:to>
        <xdr:sp macro="[0]!ValidateComplexObject" fLocksText="0">
          <xdr:nvSpPr>
            <xdr:cNvPr id="10308" name="Button 68" hidden="1">
              <a:extLst>
                <a:ext uri="{63B3BB69-23CF-44E3-9099-C40C66FF867C}">
                  <a14:compatExt spid="_x0000_s10308"/>
                </a:ext>
              </a:extLst>
            </xdr:cNvPr>
            <xdr:cNvSpPr>
              <a:spLocks noRot="1"/>
            </xdr:cNvSpPr>
          </xdr:nvSpPr>
          <xdr:spPr>
            <a:xfrm>
              <a:off x="376618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42</xdr:col>
          <xdr:colOff>0</xdr:colOff>
          <xdr:row>0</xdr:row>
          <xdr:rowOff>0</xdr:rowOff>
        </xdr:from>
        <xdr:to>
          <xdr:col>44</xdr:col>
          <xdr:colOff>428625</xdr:colOff>
          <xdr:row>0</xdr:row>
          <xdr:rowOff>0</xdr:rowOff>
        </xdr:to>
        <xdr:sp macro="[0]!PostEditResultsToSimpleObject" fLocksText="0">
          <xdr:nvSpPr>
            <xdr:cNvPr id="10309" name="Button 69" hidden="1">
              <a:extLst>
                <a:ext uri="{63B3BB69-23CF-44E3-9099-C40C66FF867C}">
                  <a14:compatExt spid="_x0000_s10309"/>
                </a:ext>
              </a:extLst>
            </xdr:cNvPr>
            <xdr:cNvSpPr>
              <a:spLocks noRot="1"/>
            </xdr:cNvSpPr>
          </xdr:nvSpPr>
          <xdr:spPr>
            <a:xfrm>
              <a:off x="40109775"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600075</xdr:colOff>
          <xdr:row>0</xdr:row>
          <xdr:rowOff>0</xdr:rowOff>
        </xdr:from>
        <xdr:to>
          <xdr:col>36</xdr:col>
          <xdr:colOff>419100</xdr:colOff>
          <xdr:row>0</xdr:row>
          <xdr:rowOff>0</xdr:rowOff>
        </xdr:to>
        <xdr:sp macro="[0]!BuildComplexObjectFromSimpleObject" fLocksText="0">
          <xdr:nvSpPr>
            <xdr:cNvPr id="10310" name="Button 70" hidden="1">
              <a:extLst>
                <a:ext uri="{63B3BB69-23CF-44E3-9099-C40C66FF867C}">
                  <a14:compatExt spid="_x0000_s10310"/>
                </a:ext>
              </a:extLst>
            </xdr:cNvPr>
            <xdr:cNvSpPr>
              <a:spLocks noRot="1"/>
            </xdr:cNvSpPr>
          </xdr:nvSpPr>
          <xdr:spPr>
            <a:xfrm>
              <a:off x="352234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600075</xdr:colOff>
          <xdr:row>0</xdr:row>
          <xdr:rowOff>0</xdr:rowOff>
        </xdr:from>
        <xdr:to>
          <xdr:col>40</xdr:col>
          <xdr:colOff>419100</xdr:colOff>
          <xdr:row>0</xdr:row>
          <xdr:rowOff>0</xdr:rowOff>
        </xdr:to>
        <xdr:sp macro="[0]!ValidateComplexObject" fLocksText="0">
          <xdr:nvSpPr>
            <xdr:cNvPr id="10311" name="Button 71" hidden="1">
              <a:extLst>
                <a:ext uri="{63B3BB69-23CF-44E3-9099-C40C66FF867C}">
                  <a14:compatExt spid="_x0000_s10311"/>
                </a:ext>
              </a:extLst>
            </xdr:cNvPr>
            <xdr:cNvSpPr>
              <a:spLocks noRot="1"/>
            </xdr:cNvSpPr>
          </xdr:nvSpPr>
          <xdr:spPr>
            <a:xfrm>
              <a:off x="376618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42</xdr:col>
          <xdr:colOff>28575</xdr:colOff>
          <xdr:row>0</xdr:row>
          <xdr:rowOff>0</xdr:rowOff>
        </xdr:from>
        <xdr:to>
          <xdr:col>44</xdr:col>
          <xdr:colOff>457200</xdr:colOff>
          <xdr:row>0</xdr:row>
          <xdr:rowOff>0</xdr:rowOff>
        </xdr:to>
        <xdr:sp macro="[0]!PostEditResultsToSimpleObject" fLocksText="0">
          <xdr:nvSpPr>
            <xdr:cNvPr id="10312" name="Button 72" hidden="1">
              <a:extLst>
                <a:ext uri="{63B3BB69-23CF-44E3-9099-C40C66FF867C}">
                  <a14:compatExt spid="_x0000_s10312"/>
                </a:ext>
              </a:extLst>
            </xdr:cNvPr>
            <xdr:cNvSpPr>
              <a:spLocks noRot="1"/>
            </xdr:cNvSpPr>
          </xdr:nvSpPr>
          <xdr:spPr>
            <a:xfrm>
              <a:off x="401383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600075</xdr:colOff>
          <xdr:row>0</xdr:row>
          <xdr:rowOff>0</xdr:rowOff>
        </xdr:from>
        <xdr:to>
          <xdr:col>36</xdr:col>
          <xdr:colOff>419100</xdr:colOff>
          <xdr:row>0</xdr:row>
          <xdr:rowOff>0</xdr:rowOff>
        </xdr:to>
        <xdr:sp macro="[0]!BuildComplexObjectFromSimpleObject" fLocksText="0">
          <xdr:nvSpPr>
            <xdr:cNvPr id="10313" name="Button 73" hidden="1">
              <a:extLst>
                <a:ext uri="{63B3BB69-23CF-44E3-9099-C40C66FF867C}">
                  <a14:compatExt spid="_x0000_s10313"/>
                </a:ext>
              </a:extLst>
            </xdr:cNvPr>
            <xdr:cNvSpPr>
              <a:spLocks noRot="1"/>
            </xdr:cNvSpPr>
          </xdr:nvSpPr>
          <xdr:spPr>
            <a:xfrm>
              <a:off x="352234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 </a:t>
              </a:r>
            </a:p>
            <a:p>
              <a:pPr algn="ctr" rtl="0">
                <a:defRPr sz="1000"/>
              </a:pPr>
              <a:r>
                <a:rPr lang="en-US" sz="1000" u="none" b="1" i="0" baseline="0">
                  <a:solidFill>
                    <a:srgbClr val="000000"/>
                  </a:solidFill>
                  <a:latin typeface="Arial"/>
                  <a:cs typeface="Arial"/>
                </a:rPr>
                <a:t>from 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600075</xdr:colOff>
          <xdr:row>0</xdr:row>
          <xdr:rowOff>0</xdr:rowOff>
        </xdr:from>
        <xdr:to>
          <xdr:col>40</xdr:col>
          <xdr:colOff>419100</xdr:colOff>
          <xdr:row>0</xdr:row>
          <xdr:rowOff>0</xdr:rowOff>
        </xdr:to>
        <xdr:sp macro="[0]!ValidateComplexObject" fLocksText="0">
          <xdr:nvSpPr>
            <xdr:cNvPr id="10314" name="Button 74" hidden="1">
              <a:extLst>
                <a:ext uri="{63B3BB69-23CF-44E3-9099-C40C66FF867C}">
                  <a14:compatExt spid="_x0000_s10314"/>
                </a:ext>
              </a:extLst>
            </xdr:cNvPr>
            <xdr:cNvSpPr>
              <a:spLocks noRot="1"/>
            </xdr:cNvSpPr>
          </xdr:nvSpPr>
          <xdr:spPr>
            <a:xfrm>
              <a:off x="376618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42</xdr:col>
          <xdr:colOff>28575</xdr:colOff>
          <xdr:row>0</xdr:row>
          <xdr:rowOff>0</xdr:rowOff>
        </xdr:from>
        <xdr:to>
          <xdr:col>44</xdr:col>
          <xdr:colOff>457200</xdr:colOff>
          <xdr:row>0</xdr:row>
          <xdr:rowOff>0</xdr:rowOff>
        </xdr:to>
        <xdr:sp macro="[0]!PostEditResultsToSimpleObject" fLocksText="0">
          <xdr:nvSpPr>
            <xdr:cNvPr id="10315" name="Button 75" hidden="1">
              <a:extLst>
                <a:ext uri="{63B3BB69-23CF-44E3-9099-C40C66FF867C}">
                  <a14:compatExt spid="_x0000_s10315"/>
                </a:ext>
              </a:extLst>
            </xdr:cNvPr>
            <xdr:cNvSpPr>
              <a:spLocks noRot="1"/>
            </xdr:cNvSpPr>
          </xdr:nvSpPr>
          <xdr:spPr>
            <a:xfrm>
              <a:off x="401383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16" name="Button 76" hidden="1">
              <a:extLst>
                <a:ext uri="{63B3BB69-23CF-44E3-9099-C40C66FF867C}">
                  <a14:compatExt spid="_x0000_s10316"/>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ValidateComplexObject" fLocksText="0">
          <xdr:nvSpPr>
            <xdr:cNvPr id="10317" name="Button 77" hidden="1">
              <a:extLst>
                <a:ext uri="{63B3BB69-23CF-44E3-9099-C40C66FF867C}">
                  <a14:compatExt spid="_x0000_s10317"/>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18" name="Button 78" hidden="1">
              <a:extLst>
                <a:ext uri="{63B3BB69-23CF-44E3-9099-C40C66FF867C}">
                  <a14:compatExt spid="_x0000_s10318"/>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19" name="Button 79" hidden="1">
              <a:extLst>
                <a:ext uri="{63B3BB69-23CF-44E3-9099-C40C66FF867C}">
                  <a14:compatExt spid="_x0000_s10319"/>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ValidateComplexObject" fLocksText="0">
          <xdr:nvSpPr>
            <xdr:cNvPr id="10320" name="Button 80" hidden="1">
              <a:extLst>
                <a:ext uri="{63B3BB69-23CF-44E3-9099-C40C66FF867C}">
                  <a14:compatExt spid="_x0000_s10320"/>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21" name="Button 81" hidden="1">
              <a:extLst>
                <a:ext uri="{63B3BB69-23CF-44E3-9099-C40C66FF867C}">
                  <a14:compatExt spid="_x0000_s10321"/>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22" name="Button 82" hidden="1">
              <a:extLst>
                <a:ext uri="{63B3BB69-23CF-44E3-9099-C40C66FF867C}">
                  <a14:compatExt spid="_x0000_s10322"/>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ValidateComplexObject" fLocksText="0">
          <xdr:nvSpPr>
            <xdr:cNvPr id="10323" name="Button 83" hidden="1">
              <a:extLst>
                <a:ext uri="{63B3BB69-23CF-44E3-9099-C40C66FF867C}">
                  <a14:compatExt spid="_x0000_s10323"/>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24" name="Button 84" hidden="1">
              <a:extLst>
                <a:ext uri="{63B3BB69-23CF-44E3-9099-C40C66FF867C}">
                  <a14:compatExt spid="_x0000_s10324"/>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25" name="Button 85" hidden="1">
              <a:extLst>
                <a:ext uri="{63B3BB69-23CF-44E3-9099-C40C66FF867C}">
                  <a14:compatExt spid="_x0000_s10325"/>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ValidateComplexObject" fLocksText="0">
          <xdr:nvSpPr>
            <xdr:cNvPr id="10326" name="Button 86" hidden="1">
              <a:extLst>
                <a:ext uri="{63B3BB69-23CF-44E3-9099-C40C66FF867C}">
                  <a14:compatExt spid="_x0000_s10326"/>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27" name="Button 87" hidden="1">
              <a:extLst>
                <a:ext uri="{63B3BB69-23CF-44E3-9099-C40C66FF867C}">
                  <a14:compatExt spid="_x0000_s10327"/>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28" name="Button 88" hidden="1">
              <a:extLst>
                <a:ext uri="{63B3BB69-23CF-44E3-9099-C40C66FF867C}">
                  <a14:compatExt spid="_x0000_s10328"/>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ValidateComplexObject" fLocksText="0">
          <xdr:nvSpPr>
            <xdr:cNvPr id="10329" name="Button 89" hidden="1">
              <a:extLst>
                <a:ext uri="{63B3BB69-23CF-44E3-9099-C40C66FF867C}">
                  <a14:compatExt spid="_x0000_s10329"/>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30" name="Button 90" hidden="1">
              <a:extLst>
                <a:ext uri="{63B3BB69-23CF-44E3-9099-C40C66FF867C}">
                  <a14:compatExt spid="_x0000_s10330"/>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31" name="Button 91" hidden="1">
              <a:extLst>
                <a:ext uri="{63B3BB69-23CF-44E3-9099-C40C66FF867C}">
                  <a14:compatExt spid="_x0000_s10331"/>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32" name="Button 92" hidden="1">
              <a:extLst>
                <a:ext uri="{63B3BB69-23CF-44E3-9099-C40C66FF867C}">
                  <a14:compatExt spid="_x0000_s10332"/>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33" name="Button 93" hidden="1">
              <a:extLst>
                <a:ext uri="{63B3BB69-23CF-44E3-9099-C40C66FF867C}">
                  <a14:compatExt spid="_x0000_s10333"/>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Edits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34" name="Button 94" hidden="1">
              <a:extLst>
                <a:ext uri="{63B3BB69-23CF-44E3-9099-C40C66FF867C}">
                  <a14:compatExt spid="_x0000_s10334"/>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35" name="Button 95" hidden="1">
              <a:extLst>
                <a:ext uri="{63B3BB69-23CF-44E3-9099-C40C66FF867C}">
                  <a14:compatExt spid="_x0000_s10335"/>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36" name="Button 96" hidden="1">
              <a:extLst>
                <a:ext uri="{63B3BB69-23CF-44E3-9099-C40C66FF867C}">
                  <a14:compatExt spid="_x0000_s10336"/>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37" name="Button 97" hidden="1">
              <a:extLst>
                <a:ext uri="{63B3BB69-23CF-44E3-9099-C40C66FF867C}">
                  <a14:compatExt spid="_x0000_s10337"/>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38" name="Button 98" hidden="1">
              <a:extLst>
                <a:ext uri="{63B3BB69-23CF-44E3-9099-C40C66FF867C}">
                  <a14:compatExt spid="_x0000_s10338"/>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39" name="Button 99" hidden="1">
              <a:extLst>
                <a:ext uri="{63B3BB69-23CF-44E3-9099-C40C66FF867C}">
                  <a14:compatExt spid="_x0000_s10339"/>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40" name="Button 100" hidden="1">
              <a:extLst>
                <a:ext uri="{63B3BB69-23CF-44E3-9099-C40C66FF867C}">
                  <a14:compatExt spid="_x0000_s10340"/>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41" name="Button 101" hidden="1">
              <a:extLst>
                <a:ext uri="{63B3BB69-23CF-44E3-9099-C40C66FF867C}">
                  <a14:compatExt spid="_x0000_s10341"/>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42" name="Button 102" hidden="1">
              <a:extLst>
                <a:ext uri="{63B3BB69-23CF-44E3-9099-C40C66FF867C}">
                  <a14:compatExt spid="_x0000_s10342"/>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43" name="Button 103" hidden="1">
              <a:extLst>
                <a:ext uri="{63B3BB69-23CF-44E3-9099-C40C66FF867C}">
                  <a14:compatExt spid="_x0000_s10343"/>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44" name="Button 104" hidden="1">
              <a:extLst>
                <a:ext uri="{63B3BB69-23CF-44E3-9099-C40C66FF867C}">
                  <a14:compatExt spid="_x0000_s10344"/>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45" name="Button 105" hidden="1">
              <a:extLst>
                <a:ext uri="{63B3BB69-23CF-44E3-9099-C40C66FF867C}">
                  <a14:compatExt spid="_x0000_s10345"/>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46" name="Button 106" hidden="1">
              <a:extLst>
                <a:ext uri="{63B3BB69-23CF-44E3-9099-C40C66FF867C}">
                  <a14:compatExt spid="_x0000_s10346"/>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47" name="Button 107" hidden="1">
              <a:extLst>
                <a:ext uri="{63B3BB69-23CF-44E3-9099-C40C66FF867C}">
                  <a14:compatExt spid="_x0000_s10347"/>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48" name="Button 108" hidden="1">
              <a:extLst>
                <a:ext uri="{63B3BB69-23CF-44E3-9099-C40C66FF867C}">
                  <a14:compatExt spid="_x0000_s10348"/>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49" name="Button 109" hidden="1">
              <a:extLst>
                <a:ext uri="{63B3BB69-23CF-44E3-9099-C40C66FF867C}">
                  <a14:compatExt spid="_x0000_s10349"/>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50" name="Button 110" hidden="1">
              <a:extLst>
                <a:ext uri="{63B3BB69-23CF-44E3-9099-C40C66FF867C}">
                  <a14:compatExt spid="_x0000_s10350"/>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51" name="Button 111" hidden="1">
              <a:extLst>
                <a:ext uri="{63B3BB69-23CF-44E3-9099-C40C66FF867C}">
                  <a14:compatExt spid="_x0000_s10351"/>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52" name="Button 112" hidden="1">
              <a:extLst>
                <a:ext uri="{63B3BB69-23CF-44E3-9099-C40C66FF867C}">
                  <a14:compatExt spid="_x0000_s10352"/>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53" name="Button 113" hidden="1">
              <a:extLst>
                <a:ext uri="{63B3BB69-23CF-44E3-9099-C40C66FF867C}">
                  <a14:compatExt spid="_x0000_s10353"/>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54" name="Button 114" hidden="1">
              <a:extLst>
                <a:ext uri="{63B3BB69-23CF-44E3-9099-C40C66FF867C}">
                  <a14:compatExt spid="_x0000_s10354"/>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55" name="Button 115" hidden="1">
              <a:extLst>
                <a:ext uri="{63B3BB69-23CF-44E3-9099-C40C66FF867C}">
                  <a14:compatExt spid="_x0000_s10355"/>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56" name="Button 116" hidden="1">
              <a:extLst>
                <a:ext uri="{63B3BB69-23CF-44E3-9099-C40C66FF867C}">
                  <a14:compatExt spid="_x0000_s10356"/>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57" name="Button 117" hidden="1">
              <a:extLst>
                <a:ext uri="{63B3BB69-23CF-44E3-9099-C40C66FF867C}">
                  <a14:compatExt spid="_x0000_s10357"/>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58" name="Button 118" hidden="1">
              <a:extLst>
                <a:ext uri="{63B3BB69-23CF-44E3-9099-C40C66FF867C}">
                  <a14:compatExt spid="_x0000_s10358"/>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59" name="Button 119" hidden="1">
              <a:extLst>
                <a:ext uri="{63B3BB69-23CF-44E3-9099-C40C66FF867C}">
                  <a14:compatExt spid="_x0000_s10359"/>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60" name="Button 120" hidden="1">
              <a:extLst>
                <a:ext uri="{63B3BB69-23CF-44E3-9099-C40C66FF867C}">
                  <a14:compatExt spid="_x0000_s10360"/>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61" name="Button 121" hidden="1">
              <a:extLst>
                <a:ext uri="{63B3BB69-23CF-44E3-9099-C40C66FF867C}">
                  <a14:compatExt spid="_x0000_s10361"/>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62" name="Button 122" hidden="1">
              <a:extLst>
                <a:ext uri="{63B3BB69-23CF-44E3-9099-C40C66FF867C}">
                  <a14:compatExt spid="_x0000_s10362"/>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63" name="Button 123" hidden="1">
              <a:extLst>
                <a:ext uri="{63B3BB69-23CF-44E3-9099-C40C66FF867C}">
                  <a14:compatExt spid="_x0000_s10363"/>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64" name="Button 124" hidden="1">
              <a:extLst>
                <a:ext uri="{63B3BB69-23CF-44E3-9099-C40C66FF867C}">
                  <a14:compatExt spid="_x0000_s10364"/>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65" name="Button 125" hidden="1">
              <a:extLst>
                <a:ext uri="{63B3BB69-23CF-44E3-9099-C40C66FF867C}">
                  <a14:compatExt spid="_x0000_s10365"/>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66" name="Button 126" hidden="1">
              <a:extLst>
                <a:ext uri="{63B3BB69-23CF-44E3-9099-C40C66FF867C}">
                  <a14:compatExt spid="_x0000_s10366"/>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67" name="Button 127" hidden="1">
              <a:extLst>
                <a:ext uri="{63B3BB69-23CF-44E3-9099-C40C66FF867C}">
                  <a14:compatExt spid="_x0000_s10367"/>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68" name="Button 128" hidden="1">
              <a:extLst>
                <a:ext uri="{63B3BB69-23CF-44E3-9099-C40C66FF867C}">
                  <a14:compatExt spid="_x0000_s10368"/>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69" name="Button 129" hidden="1">
              <a:extLst>
                <a:ext uri="{63B3BB69-23CF-44E3-9099-C40C66FF867C}">
                  <a14:compatExt spid="_x0000_s10369"/>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70" name="Button 130" hidden="1">
              <a:extLst>
                <a:ext uri="{63B3BB69-23CF-44E3-9099-C40C66FF867C}">
                  <a14:compatExt spid="_x0000_s10370"/>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71" name="Button 131" hidden="1">
              <a:extLst>
                <a:ext uri="{63B3BB69-23CF-44E3-9099-C40C66FF867C}">
                  <a14:compatExt spid="_x0000_s10371"/>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72" name="Button 132" hidden="1">
              <a:extLst>
                <a:ext uri="{63B3BB69-23CF-44E3-9099-C40C66FF867C}">
                  <a14:compatExt spid="_x0000_s10372"/>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73" name="Button 133" hidden="1">
              <a:extLst>
                <a:ext uri="{63B3BB69-23CF-44E3-9099-C40C66FF867C}">
                  <a14:compatExt spid="_x0000_s10373"/>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74" name="Button 134" hidden="1">
              <a:extLst>
                <a:ext uri="{63B3BB69-23CF-44E3-9099-C40C66FF867C}">
                  <a14:compatExt spid="_x0000_s10374"/>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75" name="Button 135" hidden="1">
              <a:extLst>
                <a:ext uri="{63B3BB69-23CF-44E3-9099-C40C66FF867C}">
                  <a14:compatExt spid="_x0000_s10375"/>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76" name="Button 136" hidden="1">
              <a:extLst>
                <a:ext uri="{63B3BB69-23CF-44E3-9099-C40C66FF867C}">
                  <a14:compatExt spid="_x0000_s10376"/>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77" name="Button 137" hidden="1">
              <a:extLst>
                <a:ext uri="{63B3BB69-23CF-44E3-9099-C40C66FF867C}">
                  <a14:compatExt spid="_x0000_s10377"/>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78" name="Button 138" hidden="1">
              <a:extLst>
                <a:ext uri="{63B3BB69-23CF-44E3-9099-C40C66FF867C}">
                  <a14:compatExt spid="_x0000_s10378"/>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79" name="Button 139" hidden="1">
              <a:extLst>
                <a:ext uri="{63B3BB69-23CF-44E3-9099-C40C66FF867C}">
                  <a14:compatExt spid="_x0000_s10379"/>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80" name="Button 140" hidden="1">
              <a:extLst>
                <a:ext uri="{63B3BB69-23CF-44E3-9099-C40C66FF867C}">
                  <a14:compatExt spid="_x0000_s10380"/>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81" name="Button 141" hidden="1">
              <a:extLst>
                <a:ext uri="{63B3BB69-23CF-44E3-9099-C40C66FF867C}">
                  <a14:compatExt spid="_x0000_s10381"/>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82" name="Button 142" hidden="1">
              <a:extLst>
                <a:ext uri="{63B3BB69-23CF-44E3-9099-C40C66FF867C}">
                  <a14:compatExt spid="_x0000_s10382"/>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83" name="Button 143" hidden="1">
              <a:extLst>
                <a:ext uri="{63B3BB69-23CF-44E3-9099-C40C66FF867C}">
                  <a14:compatExt spid="_x0000_s10383"/>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84" name="Button 144" hidden="1">
              <a:extLst>
                <a:ext uri="{63B3BB69-23CF-44E3-9099-C40C66FF867C}">
                  <a14:compatExt spid="_x0000_s10384"/>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85" name="Button 145" hidden="1">
              <a:extLst>
                <a:ext uri="{63B3BB69-23CF-44E3-9099-C40C66FF867C}">
                  <a14:compatExt spid="_x0000_s10385"/>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86" name="Button 146" hidden="1">
              <a:extLst>
                <a:ext uri="{63B3BB69-23CF-44E3-9099-C40C66FF867C}">
                  <a14:compatExt spid="_x0000_s10386"/>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87" name="Button 147" hidden="1">
              <a:extLst>
                <a:ext uri="{63B3BB69-23CF-44E3-9099-C40C66FF867C}">
                  <a14:compatExt spid="_x0000_s10387"/>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88" name="Button 148" hidden="1">
              <a:extLst>
                <a:ext uri="{63B3BB69-23CF-44E3-9099-C40C66FF867C}">
                  <a14:compatExt spid="_x0000_s10388"/>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89" name="Button 149" hidden="1">
              <a:extLst>
                <a:ext uri="{63B3BB69-23CF-44E3-9099-C40C66FF867C}">
                  <a14:compatExt spid="_x0000_s10389"/>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90" name="Button 150" hidden="1">
              <a:extLst>
                <a:ext uri="{63B3BB69-23CF-44E3-9099-C40C66FF867C}">
                  <a14:compatExt spid="_x0000_s10390"/>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91" name="Button 151" hidden="1">
              <a:extLst>
                <a:ext uri="{63B3BB69-23CF-44E3-9099-C40C66FF867C}">
                  <a14:compatExt spid="_x0000_s10391"/>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92" name="Button 152" hidden="1">
              <a:extLst>
                <a:ext uri="{63B3BB69-23CF-44E3-9099-C40C66FF867C}">
                  <a14:compatExt spid="_x0000_s10392"/>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93" name="Button 153" hidden="1">
              <a:extLst>
                <a:ext uri="{63B3BB69-23CF-44E3-9099-C40C66FF867C}">
                  <a14:compatExt spid="_x0000_s10393"/>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94" name="Button 154" hidden="1">
              <a:extLst>
                <a:ext uri="{63B3BB69-23CF-44E3-9099-C40C66FF867C}">
                  <a14:compatExt spid="_x0000_s10394"/>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95" name="Button 155" hidden="1">
              <a:extLst>
                <a:ext uri="{63B3BB69-23CF-44E3-9099-C40C66FF867C}">
                  <a14:compatExt spid="_x0000_s10395"/>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96" name="Button 156" hidden="1">
              <a:extLst>
                <a:ext uri="{63B3BB69-23CF-44E3-9099-C40C66FF867C}">
                  <a14:compatExt spid="_x0000_s10396"/>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397" name="Button 157" hidden="1">
              <a:extLst>
                <a:ext uri="{63B3BB69-23CF-44E3-9099-C40C66FF867C}">
                  <a14:compatExt spid="_x0000_s10397"/>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398" name="Button 158" hidden="1">
              <a:extLst>
                <a:ext uri="{63B3BB69-23CF-44E3-9099-C40C66FF867C}">
                  <a14:compatExt spid="_x0000_s10398"/>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399" name="Button 159" hidden="1">
              <a:extLst>
                <a:ext uri="{63B3BB69-23CF-44E3-9099-C40C66FF867C}">
                  <a14:compatExt spid="_x0000_s10399"/>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00" name="Button 160" hidden="1">
              <a:extLst>
                <a:ext uri="{63B3BB69-23CF-44E3-9099-C40C66FF867C}">
                  <a14:compatExt spid="_x0000_s10400"/>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01" name="Button 161" hidden="1">
              <a:extLst>
                <a:ext uri="{63B3BB69-23CF-44E3-9099-C40C66FF867C}">
                  <a14:compatExt spid="_x0000_s10401"/>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02" name="Button 162" hidden="1">
              <a:extLst>
                <a:ext uri="{63B3BB69-23CF-44E3-9099-C40C66FF867C}">
                  <a14:compatExt spid="_x0000_s10402"/>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03" name="Button 163" hidden="1">
              <a:extLst>
                <a:ext uri="{63B3BB69-23CF-44E3-9099-C40C66FF867C}">
                  <a14:compatExt spid="_x0000_s10403"/>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04" name="Button 164" hidden="1">
              <a:extLst>
                <a:ext uri="{63B3BB69-23CF-44E3-9099-C40C66FF867C}">
                  <a14:compatExt spid="_x0000_s10404"/>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05" name="Button 165" hidden="1">
              <a:extLst>
                <a:ext uri="{63B3BB69-23CF-44E3-9099-C40C66FF867C}">
                  <a14:compatExt spid="_x0000_s10405"/>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06" name="Button 166" hidden="1">
              <a:extLst>
                <a:ext uri="{63B3BB69-23CF-44E3-9099-C40C66FF867C}">
                  <a14:compatExt spid="_x0000_s10406"/>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07" name="Button 167" hidden="1">
              <a:extLst>
                <a:ext uri="{63B3BB69-23CF-44E3-9099-C40C66FF867C}">
                  <a14:compatExt spid="_x0000_s10407"/>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08" name="Button 168" hidden="1">
              <a:extLst>
                <a:ext uri="{63B3BB69-23CF-44E3-9099-C40C66FF867C}">
                  <a14:compatExt spid="_x0000_s10408"/>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09" name="Button 169" hidden="1">
              <a:extLst>
                <a:ext uri="{63B3BB69-23CF-44E3-9099-C40C66FF867C}">
                  <a14:compatExt spid="_x0000_s10409"/>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10" name="Button 170" hidden="1">
              <a:extLst>
                <a:ext uri="{63B3BB69-23CF-44E3-9099-C40C66FF867C}">
                  <a14:compatExt spid="_x0000_s10410"/>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11" name="Button 171" hidden="1">
              <a:extLst>
                <a:ext uri="{63B3BB69-23CF-44E3-9099-C40C66FF867C}">
                  <a14:compatExt spid="_x0000_s10411"/>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12" name="Button 172" hidden="1">
              <a:extLst>
                <a:ext uri="{63B3BB69-23CF-44E3-9099-C40C66FF867C}">
                  <a14:compatExt spid="_x0000_s10412"/>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13" name="Button 173" hidden="1">
              <a:extLst>
                <a:ext uri="{63B3BB69-23CF-44E3-9099-C40C66FF867C}">
                  <a14:compatExt spid="_x0000_s10413"/>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14" name="Button 174" hidden="1">
              <a:extLst>
                <a:ext uri="{63B3BB69-23CF-44E3-9099-C40C66FF867C}">
                  <a14:compatExt spid="_x0000_s10414"/>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15" name="Button 175" hidden="1">
              <a:extLst>
                <a:ext uri="{63B3BB69-23CF-44E3-9099-C40C66FF867C}">
                  <a14:compatExt spid="_x0000_s10415"/>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16" name="Button 176" hidden="1">
              <a:extLst>
                <a:ext uri="{63B3BB69-23CF-44E3-9099-C40C66FF867C}">
                  <a14:compatExt spid="_x0000_s10416"/>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17" name="Button 177" hidden="1">
              <a:extLst>
                <a:ext uri="{63B3BB69-23CF-44E3-9099-C40C66FF867C}">
                  <a14:compatExt spid="_x0000_s10417"/>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28575</xdr:colOff>
          <xdr:row>0</xdr:row>
          <xdr:rowOff>0</xdr:rowOff>
        </xdr:from>
        <xdr:to>
          <xdr:col>35</xdr:col>
          <xdr:colOff>457200</xdr:colOff>
          <xdr:row>0</xdr:row>
          <xdr:rowOff>0</xdr:rowOff>
        </xdr:to>
        <xdr:sp macro="[0]!BuildComplexObjectFromSimpleObject" fLocksText="0">
          <xdr:nvSpPr>
            <xdr:cNvPr id="10418" name="Button 178" hidden="1">
              <a:extLst>
                <a:ext uri="{63B3BB69-23CF-44E3-9099-C40C66FF867C}">
                  <a14:compatExt spid="_x0000_s10418"/>
                </a:ext>
              </a:extLst>
            </xdr:cNvPr>
            <xdr:cNvSpPr>
              <a:spLocks noRot="1"/>
            </xdr:cNvSpPr>
          </xdr:nvSpPr>
          <xdr:spPr>
            <a:xfrm>
              <a:off x="3465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9525</xdr:colOff>
          <xdr:row>0</xdr:row>
          <xdr:rowOff>0</xdr:rowOff>
        </xdr:from>
        <xdr:to>
          <xdr:col>38</xdr:col>
          <xdr:colOff>438150</xdr:colOff>
          <xdr:row>0</xdr:row>
          <xdr:rowOff>0</xdr:rowOff>
        </xdr:to>
        <xdr:sp macro="[0]!EditLoadComplexObject" fLocksText="0">
          <xdr:nvSpPr>
            <xdr:cNvPr id="10419" name="Button 179" hidden="1">
              <a:extLst>
                <a:ext uri="{63B3BB69-23CF-44E3-9099-C40C66FF867C}">
                  <a14:compatExt spid="_x0000_s10419"/>
                </a:ext>
              </a:extLst>
            </xdr:cNvPr>
            <xdr:cNvSpPr>
              <a:spLocks noRot="1"/>
            </xdr:cNvSpPr>
          </xdr:nvSpPr>
          <xdr:spPr>
            <a:xfrm>
              <a:off x="364617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9525</xdr:colOff>
          <xdr:row>0</xdr:row>
          <xdr:rowOff>0</xdr:rowOff>
        </xdr:from>
        <xdr:to>
          <xdr:col>41</xdr:col>
          <xdr:colOff>438150</xdr:colOff>
          <xdr:row>0</xdr:row>
          <xdr:rowOff>0</xdr:rowOff>
        </xdr:to>
        <xdr:sp macro="[0]!PostEditResultsToSimpleObject" fLocksText="0">
          <xdr:nvSpPr>
            <xdr:cNvPr id="10420" name="Button 180" hidden="1">
              <a:extLst>
                <a:ext uri="{63B3BB69-23CF-44E3-9099-C40C66FF867C}">
                  <a14:compatExt spid="_x0000_s10420"/>
                </a:ext>
              </a:extLst>
            </xdr:cNvPr>
            <xdr:cNvSpPr>
              <a:spLocks noRot="1"/>
            </xdr:cNvSpPr>
          </xdr:nvSpPr>
          <xdr:spPr>
            <a:xfrm>
              <a:off x="382905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21" name="Button 181" hidden="1">
              <a:extLst>
                <a:ext uri="{63B3BB69-23CF-44E3-9099-C40C66FF867C}">
                  <a14:compatExt spid="_x0000_s10421"/>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22" name="Button 182" hidden="1">
              <a:extLst>
                <a:ext uri="{63B3BB69-23CF-44E3-9099-C40C66FF867C}">
                  <a14:compatExt spid="_x0000_s10422"/>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23" name="Button 183" hidden="1">
              <a:extLst>
                <a:ext uri="{63B3BB69-23CF-44E3-9099-C40C66FF867C}">
                  <a14:compatExt spid="_x0000_s10423"/>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24" name="Button 184" hidden="1">
              <a:extLst>
                <a:ext uri="{63B3BB69-23CF-44E3-9099-C40C66FF867C}">
                  <a14:compatExt spid="_x0000_s10424"/>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25" name="Button 185" hidden="1">
              <a:extLst>
                <a:ext uri="{63B3BB69-23CF-44E3-9099-C40C66FF867C}">
                  <a14:compatExt spid="_x0000_s10425"/>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26" name="Button 186" hidden="1">
              <a:extLst>
                <a:ext uri="{63B3BB69-23CF-44E3-9099-C40C66FF867C}">
                  <a14:compatExt spid="_x0000_s10426"/>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27" name="Button 187" hidden="1">
              <a:extLst>
                <a:ext uri="{63B3BB69-23CF-44E3-9099-C40C66FF867C}">
                  <a14:compatExt spid="_x0000_s10427"/>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28" name="Button 188" hidden="1">
              <a:extLst>
                <a:ext uri="{63B3BB69-23CF-44E3-9099-C40C66FF867C}">
                  <a14:compatExt spid="_x0000_s10428"/>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29" name="Button 189" hidden="1">
              <a:extLst>
                <a:ext uri="{63B3BB69-23CF-44E3-9099-C40C66FF867C}">
                  <a14:compatExt spid="_x0000_s10429"/>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30" name="Button 190" hidden="1">
              <a:extLst>
                <a:ext uri="{63B3BB69-23CF-44E3-9099-C40C66FF867C}">
                  <a14:compatExt spid="_x0000_s10430"/>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31" name="Button 191" hidden="1">
              <a:extLst>
                <a:ext uri="{63B3BB69-23CF-44E3-9099-C40C66FF867C}">
                  <a14:compatExt spid="_x0000_s10431"/>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32" name="Button 192" hidden="1">
              <a:extLst>
                <a:ext uri="{63B3BB69-23CF-44E3-9099-C40C66FF867C}">
                  <a14:compatExt spid="_x0000_s10432"/>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33" name="Button 193" hidden="1">
              <a:extLst>
                <a:ext uri="{63B3BB69-23CF-44E3-9099-C40C66FF867C}">
                  <a14:compatExt spid="_x0000_s10433"/>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34" name="Button 194" hidden="1">
              <a:extLst>
                <a:ext uri="{63B3BB69-23CF-44E3-9099-C40C66FF867C}">
                  <a14:compatExt spid="_x0000_s10434"/>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35" name="Button 195" hidden="1">
              <a:extLst>
                <a:ext uri="{63B3BB69-23CF-44E3-9099-C40C66FF867C}">
                  <a14:compatExt spid="_x0000_s10435"/>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36" name="Button 196" hidden="1">
              <a:extLst>
                <a:ext uri="{63B3BB69-23CF-44E3-9099-C40C66FF867C}">
                  <a14:compatExt spid="_x0000_s10436"/>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37" name="Button 197" hidden="1">
              <a:extLst>
                <a:ext uri="{63B3BB69-23CF-44E3-9099-C40C66FF867C}">
                  <a14:compatExt spid="_x0000_s10437"/>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38" name="Button 198" hidden="1">
              <a:extLst>
                <a:ext uri="{63B3BB69-23CF-44E3-9099-C40C66FF867C}">
                  <a14:compatExt spid="_x0000_s10438"/>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39" name="Button 199" hidden="1">
              <a:extLst>
                <a:ext uri="{63B3BB69-23CF-44E3-9099-C40C66FF867C}">
                  <a14:compatExt spid="_x0000_s10439"/>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40" name="Button 200" hidden="1">
              <a:extLst>
                <a:ext uri="{63B3BB69-23CF-44E3-9099-C40C66FF867C}">
                  <a14:compatExt spid="_x0000_s10440"/>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41" name="Button 201" hidden="1">
              <a:extLst>
                <a:ext uri="{63B3BB69-23CF-44E3-9099-C40C66FF867C}">
                  <a14:compatExt spid="_x0000_s10441"/>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42" name="Button 202" hidden="1">
              <a:extLst>
                <a:ext uri="{63B3BB69-23CF-44E3-9099-C40C66FF867C}">
                  <a14:compatExt spid="_x0000_s10442"/>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43" name="Button 203" hidden="1">
              <a:extLst>
                <a:ext uri="{63B3BB69-23CF-44E3-9099-C40C66FF867C}">
                  <a14:compatExt spid="_x0000_s10443"/>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44" name="Button 204" hidden="1">
              <a:extLst>
                <a:ext uri="{63B3BB69-23CF-44E3-9099-C40C66FF867C}">
                  <a14:compatExt spid="_x0000_s10444"/>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45" name="Button 205" hidden="1">
              <a:extLst>
                <a:ext uri="{63B3BB69-23CF-44E3-9099-C40C66FF867C}">
                  <a14:compatExt spid="_x0000_s10445"/>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46" name="Button 206" hidden="1">
              <a:extLst>
                <a:ext uri="{63B3BB69-23CF-44E3-9099-C40C66FF867C}">
                  <a14:compatExt spid="_x0000_s10446"/>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47" name="Button 207" hidden="1">
              <a:extLst>
                <a:ext uri="{63B3BB69-23CF-44E3-9099-C40C66FF867C}">
                  <a14:compatExt spid="_x0000_s10447"/>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48" name="Button 208" hidden="1">
              <a:extLst>
                <a:ext uri="{63B3BB69-23CF-44E3-9099-C40C66FF867C}">
                  <a14:compatExt spid="_x0000_s10448"/>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49" name="Button 209" hidden="1">
              <a:extLst>
                <a:ext uri="{63B3BB69-23CF-44E3-9099-C40C66FF867C}">
                  <a14:compatExt spid="_x0000_s10449"/>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50" name="Button 210" hidden="1">
              <a:extLst>
                <a:ext uri="{63B3BB69-23CF-44E3-9099-C40C66FF867C}">
                  <a14:compatExt spid="_x0000_s10450"/>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51" name="Button 211" hidden="1">
              <a:extLst>
                <a:ext uri="{63B3BB69-23CF-44E3-9099-C40C66FF867C}">
                  <a14:compatExt spid="_x0000_s10451"/>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52" name="Button 212" hidden="1">
              <a:extLst>
                <a:ext uri="{63B3BB69-23CF-44E3-9099-C40C66FF867C}">
                  <a14:compatExt spid="_x0000_s10452"/>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53" name="Button 213" hidden="1">
              <a:extLst>
                <a:ext uri="{63B3BB69-23CF-44E3-9099-C40C66FF867C}">
                  <a14:compatExt spid="_x0000_s10453"/>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54" name="Button 214" hidden="1">
              <a:extLst>
                <a:ext uri="{63B3BB69-23CF-44E3-9099-C40C66FF867C}">
                  <a14:compatExt spid="_x0000_s10454"/>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55" name="Button 215" hidden="1">
              <a:extLst>
                <a:ext uri="{63B3BB69-23CF-44E3-9099-C40C66FF867C}">
                  <a14:compatExt spid="_x0000_s10455"/>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56" name="Button 216" hidden="1">
              <a:extLst>
                <a:ext uri="{63B3BB69-23CF-44E3-9099-C40C66FF867C}">
                  <a14:compatExt spid="_x0000_s10456"/>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57" name="Button 217" hidden="1">
              <a:extLst>
                <a:ext uri="{63B3BB69-23CF-44E3-9099-C40C66FF867C}">
                  <a14:compatExt spid="_x0000_s10457"/>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58" name="Button 218" hidden="1">
              <a:extLst>
                <a:ext uri="{63B3BB69-23CF-44E3-9099-C40C66FF867C}">
                  <a14:compatExt spid="_x0000_s10458"/>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59" name="Button 219" hidden="1">
              <a:extLst>
                <a:ext uri="{63B3BB69-23CF-44E3-9099-C40C66FF867C}">
                  <a14:compatExt spid="_x0000_s10459"/>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60" name="Button 220" hidden="1">
              <a:extLst>
                <a:ext uri="{63B3BB69-23CF-44E3-9099-C40C66FF867C}">
                  <a14:compatExt spid="_x0000_s10460"/>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61" name="Button 221" hidden="1">
              <a:extLst>
                <a:ext uri="{63B3BB69-23CF-44E3-9099-C40C66FF867C}">
                  <a14:compatExt spid="_x0000_s10461"/>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62" name="Button 222" hidden="1">
              <a:extLst>
                <a:ext uri="{63B3BB69-23CF-44E3-9099-C40C66FF867C}">
                  <a14:compatExt spid="_x0000_s10462"/>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63" name="Button 223" hidden="1">
              <a:extLst>
                <a:ext uri="{63B3BB69-23CF-44E3-9099-C40C66FF867C}">
                  <a14:compatExt spid="_x0000_s10463"/>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64" name="Button 224" hidden="1">
              <a:extLst>
                <a:ext uri="{63B3BB69-23CF-44E3-9099-C40C66FF867C}">
                  <a14:compatExt spid="_x0000_s10464"/>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65" name="Button 225" hidden="1">
              <a:extLst>
                <a:ext uri="{63B3BB69-23CF-44E3-9099-C40C66FF867C}">
                  <a14:compatExt spid="_x0000_s10465"/>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66" name="Button 226" hidden="1">
              <a:extLst>
                <a:ext uri="{63B3BB69-23CF-44E3-9099-C40C66FF867C}">
                  <a14:compatExt spid="_x0000_s10466"/>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67" name="Button 227" hidden="1">
              <a:extLst>
                <a:ext uri="{63B3BB69-23CF-44E3-9099-C40C66FF867C}">
                  <a14:compatExt spid="_x0000_s10467"/>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68" name="Button 228" hidden="1">
              <a:extLst>
                <a:ext uri="{63B3BB69-23CF-44E3-9099-C40C66FF867C}">
                  <a14:compatExt spid="_x0000_s10468"/>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69" name="Button 229" hidden="1">
              <a:extLst>
                <a:ext uri="{63B3BB69-23CF-44E3-9099-C40C66FF867C}">
                  <a14:compatExt spid="_x0000_s10469"/>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70" name="Button 230" hidden="1">
              <a:extLst>
                <a:ext uri="{63B3BB69-23CF-44E3-9099-C40C66FF867C}">
                  <a14:compatExt spid="_x0000_s10470"/>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71" name="Button 231" hidden="1">
              <a:extLst>
                <a:ext uri="{63B3BB69-23CF-44E3-9099-C40C66FF867C}">
                  <a14:compatExt spid="_x0000_s10471"/>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72" name="Button 232" hidden="1">
              <a:extLst>
                <a:ext uri="{63B3BB69-23CF-44E3-9099-C40C66FF867C}">
                  <a14:compatExt spid="_x0000_s10472"/>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73" name="Button 233" hidden="1">
              <a:extLst>
                <a:ext uri="{63B3BB69-23CF-44E3-9099-C40C66FF867C}">
                  <a14:compatExt spid="_x0000_s10473"/>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74" name="Button 234" hidden="1">
              <a:extLst>
                <a:ext uri="{63B3BB69-23CF-44E3-9099-C40C66FF867C}">
                  <a14:compatExt spid="_x0000_s10474"/>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75" name="Button 235" hidden="1">
              <a:extLst>
                <a:ext uri="{63B3BB69-23CF-44E3-9099-C40C66FF867C}">
                  <a14:compatExt spid="_x0000_s10475"/>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Construct database objects from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76" name="Button 236" hidden="1">
              <a:extLst>
                <a:ext uri="{63B3BB69-23CF-44E3-9099-C40C66FF867C}">
                  <a14:compatExt spid="_x0000_s10476"/>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Edit/Load </a:t>
              </a:r>
            </a:p>
            <a:p>
              <a:pPr algn="ctr" rtl="0">
                <a:defRPr sz="1000"/>
              </a:pPr>
              <a:r>
                <a:rPr lang="en-US" sz="1000" u="none" b="1" i="0" baseline="0">
                  <a:solidFill>
                    <a:srgbClr val="000000"/>
                  </a:solidFill>
                  <a:latin typeface="Arial"/>
                  <a:cs typeface="Arial"/>
                </a:rPr>
                <a:t>Complex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77" name="Button 237" hidden="1">
              <a:extLst>
                <a:ext uri="{63B3BB69-23CF-44E3-9099-C40C66FF867C}">
                  <a14:compatExt spid="_x0000_s10477"/>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Post Edit Results to </a:t>
              </a:r>
            </a:p>
            <a:p>
              <a:pPr algn="ctr" rtl="0">
                <a:defRPr sz="1000"/>
              </a:pPr>
              <a:r>
                <a:rPr lang="en-US" sz="1000" u="none" b="1" i="0" baseline="0">
                  <a:solidFill>
                    <a:srgbClr val="000000"/>
                  </a:solidFill>
                  <a:latin typeface="Arial"/>
                  <a:cs typeface="Arial"/>
                </a:rPr>
                <a:t>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78" name="Button 238" hidden="1">
              <a:extLst>
                <a:ext uri="{63B3BB69-23CF-44E3-9099-C40C66FF867C}">
                  <a14:compatExt spid="_x0000_s10478"/>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Import data from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161925</xdr:colOff>
          <xdr:row>0</xdr:row>
          <xdr:rowOff>0</xdr:rowOff>
        </xdr:from>
        <xdr:to>
          <xdr:col>40</xdr:col>
          <xdr:colOff>590550</xdr:colOff>
          <xdr:row>0</xdr:row>
          <xdr:rowOff>0</xdr:rowOff>
        </xdr:to>
        <xdr:sp macro="[0]!EditLoadComplexObject" fLocksText="0">
          <xdr:nvSpPr>
            <xdr:cNvPr id="10479" name="Button 239" hidden="1">
              <a:extLst>
                <a:ext uri="{63B3BB69-23CF-44E3-9099-C40C66FF867C}">
                  <a14:compatExt spid="_x0000_s10479"/>
                </a:ext>
              </a:extLst>
            </xdr:cNvPr>
            <xdr:cNvSpPr>
              <a:spLocks noRot="1"/>
            </xdr:cNvSpPr>
          </xdr:nvSpPr>
          <xdr:spPr>
            <a:xfrm>
              <a:off x="37833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Submit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161925</xdr:colOff>
          <xdr:row>0</xdr:row>
          <xdr:rowOff>0</xdr:rowOff>
        </xdr:from>
        <xdr:to>
          <xdr:col>43</xdr:col>
          <xdr:colOff>590550</xdr:colOff>
          <xdr:row>0</xdr:row>
          <xdr:rowOff>0</xdr:rowOff>
        </xdr:to>
        <xdr:sp macro="[0]!PostEditResultsToSimpleObject" fLocksText="0">
          <xdr:nvSpPr>
            <xdr:cNvPr id="10480" name="Button 240" hidden="1">
              <a:extLst>
                <a:ext uri="{63B3BB69-23CF-44E3-9099-C40C66FF867C}">
                  <a14:compatExt spid="_x0000_s10480"/>
                </a:ext>
              </a:extLst>
            </xdr:cNvPr>
            <xdr:cNvSpPr>
              <a:spLocks noRot="1"/>
            </xdr:cNvSpPr>
          </xdr:nvSpPr>
          <xdr:spPr>
            <a:xfrm>
              <a:off x="396621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Post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85725</xdr:colOff>
          <xdr:row>0</xdr:row>
          <xdr:rowOff>0</xdr:rowOff>
        </xdr:from>
        <xdr:to>
          <xdr:col>37</xdr:col>
          <xdr:colOff>514350</xdr:colOff>
          <xdr:row>0</xdr:row>
          <xdr:rowOff>0</xdr:rowOff>
        </xdr:to>
        <xdr:sp macro="[0]!BuildComplexObjectFromSimpleObject" fLocksText="0">
          <xdr:nvSpPr>
            <xdr:cNvPr id="10481" name="Button 241" hidden="1">
              <a:extLst>
                <a:ext uri="{63B3BB69-23CF-44E3-9099-C40C66FF867C}">
                  <a14:compatExt spid="_x0000_s10481"/>
                </a:ext>
              </a:extLst>
            </xdr:cNvPr>
            <xdr:cNvSpPr>
              <a:spLocks noRot="1"/>
            </xdr:cNvSpPr>
          </xdr:nvSpPr>
          <xdr:spPr>
            <a:xfrm>
              <a:off x="3592830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Build Complex Objects </a:t>
              </a:r>
            </a:p>
            <a:p>
              <a:pPr algn="ctr" rtl="0">
                <a:defRPr sz="1000"/>
              </a:pPr>
              <a:r>
                <a:rPr lang="en-US" sz="1000" u="none" b="1" i="0" baseline="0">
                  <a:solidFill>
                    <a:srgbClr val="000000"/>
                  </a:solidFill>
                  <a:latin typeface="Arial"/>
                  <a:cs typeface="Arial"/>
                </a:rPr>
                <a:t>from Simple Objects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285750</xdr:colOff>
          <xdr:row>0</xdr:row>
          <xdr:rowOff>0</xdr:rowOff>
        </xdr:from>
        <xdr:to>
          <xdr:col>41</xdr:col>
          <xdr:colOff>104775</xdr:colOff>
          <xdr:row>0</xdr:row>
          <xdr:rowOff>0</xdr:rowOff>
        </xdr:to>
        <xdr:sp macro="[0]!CreateTemplateFromCIDef" fLocksText="0">
          <xdr:nvSpPr>
            <xdr:cNvPr id="10482" name="Button 242" hidden="1">
              <a:extLst>
                <a:ext uri="{63B3BB69-23CF-44E3-9099-C40C66FF867C}">
                  <a14:compatExt spid="_x0000_s10482"/>
                </a:ext>
              </a:extLst>
            </xdr:cNvPr>
            <xdr:cNvSpPr>
              <a:spLocks noRot="1"/>
            </xdr:cNvSpPr>
          </xdr:nvSpPr>
          <xdr:spPr>
            <a:xfrm>
              <a:off x="379571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Submit the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42</xdr:col>
          <xdr:colOff>285750</xdr:colOff>
          <xdr:row>0</xdr:row>
          <xdr:rowOff>0</xdr:rowOff>
        </xdr:from>
        <xdr:to>
          <xdr:col>45</xdr:col>
          <xdr:colOff>104775</xdr:colOff>
          <xdr:row>0</xdr:row>
          <xdr:rowOff>0</xdr:rowOff>
        </xdr:to>
        <xdr:sp macro="[0]!PostEditResultsToSimpleObject" fLocksText="0">
          <xdr:nvSpPr>
            <xdr:cNvPr id="10483" name="Button 243" hidden="1">
              <a:extLst>
                <a:ext uri="{63B3BB69-23CF-44E3-9099-C40C66FF867C}">
                  <a14:compatExt spid="_x0000_s10483"/>
                </a:ext>
              </a:extLst>
            </xdr:cNvPr>
            <xdr:cNvSpPr>
              <a:spLocks noRot="1"/>
            </xdr:cNvSpPr>
          </xdr:nvSpPr>
          <xdr:spPr>
            <a:xfrm>
              <a:off x="40395525"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Post the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180975</xdr:colOff>
          <xdr:row>0</xdr:row>
          <xdr:rowOff>0</xdr:rowOff>
        </xdr:from>
        <xdr:to>
          <xdr:col>42</xdr:col>
          <xdr:colOff>0</xdr:colOff>
          <xdr:row>0</xdr:row>
          <xdr:rowOff>0</xdr:rowOff>
        </xdr:to>
        <xdr:sp macro="[0]!HighlightTemplateFields" fLocksText="0">
          <xdr:nvSpPr>
            <xdr:cNvPr id="10484" name="Button 244" hidden="1">
              <a:extLst>
                <a:ext uri="{63B3BB69-23CF-44E3-9099-C40C66FF867C}">
                  <a14:compatExt spid="_x0000_s10484"/>
                </a:ext>
              </a:extLst>
            </xdr:cNvPr>
            <xdr:cNvSpPr>
              <a:spLocks noRot="1"/>
            </xdr:cNvSpPr>
          </xdr:nvSpPr>
          <xdr:spPr>
            <a:xfrm>
              <a:off x="384619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Highlight Template</a:t>
              </a:r>
            </a:p>
            <a:p>
              <a:pPr algn="ctr" rtl="0">
                <a:defRPr sz="1000"/>
              </a:pPr>
              <a:r>
                <a:rPr lang="en-US" sz="1000" u="none" b="1" i="0" baseline="0">
                  <a:solidFill>
                    <a:srgbClr val="000000"/>
                  </a:solidFill>
                  <a:latin typeface="Arial"/>
                  <a:cs typeface="Arial"/>
                </a:rPr>
                <a:t>Fields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43</xdr:col>
          <xdr:colOff>180975</xdr:colOff>
          <xdr:row>0</xdr:row>
          <xdr:rowOff>0</xdr:rowOff>
        </xdr:from>
        <xdr:to>
          <xdr:col>46</xdr:col>
          <xdr:colOff>0</xdr:colOff>
          <xdr:row>0</xdr:row>
          <xdr:rowOff>0</xdr:rowOff>
        </xdr:to>
        <xdr:sp macro="[0]!HighlightTemplateFields" fLocksText="0">
          <xdr:nvSpPr>
            <xdr:cNvPr id="10485" name="Button 245" hidden="1">
              <a:extLst>
                <a:ext uri="{63B3BB69-23CF-44E3-9099-C40C66FF867C}">
                  <a14:compatExt spid="_x0000_s10485"/>
                </a:ext>
              </a:extLst>
            </xdr:cNvPr>
            <xdr:cNvSpPr>
              <a:spLocks noRot="1"/>
            </xdr:cNvSpPr>
          </xdr:nvSpPr>
          <xdr:spPr>
            <a:xfrm>
              <a:off x="40900350" y="0"/>
              <a:ext cx="1647825" cy="0"/>
            </a:xfrm>
            <a:prstGeom prst="rect"/>
            <a:ln>
              <a:solidFill>
                <a:srgbClr val="000000"/>
              </a:solidFill>
            </a:ln>
          </xdr:spPr>
          <xdr:txBody>
            <a:bodyPr lIns="27432" tIns="22860" rIns="27432" bIns="22860" vertOverflow="clip" wrap="square" anchor="ctr" upright="1"/>
            <a:p>
              <a:pPr algn="ctr" rtl="0">
                <a:defRPr sz="1000"/>
              </a:pPr>
              <a:r>
                <a:rPr lang="en-US" sz="1000" u="none" b="1" i="0" baseline="0">
                  <a:solidFill>
                    <a:srgbClr val="000000"/>
                  </a:solidFill>
                  <a:latin typeface="Arial"/>
                  <a:cs typeface="Arial"/>
                </a:rPr>
                <a:t>Highlight Template</a:t>
              </a:r>
            </a:p>
            <a:p>
              <a:pPr algn="ctr" rtl="0">
                <a:defRPr sz="1000"/>
              </a:pPr>
              <a:r>
                <a:rPr lang="en-US" sz="1000" u="none" b="1" i="0" baseline="0">
                  <a:solidFill>
                    <a:srgbClr val="000000"/>
                  </a:solidFill>
                  <a:latin typeface="Arial"/>
                  <a:cs typeface="Arial"/>
                </a:rPr>
                <a:t>Fields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180975</xdr:colOff>
          <xdr:row>0</xdr:row>
          <xdr:rowOff>0</xdr:rowOff>
        </xdr:from>
        <xdr:to>
          <xdr:col>42</xdr:col>
          <xdr:colOff>0</xdr:colOff>
          <xdr:row>0</xdr:row>
          <xdr:rowOff>0</xdr:rowOff>
        </xdr:to>
        <xdr:sp macro="[0]!EditLoadComplexObject" fLocksText="0">
          <xdr:nvSpPr>
            <xdr:cNvPr id="10486" name="Button 246" hidden="1">
              <a:extLst>
                <a:ext uri="{63B3BB69-23CF-44E3-9099-C40C66FF867C}">
                  <a14:compatExt spid="_x0000_s10486"/>
                </a:ext>
              </a:extLst>
            </xdr:cNvPr>
            <xdr:cNvSpPr>
              <a:spLocks noRot="1"/>
            </xdr:cNvSpPr>
          </xdr:nvSpPr>
          <xdr:spPr>
            <a:xfrm>
              <a:off x="3846195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Submit these items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43</xdr:col>
          <xdr:colOff>180975</xdr:colOff>
          <xdr:row>0</xdr:row>
          <xdr:rowOff>0</xdr:rowOff>
        </xdr:from>
        <xdr:to>
          <xdr:col>46</xdr:col>
          <xdr:colOff>0</xdr:colOff>
          <xdr:row>0</xdr:row>
          <xdr:rowOff>0</xdr:rowOff>
        </xdr:to>
        <xdr:sp macro="[0]!PostEditResultsToSimpleObject" fLocksText="0">
          <xdr:nvSpPr>
            <xdr:cNvPr id="10487" name="Button 247" hidden="1">
              <a:extLst>
                <a:ext uri="{63B3BB69-23CF-44E3-9099-C40C66FF867C}">
                  <a14:compatExt spid="_x0000_s10487"/>
                </a:ext>
              </a:extLst>
            </xdr:cNvPr>
            <xdr:cNvSpPr>
              <a:spLocks noRot="1"/>
            </xdr:cNvSpPr>
          </xdr:nvSpPr>
          <xdr:spPr>
            <a:xfrm>
              <a:off x="4090035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Post the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180975</xdr:colOff>
          <xdr:row>0</xdr:row>
          <xdr:rowOff>0</xdr:rowOff>
        </xdr:from>
        <xdr:to>
          <xdr:col>38</xdr:col>
          <xdr:colOff>0</xdr:colOff>
          <xdr:row>0</xdr:row>
          <xdr:rowOff>0</xdr:rowOff>
        </xdr:to>
        <xdr:sp macro="[0]!BuildComplexObjectFromSimpleObject" fLocksText="0">
          <xdr:nvSpPr>
            <xdr:cNvPr id="10488" name="Button 248" hidden="1">
              <a:extLst>
                <a:ext uri="{63B3BB69-23CF-44E3-9099-C40C66FF867C}">
                  <a14:compatExt spid="_x0000_s10488"/>
                </a:ext>
              </a:extLst>
            </xdr:cNvPr>
            <xdr:cNvSpPr>
              <a:spLocks noRot="1"/>
            </xdr:cNvSpPr>
          </xdr:nvSpPr>
          <xdr:spPr>
            <a:xfrm>
              <a:off x="3602355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00"/>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28575</xdr:colOff>
          <xdr:row>0</xdr:row>
          <xdr:rowOff>0</xdr:rowOff>
        </xdr:from>
        <xdr:to>
          <xdr:col>30</xdr:col>
          <xdr:colOff>514350</xdr:colOff>
          <xdr:row>0</xdr:row>
          <xdr:rowOff>0</xdr:rowOff>
        </xdr:to>
        <xdr:sp macro="[0]!SelectDataInputPage" fLocksText="0">
          <xdr:nvSpPr>
            <xdr:cNvPr id="10489" name="Button 249" hidden="1">
              <a:extLst>
                <a:ext uri="{63B3BB69-23CF-44E3-9099-C40C66FF867C}">
                  <a14:compatExt spid="_x0000_s10489"/>
                </a:ext>
              </a:extLst>
            </xdr:cNvPr>
            <xdr:cNvSpPr>
              <a:spLocks noRot="1"/>
            </xdr:cNvSpPr>
          </xdr:nvSpPr>
          <xdr:spPr>
            <a:xfrm>
              <a:off x="3221355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590550</xdr:colOff>
          <xdr:row>0</xdr:row>
          <xdr:rowOff>0</xdr:rowOff>
        </xdr:from>
        <xdr:to>
          <xdr:col>33</xdr:col>
          <xdr:colOff>0</xdr:colOff>
          <xdr:row>0</xdr:row>
          <xdr:rowOff>0</xdr:rowOff>
        </xdr:to>
        <xdr:sp macro="[0]!SelectSubmitPage" fLocksText="0">
          <xdr:nvSpPr>
            <xdr:cNvPr id="10490" name="Button 250" hidden="1">
              <a:extLst>
                <a:ext uri="{63B3BB69-23CF-44E3-9099-C40C66FF867C}">
                  <a14:compatExt spid="_x0000_s10490"/>
                </a:ext>
              </a:extLst>
            </xdr:cNvPr>
            <xdr:cNvSpPr>
              <a:spLocks noRot="1"/>
            </xdr:cNvSpPr>
          </xdr:nvSpPr>
          <xdr:spPr>
            <a:xfrm>
              <a:off x="33385125"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19050</xdr:colOff>
          <xdr:row>0</xdr:row>
          <xdr:rowOff>0</xdr:rowOff>
        </xdr:from>
        <xdr:to>
          <xdr:col>35</xdr:col>
          <xdr:colOff>38100</xdr:colOff>
          <xdr:row>0</xdr:row>
          <xdr:rowOff>0</xdr:rowOff>
        </xdr:to>
        <xdr:sp macro="[0]!getLoginInformation" fLocksText="0">
          <xdr:nvSpPr>
            <xdr:cNvPr id="10491" name="Button 251" hidden="1">
              <a:extLst>
                <a:ext uri="{63B3BB69-23CF-44E3-9099-C40C66FF867C}">
                  <a14:compatExt spid="_x0000_s10491"/>
                </a:ext>
              </a:extLst>
            </xdr:cNvPr>
            <xdr:cNvSpPr>
              <a:spLocks noRot="1"/>
            </xdr:cNvSpPr>
          </xdr:nvSpPr>
          <xdr:spPr>
            <a:xfrm>
              <a:off x="34642425"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95250</xdr:colOff>
          <xdr:row>0</xdr:row>
          <xdr:rowOff>0</xdr:rowOff>
        </xdr:from>
        <xdr:to>
          <xdr:col>37</xdr:col>
          <xdr:colOff>152400</xdr:colOff>
          <xdr:row>0</xdr:row>
          <xdr:rowOff>0</xdr:rowOff>
        </xdr:to>
        <xdr:sp macro="[0]!SelectTemplatePage" fLocksText="0">
          <xdr:nvSpPr>
            <xdr:cNvPr id="10492" name="Button 252" hidden="1">
              <a:extLst>
                <a:ext uri="{63B3BB69-23CF-44E3-9099-C40C66FF867C}">
                  <a14:compatExt spid="_x0000_s10492"/>
                </a:ext>
              </a:extLst>
            </xdr:cNvPr>
            <xdr:cNvSpPr>
              <a:spLocks noRot="1"/>
            </xdr:cNvSpPr>
          </xdr:nvSpPr>
          <xdr:spPr>
            <a:xfrm>
              <a:off x="359378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219075</xdr:colOff>
          <xdr:row>0</xdr:row>
          <xdr:rowOff>0</xdr:rowOff>
        </xdr:from>
        <xdr:to>
          <xdr:col>39</xdr:col>
          <xdr:colOff>276225</xdr:colOff>
          <xdr:row>0</xdr:row>
          <xdr:rowOff>0</xdr:rowOff>
        </xdr:to>
        <xdr:sp macro="[0]!CloseTheTool" fLocksText="0">
          <xdr:nvSpPr>
            <xdr:cNvPr id="10493" name="Button 253" hidden="1">
              <a:extLst>
                <a:ext uri="{63B3BB69-23CF-44E3-9099-C40C66FF867C}">
                  <a14:compatExt spid="_x0000_s10493"/>
                </a:ext>
              </a:extLst>
            </xdr:cNvPr>
            <xdr:cNvSpPr>
              <a:spLocks noRot="1"/>
            </xdr:cNvSpPr>
          </xdr:nvSpPr>
          <xdr:spPr>
            <a:xfrm>
              <a:off x="37280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333375</xdr:colOff>
          <xdr:row>0</xdr:row>
          <xdr:rowOff>0</xdr:rowOff>
        </xdr:from>
        <xdr:to>
          <xdr:col>41</xdr:col>
          <xdr:colOff>390525</xdr:colOff>
          <xdr:row>0</xdr:row>
          <xdr:rowOff>0</xdr:rowOff>
        </xdr:to>
        <xdr:sp macro="[0]!SelectNotepad" fLocksText="0">
          <xdr:nvSpPr>
            <xdr:cNvPr id="10494" name="Button 254" hidden="1">
              <a:extLst>
                <a:ext uri="{63B3BB69-23CF-44E3-9099-C40C66FF867C}">
                  <a14:compatExt spid="_x0000_s10494"/>
                </a:ext>
              </a:extLst>
            </xdr:cNvPr>
            <xdr:cNvSpPr>
              <a:spLocks noRot="1"/>
            </xdr:cNvSpPr>
          </xdr:nvSpPr>
          <xdr:spPr>
            <a:xfrm>
              <a:off x="386143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495" name="Button 255" hidden="1">
              <a:extLst>
                <a:ext uri="{63B3BB69-23CF-44E3-9099-C40C66FF867C}">
                  <a14:compatExt spid="_x0000_s10495"/>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496" name="Button 256" hidden="1">
              <a:extLst>
                <a:ext uri="{63B3BB69-23CF-44E3-9099-C40C66FF867C}">
                  <a14:compatExt spid="_x0000_s10496"/>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497" name="Button 257" hidden="1">
              <a:extLst>
                <a:ext uri="{63B3BB69-23CF-44E3-9099-C40C66FF867C}">
                  <a14:compatExt spid="_x0000_s10497"/>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28575</xdr:colOff>
          <xdr:row>0</xdr:row>
          <xdr:rowOff>0</xdr:rowOff>
        </xdr:from>
        <xdr:to>
          <xdr:col>30</xdr:col>
          <xdr:colOff>514350</xdr:colOff>
          <xdr:row>0</xdr:row>
          <xdr:rowOff>0</xdr:rowOff>
        </xdr:to>
        <xdr:sp macro="[0]!SelectDataInputPage" fLocksText="0">
          <xdr:nvSpPr>
            <xdr:cNvPr id="10498" name="Button 258" hidden="1">
              <a:extLst>
                <a:ext uri="{63B3BB69-23CF-44E3-9099-C40C66FF867C}">
                  <a14:compatExt spid="_x0000_s10498"/>
                </a:ext>
              </a:extLst>
            </xdr:cNvPr>
            <xdr:cNvSpPr>
              <a:spLocks noRot="1"/>
            </xdr:cNvSpPr>
          </xdr:nvSpPr>
          <xdr:spPr>
            <a:xfrm>
              <a:off x="3221355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590550</xdr:colOff>
          <xdr:row>0</xdr:row>
          <xdr:rowOff>0</xdr:rowOff>
        </xdr:from>
        <xdr:to>
          <xdr:col>33</xdr:col>
          <xdr:colOff>0</xdr:colOff>
          <xdr:row>0</xdr:row>
          <xdr:rowOff>0</xdr:rowOff>
        </xdr:to>
        <xdr:sp macro="[0]!SelectSubmitPage" fLocksText="0">
          <xdr:nvSpPr>
            <xdr:cNvPr id="10499" name="Button 259" hidden="1">
              <a:extLst>
                <a:ext uri="{63B3BB69-23CF-44E3-9099-C40C66FF867C}">
                  <a14:compatExt spid="_x0000_s10499"/>
                </a:ext>
              </a:extLst>
            </xdr:cNvPr>
            <xdr:cNvSpPr>
              <a:spLocks noRot="1"/>
            </xdr:cNvSpPr>
          </xdr:nvSpPr>
          <xdr:spPr>
            <a:xfrm>
              <a:off x="33385125"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19050</xdr:colOff>
          <xdr:row>0</xdr:row>
          <xdr:rowOff>0</xdr:rowOff>
        </xdr:from>
        <xdr:to>
          <xdr:col>35</xdr:col>
          <xdr:colOff>38100</xdr:colOff>
          <xdr:row>0</xdr:row>
          <xdr:rowOff>0</xdr:rowOff>
        </xdr:to>
        <xdr:sp macro="[0]!getLoginInformation" fLocksText="0">
          <xdr:nvSpPr>
            <xdr:cNvPr id="10500" name="Button 260" hidden="1">
              <a:extLst>
                <a:ext uri="{63B3BB69-23CF-44E3-9099-C40C66FF867C}">
                  <a14:compatExt spid="_x0000_s10500"/>
                </a:ext>
              </a:extLst>
            </xdr:cNvPr>
            <xdr:cNvSpPr>
              <a:spLocks noRot="1"/>
            </xdr:cNvSpPr>
          </xdr:nvSpPr>
          <xdr:spPr>
            <a:xfrm>
              <a:off x="34642425"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95250</xdr:colOff>
          <xdr:row>0</xdr:row>
          <xdr:rowOff>0</xdr:rowOff>
        </xdr:from>
        <xdr:to>
          <xdr:col>37</xdr:col>
          <xdr:colOff>152400</xdr:colOff>
          <xdr:row>0</xdr:row>
          <xdr:rowOff>0</xdr:rowOff>
        </xdr:to>
        <xdr:sp macro="[0]!SelectTemplatePage" fLocksText="0">
          <xdr:nvSpPr>
            <xdr:cNvPr id="10501" name="Button 261" hidden="1">
              <a:extLst>
                <a:ext uri="{63B3BB69-23CF-44E3-9099-C40C66FF867C}">
                  <a14:compatExt spid="_x0000_s10501"/>
                </a:ext>
              </a:extLst>
            </xdr:cNvPr>
            <xdr:cNvSpPr>
              <a:spLocks noRot="1"/>
            </xdr:cNvSpPr>
          </xdr:nvSpPr>
          <xdr:spPr>
            <a:xfrm>
              <a:off x="359378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219075</xdr:colOff>
          <xdr:row>0</xdr:row>
          <xdr:rowOff>0</xdr:rowOff>
        </xdr:from>
        <xdr:to>
          <xdr:col>39</xdr:col>
          <xdr:colOff>276225</xdr:colOff>
          <xdr:row>0</xdr:row>
          <xdr:rowOff>0</xdr:rowOff>
        </xdr:to>
        <xdr:sp macro="[0]!CloseTheTool" fLocksText="0">
          <xdr:nvSpPr>
            <xdr:cNvPr id="10502" name="Button 262" hidden="1">
              <a:extLst>
                <a:ext uri="{63B3BB69-23CF-44E3-9099-C40C66FF867C}">
                  <a14:compatExt spid="_x0000_s10502"/>
                </a:ext>
              </a:extLst>
            </xdr:cNvPr>
            <xdr:cNvSpPr>
              <a:spLocks noRot="1"/>
            </xdr:cNvSpPr>
          </xdr:nvSpPr>
          <xdr:spPr>
            <a:xfrm>
              <a:off x="37280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333375</xdr:colOff>
          <xdr:row>0</xdr:row>
          <xdr:rowOff>0</xdr:rowOff>
        </xdr:from>
        <xdr:to>
          <xdr:col>41</xdr:col>
          <xdr:colOff>390525</xdr:colOff>
          <xdr:row>0</xdr:row>
          <xdr:rowOff>0</xdr:rowOff>
        </xdr:to>
        <xdr:sp macro="[0]!SelectNotepad" fLocksText="0">
          <xdr:nvSpPr>
            <xdr:cNvPr id="10503" name="Button 263" hidden="1">
              <a:extLst>
                <a:ext uri="{63B3BB69-23CF-44E3-9099-C40C66FF867C}">
                  <a14:compatExt spid="_x0000_s10503"/>
                </a:ext>
              </a:extLst>
            </xdr:cNvPr>
            <xdr:cNvSpPr>
              <a:spLocks noRot="1"/>
            </xdr:cNvSpPr>
          </xdr:nvSpPr>
          <xdr:spPr>
            <a:xfrm>
              <a:off x="386143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04" name="Button 264" hidden="1">
              <a:extLst>
                <a:ext uri="{63B3BB69-23CF-44E3-9099-C40C66FF867C}">
                  <a14:compatExt spid="_x0000_s10504"/>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05" name="Button 265" hidden="1">
              <a:extLst>
                <a:ext uri="{63B3BB69-23CF-44E3-9099-C40C66FF867C}">
                  <a14:compatExt spid="_x0000_s10505"/>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06" name="Button 266" hidden="1">
              <a:extLst>
                <a:ext uri="{63B3BB69-23CF-44E3-9099-C40C66FF867C}">
                  <a14:compatExt spid="_x0000_s10506"/>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28575</xdr:colOff>
          <xdr:row>0</xdr:row>
          <xdr:rowOff>0</xdr:rowOff>
        </xdr:from>
        <xdr:to>
          <xdr:col>30</xdr:col>
          <xdr:colOff>514350</xdr:colOff>
          <xdr:row>0</xdr:row>
          <xdr:rowOff>0</xdr:rowOff>
        </xdr:to>
        <xdr:sp macro="[0]!SelectDataInputPage" fLocksText="0">
          <xdr:nvSpPr>
            <xdr:cNvPr id="10507" name="Button 267" hidden="1">
              <a:extLst>
                <a:ext uri="{63B3BB69-23CF-44E3-9099-C40C66FF867C}">
                  <a14:compatExt spid="_x0000_s10507"/>
                </a:ext>
              </a:extLst>
            </xdr:cNvPr>
            <xdr:cNvSpPr>
              <a:spLocks noRot="1"/>
            </xdr:cNvSpPr>
          </xdr:nvSpPr>
          <xdr:spPr>
            <a:xfrm>
              <a:off x="3221355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590550</xdr:colOff>
          <xdr:row>0</xdr:row>
          <xdr:rowOff>0</xdr:rowOff>
        </xdr:from>
        <xdr:to>
          <xdr:col>33</xdr:col>
          <xdr:colOff>0</xdr:colOff>
          <xdr:row>0</xdr:row>
          <xdr:rowOff>0</xdr:rowOff>
        </xdr:to>
        <xdr:sp macro="[0]!SelectSubmitPage" fLocksText="0">
          <xdr:nvSpPr>
            <xdr:cNvPr id="10508" name="Button 268" hidden="1">
              <a:extLst>
                <a:ext uri="{63B3BB69-23CF-44E3-9099-C40C66FF867C}">
                  <a14:compatExt spid="_x0000_s10508"/>
                </a:ext>
              </a:extLst>
            </xdr:cNvPr>
            <xdr:cNvSpPr>
              <a:spLocks noRot="1"/>
            </xdr:cNvSpPr>
          </xdr:nvSpPr>
          <xdr:spPr>
            <a:xfrm>
              <a:off x="33385125"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19050</xdr:colOff>
          <xdr:row>0</xdr:row>
          <xdr:rowOff>0</xdr:rowOff>
        </xdr:from>
        <xdr:to>
          <xdr:col>35</xdr:col>
          <xdr:colOff>38100</xdr:colOff>
          <xdr:row>0</xdr:row>
          <xdr:rowOff>0</xdr:rowOff>
        </xdr:to>
        <xdr:sp macro="[0]!getLoginInformation" fLocksText="0">
          <xdr:nvSpPr>
            <xdr:cNvPr id="10509" name="Button 269" hidden="1">
              <a:extLst>
                <a:ext uri="{63B3BB69-23CF-44E3-9099-C40C66FF867C}">
                  <a14:compatExt spid="_x0000_s10509"/>
                </a:ext>
              </a:extLst>
            </xdr:cNvPr>
            <xdr:cNvSpPr>
              <a:spLocks noRot="1"/>
            </xdr:cNvSpPr>
          </xdr:nvSpPr>
          <xdr:spPr>
            <a:xfrm>
              <a:off x="34642425" y="0"/>
              <a:ext cx="12382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95250</xdr:colOff>
          <xdr:row>0</xdr:row>
          <xdr:rowOff>0</xdr:rowOff>
        </xdr:from>
        <xdr:to>
          <xdr:col>37</xdr:col>
          <xdr:colOff>152400</xdr:colOff>
          <xdr:row>0</xdr:row>
          <xdr:rowOff>0</xdr:rowOff>
        </xdr:to>
        <xdr:sp macro="[0]!SelectTemplatePage" fLocksText="0">
          <xdr:nvSpPr>
            <xdr:cNvPr id="10510" name="Button 270" hidden="1">
              <a:extLst>
                <a:ext uri="{63B3BB69-23CF-44E3-9099-C40C66FF867C}">
                  <a14:compatExt spid="_x0000_s10510"/>
                </a:ext>
              </a:extLst>
            </xdr:cNvPr>
            <xdr:cNvSpPr>
              <a:spLocks noRot="1"/>
            </xdr:cNvSpPr>
          </xdr:nvSpPr>
          <xdr:spPr>
            <a:xfrm>
              <a:off x="3593782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219075</xdr:colOff>
          <xdr:row>0</xdr:row>
          <xdr:rowOff>0</xdr:rowOff>
        </xdr:from>
        <xdr:to>
          <xdr:col>39</xdr:col>
          <xdr:colOff>276225</xdr:colOff>
          <xdr:row>0</xdr:row>
          <xdr:rowOff>0</xdr:rowOff>
        </xdr:to>
        <xdr:sp macro="[0]!CloseTheTool" fLocksText="0">
          <xdr:nvSpPr>
            <xdr:cNvPr id="10511" name="Button 271" hidden="1">
              <a:extLst>
                <a:ext uri="{63B3BB69-23CF-44E3-9099-C40C66FF867C}">
                  <a14:compatExt spid="_x0000_s10511"/>
                </a:ext>
              </a:extLst>
            </xdr:cNvPr>
            <xdr:cNvSpPr>
              <a:spLocks noRot="1"/>
            </xdr:cNvSpPr>
          </xdr:nvSpPr>
          <xdr:spPr>
            <a:xfrm>
              <a:off x="37280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333375</xdr:colOff>
          <xdr:row>0</xdr:row>
          <xdr:rowOff>0</xdr:rowOff>
        </xdr:from>
        <xdr:to>
          <xdr:col>41</xdr:col>
          <xdr:colOff>390525</xdr:colOff>
          <xdr:row>0</xdr:row>
          <xdr:rowOff>0</xdr:rowOff>
        </xdr:to>
        <xdr:sp macro="[0]!SelectNotepad" fLocksText="0">
          <xdr:nvSpPr>
            <xdr:cNvPr id="10512" name="Button 272" hidden="1">
              <a:extLst>
                <a:ext uri="{63B3BB69-23CF-44E3-9099-C40C66FF867C}">
                  <a14:compatExt spid="_x0000_s10512"/>
                </a:ext>
              </a:extLst>
            </xdr:cNvPr>
            <xdr:cNvSpPr>
              <a:spLocks noRot="1"/>
            </xdr:cNvSpPr>
          </xdr:nvSpPr>
          <xdr:spPr>
            <a:xfrm>
              <a:off x="386143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13" name="Button 273" hidden="1">
              <a:extLst>
                <a:ext uri="{63B3BB69-23CF-44E3-9099-C40C66FF867C}">
                  <a14:compatExt spid="_x0000_s10513"/>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14" name="Button 274" hidden="1">
              <a:extLst>
                <a:ext uri="{63B3BB69-23CF-44E3-9099-C40C66FF867C}">
                  <a14:compatExt spid="_x0000_s10514"/>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15" name="Button 275" hidden="1">
              <a:extLst>
                <a:ext uri="{63B3BB69-23CF-44E3-9099-C40C66FF867C}">
                  <a14:compatExt spid="_x0000_s10515"/>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28575</xdr:colOff>
          <xdr:row>0</xdr:row>
          <xdr:rowOff>0</xdr:rowOff>
        </xdr:from>
        <xdr:to>
          <xdr:col>30</xdr:col>
          <xdr:colOff>514350</xdr:colOff>
          <xdr:row>0</xdr:row>
          <xdr:rowOff>0</xdr:rowOff>
        </xdr:to>
        <xdr:sp macro="[0]!SelectDataInputPage" fLocksText="0">
          <xdr:nvSpPr>
            <xdr:cNvPr id="10516" name="Button 276" hidden="1">
              <a:extLst>
                <a:ext uri="{63B3BB69-23CF-44E3-9099-C40C66FF867C}">
                  <a14:compatExt spid="_x0000_s10516"/>
                </a:ext>
              </a:extLst>
            </xdr:cNvPr>
            <xdr:cNvSpPr>
              <a:spLocks noRot="1"/>
            </xdr:cNvSpPr>
          </xdr:nvSpPr>
          <xdr:spPr>
            <a:xfrm>
              <a:off x="3221355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533400</xdr:colOff>
          <xdr:row>0</xdr:row>
          <xdr:rowOff>0</xdr:rowOff>
        </xdr:from>
        <xdr:to>
          <xdr:col>32</xdr:col>
          <xdr:colOff>590550</xdr:colOff>
          <xdr:row>0</xdr:row>
          <xdr:rowOff>0</xdr:rowOff>
        </xdr:to>
        <xdr:sp macro="[0]!SelectSubmitPage" fLocksText="0">
          <xdr:nvSpPr>
            <xdr:cNvPr id="10517" name="Button 277" hidden="1">
              <a:extLst>
                <a:ext uri="{63B3BB69-23CF-44E3-9099-C40C66FF867C}">
                  <a14:compatExt spid="_x0000_s10517"/>
                </a:ext>
              </a:extLst>
            </xdr:cNvPr>
            <xdr:cNvSpPr>
              <a:spLocks noRot="1"/>
            </xdr:cNvSpPr>
          </xdr:nvSpPr>
          <xdr:spPr>
            <a:xfrm>
              <a:off x="3332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638175</xdr:colOff>
          <xdr:row>0</xdr:row>
          <xdr:rowOff>0</xdr:rowOff>
        </xdr:from>
        <xdr:to>
          <xdr:col>34</xdr:col>
          <xdr:colOff>600075</xdr:colOff>
          <xdr:row>0</xdr:row>
          <xdr:rowOff>0</xdr:rowOff>
        </xdr:to>
        <xdr:sp macro="[0]!getLoginInformation" fLocksText="0">
          <xdr:nvSpPr>
            <xdr:cNvPr id="10518" name="Button 278" hidden="1">
              <a:extLst>
                <a:ext uri="{63B3BB69-23CF-44E3-9099-C40C66FF867C}">
                  <a14:compatExt spid="_x0000_s10518"/>
                </a:ext>
              </a:extLst>
            </xdr:cNvPr>
            <xdr:cNvSpPr>
              <a:spLocks noRot="1"/>
            </xdr:cNvSpPr>
          </xdr:nvSpPr>
          <xdr:spPr>
            <a:xfrm>
              <a:off x="34623375"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19" name="Button 279" hidden="1">
              <a:extLst>
                <a:ext uri="{63B3BB69-23CF-44E3-9099-C40C66FF867C}">
                  <a14:compatExt spid="_x0000_s10519"/>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85725</xdr:colOff>
          <xdr:row>0</xdr:row>
          <xdr:rowOff>0</xdr:rowOff>
        </xdr:from>
        <xdr:to>
          <xdr:col>39</xdr:col>
          <xdr:colOff>142875</xdr:colOff>
          <xdr:row>0</xdr:row>
          <xdr:rowOff>0</xdr:rowOff>
        </xdr:to>
        <xdr:sp macro="[0]!CloseTheTool" fLocksText="0">
          <xdr:nvSpPr>
            <xdr:cNvPr id="10520" name="Button 280" hidden="1">
              <a:extLst>
                <a:ext uri="{63B3BB69-23CF-44E3-9099-C40C66FF867C}">
                  <a14:compatExt spid="_x0000_s10520"/>
                </a:ext>
              </a:extLst>
            </xdr:cNvPr>
            <xdr:cNvSpPr>
              <a:spLocks noRot="1"/>
            </xdr:cNvSpPr>
          </xdr:nvSpPr>
          <xdr:spPr>
            <a:xfrm>
              <a:off x="371475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0</xdr:row>
          <xdr:rowOff>0</xdr:rowOff>
        </xdr:from>
        <xdr:to>
          <xdr:col>41</xdr:col>
          <xdr:colOff>209550</xdr:colOff>
          <xdr:row>0</xdr:row>
          <xdr:rowOff>0</xdr:rowOff>
        </xdr:to>
        <xdr:sp macro="[0]!SelectNotepad" fLocksText="0">
          <xdr:nvSpPr>
            <xdr:cNvPr id="10521" name="Button 281" hidden="1">
              <a:extLst>
                <a:ext uri="{63B3BB69-23CF-44E3-9099-C40C66FF867C}">
                  <a14:compatExt spid="_x0000_s10521"/>
                </a:ext>
              </a:extLst>
            </xdr:cNvPr>
            <xdr:cNvSpPr>
              <a:spLocks noRot="1"/>
            </xdr:cNvSpPr>
          </xdr:nvSpPr>
          <xdr:spPr>
            <a:xfrm>
              <a:off x="38433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22" name="Button 282" hidden="1">
              <a:extLst>
                <a:ext uri="{63B3BB69-23CF-44E3-9099-C40C66FF867C}">
                  <a14:compatExt spid="_x0000_s10522"/>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23" name="Button 283" hidden="1">
              <a:extLst>
                <a:ext uri="{63B3BB69-23CF-44E3-9099-C40C66FF867C}">
                  <a14:compatExt spid="_x0000_s10523"/>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24" name="Button 284" hidden="1">
              <a:extLst>
                <a:ext uri="{63B3BB69-23CF-44E3-9099-C40C66FF867C}">
                  <a14:compatExt spid="_x0000_s10524"/>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533400</xdr:colOff>
          <xdr:row>0</xdr:row>
          <xdr:rowOff>0</xdr:rowOff>
        </xdr:from>
        <xdr:to>
          <xdr:col>32</xdr:col>
          <xdr:colOff>590550</xdr:colOff>
          <xdr:row>0</xdr:row>
          <xdr:rowOff>0</xdr:rowOff>
        </xdr:to>
        <xdr:sp macro="[0]!SelectSubmitPage" fLocksText="0">
          <xdr:nvSpPr>
            <xdr:cNvPr id="10525" name="Button 285" hidden="1">
              <a:extLst>
                <a:ext uri="{63B3BB69-23CF-44E3-9099-C40C66FF867C}">
                  <a14:compatExt spid="_x0000_s10525"/>
                </a:ext>
              </a:extLst>
            </xdr:cNvPr>
            <xdr:cNvSpPr>
              <a:spLocks noRot="1"/>
            </xdr:cNvSpPr>
          </xdr:nvSpPr>
          <xdr:spPr>
            <a:xfrm>
              <a:off x="3332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638175</xdr:colOff>
          <xdr:row>0</xdr:row>
          <xdr:rowOff>0</xdr:rowOff>
        </xdr:from>
        <xdr:to>
          <xdr:col>34</xdr:col>
          <xdr:colOff>600075</xdr:colOff>
          <xdr:row>0</xdr:row>
          <xdr:rowOff>0</xdr:rowOff>
        </xdr:to>
        <xdr:sp macro="[0]!getLoginInformation" fLocksText="0">
          <xdr:nvSpPr>
            <xdr:cNvPr id="10526" name="Button 286" hidden="1">
              <a:extLst>
                <a:ext uri="{63B3BB69-23CF-44E3-9099-C40C66FF867C}">
                  <a14:compatExt spid="_x0000_s10526"/>
                </a:ext>
              </a:extLst>
            </xdr:cNvPr>
            <xdr:cNvSpPr>
              <a:spLocks noRot="1"/>
            </xdr:cNvSpPr>
          </xdr:nvSpPr>
          <xdr:spPr>
            <a:xfrm>
              <a:off x="34623375"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27" name="Button 287" hidden="1">
              <a:extLst>
                <a:ext uri="{63B3BB69-23CF-44E3-9099-C40C66FF867C}">
                  <a14:compatExt spid="_x0000_s10527"/>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85725</xdr:colOff>
          <xdr:row>0</xdr:row>
          <xdr:rowOff>0</xdr:rowOff>
        </xdr:from>
        <xdr:to>
          <xdr:col>39</xdr:col>
          <xdr:colOff>142875</xdr:colOff>
          <xdr:row>0</xdr:row>
          <xdr:rowOff>0</xdr:rowOff>
        </xdr:to>
        <xdr:sp macro="[0]!CloseTheTool" fLocksText="0">
          <xdr:nvSpPr>
            <xdr:cNvPr id="10528" name="Button 288" hidden="1">
              <a:extLst>
                <a:ext uri="{63B3BB69-23CF-44E3-9099-C40C66FF867C}">
                  <a14:compatExt spid="_x0000_s10528"/>
                </a:ext>
              </a:extLst>
            </xdr:cNvPr>
            <xdr:cNvSpPr>
              <a:spLocks noRot="1"/>
            </xdr:cNvSpPr>
          </xdr:nvSpPr>
          <xdr:spPr>
            <a:xfrm>
              <a:off x="371475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0</xdr:row>
          <xdr:rowOff>0</xdr:rowOff>
        </xdr:from>
        <xdr:to>
          <xdr:col>41</xdr:col>
          <xdr:colOff>209550</xdr:colOff>
          <xdr:row>0</xdr:row>
          <xdr:rowOff>0</xdr:rowOff>
        </xdr:to>
        <xdr:sp macro="[0]!SelectNotepad" fLocksText="0">
          <xdr:nvSpPr>
            <xdr:cNvPr id="10529" name="Button 289" hidden="1">
              <a:extLst>
                <a:ext uri="{63B3BB69-23CF-44E3-9099-C40C66FF867C}">
                  <a14:compatExt spid="_x0000_s10529"/>
                </a:ext>
              </a:extLst>
            </xdr:cNvPr>
            <xdr:cNvSpPr>
              <a:spLocks noRot="1"/>
            </xdr:cNvSpPr>
          </xdr:nvSpPr>
          <xdr:spPr>
            <a:xfrm>
              <a:off x="38433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30" name="Button 290" hidden="1">
              <a:extLst>
                <a:ext uri="{63B3BB69-23CF-44E3-9099-C40C66FF867C}">
                  <a14:compatExt spid="_x0000_s10530"/>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31" name="Button 291" hidden="1">
              <a:extLst>
                <a:ext uri="{63B3BB69-23CF-44E3-9099-C40C66FF867C}">
                  <a14:compatExt spid="_x0000_s10531"/>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32" name="Button 292" hidden="1">
              <a:extLst>
                <a:ext uri="{63B3BB69-23CF-44E3-9099-C40C66FF867C}">
                  <a14:compatExt spid="_x0000_s10532"/>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533400</xdr:colOff>
          <xdr:row>0</xdr:row>
          <xdr:rowOff>0</xdr:rowOff>
        </xdr:from>
        <xdr:to>
          <xdr:col>32</xdr:col>
          <xdr:colOff>590550</xdr:colOff>
          <xdr:row>0</xdr:row>
          <xdr:rowOff>0</xdr:rowOff>
        </xdr:to>
        <xdr:sp macro="[0]!SelectSubmitPage" fLocksText="0">
          <xdr:nvSpPr>
            <xdr:cNvPr id="10533" name="Button 293" hidden="1">
              <a:extLst>
                <a:ext uri="{63B3BB69-23CF-44E3-9099-C40C66FF867C}">
                  <a14:compatExt spid="_x0000_s10533"/>
                </a:ext>
              </a:extLst>
            </xdr:cNvPr>
            <xdr:cNvSpPr>
              <a:spLocks noRot="1"/>
            </xdr:cNvSpPr>
          </xdr:nvSpPr>
          <xdr:spPr>
            <a:xfrm>
              <a:off x="3332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638175</xdr:colOff>
          <xdr:row>0</xdr:row>
          <xdr:rowOff>0</xdr:rowOff>
        </xdr:from>
        <xdr:to>
          <xdr:col>34</xdr:col>
          <xdr:colOff>600075</xdr:colOff>
          <xdr:row>0</xdr:row>
          <xdr:rowOff>0</xdr:rowOff>
        </xdr:to>
        <xdr:sp macro="[0]!getLoginInformation" fLocksText="0">
          <xdr:nvSpPr>
            <xdr:cNvPr id="10534" name="Button 294" hidden="1">
              <a:extLst>
                <a:ext uri="{63B3BB69-23CF-44E3-9099-C40C66FF867C}">
                  <a14:compatExt spid="_x0000_s10534"/>
                </a:ext>
              </a:extLst>
            </xdr:cNvPr>
            <xdr:cNvSpPr>
              <a:spLocks noRot="1"/>
            </xdr:cNvSpPr>
          </xdr:nvSpPr>
          <xdr:spPr>
            <a:xfrm>
              <a:off x="34623375"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35" name="Button 295" hidden="1">
              <a:extLst>
                <a:ext uri="{63B3BB69-23CF-44E3-9099-C40C66FF867C}">
                  <a14:compatExt spid="_x0000_s10535"/>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85725</xdr:colOff>
          <xdr:row>0</xdr:row>
          <xdr:rowOff>0</xdr:rowOff>
        </xdr:from>
        <xdr:to>
          <xdr:col>39</xdr:col>
          <xdr:colOff>142875</xdr:colOff>
          <xdr:row>0</xdr:row>
          <xdr:rowOff>0</xdr:rowOff>
        </xdr:to>
        <xdr:sp macro="[0]!CloseTheTool" fLocksText="0">
          <xdr:nvSpPr>
            <xdr:cNvPr id="10536" name="Button 296" hidden="1">
              <a:extLst>
                <a:ext uri="{63B3BB69-23CF-44E3-9099-C40C66FF867C}">
                  <a14:compatExt spid="_x0000_s10536"/>
                </a:ext>
              </a:extLst>
            </xdr:cNvPr>
            <xdr:cNvSpPr>
              <a:spLocks noRot="1"/>
            </xdr:cNvSpPr>
          </xdr:nvSpPr>
          <xdr:spPr>
            <a:xfrm>
              <a:off x="371475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0</xdr:row>
          <xdr:rowOff>0</xdr:rowOff>
        </xdr:from>
        <xdr:to>
          <xdr:col>41</xdr:col>
          <xdr:colOff>209550</xdr:colOff>
          <xdr:row>0</xdr:row>
          <xdr:rowOff>0</xdr:rowOff>
        </xdr:to>
        <xdr:sp macro="[0]!SelectNotepad" fLocksText="0">
          <xdr:nvSpPr>
            <xdr:cNvPr id="10537" name="Button 297" hidden="1">
              <a:extLst>
                <a:ext uri="{63B3BB69-23CF-44E3-9099-C40C66FF867C}">
                  <a14:compatExt spid="_x0000_s10537"/>
                </a:ext>
              </a:extLst>
            </xdr:cNvPr>
            <xdr:cNvSpPr>
              <a:spLocks noRot="1"/>
            </xdr:cNvSpPr>
          </xdr:nvSpPr>
          <xdr:spPr>
            <a:xfrm>
              <a:off x="38433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38" name="Button 298" hidden="1">
              <a:extLst>
                <a:ext uri="{63B3BB69-23CF-44E3-9099-C40C66FF867C}">
                  <a14:compatExt spid="_x0000_s10538"/>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39" name="Button 299" hidden="1">
              <a:extLst>
                <a:ext uri="{63B3BB69-23CF-44E3-9099-C40C66FF867C}">
                  <a14:compatExt spid="_x0000_s10539"/>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40" name="Button 300" hidden="1">
              <a:extLst>
                <a:ext uri="{63B3BB69-23CF-44E3-9099-C40C66FF867C}">
                  <a14:compatExt spid="_x0000_s10540"/>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533400</xdr:colOff>
          <xdr:row>0</xdr:row>
          <xdr:rowOff>0</xdr:rowOff>
        </xdr:from>
        <xdr:to>
          <xdr:col>32</xdr:col>
          <xdr:colOff>590550</xdr:colOff>
          <xdr:row>0</xdr:row>
          <xdr:rowOff>0</xdr:rowOff>
        </xdr:to>
        <xdr:sp macro="[0]!SelectSubmitPage" fLocksText="0">
          <xdr:nvSpPr>
            <xdr:cNvPr id="10541" name="Button 301" hidden="1">
              <a:extLst>
                <a:ext uri="{63B3BB69-23CF-44E3-9099-C40C66FF867C}">
                  <a14:compatExt spid="_x0000_s10541"/>
                </a:ext>
              </a:extLst>
            </xdr:cNvPr>
            <xdr:cNvSpPr>
              <a:spLocks noRot="1"/>
            </xdr:cNvSpPr>
          </xdr:nvSpPr>
          <xdr:spPr>
            <a:xfrm>
              <a:off x="3332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638175</xdr:colOff>
          <xdr:row>0</xdr:row>
          <xdr:rowOff>0</xdr:rowOff>
        </xdr:from>
        <xdr:to>
          <xdr:col>34</xdr:col>
          <xdr:colOff>600075</xdr:colOff>
          <xdr:row>0</xdr:row>
          <xdr:rowOff>0</xdr:rowOff>
        </xdr:to>
        <xdr:sp macro="[0]!getLoginInformation" fLocksText="0">
          <xdr:nvSpPr>
            <xdr:cNvPr id="10542" name="Button 302" hidden="1">
              <a:extLst>
                <a:ext uri="{63B3BB69-23CF-44E3-9099-C40C66FF867C}">
                  <a14:compatExt spid="_x0000_s10542"/>
                </a:ext>
              </a:extLst>
            </xdr:cNvPr>
            <xdr:cNvSpPr>
              <a:spLocks noRot="1"/>
            </xdr:cNvSpPr>
          </xdr:nvSpPr>
          <xdr:spPr>
            <a:xfrm>
              <a:off x="34623375"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43" name="Button 303" hidden="1">
              <a:extLst>
                <a:ext uri="{63B3BB69-23CF-44E3-9099-C40C66FF867C}">
                  <a14:compatExt spid="_x0000_s10543"/>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85725</xdr:colOff>
          <xdr:row>0</xdr:row>
          <xdr:rowOff>0</xdr:rowOff>
        </xdr:from>
        <xdr:to>
          <xdr:col>39</xdr:col>
          <xdr:colOff>142875</xdr:colOff>
          <xdr:row>0</xdr:row>
          <xdr:rowOff>0</xdr:rowOff>
        </xdr:to>
        <xdr:sp macro="[0]!CloseTheTool" fLocksText="0">
          <xdr:nvSpPr>
            <xdr:cNvPr id="10544" name="Button 304" hidden="1">
              <a:extLst>
                <a:ext uri="{63B3BB69-23CF-44E3-9099-C40C66FF867C}">
                  <a14:compatExt spid="_x0000_s10544"/>
                </a:ext>
              </a:extLst>
            </xdr:cNvPr>
            <xdr:cNvSpPr>
              <a:spLocks noRot="1"/>
            </xdr:cNvSpPr>
          </xdr:nvSpPr>
          <xdr:spPr>
            <a:xfrm>
              <a:off x="371475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0</xdr:row>
          <xdr:rowOff>0</xdr:rowOff>
        </xdr:from>
        <xdr:to>
          <xdr:col>41</xdr:col>
          <xdr:colOff>209550</xdr:colOff>
          <xdr:row>0</xdr:row>
          <xdr:rowOff>0</xdr:rowOff>
        </xdr:to>
        <xdr:sp macro="[0]!SelectNotepad" fLocksText="0">
          <xdr:nvSpPr>
            <xdr:cNvPr id="10545" name="Button 305" hidden="1">
              <a:extLst>
                <a:ext uri="{63B3BB69-23CF-44E3-9099-C40C66FF867C}">
                  <a14:compatExt spid="_x0000_s10545"/>
                </a:ext>
              </a:extLst>
            </xdr:cNvPr>
            <xdr:cNvSpPr>
              <a:spLocks noRot="1"/>
            </xdr:cNvSpPr>
          </xdr:nvSpPr>
          <xdr:spPr>
            <a:xfrm>
              <a:off x="38433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46" name="Button 306" hidden="1">
              <a:extLst>
                <a:ext uri="{63B3BB69-23CF-44E3-9099-C40C66FF867C}">
                  <a14:compatExt spid="_x0000_s10546"/>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47" name="Button 307" hidden="1">
              <a:extLst>
                <a:ext uri="{63B3BB69-23CF-44E3-9099-C40C66FF867C}">
                  <a14:compatExt spid="_x0000_s10547"/>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48" name="Button 308" hidden="1">
              <a:extLst>
                <a:ext uri="{63B3BB69-23CF-44E3-9099-C40C66FF867C}">
                  <a14:compatExt spid="_x0000_s10548"/>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28575</xdr:colOff>
          <xdr:row>0</xdr:row>
          <xdr:rowOff>0</xdr:rowOff>
        </xdr:from>
        <xdr:to>
          <xdr:col>30</xdr:col>
          <xdr:colOff>514350</xdr:colOff>
          <xdr:row>0</xdr:row>
          <xdr:rowOff>0</xdr:rowOff>
        </xdr:to>
        <xdr:sp macro="[0]!SelectDataInputPage" fLocksText="0">
          <xdr:nvSpPr>
            <xdr:cNvPr id="10549" name="Button 309" hidden="1">
              <a:extLst>
                <a:ext uri="{63B3BB69-23CF-44E3-9099-C40C66FF867C}">
                  <a14:compatExt spid="_x0000_s10549"/>
                </a:ext>
              </a:extLst>
            </xdr:cNvPr>
            <xdr:cNvSpPr>
              <a:spLocks noRot="1"/>
            </xdr:cNvSpPr>
          </xdr:nvSpPr>
          <xdr:spPr>
            <a:xfrm>
              <a:off x="3221355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533400</xdr:colOff>
          <xdr:row>0</xdr:row>
          <xdr:rowOff>0</xdr:rowOff>
        </xdr:from>
        <xdr:to>
          <xdr:col>32</xdr:col>
          <xdr:colOff>590550</xdr:colOff>
          <xdr:row>0</xdr:row>
          <xdr:rowOff>0</xdr:rowOff>
        </xdr:to>
        <xdr:sp macro="[0]!SelectSubmitPage" fLocksText="0">
          <xdr:nvSpPr>
            <xdr:cNvPr id="10550" name="Button 310" hidden="1">
              <a:extLst>
                <a:ext uri="{63B3BB69-23CF-44E3-9099-C40C66FF867C}">
                  <a14:compatExt spid="_x0000_s10550"/>
                </a:ext>
              </a:extLst>
            </xdr:cNvPr>
            <xdr:cNvSpPr>
              <a:spLocks noRot="1"/>
            </xdr:cNvSpPr>
          </xdr:nvSpPr>
          <xdr:spPr>
            <a:xfrm>
              <a:off x="3332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638175</xdr:colOff>
          <xdr:row>0</xdr:row>
          <xdr:rowOff>0</xdr:rowOff>
        </xdr:from>
        <xdr:to>
          <xdr:col>34</xdr:col>
          <xdr:colOff>600075</xdr:colOff>
          <xdr:row>0</xdr:row>
          <xdr:rowOff>0</xdr:rowOff>
        </xdr:to>
        <xdr:sp macro="[0]!getLoginInformation" fLocksText="0">
          <xdr:nvSpPr>
            <xdr:cNvPr id="10551" name="Button 311" hidden="1">
              <a:extLst>
                <a:ext uri="{63B3BB69-23CF-44E3-9099-C40C66FF867C}">
                  <a14:compatExt spid="_x0000_s10551"/>
                </a:ext>
              </a:extLst>
            </xdr:cNvPr>
            <xdr:cNvSpPr>
              <a:spLocks noRot="1"/>
            </xdr:cNvSpPr>
          </xdr:nvSpPr>
          <xdr:spPr>
            <a:xfrm>
              <a:off x="34623375"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52" name="Button 312" hidden="1">
              <a:extLst>
                <a:ext uri="{63B3BB69-23CF-44E3-9099-C40C66FF867C}">
                  <a14:compatExt spid="_x0000_s10552"/>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85725</xdr:colOff>
          <xdr:row>0</xdr:row>
          <xdr:rowOff>0</xdr:rowOff>
        </xdr:from>
        <xdr:to>
          <xdr:col>39</xdr:col>
          <xdr:colOff>142875</xdr:colOff>
          <xdr:row>0</xdr:row>
          <xdr:rowOff>0</xdr:rowOff>
        </xdr:to>
        <xdr:sp macro="[0]!CloseTheTool" fLocksText="0">
          <xdr:nvSpPr>
            <xdr:cNvPr id="10553" name="Button 313" hidden="1">
              <a:extLst>
                <a:ext uri="{63B3BB69-23CF-44E3-9099-C40C66FF867C}">
                  <a14:compatExt spid="_x0000_s10553"/>
                </a:ext>
              </a:extLst>
            </xdr:cNvPr>
            <xdr:cNvSpPr>
              <a:spLocks noRot="1"/>
            </xdr:cNvSpPr>
          </xdr:nvSpPr>
          <xdr:spPr>
            <a:xfrm>
              <a:off x="371475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0</xdr:row>
          <xdr:rowOff>0</xdr:rowOff>
        </xdr:from>
        <xdr:to>
          <xdr:col>41</xdr:col>
          <xdr:colOff>209550</xdr:colOff>
          <xdr:row>0</xdr:row>
          <xdr:rowOff>0</xdr:rowOff>
        </xdr:to>
        <xdr:sp macro="[0]!SelectNotepad" fLocksText="0">
          <xdr:nvSpPr>
            <xdr:cNvPr id="10554" name="Button 314" hidden="1">
              <a:extLst>
                <a:ext uri="{63B3BB69-23CF-44E3-9099-C40C66FF867C}">
                  <a14:compatExt spid="_x0000_s10554"/>
                </a:ext>
              </a:extLst>
            </xdr:cNvPr>
            <xdr:cNvSpPr>
              <a:spLocks noRot="1"/>
            </xdr:cNvSpPr>
          </xdr:nvSpPr>
          <xdr:spPr>
            <a:xfrm>
              <a:off x="38433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55" name="Button 315" hidden="1">
              <a:extLst>
                <a:ext uri="{63B3BB69-23CF-44E3-9099-C40C66FF867C}">
                  <a14:compatExt spid="_x0000_s10555"/>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56" name="Button 316" hidden="1">
              <a:extLst>
                <a:ext uri="{63B3BB69-23CF-44E3-9099-C40C66FF867C}">
                  <a14:compatExt spid="_x0000_s10556"/>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57" name="Button 317" hidden="1">
              <a:extLst>
                <a:ext uri="{63B3BB69-23CF-44E3-9099-C40C66FF867C}">
                  <a14:compatExt spid="_x0000_s10557"/>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28575</xdr:colOff>
          <xdr:row>0</xdr:row>
          <xdr:rowOff>0</xdr:rowOff>
        </xdr:from>
        <xdr:to>
          <xdr:col>30</xdr:col>
          <xdr:colOff>514350</xdr:colOff>
          <xdr:row>0</xdr:row>
          <xdr:rowOff>0</xdr:rowOff>
        </xdr:to>
        <xdr:sp macro="[0]!SelectDataInputPage" fLocksText="0">
          <xdr:nvSpPr>
            <xdr:cNvPr id="10558" name="Button 318" hidden="1">
              <a:extLst>
                <a:ext uri="{63B3BB69-23CF-44E3-9099-C40C66FF867C}">
                  <a14:compatExt spid="_x0000_s10558"/>
                </a:ext>
              </a:extLst>
            </xdr:cNvPr>
            <xdr:cNvSpPr>
              <a:spLocks noRot="1"/>
            </xdr:cNvSpPr>
          </xdr:nvSpPr>
          <xdr:spPr>
            <a:xfrm>
              <a:off x="3221355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533400</xdr:colOff>
          <xdr:row>0</xdr:row>
          <xdr:rowOff>0</xdr:rowOff>
        </xdr:from>
        <xdr:to>
          <xdr:col>32</xdr:col>
          <xdr:colOff>590550</xdr:colOff>
          <xdr:row>0</xdr:row>
          <xdr:rowOff>0</xdr:rowOff>
        </xdr:to>
        <xdr:sp macro="[0]!SelectSubmitPage" fLocksText="0">
          <xdr:nvSpPr>
            <xdr:cNvPr id="10559" name="Button 319" hidden="1">
              <a:extLst>
                <a:ext uri="{63B3BB69-23CF-44E3-9099-C40C66FF867C}">
                  <a14:compatExt spid="_x0000_s10559"/>
                </a:ext>
              </a:extLst>
            </xdr:cNvPr>
            <xdr:cNvSpPr>
              <a:spLocks noRot="1"/>
            </xdr:cNvSpPr>
          </xdr:nvSpPr>
          <xdr:spPr>
            <a:xfrm>
              <a:off x="3332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638175</xdr:colOff>
          <xdr:row>0</xdr:row>
          <xdr:rowOff>0</xdr:rowOff>
        </xdr:from>
        <xdr:to>
          <xdr:col>34</xdr:col>
          <xdr:colOff>600075</xdr:colOff>
          <xdr:row>0</xdr:row>
          <xdr:rowOff>0</xdr:rowOff>
        </xdr:to>
        <xdr:sp macro="[0]!getLoginInformation" fLocksText="0">
          <xdr:nvSpPr>
            <xdr:cNvPr id="10560" name="Button 320" hidden="1">
              <a:extLst>
                <a:ext uri="{63B3BB69-23CF-44E3-9099-C40C66FF867C}">
                  <a14:compatExt spid="_x0000_s10560"/>
                </a:ext>
              </a:extLst>
            </xdr:cNvPr>
            <xdr:cNvSpPr>
              <a:spLocks noRot="1"/>
            </xdr:cNvSpPr>
          </xdr:nvSpPr>
          <xdr:spPr>
            <a:xfrm>
              <a:off x="34623375" y="0"/>
              <a:ext cx="12096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61" name="Button 321" hidden="1">
              <a:extLst>
                <a:ext uri="{63B3BB69-23CF-44E3-9099-C40C66FF867C}">
                  <a14:compatExt spid="_x0000_s10561"/>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85725</xdr:colOff>
          <xdr:row>0</xdr:row>
          <xdr:rowOff>0</xdr:rowOff>
        </xdr:from>
        <xdr:to>
          <xdr:col>39</xdr:col>
          <xdr:colOff>142875</xdr:colOff>
          <xdr:row>0</xdr:row>
          <xdr:rowOff>0</xdr:rowOff>
        </xdr:to>
        <xdr:sp macro="[0]!CloseTheTool" fLocksText="0">
          <xdr:nvSpPr>
            <xdr:cNvPr id="10562" name="Button 322" hidden="1">
              <a:extLst>
                <a:ext uri="{63B3BB69-23CF-44E3-9099-C40C66FF867C}">
                  <a14:compatExt spid="_x0000_s10562"/>
                </a:ext>
              </a:extLst>
            </xdr:cNvPr>
            <xdr:cNvSpPr>
              <a:spLocks noRot="1"/>
            </xdr:cNvSpPr>
          </xdr:nvSpPr>
          <xdr:spPr>
            <a:xfrm>
              <a:off x="3714750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152400</xdr:colOff>
          <xdr:row>0</xdr:row>
          <xdr:rowOff>0</xdr:rowOff>
        </xdr:from>
        <xdr:to>
          <xdr:col>41</xdr:col>
          <xdr:colOff>209550</xdr:colOff>
          <xdr:row>0</xdr:row>
          <xdr:rowOff>0</xdr:rowOff>
        </xdr:to>
        <xdr:sp macro="[0]!SelectNotepad" fLocksText="0">
          <xdr:nvSpPr>
            <xdr:cNvPr id="10563" name="Button 323" hidden="1">
              <a:extLst>
                <a:ext uri="{63B3BB69-23CF-44E3-9099-C40C66FF867C}">
                  <a14:compatExt spid="_x0000_s10563"/>
                </a:ext>
              </a:extLst>
            </xdr:cNvPr>
            <xdr:cNvSpPr>
              <a:spLocks noRot="1"/>
            </xdr:cNvSpPr>
          </xdr:nvSpPr>
          <xdr:spPr>
            <a:xfrm>
              <a:off x="384333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64" name="Button 324" hidden="1">
              <a:extLst>
                <a:ext uri="{63B3BB69-23CF-44E3-9099-C40C66FF867C}">
                  <a14:compatExt spid="_x0000_s10564"/>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65" name="Button 325" hidden="1">
              <a:extLst>
                <a:ext uri="{63B3BB69-23CF-44E3-9099-C40C66FF867C}">
                  <a14:compatExt spid="_x0000_s10565"/>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66" name="Button 326" hidden="1">
              <a:extLst>
                <a:ext uri="{63B3BB69-23CF-44E3-9099-C40C66FF867C}">
                  <a14:compatExt spid="_x0000_s10566"/>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567" name="Button 327" hidden="1">
              <a:extLst>
                <a:ext uri="{63B3BB69-23CF-44E3-9099-C40C66FF867C}">
                  <a14:compatExt spid="_x0000_s10567"/>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568" name="Button 328" hidden="1">
              <a:extLst>
                <a:ext uri="{63B3BB69-23CF-44E3-9099-C40C66FF867C}">
                  <a14:compatExt spid="_x0000_s10568"/>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569" name="Button 329" hidden="1">
              <a:extLst>
                <a:ext uri="{63B3BB69-23CF-44E3-9099-C40C66FF867C}">
                  <a14:compatExt spid="_x0000_s10569"/>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70" name="Button 330" hidden="1">
              <a:extLst>
                <a:ext uri="{63B3BB69-23CF-44E3-9099-C40C66FF867C}">
                  <a14:compatExt spid="_x0000_s10570"/>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571" name="Button 331" hidden="1">
              <a:extLst>
                <a:ext uri="{63B3BB69-23CF-44E3-9099-C40C66FF867C}">
                  <a14:compatExt spid="_x0000_s10571"/>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572" name="Button 332" hidden="1">
              <a:extLst>
                <a:ext uri="{63B3BB69-23CF-44E3-9099-C40C66FF867C}">
                  <a14:compatExt spid="_x0000_s10572"/>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73" name="Button 333" hidden="1">
              <a:extLst>
                <a:ext uri="{63B3BB69-23CF-44E3-9099-C40C66FF867C}">
                  <a14:compatExt spid="_x0000_s10573"/>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74" name="Button 334" hidden="1">
              <a:extLst>
                <a:ext uri="{63B3BB69-23CF-44E3-9099-C40C66FF867C}">
                  <a14:compatExt spid="_x0000_s10574"/>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75" name="Button 335" hidden="1">
              <a:extLst>
                <a:ext uri="{63B3BB69-23CF-44E3-9099-C40C66FF867C}">
                  <a14:compatExt spid="_x0000_s10575"/>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576" name="Button 336" hidden="1">
              <a:extLst>
                <a:ext uri="{63B3BB69-23CF-44E3-9099-C40C66FF867C}">
                  <a14:compatExt spid="_x0000_s10576"/>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577" name="Button 337" hidden="1">
              <a:extLst>
                <a:ext uri="{63B3BB69-23CF-44E3-9099-C40C66FF867C}">
                  <a14:compatExt spid="_x0000_s10577"/>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578" name="Button 338" hidden="1">
              <a:extLst>
                <a:ext uri="{63B3BB69-23CF-44E3-9099-C40C66FF867C}">
                  <a14:compatExt spid="_x0000_s10578"/>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79" name="Button 339" hidden="1">
              <a:extLst>
                <a:ext uri="{63B3BB69-23CF-44E3-9099-C40C66FF867C}">
                  <a14:compatExt spid="_x0000_s10579"/>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580" name="Button 340" hidden="1">
              <a:extLst>
                <a:ext uri="{63B3BB69-23CF-44E3-9099-C40C66FF867C}">
                  <a14:compatExt spid="_x0000_s10580"/>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581" name="Button 341" hidden="1">
              <a:extLst>
                <a:ext uri="{63B3BB69-23CF-44E3-9099-C40C66FF867C}">
                  <a14:compatExt spid="_x0000_s10581"/>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82" name="Button 342" hidden="1">
              <a:extLst>
                <a:ext uri="{63B3BB69-23CF-44E3-9099-C40C66FF867C}">
                  <a14:compatExt spid="_x0000_s10582"/>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83" name="Button 343" hidden="1">
              <a:extLst>
                <a:ext uri="{63B3BB69-23CF-44E3-9099-C40C66FF867C}">
                  <a14:compatExt spid="_x0000_s10583"/>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84" name="Button 344" hidden="1">
              <a:extLst>
                <a:ext uri="{63B3BB69-23CF-44E3-9099-C40C66FF867C}">
                  <a14:compatExt spid="_x0000_s10584"/>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585" name="Button 345" hidden="1">
              <a:extLst>
                <a:ext uri="{63B3BB69-23CF-44E3-9099-C40C66FF867C}">
                  <a14:compatExt spid="_x0000_s10585"/>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586" name="Button 346" hidden="1">
              <a:extLst>
                <a:ext uri="{63B3BB69-23CF-44E3-9099-C40C66FF867C}">
                  <a14:compatExt spid="_x0000_s10586"/>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587" name="Button 347" hidden="1">
              <a:extLst>
                <a:ext uri="{63B3BB69-23CF-44E3-9099-C40C66FF867C}">
                  <a14:compatExt spid="_x0000_s10587"/>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88" name="Button 348" hidden="1">
              <a:extLst>
                <a:ext uri="{63B3BB69-23CF-44E3-9099-C40C66FF867C}">
                  <a14:compatExt spid="_x0000_s10588"/>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589" name="Button 349" hidden="1">
              <a:extLst>
                <a:ext uri="{63B3BB69-23CF-44E3-9099-C40C66FF867C}">
                  <a14:compatExt spid="_x0000_s10589"/>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590" name="Button 350" hidden="1">
              <a:extLst>
                <a:ext uri="{63B3BB69-23CF-44E3-9099-C40C66FF867C}">
                  <a14:compatExt spid="_x0000_s10590"/>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591" name="Button 351" hidden="1">
              <a:extLst>
                <a:ext uri="{63B3BB69-23CF-44E3-9099-C40C66FF867C}">
                  <a14:compatExt spid="_x0000_s10591"/>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592" name="Button 352" hidden="1">
              <a:extLst>
                <a:ext uri="{63B3BB69-23CF-44E3-9099-C40C66FF867C}">
                  <a14:compatExt spid="_x0000_s10592"/>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593" name="Button 353" hidden="1">
              <a:extLst>
                <a:ext uri="{63B3BB69-23CF-44E3-9099-C40C66FF867C}">
                  <a14:compatExt spid="_x0000_s10593"/>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594" name="Button 354" hidden="1">
              <a:extLst>
                <a:ext uri="{63B3BB69-23CF-44E3-9099-C40C66FF867C}">
                  <a14:compatExt spid="_x0000_s10594"/>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595" name="Button 355" hidden="1">
              <a:extLst>
                <a:ext uri="{63B3BB69-23CF-44E3-9099-C40C66FF867C}">
                  <a14:compatExt spid="_x0000_s10595"/>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596" name="Button 356" hidden="1">
              <a:extLst>
                <a:ext uri="{63B3BB69-23CF-44E3-9099-C40C66FF867C}">
                  <a14:compatExt spid="_x0000_s10596"/>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597" name="Button 357" hidden="1">
              <a:extLst>
                <a:ext uri="{63B3BB69-23CF-44E3-9099-C40C66FF867C}">
                  <a14:compatExt spid="_x0000_s10597"/>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598" name="Button 358" hidden="1">
              <a:extLst>
                <a:ext uri="{63B3BB69-23CF-44E3-9099-C40C66FF867C}">
                  <a14:compatExt spid="_x0000_s10598"/>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599" name="Button 359" hidden="1">
              <a:extLst>
                <a:ext uri="{63B3BB69-23CF-44E3-9099-C40C66FF867C}">
                  <a14:compatExt spid="_x0000_s10599"/>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33</xdr:col>
          <xdr:colOff>38100</xdr:colOff>
          <xdr:row>0</xdr:row>
          <xdr:rowOff>0</xdr:rowOff>
        </xdr:from>
        <xdr:to>
          <xdr:col>35</xdr:col>
          <xdr:colOff>428625</xdr:colOff>
          <xdr:row>0</xdr:row>
          <xdr:rowOff>0</xdr:rowOff>
        </xdr:to>
        <xdr:sp macro="[0]!BuildComplexObjectFromSimpleObject" fLocksText="0">
          <xdr:nvSpPr>
            <xdr:cNvPr id="10600" name="Button 360" hidden="1">
              <a:extLst>
                <a:ext uri="{63B3BB69-23CF-44E3-9099-C40C66FF867C}">
                  <a14:compatExt spid="_x0000_s10600"/>
                </a:ext>
              </a:extLst>
            </xdr:cNvPr>
            <xdr:cNvSpPr>
              <a:spLocks noRot="1"/>
            </xdr:cNvSpPr>
          </xdr:nvSpPr>
          <xdr:spPr>
            <a:xfrm>
              <a:off x="34661475" y="0"/>
              <a:ext cx="16097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Import items from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9525</xdr:colOff>
          <xdr:row>0</xdr:row>
          <xdr:rowOff>0</xdr:rowOff>
        </xdr:from>
        <xdr:to>
          <xdr:col>39</xdr:col>
          <xdr:colOff>438150</xdr:colOff>
          <xdr:row>0</xdr:row>
          <xdr:rowOff>0</xdr:rowOff>
        </xdr:to>
        <xdr:sp macro="[0]!EditLoadComplexObject" fLocksText="0">
          <xdr:nvSpPr>
            <xdr:cNvPr id="10601" name="Button 361" hidden="1">
              <a:extLst>
                <a:ext uri="{63B3BB69-23CF-44E3-9099-C40C66FF867C}">
                  <a14:compatExt spid="_x0000_s10601"/>
                </a:ext>
              </a:extLst>
            </xdr:cNvPr>
            <xdr:cNvSpPr>
              <a:spLocks noRot="1"/>
            </xdr:cNvSpPr>
          </xdr:nvSpPr>
          <xdr:spPr>
            <a:xfrm>
              <a:off x="37071300" y="0"/>
              <a:ext cx="16478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Submit items on this page to the database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28575</xdr:colOff>
          <xdr:row>0</xdr:row>
          <xdr:rowOff>0</xdr:rowOff>
        </xdr:from>
        <xdr:to>
          <xdr:col>44</xdr:col>
          <xdr:colOff>0</xdr:colOff>
          <xdr:row>0</xdr:row>
          <xdr:rowOff>0</xdr:rowOff>
        </xdr:to>
        <xdr:sp macro="[0]!PostEditResultsToSimpleObject" fLocksText="0">
          <xdr:nvSpPr>
            <xdr:cNvPr id="10602" name="Button 362" hidden="1">
              <a:extLst>
                <a:ext uri="{63B3BB69-23CF-44E3-9099-C40C66FF867C}">
                  <a14:compatExt spid="_x0000_s10602"/>
                </a:ext>
              </a:extLst>
            </xdr:cNvPr>
            <xdr:cNvSpPr>
              <a:spLocks noRot="1"/>
            </xdr:cNvSpPr>
          </xdr:nvSpPr>
          <xdr:spPr>
            <a:xfrm>
              <a:off x="39528750" y="0"/>
              <a:ext cx="180022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FF"/>
                  </a:solidFill>
                  <a:latin typeface="Arial"/>
                  <a:cs typeface="Arial"/>
                </a:rPr>
                <a:t>Post these results to the Data Input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603" name="Button 363" hidden="1">
              <a:extLst>
                <a:ext uri="{63B3BB69-23CF-44E3-9099-C40C66FF867C}">
                  <a14:compatExt spid="_x0000_s10603"/>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604" name="Button 364" hidden="1">
              <a:extLst>
                <a:ext uri="{63B3BB69-23CF-44E3-9099-C40C66FF867C}">
                  <a14:compatExt spid="_x0000_s10604"/>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605" name="Button 365" hidden="1">
              <a:extLst>
                <a:ext uri="{63B3BB69-23CF-44E3-9099-C40C66FF867C}">
                  <a14:compatExt spid="_x0000_s10605"/>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606" name="Button 366" hidden="1">
              <a:extLst>
                <a:ext uri="{63B3BB69-23CF-44E3-9099-C40C66FF867C}">
                  <a14:compatExt spid="_x0000_s10606"/>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607" name="Button 367" hidden="1">
              <a:extLst>
                <a:ext uri="{63B3BB69-23CF-44E3-9099-C40C66FF867C}">
                  <a14:compatExt spid="_x0000_s10607"/>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608" name="Button 368" hidden="1">
              <a:extLst>
                <a:ext uri="{63B3BB69-23CF-44E3-9099-C40C66FF867C}">
                  <a14:compatExt spid="_x0000_s10608"/>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609" name="Button 369" hidden="1">
              <a:extLst>
                <a:ext uri="{63B3BB69-23CF-44E3-9099-C40C66FF867C}">
                  <a14:compatExt spid="_x0000_s10609"/>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610" name="Button 370" hidden="1">
              <a:extLst>
                <a:ext uri="{63B3BB69-23CF-44E3-9099-C40C66FF867C}">
                  <a14:compatExt spid="_x0000_s10610"/>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611" name="Button 371" hidden="1">
              <a:extLst>
                <a:ext uri="{63B3BB69-23CF-44E3-9099-C40C66FF867C}">
                  <a14:compatExt spid="_x0000_s10611"/>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612" name="Button 372" hidden="1">
              <a:extLst>
                <a:ext uri="{63B3BB69-23CF-44E3-9099-C40C66FF867C}">
                  <a14:compatExt spid="_x0000_s10612"/>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613" name="Button 373" hidden="1">
              <a:extLst>
                <a:ext uri="{63B3BB69-23CF-44E3-9099-C40C66FF867C}">
                  <a14:compatExt spid="_x0000_s10613"/>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614" name="Button 374" hidden="1">
              <a:extLst>
                <a:ext uri="{63B3BB69-23CF-44E3-9099-C40C66FF867C}">
                  <a14:compatExt spid="_x0000_s10614"/>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9525</xdr:colOff>
          <xdr:row>0</xdr:row>
          <xdr:rowOff>0</xdr:rowOff>
        </xdr:from>
        <xdr:to>
          <xdr:col>30</xdr:col>
          <xdr:colOff>495300</xdr:colOff>
          <xdr:row>0</xdr:row>
          <xdr:rowOff>0</xdr:rowOff>
        </xdr:to>
        <xdr:sp macro="[0]!SelectDataInputPage" fLocksText="0">
          <xdr:nvSpPr>
            <xdr:cNvPr id="10615" name="Button 375" hidden="1">
              <a:extLst>
                <a:ext uri="{63B3BB69-23CF-44E3-9099-C40C66FF867C}">
                  <a14:compatExt spid="_x0000_s10615"/>
                </a:ext>
              </a:extLst>
            </xdr:cNvPr>
            <xdr:cNvSpPr>
              <a:spLocks noRot="1"/>
            </xdr:cNvSpPr>
          </xdr:nvSpPr>
          <xdr:spPr>
            <a:xfrm>
              <a:off x="32194500" y="0"/>
              <a:ext cx="1095375"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Input New Values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523875</xdr:colOff>
          <xdr:row>0</xdr:row>
          <xdr:rowOff>0</xdr:rowOff>
        </xdr:from>
        <xdr:to>
          <xdr:col>32</xdr:col>
          <xdr:colOff>581025</xdr:colOff>
          <xdr:row>0</xdr:row>
          <xdr:rowOff>0</xdr:rowOff>
        </xdr:to>
        <xdr:sp macro="[0]!SelectSubmitPage" fLocksText="0">
          <xdr:nvSpPr>
            <xdr:cNvPr id="10616" name="Button 376" hidden="1">
              <a:extLst>
                <a:ext uri="{63B3BB69-23CF-44E3-9099-C40C66FF867C}">
                  <a14:compatExt spid="_x0000_s10616"/>
                </a:ext>
              </a:extLst>
            </xdr:cNvPr>
            <xdr:cNvSpPr>
              <a:spLocks noRot="1"/>
            </xdr:cNvSpPr>
          </xdr:nvSpPr>
          <xdr:spPr>
            <a:xfrm>
              <a:off x="333184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Submit to the Database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609600</xdr:colOff>
          <xdr:row>0</xdr:row>
          <xdr:rowOff>0</xdr:rowOff>
        </xdr:from>
        <xdr:to>
          <xdr:col>34</xdr:col>
          <xdr:colOff>571500</xdr:colOff>
          <xdr:row>0</xdr:row>
          <xdr:rowOff>0</xdr:rowOff>
        </xdr:to>
        <xdr:sp macro="[0]!getLoginInformation" fLocksText="0">
          <xdr:nvSpPr>
            <xdr:cNvPr id="10617" name="Button 377" hidden="1">
              <a:extLst>
                <a:ext uri="{63B3BB69-23CF-44E3-9099-C40C66FF867C}">
                  <a14:compatExt spid="_x0000_s10617"/>
                </a:ext>
              </a:extLst>
            </xdr:cNvPr>
            <xdr:cNvSpPr>
              <a:spLocks noRot="1"/>
            </xdr:cNvSpPr>
          </xdr:nvSpPr>
          <xdr:spPr>
            <a:xfrm>
              <a:off x="34623375" y="0"/>
              <a:ext cx="118110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Set Login Information dialog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0</xdr:colOff>
          <xdr:row>0</xdr:row>
          <xdr:rowOff>0</xdr:rowOff>
        </xdr:from>
        <xdr:to>
          <xdr:col>37</xdr:col>
          <xdr:colOff>57150</xdr:colOff>
          <xdr:row>0</xdr:row>
          <xdr:rowOff>0</xdr:rowOff>
        </xdr:to>
        <xdr:sp macro="[0]!SelectTemplatePage" fLocksText="0">
          <xdr:nvSpPr>
            <xdr:cNvPr id="10618" name="Button 378" hidden="1">
              <a:extLst>
                <a:ext uri="{63B3BB69-23CF-44E3-9099-C40C66FF867C}">
                  <a14:compatExt spid="_x0000_s10618"/>
                </a:ext>
              </a:extLst>
            </xdr:cNvPr>
            <xdr:cNvSpPr>
              <a:spLocks noRot="1"/>
            </xdr:cNvSpPr>
          </xdr:nvSpPr>
          <xdr:spPr>
            <a:xfrm>
              <a:off x="358425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Design Database Connecion Page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76200</xdr:colOff>
          <xdr:row>0</xdr:row>
          <xdr:rowOff>0</xdr:rowOff>
        </xdr:from>
        <xdr:to>
          <xdr:col>39</xdr:col>
          <xdr:colOff>133350</xdr:colOff>
          <xdr:row>0</xdr:row>
          <xdr:rowOff>0</xdr:rowOff>
        </xdr:to>
        <xdr:sp macro="[0]!CloseTheTool" fLocksText="0">
          <xdr:nvSpPr>
            <xdr:cNvPr id="10619" name="Button 379" hidden="1">
              <a:extLst>
                <a:ext uri="{63B3BB69-23CF-44E3-9099-C40C66FF867C}">
                  <a14:compatExt spid="_x0000_s10619"/>
                </a:ext>
              </a:extLst>
            </xdr:cNvPr>
            <xdr:cNvSpPr>
              <a:spLocks noRot="1"/>
            </xdr:cNvSpPr>
          </xdr:nvSpPr>
          <xdr:spPr>
            <a:xfrm>
              <a:off x="37137975"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Close the Input Tool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39</xdr:col>
          <xdr:colOff>142875</xdr:colOff>
          <xdr:row>0</xdr:row>
          <xdr:rowOff>0</xdr:rowOff>
        </xdr:from>
        <xdr:to>
          <xdr:col>41</xdr:col>
          <xdr:colOff>200025</xdr:colOff>
          <xdr:row>0</xdr:row>
          <xdr:rowOff>0</xdr:rowOff>
        </xdr:to>
        <xdr:sp macro="[0]!SelectNotepad" fLocksText="0">
          <xdr:nvSpPr>
            <xdr:cNvPr id="10620" name="Button 380" hidden="1">
              <a:extLst>
                <a:ext uri="{63B3BB69-23CF-44E3-9099-C40C66FF867C}">
                  <a14:compatExt spid="_x0000_s10620"/>
                </a:ext>
              </a:extLst>
            </xdr:cNvPr>
            <xdr:cNvSpPr>
              <a:spLocks noRot="1"/>
            </xdr:cNvSpPr>
          </xdr:nvSpPr>
          <xdr:spPr>
            <a:xfrm>
              <a:off x="38423850" y="0"/>
              <a:ext cx="1276350" cy="0"/>
            </a:xfrm>
            <a:prstGeom prst="rect"/>
            <a:ln>
              <a:solidFill>
                <a:srgbClr val="000000"/>
              </a:solidFill>
            </a:ln>
          </xdr:spPr>
          <xdr:txBody>
            <a:bodyPr lIns="27432" tIns="22860" rIns="27432" bIns="22860" vertOverflow="clip" wrap="square" anchor="ctr" upright="1"/>
            <a:p>
              <a:pPr algn="ctr" rtl="0"/>
              <a:r>
                <a:rPr lang="en-US" sz="1000" u="none" b="1" i="0" baseline="0">
                  <a:solidFill>
                    <a:srgbClr val="000080"/>
                  </a:solidFill>
                  <a:latin typeface="Arial"/>
                  <a:cs typeface="Arial"/>
                </a:rPr>
                <a:t>Worksheet Page</a:t>
              </a:r>
            </a:p>
          </xdr:txBody>
        </xdr:sp>
        <xdr:clientData fPrintsWithSheet="0"/>
      </xdr:twoCellAnchor>
    </mc:Choice>
    <mc:Fallback/>
  </mc:AlternateContent>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C:\GL%20Account%20Reconciliations\2014\03%20-%20Mar\Mar14_2429900_TRBCO.xls" TargetMode="External" /></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G:\DOCUME~1\gg8j\LOCALS~1\Temp\c.notes.Data\~5801766.xls" TargetMode="External" /></Relationships>
</file>

<file path=xl/externalLinks/_rels/externalLink3.xml.rels><?xml version="1.0" encoding="UTF-8" standalone="yes"?><Relationships xmlns="http://schemas.openxmlformats.org/package/2006/relationships"><Relationship Id="rId1" Type="http://schemas.openxmlformats.org/officeDocument/2006/relationships/externalLinkPath" Target="file:///\\FS008\ceiswork\TXUTIL\FINREPT.XLS" TargetMode="External" /></Relationships>
</file>

<file path=xl/externalLinks/_rels/externalLink4.xml.rels><?xml version="1.0" encoding="UTF-8" standalone="yes"?><Relationships xmlns="http://schemas.openxmlformats.org/package/2006/relationships"><Relationship Id="rId1" Type="http://schemas.openxmlformats.org/officeDocument/2006/relationships/externalLinkPath" Target="file:///G:\Documents%20and%20Settings\vivek\My%20Documents\txu\newforecasts\pricing\Oncor_2004_1_pricing.xls" TargetMode="External" /></Relationships>
</file>

<file path=xl/externalLinks/_rels/externalLink5.xml.rels><?xml version="1.0" encoding="UTF-8" standalone="yes"?><Relationships xmlns="http://schemas.openxmlformats.org/package/2006/relationships"><Relationship Id="rId1" Type="http://schemas.openxmlformats.org/officeDocument/2006/relationships/externalLinkPath" Target="file:///C:\Documents%20and%20Settings\lbvd\My%20Documents\Lbvd\2008\SETTLE05%20Amortization-06-08.xls" TargetMode="External" /></Relationships>
</file>

<file path=xl/externalLinks/_rels/externalLink6.xml.rels><?xml version="1.0" encoding="UTF-8" standalone="yes"?><Relationships xmlns="http://schemas.openxmlformats.org/package/2006/relationships"><Relationship Id="rId1" Type="http://schemas.openxmlformats.org/officeDocument/2006/relationships/externalLinkPath" Target="file:///B:\Oncor%20Corp%20Acctg\GA7Y\Misc%20AR%20Uncollectible%20Provision%20Journals\2009%20Journals\June%2009%20Uncoll%20Provision%20JE.xls" TargetMode="External" /></Relationships>
</file>

<file path=xl/externalLinks/_rels/externalLink7.xml.rels><?xml version="1.0" encoding="UTF-8" standalone="yes"?><Relationships xmlns="http://schemas.openxmlformats.org/package/2006/relationships"><Relationship Id="rId1" Type="http://schemas.openxmlformats.org/officeDocument/2006/relationships/externalLinkPath" Target="file:///G:\Documents%20and%20Settings\vivek\My%20Documents\txu\pricing\Oncor_2004_1_pricing.xls" TargetMode="External" /></Relationships>
</file>

<file path=xl/externalLinks/_rels/externalLink8.xml.rels><?xml version="1.0" encoding="UTF-8" standalone="yes"?><Relationships xmlns="http://schemas.openxmlformats.org/package/2006/relationships"><Relationship Id="rId1" Type="http://schemas.openxmlformats.org/officeDocument/2006/relationships/externalLinkPath" Target="file:///X:\MSO\2001%20Plan\June\Gas_Capex_Presentation.xls" TargetMode="External" /></Relationships>
</file>

<file path=xl/externalLinks/_rels/externalLink9.xml.rels><?xml version="1.0" encoding="UTF-8" standalone="yes"?><Relationships xmlns="http://schemas.openxmlformats.org/package/2006/relationships"><Relationship Id="rId1" Type="http://schemas.openxmlformats.org/officeDocument/2006/relationships/externalLinkPath" Target="http://fimwebnt/RECDOC/FPRD/2004/02/Shaila/Work%20Related/Electric/Securitization/Sept%20JE_2003-08-31_0000345525.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versheet"/>
      <sheetName val="Connect Information"/>
      <sheetName val="Template"/>
      <sheetName val="Data Input"/>
      <sheetName val="Submit to Database"/>
      <sheetName val="Recon Template"/>
      <sheetName val="FIM trial bal"/>
      <sheetName val="all src"/>
      <sheetName val="Account Use"/>
      <sheetName val="Work Sheet - T1"/>
      <sheetName val="Schedule Detail by Class T1"/>
    </sheetNames>
    <sheetDataSet>
      <sheetData sheetId="0"/>
      <sheetData sheetId="1"/>
      <sheetData sheetId="2"/>
      <sheetData sheetId="3"/>
      <sheetData sheetId="4"/>
      <sheetData sheetId="5"/>
      <sheetData sheetId="6">
        <row r="5">
          <cell r="M5" t="str">
            <v>2014-03-31</v>
          </cell>
        </row>
      </sheetData>
      <sheetData sheetId="7"/>
      <sheetData sheetId="8"/>
      <sheetData sheetId="9"/>
      <sheetData sheetId="1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in"/>
      <sheetName val="TC Charges"/>
      <sheetName val="Bond Cashflows"/>
      <sheetName val="Attachment 3"/>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un"/>
      <sheetName val="Sheet2"/>
      <sheetName val="Module1"/>
      <sheetName val="FINREPT"/>
    </sheetNames>
    <definedNames>
      <definedName name="Cancel"/>
      <definedName name="OK"/>
    </defined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in"/>
      <sheetName val="Classes &amp; Groups"/>
      <sheetName val="Forecast (Collections)"/>
      <sheetName val="Forecast Variance"/>
      <sheetName val="Forecast (Var - Capped)"/>
      <sheetName val="RAAF's"/>
      <sheetName val="baseTC"/>
      <sheetName val="Class Comp"/>
      <sheetName val="Bond Cashflows"/>
      <sheetName val="AIC"/>
      <sheetName val="OC Tables"/>
      <sheetName val="TC Charges"/>
      <sheetName val="TC Chart"/>
      <sheetName val="Oncor_2004_1_pricing"/>
    </sheetNames>
    <sheetDataSet>
      <sheetData sheetId="0" refreshError="1"/>
      <sheetData sheetId="1" refreshError="1">
        <row r="89">
          <cell r="C89">
            <v>0</v>
          </cell>
        </row>
      </sheetData>
      <sheetData sheetId="2" refreshError="1"/>
      <sheetData sheetId="3" refreshError="1"/>
      <sheetData sheetId="4" refreshError="1">
        <row r="4">
          <cell r="E4">
            <v>2441046.27680394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JOURNAL"/>
      <sheetName val="DOC1"/>
      <sheetName val="Amortization Schedule"/>
      <sheetName val="Project Drill-242.9300"/>
      <sheetName val="242.9300-All Source"/>
      <sheetName val="2008 Payments"/>
      <sheetName val="2007 Payments"/>
      <sheetName val="Setup"/>
    </sheetNames>
    <sheetDataSet>
      <sheetData sheetId="0">
        <row r="3">
          <cell r="B3" t="str">
            <v>ESD</v>
          </cell>
          <cell r="E3" t="str">
            <v>Date</v>
          </cell>
          <cell r="I3" t="str">
            <v>Document</v>
          </cell>
        </row>
        <row r="7">
          <cell r="B7" t="str">
            <v>TO AMORTIZE RATE CASE SETTLEMENT FOR PUBLIC USE SETTLEMENT</v>
          </cell>
        </row>
        <row r="9">
          <cell r="B9" t="str">
            <v>ESD</v>
          </cell>
          <cell r="C9" t="str">
            <v>521900</v>
          </cell>
          <cell r="D9">
            <v>4265500</v>
          </cell>
          <cell r="E9" t="str">
            <v>000</v>
          </cell>
          <cell r="F9" t="str">
            <v>SETTLE05</v>
          </cell>
          <cell r="G9" t="str">
            <v>0000</v>
          </cell>
          <cell r="H9" t="str">
            <v>0000</v>
          </cell>
          <cell r="J9">
            <v>2110235.55</v>
          </cell>
          <cell r="L9" t="str">
            <v>RATE CASE SETTLEMENT</v>
          </cell>
          <cell r="M9" t="str">
            <v>USD</v>
          </cell>
          <cell r="N9" t="str">
            <v>CRRNT</v>
          </cell>
          <cell r="O9">
            <v>1</v>
          </cell>
          <cell r="P9">
            <v>2110235.55</v>
          </cell>
        </row>
        <row r="10">
          <cell r="B10" t="str">
            <v>ESD</v>
          </cell>
          <cell r="C10" t="str">
            <v>521900</v>
          </cell>
          <cell r="D10">
            <v>2429300</v>
          </cell>
          <cell r="E10" t="str">
            <v>000</v>
          </cell>
          <cell r="F10" t="str">
            <v>SETTLE05</v>
          </cell>
          <cell r="G10" t="str">
            <v>0000</v>
          </cell>
          <cell r="H10" t="str">
            <v>0000</v>
          </cell>
          <cell r="J10">
            <v>-2110235.55</v>
          </cell>
          <cell r="L10" t="str">
            <v>RATE CASE SETTLEMENT</v>
          </cell>
          <cell r="M10" t="str">
            <v>USD</v>
          </cell>
          <cell r="N10" t="str">
            <v>CRRNT</v>
          </cell>
          <cell r="O10">
            <v>1</v>
          </cell>
          <cell r="P10">
            <v>-2110235.55</v>
          </cell>
        </row>
        <row r="11">
          <cell r="F11" t="str">
            <v> Please make sure there are no Journal Lines below this End of File Marker</v>
          </cell>
        </row>
        <row r="12">
          <cell r="M12" t="str">
            <v>USD</v>
          </cell>
          <cell r="N12" t="str">
            <v>CRRNT</v>
          </cell>
          <cell r="O12">
            <v>1</v>
          </cell>
          <cell r="P12">
            <v>230</v>
          </cell>
        </row>
        <row r="13">
          <cell r="M13" t="str">
            <v>USD</v>
          </cell>
          <cell r="N13" t="str">
            <v>CRRNT</v>
          </cell>
          <cell r="O13">
            <v>1</v>
          </cell>
          <cell r="P13">
            <v>-230</v>
          </cell>
        </row>
        <row r="14">
          <cell r="M14" t="str">
            <v>USD</v>
          </cell>
          <cell r="N14" t="str">
            <v>CRRNT</v>
          </cell>
          <cell r="O14">
            <v>1</v>
          </cell>
          <cell r="P14">
            <v>200</v>
          </cell>
        </row>
        <row r="15">
          <cell r="M15" t="str">
            <v>USD</v>
          </cell>
          <cell r="N15" t="str">
            <v>CRRNT</v>
          </cell>
          <cell r="O15">
            <v>1</v>
          </cell>
          <cell r="P15">
            <v>-200</v>
          </cell>
        </row>
        <row r="16">
          <cell r="M16" t="str">
            <v>USD</v>
          </cell>
          <cell r="N16" t="str">
            <v>CRRNT</v>
          </cell>
          <cell r="O16">
            <v>1</v>
          </cell>
          <cell r="P16">
            <v>400</v>
          </cell>
        </row>
        <row r="17">
          <cell r="F17" t="str">
            <v> </v>
          </cell>
        </row>
        <row r="18">
          <cell r="M18" t="str">
            <v>USD</v>
          </cell>
          <cell r="N18" t="str">
            <v>CRRNT</v>
          </cell>
          <cell r="O18">
            <v>1</v>
          </cell>
          <cell r="P18">
            <v>-400</v>
          </cell>
        </row>
        <row r="19">
          <cell r="M19" t="str">
            <v>USD</v>
          </cell>
          <cell r="N19" t="str">
            <v>CRRNT</v>
          </cell>
          <cell r="O19">
            <v>1</v>
          </cell>
          <cell r="P19">
            <v>150</v>
          </cell>
        </row>
        <row r="20">
          <cell r="M20" t="str">
            <v>USD</v>
          </cell>
          <cell r="N20" t="str">
            <v>CRRNT</v>
          </cell>
          <cell r="O20">
            <v>1</v>
          </cell>
          <cell r="P20">
            <v>-150</v>
          </cell>
        </row>
        <row r="21">
          <cell r="F21" t="str">
            <v> </v>
          </cell>
        </row>
        <row r="22">
          <cell r="F22" t="str">
            <v> </v>
          </cell>
        </row>
        <row r="23">
          <cell r="F23" t="str">
            <v> </v>
          </cell>
        </row>
        <row r="24">
          <cell r="F24" t="str">
            <v> </v>
          </cell>
        </row>
        <row r="25">
          <cell r="F25" t="str">
            <v> </v>
          </cell>
        </row>
        <row r="26">
          <cell r="K26" t="str">
            <v>   </v>
          </cell>
        </row>
        <row r="27">
          <cell r="K27" t="str">
            <v>   </v>
          </cell>
        </row>
        <row r="28">
          <cell r="K28" t="str">
            <v>   </v>
          </cell>
        </row>
        <row r="29">
          <cell r="K29" t="str">
            <v>   </v>
          </cell>
        </row>
        <row r="30">
          <cell r="K30" t="str">
            <v>   </v>
          </cell>
        </row>
        <row r="31">
          <cell r="K31" t="str">
            <v>   </v>
          </cell>
        </row>
        <row r="32">
          <cell r="K32" t="str">
            <v>   </v>
          </cell>
        </row>
        <row r="33">
          <cell r="K33" t="str">
            <v>   </v>
          </cell>
        </row>
        <row r="34">
          <cell r="K34" t="str">
            <v>   </v>
          </cell>
        </row>
        <row r="35">
          <cell r="K35" t="str">
            <v>   </v>
          </cell>
        </row>
        <row r="36">
          <cell r="K36" t="str">
            <v>   </v>
          </cell>
        </row>
        <row r="37">
          <cell r="K37" t="str">
            <v>   </v>
          </cell>
        </row>
        <row r="38">
          <cell r="K38" t="str">
            <v>   </v>
          </cell>
        </row>
        <row r="39">
          <cell r="K39" t="str">
            <v>   </v>
          </cell>
        </row>
        <row r="40">
          <cell r="K40" t="str">
            <v>   </v>
          </cell>
        </row>
        <row r="41">
          <cell r="K41" t="str">
            <v>   </v>
          </cell>
        </row>
        <row r="42">
          <cell r="K42" t="str">
            <v>   </v>
          </cell>
        </row>
        <row r="43">
          <cell r="K43" t="str">
            <v>   </v>
          </cell>
        </row>
        <row r="44">
          <cell r="K44" t="str">
            <v>   </v>
          </cell>
        </row>
        <row r="45">
          <cell r="K45" t="str">
            <v>   </v>
          </cell>
        </row>
        <row r="46">
          <cell r="K46" t="str">
            <v>   </v>
          </cell>
        </row>
        <row r="47">
          <cell r="K47" t="str">
            <v>   </v>
          </cell>
        </row>
        <row r="48">
          <cell r="K48" t="str">
            <v>   </v>
          </cell>
        </row>
        <row r="49">
          <cell r="K49" t="str">
            <v>   </v>
          </cell>
        </row>
        <row r="50">
          <cell r="K50" t="str">
            <v>   </v>
          </cell>
        </row>
        <row r="51">
          <cell r="K51" t="str">
            <v>   </v>
          </cell>
        </row>
        <row r="52">
          <cell r="K52" t="str">
            <v>   </v>
          </cell>
        </row>
        <row r="53">
          <cell r="K53" t="str">
            <v>   </v>
          </cell>
        </row>
        <row r="54">
          <cell r="K54" t="str">
            <v>   </v>
          </cell>
        </row>
        <row r="55">
          <cell r="K55" t="str">
            <v>   </v>
          </cell>
        </row>
        <row r="56">
          <cell r="K56" t="str">
            <v>   </v>
          </cell>
        </row>
        <row r="57">
          <cell r="K57" t="str">
            <v>   </v>
          </cell>
        </row>
        <row r="58">
          <cell r="K58" t="str">
            <v>   </v>
          </cell>
        </row>
        <row r="59">
          <cell r="K59" t="str">
            <v>   </v>
          </cell>
        </row>
        <row r="60">
          <cell r="K60" t="str">
            <v>   </v>
          </cell>
        </row>
        <row r="61">
          <cell r="K61" t="str">
            <v>   </v>
          </cell>
        </row>
        <row r="62">
          <cell r="K62" t="str">
            <v>   </v>
          </cell>
        </row>
        <row r="63">
          <cell r="K63" t="str">
            <v>   </v>
          </cell>
        </row>
        <row r="64">
          <cell r="K64" t="str">
            <v>   </v>
          </cell>
        </row>
        <row r="65">
          <cell r="K65" t="str">
            <v>   </v>
          </cell>
        </row>
        <row r="66">
          <cell r="K66" t="str">
            <v>   </v>
          </cell>
        </row>
        <row r="68">
          <cell r="K68" t="str">
            <v> </v>
          </cell>
        </row>
        <row r="69">
          <cell r="K69" t="str">
            <v> </v>
          </cell>
        </row>
        <row r="70">
          <cell r="K70" t="str">
            <v> </v>
          </cell>
        </row>
        <row r="71">
          <cell r="K71" t="str">
            <v> </v>
          </cell>
        </row>
        <row r="72">
          <cell r="K72" t="str">
            <v> </v>
          </cell>
        </row>
        <row r="73">
          <cell r="K73" t="str">
            <v> </v>
          </cell>
        </row>
        <row r="74">
          <cell r="K74" t="str">
            <v> </v>
          </cell>
        </row>
        <row r="75">
          <cell r="K75" t="str">
            <v> </v>
          </cell>
        </row>
        <row r="76">
          <cell r="K76" t="str">
            <v> </v>
          </cell>
        </row>
        <row r="77">
          <cell r="K77" t="str">
            <v> </v>
          </cell>
        </row>
        <row r="78">
          <cell r="K78" t="str">
            <v> </v>
          </cell>
        </row>
        <row r="79">
          <cell r="K79" t="str">
            <v> </v>
          </cell>
        </row>
        <row r="80">
          <cell r="K80" t="str">
            <v> </v>
          </cell>
        </row>
        <row r="81">
          <cell r="K81" t="str">
            <v> </v>
          </cell>
        </row>
        <row r="82">
          <cell r="K82" t="str">
            <v> </v>
          </cell>
        </row>
        <row r="83">
          <cell r="K83" t="str">
            <v> </v>
          </cell>
        </row>
        <row r="84">
          <cell r="K84" t="str">
            <v> </v>
          </cell>
        </row>
        <row r="85">
          <cell r="K85" t="str">
            <v> </v>
          </cell>
          <cell r="N85" t="str">
            <v>     </v>
          </cell>
        </row>
        <row r="86">
          <cell r="K86" t="str">
            <v> </v>
          </cell>
          <cell r="N86" t="str">
            <v>     </v>
          </cell>
        </row>
        <row r="87">
          <cell r="K87" t="str">
            <v> </v>
          </cell>
          <cell r="N87" t="str">
            <v>     </v>
          </cell>
        </row>
        <row r="88">
          <cell r="K88" t="str">
            <v> </v>
          </cell>
          <cell r="N88" t="str">
            <v>     </v>
          </cell>
        </row>
        <row r="89">
          <cell r="K89" t="str">
            <v> </v>
          </cell>
          <cell r="N89" t="str">
            <v>     </v>
          </cell>
        </row>
        <row r="90">
          <cell r="K90" t="str">
            <v> </v>
          </cell>
          <cell r="N90" t="str">
            <v>     </v>
          </cell>
        </row>
        <row r="91">
          <cell r="K91" t="str">
            <v> </v>
          </cell>
          <cell r="N91" t="str">
            <v>     </v>
          </cell>
        </row>
        <row r="92">
          <cell r="K92" t="str">
            <v> </v>
          </cell>
          <cell r="N92" t="str">
            <v>     </v>
          </cell>
        </row>
        <row r="93">
          <cell r="K93" t="str">
            <v> </v>
          </cell>
          <cell r="N93" t="str">
            <v>     </v>
          </cell>
        </row>
        <row r="94">
          <cell r="K94" t="str">
            <v> </v>
          </cell>
          <cell r="N94" t="str">
            <v>     </v>
          </cell>
        </row>
        <row r="95">
          <cell r="K95" t="str">
            <v> </v>
          </cell>
          <cell r="N95" t="str">
            <v>     </v>
          </cell>
        </row>
        <row r="96">
          <cell r="K96" t="str">
            <v> </v>
          </cell>
          <cell r="N96" t="str">
            <v>     </v>
          </cell>
        </row>
        <row r="97">
          <cell r="K97" t="str">
            <v> </v>
          </cell>
          <cell r="N97" t="str">
            <v>     </v>
          </cell>
        </row>
        <row r="98">
          <cell r="K98" t="str">
            <v> </v>
          </cell>
          <cell r="N98" t="str">
            <v>     </v>
          </cell>
        </row>
        <row r="99">
          <cell r="K99" t="str">
            <v> </v>
          </cell>
          <cell r="N99" t="str">
            <v>     </v>
          </cell>
        </row>
        <row r="100">
          <cell r="K100" t="str">
            <v> </v>
          </cell>
          <cell r="N100" t="str">
            <v>     </v>
          </cell>
        </row>
        <row r="101">
          <cell r="K101" t="str">
            <v> </v>
          </cell>
          <cell r="N101" t="str">
            <v>     </v>
          </cell>
        </row>
        <row r="102">
          <cell r="K102" t="str">
            <v> </v>
          </cell>
          <cell r="N102" t="str">
            <v>     </v>
          </cell>
        </row>
        <row r="103">
          <cell r="K103" t="str">
            <v> </v>
          </cell>
          <cell r="N103" t="str">
            <v>     </v>
          </cell>
        </row>
        <row r="104">
          <cell r="K104" t="str">
            <v> </v>
          </cell>
          <cell r="N104" t="str">
            <v>     </v>
          </cell>
        </row>
        <row r="105">
          <cell r="K105" t="str">
            <v> </v>
          </cell>
          <cell r="N105" t="str">
            <v>     </v>
          </cell>
        </row>
        <row r="106">
          <cell r="K106" t="str">
            <v> </v>
          </cell>
          <cell r="N106" t="str">
            <v>     </v>
          </cell>
        </row>
        <row r="107">
          <cell r="K107" t="str">
            <v> </v>
          </cell>
          <cell r="N107" t="str">
            <v>     </v>
          </cell>
        </row>
        <row r="108">
          <cell r="K108" t="str">
            <v> </v>
          </cell>
          <cell r="N108" t="str">
            <v>     </v>
          </cell>
        </row>
        <row r="109">
          <cell r="K109" t="str">
            <v> </v>
          </cell>
          <cell r="N109" t="str">
            <v>     </v>
          </cell>
        </row>
        <row r="110">
          <cell r="K110" t="str">
            <v> </v>
          </cell>
          <cell r="N110" t="str">
            <v>     </v>
          </cell>
        </row>
        <row r="111">
          <cell r="K111" t="str">
            <v> </v>
          </cell>
          <cell r="N111" t="str">
            <v>     </v>
          </cell>
        </row>
        <row r="112">
          <cell r="K112" t="str">
            <v> </v>
          </cell>
          <cell r="N112" t="str">
            <v>     </v>
          </cell>
        </row>
        <row r="113">
          <cell r="K113" t="str">
            <v> </v>
          </cell>
          <cell r="N113" t="str">
            <v>     </v>
          </cell>
        </row>
        <row r="114">
          <cell r="K114" t="str">
            <v> </v>
          </cell>
          <cell r="N114" t="str">
            <v>     </v>
          </cell>
        </row>
        <row r="115">
          <cell r="K115" t="str">
            <v> </v>
          </cell>
          <cell r="N115" t="str">
            <v>     </v>
          </cell>
        </row>
        <row r="116">
          <cell r="K116" t="str">
            <v> </v>
          </cell>
          <cell r="N116" t="str">
            <v>     </v>
          </cell>
        </row>
        <row r="117">
          <cell r="K117" t="str">
            <v> </v>
          </cell>
          <cell r="N117" t="str">
            <v>     </v>
          </cell>
        </row>
        <row r="118">
          <cell r="K118" t="str">
            <v> </v>
          </cell>
          <cell r="N118" t="str">
            <v>     </v>
          </cell>
        </row>
        <row r="119">
          <cell r="K119" t="str">
            <v> </v>
          </cell>
          <cell r="N119" t="str">
            <v>     </v>
          </cell>
        </row>
        <row r="120">
          <cell r="K120" t="str">
            <v> </v>
          </cell>
          <cell r="N120" t="str">
            <v>     </v>
          </cell>
        </row>
        <row r="121">
          <cell r="K121" t="str">
            <v> </v>
          </cell>
          <cell r="N121" t="str">
            <v>     </v>
          </cell>
        </row>
        <row r="122">
          <cell r="K122" t="str">
            <v> </v>
          </cell>
          <cell r="N122" t="str">
            <v>     </v>
          </cell>
        </row>
        <row r="123">
          <cell r="K123" t="str">
            <v> </v>
          </cell>
          <cell r="N123" t="str">
            <v>     </v>
          </cell>
        </row>
        <row r="124">
          <cell r="K124" t="str">
            <v> </v>
          </cell>
          <cell r="N124" t="str">
            <v>     </v>
          </cell>
        </row>
        <row r="125">
          <cell r="K125" t="str">
            <v> </v>
          </cell>
          <cell r="N125" t="str">
            <v>     </v>
          </cell>
        </row>
        <row r="126">
          <cell r="K126" t="str">
            <v> </v>
          </cell>
          <cell r="N126" t="str">
            <v>     </v>
          </cell>
        </row>
        <row r="127">
          <cell r="K127" t="str">
            <v> </v>
          </cell>
          <cell r="N127" t="str">
            <v>     </v>
          </cell>
        </row>
        <row r="128">
          <cell r="K128" t="str">
            <v> </v>
          </cell>
          <cell r="N128" t="str">
            <v>     </v>
          </cell>
        </row>
        <row r="129">
          <cell r="K129" t="str">
            <v> </v>
          </cell>
          <cell r="N129" t="str">
            <v>     </v>
          </cell>
        </row>
        <row r="130">
          <cell r="K130" t="str">
            <v> </v>
          </cell>
          <cell r="N130" t="str">
            <v>     </v>
          </cell>
        </row>
        <row r="131">
          <cell r="K131" t="str">
            <v> </v>
          </cell>
          <cell r="N131" t="str">
            <v>     </v>
          </cell>
        </row>
        <row r="132">
          <cell r="K132" t="str">
            <v> </v>
          </cell>
          <cell r="N132" t="str">
            <v>     </v>
          </cell>
        </row>
        <row r="133">
          <cell r="K133" t="str">
            <v> </v>
          </cell>
          <cell r="N133" t="str">
            <v>     </v>
          </cell>
        </row>
        <row r="134">
          <cell r="K134" t="str">
            <v> </v>
          </cell>
          <cell r="N134" t="str">
            <v>     </v>
          </cell>
        </row>
        <row r="135">
          <cell r="K135" t="str">
            <v> </v>
          </cell>
          <cell r="N135" t="str">
            <v>     </v>
          </cell>
        </row>
        <row r="136">
          <cell r="K136" t="str">
            <v> </v>
          </cell>
          <cell r="N136" t="str">
            <v>     </v>
          </cell>
        </row>
        <row r="137">
          <cell r="K137" t="str">
            <v> </v>
          </cell>
          <cell r="N137" t="str">
            <v>     </v>
          </cell>
        </row>
        <row r="138">
          <cell r="K138" t="str">
            <v> </v>
          </cell>
          <cell r="N138" t="str">
            <v>     </v>
          </cell>
        </row>
        <row r="139">
          <cell r="K139" t="str">
            <v> </v>
          </cell>
          <cell r="N139" t="str">
            <v>     </v>
          </cell>
        </row>
        <row r="140">
          <cell r="K140" t="str">
            <v> </v>
          </cell>
          <cell r="N140" t="str">
            <v>     </v>
          </cell>
        </row>
        <row r="141">
          <cell r="K141" t="str">
            <v> </v>
          </cell>
          <cell r="N141" t="str">
            <v>     </v>
          </cell>
        </row>
        <row r="142">
          <cell r="K142" t="str">
            <v> </v>
          </cell>
          <cell r="N142" t="str">
            <v>     </v>
          </cell>
        </row>
        <row r="143">
          <cell r="K143" t="str">
            <v> </v>
          </cell>
          <cell r="N143" t="str">
            <v>     </v>
          </cell>
        </row>
        <row r="144">
          <cell r="K144" t="str">
            <v> </v>
          </cell>
          <cell r="N144" t="str">
            <v>     </v>
          </cell>
        </row>
        <row r="145">
          <cell r="K145" t="str">
            <v> </v>
          </cell>
          <cell r="N145" t="str">
            <v>     </v>
          </cell>
        </row>
        <row r="146">
          <cell r="K146" t="str">
            <v> </v>
          </cell>
          <cell r="N146" t="str">
            <v>     </v>
          </cell>
        </row>
        <row r="147">
          <cell r="K147" t="str">
            <v> </v>
          </cell>
          <cell r="N147" t="str">
            <v>     </v>
          </cell>
        </row>
        <row r="148">
          <cell r="K148" t="str">
            <v> </v>
          </cell>
          <cell r="N148" t="str">
            <v>     </v>
          </cell>
        </row>
        <row r="149">
          <cell r="K149" t="str">
            <v> </v>
          </cell>
          <cell r="N149" t="str">
            <v>     </v>
          </cell>
        </row>
        <row r="150">
          <cell r="K150" t="str">
            <v> </v>
          </cell>
          <cell r="N150" t="str">
            <v>     </v>
          </cell>
        </row>
        <row r="151">
          <cell r="K151" t="str">
            <v> </v>
          </cell>
          <cell r="N151" t="str">
            <v>     </v>
          </cell>
        </row>
        <row r="152">
          <cell r="K152" t="str">
            <v> </v>
          </cell>
          <cell r="N152" t="str">
            <v>     </v>
          </cell>
        </row>
        <row r="153">
          <cell r="K153" t="str">
            <v> </v>
          </cell>
          <cell r="N153" t="str">
            <v>     </v>
          </cell>
        </row>
        <row r="154">
          <cell r="K154" t="str">
            <v> </v>
          </cell>
          <cell r="N154" t="str">
            <v>     </v>
          </cell>
        </row>
        <row r="155">
          <cell r="K155" t="str">
            <v> </v>
          </cell>
          <cell r="N155" t="str">
            <v>     </v>
          </cell>
        </row>
        <row r="156">
          <cell r="K156" t="str">
            <v> </v>
          </cell>
          <cell r="N156" t="str">
            <v>     </v>
          </cell>
        </row>
        <row r="157">
          <cell r="K157" t="str">
            <v> </v>
          </cell>
          <cell r="N157" t="str">
            <v>     </v>
          </cell>
        </row>
        <row r="158">
          <cell r="K158" t="str">
            <v> </v>
          </cell>
          <cell r="N158" t="str">
            <v>     </v>
          </cell>
        </row>
        <row r="159">
          <cell r="K159" t="str">
            <v> </v>
          </cell>
          <cell r="N159" t="str">
            <v>     </v>
          </cell>
        </row>
        <row r="160">
          <cell r="K160" t="str">
            <v> </v>
          </cell>
          <cell r="N160" t="str">
            <v>     </v>
          </cell>
        </row>
        <row r="161">
          <cell r="K161" t="str">
            <v> </v>
          </cell>
          <cell r="N161" t="str">
            <v>     </v>
          </cell>
        </row>
        <row r="162">
          <cell r="K162" t="str">
            <v> </v>
          </cell>
          <cell r="N162" t="str">
            <v>     </v>
          </cell>
        </row>
        <row r="163">
          <cell r="K163" t="str">
            <v> </v>
          </cell>
          <cell r="N163" t="str">
            <v>     </v>
          </cell>
        </row>
        <row r="164">
          <cell r="K164" t="str">
            <v> </v>
          </cell>
          <cell r="N164" t="str">
            <v>     </v>
          </cell>
        </row>
        <row r="165">
          <cell r="K165" t="str">
            <v> </v>
          </cell>
          <cell r="N165" t="str">
            <v>     </v>
          </cell>
        </row>
        <row r="166">
          <cell r="K166" t="str">
            <v> </v>
          </cell>
          <cell r="N166" t="str">
            <v>     </v>
          </cell>
        </row>
        <row r="167">
          <cell r="K167" t="str">
            <v> </v>
          </cell>
          <cell r="N167" t="str">
            <v>     </v>
          </cell>
        </row>
        <row r="168">
          <cell r="K168" t="str">
            <v> </v>
          </cell>
          <cell r="N168" t="str">
            <v>     </v>
          </cell>
        </row>
        <row r="169">
          <cell r="K169" t="str">
            <v> </v>
          </cell>
          <cell r="N169" t="str">
            <v>     </v>
          </cell>
        </row>
        <row r="170">
          <cell r="K170" t="str">
            <v> </v>
          </cell>
          <cell r="N170" t="str">
            <v>     </v>
          </cell>
        </row>
        <row r="171">
          <cell r="K171" t="str">
            <v> </v>
          </cell>
          <cell r="N171" t="str">
            <v>     </v>
          </cell>
        </row>
        <row r="172">
          <cell r="K172" t="str">
            <v> </v>
          </cell>
          <cell r="N172" t="str">
            <v>     </v>
          </cell>
        </row>
        <row r="173">
          <cell r="K173" t="str">
            <v> </v>
          </cell>
          <cell r="N173" t="str">
            <v>     </v>
          </cell>
        </row>
        <row r="174">
          <cell r="K174" t="str">
            <v> </v>
          </cell>
          <cell r="N174" t="str">
            <v>     </v>
          </cell>
        </row>
        <row r="175">
          <cell r="K175" t="str">
            <v> </v>
          </cell>
          <cell r="N175" t="str">
            <v>     </v>
          </cell>
        </row>
        <row r="176">
          <cell r="K176" t="str">
            <v> </v>
          </cell>
          <cell r="N176" t="str">
            <v>     </v>
          </cell>
        </row>
        <row r="177">
          <cell r="K177" t="str">
            <v> </v>
          </cell>
          <cell r="N177" t="str">
            <v>     </v>
          </cell>
        </row>
        <row r="178">
          <cell r="K178" t="str">
            <v> </v>
          </cell>
          <cell r="N178" t="str">
            <v>     </v>
          </cell>
        </row>
        <row r="179">
          <cell r="K179" t="str">
            <v> </v>
          </cell>
          <cell r="N179" t="str">
            <v>     </v>
          </cell>
        </row>
        <row r="180">
          <cell r="K180" t="str">
            <v> </v>
          </cell>
          <cell r="N180" t="str">
            <v>     </v>
          </cell>
        </row>
        <row r="181">
          <cell r="K181" t="str">
            <v> </v>
          </cell>
          <cell r="N181" t="str">
            <v>     </v>
          </cell>
        </row>
        <row r="182">
          <cell r="K182" t="str">
            <v> </v>
          </cell>
          <cell r="N182" t="str">
            <v>     </v>
          </cell>
        </row>
        <row r="183">
          <cell r="K183" t="str">
            <v> </v>
          </cell>
          <cell r="N183" t="str">
            <v>     </v>
          </cell>
        </row>
        <row r="184">
          <cell r="K184" t="str">
            <v> </v>
          </cell>
          <cell r="N184" t="str">
            <v>     </v>
          </cell>
        </row>
        <row r="185">
          <cell r="K185" t="str">
            <v> </v>
          </cell>
          <cell r="N185" t="str">
            <v>     </v>
          </cell>
        </row>
        <row r="186">
          <cell r="K186" t="str">
            <v> </v>
          </cell>
          <cell r="N186" t="str">
            <v>     </v>
          </cell>
        </row>
        <row r="187">
          <cell r="K187" t="str">
            <v> </v>
          </cell>
          <cell r="N187" t="str">
            <v>     </v>
          </cell>
        </row>
        <row r="188">
          <cell r="K188" t="str">
            <v> </v>
          </cell>
          <cell r="N188" t="str">
            <v>     </v>
          </cell>
        </row>
        <row r="189">
          <cell r="K189" t="str">
            <v> </v>
          </cell>
          <cell r="N189" t="str">
            <v>     </v>
          </cell>
        </row>
        <row r="190">
          <cell r="K190" t="str">
            <v> </v>
          </cell>
          <cell r="N190" t="str">
            <v>     </v>
          </cell>
        </row>
        <row r="191">
          <cell r="K191" t="str">
            <v> </v>
          </cell>
          <cell r="N191" t="str">
            <v>     </v>
          </cell>
        </row>
        <row r="192">
          <cell r="K192" t="str">
            <v> </v>
          </cell>
          <cell r="N192" t="str">
            <v>     </v>
          </cell>
        </row>
        <row r="193">
          <cell r="K193" t="str">
            <v> </v>
          </cell>
          <cell r="N193" t="str">
            <v>     </v>
          </cell>
        </row>
        <row r="194">
          <cell r="K194" t="str">
            <v> </v>
          </cell>
          <cell r="N194" t="str">
            <v>     </v>
          </cell>
        </row>
        <row r="195">
          <cell r="K195" t="str">
            <v> </v>
          </cell>
          <cell r="N195" t="str">
            <v>     </v>
          </cell>
        </row>
        <row r="196">
          <cell r="K196" t="str">
            <v> </v>
          </cell>
          <cell r="N196" t="str">
            <v>     </v>
          </cell>
        </row>
        <row r="197">
          <cell r="K197" t="str">
            <v> </v>
          </cell>
          <cell r="N197" t="str">
            <v>     </v>
          </cell>
        </row>
        <row r="198">
          <cell r="K198" t="str">
            <v> </v>
          </cell>
          <cell r="N198" t="str">
            <v>     </v>
          </cell>
        </row>
        <row r="199">
          <cell r="K199" t="str">
            <v> </v>
          </cell>
          <cell r="N199" t="str">
            <v>     </v>
          </cell>
        </row>
        <row r="200">
          <cell r="K200" t="str">
            <v> </v>
          </cell>
          <cell r="N200" t="str">
            <v>     </v>
          </cell>
        </row>
        <row r="201">
          <cell r="K201" t="str">
            <v> </v>
          </cell>
          <cell r="N201" t="str">
            <v>     </v>
          </cell>
        </row>
        <row r="202">
          <cell r="K202" t="str">
            <v> </v>
          </cell>
          <cell r="N202" t="str">
            <v>     </v>
          </cell>
        </row>
        <row r="203">
          <cell r="K203" t="str">
            <v> </v>
          </cell>
          <cell r="N203" t="str">
            <v>     </v>
          </cell>
        </row>
        <row r="204">
          <cell r="K204" t="str">
            <v> </v>
          </cell>
          <cell r="N204" t="str">
            <v>     </v>
          </cell>
        </row>
        <row r="205">
          <cell r="K205" t="str">
            <v> </v>
          </cell>
          <cell r="N205" t="str">
            <v>     </v>
          </cell>
        </row>
        <row r="206">
          <cell r="K206" t="str">
            <v> </v>
          </cell>
          <cell r="N206" t="str">
            <v>     </v>
          </cell>
        </row>
        <row r="207">
          <cell r="K207" t="str">
            <v> </v>
          </cell>
          <cell r="N207" t="str">
            <v>     </v>
          </cell>
        </row>
        <row r="208">
          <cell r="K208" t="str">
            <v> </v>
          </cell>
          <cell r="N208" t="str">
            <v>     </v>
          </cell>
        </row>
        <row r="209">
          <cell r="K209" t="str">
            <v> </v>
          </cell>
          <cell r="N209" t="str">
            <v>     </v>
          </cell>
        </row>
        <row r="210">
          <cell r="K210" t="str">
            <v> </v>
          </cell>
          <cell r="N210" t="str">
            <v>     </v>
          </cell>
        </row>
        <row r="211">
          <cell r="K211" t="str">
            <v> </v>
          </cell>
          <cell r="N211" t="str">
            <v>     </v>
          </cell>
        </row>
        <row r="212">
          <cell r="K212" t="str">
            <v> </v>
          </cell>
          <cell r="N212" t="str">
            <v>     </v>
          </cell>
        </row>
        <row r="213">
          <cell r="K213" t="str">
            <v> </v>
          </cell>
          <cell r="N213" t="str">
            <v>     </v>
          </cell>
        </row>
        <row r="214">
          <cell r="K214" t="str">
            <v> </v>
          </cell>
          <cell r="N214" t="str">
            <v>     </v>
          </cell>
        </row>
        <row r="215">
          <cell r="K215" t="str">
            <v> </v>
          </cell>
          <cell r="N215" t="str">
            <v>     </v>
          </cell>
        </row>
        <row r="216">
          <cell r="K216" t="str">
            <v> </v>
          </cell>
          <cell r="N216" t="str">
            <v>     </v>
          </cell>
        </row>
        <row r="217">
          <cell r="K217" t="str">
            <v> </v>
          </cell>
          <cell r="N217" t="str">
            <v>     </v>
          </cell>
        </row>
        <row r="218">
          <cell r="K218" t="str">
            <v> </v>
          </cell>
          <cell r="N218" t="str">
            <v>     </v>
          </cell>
        </row>
        <row r="219">
          <cell r="K219" t="str">
            <v> </v>
          </cell>
          <cell r="N219" t="str">
            <v>     </v>
          </cell>
        </row>
        <row r="220">
          <cell r="K220" t="str">
            <v> </v>
          </cell>
          <cell r="N220" t="str">
            <v>     </v>
          </cell>
        </row>
        <row r="221">
          <cell r="K221" t="str">
            <v> </v>
          </cell>
          <cell r="N221" t="str">
            <v>     </v>
          </cell>
        </row>
        <row r="222">
          <cell r="K222" t="str">
            <v> </v>
          </cell>
          <cell r="N222" t="str">
            <v>     </v>
          </cell>
        </row>
        <row r="223">
          <cell r="K223" t="str">
            <v> </v>
          </cell>
          <cell r="N223" t="str">
            <v>     </v>
          </cell>
        </row>
        <row r="224">
          <cell r="K224" t="str">
            <v> </v>
          </cell>
          <cell r="N224" t="str">
            <v>     </v>
          </cell>
        </row>
        <row r="225">
          <cell r="K225" t="str">
            <v> </v>
          </cell>
          <cell r="N225" t="str">
            <v>     </v>
          </cell>
        </row>
        <row r="226">
          <cell r="K226" t="str">
            <v> </v>
          </cell>
          <cell r="N226" t="str">
            <v>     </v>
          </cell>
        </row>
        <row r="227">
          <cell r="K227" t="str">
            <v> </v>
          </cell>
          <cell r="N227" t="str">
            <v>     </v>
          </cell>
        </row>
        <row r="228">
          <cell r="K228" t="str">
            <v> </v>
          </cell>
          <cell r="N228" t="str">
            <v>     </v>
          </cell>
        </row>
        <row r="229">
          <cell r="K229" t="str">
            <v> </v>
          </cell>
          <cell r="N229" t="str">
            <v>     </v>
          </cell>
        </row>
        <row r="230">
          <cell r="K230" t="str">
            <v> </v>
          </cell>
          <cell r="N230" t="str">
            <v>     </v>
          </cell>
        </row>
        <row r="231">
          <cell r="K231" t="str">
            <v> </v>
          </cell>
          <cell r="N231" t="str">
            <v>     </v>
          </cell>
        </row>
        <row r="232">
          <cell r="K232" t="str">
            <v> </v>
          </cell>
          <cell r="N232" t="str">
            <v>     </v>
          </cell>
        </row>
        <row r="233">
          <cell r="K233" t="str">
            <v> </v>
          </cell>
          <cell r="N233" t="str">
            <v>     </v>
          </cell>
        </row>
        <row r="234">
          <cell r="K234" t="str">
            <v> </v>
          </cell>
          <cell r="N234" t="str">
            <v>     </v>
          </cell>
        </row>
        <row r="235">
          <cell r="K235" t="str">
            <v> </v>
          </cell>
          <cell r="N235" t="str">
            <v>     </v>
          </cell>
        </row>
        <row r="236">
          <cell r="K236" t="str">
            <v> </v>
          </cell>
          <cell r="N236" t="str">
            <v>     </v>
          </cell>
        </row>
        <row r="237">
          <cell r="K237" t="str">
            <v> </v>
          </cell>
          <cell r="N237" t="str">
            <v>     </v>
          </cell>
        </row>
        <row r="238">
          <cell r="K238" t="str">
            <v> </v>
          </cell>
          <cell r="N238" t="str">
            <v>     </v>
          </cell>
        </row>
        <row r="239">
          <cell r="K239" t="str">
            <v> </v>
          </cell>
          <cell r="N239" t="str">
            <v>     </v>
          </cell>
        </row>
        <row r="240">
          <cell r="K240" t="str">
            <v> </v>
          </cell>
          <cell r="N240" t="str">
            <v>     </v>
          </cell>
          <cell r="R240">
            <v>-580</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JOURNAL"/>
      <sheetName val="SUMMARY"/>
      <sheetName val="Acct Rec May 09"/>
      <sheetName val="WORKSHEET"/>
      <sheetName val="TOTAL AR PIVOT"/>
      <sheetName val="PROBLEM ACCOUNTS"/>
      <sheetName val="Unauthorized Contacts"/>
      <sheetName val="Compliance Audit"/>
      <sheetName val="TOTAL AR DETAIL WITH CREDITS"/>
      <sheetName val="ESD AGING"/>
      <sheetName val="TRN AGING"/>
      <sheetName val="Current Write Off to 904"/>
      <sheetName val="CAPITAL AR DETAIL"/>
      <sheetName val="CAPITAL AR PIVOT"/>
      <sheetName val="TRN EXCLUSION DETAIL"/>
      <sheetName val="TRN EXCLUSION PIVOT TABLE"/>
      <sheetName val="ESD Approval"/>
      <sheetName val="TRN Approval"/>
      <sheetName val="Setup"/>
    </sheetNames>
    <sheetDataSet>
      <sheetData sheetId="0" refreshError="1">
        <row r="3">
          <cell r="B3" t="str">
            <v>TRN</v>
          </cell>
          <cell r="E3" t="str">
            <v>Date</v>
          </cell>
          <cell r="I3" t="str">
            <v>Document</v>
          </cell>
        </row>
        <row r="7">
          <cell r="B7" t="str">
            <v>TO RECORD THE PROVISION FOR UNCOLLECTIBLE ACCOUNTS FOR THE FIM AR MODULE</v>
          </cell>
        </row>
        <row r="9">
          <cell r="B9" t="str">
            <v>ESD</v>
          </cell>
          <cell r="C9" t="str">
            <v>521900</v>
          </cell>
          <cell r="D9">
            <v>1440100</v>
          </cell>
          <cell r="E9" t="str">
            <v>000</v>
          </cell>
          <cell r="F9" t="str">
            <v>00000000</v>
          </cell>
          <cell r="G9" t="str">
            <v>0000</v>
          </cell>
          <cell r="H9" t="str">
            <v>0000</v>
          </cell>
          <cell r="J9">
            <v>-6637.07000000001</v>
          </cell>
          <cell r="L9" t="str">
            <v>Misc AR Uncollectible Provision</v>
          </cell>
          <cell r="M9" t="str">
            <v>USD</v>
          </cell>
          <cell r="N9" t="str">
            <v>CRRNT</v>
          </cell>
          <cell r="O9">
            <v>1</v>
          </cell>
          <cell r="P9">
            <v>-6637.07</v>
          </cell>
        </row>
        <row r="10">
          <cell r="B10" t="str">
            <v>ESD</v>
          </cell>
          <cell r="C10" t="str">
            <v>521900</v>
          </cell>
          <cell r="D10">
            <v>9040000</v>
          </cell>
          <cell r="E10" t="str">
            <v>883</v>
          </cell>
          <cell r="F10" t="str">
            <v>00001000</v>
          </cell>
          <cell r="G10" t="str">
            <v>0000</v>
          </cell>
          <cell r="H10" t="str">
            <v>1000</v>
          </cell>
          <cell r="J10">
            <v>6637.07000000001</v>
          </cell>
          <cell r="L10" t="str">
            <v>Misc AR Uncollectible Provision</v>
          </cell>
          <cell r="M10" t="str">
            <v>USD</v>
          </cell>
          <cell r="N10" t="str">
            <v>CRRNT</v>
          </cell>
          <cell r="O10">
            <v>1</v>
          </cell>
          <cell r="P10">
            <v>6637.07</v>
          </cell>
        </row>
        <row r="11">
          <cell r="B11" t="str">
            <v>ESD</v>
          </cell>
          <cell r="C11" t="str">
            <v>521900</v>
          </cell>
          <cell r="D11">
            <v>1440100</v>
          </cell>
          <cell r="E11" t="str">
            <v>000</v>
          </cell>
          <cell r="F11" t="str">
            <v>00000000</v>
          </cell>
          <cell r="G11" t="str">
            <v>0000</v>
          </cell>
          <cell r="H11" t="str">
            <v>0000</v>
          </cell>
          <cell r="J11">
            <v>18530.26</v>
          </cell>
          <cell r="L11" t="str">
            <v>Reversal of Write Off</v>
          </cell>
          <cell r="M11" t="str">
            <v>USD</v>
          </cell>
          <cell r="N11" t="str">
            <v>CRRNT</v>
          </cell>
          <cell r="O11">
            <v>1</v>
          </cell>
          <cell r="P11">
            <v>18530.26</v>
          </cell>
        </row>
        <row r="12">
          <cell r="B12" t="str">
            <v>ESD</v>
          </cell>
          <cell r="C12" t="str">
            <v>521900</v>
          </cell>
          <cell r="D12">
            <v>9040000</v>
          </cell>
          <cell r="E12" t="str">
            <v>883</v>
          </cell>
          <cell r="F12" t="str">
            <v>00001000</v>
          </cell>
          <cell r="G12" t="str">
            <v>0000</v>
          </cell>
          <cell r="H12" t="str">
            <v>1000</v>
          </cell>
          <cell r="J12">
            <v>-18530.26</v>
          </cell>
          <cell r="L12" t="str">
            <v>Reversal of Write Off</v>
          </cell>
          <cell r="M12" t="str">
            <v>USD</v>
          </cell>
          <cell r="N12" t="str">
            <v>CRRNT</v>
          </cell>
          <cell r="O12">
            <v>1</v>
          </cell>
          <cell r="P12">
            <v>-18530.26</v>
          </cell>
        </row>
        <row r="13">
          <cell r="B13" t="str">
            <v>TRN</v>
          </cell>
          <cell r="C13" t="str">
            <v>571900</v>
          </cell>
          <cell r="D13">
            <v>1440100</v>
          </cell>
          <cell r="E13" t="str">
            <v>000</v>
          </cell>
          <cell r="F13" t="str">
            <v>00000000</v>
          </cell>
          <cell r="G13" t="str">
            <v>0000</v>
          </cell>
          <cell r="H13" t="str">
            <v>0000</v>
          </cell>
          <cell r="J13">
            <v>-10538.63</v>
          </cell>
          <cell r="L13" t="str">
            <v>Misc AR Uncollectible Provision</v>
          </cell>
          <cell r="M13" t="str">
            <v>USD</v>
          </cell>
          <cell r="N13" t="str">
            <v>CRRNT</v>
          </cell>
          <cell r="O13">
            <v>1</v>
          </cell>
          <cell r="P13">
            <v>-10538.63</v>
          </cell>
        </row>
        <row r="14">
          <cell r="B14" t="str">
            <v>TRN</v>
          </cell>
          <cell r="C14" t="str">
            <v>571900</v>
          </cell>
          <cell r="D14">
            <v>9040000</v>
          </cell>
          <cell r="E14" t="str">
            <v>883</v>
          </cell>
          <cell r="F14" t="str">
            <v>0000SUPT</v>
          </cell>
          <cell r="G14" t="str">
            <v>0000</v>
          </cell>
          <cell r="H14" t="str">
            <v>9010</v>
          </cell>
          <cell r="J14">
            <v>10538.63</v>
          </cell>
          <cell r="L14" t="str">
            <v>Misc AR Uncollectible Provision</v>
          </cell>
          <cell r="M14" t="str">
            <v>USD</v>
          </cell>
          <cell r="N14" t="str">
            <v>CRRNT</v>
          </cell>
          <cell r="O14">
            <v>1</v>
          </cell>
          <cell r="P14">
            <v>10538.63</v>
          </cell>
        </row>
        <row r="15">
          <cell r="B15" t="str">
            <v>TRN</v>
          </cell>
          <cell r="C15" t="str">
            <v>571900</v>
          </cell>
          <cell r="D15">
            <v>1440100</v>
          </cell>
          <cell r="E15" t="str">
            <v>000</v>
          </cell>
          <cell r="F15" t="str">
            <v>00000000</v>
          </cell>
          <cell r="G15" t="str">
            <v>0000</v>
          </cell>
          <cell r="H15" t="str">
            <v>0000</v>
          </cell>
          <cell r="J15">
            <v>6214.85</v>
          </cell>
          <cell r="L15" t="str">
            <v>Reversal of Write Off</v>
          </cell>
          <cell r="M15" t="str">
            <v>USD</v>
          </cell>
          <cell r="N15" t="str">
            <v>CRRNT</v>
          </cell>
          <cell r="O15">
            <v>1</v>
          </cell>
          <cell r="P15">
            <v>6214.85</v>
          </cell>
        </row>
        <row r="16">
          <cell r="B16" t="str">
            <v>TRN</v>
          </cell>
          <cell r="C16" t="str">
            <v>571900</v>
          </cell>
          <cell r="D16">
            <v>9040000</v>
          </cell>
          <cell r="E16" t="str">
            <v>883</v>
          </cell>
          <cell r="F16" t="str">
            <v>0000SUPT</v>
          </cell>
          <cell r="G16" t="str">
            <v>0000</v>
          </cell>
          <cell r="H16" t="str">
            <v>9010</v>
          </cell>
          <cell r="J16">
            <v>-6214.85</v>
          </cell>
          <cell r="L16" t="str">
            <v>Reversal of Write Off</v>
          </cell>
          <cell r="M16" t="str">
            <v>USD</v>
          </cell>
          <cell r="N16" t="str">
            <v>CRRNT</v>
          </cell>
          <cell r="O16">
            <v>1</v>
          </cell>
          <cell r="P16">
            <v>-6214.85</v>
          </cell>
        </row>
        <row r="17">
          <cell r="F17" t="str">
            <v> Please make sure there are no Journal Lines below this End of File Marker</v>
          </cell>
        </row>
        <row r="18">
          <cell r="M18" t="str">
            <v>USD</v>
          </cell>
          <cell r="N18" t="str">
            <v>CRRNT</v>
          </cell>
          <cell r="O18">
            <v>1</v>
          </cell>
          <cell r="P18">
            <v>0</v>
          </cell>
        </row>
        <row r="19">
          <cell r="M19" t="str">
            <v>USD</v>
          </cell>
          <cell r="N19" t="str">
            <v>CRRNT</v>
          </cell>
          <cell r="O19">
            <v>1</v>
          </cell>
          <cell r="P19">
            <v>-75363.39</v>
          </cell>
        </row>
        <row r="20">
          <cell r="M20" t="str">
            <v>USD</v>
          </cell>
          <cell r="N20" t="str">
            <v>CRRNT</v>
          </cell>
          <cell r="O20">
            <v>1</v>
          </cell>
          <cell r="P20">
            <v>75363.39</v>
          </cell>
        </row>
        <row r="22">
          <cell r="E22" t="str">
            <v> </v>
          </cell>
        </row>
        <row r="23">
          <cell r="F23" t="str">
            <v> </v>
          </cell>
        </row>
        <row r="24">
          <cell r="F24" t="str">
            <v> </v>
          </cell>
        </row>
        <row r="25">
          <cell r="K25" t="str">
            <v>   </v>
          </cell>
        </row>
        <row r="26">
          <cell r="K26" t="str">
            <v>   </v>
          </cell>
        </row>
        <row r="27">
          <cell r="K27" t="str">
            <v>   </v>
          </cell>
        </row>
        <row r="28">
          <cell r="K28" t="str">
            <v>   </v>
          </cell>
        </row>
        <row r="29">
          <cell r="K29" t="str">
            <v>   </v>
          </cell>
        </row>
        <row r="30">
          <cell r="K30" t="str">
            <v>   </v>
          </cell>
        </row>
        <row r="31">
          <cell r="K31" t="str">
            <v>   </v>
          </cell>
        </row>
        <row r="32">
          <cell r="K32" t="str">
            <v>   </v>
          </cell>
        </row>
        <row r="33">
          <cell r="K33" t="str">
            <v>   </v>
          </cell>
        </row>
        <row r="34">
          <cell r="K34" t="str">
            <v>   </v>
          </cell>
        </row>
        <row r="35">
          <cell r="K35" t="str">
            <v>   </v>
          </cell>
        </row>
        <row r="36">
          <cell r="K36" t="str">
            <v>   </v>
          </cell>
        </row>
        <row r="37">
          <cell r="K37" t="str">
            <v>   </v>
          </cell>
        </row>
        <row r="38">
          <cell r="K38" t="str">
            <v>   </v>
          </cell>
        </row>
        <row r="39">
          <cell r="K39" t="str">
            <v>   </v>
          </cell>
        </row>
        <row r="40">
          <cell r="K40" t="str">
            <v>   </v>
          </cell>
        </row>
        <row r="41">
          <cell r="K41" t="str">
            <v>   </v>
          </cell>
        </row>
        <row r="42">
          <cell r="K42" t="str">
            <v>   </v>
          </cell>
        </row>
        <row r="43">
          <cell r="K43" t="str">
            <v>   </v>
          </cell>
        </row>
        <row r="44">
          <cell r="K44" t="str">
            <v>   </v>
          </cell>
        </row>
        <row r="45">
          <cell r="K45" t="str">
            <v>   </v>
          </cell>
        </row>
        <row r="46">
          <cell r="K46" t="str">
            <v>   </v>
          </cell>
        </row>
        <row r="47">
          <cell r="K47" t="str">
            <v>   </v>
          </cell>
        </row>
        <row r="48">
          <cell r="K48" t="str">
            <v>   </v>
          </cell>
        </row>
        <row r="49">
          <cell r="K49" t="str">
            <v>   </v>
          </cell>
        </row>
        <row r="50">
          <cell r="K50" t="str">
            <v>   </v>
          </cell>
        </row>
        <row r="51">
          <cell r="K51" t="str">
            <v>   </v>
          </cell>
        </row>
        <row r="52">
          <cell r="K52" t="str">
            <v>   </v>
          </cell>
        </row>
        <row r="53">
          <cell r="K53" t="str">
            <v>   </v>
          </cell>
        </row>
        <row r="54">
          <cell r="K54" t="str">
            <v>   </v>
          </cell>
        </row>
        <row r="55">
          <cell r="K55" t="str">
            <v>   </v>
          </cell>
        </row>
        <row r="56">
          <cell r="K56" t="str">
            <v>   </v>
          </cell>
        </row>
        <row r="57">
          <cell r="K57" t="str">
            <v>   </v>
          </cell>
        </row>
        <row r="58">
          <cell r="K58" t="str">
            <v>   </v>
          </cell>
        </row>
        <row r="59">
          <cell r="K59" t="str">
            <v>   </v>
          </cell>
        </row>
        <row r="60">
          <cell r="K60" t="str">
            <v>   </v>
          </cell>
        </row>
        <row r="61">
          <cell r="K61" t="str">
            <v>   </v>
          </cell>
        </row>
        <row r="62">
          <cell r="K62" t="str">
            <v>   </v>
          </cell>
        </row>
        <row r="63">
          <cell r="K63" t="str">
            <v>   </v>
          </cell>
        </row>
        <row r="64">
          <cell r="K64" t="str">
            <v>   </v>
          </cell>
        </row>
        <row r="65">
          <cell r="K65" t="str">
            <v>   </v>
          </cell>
        </row>
        <row r="67">
          <cell r="K67" t="str">
            <v> </v>
          </cell>
        </row>
        <row r="68">
          <cell r="K68" t="str">
            <v> </v>
          </cell>
        </row>
        <row r="69">
          <cell r="K69" t="str">
            <v> </v>
          </cell>
        </row>
        <row r="70">
          <cell r="K70" t="str">
            <v> </v>
          </cell>
        </row>
        <row r="71">
          <cell r="K71" t="str">
            <v> </v>
          </cell>
        </row>
        <row r="72">
          <cell r="K72" t="str">
            <v> </v>
          </cell>
        </row>
        <row r="73">
          <cell r="K73" t="str">
            <v> </v>
          </cell>
        </row>
        <row r="74">
          <cell r="K74" t="str">
            <v> </v>
          </cell>
        </row>
        <row r="75">
          <cell r="K75" t="str">
            <v> </v>
          </cell>
        </row>
        <row r="76">
          <cell r="K76" t="str">
            <v> </v>
          </cell>
        </row>
        <row r="77">
          <cell r="K77" t="str">
            <v> </v>
          </cell>
        </row>
        <row r="78">
          <cell r="K78" t="str">
            <v> </v>
          </cell>
        </row>
        <row r="79">
          <cell r="K79" t="str">
            <v> </v>
          </cell>
        </row>
        <row r="80">
          <cell r="K80" t="str">
            <v> </v>
          </cell>
        </row>
        <row r="81">
          <cell r="K81" t="str">
            <v> </v>
          </cell>
        </row>
        <row r="82">
          <cell r="K82" t="str">
            <v> </v>
          </cell>
        </row>
        <row r="83">
          <cell r="K83" t="str">
            <v> </v>
          </cell>
        </row>
        <row r="84">
          <cell r="K84" t="str">
            <v> </v>
          </cell>
          <cell r="N84" t="str">
            <v>     </v>
          </cell>
        </row>
        <row r="85">
          <cell r="K85" t="str">
            <v> </v>
          </cell>
          <cell r="N85" t="str">
            <v>     </v>
          </cell>
        </row>
        <row r="86">
          <cell r="K86" t="str">
            <v> </v>
          </cell>
          <cell r="N86" t="str">
            <v>     </v>
          </cell>
        </row>
        <row r="87">
          <cell r="K87" t="str">
            <v> </v>
          </cell>
          <cell r="N87" t="str">
            <v>     </v>
          </cell>
        </row>
        <row r="88">
          <cell r="K88" t="str">
            <v> </v>
          </cell>
          <cell r="N88" t="str">
            <v>     </v>
          </cell>
        </row>
        <row r="89">
          <cell r="K89" t="str">
            <v> </v>
          </cell>
          <cell r="N89" t="str">
            <v>     </v>
          </cell>
        </row>
        <row r="90">
          <cell r="K90" t="str">
            <v> </v>
          </cell>
          <cell r="N90" t="str">
            <v>     </v>
          </cell>
        </row>
        <row r="91">
          <cell r="K91" t="str">
            <v> </v>
          </cell>
          <cell r="N91" t="str">
            <v>     </v>
          </cell>
        </row>
        <row r="92">
          <cell r="K92" t="str">
            <v> </v>
          </cell>
          <cell r="N92" t="str">
            <v>     </v>
          </cell>
        </row>
        <row r="93">
          <cell r="K93" t="str">
            <v> </v>
          </cell>
          <cell r="N93" t="str">
            <v>     </v>
          </cell>
        </row>
        <row r="94">
          <cell r="K94" t="str">
            <v> </v>
          </cell>
          <cell r="N94" t="str">
            <v>     </v>
          </cell>
        </row>
        <row r="95">
          <cell r="K95" t="str">
            <v> </v>
          </cell>
          <cell r="N95" t="str">
            <v>     </v>
          </cell>
        </row>
        <row r="96">
          <cell r="K96" t="str">
            <v> </v>
          </cell>
          <cell r="N96" t="str">
            <v>     </v>
          </cell>
        </row>
        <row r="97">
          <cell r="K97" t="str">
            <v> </v>
          </cell>
          <cell r="N97" t="str">
            <v>     </v>
          </cell>
        </row>
        <row r="98">
          <cell r="K98" t="str">
            <v> </v>
          </cell>
          <cell r="N98" t="str">
            <v>     </v>
          </cell>
        </row>
        <row r="99">
          <cell r="K99" t="str">
            <v> </v>
          </cell>
          <cell r="N99" t="str">
            <v>     </v>
          </cell>
        </row>
        <row r="100">
          <cell r="K100" t="str">
            <v> </v>
          </cell>
          <cell r="N100" t="str">
            <v>     </v>
          </cell>
        </row>
        <row r="101">
          <cell r="K101" t="str">
            <v> </v>
          </cell>
          <cell r="N101" t="str">
            <v>     </v>
          </cell>
        </row>
        <row r="102">
          <cell r="K102" t="str">
            <v> </v>
          </cell>
          <cell r="N102" t="str">
            <v>     </v>
          </cell>
        </row>
        <row r="103">
          <cell r="K103" t="str">
            <v> </v>
          </cell>
          <cell r="N103" t="str">
            <v>     </v>
          </cell>
        </row>
        <row r="104">
          <cell r="K104" t="str">
            <v> </v>
          </cell>
          <cell r="N104" t="str">
            <v>     </v>
          </cell>
        </row>
        <row r="105">
          <cell r="K105" t="str">
            <v> </v>
          </cell>
          <cell r="N105" t="str">
            <v>     </v>
          </cell>
        </row>
        <row r="106">
          <cell r="K106" t="str">
            <v> </v>
          </cell>
          <cell r="N106" t="str">
            <v>     </v>
          </cell>
        </row>
        <row r="107">
          <cell r="K107" t="str">
            <v> </v>
          </cell>
          <cell r="N107" t="str">
            <v>     </v>
          </cell>
        </row>
        <row r="108">
          <cell r="K108" t="str">
            <v> </v>
          </cell>
          <cell r="N108" t="str">
            <v>     </v>
          </cell>
        </row>
        <row r="109">
          <cell r="K109" t="str">
            <v> </v>
          </cell>
          <cell r="N109" t="str">
            <v>     </v>
          </cell>
        </row>
        <row r="110">
          <cell r="K110" t="str">
            <v> </v>
          </cell>
          <cell r="N110" t="str">
            <v>     </v>
          </cell>
        </row>
        <row r="111">
          <cell r="K111" t="str">
            <v> </v>
          </cell>
          <cell r="N111" t="str">
            <v>     </v>
          </cell>
        </row>
        <row r="112">
          <cell r="K112" t="str">
            <v> </v>
          </cell>
          <cell r="N112" t="str">
            <v>     </v>
          </cell>
        </row>
        <row r="113">
          <cell r="K113" t="str">
            <v> </v>
          </cell>
          <cell r="N113" t="str">
            <v>     </v>
          </cell>
        </row>
        <row r="114">
          <cell r="K114" t="str">
            <v> </v>
          </cell>
          <cell r="N114" t="str">
            <v>     </v>
          </cell>
        </row>
        <row r="115">
          <cell r="K115" t="str">
            <v> </v>
          </cell>
          <cell r="N115" t="str">
            <v>     </v>
          </cell>
        </row>
        <row r="116">
          <cell r="K116" t="str">
            <v> </v>
          </cell>
          <cell r="N116" t="str">
            <v>     </v>
          </cell>
        </row>
        <row r="117">
          <cell r="K117" t="str">
            <v> </v>
          </cell>
          <cell r="N117" t="str">
            <v>     </v>
          </cell>
        </row>
        <row r="118">
          <cell r="K118" t="str">
            <v> </v>
          </cell>
          <cell r="N118" t="str">
            <v>     </v>
          </cell>
        </row>
        <row r="119">
          <cell r="K119" t="str">
            <v> </v>
          </cell>
          <cell r="N119" t="str">
            <v>     </v>
          </cell>
        </row>
        <row r="120">
          <cell r="K120" t="str">
            <v> </v>
          </cell>
          <cell r="N120" t="str">
            <v>     </v>
          </cell>
        </row>
        <row r="121">
          <cell r="K121" t="str">
            <v> </v>
          </cell>
          <cell r="N121" t="str">
            <v>     </v>
          </cell>
        </row>
        <row r="122">
          <cell r="K122" t="str">
            <v> </v>
          </cell>
          <cell r="N122" t="str">
            <v>     </v>
          </cell>
        </row>
        <row r="123">
          <cell r="K123" t="str">
            <v> </v>
          </cell>
          <cell r="N123" t="str">
            <v>     </v>
          </cell>
        </row>
        <row r="124">
          <cell r="K124" t="str">
            <v> </v>
          </cell>
          <cell r="N124" t="str">
            <v>     </v>
          </cell>
        </row>
        <row r="125">
          <cell r="K125" t="str">
            <v> </v>
          </cell>
          <cell r="N125" t="str">
            <v>     </v>
          </cell>
        </row>
        <row r="126">
          <cell r="K126" t="str">
            <v> </v>
          </cell>
          <cell r="N126" t="str">
            <v>     </v>
          </cell>
        </row>
        <row r="127">
          <cell r="K127" t="str">
            <v> </v>
          </cell>
          <cell r="N127" t="str">
            <v>     </v>
          </cell>
        </row>
        <row r="128">
          <cell r="K128" t="str">
            <v> </v>
          </cell>
          <cell r="N128" t="str">
            <v>     </v>
          </cell>
        </row>
        <row r="129">
          <cell r="K129" t="str">
            <v> </v>
          </cell>
          <cell r="N129" t="str">
            <v>     </v>
          </cell>
        </row>
        <row r="130">
          <cell r="K130" t="str">
            <v> </v>
          </cell>
          <cell r="N130" t="str">
            <v>     </v>
          </cell>
        </row>
        <row r="131">
          <cell r="K131" t="str">
            <v> </v>
          </cell>
          <cell r="N131" t="str">
            <v>     </v>
          </cell>
        </row>
        <row r="132">
          <cell r="K132" t="str">
            <v> </v>
          </cell>
          <cell r="N132" t="str">
            <v>     </v>
          </cell>
        </row>
        <row r="133">
          <cell r="K133" t="str">
            <v> </v>
          </cell>
          <cell r="N133" t="str">
            <v>     </v>
          </cell>
        </row>
        <row r="134">
          <cell r="K134" t="str">
            <v> </v>
          </cell>
          <cell r="N134" t="str">
            <v>     </v>
          </cell>
        </row>
        <row r="135">
          <cell r="K135" t="str">
            <v> </v>
          </cell>
          <cell r="N135" t="str">
            <v>     </v>
          </cell>
        </row>
        <row r="136">
          <cell r="K136" t="str">
            <v> </v>
          </cell>
          <cell r="N136" t="str">
            <v>     </v>
          </cell>
        </row>
        <row r="137">
          <cell r="K137" t="str">
            <v> </v>
          </cell>
          <cell r="N137" t="str">
            <v>     </v>
          </cell>
        </row>
        <row r="138">
          <cell r="K138" t="str">
            <v> </v>
          </cell>
          <cell r="N138" t="str">
            <v>     </v>
          </cell>
        </row>
        <row r="139">
          <cell r="K139" t="str">
            <v> </v>
          </cell>
          <cell r="N139" t="str">
            <v>     </v>
          </cell>
        </row>
        <row r="140">
          <cell r="K140" t="str">
            <v> </v>
          </cell>
          <cell r="N140" t="str">
            <v>     </v>
          </cell>
        </row>
        <row r="141">
          <cell r="K141" t="str">
            <v> </v>
          </cell>
          <cell r="N141" t="str">
            <v>     </v>
          </cell>
        </row>
        <row r="142">
          <cell r="K142" t="str">
            <v> </v>
          </cell>
          <cell r="N142" t="str">
            <v>     </v>
          </cell>
        </row>
        <row r="143">
          <cell r="K143" t="str">
            <v> </v>
          </cell>
          <cell r="N143" t="str">
            <v>     </v>
          </cell>
        </row>
        <row r="144">
          <cell r="K144" t="str">
            <v> </v>
          </cell>
          <cell r="N144" t="str">
            <v>     </v>
          </cell>
        </row>
        <row r="145">
          <cell r="K145" t="str">
            <v> </v>
          </cell>
          <cell r="N145" t="str">
            <v>     </v>
          </cell>
        </row>
        <row r="146">
          <cell r="K146" t="str">
            <v> </v>
          </cell>
          <cell r="N146" t="str">
            <v>     </v>
          </cell>
        </row>
        <row r="147">
          <cell r="K147" t="str">
            <v> </v>
          </cell>
          <cell r="N147" t="str">
            <v>     </v>
          </cell>
        </row>
        <row r="148">
          <cell r="K148" t="str">
            <v> </v>
          </cell>
          <cell r="N148" t="str">
            <v>     </v>
          </cell>
        </row>
        <row r="149">
          <cell r="K149" t="str">
            <v> </v>
          </cell>
          <cell r="N149" t="str">
            <v>     </v>
          </cell>
        </row>
        <row r="150">
          <cell r="K150" t="str">
            <v> </v>
          </cell>
          <cell r="N150" t="str">
            <v>     </v>
          </cell>
        </row>
        <row r="151">
          <cell r="K151" t="str">
            <v> </v>
          </cell>
          <cell r="N151" t="str">
            <v>     </v>
          </cell>
        </row>
        <row r="152">
          <cell r="K152" t="str">
            <v> </v>
          </cell>
          <cell r="N152" t="str">
            <v>     </v>
          </cell>
        </row>
        <row r="153">
          <cell r="K153" t="str">
            <v> </v>
          </cell>
          <cell r="N153" t="str">
            <v>     </v>
          </cell>
        </row>
        <row r="154">
          <cell r="K154" t="str">
            <v> </v>
          </cell>
          <cell r="N154" t="str">
            <v>     </v>
          </cell>
        </row>
        <row r="155">
          <cell r="K155" t="str">
            <v> </v>
          </cell>
          <cell r="N155" t="str">
            <v>     </v>
          </cell>
        </row>
        <row r="156">
          <cell r="K156" t="str">
            <v> </v>
          </cell>
          <cell r="N156" t="str">
            <v>     </v>
          </cell>
        </row>
        <row r="157">
          <cell r="K157" t="str">
            <v> </v>
          </cell>
          <cell r="N157" t="str">
            <v>     </v>
          </cell>
        </row>
        <row r="158">
          <cell r="K158" t="str">
            <v> </v>
          </cell>
          <cell r="N158" t="str">
            <v>     </v>
          </cell>
        </row>
        <row r="159">
          <cell r="K159" t="str">
            <v> </v>
          </cell>
          <cell r="N159" t="str">
            <v>     </v>
          </cell>
        </row>
        <row r="160">
          <cell r="K160" t="str">
            <v> </v>
          </cell>
          <cell r="N160" t="str">
            <v>     </v>
          </cell>
        </row>
        <row r="161">
          <cell r="K161" t="str">
            <v> </v>
          </cell>
          <cell r="N161" t="str">
            <v>     </v>
          </cell>
        </row>
        <row r="162">
          <cell r="K162" t="str">
            <v> </v>
          </cell>
          <cell r="N162" t="str">
            <v>     </v>
          </cell>
        </row>
        <row r="163">
          <cell r="K163" t="str">
            <v> </v>
          </cell>
          <cell r="N163" t="str">
            <v>     </v>
          </cell>
        </row>
        <row r="164">
          <cell r="K164" t="str">
            <v> </v>
          </cell>
          <cell r="N164" t="str">
            <v>     </v>
          </cell>
        </row>
        <row r="165">
          <cell r="K165" t="str">
            <v> </v>
          </cell>
          <cell r="N165" t="str">
            <v>     </v>
          </cell>
        </row>
        <row r="166">
          <cell r="K166" t="str">
            <v> </v>
          </cell>
          <cell r="N166" t="str">
            <v>     </v>
          </cell>
        </row>
        <row r="167">
          <cell r="K167" t="str">
            <v> </v>
          </cell>
          <cell r="N167" t="str">
            <v>     </v>
          </cell>
        </row>
        <row r="168">
          <cell r="K168" t="str">
            <v> </v>
          </cell>
          <cell r="N168" t="str">
            <v>     </v>
          </cell>
        </row>
        <row r="169">
          <cell r="K169" t="str">
            <v> </v>
          </cell>
          <cell r="N169" t="str">
            <v>     </v>
          </cell>
        </row>
        <row r="170">
          <cell r="K170" t="str">
            <v> </v>
          </cell>
          <cell r="N170" t="str">
            <v>     </v>
          </cell>
        </row>
        <row r="171">
          <cell r="K171" t="str">
            <v> </v>
          </cell>
          <cell r="N171" t="str">
            <v>     </v>
          </cell>
        </row>
        <row r="172">
          <cell r="K172" t="str">
            <v> </v>
          </cell>
          <cell r="N172" t="str">
            <v>     </v>
          </cell>
        </row>
        <row r="173">
          <cell r="K173" t="str">
            <v> </v>
          </cell>
          <cell r="N173" t="str">
            <v>     </v>
          </cell>
        </row>
        <row r="174">
          <cell r="K174" t="str">
            <v> </v>
          </cell>
          <cell r="N174" t="str">
            <v>     </v>
          </cell>
        </row>
        <row r="175">
          <cell r="K175" t="str">
            <v> </v>
          </cell>
          <cell r="N175" t="str">
            <v>     </v>
          </cell>
        </row>
        <row r="176">
          <cell r="K176" t="str">
            <v> </v>
          </cell>
          <cell r="N176" t="str">
            <v>     </v>
          </cell>
        </row>
        <row r="177">
          <cell r="K177" t="str">
            <v> </v>
          </cell>
          <cell r="N177" t="str">
            <v>     </v>
          </cell>
        </row>
        <row r="178">
          <cell r="K178" t="str">
            <v> </v>
          </cell>
          <cell r="N178" t="str">
            <v>     </v>
          </cell>
        </row>
        <row r="179">
          <cell r="K179" t="str">
            <v> </v>
          </cell>
          <cell r="N179" t="str">
            <v>     </v>
          </cell>
        </row>
        <row r="180">
          <cell r="K180" t="str">
            <v> </v>
          </cell>
          <cell r="N180" t="str">
            <v>     </v>
          </cell>
        </row>
        <row r="181">
          <cell r="K181" t="str">
            <v> </v>
          </cell>
          <cell r="N181" t="str">
            <v>     </v>
          </cell>
        </row>
        <row r="182">
          <cell r="K182" t="str">
            <v> </v>
          </cell>
          <cell r="N182" t="str">
            <v>     </v>
          </cell>
        </row>
        <row r="183">
          <cell r="K183" t="str">
            <v> </v>
          </cell>
          <cell r="N183" t="str">
            <v>     </v>
          </cell>
        </row>
        <row r="184">
          <cell r="K184" t="str">
            <v> </v>
          </cell>
          <cell r="N184" t="str">
            <v>     </v>
          </cell>
        </row>
        <row r="185">
          <cell r="K185" t="str">
            <v> </v>
          </cell>
          <cell r="N185" t="str">
            <v>     </v>
          </cell>
        </row>
        <row r="186">
          <cell r="K186" t="str">
            <v> </v>
          </cell>
          <cell r="N186" t="str">
            <v>     </v>
          </cell>
        </row>
        <row r="187">
          <cell r="K187" t="str">
            <v> </v>
          </cell>
          <cell r="N187" t="str">
            <v>     </v>
          </cell>
        </row>
        <row r="188">
          <cell r="K188" t="str">
            <v> </v>
          </cell>
          <cell r="N188" t="str">
            <v>     </v>
          </cell>
        </row>
        <row r="189">
          <cell r="K189" t="str">
            <v> </v>
          </cell>
          <cell r="N189" t="str">
            <v>     </v>
          </cell>
        </row>
        <row r="190">
          <cell r="K190" t="str">
            <v> </v>
          </cell>
          <cell r="N190" t="str">
            <v>     </v>
          </cell>
        </row>
        <row r="191">
          <cell r="K191" t="str">
            <v> </v>
          </cell>
          <cell r="N191" t="str">
            <v>     </v>
          </cell>
        </row>
        <row r="192">
          <cell r="K192" t="str">
            <v> </v>
          </cell>
          <cell r="N192" t="str">
            <v>     </v>
          </cell>
        </row>
        <row r="193">
          <cell r="K193" t="str">
            <v> </v>
          </cell>
          <cell r="N193" t="str">
            <v>     </v>
          </cell>
        </row>
        <row r="194">
          <cell r="K194" t="str">
            <v> </v>
          </cell>
          <cell r="N194" t="str">
            <v>     </v>
          </cell>
        </row>
        <row r="195">
          <cell r="K195" t="str">
            <v> </v>
          </cell>
          <cell r="N195" t="str">
            <v>     </v>
          </cell>
        </row>
        <row r="196">
          <cell r="K196" t="str">
            <v> </v>
          </cell>
          <cell r="N196" t="str">
            <v>     </v>
          </cell>
        </row>
        <row r="197">
          <cell r="K197" t="str">
            <v> </v>
          </cell>
          <cell r="N197" t="str">
            <v>     </v>
          </cell>
        </row>
        <row r="198">
          <cell r="K198" t="str">
            <v> </v>
          </cell>
          <cell r="N198" t="str">
            <v>     </v>
          </cell>
        </row>
        <row r="199">
          <cell r="K199" t="str">
            <v> </v>
          </cell>
          <cell r="N199" t="str">
            <v>     </v>
          </cell>
        </row>
        <row r="200">
          <cell r="K200" t="str">
            <v> </v>
          </cell>
          <cell r="N200" t="str">
            <v>     </v>
          </cell>
        </row>
        <row r="201">
          <cell r="K201" t="str">
            <v> </v>
          </cell>
          <cell r="N201" t="str">
            <v>     </v>
          </cell>
        </row>
        <row r="202">
          <cell r="K202" t="str">
            <v> </v>
          </cell>
          <cell r="N202" t="str">
            <v>     </v>
          </cell>
        </row>
        <row r="203">
          <cell r="K203" t="str">
            <v> </v>
          </cell>
          <cell r="N203" t="str">
            <v>     </v>
          </cell>
        </row>
        <row r="204">
          <cell r="K204" t="str">
            <v> </v>
          </cell>
          <cell r="N204" t="str">
            <v>     </v>
          </cell>
        </row>
        <row r="205">
          <cell r="K205" t="str">
            <v> </v>
          </cell>
          <cell r="N205" t="str">
            <v>     </v>
          </cell>
        </row>
        <row r="206">
          <cell r="K206" t="str">
            <v> </v>
          </cell>
          <cell r="N206" t="str">
            <v>     </v>
          </cell>
        </row>
        <row r="207">
          <cell r="K207" t="str">
            <v> </v>
          </cell>
          <cell r="N207" t="str">
            <v>     </v>
          </cell>
        </row>
        <row r="208">
          <cell r="K208" t="str">
            <v> </v>
          </cell>
          <cell r="N208" t="str">
            <v>     </v>
          </cell>
        </row>
        <row r="209">
          <cell r="K209" t="str">
            <v> </v>
          </cell>
          <cell r="N209" t="str">
            <v>     </v>
          </cell>
        </row>
        <row r="210">
          <cell r="K210" t="str">
            <v> </v>
          </cell>
          <cell r="N210" t="str">
            <v>     </v>
          </cell>
        </row>
        <row r="211">
          <cell r="K211" t="str">
            <v> </v>
          </cell>
          <cell r="N211" t="str">
            <v>     </v>
          </cell>
        </row>
        <row r="212">
          <cell r="K212" t="str">
            <v> </v>
          </cell>
          <cell r="N212" t="str">
            <v>     </v>
          </cell>
        </row>
        <row r="213">
          <cell r="K213" t="str">
            <v> </v>
          </cell>
          <cell r="N213" t="str">
            <v>     </v>
          </cell>
        </row>
        <row r="214">
          <cell r="K214" t="str">
            <v> </v>
          </cell>
          <cell r="N214" t="str">
            <v>     </v>
          </cell>
        </row>
        <row r="215">
          <cell r="K215" t="str">
            <v> </v>
          </cell>
          <cell r="N215" t="str">
            <v>     </v>
          </cell>
        </row>
        <row r="216">
          <cell r="K216" t="str">
            <v> </v>
          </cell>
          <cell r="N216" t="str">
            <v>     </v>
          </cell>
        </row>
        <row r="217">
          <cell r="K217" t="str">
            <v> </v>
          </cell>
          <cell r="N217" t="str">
            <v>     </v>
          </cell>
        </row>
        <row r="218">
          <cell r="K218" t="str">
            <v> </v>
          </cell>
          <cell r="N218" t="str">
            <v>     </v>
          </cell>
        </row>
        <row r="219">
          <cell r="K219" t="str">
            <v> </v>
          </cell>
          <cell r="N219" t="str">
            <v>     </v>
          </cell>
        </row>
        <row r="220">
          <cell r="K220" t="str">
            <v> </v>
          </cell>
          <cell r="N220" t="str">
            <v>     </v>
          </cell>
        </row>
        <row r="221">
          <cell r="K221" t="str">
            <v> </v>
          </cell>
          <cell r="N221" t="str">
            <v>     </v>
          </cell>
        </row>
        <row r="222">
          <cell r="K222" t="str">
            <v> </v>
          </cell>
          <cell r="N222" t="str">
            <v>     </v>
          </cell>
        </row>
        <row r="223">
          <cell r="K223" t="str">
            <v> </v>
          </cell>
          <cell r="N223" t="str">
            <v>     </v>
          </cell>
        </row>
        <row r="224">
          <cell r="K224" t="str">
            <v> </v>
          </cell>
          <cell r="N224" t="str">
            <v>     </v>
          </cell>
        </row>
        <row r="225">
          <cell r="K225" t="str">
            <v> </v>
          </cell>
          <cell r="N225" t="str">
            <v>     </v>
          </cell>
        </row>
        <row r="226">
          <cell r="K226" t="str">
            <v> </v>
          </cell>
          <cell r="N226" t="str">
            <v>     </v>
          </cell>
        </row>
        <row r="227">
          <cell r="K227" t="str">
            <v> </v>
          </cell>
          <cell r="N227" t="str">
            <v>     </v>
          </cell>
        </row>
        <row r="228">
          <cell r="K228" t="str">
            <v> </v>
          </cell>
          <cell r="N228" t="str">
            <v>     </v>
          </cell>
        </row>
        <row r="229">
          <cell r="K229" t="str">
            <v> </v>
          </cell>
          <cell r="N229" t="str">
            <v>     </v>
          </cell>
        </row>
        <row r="230">
          <cell r="K230" t="str">
            <v> </v>
          </cell>
          <cell r="N230" t="str">
            <v>     </v>
          </cell>
        </row>
        <row r="231">
          <cell r="K231" t="str">
            <v> </v>
          </cell>
          <cell r="N231" t="str">
            <v>     </v>
          </cell>
        </row>
        <row r="232">
          <cell r="K232" t="str">
            <v> </v>
          </cell>
          <cell r="N232" t="str">
            <v>     </v>
          </cell>
        </row>
        <row r="233">
          <cell r="K233" t="str">
            <v> </v>
          </cell>
          <cell r="N233" t="str">
            <v>     </v>
          </cell>
        </row>
        <row r="234">
          <cell r="K234" t="str">
            <v> </v>
          </cell>
          <cell r="N234" t="str">
            <v>     </v>
          </cell>
        </row>
        <row r="235">
          <cell r="K235" t="str">
            <v> </v>
          </cell>
          <cell r="N235" t="str">
            <v>     </v>
          </cell>
        </row>
        <row r="236">
          <cell r="K236" t="str">
            <v> </v>
          </cell>
          <cell r="N236" t="str">
            <v>     </v>
          </cell>
        </row>
        <row r="237">
          <cell r="K237" t="str">
            <v> </v>
          </cell>
          <cell r="N237" t="str">
            <v>     </v>
          </cell>
        </row>
        <row r="238">
          <cell r="K238" t="str">
            <v> </v>
          </cell>
          <cell r="N238" t="str">
            <v>     </v>
          </cell>
        </row>
        <row r="239">
          <cell r="K239" t="str">
            <v> </v>
          </cell>
          <cell r="N239" t="str">
            <v>     </v>
          </cell>
          <cell r="R239">
            <v>-580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Main"/>
      <sheetName val="Classes &amp; Groups"/>
      <sheetName val="Forecast (Collections)"/>
      <sheetName val="Forecast Variance"/>
      <sheetName val="Forecast (Var - Capped)"/>
      <sheetName val="RAAF's"/>
      <sheetName val="baseTC"/>
      <sheetName val="Class Comp"/>
      <sheetName val="Bond Cashflows"/>
      <sheetName val="AIC"/>
      <sheetName val="OC Tables"/>
      <sheetName val="TC Charges"/>
      <sheetName val="TC Chart"/>
      <sheetName val="JOURNAL"/>
    </sheetNames>
    <sheetDataSet>
      <sheetData sheetId="0" refreshError="1">
        <row r="7">
          <cell r="B7">
            <v>38020</v>
          </cell>
        </row>
        <row r="8">
          <cell r="B8">
            <v>38183</v>
          </cell>
        </row>
        <row r="21">
          <cell r="F21" t="b">
            <v>0</v>
          </cell>
          <cell r="J21">
            <v>144</v>
          </cell>
        </row>
        <row r="22">
          <cell r="F22">
            <v>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Gas Capital Spend"/>
      <sheetName val="LSGD"/>
      <sheetName val="Gas Capex"/>
    </sheetNames>
    <sheetDataSet>
      <sheetData sheetId="0"/>
      <sheetData sheetId="1" refreshError="1">
        <row r="4">
          <cell r="T4" t="str">
            <v>Date</v>
          </cell>
          <cell r="U4" t="str">
            <v>Month</v>
          </cell>
        </row>
        <row r="5">
          <cell r="T5" t="str">
            <v>2001-1</v>
          </cell>
          <cell r="U5" t="str">
            <v>Jan</v>
          </cell>
        </row>
        <row r="6">
          <cell r="T6" t="str">
            <v>2001-3</v>
          </cell>
          <cell r="U6" t="str">
            <v>Mar</v>
          </cell>
        </row>
        <row r="7">
          <cell r="T7" t="str">
            <v>2001-4</v>
          </cell>
          <cell r="U7" t="str">
            <v>Apr</v>
          </cell>
        </row>
        <row r="8">
          <cell r="T8" t="str">
            <v>2001-5</v>
          </cell>
          <cell r="U8" t="str">
            <v>May</v>
          </cell>
        </row>
        <row r="9">
          <cell r="T9" t="str">
            <v>2001-6</v>
          </cell>
          <cell r="U9" t="str">
            <v>Jun</v>
          </cell>
        </row>
        <row r="10">
          <cell r="T10" t="str">
            <v>2001-7</v>
          </cell>
          <cell r="U10" t="str">
            <v>Jul</v>
          </cell>
        </row>
        <row r="11">
          <cell r="T11" t="str">
            <v>2001-8</v>
          </cell>
          <cell r="U11" t="str">
            <v>Aug</v>
          </cell>
        </row>
        <row r="12">
          <cell r="T12" t="str">
            <v>2001-9</v>
          </cell>
          <cell r="U12" t="str">
            <v>Sep</v>
          </cell>
        </row>
        <row r="13">
          <cell r="T13" t="str">
            <v>2001-10</v>
          </cell>
          <cell r="U13" t="str">
            <v>Oct</v>
          </cell>
        </row>
        <row r="14">
          <cell r="T14" t="str">
            <v>2001-11</v>
          </cell>
          <cell r="U14" t="str">
            <v>Nov</v>
          </cell>
        </row>
        <row r="15">
          <cell r="T15" t="str">
            <v>2001-12</v>
          </cell>
          <cell r="U15" t="str">
            <v>Dec</v>
          </cell>
        </row>
      </sheetData>
      <sheetData sheetId="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JOURNAL"/>
      <sheetName val="Schedule Detail "/>
      <sheetName val="Setup"/>
      <sheetName val="LSGD"/>
    </sheetNames>
    <sheetDataSet>
      <sheetData sheetId="0"/>
      <sheetData sheetId="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0">
          <a:gsLst>
            <a:gs pos="0">
              <a:srgbClr val="AAAAAA"/>
            </a:gs>
            <a:gs pos="100000">
              <a:srgbClr val="FFFFFF"/>
            </a:gs>
          </a:gsLst>
          <a:lin ang="5400000" scaled="1"/>
        </a:gradFill>
        <a:ln w="9525" cap="flat" cmpd="sng" algn="ctr">
          <a:noFill/>
          <a:prstDash val="solid"/>
          <a:round/>
          <a:headEnd type="none" w="med" len="med"/>
          <a:tailEnd type="none" w="med" len="med"/>
        </a:ln>
        <a:effectLst>
          <a:outerShdw dist="45791" dir="3378596" algn="ctr" rotWithShape="0">
            <a:srgbClr val="4D4D4D"/>
          </a:outerShdw>
        </a:effectLst>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AAAAAA"/>
            </a:gs>
            <a:gs pos="100000">
              <a:srgbClr val="FFFFFF"/>
            </a:gs>
          </a:gsLst>
          <a:lin ang="5400000" scaled="1"/>
        </a:gradFill>
        <a:ln w="9525" cap="flat" cmpd="sng" algn="ctr">
          <a:noFill/>
          <a:prstDash val="solid"/>
          <a:round/>
          <a:headEnd type="none" w="med" len="med"/>
          <a:tailEnd type="none" w="med" len="med"/>
        </a:ln>
        <a:effectLst>
          <a:outerShdw dist="45791" dir="3378596" algn="ctr" rotWithShape="0">
            <a:srgbClr val="4D4D4D"/>
          </a:outerShdw>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4" Type="http://schemas.openxmlformats.org/officeDocument/2006/relationships/ctrlProp" Target="../ctrProps/ctrProp14.xml" /><Relationship Id="rId15" Type="http://schemas.openxmlformats.org/officeDocument/2006/relationships/ctrlProp" Target="../ctrProps/ctrProp15.xml" /><Relationship Id="rId16" Type="http://schemas.openxmlformats.org/officeDocument/2006/relationships/ctrlProp" Target="../ctrProps/ctrProp16.xml" /><Relationship Id="rId17" Type="http://schemas.openxmlformats.org/officeDocument/2006/relationships/ctrlProp" Target="../ctrProps/ctrProp17.xml" /><Relationship Id="rId10" Type="http://schemas.openxmlformats.org/officeDocument/2006/relationships/ctrlProp" Target="../ctrProps/ctrProp10.xml" /><Relationship Id="rId11" Type="http://schemas.openxmlformats.org/officeDocument/2006/relationships/ctrlProp" Target="../ctrProps/ctrProp11.xml" /><Relationship Id="rId12" Type="http://schemas.openxmlformats.org/officeDocument/2006/relationships/ctrlProp" Target="../ctrProps/ctrProp12.xml" /><Relationship Id="rId13" Type="http://schemas.openxmlformats.org/officeDocument/2006/relationships/ctrlProp" Target="../ctrProps/ctrProp13.xml" /><Relationship Id="rId140" Type="http://schemas.openxmlformats.org/officeDocument/2006/relationships/ctrlProp" Target="../ctrProps/ctrProp140.xml" /><Relationship Id="rId150" Type="http://schemas.openxmlformats.org/officeDocument/2006/relationships/ctrlProp" Target="../ctrProps/ctrProp150.xml" /><Relationship Id="rId160" Type="http://schemas.openxmlformats.org/officeDocument/2006/relationships/ctrlProp" Target="../ctrProps/ctrProp160.xml" /><Relationship Id="rId170" Type="http://schemas.openxmlformats.org/officeDocument/2006/relationships/ctrlProp" Target="../ctrProps/ctrProp170.xml" /><Relationship Id="rId100" Type="http://schemas.openxmlformats.org/officeDocument/2006/relationships/ctrlProp" Target="../ctrProps/ctrProp100.xml" /><Relationship Id="rId110" Type="http://schemas.openxmlformats.org/officeDocument/2006/relationships/ctrlProp" Target="../ctrProps/ctrProp110.xml" /><Relationship Id="rId120" Type="http://schemas.openxmlformats.org/officeDocument/2006/relationships/ctrlProp" Target="../ctrProps/ctrProp120.xml" /><Relationship Id="rId130" Type="http://schemas.openxmlformats.org/officeDocument/2006/relationships/ctrlProp" Target="../ctrProps/ctrProp130.xml" /><Relationship Id="rId371" Type="http://schemas.openxmlformats.org/officeDocument/2006/relationships/ctrlProp" Target="../ctrProps/ctrProp371.xml" /><Relationship Id="rId180" Type="http://schemas.openxmlformats.org/officeDocument/2006/relationships/ctrlProp" Target="../ctrProps/ctrProp180.xml" /><Relationship Id="rId190" Type="http://schemas.openxmlformats.org/officeDocument/2006/relationships/ctrlProp" Target="../ctrProps/ctrProp190.xml" /><Relationship Id="rId379" Type="http://schemas.openxmlformats.org/officeDocument/2006/relationships/ctrlProp" Target="../ctrProps/ctrProp379.xml" /><Relationship Id="rId355" Type="http://schemas.openxmlformats.org/officeDocument/2006/relationships/ctrlProp" Target="../ctrProps/ctrProp355.xml" /><Relationship Id="rId366" Type="http://schemas.openxmlformats.org/officeDocument/2006/relationships/ctrlProp" Target="../ctrProps/ctrProp366.xml" /><Relationship Id="rId373" Type="http://schemas.openxmlformats.org/officeDocument/2006/relationships/ctrlProp" Target="../ctrProps/ctrProp373.xml" /><Relationship Id="rId82" Type="http://schemas.openxmlformats.org/officeDocument/2006/relationships/ctrlProp" Target="../ctrProps/ctrProp82.xml" /><Relationship Id="rId306" Type="http://schemas.openxmlformats.org/officeDocument/2006/relationships/ctrlProp" Target="../ctrProps/ctrProp306.xml" /><Relationship Id="rId311" Type="http://schemas.openxmlformats.org/officeDocument/2006/relationships/ctrlProp" Target="../ctrProps/ctrProp311.xml" /><Relationship Id="rId320" Type="http://schemas.openxmlformats.org/officeDocument/2006/relationships/ctrlProp" Target="../ctrProps/ctrProp320.xml" /><Relationship Id="rId48" Type="http://schemas.openxmlformats.org/officeDocument/2006/relationships/ctrlProp" Target="../ctrProps/ctrProp48.xml" /><Relationship Id="rId7" Type="http://schemas.openxmlformats.org/officeDocument/2006/relationships/ctrlProp" Target="../ctrProps/ctrProp7.xml" /><Relationship Id="rId199" Type="http://schemas.openxmlformats.org/officeDocument/2006/relationships/ctrlProp" Target="../ctrProps/ctrProp199.xml" /><Relationship Id="rId96" Type="http://schemas.openxmlformats.org/officeDocument/2006/relationships/ctrlProp" Target="../ctrProps/ctrProp96.xml" /><Relationship Id="rId6" Type="http://schemas.openxmlformats.org/officeDocument/2006/relationships/ctrlProp" Target="../ctrProps/ctrProp6.xml" /><Relationship Id="rId376" Type="http://schemas.openxmlformats.org/officeDocument/2006/relationships/ctrlProp" Target="../ctrProps/ctrProp376.xml" /><Relationship Id="rId5" Type="http://schemas.openxmlformats.org/officeDocument/2006/relationships/ctrlProp" Target="../ctrProps/ctrProp5.xml" /><Relationship Id="rId189" Type="http://schemas.openxmlformats.org/officeDocument/2006/relationships/ctrlProp" Target="../ctrProps/ctrProp189.xml" /><Relationship Id="rId84" Type="http://schemas.openxmlformats.org/officeDocument/2006/relationships/ctrlProp" Target="../ctrProps/ctrProp84.xml" /><Relationship Id="rId313" Type="http://schemas.openxmlformats.org/officeDocument/2006/relationships/ctrlProp" Target="../ctrProps/ctrProp313.xml" /><Relationship Id="rId166" Type="http://schemas.openxmlformats.org/officeDocument/2006/relationships/ctrlProp" Target="../ctrProps/ctrProp166.xml" /><Relationship Id="rId344" Type="http://schemas.openxmlformats.org/officeDocument/2006/relationships/ctrlProp" Target="../ctrProps/ctrProp344.xml" /><Relationship Id="rId330" Type="http://schemas.openxmlformats.org/officeDocument/2006/relationships/ctrlProp" Target="../ctrProps/ctrProp330.xml" /><Relationship Id="rId4" Type="http://schemas.openxmlformats.org/officeDocument/2006/relationships/ctrlProp" Target="../ctrProps/ctrProp4.xml" /><Relationship Id="rId374" Type="http://schemas.openxmlformats.org/officeDocument/2006/relationships/ctrlProp" Target="../ctrProps/ctrProp374.xml" /><Relationship Id="rId304" Type="http://schemas.openxmlformats.org/officeDocument/2006/relationships/ctrlProp" Target="../ctrProps/ctrProp304.xml" /><Relationship Id="rId314" Type="http://schemas.openxmlformats.org/officeDocument/2006/relationships/ctrlProp" Target="../ctrProps/ctrProp314.xml" /><Relationship Id="rId324" Type="http://schemas.openxmlformats.org/officeDocument/2006/relationships/ctrlProp" Target="../ctrProps/ctrProp324.xml" /><Relationship Id="rId334" Type="http://schemas.openxmlformats.org/officeDocument/2006/relationships/ctrlProp" Target="../ctrProps/ctrProp334.xml" /><Relationship Id="rId9" Type="http://schemas.openxmlformats.org/officeDocument/2006/relationships/ctrlProp" Target="../ctrProps/ctrProp9.xml" /><Relationship Id="rId244" Type="http://schemas.openxmlformats.org/officeDocument/2006/relationships/ctrlProp" Target="../ctrProps/ctrProp244.xml" /><Relationship Id="rId254" Type="http://schemas.openxmlformats.org/officeDocument/2006/relationships/ctrlProp" Target="../ctrProps/ctrProp254.xml" /><Relationship Id="rId3" Type="http://schemas.openxmlformats.org/officeDocument/2006/relationships/ctrlProp" Target="../ctrProps/ctrProp3.xml" /><Relationship Id="rId274" Type="http://schemas.openxmlformats.org/officeDocument/2006/relationships/ctrlProp" Target="../ctrProps/ctrProp274.xml" /><Relationship Id="rId204" Type="http://schemas.openxmlformats.org/officeDocument/2006/relationships/ctrlProp" Target="../ctrProps/ctrProp204.xml" /><Relationship Id="rId214" Type="http://schemas.openxmlformats.org/officeDocument/2006/relationships/ctrlProp" Target="../ctrProps/ctrProp214.xml" /><Relationship Id="rId94" Type="http://schemas.openxmlformats.org/officeDocument/2006/relationships/ctrlProp" Target="../ctrProps/ctrProp94.xml" /><Relationship Id="rId234" Type="http://schemas.openxmlformats.org/officeDocument/2006/relationships/ctrlProp" Target="../ctrProps/ctrProp234.xml" /><Relationship Id="rId97" Type="http://schemas.openxmlformats.org/officeDocument/2006/relationships/ctrlProp" Target="../ctrProps/ctrProp97.xml" /><Relationship Id="rId362" Type="http://schemas.openxmlformats.org/officeDocument/2006/relationships/ctrlProp" Target="../ctrProps/ctrProp362.xml" /><Relationship Id="rId284" Type="http://schemas.openxmlformats.org/officeDocument/2006/relationships/ctrlProp" Target="../ctrProps/ctrProp284.xml" /><Relationship Id="rId294" Type="http://schemas.openxmlformats.org/officeDocument/2006/relationships/ctrlProp" Target="../ctrProps/ctrProp294.xml" /><Relationship Id="rId36" Type="http://schemas.openxmlformats.org/officeDocument/2006/relationships/ctrlProp" Target="../ctrProps/ctrProp36.xml" /><Relationship Id="rId341" Type="http://schemas.openxmlformats.org/officeDocument/2006/relationships/ctrlProp" Target="../ctrProps/ctrProp341.xml" /><Relationship Id="rId351" Type="http://schemas.openxmlformats.org/officeDocument/2006/relationships/ctrlProp" Target="../ctrProps/ctrProp351.xml" /><Relationship Id="rId144" Type="http://schemas.openxmlformats.org/officeDocument/2006/relationships/ctrlProp" Target="../ctrProps/ctrProp144.xml" /><Relationship Id="rId154" Type="http://schemas.openxmlformats.org/officeDocument/2006/relationships/ctrlProp" Target="../ctrProps/ctrProp154.xml" /><Relationship Id="rId164" Type="http://schemas.openxmlformats.org/officeDocument/2006/relationships/ctrlProp" Target="../ctrProps/ctrProp164.xml" /><Relationship Id="rId174" Type="http://schemas.openxmlformats.org/officeDocument/2006/relationships/ctrlProp" Target="../ctrProps/ctrProp174.xml" /><Relationship Id="rId104" Type="http://schemas.openxmlformats.org/officeDocument/2006/relationships/ctrlProp" Target="../ctrProps/ctrProp104.xml" /><Relationship Id="rId114" Type="http://schemas.openxmlformats.org/officeDocument/2006/relationships/ctrlProp" Target="../ctrProps/ctrProp114.xml" /><Relationship Id="rId124" Type="http://schemas.openxmlformats.org/officeDocument/2006/relationships/ctrlProp" Target="../ctrProps/ctrProp124.xml" /><Relationship Id="rId134" Type="http://schemas.openxmlformats.org/officeDocument/2006/relationships/ctrlProp" Target="../ctrProps/ctrProp134.xml" /><Relationship Id="rId381" Type="http://schemas.openxmlformats.org/officeDocument/2006/relationships/drawing" Target="../drawings/drawing1.xml" /><Relationship Id="rId184" Type="http://schemas.openxmlformats.org/officeDocument/2006/relationships/ctrlProp" Target="../ctrProps/ctrProp184.xml" /><Relationship Id="rId194" Type="http://schemas.openxmlformats.org/officeDocument/2006/relationships/ctrlProp" Target="../ctrProps/ctrProp194.xml" /><Relationship Id="rId88" Type="http://schemas.openxmlformats.org/officeDocument/2006/relationships/ctrlProp" Target="../ctrProps/ctrProp88.xml" /><Relationship Id="rId85" Type="http://schemas.openxmlformats.org/officeDocument/2006/relationships/ctrlProp" Target="../ctrProps/ctrProp85.xml" /><Relationship Id="rId83" Type="http://schemas.openxmlformats.org/officeDocument/2006/relationships/ctrlProp" Target="../ctrProps/ctrProp83.xml" /><Relationship Id="rId241" Type="http://schemas.openxmlformats.org/officeDocument/2006/relationships/ctrlProp" Target="../ctrProps/ctrProp241.xml" /><Relationship Id="rId251" Type="http://schemas.openxmlformats.org/officeDocument/2006/relationships/ctrlProp" Target="../ctrProps/ctrProp251.xml" /><Relationship Id="rId261" Type="http://schemas.openxmlformats.org/officeDocument/2006/relationships/ctrlProp" Target="../ctrProps/ctrProp261.xml" /><Relationship Id="rId271" Type="http://schemas.openxmlformats.org/officeDocument/2006/relationships/ctrlProp" Target="../ctrProps/ctrProp271.xml" /><Relationship Id="rId201" Type="http://schemas.openxmlformats.org/officeDocument/2006/relationships/ctrlProp" Target="../ctrProps/ctrProp201.xml" /><Relationship Id="rId211" Type="http://schemas.openxmlformats.org/officeDocument/2006/relationships/ctrlProp" Target="../ctrProps/ctrProp211.xml" /><Relationship Id="rId221" Type="http://schemas.openxmlformats.org/officeDocument/2006/relationships/ctrlProp" Target="../ctrProps/ctrProp221.xml" /><Relationship Id="rId231" Type="http://schemas.openxmlformats.org/officeDocument/2006/relationships/ctrlProp" Target="../ctrProps/ctrProp231.xml" /><Relationship Id="rId326" Type="http://schemas.openxmlformats.org/officeDocument/2006/relationships/ctrlProp" Target="../ctrProps/ctrProp326.xml" /><Relationship Id="rId281" Type="http://schemas.openxmlformats.org/officeDocument/2006/relationships/ctrlProp" Target="../ctrProps/ctrProp281.xml" /><Relationship Id="rId291" Type="http://schemas.openxmlformats.org/officeDocument/2006/relationships/ctrlProp" Target="../ctrProps/ctrProp291.xml" /><Relationship Id="rId342" Type="http://schemas.openxmlformats.org/officeDocument/2006/relationships/ctrlProp" Target="../ctrProps/ctrProp342.xml" /><Relationship Id="rId352" Type="http://schemas.openxmlformats.org/officeDocument/2006/relationships/ctrlProp" Target="../ctrProps/ctrProp352.xml" /><Relationship Id="rId141" Type="http://schemas.openxmlformats.org/officeDocument/2006/relationships/ctrlProp" Target="../ctrProps/ctrProp141.xml" /><Relationship Id="rId151" Type="http://schemas.openxmlformats.org/officeDocument/2006/relationships/ctrlProp" Target="../ctrProps/ctrProp151.xml" /><Relationship Id="rId302" Type="http://schemas.openxmlformats.org/officeDocument/2006/relationships/ctrlProp" Target="../ctrProps/ctrProp302.xml" /><Relationship Id="rId171" Type="http://schemas.openxmlformats.org/officeDocument/2006/relationships/ctrlProp" Target="../ctrProps/ctrProp171.xml" /><Relationship Id="rId101" Type="http://schemas.openxmlformats.org/officeDocument/2006/relationships/ctrlProp" Target="../ctrProps/ctrProp101.xml" /><Relationship Id="rId111" Type="http://schemas.openxmlformats.org/officeDocument/2006/relationships/ctrlProp" Target="../ctrProps/ctrProp111.xml" /><Relationship Id="rId121" Type="http://schemas.openxmlformats.org/officeDocument/2006/relationships/ctrlProp" Target="../ctrProps/ctrProp121.xml" /><Relationship Id="rId131" Type="http://schemas.openxmlformats.org/officeDocument/2006/relationships/ctrlProp" Target="../ctrProps/ctrProp131.xml" /><Relationship Id="rId360" Type="http://schemas.openxmlformats.org/officeDocument/2006/relationships/ctrlProp" Target="../ctrProps/ctrProp360.xml" /><Relationship Id="rId382" Type="http://schemas.openxmlformats.org/officeDocument/2006/relationships/vmlDrawing" Target="../drawings/vmlDrawing1.vml" /><Relationship Id="rId181" Type="http://schemas.openxmlformats.org/officeDocument/2006/relationships/ctrlProp" Target="../ctrProps/ctrProp181.xml" /><Relationship Id="rId191" Type="http://schemas.openxmlformats.org/officeDocument/2006/relationships/ctrlProp" Target="../ctrProps/ctrProp191.xml" /><Relationship Id="rId361" Type="http://schemas.openxmlformats.org/officeDocument/2006/relationships/ctrlProp" Target="../ctrProps/ctrProp361.xml" /><Relationship Id="rId333" Type="http://schemas.openxmlformats.org/officeDocument/2006/relationships/ctrlProp" Target="../ctrProps/ctrProp333.xml" /><Relationship Id="rId372" Type="http://schemas.openxmlformats.org/officeDocument/2006/relationships/ctrlProp" Target="../ctrProps/ctrProp372.xml" /><Relationship Id="rId242" Type="http://schemas.openxmlformats.org/officeDocument/2006/relationships/ctrlProp" Target="../ctrProps/ctrProp242.xml" /><Relationship Id="rId252" Type="http://schemas.openxmlformats.org/officeDocument/2006/relationships/ctrlProp" Target="../ctrProps/ctrProp252.xml" /><Relationship Id="rId262" Type="http://schemas.openxmlformats.org/officeDocument/2006/relationships/ctrlProp" Target="../ctrProps/ctrProp262.xml" /><Relationship Id="rId272" Type="http://schemas.openxmlformats.org/officeDocument/2006/relationships/ctrlProp" Target="../ctrProps/ctrProp272.xml" /><Relationship Id="rId202" Type="http://schemas.openxmlformats.org/officeDocument/2006/relationships/ctrlProp" Target="../ctrProps/ctrProp202.xml" /><Relationship Id="rId212" Type="http://schemas.openxmlformats.org/officeDocument/2006/relationships/ctrlProp" Target="../ctrProps/ctrProp212.xml" /><Relationship Id="rId222" Type="http://schemas.openxmlformats.org/officeDocument/2006/relationships/ctrlProp" Target="../ctrProps/ctrProp222.xml" /><Relationship Id="rId232" Type="http://schemas.openxmlformats.org/officeDocument/2006/relationships/ctrlProp" Target="../ctrProps/ctrProp232.xml" /><Relationship Id="rId282" Type="http://schemas.openxmlformats.org/officeDocument/2006/relationships/ctrlProp" Target="../ctrProps/ctrProp282.xml" /><Relationship Id="rId292" Type="http://schemas.openxmlformats.org/officeDocument/2006/relationships/ctrlProp" Target="../ctrProps/ctrProp292.xml" /><Relationship Id="rId316" Type="http://schemas.openxmlformats.org/officeDocument/2006/relationships/ctrlProp" Target="../ctrProps/ctrProp316.xml" /><Relationship Id="rId323" Type="http://schemas.openxmlformats.org/officeDocument/2006/relationships/ctrlProp" Target="../ctrProps/ctrProp323.xml" /><Relationship Id="rId142" Type="http://schemas.openxmlformats.org/officeDocument/2006/relationships/ctrlProp" Target="../ctrProps/ctrProp142.xml" /><Relationship Id="rId152" Type="http://schemas.openxmlformats.org/officeDocument/2006/relationships/ctrlProp" Target="../ctrProps/ctrProp152.xml" /><Relationship Id="rId162" Type="http://schemas.openxmlformats.org/officeDocument/2006/relationships/ctrlProp" Target="../ctrProps/ctrProp162.xml" /><Relationship Id="rId172" Type="http://schemas.openxmlformats.org/officeDocument/2006/relationships/ctrlProp" Target="../ctrProps/ctrProp172.xml" /><Relationship Id="rId102" Type="http://schemas.openxmlformats.org/officeDocument/2006/relationships/ctrlProp" Target="../ctrProps/ctrProp102.xml" /><Relationship Id="rId112" Type="http://schemas.openxmlformats.org/officeDocument/2006/relationships/ctrlProp" Target="../ctrProps/ctrProp112.xml" /><Relationship Id="rId122" Type="http://schemas.openxmlformats.org/officeDocument/2006/relationships/ctrlProp" Target="../ctrProps/ctrProp122.xml" /><Relationship Id="rId132" Type="http://schemas.openxmlformats.org/officeDocument/2006/relationships/ctrlProp" Target="../ctrProps/ctrProp132.xml" /><Relationship Id="rId182" Type="http://schemas.openxmlformats.org/officeDocument/2006/relationships/ctrlProp" Target="../ctrProps/ctrProp182.xml" /><Relationship Id="rId192" Type="http://schemas.openxmlformats.org/officeDocument/2006/relationships/ctrlProp" Target="../ctrProps/ctrProp192.xml" /><Relationship Id="rId264" Type="http://schemas.openxmlformats.org/officeDocument/2006/relationships/ctrlProp" Target="../ctrProps/ctrProp264.xml" /><Relationship Id="rId76" Type="http://schemas.openxmlformats.org/officeDocument/2006/relationships/ctrlProp" Target="../ctrProps/ctrProp76.xml" /><Relationship Id="rId364" Type="http://schemas.openxmlformats.org/officeDocument/2006/relationships/ctrlProp" Target="../ctrProps/ctrProp364.xml" /><Relationship Id="rId139" Type="http://schemas.openxmlformats.org/officeDocument/2006/relationships/ctrlProp" Target="../ctrProps/ctrProp139.xml" /><Relationship Id="rId358" Type="http://schemas.openxmlformats.org/officeDocument/2006/relationships/ctrlProp" Target="../ctrProps/ctrProp358.xml" /><Relationship Id="rId368" Type="http://schemas.openxmlformats.org/officeDocument/2006/relationships/ctrlProp" Target="../ctrProps/ctrProp368.xml" /><Relationship Id="rId378" Type="http://schemas.openxmlformats.org/officeDocument/2006/relationships/ctrlProp" Target="../ctrProps/ctrProp378.xml" /><Relationship Id="rId308" Type="http://schemas.openxmlformats.org/officeDocument/2006/relationships/ctrlProp" Target="../ctrProps/ctrProp308.xml" /><Relationship Id="rId318" Type="http://schemas.openxmlformats.org/officeDocument/2006/relationships/ctrlProp" Target="../ctrProps/ctrProp318.xml" /><Relationship Id="rId328" Type="http://schemas.openxmlformats.org/officeDocument/2006/relationships/ctrlProp" Target="../ctrProps/ctrProp328.xml" /><Relationship Id="rId95" Type="http://schemas.openxmlformats.org/officeDocument/2006/relationships/ctrlProp" Target="../ctrProps/ctrProp95.xml" /><Relationship Id="rId354" Type="http://schemas.openxmlformats.org/officeDocument/2006/relationships/ctrlProp" Target="../ctrProps/ctrProp354.xml" /><Relationship Id="rId39" Type="http://schemas.openxmlformats.org/officeDocument/2006/relationships/ctrlProp" Target="../ctrProps/ctrProp39.xml" /><Relationship Id="rId315" Type="http://schemas.openxmlformats.org/officeDocument/2006/relationships/ctrlProp" Target="../ctrProps/ctrProp315.xml" /><Relationship Id="rId248" Type="http://schemas.openxmlformats.org/officeDocument/2006/relationships/ctrlProp" Target="../ctrProps/ctrProp248.xml" /><Relationship Id="rId258" Type="http://schemas.openxmlformats.org/officeDocument/2006/relationships/ctrlProp" Target="../ctrProps/ctrProp258.xml" /><Relationship Id="rId268" Type="http://schemas.openxmlformats.org/officeDocument/2006/relationships/ctrlProp" Target="../ctrProps/ctrProp268.xml" /><Relationship Id="rId278" Type="http://schemas.openxmlformats.org/officeDocument/2006/relationships/ctrlProp" Target="../ctrProps/ctrProp278.xml" /><Relationship Id="rId208" Type="http://schemas.openxmlformats.org/officeDocument/2006/relationships/ctrlProp" Target="../ctrProps/ctrProp208.xml" /><Relationship Id="rId218" Type="http://schemas.openxmlformats.org/officeDocument/2006/relationships/ctrlProp" Target="../ctrProps/ctrProp218.xml" /><Relationship Id="rId228" Type="http://schemas.openxmlformats.org/officeDocument/2006/relationships/ctrlProp" Target="../ctrProps/ctrProp228.xml" /><Relationship Id="rId238" Type="http://schemas.openxmlformats.org/officeDocument/2006/relationships/ctrlProp" Target="../ctrProps/ctrProp238.xml" /><Relationship Id="rId74" Type="http://schemas.openxmlformats.org/officeDocument/2006/relationships/ctrlProp" Target="../ctrProps/ctrProp74.xml" /><Relationship Id="rId75" Type="http://schemas.openxmlformats.org/officeDocument/2006/relationships/ctrlProp" Target="../ctrProps/ctrProp75.xml" /><Relationship Id="rId288" Type="http://schemas.openxmlformats.org/officeDocument/2006/relationships/ctrlProp" Target="../ctrProps/ctrProp288.xml" /><Relationship Id="rId298" Type="http://schemas.openxmlformats.org/officeDocument/2006/relationships/ctrlProp" Target="../ctrProps/ctrProp298.xml" /><Relationship Id="rId70" Type="http://schemas.openxmlformats.org/officeDocument/2006/relationships/ctrlProp" Target="../ctrProps/ctrProp70.xml" /><Relationship Id="rId71" Type="http://schemas.openxmlformats.org/officeDocument/2006/relationships/ctrlProp" Target="../ctrProps/ctrProp71.xml" /><Relationship Id="rId72" Type="http://schemas.openxmlformats.org/officeDocument/2006/relationships/ctrlProp" Target="../ctrProps/ctrProp72.xml" /><Relationship Id="rId73" Type="http://schemas.openxmlformats.org/officeDocument/2006/relationships/ctrlProp" Target="../ctrProps/ctrProp73.xml" /><Relationship Id="rId78" Type="http://schemas.openxmlformats.org/officeDocument/2006/relationships/ctrlProp" Target="../ctrProps/ctrProp78.xml" /><Relationship Id="rId79" Type="http://schemas.openxmlformats.org/officeDocument/2006/relationships/ctrlProp" Target="../ctrProps/ctrProp79.xml" /><Relationship Id="rId345" Type="http://schemas.openxmlformats.org/officeDocument/2006/relationships/ctrlProp" Target="../ctrProps/ctrProp345.xml" /><Relationship Id="rId18" Type="http://schemas.openxmlformats.org/officeDocument/2006/relationships/ctrlProp" Target="../ctrProps/ctrProp18.xml" /><Relationship Id="rId365" Type="http://schemas.openxmlformats.org/officeDocument/2006/relationships/ctrlProp" Target="../ctrProps/ctrProp365.xml" /><Relationship Id="rId375" Type="http://schemas.openxmlformats.org/officeDocument/2006/relationships/ctrlProp" Target="../ctrProps/ctrProp375.xml" /><Relationship Id="rId305" Type="http://schemas.openxmlformats.org/officeDocument/2006/relationships/ctrlProp" Target="../ctrProps/ctrProp305.xml" /><Relationship Id="rId148" Type="http://schemas.openxmlformats.org/officeDocument/2006/relationships/ctrlProp" Target="../ctrProps/ctrProp148.xml" /><Relationship Id="rId158" Type="http://schemas.openxmlformats.org/officeDocument/2006/relationships/ctrlProp" Target="../ctrProps/ctrProp158.xml" /><Relationship Id="rId168" Type="http://schemas.openxmlformats.org/officeDocument/2006/relationships/ctrlProp" Target="../ctrProps/ctrProp168.xml" /><Relationship Id="rId178" Type="http://schemas.openxmlformats.org/officeDocument/2006/relationships/ctrlProp" Target="../ctrProps/ctrProp178.xml" /><Relationship Id="rId108" Type="http://schemas.openxmlformats.org/officeDocument/2006/relationships/ctrlProp" Target="../ctrProps/ctrProp108.xml" /><Relationship Id="rId118" Type="http://schemas.openxmlformats.org/officeDocument/2006/relationships/ctrlProp" Target="../ctrProps/ctrProp118.xml" /><Relationship Id="rId128" Type="http://schemas.openxmlformats.org/officeDocument/2006/relationships/ctrlProp" Target="../ctrProps/ctrProp128.xml" /><Relationship Id="rId138" Type="http://schemas.openxmlformats.org/officeDocument/2006/relationships/ctrlProp" Target="../ctrProps/ctrProp138.xml" /><Relationship Id="rId188" Type="http://schemas.openxmlformats.org/officeDocument/2006/relationships/ctrlProp" Target="../ctrProps/ctrProp188.xml" /><Relationship Id="rId198" Type="http://schemas.openxmlformats.org/officeDocument/2006/relationships/ctrlProp" Target="../ctrProps/ctrProp198.xml" /><Relationship Id="rId245" Type="http://schemas.openxmlformats.org/officeDocument/2006/relationships/ctrlProp" Target="../ctrProps/ctrProp245.xml" /><Relationship Id="rId255" Type="http://schemas.openxmlformats.org/officeDocument/2006/relationships/ctrlProp" Target="../ctrProps/ctrProp255.xml" /><Relationship Id="rId265" Type="http://schemas.openxmlformats.org/officeDocument/2006/relationships/ctrlProp" Target="../ctrProps/ctrProp265.xml" /><Relationship Id="rId275" Type="http://schemas.openxmlformats.org/officeDocument/2006/relationships/ctrlProp" Target="../ctrProps/ctrProp275.xml" /><Relationship Id="rId205" Type="http://schemas.openxmlformats.org/officeDocument/2006/relationships/ctrlProp" Target="../ctrProps/ctrProp205.xml" /><Relationship Id="rId215" Type="http://schemas.openxmlformats.org/officeDocument/2006/relationships/ctrlProp" Target="../ctrProps/ctrProp215.xml" /><Relationship Id="rId225" Type="http://schemas.openxmlformats.org/officeDocument/2006/relationships/ctrlProp" Target="../ctrProps/ctrProp225.xml" /><Relationship Id="rId235" Type="http://schemas.openxmlformats.org/officeDocument/2006/relationships/ctrlProp" Target="../ctrProps/ctrProp235.xml" /><Relationship Id="rId363" Type="http://schemas.openxmlformats.org/officeDocument/2006/relationships/ctrlProp" Target="../ctrProps/ctrProp363.xml" /><Relationship Id="rId285" Type="http://schemas.openxmlformats.org/officeDocument/2006/relationships/ctrlProp" Target="../ctrProps/ctrProp285.xml" /><Relationship Id="rId295" Type="http://schemas.openxmlformats.org/officeDocument/2006/relationships/ctrlProp" Target="../ctrProps/ctrProp295.xml" /><Relationship Id="rId301" Type="http://schemas.openxmlformats.org/officeDocument/2006/relationships/ctrlProp" Target="../ctrProps/ctrProp301.xml" /><Relationship Id="rId346" Type="http://schemas.openxmlformats.org/officeDocument/2006/relationships/ctrlProp" Target="../ctrProps/ctrProp346.xml" /><Relationship Id="rId356" Type="http://schemas.openxmlformats.org/officeDocument/2006/relationships/ctrlProp" Target="../ctrProps/ctrProp356.xml" /><Relationship Id="rId145" Type="http://schemas.openxmlformats.org/officeDocument/2006/relationships/ctrlProp" Target="../ctrProps/ctrProp145.xml" /><Relationship Id="rId155" Type="http://schemas.openxmlformats.org/officeDocument/2006/relationships/ctrlProp" Target="../ctrProps/ctrProp155.xml" /><Relationship Id="rId165" Type="http://schemas.openxmlformats.org/officeDocument/2006/relationships/ctrlProp" Target="../ctrProps/ctrProp165.xml" /><Relationship Id="rId175" Type="http://schemas.openxmlformats.org/officeDocument/2006/relationships/ctrlProp" Target="../ctrProps/ctrProp175.xml" /><Relationship Id="rId105" Type="http://schemas.openxmlformats.org/officeDocument/2006/relationships/ctrlProp" Target="../ctrProps/ctrProp105.xml" /><Relationship Id="rId115" Type="http://schemas.openxmlformats.org/officeDocument/2006/relationships/ctrlProp" Target="../ctrProps/ctrProp115.xml" /><Relationship Id="rId125" Type="http://schemas.openxmlformats.org/officeDocument/2006/relationships/ctrlProp" Target="../ctrProps/ctrProp125.xml" /><Relationship Id="rId135" Type="http://schemas.openxmlformats.org/officeDocument/2006/relationships/ctrlProp" Target="../ctrProps/ctrProp135.xml" /><Relationship Id="rId90" Type="http://schemas.openxmlformats.org/officeDocument/2006/relationships/ctrlProp" Target="../ctrProps/ctrProp90.xml" /><Relationship Id="rId91" Type="http://schemas.openxmlformats.org/officeDocument/2006/relationships/ctrlProp" Target="../ctrProps/ctrProp91.xml" /><Relationship Id="rId92" Type="http://schemas.openxmlformats.org/officeDocument/2006/relationships/ctrlProp" Target="../ctrProps/ctrProp92.xml" /><Relationship Id="rId93" Type="http://schemas.openxmlformats.org/officeDocument/2006/relationships/ctrlProp" Target="../ctrProps/ctrProp93.xml" /><Relationship Id="rId185" Type="http://schemas.openxmlformats.org/officeDocument/2006/relationships/ctrlProp" Target="../ctrProps/ctrProp185.xml" /><Relationship Id="rId195" Type="http://schemas.openxmlformats.org/officeDocument/2006/relationships/ctrlProp" Target="../ctrProps/ctrProp195.xml" /><Relationship Id="rId98" Type="http://schemas.openxmlformats.org/officeDocument/2006/relationships/ctrlProp" Target="../ctrProps/ctrProp98.xml" /><Relationship Id="rId99" Type="http://schemas.openxmlformats.org/officeDocument/2006/relationships/ctrlProp" Target="../ctrProps/ctrProp99.xml" /><Relationship Id="rId77" Type="http://schemas.openxmlformats.org/officeDocument/2006/relationships/ctrlProp" Target="../ctrProps/ctrProp77.xml" /><Relationship Id="rId338" Type="http://schemas.openxmlformats.org/officeDocument/2006/relationships/ctrlProp" Target="../ctrProps/ctrProp338.xml" /><Relationship Id="rId336" Type="http://schemas.openxmlformats.org/officeDocument/2006/relationships/ctrlProp" Target="../ctrProps/ctrProp336.xml" /><Relationship Id="rId246" Type="http://schemas.openxmlformats.org/officeDocument/2006/relationships/ctrlProp" Target="../ctrProps/ctrProp246.xml" /><Relationship Id="rId256" Type="http://schemas.openxmlformats.org/officeDocument/2006/relationships/ctrlProp" Target="../ctrProps/ctrProp256.xml" /><Relationship Id="rId266" Type="http://schemas.openxmlformats.org/officeDocument/2006/relationships/ctrlProp" Target="../ctrProps/ctrProp266.xml" /><Relationship Id="rId276" Type="http://schemas.openxmlformats.org/officeDocument/2006/relationships/ctrlProp" Target="../ctrProps/ctrProp276.xml" /><Relationship Id="rId206" Type="http://schemas.openxmlformats.org/officeDocument/2006/relationships/ctrlProp" Target="../ctrProps/ctrProp206.xml" /><Relationship Id="rId216" Type="http://schemas.openxmlformats.org/officeDocument/2006/relationships/ctrlProp" Target="../ctrProps/ctrProp216.xml" /><Relationship Id="rId226" Type="http://schemas.openxmlformats.org/officeDocument/2006/relationships/ctrlProp" Target="../ctrProps/ctrProp226.xml" /><Relationship Id="rId236" Type="http://schemas.openxmlformats.org/officeDocument/2006/relationships/ctrlProp" Target="../ctrProps/ctrProp236.xml" /><Relationship Id="rId86" Type="http://schemas.openxmlformats.org/officeDocument/2006/relationships/ctrlProp" Target="../ctrProps/ctrProp86.xml" /><Relationship Id="rId87" Type="http://schemas.openxmlformats.org/officeDocument/2006/relationships/ctrlProp" Target="../ctrProps/ctrProp87.xml" /><Relationship Id="rId80" Type="http://schemas.openxmlformats.org/officeDocument/2006/relationships/ctrlProp" Target="../ctrProps/ctrProp80.xml" /><Relationship Id="rId81" Type="http://schemas.openxmlformats.org/officeDocument/2006/relationships/ctrlProp" Target="../ctrProps/ctrProp81.xml" /><Relationship Id="rId286" Type="http://schemas.openxmlformats.org/officeDocument/2006/relationships/ctrlProp" Target="../ctrProps/ctrProp286.xml" /><Relationship Id="rId296" Type="http://schemas.openxmlformats.org/officeDocument/2006/relationships/ctrlProp" Target="../ctrProps/ctrProp296.xml" /><Relationship Id="rId19" Type="http://schemas.openxmlformats.org/officeDocument/2006/relationships/ctrlProp" Target="../ctrProps/ctrProp19.xml" /><Relationship Id="rId267" Type="http://schemas.openxmlformats.org/officeDocument/2006/relationships/ctrlProp" Target="../ctrProps/ctrProp267.xml" /><Relationship Id="rId89" Type="http://schemas.openxmlformats.org/officeDocument/2006/relationships/ctrlProp" Target="../ctrProps/ctrProp89.xml" /><Relationship Id="rId357" Type="http://schemas.openxmlformats.org/officeDocument/2006/relationships/ctrlProp" Target="../ctrProps/ctrProp357.xml" /><Relationship Id="rId270" Type="http://schemas.openxmlformats.org/officeDocument/2006/relationships/ctrlProp" Target="../ctrProps/ctrProp270.xml" /><Relationship Id="rId353" Type="http://schemas.openxmlformats.org/officeDocument/2006/relationships/ctrlProp" Target="../ctrProps/ctrProp353.xml" /><Relationship Id="rId146" Type="http://schemas.openxmlformats.org/officeDocument/2006/relationships/ctrlProp" Target="../ctrProps/ctrProp146.xml" /><Relationship Id="rId156" Type="http://schemas.openxmlformats.org/officeDocument/2006/relationships/ctrlProp" Target="../ctrProps/ctrProp156.xml" /><Relationship Id="rId303" Type="http://schemas.openxmlformats.org/officeDocument/2006/relationships/ctrlProp" Target="../ctrProps/ctrProp303.xml" /><Relationship Id="rId176" Type="http://schemas.openxmlformats.org/officeDocument/2006/relationships/ctrlProp" Target="../ctrProps/ctrProp176.xml" /><Relationship Id="rId106" Type="http://schemas.openxmlformats.org/officeDocument/2006/relationships/ctrlProp" Target="../ctrProps/ctrProp106.xml" /><Relationship Id="rId116" Type="http://schemas.openxmlformats.org/officeDocument/2006/relationships/ctrlProp" Target="../ctrProps/ctrProp116.xml" /><Relationship Id="rId126" Type="http://schemas.openxmlformats.org/officeDocument/2006/relationships/ctrlProp" Target="../ctrProps/ctrProp126.xml" /><Relationship Id="rId136" Type="http://schemas.openxmlformats.org/officeDocument/2006/relationships/ctrlProp" Target="../ctrProps/ctrProp136.xml" /><Relationship Id="rId383" Type="http://schemas.openxmlformats.org/officeDocument/2006/relationships/printerSettings" Target="../printerSettings/printerSettings1.bin" /><Relationship Id="rId186" Type="http://schemas.openxmlformats.org/officeDocument/2006/relationships/ctrlProp" Target="../ctrProps/ctrProp186.xml" /><Relationship Id="rId196" Type="http://schemas.openxmlformats.org/officeDocument/2006/relationships/ctrlProp" Target="../ctrProps/ctrProp196.xml" /><Relationship Id="rId325" Type="http://schemas.openxmlformats.org/officeDocument/2006/relationships/ctrlProp" Target="../ctrProps/ctrProp325.xml" /><Relationship Id="rId161" Type="http://schemas.openxmlformats.org/officeDocument/2006/relationships/ctrlProp" Target="../ctrProps/ctrProp161.xml" /><Relationship Id="rId243" Type="http://schemas.openxmlformats.org/officeDocument/2006/relationships/ctrlProp" Target="../ctrProps/ctrProp243.xml" /><Relationship Id="rId253" Type="http://schemas.openxmlformats.org/officeDocument/2006/relationships/ctrlProp" Target="../ctrProps/ctrProp253.xml" /><Relationship Id="rId263" Type="http://schemas.openxmlformats.org/officeDocument/2006/relationships/ctrlProp" Target="../ctrProps/ctrProp263.xml" /><Relationship Id="rId273" Type="http://schemas.openxmlformats.org/officeDocument/2006/relationships/ctrlProp" Target="../ctrProps/ctrProp273.xml" /><Relationship Id="rId203" Type="http://schemas.openxmlformats.org/officeDocument/2006/relationships/ctrlProp" Target="../ctrProps/ctrProp203.xml" /><Relationship Id="rId213" Type="http://schemas.openxmlformats.org/officeDocument/2006/relationships/ctrlProp" Target="../ctrProps/ctrProp213.xml" /><Relationship Id="rId223" Type="http://schemas.openxmlformats.org/officeDocument/2006/relationships/ctrlProp" Target="../ctrProps/ctrProp223.xml" /><Relationship Id="rId233" Type="http://schemas.openxmlformats.org/officeDocument/2006/relationships/ctrlProp" Target="../ctrProps/ctrProp233.xml" /><Relationship Id="rId283" Type="http://schemas.openxmlformats.org/officeDocument/2006/relationships/ctrlProp" Target="../ctrProps/ctrProp283.xml" /><Relationship Id="rId293" Type="http://schemas.openxmlformats.org/officeDocument/2006/relationships/ctrlProp" Target="../ctrProps/ctrProp293.xml" /><Relationship Id="rId322" Type="http://schemas.openxmlformats.org/officeDocument/2006/relationships/ctrlProp" Target="../ctrProps/ctrProp322.xml" /><Relationship Id="rId335" Type="http://schemas.openxmlformats.org/officeDocument/2006/relationships/ctrlProp" Target="../ctrProps/ctrProp335.xml" /><Relationship Id="rId143" Type="http://schemas.openxmlformats.org/officeDocument/2006/relationships/ctrlProp" Target="../ctrProps/ctrProp143.xml" /><Relationship Id="rId153" Type="http://schemas.openxmlformats.org/officeDocument/2006/relationships/ctrlProp" Target="../ctrProps/ctrProp153.xml" /><Relationship Id="rId163" Type="http://schemas.openxmlformats.org/officeDocument/2006/relationships/ctrlProp" Target="../ctrProps/ctrProp163.xml" /><Relationship Id="rId173" Type="http://schemas.openxmlformats.org/officeDocument/2006/relationships/ctrlProp" Target="../ctrProps/ctrProp173.xml" /><Relationship Id="rId103" Type="http://schemas.openxmlformats.org/officeDocument/2006/relationships/ctrlProp" Target="../ctrProps/ctrProp103.xml" /><Relationship Id="rId113" Type="http://schemas.openxmlformats.org/officeDocument/2006/relationships/ctrlProp" Target="../ctrProps/ctrProp113.xml" /><Relationship Id="rId123" Type="http://schemas.openxmlformats.org/officeDocument/2006/relationships/ctrlProp" Target="../ctrProps/ctrProp123.xml" /><Relationship Id="rId133" Type="http://schemas.openxmlformats.org/officeDocument/2006/relationships/ctrlProp" Target="../ctrProps/ctrProp133.xml" /><Relationship Id="rId183" Type="http://schemas.openxmlformats.org/officeDocument/2006/relationships/ctrlProp" Target="../ctrProps/ctrProp183.xml" /><Relationship Id="rId193" Type="http://schemas.openxmlformats.org/officeDocument/2006/relationships/ctrlProp" Target="../ctrProps/ctrProp193.xml" /><Relationship Id="rId343" Type="http://schemas.openxmlformats.org/officeDocument/2006/relationships/ctrlProp" Target="../ctrProps/ctrProp343.xml" /><Relationship Id="rId332" Type="http://schemas.openxmlformats.org/officeDocument/2006/relationships/ctrlProp" Target="../ctrProps/ctrProp332.xml" /><Relationship Id="rId367" Type="http://schemas.openxmlformats.org/officeDocument/2006/relationships/ctrlProp" Target="../ctrProps/ctrProp367.xml" /><Relationship Id="rId200" Type="http://schemas.openxmlformats.org/officeDocument/2006/relationships/ctrlProp" Target="../ctrProps/ctrProp200.xml" /><Relationship Id="rId370" Type="http://schemas.openxmlformats.org/officeDocument/2006/relationships/ctrlProp" Target="../ctrProps/ctrProp370.xml" /><Relationship Id="rId44" Type="http://schemas.openxmlformats.org/officeDocument/2006/relationships/ctrlProp" Target="../ctrProps/ctrProp44.xml" /><Relationship Id="rId349" Type="http://schemas.openxmlformats.org/officeDocument/2006/relationships/ctrlProp" Target="../ctrProps/ctrProp349.xml" /><Relationship Id="rId359" Type="http://schemas.openxmlformats.org/officeDocument/2006/relationships/ctrlProp" Target="../ctrProps/ctrProp359.xml" /><Relationship Id="rId369" Type="http://schemas.openxmlformats.org/officeDocument/2006/relationships/ctrlProp" Target="../ctrProps/ctrProp369.xml" /><Relationship Id="rId38" Type="http://schemas.openxmlformats.org/officeDocument/2006/relationships/ctrlProp" Target="../ctrProps/ctrProp38.xml" /><Relationship Id="rId309" Type="http://schemas.openxmlformats.org/officeDocument/2006/relationships/ctrlProp" Target="../ctrProps/ctrProp309.xml" /><Relationship Id="rId319" Type="http://schemas.openxmlformats.org/officeDocument/2006/relationships/ctrlProp" Target="../ctrProps/ctrProp319.xml" /><Relationship Id="rId329" Type="http://schemas.openxmlformats.org/officeDocument/2006/relationships/ctrlProp" Target="../ctrProps/ctrProp329.xml" /><Relationship Id="rId224" Type="http://schemas.openxmlformats.org/officeDocument/2006/relationships/ctrlProp" Target="../ctrProps/ctrProp224.xml" /><Relationship Id="rId321" Type="http://schemas.openxmlformats.org/officeDocument/2006/relationships/ctrlProp" Target="../ctrProps/ctrProp321.xml" /><Relationship Id="rId249" Type="http://schemas.openxmlformats.org/officeDocument/2006/relationships/ctrlProp" Target="../ctrProps/ctrProp249.xml" /><Relationship Id="rId259" Type="http://schemas.openxmlformats.org/officeDocument/2006/relationships/ctrlProp" Target="../ctrProps/ctrProp259.xml" /><Relationship Id="rId269" Type="http://schemas.openxmlformats.org/officeDocument/2006/relationships/ctrlProp" Target="../ctrProps/ctrProp269.xml" /><Relationship Id="rId279" Type="http://schemas.openxmlformats.org/officeDocument/2006/relationships/ctrlProp" Target="../ctrProps/ctrProp279.xml" /><Relationship Id="rId209" Type="http://schemas.openxmlformats.org/officeDocument/2006/relationships/ctrlProp" Target="../ctrProps/ctrProp209.xml" /><Relationship Id="rId219" Type="http://schemas.openxmlformats.org/officeDocument/2006/relationships/ctrlProp" Target="../ctrProps/ctrProp219.xml" /><Relationship Id="rId229" Type="http://schemas.openxmlformats.org/officeDocument/2006/relationships/ctrlProp" Target="../ctrProps/ctrProp229.xml" /><Relationship Id="rId239" Type="http://schemas.openxmlformats.org/officeDocument/2006/relationships/ctrlProp" Target="../ctrProps/ctrProp239.xml" /><Relationship Id="rId289" Type="http://schemas.openxmlformats.org/officeDocument/2006/relationships/ctrlProp" Target="../ctrProps/ctrProp289.xml" /><Relationship Id="rId299" Type="http://schemas.openxmlformats.org/officeDocument/2006/relationships/ctrlProp" Target="../ctrProps/ctrProp299.xml" /><Relationship Id="rId348" Type="http://schemas.openxmlformats.org/officeDocument/2006/relationships/ctrlProp" Target="../ctrProps/ctrProp348.xml" /><Relationship Id="rId312" Type="http://schemas.openxmlformats.org/officeDocument/2006/relationships/ctrlProp" Target="../ctrProps/ctrProp312.xml" /><Relationship Id="rId339" Type="http://schemas.openxmlformats.org/officeDocument/2006/relationships/ctrlProp" Target="../ctrProps/ctrProp339.xml" /><Relationship Id="rId149" Type="http://schemas.openxmlformats.org/officeDocument/2006/relationships/ctrlProp" Target="../ctrProps/ctrProp149.xml" /><Relationship Id="rId159" Type="http://schemas.openxmlformats.org/officeDocument/2006/relationships/ctrlProp" Target="../ctrProps/ctrProp159.xml" /><Relationship Id="rId169" Type="http://schemas.openxmlformats.org/officeDocument/2006/relationships/ctrlProp" Target="../ctrProps/ctrProp169.xml" /><Relationship Id="rId179" Type="http://schemas.openxmlformats.org/officeDocument/2006/relationships/ctrlProp" Target="../ctrProps/ctrProp179.xml" /><Relationship Id="rId109" Type="http://schemas.openxmlformats.org/officeDocument/2006/relationships/ctrlProp" Target="../ctrProps/ctrProp109.xml" /><Relationship Id="rId119" Type="http://schemas.openxmlformats.org/officeDocument/2006/relationships/ctrlProp" Target="../ctrProps/ctrProp119.xml" /><Relationship Id="rId129" Type="http://schemas.openxmlformats.org/officeDocument/2006/relationships/ctrlProp" Target="../ctrProps/ctrProp129.xml" /><Relationship Id="rId2" Type="http://schemas.openxmlformats.org/officeDocument/2006/relationships/ctrlProp" Target="../ctrProps/ctrProp2.xml" /><Relationship Id="rId64" Type="http://schemas.openxmlformats.org/officeDocument/2006/relationships/ctrlProp" Target="../ctrProps/ctrProp64.xml" /><Relationship Id="rId65" Type="http://schemas.openxmlformats.org/officeDocument/2006/relationships/ctrlProp" Target="../ctrProps/ctrProp65.xml" /><Relationship Id="rId66" Type="http://schemas.openxmlformats.org/officeDocument/2006/relationships/ctrlProp" Target="../ctrProps/ctrProp66.xml" /><Relationship Id="rId67" Type="http://schemas.openxmlformats.org/officeDocument/2006/relationships/ctrlProp" Target="../ctrProps/ctrProp67.xml" /><Relationship Id="rId60" Type="http://schemas.openxmlformats.org/officeDocument/2006/relationships/ctrlProp" Target="../ctrProps/ctrProp60.xml" /><Relationship Id="rId61" Type="http://schemas.openxmlformats.org/officeDocument/2006/relationships/ctrlProp" Target="../ctrProps/ctrProp61.xml" /><Relationship Id="rId62" Type="http://schemas.openxmlformats.org/officeDocument/2006/relationships/ctrlProp" Target="../ctrProps/ctrProp62.xml" /><Relationship Id="rId63" Type="http://schemas.openxmlformats.org/officeDocument/2006/relationships/ctrlProp" Target="../ctrProps/ctrProp63.xml" /><Relationship Id="rId68" Type="http://schemas.openxmlformats.org/officeDocument/2006/relationships/ctrlProp" Target="../ctrProps/ctrProp68.xml" /><Relationship Id="rId69" Type="http://schemas.openxmlformats.org/officeDocument/2006/relationships/ctrlProp" Target="../ctrProps/ctrProp69.xml" /><Relationship Id="rId300" Type="http://schemas.openxmlformats.org/officeDocument/2006/relationships/ctrlProp" Target="../ctrProps/ctrProp300.xml" /><Relationship Id="rId54" Type="http://schemas.openxmlformats.org/officeDocument/2006/relationships/ctrlProp" Target="../ctrProps/ctrProp54.xml" /><Relationship Id="rId55" Type="http://schemas.openxmlformats.org/officeDocument/2006/relationships/ctrlProp" Target="../ctrProps/ctrProp55.xml" /><Relationship Id="rId56" Type="http://schemas.openxmlformats.org/officeDocument/2006/relationships/ctrlProp" Target="../ctrProps/ctrProp56.xml" /><Relationship Id="rId57" Type="http://schemas.openxmlformats.org/officeDocument/2006/relationships/ctrlProp" Target="../ctrProps/ctrProp57.xml" /><Relationship Id="rId50" Type="http://schemas.openxmlformats.org/officeDocument/2006/relationships/ctrlProp" Target="../ctrProps/ctrProp50.xml" /><Relationship Id="rId51" Type="http://schemas.openxmlformats.org/officeDocument/2006/relationships/ctrlProp" Target="../ctrProps/ctrProp51.xml" /><Relationship Id="rId52" Type="http://schemas.openxmlformats.org/officeDocument/2006/relationships/ctrlProp" Target="../ctrProps/ctrProp52.xml" /><Relationship Id="rId53" Type="http://schemas.openxmlformats.org/officeDocument/2006/relationships/ctrlProp" Target="../ctrProps/ctrProp53.xml" /><Relationship Id="rId347" Type="http://schemas.openxmlformats.org/officeDocument/2006/relationships/ctrlProp" Target="../ctrProps/ctrProp347.xml" /><Relationship Id="rId58" Type="http://schemas.openxmlformats.org/officeDocument/2006/relationships/ctrlProp" Target="../ctrProps/ctrProp58.xml" /><Relationship Id="rId59" Type="http://schemas.openxmlformats.org/officeDocument/2006/relationships/ctrlProp" Target="../ctrProps/ctrProp59.xml" /><Relationship Id="rId377" Type="http://schemas.openxmlformats.org/officeDocument/2006/relationships/ctrlProp" Target="../ctrProps/ctrProp377.xml" /><Relationship Id="rId307" Type="http://schemas.openxmlformats.org/officeDocument/2006/relationships/ctrlProp" Target="../ctrProps/ctrProp307.xml" /><Relationship Id="rId317" Type="http://schemas.openxmlformats.org/officeDocument/2006/relationships/ctrlProp" Target="../ctrProps/ctrProp317.xml" /><Relationship Id="rId327" Type="http://schemas.openxmlformats.org/officeDocument/2006/relationships/ctrlProp" Target="../ctrProps/ctrProp327.xml" /><Relationship Id="rId337" Type="http://schemas.openxmlformats.org/officeDocument/2006/relationships/ctrlProp" Target="../ctrProps/ctrProp337.xml" /><Relationship Id="rId331" Type="http://schemas.openxmlformats.org/officeDocument/2006/relationships/ctrlProp" Target="../ctrProps/ctrProp331.xml" /><Relationship Id="rId8" Type="http://schemas.openxmlformats.org/officeDocument/2006/relationships/ctrlProp" Target="../ctrProps/ctrProp8.xml" /><Relationship Id="rId45" Type="http://schemas.openxmlformats.org/officeDocument/2006/relationships/ctrlProp" Target="../ctrProps/ctrProp45.xml" /><Relationship Id="rId46" Type="http://schemas.openxmlformats.org/officeDocument/2006/relationships/ctrlProp" Target="../ctrProps/ctrProp46.xml" /><Relationship Id="rId47" Type="http://schemas.openxmlformats.org/officeDocument/2006/relationships/ctrlProp" Target="../ctrProps/ctrProp47.xml" /><Relationship Id="rId40" Type="http://schemas.openxmlformats.org/officeDocument/2006/relationships/ctrlProp" Target="../ctrProps/ctrProp40.xml" /><Relationship Id="rId41" Type="http://schemas.openxmlformats.org/officeDocument/2006/relationships/ctrlProp" Target="../ctrProps/ctrProp41.xml" /><Relationship Id="rId42" Type="http://schemas.openxmlformats.org/officeDocument/2006/relationships/ctrlProp" Target="../ctrProps/ctrProp42.xml" /><Relationship Id="rId43" Type="http://schemas.openxmlformats.org/officeDocument/2006/relationships/ctrlProp" Target="../ctrProps/ctrProp43.xml" /><Relationship Id="rId247" Type="http://schemas.openxmlformats.org/officeDocument/2006/relationships/ctrlProp" Target="../ctrProps/ctrProp247.xml" /><Relationship Id="rId257" Type="http://schemas.openxmlformats.org/officeDocument/2006/relationships/ctrlProp" Target="../ctrProps/ctrProp257.xml" /><Relationship Id="rId49" Type="http://schemas.openxmlformats.org/officeDocument/2006/relationships/ctrlProp" Target="../ctrProps/ctrProp49.xml" /><Relationship Id="rId277" Type="http://schemas.openxmlformats.org/officeDocument/2006/relationships/ctrlProp" Target="../ctrProps/ctrProp277.xml" /><Relationship Id="rId207" Type="http://schemas.openxmlformats.org/officeDocument/2006/relationships/ctrlProp" Target="../ctrProps/ctrProp207.xml" /><Relationship Id="rId217" Type="http://schemas.openxmlformats.org/officeDocument/2006/relationships/ctrlProp" Target="../ctrProps/ctrProp217.xml" /><Relationship Id="rId227" Type="http://schemas.openxmlformats.org/officeDocument/2006/relationships/ctrlProp" Target="../ctrProps/ctrProp227.xml" /><Relationship Id="rId237" Type="http://schemas.openxmlformats.org/officeDocument/2006/relationships/ctrlProp" Target="../ctrProps/ctrProp237.xml" /><Relationship Id="rId287" Type="http://schemas.openxmlformats.org/officeDocument/2006/relationships/ctrlProp" Target="../ctrProps/ctrProp287.xml" /><Relationship Id="rId297" Type="http://schemas.openxmlformats.org/officeDocument/2006/relationships/ctrlProp" Target="../ctrProps/ctrProp297.xml" /><Relationship Id="rId34" Type="http://schemas.openxmlformats.org/officeDocument/2006/relationships/ctrlProp" Target="../ctrProps/ctrProp34.xml" /><Relationship Id="rId35" Type="http://schemas.openxmlformats.org/officeDocument/2006/relationships/ctrlProp" Target="../ctrProps/ctrProp35.xml" /><Relationship Id="rId1" Type="http://schemas.openxmlformats.org/officeDocument/2006/relationships/ctrlProp" Target="../ctrProps/ctrProp1.xml" /><Relationship Id="rId37" Type="http://schemas.openxmlformats.org/officeDocument/2006/relationships/ctrlProp" Target="../ctrProps/ctrProp37.xml" /><Relationship Id="rId30" Type="http://schemas.openxmlformats.org/officeDocument/2006/relationships/ctrlProp" Target="../ctrProps/ctrProp30.xml" /><Relationship Id="rId31" Type="http://schemas.openxmlformats.org/officeDocument/2006/relationships/ctrlProp" Target="../ctrProps/ctrProp31.xml" /><Relationship Id="rId32" Type="http://schemas.openxmlformats.org/officeDocument/2006/relationships/ctrlProp" Target="../ctrProps/ctrProp32.xml" /><Relationship Id="rId33" Type="http://schemas.openxmlformats.org/officeDocument/2006/relationships/ctrlProp" Target="../ctrProps/ctrProp33.xml" /><Relationship Id="rId340" Type="http://schemas.openxmlformats.org/officeDocument/2006/relationships/ctrlProp" Target="../ctrProps/ctrProp340.xml" /><Relationship Id="rId350" Type="http://schemas.openxmlformats.org/officeDocument/2006/relationships/ctrlProp" Target="../ctrProps/ctrProp350.xml" /><Relationship Id="rId147" Type="http://schemas.openxmlformats.org/officeDocument/2006/relationships/ctrlProp" Target="../ctrProps/ctrProp147.xml" /><Relationship Id="rId157" Type="http://schemas.openxmlformats.org/officeDocument/2006/relationships/ctrlProp" Target="../ctrProps/ctrProp157.xml" /><Relationship Id="rId167" Type="http://schemas.openxmlformats.org/officeDocument/2006/relationships/ctrlProp" Target="../ctrProps/ctrProp167.xml" /><Relationship Id="rId177" Type="http://schemas.openxmlformats.org/officeDocument/2006/relationships/ctrlProp" Target="../ctrProps/ctrProp177.xml" /><Relationship Id="rId107" Type="http://schemas.openxmlformats.org/officeDocument/2006/relationships/ctrlProp" Target="../ctrProps/ctrProp107.xml" /><Relationship Id="rId117" Type="http://schemas.openxmlformats.org/officeDocument/2006/relationships/ctrlProp" Target="../ctrProps/ctrProp117.xml" /><Relationship Id="rId127" Type="http://schemas.openxmlformats.org/officeDocument/2006/relationships/ctrlProp" Target="../ctrProps/ctrProp127.xml" /><Relationship Id="rId137" Type="http://schemas.openxmlformats.org/officeDocument/2006/relationships/ctrlProp" Target="../ctrProps/ctrProp137.xml" /><Relationship Id="rId380" Type="http://schemas.openxmlformats.org/officeDocument/2006/relationships/ctrlProp" Target="../ctrProps/ctrProp380.xml" /><Relationship Id="rId187" Type="http://schemas.openxmlformats.org/officeDocument/2006/relationships/ctrlProp" Target="../ctrProps/ctrProp187.xml" /><Relationship Id="rId197" Type="http://schemas.openxmlformats.org/officeDocument/2006/relationships/ctrlProp" Target="../ctrProps/ctrProp197.xml" /><Relationship Id="rId24" Type="http://schemas.openxmlformats.org/officeDocument/2006/relationships/ctrlProp" Target="../ctrProps/ctrProp24.xml" /><Relationship Id="rId25" Type="http://schemas.openxmlformats.org/officeDocument/2006/relationships/ctrlProp" Target="../ctrProps/ctrProp25.xml" /><Relationship Id="rId26" Type="http://schemas.openxmlformats.org/officeDocument/2006/relationships/ctrlProp" Target="../ctrProps/ctrProp26.xml" /><Relationship Id="rId27" Type="http://schemas.openxmlformats.org/officeDocument/2006/relationships/ctrlProp" Target="../ctrProps/ctrProp27.xml" /><Relationship Id="rId20" Type="http://schemas.openxmlformats.org/officeDocument/2006/relationships/ctrlProp" Target="../ctrProps/ctrProp20.xml" /><Relationship Id="rId21" Type="http://schemas.openxmlformats.org/officeDocument/2006/relationships/ctrlProp" Target="../ctrProps/ctrProp21.xml" /><Relationship Id="rId22" Type="http://schemas.openxmlformats.org/officeDocument/2006/relationships/ctrlProp" Target="../ctrProps/ctrProp22.xml" /><Relationship Id="rId23" Type="http://schemas.openxmlformats.org/officeDocument/2006/relationships/ctrlProp" Target="../ctrProps/ctrProp23.xml" /><Relationship Id="rId240" Type="http://schemas.openxmlformats.org/officeDocument/2006/relationships/ctrlProp" Target="../ctrProps/ctrProp240.xml" /><Relationship Id="rId250" Type="http://schemas.openxmlformats.org/officeDocument/2006/relationships/ctrlProp" Target="../ctrProps/ctrProp250.xml" /><Relationship Id="rId260" Type="http://schemas.openxmlformats.org/officeDocument/2006/relationships/ctrlProp" Target="../ctrProps/ctrProp260.xml" /><Relationship Id="rId28" Type="http://schemas.openxmlformats.org/officeDocument/2006/relationships/ctrlProp" Target="../ctrProps/ctrProp28.xml" /><Relationship Id="rId29" Type="http://schemas.openxmlformats.org/officeDocument/2006/relationships/ctrlProp" Target="../ctrProps/ctrProp29.xml" /><Relationship Id="rId210" Type="http://schemas.openxmlformats.org/officeDocument/2006/relationships/ctrlProp" Target="../ctrProps/ctrProp210.xml" /><Relationship Id="rId220" Type="http://schemas.openxmlformats.org/officeDocument/2006/relationships/ctrlProp" Target="../ctrProps/ctrProp220.xml" /><Relationship Id="rId230" Type="http://schemas.openxmlformats.org/officeDocument/2006/relationships/ctrlProp" Target="../ctrProps/ctrProp230.xml" /><Relationship Id="rId280" Type="http://schemas.openxmlformats.org/officeDocument/2006/relationships/ctrlProp" Target="../ctrProps/ctrProp280.xml" /><Relationship Id="rId290" Type="http://schemas.openxmlformats.org/officeDocument/2006/relationships/ctrlProp" Target="../ctrProps/ctrProp290.xml" /><Relationship Id="rId310" Type="http://schemas.openxmlformats.org/officeDocument/2006/relationships/ctrlProp" Target="../ctrProps/ctrProp310.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3" Type="http://schemas.openxmlformats.org/officeDocument/2006/relationships/image" Target="../media/image2.emf" /><Relationship Id="rId5" Type="http://schemas.openxmlformats.org/officeDocument/2006/relationships/image" Target="../media/image3.emf" /><Relationship Id="rId7" Type="http://schemas.openxmlformats.org/officeDocument/2006/relationships/image" Target="../media/image4.emf" /><Relationship Id="rId9" Type="http://schemas.openxmlformats.org/officeDocument/2006/relationships/image" Target="../media/image5.emf" /><Relationship Id="rId2" Type="http://schemas.openxmlformats.org/officeDocument/2006/relationships/control" Target="../activeX/activeX1.xml" /><Relationship Id="rId14" Type="http://schemas.openxmlformats.org/officeDocument/2006/relationships/vmlDrawing" Target="../drawings/vmlDrawing2.vml" /><Relationship Id="rId15" Type="http://schemas.openxmlformats.org/officeDocument/2006/relationships/printerSettings" Target="../printerSettings/printerSettings3.bin" /><Relationship Id="rId10" Type="http://schemas.openxmlformats.org/officeDocument/2006/relationships/control" Target="../activeX/activeX5.xml" /><Relationship Id="rId11" Type="http://schemas.openxmlformats.org/officeDocument/2006/relationships/image" Target="../media/image6.emf" /><Relationship Id="rId12" Type="http://schemas.openxmlformats.org/officeDocument/2006/relationships/control" Target="../activeX/activeX6.xml" /><Relationship Id="rId1" Type="http://schemas.openxmlformats.org/officeDocument/2006/relationships/image" Target="../media/image1.emf" /><Relationship Id="rId4" Type="http://schemas.openxmlformats.org/officeDocument/2006/relationships/control" Target="../activeX/activeX2.xml" /><Relationship Id="rId6" Type="http://schemas.openxmlformats.org/officeDocument/2006/relationships/control" Target="../activeX/activeX3.xml" /><Relationship Id="rId8" Type="http://schemas.openxmlformats.org/officeDocument/2006/relationships/control" Target="../activeX/activeX4.xml" /><Relationship Id="rId13"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14" Type="http://schemas.openxmlformats.org/officeDocument/2006/relationships/ctrlProp" Target="../ctrProps/ctrProp394.xml" /><Relationship Id="rId15" Type="http://schemas.openxmlformats.org/officeDocument/2006/relationships/ctrlProp" Target="../ctrProps/ctrProp395.xml" /><Relationship Id="rId16" Type="http://schemas.openxmlformats.org/officeDocument/2006/relationships/ctrlProp" Target="../ctrProps/ctrProp396.xml" /><Relationship Id="rId17" Type="http://schemas.openxmlformats.org/officeDocument/2006/relationships/ctrlProp" Target="../ctrProps/ctrProp397.xml" /><Relationship Id="rId10" Type="http://schemas.openxmlformats.org/officeDocument/2006/relationships/ctrlProp" Target="../ctrProps/ctrProp390.xml" /><Relationship Id="rId11" Type="http://schemas.openxmlformats.org/officeDocument/2006/relationships/ctrlProp" Target="../ctrProps/ctrProp391.xml" /><Relationship Id="rId12" Type="http://schemas.openxmlformats.org/officeDocument/2006/relationships/ctrlProp" Target="../ctrProps/ctrProp392.xml" /><Relationship Id="rId13" Type="http://schemas.openxmlformats.org/officeDocument/2006/relationships/ctrlProp" Target="../ctrProps/ctrProp393.xml" /><Relationship Id="rId140" Type="http://schemas.openxmlformats.org/officeDocument/2006/relationships/ctrlProp" Target="../ctrProps/ctrProp520.xml" /><Relationship Id="rId150" Type="http://schemas.openxmlformats.org/officeDocument/2006/relationships/ctrlProp" Target="../ctrProps/ctrProp530.xml" /><Relationship Id="rId160" Type="http://schemas.openxmlformats.org/officeDocument/2006/relationships/ctrlProp" Target="../ctrProps/ctrProp540.xml" /><Relationship Id="rId170" Type="http://schemas.openxmlformats.org/officeDocument/2006/relationships/ctrlProp" Target="../ctrProps/ctrProp550.xml" /><Relationship Id="rId100" Type="http://schemas.openxmlformats.org/officeDocument/2006/relationships/ctrlProp" Target="../ctrProps/ctrProp480.xml" /><Relationship Id="rId110" Type="http://schemas.openxmlformats.org/officeDocument/2006/relationships/ctrlProp" Target="../ctrProps/ctrProp490.xml" /><Relationship Id="rId120" Type="http://schemas.openxmlformats.org/officeDocument/2006/relationships/ctrlProp" Target="../ctrProps/ctrProp500.xml" /><Relationship Id="rId130" Type="http://schemas.openxmlformats.org/officeDocument/2006/relationships/ctrlProp" Target="../ctrProps/ctrProp510.xml" /><Relationship Id="rId371" Type="http://schemas.openxmlformats.org/officeDocument/2006/relationships/ctrlProp" Target="../ctrProps/ctrProp751.xml" /><Relationship Id="rId180" Type="http://schemas.openxmlformats.org/officeDocument/2006/relationships/ctrlProp" Target="../ctrProps/ctrProp560.xml" /><Relationship Id="rId190" Type="http://schemas.openxmlformats.org/officeDocument/2006/relationships/ctrlProp" Target="../ctrProps/ctrProp570.xml" /><Relationship Id="rId379" Type="http://schemas.openxmlformats.org/officeDocument/2006/relationships/ctrlProp" Target="../ctrProps/ctrProp759.xml" /><Relationship Id="rId355" Type="http://schemas.openxmlformats.org/officeDocument/2006/relationships/ctrlProp" Target="../ctrProps/ctrProp735.xml" /><Relationship Id="rId366" Type="http://schemas.openxmlformats.org/officeDocument/2006/relationships/ctrlProp" Target="../ctrProps/ctrProp746.xml" /><Relationship Id="rId373" Type="http://schemas.openxmlformats.org/officeDocument/2006/relationships/ctrlProp" Target="../ctrProps/ctrProp753.xml" /><Relationship Id="rId82" Type="http://schemas.openxmlformats.org/officeDocument/2006/relationships/ctrlProp" Target="../ctrProps/ctrProp462.xml" /><Relationship Id="rId306" Type="http://schemas.openxmlformats.org/officeDocument/2006/relationships/ctrlProp" Target="../ctrProps/ctrProp686.xml" /><Relationship Id="rId311" Type="http://schemas.openxmlformats.org/officeDocument/2006/relationships/ctrlProp" Target="../ctrProps/ctrProp691.xml" /><Relationship Id="rId320" Type="http://schemas.openxmlformats.org/officeDocument/2006/relationships/ctrlProp" Target="../ctrProps/ctrProp700.xml" /><Relationship Id="rId48" Type="http://schemas.openxmlformats.org/officeDocument/2006/relationships/ctrlProp" Target="../ctrProps/ctrProp428.xml" /><Relationship Id="rId7" Type="http://schemas.openxmlformats.org/officeDocument/2006/relationships/ctrlProp" Target="../ctrProps/ctrProp387.xml" /><Relationship Id="rId199" Type="http://schemas.openxmlformats.org/officeDocument/2006/relationships/ctrlProp" Target="../ctrProps/ctrProp579.xml" /><Relationship Id="rId96" Type="http://schemas.openxmlformats.org/officeDocument/2006/relationships/ctrlProp" Target="../ctrProps/ctrProp476.xml" /><Relationship Id="rId6" Type="http://schemas.openxmlformats.org/officeDocument/2006/relationships/ctrlProp" Target="../ctrProps/ctrProp386.xml" /><Relationship Id="rId376" Type="http://schemas.openxmlformats.org/officeDocument/2006/relationships/ctrlProp" Target="../ctrProps/ctrProp756.xml" /><Relationship Id="rId5" Type="http://schemas.openxmlformats.org/officeDocument/2006/relationships/ctrlProp" Target="../ctrProps/ctrProp385.xml" /><Relationship Id="rId189" Type="http://schemas.openxmlformats.org/officeDocument/2006/relationships/ctrlProp" Target="../ctrProps/ctrProp569.xml" /><Relationship Id="rId84" Type="http://schemas.openxmlformats.org/officeDocument/2006/relationships/ctrlProp" Target="../ctrProps/ctrProp464.xml" /><Relationship Id="rId313" Type="http://schemas.openxmlformats.org/officeDocument/2006/relationships/ctrlProp" Target="../ctrProps/ctrProp693.xml" /><Relationship Id="rId166" Type="http://schemas.openxmlformats.org/officeDocument/2006/relationships/ctrlProp" Target="../ctrProps/ctrProp546.xml" /><Relationship Id="rId344" Type="http://schemas.openxmlformats.org/officeDocument/2006/relationships/ctrlProp" Target="../ctrProps/ctrProp724.xml" /><Relationship Id="rId330" Type="http://schemas.openxmlformats.org/officeDocument/2006/relationships/ctrlProp" Target="../ctrProps/ctrProp710.xml" /><Relationship Id="rId4" Type="http://schemas.openxmlformats.org/officeDocument/2006/relationships/ctrlProp" Target="../ctrProps/ctrProp384.xml" /><Relationship Id="rId374" Type="http://schemas.openxmlformats.org/officeDocument/2006/relationships/ctrlProp" Target="../ctrProps/ctrProp754.xml" /><Relationship Id="rId304" Type="http://schemas.openxmlformats.org/officeDocument/2006/relationships/ctrlProp" Target="../ctrProps/ctrProp684.xml" /><Relationship Id="rId314" Type="http://schemas.openxmlformats.org/officeDocument/2006/relationships/ctrlProp" Target="../ctrProps/ctrProp694.xml" /><Relationship Id="rId324" Type="http://schemas.openxmlformats.org/officeDocument/2006/relationships/ctrlProp" Target="../ctrProps/ctrProp704.xml" /><Relationship Id="rId334" Type="http://schemas.openxmlformats.org/officeDocument/2006/relationships/ctrlProp" Target="../ctrProps/ctrProp714.xml" /><Relationship Id="rId9" Type="http://schemas.openxmlformats.org/officeDocument/2006/relationships/ctrlProp" Target="../ctrProps/ctrProp389.xml" /><Relationship Id="rId244" Type="http://schemas.openxmlformats.org/officeDocument/2006/relationships/ctrlProp" Target="../ctrProps/ctrProp624.xml" /><Relationship Id="rId254" Type="http://schemas.openxmlformats.org/officeDocument/2006/relationships/ctrlProp" Target="../ctrProps/ctrProp634.xml" /><Relationship Id="rId3" Type="http://schemas.openxmlformats.org/officeDocument/2006/relationships/ctrlProp" Target="../ctrProps/ctrProp383.xml" /><Relationship Id="rId274" Type="http://schemas.openxmlformats.org/officeDocument/2006/relationships/ctrlProp" Target="../ctrProps/ctrProp654.xml" /><Relationship Id="rId204" Type="http://schemas.openxmlformats.org/officeDocument/2006/relationships/ctrlProp" Target="../ctrProps/ctrProp584.xml" /><Relationship Id="rId214" Type="http://schemas.openxmlformats.org/officeDocument/2006/relationships/ctrlProp" Target="../ctrProps/ctrProp594.xml" /><Relationship Id="rId94" Type="http://schemas.openxmlformats.org/officeDocument/2006/relationships/ctrlProp" Target="../ctrProps/ctrProp474.xml" /><Relationship Id="rId234" Type="http://schemas.openxmlformats.org/officeDocument/2006/relationships/ctrlProp" Target="../ctrProps/ctrProp614.xml" /><Relationship Id="rId97" Type="http://schemas.openxmlformats.org/officeDocument/2006/relationships/ctrlProp" Target="../ctrProps/ctrProp477.xml" /><Relationship Id="rId362" Type="http://schemas.openxmlformats.org/officeDocument/2006/relationships/ctrlProp" Target="../ctrProps/ctrProp742.xml" /><Relationship Id="rId284" Type="http://schemas.openxmlformats.org/officeDocument/2006/relationships/ctrlProp" Target="../ctrProps/ctrProp664.xml" /><Relationship Id="rId294" Type="http://schemas.openxmlformats.org/officeDocument/2006/relationships/ctrlProp" Target="../ctrProps/ctrProp674.xml" /><Relationship Id="rId36" Type="http://schemas.openxmlformats.org/officeDocument/2006/relationships/ctrlProp" Target="../ctrProps/ctrProp416.xml" /><Relationship Id="rId341" Type="http://schemas.openxmlformats.org/officeDocument/2006/relationships/ctrlProp" Target="../ctrProps/ctrProp721.xml" /><Relationship Id="rId351" Type="http://schemas.openxmlformats.org/officeDocument/2006/relationships/ctrlProp" Target="../ctrProps/ctrProp731.xml" /><Relationship Id="rId144" Type="http://schemas.openxmlformats.org/officeDocument/2006/relationships/ctrlProp" Target="../ctrProps/ctrProp524.xml" /><Relationship Id="rId154" Type="http://schemas.openxmlformats.org/officeDocument/2006/relationships/ctrlProp" Target="../ctrProps/ctrProp534.xml" /><Relationship Id="rId164" Type="http://schemas.openxmlformats.org/officeDocument/2006/relationships/ctrlProp" Target="../ctrProps/ctrProp544.xml" /><Relationship Id="rId174" Type="http://schemas.openxmlformats.org/officeDocument/2006/relationships/ctrlProp" Target="../ctrProps/ctrProp554.xml" /><Relationship Id="rId104" Type="http://schemas.openxmlformats.org/officeDocument/2006/relationships/ctrlProp" Target="../ctrProps/ctrProp484.xml" /><Relationship Id="rId114" Type="http://schemas.openxmlformats.org/officeDocument/2006/relationships/ctrlProp" Target="../ctrProps/ctrProp494.xml" /><Relationship Id="rId124" Type="http://schemas.openxmlformats.org/officeDocument/2006/relationships/ctrlProp" Target="../ctrProps/ctrProp504.xml" /><Relationship Id="rId134" Type="http://schemas.openxmlformats.org/officeDocument/2006/relationships/ctrlProp" Target="../ctrProps/ctrProp514.xml" /><Relationship Id="rId381" Type="http://schemas.openxmlformats.org/officeDocument/2006/relationships/drawing" Target="../drawings/drawing4.xml" /><Relationship Id="rId184" Type="http://schemas.openxmlformats.org/officeDocument/2006/relationships/ctrlProp" Target="../ctrProps/ctrProp564.xml" /><Relationship Id="rId194" Type="http://schemas.openxmlformats.org/officeDocument/2006/relationships/ctrlProp" Target="../ctrProps/ctrProp574.xml" /><Relationship Id="rId88" Type="http://schemas.openxmlformats.org/officeDocument/2006/relationships/ctrlProp" Target="../ctrProps/ctrProp468.xml" /><Relationship Id="rId85" Type="http://schemas.openxmlformats.org/officeDocument/2006/relationships/ctrlProp" Target="../ctrProps/ctrProp465.xml" /><Relationship Id="rId83" Type="http://schemas.openxmlformats.org/officeDocument/2006/relationships/ctrlProp" Target="../ctrProps/ctrProp463.xml" /><Relationship Id="rId241" Type="http://schemas.openxmlformats.org/officeDocument/2006/relationships/ctrlProp" Target="../ctrProps/ctrProp621.xml" /><Relationship Id="rId251" Type="http://schemas.openxmlformats.org/officeDocument/2006/relationships/ctrlProp" Target="../ctrProps/ctrProp631.xml" /><Relationship Id="rId261" Type="http://schemas.openxmlformats.org/officeDocument/2006/relationships/ctrlProp" Target="../ctrProps/ctrProp641.xml" /><Relationship Id="rId271" Type="http://schemas.openxmlformats.org/officeDocument/2006/relationships/ctrlProp" Target="../ctrProps/ctrProp651.xml" /><Relationship Id="rId201" Type="http://schemas.openxmlformats.org/officeDocument/2006/relationships/ctrlProp" Target="../ctrProps/ctrProp581.xml" /><Relationship Id="rId211" Type="http://schemas.openxmlformats.org/officeDocument/2006/relationships/ctrlProp" Target="../ctrProps/ctrProp591.xml" /><Relationship Id="rId221" Type="http://schemas.openxmlformats.org/officeDocument/2006/relationships/ctrlProp" Target="../ctrProps/ctrProp601.xml" /><Relationship Id="rId231" Type="http://schemas.openxmlformats.org/officeDocument/2006/relationships/ctrlProp" Target="../ctrProps/ctrProp611.xml" /><Relationship Id="rId326" Type="http://schemas.openxmlformats.org/officeDocument/2006/relationships/ctrlProp" Target="../ctrProps/ctrProp706.xml" /><Relationship Id="rId281" Type="http://schemas.openxmlformats.org/officeDocument/2006/relationships/ctrlProp" Target="../ctrProps/ctrProp661.xml" /><Relationship Id="rId291" Type="http://schemas.openxmlformats.org/officeDocument/2006/relationships/ctrlProp" Target="../ctrProps/ctrProp671.xml" /><Relationship Id="rId342" Type="http://schemas.openxmlformats.org/officeDocument/2006/relationships/ctrlProp" Target="../ctrProps/ctrProp722.xml" /><Relationship Id="rId352" Type="http://schemas.openxmlformats.org/officeDocument/2006/relationships/ctrlProp" Target="../ctrProps/ctrProp732.xml" /><Relationship Id="rId141" Type="http://schemas.openxmlformats.org/officeDocument/2006/relationships/ctrlProp" Target="../ctrProps/ctrProp521.xml" /><Relationship Id="rId151" Type="http://schemas.openxmlformats.org/officeDocument/2006/relationships/ctrlProp" Target="../ctrProps/ctrProp531.xml" /><Relationship Id="rId302" Type="http://schemas.openxmlformats.org/officeDocument/2006/relationships/ctrlProp" Target="../ctrProps/ctrProp682.xml" /><Relationship Id="rId171" Type="http://schemas.openxmlformats.org/officeDocument/2006/relationships/ctrlProp" Target="../ctrProps/ctrProp551.xml" /><Relationship Id="rId101" Type="http://schemas.openxmlformats.org/officeDocument/2006/relationships/ctrlProp" Target="../ctrProps/ctrProp481.xml" /><Relationship Id="rId111" Type="http://schemas.openxmlformats.org/officeDocument/2006/relationships/ctrlProp" Target="../ctrProps/ctrProp491.xml" /><Relationship Id="rId121" Type="http://schemas.openxmlformats.org/officeDocument/2006/relationships/ctrlProp" Target="../ctrProps/ctrProp501.xml" /><Relationship Id="rId131" Type="http://schemas.openxmlformats.org/officeDocument/2006/relationships/ctrlProp" Target="../ctrProps/ctrProp511.xml" /><Relationship Id="rId360" Type="http://schemas.openxmlformats.org/officeDocument/2006/relationships/ctrlProp" Target="../ctrProps/ctrProp740.xml" /><Relationship Id="rId382" Type="http://schemas.openxmlformats.org/officeDocument/2006/relationships/vmlDrawing" Target="../drawings/vmlDrawing3.vml" /><Relationship Id="rId181" Type="http://schemas.openxmlformats.org/officeDocument/2006/relationships/ctrlProp" Target="../ctrProps/ctrProp561.xml" /><Relationship Id="rId191" Type="http://schemas.openxmlformats.org/officeDocument/2006/relationships/ctrlProp" Target="../ctrProps/ctrProp571.xml" /><Relationship Id="rId361" Type="http://schemas.openxmlformats.org/officeDocument/2006/relationships/ctrlProp" Target="../ctrProps/ctrProp741.xml" /><Relationship Id="rId333" Type="http://schemas.openxmlformats.org/officeDocument/2006/relationships/ctrlProp" Target="../ctrProps/ctrProp713.xml" /><Relationship Id="rId372" Type="http://schemas.openxmlformats.org/officeDocument/2006/relationships/ctrlProp" Target="../ctrProps/ctrProp752.xml" /><Relationship Id="rId242" Type="http://schemas.openxmlformats.org/officeDocument/2006/relationships/ctrlProp" Target="../ctrProps/ctrProp622.xml" /><Relationship Id="rId252" Type="http://schemas.openxmlformats.org/officeDocument/2006/relationships/ctrlProp" Target="../ctrProps/ctrProp632.xml" /><Relationship Id="rId262" Type="http://schemas.openxmlformats.org/officeDocument/2006/relationships/ctrlProp" Target="../ctrProps/ctrProp642.xml" /><Relationship Id="rId272" Type="http://schemas.openxmlformats.org/officeDocument/2006/relationships/ctrlProp" Target="../ctrProps/ctrProp652.xml" /><Relationship Id="rId202" Type="http://schemas.openxmlformats.org/officeDocument/2006/relationships/ctrlProp" Target="../ctrProps/ctrProp582.xml" /><Relationship Id="rId212" Type="http://schemas.openxmlformats.org/officeDocument/2006/relationships/ctrlProp" Target="../ctrProps/ctrProp592.xml" /><Relationship Id="rId222" Type="http://schemas.openxmlformats.org/officeDocument/2006/relationships/ctrlProp" Target="../ctrProps/ctrProp602.xml" /><Relationship Id="rId232" Type="http://schemas.openxmlformats.org/officeDocument/2006/relationships/ctrlProp" Target="../ctrProps/ctrProp612.xml" /><Relationship Id="rId282" Type="http://schemas.openxmlformats.org/officeDocument/2006/relationships/ctrlProp" Target="../ctrProps/ctrProp662.xml" /><Relationship Id="rId292" Type="http://schemas.openxmlformats.org/officeDocument/2006/relationships/ctrlProp" Target="../ctrProps/ctrProp672.xml" /><Relationship Id="rId316" Type="http://schemas.openxmlformats.org/officeDocument/2006/relationships/ctrlProp" Target="../ctrProps/ctrProp696.xml" /><Relationship Id="rId323" Type="http://schemas.openxmlformats.org/officeDocument/2006/relationships/ctrlProp" Target="../ctrProps/ctrProp703.xml" /><Relationship Id="rId142" Type="http://schemas.openxmlformats.org/officeDocument/2006/relationships/ctrlProp" Target="../ctrProps/ctrProp522.xml" /><Relationship Id="rId152" Type="http://schemas.openxmlformats.org/officeDocument/2006/relationships/ctrlProp" Target="../ctrProps/ctrProp532.xml" /><Relationship Id="rId162" Type="http://schemas.openxmlformats.org/officeDocument/2006/relationships/ctrlProp" Target="../ctrProps/ctrProp542.xml" /><Relationship Id="rId172" Type="http://schemas.openxmlformats.org/officeDocument/2006/relationships/ctrlProp" Target="../ctrProps/ctrProp552.xml" /><Relationship Id="rId102" Type="http://schemas.openxmlformats.org/officeDocument/2006/relationships/ctrlProp" Target="../ctrProps/ctrProp482.xml" /><Relationship Id="rId112" Type="http://schemas.openxmlformats.org/officeDocument/2006/relationships/ctrlProp" Target="../ctrProps/ctrProp492.xml" /><Relationship Id="rId122" Type="http://schemas.openxmlformats.org/officeDocument/2006/relationships/ctrlProp" Target="../ctrProps/ctrProp502.xml" /><Relationship Id="rId132" Type="http://schemas.openxmlformats.org/officeDocument/2006/relationships/ctrlProp" Target="../ctrProps/ctrProp512.xml" /><Relationship Id="rId182" Type="http://schemas.openxmlformats.org/officeDocument/2006/relationships/ctrlProp" Target="../ctrProps/ctrProp562.xml" /><Relationship Id="rId192" Type="http://schemas.openxmlformats.org/officeDocument/2006/relationships/ctrlProp" Target="../ctrProps/ctrProp572.xml" /><Relationship Id="rId264" Type="http://schemas.openxmlformats.org/officeDocument/2006/relationships/ctrlProp" Target="../ctrProps/ctrProp644.xml" /><Relationship Id="rId76" Type="http://schemas.openxmlformats.org/officeDocument/2006/relationships/ctrlProp" Target="../ctrProps/ctrProp456.xml" /><Relationship Id="rId364" Type="http://schemas.openxmlformats.org/officeDocument/2006/relationships/ctrlProp" Target="../ctrProps/ctrProp744.xml" /><Relationship Id="rId139" Type="http://schemas.openxmlformats.org/officeDocument/2006/relationships/ctrlProp" Target="../ctrProps/ctrProp519.xml" /><Relationship Id="rId358" Type="http://schemas.openxmlformats.org/officeDocument/2006/relationships/ctrlProp" Target="../ctrProps/ctrProp738.xml" /><Relationship Id="rId368" Type="http://schemas.openxmlformats.org/officeDocument/2006/relationships/ctrlProp" Target="../ctrProps/ctrProp748.xml" /><Relationship Id="rId378" Type="http://schemas.openxmlformats.org/officeDocument/2006/relationships/ctrlProp" Target="../ctrProps/ctrProp758.xml" /><Relationship Id="rId308" Type="http://schemas.openxmlformats.org/officeDocument/2006/relationships/ctrlProp" Target="../ctrProps/ctrProp688.xml" /><Relationship Id="rId318" Type="http://schemas.openxmlformats.org/officeDocument/2006/relationships/ctrlProp" Target="../ctrProps/ctrProp698.xml" /><Relationship Id="rId328" Type="http://schemas.openxmlformats.org/officeDocument/2006/relationships/ctrlProp" Target="../ctrProps/ctrProp708.xml" /><Relationship Id="rId95" Type="http://schemas.openxmlformats.org/officeDocument/2006/relationships/ctrlProp" Target="../ctrProps/ctrProp475.xml" /><Relationship Id="rId354" Type="http://schemas.openxmlformats.org/officeDocument/2006/relationships/ctrlProp" Target="../ctrProps/ctrProp734.xml" /><Relationship Id="rId39" Type="http://schemas.openxmlformats.org/officeDocument/2006/relationships/ctrlProp" Target="../ctrProps/ctrProp419.xml" /><Relationship Id="rId315" Type="http://schemas.openxmlformats.org/officeDocument/2006/relationships/ctrlProp" Target="../ctrProps/ctrProp695.xml" /><Relationship Id="rId248" Type="http://schemas.openxmlformats.org/officeDocument/2006/relationships/ctrlProp" Target="../ctrProps/ctrProp628.xml" /><Relationship Id="rId258" Type="http://schemas.openxmlformats.org/officeDocument/2006/relationships/ctrlProp" Target="../ctrProps/ctrProp638.xml" /><Relationship Id="rId268" Type="http://schemas.openxmlformats.org/officeDocument/2006/relationships/ctrlProp" Target="../ctrProps/ctrProp648.xml" /><Relationship Id="rId278" Type="http://schemas.openxmlformats.org/officeDocument/2006/relationships/ctrlProp" Target="../ctrProps/ctrProp658.xml" /><Relationship Id="rId208" Type="http://schemas.openxmlformats.org/officeDocument/2006/relationships/ctrlProp" Target="../ctrProps/ctrProp588.xml" /><Relationship Id="rId218" Type="http://schemas.openxmlformats.org/officeDocument/2006/relationships/ctrlProp" Target="../ctrProps/ctrProp598.xml" /><Relationship Id="rId228" Type="http://schemas.openxmlformats.org/officeDocument/2006/relationships/ctrlProp" Target="../ctrProps/ctrProp608.xml" /><Relationship Id="rId238" Type="http://schemas.openxmlformats.org/officeDocument/2006/relationships/ctrlProp" Target="../ctrProps/ctrProp618.xml" /><Relationship Id="rId74" Type="http://schemas.openxmlformats.org/officeDocument/2006/relationships/ctrlProp" Target="../ctrProps/ctrProp454.xml" /><Relationship Id="rId75" Type="http://schemas.openxmlformats.org/officeDocument/2006/relationships/ctrlProp" Target="../ctrProps/ctrProp455.xml" /><Relationship Id="rId288" Type="http://schemas.openxmlformats.org/officeDocument/2006/relationships/ctrlProp" Target="../ctrProps/ctrProp668.xml" /><Relationship Id="rId298" Type="http://schemas.openxmlformats.org/officeDocument/2006/relationships/ctrlProp" Target="../ctrProps/ctrProp678.xml" /><Relationship Id="rId70" Type="http://schemas.openxmlformats.org/officeDocument/2006/relationships/ctrlProp" Target="../ctrProps/ctrProp450.xml" /><Relationship Id="rId71" Type="http://schemas.openxmlformats.org/officeDocument/2006/relationships/ctrlProp" Target="../ctrProps/ctrProp451.xml" /><Relationship Id="rId72" Type="http://schemas.openxmlformats.org/officeDocument/2006/relationships/ctrlProp" Target="../ctrProps/ctrProp452.xml" /><Relationship Id="rId73" Type="http://schemas.openxmlformats.org/officeDocument/2006/relationships/ctrlProp" Target="../ctrProps/ctrProp453.xml" /><Relationship Id="rId78" Type="http://schemas.openxmlformats.org/officeDocument/2006/relationships/ctrlProp" Target="../ctrProps/ctrProp458.xml" /><Relationship Id="rId79" Type="http://schemas.openxmlformats.org/officeDocument/2006/relationships/ctrlProp" Target="../ctrProps/ctrProp459.xml" /><Relationship Id="rId345" Type="http://schemas.openxmlformats.org/officeDocument/2006/relationships/ctrlProp" Target="../ctrProps/ctrProp725.xml" /><Relationship Id="rId18" Type="http://schemas.openxmlformats.org/officeDocument/2006/relationships/ctrlProp" Target="../ctrProps/ctrProp398.xml" /><Relationship Id="rId365" Type="http://schemas.openxmlformats.org/officeDocument/2006/relationships/ctrlProp" Target="../ctrProps/ctrProp745.xml" /><Relationship Id="rId375" Type="http://schemas.openxmlformats.org/officeDocument/2006/relationships/ctrlProp" Target="../ctrProps/ctrProp755.xml" /><Relationship Id="rId305" Type="http://schemas.openxmlformats.org/officeDocument/2006/relationships/ctrlProp" Target="../ctrProps/ctrProp685.xml" /><Relationship Id="rId148" Type="http://schemas.openxmlformats.org/officeDocument/2006/relationships/ctrlProp" Target="../ctrProps/ctrProp528.xml" /><Relationship Id="rId158" Type="http://schemas.openxmlformats.org/officeDocument/2006/relationships/ctrlProp" Target="../ctrProps/ctrProp538.xml" /><Relationship Id="rId168" Type="http://schemas.openxmlformats.org/officeDocument/2006/relationships/ctrlProp" Target="../ctrProps/ctrProp548.xml" /><Relationship Id="rId178" Type="http://schemas.openxmlformats.org/officeDocument/2006/relationships/ctrlProp" Target="../ctrProps/ctrProp558.xml" /><Relationship Id="rId108" Type="http://schemas.openxmlformats.org/officeDocument/2006/relationships/ctrlProp" Target="../ctrProps/ctrProp488.xml" /><Relationship Id="rId118" Type="http://schemas.openxmlformats.org/officeDocument/2006/relationships/ctrlProp" Target="../ctrProps/ctrProp498.xml" /><Relationship Id="rId128" Type="http://schemas.openxmlformats.org/officeDocument/2006/relationships/ctrlProp" Target="../ctrProps/ctrProp508.xml" /><Relationship Id="rId138" Type="http://schemas.openxmlformats.org/officeDocument/2006/relationships/ctrlProp" Target="../ctrProps/ctrProp518.xml" /><Relationship Id="rId188" Type="http://schemas.openxmlformats.org/officeDocument/2006/relationships/ctrlProp" Target="../ctrProps/ctrProp568.xml" /><Relationship Id="rId198" Type="http://schemas.openxmlformats.org/officeDocument/2006/relationships/ctrlProp" Target="../ctrProps/ctrProp578.xml" /><Relationship Id="rId245" Type="http://schemas.openxmlformats.org/officeDocument/2006/relationships/ctrlProp" Target="../ctrProps/ctrProp625.xml" /><Relationship Id="rId255" Type="http://schemas.openxmlformats.org/officeDocument/2006/relationships/ctrlProp" Target="../ctrProps/ctrProp635.xml" /><Relationship Id="rId265" Type="http://schemas.openxmlformats.org/officeDocument/2006/relationships/ctrlProp" Target="../ctrProps/ctrProp645.xml" /><Relationship Id="rId275" Type="http://schemas.openxmlformats.org/officeDocument/2006/relationships/ctrlProp" Target="../ctrProps/ctrProp655.xml" /><Relationship Id="rId205" Type="http://schemas.openxmlformats.org/officeDocument/2006/relationships/ctrlProp" Target="../ctrProps/ctrProp585.xml" /><Relationship Id="rId215" Type="http://schemas.openxmlformats.org/officeDocument/2006/relationships/ctrlProp" Target="../ctrProps/ctrProp595.xml" /><Relationship Id="rId225" Type="http://schemas.openxmlformats.org/officeDocument/2006/relationships/ctrlProp" Target="../ctrProps/ctrProp605.xml" /><Relationship Id="rId235" Type="http://schemas.openxmlformats.org/officeDocument/2006/relationships/ctrlProp" Target="../ctrProps/ctrProp615.xml" /><Relationship Id="rId363" Type="http://schemas.openxmlformats.org/officeDocument/2006/relationships/ctrlProp" Target="../ctrProps/ctrProp743.xml" /><Relationship Id="rId285" Type="http://schemas.openxmlformats.org/officeDocument/2006/relationships/ctrlProp" Target="../ctrProps/ctrProp665.xml" /><Relationship Id="rId295" Type="http://schemas.openxmlformats.org/officeDocument/2006/relationships/ctrlProp" Target="../ctrProps/ctrProp675.xml" /><Relationship Id="rId301" Type="http://schemas.openxmlformats.org/officeDocument/2006/relationships/ctrlProp" Target="../ctrProps/ctrProp681.xml" /><Relationship Id="rId346" Type="http://schemas.openxmlformats.org/officeDocument/2006/relationships/ctrlProp" Target="../ctrProps/ctrProp726.xml" /><Relationship Id="rId356" Type="http://schemas.openxmlformats.org/officeDocument/2006/relationships/ctrlProp" Target="../ctrProps/ctrProp736.xml" /><Relationship Id="rId145" Type="http://schemas.openxmlformats.org/officeDocument/2006/relationships/ctrlProp" Target="../ctrProps/ctrProp525.xml" /><Relationship Id="rId155" Type="http://schemas.openxmlformats.org/officeDocument/2006/relationships/ctrlProp" Target="../ctrProps/ctrProp535.xml" /><Relationship Id="rId165" Type="http://schemas.openxmlformats.org/officeDocument/2006/relationships/ctrlProp" Target="../ctrProps/ctrProp545.xml" /><Relationship Id="rId175" Type="http://schemas.openxmlformats.org/officeDocument/2006/relationships/ctrlProp" Target="../ctrProps/ctrProp555.xml" /><Relationship Id="rId105" Type="http://schemas.openxmlformats.org/officeDocument/2006/relationships/ctrlProp" Target="../ctrProps/ctrProp485.xml" /><Relationship Id="rId115" Type="http://schemas.openxmlformats.org/officeDocument/2006/relationships/ctrlProp" Target="../ctrProps/ctrProp495.xml" /><Relationship Id="rId125" Type="http://schemas.openxmlformats.org/officeDocument/2006/relationships/ctrlProp" Target="../ctrProps/ctrProp505.xml" /><Relationship Id="rId135" Type="http://schemas.openxmlformats.org/officeDocument/2006/relationships/ctrlProp" Target="../ctrProps/ctrProp515.xml" /><Relationship Id="rId90" Type="http://schemas.openxmlformats.org/officeDocument/2006/relationships/ctrlProp" Target="../ctrProps/ctrProp470.xml" /><Relationship Id="rId91" Type="http://schemas.openxmlformats.org/officeDocument/2006/relationships/ctrlProp" Target="../ctrProps/ctrProp471.xml" /><Relationship Id="rId92" Type="http://schemas.openxmlformats.org/officeDocument/2006/relationships/ctrlProp" Target="../ctrProps/ctrProp472.xml" /><Relationship Id="rId93" Type="http://schemas.openxmlformats.org/officeDocument/2006/relationships/ctrlProp" Target="../ctrProps/ctrProp473.xml" /><Relationship Id="rId185" Type="http://schemas.openxmlformats.org/officeDocument/2006/relationships/ctrlProp" Target="../ctrProps/ctrProp565.xml" /><Relationship Id="rId195" Type="http://schemas.openxmlformats.org/officeDocument/2006/relationships/ctrlProp" Target="../ctrProps/ctrProp575.xml" /><Relationship Id="rId98" Type="http://schemas.openxmlformats.org/officeDocument/2006/relationships/ctrlProp" Target="../ctrProps/ctrProp478.xml" /><Relationship Id="rId99" Type="http://schemas.openxmlformats.org/officeDocument/2006/relationships/ctrlProp" Target="../ctrProps/ctrProp479.xml" /><Relationship Id="rId77" Type="http://schemas.openxmlformats.org/officeDocument/2006/relationships/ctrlProp" Target="../ctrProps/ctrProp457.xml" /><Relationship Id="rId338" Type="http://schemas.openxmlformats.org/officeDocument/2006/relationships/ctrlProp" Target="../ctrProps/ctrProp718.xml" /><Relationship Id="rId336" Type="http://schemas.openxmlformats.org/officeDocument/2006/relationships/ctrlProp" Target="../ctrProps/ctrProp716.xml" /><Relationship Id="rId246" Type="http://schemas.openxmlformats.org/officeDocument/2006/relationships/ctrlProp" Target="../ctrProps/ctrProp626.xml" /><Relationship Id="rId256" Type="http://schemas.openxmlformats.org/officeDocument/2006/relationships/ctrlProp" Target="../ctrProps/ctrProp636.xml" /><Relationship Id="rId266" Type="http://schemas.openxmlformats.org/officeDocument/2006/relationships/ctrlProp" Target="../ctrProps/ctrProp646.xml" /><Relationship Id="rId276" Type="http://schemas.openxmlformats.org/officeDocument/2006/relationships/ctrlProp" Target="../ctrProps/ctrProp656.xml" /><Relationship Id="rId206" Type="http://schemas.openxmlformats.org/officeDocument/2006/relationships/ctrlProp" Target="../ctrProps/ctrProp586.xml" /><Relationship Id="rId216" Type="http://schemas.openxmlformats.org/officeDocument/2006/relationships/ctrlProp" Target="../ctrProps/ctrProp596.xml" /><Relationship Id="rId226" Type="http://schemas.openxmlformats.org/officeDocument/2006/relationships/ctrlProp" Target="../ctrProps/ctrProp606.xml" /><Relationship Id="rId236" Type="http://schemas.openxmlformats.org/officeDocument/2006/relationships/ctrlProp" Target="../ctrProps/ctrProp616.xml" /><Relationship Id="rId86" Type="http://schemas.openxmlformats.org/officeDocument/2006/relationships/ctrlProp" Target="../ctrProps/ctrProp466.xml" /><Relationship Id="rId87" Type="http://schemas.openxmlformats.org/officeDocument/2006/relationships/ctrlProp" Target="../ctrProps/ctrProp467.xml" /><Relationship Id="rId80" Type="http://schemas.openxmlformats.org/officeDocument/2006/relationships/ctrlProp" Target="../ctrProps/ctrProp460.xml" /><Relationship Id="rId81" Type="http://schemas.openxmlformats.org/officeDocument/2006/relationships/ctrlProp" Target="../ctrProps/ctrProp461.xml" /><Relationship Id="rId286" Type="http://schemas.openxmlformats.org/officeDocument/2006/relationships/ctrlProp" Target="../ctrProps/ctrProp666.xml" /><Relationship Id="rId296" Type="http://schemas.openxmlformats.org/officeDocument/2006/relationships/ctrlProp" Target="../ctrProps/ctrProp676.xml" /><Relationship Id="rId19" Type="http://schemas.openxmlformats.org/officeDocument/2006/relationships/ctrlProp" Target="../ctrProps/ctrProp399.xml" /><Relationship Id="rId267" Type="http://schemas.openxmlformats.org/officeDocument/2006/relationships/ctrlProp" Target="../ctrProps/ctrProp647.xml" /><Relationship Id="rId89" Type="http://schemas.openxmlformats.org/officeDocument/2006/relationships/ctrlProp" Target="../ctrProps/ctrProp469.xml" /><Relationship Id="rId357" Type="http://schemas.openxmlformats.org/officeDocument/2006/relationships/ctrlProp" Target="../ctrProps/ctrProp737.xml" /><Relationship Id="rId270" Type="http://schemas.openxmlformats.org/officeDocument/2006/relationships/ctrlProp" Target="../ctrProps/ctrProp650.xml" /><Relationship Id="rId353" Type="http://schemas.openxmlformats.org/officeDocument/2006/relationships/ctrlProp" Target="../ctrProps/ctrProp733.xml" /><Relationship Id="rId146" Type="http://schemas.openxmlformats.org/officeDocument/2006/relationships/ctrlProp" Target="../ctrProps/ctrProp526.xml" /><Relationship Id="rId156" Type="http://schemas.openxmlformats.org/officeDocument/2006/relationships/ctrlProp" Target="../ctrProps/ctrProp536.xml" /><Relationship Id="rId303" Type="http://schemas.openxmlformats.org/officeDocument/2006/relationships/ctrlProp" Target="../ctrProps/ctrProp683.xml" /><Relationship Id="rId176" Type="http://schemas.openxmlformats.org/officeDocument/2006/relationships/ctrlProp" Target="../ctrProps/ctrProp556.xml" /><Relationship Id="rId106" Type="http://schemas.openxmlformats.org/officeDocument/2006/relationships/ctrlProp" Target="../ctrProps/ctrProp486.xml" /><Relationship Id="rId116" Type="http://schemas.openxmlformats.org/officeDocument/2006/relationships/ctrlProp" Target="../ctrProps/ctrProp496.xml" /><Relationship Id="rId126" Type="http://schemas.openxmlformats.org/officeDocument/2006/relationships/ctrlProp" Target="../ctrProps/ctrProp506.xml" /><Relationship Id="rId136" Type="http://schemas.openxmlformats.org/officeDocument/2006/relationships/ctrlProp" Target="../ctrProps/ctrProp516.xml" /><Relationship Id="rId383" Type="http://schemas.openxmlformats.org/officeDocument/2006/relationships/printerSettings" Target="../printerSettings/printerSettings4.bin" /><Relationship Id="rId186" Type="http://schemas.openxmlformats.org/officeDocument/2006/relationships/ctrlProp" Target="../ctrProps/ctrProp566.xml" /><Relationship Id="rId196" Type="http://schemas.openxmlformats.org/officeDocument/2006/relationships/ctrlProp" Target="../ctrProps/ctrProp576.xml" /><Relationship Id="rId325" Type="http://schemas.openxmlformats.org/officeDocument/2006/relationships/ctrlProp" Target="../ctrProps/ctrProp705.xml" /><Relationship Id="rId161" Type="http://schemas.openxmlformats.org/officeDocument/2006/relationships/ctrlProp" Target="../ctrProps/ctrProp541.xml" /><Relationship Id="rId243" Type="http://schemas.openxmlformats.org/officeDocument/2006/relationships/ctrlProp" Target="../ctrProps/ctrProp623.xml" /><Relationship Id="rId253" Type="http://schemas.openxmlformats.org/officeDocument/2006/relationships/ctrlProp" Target="../ctrProps/ctrProp633.xml" /><Relationship Id="rId263" Type="http://schemas.openxmlformats.org/officeDocument/2006/relationships/ctrlProp" Target="../ctrProps/ctrProp643.xml" /><Relationship Id="rId273" Type="http://schemas.openxmlformats.org/officeDocument/2006/relationships/ctrlProp" Target="../ctrProps/ctrProp653.xml" /><Relationship Id="rId203" Type="http://schemas.openxmlformats.org/officeDocument/2006/relationships/ctrlProp" Target="../ctrProps/ctrProp583.xml" /><Relationship Id="rId213" Type="http://schemas.openxmlformats.org/officeDocument/2006/relationships/ctrlProp" Target="../ctrProps/ctrProp593.xml" /><Relationship Id="rId223" Type="http://schemas.openxmlformats.org/officeDocument/2006/relationships/ctrlProp" Target="../ctrProps/ctrProp603.xml" /><Relationship Id="rId233" Type="http://schemas.openxmlformats.org/officeDocument/2006/relationships/ctrlProp" Target="../ctrProps/ctrProp613.xml" /><Relationship Id="rId283" Type="http://schemas.openxmlformats.org/officeDocument/2006/relationships/ctrlProp" Target="../ctrProps/ctrProp663.xml" /><Relationship Id="rId293" Type="http://schemas.openxmlformats.org/officeDocument/2006/relationships/ctrlProp" Target="../ctrProps/ctrProp673.xml" /><Relationship Id="rId322" Type="http://schemas.openxmlformats.org/officeDocument/2006/relationships/ctrlProp" Target="../ctrProps/ctrProp702.xml" /><Relationship Id="rId335" Type="http://schemas.openxmlformats.org/officeDocument/2006/relationships/ctrlProp" Target="../ctrProps/ctrProp715.xml" /><Relationship Id="rId143" Type="http://schemas.openxmlformats.org/officeDocument/2006/relationships/ctrlProp" Target="../ctrProps/ctrProp523.xml" /><Relationship Id="rId153" Type="http://schemas.openxmlformats.org/officeDocument/2006/relationships/ctrlProp" Target="../ctrProps/ctrProp533.xml" /><Relationship Id="rId163" Type="http://schemas.openxmlformats.org/officeDocument/2006/relationships/ctrlProp" Target="../ctrProps/ctrProp543.xml" /><Relationship Id="rId173" Type="http://schemas.openxmlformats.org/officeDocument/2006/relationships/ctrlProp" Target="../ctrProps/ctrProp553.xml" /><Relationship Id="rId103" Type="http://schemas.openxmlformats.org/officeDocument/2006/relationships/ctrlProp" Target="../ctrProps/ctrProp483.xml" /><Relationship Id="rId113" Type="http://schemas.openxmlformats.org/officeDocument/2006/relationships/ctrlProp" Target="../ctrProps/ctrProp493.xml" /><Relationship Id="rId123" Type="http://schemas.openxmlformats.org/officeDocument/2006/relationships/ctrlProp" Target="../ctrProps/ctrProp503.xml" /><Relationship Id="rId133" Type="http://schemas.openxmlformats.org/officeDocument/2006/relationships/ctrlProp" Target="../ctrProps/ctrProp513.xml" /><Relationship Id="rId183" Type="http://schemas.openxmlformats.org/officeDocument/2006/relationships/ctrlProp" Target="../ctrProps/ctrProp563.xml" /><Relationship Id="rId193" Type="http://schemas.openxmlformats.org/officeDocument/2006/relationships/ctrlProp" Target="../ctrProps/ctrProp573.xml" /><Relationship Id="rId343" Type="http://schemas.openxmlformats.org/officeDocument/2006/relationships/ctrlProp" Target="../ctrProps/ctrProp723.xml" /><Relationship Id="rId332" Type="http://schemas.openxmlformats.org/officeDocument/2006/relationships/ctrlProp" Target="../ctrProps/ctrProp712.xml" /><Relationship Id="rId367" Type="http://schemas.openxmlformats.org/officeDocument/2006/relationships/ctrlProp" Target="../ctrProps/ctrProp747.xml" /><Relationship Id="rId200" Type="http://schemas.openxmlformats.org/officeDocument/2006/relationships/ctrlProp" Target="../ctrProps/ctrProp580.xml" /><Relationship Id="rId370" Type="http://schemas.openxmlformats.org/officeDocument/2006/relationships/ctrlProp" Target="../ctrProps/ctrProp750.xml" /><Relationship Id="rId44" Type="http://schemas.openxmlformats.org/officeDocument/2006/relationships/ctrlProp" Target="../ctrProps/ctrProp424.xml" /><Relationship Id="rId349" Type="http://schemas.openxmlformats.org/officeDocument/2006/relationships/ctrlProp" Target="../ctrProps/ctrProp729.xml" /><Relationship Id="rId359" Type="http://schemas.openxmlformats.org/officeDocument/2006/relationships/ctrlProp" Target="../ctrProps/ctrProp739.xml" /><Relationship Id="rId369" Type="http://schemas.openxmlformats.org/officeDocument/2006/relationships/ctrlProp" Target="../ctrProps/ctrProp749.xml" /><Relationship Id="rId38" Type="http://schemas.openxmlformats.org/officeDocument/2006/relationships/ctrlProp" Target="../ctrProps/ctrProp418.xml" /><Relationship Id="rId309" Type="http://schemas.openxmlformats.org/officeDocument/2006/relationships/ctrlProp" Target="../ctrProps/ctrProp689.xml" /><Relationship Id="rId319" Type="http://schemas.openxmlformats.org/officeDocument/2006/relationships/ctrlProp" Target="../ctrProps/ctrProp699.xml" /><Relationship Id="rId329" Type="http://schemas.openxmlformats.org/officeDocument/2006/relationships/ctrlProp" Target="../ctrProps/ctrProp709.xml" /><Relationship Id="rId224" Type="http://schemas.openxmlformats.org/officeDocument/2006/relationships/ctrlProp" Target="../ctrProps/ctrProp604.xml" /><Relationship Id="rId321" Type="http://schemas.openxmlformats.org/officeDocument/2006/relationships/ctrlProp" Target="../ctrProps/ctrProp701.xml" /><Relationship Id="rId249" Type="http://schemas.openxmlformats.org/officeDocument/2006/relationships/ctrlProp" Target="../ctrProps/ctrProp629.xml" /><Relationship Id="rId259" Type="http://schemas.openxmlformats.org/officeDocument/2006/relationships/ctrlProp" Target="../ctrProps/ctrProp639.xml" /><Relationship Id="rId269" Type="http://schemas.openxmlformats.org/officeDocument/2006/relationships/ctrlProp" Target="../ctrProps/ctrProp649.xml" /><Relationship Id="rId279" Type="http://schemas.openxmlformats.org/officeDocument/2006/relationships/ctrlProp" Target="../ctrProps/ctrProp659.xml" /><Relationship Id="rId209" Type="http://schemas.openxmlformats.org/officeDocument/2006/relationships/ctrlProp" Target="../ctrProps/ctrProp589.xml" /><Relationship Id="rId219" Type="http://schemas.openxmlformats.org/officeDocument/2006/relationships/ctrlProp" Target="../ctrProps/ctrProp599.xml" /><Relationship Id="rId229" Type="http://schemas.openxmlformats.org/officeDocument/2006/relationships/ctrlProp" Target="../ctrProps/ctrProp609.xml" /><Relationship Id="rId239" Type="http://schemas.openxmlformats.org/officeDocument/2006/relationships/ctrlProp" Target="../ctrProps/ctrProp619.xml" /><Relationship Id="rId289" Type="http://schemas.openxmlformats.org/officeDocument/2006/relationships/ctrlProp" Target="../ctrProps/ctrProp669.xml" /><Relationship Id="rId299" Type="http://schemas.openxmlformats.org/officeDocument/2006/relationships/ctrlProp" Target="../ctrProps/ctrProp679.xml" /><Relationship Id="rId348" Type="http://schemas.openxmlformats.org/officeDocument/2006/relationships/ctrlProp" Target="../ctrProps/ctrProp728.xml" /><Relationship Id="rId312" Type="http://schemas.openxmlformats.org/officeDocument/2006/relationships/ctrlProp" Target="../ctrProps/ctrProp692.xml" /><Relationship Id="rId339" Type="http://schemas.openxmlformats.org/officeDocument/2006/relationships/ctrlProp" Target="../ctrProps/ctrProp719.xml" /><Relationship Id="rId149" Type="http://schemas.openxmlformats.org/officeDocument/2006/relationships/ctrlProp" Target="../ctrProps/ctrProp529.xml" /><Relationship Id="rId159" Type="http://schemas.openxmlformats.org/officeDocument/2006/relationships/ctrlProp" Target="../ctrProps/ctrProp539.xml" /><Relationship Id="rId169" Type="http://schemas.openxmlformats.org/officeDocument/2006/relationships/ctrlProp" Target="../ctrProps/ctrProp549.xml" /><Relationship Id="rId179" Type="http://schemas.openxmlformats.org/officeDocument/2006/relationships/ctrlProp" Target="../ctrProps/ctrProp559.xml" /><Relationship Id="rId109" Type="http://schemas.openxmlformats.org/officeDocument/2006/relationships/ctrlProp" Target="../ctrProps/ctrProp489.xml" /><Relationship Id="rId119" Type="http://schemas.openxmlformats.org/officeDocument/2006/relationships/ctrlProp" Target="../ctrProps/ctrProp499.xml" /><Relationship Id="rId129" Type="http://schemas.openxmlformats.org/officeDocument/2006/relationships/ctrlProp" Target="../ctrProps/ctrProp509.xml" /><Relationship Id="rId2" Type="http://schemas.openxmlformats.org/officeDocument/2006/relationships/ctrlProp" Target="../ctrProps/ctrProp382.xml" /><Relationship Id="rId64" Type="http://schemas.openxmlformats.org/officeDocument/2006/relationships/ctrlProp" Target="../ctrProps/ctrProp444.xml" /><Relationship Id="rId65" Type="http://schemas.openxmlformats.org/officeDocument/2006/relationships/ctrlProp" Target="../ctrProps/ctrProp445.xml" /><Relationship Id="rId66" Type="http://schemas.openxmlformats.org/officeDocument/2006/relationships/ctrlProp" Target="../ctrProps/ctrProp446.xml" /><Relationship Id="rId67" Type="http://schemas.openxmlformats.org/officeDocument/2006/relationships/ctrlProp" Target="../ctrProps/ctrProp447.xml" /><Relationship Id="rId60" Type="http://schemas.openxmlformats.org/officeDocument/2006/relationships/ctrlProp" Target="../ctrProps/ctrProp440.xml" /><Relationship Id="rId61" Type="http://schemas.openxmlformats.org/officeDocument/2006/relationships/ctrlProp" Target="../ctrProps/ctrProp441.xml" /><Relationship Id="rId62" Type="http://schemas.openxmlformats.org/officeDocument/2006/relationships/ctrlProp" Target="../ctrProps/ctrProp442.xml" /><Relationship Id="rId63" Type="http://schemas.openxmlformats.org/officeDocument/2006/relationships/ctrlProp" Target="../ctrProps/ctrProp443.xml" /><Relationship Id="rId68" Type="http://schemas.openxmlformats.org/officeDocument/2006/relationships/ctrlProp" Target="../ctrProps/ctrProp448.xml" /><Relationship Id="rId69" Type="http://schemas.openxmlformats.org/officeDocument/2006/relationships/ctrlProp" Target="../ctrProps/ctrProp449.xml" /><Relationship Id="rId300" Type="http://schemas.openxmlformats.org/officeDocument/2006/relationships/ctrlProp" Target="../ctrProps/ctrProp680.xml" /><Relationship Id="rId54" Type="http://schemas.openxmlformats.org/officeDocument/2006/relationships/ctrlProp" Target="../ctrProps/ctrProp434.xml" /><Relationship Id="rId55" Type="http://schemas.openxmlformats.org/officeDocument/2006/relationships/ctrlProp" Target="../ctrProps/ctrProp435.xml" /><Relationship Id="rId56" Type="http://schemas.openxmlformats.org/officeDocument/2006/relationships/ctrlProp" Target="../ctrProps/ctrProp436.xml" /><Relationship Id="rId57" Type="http://schemas.openxmlformats.org/officeDocument/2006/relationships/ctrlProp" Target="../ctrProps/ctrProp437.xml" /><Relationship Id="rId50" Type="http://schemas.openxmlformats.org/officeDocument/2006/relationships/ctrlProp" Target="../ctrProps/ctrProp430.xml" /><Relationship Id="rId51" Type="http://schemas.openxmlformats.org/officeDocument/2006/relationships/ctrlProp" Target="../ctrProps/ctrProp431.xml" /><Relationship Id="rId52" Type="http://schemas.openxmlformats.org/officeDocument/2006/relationships/ctrlProp" Target="../ctrProps/ctrProp432.xml" /><Relationship Id="rId53" Type="http://schemas.openxmlformats.org/officeDocument/2006/relationships/ctrlProp" Target="../ctrProps/ctrProp433.xml" /><Relationship Id="rId347" Type="http://schemas.openxmlformats.org/officeDocument/2006/relationships/ctrlProp" Target="../ctrProps/ctrProp727.xml" /><Relationship Id="rId58" Type="http://schemas.openxmlformats.org/officeDocument/2006/relationships/ctrlProp" Target="../ctrProps/ctrProp438.xml" /><Relationship Id="rId59" Type="http://schemas.openxmlformats.org/officeDocument/2006/relationships/ctrlProp" Target="../ctrProps/ctrProp439.xml" /><Relationship Id="rId377" Type="http://schemas.openxmlformats.org/officeDocument/2006/relationships/ctrlProp" Target="../ctrProps/ctrProp757.xml" /><Relationship Id="rId307" Type="http://schemas.openxmlformats.org/officeDocument/2006/relationships/ctrlProp" Target="../ctrProps/ctrProp687.xml" /><Relationship Id="rId317" Type="http://schemas.openxmlformats.org/officeDocument/2006/relationships/ctrlProp" Target="../ctrProps/ctrProp697.xml" /><Relationship Id="rId327" Type="http://schemas.openxmlformats.org/officeDocument/2006/relationships/ctrlProp" Target="../ctrProps/ctrProp707.xml" /><Relationship Id="rId337" Type="http://schemas.openxmlformats.org/officeDocument/2006/relationships/ctrlProp" Target="../ctrProps/ctrProp717.xml" /><Relationship Id="rId331" Type="http://schemas.openxmlformats.org/officeDocument/2006/relationships/ctrlProp" Target="../ctrProps/ctrProp711.xml" /><Relationship Id="rId8" Type="http://schemas.openxmlformats.org/officeDocument/2006/relationships/ctrlProp" Target="../ctrProps/ctrProp388.xml" /><Relationship Id="rId45" Type="http://schemas.openxmlformats.org/officeDocument/2006/relationships/ctrlProp" Target="../ctrProps/ctrProp425.xml" /><Relationship Id="rId46" Type="http://schemas.openxmlformats.org/officeDocument/2006/relationships/ctrlProp" Target="../ctrProps/ctrProp426.xml" /><Relationship Id="rId47" Type="http://schemas.openxmlformats.org/officeDocument/2006/relationships/ctrlProp" Target="../ctrProps/ctrProp427.xml" /><Relationship Id="rId40" Type="http://schemas.openxmlformats.org/officeDocument/2006/relationships/ctrlProp" Target="../ctrProps/ctrProp420.xml" /><Relationship Id="rId41" Type="http://schemas.openxmlformats.org/officeDocument/2006/relationships/ctrlProp" Target="../ctrProps/ctrProp421.xml" /><Relationship Id="rId42" Type="http://schemas.openxmlformats.org/officeDocument/2006/relationships/ctrlProp" Target="../ctrProps/ctrProp422.xml" /><Relationship Id="rId43" Type="http://schemas.openxmlformats.org/officeDocument/2006/relationships/ctrlProp" Target="../ctrProps/ctrProp423.xml" /><Relationship Id="rId247" Type="http://schemas.openxmlformats.org/officeDocument/2006/relationships/ctrlProp" Target="../ctrProps/ctrProp627.xml" /><Relationship Id="rId257" Type="http://schemas.openxmlformats.org/officeDocument/2006/relationships/ctrlProp" Target="../ctrProps/ctrProp637.xml" /><Relationship Id="rId49" Type="http://schemas.openxmlformats.org/officeDocument/2006/relationships/ctrlProp" Target="../ctrProps/ctrProp429.xml" /><Relationship Id="rId277" Type="http://schemas.openxmlformats.org/officeDocument/2006/relationships/ctrlProp" Target="../ctrProps/ctrProp657.xml" /><Relationship Id="rId207" Type="http://schemas.openxmlformats.org/officeDocument/2006/relationships/ctrlProp" Target="../ctrProps/ctrProp587.xml" /><Relationship Id="rId217" Type="http://schemas.openxmlformats.org/officeDocument/2006/relationships/ctrlProp" Target="../ctrProps/ctrProp597.xml" /><Relationship Id="rId227" Type="http://schemas.openxmlformats.org/officeDocument/2006/relationships/ctrlProp" Target="../ctrProps/ctrProp607.xml" /><Relationship Id="rId237" Type="http://schemas.openxmlformats.org/officeDocument/2006/relationships/ctrlProp" Target="../ctrProps/ctrProp617.xml" /><Relationship Id="rId287" Type="http://schemas.openxmlformats.org/officeDocument/2006/relationships/ctrlProp" Target="../ctrProps/ctrProp667.xml" /><Relationship Id="rId297" Type="http://schemas.openxmlformats.org/officeDocument/2006/relationships/ctrlProp" Target="../ctrProps/ctrProp677.xml" /><Relationship Id="rId34" Type="http://schemas.openxmlformats.org/officeDocument/2006/relationships/ctrlProp" Target="../ctrProps/ctrProp414.xml" /><Relationship Id="rId35" Type="http://schemas.openxmlformats.org/officeDocument/2006/relationships/ctrlProp" Target="../ctrProps/ctrProp415.xml" /><Relationship Id="rId1" Type="http://schemas.openxmlformats.org/officeDocument/2006/relationships/ctrlProp" Target="../ctrProps/ctrProp381.xml" /><Relationship Id="rId37" Type="http://schemas.openxmlformats.org/officeDocument/2006/relationships/ctrlProp" Target="../ctrProps/ctrProp417.xml" /><Relationship Id="rId30" Type="http://schemas.openxmlformats.org/officeDocument/2006/relationships/ctrlProp" Target="../ctrProps/ctrProp410.xml" /><Relationship Id="rId31" Type="http://schemas.openxmlformats.org/officeDocument/2006/relationships/ctrlProp" Target="../ctrProps/ctrProp411.xml" /><Relationship Id="rId32" Type="http://schemas.openxmlformats.org/officeDocument/2006/relationships/ctrlProp" Target="../ctrProps/ctrProp412.xml" /><Relationship Id="rId33" Type="http://schemas.openxmlformats.org/officeDocument/2006/relationships/ctrlProp" Target="../ctrProps/ctrProp413.xml" /><Relationship Id="rId340" Type="http://schemas.openxmlformats.org/officeDocument/2006/relationships/ctrlProp" Target="../ctrProps/ctrProp720.xml" /><Relationship Id="rId350" Type="http://schemas.openxmlformats.org/officeDocument/2006/relationships/ctrlProp" Target="../ctrProps/ctrProp730.xml" /><Relationship Id="rId147" Type="http://schemas.openxmlformats.org/officeDocument/2006/relationships/ctrlProp" Target="../ctrProps/ctrProp527.xml" /><Relationship Id="rId157" Type="http://schemas.openxmlformats.org/officeDocument/2006/relationships/ctrlProp" Target="../ctrProps/ctrProp537.xml" /><Relationship Id="rId167" Type="http://schemas.openxmlformats.org/officeDocument/2006/relationships/ctrlProp" Target="../ctrProps/ctrProp547.xml" /><Relationship Id="rId177" Type="http://schemas.openxmlformats.org/officeDocument/2006/relationships/ctrlProp" Target="../ctrProps/ctrProp557.xml" /><Relationship Id="rId107" Type="http://schemas.openxmlformats.org/officeDocument/2006/relationships/ctrlProp" Target="../ctrProps/ctrProp487.xml" /><Relationship Id="rId117" Type="http://schemas.openxmlformats.org/officeDocument/2006/relationships/ctrlProp" Target="../ctrProps/ctrProp497.xml" /><Relationship Id="rId127" Type="http://schemas.openxmlformats.org/officeDocument/2006/relationships/ctrlProp" Target="../ctrProps/ctrProp507.xml" /><Relationship Id="rId137" Type="http://schemas.openxmlformats.org/officeDocument/2006/relationships/ctrlProp" Target="../ctrProps/ctrProp517.xml" /><Relationship Id="rId380" Type="http://schemas.openxmlformats.org/officeDocument/2006/relationships/ctrlProp" Target="../ctrProps/ctrProp760.xml" /><Relationship Id="rId187" Type="http://schemas.openxmlformats.org/officeDocument/2006/relationships/ctrlProp" Target="../ctrProps/ctrProp567.xml" /><Relationship Id="rId197" Type="http://schemas.openxmlformats.org/officeDocument/2006/relationships/ctrlProp" Target="../ctrProps/ctrProp577.xml" /><Relationship Id="rId24" Type="http://schemas.openxmlformats.org/officeDocument/2006/relationships/ctrlProp" Target="../ctrProps/ctrProp404.xml" /><Relationship Id="rId25" Type="http://schemas.openxmlformats.org/officeDocument/2006/relationships/ctrlProp" Target="../ctrProps/ctrProp405.xml" /><Relationship Id="rId26" Type="http://schemas.openxmlformats.org/officeDocument/2006/relationships/ctrlProp" Target="../ctrProps/ctrProp406.xml" /><Relationship Id="rId27" Type="http://schemas.openxmlformats.org/officeDocument/2006/relationships/ctrlProp" Target="../ctrProps/ctrProp407.xml" /><Relationship Id="rId20" Type="http://schemas.openxmlformats.org/officeDocument/2006/relationships/ctrlProp" Target="../ctrProps/ctrProp400.xml" /><Relationship Id="rId21" Type="http://schemas.openxmlformats.org/officeDocument/2006/relationships/ctrlProp" Target="../ctrProps/ctrProp401.xml" /><Relationship Id="rId22" Type="http://schemas.openxmlformats.org/officeDocument/2006/relationships/ctrlProp" Target="../ctrProps/ctrProp402.xml" /><Relationship Id="rId23" Type="http://schemas.openxmlformats.org/officeDocument/2006/relationships/ctrlProp" Target="../ctrProps/ctrProp403.xml" /><Relationship Id="rId240" Type="http://schemas.openxmlformats.org/officeDocument/2006/relationships/ctrlProp" Target="../ctrProps/ctrProp620.xml" /><Relationship Id="rId250" Type="http://schemas.openxmlformats.org/officeDocument/2006/relationships/ctrlProp" Target="../ctrProps/ctrProp630.xml" /><Relationship Id="rId260" Type="http://schemas.openxmlformats.org/officeDocument/2006/relationships/ctrlProp" Target="../ctrProps/ctrProp640.xml" /><Relationship Id="rId28" Type="http://schemas.openxmlformats.org/officeDocument/2006/relationships/ctrlProp" Target="../ctrProps/ctrProp408.xml" /><Relationship Id="rId29" Type="http://schemas.openxmlformats.org/officeDocument/2006/relationships/ctrlProp" Target="../ctrProps/ctrProp409.xml" /><Relationship Id="rId210" Type="http://schemas.openxmlformats.org/officeDocument/2006/relationships/ctrlProp" Target="../ctrProps/ctrProp590.xml" /><Relationship Id="rId220" Type="http://schemas.openxmlformats.org/officeDocument/2006/relationships/ctrlProp" Target="../ctrProps/ctrProp600.xml" /><Relationship Id="rId230" Type="http://schemas.openxmlformats.org/officeDocument/2006/relationships/ctrlProp" Target="../ctrProps/ctrProp610.xml" /><Relationship Id="rId280" Type="http://schemas.openxmlformats.org/officeDocument/2006/relationships/ctrlProp" Target="../ctrProps/ctrProp660.xml" /><Relationship Id="rId290" Type="http://schemas.openxmlformats.org/officeDocument/2006/relationships/ctrlProp" Target="../ctrProps/ctrProp670.xml" /><Relationship Id="rId310" Type="http://schemas.openxmlformats.org/officeDocument/2006/relationships/ctrlProp" Target="../ctrProps/ctrProp690.xml"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1"/>
  <dimension ref="A1:AM21"/>
  <sheetViews>
    <sheetView showGridLines="0" showRowColHeaders="0" showZeros="0" showOutlineSymbols="0" workbookViewId="0" topLeftCell="A1">
      <pane ySplit="1" topLeftCell="A2" activePane="bottomLeft" state="frozen"/>
      <selection pane="topLeft" activeCell="A1" sqref="A1"/>
      <selection pane="bottomLeft" activeCell="A1" sqref="A1"/>
    </sheetView>
  </sheetViews>
  <sheetFormatPr defaultColWidth="9.14428571428571" defaultRowHeight="12.75"/>
  <cols>
    <col min="1" max="1" width="9.14285714285714" style="1"/>
    <col min="2" max="2" width="9.14285714285714" style="5"/>
    <col min="3" max="3" width="9.14285714285714" style="6"/>
    <col min="4" max="5" width="9.14285714285714" style="7"/>
    <col min="6" max="27" width="9.14285714285714" style="5"/>
    <col min="28" max="28" width="12.7142857142857" style="5" customWidth="1"/>
    <col min="29" max="16384" width="9.14285714285714" style="5"/>
  </cols>
  <sheetData>
    <row r="1" spans="1:39" s="1" customFormat="1" ht="0.7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s="2" customFormat="1" ht="18.7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9.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39" ht="14.2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spans="1:39" ht="13.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spans="1:39" ht="18.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spans="1:39" ht="13.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pans="1:39" ht="14.2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pans="1:39" ht="20.25" customHeight="1">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pans="1:39" ht="21.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pans="1:39" ht="12.7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spans="1:39" ht="12.7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spans="1:39" ht="12.7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spans="1:39" ht="12.7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spans="1:39" ht="12.7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spans="1:39" ht="12.7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spans="1:39" ht="12.7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1:39" ht="12.7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spans="1:39" ht="12.7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spans="1:39" ht="12.7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spans="1:39" ht="12.7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sheetData>
  <printOptions gridLines="1"/>
  <pageMargins left="0.75" right="0.75" top="1" bottom="1" header="0.5" footer="0.5"/>
  <pageSetup orientation="landscape" scale="80" r:id="rId383"/>
  <headerFooter alignWithMargins="0"/>
  <drawing r:id="rId381"/>
  <legacyDrawing r:id="rId382"/>
  <mc:AlternateContent xmlns:mc="http://schemas.openxmlformats.org/markup-compatibility/2006">
    <mc:Choice Requires="x14">
      <controls>
        <mc:AlternateContent xmlns:mc="http://schemas.openxmlformats.org/markup-compatibility/2006">
          <mc:Choice Requires="x14">
            <control shapeId="12289" r:id="rId1" name="Button 1">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0" r:id="rId2" name="Button 2">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1" r:id="rId3" name="Button 3">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2" r:id="rId4" name="Button 4">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3" r:id="rId5" name="Button 5">
              <controlPr defaultSize="0" print="0" autoLine="0" autoPict="0">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4" r:id="rId6" name="Button 6">
              <controlPr defaultSize="0" print="0" autoLine="0" autoPict="0">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5" r:id="rId7" name="Button 7">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6" r:id="rId8" name="Button 8">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7" r:id="rId9" name="Button 9">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8" r:id="rId10" name="Button 10">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299" r:id="rId11" name="Button 11">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0" r:id="rId12" name="Button 12">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1" r:id="rId13" name="Button 13">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2" r:id="rId14" name="Button 14">
              <controlPr defaultSize="0" print="0" autoLine="0" autoPict="0" macro="[0]!Module1.DoExcelPos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3" r:id="rId15" name="Button 15">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4" r:id="rId16" name="Button 16">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5" r:id="rId17" name="Button 17">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6" r:id="rId18" name="Button 18">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7" r:id="rId19" name="Button 19">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8" r:id="rId20" name="Button 20">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09" r:id="rId21" name="Button 21">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0" r:id="rId22" name="Button 22">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1" r:id="rId23" name="Button 23">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2" r:id="rId24" name="Button 24">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3" r:id="rId25" name="Button 25">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4" r:id="rId26" name="Button 26">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5" r:id="rId27" name="Button 27">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6" r:id="rId28" name="Button 28">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7" r:id="rId29" name="Button 29">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8" r:id="rId30" name="Button 30">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19" r:id="rId31" name="Button 31">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0" r:id="rId32" name="Button 32">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1" r:id="rId33" name="Button 33">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2" r:id="rId34" name="Button 34">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3" r:id="rId35" name="Button 35">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4" r:id="rId36" name="Button 36">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5" r:id="rId37" name="Button 37">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6" r:id="rId38" name="Button 38">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7" r:id="rId39" name="Button 39">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8" r:id="rId40" name="Button 40">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29" r:id="rId41" name="Button 41">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0" r:id="rId42" name="Button 42">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1" r:id="rId43" name="Button 43">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2" r:id="rId44" name="Button 44">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3" r:id="rId45" name="Button 45">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4" r:id="rId46" name="Button 46">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5" r:id="rId47" name="Button 47">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6" r:id="rId48" name="Button 48">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7" r:id="rId49" name="Button 49">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8" r:id="rId50" name="Button 50">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39" r:id="rId51" name="Button 51">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0" r:id="rId52" name="Button 52">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1" r:id="rId53" name="Button 53">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2" r:id="rId54" name="Button 54">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3" r:id="rId55" name="Button 55">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4" r:id="rId56" name="Button 56">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5" r:id="rId57" name="Button 57">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6" r:id="rId58" name="Button 58">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7" r:id="rId59" name="Button 59">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8" r:id="rId60" name="Button 60">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49" r:id="rId61" name="Button 61">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50" r:id="rId62" name="Button 62">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51" r:id="rId63" name="Button 63">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52" r:id="rId64" name="Button 64">
              <controlPr defaultSize="0" print="0" autoLine="0" autoPict="0" macro="[0]!ValidateComplexObject">
                <anchor moveWithCells="1" sizeWithCells="1">
                  <from>
                    <xdr:col>3</xdr:col>
                    <xdr:colOff>28575</xdr:colOff>
                    <xdr:row>0</xdr:row>
                    <xdr:rowOff>0</xdr:rowOff>
                  </from>
                  <to>
                    <xdr:col>4</xdr:col>
                    <xdr:colOff>219075</xdr:colOff>
                    <xdr:row>0</xdr:row>
                    <xdr:rowOff>0</xdr:rowOff>
                  </to>
                </anchor>
              </controlPr>
            </control>
          </mc:Choice>
        </mc:AlternateContent>
        <mc:AlternateContent xmlns:mc="http://schemas.openxmlformats.org/markup-compatibility/2006">
          <mc:Choice Requires="x14">
            <control shapeId="12353" r:id="rId65" name="Button 65">
              <controlPr defaultSize="0" print="0" autoLine="0" autoPict="0" macro="[0]!BuildComplexObjectFromSimpleObject">
                <anchor moveWithCells="1" sizeWithCells="1">
                  <from>
                    <xdr:col>5</xdr:col>
                    <xdr:colOff>0</xdr:colOff>
                    <xdr:row>0</xdr:row>
                    <xdr:rowOff>0</xdr:rowOff>
                  </from>
                  <to>
                    <xdr:col>7</xdr:col>
                    <xdr:colOff>428625</xdr:colOff>
                    <xdr:row>0</xdr:row>
                    <xdr:rowOff>0</xdr:rowOff>
                  </to>
                </anchor>
              </controlPr>
            </control>
          </mc:Choice>
        </mc:AlternateContent>
        <mc:AlternateContent xmlns:mc="http://schemas.openxmlformats.org/markup-compatibility/2006">
          <mc:Choice Requires="x14">
            <control shapeId="12354" r:id="rId66" name="Button 66">
              <controlPr defaultSize="0" print="0" autoLine="0" autoPict="0" macro="[0]!ValidateComplexObject">
                <anchor moveWithCells="1" sizeWithCells="1">
                  <from>
                    <xdr:col>8</xdr:col>
                    <xdr:colOff>600075</xdr:colOff>
                    <xdr:row>0</xdr:row>
                    <xdr:rowOff>0</xdr:rowOff>
                  </from>
                  <to>
                    <xdr:col>11</xdr:col>
                    <xdr:colOff>419100</xdr:colOff>
                    <xdr:row>0</xdr:row>
                    <xdr:rowOff>0</xdr:rowOff>
                  </to>
                </anchor>
              </controlPr>
            </control>
          </mc:Choice>
        </mc:AlternateContent>
        <mc:AlternateContent xmlns:mc="http://schemas.openxmlformats.org/markup-compatibility/2006">
          <mc:Choice Requires="x14">
            <control shapeId="12355" r:id="rId67" name="Button 67">
              <controlPr defaultSize="0" print="0" autoLine="0" autoPict="0" macro="[0]!BuildComplexObjectFromSimpleObject">
                <anchor moveWithCells="1" sizeWithCells="1">
                  <from>
                    <xdr:col>5</xdr:col>
                    <xdr:colOff>0</xdr:colOff>
                    <xdr:row>0</xdr:row>
                    <xdr:rowOff>0</xdr:rowOff>
                  </from>
                  <to>
                    <xdr:col>7</xdr:col>
                    <xdr:colOff>428625</xdr:colOff>
                    <xdr:row>0</xdr:row>
                    <xdr:rowOff>0</xdr:rowOff>
                  </to>
                </anchor>
              </controlPr>
            </control>
          </mc:Choice>
        </mc:AlternateContent>
        <mc:AlternateContent xmlns:mc="http://schemas.openxmlformats.org/markup-compatibility/2006">
          <mc:Choice Requires="x14">
            <control shapeId="12356" r:id="rId68" name="Button 68">
              <controlPr defaultSize="0" print="0" autoLine="0" autoPict="0" macro="[0]!ValidateComplexObject">
                <anchor moveWithCells="1" sizeWithCells="1">
                  <from>
                    <xdr:col>8</xdr:col>
                    <xdr:colOff>600075</xdr:colOff>
                    <xdr:row>0</xdr:row>
                    <xdr:rowOff>0</xdr:rowOff>
                  </from>
                  <to>
                    <xdr:col>11</xdr:col>
                    <xdr:colOff>419100</xdr:colOff>
                    <xdr:row>0</xdr:row>
                    <xdr:rowOff>0</xdr:rowOff>
                  </to>
                </anchor>
              </controlPr>
            </control>
          </mc:Choice>
        </mc:AlternateContent>
        <mc:AlternateContent xmlns:mc="http://schemas.openxmlformats.org/markup-compatibility/2006">
          <mc:Choice Requires="x14">
            <control shapeId="12357" r:id="rId69" name="Button 69">
              <controlPr defaultSize="0" print="0" autoLine="0" autoPict="0" macro="[0]!PostEditResultsToSimpleObject">
                <anchor moveWithCells="1" sizeWithCells="1">
                  <from>
                    <xdr:col>13</xdr:col>
                    <xdr:colOff>0</xdr:colOff>
                    <xdr:row>0</xdr:row>
                    <xdr:rowOff>0</xdr:rowOff>
                  </from>
                  <to>
                    <xdr:col>15</xdr:col>
                    <xdr:colOff>428625</xdr:colOff>
                    <xdr:row>0</xdr:row>
                    <xdr:rowOff>0</xdr:rowOff>
                  </to>
                </anchor>
              </controlPr>
            </control>
          </mc:Choice>
        </mc:AlternateContent>
        <mc:AlternateContent xmlns:mc="http://schemas.openxmlformats.org/markup-compatibility/2006">
          <mc:Choice Requires="x14">
            <control shapeId="12358" r:id="rId70" name="Button 70">
              <controlPr defaultSize="0" print="0" autoLine="0" autoPict="0" macro="[0]!BuildComplexObjectFromSimpleObject">
                <anchor moveWithCells="1" sizeWithCells="1">
                  <from>
                    <xdr:col>4</xdr:col>
                    <xdr:colOff>600075</xdr:colOff>
                    <xdr:row>0</xdr:row>
                    <xdr:rowOff>0</xdr:rowOff>
                  </from>
                  <to>
                    <xdr:col>7</xdr:col>
                    <xdr:colOff>419100</xdr:colOff>
                    <xdr:row>0</xdr:row>
                    <xdr:rowOff>0</xdr:rowOff>
                  </to>
                </anchor>
              </controlPr>
            </control>
          </mc:Choice>
        </mc:AlternateContent>
        <mc:AlternateContent xmlns:mc="http://schemas.openxmlformats.org/markup-compatibility/2006">
          <mc:Choice Requires="x14">
            <control shapeId="12359" r:id="rId71" name="Button 71">
              <controlPr defaultSize="0" print="0" autoLine="0" autoPict="0" macro="[0]!ValidateComplexObject">
                <anchor moveWithCells="1" sizeWithCells="1">
                  <from>
                    <xdr:col>8</xdr:col>
                    <xdr:colOff>600075</xdr:colOff>
                    <xdr:row>0</xdr:row>
                    <xdr:rowOff>0</xdr:rowOff>
                  </from>
                  <to>
                    <xdr:col>11</xdr:col>
                    <xdr:colOff>419100</xdr:colOff>
                    <xdr:row>0</xdr:row>
                    <xdr:rowOff>0</xdr:rowOff>
                  </to>
                </anchor>
              </controlPr>
            </control>
          </mc:Choice>
        </mc:AlternateContent>
        <mc:AlternateContent xmlns:mc="http://schemas.openxmlformats.org/markup-compatibility/2006">
          <mc:Choice Requires="x14">
            <control shapeId="12360" r:id="rId72" name="Button 72">
              <controlPr defaultSize="0" print="0" autoLine="0" autoPict="0" macro="[0]!PostEditResultsToSimpleObject">
                <anchor moveWithCells="1" sizeWithCells="1">
                  <from>
                    <xdr:col>13</xdr:col>
                    <xdr:colOff>28575</xdr:colOff>
                    <xdr:row>0</xdr:row>
                    <xdr:rowOff>0</xdr:rowOff>
                  </from>
                  <to>
                    <xdr:col>15</xdr:col>
                    <xdr:colOff>457200</xdr:colOff>
                    <xdr:row>0</xdr:row>
                    <xdr:rowOff>0</xdr:rowOff>
                  </to>
                </anchor>
              </controlPr>
            </control>
          </mc:Choice>
        </mc:AlternateContent>
        <mc:AlternateContent xmlns:mc="http://schemas.openxmlformats.org/markup-compatibility/2006">
          <mc:Choice Requires="x14">
            <control shapeId="12361" r:id="rId73" name="Button 73">
              <controlPr defaultSize="0" print="0" autoLine="0" autoPict="0" macro="[0]!BuildComplexObjectFromSimpleObject">
                <anchor moveWithCells="1" sizeWithCells="1">
                  <from>
                    <xdr:col>4</xdr:col>
                    <xdr:colOff>600075</xdr:colOff>
                    <xdr:row>0</xdr:row>
                    <xdr:rowOff>0</xdr:rowOff>
                  </from>
                  <to>
                    <xdr:col>7</xdr:col>
                    <xdr:colOff>419100</xdr:colOff>
                    <xdr:row>0</xdr:row>
                    <xdr:rowOff>0</xdr:rowOff>
                  </to>
                </anchor>
              </controlPr>
            </control>
          </mc:Choice>
        </mc:AlternateContent>
        <mc:AlternateContent xmlns:mc="http://schemas.openxmlformats.org/markup-compatibility/2006">
          <mc:Choice Requires="x14">
            <control shapeId="12362" r:id="rId74" name="Button 74">
              <controlPr defaultSize="0" print="0" autoLine="0" autoPict="0" macro="[0]!ValidateComplexObject">
                <anchor moveWithCells="1" sizeWithCells="1">
                  <from>
                    <xdr:col>8</xdr:col>
                    <xdr:colOff>600075</xdr:colOff>
                    <xdr:row>0</xdr:row>
                    <xdr:rowOff>0</xdr:rowOff>
                  </from>
                  <to>
                    <xdr:col>11</xdr:col>
                    <xdr:colOff>419100</xdr:colOff>
                    <xdr:row>0</xdr:row>
                    <xdr:rowOff>0</xdr:rowOff>
                  </to>
                </anchor>
              </controlPr>
            </control>
          </mc:Choice>
        </mc:AlternateContent>
        <mc:AlternateContent xmlns:mc="http://schemas.openxmlformats.org/markup-compatibility/2006">
          <mc:Choice Requires="x14">
            <control shapeId="12363" r:id="rId75" name="Button 75">
              <controlPr defaultSize="0" print="0" autoLine="0" autoPict="0" macro="[0]!PostEditResultsToSimpleObject">
                <anchor moveWithCells="1" sizeWithCells="1">
                  <from>
                    <xdr:col>13</xdr:col>
                    <xdr:colOff>28575</xdr:colOff>
                    <xdr:row>0</xdr:row>
                    <xdr:rowOff>0</xdr:rowOff>
                  </from>
                  <to>
                    <xdr:col>15</xdr:col>
                    <xdr:colOff>457200</xdr:colOff>
                    <xdr:row>0</xdr:row>
                    <xdr:rowOff>0</xdr:rowOff>
                  </to>
                </anchor>
              </controlPr>
            </control>
          </mc:Choice>
        </mc:AlternateContent>
        <mc:AlternateContent xmlns:mc="http://schemas.openxmlformats.org/markup-compatibility/2006">
          <mc:Choice Requires="x14">
            <control shapeId="12364" r:id="rId76" name="Button 76">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65" r:id="rId77" name="Button 77">
              <controlPr defaultSize="0" print="0" autoLine="0" autoPict="0" macro="[0]!Validate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66" r:id="rId78" name="Button 78">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67" r:id="rId79" name="Button 79">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68" r:id="rId80" name="Button 80">
              <controlPr defaultSize="0" print="0" autoLine="0" autoPict="0" macro="[0]!Validate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69" r:id="rId81" name="Button 81">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70" r:id="rId82" name="Button 82">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71" r:id="rId83" name="Button 83">
              <controlPr defaultSize="0" print="0" autoLine="0" autoPict="0" macro="[0]!Validate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72" r:id="rId84" name="Button 84">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73" r:id="rId85" name="Button 85">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74" r:id="rId86" name="Button 86">
              <controlPr defaultSize="0" print="0" autoLine="0" autoPict="0" macro="[0]!Validate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75" r:id="rId87" name="Button 87">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76" r:id="rId88" name="Button 88">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77" r:id="rId89" name="Button 89">
              <controlPr defaultSize="0" print="0" autoLine="0" autoPict="0" macro="[0]!Validate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78" r:id="rId90" name="Button 90">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79" r:id="rId91" name="Button 91">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80" r:id="rId92" name="Button 92">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81" r:id="rId93" name="Button 93">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82" r:id="rId94" name="Button 94">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83" r:id="rId95" name="Button 95">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84" r:id="rId96" name="Button 96">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85" r:id="rId97" name="Button 97">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86" r:id="rId98" name="Button 98">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87" r:id="rId99" name="Button 99">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88" r:id="rId100" name="Button 100">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89" r:id="rId101" name="Button 101">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90" r:id="rId102" name="Button 102">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91" r:id="rId103" name="Button 103">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92" r:id="rId104" name="Button 104">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93" r:id="rId105" name="Button 105">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94" r:id="rId106" name="Button 106">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95" r:id="rId107" name="Button 107">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96" r:id="rId108" name="Button 108">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397" r:id="rId109" name="Button 109">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398" r:id="rId110" name="Button 110">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399" r:id="rId111" name="Button 111">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00" r:id="rId112" name="Button 112">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01" r:id="rId113" name="Button 113">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02" r:id="rId114" name="Button 114">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03" r:id="rId115" name="Button 115">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04" r:id="rId116" name="Button 116">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05" r:id="rId117" name="Button 117">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06" r:id="rId118" name="Button 118">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07" r:id="rId119" name="Button 119">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08" r:id="rId120" name="Button 120">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09" r:id="rId121" name="Button 121">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10" r:id="rId122" name="Button 122">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11" r:id="rId123" name="Button 123">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12" r:id="rId124" name="Button 124">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13" r:id="rId125" name="Button 125">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14" r:id="rId126" name="Button 126">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15" r:id="rId127" name="Button 127">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16" r:id="rId128" name="Button 128">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17" r:id="rId129" name="Button 129">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18" r:id="rId130" name="Button 130">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19" r:id="rId131" name="Button 131">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20" r:id="rId132" name="Button 132">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21" r:id="rId133" name="Button 133">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22" r:id="rId134" name="Button 134">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23" r:id="rId135" name="Button 135">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24" r:id="rId136" name="Button 136">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25" r:id="rId137" name="Button 137">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26" r:id="rId138" name="Button 138">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27" r:id="rId139" name="Button 139">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28" r:id="rId140" name="Button 140">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29" r:id="rId141" name="Button 141">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30" r:id="rId142" name="Button 142">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31" r:id="rId143" name="Button 143">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32" r:id="rId144" name="Button 144">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33" r:id="rId145" name="Button 145">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34" r:id="rId146" name="Button 146">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35" r:id="rId147" name="Button 147">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36" r:id="rId148" name="Button 148">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37" r:id="rId149" name="Button 149">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38" r:id="rId150" name="Button 150">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39" r:id="rId151" name="Button 151">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40" r:id="rId152" name="Button 152">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41" r:id="rId153" name="Button 153">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42" r:id="rId154" name="Button 154">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43" r:id="rId155" name="Button 155">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44" r:id="rId156" name="Button 156">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45" r:id="rId157" name="Button 157">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46" r:id="rId158" name="Button 158">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47" r:id="rId159" name="Button 159">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48" r:id="rId160" name="Button 160">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49" r:id="rId161" name="Button 161">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50" r:id="rId162" name="Button 162">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51" r:id="rId163" name="Button 163">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52" r:id="rId164" name="Button 164">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53" r:id="rId165" name="Button 165">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54" r:id="rId166" name="Button 166">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55" r:id="rId167" name="Button 167">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56" r:id="rId168" name="Button 168">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57" r:id="rId169" name="Button 169">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58" r:id="rId170" name="Button 170">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59" r:id="rId171" name="Button 171">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60" r:id="rId172" name="Button 172">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61" r:id="rId173" name="Button 173">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62" r:id="rId174" name="Button 174">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63" r:id="rId175" name="Button 175">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64" r:id="rId176" name="Button 176">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65" r:id="rId177" name="Button 177">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66" r:id="rId178" name="Button 178">
              <controlPr defaultSize="0" print="0" autoLine="0" autoPict="0" macro="[0]!BuildComplexObjectFromSimpleObject">
                <anchor moveWithCells="1" sizeWithCells="1">
                  <from>
                    <xdr:col>4</xdr:col>
                    <xdr:colOff>28575</xdr:colOff>
                    <xdr:row>0</xdr:row>
                    <xdr:rowOff>0</xdr:rowOff>
                  </from>
                  <to>
                    <xdr:col>6</xdr:col>
                    <xdr:colOff>457200</xdr:colOff>
                    <xdr:row>0</xdr:row>
                    <xdr:rowOff>0</xdr:rowOff>
                  </to>
                </anchor>
              </controlPr>
            </control>
          </mc:Choice>
        </mc:AlternateContent>
        <mc:AlternateContent xmlns:mc="http://schemas.openxmlformats.org/markup-compatibility/2006">
          <mc:Choice Requires="x14">
            <control shapeId="12467" r:id="rId179" name="Button 179">
              <controlPr defaultSize="0" print="0" autoLine="0" autoPict="0" macro="[0]!EditLoadComplexObject">
                <anchor moveWithCells="1" sizeWithCells="1">
                  <from>
                    <xdr:col>7</xdr:col>
                    <xdr:colOff>9525</xdr:colOff>
                    <xdr:row>0</xdr:row>
                    <xdr:rowOff>0</xdr:rowOff>
                  </from>
                  <to>
                    <xdr:col>9</xdr:col>
                    <xdr:colOff>438150</xdr:colOff>
                    <xdr:row>0</xdr:row>
                    <xdr:rowOff>0</xdr:rowOff>
                  </to>
                </anchor>
              </controlPr>
            </control>
          </mc:Choice>
        </mc:AlternateContent>
        <mc:AlternateContent xmlns:mc="http://schemas.openxmlformats.org/markup-compatibility/2006">
          <mc:Choice Requires="x14">
            <control shapeId="12468" r:id="rId180" name="Button 180">
              <controlPr defaultSize="0" print="0" autoLine="0" autoPict="0" macro="[0]!PostEditResultsToSimpleObject">
                <anchor moveWithCells="1" sizeWithCells="1">
                  <from>
                    <xdr:col>10</xdr:col>
                    <xdr:colOff>9525</xdr:colOff>
                    <xdr:row>0</xdr:row>
                    <xdr:rowOff>0</xdr:rowOff>
                  </from>
                  <to>
                    <xdr:col>12</xdr:col>
                    <xdr:colOff>438150</xdr:colOff>
                    <xdr:row>0</xdr:row>
                    <xdr:rowOff>0</xdr:rowOff>
                  </to>
                </anchor>
              </controlPr>
            </control>
          </mc:Choice>
        </mc:AlternateContent>
        <mc:AlternateContent xmlns:mc="http://schemas.openxmlformats.org/markup-compatibility/2006">
          <mc:Choice Requires="x14">
            <control shapeId="12469" r:id="rId181" name="Button 181">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70" r:id="rId182" name="Button 182">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71" r:id="rId183" name="Button 183">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72" r:id="rId184" name="Button 184">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73" r:id="rId185" name="Button 185">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74" r:id="rId186" name="Button 186">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75" r:id="rId187" name="Button 187">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76" r:id="rId188" name="Button 188">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77" r:id="rId189" name="Button 189">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78" r:id="rId190" name="Button 190">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79" r:id="rId191" name="Button 191">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80" r:id="rId192" name="Button 192">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81" r:id="rId193" name="Button 193">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82" r:id="rId194" name="Button 194">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83" r:id="rId195" name="Button 195">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84" r:id="rId196" name="Button 196">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85" r:id="rId197" name="Button 197">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86" r:id="rId198" name="Button 198">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87" r:id="rId199" name="Button 199">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88" r:id="rId200" name="Button 200">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89" r:id="rId201" name="Button 201">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90" r:id="rId202" name="Button 202">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91" r:id="rId203" name="Button 203">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92" r:id="rId204" name="Button 204">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93" r:id="rId205" name="Button 205">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94" r:id="rId206" name="Button 206">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95" r:id="rId207" name="Button 207">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96" r:id="rId208" name="Button 208">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497" r:id="rId209" name="Button 209">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498" r:id="rId210" name="Button 210">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499" r:id="rId211" name="Button 211">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00" r:id="rId212" name="Button 212">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01" r:id="rId213" name="Button 213">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02" r:id="rId214" name="Button 214">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03" r:id="rId215" name="Button 215">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04" r:id="rId216" name="Button 216">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05" r:id="rId217" name="Button 217">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06" r:id="rId218" name="Button 218">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07" r:id="rId219" name="Button 219">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08" r:id="rId220" name="Button 220">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09" r:id="rId221" name="Button 221">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10" r:id="rId222" name="Button 222">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11" r:id="rId223" name="Button 223">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12" r:id="rId224" name="Button 224">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13" r:id="rId225" name="Button 225">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14" r:id="rId226" name="Button 226">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15" r:id="rId227" name="Button 227">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16" r:id="rId228" name="Button 228">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17" r:id="rId229" name="Button 229">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18" r:id="rId230" name="Button 230">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19" r:id="rId231" name="Button 231">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20" r:id="rId232" name="Button 232">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21" r:id="rId233" name="Button 233">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22" r:id="rId234" name="Button 234">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23" r:id="rId235" name="Button 235">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24" r:id="rId236" name="Button 236">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25" r:id="rId237" name="Button 237">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26" r:id="rId238" name="Button 238">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27" r:id="rId239" name="Button 239">
              <controlPr defaultSize="0" print="0" autoLine="0" autoPict="0" macro="[0]!EditLoadComplexObject">
                <anchor moveWithCells="1" sizeWithCells="1">
                  <from>
                    <xdr:col>9</xdr:col>
                    <xdr:colOff>161925</xdr:colOff>
                    <xdr:row>0</xdr:row>
                    <xdr:rowOff>0</xdr:rowOff>
                  </from>
                  <to>
                    <xdr:col>11</xdr:col>
                    <xdr:colOff>590550</xdr:colOff>
                    <xdr:row>0</xdr:row>
                    <xdr:rowOff>0</xdr:rowOff>
                  </to>
                </anchor>
              </controlPr>
            </control>
          </mc:Choice>
        </mc:AlternateContent>
        <mc:AlternateContent xmlns:mc="http://schemas.openxmlformats.org/markup-compatibility/2006">
          <mc:Choice Requires="x14">
            <control shapeId="12528" r:id="rId240" name="Button 240">
              <controlPr defaultSize="0" print="0" autoLine="0" autoPict="0" macro="[0]!PostEditResultsToSimpleObject">
                <anchor moveWithCells="1" sizeWithCells="1">
                  <from>
                    <xdr:col>12</xdr:col>
                    <xdr:colOff>161925</xdr:colOff>
                    <xdr:row>0</xdr:row>
                    <xdr:rowOff>0</xdr:rowOff>
                  </from>
                  <to>
                    <xdr:col>14</xdr:col>
                    <xdr:colOff>590550</xdr:colOff>
                    <xdr:row>0</xdr:row>
                    <xdr:rowOff>0</xdr:rowOff>
                  </to>
                </anchor>
              </controlPr>
            </control>
          </mc:Choice>
        </mc:AlternateContent>
        <mc:AlternateContent xmlns:mc="http://schemas.openxmlformats.org/markup-compatibility/2006">
          <mc:Choice Requires="x14">
            <control shapeId="12529" r:id="rId241" name="Button 241">
              <controlPr defaultSize="0" print="0" autoLine="0" autoPict="0" macro="[0]!BuildComplexObjectFromSimpleObject">
                <anchor moveWithCells="1" sizeWithCells="1">
                  <from>
                    <xdr:col>6</xdr:col>
                    <xdr:colOff>85725</xdr:colOff>
                    <xdr:row>0</xdr:row>
                    <xdr:rowOff>0</xdr:rowOff>
                  </from>
                  <to>
                    <xdr:col>8</xdr:col>
                    <xdr:colOff>514350</xdr:colOff>
                    <xdr:row>0</xdr:row>
                    <xdr:rowOff>0</xdr:rowOff>
                  </to>
                </anchor>
              </controlPr>
            </control>
          </mc:Choice>
        </mc:AlternateContent>
        <mc:AlternateContent xmlns:mc="http://schemas.openxmlformats.org/markup-compatibility/2006">
          <mc:Choice Requires="x14">
            <control shapeId="12530" r:id="rId242" name="Button 242">
              <controlPr defaultSize="0" print="0" autoLine="0" autoPict="0" macro="[0]!CreateTemplateFromCIDef">
                <anchor moveWithCells="1" sizeWithCells="1">
                  <from>
                    <xdr:col>9</xdr:col>
                    <xdr:colOff>285750</xdr:colOff>
                    <xdr:row>0</xdr:row>
                    <xdr:rowOff>0</xdr:rowOff>
                  </from>
                  <to>
                    <xdr:col>12</xdr:col>
                    <xdr:colOff>104775</xdr:colOff>
                    <xdr:row>0</xdr:row>
                    <xdr:rowOff>0</xdr:rowOff>
                  </to>
                </anchor>
              </controlPr>
            </control>
          </mc:Choice>
        </mc:AlternateContent>
        <mc:AlternateContent xmlns:mc="http://schemas.openxmlformats.org/markup-compatibility/2006">
          <mc:Choice Requires="x14">
            <control shapeId="12531" r:id="rId243" name="Button 243">
              <controlPr defaultSize="0" print="0" autoLine="0" autoPict="0" macro="[0]!PostEditResultsToSimpleObject">
                <anchor moveWithCells="1" sizeWithCells="1">
                  <from>
                    <xdr:col>13</xdr:col>
                    <xdr:colOff>285750</xdr:colOff>
                    <xdr:row>0</xdr:row>
                    <xdr:rowOff>0</xdr:rowOff>
                  </from>
                  <to>
                    <xdr:col>16</xdr:col>
                    <xdr:colOff>104775</xdr:colOff>
                    <xdr:row>0</xdr:row>
                    <xdr:rowOff>0</xdr:rowOff>
                  </to>
                </anchor>
              </controlPr>
            </control>
          </mc:Choice>
        </mc:AlternateContent>
        <mc:AlternateContent xmlns:mc="http://schemas.openxmlformats.org/markup-compatibility/2006">
          <mc:Choice Requires="x14">
            <control shapeId="12532" r:id="rId244" name="Button 244">
              <controlPr defaultSize="0" print="0" autoLine="0" autoPict="0" macro="[0]!HighlightTemplateFields">
                <anchor moveWithCells="1" sizeWithCells="1">
                  <from>
                    <xdr:col>10</xdr:col>
                    <xdr:colOff>180975</xdr:colOff>
                    <xdr:row>0</xdr:row>
                    <xdr:rowOff>0</xdr:rowOff>
                  </from>
                  <to>
                    <xdr:col>13</xdr:col>
                    <xdr:colOff>0</xdr:colOff>
                    <xdr:row>0</xdr:row>
                    <xdr:rowOff>0</xdr:rowOff>
                  </to>
                </anchor>
              </controlPr>
            </control>
          </mc:Choice>
        </mc:AlternateContent>
        <mc:AlternateContent xmlns:mc="http://schemas.openxmlformats.org/markup-compatibility/2006">
          <mc:Choice Requires="x14">
            <control shapeId="12533" r:id="rId245" name="Button 245">
              <controlPr defaultSize="0" print="0" autoLine="0" autoPict="0" macro="[0]!HighlightTemplateFields">
                <anchor moveWithCells="1" sizeWithCells="1">
                  <from>
                    <xdr:col>14</xdr:col>
                    <xdr:colOff>180975</xdr:colOff>
                    <xdr:row>0</xdr:row>
                    <xdr:rowOff>0</xdr:rowOff>
                  </from>
                  <to>
                    <xdr:col>17</xdr:col>
                    <xdr:colOff>0</xdr:colOff>
                    <xdr:row>0</xdr:row>
                    <xdr:rowOff>0</xdr:rowOff>
                  </to>
                </anchor>
              </controlPr>
            </control>
          </mc:Choice>
        </mc:AlternateContent>
        <mc:AlternateContent xmlns:mc="http://schemas.openxmlformats.org/markup-compatibility/2006">
          <mc:Choice Requires="x14">
            <control shapeId="12534" r:id="rId246" name="Button 246">
              <controlPr defaultSize="0" print="0" autoLine="0" autoPict="0" macro="[0]!EditLoadComplexObject">
                <anchor moveWithCells="1" sizeWithCells="1">
                  <from>
                    <xdr:col>10</xdr:col>
                    <xdr:colOff>180975</xdr:colOff>
                    <xdr:row>0</xdr:row>
                    <xdr:rowOff>0</xdr:rowOff>
                  </from>
                  <to>
                    <xdr:col>13</xdr:col>
                    <xdr:colOff>0</xdr:colOff>
                    <xdr:row>0</xdr:row>
                    <xdr:rowOff>0</xdr:rowOff>
                  </to>
                </anchor>
              </controlPr>
            </control>
          </mc:Choice>
        </mc:AlternateContent>
        <mc:AlternateContent xmlns:mc="http://schemas.openxmlformats.org/markup-compatibility/2006">
          <mc:Choice Requires="x14">
            <control shapeId="12535" r:id="rId247" name="Button 247">
              <controlPr defaultSize="0" print="0" autoLine="0" autoPict="0" macro="[0]!PostEditResultsToSimpleObject">
                <anchor moveWithCells="1" sizeWithCells="1">
                  <from>
                    <xdr:col>14</xdr:col>
                    <xdr:colOff>180975</xdr:colOff>
                    <xdr:row>0</xdr:row>
                    <xdr:rowOff>0</xdr:rowOff>
                  </from>
                  <to>
                    <xdr:col>17</xdr:col>
                    <xdr:colOff>0</xdr:colOff>
                    <xdr:row>0</xdr:row>
                    <xdr:rowOff>0</xdr:rowOff>
                  </to>
                </anchor>
              </controlPr>
            </control>
          </mc:Choice>
        </mc:AlternateContent>
        <mc:AlternateContent xmlns:mc="http://schemas.openxmlformats.org/markup-compatibility/2006">
          <mc:Choice Requires="x14">
            <control shapeId="12536" r:id="rId248" name="Button 248">
              <controlPr defaultSize="0" print="0" autoLine="0" autoPict="0" macro="[0]!BuildComplexObjectFromSimpleObject">
                <anchor moveWithCells="1" sizeWithCells="1">
                  <from>
                    <xdr:col>6</xdr:col>
                    <xdr:colOff>180975</xdr:colOff>
                    <xdr:row>0</xdr:row>
                    <xdr:rowOff>0</xdr:rowOff>
                  </from>
                  <to>
                    <xdr:col>9</xdr:col>
                    <xdr:colOff>0</xdr:colOff>
                    <xdr:row>0</xdr:row>
                    <xdr:rowOff>0</xdr:rowOff>
                  </to>
                </anchor>
              </controlPr>
            </control>
          </mc:Choice>
        </mc:AlternateContent>
        <mc:AlternateContent xmlns:mc="http://schemas.openxmlformats.org/markup-compatibility/2006">
          <mc:Choice Requires="x14">
            <control shapeId="12537" r:id="rId249" name="Button 249">
              <controlPr defaultSize="0" print="0" autoLine="0" autoPict="0" macro="[0]!SelectDataInputPage">
                <anchor moveWithCells="1" sizeWithCells="1">
                  <from>
                    <xdr:col>0</xdr:col>
                    <xdr:colOff>28575</xdr:colOff>
                    <xdr:row>0</xdr:row>
                    <xdr:rowOff>0</xdr:rowOff>
                  </from>
                  <to>
                    <xdr:col>1</xdr:col>
                    <xdr:colOff>514350</xdr:colOff>
                    <xdr:row>0</xdr:row>
                    <xdr:rowOff>0</xdr:rowOff>
                  </to>
                </anchor>
              </controlPr>
            </control>
          </mc:Choice>
        </mc:AlternateContent>
        <mc:AlternateContent xmlns:mc="http://schemas.openxmlformats.org/markup-compatibility/2006">
          <mc:Choice Requires="x14">
            <control shapeId="12538" r:id="rId250" name="Button 250">
              <controlPr defaultSize="0" print="0" autoLine="0" autoPict="0" macro="[0]!SelectSubmitPage">
                <anchor moveWithCells="1" sizeWithCells="1">
                  <from>
                    <xdr:col>1</xdr:col>
                    <xdr:colOff>590550</xdr:colOff>
                    <xdr:row>0</xdr:row>
                    <xdr:rowOff>0</xdr:rowOff>
                  </from>
                  <to>
                    <xdr:col>4</xdr:col>
                    <xdr:colOff>0</xdr:colOff>
                    <xdr:row>0</xdr:row>
                    <xdr:rowOff>0</xdr:rowOff>
                  </to>
                </anchor>
              </controlPr>
            </control>
          </mc:Choice>
        </mc:AlternateContent>
        <mc:AlternateContent xmlns:mc="http://schemas.openxmlformats.org/markup-compatibility/2006">
          <mc:Choice Requires="x14">
            <control shapeId="12539" r:id="rId251" name="Button 251">
              <controlPr defaultSize="0" print="0" autoLine="0" autoPict="0" macro="[0]!getLoginInformation">
                <anchor moveWithCells="1" sizeWithCells="1">
                  <from>
                    <xdr:col>4</xdr:col>
                    <xdr:colOff>19050</xdr:colOff>
                    <xdr:row>0</xdr:row>
                    <xdr:rowOff>0</xdr:rowOff>
                  </from>
                  <to>
                    <xdr:col>6</xdr:col>
                    <xdr:colOff>38100</xdr:colOff>
                    <xdr:row>0</xdr:row>
                    <xdr:rowOff>0</xdr:rowOff>
                  </to>
                </anchor>
              </controlPr>
            </control>
          </mc:Choice>
        </mc:AlternateContent>
        <mc:AlternateContent xmlns:mc="http://schemas.openxmlformats.org/markup-compatibility/2006">
          <mc:Choice Requires="x14">
            <control shapeId="12540" r:id="rId252" name="Button 252">
              <controlPr defaultSize="0" print="0" autoLine="0" autoPict="0" macro="[0]!SelectTemplatePage">
                <anchor moveWithCells="1" sizeWithCells="1">
                  <from>
                    <xdr:col>6</xdr:col>
                    <xdr:colOff>95250</xdr:colOff>
                    <xdr:row>0</xdr:row>
                    <xdr:rowOff>0</xdr:rowOff>
                  </from>
                  <to>
                    <xdr:col>8</xdr:col>
                    <xdr:colOff>152400</xdr:colOff>
                    <xdr:row>0</xdr:row>
                    <xdr:rowOff>0</xdr:rowOff>
                  </to>
                </anchor>
              </controlPr>
            </control>
          </mc:Choice>
        </mc:AlternateContent>
        <mc:AlternateContent xmlns:mc="http://schemas.openxmlformats.org/markup-compatibility/2006">
          <mc:Choice Requires="x14">
            <control shapeId="12541" r:id="rId253" name="Button 253">
              <controlPr defaultSize="0" print="0" autoLine="0" autoPict="0" macro="[0]!CloseTheTool">
                <anchor moveWithCells="1" sizeWithCells="1">
                  <from>
                    <xdr:col>8</xdr:col>
                    <xdr:colOff>219075</xdr:colOff>
                    <xdr:row>0</xdr:row>
                    <xdr:rowOff>0</xdr:rowOff>
                  </from>
                  <to>
                    <xdr:col>10</xdr:col>
                    <xdr:colOff>276225</xdr:colOff>
                    <xdr:row>0</xdr:row>
                    <xdr:rowOff>0</xdr:rowOff>
                  </to>
                </anchor>
              </controlPr>
            </control>
          </mc:Choice>
        </mc:AlternateContent>
        <mc:AlternateContent xmlns:mc="http://schemas.openxmlformats.org/markup-compatibility/2006">
          <mc:Choice Requires="x14">
            <control shapeId="12542" r:id="rId254" name="Button 254">
              <controlPr defaultSize="0" print="0" autoLine="0" autoPict="0" macro="[0]!SelectNotepad">
                <anchor moveWithCells="1" sizeWithCells="1">
                  <from>
                    <xdr:col>10</xdr:col>
                    <xdr:colOff>333375</xdr:colOff>
                    <xdr:row>0</xdr:row>
                    <xdr:rowOff>0</xdr:rowOff>
                  </from>
                  <to>
                    <xdr:col>12</xdr:col>
                    <xdr:colOff>390525</xdr:colOff>
                    <xdr:row>0</xdr:row>
                    <xdr:rowOff>0</xdr:rowOff>
                  </to>
                </anchor>
              </controlPr>
            </control>
          </mc:Choice>
        </mc:AlternateContent>
        <mc:AlternateContent xmlns:mc="http://schemas.openxmlformats.org/markup-compatibility/2006">
          <mc:Choice Requires="x14">
            <control shapeId="12543" r:id="rId255" name="Button 255">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44" r:id="rId256" name="Button 256">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45" r:id="rId257" name="Button 257">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46" r:id="rId258" name="Button 258">
              <controlPr defaultSize="0" print="0" autoLine="0" autoPict="0" macro="[0]!SelectDataInputPage">
                <anchor moveWithCells="1" sizeWithCells="1">
                  <from>
                    <xdr:col>0</xdr:col>
                    <xdr:colOff>28575</xdr:colOff>
                    <xdr:row>0</xdr:row>
                    <xdr:rowOff>0</xdr:rowOff>
                  </from>
                  <to>
                    <xdr:col>1</xdr:col>
                    <xdr:colOff>514350</xdr:colOff>
                    <xdr:row>0</xdr:row>
                    <xdr:rowOff>0</xdr:rowOff>
                  </to>
                </anchor>
              </controlPr>
            </control>
          </mc:Choice>
        </mc:AlternateContent>
        <mc:AlternateContent xmlns:mc="http://schemas.openxmlformats.org/markup-compatibility/2006">
          <mc:Choice Requires="x14">
            <control shapeId="12547" r:id="rId259" name="Button 259">
              <controlPr defaultSize="0" print="0" autoLine="0" autoPict="0" macro="[0]!SelectSubmitPage">
                <anchor moveWithCells="1" sizeWithCells="1">
                  <from>
                    <xdr:col>1</xdr:col>
                    <xdr:colOff>590550</xdr:colOff>
                    <xdr:row>0</xdr:row>
                    <xdr:rowOff>0</xdr:rowOff>
                  </from>
                  <to>
                    <xdr:col>4</xdr:col>
                    <xdr:colOff>0</xdr:colOff>
                    <xdr:row>0</xdr:row>
                    <xdr:rowOff>0</xdr:rowOff>
                  </to>
                </anchor>
              </controlPr>
            </control>
          </mc:Choice>
        </mc:AlternateContent>
        <mc:AlternateContent xmlns:mc="http://schemas.openxmlformats.org/markup-compatibility/2006">
          <mc:Choice Requires="x14">
            <control shapeId="12548" r:id="rId260" name="Button 260">
              <controlPr defaultSize="0" print="0" autoLine="0" autoPict="0" macro="[0]!getLoginInformation">
                <anchor moveWithCells="1" sizeWithCells="1">
                  <from>
                    <xdr:col>4</xdr:col>
                    <xdr:colOff>19050</xdr:colOff>
                    <xdr:row>0</xdr:row>
                    <xdr:rowOff>0</xdr:rowOff>
                  </from>
                  <to>
                    <xdr:col>6</xdr:col>
                    <xdr:colOff>38100</xdr:colOff>
                    <xdr:row>0</xdr:row>
                    <xdr:rowOff>0</xdr:rowOff>
                  </to>
                </anchor>
              </controlPr>
            </control>
          </mc:Choice>
        </mc:AlternateContent>
        <mc:AlternateContent xmlns:mc="http://schemas.openxmlformats.org/markup-compatibility/2006">
          <mc:Choice Requires="x14">
            <control shapeId="12549" r:id="rId261" name="Button 261">
              <controlPr defaultSize="0" print="0" autoLine="0" autoPict="0" macro="[0]!SelectTemplatePage">
                <anchor moveWithCells="1" sizeWithCells="1">
                  <from>
                    <xdr:col>6</xdr:col>
                    <xdr:colOff>95250</xdr:colOff>
                    <xdr:row>0</xdr:row>
                    <xdr:rowOff>0</xdr:rowOff>
                  </from>
                  <to>
                    <xdr:col>8</xdr:col>
                    <xdr:colOff>152400</xdr:colOff>
                    <xdr:row>0</xdr:row>
                    <xdr:rowOff>0</xdr:rowOff>
                  </to>
                </anchor>
              </controlPr>
            </control>
          </mc:Choice>
        </mc:AlternateContent>
        <mc:AlternateContent xmlns:mc="http://schemas.openxmlformats.org/markup-compatibility/2006">
          <mc:Choice Requires="x14">
            <control shapeId="12550" r:id="rId262" name="Button 262">
              <controlPr defaultSize="0" print="0" autoLine="0" autoPict="0" macro="[0]!CloseTheTool">
                <anchor moveWithCells="1" sizeWithCells="1">
                  <from>
                    <xdr:col>8</xdr:col>
                    <xdr:colOff>219075</xdr:colOff>
                    <xdr:row>0</xdr:row>
                    <xdr:rowOff>0</xdr:rowOff>
                  </from>
                  <to>
                    <xdr:col>10</xdr:col>
                    <xdr:colOff>276225</xdr:colOff>
                    <xdr:row>0</xdr:row>
                    <xdr:rowOff>0</xdr:rowOff>
                  </to>
                </anchor>
              </controlPr>
            </control>
          </mc:Choice>
        </mc:AlternateContent>
        <mc:AlternateContent xmlns:mc="http://schemas.openxmlformats.org/markup-compatibility/2006">
          <mc:Choice Requires="x14">
            <control shapeId="12551" r:id="rId263" name="Button 263">
              <controlPr defaultSize="0" print="0" autoLine="0" autoPict="0" macro="[0]!SelectNotepad">
                <anchor moveWithCells="1" sizeWithCells="1">
                  <from>
                    <xdr:col>10</xdr:col>
                    <xdr:colOff>333375</xdr:colOff>
                    <xdr:row>0</xdr:row>
                    <xdr:rowOff>0</xdr:rowOff>
                  </from>
                  <to>
                    <xdr:col>12</xdr:col>
                    <xdr:colOff>390525</xdr:colOff>
                    <xdr:row>0</xdr:row>
                    <xdr:rowOff>0</xdr:rowOff>
                  </to>
                </anchor>
              </controlPr>
            </control>
          </mc:Choice>
        </mc:AlternateContent>
        <mc:AlternateContent xmlns:mc="http://schemas.openxmlformats.org/markup-compatibility/2006">
          <mc:Choice Requires="x14">
            <control shapeId="12552" r:id="rId264" name="Button 264">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53" r:id="rId265" name="Button 265">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54" r:id="rId266" name="Button 266">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55" r:id="rId267" name="Button 267">
              <controlPr defaultSize="0" print="0" autoLine="0" autoPict="0" macro="[0]!SelectDataInputPage">
                <anchor moveWithCells="1" sizeWithCells="1">
                  <from>
                    <xdr:col>0</xdr:col>
                    <xdr:colOff>28575</xdr:colOff>
                    <xdr:row>0</xdr:row>
                    <xdr:rowOff>0</xdr:rowOff>
                  </from>
                  <to>
                    <xdr:col>1</xdr:col>
                    <xdr:colOff>514350</xdr:colOff>
                    <xdr:row>0</xdr:row>
                    <xdr:rowOff>0</xdr:rowOff>
                  </to>
                </anchor>
              </controlPr>
            </control>
          </mc:Choice>
        </mc:AlternateContent>
        <mc:AlternateContent xmlns:mc="http://schemas.openxmlformats.org/markup-compatibility/2006">
          <mc:Choice Requires="x14">
            <control shapeId="12556" r:id="rId268" name="Button 268">
              <controlPr defaultSize="0" print="0" autoLine="0" autoPict="0" macro="[0]!SelectSubmitPage">
                <anchor moveWithCells="1" sizeWithCells="1">
                  <from>
                    <xdr:col>1</xdr:col>
                    <xdr:colOff>590550</xdr:colOff>
                    <xdr:row>0</xdr:row>
                    <xdr:rowOff>0</xdr:rowOff>
                  </from>
                  <to>
                    <xdr:col>4</xdr:col>
                    <xdr:colOff>0</xdr:colOff>
                    <xdr:row>0</xdr:row>
                    <xdr:rowOff>0</xdr:rowOff>
                  </to>
                </anchor>
              </controlPr>
            </control>
          </mc:Choice>
        </mc:AlternateContent>
        <mc:AlternateContent xmlns:mc="http://schemas.openxmlformats.org/markup-compatibility/2006">
          <mc:Choice Requires="x14">
            <control shapeId="12557" r:id="rId269" name="Button 269">
              <controlPr defaultSize="0" print="0" autoLine="0" autoPict="0" macro="[0]!getLoginInformation">
                <anchor moveWithCells="1" sizeWithCells="1">
                  <from>
                    <xdr:col>4</xdr:col>
                    <xdr:colOff>19050</xdr:colOff>
                    <xdr:row>0</xdr:row>
                    <xdr:rowOff>0</xdr:rowOff>
                  </from>
                  <to>
                    <xdr:col>6</xdr:col>
                    <xdr:colOff>38100</xdr:colOff>
                    <xdr:row>0</xdr:row>
                    <xdr:rowOff>0</xdr:rowOff>
                  </to>
                </anchor>
              </controlPr>
            </control>
          </mc:Choice>
        </mc:AlternateContent>
        <mc:AlternateContent xmlns:mc="http://schemas.openxmlformats.org/markup-compatibility/2006">
          <mc:Choice Requires="x14">
            <control shapeId="12558" r:id="rId270" name="Button 270">
              <controlPr defaultSize="0" print="0" autoLine="0" autoPict="0" macro="[0]!SelectTemplatePage">
                <anchor moveWithCells="1" sizeWithCells="1">
                  <from>
                    <xdr:col>6</xdr:col>
                    <xdr:colOff>95250</xdr:colOff>
                    <xdr:row>0</xdr:row>
                    <xdr:rowOff>0</xdr:rowOff>
                  </from>
                  <to>
                    <xdr:col>8</xdr:col>
                    <xdr:colOff>152400</xdr:colOff>
                    <xdr:row>0</xdr:row>
                    <xdr:rowOff>0</xdr:rowOff>
                  </to>
                </anchor>
              </controlPr>
            </control>
          </mc:Choice>
        </mc:AlternateContent>
        <mc:AlternateContent xmlns:mc="http://schemas.openxmlformats.org/markup-compatibility/2006">
          <mc:Choice Requires="x14">
            <control shapeId="12559" r:id="rId271" name="Button 271">
              <controlPr defaultSize="0" print="0" autoLine="0" autoPict="0" macro="[0]!CloseTheTool">
                <anchor moveWithCells="1" sizeWithCells="1">
                  <from>
                    <xdr:col>8</xdr:col>
                    <xdr:colOff>219075</xdr:colOff>
                    <xdr:row>0</xdr:row>
                    <xdr:rowOff>0</xdr:rowOff>
                  </from>
                  <to>
                    <xdr:col>10</xdr:col>
                    <xdr:colOff>276225</xdr:colOff>
                    <xdr:row>0</xdr:row>
                    <xdr:rowOff>0</xdr:rowOff>
                  </to>
                </anchor>
              </controlPr>
            </control>
          </mc:Choice>
        </mc:AlternateContent>
        <mc:AlternateContent xmlns:mc="http://schemas.openxmlformats.org/markup-compatibility/2006">
          <mc:Choice Requires="x14">
            <control shapeId="12560" r:id="rId272" name="Button 272">
              <controlPr defaultSize="0" print="0" autoLine="0" autoPict="0" macro="[0]!SelectNotepad">
                <anchor moveWithCells="1" sizeWithCells="1">
                  <from>
                    <xdr:col>10</xdr:col>
                    <xdr:colOff>333375</xdr:colOff>
                    <xdr:row>0</xdr:row>
                    <xdr:rowOff>0</xdr:rowOff>
                  </from>
                  <to>
                    <xdr:col>12</xdr:col>
                    <xdr:colOff>390525</xdr:colOff>
                    <xdr:row>0</xdr:row>
                    <xdr:rowOff>0</xdr:rowOff>
                  </to>
                </anchor>
              </controlPr>
            </control>
          </mc:Choice>
        </mc:AlternateContent>
        <mc:AlternateContent xmlns:mc="http://schemas.openxmlformats.org/markup-compatibility/2006">
          <mc:Choice Requires="x14">
            <control shapeId="12561" r:id="rId273" name="Button 273">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62" r:id="rId274" name="Button 274">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63" r:id="rId275" name="Button 275">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64" r:id="rId276" name="Button 276">
              <controlPr defaultSize="0" print="0" autoLine="0" autoPict="0" macro="[0]!SelectDataInputPage">
                <anchor moveWithCells="1" sizeWithCells="1">
                  <from>
                    <xdr:col>0</xdr:col>
                    <xdr:colOff>28575</xdr:colOff>
                    <xdr:row>0</xdr:row>
                    <xdr:rowOff>0</xdr:rowOff>
                  </from>
                  <to>
                    <xdr:col>1</xdr:col>
                    <xdr:colOff>514350</xdr:colOff>
                    <xdr:row>0</xdr:row>
                    <xdr:rowOff>0</xdr:rowOff>
                  </to>
                </anchor>
              </controlPr>
            </control>
          </mc:Choice>
        </mc:AlternateContent>
        <mc:AlternateContent xmlns:mc="http://schemas.openxmlformats.org/markup-compatibility/2006">
          <mc:Choice Requires="x14">
            <control shapeId="12565" r:id="rId277" name="Button 277">
              <controlPr defaultSize="0" print="0" autoLine="0" autoPict="0" macro="[0]!SelectSubmitPage">
                <anchor moveWithCells="1" sizeWithCells="1">
                  <from>
                    <xdr:col>1</xdr:col>
                    <xdr:colOff>533400</xdr:colOff>
                    <xdr:row>0</xdr:row>
                    <xdr:rowOff>0</xdr:rowOff>
                  </from>
                  <to>
                    <xdr:col>3</xdr:col>
                    <xdr:colOff>590550</xdr:colOff>
                    <xdr:row>0</xdr:row>
                    <xdr:rowOff>0</xdr:rowOff>
                  </to>
                </anchor>
              </controlPr>
            </control>
          </mc:Choice>
        </mc:AlternateContent>
        <mc:AlternateContent xmlns:mc="http://schemas.openxmlformats.org/markup-compatibility/2006">
          <mc:Choice Requires="x14">
            <control shapeId="12566" r:id="rId278" name="Button 278">
              <controlPr defaultSize="0" print="0" autoLine="0" autoPict="0" macro="[0]!getLoginInformation">
                <anchor moveWithCells="1" sizeWithCells="1">
                  <from>
                    <xdr:col>3</xdr:col>
                    <xdr:colOff>638175</xdr:colOff>
                    <xdr:row>0</xdr:row>
                    <xdr:rowOff>0</xdr:rowOff>
                  </from>
                  <to>
                    <xdr:col>5</xdr:col>
                    <xdr:colOff>600075</xdr:colOff>
                    <xdr:row>0</xdr:row>
                    <xdr:rowOff>0</xdr:rowOff>
                  </to>
                </anchor>
              </controlPr>
            </control>
          </mc:Choice>
        </mc:AlternateContent>
        <mc:AlternateContent xmlns:mc="http://schemas.openxmlformats.org/markup-compatibility/2006">
          <mc:Choice Requires="x14">
            <control shapeId="12567" r:id="rId279" name="Button 279">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568" r:id="rId280" name="Button 280">
              <controlPr defaultSize="0" print="0" autoLine="0" autoPict="0" macro="[0]!CloseTheTool">
                <anchor moveWithCells="1" sizeWithCells="1">
                  <from>
                    <xdr:col>8</xdr:col>
                    <xdr:colOff>85725</xdr:colOff>
                    <xdr:row>0</xdr:row>
                    <xdr:rowOff>0</xdr:rowOff>
                  </from>
                  <to>
                    <xdr:col>10</xdr:col>
                    <xdr:colOff>142875</xdr:colOff>
                    <xdr:row>0</xdr:row>
                    <xdr:rowOff>0</xdr:rowOff>
                  </to>
                </anchor>
              </controlPr>
            </control>
          </mc:Choice>
        </mc:AlternateContent>
        <mc:AlternateContent xmlns:mc="http://schemas.openxmlformats.org/markup-compatibility/2006">
          <mc:Choice Requires="x14">
            <control shapeId="12569" r:id="rId281" name="Button 281">
              <controlPr defaultSize="0" print="0" autoLine="0" autoPict="0" macro="[0]!SelectNotepad">
                <anchor moveWithCells="1" sizeWithCells="1">
                  <from>
                    <xdr:col>10</xdr:col>
                    <xdr:colOff>152400</xdr:colOff>
                    <xdr:row>0</xdr:row>
                    <xdr:rowOff>0</xdr:rowOff>
                  </from>
                  <to>
                    <xdr:col>12</xdr:col>
                    <xdr:colOff>209550</xdr:colOff>
                    <xdr:row>0</xdr:row>
                    <xdr:rowOff>0</xdr:rowOff>
                  </to>
                </anchor>
              </controlPr>
            </control>
          </mc:Choice>
        </mc:AlternateContent>
        <mc:AlternateContent xmlns:mc="http://schemas.openxmlformats.org/markup-compatibility/2006">
          <mc:Choice Requires="x14">
            <control shapeId="12570" r:id="rId282" name="Button 282">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71" r:id="rId283" name="Button 283">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72" r:id="rId284" name="Button 284">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73" r:id="rId285" name="Button 285">
              <controlPr defaultSize="0" print="0" autoLine="0" autoPict="0" macro="[0]!SelectSubmitPage">
                <anchor moveWithCells="1" sizeWithCells="1">
                  <from>
                    <xdr:col>1</xdr:col>
                    <xdr:colOff>533400</xdr:colOff>
                    <xdr:row>0</xdr:row>
                    <xdr:rowOff>0</xdr:rowOff>
                  </from>
                  <to>
                    <xdr:col>3</xdr:col>
                    <xdr:colOff>590550</xdr:colOff>
                    <xdr:row>0</xdr:row>
                    <xdr:rowOff>0</xdr:rowOff>
                  </to>
                </anchor>
              </controlPr>
            </control>
          </mc:Choice>
        </mc:AlternateContent>
        <mc:AlternateContent xmlns:mc="http://schemas.openxmlformats.org/markup-compatibility/2006">
          <mc:Choice Requires="x14">
            <control shapeId="12574" r:id="rId286" name="Button 286">
              <controlPr defaultSize="0" print="0" autoLine="0" autoPict="0" macro="[0]!getLoginInformation">
                <anchor moveWithCells="1" sizeWithCells="1">
                  <from>
                    <xdr:col>3</xdr:col>
                    <xdr:colOff>638175</xdr:colOff>
                    <xdr:row>0</xdr:row>
                    <xdr:rowOff>0</xdr:rowOff>
                  </from>
                  <to>
                    <xdr:col>5</xdr:col>
                    <xdr:colOff>600075</xdr:colOff>
                    <xdr:row>0</xdr:row>
                    <xdr:rowOff>0</xdr:rowOff>
                  </to>
                </anchor>
              </controlPr>
            </control>
          </mc:Choice>
        </mc:AlternateContent>
        <mc:AlternateContent xmlns:mc="http://schemas.openxmlformats.org/markup-compatibility/2006">
          <mc:Choice Requires="x14">
            <control shapeId="12575" r:id="rId287" name="Button 287">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576" r:id="rId288" name="Button 288">
              <controlPr defaultSize="0" print="0" autoLine="0" autoPict="0" macro="[0]!CloseTheTool">
                <anchor moveWithCells="1" sizeWithCells="1">
                  <from>
                    <xdr:col>8</xdr:col>
                    <xdr:colOff>85725</xdr:colOff>
                    <xdr:row>0</xdr:row>
                    <xdr:rowOff>0</xdr:rowOff>
                  </from>
                  <to>
                    <xdr:col>10</xdr:col>
                    <xdr:colOff>142875</xdr:colOff>
                    <xdr:row>0</xdr:row>
                    <xdr:rowOff>0</xdr:rowOff>
                  </to>
                </anchor>
              </controlPr>
            </control>
          </mc:Choice>
        </mc:AlternateContent>
        <mc:AlternateContent xmlns:mc="http://schemas.openxmlformats.org/markup-compatibility/2006">
          <mc:Choice Requires="x14">
            <control shapeId="12577" r:id="rId289" name="Button 289">
              <controlPr defaultSize="0" print="0" autoLine="0" autoPict="0" macro="[0]!SelectNotepad">
                <anchor moveWithCells="1" sizeWithCells="1">
                  <from>
                    <xdr:col>10</xdr:col>
                    <xdr:colOff>152400</xdr:colOff>
                    <xdr:row>0</xdr:row>
                    <xdr:rowOff>0</xdr:rowOff>
                  </from>
                  <to>
                    <xdr:col>12</xdr:col>
                    <xdr:colOff>209550</xdr:colOff>
                    <xdr:row>0</xdr:row>
                    <xdr:rowOff>0</xdr:rowOff>
                  </to>
                </anchor>
              </controlPr>
            </control>
          </mc:Choice>
        </mc:AlternateContent>
        <mc:AlternateContent xmlns:mc="http://schemas.openxmlformats.org/markup-compatibility/2006">
          <mc:Choice Requires="x14">
            <control shapeId="12578" r:id="rId290" name="Button 290">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79" r:id="rId291" name="Button 291">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80" r:id="rId292" name="Button 292">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81" r:id="rId293" name="Button 293">
              <controlPr defaultSize="0" print="0" autoLine="0" autoPict="0" macro="[0]!SelectSubmitPage">
                <anchor moveWithCells="1" sizeWithCells="1">
                  <from>
                    <xdr:col>1</xdr:col>
                    <xdr:colOff>533400</xdr:colOff>
                    <xdr:row>0</xdr:row>
                    <xdr:rowOff>0</xdr:rowOff>
                  </from>
                  <to>
                    <xdr:col>3</xdr:col>
                    <xdr:colOff>590550</xdr:colOff>
                    <xdr:row>0</xdr:row>
                    <xdr:rowOff>0</xdr:rowOff>
                  </to>
                </anchor>
              </controlPr>
            </control>
          </mc:Choice>
        </mc:AlternateContent>
        <mc:AlternateContent xmlns:mc="http://schemas.openxmlformats.org/markup-compatibility/2006">
          <mc:Choice Requires="x14">
            <control shapeId="12582" r:id="rId294" name="Button 294">
              <controlPr defaultSize="0" print="0" autoLine="0" autoPict="0" macro="[0]!getLoginInformation">
                <anchor moveWithCells="1" sizeWithCells="1">
                  <from>
                    <xdr:col>3</xdr:col>
                    <xdr:colOff>638175</xdr:colOff>
                    <xdr:row>0</xdr:row>
                    <xdr:rowOff>0</xdr:rowOff>
                  </from>
                  <to>
                    <xdr:col>5</xdr:col>
                    <xdr:colOff>600075</xdr:colOff>
                    <xdr:row>0</xdr:row>
                    <xdr:rowOff>0</xdr:rowOff>
                  </to>
                </anchor>
              </controlPr>
            </control>
          </mc:Choice>
        </mc:AlternateContent>
        <mc:AlternateContent xmlns:mc="http://schemas.openxmlformats.org/markup-compatibility/2006">
          <mc:Choice Requires="x14">
            <control shapeId="12583" r:id="rId295" name="Button 295">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584" r:id="rId296" name="Button 296">
              <controlPr defaultSize="0" print="0" autoLine="0" autoPict="0" macro="[0]!CloseTheTool">
                <anchor moveWithCells="1" sizeWithCells="1">
                  <from>
                    <xdr:col>8</xdr:col>
                    <xdr:colOff>85725</xdr:colOff>
                    <xdr:row>0</xdr:row>
                    <xdr:rowOff>0</xdr:rowOff>
                  </from>
                  <to>
                    <xdr:col>10</xdr:col>
                    <xdr:colOff>142875</xdr:colOff>
                    <xdr:row>0</xdr:row>
                    <xdr:rowOff>0</xdr:rowOff>
                  </to>
                </anchor>
              </controlPr>
            </control>
          </mc:Choice>
        </mc:AlternateContent>
        <mc:AlternateContent xmlns:mc="http://schemas.openxmlformats.org/markup-compatibility/2006">
          <mc:Choice Requires="x14">
            <control shapeId="12585" r:id="rId297" name="Button 297">
              <controlPr defaultSize="0" print="0" autoLine="0" autoPict="0" macro="[0]!SelectNotepad">
                <anchor moveWithCells="1" sizeWithCells="1">
                  <from>
                    <xdr:col>10</xdr:col>
                    <xdr:colOff>152400</xdr:colOff>
                    <xdr:row>0</xdr:row>
                    <xdr:rowOff>0</xdr:rowOff>
                  </from>
                  <to>
                    <xdr:col>12</xdr:col>
                    <xdr:colOff>209550</xdr:colOff>
                    <xdr:row>0</xdr:row>
                    <xdr:rowOff>0</xdr:rowOff>
                  </to>
                </anchor>
              </controlPr>
            </control>
          </mc:Choice>
        </mc:AlternateContent>
        <mc:AlternateContent xmlns:mc="http://schemas.openxmlformats.org/markup-compatibility/2006">
          <mc:Choice Requires="x14">
            <control shapeId="12586" r:id="rId298" name="Button 298">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87" r:id="rId299" name="Button 299">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88" r:id="rId300" name="Button 300">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89" r:id="rId301" name="Button 301">
              <controlPr defaultSize="0" print="0" autoLine="0" autoPict="0" macro="[0]!SelectSubmitPage">
                <anchor moveWithCells="1" sizeWithCells="1">
                  <from>
                    <xdr:col>1</xdr:col>
                    <xdr:colOff>533400</xdr:colOff>
                    <xdr:row>0</xdr:row>
                    <xdr:rowOff>0</xdr:rowOff>
                  </from>
                  <to>
                    <xdr:col>3</xdr:col>
                    <xdr:colOff>590550</xdr:colOff>
                    <xdr:row>0</xdr:row>
                    <xdr:rowOff>0</xdr:rowOff>
                  </to>
                </anchor>
              </controlPr>
            </control>
          </mc:Choice>
        </mc:AlternateContent>
        <mc:AlternateContent xmlns:mc="http://schemas.openxmlformats.org/markup-compatibility/2006">
          <mc:Choice Requires="x14">
            <control shapeId="12590" r:id="rId302" name="Button 302">
              <controlPr defaultSize="0" print="0" autoLine="0" autoPict="0" macro="[0]!getLoginInformation">
                <anchor moveWithCells="1" sizeWithCells="1">
                  <from>
                    <xdr:col>3</xdr:col>
                    <xdr:colOff>638175</xdr:colOff>
                    <xdr:row>0</xdr:row>
                    <xdr:rowOff>0</xdr:rowOff>
                  </from>
                  <to>
                    <xdr:col>5</xdr:col>
                    <xdr:colOff>600075</xdr:colOff>
                    <xdr:row>0</xdr:row>
                    <xdr:rowOff>0</xdr:rowOff>
                  </to>
                </anchor>
              </controlPr>
            </control>
          </mc:Choice>
        </mc:AlternateContent>
        <mc:AlternateContent xmlns:mc="http://schemas.openxmlformats.org/markup-compatibility/2006">
          <mc:Choice Requires="x14">
            <control shapeId="12591" r:id="rId303" name="Button 303">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592" r:id="rId304" name="Button 304">
              <controlPr defaultSize="0" print="0" autoLine="0" autoPict="0" macro="[0]!CloseTheTool">
                <anchor moveWithCells="1" sizeWithCells="1">
                  <from>
                    <xdr:col>8</xdr:col>
                    <xdr:colOff>85725</xdr:colOff>
                    <xdr:row>0</xdr:row>
                    <xdr:rowOff>0</xdr:rowOff>
                  </from>
                  <to>
                    <xdr:col>10</xdr:col>
                    <xdr:colOff>142875</xdr:colOff>
                    <xdr:row>0</xdr:row>
                    <xdr:rowOff>0</xdr:rowOff>
                  </to>
                </anchor>
              </controlPr>
            </control>
          </mc:Choice>
        </mc:AlternateContent>
        <mc:AlternateContent xmlns:mc="http://schemas.openxmlformats.org/markup-compatibility/2006">
          <mc:Choice Requires="x14">
            <control shapeId="12593" r:id="rId305" name="Button 305">
              <controlPr defaultSize="0" print="0" autoLine="0" autoPict="0" macro="[0]!SelectNotepad">
                <anchor moveWithCells="1" sizeWithCells="1">
                  <from>
                    <xdr:col>10</xdr:col>
                    <xdr:colOff>152400</xdr:colOff>
                    <xdr:row>0</xdr:row>
                    <xdr:rowOff>0</xdr:rowOff>
                  </from>
                  <to>
                    <xdr:col>12</xdr:col>
                    <xdr:colOff>209550</xdr:colOff>
                    <xdr:row>0</xdr:row>
                    <xdr:rowOff>0</xdr:rowOff>
                  </to>
                </anchor>
              </controlPr>
            </control>
          </mc:Choice>
        </mc:AlternateContent>
        <mc:AlternateContent xmlns:mc="http://schemas.openxmlformats.org/markup-compatibility/2006">
          <mc:Choice Requires="x14">
            <control shapeId="12594" r:id="rId306" name="Button 306">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595" r:id="rId307" name="Button 307">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596" r:id="rId308" name="Button 308">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597" r:id="rId309" name="Button 309">
              <controlPr defaultSize="0" print="0" autoLine="0" autoPict="0" macro="[0]!SelectDataInputPage">
                <anchor moveWithCells="1" sizeWithCells="1">
                  <from>
                    <xdr:col>0</xdr:col>
                    <xdr:colOff>28575</xdr:colOff>
                    <xdr:row>0</xdr:row>
                    <xdr:rowOff>0</xdr:rowOff>
                  </from>
                  <to>
                    <xdr:col>1</xdr:col>
                    <xdr:colOff>514350</xdr:colOff>
                    <xdr:row>0</xdr:row>
                    <xdr:rowOff>0</xdr:rowOff>
                  </to>
                </anchor>
              </controlPr>
            </control>
          </mc:Choice>
        </mc:AlternateContent>
        <mc:AlternateContent xmlns:mc="http://schemas.openxmlformats.org/markup-compatibility/2006">
          <mc:Choice Requires="x14">
            <control shapeId="12598" r:id="rId310" name="Button 310">
              <controlPr defaultSize="0" print="0" autoLine="0" autoPict="0" macro="[0]!SelectSubmitPage">
                <anchor moveWithCells="1" sizeWithCells="1">
                  <from>
                    <xdr:col>1</xdr:col>
                    <xdr:colOff>533400</xdr:colOff>
                    <xdr:row>0</xdr:row>
                    <xdr:rowOff>0</xdr:rowOff>
                  </from>
                  <to>
                    <xdr:col>3</xdr:col>
                    <xdr:colOff>590550</xdr:colOff>
                    <xdr:row>0</xdr:row>
                    <xdr:rowOff>0</xdr:rowOff>
                  </to>
                </anchor>
              </controlPr>
            </control>
          </mc:Choice>
        </mc:AlternateContent>
        <mc:AlternateContent xmlns:mc="http://schemas.openxmlformats.org/markup-compatibility/2006">
          <mc:Choice Requires="x14">
            <control shapeId="12599" r:id="rId311" name="Button 311">
              <controlPr defaultSize="0" print="0" autoLine="0" autoPict="0" macro="[0]!getLoginInformation">
                <anchor moveWithCells="1" sizeWithCells="1">
                  <from>
                    <xdr:col>3</xdr:col>
                    <xdr:colOff>638175</xdr:colOff>
                    <xdr:row>0</xdr:row>
                    <xdr:rowOff>0</xdr:rowOff>
                  </from>
                  <to>
                    <xdr:col>5</xdr:col>
                    <xdr:colOff>600075</xdr:colOff>
                    <xdr:row>0</xdr:row>
                    <xdr:rowOff>0</xdr:rowOff>
                  </to>
                </anchor>
              </controlPr>
            </control>
          </mc:Choice>
        </mc:AlternateContent>
        <mc:AlternateContent xmlns:mc="http://schemas.openxmlformats.org/markup-compatibility/2006">
          <mc:Choice Requires="x14">
            <control shapeId="12600" r:id="rId312" name="Button 312">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01" r:id="rId313" name="Button 313">
              <controlPr defaultSize="0" print="0" autoLine="0" autoPict="0" macro="[0]!CloseTheTool">
                <anchor moveWithCells="1" sizeWithCells="1">
                  <from>
                    <xdr:col>8</xdr:col>
                    <xdr:colOff>85725</xdr:colOff>
                    <xdr:row>0</xdr:row>
                    <xdr:rowOff>0</xdr:rowOff>
                  </from>
                  <to>
                    <xdr:col>10</xdr:col>
                    <xdr:colOff>142875</xdr:colOff>
                    <xdr:row>0</xdr:row>
                    <xdr:rowOff>0</xdr:rowOff>
                  </to>
                </anchor>
              </controlPr>
            </control>
          </mc:Choice>
        </mc:AlternateContent>
        <mc:AlternateContent xmlns:mc="http://schemas.openxmlformats.org/markup-compatibility/2006">
          <mc:Choice Requires="x14">
            <control shapeId="12602" r:id="rId314" name="Button 314">
              <controlPr defaultSize="0" print="0" autoLine="0" autoPict="0" macro="[0]!SelectNotepad">
                <anchor moveWithCells="1" sizeWithCells="1">
                  <from>
                    <xdr:col>10</xdr:col>
                    <xdr:colOff>152400</xdr:colOff>
                    <xdr:row>0</xdr:row>
                    <xdr:rowOff>0</xdr:rowOff>
                  </from>
                  <to>
                    <xdr:col>12</xdr:col>
                    <xdr:colOff>209550</xdr:colOff>
                    <xdr:row>0</xdr:row>
                    <xdr:rowOff>0</xdr:rowOff>
                  </to>
                </anchor>
              </controlPr>
            </control>
          </mc:Choice>
        </mc:AlternateContent>
        <mc:AlternateContent xmlns:mc="http://schemas.openxmlformats.org/markup-compatibility/2006">
          <mc:Choice Requires="x14">
            <control shapeId="12603" r:id="rId315" name="Button 315">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604" r:id="rId316" name="Button 316">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605" r:id="rId317" name="Button 317">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606" r:id="rId318" name="Button 318">
              <controlPr defaultSize="0" print="0" autoLine="0" autoPict="0" macro="[0]!SelectDataInputPage">
                <anchor moveWithCells="1" sizeWithCells="1">
                  <from>
                    <xdr:col>0</xdr:col>
                    <xdr:colOff>28575</xdr:colOff>
                    <xdr:row>0</xdr:row>
                    <xdr:rowOff>0</xdr:rowOff>
                  </from>
                  <to>
                    <xdr:col>1</xdr:col>
                    <xdr:colOff>514350</xdr:colOff>
                    <xdr:row>0</xdr:row>
                    <xdr:rowOff>0</xdr:rowOff>
                  </to>
                </anchor>
              </controlPr>
            </control>
          </mc:Choice>
        </mc:AlternateContent>
        <mc:AlternateContent xmlns:mc="http://schemas.openxmlformats.org/markup-compatibility/2006">
          <mc:Choice Requires="x14">
            <control shapeId="12607" r:id="rId319" name="Button 319">
              <controlPr defaultSize="0" print="0" autoLine="0" autoPict="0" macro="[0]!SelectSubmitPage">
                <anchor moveWithCells="1" sizeWithCells="1">
                  <from>
                    <xdr:col>1</xdr:col>
                    <xdr:colOff>533400</xdr:colOff>
                    <xdr:row>0</xdr:row>
                    <xdr:rowOff>0</xdr:rowOff>
                  </from>
                  <to>
                    <xdr:col>3</xdr:col>
                    <xdr:colOff>590550</xdr:colOff>
                    <xdr:row>0</xdr:row>
                    <xdr:rowOff>0</xdr:rowOff>
                  </to>
                </anchor>
              </controlPr>
            </control>
          </mc:Choice>
        </mc:AlternateContent>
        <mc:AlternateContent xmlns:mc="http://schemas.openxmlformats.org/markup-compatibility/2006">
          <mc:Choice Requires="x14">
            <control shapeId="12608" r:id="rId320" name="Button 320">
              <controlPr defaultSize="0" print="0" autoLine="0" autoPict="0" macro="[0]!getLoginInformation">
                <anchor moveWithCells="1" sizeWithCells="1">
                  <from>
                    <xdr:col>3</xdr:col>
                    <xdr:colOff>638175</xdr:colOff>
                    <xdr:row>0</xdr:row>
                    <xdr:rowOff>0</xdr:rowOff>
                  </from>
                  <to>
                    <xdr:col>5</xdr:col>
                    <xdr:colOff>600075</xdr:colOff>
                    <xdr:row>0</xdr:row>
                    <xdr:rowOff>0</xdr:rowOff>
                  </to>
                </anchor>
              </controlPr>
            </control>
          </mc:Choice>
        </mc:AlternateContent>
        <mc:AlternateContent xmlns:mc="http://schemas.openxmlformats.org/markup-compatibility/2006">
          <mc:Choice Requires="x14">
            <control shapeId="12609" r:id="rId321" name="Button 321">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10" r:id="rId322" name="Button 322">
              <controlPr defaultSize="0" print="0" autoLine="0" autoPict="0" macro="[0]!CloseTheTool">
                <anchor moveWithCells="1" sizeWithCells="1">
                  <from>
                    <xdr:col>8</xdr:col>
                    <xdr:colOff>85725</xdr:colOff>
                    <xdr:row>0</xdr:row>
                    <xdr:rowOff>0</xdr:rowOff>
                  </from>
                  <to>
                    <xdr:col>10</xdr:col>
                    <xdr:colOff>142875</xdr:colOff>
                    <xdr:row>0</xdr:row>
                    <xdr:rowOff>0</xdr:rowOff>
                  </to>
                </anchor>
              </controlPr>
            </control>
          </mc:Choice>
        </mc:AlternateContent>
        <mc:AlternateContent xmlns:mc="http://schemas.openxmlformats.org/markup-compatibility/2006">
          <mc:Choice Requires="x14">
            <control shapeId="12611" r:id="rId323" name="Button 323">
              <controlPr defaultSize="0" print="0" autoLine="0" autoPict="0" macro="[0]!SelectNotepad">
                <anchor moveWithCells="1" sizeWithCells="1">
                  <from>
                    <xdr:col>10</xdr:col>
                    <xdr:colOff>152400</xdr:colOff>
                    <xdr:row>0</xdr:row>
                    <xdr:rowOff>0</xdr:rowOff>
                  </from>
                  <to>
                    <xdr:col>12</xdr:col>
                    <xdr:colOff>209550</xdr:colOff>
                    <xdr:row>0</xdr:row>
                    <xdr:rowOff>0</xdr:rowOff>
                  </to>
                </anchor>
              </controlPr>
            </control>
          </mc:Choice>
        </mc:AlternateContent>
        <mc:AlternateContent xmlns:mc="http://schemas.openxmlformats.org/markup-compatibility/2006">
          <mc:Choice Requires="x14">
            <control shapeId="12612" r:id="rId324" name="Button 324">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613" r:id="rId325" name="Button 325">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614" r:id="rId326" name="Button 326">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615" r:id="rId327" name="Button 327">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16" r:id="rId328" name="Button 328">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17" r:id="rId329" name="Button 329">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18" r:id="rId330" name="Button 330">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19" r:id="rId331" name="Button 331">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20" r:id="rId332" name="Button 332">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mc:AlternateContent xmlns:mc="http://schemas.openxmlformats.org/markup-compatibility/2006">
          <mc:Choice Requires="x14">
            <control shapeId="12621" r:id="rId333" name="Button 333">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622" r:id="rId334" name="Button 334">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623" r:id="rId335" name="Button 335">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624" r:id="rId336" name="Button 336">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25" r:id="rId337" name="Button 337">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26" r:id="rId338" name="Button 338">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27" r:id="rId339" name="Button 339">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28" r:id="rId340" name="Button 340">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29" r:id="rId341" name="Button 341">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mc:AlternateContent xmlns:mc="http://schemas.openxmlformats.org/markup-compatibility/2006">
          <mc:Choice Requires="x14">
            <control shapeId="12630" r:id="rId342" name="Button 342">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631" r:id="rId343" name="Button 343">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632" r:id="rId344" name="Button 344">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633" r:id="rId345" name="Button 345">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34" r:id="rId346" name="Button 346">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35" r:id="rId347" name="Button 347">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36" r:id="rId348" name="Button 348">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37" r:id="rId349" name="Button 349">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38" r:id="rId350" name="Button 350">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mc:AlternateContent xmlns:mc="http://schemas.openxmlformats.org/markup-compatibility/2006">
          <mc:Choice Requires="x14">
            <control shapeId="12639" r:id="rId351" name="Button 351">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640" r:id="rId352" name="Button 352">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641" r:id="rId353" name="Button 353">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642" r:id="rId354" name="Button 354">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43" r:id="rId355" name="Button 355">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44" r:id="rId356" name="Button 356">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45" r:id="rId357" name="Button 357">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46" r:id="rId358" name="Button 358">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47" r:id="rId359" name="Button 359">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mc:AlternateContent xmlns:mc="http://schemas.openxmlformats.org/markup-compatibility/2006">
          <mc:Choice Requires="x14">
            <control shapeId="12648" r:id="rId360" name="Button 360">
              <controlPr defaultSize="0" print="0" autoLine="0" autoPict="0" macro="[0]!BuildComplexObjectFromSimpleObject">
                <anchor moveWithCells="1" sizeWithCells="1">
                  <from>
                    <xdr:col>4</xdr:col>
                    <xdr:colOff>38100</xdr:colOff>
                    <xdr:row>0</xdr:row>
                    <xdr:rowOff>0</xdr:rowOff>
                  </from>
                  <to>
                    <xdr:col>6</xdr:col>
                    <xdr:colOff>428625</xdr:colOff>
                    <xdr:row>0</xdr:row>
                    <xdr:rowOff>0</xdr:rowOff>
                  </to>
                </anchor>
              </controlPr>
            </control>
          </mc:Choice>
        </mc:AlternateContent>
        <mc:AlternateContent xmlns:mc="http://schemas.openxmlformats.org/markup-compatibility/2006">
          <mc:Choice Requires="x14">
            <control shapeId="12649" r:id="rId361" name="Button 361">
              <controlPr defaultSize="0" print="0" autoLine="0" autoPict="0" macro="[0]!EditLoadComplexObject">
                <anchor moveWithCells="1" sizeWithCells="1">
                  <from>
                    <xdr:col>8</xdr:col>
                    <xdr:colOff>9525</xdr:colOff>
                    <xdr:row>0</xdr:row>
                    <xdr:rowOff>0</xdr:rowOff>
                  </from>
                  <to>
                    <xdr:col>10</xdr:col>
                    <xdr:colOff>438150</xdr:colOff>
                    <xdr:row>0</xdr:row>
                    <xdr:rowOff>0</xdr:rowOff>
                  </to>
                </anchor>
              </controlPr>
            </control>
          </mc:Choice>
        </mc:AlternateContent>
        <mc:AlternateContent xmlns:mc="http://schemas.openxmlformats.org/markup-compatibility/2006">
          <mc:Choice Requires="x14">
            <control shapeId="12650" r:id="rId362" name="Button 362">
              <controlPr defaultSize="0" print="0" autoLine="0" autoPict="0" macro="[0]!PostEditResultsToSimpleObject">
                <anchor moveWithCells="1" sizeWithCells="1">
                  <from>
                    <xdr:col>12</xdr:col>
                    <xdr:colOff>28575</xdr:colOff>
                    <xdr:row>0</xdr:row>
                    <xdr:rowOff>0</xdr:rowOff>
                  </from>
                  <to>
                    <xdr:col>15</xdr:col>
                    <xdr:colOff>0</xdr:colOff>
                    <xdr:row>0</xdr:row>
                    <xdr:rowOff>0</xdr:rowOff>
                  </to>
                </anchor>
              </controlPr>
            </control>
          </mc:Choice>
        </mc:AlternateContent>
        <mc:AlternateContent xmlns:mc="http://schemas.openxmlformats.org/markup-compatibility/2006">
          <mc:Choice Requires="x14">
            <control shapeId="12651" r:id="rId363" name="Button 363">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52" r:id="rId364" name="Button 364">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53" r:id="rId365" name="Button 365">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54" r:id="rId366" name="Button 366">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55" r:id="rId367" name="Button 367">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56" r:id="rId368" name="Button 368">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mc:AlternateContent xmlns:mc="http://schemas.openxmlformats.org/markup-compatibility/2006">
          <mc:Choice Requires="x14">
            <control shapeId="12657" r:id="rId369" name="Button 369">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58" r:id="rId370" name="Button 370">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59" r:id="rId371" name="Button 371">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60" r:id="rId372" name="Button 372">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61" r:id="rId373" name="Button 373">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62" r:id="rId374" name="Button 374">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mc:AlternateContent xmlns:mc="http://schemas.openxmlformats.org/markup-compatibility/2006">
          <mc:Choice Requires="x14">
            <control shapeId="12663" r:id="rId375" name="Button 375">
              <controlPr defaultSize="0" print="0" autoLine="0" autoPict="0" macro="[0]!SelectDataInputPage">
                <anchor moveWithCells="1" sizeWithCells="1">
                  <from>
                    <xdr:col>0</xdr:col>
                    <xdr:colOff>9525</xdr:colOff>
                    <xdr:row>0</xdr:row>
                    <xdr:rowOff>0</xdr:rowOff>
                  </from>
                  <to>
                    <xdr:col>1</xdr:col>
                    <xdr:colOff>495300</xdr:colOff>
                    <xdr:row>0</xdr:row>
                    <xdr:rowOff>0</xdr:rowOff>
                  </to>
                </anchor>
              </controlPr>
            </control>
          </mc:Choice>
        </mc:AlternateContent>
        <mc:AlternateContent xmlns:mc="http://schemas.openxmlformats.org/markup-compatibility/2006">
          <mc:Choice Requires="x14">
            <control shapeId="12664" r:id="rId376" name="Button 376">
              <controlPr defaultSize="0" print="0" autoLine="0" autoPict="0" macro="[0]!SelectSubmitPage">
                <anchor moveWithCells="1" sizeWithCells="1">
                  <from>
                    <xdr:col>1</xdr:col>
                    <xdr:colOff>523875</xdr:colOff>
                    <xdr:row>0</xdr:row>
                    <xdr:rowOff>0</xdr:rowOff>
                  </from>
                  <to>
                    <xdr:col>3</xdr:col>
                    <xdr:colOff>581025</xdr:colOff>
                    <xdr:row>0</xdr:row>
                    <xdr:rowOff>0</xdr:rowOff>
                  </to>
                </anchor>
              </controlPr>
            </control>
          </mc:Choice>
        </mc:AlternateContent>
        <mc:AlternateContent xmlns:mc="http://schemas.openxmlformats.org/markup-compatibility/2006">
          <mc:Choice Requires="x14">
            <control shapeId="12665" r:id="rId377" name="Button 377">
              <controlPr defaultSize="0" print="0" autoLine="0" autoPict="0" macro="[0]!getLoginInformation">
                <anchor moveWithCells="1" sizeWithCells="1">
                  <from>
                    <xdr:col>3</xdr:col>
                    <xdr:colOff>609600</xdr:colOff>
                    <xdr:row>0</xdr:row>
                    <xdr:rowOff>0</xdr:rowOff>
                  </from>
                  <to>
                    <xdr:col>5</xdr:col>
                    <xdr:colOff>571500</xdr:colOff>
                    <xdr:row>0</xdr:row>
                    <xdr:rowOff>0</xdr:rowOff>
                  </to>
                </anchor>
              </controlPr>
            </control>
          </mc:Choice>
        </mc:AlternateContent>
        <mc:AlternateContent xmlns:mc="http://schemas.openxmlformats.org/markup-compatibility/2006">
          <mc:Choice Requires="x14">
            <control shapeId="12666" r:id="rId378" name="Button 378">
              <controlPr defaultSize="0" print="0" autoLine="0" autoPict="0" macro="[0]!SelectTemplatePage">
                <anchor moveWithCells="1" sizeWithCells="1">
                  <from>
                    <xdr:col>6</xdr:col>
                    <xdr:colOff>0</xdr:colOff>
                    <xdr:row>0</xdr:row>
                    <xdr:rowOff>0</xdr:rowOff>
                  </from>
                  <to>
                    <xdr:col>8</xdr:col>
                    <xdr:colOff>57150</xdr:colOff>
                    <xdr:row>0</xdr:row>
                    <xdr:rowOff>0</xdr:rowOff>
                  </to>
                </anchor>
              </controlPr>
            </control>
          </mc:Choice>
        </mc:AlternateContent>
        <mc:AlternateContent xmlns:mc="http://schemas.openxmlformats.org/markup-compatibility/2006">
          <mc:Choice Requires="x14">
            <control shapeId="12667" r:id="rId379" name="Button 379">
              <controlPr defaultSize="0" print="0" autoLine="0" autoPict="0" macro="[0]!CloseTheTool">
                <anchor moveWithCells="1" sizeWithCells="1">
                  <from>
                    <xdr:col>8</xdr:col>
                    <xdr:colOff>76200</xdr:colOff>
                    <xdr:row>0</xdr:row>
                    <xdr:rowOff>0</xdr:rowOff>
                  </from>
                  <to>
                    <xdr:col>10</xdr:col>
                    <xdr:colOff>133350</xdr:colOff>
                    <xdr:row>0</xdr:row>
                    <xdr:rowOff>0</xdr:rowOff>
                  </to>
                </anchor>
              </controlPr>
            </control>
          </mc:Choice>
        </mc:AlternateContent>
        <mc:AlternateContent xmlns:mc="http://schemas.openxmlformats.org/markup-compatibility/2006">
          <mc:Choice Requires="x14">
            <control shapeId="12668" r:id="rId380" name="Button 380">
              <controlPr defaultSize="0" print="0" autoLine="0" autoPict="0" macro="[0]!SelectNotepad">
                <anchor moveWithCells="1" sizeWithCells="1">
                  <from>
                    <xdr:col>10</xdr:col>
                    <xdr:colOff>142875</xdr:colOff>
                    <xdr:row>0</xdr:row>
                    <xdr:rowOff>0</xdr:rowOff>
                  </from>
                  <to>
                    <xdr:col>12</xdr:col>
                    <xdr:colOff>200025</xdr:colOff>
                    <xdr:row>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2"/>
  <dimension ref="A7:G20"/>
  <sheetViews>
    <sheetView showRowColHeaders="0" workbookViewId="0" topLeftCell="A1"/>
  </sheetViews>
  <sheetFormatPr defaultRowHeight="12.75" zeroHeight="1"/>
  <cols>
    <col min="1" max="1" width="26.2857142857143" customWidth="1"/>
    <col min="2" max="2" width="16.7142857142857" bestFit="1" customWidth="1"/>
  </cols>
  <sheetData>
    <row r="1" s="3" customFormat="1" ht="39.95" customHeight="1"/>
    <row r="2" s="3" customFormat="1" ht="13.5" customHeight="1"/>
    <row r="3" s="3" customFormat="1" ht="12" customHeight="1"/>
    <row r="4" s="3" customFormat="1" ht="12" customHeight="1"/>
    <row r="5" s="3" customFormat="1" ht="14.25" customHeight="1"/>
    <row r="6" s="3" customFormat="1" ht="17.25" customHeight="1"/>
    <row r="7" spans="1:7" s="3" customFormat="1" ht="12.75">
      <c r="A7" s="9" t="s">
        <v>11</v>
      </c>
      <c r="B7" s="34" t="s">
        <v>85</v>
      </c>
      <c r="G7" s="10"/>
    </row>
    <row r="8" spans="1:2" s="3" customFormat="1" ht="12.75">
      <c r="A8" s="9" t="s">
        <v>12</v>
      </c>
      <c r="B8" s="34" t="s">
        <v>8</v>
      </c>
    </row>
    <row r="9" spans="1:2" s="3" customFormat="1" ht="12.75">
      <c r="A9" s="9" t="s">
        <v>13</v>
      </c>
      <c r="B9" s="36">
        <v>44300</v>
      </c>
    </row>
    <row r="10" spans="1:2" s="3" customFormat="1" ht="12.75">
      <c r="A10" s="9" t="s">
        <v>14</v>
      </c>
      <c r="B10" s="34" t="s">
        <v>86</v>
      </c>
    </row>
    <row r="11" spans="1:2" s="3" customFormat="1" ht="12.75">
      <c r="A11" s="9" t="s">
        <v>15</v>
      </c>
      <c r="B11" s="34" t="s">
        <v>87</v>
      </c>
    </row>
    <row r="12" spans="1:2" s="3" customFormat="1" ht="12.75">
      <c r="A12" s="9" t="s">
        <v>16</v>
      </c>
      <c r="B12" s="34" t="s">
        <v>19</v>
      </c>
    </row>
    <row r="13" spans="1:2" s="3" customFormat="1" ht="12.75">
      <c r="A13" s="9" t="s">
        <v>17</v>
      </c>
      <c r="B13" s="36">
        <v>40</v>
      </c>
    </row>
    <row r="14" spans="1:2" s="3" customFormat="1" ht="12.75">
      <c r="A14" s="9"/>
      <c r="B14" s="35"/>
    </row>
    <row r="15" spans="1:2" s="3" customFormat="1" ht="12.75">
      <c r="A15" s="9" t="s">
        <v>18</v>
      </c>
      <c r="B15" s="34" t="s">
        <v>84</v>
      </c>
    </row>
    <row r="16" spans="1:2" s="3" customFormat="1" ht="12.75" hidden="1">
      <c r="A16" s="3" t="s">
        <v>9</v>
      </c>
      <c r="B16">
        <v>50</v>
      </c>
    </row>
    <row r="17" s="3" customFormat="1" ht="12.75" hidden="1"/>
    <row r="18" s="3" customFormat="1" ht="12.75" hidden="1"/>
    <row r="19" ht="12.75" hidden="1"/>
    <row r="20" spans="1:1" ht="12.75" hidden="1">
      <c r="A20" t="s">
        <v>20</v>
      </c>
    </row>
  </sheetData>
  <pageMargins left="0.75" right="0.75" top="1" bottom="1" header="0.5" footer="0.5"/>
  <pageSetup orientation="landscape" scale="95" r:id="rId2"/>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3"/>
  <dimension ref="A2:AD13"/>
  <sheetViews>
    <sheetView workbookViewId="0" topLeftCell="A1">
      <pane xSplit="3" ySplit="3" topLeftCell="D4" activePane="bottomRight" state="frozen"/>
      <selection pane="topLeft" activeCell="D11" sqref="D11"/>
      <selection pane="bottomLeft" activeCell="D11" sqref="D11"/>
      <selection pane="topRight" activeCell="D11" sqref="D11"/>
      <selection pane="bottomRight" activeCell="D12" sqref="D12"/>
    </sheetView>
  </sheetViews>
  <sheetFormatPr defaultRowHeight="12.75"/>
  <cols>
    <col min="1" max="1" width="12" customWidth="1"/>
    <col min="2" max="2" width="9" customWidth="1"/>
    <col min="3" max="3" width="15" style="8" customWidth="1"/>
    <col min="4" max="6" width="21.5714285714286" customWidth="1"/>
    <col min="7" max="7" width="28.7142857142857" customWidth="1"/>
    <col min="8" max="8" width="21.5714285714286" customWidth="1"/>
    <col min="9" max="9" width="24.4285714285714" customWidth="1"/>
    <col min="10" max="12" width="21.5714285714286" customWidth="1"/>
    <col min="13" max="13" width="28.5714285714286" customWidth="1"/>
    <col min="14" max="14" width="26.5714285714286" customWidth="1"/>
    <col min="15" max="15" width="21.5714285714286" customWidth="1"/>
    <col min="16" max="16" width="23" customWidth="1"/>
    <col min="17" max="17" width="21.5714285714286" customWidth="1"/>
    <col min="18" max="18" width="26.8571428571429" customWidth="1"/>
    <col min="19" max="19" width="23.8571428571429" customWidth="1"/>
    <col min="20" max="20" width="17.5714285714286" customWidth="1"/>
    <col min="21" max="21" width="23.5714285714286" customWidth="1"/>
    <col min="22" max="28" width="17.5714285714286" customWidth="1"/>
    <col min="29" max="29" width="20.5714285714286" customWidth="1"/>
    <col min="30" max="30" width="29.1428571428571" customWidth="1"/>
  </cols>
  <sheetData>
    <row r="1" ht="39.75" customHeight="1"/>
    <row r="2" spans="1:1" ht="24.95" customHeight="1">
      <c r="A2" s="16" t="s">
        <v>20</v>
      </c>
    </row>
    <row r="3" ht="125.1" customHeight="1"/>
    <row r="4" ht="12.75" customHeight="1" thickBot="1"/>
    <row r="5" spans="1:30" s="8" customFormat="1" ht="12.75" customHeight="1" thickBot="1">
      <c r="A5" s="11" t="s">
        <v>0</v>
      </c>
      <c r="B5" s="12"/>
      <c r="C5" s="13"/>
      <c r="D5" s="8" t="s">
        <v>20</v>
      </c>
      <c r="E5" s="8" t="s">
        <v>20</v>
      </c>
      <c r="F5" s="8" t="s">
        <v>20</v>
      </c>
      <c r="G5" s="8" t="s">
        <v>20</v>
      </c>
      <c r="H5" s="8" t="s">
        <v>20</v>
      </c>
      <c r="I5" s="8" t="s">
        <v>20</v>
      </c>
      <c r="J5" s="8" t="s">
        <v>20</v>
      </c>
      <c r="K5" s="8" t="s">
        <v>20</v>
      </c>
      <c r="L5" s="8" t="s">
        <v>20</v>
      </c>
      <c r="M5" s="8" t="s">
        <v>20</v>
      </c>
      <c r="N5" s="8" t="s">
        <v>20</v>
      </c>
      <c r="O5" s="8" t="s">
        <v>20</v>
      </c>
      <c r="P5" s="8" t="s">
        <v>20</v>
      </c>
      <c r="Q5" s="8" t="s">
        <v>20</v>
      </c>
      <c r="R5" s="8" t="s">
        <v>20</v>
      </c>
      <c r="S5" s="8" t="s">
        <v>20</v>
      </c>
      <c r="T5" s="8" t="s">
        <v>57</v>
      </c>
      <c r="U5" s="8" t="s">
        <v>57</v>
      </c>
      <c r="V5" s="8" t="s">
        <v>57</v>
      </c>
      <c r="W5" s="8" t="s">
        <v>57</v>
      </c>
      <c r="X5" s="8" t="s">
        <v>57</v>
      </c>
      <c r="Y5" s="8" t="s">
        <v>57</v>
      </c>
      <c r="Z5" s="8" t="s">
        <v>57</v>
      </c>
      <c r="AA5" s="8" t="s">
        <v>57</v>
      </c>
      <c r="AB5" s="8" t="s">
        <v>57</v>
      </c>
      <c r="AC5" s="8" t="s">
        <v>57</v>
      </c>
      <c r="AD5" s="8" t="s">
        <v>57</v>
      </c>
    </row>
    <row r="6" spans="1:30" s="8" customFormat="1" ht="12.75" customHeight="1" thickBot="1">
      <c r="A6" s="11" t="s">
        <v>1</v>
      </c>
      <c r="B6" s="12"/>
      <c r="C6" s="13"/>
      <c r="D6" s="8" t="s">
        <v>21</v>
      </c>
      <c r="E6" s="8" t="s">
        <v>25</v>
      </c>
      <c r="F6" s="8" t="s">
        <v>27</v>
      </c>
      <c r="G6" s="8" t="s">
        <v>30</v>
      </c>
      <c r="H6" s="8" t="s">
        <v>32</v>
      </c>
      <c r="I6" s="8" t="s">
        <v>34</v>
      </c>
      <c r="J6" s="8" t="s">
        <v>36</v>
      </c>
      <c r="K6" s="8" t="s">
        <v>38</v>
      </c>
      <c r="L6" s="8" t="s">
        <v>41</v>
      </c>
      <c r="M6" s="8" t="s">
        <v>43</v>
      </c>
      <c r="N6" s="8" t="s">
        <v>45</v>
      </c>
      <c r="O6" s="8" t="s">
        <v>47</v>
      </c>
      <c r="P6" s="8" t="s">
        <v>49</v>
      </c>
      <c r="Q6" s="8" t="s">
        <v>52</v>
      </c>
      <c r="R6" s="8" t="s">
        <v>54</v>
      </c>
      <c r="S6" s="8" t="s">
        <v>83</v>
      </c>
      <c r="T6" s="8" t="s">
        <v>58</v>
      </c>
      <c r="U6" s="8" t="s">
        <v>62</v>
      </c>
      <c r="V6" s="8" t="s">
        <v>64</v>
      </c>
      <c r="W6" s="8" t="s">
        <v>66</v>
      </c>
      <c r="X6" s="8" t="s">
        <v>68</v>
      </c>
      <c r="Y6" s="8" t="s">
        <v>70</v>
      </c>
      <c r="Z6" s="8" t="s">
        <v>72</v>
      </c>
      <c r="AA6" s="8" t="s">
        <v>74</v>
      </c>
      <c r="AB6" s="8" t="s">
        <v>76</v>
      </c>
      <c r="AC6" s="8" t="s">
        <v>78</v>
      </c>
      <c r="AD6" s="8" t="s">
        <v>80</v>
      </c>
    </row>
    <row r="7" spans="1:30" s="8" customFormat="1" ht="12.75" customHeight="1" thickBot="1">
      <c r="A7" s="11" t="s">
        <v>2</v>
      </c>
      <c r="B7" s="12"/>
      <c r="C7" s="13"/>
      <c r="D7" s="8" t="s">
        <v>22</v>
      </c>
      <c r="E7" s="8" t="s">
        <v>22</v>
      </c>
      <c r="F7" s="8" t="s">
        <v>22</v>
      </c>
      <c r="G7" s="8" t="s">
        <v>22</v>
      </c>
      <c r="H7" s="8" t="s">
        <v>22</v>
      </c>
      <c r="I7" s="8" t="s">
        <v>22</v>
      </c>
      <c r="J7" s="8" t="s">
        <v>22</v>
      </c>
      <c r="K7" s="8" t="s">
        <v>22</v>
      </c>
      <c r="L7" s="8" t="s">
        <v>22</v>
      </c>
      <c r="M7" s="8" t="s">
        <v>22</v>
      </c>
      <c r="N7" s="8" t="s">
        <v>22</v>
      </c>
      <c r="O7" s="8" t="s">
        <v>22</v>
      </c>
      <c r="P7" s="8" t="s">
        <v>22</v>
      </c>
      <c r="Q7" s="8" t="s">
        <v>22</v>
      </c>
      <c r="R7" s="8" t="s">
        <v>22</v>
      </c>
      <c r="S7" s="8" t="s">
        <v>22</v>
      </c>
      <c r="T7" s="8" t="s">
        <v>59</v>
      </c>
      <c r="U7" s="8" t="s">
        <v>59</v>
      </c>
      <c r="V7" s="8" t="s">
        <v>59</v>
      </c>
      <c r="W7" s="8" t="s">
        <v>59</v>
      </c>
      <c r="X7" s="8" t="s">
        <v>59</v>
      </c>
      <c r="Y7" s="8" t="s">
        <v>59</v>
      </c>
      <c r="Z7" s="8" t="s">
        <v>59</v>
      </c>
      <c r="AA7" s="8" t="s">
        <v>59</v>
      </c>
      <c r="AB7" s="8" t="s">
        <v>59</v>
      </c>
      <c r="AC7" s="8" t="s">
        <v>59</v>
      </c>
      <c r="AD7" s="8" t="s">
        <v>59</v>
      </c>
    </row>
    <row r="8" spans="1:29" s="8" customFormat="1" ht="12.75" customHeight="1" thickBot="1">
      <c r="A8" s="11" t="s">
        <v>4</v>
      </c>
      <c r="B8" s="12"/>
      <c r="C8" s="13"/>
      <c r="F8" s="8" t="s">
        <v>28</v>
      </c>
      <c r="L8" s="8" t="s">
        <v>28</v>
      </c>
      <c r="M8" s="8" t="s">
        <v>28</v>
      </c>
      <c r="N8" s="8" t="s">
        <v>28</v>
      </c>
      <c r="P8" s="8" t="s">
        <v>50</v>
      </c>
      <c r="R8" s="8" t="s">
        <v>50</v>
      </c>
      <c r="T8" s="8" t="s">
        <v>28</v>
      </c>
      <c r="AC8" s="8" t="s">
        <v>28</v>
      </c>
    </row>
    <row r="9" spans="1:30" s="8" customFormat="1" ht="12.75" customHeight="1" thickBot="1">
      <c r="A9" s="11" t="s">
        <v>10</v>
      </c>
      <c r="B9" s="12"/>
      <c r="C9" s="13"/>
      <c r="D9" s="8" t="s">
        <v>23</v>
      </c>
      <c r="E9" s="8" t="s">
        <v>23</v>
      </c>
      <c r="F9" s="8" t="s">
        <v>23</v>
      </c>
      <c r="G9" s="8" t="s">
        <v>23</v>
      </c>
      <c r="H9" s="8" t="s">
        <v>23</v>
      </c>
      <c r="I9" s="8" t="s">
        <v>23</v>
      </c>
      <c r="J9" s="8" t="s">
        <v>39</v>
      </c>
      <c r="K9" s="8" t="s">
        <v>39</v>
      </c>
      <c r="L9" s="8" t="s">
        <v>39</v>
      </c>
      <c r="M9" s="8" t="s">
        <v>39</v>
      </c>
      <c r="N9" s="8" t="s">
        <v>39</v>
      </c>
      <c r="O9" s="8" t="s">
        <v>39</v>
      </c>
      <c r="P9" s="8" t="s">
        <v>39</v>
      </c>
      <c r="Q9" s="8" t="s">
        <v>39</v>
      </c>
      <c r="R9" s="8" t="s">
        <v>39</v>
      </c>
      <c r="S9" s="8" t="s">
        <v>39</v>
      </c>
      <c r="T9" s="8" t="s">
        <v>60</v>
      </c>
      <c r="U9" s="8" t="s">
        <v>39</v>
      </c>
      <c r="V9" s="8" t="s">
        <v>39</v>
      </c>
      <c r="W9" s="8" t="s">
        <v>39</v>
      </c>
      <c r="X9" s="8" t="s">
        <v>39</v>
      </c>
      <c r="Y9" s="8" t="s">
        <v>39</v>
      </c>
      <c r="Z9" s="8" t="s">
        <v>39</v>
      </c>
      <c r="AA9" s="8" t="s">
        <v>39</v>
      </c>
      <c r="AB9" s="8" t="s">
        <v>39</v>
      </c>
      <c r="AC9" s="8" t="s">
        <v>39</v>
      </c>
      <c r="AD9" s="8" t="s">
        <v>39</v>
      </c>
    </row>
    <row r="10" spans="1:30" s="8" customFormat="1" ht="12.75" customHeight="1" thickBot="1">
      <c r="A10" s="11" t="s">
        <v>3</v>
      </c>
      <c r="B10" s="12"/>
      <c r="C10" s="13"/>
      <c r="D10" s="8">
        <v>1</v>
      </c>
      <c r="E10" s="8">
        <v>2</v>
      </c>
      <c r="F10" s="8">
        <v>3</v>
      </c>
      <c r="G10" s="8">
        <v>4</v>
      </c>
      <c r="H10" s="8">
        <v>5</v>
      </c>
      <c r="I10" s="8">
        <v>6</v>
      </c>
      <c r="J10" s="8">
        <v>7</v>
      </c>
      <c r="K10" s="8">
        <v>8</v>
      </c>
      <c r="L10" s="8">
        <v>9</v>
      </c>
      <c r="M10" s="8">
        <v>10</v>
      </c>
      <c r="N10" s="8">
        <v>11</v>
      </c>
      <c r="O10" s="8">
        <v>12</v>
      </c>
      <c r="P10" s="8">
        <v>13</v>
      </c>
      <c r="Q10" s="8">
        <v>14</v>
      </c>
      <c r="R10" s="8">
        <v>15</v>
      </c>
      <c r="S10" s="8">
        <v>16</v>
      </c>
      <c r="T10" s="8">
        <v>17</v>
      </c>
      <c r="U10" s="8">
        <v>18</v>
      </c>
      <c r="V10" s="8">
        <v>19</v>
      </c>
      <c r="W10" s="8">
        <v>20</v>
      </c>
      <c r="X10" s="8">
        <v>21</v>
      </c>
      <c r="Y10" s="8">
        <v>22</v>
      </c>
      <c r="Z10" s="8">
        <v>23</v>
      </c>
      <c r="AA10" s="8">
        <v>24</v>
      </c>
      <c r="AB10" s="8">
        <v>25</v>
      </c>
      <c r="AC10" s="8">
        <v>26</v>
      </c>
      <c r="AD10" s="8">
        <v>27</v>
      </c>
    </row>
    <row r="11" spans="1:30" s="15" customFormat="1" ht="13.5" thickBot="1">
      <c r="A11" s="17" t="s">
        <v>5</v>
      </c>
      <c r="B11" s="17" t="s">
        <v>6</v>
      </c>
      <c r="C11" s="18" t="s">
        <v>7</v>
      </c>
      <c r="D11" s="14" t="s">
        <v>24</v>
      </c>
      <c r="E11" s="14" t="s">
        <v>26</v>
      </c>
      <c r="F11" s="14" t="s">
        <v>29</v>
      </c>
      <c r="G11" s="14" t="s">
        <v>31</v>
      </c>
      <c r="H11" s="14" t="s">
        <v>33</v>
      </c>
      <c r="I11" s="14" t="s">
        <v>35</v>
      </c>
      <c r="J11" s="14" t="s">
        <v>37</v>
      </c>
      <c r="K11" s="14" t="s">
        <v>40</v>
      </c>
      <c r="L11" s="14" t="s">
        <v>42</v>
      </c>
      <c r="M11" s="14" t="s">
        <v>44</v>
      </c>
      <c r="N11" s="14" t="s">
        <v>46</v>
      </c>
      <c r="O11" s="14" t="s">
        <v>48</v>
      </c>
      <c r="P11" s="14" t="s">
        <v>51</v>
      </c>
      <c r="Q11" s="14" t="s">
        <v>53</v>
      </c>
      <c r="R11" s="14" t="s">
        <v>55</v>
      </c>
      <c r="S11" s="14" t="s">
        <v>56</v>
      </c>
      <c r="T11" s="14" t="s">
        <v>61</v>
      </c>
      <c r="U11" s="14" t="s">
        <v>63</v>
      </c>
      <c r="V11" s="14" t="s">
        <v>65</v>
      </c>
      <c r="W11" s="14" t="s">
        <v>67</v>
      </c>
      <c r="X11" s="14" t="s">
        <v>69</v>
      </c>
      <c r="Y11" s="14" t="s">
        <v>71</v>
      </c>
      <c r="Z11" s="14" t="s">
        <v>73</v>
      </c>
      <c r="AA11" s="14" t="s">
        <v>75</v>
      </c>
      <c r="AB11" s="14" t="s">
        <v>77</v>
      </c>
      <c r="AC11" s="14" t="s">
        <v>79</v>
      </c>
      <c r="AD11" s="14" t="s">
        <v>81</v>
      </c>
    </row>
    <row r="12" spans="1:30" ht="13.5" thickBot="1">
      <c r="A12" s="19" t="s">
        <v>82</v>
      </c>
      <c r="B12" s="20"/>
      <c r="C12" s="23" t="s">
        <v>22</v>
      </c>
      <c r="D12" s="30"/>
      <c r="E12" s="30"/>
      <c r="F12" s="30"/>
      <c r="G12" s="30"/>
      <c r="H12" s="30"/>
      <c r="I12" s="30"/>
      <c r="J12" s="30"/>
      <c r="K12" s="30"/>
      <c r="L12" s="30"/>
      <c r="M12" s="30"/>
      <c r="N12" s="30"/>
      <c r="O12" s="30"/>
      <c r="P12" s="30"/>
      <c r="Q12" s="30"/>
      <c r="R12" s="30"/>
      <c r="S12" s="30"/>
      <c r="T12" s="25"/>
      <c r="U12" s="25"/>
      <c r="V12" s="25"/>
      <c r="W12" s="25"/>
      <c r="X12" s="25"/>
      <c r="Y12" s="25"/>
      <c r="Z12" s="25"/>
      <c r="AA12" s="25"/>
      <c r="AB12" s="25"/>
      <c r="AC12" s="25"/>
      <c r="AD12" s="26"/>
    </row>
    <row r="13" spans="1:30" ht="13.5" thickBot="1">
      <c r="A13" s="21" t="s">
        <v>82</v>
      </c>
      <c r="B13" s="22"/>
      <c r="C13" s="24" t="s">
        <v>59</v>
      </c>
      <c r="D13" s="27"/>
      <c r="E13" s="28"/>
      <c r="F13" s="28"/>
      <c r="G13" s="28"/>
      <c r="H13" s="28"/>
      <c r="I13" s="28"/>
      <c r="J13" s="28"/>
      <c r="K13" s="28"/>
      <c r="L13" s="28"/>
      <c r="M13" s="28"/>
      <c r="N13" s="28"/>
      <c r="O13" s="28"/>
      <c r="P13" s="28"/>
      <c r="Q13" s="28"/>
      <c r="R13" s="28"/>
      <c r="S13" s="28"/>
      <c r="T13" s="29"/>
      <c r="U13" s="30"/>
      <c r="V13" s="30"/>
      <c r="W13" s="30"/>
      <c r="X13" s="30"/>
      <c r="Y13" s="30"/>
      <c r="Z13" s="30"/>
      <c r="AA13" s="30"/>
      <c r="AB13" s="30"/>
      <c r="AC13" s="30"/>
      <c r="AD13" s="30"/>
    </row>
  </sheetData>
  <pageMargins left="0.75" right="0.75" top="1" bottom="1" header="0.5" footer="0.5"/>
  <pageSetup orientation="portrait" r:id="rId15"/>
  <headerFooter alignWithMargins="0"/>
  <drawing r:id="rId13"/>
  <legacyDrawing r:id="rId14"/>
  <controls>
    <mc:AlternateContent xmlns:mc="http://schemas.openxmlformats.org/markup-compatibility/2006">
      <mc:Choice Requires="x14">
        <control shapeId="4158" r:id="rId2" name="btnBuildNewTemplate">
          <controlPr defaultSize="0" autoLine="0" r:id="rId1">
            <anchor>
              <from>
                <xdr:col>0</xdr:col>
                <xdr:colOff>38100</xdr:colOff>
                <xdr:row>2</xdr:row>
                <xdr:rowOff>19050</xdr:rowOff>
              </from>
              <to>
                <xdr:col>2</xdr:col>
                <xdr:colOff>981075</xdr:colOff>
                <xdr:row>2</xdr:row>
                <xdr:rowOff>257175</xdr:rowOff>
              </to>
            </anchor>
          </controlPr>
        </control>
      </mc:Choice>
      <mc:Fallback>
        <control shapeId="4158" r:id="rId2" name="btnBuildNewTemplate"/>
      </mc:Fallback>
    </mc:AlternateContent>
    <mc:AlternateContent xmlns:mc="http://schemas.openxmlformats.org/markup-compatibility/2006">
      <mc:Choice Requires="x14">
        <control shapeId="4159" r:id="rId4" name="btnMarkSelectedInputCell">
          <controlPr defaultSize="0" autoLine="0" r:id="rId3">
            <anchor>
              <from>
                <xdr:col>0</xdr:col>
                <xdr:colOff>38100</xdr:colOff>
                <xdr:row>2</xdr:row>
                <xdr:rowOff>276225</xdr:rowOff>
              </from>
              <to>
                <xdr:col>2</xdr:col>
                <xdr:colOff>981075</xdr:colOff>
                <xdr:row>2</xdr:row>
                <xdr:rowOff>514350</xdr:rowOff>
              </to>
            </anchor>
          </controlPr>
        </control>
      </mc:Choice>
      <mc:Fallback>
        <control shapeId="4159" r:id="rId4" name="btnMarkSelectedInputCell"/>
      </mc:Fallback>
    </mc:AlternateContent>
    <mc:AlternateContent xmlns:mc="http://schemas.openxmlformats.org/markup-compatibility/2006">
      <mc:Choice Requires="x14">
        <control shapeId="4160" r:id="rId6" name="btnUnmarkSelectedInputCell">
          <controlPr defaultSize="0" autoLine="0" r:id="rId5">
            <anchor>
              <from>
                <xdr:col>0</xdr:col>
                <xdr:colOff>38100</xdr:colOff>
                <xdr:row>2</xdr:row>
                <xdr:rowOff>542925</xdr:rowOff>
              </from>
              <to>
                <xdr:col>2</xdr:col>
                <xdr:colOff>981075</xdr:colOff>
                <xdr:row>2</xdr:row>
                <xdr:rowOff>781050</xdr:rowOff>
              </to>
            </anchor>
          </controlPr>
        </control>
      </mc:Choice>
      <mc:Fallback>
        <control shapeId="4160" r:id="rId6" name="btnUnmarkSelectedInputCell"/>
      </mc:Fallback>
    </mc:AlternateContent>
    <mc:AlternateContent xmlns:mc="http://schemas.openxmlformats.org/markup-compatibility/2006">
      <mc:Choice Requires="x14">
        <control shapeId="4161" r:id="rId8" name="btnRepaintInputCell">
          <controlPr defaultSize="0" autoLine="0" r:id="rId7">
            <anchor>
              <from>
                <xdr:col>0</xdr:col>
                <xdr:colOff>38100</xdr:colOff>
                <xdr:row>2</xdr:row>
                <xdr:rowOff>800100</xdr:rowOff>
              </from>
              <to>
                <xdr:col>2</xdr:col>
                <xdr:colOff>981075</xdr:colOff>
                <xdr:row>2</xdr:row>
                <xdr:rowOff>1038225</xdr:rowOff>
              </to>
            </anchor>
          </controlPr>
        </control>
      </mc:Choice>
      <mc:Fallback>
        <control shapeId="4161" r:id="rId8" name="btnRepaintInputCell"/>
      </mc:Fallback>
    </mc:AlternateContent>
    <mc:AlternateContent xmlns:mc="http://schemas.openxmlformats.org/markup-compatibility/2006">
      <mc:Choice Requires="x14">
        <control shapeId="4162" r:id="rId10" name="btnBuildInputPageFromTemplate">
          <controlPr defaultSize="0" autoLine="0" r:id="rId9">
            <anchor>
              <from>
                <xdr:col>0</xdr:col>
                <xdr:colOff>38100</xdr:colOff>
                <xdr:row>2</xdr:row>
                <xdr:rowOff>1057275</xdr:rowOff>
              </from>
              <to>
                <xdr:col>2</xdr:col>
                <xdr:colOff>981075</xdr:colOff>
                <xdr:row>2</xdr:row>
                <xdr:rowOff>1295400</xdr:rowOff>
              </to>
            </anchor>
          </controlPr>
        </control>
      </mc:Choice>
      <mc:Fallback>
        <control shapeId="4162" r:id="rId10" name="btnBuildInputPageFromTemplate"/>
      </mc:Fallback>
    </mc:AlternateContent>
    <mc:AlternateContent xmlns:mc="http://schemas.openxmlformats.org/markup-compatibility/2006">
      <mc:Choice Requires="x14">
        <control shapeId="4163" r:id="rId12" name="btnClearTemplate">
          <controlPr defaultSize="0" autoLine="0" r:id="rId11">
            <anchor>
              <from>
                <xdr:col>0</xdr:col>
                <xdr:colOff>38100</xdr:colOff>
                <xdr:row>2</xdr:row>
                <xdr:rowOff>1314450</xdr:rowOff>
              </from>
              <to>
                <xdr:col>2</xdr:col>
                <xdr:colOff>981075</xdr:colOff>
                <xdr:row>2</xdr:row>
                <xdr:rowOff>1552575</xdr:rowOff>
              </to>
            </anchor>
          </controlPr>
        </control>
      </mc:Choice>
      <mc:Fallback>
        <control shapeId="4163" r:id="rId12" name="btnClearTemplate"/>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4"/>
  <dimension ref="A2:Z2"/>
  <sheetViews>
    <sheetView workbookViewId="0" topLeftCell="A1">
      <pane ySplit="2" topLeftCell="A3" activePane="bottomLeft" state="frozen"/>
      <selection pane="topLeft" activeCell="D11" sqref="D11"/>
      <selection pane="bottomLeft" activeCell="A3" sqref="A3"/>
    </sheetView>
  </sheetViews>
  <sheetFormatPr defaultRowHeight="12.75"/>
  <cols>
    <col min="1" max="1" width="13.1428571428571" style="8" bestFit="1" customWidth="1"/>
    <col min="2" max="2" width="6.57142857142857" style="8" customWidth="1"/>
    <col min="3" max="3" width="5.14285714285714" style="8" customWidth="1"/>
    <col min="4" max="4" width="31.2857142857143" style="8" bestFit="1" customWidth="1"/>
    <col min="5" max="5" width="18.2857142857143" style="8" bestFit="1" customWidth="1"/>
    <col min="6" max="6" width="26" style="8" bestFit="1" customWidth="1"/>
    <col min="7" max="7" width="20.4285714285714" style="8" bestFit="1" customWidth="1"/>
    <col min="8" max="8" width="21" style="8" bestFit="1" customWidth="1"/>
    <col min="9" max="9" width="23.7142857142857" style="8" bestFit="1" customWidth="1"/>
    <col min="10" max="10" width="30.5714285714286" style="8" bestFit="1" customWidth="1"/>
    <col min="11" max="11" width="28.4285714285714" style="8" bestFit="1" customWidth="1"/>
    <col min="12" max="12" width="7.42857142857143" style="8" customWidth="1"/>
    <col min="13" max="13" width="24.5714285714286" style="8" bestFit="1" customWidth="1"/>
    <col min="14" max="14" width="11.7142857142857" style="8" bestFit="1" customWidth="1"/>
    <col min="15" max="15" width="29.1428571428571" style="8" bestFit="1" customWidth="1"/>
    <col min="16" max="16" width="18" style="8" bestFit="1" customWidth="1"/>
    <col min="17" max="17" width="25.1428571428571" style="8" bestFit="1" customWidth="1"/>
    <col min="18" max="18" width="8.28571428571429" style="8" customWidth="1"/>
    <col min="19" max="19" width="11.5714285714286" style="8" bestFit="1" customWidth="1"/>
    <col min="20" max="20" width="8" style="8" customWidth="1"/>
    <col min="21" max="21" width="14.1428571428571" style="8" bestFit="1" customWidth="1"/>
    <col min="22" max="22" width="7.57142857142857" style="8" customWidth="1"/>
    <col min="23" max="23" width="8.85714285714286" style="8" customWidth="1"/>
    <col min="24" max="24" width="7.42857142857143" style="8" customWidth="1"/>
    <col min="25" max="25" width="17.2857142857143" style="8" bestFit="1" customWidth="1"/>
    <col min="26" max="26" width="31.5714285714286" style="8" bestFit="1" customWidth="1"/>
  </cols>
  <sheetData>
    <row r="1" ht="39.95" customHeight="1"/>
    <row r="2" spans="1:26" s="33" customFormat="1" ht="12.75">
      <c r="A2" s="31" t="s">
        <v>24</v>
      </c>
      <c r="B2" s="31" t="s">
        <v>26</v>
      </c>
      <c r="C2" s="31" t="s">
        <v>29</v>
      </c>
      <c r="D2" s="31" t="s">
        <v>31</v>
      </c>
      <c r="E2" s="31" t="s">
        <v>33</v>
      </c>
      <c r="F2" s="31" t="s">
        <v>35</v>
      </c>
      <c r="G2" s="31" t="s">
        <v>37</v>
      </c>
      <c r="H2" s="31" t="s">
        <v>40</v>
      </c>
      <c r="I2" s="31" t="s">
        <v>42</v>
      </c>
      <c r="J2" s="31" t="s">
        <v>44</v>
      </c>
      <c r="K2" s="31" t="s">
        <v>46</v>
      </c>
      <c r="L2" s="31" t="s">
        <v>48</v>
      </c>
      <c r="M2" s="31" t="s">
        <v>51</v>
      </c>
      <c r="N2" s="31" t="s">
        <v>53</v>
      </c>
      <c r="O2" s="31" t="s">
        <v>55</v>
      </c>
      <c r="P2" s="31" t="s">
        <v>56</v>
      </c>
      <c r="Q2" s="31" t="s">
        <v>63</v>
      </c>
      <c r="R2" s="31" t="s">
        <v>65</v>
      </c>
      <c r="S2" s="31" t="s">
        <v>67</v>
      </c>
      <c r="T2" s="31" t="s">
        <v>69</v>
      </c>
      <c r="U2" s="31" t="s">
        <v>71</v>
      </c>
      <c r="V2" s="31" t="s">
        <v>73</v>
      </c>
      <c r="W2" s="31" t="s">
        <v>75</v>
      </c>
      <c r="X2" s="31" t="s">
        <v>77</v>
      </c>
      <c r="Y2" s="31" t="s">
        <v>79</v>
      </c>
      <c r="Z2" s="32" t="s">
        <v>81</v>
      </c>
    </row>
  </sheetData>
  <printOptions gridLines="1"/>
  <pageMargins left="0.75" right="0.75" top="1" bottom="1" header="0.5" footer="0.5"/>
  <pageSetup orientation="landscape" scale="80" r:id="rId383"/>
  <headerFooter alignWithMargins="0"/>
  <drawing r:id="rId381"/>
  <legacyDrawing r:id="rId382"/>
  <mc:AlternateContent xmlns:mc="http://schemas.openxmlformats.org/markup-compatibility/2006">
    <mc:Choice Requires="x14">
      <controls>
        <mc:AlternateContent xmlns:mc="http://schemas.openxmlformats.org/markup-compatibility/2006">
          <mc:Choice Requires="x14">
            <control shapeId="10241" r:id="rId1" name="Button 1">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2" r:id="rId2" name="Button 2">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3" r:id="rId3" name="Button 3">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4" r:id="rId4" name="Button 4">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5" r:id="rId5" name="Button 5">
              <controlPr defaultSize="0" print="0" autoLine="0" autoPict="0">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6" r:id="rId6" name="Button 6">
              <controlPr defaultSize="0" print="0" autoLine="0" autoPict="0">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7" r:id="rId7" name="Button 7">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8" r:id="rId8" name="Button 8">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49" r:id="rId9" name="Button 9">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0" r:id="rId10" name="Button 10">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1" r:id="rId11" name="Button 11">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2" r:id="rId12" name="Button 12">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3" r:id="rId13" name="Button 13">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4" r:id="rId14" name="Button 14">
              <controlPr defaultSize="0" print="0" autoLine="0" autoPict="0" macro="[0]!Module1.DoExcelPos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5" r:id="rId15" name="Button 15">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6" r:id="rId16" name="Button 16">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7" r:id="rId17" name="Button 17">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8" r:id="rId18" name="Button 18">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59" r:id="rId19" name="Button 19">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0" r:id="rId20" name="Button 20">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1" r:id="rId21" name="Button 21">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2" r:id="rId22" name="Button 22">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3" r:id="rId23" name="Button 23">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4" r:id="rId24" name="Button 24">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5" r:id="rId25" name="Button 25">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6" r:id="rId26" name="Button 26">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7" r:id="rId27" name="Button 27">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8" r:id="rId28" name="Button 28">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69" r:id="rId29" name="Button 29">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0" r:id="rId30" name="Button 30">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1" r:id="rId31" name="Button 31">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2" r:id="rId32" name="Button 32">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3" r:id="rId33" name="Button 33">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4" r:id="rId34" name="Button 34">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5" r:id="rId35" name="Button 35">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6" r:id="rId36" name="Button 36">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7" r:id="rId37" name="Button 37">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8" r:id="rId38" name="Button 38">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79" r:id="rId39" name="Button 39">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0" r:id="rId40" name="Button 40">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1" r:id="rId41" name="Button 41">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2" r:id="rId42" name="Button 42">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3" r:id="rId43" name="Button 43">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4" r:id="rId44" name="Button 44">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5" r:id="rId45" name="Button 45">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6" r:id="rId46" name="Button 46">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7" r:id="rId47" name="Button 47">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8" r:id="rId48" name="Button 48">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89" r:id="rId49" name="Button 49">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0" r:id="rId50" name="Button 50">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1" r:id="rId51" name="Button 51">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2" r:id="rId52" name="Button 52">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3" r:id="rId53" name="Button 53">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4" r:id="rId54" name="Button 54">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5" r:id="rId55" name="Button 55">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6" r:id="rId56" name="Button 56">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7" r:id="rId57" name="Button 57">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8" r:id="rId58" name="Button 58">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299" r:id="rId59" name="Button 59">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300" r:id="rId60" name="Button 60">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301" r:id="rId61" name="Button 61">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302" r:id="rId62" name="Button 62">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303" r:id="rId63" name="Button 63">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304" r:id="rId64" name="Button 64">
              <controlPr defaultSize="0" print="0" autoLine="0" autoPict="0" macro="[0]!ValidateComplexObject">
                <anchor moveWithCells="1" sizeWithCells="1">
                  <from>
                    <xdr:col>32</xdr:col>
                    <xdr:colOff>28575</xdr:colOff>
                    <xdr:row>0</xdr:row>
                    <xdr:rowOff>0</xdr:rowOff>
                  </from>
                  <to>
                    <xdr:col>33</xdr:col>
                    <xdr:colOff>219075</xdr:colOff>
                    <xdr:row>0</xdr:row>
                    <xdr:rowOff>0</xdr:rowOff>
                  </to>
                </anchor>
              </controlPr>
            </control>
          </mc:Choice>
        </mc:AlternateContent>
        <mc:AlternateContent xmlns:mc="http://schemas.openxmlformats.org/markup-compatibility/2006">
          <mc:Choice Requires="x14">
            <control shapeId="10305" r:id="rId65" name="Button 65">
              <controlPr defaultSize="0" print="0" autoLine="0" autoPict="0" macro="[0]!BuildComplexObjectFromSimpleObject">
                <anchor moveWithCells="1" sizeWithCells="1">
                  <from>
                    <xdr:col>34</xdr:col>
                    <xdr:colOff>0</xdr:colOff>
                    <xdr:row>0</xdr:row>
                    <xdr:rowOff>0</xdr:rowOff>
                  </from>
                  <to>
                    <xdr:col>36</xdr:col>
                    <xdr:colOff>428625</xdr:colOff>
                    <xdr:row>0</xdr:row>
                    <xdr:rowOff>0</xdr:rowOff>
                  </to>
                </anchor>
              </controlPr>
            </control>
          </mc:Choice>
        </mc:AlternateContent>
        <mc:AlternateContent xmlns:mc="http://schemas.openxmlformats.org/markup-compatibility/2006">
          <mc:Choice Requires="x14">
            <control shapeId="10306" r:id="rId66" name="Button 66">
              <controlPr defaultSize="0" print="0" autoLine="0" autoPict="0" macro="[0]!ValidateComplexObject">
                <anchor moveWithCells="1" sizeWithCells="1">
                  <from>
                    <xdr:col>37</xdr:col>
                    <xdr:colOff>600075</xdr:colOff>
                    <xdr:row>0</xdr:row>
                    <xdr:rowOff>0</xdr:rowOff>
                  </from>
                  <to>
                    <xdr:col>40</xdr:col>
                    <xdr:colOff>419100</xdr:colOff>
                    <xdr:row>0</xdr:row>
                    <xdr:rowOff>0</xdr:rowOff>
                  </to>
                </anchor>
              </controlPr>
            </control>
          </mc:Choice>
        </mc:AlternateContent>
        <mc:AlternateContent xmlns:mc="http://schemas.openxmlformats.org/markup-compatibility/2006">
          <mc:Choice Requires="x14">
            <control shapeId="10307" r:id="rId67" name="Button 67">
              <controlPr defaultSize="0" print="0" autoLine="0" autoPict="0" macro="[0]!BuildComplexObjectFromSimpleObject">
                <anchor moveWithCells="1" sizeWithCells="1">
                  <from>
                    <xdr:col>34</xdr:col>
                    <xdr:colOff>0</xdr:colOff>
                    <xdr:row>0</xdr:row>
                    <xdr:rowOff>0</xdr:rowOff>
                  </from>
                  <to>
                    <xdr:col>36</xdr:col>
                    <xdr:colOff>428625</xdr:colOff>
                    <xdr:row>0</xdr:row>
                    <xdr:rowOff>0</xdr:rowOff>
                  </to>
                </anchor>
              </controlPr>
            </control>
          </mc:Choice>
        </mc:AlternateContent>
        <mc:AlternateContent xmlns:mc="http://schemas.openxmlformats.org/markup-compatibility/2006">
          <mc:Choice Requires="x14">
            <control shapeId="10308" r:id="rId68" name="Button 68">
              <controlPr defaultSize="0" print="0" autoLine="0" autoPict="0" macro="[0]!ValidateComplexObject">
                <anchor moveWithCells="1" sizeWithCells="1">
                  <from>
                    <xdr:col>37</xdr:col>
                    <xdr:colOff>600075</xdr:colOff>
                    <xdr:row>0</xdr:row>
                    <xdr:rowOff>0</xdr:rowOff>
                  </from>
                  <to>
                    <xdr:col>40</xdr:col>
                    <xdr:colOff>419100</xdr:colOff>
                    <xdr:row>0</xdr:row>
                    <xdr:rowOff>0</xdr:rowOff>
                  </to>
                </anchor>
              </controlPr>
            </control>
          </mc:Choice>
        </mc:AlternateContent>
        <mc:AlternateContent xmlns:mc="http://schemas.openxmlformats.org/markup-compatibility/2006">
          <mc:Choice Requires="x14">
            <control shapeId="10309" r:id="rId69" name="Button 69">
              <controlPr defaultSize="0" print="0" autoLine="0" autoPict="0" macro="[0]!PostEditResultsToSimpleObject">
                <anchor moveWithCells="1" sizeWithCells="1">
                  <from>
                    <xdr:col>42</xdr:col>
                    <xdr:colOff>0</xdr:colOff>
                    <xdr:row>0</xdr:row>
                    <xdr:rowOff>0</xdr:rowOff>
                  </from>
                  <to>
                    <xdr:col>44</xdr:col>
                    <xdr:colOff>428625</xdr:colOff>
                    <xdr:row>0</xdr:row>
                    <xdr:rowOff>0</xdr:rowOff>
                  </to>
                </anchor>
              </controlPr>
            </control>
          </mc:Choice>
        </mc:AlternateContent>
        <mc:AlternateContent xmlns:mc="http://schemas.openxmlformats.org/markup-compatibility/2006">
          <mc:Choice Requires="x14">
            <control shapeId="10310" r:id="rId70" name="Button 70">
              <controlPr defaultSize="0" print="0" autoLine="0" autoPict="0" macro="[0]!BuildComplexObjectFromSimpleObject">
                <anchor moveWithCells="1" sizeWithCells="1">
                  <from>
                    <xdr:col>33</xdr:col>
                    <xdr:colOff>600075</xdr:colOff>
                    <xdr:row>0</xdr:row>
                    <xdr:rowOff>0</xdr:rowOff>
                  </from>
                  <to>
                    <xdr:col>36</xdr:col>
                    <xdr:colOff>419100</xdr:colOff>
                    <xdr:row>0</xdr:row>
                    <xdr:rowOff>0</xdr:rowOff>
                  </to>
                </anchor>
              </controlPr>
            </control>
          </mc:Choice>
        </mc:AlternateContent>
        <mc:AlternateContent xmlns:mc="http://schemas.openxmlformats.org/markup-compatibility/2006">
          <mc:Choice Requires="x14">
            <control shapeId="10311" r:id="rId71" name="Button 71">
              <controlPr defaultSize="0" print="0" autoLine="0" autoPict="0" macro="[0]!ValidateComplexObject">
                <anchor moveWithCells="1" sizeWithCells="1">
                  <from>
                    <xdr:col>37</xdr:col>
                    <xdr:colOff>600075</xdr:colOff>
                    <xdr:row>0</xdr:row>
                    <xdr:rowOff>0</xdr:rowOff>
                  </from>
                  <to>
                    <xdr:col>40</xdr:col>
                    <xdr:colOff>419100</xdr:colOff>
                    <xdr:row>0</xdr:row>
                    <xdr:rowOff>0</xdr:rowOff>
                  </to>
                </anchor>
              </controlPr>
            </control>
          </mc:Choice>
        </mc:AlternateContent>
        <mc:AlternateContent xmlns:mc="http://schemas.openxmlformats.org/markup-compatibility/2006">
          <mc:Choice Requires="x14">
            <control shapeId="10312" r:id="rId72" name="Button 72">
              <controlPr defaultSize="0" print="0" autoLine="0" autoPict="0" macro="[0]!PostEditResultsToSimpleObject">
                <anchor moveWithCells="1" sizeWithCells="1">
                  <from>
                    <xdr:col>42</xdr:col>
                    <xdr:colOff>28575</xdr:colOff>
                    <xdr:row>0</xdr:row>
                    <xdr:rowOff>0</xdr:rowOff>
                  </from>
                  <to>
                    <xdr:col>44</xdr:col>
                    <xdr:colOff>457200</xdr:colOff>
                    <xdr:row>0</xdr:row>
                    <xdr:rowOff>0</xdr:rowOff>
                  </to>
                </anchor>
              </controlPr>
            </control>
          </mc:Choice>
        </mc:AlternateContent>
        <mc:AlternateContent xmlns:mc="http://schemas.openxmlformats.org/markup-compatibility/2006">
          <mc:Choice Requires="x14">
            <control shapeId="10313" r:id="rId73" name="Button 73">
              <controlPr defaultSize="0" print="0" autoLine="0" autoPict="0" macro="[0]!BuildComplexObjectFromSimpleObject">
                <anchor moveWithCells="1" sizeWithCells="1">
                  <from>
                    <xdr:col>33</xdr:col>
                    <xdr:colOff>600075</xdr:colOff>
                    <xdr:row>0</xdr:row>
                    <xdr:rowOff>0</xdr:rowOff>
                  </from>
                  <to>
                    <xdr:col>36</xdr:col>
                    <xdr:colOff>419100</xdr:colOff>
                    <xdr:row>0</xdr:row>
                    <xdr:rowOff>0</xdr:rowOff>
                  </to>
                </anchor>
              </controlPr>
            </control>
          </mc:Choice>
        </mc:AlternateContent>
        <mc:AlternateContent xmlns:mc="http://schemas.openxmlformats.org/markup-compatibility/2006">
          <mc:Choice Requires="x14">
            <control shapeId="10314" r:id="rId74" name="Button 74">
              <controlPr defaultSize="0" print="0" autoLine="0" autoPict="0" macro="[0]!ValidateComplexObject">
                <anchor moveWithCells="1" sizeWithCells="1">
                  <from>
                    <xdr:col>37</xdr:col>
                    <xdr:colOff>600075</xdr:colOff>
                    <xdr:row>0</xdr:row>
                    <xdr:rowOff>0</xdr:rowOff>
                  </from>
                  <to>
                    <xdr:col>40</xdr:col>
                    <xdr:colOff>419100</xdr:colOff>
                    <xdr:row>0</xdr:row>
                    <xdr:rowOff>0</xdr:rowOff>
                  </to>
                </anchor>
              </controlPr>
            </control>
          </mc:Choice>
        </mc:AlternateContent>
        <mc:AlternateContent xmlns:mc="http://schemas.openxmlformats.org/markup-compatibility/2006">
          <mc:Choice Requires="x14">
            <control shapeId="10315" r:id="rId75" name="Button 75">
              <controlPr defaultSize="0" print="0" autoLine="0" autoPict="0" macro="[0]!PostEditResultsToSimpleObject">
                <anchor moveWithCells="1" sizeWithCells="1">
                  <from>
                    <xdr:col>42</xdr:col>
                    <xdr:colOff>28575</xdr:colOff>
                    <xdr:row>0</xdr:row>
                    <xdr:rowOff>0</xdr:rowOff>
                  </from>
                  <to>
                    <xdr:col>44</xdr:col>
                    <xdr:colOff>457200</xdr:colOff>
                    <xdr:row>0</xdr:row>
                    <xdr:rowOff>0</xdr:rowOff>
                  </to>
                </anchor>
              </controlPr>
            </control>
          </mc:Choice>
        </mc:AlternateContent>
        <mc:AlternateContent xmlns:mc="http://schemas.openxmlformats.org/markup-compatibility/2006">
          <mc:Choice Requires="x14">
            <control shapeId="10316" r:id="rId76" name="Button 76">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17" r:id="rId77" name="Button 77">
              <controlPr defaultSize="0" print="0" autoLine="0" autoPict="0" macro="[0]!Validate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18" r:id="rId78" name="Button 78">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19" r:id="rId79" name="Button 79">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20" r:id="rId80" name="Button 80">
              <controlPr defaultSize="0" print="0" autoLine="0" autoPict="0" macro="[0]!Validate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21" r:id="rId81" name="Button 81">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22" r:id="rId82" name="Button 82">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23" r:id="rId83" name="Button 83">
              <controlPr defaultSize="0" print="0" autoLine="0" autoPict="0" macro="[0]!Validate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24" r:id="rId84" name="Button 84">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25" r:id="rId85" name="Button 85">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26" r:id="rId86" name="Button 86">
              <controlPr defaultSize="0" print="0" autoLine="0" autoPict="0" macro="[0]!Validate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27" r:id="rId87" name="Button 87">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28" r:id="rId88" name="Button 88">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29" r:id="rId89" name="Button 89">
              <controlPr defaultSize="0" print="0" autoLine="0" autoPict="0" macro="[0]!Validate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30" r:id="rId90" name="Button 90">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31" r:id="rId91" name="Button 91">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32" r:id="rId92" name="Button 92">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33" r:id="rId93" name="Button 93">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34" r:id="rId94" name="Button 94">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35" r:id="rId95" name="Button 95">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36" r:id="rId96" name="Button 96">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37" r:id="rId97" name="Button 97">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38" r:id="rId98" name="Button 98">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39" r:id="rId99" name="Button 99">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40" r:id="rId100" name="Button 100">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41" r:id="rId101" name="Button 101">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42" r:id="rId102" name="Button 102">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43" r:id="rId103" name="Button 103">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44" r:id="rId104" name="Button 104">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45" r:id="rId105" name="Button 105">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46" r:id="rId106" name="Button 106">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47" r:id="rId107" name="Button 107">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48" r:id="rId108" name="Button 108">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49" r:id="rId109" name="Button 109">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50" r:id="rId110" name="Button 110">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51" r:id="rId111" name="Button 111">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52" r:id="rId112" name="Button 112">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53" r:id="rId113" name="Button 113">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54" r:id="rId114" name="Button 114">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55" r:id="rId115" name="Button 115">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56" r:id="rId116" name="Button 116">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57" r:id="rId117" name="Button 117">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58" r:id="rId118" name="Button 118">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59" r:id="rId119" name="Button 119">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60" r:id="rId120" name="Button 120">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61" r:id="rId121" name="Button 121">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62" r:id="rId122" name="Button 122">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63" r:id="rId123" name="Button 123">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64" r:id="rId124" name="Button 124">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65" r:id="rId125" name="Button 125">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66" r:id="rId126" name="Button 126">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67" r:id="rId127" name="Button 127">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68" r:id="rId128" name="Button 128">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69" r:id="rId129" name="Button 129">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70" r:id="rId130" name="Button 130">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71" r:id="rId131" name="Button 131">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72" r:id="rId132" name="Button 132">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73" r:id="rId133" name="Button 133">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74" r:id="rId134" name="Button 134">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75" r:id="rId135" name="Button 135">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76" r:id="rId136" name="Button 136">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77" r:id="rId137" name="Button 137">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78" r:id="rId138" name="Button 138">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79" r:id="rId139" name="Button 139">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80" r:id="rId140" name="Button 140">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81" r:id="rId141" name="Button 141">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82" r:id="rId142" name="Button 142">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83" r:id="rId143" name="Button 143">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84" r:id="rId144" name="Button 144">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85" r:id="rId145" name="Button 145">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86" r:id="rId146" name="Button 146">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87" r:id="rId147" name="Button 147">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88" r:id="rId148" name="Button 148">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89" r:id="rId149" name="Button 149">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90" r:id="rId150" name="Button 150">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91" r:id="rId151" name="Button 151">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92" r:id="rId152" name="Button 152">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93" r:id="rId153" name="Button 153">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94" r:id="rId154" name="Button 154">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95" r:id="rId155" name="Button 155">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96" r:id="rId156" name="Button 156">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397" r:id="rId157" name="Button 157">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398" r:id="rId158" name="Button 158">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399" r:id="rId159" name="Button 159">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00" r:id="rId160" name="Button 160">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01" r:id="rId161" name="Button 161">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02" r:id="rId162" name="Button 162">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03" r:id="rId163" name="Button 163">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04" r:id="rId164" name="Button 164">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05" r:id="rId165" name="Button 165">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06" r:id="rId166" name="Button 166">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07" r:id="rId167" name="Button 167">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08" r:id="rId168" name="Button 168">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09" r:id="rId169" name="Button 169">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10" r:id="rId170" name="Button 170">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11" r:id="rId171" name="Button 171">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12" r:id="rId172" name="Button 172">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13" r:id="rId173" name="Button 173">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14" r:id="rId174" name="Button 174">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15" r:id="rId175" name="Button 175">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16" r:id="rId176" name="Button 176">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17" r:id="rId177" name="Button 177">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18" r:id="rId178" name="Button 178">
              <controlPr defaultSize="0" print="0" autoLine="0" autoPict="0" macro="[0]!BuildComplexObjectFromSimpleObject">
                <anchor moveWithCells="1" sizeWithCells="1">
                  <from>
                    <xdr:col>33</xdr:col>
                    <xdr:colOff>28575</xdr:colOff>
                    <xdr:row>0</xdr:row>
                    <xdr:rowOff>0</xdr:rowOff>
                  </from>
                  <to>
                    <xdr:col>35</xdr:col>
                    <xdr:colOff>457200</xdr:colOff>
                    <xdr:row>0</xdr:row>
                    <xdr:rowOff>0</xdr:rowOff>
                  </to>
                </anchor>
              </controlPr>
            </control>
          </mc:Choice>
        </mc:AlternateContent>
        <mc:AlternateContent xmlns:mc="http://schemas.openxmlformats.org/markup-compatibility/2006">
          <mc:Choice Requires="x14">
            <control shapeId="10419" r:id="rId179" name="Button 179">
              <controlPr defaultSize="0" print="0" autoLine="0" autoPict="0" macro="[0]!EditLoadComplexObject">
                <anchor moveWithCells="1" sizeWithCells="1">
                  <from>
                    <xdr:col>36</xdr:col>
                    <xdr:colOff>9525</xdr:colOff>
                    <xdr:row>0</xdr:row>
                    <xdr:rowOff>0</xdr:rowOff>
                  </from>
                  <to>
                    <xdr:col>38</xdr:col>
                    <xdr:colOff>438150</xdr:colOff>
                    <xdr:row>0</xdr:row>
                    <xdr:rowOff>0</xdr:rowOff>
                  </to>
                </anchor>
              </controlPr>
            </control>
          </mc:Choice>
        </mc:AlternateContent>
        <mc:AlternateContent xmlns:mc="http://schemas.openxmlformats.org/markup-compatibility/2006">
          <mc:Choice Requires="x14">
            <control shapeId="10420" r:id="rId180" name="Button 180">
              <controlPr defaultSize="0" print="0" autoLine="0" autoPict="0" macro="[0]!PostEditResultsToSimpleObject">
                <anchor moveWithCells="1" sizeWithCells="1">
                  <from>
                    <xdr:col>39</xdr:col>
                    <xdr:colOff>9525</xdr:colOff>
                    <xdr:row>0</xdr:row>
                    <xdr:rowOff>0</xdr:rowOff>
                  </from>
                  <to>
                    <xdr:col>41</xdr:col>
                    <xdr:colOff>438150</xdr:colOff>
                    <xdr:row>0</xdr:row>
                    <xdr:rowOff>0</xdr:rowOff>
                  </to>
                </anchor>
              </controlPr>
            </control>
          </mc:Choice>
        </mc:AlternateContent>
        <mc:AlternateContent xmlns:mc="http://schemas.openxmlformats.org/markup-compatibility/2006">
          <mc:Choice Requires="x14">
            <control shapeId="10421" r:id="rId181" name="Button 181">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22" r:id="rId182" name="Button 182">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23" r:id="rId183" name="Button 183">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24" r:id="rId184" name="Button 184">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25" r:id="rId185" name="Button 185">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26" r:id="rId186" name="Button 186">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27" r:id="rId187" name="Button 187">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28" r:id="rId188" name="Button 188">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29" r:id="rId189" name="Button 189">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30" r:id="rId190" name="Button 190">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31" r:id="rId191" name="Button 191">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32" r:id="rId192" name="Button 192">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33" r:id="rId193" name="Button 193">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34" r:id="rId194" name="Button 194">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35" r:id="rId195" name="Button 195">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36" r:id="rId196" name="Button 196">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37" r:id="rId197" name="Button 197">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38" r:id="rId198" name="Button 198">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39" r:id="rId199" name="Button 199">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40" r:id="rId200" name="Button 200">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41" r:id="rId201" name="Button 201">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42" r:id="rId202" name="Button 202">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43" r:id="rId203" name="Button 203">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44" r:id="rId204" name="Button 204">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45" r:id="rId205" name="Button 205">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46" r:id="rId206" name="Button 206">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47" r:id="rId207" name="Button 207">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48" r:id="rId208" name="Button 208">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49" r:id="rId209" name="Button 209">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50" r:id="rId210" name="Button 210">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51" r:id="rId211" name="Button 211">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52" r:id="rId212" name="Button 212">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53" r:id="rId213" name="Button 213">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54" r:id="rId214" name="Button 214">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55" r:id="rId215" name="Button 215">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56" r:id="rId216" name="Button 216">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57" r:id="rId217" name="Button 217">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58" r:id="rId218" name="Button 218">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59" r:id="rId219" name="Button 219">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60" r:id="rId220" name="Button 220">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61" r:id="rId221" name="Button 221">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62" r:id="rId222" name="Button 222">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63" r:id="rId223" name="Button 223">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64" r:id="rId224" name="Button 224">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65" r:id="rId225" name="Button 225">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66" r:id="rId226" name="Button 226">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67" r:id="rId227" name="Button 227">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68" r:id="rId228" name="Button 228">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69" r:id="rId229" name="Button 229">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70" r:id="rId230" name="Button 230">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71" r:id="rId231" name="Button 231">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72" r:id="rId232" name="Button 232">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73" r:id="rId233" name="Button 233">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74" r:id="rId234" name="Button 234">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75" r:id="rId235" name="Button 235">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76" r:id="rId236" name="Button 236">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77" r:id="rId237" name="Button 237">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78" r:id="rId238" name="Button 238">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79" r:id="rId239" name="Button 239">
              <controlPr defaultSize="0" print="0" autoLine="0" autoPict="0" macro="[0]!EditLoadComplexObject">
                <anchor moveWithCells="1" sizeWithCells="1">
                  <from>
                    <xdr:col>38</xdr:col>
                    <xdr:colOff>161925</xdr:colOff>
                    <xdr:row>0</xdr:row>
                    <xdr:rowOff>0</xdr:rowOff>
                  </from>
                  <to>
                    <xdr:col>40</xdr:col>
                    <xdr:colOff>590550</xdr:colOff>
                    <xdr:row>0</xdr:row>
                    <xdr:rowOff>0</xdr:rowOff>
                  </to>
                </anchor>
              </controlPr>
            </control>
          </mc:Choice>
        </mc:AlternateContent>
        <mc:AlternateContent xmlns:mc="http://schemas.openxmlformats.org/markup-compatibility/2006">
          <mc:Choice Requires="x14">
            <control shapeId="10480" r:id="rId240" name="Button 240">
              <controlPr defaultSize="0" print="0" autoLine="0" autoPict="0" macro="[0]!PostEditResultsToSimpleObject">
                <anchor moveWithCells="1" sizeWithCells="1">
                  <from>
                    <xdr:col>41</xdr:col>
                    <xdr:colOff>161925</xdr:colOff>
                    <xdr:row>0</xdr:row>
                    <xdr:rowOff>0</xdr:rowOff>
                  </from>
                  <to>
                    <xdr:col>43</xdr:col>
                    <xdr:colOff>590550</xdr:colOff>
                    <xdr:row>0</xdr:row>
                    <xdr:rowOff>0</xdr:rowOff>
                  </to>
                </anchor>
              </controlPr>
            </control>
          </mc:Choice>
        </mc:AlternateContent>
        <mc:AlternateContent xmlns:mc="http://schemas.openxmlformats.org/markup-compatibility/2006">
          <mc:Choice Requires="x14">
            <control shapeId="10481" r:id="rId241" name="Button 241">
              <controlPr defaultSize="0" print="0" autoLine="0" autoPict="0" macro="[0]!BuildComplexObjectFromSimpleObject">
                <anchor moveWithCells="1" sizeWithCells="1">
                  <from>
                    <xdr:col>35</xdr:col>
                    <xdr:colOff>85725</xdr:colOff>
                    <xdr:row>0</xdr:row>
                    <xdr:rowOff>0</xdr:rowOff>
                  </from>
                  <to>
                    <xdr:col>37</xdr:col>
                    <xdr:colOff>514350</xdr:colOff>
                    <xdr:row>0</xdr:row>
                    <xdr:rowOff>0</xdr:rowOff>
                  </to>
                </anchor>
              </controlPr>
            </control>
          </mc:Choice>
        </mc:AlternateContent>
        <mc:AlternateContent xmlns:mc="http://schemas.openxmlformats.org/markup-compatibility/2006">
          <mc:Choice Requires="x14">
            <control shapeId="10482" r:id="rId242" name="Button 242">
              <controlPr defaultSize="0" print="0" autoLine="0" autoPict="0" macro="[0]!CreateTemplateFromCIDef">
                <anchor moveWithCells="1" sizeWithCells="1">
                  <from>
                    <xdr:col>38</xdr:col>
                    <xdr:colOff>285750</xdr:colOff>
                    <xdr:row>0</xdr:row>
                    <xdr:rowOff>0</xdr:rowOff>
                  </from>
                  <to>
                    <xdr:col>41</xdr:col>
                    <xdr:colOff>104775</xdr:colOff>
                    <xdr:row>0</xdr:row>
                    <xdr:rowOff>0</xdr:rowOff>
                  </to>
                </anchor>
              </controlPr>
            </control>
          </mc:Choice>
        </mc:AlternateContent>
        <mc:AlternateContent xmlns:mc="http://schemas.openxmlformats.org/markup-compatibility/2006">
          <mc:Choice Requires="x14">
            <control shapeId="10483" r:id="rId243" name="Button 243">
              <controlPr defaultSize="0" print="0" autoLine="0" autoPict="0" macro="[0]!PostEditResultsToSimpleObject">
                <anchor moveWithCells="1" sizeWithCells="1">
                  <from>
                    <xdr:col>42</xdr:col>
                    <xdr:colOff>285750</xdr:colOff>
                    <xdr:row>0</xdr:row>
                    <xdr:rowOff>0</xdr:rowOff>
                  </from>
                  <to>
                    <xdr:col>45</xdr:col>
                    <xdr:colOff>104775</xdr:colOff>
                    <xdr:row>0</xdr:row>
                    <xdr:rowOff>0</xdr:rowOff>
                  </to>
                </anchor>
              </controlPr>
            </control>
          </mc:Choice>
        </mc:AlternateContent>
        <mc:AlternateContent xmlns:mc="http://schemas.openxmlformats.org/markup-compatibility/2006">
          <mc:Choice Requires="x14">
            <control shapeId="10484" r:id="rId244" name="Button 244">
              <controlPr defaultSize="0" print="0" autoLine="0" autoPict="0" macro="[0]!HighlightTemplateFields">
                <anchor moveWithCells="1" sizeWithCells="1">
                  <from>
                    <xdr:col>39</xdr:col>
                    <xdr:colOff>180975</xdr:colOff>
                    <xdr:row>0</xdr:row>
                    <xdr:rowOff>0</xdr:rowOff>
                  </from>
                  <to>
                    <xdr:col>42</xdr:col>
                    <xdr:colOff>0</xdr:colOff>
                    <xdr:row>0</xdr:row>
                    <xdr:rowOff>0</xdr:rowOff>
                  </to>
                </anchor>
              </controlPr>
            </control>
          </mc:Choice>
        </mc:AlternateContent>
        <mc:AlternateContent xmlns:mc="http://schemas.openxmlformats.org/markup-compatibility/2006">
          <mc:Choice Requires="x14">
            <control shapeId="10485" r:id="rId245" name="Button 245">
              <controlPr defaultSize="0" print="0" autoLine="0" autoPict="0" macro="[0]!HighlightTemplateFields">
                <anchor moveWithCells="1" sizeWithCells="1">
                  <from>
                    <xdr:col>43</xdr:col>
                    <xdr:colOff>180975</xdr:colOff>
                    <xdr:row>0</xdr:row>
                    <xdr:rowOff>0</xdr:rowOff>
                  </from>
                  <to>
                    <xdr:col>46</xdr:col>
                    <xdr:colOff>0</xdr:colOff>
                    <xdr:row>0</xdr:row>
                    <xdr:rowOff>0</xdr:rowOff>
                  </to>
                </anchor>
              </controlPr>
            </control>
          </mc:Choice>
        </mc:AlternateContent>
        <mc:AlternateContent xmlns:mc="http://schemas.openxmlformats.org/markup-compatibility/2006">
          <mc:Choice Requires="x14">
            <control shapeId="10486" r:id="rId246" name="Button 246">
              <controlPr defaultSize="0" print="0" autoLine="0" autoPict="0" macro="[0]!EditLoadComplexObject">
                <anchor moveWithCells="1" sizeWithCells="1">
                  <from>
                    <xdr:col>39</xdr:col>
                    <xdr:colOff>180975</xdr:colOff>
                    <xdr:row>0</xdr:row>
                    <xdr:rowOff>0</xdr:rowOff>
                  </from>
                  <to>
                    <xdr:col>42</xdr:col>
                    <xdr:colOff>0</xdr:colOff>
                    <xdr:row>0</xdr:row>
                    <xdr:rowOff>0</xdr:rowOff>
                  </to>
                </anchor>
              </controlPr>
            </control>
          </mc:Choice>
        </mc:AlternateContent>
        <mc:AlternateContent xmlns:mc="http://schemas.openxmlformats.org/markup-compatibility/2006">
          <mc:Choice Requires="x14">
            <control shapeId="10487" r:id="rId247" name="Button 247">
              <controlPr defaultSize="0" print="0" autoLine="0" autoPict="0" macro="[0]!PostEditResultsToSimpleObject">
                <anchor moveWithCells="1" sizeWithCells="1">
                  <from>
                    <xdr:col>43</xdr:col>
                    <xdr:colOff>180975</xdr:colOff>
                    <xdr:row>0</xdr:row>
                    <xdr:rowOff>0</xdr:rowOff>
                  </from>
                  <to>
                    <xdr:col>46</xdr:col>
                    <xdr:colOff>0</xdr:colOff>
                    <xdr:row>0</xdr:row>
                    <xdr:rowOff>0</xdr:rowOff>
                  </to>
                </anchor>
              </controlPr>
            </control>
          </mc:Choice>
        </mc:AlternateContent>
        <mc:AlternateContent xmlns:mc="http://schemas.openxmlformats.org/markup-compatibility/2006">
          <mc:Choice Requires="x14">
            <control shapeId="10488" r:id="rId248" name="Button 248">
              <controlPr defaultSize="0" print="0" autoLine="0" autoPict="0" macro="[0]!BuildComplexObjectFromSimpleObject">
                <anchor moveWithCells="1" sizeWithCells="1">
                  <from>
                    <xdr:col>35</xdr:col>
                    <xdr:colOff>180975</xdr:colOff>
                    <xdr:row>0</xdr:row>
                    <xdr:rowOff>0</xdr:rowOff>
                  </from>
                  <to>
                    <xdr:col>38</xdr:col>
                    <xdr:colOff>0</xdr:colOff>
                    <xdr:row>0</xdr:row>
                    <xdr:rowOff>0</xdr:rowOff>
                  </to>
                </anchor>
              </controlPr>
            </control>
          </mc:Choice>
        </mc:AlternateContent>
        <mc:AlternateContent xmlns:mc="http://schemas.openxmlformats.org/markup-compatibility/2006">
          <mc:Choice Requires="x14">
            <control shapeId="10489" r:id="rId249" name="Button 249">
              <controlPr defaultSize="0" print="0" autoLine="0" autoPict="0" macro="[0]!SelectDataInputPage">
                <anchor moveWithCells="1" sizeWithCells="1">
                  <from>
                    <xdr:col>29</xdr:col>
                    <xdr:colOff>28575</xdr:colOff>
                    <xdr:row>0</xdr:row>
                    <xdr:rowOff>0</xdr:rowOff>
                  </from>
                  <to>
                    <xdr:col>30</xdr:col>
                    <xdr:colOff>514350</xdr:colOff>
                    <xdr:row>0</xdr:row>
                    <xdr:rowOff>0</xdr:rowOff>
                  </to>
                </anchor>
              </controlPr>
            </control>
          </mc:Choice>
        </mc:AlternateContent>
        <mc:AlternateContent xmlns:mc="http://schemas.openxmlformats.org/markup-compatibility/2006">
          <mc:Choice Requires="x14">
            <control shapeId="10490" r:id="rId250" name="Button 250">
              <controlPr defaultSize="0" print="0" autoLine="0" autoPict="0" macro="[0]!SelectSubmitPage">
                <anchor moveWithCells="1" sizeWithCells="1">
                  <from>
                    <xdr:col>30</xdr:col>
                    <xdr:colOff>590550</xdr:colOff>
                    <xdr:row>0</xdr:row>
                    <xdr:rowOff>0</xdr:rowOff>
                  </from>
                  <to>
                    <xdr:col>33</xdr:col>
                    <xdr:colOff>0</xdr:colOff>
                    <xdr:row>0</xdr:row>
                    <xdr:rowOff>0</xdr:rowOff>
                  </to>
                </anchor>
              </controlPr>
            </control>
          </mc:Choice>
        </mc:AlternateContent>
        <mc:AlternateContent xmlns:mc="http://schemas.openxmlformats.org/markup-compatibility/2006">
          <mc:Choice Requires="x14">
            <control shapeId="10491" r:id="rId251" name="Button 251">
              <controlPr defaultSize="0" print="0" autoLine="0" autoPict="0" macro="[0]!getLoginInformation">
                <anchor moveWithCells="1" sizeWithCells="1">
                  <from>
                    <xdr:col>33</xdr:col>
                    <xdr:colOff>19050</xdr:colOff>
                    <xdr:row>0</xdr:row>
                    <xdr:rowOff>0</xdr:rowOff>
                  </from>
                  <to>
                    <xdr:col>35</xdr:col>
                    <xdr:colOff>38100</xdr:colOff>
                    <xdr:row>0</xdr:row>
                    <xdr:rowOff>0</xdr:rowOff>
                  </to>
                </anchor>
              </controlPr>
            </control>
          </mc:Choice>
        </mc:AlternateContent>
        <mc:AlternateContent xmlns:mc="http://schemas.openxmlformats.org/markup-compatibility/2006">
          <mc:Choice Requires="x14">
            <control shapeId="10492" r:id="rId252" name="Button 252">
              <controlPr defaultSize="0" print="0" autoLine="0" autoPict="0" macro="[0]!SelectTemplatePage">
                <anchor moveWithCells="1" sizeWithCells="1">
                  <from>
                    <xdr:col>35</xdr:col>
                    <xdr:colOff>95250</xdr:colOff>
                    <xdr:row>0</xdr:row>
                    <xdr:rowOff>0</xdr:rowOff>
                  </from>
                  <to>
                    <xdr:col>37</xdr:col>
                    <xdr:colOff>152400</xdr:colOff>
                    <xdr:row>0</xdr:row>
                    <xdr:rowOff>0</xdr:rowOff>
                  </to>
                </anchor>
              </controlPr>
            </control>
          </mc:Choice>
        </mc:AlternateContent>
        <mc:AlternateContent xmlns:mc="http://schemas.openxmlformats.org/markup-compatibility/2006">
          <mc:Choice Requires="x14">
            <control shapeId="10493" r:id="rId253" name="Button 253">
              <controlPr defaultSize="0" print="0" autoLine="0" autoPict="0" macro="[0]!CloseTheTool">
                <anchor moveWithCells="1" sizeWithCells="1">
                  <from>
                    <xdr:col>37</xdr:col>
                    <xdr:colOff>219075</xdr:colOff>
                    <xdr:row>0</xdr:row>
                    <xdr:rowOff>0</xdr:rowOff>
                  </from>
                  <to>
                    <xdr:col>39</xdr:col>
                    <xdr:colOff>276225</xdr:colOff>
                    <xdr:row>0</xdr:row>
                    <xdr:rowOff>0</xdr:rowOff>
                  </to>
                </anchor>
              </controlPr>
            </control>
          </mc:Choice>
        </mc:AlternateContent>
        <mc:AlternateContent xmlns:mc="http://schemas.openxmlformats.org/markup-compatibility/2006">
          <mc:Choice Requires="x14">
            <control shapeId="10494" r:id="rId254" name="Button 254">
              <controlPr defaultSize="0" print="0" autoLine="0" autoPict="0" macro="[0]!SelectNotepad">
                <anchor moveWithCells="1" sizeWithCells="1">
                  <from>
                    <xdr:col>39</xdr:col>
                    <xdr:colOff>333375</xdr:colOff>
                    <xdr:row>0</xdr:row>
                    <xdr:rowOff>0</xdr:rowOff>
                  </from>
                  <to>
                    <xdr:col>41</xdr:col>
                    <xdr:colOff>390525</xdr:colOff>
                    <xdr:row>0</xdr:row>
                    <xdr:rowOff>0</xdr:rowOff>
                  </to>
                </anchor>
              </controlPr>
            </control>
          </mc:Choice>
        </mc:AlternateContent>
        <mc:AlternateContent xmlns:mc="http://schemas.openxmlformats.org/markup-compatibility/2006">
          <mc:Choice Requires="x14">
            <control shapeId="10495" r:id="rId255" name="Button 255">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496" r:id="rId256" name="Button 256">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497" r:id="rId257" name="Button 257">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498" r:id="rId258" name="Button 258">
              <controlPr defaultSize="0" print="0" autoLine="0" autoPict="0" macro="[0]!SelectDataInputPage">
                <anchor moveWithCells="1" sizeWithCells="1">
                  <from>
                    <xdr:col>29</xdr:col>
                    <xdr:colOff>28575</xdr:colOff>
                    <xdr:row>0</xdr:row>
                    <xdr:rowOff>0</xdr:rowOff>
                  </from>
                  <to>
                    <xdr:col>30</xdr:col>
                    <xdr:colOff>514350</xdr:colOff>
                    <xdr:row>0</xdr:row>
                    <xdr:rowOff>0</xdr:rowOff>
                  </to>
                </anchor>
              </controlPr>
            </control>
          </mc:Choice>
        </mc:AlternateContent>
        <mc:AlternateContent xmlns:mc="http://schemas.openxmlformats.org/markup-compatibility/2006">
          <mc:Choice Requires="x14">
            <control shapeId="10499" r:id="rId259" name="Button 259">
              <controlPr defaultSize="0" print="0" autoLine="0" autoPict="0" macro="[0]!SelectSubmitPage">
                <anchor moveWithCells="1" sizeWithCells="1">
                  <from>
                    <xdr:col>30</xdr:col>
                    <xdr:colOff>590550</xdr:colOff>
                    <xdr:row>0</xdr:row>
                    <xdr:rowOff>0</xdr:rowOff>
                  </from>
                  <to>
                    <xdr:col>33</xdr:col>
                    <xdr:colOff>0</xdr:colOff>
                    <xdr:row>0</xdr:row>
                    <xdr:rowOff>0</xdr:rowOff>
                  </to>
                </anchor>
              </controlPr>
            </control>
          </mc:Choice>
        </mc:AlternateContent>
        <mc:AlternateContent xmlns:mc="http://schemas.openxmlformats.org/markup-compatibility/2006">
          <mc:Choice Requires="x14">
            <control shapeId="10500" r:id="rId260" name="Button 260">
              <controlPr defaultSize="0" print="0" autoLine="0" autoPict="0" macro="[0]!getLoginInformation">
                <anchor moveWithCells="1" sizeWithCells="1">
                  <from>
                    <xdr:col>33</xdr:col>
                    <xdr:colOff>19050</xdr:colOff>
                    <xdr:row>0</xdr:row>
                    <xdr:rowOff>0</xdr:rowOff>
                  </from>
                  <to>
                    <xdr:col>35</xdr:col>
                    <xdr:colOff>38100</xdr:colOff>
                    <xdr:row>0</xdr:row>
                    <xdr:rowOff>0</xdr:rowOff>
                  </to>
                </anchor>
              </controlPr>
            </control>
          </mc:Choice>
        </mc:AlternateContent>
        <mc:AlternateContent xmlns:mc="http://schemas.openxmlformats.org/markup-compatibility/2006">
          <mc:Choice Requires="x14">
            <control shapeId="10501" r:id="rId261" name="Button 261">
              <controlPr defaultSize="0" print="0" autoLine="0" autoPict="0" macro="[0]!SelectTemplatePage">
                <anchor moveWithCells="1" sizeWithCells="1">
                  <from>
                    <xdr:col>35</xdr:col>
                    <xdr:colOff>95250</xdr:colOff>
                    <xdr:row>0</xdr:row>
                    <xdr:rowOff>0</xdr:rowOff>
                  </from>
                  <to>
                    <xdr:col>37</xdr:col>
                    <xdr:colOff>152400</xdr:colOff>
                    <xdr:row>0</xdr:row>
                    <xdr:rowOff>0</xdr:rowOff>
                  </to>
                </anchor>
              </controlPr>
            </control>
          </mc:Choice>
        </mc:AlternateContent>
        <mc:AlternateContent xmlns:mc="http://schemas.openxmlformats.org/markup-compatibility/2006">
          <mc:Choice Requires="x14">
            <control shapeId="10502" r:id="rId262" name="Button 262">
              <controlPr defaultSize="0" print="0" autoLine="0" autoPict="0" macro="[0]!CloseTheTool">
                <anchor moveWithCells="1" sizeWithCells="1">
                  <from>
                    <xdr:col>37</xdr:col>
                    <xdr:colOff>219075</xdr:colOff>
                    <xdr:row>0</xdr:row>
                    <xdr:rowOff>0</xdr:rowOff>
                  </from>
                  <to>
                    <xdr:col>39</xdr:col>
                    <xdr:colOff>276225</xdr:colOff>
                    <xdr:row>0</xdr:row>
                    <xdr:rowOff>0</xdr:rowOff>
                  </to>
                </anchor>
              </controlPr>
            </control>
          </mc:Choice>
        </mc:AlternateContent>
        <mc:AlternateContent xmlns:mc="http://schemas.openxmlformats.org/markup-compatibility/2006">
          <mc:Choice Requires="x14">
            <control shapeId="10503" r:id="rId263" name="Button 263">
              <controlPr defaultSize="0" print="0" autoLine="0" autoPict="0" macro="[0]!SelectNotepad">
                <anchor moveWithCells="1" sizeWithCells="1">
                  <from>
                    <xdr:col>39</xdr:col>
                    <xdr:colOff>333375</xdr:colOff>
                    <xdr:row>0</xdr:row>
                    <xdr:rowOff>0</xdr:rowOff>
                  </from>
                  <to>
                    <xdr:col>41</xdr:col>
                    <xdr:colOff>390525</xdr:colOff>
                    <xdr:row>0</xdr:row>
                    <xdr:rowOff>0</xdr:rowOff>
                  </to>
                </anchor>
              </controlPr>
            </control>
          </mc:Choice>
        </mc:AlternateContent>
        <mc:AlternateContent xmlns:mc="http://schemas.openxmlformats.org/markup-compatibility/2006">
          <mc:Choice Requires="x14">
            <control shapeId="10504" r:id="rId264" name="Button 264">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05" r:id="rId265" name="Button 265">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06" r:id="rId266" name="Button 266">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07" r:id="rId267" name="Button 267">
              <controlPr defaultSize="0" print="0" autoLine="0" autoPict="0" macro="[0]!SelectDataInputPage">
                <anchor moveWithCells="1" sizeWithCells="1">
                  <from>
                    <xdr:col>29</xdr:col>
                    <xdr:colOff>28575</xdr:colOff>
                    <xdr:row>0</xdr:row>
                    <xdr:rowOff>0</xdr:rowOff>
                  </from>
                  <to>
                    <xdr:col>30</xdr:col>
                    <xdr:colOff>514350</xdr:colOff>
                    <xdr:row>0</xdr:row>
                    <xdr:rowOff>0</xdr:rowOff>
                  </to>
                </anchor>
              </controlPr>
            </control>
          </mc:Choice>
        </mc:AlternateContent>
        <mc:AlternateContent xmlns:mc="http://schemas.openxmlformats.org/markup-compatibility/2006">
          <mc:Choice Requires="x14">
            <control shapeId="10508" r:id="rId268" name="Button 268">
              <controlPr defaultSize="0" print="0" autoLine="0" autoPict="0" macro="[0]!SelectSubmitPage">
                <anchor moveWithCells="1" sizeWithCells="1">
                  <from>
                    <xdr:col>30</xdr:col>
                    <xdr:colOff>590550</xdr:colOff>
                    <xdr:row>0</xdr:row>
                    <xdr:rowOff>0</xdr:rowOff>
                  </from>
                  <to>
                    <xdr:col>33</xdr:col>
                    <xdr:colOff>0</xdr:colOff>
                    <xdr:row>0</xdr:row>
                    <xdr:rowOff>0</xdr:rowOff>
                  </to>
                </anchor>
              </controlPr>
            </control>
          </mc:Choice>
        </mc:AlternateContent>
        <mc:AlternateContent xmlns:mc="http://schemas.openxmlformats.org/markup-compatibility/2006">
          <mc:Choice Requires="x14">
            <control shapeId="10509" r:id="rId269" name="Button 269">
              <controlPr defaultSize="0" print="0" autoLine="0" autoPict="0" macro="[0]!getLoginInformation">
                <anchor moveWithCells="1" sizeWithCells="1">
                  <from>
                    <xdr:col>33</xdr:col>
                    <xdr:colOff>19050</xdr:colOff>
                    <xdr:row>0</xdr:row>
                    <xdr:rowOff>0</xdr:rowOff>
                  </from>
                  <to>
                    <xdr:col>35</xdr:col>
                    <xdr:colOff>38100</xdr:colOff>
                    <xdr:row>0</xdr:row>
                    <xdr:rowOff>0</xdr:rowOff>
                  </to>
                </anchor>
              </controlPr>
            </control>
          </mc:Choice>
        </mc:AlternateContent>
        <mc:AlternateContent xmlns:mc="http://schemas.openxmlformats.org/markup-compatibility/2006">
          <mc:Choice Requires="x14">
            <control shapeId="10510" r:id="rId270" name="Button 270">
              <controlPr defaultSize="0" print="0" autoLine="0" autoPict="0" macro="[0]!SelectTemplatePage">
                <anchor moveWithCells="1" sizeWithCells="1">
                  <from>
                    <xdr:col>35</xdr:col>
                    <xdr:colOff>95250</xdr:colOff>
                    <xdr:row>0</xdr:row>
                    <xdr:rowOff>0</xdr:rowOff>
                  </from>
                  <to>
                    <xdr:col>37</xdr:col>
                    <xdr:colOff>152400</xdr:colOff>
                    <xdr:row>0</xdr:row>
                    <xdr:rowOff>0</xdr:rowOff>
                  </to>
                </anchor>
              </controlPr>
            </control>
          </mc:Choice>
        </mc:AlternateContent>
        <mc:AlternateContent xmlns:mc="http://schemas.openxmlformats.org/markup-compatibility/2006">
          <mc:Choice Requires="x14">
            <control shapeId="10511" r:id="rId271" name="Button 271">
              <controlPr defaultSize="0" print="0" autoLine="0" autoPict="0" macro="[0]!CloseTheTool">
                <anchor moveWithCells="1" sizeWithCells="1">
                  <from>
                    <xdr:col>37</xdr:col>
                    <xdr:colOff>219075</xdr:colOff>
                    <xdr:row>0</xdr:row>
                    <xdr:rowOff>0</xdr:rowOff>
                  </from>
                  <to>
                    <xdr:col>39</xdr:col>
                    <xdr:colOff>276225</xdr:colOff>
                    <xdr:row>0</xdr:row>
                    <xdr:rowOff>0</xdr:rowOff>
                  </to>
                </anchor>
              </controlPr>
            </control>
          </mc:Choice>
        </mc:AlternateContent>
        <mc:AlternateContent xmlns:mc="http://schemas.openxmlformats.org/markup-compatibility/2006">
          <mc:Choice Requires="x14">
            <control shapeId="10512" r:id="rId272" name="Button 272">
              <controlPr defaultSize="0" print="0" autoLine="0" autoPict="0" macro="[0]!SelectNotepad">
                <anchor moveWithCells="1" sizeWithCells="1">
                  <from>
                    <xdr:col>39</xdr:col>
                    <xdr:colOff>333375</xdr:colOff>
                    <xdr:row>0</xdr:row>
                    <xdr:rowOff>0</xdr:rowOff>
                  </from>
                  <to>
                    <xdr:col>41</xdr:col>
                    <xdr:colOff>390525</xdr:colOff>
                    <xdr:row>0</xdr:row>
                    <xdr:rowOff>0</xdr:rowOff>
                  </to>
                </anchor>
              </controlPr>
            </control>
          </mc:Choice>
        </mc:AlternateContent>
        <mc:AlternateContent xmlns:mc="http://schemas.openxmlformats.org/markup-compatibility/2006">
          <mc:Choice Requires="x14">
            <control shapeId="10513" r:id="rId273" name="Button 273">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14" r:id="rId274" name="Button 274">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15" r:id="rId275" name="Button 275">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16" r:id="rId276" name="Button 276">
              <controlPr defaultSize="0" print="0" autoLine="0" autoPict="0" macro="[0]!SelectDataInputPage">
                <anchor moveWithCells="1" sizeWithCells="1">
                  <from>
                    <xdr:col>29</xdr:col>
                    <xdr:colOff>28575</xdr:colOff>
                    <xdr:row>0</xdr:row>
                    <xdr:rowOff>0</xdr:rowOff>
                  </from>
                  <to>
                    <xdr:col>30</xdr:col>
                    <xdr:colOff>514350</xdr:colOff>
                    <xdr:row>0</xdr:row>
                    <xdr:rowOff>0</xdr:rowOff>
                  </to>
                </anchor>
              </controlPr>
            </control>
          </mc:Choice>
        </mc:AlternateContent>
        <mc:AlternateContent xmlns:mc="http://schemas.openxmlformats.org/markup-compatibility/2006">
          <mc:Choice Requires="x14">
            <control shapeId="10517" r:id="rId277" name="Button 277">
              <controlPr defaultSize="0" print="0" autoLine="0" autoPict="0" macro="[0]!SelectSubmitPage">
                <anchor moveWithCells="1" sizeWithCells="1">
                  <from>
                    <xdr:col>30</xdr:col>
                    <xdr:colOff>533400</xdr:colOff>
                    <xdr:row>0</xdr:row>
                    <xdr:rowOff>0</xdr:rowOff>
                  </from>
                  <to>
                    <xdr:col>32</xdr:col>
                    <xdr:colOff>590550</xdr:colOff>
                    <xdr:row>0</xdr:row>
                    <xdr:rowOff>0</xdr:rowOff>
                  </to>
                </anchor>
              </controlPr>
            </control>
          </mc:Choice>
        </mc:AlternateContent>
        <mc:AlternateContent xmlns:mc="http://schemas.openxmlformats.org/markup-compatibility/2006">
          <mc:Choice Requires="x14">
            <control shapeId="10518" r:id="rId278" name="Button 278">
              <controlPr defaultSize="0" print="0" autoLine="0" autoPict="0" macro="[0]!getLoginInformation">
                <anchor moveWithCells="1" sizeWithCells="1">
                  <from>
                    <xdr:col>32</xdr:col>
                    <xdr:colOff>638175</xdr:colOff>
                    <xdr:row>0</xdr:row>
                    <xdr:rowOff>0</xdr:rowOff>
                  </from>
                  <to>
                    <xdr:col>34</xdr:col>
                    <xdr:colOff>600075</xdr:colOff>
                    <xdr:row>0</xdr:row>
                    <xdr:rowOff>0</xdr:rowOff>
                  </to>
                </anchor>
              </controlPr>
            </control>
          </mc:Choice>
        </mc:AlternateContent>
        <mc:AlternateContent xmlns:mc="http://schemas.openxmlformats.org/markup-compatibility/2006">
          <mc:Choice Requires="x14">
            <control shapeId="10519" r:id="rId279" name="Button 279">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20" r:id="rId280" name="Button 280">
              <controlPr defaultSize="0" print="0" autoLine="0" autoPict="0" macro="[0]!CloseTheTool">
                <anchor moveWithCells="1" sizeWithCells="1">
                  <from>
                    <xdr:col>37</xdr:col>
                    <xdr:colOff>85725</xdr:colOff>
                    <xdr:row>0</xdr:row>
                    <xdr:rowOff>0</xdr:rowOff>
                  </from>
                  <to>
                    <xdr:col>39</xdr:col>
                    <xdr:colOff>142875</xdr:colOff>
                    <xdr:row>0</xdr:row>
                    <xdr:rowOff>0</xdr:rowOff>
                  </to>
                </anchor>
              </controlPr>
            </control>
          </mc:Choice>
        </mc:AlternateContent>
        <mc:AlternateContent xmlns:mc="http://schemas.openxmlformats.org/markup-compatibility/2006">
          <mc:Choice Requires="x14">
            <control shapeId="10521" r:id="rId281" name="Button 281">
              <controlPr defaultSize="0" print="0" autoLine="0" autoPict="0" macro="[0]!SelectNotepad">
                <anchor moveWithCells="1" sizeWithCells="1">
                  <from>
                    <xdr:col>39</xdr:col>
                    <xdr:colOff>152400</xdr:colOff>
                    <xdr:row>0</xdr:row>
                    <xdr:rowOff>0</xdr:rowOff>
                  </from>
                  <to>
                    <xdr:col>41</xdr:col>
                    <xdr:colOff>209550</xdr:colOff>
                    <xdr:row>0</xdr:row>
                    <xdr:rowOff>0</xdr:rowOff>
                  </to>
                </anchor>
              </controlPr>
            </control>
          </mc:Choice>
        </mc:AlternateContent>
        <mc:AlternateContent xmlns:mc="http://schemas.openxmlformats.org/markup-compatibility/2006">
          <mc:Choice Requires="x14">
            <control shapeId="10522" r:id="rId282" name="Button 282">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23" r:id="rId283" name="Button 283">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24" r:id="rId284" name="Button 284">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25" r:id="rId285" name="Button 285">
              <controlPr defaultSize="0" print="0" autoLine="0" autoPict="0" macro="[0]!SelectSubmitPage">
                <anchor moveWithCells="1" sizeWithCells="1">
                  <from>
                    <xdr:col>30</xdr:col>
                    <xdr:colOff>533400</xdr:colOff>
                    <xdr:row>0</xdr:row>
                    <xdr:rowOff>0</xdr:rowOff>
                  </from>
                  <to>
                    <xdr:col>32</xdr:col>
                    <xdr:colOff>590550</xdr:colOff>
                    <xdr:row>0</xdr:row>
                    <xdr:rowOff>0</xdr:rowOff>
                  </to>
                </anchor>
              </controlPr>
            </control>
          </mc:Choice>
        </mc:AlternateContent>
        <mc:AlternateContent xmlns:mc="http://schemas.openxmlformats.org/markup-compatibility/2006">
          <mc:Choice Requires="x14">
            <control shapeId="10526" r:id="rId286" name="Button 286">
              <controlPr defaultSize="0" print="0" autoLine="0" autoPict="0" macro="[0]!getLoginInformation">
                <anchor moveWithCells="1" sizeWithCells="1">
                  <from>
                    <xdr:col>32</xdr:col>
                    <xdr:colOff>638175</xdr:colOff>
                    <xdr:row>0</xdr:row>
                    <xdr:rowOff>0</xdr:rowOff>
                  </from>
                  <to>
                    <xdr:col>34</xdr:col>
                    <xdr:colOff>600075</xdr:colOff>
                    <xdr:row>0</xdr:row>
                    <xdr:rowOff>0</xdr:rowOff>
                  </to>
                </anchor>
              </controlPr>
            </control>
          </mc:Choice>
        </mc:AlternateContent>
        <mc:AlternateContent xmlns:mc="http://schemas.openxmlformats.org/markup-compatibility/2006">
          <mc:Choice Requires="x14">
            <control shapeId="10527" r:id="rId287" name="Button 287">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28" r:id="rId288" name="Button 288">
              <controlPr defaultSize="0" print="0" autoLine="0" autoPict="0" macro="[0]!CloseTheTool">
                <anchor moveWithCells="1" sizeWithCells="1">
                  <from>
                    <xdr:col>37</xdr:col>
                    <xdr:colOff>85725</xdr:colOff>
                    <xdr:row>0</xdr:row>
                    <xdr:rowOff>0</xdr:rowOff>
                  </from>
                  <to>
                    <xdr:col>39</xdr:col>
                    <xdr:colOff>142875</xdr:colOff>
                    <xdr:row>0</xdr:row>
                    <xdr:rowOff>0</xdr:rowOff>
                  </to>
                </anchor>
              </controlPr>
            </control>
          </mc:Choice>
        </mc:AlternateContent>
        <mc:AlternateContent xmlns:mc="http://schemas.openxmlformats.org/markup-compatibility/2006">
          <mc:Choice Requires="x14">
            <control shapeId="10529" r:id="rId289" name="Button 289">
              <controlPr defaultSize="0" print="0" autoLine="0" autoPict="0" macro="[0]!SelectNotepad">
                <anchor moveWithCells="1" sizeWithCells="1">
                  <from>
                    <xdr:col>39</xdr:col>
                    <xdr:colOff>152400</xdr:colOff>
                    <xdr:row>0</xdr:row>
                    <xdr:rowOff>0</xdr:rowOff>
                  </from>
                  <to>
                    <xdr:col>41</xdr:col>
                    <xdr:colOff>209550</xdr:colOff>
                    <xdr:row>0</xdr:row>
                    <xdr:rowOff>0</xdr:rowOff>
                  </to>
                </anchor>
              </controlPr>
            </control>
          </mc:Choice>
        </mc:AlternateContent>
        <mc:AlternateContent xmlns:mc="http://schemas.openxmlformats.org/markup-compatibility/2006">
          <mc:Choice Requires="x14">
            <control shapeId="10530" r:id="rId290" name="Button 290">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31" r:id="rId291" name="Button 291">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32" r:id="rId292" name="Button 292">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33" r:id="rId293" name="Button 293">
              <controlPr defaultSize="0" print="0" autoLine="0" autoPict="0" macro="[0]!SelectSubmitPage">
                <anchor moveWithCells="1" sizeWithCells="1">
                  <from>
                    <xdr:col>30</xdr:col>
                    <xdr:colOff>533400</xdr:colOff>
                    <xdr:row>0</xdr:row>
                    <xdr:rowOff>0</xdr:rowOff>
                  </from>
                  <to>
                    <xdr:col>32</xdr:col>
                    <xdr:colOff>590550</xdr:colOff>
                    <xdr:row>0</xdr:row>
                    <xdr:rowOff>0</xdr:rowOff>
                  </to>
                </anchor>
              </controlPr>
            </control>
          </mc:Choice>
        </mc:AlternateContent>
        <mc:AlternateContent xmlns:mc="http://schemas.openxmlformats.org/markup-compatibility/2006">
          <mc:Choice Requires="x14">
            <control shapeId="10534" r:id="rId294" name="Button 294">
              <controlPr defaultSize="0" print="0" autoLine="0" autoPict="0" macro="[0]!getLoginInformation">
                <anchor moveWithCells="1" sizeWithCells="1">
                  <from>
                    <xdr:col>32</xdr:col>
                    <xdr:colOff>638175</xdr:colOff>
                    <xdr:row>0</xdr:row>
                    <xdr:rowOff>0</xdr:rowOff>
                  </from>
                  <to>
                    <xdr:col>34</xdr:col>
                    <xdr:colOff>600075</xdr:colOff>
                    <xdr:row>0</xdr:row>
                    <xdr:rowOff>0</xdr:rowOff>
                  </to>
                </anchor>
              </controlPr>
            </control>
          </mc:Choice>
        </mc:AlternateContent>
        <mc:AlternateContent xmlns:mc="http://schemas.openxmlformats.org/markup-compatibility/2006">
          <mc:Choice Requires="x14">
            <control shapeId="10535" r:id="rId295" name="Button 295">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36" r:id="rId296" name="Button 296">
              <controlPr defaultSize="0" print="0" autoLine="0" autoPict="0" macro="[0]!CloseTheTool">
                <anchor moveWithCells="1" sizeWithCells="1">
                  <from>
                    <xdr:col>37</xdr:col>
                    <xdr:colOff>85725</xdr:colOff>
                    <xdr:row>0</xdr:row>
                    <xdr:rowOff>0</xdr:rowOff>
                  </from>
                  <to>
                    <xdr:col>39</xdr:col>
                    <xdr:colOff>142875</xdr:colOff>
                    <xdr:row>0</xdr:row>
                    <xdr:rowOff>0</xdr:rowOff>
                  </to>
                </anchor>
              </controlPr>
            </control>
          </mc:Choice>
        </mc:AlternateContent>
        <mc:AlternateContent xmlns:mc="http://schemas.openxmlformats.org/markup-compatibility/2006">
          <mc:Choice Requires="x14">
            <control shapeId="10537" r:id="rId297" name="Button 297">
              <controlPr defaultSize="0" print="0" autoLine="0" autoPict="0" macro="[0]!SelectNotepad">
                <anchor moveWithCells="1" sizeWithCells="1">
                  <from>
                    <xdr:col>39</xdr:col>
                    <xdr:colOff>152400</xdr:colOff>
                    <xdr:row>0</xdr:row>
                    <xdr:rowOff>0</xdr:rowOff>
                  </from>
                  <to>
                    <xdr:col>41</xdr:col>
                    <xdr:colOff>209550</xdr:colOff>
                    <xdr:row>0</xdr:row>
                    <xdr:rowOff>0</xdr:rowOff>
                  </to>
                </anchor>
              </controlPr>
            </control>
          </mc:Choice>
        </mc:AlternateContent>
        <mc:AlternateContent xmlns:mc="http://schemas.openxmlformats.org/markup-compatibility/2006">
          <mc:Choice Requires="x14">
            <control shapeId="10538" r:id="rId298" name="Button 298">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39" r:id="rId299" name="Button 299">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40" r:id="rId300" name="Button 300">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41" r:id="rId301" name="Button 301">
              <controlPr defaultSize="0" print="0" autoLine="0" autoPict="0" macro="[0]!SelectSubmitPage">
                <anchor moveWithCells="1" sizeWithCells="1">
                  <from>
                    <xdr:col>30</xdr:col>
                    <xdr:colOff>533400</xdr:colOff>
                    <xdr:row>0</xdr:row>
                    <xdr:rowOff>0</xdr:rowOff>
                  </from>
                  <to>
                    <xdr:col>32</xdr:col>
                    <xdr:colOff>590550</xdr:colOff>
                    <xdr:row>0</xdr:row>
                    <xdr:rowOff>0</xdr:rowOff>
                  </to>
                </anchor>
              </controlPr>
            </control>
          </mc:Choice>
        </mc:AlternateContent>
        <mc:AlternateContent xmlns:mc="http://schemas.openxmlformats.org/markup-compatibility/2006">
          <mc:Choice Requires="x14">
            <control shapeId="10542" r:id="rId302" name="Button 302">
              <controlPr defaultSize="0" print="0" autoLine="0" autoPict="0" macro="[0]!getLoginInformation">
                <anchor moveWithCells="1" sizeWithCells="1">
                  <from>
                    <xdr:col>32</xdr:col>
                    <xdr:colOff>638175</xdr:colOff>
                    <xdr:row>0</xdr:row>
                    <xdr:rowOff>0</xdr:rowOff>
                  </from>
                  <to>
                    <xdr:col>34</xdr:col>
                    <xdr:colOff>600075</xdr:colOff>
                    <xdr:row>0</xdr:row>
                    <xdr:rowOff>0</xdr:rowOff>
                  </to>
                </anchor>
              </controlPr>
            </control>
          </mc:Choice>
        </mc:AlternateContent>
        <mc:AlternateContent xmlns:mc="http://schemas.openxmlformats.org/markup-compatibility/2006">
          <mc:Choice Requires="x14">
            <control shapeId="10543" r:id="rId303" name="Button 303">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44" r:id="rId304" name="Button 304">
              <controlPr defaultSize="0" print="0" autoLine="0" autoPict="0" macro="[0]!CloseTheTool">
                <anchor moveWithCells="1" sizeWithCells="1">
                  <from>
                    <xdr:col>37</xdr:col>
                    <xdr:colOff>85725</xdr:colOff>
                    <xdr:row>0</xdr:row>
                    <xdr:rowOff>0</xdr:rowOff>
                  </from>
                  <to>
                    <xdr:col>39</xdr:col>
                    <xdr:colOff>142875</xdr:colOff>
                    <xdr:row>0</xdr:row>
                    <xdr:rowOff>0</xdr:rowOff>
                  </to>
                </anchor>
              </controlPr>
            </control>
          </mc:Choice>
        </mc:AlternateContent>
        <mc:AlternateContent xmlns:mc="http://schemas.openxmlformats.org/markup-compatibility/2006">
          <mc:Choice Requires="x14">
            <control shapeId="10545" r:id="rId305" name="Button 305">
              <controlPr defaultSize="0" print="0" autoLine="0" autoPict="0" macro="[0]!SelectNotepad">
                <anchor moveWithCells="1" sizeWithCells="1">
                  <from>
                    <xdr:col>39</xdr:col>
                    <xdr:colOff>152400</xdr:colOff>
                    <xdr:row>0</xdr:row>
                    <xdr:rowOff>0</xdr:rowOff>
                  </from>
                  <to>
                    <xdr:col>41</xdr:col>
                    <xdr:colOff>209550</xdr:colOff>
                    <xdr:row>0</xdr:row>
                    <xdr:rowOff>0</xdr:rowOff>
                  </to>
                </anchor>
              </controlPr>
            </control>
          </mc:Choice>
        </mc:AlternateContent>
        <mc:AlternateContent xmlns:mc="http://schemas.openxmlformats.org/markup-compatibility/2006">
          <mc:Choice Requires="x14">
            <control shapeId="10546" r:id="rId306" name="Button 306">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47" r:id="rId307" name="Button 307">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48" r:id="rId308" name="Button 308">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49" r:id="rId309" name="Button 309">
              <controlPr defaultSize="0" print="0" autoLine="0" autoPict="0" macro="[0]!SelectDataInputPage">
                <anchor moveWithCells="1" sizeWithCells="1">
                  <from>
                    <xdr:col>29</xdr:col>
                    <xdr:colOff>28575</xdr:colOff>
                    <xdr:row>0</xdr:row>
                    <xdr:rowOff>0</xdr:rowOff>
                  </from>
                  <to>
                    <xdr:col>30</xdr:col>
                    <xdr:colOff>514350</xdr:colOff>
                    <xdr:row>0</xdr:row>
                    <xdr:rowOff>0</xdr:rowOff>
                  </to>
                </anchor>
              </controlPr>
            </control>
          </mc:Choice>
        </mc:AlternateContent>
        <mc:AlternateContent xmlns:mc="http://schemas.openxmlformats.org/markup-compatibility/2006">
          <mc:Choice Requires="x14">
            <control shapeId="10550" r:id="rId310" name="Button 310">
              <controlPr defaultSize="0" print="0" autoLine="0" autoPict="0" macro="[0]!SelectSubmitPage">
                <anchor moveWithCells="1" sizeWithCells="1">
                  <from>
                    <xdr:col>30</xdr:col>
                    <xdr:colOff>533400</xdr:colOff>
                    <xdr:row>0</xdr:row>
                    <xdr:rowOff>0</xdr:rowOff>
                  </from>
                  <to>
                    <xdr:col>32</xdr:col>
                    <xdr:colOff>590550</xdr:colOff>
                    <xdr:row>0</xdr:row>
                    <xdr:rowOff>0</xdr:rowOff>
                  </to>
                </anchor>
              </controlPr>
            </control>
          </mc:Choice>
        </mc:AlternateContent>
        <mc:AlternateContent xmlns:mc="http://schemas.openxmlformats.org/markup-compatibility/2006">
          <mc:Choice Requires="x14">
            <control shapeId="10551" r:id="rId311" name="Button 311">
              <controlPr defaultSize="0" print="0" autoLine="0" autoPict="0" macro="[0]!getLoginInformation">
                <anchor moveWithCells="1" sizeWithCells="1">
                  <from>
                    <xdr:col>32</xdr:col>
                    <xdr:colOff>638175</xdr:colOff>
                    <xdr:row>0</xdr:row>
                    <xdr:rowOff>0</xdr:rowOff>
                  </from>
                  <to>
                    <xdr:col>34</xdr:col>
                    <xdr:colOff>600075</xdr:colOff>
                    <xdr:row>0</xdr:row>
                    <xdr:rowOff>0</xdr:rowOff>
                  </to>
                </anchor>
              </controlPr>
            </control>
          </mc:Choice>
        </mc:AlternateContent>
        <mc:AlternateContent xmlns:mc="http://schemas.openxmlformats.org/markup-compatibility/2006">
          <mc:Choice Requires="x14">
            <control shapeId="10552" r:id="rId312" name="Button 312">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53" r:id="rId313" name="Button 313">
              <controlPr defaultSize="0" print="0" autoLine="0" autoPict="0" macro="[0]!CloseTheTool">
                <anchor moveWithCells="1" sizeWithCells="1">
                  <from>
                    <xdr:col>37</xdr:col>
                    <xdr:colOff>85725</xdr:colOff>
                    <xdr:row>0</xdr:row>
                    <xdr:rowOff>0</xdr:rowOff>
                  </from>
                  <to>
                    <xdr:col>39</xdr:col>
                    <xdr:colOff>142875</xdr:colOff>
                    <xdr:row>0</xdr:row>
                    <xdr:rowOff>0</xdr:rowOff>
                  </to>
                </anchor>
              </controlPr>
            </control>
          </mc:Choice>
        </mc:AlternateContent>
        <mc:AlternateContent xmlns:mc="http://schemas.openxmlformats.org/markup-compatibility/2006">
          <mc:Choice Requires="x14">
            <control shapeId="10554" r:id="rId314" name="Button 314">
              <controlPr defaultSize="0" print="0" autoLine="0" autoPict="0" macro="[0]!SelectNotepad">
                <anchor moveWithCells="1" sizeWithCells="1">
                  <from>
                    <xdr:col>39</xdr:col>
                    <xdr:colOff>152400</xdr:colOff>
                    <xdr:row>0</xdr:row>
                    <xdr:rowOff>0</xdr:rowOff>
                  </from>
                  <to>
                    <xdr:col>41</xdr:col>
                    <xdr:colOff>209550</xdr:colOff>
                    <xdr:row>0</xdr:row>
                    <xdr:rowOff>0</xdr:rowOff>
                  </to>
                </anchor>
              </controlPr>
            </control>
          </mc:Choice>
        </mc:AlternateContent>
        <mc:AlternateContent xmlns:mc="http://schemas.openxmlformats.org/markup-compatibility/2006">
          <mc:Choice Requires="x14">
            <control shapeId="10555" r:id="rId315" name="Button 315">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56" r:id="rId316" name="Button 316">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57" r:id="rId317" name="Button 317">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58" r:id="rId318" name="Button 318">
              <controlPr defaultSize="0" print="0" autoLine="0" autoPict="0" macro="[0]!SelectDataInputPage">
                <anchor moveWithCells="1" sizeWithCells="1">
                  <from>
                    <xdr:col>29</xdr:col>
                    <xdr:colOff>28575</xdr:colOff>
                    <xdr:row>0</xdr:row>
                    <xdr:rowOff>0</xdr:rowOff>
                  </from>
                  <to>
                    <xdr:col>30</xdr:col>
                    <xdr:colOff>514350</xdr:colOff>
                    <xdr:row>0</xdr:row>
                    <xdr:rowOff>0</xdr:rowOff>
                  </to>
                </anchor>
              </controlPr>
            </control>
          </mc:Choice>
        </mc:AlternateContent>
        <mc:AlternateContent xmlns:mc="http://schemas.openxmlformats.org/markup-compatibility/2006">
          <mc:Choice Requires="x14">
            <control shapeId="10559" r:id="rId319" name="Button 319">
              <controlPr defaultSize="0" print="0" autoLine="0" autoPict="0" macro="[0]!SelectSubmitPage">
                <anchor moveWithCells="1" sizeWithCells="1">
                  <from>
                    <xdr:col>30</xdr:col>
                    <xdr:colOff>533400</xdr:colOff>
                    <xdr:row>0</xdr:row>
                    <xdr:rowOff>0</xdr:rowOff>
                  </from>
                  <to>
                    <xdr:col>32</xdr:col>
                    <xdr:colOff>590550</xdr:colOff>
                    <xdr:row>0</xdr:row>
                    <xdr:rowOff>0</xdr:rowOff>
                  </to>
                </anchor>
              </controlPr>
            </control>
          </mc:Choice>
        </mc:AlternateContent>
        <mc:AlternateContent xmlns:mc="http://schemas.openxmlformats.org/markup-compatibility/2006">
          <mc:Choice Requires="x14">
            <control shapeId="10560" r:id="rId320" name="Button 320">
              <controlPr defaultSize="0" print="0" autoLine="0" autoPict="0" macro="[0]!getLoginInformation">
                <anchor moveWithCells="1" sizeWithCells="1">
                  <from>
                    <xdr:col>32</xdr:col>
                    <xdr:colOff>638175</xdr:colOff>
                    <xdr:row>0</xdr:row>
                    <xdr:rowOff>0</xdr:rowOff>
                  </from>
                  <to>
                    <xdr:col>34</xdr:col>
                    <xdr:colOff>600075</xdr:colOff>
                    <xdr:row>0</xdr:row>
                    <xdr:rowOff>0</xdr:rowOff>
                  </to>
                </anchor>
              </controlPr>
            </control>
          </mc:Choice>
        </mc:AlternateContent>
        <mc:AlternateContent xmlns:mc="http://schemas.openxmlformats.org/markup-compatibility/2006">
          <mc:Choice Requires="x14">
            <control shapeId="10561" r:id="rId321" name="Button 321">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62" r:id="rId322" name="Button 322">
              <controlPr defaultSize="0" print="0" autoLine="0" autoPict="0" macro="[0]!CloseTheTool">
                <anchor moveWithCells="1" sizeWithCells="1">
                  <from>
                    <xdr:col>37</xdr:col>
                    <xdr:colOff>85725</xdr:colOff>
                    <xdr:row>0</xdr:row>
                    <xdr:rowOff>0</xdr:rowOff>
                  </from>
                  <to>
                    <xdr:col>39</xdr:col>
                    <xdr:colOff>142875</xdr:colOff>
                    <xdr:row>0</xdr:row>
                    <xdr:rowOff>0</xdr:rowOff>
                  </to>
                </anchor>
              </controlPr>
            </control>
          </mc:Choice>
        </mc:AlternateContent>
        <mc:AlternateContent xmlns:mc="http://schemas.openxmlformats.org/markup-compatibility/2006">
          <mc:Choice Requires="x14">
            <control shapeId="10563" r:id="rId323" name="Button 323">
              <controlPr defaultSize="0" print="0" autoLine="0" autoPict="0" macro="[0]!SelectNotepad">
                <anchor moveWithCells="1" sizeWithCells="1">
                  <from>
                    <xdr:col>39</xdr:col>
                    <xdr:colOff>152400</xdr:colOff>
                    <xdr:row>0</xdr:row>
                    <xdr:rowOff>0</xdr:rowOff>
                  </from>
                  <to>
                    <xdr:col>41</xdr:col>
                    <xdr:colOff>209550</xdr:colOff>
                    <xdr:row>0</xdr:row>
                    <xdr:rowOff>0</xdr:rowOff>
                  </to>
                </anchor>
              </controlPr>
            </control>
          </mc:Choice>
        </mc:AlternateContent>
        <mc:AlternateContent xmlns:mc="http://schemas.openxmlformats.org/markup-compatibility/2006">
          <mc:Choice Requires="x14">
            <control shapeId="10564" r:id="rId324" name="Button 324">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65" r:id="rId325" name="Button 325">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66" r:id="rId326" name="Button 326">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67" r:id="rId327" name="Button 327">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568" r:id="rId328" name="Button 328">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569" r:id="rId329" name="Button 329">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570" r:id="rId330" name="Button 330">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71" r:id="rId331" name="Button 331">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572" r:id="rId332" name="Button 332">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mc:AlternateContent xmlns:mc="http://schemas.openxmlformats.org/markup-compatibility/2006">
          <mc:Choice Requires="x14">
            <control shapeId="10573" r:id="rId333" name="Button 333">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74" r:id="rId334" name="Button 334">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75" r:id="rId335" name="Button 335">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76" r:id="rId336" name="Button 336">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577" r:id="rId337" name="Button 337">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578" r:id="rId338" name="Button 338">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579" r:id="rId339" name="Button 339">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80" r:id="rId340" name="Button 340">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581" r:id="rId341" name="Button 341">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mc:AlternateContent xmlns:mc="http://schemas.openxmlformats.org/markup-compatibility/2006">
          <mc:Choice Requires="x14">
            <control shapeId="10582" r:id="rId342" name="Button 342">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83" r:id="rId343" name="Button 343">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84" r:id="rId344" name="Button 344">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85" r:id="rId345" name="Button 345">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586" r:id="rId346" name="Button 346">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587" r:id="rId347" name="Button 347">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588" r:id="rId348" name="Button 348">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89" r:id="rId349" name="Button 349">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590" r:id="rId350" name="Button 350">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mc:AlternateContent xmlns:mc="http://schemas.openxmlformats.org/markup-compatibility/2006">
          <mc:Choice Requires="x14">
            <control shapeId="10591" r:id="rId351" name="Button 351">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592" r:id="rId352" name="Button 352">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593" r:id="rId353" name="Button 353">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594" r:id="rId354" name="Button 354">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595" r:id="rId355" name="Button 355">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596" r:id="rId356" name="Button 356">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597" r:id="rId357" name="Button 357">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598" r:id="rId358" name="Button 358">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599" r:id="rId359" name="Button 359">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mc:AlternateContent xmlns:mc="http://schemas.openxmlformats.org/markup-compatibility/2006">
          <mc:Choice Requires="x14">
            <control shapeId="10600" r:id="rId360" name="Button 360">
              <controlPr defaultSize="0" print="0" autoLine="0" autoPict="0" macro="[0]!BuildComplexObjectFromSimpleObject">
                <anchor moveWithCells="1" sizeWithCells="1">
                  <from>
                    <xdr:col>33</xdr:col>
                    <xdr:colOff>38100</xdr:colOff>
                    <xdr:row>0</xdr:row>
                    <xdr:rowOff>0</xdr:rowOff>
                  </from>
                  <to>
                    <xdr:col>35</xdr:col>
                    <xdr:colOff>428625</xdr:colOff>
                    <xdr:row>0</xdr:row>
                    <xdr:rowOff>0</xdr:rowOff>
                  </to>
                </anchor>
              </controlPr>
            </control>
          </mc:Choice>
        </mc:AlternateContent>
        <mc:AlternateContent xmlns:mc="http://schemas.openxmlformats.org/markup-compatibility/2006">
          <mc:Choice Requires="x14">
            <control shapeId="10601" r:id="rId361" name="Button 361">
              <controlPr defaultSize="0" print="0" autoLine="0" autoPict="0" macro="[0]!EditLoadComplexObject">
                <anchor moveWithCells="1" sizeWithCells="1">
                  <from>
                    <xdr:col>37</xdr:col>
                    <xdr:colOff>9525</xdr:colOff>
                    <xdr:row>0</xdr:row>
                    <xdr:rowOff>0</xdr:rowOff>
                  </from>
                  <to>
                    <xdr:col>39</xdr:col>
                    <xdr:colOff>438150</xdr:colOff>
                    <xdr:row>0</xdr:row>
                    <xdr:rowOff>0</xdr:rowOff>
                  </to>
                </anchor>
              </controlPr>
            </control>
          </mc:Choice>
        </mc:AlternateContent>
        <mc:AlternateContent xmlns:mc="http://schemas.openxmlformats.org/markup-compatibility/2006">
          <mc:Choice Requires="x14">
            <control shapeId="10602" r:id="rId362" name="Button 362">
              <controlPr defaultSize="0" print="0" autoLine="0" autoPict="0" macro="[0]!PostEditResultsToSimpleObject">
                <anchor moveWithCells="1" sizeWithCells="1">
                  <from>
                    <xdr:col>41</xdr:col>
                    <xdr:colOff>28575</xdr:colOff>
                    <xdr:row>0</xdr:row>
                    <xdr:rowOff>0</xdr:rowOff>
                  </from>
                  <to>
                    <xdr:col>44</xdr:col>
                    <xdr:colOff>0</xdr:colOff>
                    <xdr:row>0</xdr:row>
                    <xdr:rowOff>0</xdr:rowOff>
                  </to>
                </anchor>
              </controlPr>
            </control>
          </mc:Choice>
        </mc:AlternateContent>
        <mc:AlternateContent xmlns:mc="http://schemas.openxmlformats.org/markup-compatibility/2006">
          <mc:Choice Requires="x14">
            <control shapeId="10603" r:id="rId363" name="Button 363">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604" r:id="rId364" name="Button 364">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605" r:id="rId365" name="Button 365">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606" r:id="rId366" name="Button 366">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607" r:id="rId367" name="Button 367">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608" r:id="rId368" name="Button 368">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mc:AlternateContent xmlns:mc="http://schemas.openxmlformats.org/markup-compatibility/2006">
          <mc:Choice Requires="x14">
            <control shapeId="10609" r:id="rId369" name="Button 369">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610" r:id="rId370" name="Button 370">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611" r:id="rId371" name="Button 371">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612" r:id="rId372" name="Button 372">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613" r:id="rId373" name="Button 373">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614" r:id="rId374" name="Button 374">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mc:AlternateContent xmlns:mc="http://schemas.openxmlformats.org/markup-compatibility/2006">
          <mc:Choice Requires="x14">
            <control shapeId="10615" r:id="rId375" name="Button 375">
              <controlPr defaultSize="0" print="0" autoLine="0" autoPict="0" macro="[0]!SelectDataInputPage">
                <anchor moveWithCells="1" sizeWithCells="1">
                  <from>
                    <xdr:col>29</xdr:col>
                    <xdr:colOff>9525</xdr:colOff>
                    <xdr:row>0</xdr:row>
                    <xdr:rowOff>0</xdr:rowOff>
                  </from>
                  <to>
                    <xdr:col>30</xdr:col>
                    <xdr:colOff>495300</xdr:colOff>
                    <xdr:row>0</xdr:row>
                    <xdr:rowOff>0</xdr:rowOff>
                  </to>
                </anchor>
              </controlPr>
            </control>
          </mc:Choice>
        </mc:AlternateContent>
        <mc:AlternateContent xmlns:mc="http://schemas.openxmlformats.org/markup-compatibility/2006">
          <mc:Choice Requires="x14">
            <control shapeId="10616" r:id="rId376" name="Button 376">
              <controlPr defaultSize="0" print="0" autoLine="0" autoPict="0" macro="[0]!SelectSubmitPage">
                <anchor moveWithCells="1" sizeWithCells="1">
                  <from>
                    <xdr:col>30</xdr:col>
                    <xdr:colOff>523875</xdr:colOff>
                    <xdr:row>0</xdr:row>
                    <xdr:rowOff>0</xdr:rowOff>
                  </from>
                  <to>
                    <xdr:col>32</xdr:col>
                    <xdr:colOff>581025</xdr:colOff>
                    <xdr:row>0</xdr:row>
                    <xdr:rowOff>0</xdr:rowOff>
                  </to>
                </anchor>
              </controlPr>
            </control>
          </mc:Choice>
        </mc:AlternateContent>
        <mc:AlternateContent xmlns:mc="http://schemas.openxmlformats.org/markup-compatibility/2006">
          <mc:Choice Requires="x14">
            <control shapeId="10617" r:id="rId377" name="Button 377">
              <controlPr defaultSize="0" print="0" autoLine="0" autoPict="0" macro="[0]!getLoginInformation">
                <anchor moveWithCells="1" sizeWithCells="1">
                  <from>
                    <xdr:col>32</xdr:col>
                    <xdr:colOff>609600</xdr:colOff>
                    <xdr:row>0</xdr:row>
                    <xdr:rowOff>0</xdr:rowOff>
                  </from>
                  <to>
                    <xdr:col>34</xdr:col>
                    <xdr:colOff>571500</xdr:colOff>
                    <xdr:row>0</xdr:row>
                    <xdr:rowOff>0</xdr:rowOff>
                  </to>
                </anchor>
              </controlPr>
            </control>
          </mc:Choice>
        </mc:AlternateContent>
        <mc:AlternateContent xmlns:mc="http://schemas.openxmlformats.org/markup-compatibility/2006">
          <mc:Choice Requires="x14">
            <control shapeId="10618" r:id="rId378" name="Button 378">
              <controlPr defaultSize="0" print="0" autoLine="0" autoPict="0" macro="[0]!SelectTemplatePage">
                <anchor moveWithCells="1" sizeWithCells="1">
                  <from>
                    <xdr:col>35</xdr:col>
                    <xdr:colOff>0</xdr:colOff>
                    <xdr:row>0</xdr:row>
                    <xdr:rowOff>0</xdr:rowOff>
                  </from>
                  <to>
                    <xdr:col>37</xdr:col>
                    <xdr:colOff>57150</xdr:colOff>
                    <xdr:row>0</xdr:row>
                    <xdr:rowOff>0</xdr:rowOff>
                  </to>
                </anchor>
              </controlPr>
            </control>
          </mc:Choice>
        </mc:AlternateContent>
        <mc:AlternateContent xmlns:mc="http://schemas.openxmlformats.org/markup-compatibility/2006">
          <mc:Choice Requires="x14">
            <control shapeId="10619" r:id="rId379" name="Button 379">
              <controlPr defaultSize="0" print="0" autoLine="0" autoPict="0" macro="[0]!CloseTheTool">
                <anchor moveWithCells="1" sizeWithCells="1">
                  <from>
                    <xdr:col>37</xdr:col>
                    <xdr:colOff>76200</xdr:colOff>
                    <xdr:row>0</xdr:row>
                    <xdr:rowOff>0</xdr:rowOff>
                  </from>
                  <to>
                    <xdr:col>39</xdr:col>
                    <xdr:colOff>133350</xdr:colOff>
                    <xdr:row>0</xdr:row>
                    <xdr:rowOff>0</xdr:rowOff>
                  </to>
                </anchor>
              </controlPr>
            </control>
          </mc:Choice>
        </mc:AlternateContent>
        <mc:AlternateContent xmlns:mc="http://schemas.openxmlformats.org/markup-compatibility/2006">
          <mc:Choice Requires="x14">
            <control shapeId="10620" r:id="rId380" name="Button 380">
              <controlPr defaultSize="0" print="0" autoLine="0" autoPict="0" macro="[0]!SelectNotepad">
                <anchor moveWithCells="1" sizeWithCells="1">
                  <from>
                    <xdr:col>39</xdr:col>
                    <xdr:colOff>142875</xdr:colOff>
                    <xdr:row>0</xdr:row>
                    <xdr:rowOff>0</xdr:rowOff>
                  </from>
                  <to>
                    <xdr:col>41</xdr:col>
                    <xdr:colOff>200025</xdr:colOff>
                    <xdr:row>0</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K27"/>
  <sheetViews>
    <sheetView tabSelected="1" zoomScale="90" zoomScaleNormal="90" workbookViewId="0" topLeftCell="A1"/>
  </sheetViews>
  <sheetFormatPr defaultColWidth="9.14428571428571" defaultRowHeight="12.75"/>
  <cols>
    <col min="1" max="1" width="13.8571428571429" style="38" customWidth="1"/>
    <col min="2" max="2" width="21" style="38" customWidth="1"/>
    <col min="3" max="3" width="11.2857142857143" style="38" bestFit="1" customWidth="1"/>
    <col min="4" max="4" width="42.8571428571429" style="38" customWidth="1"/>
    <col min="5" max="5" width="18.5714285714286" style="38" customWidth="1"/>
    <col min="6" max="6" width="17.7142857142857" style="38" bestFit="1" customWidth="1"/>
    <col min="7" max="7" width="15" style="39" customWidth="1"/>
    <col min="8" max="8" width="3.57142857142857" style="38" customWidth="1"/>
    <col min="9" max="9" width="10.7142857142857" style="38" bestFit="1" customWidth="1"/>
    <col min="10" max="10" width="19.8571428571429" style="38" bestFit="1" customWidth="1"/>
    <col min="11" max="11" width="17.8571428571429" style="38" bestFit="1" customWidth="1"/>
    <col min="12" max="16384" width="9.14285714285714" style="38"/>
  </cols>
  <sheetData>
    <row r="1" spans="1:11" ht="12.75">
      <c r="A1" s="88"/>
      <c r="K1" s="83"/>
    </row>
    <row r="2" spans="1:11" ht="12.75">
      <c r="A2" s="88"/>
      <c r="J2" s="39"/>
      <c r="K2" s="83"/>
    </row>
    <row r="3" spans="1:11" ht="12.75">
      <c r="A3" s="40"/>
      <c r="E3" s="52"/>
      <c r="F3" s="52"/>
      <c r="G3" s="51"/>
      <c r="H3" s="52"/>
      <c r="I3" s="52"/>
      <c r="J3" s="51"/>
      <c r="K3" s="52"/>
    </row>
    <row r="4" spans="1:11" ht="12.75">
      <c r="A4" s="68"/>
      <c r="E4" s="52"/>
      <c r="F4" s="52"/>
      <c r="G4" s="51"/>
      <c r="H4" s="52"/>
      <c r="I4" s="52"/>
      <c r="J4" s="51"/>
      <c r="K4" s="52"/>
    </row>
    <row r="5" spans="1:11" ht="12.75">
      <c r="A5" s="68"/>
      <c r="E5" s="52"/>
      <c r="F5" s="52"/>
      <c r="G5" s="51"/>
      <c r="H5" s="52"/>
      <c r="I5" s="52"/>
      <c r="J5" s="51"/>
      <c r="K5" s="52"/>
    </row>
    <row r="6" spans="1:11" ht="12.75">
      <c r="A6" s="37"/>
      <c r="E6" s="52"/>
      <c r="F6" s="52"/>
      <c r="G6" s="51"/>
      <c r="H6" s="52"/>
      <c r="I6" s="57">
        <v>5</v>
      </c>
      <c r="J6" s="52"/>
      <c r="K6" s="52"/>
    </row>
    <row r="7" spans="1:11" ht="12.75">
      <c r="A7" s="37"/>
      <c r="E7" s="57" t="s">
        <v>106</v>
      </c>
      <c r="F7" s="57" t="s">
        <v>124</v>
      </c>
      <c r="G7" s="76" t="s">
        <v>129</v>
      </c>
      <c r="H7" s="52"/>
      <c r="I7" s="57" t="s">
        <v>118</v>
      </c>
      <c r="J7" s="52"/>
      <c r="K7" s="57" t="s">
        <v>123</v>
      </c>
    </row>
    <row r="8" spans="1:11" ht="24.75" customHeight="1">
      <c r="A8" s="77" t="s">
        <v>93</v>
      </c>
      <c r="B8" s="77" t="s">
        <v>65</v>
      </c>
      <c r="C8" s="77" t="s">
        <v>77</v>
      </c>
      <c r="D8" s="77" t="s">
        <v>121</v>
      </c>
      <c r="E8" s="85" t="s">
        <v>125</v>
      </c>
      <c r="F8" s="86" t="s">
        <v>130</v>
      </c>
      <c r="G8" s="85" t="s">
        <v>95</v>
      </c>
      <c r="H8" s="52"/>
      <c r="I8" s="86" t="s">
        <v>94</v>
      </c>
      <c r="J8" s="86" t="s">
        <v>122</v>
      </c>
      <c r="K8" s="86" t="s">
        <v>131</v>
      </c>
    </row>
    <row r="9" spans="1:11" s="45" customFormat="1" ht="12.75">
      <c r="A9" s="41" t="s">
        <v>96</v>
      </c>
      <c r="B9" s="41">
        <v>1861101</v>
      </c>
      <c r="C9" s="41" t="s">
        <v>88</v>
      </c>
      <c r="D9" s="79" t="s">
        <v>89</v>
      </c>
      <c r="E9" s="43">
        <f>'11AMSREC'!B22+SUM('11AMSREC'!F22:F25)+'11AMSREC'!F46</f>
        <v>608959.52000000002</v>
      </c>
      <c r="F9" s="44">
        <f>ROUND(SUM('11AMSREC'!D17:D144),2)</f>
        <v>580688.66000000003</v>
      </c>
      <c r="G9" s="43">
        <f t="shared" si="0" ref="G9:G11">+E9-F9</f>
        <v>28270.859999999986</v>
      </c>
      <c r="H9" s="62"/>
      <c r="I9" s="87">
        <f>ROUND(G9/I$6,2)</f>
        <v>5654.1700000000001</v>
      </c>
      <c r="J9" s="61">
        <f>SUM('11AMSREC'!D133:D144)</f>
        <v>31219.679999999997</v>
      </c>
      <c r="K9" s="87">
        <f>I9-J9</f>
        <v>-25565.509999999995</v>
      </c>
    </row>
    <row r="10" spans="1:11" s="45" customFormat="1" ht="12.75">
      <c r="A10" s="41" t="s">
        <v>96</v>
      </c>
      <c r="B10" s="41">
        <v>1861101</v>
      </c>
      <c r="C10" s="46" t="s">
        <v>90</v>
      </c>
      <c r="D10" s="80" t="s">
        <v>107</v>
      </c>
      <c r="E10" s="43">
        <f>'13AMSREC'!B48+'13AMSREC'!F49+'13AMSREC'!F51+'13AMSREC'!F52</f>
        <v>312730.25</v>
      </c>
      <c r="F10" s="44">
        <f>SUM('13AMSREC'!D48:D145)</f>
        <v>293148.48157902242</v>
      </c>
      <c r="G10" s="43">
        <f t="shared" si="0"/>
        <v>19581.768420977576</v>
      </c>
      <c r="I10" s="72">
        <f t="shared" si="1" ref="I10:I11">ROUND(G10/I$6,2)</f>
        <v>3916.3499999999999</v>
      </c>
      <c r="J10" s="47">
        <f>SUM('13AMSREC'!D134:D145)</f>
        <v>21624</v>
      </c>
      <c r="K10" s="72">
        <f t="shared" si="2" ref="K10:K11">I10-J10</f>
        <v>-17707.650000000001</v>
      </c>
    </row>
    <row r="11" spans="1:11" s="45" customFormat="1" ht="12.75">
      <c r="A11" s="41" t="s">
        <v>96</v>
      </c>
      <c r="B11" s="41">
        <v>1861101</v>
      </c>
      <c r="C11" s="41" t="s">
        <v>91</v>
      </c>
      <c r="D11" s="81" t="s">
        <v>92</v>
      </c>
      <c r="E11" s="47">
        <f>'DOC35718'!B12+SUM('DOC35718'!F12:F71)</f>
        <v>921535.54999999993</v>
      </c>
      <c r="F11" s="47">
        <f>ROUND(SUM('DOC35718'!D11:D168),2)</f>
        <v>889308.48999999999</v>
      </c>
      <c r="G11" s="42">
        <f t="shared" si="0"/>
        <v>32227.059999999939</v>
      </c>
      <c r="I11" s="74">
        <f t="shared" si="1"/>
        <v>6445.4099999999999</v>
      </c>
      <c r="J11" s="82">
        <f>SUM('DOC35718'!D157:D168)</f>
        <v>35588.279999999992</v>
      </c>
      <c r="K11" s="74">
        <f t="shared" si="2"/>
        <v>-29142.869999999992</v>
      </c>
    </row>
    <row r="12" spans="5:11" ht="13.5" thickBot="1">
      <c r="E12" s="49">
        <f>SUM(E9:E11)</f>
        <v>1843225.3199999998</v>
      </c>
      <c r="F12" s="49">
        <f>SUM(F9:F11)</f>
        <v>1763145.6315790224</v>
      </c>
      <c r="G12" s="49">
        <f>SUM(G9:G11)</f>
        <v>80079.688420977502</v>
      </c>
      <c r="I12" s="73">
        <f>SUM(I9:I11)</f>
        <v>16015.93</v>
      </c>
      <c r="J12" s="73">
        <f t="shared" si="3" ref="J12:K12">SUM(J9:J11)</f>
        <v>88431.959999999992</v>
      </c>
      <c r="K12" s="73">
        <f t="shared" si="3"/>
        <v>-72416.029999999984</v>
      </c>
    </row>
    <row r="13" ht="13.5" thickTop="1"/>
    <row r="14" spans="1:7" ht="12.75">
      <c r="A14" s="50" t="s">
        <v>126</v>
      </c>
      <c r="G14" s="51"/>
    </row>
    <row r="15" spans="1:4" ht="12.75">
      <c r="A15" s="38" t="s">
        <v>108</v>
      </c>
      <c r="D15" s="39"/>
    </row>
    <row r="16" spans="1:1" ht="12.75">
      <c r="A16" s="38" t="s">
        <v>109</v>
      </c>
    </row>
    <row r="17" spans="1:1" ht="12.75">
      <c r="A17" s="52" t="s">
        <v>110</v>
      </c>
    </row>
    <row r="18" spans="1:1" ht="12.75">
      <c r="A18" s="52" t="s">
        <v>111</v>
      </c>
    </row>
    <row r="19" spans="1:1" ht="12.75">
      <c r="A19" s="52" t="s">
        <v>112</v>
      </c>
    </row>
    <row r="20" spans="1:1" ht="12.75">
      <c r="A20" s="52" t="s">
        <v>113</v>
      </c>
    </row>
    <row r="21" spans="1:5" ht="12.75">
      <c r="A21" s="38" t="s">
        <v>114</v>
      </c>
      <c r="E21" s="39"/>
    </row>
    <row r="22" spans="1:5" ht="12.75">
      <c r="A22" s="38" t="s">
        <v>115</v>
      </c>
      <c r="E22" s="39"/>
    </row>
    <row r="23" spans="1:4" ht="12.75">
      <c r="A23" s="38" t="s">
        <v>116</v>
      </c>
      <c r="D23" s="39"/>
    </row>
    <row r="24" spans="1:1" ht="12.75">
      <c r="A24" s="38" t="s">
        <v>117</v>
      </c>
    </row>
    <row r="26" spans="1:10" ht="12.75">
      <c r="A26" s="50" t="s">
        <v>132</v>
      </c>
      <c r="B26" s="53"/>
      <c r="C26" s="53"/>
      <c r="D26" s="53"/>
      <c r="E26" s="53"/>
      <c r="F26" s="53"/>
      <c r="G26" s="53"/>
      <c r="H26" s="53"/>
      <c r="I26" s="53"/>
      <c r="J26" s="53"/>
    </row>
    <row r="27" spans="1:10" ht="12.75">
      <c r="A27" s="53"/>
      <c r="B27" s="53"/>
      <c r="C27" s="53"/>
      <c r="D27" s="53"/>
      <c r="E27" s="53"/>
      <c r="F27" s="53"/>
      <c r="G27" s="53"/>
      <c r="H27" s="53"/>
      <c r="I27" s="53"/>
      <c r="J27" s="53"/>
    </row>
  </sheetData>
  <pageMargins left="0.5" right="0.5" top="1.5" bottom="0.5" header="1" footer="0.5"/>
  <pageSetup orientation="landscape" scale="67" r:id="rId1"/>
  <headerFooter alignWithMargins="0">
    <oddHeader>&amp;C
&amp;"Arial,Bold"2022 Rate Case
Oncor Electric Delivery Company LLC
Reg. Asset Acct. 1824100 Adv. Metering Cust. Education
Test Year Ending Dec. 31, 2021
Sponsor: W. Alan Ledbetter&amp;R&amp;"Arial,Bold"WP/II-E-4.1.1 AMS Rate Case Expense
Page &amp;P of 10</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IV168"/>
  <sheetViews>
    <sheetView zoomScale="85" zoomScaleNormal="85" workbookViewId="0" topLeftCell="A1"/>
  </sheetViews>
  <sheetFormatPr defaultColWidth="9.14428571428571" defaultRowHeight="12.75"/>
  <cols>
    <col min="1" max="1" width="12.8571428571429" style="45" customWidth="1"/>
    <col min="2" max="2" width="16.7142857142857" style="45" customWidth="1"/>
    <col min="3" max="3" width="3" style="45" customWidth="1"/>
    <col min="4" max="4" width="21.2857142857143" style="45" bestFit="1" customWidth="1"/>
    <col min="5" max="5" width="2.42857142857143" style="45" customWidth="1"/>
    <col min="6" max="6" width="14.8571428571429" style="45" customWidth="1"/>
    <col min="7" max="7" width="2" style="45" customWidth="1"/>
    <col min="8" max="8" width="14.1428571428571" style="45" bestFit="1" customWidth="1"/>
    <col min="9" max="9" width="3.71428571428571" style="45" customWidth="1"/>
    <col min="10" max="10" width="16.8571428571429" style="45" bestFit="1" customWidth="1"/>
    <col min="11" max="11" width="9.14285714285714" style="45"/>
    <col min="12" max="12" width="14.2857142857143" style="45" customWidth="1"/>
    <col min="13" max="16384" width="9.14285714285714" style="45"/>
  </cols>
  <sheetData>
    <row r="1" spans="1:13" ht="12.75">
      <c r="A1" s="88"/>
      <c r="M1" s="89"/>
    </row>
    <row r="2" spans="1:13" ht="12.75">
      <c r="A2" s="88"/>
      <c r="M2" s="89"/>
    </row>
    <row r="3" spans="1:13" ht="12.75">
      <c r="A3" s="68"/>
      <c r="M3" s="89"/>
    </row>
    <row r="4" spans="1:13" ht="12.75">
      <c r="A4" s="68"/>
      <c r="M4" s="89"/>
    </row>
    <row r="5" spans="1:13" ht="12.75">
      <c r="A5" s="68"/>
      <c r="M5" s="89"/>
    </row>
    <row r="6" spans="6:6" ht="12.75">
      <c r="F6" s="90"/>
    </row>
    <row r="9" spans="1:1" ht="12.75">
      <c r="A9" s="91"/>
    </row>
    <row r="10" spans="1:10" ht="12.75">
      <c r="A10" s="78" t="s">
        <v>97</v>
      </c>
      <c r="B10" s="92" t="s">
        <v>98</v>
      </c>
      <c r="D10" s="69" t="s">
        <v>99</v>
      </c>
      <c r="F10" s="78" t="s">
        <v>100</v>
      </c>
      <c r="H10" s="92" t="s">
        <v>101</v>
      </c>
      <c r="J10" s="92" t="s">
        <v>102</v>
      </c>
    </row>
    <row r="11" spans="1:8" ht="16.35" customHeight="1">
      <c r="A11" s="93"/>
      <c r="B11" s="92"/>
      <c r="D11" s="92"/>
      <c r="F11" s="47"/>
      <c r="H11" s="92"/>
    </row>
    <row r="12" spans="1:10" ht="12.75">
      <c r="A12" s="65">
        <v>40544</v>
      </c>
      <c r="B12" s="47"/>
      <c r="D12" s="47">
        <f t="shared" si="0" ref="D12:D25">B12/J12</f>
        <v>0</v>
      </c>
      <c r="F12" s="63"/>
      <c r="H12" s="47">
        <f t="shared" si="1" ref="H12:H41">B12-D12+F12</f>
        <v>0</v>
      </c>
      <c r="J12" s="45">
        <v>108</v>
      </c>
    </row>
    <row r="13" spans="1:10" ht="12.75">
      <c r="A13" s="65">
        <v>40575</v>
      </c>
      <c r="B13" s="47"/>
      <c r="D13" s="47">
        <f t="shared" si="0"/>
        <v>0</v>
      </c>
      <c r="F13" s="63"/>
      <c r="H13" s="47">
        <f t="shared" si="1"/>
        <v>0</v>
      </c>
      <c r="J13" s="45">
        <v>107</v>
      </c>
    </row>
    <row r="14" spans="1:10" ht="12.75">
      <c r="A14" s="65">
        <v>40603</v>
      </c>
      <c r="B14" s="47"/>
      <c r="D14" s="47">
        <f t="shared" si="0"/>
        <v>0</v>
      </c>
      <c r="F14" s="63"/>
      <c r="H14" s="47">
        <f t="shared" si="1"/>
        <v>0</v>
      </c>
      <c r="J14" s="45">
        <v>106</v>
      </c>
    </row>
    <row r="15" spans="1:10" ht="12.75">
      <c r="A15" s="65">
        <v>40634</v>
      </c>
      <c r="B15" s="47"/>
      <c r="D15" s="47">
        <f t="shared" si="0"/>
        <v>0</v>
      </c>
      <c r="F15" s="63"/>
      <c r="H15" s="47">
        <f t="shared" si="1"/>
        <v>0</v>
      </c>
      <c r="J15" s="45">
        <v>105</v>
      </c>
    </row>
    <row r="16" spans="1:10" ht="12.75">
      <c r="A16" s="65">
        <v>40664</v>
      </c>
      <c r="B16" s="47"/>
      <c r="D16" s="47">
        <f t="shared" si="0"/>
        <v>0</v>
      </c>
      <c r="F16" s="63"/>
      <c r="H16" s="47">
        <f t="shared" si="1"/>
        <v>0</v>
      </c>
      <c r="J16" s="45">
        <v>104</v>
      </c>
    </row>
    <row r="17" spans="1:10" ht="12.75">
      <c r="A17" s="65">
        <v>40695</v>
      </c>
      <c r="B17" s="47"/>
      <c r="D17" s="47">
        <f t="shared" si="0"/>
        <v>0</v>
      </c>
      <c r="F17" s="63"/>
      <c r="H17" s="47">
        <f t="shared" si="1"/>
        <v>0</v>
      </c>
      <c r="J17" s="45">
        <v>103</v>
      </c>
    </row>
    <row r="18" spans="1:10" ht="12.75">
      <c r="A18" s="65">
        <v>40725</v>
      </c>
      <c r="B18" s="47"/>
      <c r="D18" s="47">
        <f t="shared" si="0"/>
        <v>0</v>
      </c>
      <c r="F18" s="63"/>
      <c r="H18" s="47">
        <f t="shared" si="1"/>
        <v>0</v>
      </c>
      <c r="J18" s="45">
        <v>102</v>
      </c>
    </row>
    <row r="19" spans="1:10" ht="12.75">
      <c r="A19" s="65">
        <v>40756</v>
      </c>
      <c r="B19" s="47"/>
      <c r="D19" s="47">
        <f t="shared" si="0"/>
        <v>0</v>
      </c>
      <c r="F19" s="63"/>
      <c r="H19" s="47">
        <f t="shared" si="1"/>
        <v>0</v>
      </c>
      <c r="J19" s="45">
        <v>101</v>
      </c>
    </row>
    <row r="20" spans="1:10" ht="12.75">
      <c r="A20" s="65">
        <v>40787</v>
      </c>
      <c r="B20" s="47"/>
      <c r="D20" s="47">
        <f t="shared" si="0"/>
        <v>0</v>
      </c>
      <c r="F20" s="63"/>
      <c r="H20" s="47">
        <f t="shared" si="1"/>
        <v>0</v>
      </c>
      <c r="J20" s="45">
        <v>100</v>
      </c>
    </row>
    <row r="21" spans="1:10" ht="12.75">
      <c r="A21" s="65">
        <v>40817</v>
      </c>
      <c r="B21" s="47"/>
      <c r="D21" s="47">
        <f t="shared" si="0"/>
        <v>0</v>
      </c>
      <c r="F21" s="63"/>
      <c r="H21" s="47">
        <f t="shared" si="1"/>
        <v>0</v>
      </c>
      <c r="J21" s="45">
        <v>99</v>
      </c>
    </row>
    <row r="22" spans="1:10" ht="12.75">
      <c r="A22" s="65">
        <v>40848</v>
      </c>
      <c r="B22" s="47">
        <v>597920.80000000005</v>
      </c>
      <c r="D22" s="47">
        <f t="shared" si="0"/>
        <v>6101.2326530612254</v>
      </c>
      <c r="F22" s="63">
        <v>52254.57</v>
      </c>
      <c r="H22" s="47">
        <f t="shared" si="1"/>
        <v>644074.13734693872</v>
      </c>
      <c r="J22" s="45">
        <v>98</v>
      </c>
    </row>
    <row r="23" spans="1:10" ht="12.75">
      <c r="A23" s="65">
        <v>40878</v>
      </c>
      <c r="B23" s="47">
        <f t="shared" si="2" ref="B23:B86">H22</f>
        <v>644074.13734693872</v>
      </c>
      <c r="D23" s="47">
        <f t="shared" si="0"/>
        <v>6639.9395602777186</v>
      </c>
      <c r="F23" s="63">
        <v>-55795.449999999997</v>
      </c>
      <c r="H23" s="47">
        <f t="shared" si="1"/>
        <v>581638.74778666103</v>
      </c>
      <c r="J23" s="45">
        <v>97</v>
      </c>
    </row>
    <row r="24" spans="1:10" ht="12.75">
      <c r="A24" s="65">
        <v>40909</v>
      </c>
      <c r="B24" s="47">
        <f t="shared" si="2"/>
        <v>581638.74778666103</v>
      </c>
      <c r="D24" s="47">
        <f t="shared" si="0"/>
        <v>6058.7369561110527</v>
      </c>
      <c r="F24" s="63">
        <v>14624.959999999999</v>
      </c>
      <c r="H24" s="47">
        <f t="shared" si="1"/>
        <v>590204.97083054995</v>
      </c>
      <c r="J24" s="45">
        <v>96</v>
      </c>
    </row>
    <row r="25" spans="1:10" ht="12.75">
      <c r="A25" s="65">
        <v>40940</v>
      </c>
      <c r="B25" s="47">
        <f t="shared" si="2"/>
        <v>590204.97083054995</v>
      </c>
      <c r="D25" s="47">
        <f t="shared" si="0"/>
        <v>6212.683903479473</v>
      </c>
      <c r="F25" s="63">
        <v>381.04000000000002</v>
      </c>
      <c r="H25" s="47">
        <f t="shared" si="1"/>
        <v>584373.32692707051</v>
      </c>
      <c r="J25" s="45">
        <v>95</v>
      </c>
    </row>
    <row r="26" spans="1:10" ht="12.75">
      <c r="A26" s="65">
        <v>40969</v>
      </c>
      <c r="B26" s="47">
        <f t="shared" si="2"/>
        <v>584373.32692707051</v>
      </c>
      <c r="D26" s="61">
        <f t="shared" si="3" ref="D26:D39">ROUND((B26/J26),2)</f>
        <v>6216.7399999999998</v>
      </c>
      <c r="F26" s="63">
        <v>0</v>
      </c>
      <c r="H26" s="47">
        <f t="shared" si="1"/>
        <v>578156.58692707052</v>
      </c>
      <c r="J26" s="45">
        <v>94</v>
      </c>
    </row>
    <row r="27" spans="1:10" ht="12.75">
      <c r="A27" s="65">
        <v>41000</v>
      </c>
      <c r="B27" s="47">
        <f t="shared" si="2"/>
        <v>578156.58692707052</v>
      </c>
      <c r="D27" s="61">
        <f t="shared" si="3"/>
        <v>6216.7399999999998</v>
      </c>
      <c r="F27" s="63"/>
      <c r="H27" s="47">
        <f t="shared" si="1"/>
        <v>571939.84692707052</v>
      </c>
      <c r="J27" s="45">
        <v>93</v>
      </c>
    </row>
    <row r="28" spans="1:10" ht="12.75">
      <c r="A28" s="65">
        <v>41030</v>
      </c>
      <c r="B28" s="47">
        <f t="shared" si="2"/>
        <v>571939.84692707052</v>
      </c>
      <c r="D28" s="61">
        <f t="shared" si="3"/>
        <v>6216.7399999999998</v>
      </c>
      <c r="F28" s="63"/>
      <c r="H28" s="47">
        <f t="shared" si="1"/>
        <v>565723.10692707053</v>
      </c>
      <c r="J28" s="45">
        <v>92</v>
      </c>
    </row>
    <row r="29" spans="1:10" ht="12.75">
      <c r="A29" s="65">
        <v>41061</v>
      </c>
      <c r="B29" s="47">
        <f t="shared" si="2"/>
        <v>565723.10692707053</v>
      </c>
      <c r="D29" s="61">
        <f t="shared" si="3"/>
        <v>6216.7399999999998</v>
      </c>
      <c r="F29" s="63"/>
      <c r="H29" s="47">
        <f t="shared" si="1"/>
        <v>559506.36692707054</v>
      </c>
      <c r="J29" s="45">
        <v>91</v>
      </c>
    </row>
    <row r="30" spans="1:256" s="62" customFormat="1" ht="12.75">
      <c r="A30" s="65">
        <v>41091</v>
      </c>
      <c r="B30" s="47">
        <f t="shared" si="2"/>
        <v>559506.36692707054</v>
      </c>
      <c r="C30" s="45"/>
      <c r="D30" s="61">
        <f t="shared" si="3"/>
        <v>6216.7399999999998</v>
      </c>
      <c r="E30" s="45"/>
      <c r="F30" s="63"/>
      <c r="G30" s="45"/>
      <c r="H30" s="47">
        <f t="shared" si="1"/>
        <v>553289.62692707055</v>
      </c>
      <c r="I30" s="45"/>
      <c r="J30" s="45">
        <v>90</v>
      </c>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c r="GD30" s="45"/>
      <c r="GE30" s="45"/>
      <c r="GF30" s="45"/>
      <c r="GG30" s="45"/>
      <c r="GH30" s="45"/>
      <c r="GI30" s="45"/>
      <c r="GJ30" s="45"/>
      <c r="GK30" s="45"/>
      <c r="GL30" s="45"/>
      <c r="GM30" s="45"/>
      <c r="GN30" s="45"/>
      <c r="GO30" s="45"/>
      <c r="GP30" s="45"/>
      <c r="GQ30" s="45"/>
      <c r="GR30" s="45"/>
      <c r="GS30" s="45"/>
      <c r="GT30" s="45"/>
      <c r="GU30" s="45"/>
      <c r="GV30" s="45"/>
      <c r="GW30" s="45"/>
      <c r="GX30" s="45"/>
      <c r="GY30" s="45"/>
      <c r="GZ30" s="45"/>
      <c r="HA30" s="45"/>
      <c r="HB30" s="45"/>
      <c r="HC30" s="45"/>
      <c r="HD30" s="45"/>
      <c r="HE30" s="45"/>
      <c r="HF30" s="45"/>
      <c r="HG30" s="45"/>
      <c r="HH30" s="45"/>
      <c r="HI30" s="45"/>
      <c r="HJ30" s="45"/>
      <c r="HK30" s="45"/>
      <c r="HL30" s="45"/>
      <c r="HM30" s="45"/>
      <c r="HN30" s="45"/>
      <c r="HO30" s="45"/>
      <c r="HP30" s="45"/>
      <c r="HQ30" s="45"/>
      <c r="HR30" s="45"/>
      <c r="HS30" s="45"/>
      <c r="HT30" s="45"/>
      <c r="HU30" s="45"/>
      <c r="HV30" s="45"/>
      <c r="HW30" s="45"/>
      <c r="HX30" s="45"/>
      <c r="HY30" s="45"/>
      <c r="HZ30" s="45"/>
      <c r="IA30" s="45"/>
      <c r="IB30" s="45"/>
      <c r="IC30" s="45"/>
      <c r="ID30" s="45"/>
      <c r="IE30" s="45"/>
      <c r="IF30" s="45"/>
      <c r="IG30" s="45"/>
      <c r="IH30" s="45"/>
      <c r="II30" s="45"/>
      <c r="IJ30" s="45"/>
      <c r="IK30" s="45"/>
      <c r="IL30" s="45"/>
      <c r="IM30" s="45"/>
      <c r="IN30" s="45"/>
      <c r="IO30" s="45"/>
      <c r="IP30" s="45"/>
      <c r="IQ30" s="45"/>
      <c r="IR30" s="45"/>
      <c r="IS30" s="45"/>
      <c r="IT30" s="45"/>
      <c r="IU30" s="45"/>
      <c r="IV30" s="45"/>
    </row>
    <row r="31" spans="1:10" ht="12.75">
      <c r="A31" s="65">
        <v>41122</v>
      </c>
      <c r="B31" s="47">
        <f t="shared" si="2"/>
        <v>553289.62692707055</v>
      </c>
      <c r="D31" s="61">
        <f t="shared" si="3"/>
        <v>6216.7399999999998</v>
      </c>
      <c r="F31" s="63"/>
      <c r="H31" s="47">
        <f t="shared" si="1"/>
        <v>547072.88692707056</v>
      </c>
      <c r="J31" s="45">
        <v>89</v>
      </c>
    </row>
    <row r="32" spans="1:10" ht="12.75">
      <c r="A32" s="65">
        <v>41153</v>
      </c>
      <c r="B32" s="47">
        <f t="shared" si="2"/>
        <v>547072.88692707056</v>
      </c>
      <c r="D32" s="61">
        <f t="shared" si="3"/>
        <v>6216.7399999999998</v>
      </c>
      <c r="F32" s="48">
        <v>719.54999999999995</v>
      </c>
      <c r="H32" s="47">
        <f t="shared" si="1"/>
        <v>541575.69692707062</v>
      </c>
      <c r="J32" s="45">
        <v>88</v>
      </c>
    </row>
    <row r="33" spans="1:256" s="62" customFormat="1" ht="12.75">
      <c r="A33" s="65">
        <v>41183</v>
      </c>
      <c r="B33" s="47">
        <f t="shared" si="2"/>
        <v>541575.69692707062</v>
      </c>
      <c r="C33" s="45"/>
      <c r="D33" s="61">
        <f t="shared" si="3"/>
        <v>6225.0100000000002</v>
      </c>
      <c r="E33" s="45"/>
      <c r="F33" s="63">
        <v>-719.54999999999995</v>
      </c>
      <c r="G33" s="45"/>
      <c r="H33" s="47">
        <f t="shared" si="1"/>
        <v>534631.13692707056</v>
      </c>
      <c r="I33" s="45"/>
      <c r="J33" s="45">
        <v>87</v>
      </c>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c r="FB33" s="45"/>
      <c r="FC33" s="45"/>
      <c r="FD33" s="45"/>
      <c r="FE33" s="45"/>
      <c r="FF33" s="45"/>
      <c r="FG33" s="45"/>
      <c r="FH33" s="45"/>
      <c r="FI33" s="45"/>
      <c r="FJ33" s="45"/>
      <c r="FK33" s="45"/>
      <c r="FL33" s="45"/>
      <c r="FM33" s="45"/>
      <c r="FN33" s="45"/>
      <c r="FO33" s="45"/>
      <c r="FP33" s="45"/>
      <c r="FQ33" s="45"/>
      <c r="FR33" s="45"/>
      <c r="FS33" s="45"/>
      <c r="FT33" s="45"/>
      <c r="FU33" s="45"/>
      <c r="FV33" s="45"/>
      <c r="FW33" s="45"/>
      <c r="FX33" s="45"/>
      <c r="FY33" s="45"/>
      <c r="FZ33" s="45"/>
      <c r="GA33" s="45"/>
      <c r="GB33" s="45"/>
      <c r="GC33" s="45"/>
      <c r="GD33" s="45"/>
      <c r="GE33" s="45"/>
      <c r="GF33" s="45"/>
      <c r="GG33" s="45"/>
      <c r="GH33" s="45"/>
      <c r="GI33" s="45"/>
      <c r="GJ33" s="45"/>
      <c r="GK33" s="45"/>
      <c r="GL33" s="45"/>
      <c r="GM33" s="45"/>
      <c r="GN33" s="45"/>
      <c r="GO33" s="45"/>
      <c r="GP33" s="45"/>
      <c r="GQ33" s="45"/>
      <c r="GR33" s="45"/>
      <c r="GS33" s="45"/>
      <c r="GT33" s="45"/>
      <c r="GU33" s="45"/>
      <c r="GV33" s="45"/>
      <c r="GW33" s="45"/>
      <c r="GX33" s="45"/>
      <c r="GY33" s="45"/>
      <c r="GZ33" s="45"/>
      <c r="HA33" s="45"/>
      <c r="HB33" s="45"/>
      <c r="HC33" s="45"/>
      <c r="HD33" s="45"/>
      <c r="HE33" s="45"/>
      <c r="HF33" s="45"/>
      <c r="HG33" s="45"/>
      <c r="HH33" s="45"/>
      <c r="HI33" s="45"/>
      <c r="HJ33" s="45"/>
      <c r="HK33" s="45"/>
      <c r="HL33" s="45"/>
      <c r="HM33" s="45"/>
      <c r="HN33" s="45"/>
      <c r="HO33" s="45"/>
      <c r="HP33" s="45"/>
      <c r="HQ33" s="45"/>
      <c r="HR33" s="45"/>
      <c r="HS33" s="45"/>
      <c r="HT33" s="45"/>
      <c r="HU33" s="45"/>
      <c r="HV33" s="45"/>
      <c r="HW33" s="45"/>
      <c r="HX33" s="45"/>
      <c r="HY33" s="45"/>
      <c r="HZ33" s="45"/>
      <c r="IA33" s="45"/>
      <c r="IB33" s="45"/>
      <c r="IC33" s="45"/>
      <c r="ID33" s="45"/>
      <c r="IE33" s="45"/>
      <c r="IF33" s="45"/>
      <c r="IG33" s="45"/>
      <c r="IH33" s="45"/>
      <c r="II33" s="45"/>
      <c r="IJ33" s="45"/>
      <c r="IK33" s="45"/>
      <c r="IL33" s="45"/>
      <c r="IM33" s="45"/>
      <c r="IN33" s="45"/>
      <c r="IO33" s="45"/>
      <c r="IP33" s="45"/>
      <c r="IQ33" s="45"/>
      <c r="IR33" s="45"/>
      <c r="IS33" s="45"/>
      <c r="IT33" s="45"/>
      <c r="IU33" s="45"/>
      <c r="IV33" s="45"/>
    </row>
    <row r="34" spans="1:256" s="62" customFormat="1" ht="12.75">
      <c r="A34" s="65">
        <v>41214</v>
      </c>
      <c r="B34" s="47">
        <f t="shared" si="2"/>
        <v>534631.13692707056</v>
      </c>
      <c r="C34" s="45"/>
      <c r="D34" s="61">
        <f t="shared" si="3"/>
        <v>6216.6400000000003</v>
      </c>
      <c r="E34" s="45"/>
      <c r="F34" s="63"/>
      <c r="G34" s="45"/>
      <c r="H34" s="47">
        <f t="shared" si="1"/>
        <v>528414.49692707055</v>
      </c>
      <c r="I34" s="45"/>
      <c r="J34" s="45">
        <v>86</v>
      </c>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c r="FX34" s="45"/>
      <c r="FY34" s="45"/>
      <c r="FZ34" s="45"/>
      <c r="GA34" s="45"/>
      <c r="GB34" s="45"/>
      <c r="GC34" s="45"/>
      <c r="GD34" s="45"/>
      <c r="GE34" s="45"/>
      <c r="GF34" s="45"/>
      <c r="GG34" s="45"/>
      <c r="GH34" s="45"/>
      <c r="GI34" s="45"/>
      <c r="GJ34" s="45"/>
      <c r="GK34" s="45"/>
      <c r="GL34" s="45"/>
      <c r="GM34" s="45"/>
      <c r="GN34" s="45"/>
      <c r="GO34" s="45"/>
      <c r="GP34" s="45"/>
      <c r="GQ34" s="45"/>
      <c r="GR34" s="45"/>
      <c r="GS34" s="45"/>
      <c r="GT34" s="45"/>
      <c r="GU34" s="45"/>
      <c r="GV34" s="45"/>
      <c r="GW34" s="45"/>
      <c r="GX34" s="45"/>
      <c r="GY34" s="45"/>
      <c r="GZ34" s="45"/>
      <c r="HA34" s="45"/>
      <c r="HB34" s="45"/>
      <c r="HC34" s="45"/>
      <c r="HD34" s="45"/>
      <c r="HE34" s="45"/>
      <c r="HF34" s="45"/>
      <c r="HG34" s="45"/>
      <c r="HH34" s="45"/>
      <c r="HI34" s="45"/>
      <c r="HJ34" s="45"/>
      <c r="HK34" s="45"/>
      <c r="HL34" s="45"/>
      <c r="HM34" s="45"/>
      <c r="HN34" s="45"/>
      <c r="HO34" s="45"/>
      <c r="HP34" s="45"/>
      <c r="HQ34" s="45"/>
      <c r="HR34" s="45"/>
      <c r="HS34" s="45"/>
      <c r="HT34" s="45"/>
      <c r="HU34" s="45"/>
      <c r="HV34" s="45"/>
      <c r="HW34" s="45"/>
      <c r="HX34" s="45"/>
      <c r="HY34" s="45"/>
      <c r="HZ34" s="45"/>
      <c r="IA34" s="45"/>
      <c r="IB34" s="45"/>
      <c r="IC34" s="45"/>
      <c r="ID34" s="45"/>
      <c r="IE34" s="45"/>
      <c r="IF34" s="45"/>
      <c r="IG34" s="45"/>
      <c r="IH34" s="45"/>
      <c r="II34" s="45"/>
      <c r="IJ34" s="45"/>
      <c r="IK34" s="45"/>
      <c r="IL34" s="45"/>
      <c r="IM34" s="45"/>
      <c r="IN34" s="45"/>
      <c r="IO34" s="45"/>
      <c r="IP34" s="45"/>
      <c r="IQ34" s="45"/>
      <c r="IR34" s="45"/>
      <c r="IS34" s="45"/>
      <c r="IT34" s="45"/>
      <c r="IU34" s="45"/>
      <c r="IV34" s="45"/>
    </row>
    <row r="35" spans="1:10" ht="12.75">
      <c r="A35" s="65">
        <v>41244</v>
      </c>
      <c r="B35" s="61">
        <f t="shared" si="2"/>
        <v>528414.49692707055</v>
      </c>
      <c r="D35" s="61">
        <f t="shared" si="3"/>
        <v>6216.6400000000003</v>
      </c>
      <c r="F35" s="63"/>
      <c r="H35" s="47">
        <f t="shared" si="1"/>
        <v>522197.85692707053</v>
      </c>
      <c r="J35" s="45">
        <v>85</v>
      </c>
    </row>
    <row r="36" spans="1:10" ht="12.75">
      <c r="A36" s="64">
        <v>41275</v>
      </c>
      <c r="B36" s="61">
        <f t="shared" si="2"/>
        <v>522197.85692707053</v>
      </c>
      <c r="C36" s="62"/>
      <c r="D36" s="61">
        <f t="shared" si="3"/>
        <v>6216.6400000000003</v>
      </c>
      <c r="E36" s="62"/>
      <c r="F36" s="63"/>
      <c r="H36" s="47">
        <f t="shared" si="1"/>
        <v>515981.21692707052</v>
      </c>
      <c r="J36" s="45">
        <v>84</v>
      </c>
    </row>
    <row r="37" spans="1:10" ht="12.75">
      <c r="A37" s="65">
        <v>41306</v>
      </c>
      <c r="B37" s="61">
        <f t="shared" si="2"/>
        <v>515981.21692707052</v>
      </c>
      <c r="D37" s="61">
        <f t="shared" si="3"/>
        <v>6216.6400000000003</v>
      </c>
      <c r="F37" s="63"/>
      <c r="H37" s="47">
        <f t="shared" si="1"/>
        <v>509764.57692707051</v>
      </c>
      <c r="J37" s="45">
        <v>83</v>
      </c>
    </row>
    <row r="38" spans="1:10" ht="12.75">
      <c r="A38" s="65">
        <v>41334</v>
      </c>
      <c r="B38" s="47">
        <f t="shared" si="2"/>
        <v>509764.57692707051</v>
      </c>
      <c r="D38" s="61">
        <f t="shared" si="3"/>
        <v>6216.6400000000003</v>
      </c>
      <c r="F38" s="63"/>
      <c r="H38" s="47">
        <f t="shared" si="1"/>
        <v>503547.93692707049</v>
      </c>
      <c r="J38" s="45">
        <v>82</v>
      </c>
    </row>
    <row r="39" spans="1:10" ht="12.75">
      <c r="A39" s="65">
        <v>41365</v>
      </c>
      <c r="B39" s="61">
        <f t="shared" si="2"/>
        <v>503547.93692707049</v>
      </c>
      <c r="C39" s="62"/>
      <c r="D39" s="61">
        <f t="shared" si="3"/>
        <v>6216.6400000000003</v>
      </c>
      <c r="F39" s="63"/>
      <c r="H39" s="61">
        <f t="shared" si="1"/>
        <v>497331.29692707048</v>
      </c>
      <c r="J39" s="45">
        <v>81</v>
      </c>
    </row>
    <row r="40" spans="1:10" ht="12.75">
      <c r="A40" s="65">
        <v>41395</v>
      </c>
      <c r="B40" s="61">
        <f t="shared" si="2"/>
        <v>497331.29692707048</v>
      </c>
      <c r="C40" s="62"/>
      <c r="D40" s="61">
        <f>ROUND(B40/J40,2)</f>
        <v>6216.6400000000003</v>
      </c>
      <c r="F40" s="63"/>
      <c r="H40" s="47">
        <f t="shared" si="1"/>
        <v>491114.65692707046</v>
      </c>
      <c r="J40" s="45">
        <v>80</v>
      </c>
    </row>
    <row r="41" spans="1:10" ht="12.75">
      <c r="A41" s="65">
        <v>41426</v>
      </c>
      <c r="B41" s="47">
        <f t="shared" si="2"/>
        <v>491114.65692707046</v>
      </c>
      <c r="D41" s="61">
        <f t="shared" si="4" ref="D41:D93">B41/J41</f>
        <v>6216.6412269249422</v>
      </c>
      <c r="F41" s="63"/>
      <c r="H41" s="47">
        <f t="shared" si="1"/>
        <v>484898.01570014551</v>
      </c>
      <c r="J41" s="45">
        <v>79</v>
      </c>
    </row>
    <row r="42" spans="1:10" ht="12.75">
      <c r="A42" s="65">
        <v>41456</v>
      </c>
      <c r="B42" s="47">
        <f t="shared" si="2"/>
        <v>484898.01570014551</v>
      </c>
      <c r="D42" s="47">
        <f t="shared" si="4"/>
        <v>6216.6412269249422</v>
      </c>
      <c r="F42" s="63"/>
      <c r="H42" s="47">
        <f>B42-D42+F42+0.01</f>
        <v>478681.38447322056</v>
      </c>
      <c r="J42" s="45">
        <v>78</v>
      </c>
    </row>
    <row r="43" spans="1:10" ht="12.75">
      <c r="A43" s="65">
        <v>41487</v>
      </c>
      <c r="B43" s="47">
        <f t="shared" si="2"/>
        <v>478681.38447322056</v>
      </c>
      <c r="D43" s="47">
        <f t="shared" si="4"/>
        <v>6216.6413567950722</v>
      </c>
      <c r="F43" s="63"/>
      <c r="H43" s="47">
        <f t="shared" si="5" ref="H43:H106">B43-D43+F43</f>
        <v>472464.74311642547</v>
      </c>
      <c r="J43" s="45">
        <v>77</v>
      </c>
    </row>
    <row r="44" spans="1:10" ht="12.75">
      <c r="A44" s="65">
        <v>41518</v>
      </c>
      <c r="B44" s="47">
        <f t="shared" si="2"/>
        <v>472464.74311642547</v>
      </c>
      <c r="D44" s="47">
        <f t="shared" si="4"/>
        <v>6216.6413567950722</v>
      </c>
      <c r="F44" s="63"/>
      <c r="H44" s="47">
        <f t="shared" si="5"/>
        <v>466248.10175963037</v>
      </c>
      <c r="J44" s="45">
        <v>76</v>
      </c>
    </row>
    <row r="45" spans="1:10" ht="12.75">
      <c r="A45" s="65">
        <v>41548</v>
      </c>
      <c r="B45" s="47">
        <f t="shared" si="2"/>
        <v>466248.10175963037</v>
      </c>
      <c r="D45" s="47">
        <f t="shared" si="4"/>
        <v>6216.6413567950713</v>
      </c>
      <c r="F45" s="63"/>
      <c r="H45" s="47">
        <f t="shared" si="5"/>
        <v>460031.46040283528</v>
      </c>
      <c r="J45" s="45">
        <v>75</v>
      </c>
    </row>
    <row r="46" spans="1:10" ht="12.75">
      <c r="A46" s="65">
        <v>41579</v>
      </c>
      <c r="B46" s="47">
        <f t="shared" si="2"/>
        <v>460031.46040283528</v>
      </c>
      <c r="D46" s="47">
        <f t="shared" si="4"/>
        <v>6216.6413567950713</v>
      </c>
      <c r="F46" s="63">
        <f>-636.55+210.15</f>
        <v>-426.39999999999998</v>
      </c>
      <c r="H46" s="47">
        <f t="shared" si="5"/>
        <v>453388.41904604016</v>
      </c>
      <c r="J46" s="45">
        <v>74</v>
      </c>
    </row>
    <row r="47" spans="1:10" ht="12.75">
      <c r="A47" s="65">
        <v>41609</v>
      </c>
      <c r="B47" s="47">
        <f t="shared" si="2"/>
        <v>453388.41904604016</v>
      </c>
      <c r="D47" s="47">
        <f t="shared" si="4"/>
        <v>6210.8002609046598</v>
      </c>
      <c r="F47" s="63">
        <v>0</v>
      </c>
      <c r="H47" s="47">
        <f t="shared" si="5"/>
        <v>447177.61878513551</v>
      </c>
      <c r="J47" s="45">
        <v>73</v>
      </c>
    </row>
    <row r="48" spans="1:10" ht="12.75">
      <c r="A48" s="65">
        <v>41640</v>
      </c>
      <c r="B48" s="47">
        <f t="shared" si="2"/>
        <v>447177.61878513551</v>
      </c>
      <c r="D48" s="47">
        <f t="shared" si="4"/>
        <v>6210.8002609046598</v>
      </c>
      <c r="F48" s="63"/>
      <c r="H48" s="47">
        <f t="shared" si="5"/>
        <v>440966.81852423085</v>
      </c>
      <c r="J48" s="45">
        <v>72</v>
      </c>
    </row>
    <row r="49" spans="1:10" ht="12.75">
      <c r="A49" s="65">
        <v>41671</v>
      </c>
      <c r="B49" s="47">
        <f t="shared" si="2"/>
        <v>440966.81852423085</v>
      </c>
      <c r="D49" s="47">
        <f t="shared" si="4"/>
        <v>6210.8002609046598</v>
      </c>
      <c r="F49" s="63"/>
      <c r="H49" s="47">
        <f t="shared" si="5"/>
        <v>434756.0182633262</v>
      </c>
      <c r="J49" s="45">
        <v>71</v>
      </c>
    </row>
    <row r="50" spans="1:10" ht="12.75">
      <c r="A50" s="65">
        <v>41699</v>
      </c>
      <c r="B50" s="47">
        <f t="shared" si="2"/>
        <v>434756.0182633262</v>
      </c>
      <c r="D50" s="47">
        <f t="shared" si="4"/>
        <v>6210.8002609046598</v>
      </c>
      <c r="F50" s="63"/>
      <c r="H50" s="47">
        <f t="shared" si="5"/>
        <v>428545.21800242155</v>
      </c>
      <c r="J50" s="45">
        <v>70</v>
      </c>
    </row>
    <row r="51" spans="1:10" ht="12.75">
      <c r="A51" s="65">
        <v>41730</v>
      </c>
      <c r="B51" s="47">
        <f t="shared" si="2"/>
        <v>428545.21800242155</v>
      </c>
      <c r="D51" s="47">
        <f t="shared" si="4"/>
        <v>6210.8002609046598</v>
      </c>
      <c r="F51" s="63"/>
      <c r="H51" s="47">
        <f t="shared" si="5"/>
        <v>422334.4177415169</v>
      </c>
      <c r="J51" s="45">
        <v>69</v>
      </c>
    </row>
    <row r="52" spans="1:10" ht="12.75">
      <c r="A52" s="65">
        <v>41760</v>
      </c>
      <c r="B52" s="47">
        <f t="shared" si="2"/>
        <v>422334.4177415169</v>
      </c>
      <c r="D52" s="47">
        <f t="shared" si="4"/>
        <v>6210.8002609046598</v>
      </c>
      <c r="F52" s="63"/>
      <c r="H52" s="47">
        <f t="shared" si="5"/>
        <v>416123.61748061224</v>
      </c>
      <c r="J52" s="45">
        <v>68</v>
      </c>
    </row>
    <row r="53" spans="1:10" ht="12.75">
      <c r="A53" s="65">
        <v>41791</v>
      </c>
      <c r="B53" s="47">
        <f t="shared" si="2"/>
        <v>416123.61748061224</v>
      </c>
      <c r="D53" s="47">
        <f t="shared" si="4"/>
        <v>6210.8002609046607</v>
      </c>
      <c r="F53" s="63"/>
      <c r="H53" s="47">
        <f t="shared" si="5"/>
        <v>409912.81721970759</v>
      </c>
      <c r="J53" s="45">
        <v>67</v>
      </c>
    </row>
    <row r="54" spans="1:10" ht="12.75">
      <c r="A54" s="65">
        <v>41821</v>
      </c>
      <c r="B54" s="47">
        <f t="shared" si="2"/>
        <v>409912.81721970759</v>
      </c>
      <c r="D54" s="47">
        <f t="shared" si="4"/>
        <v>6210.8002609046607</v>
      </c>
      <c r="F54" s="63"/>
      <c r="H54" s="47">
        <f t="shared" si="5"/>
        <v>403702.01695880294</v>
      </c>
      <c r="J54" s="45">
        <v>66</v>
      </c>
    </row>
    <row r="55" spans="1:10" ht="12.75">
      <c r="A55" s="65">
        <v>41852</v>
      </c>
      <c r="B55" s="47">
        <f t="shared" si="2"/>
        <v>403702.01695880294</v>
      </c>
      <c r="D55" s="47">
        <f t="shared" si="4"/>
        <v>6210.8002609046607</v>
      </c>
      <c r="F55" s="63"/>
      <c r="H55" s="47">
        <f t="shared" si="5"/>
        <v>397491.21669789829</v>
      </c>
      <c r="J55" s="45">
        <v>65</v>
      </c>
    </row>
    <row r="56" spans="1:10" ht="12.75">
      <c r="A56" s="65">
        <v>41883</v>
      </c>
      <c r="B56" s="47">
        <f t="shared" si="2"/>
        <v>397491.21669789829</v>
      </c>
      <c r="D56" s="47">
        <f t="shared" si="4"/>
        <v>6210.8002609046607</v>
      </c>
      <c r="F56" s="63"/>
      <c r="H56" s="47">
        <f t="shared" si="5"/>
        <v>391280.41643699363</v>
      </c>
      <c r="J56" s="45">
        <v>64</v>
      </c>
    </row>
    <row r="57" spans="1:10" ht="12.75">
      <c r="A57" s="65">
        <v>41913</v>
      </c>
      <c r="B57" s="47">
        <f t="shared" si="2"/>
        <v>391280.41643699363</v>
      </c>
      <c r="D57" s="47">
        <f t="shared" si="4"/>
        <v>6210.8002609046607</v>
      </c>
      <c r="F57" s="63"/>
      <c r="H57" s="47">
        <f t="shared" si="5"/>
        <v>385069.61617608898</v>
      </c>
      <c r="J57" s="45">
        <v>63</v>
      </c>
    </row>
    <row r="58" spans="1:10" ht="12.75">
      <c r="A58" s="65">
        <v>41944</v>
      </c>
      <c r="B58" s="47">
        <f t="shared" si="2"/>
        <v>385069.61617608898</v>
      </c>
      <c r="D58" s="47">
        <f t="shared" si="4"/>
        <v>6210.8002609046607</v>
      </c>
      <c r="F58" s="63"/>
      <c r="H58" s="47">
        <f t="shared" si="5"/>
        <v>378858.81591518433</v>
      </c>
      <c r="J58" s="45">
        <v>62</v>
      </c>
    </row>
    <row r="59" spans="1:10" ht="12.75">
      <c r="A59" s="65">
        <v>41974</v>
      </c>
      <c r="B59" s="47">
        <f t="shared" si="2"/>
        <v>378858.81591518433</v>
      </c>
      <c r="D59" s="47">
        <f t="shared" si="4"/>
        <v>6210.8002609046607</v>
      </c>
      <c r="F59" s="63"/>
      <c r="H59" s="47">
        <f t="shared" si="5"/>
        <v>372648.01565427968</v>
      </c>
      <c r="J59" s="45">
        <v>61</v>
      </c>
    </row>
    <row r="60" spans="1:10" ht="12.75">
      <c r="A60" s="65">
        <v>42005</v>
      </c>
      <c r="B60" s="47">
        <f t="shared" si="2"/>
        <v>372648.01565427968</v>
      </c>
      <c r="D60" s="47">
        <f t="shared" si="4"/>
        <v>6210.8002609046616</v>
      </c>
      <c r="F60" s="63"/>
      <c r="H60" s="47">
        <f t="shared" si="5"/>
        <v>366437.21539337502</v>
      </c>
      <c r="J60" s="45">
        <v>60</v>
      </c>
    </row>
    <row r="61" spans="1:10" ht="12.75">
      <c r="A61" s="65">
        <v>42036</v>
      </c>
      <c r="B61" s="47">
        <f t="shared" si="2"/>
        <v>366437.21539337502</v>
      </c>
      <c r="D61" s="47">
        <f t="shared" si="4"/>
        <v>6210.8002609046616</v>
      </c>
      <c r="F61" s="63"/>
      <c r="H61" s="47">
        <f t="shared" si="5"/>
        <v>360226.41513247037</v>
      </c>
      <c r="J61" s="45">
        <v>59</v>
      </c>
    </row>
    <row r="62" spans="1:10" ht="12.75">
      <c r="A62" s="65">
        <v>42064</v>
      </c>
      <c r="B62" s="47">
        <f t="shared" si="2"/>
        <v>360226.41513247037</v>
      </c>
      <c r="D62" s="47">
        <f t="shared" si="4"/>
        <v>6210.8002609046616</v>
      </c>
      <c r="F62" s="63"/>
      <c r="H62" s="47">
        <f t="shared" si="5"/>
        <v>354015.61487156572</v>
      </c>
      <c r="J62" s="45">
        <v>58</v>
      </c>
    </row>
    <row r="63" spans="1:10" ht="12.75">
      <c r="A63" s="65">
        <v>42095</v>
      </c>
      <c r="B63" s="47">
        <f t="shared" si="2"/>
        <v>354015.61487156572</v>
      </c>
      <c r="D63" s="47">
        <f t="shared" si="4"/>
        <v>6210.8002609046616</v>
      </c>
      <c r="F63" s="63"/>
      <c r="H63" s="47">
        <f t="shared" si="5"/>
        <v>347804.81461066107</v>
      </c>
      <c r="J63" s="45">
        <v>57</v>
      </c>
    </row>
    <row r="64" spans="1:10" ht="12.75">
      <c r="A64" s="65">
        <v>42125</v>
      </c>
      <c r="B64" s="47">
        <f t="shared" si="2"/>
        <v>347804.81461066107</v>
      </c>
      <c r="D64" s="47">
        <f t="shared" si="4"/>
        <v>6210.8002609046616</v>
      </c>
      <c r="F64" s="63"/>
      <c r="H64" s="47">
        <f t="shared" si="5"/>
        <v>341594.01434975641</v>
      </c>
      <c r="J64" s="45">
        <v>56</v>
      </c>
    </row>
    <row r="65" spans="1:10" ht="12.75">
      <c r="A65" s="65">
        <v>42156</v>
      </c>
      <c r="B65" s="47">
        <f t="shared" si="2"/>
        <v>341594.01434975641</v>
      </c>
      <c r="D65" s="47">
        <f t="shared" si="4"/>
        <v>6210.8002609046616</v>
      </c>
      <c r="F65" s="63"/>
      <c r="H65" s="47">
        <f t="shared" si="5"/>
        <v>335383.21408885176</v>
      </c>
      <c r="J65" s="45">
        <v>55</v>
      </c>
    </row>
    <row r="66" spans="1:10" ht="12.75">
      <c r="A66" s="65">
        <v>42186</v>
      </c>
      <c r="B66" s="47">
        <f t="shared" si="2"/>
        <v>335383.21408885176</v>
      </c>
      <c r="D66" s="47">
        <f t="shared" si="4"/>
        <v>6210.8002609046625</v>
      </c>
      <c r="F66" s="63"/>
      <c r="H66" s="47">
        <f t="shared" si="5"/>
        <v>329172.41382794711</v>
      </c>
      <c r="J66" s="45">
        <v>54</v>
      </c>
    </row>
    <row r="67" spans="1:10" ht="12.75">
      <c r="A67" s="65">
        <v>42217</v>
      </c>
      <c r="B67" s="47">
        <f t="shared" si="2"/>
        <v>329172.41382794711</v>
      </c>
      <c r="D67" s="47">
        <f t="shared" si="4"/>
        <v>6210.8002609046625</v>
      </c>
      <c r="F67" s="63"/>
      <c r="H67" s="47">
        <f t="shared" si="5"/>
        <v>322961.61356704246</v>
      </c>
      <c r="J67" s="45">
        <v>53</v>
      </c>
    </row>
    <row r="68" spans="1:10" ht="12.75">
      <c r="A68" s="65">
        <v>42248</v>
      </c>
      <c r="B68" s="47">
        <f t="shared" si="2"/>
        <v>322961.61356704246</v>
      </c>
      <c r="D68" s="47">
        <f t="shared" si="4"/>
        <v>6210.8002609046625</v>
      </c>
      <c r="F68" s="63"/>
      <c r="H68" s="47">
        <f t="shared" si="5"/>
        <v>316750.8133061378</v>
      </c>
      <c r="J68" s="45">
        <v>52</v>
      </c>
    </row>
    <row r="69" spans="1:10" ht="12.75">
      <c r="A69" s="65">
        <v>42278</v>
      </c>
      <c r="B69" s="47">
        <f t="shared" si="2"/>
        <v>316750.8133061378</v>
      </c>
      <c r="D69" s="47">
        <f t="shared" si="4"/>
        <v>6210.8002609046625</v>
      </c>
      <c r="F69" s="63"/>
      <c r="H69" s="47">
        <f t="shared" si="5"/>
        <v>310540.01304523315</v>
      </c>
      <c r="J69" s="45">
        <v>51</v>
      </c>
    </row>
    <row r="70" spans="1:10" ht="12.75">
      <c r="A70" s="65">
        <v>42309</v>
      </c>
      <c r="B70" s="47">
        <f t="shared" si="2"/>
        <v>310540.01304523315</v>
      </c>
      <c r="D70" s="47">
        <f t="shared" si="4"/>
        <v>6210.8002609046634</v>
      </c>
      <c r="F70" s="63"/>
      <c r="H70" s="47">
        <f t="shared" si="5"/>
        <v>304329.2127843285</v>
      </c>
      <c r="J70" s="45">
        <v>50</v>
      </c>
    </row>
    <row r="71" spans="1:10" ht="12.75">
      <c r="A71" s="65">
        <v>42339</v>
      </c>
      <c r="B71" s="47">
        <f t="shared" si="2"/>
        <v>304329.2127843285</v>
      </c>
      <c r="D71" s="47">
        <f t="shared" si="4"/>
        <v>6210.8002609046634</v>
      </c>
      <c r="F71" s="63"/>
      <c r="H71" s="47">
        <f t="shared" si="5"/>
        <v>298118.41252342385</v>
      </c>
      <c r="J71" s="45">
        <v>49</v>
      </c>
    </row>
    <row r="72" spans="1:10" ht="12.75">
      <c r="A72" s="65">
        <v>42370</v>
      </c>
      <c r="B72" s="47">
        <f t="shared" si="2"/>
        <v>298118.41252342385</v>
      </c>
      <c r="D72" s="47">
        <f t="shared" si="4"/>
        <v>6210.8002609046634</v>
      </c>
      <c r="F72" s="63"/>
      <c r="H72" s="47">
        <f t="shared" si="5"/>
        <v>291907.61226251919</v>
      </c>
      <c r="J72" s="45">
        <v>48</v>
      </c>
    </row>
    <row r="73" spans="1:10" ht="12.75">
      <c r="A73" s="65">
        <v>42401</v>
      </c>
      <c r="B73" s="47">
        <f t="shared" si="2"/>
        <v>291907.61226251919</v>
      </c>
      <c r="D73" s="47">
        <f t="shared" si="4"/>
        <v>6210.8002609046634</v>
      </c>
      <c r="F73" s="63"/>
      <c r="H73" s="47">
        <f t="shared" si="5"/>
        <v>285696.81200161454</v>
      </c>
      <c r="J73" s="45">
        <v>47</v>
      </c>
    </row>
    <row r="74" spans="1:10" ht="12.75">
      <c r="A74" s="65">
        <v>42430</v>
      </c>
      <c r="B74" s="47">
        <f t="shared" si="2"/>
        <v>285696.81200161454</v>
      </c>
      <c r="D74" s="47">
        <f t="shared" si="4"/>
        <v>6210.8002609046644</v>
      </c>
      <c r="F74" s="63"/>
      <c r="H74" s="47">
        <f t="shared" si="5"/>
        <v>279486.01174070989</v>
      </c>
      <c r="J74" s="45">
        <v>46</v>
      </c>
    </row>
    <row r="75" spans="1:10" ht="12.75">
      <c r="A75" s="65">
        <v>42461</v>
      </c>
      <c r="B75" s="47">
        <f t="shared" si="2"/>
        <v>279486.01174070989</v>
      </c>
      <c r="D75" s="47">
        <f t="shared" si="4"/>
        <v>6210.8002609046644</v>
      </c>
      <c r="F75" s="63"/>
      <c r="H75" s="47">
        <f t="shared" si="5"/>
        <v>273275.21147980524</v>
      </c>
      <c r="J75" s="45">
        <v>45</v>
      </c>
    </row>
    <row r="76" spans="1:10" ht="12.75">
      <c r="A76" s="65">
        <v>42491</v>
      </c>
      <c r="B76" s="47">
        <f t="shared" si="2"/>
        <v>273275.21147980524</v>
      </c>
      <c r="D76" s="47">
        <f t="shared" si="4"/>
        <v>6210.8002609046644</v>
      </c>
      <c r="F76" s="63"/>
      <c r="H76" s="47">
        <f t="shared" si="5"/>
        <v>267064.41121890058</v>
      </c>
      <c r="J76" s="45">
        <v>44</v>
      </c>
    </row>
    <row r="77" spans="1:10" ht="12.75">
      <c r="A77" s="65">
        <v>42522</v>
      </c>
      <c r="B77" s="47">
        <f t="shared" si="2"/>
        <v>267064.41121890058</v>
      </c>
      <c r="D77" s="47">
        <f t="shared" si="4"/>
        <v>6210.8002609046644</v>
      </c>
      <c r="F77" s="63"/>
      <c r="H77" s="47">
        <f t="shared" si="5"/>
        <v>260853.61095799593</v>
      </c>
      <c r="J77" s="45">
        <v>43</v>
      </c>
    </row>
    <row r="78" spans="1:10" ht="12.75">
      <c r="A78" s="65">
        <v>42552</v>
      </c>
      <c r="B78" s="47">
        <f t="shared" si="2"/>
        <v>260853.61095799593</v>
      </c>
      <c r="D78" s="47">
        <f t="shared" si="4"/>
        <v>6210.8002609046653</v>
      </c>
      <c r="F78" s="63"/>
      <c r="H78" s="47">
        <f t="shared" si="5"/>
        <v>254642.81069709128</v>
      </c>
      <c r="J78" s="45">
        <v>42</v>
      </c>
    </row>
    <row r="79" spans="1:10" ht="12.75">
      <c r="A79" s="65">
        <v>42583</v>
      </c>
      <c r="B79" s="47">
        <f t="shared" si="2"/>
        <v>254642.81069709128</v>
      </c>
      <c r="D79" s="47">
        <f t="shared" si="4"/>
        <v>6210.8002609046653</v>
      </c>
      <c r="F79" s="63"/>
      <c r="H79" s="47">
        <f t="shared" si="5"/>
        <v>248432.01043618663</v>
      </c>
      <c r="J79" s="45">
        <v>41</v>
      </c>
    </row>
    <row r="80" spans="1:10" ht="12.75">
      <c r="A80" s="65">
        <v>42614</v>
      </c>
      <c r="B80" s="47">
        <f t="shared" si="2"/>
        <v>248432.01043618663</v>
      </c>
      <c r="D80" s="47">
        <f t="shared" si="4"/>
        <v>6210.8002609046653</v>
      </c>
      <c r="F80" s="63"/>
      <c r="H80" s="47">
        <f t="shared" si="5"/>
        <v>242221.21017528197</v>
      </c>
      <c r="J80" s="45">
        <v>40</v>
      </c>
    </row>
    <row r="81" spans="1:10" ht="12.75">
      <c r="A81" s="65">
        <v>42644</v>
      </c>
      <c r="B81" s="47">
        <f t="shared" si="2"/>
        <v>242221.21017528197</v>
      </c>
      <c r="D81" s="47">
        <f t="shared" si="4"/>
        <v>6210.8002609046662</v>
      </c>
      <c r="F81" s="63"/>
      <c r="H81" s="47">
        <f t="shared" si="5"/>
        <v>236010.40991437732</v>
      </c>
      <c r="J81" s="45">
        <v>39</v>
      </c>
    </row>
    <row r="82" spans="1:10" ht="12.75">
      <c r="A82" s="65">
        <v>42675</v>
      </c>
      <c r="B82" s="47">
        <f t="shared" si="2"/>
        <v>236010.40991437732</v>
      </c>
      <c r="D82" s="47">
        <f t="shared" si="4"/>
        <v>6210.8002609046662</v>
      </c>
      <c r="F82" s="63"/>
      <c r="H82" s="47">
        <f t="shared" si="5"/>
        <v>229799.60965347267</v>
      </c>
      <c r="J82" s="45">
        <v>38</v>
      </c>
    </row>
    <row r="83" spans="1:10" ht="12.75">
      <c r="A83" s="65">
        <v>42705</v>
      </c>
      <c r="B83" s="47">
        <f t="shared" si="2"/>
        <v>229799.60965347267</v>
      </c>
      <c r="D83" s="47">
        <f t="shared" si="4"/>
        <v>6210.8002609046671</v>
      </c>
      <c r="F83" s="63"/>
      <c r="H83" s="47">
        <f t="shared" si="5"/>
        <v>223588.80939256802</v>
      </c>
      <c r="J83" s="45">
        <v>37</v>
      </c>
    </row>
    <row r="84" spans="1:10" ht="12.75">
      <c r="A84" s="65">
        <v>42736</v>
      </c>
      <c r="B84" s="47">
        <f t="shared" si="2"/>
        <v>223588.80939256802</v>
      </c>
      <c r="D84" s="47">
        <f t="shared" si="4"/>
        <v>6210.8002609046671</v>
      </c>
      <c r="F84" s="63"/>
      <c r="H84" s="47">
        <f t="shared" si="5"/>
        <v>217378.00913166336</v>
      </c>
      <c r="J84" s="45">
        <v>36</v>
      </c>
    </row>
    <row r="85" spans="1:10" ht="12.75">
      <c r="A85" s="65">
        <v>42767</v>
      </c>
      <c r="B85" s="47">
        <f t="shared" si="2"/>
        <v>217378.00913166336</v>
      </c>
      <c r="D85" s="47">
        <f t="shared" si="4"/>
        <v>6210.8002609046671</v>
      </c>
      <c r="F85" s="63"/>
      <c r="H85" s="47">
        <f t="shared" si="5"/>
        <v>211167.20887075871</v>
      </c>
      <c r="J85" s="45">
        <v>35</v>
      </c>
    </row>
    <row r="86" spans="1:10" ht="12.75">
      <c r="A86" s="65">
        <v>42795</v>
      </c>
      <c r="B86" s="47">
        <f t="shared" si="2"/>
        <v>211167.20887075871</v>
      </c>
      <c r="D86" s="47">
        <f t="shared" si="4"/>
        <v>6210.800260904668</v>
      </c>
      <c r="F86" s="63"/>
      <c r="H86" s="47">
        <f t="shared" si="5"/>
        <v>204956.40860985403</v>
      </c>
      <c r="J86" s="45">
        <v>34</v>
      </c>
    </row>
    <row r="87" spans="1:10" ht="12.75">
      <c r="A87" s="65">
        <v>42826</v>
      </c>
      <c r="B87" s="47">
        <f t="shared" si="6" ref="B87:B150">H86</f>
        <v>204956.40860985403</v>
      </c>
      <c r="D87" s="47">
        <f t="shared" si="4"/>
        <v>6210.8002609046671</v>
      </c>
      <c r="F87" s="63"/>
      <c r="H87" s="47">
        <f t="shared" si="5"/>
        <v>198745.60834894935</v>
      </c>
      <c r="J87" s="45">
        <v>33</v>
      </c>
    </row>
    <row r="88" spans="1:10" ht="12.75">
      <c r="A88" s="65">
        <v>42856</v>
      </c>
      <c r="B88" s="47">
        <f t="shared" si="6"/>
        <v>198745.60834894935</v>
      </c>
      <c r="D88" s="47">
        <f t="shared" si="4"/>
        <v>6210.8002609046671</v>
      </c>
      <c r="F88" s="63"/>
      <c r="H88" s="47">
        <f t="shared" si="5"/>
        <v>192534.80808804469</v>
      </c>
      <c r="J88" s="45">
        <v>32</v>
      </c>
    </row>
    <row r="89" spans="1:10" ht="12.75">
      <c r="A89" s="65">
        <v>42887</v>
      </c>
      <c r="B89" s="47">
        <f t="shared" si="6"/>
        <v>192534.80808804469</v>
      </c>
      <c r="D89" s="47">
        <f t="shared" si="4"/>
        <v>6210.800260904668</v>
      </c>
      <c r="F89" s="63"/>
      <c r="H89" s="47">
        <f t="shared" si="5"/>
        <v>186324.00782714001</v>
      </c>
      <c r="J89" s="45">
        <v>31</v>
      </c>
    </row>
    <row r="90" spans="1:10" ht="12.75">
      <c r="A90" s="65">
        <v>42917</v>
      </c>
      <c r="B90" s="47">
        <f t="shared" si="6"/>
        <v>186324.00782714001</v>
      </c>
      <c r="D90" s="47">
        <f t="shared" si="4"/>
        <v>6210.8002609046671</v>
      </c>
      <c r="F90" s="63"/>
      <c r="H90" s="47">
        <f t="shared" si="5"/>
        <v>180113.20756623533</v>
      </c>
      <c r="J90" s="45">
        <v>30</v>
      </c>
    </row>
    <row r="91" spans="1:10" ht="12.75">
      <c r="A91" s="65">
        <v>42948</v>
      </c>
      <c r="B91" s="47">
        <f t="shared" si="6"/>
        <v>180113.20756623533</v>
      </c>
      <c r="D91" s="47">
        <f t="shared" si="4"/>
        <v>6210.8002609046662</v>
      </c>
      <c r="F91" s="63"/>
      <c r="H91" s="47">
        <f t="shared" si="5"/>
        <v>173902.40730533068</v>
      </c>
      <c r="J91" s="45">
        <v>29</v>
      </c>
    </row>
    <row r="92" spans="1:10" ht="12.75">
      <c r="A92" s="65">
        <v>42979</v>
      </c>
      <c r="B92" s="47">
        <f t="shared" si="6"/>
        <v>173902.40730533068</v>
      </c>
      <c r="D92" s="47">
        <f t="shared" si="4"/>
        <v>6210.8002609046671</v>
      </c>
      <c r="F92" s="63"/>
      <c r="H92" s="47">
        <f t="shared" si="5"/>
        <v>167691.60704442603</v>
      </c>
      <c r="J92" s="45">
        <v>28</v>
      </c>
    </row>
    <row r="93" spans="1:10" ht="12.75">
      <c r="A93" s="65">
        <v>43009</v>
      </c>
      <c r="B93" s="47">
        <f t="shared" si="6"/>
        <v>167691.60704442603</v>
      </c>
      <c r="D93" s="47">
        <f t="shared" si="4"/>
        <v>6210.800260904668</v>
      </c>
      <c r="F93" s="63"/>
      <c r="H93" s="47">
        <f t="shared" si="5"/>
        <v>161480.80678352134</v>
      </c>
      <c r="J93" s="45">
        <v>27</v>
      </c>
    </row>
    <row r="94" spans="1:10" ht="12.75">
      <c r="A94" s="94">
        <v>43065</v>
      </c>
      <c r="B94" s="47">
        <f t="shared" si="6"/>
        <v>161480.80678352134</v>
      </c>
      <c r="D94" s="47">
        <f>ROUND(B94/J94,2)*26/30</f>
        <v>5382.6933333333336</v>
      </c>
      <c r="F94" s="63"/>
      <c r="H94" s="47">
        <f t="shared" si="5"/>
        <v>156098.11345018802</v>
      </c>
      <c r="J94" s="45">
        <v>26</v>
      </c>
    </row>
    <row r="95" spans="1:10" ht="12.75">
      <c r="A95" s="94">
        <v>43069</v>
      </c>
      <c r="B95" s="47">
        <f t="shared" si="6"/>
        <v>156098.11345018802</v>
      </c>
      <c r="D95" s="47">
        <f>ROUND(+$B$164,2)*4/30</f>
        <v>346.88533333333334</v>
      </c>
      <c r="F95" s="63"/>
      <c r="H95" s="47">
        <f t="shared" si="5"/>
        <v>155751.22811685468</v>
      </c>
      <c r="J95" s="45">
        <v>60</v>
      </c>
    </row>
    <row r="96" spans="1:10" ht="12.75">
      <c r="A96" s="65">
        <v>43070</v>
      </c>
      <c r="B96" s="47">
        <f t="shared" si="6"/>
        <v>155751.22811685468</v>
      </c>
      <c r="D96" s="47">
        <f>ROUND(+$B$164,2)</f>
        <v>2601.6399999999999</v>
      </c>
      <c r="F96" s="63"/>
      <c r="H96" s="47">
        <f t="shared" si="5"/>
        <v>153149.58811685466</v>
      </c>
      <c r="J96" s="45">
        <v>60</v>
      </c>
    </row>
    <row r="97" spans="1:13" ht="12.75">
      <c r="A97" s="65">
        <v>43101</v>
      </c>
      <c r="B97" s="47">
        <f t="shared" si="6"/>
        <v>153149.58811685466</v>
      </c>
      <c r="D97" s="47">
        <f>ROUND(+$B$164,2)</f>
        <v>2601.6399999999999</v>
      </c>
      <c r="F97" s="63"/>
      <c r="H97" s="47">
        <f t="shared" si="5"/>
        <v>150547.94811685465</v>
      </c>
      <c r="J97" s="45">
        <f t="shared" si="7" ref="J97:J155">+J96-1</f>
        <v>59</v>
      </c>
      <c r="M97" s="89"/>
    </row>
    <row r="98" spans="1:13" ht="12.75">
      <c r="A98" s="65">
        <v>43132</v>
      </c>
      <c r="B98" s="47">
        <f t="shared" si="6"/>
        <v>150547.94811685465</v>
      </c>
      <c r="D98" s="47">
        <f>ROUND(+$B$164,2)</f>
        <v>2601.6399999999999</v>
      </c>
      <c r="F98" s="63"/>
      <c r="H98" s="47">
        <f t="shared" si="5"/>
        <v>147946.30811685463</v>
      </c>
      <c r="J98" s="45">
        <f t="shared" si="7"/>
        <v>58</v>
      </c>
      <c r="M98" s="89"/>
    </row>
    <row r="99" spans="1:10" ht="12.75">
      <c r="A99" s="64">
        <v>43160</v>
      </c>
      <c r="B99" s="47">
        <f t="shared" si="6"/>
        <v>147946.30811685463</v>
      </c>
      <c r="D99" s="47">
        <f>ROUND(+$B$164,2)</f>
        <v>2601.6399999999999</v>
      </c>
      <c r="F99" s="63"/>
      <c r="H99" s="61">
        <f t="shared" si="5"/>
        <v>145344.66811685462</v>
      </c>
      <c r="J99" s="45">
        <f t="shared" si="7"/>
        <v>57</v>
      </c>
    </row>
    <row r="100" spans="1:10" ht="12.75">
      <c r="A100" s="65">
        <v>43191</v>
      </c>
      <c r="B100" s="47">
        <f t="shared" si="6"/>
        <v>145344.66811685462</v>
      </c>
      <c r="D100" s="47">
        <f>ROUND(+$B$164,2)</f>
        <v>2601.6399999999999</v>
      </c>
      <c r="F100" s="63"/>
      <c r="H100" s="47">
        <f t="shared" si="5"/>
        <v>142743.02811685461</v>
      </c>
      <c r="J100" s="45">
        <f t="shared" si="7"/>
        <v>56</v>
      </c>
    </row>
    <row r="101" spans="1:13" ht="12.75">
      <c r="A101" s="65">
        <v>43221</v>
      </c>
      <c r="B101" s="47">
        <f t="shared" si="6"/>
        <v>142743.02811685461</v>
      </c>
      <c r="D101" s="47">
        <f>ROUND(+$B$164,2)</f>
        <v>2601.6399999999999</v>
      </c>
      <c r="F101" s="63"/>
      <c r="H101" s="47">
        <f t="shared" si="5"/>
        <v>140141.38811685459</v>
      </c>
      <c r="J101" s="45">
        <f t="shared" si="7"/>
        <v>55</v>
      </c>
      <c r="M101" s="89"/>
    </row>
    <row r="102" spans="1:13" ht="12.75">
      <c r="A102" s="64">
        <v>43252</v>
      </c>
      <c r="B102" s="47">
        <f t="shared" si="6"/>
        <v>140141.38811685459</v>
      </c>
      <c r="D102" s="47">
        <f>ROUND(+$B$164,2)</f>
        <v>2601.6399999999999</v>
      </c>
      <c r="F102" s="63"/>
      <c r="H102" s="61">
        <f t="shared" si="5"/>
        <v>137539.74811685458</v>
      </c>
      <c r="J102" s="45">
        <f t="shared" si="7"/>
        <v>54</v>
      </c>
      <c r="M102" s="89"/>
    </row>
    <row r="103" spans="1:10" ht="12.75">
      <c r="A103" s="65">
        <v>43282</v>
      </c>
      <c r="B103" s="47">
        <f t="shared" si="6"/>
        <v>137539.74811685458</v>
      </c>
      <c r="D103" s="47">
        <f>ROUND(+$B$164,2)</f>
        <v>2601.6399999999999</v>
      </c>
      <c r="F103" s="63"/>
      <c r="H103" s="47">
        <f t="shared" si="5"/>
        <v>134938.10811685456</v>
      </c>
      <c r="J103" s="45">
        <f t="shared" si="7"/>
        <v>53</v>
      </c>
    </row>
    <row r="104" spans="1:10" ht="12.75">
      <c r="A104" s="65">
        <v>43313</v>
      </c>
      <c r="B104" s="47">
        <f t="shared" si="6"/>
        <v>134938.10811685456</v>
      </c>
      <c r="D104" s="47">
        <f>ROUND(+$B$164,2)</f>
        <v>2601.6399999999999</v>
      </c>
      <c r="F104" s="63"/>
      <c r="H104" s="47">
        <f t="shared" si="5"/>
        <v>132336.46811685455</v>
      </c>
      <c r="J104" s="45">
        <f t="shared" si="7"/>
        <v>52</v>
      </c>
    </row>
    <row r="105" spans="1:10" ht="12.75">
      <c r="A105" s="64">
        <v>43344</v>
      </c>
      <c r="B105" s="47">
        <f t="shared" si="6"/>
        <v>132336.46811685455</v>
      </c>
      <c r="D105" s="47">
        <f>ROUND(+$B$164,2)</f>
        <v>2601.6399999999999</v>
      </c>
      <c r="F105" s="63"/>
      <c r="H105" s="61">
        <f t="shared" si="5"/>
        <v>129734.82811685455</v>
      </c>
      <c r="J105" s="45">
        <f t="shared" si="7"/>
        <v>51</v>
      </c>
    </row>
    <row r="106" spans="1:10" ht="12.75">
      <c r="A106" s="65">
        <v>43374</v>
      </c>
      <c r="B106" s="47">
        <f t="shared" si="6"/>
        <v>129734.82811685455</v>
      </c>
      <c r="D106" s="47">
        <f>ROUND(+$B$164,2)</f>
        <v>2601.6399999999999</v>
      </c>
      <c r="F106" s="63"/>
      <c r="H106" s="47">
        <f t="shared" si="5"/>
        <v>127133.18811685455</v>
      </c>
      <c r="J106" s="45">
        <f t="shared" si="7"/>
        <v>50</v>
      </c>
    </row>
    <row r="107" spans="1:10" ht="12.75">
      <c r="A107" s="65">
        <v>43405</v>
      </c>
      <c r="B107" s="47">
        <f t="shared" si="6"/>
        <v>127133.18811685455</v>
      </c>
      <c r="D107" s="47">
        <f>ROUND(+$B$164,2)</f>
        <v>2601.6399999999999</v>
      </c>
      <c r="F107" s="63"/>
      <c r="H107" s="47">
        <f t="shared" si="8" ref="H107:H155">B107-D107+F107</f>
        <v>124531.54811685455</v>
      </c>
      <c r="J107" s="45">
        <f t="shared" si="7"/>
        <v>49</v>
      </c>
    </row>
    <row r="108" spans="1:10" ht="12.75">
      <c r="A108" s="64">
        <v>43435</v>
      </c>
      <c r="B108" s="47">
        <f t="shared" si="6"/>
        <v>124531.54811685455</v>
      </c>
      <c r="D108" s="47">
        <f>ROUND(+$B$164,2)</f>
        <v>2601.6399999999999</v>
      </c>
      <c r="F108" s="63"/>
      <c r="H108" s="61">
        <f t="shared" si="8"/>
        <v>121929.90811685455</v>
      </c>
      <c r="J108" s="45">
        <f t="shared" si="7"/>
        <v>48</v>
      </c>
    </row>
    <row r="109" spans="1:10" ht="12.75">
      <c r="A109" s="65">
        <v>43466</v>
      </c>
      <c r="B109" s="47">
        <f t="shared" si="6"/>
        <v>121929.90811685455</v>
      </c>
      <c r="D109" s="47">
        <f>ROUND(+$B$164,2)</f>
        <v>2601.6399999999999</v>
      </c>
      <c r="F109" s="63"/>
      <c r="H109" s="47">
        <f t="shared" si="8"/>
        <v>119328.26811685455</v>
      </c>
      <c r="J109" s="45">
        <f t="shared" si="7"/>
        <v>47</v>
      </c>
    </row>
    <row r="110" spans="1:10" ht="12.75">
      <c r="A110" s="65">
        <v>43497</v>
      </c>
      <c r="B110" s="47">
        <f t="shared" si="6"/>
        <v>119328.26811685455</v>
      </c>
      <c r="D110" s="47">
        <f>ROUND(+$B$164,2)</f>
        <v>2601.6399999999999</v>
      </c>
      <c r="F110" s="63"/>
      <c r="H110" s="47">
        <f t="shared" si="8"/>
        <v>116726.62811685455</v>
      </c>
      <c r="J110" s="45">
        <f t="shared" si="7"/>
        <v>46</v>
      </c>
    </row>
    <row r="111" spans="1:10" ht="12.75">
      <c r="A111" s="64">
        <v>43525</v>
      </c>
      <c r="B111" s="47">
        <f t="shared" si="6"/>
        <v>116726.62811685455</v>
      </c>
      <c r="D111" s="47">
        <f>ROUND(+$B$164,2)</f>
        <v>2601.6399999999999</v>
      </c>
      <c r="F111" s="63"/>
      <c r="H111" s="61">
        <f t="shared" si="8"/>
        <v>114124.98811685455</v>
      </c>
      <c r="J111" s="45">
        <f t="shared" si="7"/>
        <v>45</v>
      </c>
    </row>
    <row r="112" spans="1:10" ht="12.75">
      <c r="A112" s="65">
        <v>43556</v>
      </c>
      <c r="B112" s="47">
        <f t="shared" si="6"/>
        <v>114124.98811685455</v>
      </c>
      <c r="D112" s="47">
        <f>ROUND(+$B$164,2)</f>
        <v>2601.6399999999999</v>
      </c>
      <c r="F112" s="63"/>
      <c r="H112" s="47">
        <f t="shared" si="8"/>
        <v>111523.34811685456</v>
      </c>
      <c r="J112" s="45">
        <f t="shared" si="7"/>
        <v>44</v>
      </c>
    </row>
    <row r="113" spans="1:10" ht="12.75">
      <c r="A113" s="65">
        <v>43586</v>
      </c>
      <c r="B113" s="47">
        <f t="shared" si="6"/>
        <v>111523.34811685456</v>
      </c>
      <c r="D113" s="47">
        <f>ROUND(+$B$164,2)</f>
        <v>2601.6399999999999</v>
      </c>
      <c r="F113" s="63"/>
      <c r="H113" s="47">
        <f t="shared" si="8"/>
        <v>108921.70811685456</v>
      </c>
      <c r="J113" s="45">
        <f t="shared" si="7"/>
        <v>43</v>
      </c>
    </row>
    <row r="114" spans="1:10" ht="12.75">
      <c r="A114" s="64">
        <v>43617</v>
      </c>
      <c r="B114" s="47">
        <f t="shared" si="6"/>
        <v>108921.70811685456</v>
      </c>
      <c r="D114" s="47">
        <f>ROUND(+$B$164,2)</f>
        <v>2601.6399999999999</v>
      </c>
      <c r="F114" s="63"/>
      <c r="H114" s="61">
        <f t="shared" si="8"/>
        <v>106320.06811685456</v>
      </c>
      <c r="J114" s="45">
        <f t="shared" si="7"/>
        <v>42</v>
      </c>
    </row>
    <row r="115" spans="1:10" ht="12.75">
      <c r="A115" s="65">
        <v>43647</v>
      </c>
      <c r="B115" s="47">
        <f t="shared" si="6"/>
        <v>106320.06811685456</v>
      </c>
      <c r="D115" s="47">
        <f>ROUND(+$B$164,2)</f>
        <v>2601.6399999999999</v>
      </c>
      <c r="F115" s="63"/>
      <c r="H115" s="47">
        <f t="shared" si="8"/>
        <v>103718.42811685456</v>
      </c>
      <c r="J115" s="45">
        <f t="shared" si="7"/>
        <v>41</v>
      </c>
    </row>
    <row r="116" spans="1:10" ht="12.75">
      <c r="A116" s="65">
        <v>43678</v>
      </c>
      <c r="B116" s="47">
        <f t="shared" si="6"/>
        <v>103718.42811685456</v>
      </c>
      <c r="D116" s="47">
        <f>ROUND(+$B$164,2)</f>
        <v>2601.6399999999999</v>
      </c>
      <c r="F116" s="63"/>
      <c r="H116" s="47">
        <f t="shared" si="8"/>
        <v>101116.78811685456</v>
      </c>
      <c r="J116" s="45">
        <f t="shared" si="7"/>
        <v>40</v>
      </c>
    </row>
    <row r="117" spans="1:10" ht="12.75">
      <c r="A117" s="64">
        <v>43709</v>
      </c>
      <c r="B117" s="47">
        <f t="shared" si="6"/>
        <v>101116.78811685456</v>
      </c>
      <c r="D117" s="47">
        <f>ROUND(+$B$164,2)</f>
        <v>2601.6399999999999</v>
      </c>
      <c r="F117" s="63"/>
      <c r="H117" s="61">
        <f t="shared" si="8"/>
        <v>98515.148116854558</v>
      </c>
      <c r="J117" s="45">
        <f t="shared" si="7"/>
        <v>39</v>
      </c>
    </row>
    <row r="118" spans="1:10" ht="12.75">
      <c r="A118" s="65">
        <v>43739</v>
      </c>
      <c r="B118" s="47">
        <f t="shared" si="6"/>
        <v>98515.148116854558</v>
      </c>
      <c r="D118" s="47">
        <f>ROUND(+$B$164,2)</f>
        <v>2601.6399999999999</v>
      </c>
      <c r="F118" s="63"/>
      <c r="H118" s="47">
        <f t="shared" si="8"/>
        <v>95913.508116854558</v>
      </c>
      <c r="J118" s="45">
        <f t="shared" si="7"/>
        <v>38</v>
      </c>
    </row>
    <row r="119" spans="1:10" ht="12.75">
      <c r="A119" s="65">
        <v>43770</v>
      </c>
      <c r="B119" s="47">
        <f t="shared" si="6"/>
        <v>95913.508116854558</v>
      </c>
      <c r="D119" s="47">
        <f>ROUND(+$B$164,2)</f>
        <v>2601.6399999999999</v>
      </c>
      <c r="F119" s="63"/>
      <c r="H119" s="47">
        <f t="shared" si="8"/>
        <v>93311.868116854559</v>
      </c>
      <c r="J119" s="45">
        <f t="shared" si="7"/>
        <v>37</v>
      </c>
    </row>
    <row r="120" spans="1:10" ht="12.75">
      <c r="A120" s="64">
        <v>43800</v>
      </c>
      <c r="B120" s="47">
        <f t="shared" si="6"/>
        <v>93311.868116854559</v>
      </c>
      <c r="D120" s="47">
        <f>ROUND(+$B$164,2)</f>
        <v>2601.6399999999999</v>
      </c>
      <c r="F120" s="63"/>
      <c r="H120" s="61">
        <f t="shared" si="8"/>
        <v>90710.22811685456</v>
      </c>
      <c r="J120" s="45">
        <f t="shared" si="7"/>
        <v>36</v>
      </c>
    </row>
    <row r="121" spans="1:10" ht="12.75">
      <c r="A121" s="65">
        <v>43831</v>
      </c>
      <c r="B121" s="47">
        <f t="shared" si="6"/>
        <v>90710.22811685456</v>
      </c>
      <c r="D121" s="47">
        <f>ROUND(+$B$164,2)</f>
        <v>2601.6399999999999</v>
      </c>
      <c r="F121" s="63"/>
      <c r="H121" s="47">
        <f t="shared" si="8"/>
        <v>88108.58811685456</v>
      </c>
      <c r="J121" s="45">
        <f t="shared" si="7"/>
        <v>35</v>
      </c>
    </row>
    <row r="122" spans="1:10" ht="12.75">
      <c r="A122" s="65">
        <v>43862</v>
      </c>
      <c r="B122" s="47">
        <f t="shared" si="6"/>
        <v>88108.58811685456</v>
      </c>
      <c r="D122" s="47">
        <f>ROUND(+$B$164,2)</f>
        <v>2601.6399999999999</v>
      </c>
      <c r="F122" s="63"/>
      <c r="H122" s="47">
        <f t="shared" si="8"/>
        <v>85506.948116854561</v>
      </c>
      <c r="J122" s="45">
        <f t="shared" si="7"/>
        <v>34</v>
      </c>
    </row>
    <row r="123" spans="1:10" ht="12.75">
      <c r="A123" s="64">
        <v>43891</v>
      </c>
      <c r="B123" s="47">
        <f t="shared" si="6"/>
        <v>85506.948116854561</v>
      </c>
      <c r="D123" s="47">
        <f>ROUND(+$B$164,2)</f>
        <v>2601.6399999999999</v>
      </c>
      <c r="F123" s="63"/>
      <c r="H123" s="61">
        <f t="shared" si="8"/>
        <v>82905.308116854561</v>
      </c>
      <c r="J123" s="45">
        <f t="shared" si="7"/>
        <v>33</v>
      </c>
    </row>
    <row r="124" spans="1:10" ht="12.75">
      <c r="A124" s="65">
        <v>43922</v>
      </c>
      <c r="B124" s="47">
        <f t="shared" si="6"/>
        <v>82905.308116854561</v>
      </c>
      <c r="D124" s="47">
        <f>ROUND(+$B$164,2)</f>
        <v>2601.6399999999999</v>
      </c>
      <c r="F124" s="63"/>
      <c r="H124" s="47">
        <f t="shared" si="8"/>
        <v>80303.668116854562</v>
      </c>
      <c r="J124" s="45">
        <f t="shared" si="7"/>
        <v>32</v>
      </c>
    </row>
    <row r="125" spans="1:10" ht="12.75">
      <c r="A125" s="65">
        <v>43952</v>
      </c>
      <c r="B125" s="47">
        <f t="shared" si="6"/>
        <v>80303.668116854562</v>
      </c>
      <c r="D125" s="47">
        <f>ROUND(+$B$164,2)</f>
        <v>2601.6399999999999</v>
      </c>
      <c r="F125" s="63"/>
      <c r="H125" s="47">
        <f t="shared" si="8"/>
        <v>77702.028116854563</v>
      </c>
      <c r="J125" s="45">
        <f t="shared" si="7"/>
        <v>31</v>
      </c>
    </row>
    <row r="126" spans="1:10" ht="12.75">
      <c r="A126" s="64">
        <v>43983</v>
      </c>
      <c r="B126" s="47">
        <f t="shared" si="6"/>
        <v>77702.028116854563</v>
      </c>
      <c r="D126" s="47">
        <f>ROUND(+$B$164,2)</f>
        <v>2601.6399999999999</v>
      </c>
      <c r="F126" s="63"/>
      <c r="H126" s="61">
        <f t="shared" si="8"/>
        <v>75100.388116854563</v>
      </c>
      <c r="J126" s="45">
        <f t="shared" si="7"/>
        <v>30</v>
      </c>
    </row>
    <row r="127" spans="1:10" ht="12.75">
      <c r="A127" s="65">
        <v>44013</v>
      </c>
      <c r="B127" s="47">
        <f t="shared" si="6"/>
        <v>75100.388116854563</v>
      </c>
      <c r="D127" s="47">
        <f>ROUND(+$B$164,2)</f>
        <v>2601.6399999999999</v>
      </c>
      <c r="F127" s="63"/>
      <c r="H127" s="47">
        <f t="shared" si="8"/>
        <v>72498.748116854564</v>
      </c>
      <c r="J127" s="45">
        <f t="shared" si="7"/>
        <v>29</v>
      </c>
    </row>
    <row r="128" spans="1:10" ht="12.75">
      <c r="A128" s="65">
        <v>44044</v>
      </c>
      <c r="B128" s="47">
        <f t="shared" si="6"/>
        <v>72498.748116854564</v>
      </c>
      <c r="D128" s="47">
        <f>ROUND(+$B$164,2)</f>
        <v>2601.6399999999999</v>
      </c>
      <c r="F128" s="63"/>
      <c r="H128" s="47">
        <f t="shared" si="8"/>
        <v>69897.108116854564</v>
      </c>
      <c r="J128" s="45">
        <f t="shared" si="7"/>
        <v>28</v>
      </c>
    </row>
    <row r="129" spans="1:10" ht="12.75">
      <c r="A129" s="64">
        <v>44075</v>
      </c>
      <c r="B129" s="47">
        <f t="shared" si="6"/>
        <v>69897.108116854564</v>
      </c>
      <c r="D129" s="47">
        <f>ROUND(+$B$164,2)</f>
        <v>2601.6399999999999</v>
      </c>
      <c r="F129" s="63"/>
      <c r="H129" s="61">
        <f t="shared" si="8"/>
        <v>67295.468116854565</v>
      </c>
      <c r="J129" s="45">
        <f t="shared" si="7"/>
        <v>27</v>
      </c>
    </row>
    <row r="130" spans="1:10" ht="12.75">
      <c r="A130" s="65">
        <v>44105</v>
      </c>
      <c r="B130" s="47">
        <f t="shared" si="6"/>
        <v>67295.468116854565</v>
      </c>
      <c r="D130" s="47">
        <f>ROUND(+$B$164,2)</f>
        <v>2601.6399999999999</v>
      </c>
      <c r="F130" s="63"/>
      <c r="H130" s="47">
        <f t="shared" si="8"/>
        <v>64693.828116854565</v>
      </c>
      <c r="J130" s="45">
        <f t="shared" si="7"/>
        <v>26</v>
      </c>
    </row>
    <row r="131" spans="1:10" ht="12.75">
      <c r="A131" s="65">
        <v>44136</v>
      </c>
      <c r="B131" s="47">
        <f t="shared" si="6"/>
        <v>64693.828116854565</v>
      </c>
      <c r="D131" s="47">
        <f>ROUND(+$B$164,2)</f>
        <v>2601.6399999999999</v>
      </c>
      <c r="F131" s="63"/>
      <c r="H131" s="47">
        <f t="shared" si="8"/>
        <v>62092.188116854566</v>
      </c>
      <c r="J131" s="45">
        <f t="shared" si="7"/>
        <v>25</v>
      </c>
    </row>
    <row r="132" spans="1:10" s="62" customFormat="1" ht="12.75">
      <c r="A132" s="64">
        <v>44166</v>
      </c>
      <c r="B132" s="61">
        <f t="shared" si="6"/>
        <v>62092.188116854566</v>
      </c>
      <c r="D132" s="61">
        <f>ROUND(+$B$164,2)</f>
        <v>2601.6399999999999</v>
      </c>
      <c r="F132" s="48"/>
      <c r="H132" s="61">
        <f t="shared" si="8"/>
        <v>59490.548116854567</v>
      </c>
      <c r="J132" s="62">
        <f t="shared" si="7"/>
        <v>24</v>
      </c>
    </row>
    <row r="133" spans="1:10" ht="12.75">
      <c r="A133" s="65">
        <f>+A132+31</f>
        <v>44197</v>
      </c>
      <c r="B133" s="47">
        <f t="shared" si="6"/>
        <v>59490.548116854567</v>
      </c>
      <c r="D133" s="47">
        <f>ROUND(+$B$164,2)</f>
        <v>2601.6399999999999</v>
      </c>
      <c r="F133" s="63"/>
      <c r="H133" s="47">
        <f t="shared" si="8"/>
        <v>56888.908116854567</v>
      </c>
      <c r="J133" s="45">
        <f t="shared" si="7"/>
        <v>23</v>
      </c>
    </row>
    <row r="134" spans="1:10" ht="12.75">
      <c r="A134" s="65">
        <f t="shared" si="9" ref="A134:A155">+A133+31</f>
        <v>44228</v>
      </c>
      <c r="B134" s="47">
        <f t="shared" si="6"/>
        <v>56888.908116854567</v>
      </c>
      <c r="D134" s="47">
        <f>ROUND(+$B$164,2)</f>
        <v>2601.6399999999999</v>
      </c>
      <c r="F134" s="63"/>
      <c r="H134" s="47">
        <f t="shared" si="8"/>
        <v>54287.268116854568</v>
      </c>
      <c r="J134" s="45">
        <f t="shared" si="7"/>
        <v>22</v>
      </c>
    </row>
    <row r="135" spans="1:10" ht="12.75">
      <c r="A135" s="65">
        <f t="shared" si="9"/>
        <v>44259</v>
      </c>
      <c r="B135" s="47">
        <f t="shared" si="6"/>
        <v>54287.268116854568</v>
      </c>
      <c r="D135" s="47">
        <f>ROUND(+$B$164,2)</f>
        <v>2601.6399999999999</v>
      </c>
      <c r="F135" s="63"/>
      <c r="H135" s="47">
        <f t="shared" si="8"/>
        <v>51685.628116854568</v>
      </c>
      <c r="J135" s="45">
        <f t="shared" si="7"/>
        <v>21</v>
      </c>
    </row>
    <row r="136" spans="1:10" ht="12.75">
      <c r="A136" s="65">
        <f t="shared" si="9"/>
        <v>44290</v>
      </c>
      <c r="B136" s="47">
        <f t="shared" si="6"/>
        <v>51685.628116854568</v>
      </c>
      <c r="D136" s="47">
        <f>ROUND(+$B$164,2)</f>
        <v>2601.6399999999999</v>
      </c>
      <c r="F136" s="63"/>
      <c r="H136" s="47">
        <f t="shared" si="8"/>
        <v>49083.988116854569</v>
      </c>
      <c r="J136" s="45">
        <f t="shared" si="7"/>
        <v>20</v>
      </c>
    </row>
    <row r="137" spans="1:10" ht="12.75">
      <c r="A137" s="65">
        <f t="shared" si="9"/>
        <v>44321</v>
      </c>
      <c r="B137" s="47">
        <f t="shared" si="6"/>
        <v>49083.988116854569</v>
      </c>
      <c r="D137" s="47">
        <f>ROUND(+$B$164,2)</f>
        <v>2601.6399999999999</v>
      </c>
      <c r="F137" s="63"/>
      <c r="H137" s="47">
        <f t="shared" si="8"/>
        <v>46482.34811685457</v>
      </c>
      <c r="J137" s="45">
        <f t="shared" si="7"/>
        <v>19</v>
      </c>
    </row>
    <row r="138" spans="1:10" ht="12.75">
      <c r="A138" s="65">
        <f t="shared" si="9"/>
        <v>44352</v>
      </c>
      <c r="B138" s="47">
        <f t="shared" si="6"/>
        <v>46482.34811685457</v>
      </c>
      <c r="D138" s="47">
        <f>ROUND(+$B$164,2)</f>
        <v>2601.6399999999999</v>
      </c>
      <c r="F138" s="63"/>
      <c r="H138" s="47">
        <f t="shared" si="8"/>
        <v>43880.70811685457</v>
      </c>
      <c r="J138" s="45">
        <f t="shared" si="7"/>
        <v>18</v>
      </c>
    </row>
    <row r="139" spans="1:10" ht="12.75">
      <c r="A139" s="65">
        <f t="shared" si="9"/>
        <v>44383</v>
      </c>
      <c r="B139" s="47">
        <f t="shared" si="6"/>
        <v>43880.70811685457</v>
      </c>
      <c r="D139" s="47">
        <f>ROUND(+$B$164,2)</f>
        <v>2601.6399999999999</v>
      </c>
      <c r="F139" s="63"/>
      <c r="H139" s="47">
        <f t="shared" si="8"/>
        <v>41279.068116854571</v>
      </c>
      <c r="J139" s="45">
        <f t="shared" si="7"/>
        <v>17</v>
      </c>
    </row>
    <row r="140" spans="1:10" ht="12.75">
      <c r="A140" s="65">
        <f t="shared" si="9"/>
        <v>44414</v>
      </c>
      <c r="B140" s="47">
        <f t="shared" si="6"/>
        <v>41279.068116854571</v>
      </c>
      <c r="D140" s="47">
        <f>ROUND(+$B$164,2)</f>
        <v>2601.6399999999999</v>
      </c>
      <c r="F140" s="63"/>
      <c r="H140" s="47">
        <f t="shared" si="8"/>
        <v>38677.428116854571</v>
      </c>
      <c r="J140" s="45">
        <f t="shared" si="7"/>
        <v>16</v>
      </c>
    </row>
    <row r="141" spans="1:10" ht="12.75">
      <c r="A141" s="65">
        <f t="shared" si="9"/>
        <v>44445</v>
      </c>
      <c r="B141" s="47">
        <f t="shared" si="6"/>
        <v>38677.428116854571</v>
      </c>
      <c r="D141" s="47">
        <f>ROUND(+$B$164,2)</f>
        <v>2601.6399999999999</v>
      </c>
      <c r="F141" s="63"/>
      <c r="H141" s="47">
        <f t="shared" si="8"/>
        <v>36075.788116854572</v>
      </c>
      <c r="J141" s="45">
        <f t="shared" si="7"/>
        <v>15</v>
      </c>
    </row>
    <row r="142" spans="1:10" ht="12.75">
      <c r="A142" s="65">
        <f t="shared" si="9"/>
        <v>44476</v>
      </c>
      <c r="B142" s="47">
        <f t="shared" si="6"/>
        <v>36075.788116854572</v>
      </c>
      <c r="D142" s="47">
        <f>ROUND(+$B$164,2)</f>
        <v>2601.6399999999999</v>
      </c>
      <c r="F142" s="63"/>
      <c r="H142" s="47">
        <f t="shared" si="8"/>
        <v>33474.148116854572</v>
      </c>
      <c r="J142" s="45">
        <f t="shared" si="7"/>
        <v>14</v>
      </c>
    </row>
    <row r="143" spans="1:10" ht="12.75">
      <c r="A143" s="65">
        <f t="shared" si="9"/>
        <v>44507</v>
      </c>
      <c r="B143" s="47">
        <f t="shared" si="6"/>
        <v>33474.148116854572</v>
      </c>
      <c r="D143" s="47">
        <f>ROUND(+$B$164,2)</f>
        <v>2601.6399999999999</v>
      </c>
      <c r="F143" s="63"/>
      <c r="H143" s="47">
        <f t="shared" si="8"/>
        <v>30872.508116854573</v>
      </c>
      <c r="J143" s="45">
        <f t="shared" si="7"/>
        <v>13</v>
      </c>
    </row>
    <row r="144" spans="1:10" ht="12.75">
      <c r="A144" s="65">
        <f t="shared" si="9"/>
        <v>44538</v>
      </c>
      <c r="B144" s="47">
        <f t="shared" si="6"/>
        <v>30872.508116854573</v>
      </c>
      <c r="D144" s="47">
        <f>ROUND(+$B$164,2)</f>
        <v>2601.6399999999999</v>
      </c>
      <c r="F144" s="63"/>
      <c r="H144" s="47">
        <f t="shared" si="8"/>
        <v>28270.868116854574</v>
      </c>
      <c r="J144" s="45">
        <f t="shared" si="7"/>
        <v>12</v>
      </c>
    </row>
    <row r="145" spans="1:10" ht="12.75">
      <c r="A145" s="65">
        <f t="shared" si="9"/>
        <v>44569</v>
      </c>
      <c r="B145" s="47">
        <f t="shared" si="6"/>
        <v>28270.868116854574</v>
      </c>
      <c r="D145" s="47">
        <f>ROUND(+$B$164,2)</f>
        <v>2601.6399999999999</v>
      </c>
      <c r="F145" s="63"/>
      <c r="H145" s="47">
        <f t="shared" si="8"/>
        <v>25669.228116854574</v>
      </c>
      <c r="J145" s="45">
        <f t="shared" si="7"/>
        <v>11</v>
      </c>
    </row>
    <row r="146" spans="1:10" ht="12.75">
      <c r="A146" s="65">
        <f t="shared" si="9"/>
        <v>44600</v>
      </c>
      <c r="B146" s="47">
        <f t="shared" si="6"/>
        <v>25669.228116854574</v>
      </c>
      <c r="D146" s="47">
        <f>ROUND(+$B$164,2)</f>
        <v>2601.6399999999999</v>
      </c>
      <c r="F146" s="63"/>
      <c r="H146" s="47">
        <f t="shared" si="8"/>
        <v>23067.588116854575</v>
      </c>
      <c r="J146" s="45">
        <f t="shared" si="7"/>
        <v>10</v>
      </c>
    </row>
    <row r="147" spans="1:10" ht="12.75">
      <c r="A147" s="65">
        <f t="shared" si="9"/>
        <v>44631</v>
      </c>
      <c r="B147" s="47">
        <f t="shared" si="6"/>
        <v>23067.588116854575</v>
      </c>
      <c r="D147" s="47">
        <f>ROUND(+$B$164,2)</f>
        <v>2601.6399999999999</v>
      </c>
      <c r="F147" s="63"/>
      <c r="H147" s="47">
        <f t="shared" si="8"/>
        <v>20465.948116854575</v>
      </c>
      <c r="J147" s="45">
        <f t="shared" si="7"/>
        <v>9</v>
      </c>
    </row>
    <row r="148" spans="1:10" ht="12.75">
      <c r="A148" s="65">
        <f t="shared" si="9"/>
        <v>44662</v>
      </c>
      <c r="B148" s="47">
        <f t="shared" si="6"/>
        <v>20465.948116854575</v>
      </c>
      <c r="D148" s="47">
        <f>ROUND(+$B$164,2)</f>
        <v>2601.6399999999999</v>
      </c>
      <c r="F148" s="63"/>
      <c r="H148" s="47">
        <f t="shared" si="8"/>
        <v>17864.308116854576</v>
      </c>
      <c r="J148" s="45">
        <f t="shared" si="7"/>
        <v>8</v>
      </c>
    </row>
    <row r="149" spans="1:10" ht="12.75">
      <c r="A149" s="65">
        <f t="shared" si="9"/>
        <v>44693</v>
      </c>
      <c r="B149" s="47">
        <f t="shared" si="6"/>
        <v>17864.308116854576</v>
      </c>
      <c r="D149" s="47">
        <f>ROUND(+$B$164,2)</f>
        <v>2601.6399999999999</v>
      </c>
      <c r="F149" s="63"/>
      <c r="H149" s="47">
        <f t="shared" si="8"/>
        <v>15262.668116854577</v>
      </c>
      <c r="J149" s="45">
        <f t="shared" si="7"/>
        <v>7</v>
      </c>
    </row>
    <row r="150" spans="1:10" ht="12.75">
      <c r="A150" s="65">
        <f t="shared" si="9"/>
        <v>44724</v>
      </c>
      <c r="B150" s="47">
        <f t="shared" si="6"/>
        <v>15262.668116854577</v>
      </c>
      <c r="D150" s="47">
        <f>ROUND(+$B$164,2)</f>
        <v>2601.6399999999999</v>
      </c>
      <c r="F150" s="63"/>
      <c r="H150" s="47">
        <f t="shared" si="8"/>
        <v>12661.028116854577</v>
      </c>
      <c r="J150" s="45">
        <f t="shared" si="7"/>
        <v>6</v>
      </c>
    </row>
    <row r="151" spans="1:10" ht="12.75">
      <c r="A151" s="65">
        <f t="shared" si="9"/>
        <v>44755</v>
      </c>
      <c r="B151" s="47">
        <f>H150</f>
        <v>12661.028116854577</v>
      </c>
      <c r="D151" s="47">
        <f>ROUND(+$B$164,2)</f>
        <v>2601.6399999999999</v>
      </c>
      <c r="F151" s="63"/>
      <c r="H151" s="47">
        <f t="shared" si="8"/>
        <v>10059.388116854578</v>
      </c>
      <c r="J151" s="45">
        <f t="shared" si="7"/>
        <v>5</v>
      </c>
    </row>
    <row r="152" spans="1:10" ht="12.75">
      <c r="A152" s="65">
        <f t="shared" si="9"/>
        <v>44786</v>
      </c>
      <c r="B152" s="47">
        <f>H151</f>
        <v>10059.388116854578</v>
      </c>
      <c r="D152" s="47">
        <f>ROUND(+$B$164,2)</f>
        <v>2601.6399999999999</v>
      </c>
      <c r="F152" s="63"/>
      <c r="H152" s="47">
        <f t="shared" si="8"/>
        <v>7457.7481168545783</v>
      </c>
      <c r="J152" s="45">
        <f t="shared" si="7"/>
        <v>4</v>
      </c>
    </row>
    <row r="153" spans="1:10" ht="12.75">
      <c r="A153" s="65">
        <f t="shared" si="9"/>
        <v>44817</v>
      </c>
      <c r="B153" s="47">
        <f>H152</f>
        <v>7457.7481168545783</v>
      </c>
      <c r="D153" s="47">
        <f>ROUND(+$B$164,2)</f>
        <v>2601.6399999999999</v>
      </c>
      <c r="F153" s="63"/>
      <c r="H153" s="47">
        <f t="shared" si="8"/>
        <v>4856.1081168545788</v>
      </c>
      <c r="J153" s="45">
        <f t="shared" si="7"/>
        <v>3</v>
      </c>
    </row>
    <row r="154" spans="1:10" ht="12.75">
      <c r="A154" s="65">
        <f t="shared" si="9"/>
        <v>44848</v>
      </c>
      <c r="B154" s="47">
        <f>H153</f>
        <v>4856.1081168545788</v>
      </c>
      <c r="D154" s="47">
        <f>ROUND(+$B$164,2)</f>
        <v>2601.6399999999999</v>
      </c>
      <c r="F154" s="63"/>
      <c r="H154" s="47">
        <f t="shared" si="8"/>
        <v>2254.468116854579</v>
      </c>
      <c r="J154" s="45">
        <f t="shared" si="7"/>
        <v>2</v>
      </c>
    </row>
    <row r="155" spans="1:10" ht="12.75">
      <c r="A155" s="65">
        <f t="shared" si="9"/>
        <v>44879</v>
      </c>
      <c r="B155" s="47">
        <f>H154</f>
        <v>2254.468116854579</v>
      </c>
      <c r="D155" s="47">
        <f>ROUND(+$B$164,2)*26/30-0.29</f>
        <v>2254.4646666666667</v>
      </c>
      <c r="F155" s="63"/>
      <c r="H155" s="47">
        <f t="shared" si="8"/>
        <v>0.003450187912221736</v>
      </c>
      <c r="J155" s="45">
        <f t="shared" si="7"/>
        <v>1</v>
      </c>
    </row>
    <row r="157" spans="1:1" ht="12.75">
      <c r="A157" s="45" t="s">
        <v>127</v>
      </c>
    </row>
    <row r="158" spans="1:1" ht="12.75">
      <c r="A158" s="45" t="s">
        <v>119</v>
      </c>
    </row>
    <row r="160" spans="1:1" ht="12.75">
      <c r="A160" s="62" t="s">
        <v>103</v>
      </c>
    </row>
    <row r="161" spans="1:1" ht="12.75">
      <c r="A161" s="62" t="s">
        <v>104</v>
      </c>
    </row>
    <row r="162" spans="2:3" ht="12.75">
      <c r="B162" s="95">
        <f>+H94</f>
        <v>156098.11345018802</v>
      </c>
      <c r="C162" s="62" t="s">
        <v>105</v>
      </c>
    </row>
    <row r="163" spans="2:3" ht="12.75">
      <c r="B163" s="96">
        <v>60</v>
      </c>
      <c r="C163" s="45" t="s">
        <v>120</v>
      </c>
    </row>
    <row r="164" spans="2:3" ht="12.75">
      <c r="B164" s="95">
        <f>ROUND(+B162/B163,2)</f>
        <v>2601.6399999999999</v>
      </c>
      <c r="C164" s="62" t="s">
        <v>99</v>
      </c>
    </row>
    <row r="166" spans="1:1" ht="12.75">
      <c r="A166" s="45" t="s">
        <v>133</v>
      </c>
    </row>
    <row r="167" spans="1:1" ht="12.75">
      <c r="A167" s="45" t="s">
        <v>134</v>
      </c>
    </row>
    <row r="168" spans="1:1" ht="12.75">
      <c r="A168" s="45" t="s">
        <v>135</v>
      </c>
    </row>
  </sheetData>
  <dataValidations count="1">
    <dataValidation errorStyle="information" type="list" allowBlank="1" showInputMessage="1" showErrorMessage="1" prompt="This field only accepts 'NEXT' or the current journal ID - OK to accept this value" error="This field only accepts 'NEXT' or the current journal ID - OK to accept this value" sqref="F2:F5">
      <formula1>"NEXT"</formula1>
    </dataValidation>
  </dataValidations>
  <pageMargins left="1.5" right="0.5" top="1.75" bottom="0.5" header="0.5" footer="0.5"/>
  <pageSetup firstPageNumber="2" useFirstPageNumber="1" fitToHeight="0" orientation="portrait" scale="78" r:id="rId1"/>
  <headerFooter alignWithMargins="0">
    <oddHeader>&amp;C&amp;"Arial,Bold"
2022 Rate Case
Oncor Electric Delivery Company LLC
Reg. Asset Acct. 1824100 Adv. Metering Cust. Education
Test Year Ending Dec. 31, 2021
Sponsor: W. Alan Ledbetter&amp;R&amp;"Arial,Bold"WP/II-E-4.1.1 AMS Rate Case Expense
Page &amp;P of 10</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M168"/>
  <sheetViews>
    <sheetView zoomScale="85" zoomScaleNormal="85" workbookViewId="0" topLeftCell="A1"/>
  </sheetViews>
  <sheetFormatPr defaultColWidth="9.14428571428571" defaultRowHeight="12.75"/>
  <cols>
    <col min="1" max="1" width="9.14285714285714" style="38"/>
    <col min="2" max="2" width="16" style="38" customWidth="1"/>
    <col min="3" max="5" width="9.14285714285714" style="38"/>
    <col min="6" max="6" width="12.5714285714286" style="38" customWidth="1"/>
    <col min="7" max="7" width="9.14285714285714" style="38"/>
    <col min="8" max="8" width="15" style="38" customWidth="1"/>
    <col min="9" max="11" width="9.14285714285714" style="38"/>
    <col min="12" max="12" width="11.2857142857143" style="38" bestFit="1" customWidth="1"/>
    <col min="13" max="16384" width="9.14285714285714" style="38"/>
  </cols>
  <sheetData>
    <row r="1" spans="1:13" ht="12.75">
      <c r="A1" s="88"/>
      <c r="M1" s="83"/>
    </row>
    <row r="2" spans="1:13" ht="12.75">
      <c r="A2" s="88"/>
      <c r="M2" s="83"/>
    </row>
    <row r="3" spans="1:13" ht="12.75">
      <c r="A3" s="40"/>
      <c r="M3" s="83"/>
    </row>
    <row r="4" spans="1:13" ht="12.75">
      <c r="A4" s="68"/>
      <c r="M4" s="83"/>
    </row>
    <row r="5" spans="1:1" ht="12.75">
      <c r="A5" s="68"/>
    </row>
    <row r="6" spans="1:1" ht="12.75">
      <c r="A6" s="68"/>
    </row>
    <row r="7" s="45" customFormat="1" ht="12.75"/>
    <row r="8" spans="2:13" s="40" customFormat="1" ht="12.75">
      <c r="B8" s="68"/>
      <c r="C8" s="68"/>
      <c r="D8" s="68"/>
      <c r="E8" s="68"/>
      <c r="F8" s="68"/>
      <c r="G8" s="68"/>
      <c r="H8" s="68"/>
      <c r="I8" s="68"/>
      <c r="J8" s="68"/>
      <c r="K8" s="68"/>
      <c r="L8" s="68"/>
      <c r="M8" s="68"/>
    </row>
    <row r="9" spans="1:13" s="40" customFormat="1" ht="12.75">
      <c r="A9" s="68"/>
      <c r="B9" s="68"/>
      <c r="C9" s="68"/>
      <c r="D9" s="68"/>
      <c r="E9" s="68"/>
      <c r="F9" s="68"/>
      <c r="G9" s="68"/>
      <c r="H9" s="68"/>
      <c r="I9" s="68"/>
      <c r="J9" s="68"/>
      <c r="K9" s="68"/>
      <c r="L9" s="68"/>
      <c r="M9" s="68"/>
    </row>
    <row r="11" spans="1:10" s="75" customFormat="1" ht="12.75">
      <c r="A11" s="55" t="s">
        <v>97</v>
      </c>
      <c r="B11" s="55" t="s">
        <v>98</v>
      </c>
      <c r="D11" s="78" t="s">
        <v>99</v>
      </c>
      <c r="F11" s="55" t="s">
        <v>100</v>
      </c>
      <c r="H11" s="55" t="s">
        <v>101</v>
      </c>
      <c r="J11" s="55" t="s">
        <v>102</v>
      </c>
    </row>
    <row r="12" spans="1:8" ht="12.75">
      <c r="A12" s="57"/>
      <c r="B12" s="56"/>
      <c r="D12" s="56"/>
      <c r="F12" s="58"/>
      <c r="H12" s="56"/>
    </row>
    <row r="13" spans="1:10" ht="15.6" customHeight="1">
      <c r="A13" s="59">
        <v>40544</v>
      </c>
      <c r="B13" s="58"/>
      <c r="D13" s="47">
        <f t="shared" si="0" ref="D13:D26">B13/J13</f>
        <v>0</v>
      </c>
      <c r="F13" s="60"/>
      <c r="H13" s="58">
        <f t="shared" si="1" ref="H13:H42">B13-D13+F13</f>
        <v>0</v>
      </c>
      <c r="J13" s="38">
        <v>108</v>
      </c>
    </row>
    <row r="14" spans="1:10" ht="12.75">
      <c r="A14" s="59">
        <v>40575</v>
      </c>
      <c r="B14" s="58"/>
      <c r="D14" s="47">
        <f t="shared" si="0"/>
        <v>0</v>
      </c>
      <c r="F14" s="60"/>
      <c r="H14" s="58">
        <f t="shared" si="1"/>
        <v>0</v>
      </c>
      <c r="J14" s="38">
        <v>107</v>
      </c>
    </row>
    <row r="15" spans="1:10" ht="12.75">
      <c r="A15" s="59">
        <v>40603</v>
      </c>
      <c r="B15" s="58"/>
      <c r="D15" s="47">
        <f t="shared" si="0"/>
        <v>0</v>
      </c>
      <c r="F15" s="60"/>
      <c r="H15" s="58">
        <f t="shared" si="1"/>
        <v>0</v>
      </c>
      <c r="J15" s="38">
        <v>106</v>
      </c>
    </row>
    <row r="16" spans="1:10" ht="12.75">
      <c r="A16" s="59">
        <v>40634</v>
      </c>
      <c r="B16" s="58"/>
      <c r="D16" s="47">
        <f t="shared" si="0"/>
        <v>0</v>
      </c>
      <c r="F16" s="60"/>
      <c r="H16" s="58">
        <f t="shared" si="1"/>
        <v>0</v>
      </c>
      <c r="J16" s="38">
        <v>105</v>
      </c>
    </row>
    <row r="17" spans="1:10" ht="12.75">
      <c r="A17" s="59">
        <v>40664</v>
      </c>
      <c r="B17" s="58"/>
      <c r="D17" s="47">
        <f t="shared" si="0"/>
        <v>0</v>
      </c>
      <c r="F17" s="60"/>
      <c r="H17" s="58">
        <f t="shared" si="1"/>
        <v>0</v>
      </c>
      <c r="J17" s="38">
        <v>104</v>
      </c>
    </row>
    <row r="18" spans="1:10" ht="12.75">
      <c r="A18" s="59">
        <v>40695</v>
      </c>
      <c r="B18" s="58"/>
      <c r="D18" s="47">
        <f t="shared" si="0"/>
        <v>0</v>
      </c>
      <c r="F18" s="60"/>
      <c r="H18" s="58">
        <f t="shared" si="1"/>
        <v>0</v>
      </c>
      <c r="J18" s="38">
        <v>103</v>
      </c>
    </row>
    <row r="19" spans="1:10" ht="12.75">
      <c r="A19" s="59">
        <v>40725</v>
      </c>
      <c r="B19" s="58"/>
      <c r="D19" s="47">
        <f t="shared" si="0"/>
        <v>0</v>
      </c>
      <c r="F19" s="60"/>
      <c r="H19" s="58">
        <f t="shared" si="1"/>
        <v>0</v>
      </c>
      <c r="J19" s="38">
        <v>102</v>
      </c>
    </row>
    <row r="20" spans="1:10" ht="12.75">
      <c r="A20" s="59">
        <v>40756</v>
      </c>
      <c r="B20" s="58"/>
      <c r="D20" s="47">
        <f t="shared" si="0"/>
        <v>0</v>
      </c>
      <c r="F20" s="60"/>
      <c r="H20" s="58">
        <f t="shared" si="1"/>
        <v>0</v>
      </c>
      <c r="J20" s="38">
        <v>101</v>
      </c>
    </row>
    <row r="21" spans="1:10" ht="12.75">
      <c r="A21" s="59">
        <v>40787</v>
      </c>
      <c r="B21" s="58"/>
      <c r="D21" s="47">
        <f t="shared" si="0"/>
        <v>0</v>
      </c>
      <c r="F21" s="60"/>
      <c r="H21" s="58">
        <f t="shared" si="1"/>
        <v>0</v>
      </c>
      <c r="J21" s="38">
        <v>100</v>
      </c>
    </row>
    <row r="22" spans="1:10" ht="12.75">
      <c r="A22" s="59">
        <v>40817</v>
      </c>
      <c r="B22" s="58"/>
      <c r="D22" s="47">
        <f t="shared" si="0"/>
        <v>0</v>
      </c>
      <c r="F22" s="60"/>
      <c r="H22" s="58">
        <f t="shared" si="1"/>
        <v>0</v>
      </c>
      <c r="J22" s="38">
        <v>99</v>
      </c>
    </row>
    <row r="23" spans="1:10" ht="12.75">
      <c r="A23" s="59">
        <v>40848</v>
      </c>
      <c r="B23" s="58">
        <v>0</v>
      </c>
      <c r="D23" s="47">
        <f t="shared" si="0"/>
        <v>0</v>
      </c>
      <c r="F23" s="60"/>
      <c r="H23" s="58">
        <f t="shared" si="1"/>
        <v>0</v>
      </c>
      <c r="J23" s="38">
        <v>98</v>
      </c>
    </row>
    <row r="24" spans="1:10" ht="12.75">
      <c r="A24" s="59">
        <v>40878</v>
      </c>
      <c r="B24" s="58">
        <v>0</v>
      </c>
      <c r="D24" s="47">
        <f t="shared" si="0"/>
        <v>0</v>
      </c>
      <c r="F24" s="60"/>
      <c r="H24" s="58">
        <f t="shared" si="1"/>
        <v>0</v>
      </c>
      <c r="J24" s="38">
        <v>97</v>
      </c>
    </row>
    <row r="25" spans="1:10" ht="12.75">
      <c r="A25" s="59">
        <v>40909</v>
      </c>
      <c r="B25" s="58">
        <v>0</v>
      </c>
      <c r="D25" s="47">
        <f t="shared" si="0"/>
        <v>0</v>
      </c>
      <c r="F25" s="60"/>
      <c r="H25" s="58">
        <f t="shared" si="1"/>
        <v>0</v>
      </c>
      <c r="J25" s="38">
        <v>96</v>
      </c>
    </row>
    <row r="26" spans="1:10" ht="12.75">
      <c r="A26" s="59">
        <v>40940</v>
      </c>
      <c r="B26" s="58">
        <v>0</v>
      </c>
      <c r="D26" s="47">
        <f t="shared" si="0"/>
        <v>0</v>
      </c>
      <c r="F26" s="60"/>
      <c r="H26" s="58">
        <f t="shared" si="1"/>
        <v>0</v>
      </c>
      <c r="J26" s="38">
        <v>95</v>
      </c>
    </row>
    <row r="27" spans="1:10" ht="12.75">
      <c r="A27" s="59">
        <v>40969</v>
      </c>
      <c r="B27" s="58">
        <v>0</v>
      </c>
      <c r="D27" s="61">
        <f t="shared" si="2" ref="D27:D40">ROUND((B27/J27),2)</f>
        <v>0</v>
      </c>
      <c r="F27" s="60"/>
      <c r="H27" s="58">
        <f t="shared" si="1"/>
        <v>0</v>
      </c>
      <c r="J27" s="38">
        <v>94</v>
      </c>
    </row>
    <row r="28" spans="1:10" ht="12.75">
      <c r="A28" s="59">
        <v>41000</v>
      </c>
      <c r="B28" s="58">
        <v>0</v>
      </c>
      <c r="D28" s="61">
        <f t="shared" si="2"/>
        <v>0</v>
      </c>
      <c r="F28" s="60"/>
      <c r="H28" s="58">
        <f t="shared" si="1"/>
        <v>0</v>
      </c>
      <c r="J28" s="38">
        <v>93</v>
      </c>
    </row>
    <row r="29" spans="1:10" ht="12.75">
      <c r="A29" s="59">
        <v>41030</v>
      </c>
      <c r="B29" s="58">
        <v>0</v>
      </c>
      <c r="D29" s="61">
        <f t="shared" si="2"/>
        <v>0</v>
      </c>
      <c r="F29" s="60"/>
      <c r="H29" s="58">
        <f t="shared" si="1"/>
        <v>0</v>
      </c>
      <c r="J29" s="38">
        <v>92</v>
      </c>
    </row>
    <row r="30" spans="1:10" ht="12.75">
      <c r="A30" s="59">
        <v>41061</v>
      </c>
      <c r="B30" s="58">
        <v>0</v>
      </c>
      <c r="D30" s="61">
        <f t="shared" si="2"/>
        <v>0</v>
      </c>
      <c r="F30" s="60"/>
      <c r="H30" s="58">
        <f t="shared" si="1"/>
        <v>0</v>
      </c>
      <c r="J30" s="38">
        <v>91</v>
      </c>
    </row>
    <row r="31" spans="1:10" ht="12.75">
      <c r="A31" s="59">
        <v>41091</v>
      </c>
      <c r="B31" s="58">
        <v>0</v>
      </c>
      <c r="D31" s="61">
        <f t="shared" si="2"/>
        <v>0</v>
      </c>
      <c r="F31" s="60"/>
      <c r="H31" s="58">
        <f t="shared" si="1"/>
        <v>0</v>
      </c>
      <c r="J31" s="38">
        <v>90</v>
      </c>
    </row>
    <row r="32" spans="1:10" ht="12.75">
      <c r="A32" s="59">
        <v>41122</v>
      </c>
      <c r="B32" s="58">
        <v>0</v>
      </c>
      <c r="D32" s="61">
        <f t="shared" si="2"/>
        <v>0</v>
      </c>
      <c r="F32" s="60"/>
      <c r="H32" s="58">
        <f t="shared" si="1"/>
        <v>0</v>
      </c>
      <c r="J32" s="38">
        <v>89</v>
      </c>
    </row>
    <row r="33" spans="1:10" ht="12.75">
      <c r="A33" s="59">
        <v>41153</v>
      </c>
      <c r="B33" s="58">
        <v>0</v>
      </c>
      <c r="D33" s="61">
        <f t="shared" si="2"/>
        <v>0</v>
      </c>
      <c r="E33" s="45"/>
      <c r="F33" s="48"/>
      <c r="G33" s="45"/>
      <c r="H33" s="47">
        <f t="shared" si="1"/>
        <v>0</v>
      </c>
      <c r="J33" s="38">
        <v>88</v>
      </c>
    </row>
    <row r="34" spans="1:10" ht="12.75">
      <c r="A34" s="59">
        <v>41183</v>
      </c>
      <c r="B34" s="58">
        <v>0</v>
      </c>
      <c r="D34" s="61">
        <f t="shared" si="2"/>
        <v>0</v>
      </c>
      <c r="F34" s="63"/>
      <c r="H34" s="58">
        <f t="shared" si="1"/>
        <v>0</v>
      </c>
      <c r="J34" s="38">
        <v>87</v>
      </c>
    </row>
    <row r="35" spans="1:10" ht="12.75">
      <c r="A35" s="59">
        <v>41214</v>
      </c>
      <c r="B35" s="58">
        <v>0</v>
      </c>
      <c r="C35" s="45"/>
      <c r="D35" s="61">
        <f t="shared" si="2"/>
        <v>0</v>
      </c>
      <c r="F35" s="60"/>
      <c r="H35" s="58">
        <f t="shared" si="1"/>
        <v>0</v>
      </c>
      <c r="J35" s="38">
        <v>86</v>
      </c>
    </row>
    <row r="36" spans="1:10" ht="12.75">
      <c r="A36" s="59">
        <v>41244</v>
      </c>
      <c r="B36" s="58">
        <v>0</v>
      </c>
      <c r="C36" s="45"/>
      <c r="D36" s="61">
        <f t="shared" si="2"/>
        <v>0</v>
      </c>
      <c r="F36" s="60"/>
      <c r="H36" s="58">
        <f t="shared" si="1"/>
        <v>0</v>
      </c>
      <c r="J36" s="38">
        <v>85</v>
      </c>
    </row>
    <row r="37" spans="1:10" ht="12.75">
      <c r="A37" s="64">
        <v>41275</v>
      </c>
      <c r="B37" s="58">
        <v>0</v>
      </c>
      <c r="C37" s="62"/>
      <c r="D37" s="61">
        <f t="shared" si="2"/>
        <v>0</v>
      </c>
      <c r="E37" s="62"/>
      <c r="F37" s="60"/>
      <c r="H37" s="58">
        <f t="shared" si="1"/>
        <v>0</v>
      </c>
      <c r="J37" s="38">
        <v>84</v>
      </c>
    </row>
    <row r="38" spans="1:10" ht="12.75">
      <c r="A38" s="59">
        <v>41306</v>
      </c>
      <c r="B38" s="58">
        <v>0</v>
      </c>
      <c r="C38" s="45"/>
      <c r="D38" s="61">
        <f t="shared" si="2"/>
        <v>0</v>
      </c>
      <c r="F38" s="60"/>
      <c r="H38" s="47">
        <f t="shared" si="1"/>
        <v>0</v>
      </c>
      <c r="J38" s="38">
        <v>83</v>
      </c>
    </row>
    <row r="39" spans="1:10" ht="12.75">
      <c r="A39" s="65">
        <v>41334</v>
      </c>
      <c r="B39" s="58">
        <v>0</v>
      </c>
      <c r="C39" s="45"/>
      <c r="D39" s="61">
        <f t="shared" si="2"/>
        <v>0</v>
      </c>
      <c r="E39" s="45"/>
      <c r="F39" s="63"/>
      <c r="G39" s="45"/>
      <c r="H39" s="47">
        <f t="shared" si="1"/>
        <v>0</v>
      </c>
      <c r="I39" s="45"/>
      <c r="J39" s="45">
        <v>82</v>
      </c>
    </row>
    <row r="40" spans="1:10" ht="12.75">
      <c r="A40" s="65">
        <v>41365</v>
      </c>
      <c r="B40" s="58">
        <v>0</v>
      </c>
      <c r="C40" s="62"/>
      <c r="D40" s="61">
        <f t="shared" si="2"/>
        <v>0</v>
      </c>
      <c r="E40" s="45"/>
      <c r="F40" s="63"/>
      <c r="G40" s="45"/>
      <c r="H40" s="61">
        <f t="shared" si="1"/>
        <v>0</v>
      </c>
      <c r="I40" s="45"/>
      <c r="J40" s="45">
        <v>81</v>
      </c>
    </row>
    <row r="41" spans="1:10" ht="12.75">
      <c r="A41" s="59">
        <v>41395</v>
      </c>
      <c r="B41" s="58">
        <v>0</v>
      </c>
      <c r="C41" s="62"/>
      <c r="D41" s="61">
        <f>ROUND(B41/J41,2)</f>
        <v>0</v>
      </c>
      <c r="F41" s="60"/>
      <c r="H41" s="47">
        <f t="shared" si="1"/>
        <v>0</v>
      </c>
      <c r="J41" s="38">
        <v>80</v>
      </c>
    </row>
    <row r="42" spans="1:10" ht="12.75">
      <c r="A42" s="59">
        <v>41426</v>
      </c>
      <c r="B42" s="58">
        <v>0</v>
      </c>
      <c r="C42" s="45"/>
      <c r="D42" s="61">
        <f t="shared" si="3" ref="D42:D94">B42/J42</f>
        <v>0</v>
      </c>
      <c r="F42" s="60"/>
      <c r="H42" s="47">
        <f t="shared" si="1"/>
        <v>0</v>
      </c>
      <c r="J42" s="38">
        <v>79</v>
      </c>
    </row>
    <row r="43" spans="1:10" ht="12.75">
      <c r="A43" s="59">
        <v>41456</v>
      </c>
      <c r="B43" s="58">
        <v>0</v>
      </c>
      <c r="C43" s="45"/>
      <c r="D43" s="47">
        <f t="shared" si="3"/>
        <v>0</v>
      </c>
      <c r="F43" s="60"/>
      <c r="H43" s="47">
        <f>B43-D43+F43+0.01</f>
        <v>0.01</v>
      </c>
      <c r="J43" s="38">
        <v>78</v>
      </c>
    </row>
    <row r="44" spans="1:10" ht="12.75">
      <c r="A44" s="59">
        <v>41487</v>
      </c>
      <c r="B44" s="58">
        <v>0</v>
      </c>
      <c r="C44" s="45"/>
      <c r="D44" s="47">
        <f t="shared" si="3"/>
        <v>0</v>
      </c>
      <c r="F44" s="60"/>
      <c r="H44" s="47">
        <f t="shared" si="4" ref="H44:H107">B44-D44+F44</f>
        <v>0</v>
      </c>
      <c r="J44" s="38">
        <v>77</v>
      </c>
    </row>
    <row r="45" spans="1:10" ht="12.75">
      <c r="A45" s="59">
        <v>41518</v>
      </c>
      <c r="B45" s="58">
        <v>0</v>
      </c>
      <c r="C45" s="45"/>
      <c r="D45" s="47">
        <f t="shared" si="3"/>
        <v>0</v>
      </c>
      <c r="F45" s="60"/>
      <c r="H45" s="47">
        <f t="shared" si="4"/>
        <v>0</v>
      </c>
      <c r="J45" s="38">
        <v>76</v>
      </c>
    </row>
    <row r="46" spans="1:10" ht="12.75">
      <c r="A46" s="59">
        <v>41548</v>
      </c>
      <c r="B46" s="58">
        <v>0</v>
      </c>
      <c r="C46" s="45"/>
      <c r="D46" s="47">
        <f t="shared" si="3"/>
        <v>0</v>
      </c>
      <c r="F46" s="60"/>
      <c r="H46" s="47">
        <f t="shared" si="4"/>
        <v>0</v>
      </c>
      <c r="J46" s="38">
        <v>75</v>
      </c>
    </row>
    <row r="47" spans="1:10" ht="12.75">
      <c r="A47" s="59">
        <v>41579</v>
      </c>
      <c r="B47" s="47">
        <v>0</v>
      </c>
      <c r="C47" s="45"/>
      <c r="D47" s="47">
        <f t="shared" si="3"/>
        <v>0</v>
      </c>
      <c r="E47" s="45"/>
      <c r="F47" s="63"/>
      <c r="G47" s="45"/>
      <c r="H47" s="47">
        <f t="shared" si="4"/>
        <v>0</v>
      </c>
      <c r="J47" s="38">
        <v>74</v>
      </c>
    </row>
    <row r="48" spans="1:10" ht="12.75">
      <c r="A48" s="59">
        <v>41609</v>
      </c>
      <c r="B48" s="47">
        <v>276508.26000000001</v>
      </c>
      <c r="C48" s="45"/>
      <c r="D48" s="47">
        <f t="shared" si="3"/>
        <v>3787.7843835616441</v>
      </c>
      <c r="E48" s="45"/>
      <c r="F48" s="63"/>
      <c r="G48" s="45"/>
      <c r="H48" s="47">
        <f t="shared" si="4"/>
        <v>272720.47561643837</v>
      </c>
      <c r="J48" s="38">
        <v>73</v>
      </c>
    </row>
    <row r="49" spans="1:10" ht="12.75">
      <c r="A49" s="59">
        <v>41640</v>
      </c>
      <c r="B49" s="47">
        <f t="shared" si="5" ref="B49:B112">H48</f>
        <v>272720.47561643837</v>
      </c>
      <c r="D49" s="47">
        <f t="shared" si="3"/>
        <v>3787.7843835616441</v>
      </c>
      <c r="F49" s="39">
        <v>26733</v>
      </c>
      <c r="H49" s="47">
        <f t="shared" si="4"/>
        <v>295665.69123287674</v>
      </c>
      <c r="J49" s="38">
        <v>72</v>
      </c>
    </row>
    <row r="50" spans="1:10" ht="12.75">
      <c r="A50" s="59">
        <v>41671</v>
      </c>
      <c r="B50" s="47">
        <f t="shared" si="5"/>
        <v>295665.69123287674</v>
      </c>
      <c r="D50" s="47">
        <f t="shared" si="3"/>
        <v>4164.3055103222077</v>
      </c>
      <c r="F50" s="60"/>
      <c r="H50" s="47">
        <f t="shared" si="4"/>
        <v>291501.38572255452</v>
      </c>
      <c r="J50" s="38">
        <v>71</v>
      </c>
    </row>
    <row r="51" spans="1:10" ht="12.75">
      <c r="A51" s="59">
        <v>41699</v>
      </c>
      <c r="B51" s="47">
        <f t="shared" si="5"/>
        <v>291501.38572255452</v>
      </c>
      <c r="D51" s="47">
        <f t="shared" si="3"/>
        <v>4164.3055103222077</v>
      </c>
      <c r="F51" s="60">
        <v>9342.9899999999998</v>
      </c>
      <c r="H51" s="47">
        <f t="shared" si="4"/>
        <v>296680.0702122323</v>
      </c>
      <c r="J51" s="38">
        <v>70</v>
      </c>
    </row>
    <row r="52" spans="1:10" ht="12.75">
      <c r="A52" s="59">
        <v>41730</v>
      </c>
      <c r="B52" s="47">
        <f t="shared" si="5"/>
        <v>296680.0702122323</v>
      </c>
      <c r="D52" s="47">
        <f t="shared" si="3"/>
        <v>4299.7111624961199</v>
      </c>
      <c r="F52" s="60">
        <v>146</v>
      </c>
      <c r="H52" s="47">
        <f t="shared" si="4"/>
        <v>292526.35904973617</v>
      </c>
      <c r="J52" s="38">
        <v>69</v>
      </c>
    </row>
    <row r="53" spans="1:10" ht="12.75">
      <c r="A53" s="59">
        <v>41760</v>
      </c>
      <c r="B53" s="47">
        <f t="shared" si="5"/>
        <v>292526.35904973617</v>
      </c>
      <c r="D53" s="47">
        <f t="shared" si="3"/>
        <v>4301.8582213196496</v>
      </c>
      <c r="F53" s="60"/>
      <c r="H53" s="47">
        <f t="shared" si="4"/>
        <v>288224.50082841655</v>
      </c>
      <c r="J53" s="38">
        <v>68</v>
      </c>
    </row>
    <row r="54" spans="1:10" ht="12.75">
      <c r="A54" s="59">
        <v>41791</v>
      </c>
      <c r="B54" s="47">
        <f t="shared" si="5"/>
        <v>288224.50082841655</v>
      </c>
      <c r="D54" s="47">
        <f t="shared" si="3"/>
        <v>4301.8582213196496</v>
      </c>
      <c r="F54" s="60"/>
      <c r="H54" s="47">
        <f t="shared" si="4"/>
        <v>283922.64260709693</v>
      </c>
      <c r="J54" s="38">
        <v>67</v>
      </c>
    </row>
    <row r="55" spans="1:10" ht="12.75">
      <c r="A55" s="59">
        <v>41821</v>
      </c>
      <c r="B55" s="47">
        <f t="shared" si="5"/>
        <v>283922.64260709693</v>
      </c>
      <c r="D55" s="47">
        <f t="shared" si="3"/>
        <v>4301.8582213196505</v>
      </c>
      <c r="F55" s="60"/>
      <c r="H55" s="47">
        <f t="shared" si="4"/>
        <v>279620.78438577725</v>
      </c>
      <c r="J55" s="38">
        <v>66</v>
      </c>
    </row>
    <row r="56" spans="1:10" ht="12.75">
      <c r="A56" s="59">
        <v>41852</v>
      </c>
      <c r="B56" s="47">
        <f t="shared" si="5"/>
        <v>279620.78438577725</v>
      </c>
      <c r="C56" s="45"/>
      <c r="D56" s="47">
        <f t="shared" si="3"/>
        <v>4301.8582213196496</v>
      </c>
      <c r="F56" s="60"/>
      <c r="H56" s="47">
        <f t="shared" si="4"/>
        <v>275318.92616445757</v>
      </c>
      <c r="J56" s="38">
        <v>65</v>
      </c>
    </row>
    <row r="57" spans="1:10" ht="12.75">
      <c r="A57" s="59">
        <v>41883</v>
      </c>
      <c r="B57" s="47">
        <f t="shared" si="5"/>
        <v>275318.92616445757</v>
      </c>
      <c r="D57" s="47">
        <f t="shared" si="3"/>
        <v>4301.8582213196496</v>
      </c>
      <c r="F57" s="60"/>
      <c r="H57" s="47">
        <f t="shared" si="4"/>
        <v>271017.06794313795</v>
      </c>
      <c r="J57" s="38">
        <v>64</v>
      </c>
    </row>
    <row r="58" spans="1:10" ht="12.75">
      <c r="A58" s="59">
        <v>41913</v>
      </c>
      <c r="B58" s="47">
        <f t="shared" si="5"/>
        <v>271017.06794313795</v>
      </c>
      <c r="D58" s="47">
        <f t="shared" si="3"/>
        <v>4301.8582213196505</v>
      </c>
      <c r="F58" s="60"/>
      <c r="H58" s="47">
        <f t="shared" si="4"/>
        <v>266715.20972181828</v>
      </c>
      <c r="J58" s="38">
        <v>63</v>
      </c>
    </row>
    <row r="59" spans="1:10" ht="12.75">
      <c r="A59" s="59">
        <v>41944</v>
      </c>
      <c r="B59" s="47">
        <f t="shared" si="5"/>
        <v>266715.20972181828</v>
      </c>
      <c r="D59" s="47">
        <f t="shared" si="3"/>
        <v>4301.8582213196496</v>
      </c>
      <c r="F59" s="60"/>
      <c r="H59" s="47">
        <f t="shared" si="4"/>
        <v>262413.3515004986</v>
      </c>
      <c r="J59" s="38">
        <v>62</v>
      </c>
    </row>
    <row r="60" spans="1:10" ht="12.75">
      <c r="A60" s="59">
        <v>41974</v>
      </c>
      <c r="B60" s="47">
        <f t="shared" si="5"/>
        <v>262413.3515004986</v>
      </c>
      <c r="D60" s="47">
        <f t="shared" si="3"/>
        <v>4301.8582213196487</v>
      </c>
      <c r="F60" s="60"/>
      <c r="H60" s="47">
        <f t="shared" si="4"/>
        <v>258111.49327917895</v>
      </c>
      <c r="J60" s="38">
        <v>61</v>
      </c>
    </row>
    <row r="61" spans="1:10" ht="12.75">
      <c r="A61" s="59">
        <v>42005</v>
      </c>
      <c r="B61" s="47">
        <f t="shared" si="5"/>
        <v>258111.49327917895</v>
      </c>
      <c r="D61" s="47">
        <f t="shared" si="3"/>
        <v>4301.8582213196487</v>
      </c>
      <c r="F61" s="60"/>
      <c r="H61" s="47">
        <f t="shared" si="4"/>
        <v>253809.6350578593</v>
      </c>
      <c r="J61" s="38">
        <v>60</v>
      </c>
    </row>
    <row r="62" spans="1:10" ht="12.75">
      <c r="A62" s="59">
        <v>42036</v>
      </c>
      <c r="B62" s="47">
        <f t="shared" si="5"/>
        <v>253809.6350578593</v>
      </c>
      <c r="D62" s="47">
        <f t="shared" si="3"/>
        <v>4301.8582213196487</v>
      </c>
      <c r="F62" s="60"/>
      <c r="H62" s="58">
        <f t="shared" si="4"/>
        <v>249507.77683653965</v>
      </c>
      <c r="J62" s="38">
        <v>59</v>
      </c>
    </row>
    <row r="63" spans="1:10" ht="12.75">
      <c r="A63" s="59">
        <v>42064</v>
      </c>
      <c r="B63" s="47">
        <f t="shared" si="5"/>
        <v>249507.77683653965</v>
      </c>
      <c r="C63" s="45"/>
      <c r="D63" s="47">
        <f t="shared" si="3"/>
        <v>4301.8582213196487</v>
      </c>
      <c r="F63" s="60"/>
      <c r="H63" s="58">
        <f t="shared" si="4"/>
        <v>245205.91861522</v>
      </c>
      <c r="J63" s="38">
        <v>58</v>
      </c>
    </row>
    <row r="64" spans="1:10" ht="12.75">
      <c r="A64" s="59">
        <v>42095</v>
      </c>
      <c r="B64" s="47">
        <f t="shared" si="5"/>
        <v>245205.91861522</v>
      </c>
      <c r="C64" s="45"/>
      <c r="D64" s="47">
        <f t="shared" si="3"/>
        <v>4301.8582213196487</v>
      </c>
      <c r="F64" s="60"/>
      <c r="H64" s="58">
        <f t="shared" si="4"/>
        <v>240904.06039390035</v>
      </c>
      <c r="J64" s="38">
        <v>57</v>
      </c>
    </row>
    <row r="65" spans="1:10" ht="12.75">
      <c r="A65" s="59">
        <v>42125</v>
      </c>
      <c r="B65" s="47">
        <f t="shared" si="5"/>
        <v>240904.06039390035</v>
      </c>
      <c r="C65" s="45"/>
      <c r="D65" s="47">
        <f t="shared" si="3"/>
        <v>4301.8582213196487</v>
      </c>
      <c r="F65" s="60"/>
      <c r="H65" s="58">
        <f t="shared" si="4"/>
        <v>236602.2021725807</v>
      </c>
      <c r="J65" s="38">
        <v>56</v>
      </c>
    </row>
    <row r="66" spans="1:10" ht="12.75">
      <c r="A66" s="59">
        <v>42156</v>
      </c>
      <c r="B66" s="47">
        <f t="shared" si="5"/>
        <v>236602.2021725807</v>
      </c>
      <c r="D66" s="47">
        <f t="shared" si="3"/>
        <v>4301.8582213196487</v>
      </c>
      <c r="F66" s="60"/>
      <c r="H66" s="58">
        <f t="shared" si="4"/>
        <v>232300.34395126105</v>
      </c>
      <c r="J66" s="38">
        <v>55</v>
      </c>
    </row>
    <row r="67" spans="1:10" ht="12.75">
      <c r="A67" s="59">
        <v>42186</v>
      </c>
      <c r="B67" s="47">
        <f t="shared" si="5"/>
        <v>232300.34395126105</v>
      </c>
      <c r="C67" s="45"/>
      <c r="D67" s="47">
        <f t="shared" si="3"/>
        <v>4301.8582213196487</v>
      </c>
      <c r="F67" s="60"/>
      <c r="H67" s="58">
        <f t="shared" si="4"/>
        <v>227998.4857299414</v>
      </c>
      <c r="J67" s="38">
        <v>54</v>
      </c>
    </row>
    <row r="68" spans="1:10" ht="12.75">
      <c r="A68" s="59">
        <v>42217</v>
      </c>
      <c r="B68" s="47">
        <f t="shared" si="5"/>
        <v>227998.4857299414</v>
      </c>
      <c r="C68" s="45"/>
      <c r="D68" s="47">
        <f t="shared" si="3"/>
        <v>4301.8582213196487</v>
      </c>
      <c r="F68" s="60"/>
      <c r="H68" s="58">
        <f t="shared" si="4"/>
        <v>223696.62750862175</v>
      </c>
      <c r="J68" s="38">
        <v>53</v>
      </c>
    </row>
    <row r="69" spans="1:10" ht="12.75">
      <c r="A69" s="59">
        <v>42248</v>
      </c>
      <c r="B69" s="47">
        <f t="shared" si="5"/>
        <v>223696.62750862175</v>
      </c>
      <c r="C69" s="45"/>
      <c r="D69" s="47">
        <f t="shared" si="3"/>
        <v>4301.8582213196487</v>
      </c>
      <c r="F69" s="60"/>
      <c r="H69" s="58">
        <f t="shared" si="4"/>
        <v>219394.7692873021</v>
      </c>
      <c r="J69" s="38">
        <v>52</v>
      </c>
    </row>
    <row r="70" spans="1:10" ht="12.75">
      <c r="A70" s="59">
        <v>42278</v>
      </c>
      <c r="B70" s="58">
        <f t="shared" si="5"/>
        <v>219394.7692873021</v>
      </c>
      <c r="D70" s="47">
        <f t="shared" si="3"/>
        <v>4301.8582213196487</v>
      </c>
      <c r="F70" s="60"/>
      <c r="H70" s="58">
        <f t="shared" si="4"/>
        <v>215092.91106598245</v>
      </c>
      <c r="J70" s="38">
        <v>51</v>
      </c>
    </row>
    <row r="71" spans="1:10" ht="12.75">
      <c r="A71" s="59">
        <v>42309</v>
      </c>
      <c r="B71" s="58">
        <f t="shared" si="5"/>
        <v>215092.91106598245</v>
      </c>
      <c r="D71" s="47">
        <f t="shared" si="3"/>
        <v>4301.8582213196487</v>
      </c>
      <c r="F71" s="60"/>
      <c r="H71" s="58">
        <f t="shared" si="4"/>
        <v>210791.0528446628</v>
      </c>
      <c r="J71" s="38">
        <v>50</v>
      </c>
    </row>
    <row r="72" spans="1:10" ht="12.75">
      <c r="A72" s="59">
        <v>42339</v>
      </c>
      <c r="B72" s="58">
        <f t="shared" si="5"/>
        <v>210791.0528446628</v>
      </c>
      <c r="D72" s="47">
        <f t="shared" si="3"/>
        <v>4301.8582213196487</v>
      </c>
      <c r="F72" s="60"/>
      <c r="H72" s="58">
        <f t="shared" si="4"/>
        <v>206489.19462334315</v>
      </c>
      <c r="J72" s="38">
        <v>49</v>
      </c>
    </row>
    <row r="73" spans="1:10" ht="12.75">
      <c r="A73" s="59">
        <v>42370</v>
      </c>
      <c r="B73" s="58">
        <f t="shared" si="5"/>
        <v>206489.19462334315</v>
      </c>
      <c r="D73" s="47">
        <f t="shared" si="3"/>
        <v>4301.8582213196487</v>
      </c>
      <c r="F73" s="60"/>
      <c r="H73" s="58">
        <f t="shared" si="4"/>
        <v>202187.3364020235</v>
      </c>
      <c r="J73" s="38">
        <v>48</v>
      </c>
    </row>
    <row r="74" spans="1:10" ht="12.75">
      <c r="A74" s="59">
        <v>42401</v>
      </c>
      <c r="B74" s="58">
        <f t="shared" si="5"/>
        <v>202187.3364020235</v>
      </c>
      <c r="D74" s="47">
        <f t="shared" si="3"/>
        <v>4301.8582213196487</v>
      </c>
      <c r="F74" s="60"/>
      <c r="H74" s="58">
        <f t="shared" si="4"/>
        <v>197885.47818070385</v>
      </c>
      <c r="J74" s="38">
        <v>47</v>
      </c>
    </row>
    <row r="75" spans="1:10" ht="12.75">
      <c r="A75" s="59">
        <v>42430</v>
      </c>
      <c r="B75" s="58">
        <f t="shared" si="5"/>
        <v>197885.47818070385</v>
      </c>
      <c r="D75" s="47">
        <f t="shared" si="3"/>
        <v>4301.8582213196487</v>
      </c>
      <c r="F75" s="60"/>
      <c r="H75" s="58">
        <f t="shared" si="4"/>
        <v>193583.6199593842</v>
      </c>
      <c r="J75" s="38">
        <v>46</v>
      </c>
    </row>
    <row r="76" spans="1:10" ht="12.75">
      <c r="A76" s="59">
        <v>42461</v>
      </c>
      <c r="B76" s="58">
        <f t="shared" si="5"/>
        <v>193583.6199593842</v>
      </c>
      <c r="D76" s="47">
        <f t="shared" si="3"/>
        <v>4301.8582213196487</v>
      </c>
      <c r="F76" s="60"/>
      <c r="H76" s="58">
        <f t="shared" si="4"/>
        <v>189281.76173806455</v>
      </c>
      <c r="J76" s="38">
        <v>45</v>
      </c>
    </row>
    <row r="77" spans="1:10" ht="12.75">
      <c r="A77" s="59">
        <v>42491</v>
      </c>
      <c r="B77" s="58">
        <f t="shared" si="5"/>
        <v>189281.76173806455</v>
      </c>
      <c r="D77" s="47">
        <f t="shared" si="3"/>
        <v>4301.8582213196487</v>
      </c>
      <c r="F77" s="60"/>
      <c r="H77" s="58">
        <f t="shared" si="4"/>
        <v>184979.9035167449</v>
      </c>
      <c r="J77" s="38">
        <v>44</v>
      </c>
    </row>
    <row r="78" spans="1:10" ht="12.75">
      <c r="A78" s="59">
        <v>42522</v>
      </c>
      <c r="B78" s="58">
        <f t="shared" si="5"/>
        <v>184979.9035167449</v>
      </c>
      <c r="D78" s="47">
        <f t="shared" si="3"/>
        <v>4301.8582213196487</v>
      </c>
      <c r="F78" s="60"/>
      <c r="H78" s="58">
        <f t="shared" si="4"/>
        <v>180678.04529542525</v>
      </c>
      <c r="J78" s="38">
        <v>43</v>
      </c>
    </row>
    <row r="79" spans="1:10" ht="12.75">
      <c r="A79" s="59">
        <v>42552</v>
      </c>
      <c r="B79" s="58">
        <f t="shared" si="5"/>
        <v>180678.04529542525</v>
      </c>
      <c r="D79" s="47">
        <f t="shared" si="3"/>
        <v>4301.8582213196487</v>
      </c>
      <c r="F79" s="60"/>
      <c r="H79" s="58">
        <f t="shared" si="4"/>
        <v>176376.18707410561</v>
      </c>
      <c r="J79" s="38">
        <v>42</v>
      </c>
    </row>
    <row r="80" spans="1:10" ht="12.75">
      <c r="A80" s="59">
        <v>42583</v>
      </c>
      <c r="B80" s="58">
        <f t="shared" si="5"/>
        <v>176376.18707410561</v>
      </c>
      <c r="D80" s="47">
        <f t="shared" si="3"/>
        <v>4301.8582213196487</v>
      </c>
      <c r="F80" s="60"/>
      <c r="H80" s="58">
        <f t="shared" si="4"/>
        <v>172074.32885278596</v>
      </c>
      <c r="J80" s="38">
        <v>41</v>
      </c>
    </row>
    <row r="81" spans="1:10" ht="12.75">
      <c r="A81" s="59">
        <v>42614</v>
      </c>
      <c r="B81" s="58">
        <f t="shared" si="5"/>
        <v>172074.32885278596</v>
      </c>
      <c r="D81" s="47">
        <f t="shared" si="3"/>
        <v>4301.8582213196487</v>
      </c>
      <c r="F81" s="60"/>
      <c r="H81" s="58">
        <f t="shared" si="4"/>
        <v>167772.47063146631</v>
      </c>
      <c r="J81" s="38">
        <v>40</v>
      </c>
    </row>
    <row r="82" spans="1:10" ht="12.75">
      <c r="A82" s="59">
        <v>42644</v>
      </c>
      <c r="B82" s="58">
        <f t="shared" si="5"/>
        <v>167772.47063146631</v>
      </c>
      <c r="D82" s="47">
        <f t="shared" si="3"/>
        <v>4301.8582213196487</v>
      </c>
      <c r="F82" s="60"/>
      <c r="H82" s="58">
        <f t="shared" si="4"/>
        <v>163470.61241014666</v>
      </c>
      <c r="J82" s="38">
        <v>39</v>
      </c>
    </row>
    <row r="83" spans="1:10" ht="12.75">
      <c r="A83" s="59">
        <v>42675</v>
      </c>
      <c r="B83" s="58">
        <f t="shared" si="5"/>
        <v>163470.61241014666</v>
      </c>
      <c r="D83" s="47">
        <f t="shared" si="3"/>
        <v>4301.8582213196487</v>
      </c>
      <c r="F83" s="60"/>
      <c r="H83" s="58">
        <f t="shared" si="4"/>
        <v>159168.75418882701</v>
      </c>
      <c r="J83" s="38">
        <v>38</v>
      </c>
    </row>
    <row r="84" spans="1:12" ht="12.75">
      <c r="A84" s="59">
        <v>42705</v>
      </c>
      <c r="B84" s="58">
        <f t="shared" si="5"/>
        <v>159168.75418882701</v>
      </c>
      <c r="D84" s="47">
        <f t="shared" si="3"/>
        <v>4301.8582213196487</v>
      </c>
      <c r="F84" s="60"/>
      <c r="H84" s="58">
        <f t="shared" si="4"/>
        <v>154866.89596750736</v>
      </c>
      <c r="J84" s="38">
        <v>37</v>
      </c>
      <c r="L84" s="70"/>
    </row>
    <row r="85" spans="1:10" ht="12.75">
      <c r="A85" s="59">
        <v>42736</v>
      </c>
      <c r="B85" s="58">
        <f t="shared" si="5"/>
        <v>154866.89596750736</v>
      </c>
      <c r="D85" s="47">
        <f t="shared" si="3"/>
        <v>4301.8582213196487</v>
      </c>
      <c r="F85" s="60"/>
      <c r="H85" s="58">
        <f t="shared" si="4"/>
        <v>150565.03774618771</v>
      </c>
      <c r="J85" s="38">
        <v>36</v>
      </c>
    </row>
    <row r="86" spans="1:10" ht="12.75">
      <c r="A86" s="59">
        <v>42767</v>
      </c>
      <c r="B86" s="58">
        <f t="shared" si="5"/>
        <v>150565.03774618771</v>
      </c>
      <c r="D86" s="47">
        <f t="shared" si="3"/>
        <v>4301.8582213196487</v>
      </c>
      <c r="F86" s="60"/>
      <c r="H86" s="58">
        <f t="shared" si="4"/>
        <v>146263.17952486806</v>
      </c>
      <c r="J86" s="38">
        <v>35</v>
      </c>
    </row>
    <row r="87" spans="1:10" ht="12.75">
      <c r="A87" s="59">
        <v>42795</v>
      </c>
      <c r="B87" s="58">
        <f t="shared" si="5"/>
        <v>146263.17952486806</v>
      </c>
      <c r="D87" s="47">
        <f t="shared" si="3"/>
        <v>4301.8582213196487</v>
      </c>
      <c r="F87" s="60"/>
      <c r="H87" s="58">
        <f t="shared" si="4"/>
        <v>141961.32130354841</v>
      </c>
      <c r="J87" s="38">
        <v>34</v>
      </c>
    </row>
    <row r="88" spans="1:10" ht="12.75">
      <c r="A88" s="59">
        <v>42826</v>
      </c>
      <c r="B88" s="58">
        <f t="shared" si="5"/>
        <v>141961.32130354841</v>
      </c>
      <c r="D88" s="47">
        <f t="shared" si="3"/>
        <v>4301.8582213196487</v>
      </c>
      <c r="F88" s="60"/>
      <c r="H88" s="58">
        <f t="shared" si="4"/>
        <v>137659.46308222876</v>
      </c>
      <c r="J88" s="38">
        <v>33</v>
      </c>
    </row>
    <row r="89" spans="1:10" ht="12.75">
      <c r="A89" s="59">
        <v>42856</v>
      </c>
      <c r="B89" s="58">
        <f t="shared" si="5"/>
        <v>137659.46308222876</v>
      </c>
      <c r="D89" s="47">
        <f t="shared" si="3"/>
        <v>4301.8582213196487</v>
      </c>
      <c r="F89" s="60"/>
      <c r="H89" s="58">
        <f t="shared" si="4"/>
        <v>133357.60486090911</v>
      </c>
      <c r="J89" s="38">
        <v>32</v>
      </c>
    </row>
    <row r="90" spans="1:10" ht="12.75">
      <c r="A90" s="59">
        <v>42887</v>
      </c>
      <c r="B90" s="58">
        <f t="shared" si="5"/>
        <v>133357.60486090911</v>
      </c>
      <c r="D90" s="47">
        <f t="shared" si="3"/>
        <v>4301.8582213196487</v>
      </c>
      <c r="F90" s="60"/>
      <c r="H90" s="58">
        <f t="shared" si="4"/>
        <v>129055.74663958946</v>
      </c>
      <c r="J90" s="38">
        <v>31</v>
      </c>
    </row>
    <row r="91" spans="1:10" ht="12.75">
      <c r="A91" s="59">
        <v>42917</v>
      </c>
      <c r="B91" s="58">
        <f t="shared" si="5"/>
        <v>129055.74663958946</v>
      </c>
      <c r="D91" s="47">
        <f t="shared" si="3"/>
        <v>4301.8582213196487</v>
      </c>
      <c r="F91" s="60"/>
      <c r="H91" s="58">
        <f t="shared" si="4"/>
        <v>124753.88841826981</v>
      </c>
      <c r="J91" s="38">
        <v>30</v>
      </c>
    </row>
    <row r="92" spans="1:10" ht="12.75">
      <c r="A92" s="59">
        <v>42948</v>
      </c>
      <c r="B92" s="58">
        <f t="shared" si="5"/>
        <v>124753.88841826981</v>
      </c>
      <c r="D92" s="47">
        <f t="shared" si="3"/>
        <v>4301.8582213196487</v>
      </c>
      <c r="F92" s="60"/>
      <c r="H92" s="58">
        <f t="shared" si="4"/>
        <v>120452.03019695016</v>
      </c>
      <c r="J92" s="38">
        <v>29</v>
      </c>
    </row>
    <row r="93" spans="1:10" ht="12.75">
      <c r="A93" s="59">
        <v>42979</v>
      </c>
      <c r="B93" s="58">
        <f t="shared" si="5"/>
        <v>120452.03019695016</v>
      </c>
      <c r="D93" s="47">
        <f t="shared" si="3"/>
        <v>4301.8582213196487</v>
      </c>
      <c r="F93" s="60"/>
      <c r="H93" s="58">
        <f t="shared" si="4"/>
        <v>116150.17197563051</v>
      </c>
      <c r="J93" s="38">
        <v>28</v>
      </c>
    </row>
    <row r="94" spans="1:10" ht="12.75">
      <c r="A94" s="59">
        <v>43009</v>
      </c>
      <c r="B94" s="58">
        <f t="shared" si="5"/>
        <v>116150.17197563051</v>
      </c>
      <c r="D94" s="47">
        <f t="shared" si="3"/>
        <v>4301.8582213196487</v>
      </c>
      <c r="F94" s="60"/>
      <c r="H94" s="58">
        <f t="shared" si="4"/>
        <v>111848.31375431086</v>
      </c>
      <c r="J94" s="38">
        <v>27</v>
      </c>
    </row>
    <row r="95" spans="1:10" ht="12.75">
      <c r="A95" s="66">
        <v>43065</v>
      </c>
      <c r="B95" s="58">
        <f t="shared" si="5"/>
        <v>111848.31375431086</v>
      </c>
      <c r="D95" s="47">
        <f>ROUND((B95/J95),2)*26/30</f>
        <v>3728.2786666666661</v>
      </c>
      <c r="F95" s="60"/>
      <c r="H95" s="58">
        <f t="shared" si="4"/>
        <v>108120.0350876442</v>
      </c>
      <c r="J95" s="38">
        <v>26</v>
      </c>
    </row>
    <row r="96" spans="1:10" ht="12.75">
      <c r="A96" s="66">
        <v>43069</v>
      </c>
      <c r="B96" s="58">
        <f t="shared" si="5"/>
        <v>108120.0350876442</v>
      </c>
      <c r="D96" s="47">
        <f>ROUND(+B165,2)*4/30</f>
        <v>240.26666666666668</v>
      </c>
      <c r="F96" s="60"/>
      <c r="H96" s="58">
        <f t="shared" si="4"/>
        <v>107879.76842097753</v>
      </c>
      <c r="J96" s="38">
        <v>60</v>
      </c>
    </row>
    <row r="97" spans="1:10" ht="12.75">
      <c r="A97" s="65">
        <v>43070</v>
      </c>
      <c r="B97" s="47">
        <f t="shared" si="5"/>
        <v>107879.76842097753</v>
      </c>
      <c r="C97" s="45"/>
      <c r="D97" s="47">
        <f>+$B$165</f>
        <v>1802</v>
      </c>
      <c r="F97" s="60"/>
      <c r="H97" s="47">
        <f t="shared" si="4"/>
        <v>106077.76842097753</v>
      </c>
      <c r="J97" s="38">
        <v>60</v>
      </c>
    </row>
    <row r="98" spans="1:10" ht="12.75">
      <c r="A98" s="59">
        <v>43101</v>
      </c>
      <c r="B98" s="58">
        <f t="shared" si="5"/>
        <v>106077.76842097753</v>
      </c>
      <c r="D98" s="47">
        <f>+$B$165</f>
        <v>1802</v>
      </c>
      <c r="F98" s="60"/>
      <c r="H98" s="58">
        <f t="shared" si="4"/>
        <v>104275.76842097753</v>
      </c>
      <c r="J98" s="38">
        <f>+J97-1</f>
        <v>59</v>
      </c>
    </row>
    <row r="99" spans="1:10" ht="12.75">
      <c r="A99" s="59">
        <v>43132</v>
      </c>
      <c r="B99" s="58">
        <f t="shared" si="5"/>
        <v>104275.76842097753</v>
      </c>
      <c r="D99" s="47">
        <f>+$B$165</f>
        <v>1802</v>
      </c>
      <c r="F99" s="60"/>
      <c r="H99" s="58">
        <f t="shared" si="4"/>
        <v>102473.76842097753</v>
      </c>
      <c r="J99" s="38">
        <f t="shared" si="6" ref="J99:J156">+J98-1</f>
        <v>58</v>
      </c>
    </row>
    <row r="100" spans="1:10" ht="12.75">
      <c r="A100" s="64">
        <v>43160</v>
      </c>
      <c r="B100" s="58">
        <f t="shared" si="5"/>
        <v>102473.76842097753</v>
      </c>
      <c r="D100" s="47">
        <f>+$B$165</f>
        <v>1802</v>
      </c>
      <c r="F100" s="60"/>
      <c r="H100" s="61">
        <f t="shared" si="4"/>
        <v>100671.76842097753</v>
      </c>
      <c r="J100" s="38">
        <f t="shared" si="6"/>
        <v>57</v>
      </c>
    </row>
    <row r="101" spans="1:10" ht="12.75">
      <c r="A101" s="59">
        <v>43191</v>
      </c>
      <c r="B101" s="58">
        <f t="shared" si="5"/>
        <v>100671.76842097753</v>
      </c>
      <c r="D101" s="47">
        <f>+$B$165</f>
        <v>1802</v>
      </c>
      <c r="F101" s="60"/>
      <c r="H101" s="58">
        <f t="shared" si="4"/>
        <v>98869.768420977533</v>
      </c>
      <c r="J101" s="38">
        <f t="shared" si="6"/>
        <v>56</v>
      </c>
    </row>
    <row r="102" spans="1:10" ht="12.75">
      <c r="A102" s="59">
        <v>43221</v>
      </c>
      <c r="B102" s="58">
        <f t="shared" si="5"/>
        <v>98869.768420977533</v>
      </c>
      <c r="D102" s="47">
        <f>+$B$165</f>
        <v>1802</v>
      </c>
      <c r="F102" s="60"/>
      <c r="H102" s="58">
        <f t="shared" si="4"/>
        <v>97067.768420977533</v>
      </c>
      <c r="J102" s="38">
        <f t="shared" si="6"/>
        <v>55</v>
      </c>
    </row>
    <row r="103" spans="1:10" ht="12.75">
      <c r="A103" s="64">
        <v>43252</v>
      </c>
      <c r="B103" s="58">
        <f t="shared" si="5"/>
        <v>97067.768420977533</v>
      </c>
      <c r="D103" s="47">
        <f>+$B$165</f>
        <v>1802</v>
      </c>
      <c r="F103" s="60"/>
      <c r="H103" s="61">
        <f t="shared" si="4"/>
        <v>95265.768420977533</v>
      </c>
      <c r="J103" s="38">
        <f t="shared" si="6"/>
        <v>54</v>
      </c>
    </row>
    <row r="104" spans="1:10" ht="12.75">
      <c r="A104" s="59">
        <v>43282</v>
      </c>
      <c r="B104" s="58">
        <f t="shared" si="5"/>
        <v>95265.768420977533</v>
      </c>
      <c r="D104" s="47">
        <f>+$B$165</f>
        <v>1802</v>
      </c>
      <c r="F104" s="60"/>
      <c r="H104" s="58">
        <f t="shared" si="4"/>
        <v>93463.768420977533</v>
      </c>
      <c r="J104" s="38">
        <f t="shared" si="6"/>
        <v>53</v>
      </c>
    </row>
    <row r="105" spans="1:10" ht="12.75">
      <c r="A105" s="59">
        <v>43313</v>
      </c>
      <c r="B105" s="58">
        <f t="shared" si="5"/>
        <v>93463.768420977533</v>
      </c>
      <c r="D105" s="47">
        <f>+$B$165</f>
        <v>1802</v>
      </c>
      <c r="F105" s="60"/>
      <c r="H105" s="58">
        <f t="shared" si="4"/>
        <v>91661.768420977533</v>
      </c>
      <c r="J105" s="38">
        <f t="shared" si="6"/>
        <v>52</v>
      </c>
    </row>
    <row r="106" spans="1:10" ht="12.75">
      <c r="A106" s="64">
        <v>43344</v>
      </c>
      <c r="B106" s="58">
        <f t="shared" si="5"/>
        <v>91661.768420977533</v>
      </c>
      <c r="D106" s="47">
        <f>+$B$165</f>
        <v>1802</v>
      </c>
      <c r="F106" s="60"/>
      <c r="H106" s="61">
        <f t="shared" si="4"/>
        <v>89859.768420977533</v>
      </c>
      <c r="J106" s="38">
        <f t="shared" si="6"/>
        <v>51</v>
      </c>
    </row>
    <row r="107" spans="1:10" ht="12.75">
      <c r="A107" s="59">
        <v>43374</v>
      </c>
      <c r="B107" s="58">
        <f t="shared" si="5"/>
        <v>89859.768420977533</v>
      </c>
      <c r="D107" s="47">
        <f>+$B$165</f>
        <v>1802</v>
      </c>
      <c r="F107" s="60"/>
      <c r="H107" s="58">
        <f t="shared" si="4"/>
        <v>88057.768420977533</v>
      </c>
      <c r="J107" s="38">
        <f t="shared" si="6"/>
        <v>50</v>
      </c>
    </row>
    <row r="108" spans="1:10" ht="12.75">
      <c r="A108" s="59">
        <v>43405</v>
      </c>
      <c r="B108" s="58">
        <f t="shared" si="5"/>
        <v>88057.768420977533</v>
      </c>
      <c r="D108" s="47">
        <f>+$B$165</f>
        <v>1802</v>
      </c>
      <c r="F108" s="60"/>
      <c r="H108" s="58">
        <f t="shared" si="7" ref="H108:H156">B108-D108+F108</f>
        <v>86255.768420977533</v>
      </c>
      <c r="J108" s="38">
        <f t="shared" si="6"/>
        <v>49</v>
      </c>
    </row>
    <row r="109" spans="1:10" ht="12.75">
      <c r="A109" s="64">
        <v>43435</v>
      </c>
      <c r="B109" s="58">
        <f t="shared" si="5"/>
        <v>86255.768420977533</v>
      </c>
      <c r="D109" s="47">
        <f>+$B$165</f>
        <v>1802</v>
      </c>
      <c r="F109" s="60"/>
      <c r="H109" s="61">
        <f t="shared" si="7"/>
        <v>84453.768420977533</v>
      </c>
      <c r="J109" s="38">
        <f t="shared" si="6"/>
        <v>48</v>
      </c>
    </row>
    <row r="110" spans="1:10" ht="12.75">
      <c r="A110" s="59">
        <v>43466</v>
      </c>
      <c r="B110" s="58">
        <f t="shared" si="5"/>
        <v>84453.768420977533</v>
      </c>
      <c r="D110" s="47">
        <f>+$B$165</f>
        <v>1802</v>
      </c>
      <c r="F110" s="60"/>
      <c r="H110" s="58">
        <f t="shared" si="7"/>
        <v>82651.768420977533</v>
      </c>
      <c r="J110" s="38">
        <f t="shared" si="6"/>
        <v>47</v>
      </c>
    </row>
    <row r="111" spans="1:10" ht="12.75">
      <c r="A111" s="59">
        <v>43497</v>
      </c>
      <c r="B111" s="58">
        <f t="shared" si="5"/>
        <v>82651.768420977533</v>
      </c>
      <c r="D111" s="47">
        <f>+$B$165</f>
        <v>1802</v>
      </c>
      <c r="F111" s="60"/>
      <c r="H111" s="58">
        <f t="shared" si="7"/>
        <v>80849.768420977533</v>
      </c>
      <c r="J111" s="38">
        <f t="shared" si="6"/>
        <v>46</v>
      </c>
    </row>
    <row r="112" spans="1:10" ht="12.75">
      <c r="A112" s="64">
        <v>43525</v>
      </c>
      <c r="B112" s="58">
        <f t="shared" si="5"/>
        <v>80849.768420977533</v>
      </c>
      <c r="D112" s="47">
        <f>+$B$165</f>
        <v>1802</v>
      </c>
      <c r="F112" s="60"/>
      <c r="H112" s="61">
        <f t="shared" si="7"/>
        <v>79047.768420977533</v>
      </c>
      <c r="J112" s="38">
        <f t="shared" si="6"/>
        <v>45</v>
      </c>
    </row>
    <row r="113" spans="1:10" ht="12.75">
      <c r="A113" s="64">
        <v>43556</v>
      </c>
      <c r="B113" s="58">
        <f t="shared" si="8" ref="B113:B156">H112</f>
        <v>79047.768420977533</v>
      </c>
      <c r="D113" s="47">
        <f>+$B$165</f>
        <v>1802</v>
      </c>
      <c r="F113" s="60"/>
      <c r="H113" s="58">
        <f t="shared" si="7"/>
        <v>77245.768420977533</v>
      </c>
      <c r="J113" s="38">
        <f t="shared" si="6"/>
        <v>44</v>
      </c>
    </row>
    <row r="114" spans="1:10" ht="12.75">
      <c r="A114" s="64">
        <v>43586</v>
      </c>
      <c r="B114" s="58">
        <f t="shared" si="8"/>
        <v>77245.768420977533</v>
      </c>
      <c r="D114" s="47">
        <f>+$B$165</f>
        <v>1802</v>
      </c>
      <c r="F114" s="60"/>
      <c r="H114" s="58">
        <f t="shared" si="7"/>
        <v>75443.768420977533</v>
      </c>
      <c r="J114" s="38">
        <f t="shared" si="6"/>
        <v>43</v>
      </c>
    </row>
    <row r="115" spans="1:10" ht="12.75">
      <c r="A115" s="64">
        <v>43617</v>
      </c>
      <c r="B115" s="58">
        <f t="shared" si="8"/>
        <v>75443.768420977533</v>
      </c>
      <c r="D115" s="47">
        <f>+$B$165</f>
        <v>1802</v>
      </c>
      <c r="F115" s="60"/>
      <c r="H115" s="61">
        <f t="shared" si="7"/>
        <v>73641.768420977533</v>
      </c>
      <c r="J115" s="38">
        <f t="shared" si="6"/>
        <v>42</v>
      </c>
    </row>
    <row r="116" spans="1:10" ht="12.75">
      <c r="A116" s="59">
        <v>43647</v>
      </c>
      <c r="B116" s="58">
        <f t="shared" si="8"/>
        <v>73641.768420977533</v>
      </c>
      <c r="D116" s="47">
        <f>+$B$165</f>
        <v>1802</v>
      </c>
      <c r="F116" s="60"/>
      <c r="H116" s="58">
        <f t="shared" si="7"/>
        <v>71839.768420977533</v>
      </c>
      <c r="J116" s="38">
        <f t="shared" si="6"/>
        <v>41</v>
      </c>
    </row>
    <row r="117" spans="1:13" ht="12.75">
      <c r="A117" s="59">
        <v>43678</v>
      </c>
      <c r="B117" s="58">
        <f t="shared" si="8"/>
        <v>71839.768420977533</v>
      </c>
      <c r="D117" s="47">
        <f>+$B$165</f>
        <v>1802</v>
      </c>
      <c r="F117" s="60"/>
      <c r="H117" s="58">
        <f t="shared" si="7"/>
        <v>70037.768420977533</v>
      </c>
      <c r="J117" s="38">
        <f t="shared" si="6"/>
        <v>40</v>
      </c>
      <c r="M117" s="83"/>
    </row>
    <row r="118" spans="1:13" ht="12.75">
      <c r="A118" s="64">
        <v>43709</v>
      </c>
      <c r="B118" s="58">
        <f t="shared" si="8"/>
        <v>70037.768420977533</v>
      </c>
      <c r="D118" s="47">
        <f>+$B$165</f>
        <v>1802</v>
      </c>
      <c r="F118" s="60"/>
      <c r="H118" s="61">
        <f t="shared" si="7"/>
        <v>68235.768420977533</v>
      </c>
      <c r="J118" s="38">
        <f t="shared" si="6"/>
        <v>39</v>
      </c>
      <c r="M118" s="83"/>
    </row>
    <row r="119" spans="1:10" ht="12.75">
      <c r="A119" s="59">
        <v>43739</v>
      </c>
      <c r="B119" s="58">
        <f t="shared" si="8"/>
        <v>68235.768420977533</v>
      </c>
      <c r="D119" s="47">
        <f>+$B$165</f>
        <v>1802</v>
      </c>
      <c r="F119" s="60"/>
      <c r="H119" s="58">
        <f t="shared" si="7"/>
        <v>66433.768420977533</v>
      </c>
      <c r="J119" s="38">
        <f t="shared" si="6"/>
        <v>38</v>
      </c>
    </row>
    <row r="120" spans="1:10" ht="12.75">
      <c r="A120" s="59">
        <v>43770</v>
      </c>
      <c r="B120" s="58">
        <f t="shared" si="8"/>
        <v>66433.768420977533</v>
      </c>
      <c r="D120" s="47">
        <f>+$B$165</f>
        <v>1802</v>
      </c>
      <c r="F120" s="60"/>
      <c r="H120" s="58">
        <f t="shared" si="7"/>
        <v>64631.768420977533</v>
      </c>
      <c r="J120" s="38">
        <f t="shared" si="6"/>
        <v>37</v>
      </c>
    </row>
    <row r="121" spans="1:10" ht="12.75">
      <c r="A121" s="64">
        <v>43800</v>
      </c>
      <c r="B121" s="58">
        <f t="shared" si="8"/>
        <v>64631.768420977533</v>
      </c>
      <c r="D121" s="47">
        <f>+$B$165</f>
        <v>1802</v>
      </c>
      <c r="F121" s="60"/>
      <c r="H121" s="61">
        <f t="shared" si="7"/>
        <v>62829.768420977533</v>
      </c>
      <c r="J121" s="38">
        <f t="shared" si="6"/>
        <v>36</v>
      </c>
    </row>
    <row r="122" spans="1:10" ht="12.75">
      <c r="A122" s="59">
        <v>43831</v>
      </c>
      <c r="B122" s="58">
        <f t="shared" si="8"/>
        <v>62829.768420977533</v>
      </c>
      <c r="D122" s="47">
        <f>+$B$165</f>
        <v>1802</v>
      </c>
      <c r="F122" s="60"/>
      <c r="H122" s="58">
        <f t="shared" si="7"/>
        <v>61027.768420977533</v>
      </c>
      <c r="J122" s="38">
        <f t="shared" si="6"/>
        <v>35</v>
      </c>
    </row>
    <row r="123" spans="1:10" ht="12.75">
      <c r="A123" s="59">
        <v>43862</v>
      </c>
      <c r="B123" s="58">
        <f t="shared" si="8"/>
        <v>61027.768420977533</v>
      </c>
      <c r="D123" s="47">
        <f>+$B$165</f>
        <v>1802</v>
      </c>
      <c r="F123" s="60"/>
      <c r="H123" s="58">
        <f t="shared" si="7"/>
        <v>59225.768420977533</v>
      </c>
      <c r="J123" s="38">
        <f t="shared" si="6"/>
        <v>34</v>
      </c>
    </row>
    <row r="124" spans="1:10" ht="12.75">
      <c r="A124" s="64">
        <v>43891</v>
      </c>
      <c r="B124" s="58">
        <f t="shared" si="8"/>
        <v>59225.768420977533</v>
      </c>
      <c r="D124" s="47">
        <f>+$B$165</f>
        <v>1802</v>
      </c>
      <c r="F124" s="60"/>
      <c r="H124" s="61">
        <f t="shared" si="7"/>
        <v>57423.768420977533</v>
      </c>
      <c r="J124" s="38">
        <f t="shared" si="6"/>
        <v>33</v>
      </c>
    </row>
    <row r="125" spans="1:10" ht="12.75">
      <c r="A125" s="59">
        <v>43922</v>
      </c>
      <c r="B125" s="58">
        <f t="shared" si="8"/>
        <v>57423.768420977533</v>
      </c>
      <c r="D125" s="47">
        <f>+$B$165</f>
        <v>1802</v>
      </c>
      <c r="F125" s="60"/>
      <c r="H125" s="58">
        <f t="shared" si="7"/>
        <v>55621.768420977533</v>
      </c>
      <c r="J125" s="38">
        <f t="shared" si="6"/>
        <v>32</v>
      </c>
    </row>
    <row r="126" spans="1:10" ht="12.75">
      <c r="A126" s="59">
        <v>43952</v>
      </c>
      <c r="B126" s="58">
        <f t="shared" si="8"/>
        <v>55621.768420977533</v>
      </c>
      <c r="D126" s="47">
        <f>+$B$165</f>
        <v>1802</v>
      </c>
      <c r="F126" s="60"/>
      <c r="H126" s="58">
        <f t="shared" si="7"/>
        <v>53819.768420977533</v>
      </c>
      <c r="J126" s="38">
        <f t="shared" si="6"/>
        <v>31</v>
      </c>
    </row>
    <row r="127" spans="1:10" ht="12.75">
      <c r="A127" s="64">
        <v>43983</v>
      </c>
      <c r="B127" s="58">
        <f t="shared" si="8"/>
        <v>53819.768420977533</v>
      </c>
      <c r="D127" s="47">
        <f>+$B$165</f>
        <v>1802</v>
      </c>
      <c r="F127" s="60"/>
      <c r="H127" s="61">
        <f t="shared" si="7"/>
        <v>52017.768420977533</v>
      </c>
      <c r="J127" s="38">
        <f t="shared" si="6"/>
        <v>30</v>
      </c>
    </row>
    <row r="128" spans="1:10" ht="12.75">
      <c r="A128" s="59">
        <v>44013</v>
      </c>
      <c r="B128" s="58">
        <f t="shared" si="8"/>
        <v>52017.768420977533</v>
      </c>
      <c r="D128" s="47">
        <f>+$B$165</f>
        <v>1802</v>
      </c>
      <c r="F128" s="60"/>
      <c r="H128" s="58">
        <f t="shared" si="7"/>
        <v>50215.768420977533</v>
      </c>
      <c r="J128" s="38">
        <f t="shared" si="6"/>
        <v>29</v>
      </c>
    </row>
    <row r="129" spans="1:10" ht="12.75">
      <c r="A129" s="59">
        <v>44044</v>
      </c>
      <c r="B129" s="58">
        <f t="shared" si="8"/>
        <v>50215.768420977533</v>
      </c>
      <c r="D129" s="47">
        <f>+$B$165</f>
        <v>1802</v>
      </c>
      <c r="F129" s="60"/>
      <c r="H129" s="58">
        <f t="shared" si="7"/>
        <v>48413.768420977533</v>
      </c>
      <c r="J129" s="38">
        <f t="shared" si="6"/>
        <v>28</v>
      </c>
    </row>
    <row r="130" spans="1:10" ht="12.75">
      <c r="A130" s="64">
        <v>44075</v>
      </c>
      <c r="B130" s="58">
        <f t="shared" si="8"/>
        <v>48413.768420977533</v>
      </c>
      <c r="D130" s="47">
        <f>+$B$165</f>
        <v>1802</v>
      </c>
      <c r="F130" s="60"/>
      <c r="H130" s="61">
        <f t="shared" si="7"/>
        <v>46611.768420977533</v>
      </c>
      <c r="J130" s="38">
        <f t="shared" si="6"/>
        <v>27</v>
      </c>
    </row>
    <row r="131" spans="1:10" ht="12.75">
      <c r="A131" s="59">
        <v>44105</v>
      </c>
      <c r="B131" s="58">
        <f t="shared" si="8"/>
        <v>46611.768420977533</v>
      </c>
      <c r="D131" s="47">
        <f>+$B$165</f>
        <v>1802</v>
      </c>
      <c r="F131" s="60"/>
      <c r="H131" s="58">
        <f t="shared" si="7"/>
        <v>44809.768420977533</v>
      </c>
      <c r="J131" s="38">
        <f t="shared" si="6"/>
        <v>26</v>
      </c>
    </row>
    <row r="132" spans="1:10" ht="12.75">
      <c r="A132" s="59">
        <v>44136</v>
      </c>
      <c r="B132" s="58">
        <f t="shared" si="8"/>
        <v>44809.768420977533</v>
      </c>
      <c r="D132" s="47">
        <f>+$B$165</f>
        <v>1802</v>
      </c>
      <c r="F132" s="60"/>
      <c r="H132" s="58">
        <f t="shared" si="7"/>
        <v>43007.768420977533</v>
      </c>
      <c r="J132" s="38">
        <f t="shared" si="6"/>
        <v>25</v>
      </c>
    </row>
    <row r="133" spans="1:10" s="62" customFormat="1" ht="12.75">
      <c r="A133" s="64">
        <v>44166</v>
      </c>
      <c r="B133" s="61">
        <f t="shared" si="8"/>
        <v>43007.768420977533</v>
      </c>
      <c r="D133" s="61">
        <f>+$B$165</f>
        <v>1802</v>
      </c>
      <c r="F133" s="48"/>
      <c r="H133" s="61">
        <f t="shared" si="7"/>
        <v>41205.768420977533</v>
      </c>
      <c r="J133" s="62">
        <f t="shared" si="6"/>
        <v>24</v>
      </c>
    </row>
    <row r="134" spans="1:10" ht="12.75">
      <c r="A134" s="59">
        <f>+A133+31</f>
        <v>44197</v>
      </c>
      <c r="B134" s="58">
        <f t="shared" si="8"/>
        <v>41205.768420977533</v>
      </c>
      <c r="D134" s="47">
        <f>+$B$165</f>
        <v>1802</v>
      </c>
      <c r="F134" s="60"/>
      <c r="H134" s="58">
        <f t="shared" si="7"/>
        <v>39403.768420977533</v>
      </c>
      <c r="J134" s="38">
        <f t="shared" si="6"/>
        <v>23</v>
      </c>
    </row>
    <row r="135" spans="1:10" ht="12.75">
      <c r="A135" s="59">
        <f t="shared" si="9" ref="A135:A156">+A134+31</f>
        <v>44228</v>
      </c>
      <c r="B135" s="58">
        <f t="shared" si="8"/>
        <v>39403.768420977533</v>
      </c>
      <c r="D135" s="47">
        <f>+$B$165</f>
        <v>1802</v>
      </c>
      <c r="F135" s="60"/>
      <c r="H135" s="58">
        <f t="shared" si="7"/>
        <v>37601.768420977533</v>
      </c>
      <c r="J135" s="38">
        <f t="shared" si="6"/>
        <v>22</v>
      </c>
    </row>
    <row r="136" spans="1:10" ht="12.75">
      <c r="A136" s="59">
        <f t="shared" si="9"/>
        <v>44259</v>
      </c>
      <c r="B136" s="58">
        <f t="shared" si="8"/>
        <v>37601.768420977533</v>
      </c>
      <c r="D136" s="47">
        <f>+$B$165</f>
        <v>1802</v>
      </c>
      <c r="F136" s="60"/>
      <c r="H136" s="58">
        <f t="shared" si="7"/>
        <v>35799.768420977533</v>
      </c>
      <c r="J136" s="38">
        <f t="shared" si="6"/>
        <v>21</v>
      </c>
    </row>
    <row r="137" spans="1:10" ht="12.75">
      <c r="A137" s="59">
        <f t="shared" si="9"/>
        <v>44290</v>
      </c>
      <c r="B137" s="58">
        <f t="shared" si="8"/>
        <v>35799.768420977533</v>
      </c>
      <c r="D137" s="47">
        <f>+$B$165</f>
        <v>1802</v>
      </c>
      <c r="F137" s="60"/>
      <c r="H137" s="58">
        <f t="shared" si="7"/>
        <v>33997.768420977533</v>
      </c>
      <c r="J137" s="38">
        <f t="shared" si="6"/>
        <v>20</v>
      </c>
    </row>
    <row r="138" spans="1:10" ht="12.75">
      <c r="A138" s="59">
        <f t="shared" si="9"/>
        <v>44321</v>
      </c>
      <c r="B138" s="58">
        <f t="shared" si="8"/>
        <v>33997.768420977533</v>
      </c>
      <c r="D138" s="47">
        <f>+$B$165</f>
        <v>1802</v>
      </c>
      <c r="F138" s="60"/>
      <c r="H138" s="58">
        <f t="shared" si="7"/>
        <v>32195.768420977533</v>
      </c>
      <c r="J138" s="38">
        <f t="shared" si="6"/>
        <v>19</v>
      </c>
    </row>
    <row r="139" spans="1:10" ht="12.75">
      <c r="A139" s="59">
        <f t="shared" si="9"/>
        <v>44352</v>
      </c>
      <c r="B139" s="58">
        <f t="shared" si="8"/>
        <v>32195.768420977533</v>
      </c>
      <c r="D139" s="47">
        <f>+$B$165</f>
        <v>1802</v>
      </c>
      <c r="F139" s="60"/>
      <c r="H139" s="58">
        <f t="shared" si="7"/>
        <v>30393.768420977533</v>
      </c>
      <c r="J139" s="38">
        <f t="shared" si="6"/>
        <v>18</v>
      </c>
    </row>
    <row r="140" spans="1:10" ht="12.75">
      <c r="A140" s="59">
        <f t="shared" si="9"/>
        <v>44383</v>
      </c>
      <c r="B140" s="58">
        <f t="shared" si="8"/>
        <v>30393.768420977533</v>
      </c>
      <c r="D140" s="47">
        <f>+$B$165</f>
        <v>1802</v>
      </c>
      <c r="F140" s="60"/>
      <c r="H140" s="58">
        <f t="shared" si="7"/>
        <v>28591.768420977533</v>
      </c>
      <c r="J140" s="38">
        <f t="shared" si="6"/>
        <v>17</v>
      </c>
    </row>
    <row r="141" spans="1:10" ht="12.75">
      <c r="A141" s="59">
        <f t="shared" si="9"/>
        <v>44414</v>
      </c>
      <c r="B141" s="58">
        <f t="shared" si="8"/>
        <v>28591.768420977533</v>
      </c>
      <c r="D141" s="47">
        <f>+$B$165</f>
        <v>1802</v>
      </c>
      <c r="F141" s="60"/>
      <c r="H141" s="58">
        <f t="shared" si="7"/>
        <v>26789.768420977533</v>
      </c>
      <c r="J141" s="38">
        <f t="shared" si="6"/>
        <v>16</v>
      </c>
    </row>
    <row r="142" spans="1:10" ht="12.75">
      <c r="A142" s="59">
        <f t="shared" si="9"/>
        <v>44445</v>
      </c>
      <c r="B142" s="58">
        <f t="shared" si="8"/>
        <v>26789.768420977533</v>
      </c>
      <c r="D142" s="47">
        <f>+$B$165</f>
        <v>1802</v>
      </c>
      <c r="F142" s="60"/>
      <c r="H142" s="58">
        <f t="shared" si="7"/>
        <v>24987.768420977533</v>
      </c>
      <c r="J142" s="38">
        <f t="shared" si="6"/>
        <v>15</v>
      </c>
    </row>
    <row r="143" spans="1:10" ht="12.75">
      <c r="A143" s="59">
        <f t="shared" si="9"/>
        <v>44476</v>
      </c>
      <c r="B143" s="58">
        <f t="shared" si="8"/>
        <v>24987.768420977533</v>
      </c>
      <c r="D143" s="47">
        <f>+$B$165</f>
        <v>1802</v>
      </c>
      <c r="F143" s="60"/>
      <c r="H143" s="58">
        <f t="shared" si="7"/>
        <v>23185.768420977533</v>
      </c>
      <c r="J143" s="38">
        <f t="shared" si="6"/>
        <v>14</v>
      </c>
    </row>
    <row r="144" spans="1:10" ht="12.75">
      <c r="A144" s="59">
        <f t="shared" si="9"/>
        <v>44507</v>
      </c>
      <c r="B144" s="58">
        <f t="shared" si="8"/>
        <v>23185.768420977533</v>
      </c>
      <c r="D144" s="47">
        <f>+$B$165</f>
        <v>1802</v>
      </c>
      <c r="F144" s="60"/>
      <c r="H144" s="58">
        <f t="shared" si="7"/>
        <v>21383.768420977533</v>
      </c>
      <c r="J144" s="38">
        <f t="shared" si="6"/>
        <v>13</v>
      </c>
    </row>
    <row r="145" spans="1:10" s="45" customFormat="1" ht="12.75">
      <c r="A145" s="65">
        <f t="shared" si="9"/>
        <v>44538</v>
      </c>
      <c r="B145" s="47">
        <f t="shared" si="8"/>
        <v>21383.768420977533</v>
      </c>
      <c r="D145" s="47">
        <f>+$B$165</f>
        <v>1802</v>
      </c>
      <c r="F145" s="63"/>
      <c r="H145" s="47">
        <f t="shared" si="7"/>
        <v>19581.768420977533</v>
      </c>
      <c r="J145" s="45">
        <f t="shared" si="6"/>
        <v>12</v>
      </c>
    </row>
    <row r="146" spans="1:10" ht="12.75">
      <c r="A146" s="59">
        <f t="shared" si="9"/>
        <v>44569</v>
      </c>
      <c r="B146" s="58">
        <f t="shared" si="8"/>
        <v>19581.768420977533</v>
      </c>
      <c r="D146" s="47">
        <f>+$B$165</f>
        <v>1802</v>
      </c>
      <c r="F146" s="60"/>
      <c r="H146" s="58">
        <f t="shared" si="7"/>
        <v>17779.768420977533</v>
      </c>
      <c r="J146" s="38">
        <f t="shared" si="6"/>
        <v>11</v>
      </c>
    </row>
    <row r="147" spans="1:10" ht="12.75">
      <c r="A147" s="59">
        <f t="shared" si="9"/>
        <v>44600</v>
      </c>
      <c r="B147" s="58">
        <f t="shared" si="8"/>
        <v>17779.768420977533</v>
      </c>
      <c r="D147" s="47">
        <f>+$B$165</f>
        <v>1802</v>
      </c>
      <c r="F147" s="60"/>
      <c r="H147" s="58">
        <f t="shared" si="7"/>
        <v>15977.768420977533</v>
      </c>
      <c r="J147" s="38">
        <f t="shared" si="6"/>
        <v>10</v>
      </c>
    </row>
    <row r="148" spans="1:10" ht="12.75">
      <c r="A148" s="59">
        <f t="shared" si="9"/>
        <v>44631</v>
      </c>
      <c r="B148" s="58">
        <f t="shared" si="8"/>
        <v>15977.768420977533</v>
      </c>
      <c r="D148" s="47">
        <f>+$B$165</f>
        <v>1802</v>
      </c>
      <c r="F148" s="60"/>
      <c r="H148" s="58">
        <f t="shared" si="7"/>
        <v>14175.768420977533</v>
      </c>
      <c r="J148" s="38">
        <f t="shared" si="6"/>
        <v>9</v>
      </c>
    </row>
    <row r="149" spans="1:10" ht="12.75">
      <c r="A149" s="59">
        <f t="shared" si="9"/>
        <v>44662</v>
      </c>
      <c r="B149" s="58">
        <f t="shared" si="8"/>
        <v>14175.768420977533</v>
      </c>
      <c r="D149" s="47">
        <f>+$B$165</f>
        <v>1802</v>
      </c>
      <c r="F149" s="60"/>
      <c r="H149" s="58">
        <f t="shared" si="7"/>
        <v>12373.768420977533</v>
      </c>
      <c r="J149" s="38">
        <f t="shared" si="6"/>
        <v>8</v>
      </c>
    </row>
    <row r="150" spans="1:10" ht="12.75">
      <c r="A150" s="59">
        <f t="shared" si="9"/>
        <v>44693</v>
      </c>
      <c r="B150" s="58">
        <f t="shared" si="8"/>
        <v>12373.768420977533</v>
      </c>
      <c r="D150" s="47">
        <f>+$B$165</f>
        <v>1802</v>
      </c>
      <c r="F150" s="60"/>
      <c r="H150" s="58">
        <f t="shared" si="7"/>
        <v>10571.768420977533</v>
      </c>
      <c r="J150" s="38">
        <f t="shared" si="6"/>
        <v>7</v>
      </c>
    </row>
    <row r="151" spans="1:10" ht="12.75">
      <c r="A151" s="59">
        <f t="shared" si="9"/>
        <v>44724</v>
      </c>
      <c r="B151" s="58">
        <f t="shared" si="8"/>
        <v>10571.768420977533</v>
      </c>
      <c r="D151" s="47">
        <f>+$B$165</f>
        <v>1802</v>
      </c>
      <c r="F151" s="60"/>
      <c r="H151" s="58">
        <f t="shared" si="7"/>
        <v>8769.7684209775325</v>
      </c>
      <c r="J151" s="38">
        <f t="shared" si="6"/>
        <v>6</v>
      </c>
    </row>
    <row r="152" spans="1:10" ht="12.75">
      <c r="A152" s="59">
        <f t="shared" si="9"/>
        <v>44755</v>
      </c>
      <c r="B152" s="58">
        <f t="shared" si="8"/>
        <v>8769.7684209775325</v>
      </c>
      <c r="D152" s="47">
        <f>+$B$165</f>
        <v>1802</v>
      </c>
      <c r="F152" s="60"/>
      <c r="H152" s="58">
        <f t="shared" si="7"/>
        <v>6967.7684209775325</v>
      </c>
      <c r="J152" s="38">
        <f t="shared" si="6"/>
        <v>5</v>
      </c>
    </row>
    <row r="153" spans="1:10" ht="12.75">
      <c r="A153" s="59">
        <f t="shared" si="9"/>
        <v>44786</v>
      </c>
      <c r="B153" s="58">
        <f t="shared" si="8"/>
        <v>6967.7684209775325</v>
      </c>
      <c r="D153" s="47">
        <f>+$B$165</f>
        <v>1802</v>
      </c>
      <c r="F153" s="60"/>
      <c r="H153" s="58">
        <f t="shared" si="7"/>
        <v>5165.7684209775325</v>
      </c>
      <c r="J153" s="38">
        <f t="shared" si="6"/>
        <v>4</v>
      </c>
    </row>
    <row r="154" spans="1:10" ht="12.75">
      <c r="A154" s="59">
        <f t="shared" si="9"/>
        <v>44817</v>
      </c>
      <c r="B154" s="58">
        <f t="shared" si="8"/>
        <v>5165.7684209775325</v>
      </c>
      <c r="D154" s="47">
        <f>+$B$165</f>
        <v>1802</v>
      </c>
      <c r="F154" s="60"/>
      <c r="H154" s="58">
        <f t="shared" si="7"/>
        <v>3363.7684209775325</v>
      </c>
      <c r="J154" s="38">
        <f t="shared" si="6"/>
        <v>3</v>
      </c>
    </row>
    <row r="155" spans="1:10" ht="12.75">
      <c r="A155" s="59">
        <f t="shared" si="9"/>
        <v>44848</v>
      </c>
      <c r="B155" s="58">
        <f t="shared" si="8"/>
        <v>3363.7684209775325</v>
      </c>
      <c r="D155" s="47">
        <f>+$B$165</f>
        <v>1802</v>
      </c>
      <c r="F155" s="60"/>
      <c r="H155" s="58">
        <f t="shared" si="7"/>
        <v>1561.7684209775325</v>
      </c>
      <c r="J155" s="38">
        <f t="shared" si="6"/>
        <v>2</v>
      </c>
    </row>
    <row r="156" spans="1:10" ht="12.75">
      <c r="A156" s="59">
        <f t="shared" si="9"/>
        <v>44879</v>
      </c>
      <c r="B156" s="58">
        <f t="shared" si="8"/>
        <v>1561.7684209775325</v>
      </c>
      <c r="D156" s="47">
        <f>+$B$165*26/30+0.04</f>
        <v>1561.7733333333333</v>
      </c>
      <c r="F156" s="60"/>
      <c r="H156" s="58">
        <f t="shared" si="7"/>
        <v>-0.0049123558007977408</v>
      </c>
      <c r="J156" s="38">
        <f t="shared" si="6"/>
        <v>1</v>
      </c>
    </row>
    <row r="158" spans="1:1" ht="12.75">
      <c r="A158" s="45" t="s">
        <v>127</v>
      </c>
    </row>
    <row r="159" spans="1:1" ht="12.75">
      <c r="A159" s="45" t="s">
        <v>119</v>
      </c>
    </row>
    <row r="161" spans="1:1" ht="12.75">
      <c r="A161" s="52" t="s">
        <v>103</v>
      </c>
    </row>
    <row r="162" spans="1:1" ht="12.75">
      <c r="A162" s="52" t="s">
        <v>104</v>
      </c>
    </row>
    <row r="163" spans="2:3" ht="12.75">
      <c r="B163" s="67">
        <f>+H95</f>
        <v>108120.0350876442</v>
      </c>
      <c r="C163" s="52" t="s">
        <v>105</v>
      </c>
    </row>
    <row r="164" spans="2:3" ht="12.75">
      <c r="B164" s="84">
        <v>60</v>
      </c>
      <c r="C164" s="38" t="s">
        <v>120</v>
      </c>
    </row>
    <row r="165" spans="2:3" ht="12.75">
      <c r="B165" s="67">
        <f>ROUND(+B163/B164,2)</f>
        <v>1802</v>
      </c>
      <c r="C165" s="52" t="s">
        <v>99</v>
      </c>
    </row>
    <row r="167" spans="1:6" ht="12.75">
      <c r="A167" s="45" t="s">
        <v>133</v>
      </c>
      <c r="B167" s="45"/>
      <c r="C167" s="45"/>
      <c r="D167" s="45"/>
      <c r="E167" s="45"/>
      <c r="F167" s="45"/>
    </row>
    <row r="168" spans="1:6" ht="12.75">
      <c r="A168" s="45" t="s">
        <v>128</v>
      </c>
      <c r="B168" s="45"/>
      <c r="C168" s="45"/>
      <c r="D168" s="45"/>
      <c r="E168" s="45"/>
      <c r="F168" s="45"/>
    </row>
  </sheetData>
  <pageMargins left="1.5" right="0.5" top="1.75" bottom="0.5" header="0.3" footer="0.3"/>
  <pageSetup firstPageNumber="5" useFirstPageNumber="1" fitToHeight="0" orientation="portrait" scale="72" r:id="rId1"/>
  <headerFooter>
    <oddHeader>&amp;C&amp;"Arial,Bold"
2022 Rate Case
Oncor Electric Delivery Company LLC
AMS Rate Case Expenses
For 2011-2012 AMS Reconciliation Filing
Test Year Ending Dec. 31, 2021
Sponsor: W. Alan Ledbetter&amp;R&amp;"Arial,Bold"WP/II-E-4.1.1 AMS Rate Case Expenses
Page &amp;P of 10</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M191"/>
  <sheetViews>
    <sheetView zoomScale="85" zoomScaleNormal="85" workbookViewId="0" topLeftCell="A1"/>
  </sheetViews>
  <sheetFormatPr defaultColWidth="9.14428571428571" defaultRowHeight="12.75"/>
  <cols>
    <col min="1" max="1" width="12.8571428571429" style="38" customWidth="1"/>
    <col min="2" max="2" width="16.7142857142857" style="38" customWidth="1"/>
    <col min="3" max="3" width="3" style="38" customWidth="1"/>
    <col min="4" max="4" width="21.2857142857143" style="38" bestFit="1" customWidth="1"/>
    <col min="5" max="5" width="2.42857142857143" style="38" customWidth="1"/>
    <col min="6" max="6" width="14.8571428571429" style="38" customWidth="1"/>
    <col min="7" max="7" width="2" style="38" customWidth="1"/>
    <col min="8" max="8" width="14.1428571428571" style="38" bestFit="1" customWidth="1"/>
    <col min="9" max="9" width="3.71428571428571" style="38" customWidth="1"/>
    <col min="10" max="10" width="16.8571428571429" style="38" bestFit="1" customWidth="1"/>
    <col min="11" max="11" width="22.7142857142857" style="38" bestFit="1" customWidth="1"/>
    <col min="12" max="12" width="11.5714285714286" style="38" bestFit="1" customWidth="1"/>
    <col min="13" max="16384" width="9.14285714285714" style="38"/>
  </cols>
  <sheetData>
    <row r="1" spans="1:13" ht="12.75">
      <c r="A1" s="88"/>
      <c r="M1" s="83"/>
    </row>
    <row r="2" spans="1:13" ht="12.75">
      <c r="A2" s="88"/>
      <c r="M2" s="83"/>
    </row>
    <row r="3" spans="1:13" ht="12.75">
      <c r="A3" s="40"/>
      <c r="M3" s="83"/>
    </row>
    <row r="4" spans="1:13" ht="12.75">
      <c r="A4" s="68"/>
      <c r="M4" s="83"/>
    </row>
    <row r="5" spans="1:6" ht="12.75">
      <c r="A5" s="68"/>
      <c r="F5" s="54"/>
    </row>
    <row r="6" spans="1:6" ht="12.75">
      <c r="A6" s="68"/>
      <c r="F6" s="54"/>
    </row>
    <row r="7" s="45" customFormat="1" ht="12.75"/>
    <row r="9" spans="1:1" ht="12.75">
      <c r="A9" s="45"/>
    </row>
    <row r="10" spans="1:10" ht="12.75">
      <c r="A10" s="55" t="s">
        <v>97</v>
      </c>
      <c r="B10" s="56" t="s">
        <v>98</v>
      </c>
      <c r="D10" s="69" t="s">
        <v>99</v>
      </c>
      <c r="F10" s="55" t="s">
        <v>100</v>
      </c>
      <c r="H10" s="56" t="s">
        <v>101</v>
      </c>
      <c r="J10" s="56" t="s">
        <v>102</v>
      </c>
    </row>
    <row r="11" spans="1:8" ht="12.75">
      <c r="A11" s="57"/>
      <c r="B11" s="56"/>
      <c r="D11" s="56"/>
      <c r="F11" s="58"/>
      <c r="H11" s="56"/>
    </row>
    <row r="12" spans="1:12" ht="12.75">
      <c r="A12" s="59">
        <v>39814</v>
      </c>
      <c r="B12" s="58">
        <v>889574.22999999998</v>
      </c>
      <c r="C12" s="58"/>
      <c r="D12" s="47">
        <f t="shared" si="0" ref="D12:D66">ROUND(B12/J12,2)</f>
        <v>6739.1999999999998</v>
      </c>
      <c r="E12" s="58"/>
      <c r="F12" s="58">
        <v>3044.7800000000002</v>
      </c>
      <c r="H12" s="58">
        <f t="shared" si="1" ref="H12:H67">B12-D12+F12</f>
        <v>885879.81000000006</v>
      </c>
      <c r="J12" s="38">
        <v>132</v>
      </c>
      <c r="L12" s="60"/>
    </row>
    <row r="13" spans="1:12" ht="12.75">
      <c r="A13" s="59">
        <v>39845</v>
      </c>
      <c r="B13" s="58">
        <f t="shared" si="2" ref="B13:B76">H12</f>
        <v>885879.81000000006</v>
      </c>
      <c r="C13" s="58"/>
      <c r="D13" s="47">
        <f t="shared" si="0"/>
        <v>6762.4399999999996</v>
      </c>
      <c r="E13" s="58"/>
      <c r="F13" s="39">
        <v>18469.939999999999</v>
      </c>
      <c r="H13" s="58">
        <f t="shared" si="1"/>
        <v>897587.31000000006</v>
      </c>
      <c r="J13" s="38">
        <v>131</v>
      </c>
      <c r="L13" s="60"/>
    </row>
    <row r="14" spans="1:12" ht="12.75">
      <c r="A14" s="59">
        <v>39873</v>
      </c>
      <c r="B14" s="47">
        <f t="shared" si="2"/>
        <v>897587.31000000006</v>
      </c>
      <c r="C14" s="47"/>
      <c r="D14" s="47">
        <f t="shared" si="0"/>
        <v>6904.5200000000004</v>
      </c>
      <c r="E14" s="58"/>
      <c r="F14" s="39">
        <v>-58992.68</v>
      </c>
      <c r="H14" s="58">
        <f t="shared" si="1"/>
        <v>831690.10999999999</v>
      </c>
      <c r="J14" s="38">
        <v>130</v>
      </c>
      <c r="L14" s="60"/>
    </row>
    <row r="15" spans="1:12" ht="12.75">
      <c r="A15" s="59">
        <v>39904</v>
      </c>
      <c r="B15" s="47">
        <f t="shared" si="2"/>
        <v>831690.10999999999</v>
      </c>
      <c r="C15" s="47"/>
      <c r="D15" s="47">
        <f t="shared" si="0"/>
        <v>6447.21</v>
      </c>
      <c r="E15" s="58"/>
      <c r="F15" s="39">
        <v>3613.8099999999999</v>
      </c>
      <c r="H15" s="58">
        <f t="shared" si="1"/>
        <v>828856.71000000008</v>
      </c>
      <c r="J15" s="38">
        <v>129</v>
      </c>
      <c r="L15" s="60"/>
    </row>
    <row r="16" spans="1:12" ht="12.75">
      <c r="A16" s="59">
        <v>39934</v>
      </c>
      <c r="B16" s="47">
        <f t="shared" si="2"/>
        <v>828856.71000000008</v>
      </c>
      <c r="C16" s="47"/>
      <c r="D16" s="47">
        <f t="shared" si="0"/>
        <v>6475.4399999999996</v>
      </c>
      <c r="E16" s="58"/>
      <c r="F16" s="39">
        <v>13496.48</v>
      </c>
      <c r="H16" s="58">
        <f t="shared" si="1"/>
        <v>835877.75000000012</v>
      </c>
      <c r="J16" s="38">
        <v>128</v>
      </c>
      <c r="L16" s="60"/>
    </row>
    <row r="17" spans="1:12" ht="12.75">
      <c r="A17" s="59">
        <v>39965</v>
      </c>
      <c r="B17" s="47">
        <f t="shared" si="2"/>
        <v>835877.75000000012</v>
      </c>
      <c r="C17" s="47"/>
      <c r="D17" s="47">
        <f t="shared" si="0"/>
        <v>6581.71</v>
      </c>
      <c r="E17" s="58"/>
      <c r="F17" s="39">
        <v>1882.5699999999999</v>
      </c>
      <c r="H17" s="47">
        <f t="shared" si="1"/>
        <v>831178.6100000001</v>
      </c>
      <c r="J17" s="38">
        <v>127</v>
      </c>
      <c r="L17" s="60"/>
    </row>
    <row r="18" spans="1:12" ht="12.75">
      <c r="A18" s="59">
        <v>39995</v>
      </c>
      <c r="B18" s="47">
        <f t="shared" si="2"/>
        <v>831178.6100000001</v>
      </c>
      <c r="C18" s="47"/>
      <c r="D18" s="47">
        <f t="shared" si="0"/>
        <v>6596.6599999999999</v>
      </c>
      <c r="E18" s="58"/>
      <c r="F18" s="39">
        <v>1558.99</v>
      </c>
      <c r="H18" s="47">
        <f t="shared" si="1"/>
        <v>826140.94000000006</v>
      </c>
      <c r="J18" s="38">
        <v>126</v>
      </c>
      <c r="L18" s="60"/>
    </row>
    <row r="19" spans="1:12" ht="12.75">
      <c r="A19" s="59">
        <v>40026</v>
      </c>
      <c r="B19" s="47">
        <f t="shared" si="2"/>
        <v>826140.94000000006</v>
      </c>
      <c r="C19" s="47"/>
      <c r="D19" s="47">
        <f t="shared" si="0"/>
        <v>6609.1300000000001</v>
      </c>
      <c r="E19" s="58"/>
      <c r="F19" s="39">
        <v>1306.99</v>
      </c>
      <c r="H19" s="47">
        <f t="shared" si="1"/>
        <v>820838.80000000005</v>
      </c>
      <c r="J19" s="38">
        <v>125</v>
      </c>
      <c r="L19" s="60"/>
    </row>
    <row r="20" spans="1:12" ht="12.75">
      <c r="A20" s="59">
        <v>40057</v>
      </c>
      <c r="B20" s="47">
        <f t="shared" si="2"/>
        <v>820838.80000000005</v>
      </c>
      <c r="C20" s="47"/>
      <c r="D20" s="47">
        <f t="shared" si="0"/>
        <v>6619.6700000000001</v>
      </c>
      <c r="E20" s="58"/>
      <c r="F20" s="39">
        <v>1233.8800000000001</v>
      </c>
      <c r="H20" s="47">
        <f t="shared" si="1"/>
        <v>815453.01000000001</v>
      </c>
      <c r="J20" s="38">
        <v>124</v>
      </c>
      <c r="L20" s="60"/>
    </row>
    <row r="21" spans="1:12" ht="12.75">
      <c r="A21" s="59">
        <v>40087</v>
      </c>
      <c r="B21" s="47">
        <f t="shared" si="2"/>
        <v>815453.01000000001</v>
      </c>
      <c r="C21" s="47"/>
      <c r="D21" s="47">
        <f t="shared" si="0"/>
        <v>6629.6999999999998</v>
      </c>
      <c r="E21" s="58"/>
      <c r="F21" s="39">
        <v>137.18000000000001</v>
      </c>
      <c r="H21" s="47">
        <f t="shared" si="1"/>
        <v>808960.49000000011</v>
      </c>
      <c r="J21" s="38">
        <v>123</v>
      </c>
      <c r="L21" s="60"/>
    </row>
    <row r="22" spans="1:12" ht="12.75">
      <c r="A22" s="59">
        <v>40118</v>
      </c>
      <c r="B22" s="47">
        <f t="shared" si="2"/>
        <v>808960.49000000011</v>
      </c>
      <c r="C22" s="47"/>
      <c r="D22" s="47">
        <f t="shared" si="0"/>
        <v>6630.8199999999997</v>
      </c>
      <c r="E22" s="58"/>
      <c r="F22" s="39">
        <v>315.91000000000003</v>
      </c>
      <c r="H22" s="47">
        <f t="shared" si="1"/>
        <v>802645.58000000019</v>
      </c>
      <c r="J22" s="38">
        <v>122</v>
      </c>
      <c r="L22" s="60"/>
    </row>
    <row r="23" spans="1:12" ht="12.75">
      <c r="A23" s="59">
        <v>40148</v>
      </c>
      <c r="B23" s="47">
        <f t="shared" si="2"/>
        <v>802645.58000000019</v>
      </c>
      <c r="C23" s="47"/>
      <c r="D23" s="47">
        <f t="shared" si="0"/>
        <v>6633.4300000000003</v>
      </c>
      <c r="E23" s="58"/>
      <c r="F23" s="39">
        <v>703.74000000000001</v>
      </c>
      <c r="H23" s="47">
        <f t="shared" si="1"/>
        <v>796715.89000000013</v>
      </c>
      <c r="J23" s="38">
        <v>121</v>
      </c>
      <c r="L23" s="60"/>
    </row>
    <row r="24" spans="1:12" ht="12.75">
      <c r="A24" s="59">
        <v>40179</v>
      </c>
      <c r="B24" s="47">
        <f t="shared" si="2"/>
        <v>796715.89000000013</v>
      </c>
      <c r="C24" s="47"/>
      <c r="D24" s="47">
        <f t="shared" si="0"/>
        <v>6639.3000000000002</v>
      </c>
      <c r="E24" s="58"/>
      <c r="F24" s="39">
        <v>403.11000000000001</v>
      </c>
      <c r="H24" s="47">
        <f t="shared" si="1"/>
        <v>790479.70000000007</v>
      </c>
      <c r="J24" s="38">
        <v>120</v>
      </c>
      <c r="L24" s="60"/>
    </row>
    <row r="25" spans="1:12" ht="12.75">
      <c r="A25" s="59">
        <v>40210</v>
      </c>
      <c r="B25" s="47">
        <f t="shared" si="2"/>
        <v>790479.70000000007</v>
      </c>
      <c r="C25" s="47"/>
      <c r="D25" s="47">
        <f t="shared" si="0"/>
        <v>6642.6899999999996</v>
      </c>
      <c r="E25" s="58"/>
      <c r="F25" s="39">
        <v>1728.8199999999999</v>
      </c>
      <c r="H25" s="47">
        <f t="shared" si="1"/>
        <v>785565.83000000007</v>
      </c>
      <c r="J25" s="38">
        <v>119</v>
      </c>
      <c r="L25" s="60"/>
    </row>
    <row r="26" spans="1:12" ht="12.75">
      <c r="A26" s="59">
        <v>40238</v>
      </c>
      <c r="B26" s="47">
        <f t="shared" si="2"/>
        <v>785565.83000000007</v>
      </c>
      <c r="C26" s="47"/>
      <c r="D26" s="47">
        <f t="shared" si="0"/>
        <v>6657.3400000000001</v>
      </c>
      <c r="E26" s="58"/>
      <c r="F26" s="39">
        <v>1069.47</v>
      </c>
      <c r="H26" s="47">
        <f t="shared" si="1"/>
        <v>779977.96000000008</v>
      </c>
      <c r="J26" s="38">
        <v>118</v>
      </c>
      <c r="L26" s="60"/>
    </row>
    <row r="27" spans="1:12" ht="12.75">
      <c r="A27" s="59">
        <v>40269</v>
      </c>
      <c r="B27" s="47">
        <f t="shared" si="2"/>
        <v>779977.96000000008</v>
      </c>
      <c r="C27" s="47"/>
      <c r="D27" s="47">
        <f t="shared" si="0"/>
        <v>6666.4799999999996</v>
      </c>
      <c r="E27" s="58"/>
      <c r="F27" s="39">
        <v>3071.8299999999999</v>
      </c>
      <c r="H27" s="47">
        <f t="shared" si="1"/>
        <v>776383.31000000006</v>
      </c>
      <c r="J27" s="38">
        <v>117</v>
      </c>
      <c r="L27" s="60"/>
    </row>
    <row r="28" spans="1:12" ht="12.75">
      <c r="A28" s="59">
        <v>40299</v>
      </c>
      <c r="B28" s="47">
        <f t="shared" si="2"/>
        <v>776383.31000000006</v>
      </c>
      <c r="C28" s="47"/>
      <c r="D28" s="47">
        <f t="shared" si="0"/>
        <v>6692.96</v>
      </c>
      <c r="E28" s="58"/>
      <c r="F28" s="39">
        <v>514.15999999999997</v>
      </c>
      <c r="H28" s="47">
        <f t="shared" si="1"/>
        <v>770204.51000000013</v>
      </c>
      <c r="J28" s="38">
        <v>116</v>
      </c>
      <c r="L28" s="60"/>
    </row>
    <row r="29" spans="1:10" ht="12.75">
      <c r="A29" s="59">
        <v>40330</v>
      </c>
      <c r="B29" s="47">
        <f t="shared" si="2"/>
        <v>770204.51000000013</v>
      </c>
      <c r="C29" s="47"/>
      <c r="D29" s="47">
        <f t="shared" si="0"/>
        <v>6697.4300000000003</v>
      </c>
      <c r="E29" s="58"/>
      <c r="F29" s="39">
        <v>1768.4000000000001</v>
      </c>
      <c r="H29" s="47">
        <f t="shared" si="1"/>
        <v>765275.4800000001</v>
      </c>
      <c r="J29" s="38">
        <v>115</v>
      </c>
    </row>
    <row r="30" spans="1:10" ht="12.75">
      <c r="A30" s="59">
        <v>40360</v>
      </c>
      <c r="B30" s="47">
        <f t="shared" si="2"/>
        <v>765275.4800000001</v>
      </c>
      <c r="C30" s="47"/>
      <c r="D30" s="47">
        <f t="shared" si="0"/>
        <v>6712.9399999999996</v>
      </c>
      <c r="E30" s="58"/>
      <c r="F30" s="39">
        <v>1895.8</v>
      </c>
      <c r="H30" s="47">
        <f t="shared" si="1"/>
        <v>760458.3400000002</v>
      </c>
      <c r="J30" s="38">
        <v>114</v>
      </c>
    </row>
    <row r="31" spans="1:10" ht="12.75">
      <c r="A31" s="59">
        <v>40391</v>
      </c>
      <c r="B31" s="47">
        <f t="shared" si="2"/>
        <v>760458.3400000002</v>
      </c>
      <c r="C31" s="47"/>
      <c r="D31" s="47">
        <f t="shared" si="0"/>
        <v>6729.7200000000003</v>
      </c>
      <c r="E31" s="58"/>
      <c r="F31" s="39">
        <v>1584.5799999999999</v>
      </c>
      <c r="H31" s="47">
        <f t="shared" si="1"/>
        <v>755313.20000000019</v>
      </c>
      <c r="J31" s="38">
        <v>113</v>
      </c>
    </row>
    <row r="32" spans="1:10" ht="12.75">
      <c r="A32" s="59">
        <v>40422</v>
      </c>
      <c r="B32" s="47">
        <f t="shared" si="2"/>
        <v>755313.20000000019</v>
      </c>
      <c r="C32" s="47"/>
      <c r="D32" s="47">
        <f t="shared" si="0"/>
        <v>6743.8699999999999</v>
      </c>
      <c r="E32" s="58"/>
      <c r="F32" s="39">
        <v>1264.97</v>
      </c>
      <c r="H32" s="47">
        <f t="shared" si="1"/>
        <v>749834.30000000016</v>
      </c>
      <c r="J32" s="38">
        <v>112</v>
      </c>
    </row>
    <row r="33" spans="1:10" ht="12.75">
      <c r="A33" s="59">
        <v>40452</v>
      </c>
      <c r="B33" s="47">
        <f t="shared" si="2"/>
        <v>749834.30000000016</v>
      </c>
      <c r="C33" s="47"/>
      <c r="D33" s="47">
        <f t="shared" si="0"/>
        <v>6755.2600000000002</v>
      </c>
      <c r="E33" s="47"/>
      <c r="F33" s="39">
        <v>777.10000000000002</v>
      </c>
      <c r="H33" s="47">
        <f t="shared" si="1"/>
        <v>743856.14000000013</v>
      </c>
      <c r="J33" s="38">
        <v>111</v>
      </c>
    </row>
    <row r="34" spans="1:10" ht="12.75">
      <c r="A34" s="59">
        <v>40483</v>
      </c>
      <c r="B34" s="47">
        <f t="shared" si="2"/>
        <v>743856.14000000013</v>
      </c>
      <c r="C34" s="47"/>
      <c r="D34" s="47">
        <f t="shared" si="0"/>
        <v>6762.3299999999999</v>
      </c>
      <c r="E34" s="47"/>
      <c r="F34" s="39">
        <v>636.23000000000002</v>
      </c>
      <c r="H34" s="47">
        <f t="shared" si="1"/>
        <v>737730.04000000015</v>
      </c>
      <c r="J34" s="38">
        <v>110</v>
      </c>
    </row>
    <row r="35" spans="1:10" ht="12.75">
      <c r="A35" s="59">
        <v>40513</v>
      </c>
      <c r="B35" s="47">
        <f t="shared" si="2"/>
        <v>737730.04000000015</v>
      </c>
      <c r="C35" s="47"/>
      <c r="D35" s="47">
        <f t="shared" si="0"/>
        <v>6768.1700000000001</v>
      </c>
      <c r="E35" s="47"/>
      <c r="F35" s="39">
        <v>2185.8499999999999</v>
      </c>
      <c r="H35" s="47">
        <f t="shared" si="1"/>
        <v>733147.72000000009</v>
      </c>
      <c r="J35" s="38">
        <v>109</v>
      </c>
    </row>
    <row r="36" spans="1:11" ht="12.75">
      <c r="A36" s="59">
        <v>40544</v>
      </c>
      <c r="B36" s="58">
        <f t="shared" si="2"/>
        <v>733147.72000000009</v>
      </c>
      <c r="D36" s="47">
        <f t="shared" si="0"/>
        <v>6788.3999999999996</v>
      </c>
      <c r="F36" s="39">
        <v>1209.79</v>
      </c>
      <c r="H36" s="58">
        <f t="shared" si="1"/>
        <v>727569.1100000001</v>
      </c>
      <c r="J36" s="38">
        <v>108</v>
      </c>
      <c r="K36" s="45"/>
    </row>
    <row r="37" spans="1:11" ht="12.75">
      <c r="A37" s="59">
        <v>40575</v>
      </c>
      <c r="B37" s="58">
        <f t="shared" si="2"/>
        <v>727569.1100000001</v>
      </c>
      <c r="D37" s="47">
        <f t="shared" si="0"/>
        <v>6799.71</v>
      </c>
      <c r="F37" s="39">
        <v>1727.52</v>
      </c>
      <c r="H37" s="58">
        <f t="shared" si="1"/>
        <v>722496.92000000016</v>
      </c>
      <c r="J37" s="38">
        <v>107</v>
      </c>
      <c r="K37" s="45"/>
    </row>
    <row r="38" spans="1:10" ht="12.75">
      <c r="A38" s="59">
        <v>40603</v>
      </c>
      <c r="B38" s="58">
        <f t="shared" si="2"/>
        <v>722496.92000000016</v>
      </c>
      <c r="D38" s="47">
        <f t="shared" si="0"/>
        <v>6816.0100000000002</v>
      </c>
      <c r="F38" s="39">
        <v>561.77999999999997</v>
      </c>
      <c r="H38" s="58">
        <f t="shared" si="1"/>
        <v>716242.69000000018</v>
      </c>
      <c r="J38" s="38">
        <v>106</v>
      </c>
    </row>
    <row r="39" spans="1:10" ht="12.75">
      <c r="A39" s="59">
        <v>40634</v>
      </c>
      <c r="B39" s="58">
        <f t="shared" si="2"/>
        <v>716242.69000000018</v>
      </c>
      <c r="D39" s="47">
        <f t="shared" si="0"/>
        <v>6821.3599999999997</v>
      </c>
      <c r="F39" s="39">
        <v>1153.55</v>
      </c>
      <c r="H39" s="58">
        <f t="shared" si="1"/>
        <v>710574.88000000024</v>
      </c>
      <c r="J39" s="38">
        <v>105</v>
      </c>
    </row>
    <row r="40" spans="1:10" ht="12.75">
      <c r="A40" s="59">
        <v>40664</v>
      </c>
      <c r="B40" s="58">
        <f t="shared" si="2"/>
        <v>710574.88000000024</v>
      </c>
      <c r="D40" s="47">
        <f t="shared" si="0"/>
        <v>6832.4499999999998</v>
      </c>
      <c r="F40" s="39">
        <v>3072.3800000000001</v>
      </c>
      <c r="H40" s="58">
        <f t="shared" si="1"/>
        <v>706814.81000000029</v>
      </c>
      <c r="J40" s="38">
        <v>104</v>
      </c>
    </row>
    <row r="41" spans="1:10" ht="12.75">
      <c r="A41" s="59">
        <v>40695</v>
      </c>
      <c r="B41" s="58">
        <f t="shared" si="2"/>
        <v>706814.81000000029</v>
      </c>
      <c r="D41" s="47">
        <f t="shared" si="0"/>
        <v>6862.2799999999997</v>
      </c>
      <c r="F41" s="39">
        <v>1928.52</v>
      </c>
      <c r="H41" s="58">
        <f t="shared" si="1"/>
        <v>701881.05000000028</v>
      </c>
      <c r="J41" s="38">
        <v>103</v>
      </c>
    </row>
    <row r="42" spans="1:10" ht="12.75">
      <c r="A42" s="59">
        <v>40725</v>
      </c>
      <c r="B42" s="58">
        <f t="shared" si="2"/>
        <v>701881.05000000028</v>
      </c>
      <c r="D42" s="71">
        <f t="shared" si="0"/>
        <v>6881.1899999999996</v>
      </c>
      <c r="F42" s="39">
        <v>1285.31</v>
      </c>
      <c r="H42" s="58">
        <f t="shared" si="1"/>
        <v>696285.17000000039</v>
      </c>
      <c r="J42" s="38">
        <v>102</v>
      </c>
    </row>
    <row r="43" spans="1:10" ht="12.75">
      <c r="A43" s="59">
        <v>40756</v>
      </c>
      <c r="B43" s="58">
        <f t="shared" si="2"/>
        <v>696285.17000000039</v>
      </c>
      <c r="D43" s="47">
        <f t="shared" si="0"/>
        <v>6893.9099999999999</v>
      </c>
      <c r="F43" s="39">
        <v>1973.2000000000001</v>
      </c>
      <c r="H43" s="58">
        <f t="shared" si="1"/>
        <v>691364.46000000031</v>
      </c>
      <c r="J43" s="38">
        <v>101</v>
      </c>
    </row>
    <row r="44" spans="1:10" ht="12.75">
      <c r="A44" s="59">
        <v>40787</v>
      </c>
      <c r="B44" s="58">
        <f t="shared" si="2"/>
        <v>691364.46000000031</v>
      </c>
      <c r="D44" s="61">
        <f t="shared" si="0"/>
        <v>6913.6400000000003</v>
      </c>
      <c r="F44" s="39">
        <v>711.60000000000002</v>
      </c>
      <c r="H44" s="58">
        <f t="shared" si="1"/>
        <v>685162.42000000027</v>
      </c>
      <c r="J44" s="38">
        <v>100</v>
      </c>
    </row>
    <row r="45" spans="1:10" ht="12.75">
      <c r="A45" s="59">
        <v>40817</v>
      </c>
      <c r="B45" s="58">
        <f t="shared" si="2"/>
        <v>685162.42000000027</v>
      </c>
      <c r="D45" s="47">
        <f t="shared" si="0"/>
        <v>6920.8299999999999</v>
      </c>
      <c r="F45" s="39">
        <v>2553.8899999999999</v>
      </c>
      <c r="H45" s="58">
        <f t="shared" si="1"/>
        <v>680795.48000000033</v>
      </c>
      <c r="J45" s="38">
        <v>99</v>
      </c>
    </row>
    <row r="46" spans="1:10" ht="12.75">
      <c r="A46" s="59">
        <v>40848</v>
      </c>
      <c r="B46" s="58">
        <f t="shared" si="2"/>
        <v>680795.48000000033</v>
      </c>
      <c r="D46" s="47">
        <f t="shared" si="0"/>
        <v>6946.8900000000003</v>
      </c>
      <c r="F46" s="39">
        <v>-183.86000000000001</v>
      </c>
      <c r="H46" s="58">
        <f t="shared" si="1"/>
        <v>673664.73000000033</v>
      </c>
      <c r="J46" s="38">
        <v>98</v>
      </c>
    </row>
    <row r="47" spans="1:10" ht="12.75">
      <c r="A47" s="59">
        <v>40878</v>
      </c>
      <c r="B47" s="58">
        <f t="shared" si="2"/>
        <v>673664.73000000033</v>
      </c>
      <c r="D47" s="47">
        <f t="shared" si="0"/>
        <v>6945</v>
      </c>
      <c r="F47" s="39">
        <v>1593.55</v>
      </c>
      <c r="H47" s="58">
        <f t="shared" si="1"/>
        <v>668313.28000000038</v>
      </c>
      <c r="J47" s="38">
        <v>97</v>
      </c>
    </row>
    <row r="48" spans="1:10" ht="12.75">
      <c r="A48" s="59">
        <v>40909</v>
      </c>
      <c r="B48" s="58">
        <f t="shared" si="2"/>
        <v>668313.28000000038</v>
      </c>
      <c r="D48" s="61">
        <f t="shared" si="0"/>
        <v>6961.6000000000004</v>
      </c>
      <c r="F48" s="39">
        <v>2004.25</v>
      </c>
      <c r="H48" s="58">
        <f t="shared" si="1"/>
        <v>663355.9300000004</v>
      </c>
      <c r="J48" s="38">
        <v>96</v>
      </c>
    </row>
    <row r="49" spans="1:10" ht="12.75">
      <c r="A49" s="59">
        <v>40940</v>
      </c>
      <c r="B49" s="58">
        <f t="shared" si="2"/>
        <v>663355.9300000004</v>
      </c>
      <c r="D49" s="47">
        <f t="shared" si="0"/>
        <v>6982.6899999999996</v>
      </c>
      <c r="F49" s="39">
        <v>1451.74</v>
      </c>
      <c r="H49" s="58">
        <f t="shared" si="1"/>
        <v>657824.98000000045</v>
      </c>
      <c r="J49" s="38">
        <v>95</v>
      </c>
    </row>
    <row r="50" spans="1:10" ht="12.75">
      <c r="A50" s="59">
        <v>40969</v>
      </c>
      <c r="B50" s="58">
        <f t="shared" si="2"/>
        <v>657824.98000000045</v>
      </c>
      <c r="D50" s="47">
        <f t="shared" si="0"/>
        <v>6998.1400000000003</v>
      </c>
      <c r="F50" s="39">
        <v>665.47000000000003</v>
      </c>
      <c r="H50" s="58">
        <f t="shared" si="1"/>
        <v>651492.31000000041</v>
      </c>
      <c r="J50" s="38">
        <v>94</v>
      </c>
    </row>
    <row r="51" spans="1:12" ht="12.75">
      <c r="A51" s="59">
        <v>41000</v>
      </c>
      <c r="B51" s="58">
        <f t="shared" si="2"/>
        <v>651492.31000000041</v>
      </c>
      <c r="D51" s="47">
        <f t="shared" si="0"/>
        <v>7005.29</v>
      </c>
      <c r="F51" s="39">
        <v>809.90999999999997</v>
      </c>
      <c r="H51" s="58">
        <f t="shared" si="1"/>
        <v>645296.9300000004</v>
      </c>
      <c r="J51" s="38">
        <v>93</v>
      </c>
      <c r="L51" s="58"/>
    </row>
    <row r="52" spans="1:10" ht="12.75">
      <c r="A52" s="59">
        <v>41030</v>
      </c>
      <c r="B52" s="58">
        <f t="shared" si="2"/>
        <v>645296.9300000004</v>
      </c>
      <c r="D52" s="47">
        <f t="shared" si="0"/>
        <v>7014.1000000000004</v>
      </c>
      <c r="F52" s="39">
        <v>958.12</v>
      </c>
      <c r="H52" s="58">
        <f t="shared" si="1"/>
        <v>639240.95000000042</v>
      </c>
      <c r="J52" s="38">
        <v>92</v>
      </c>
    </row>
    <row r="53" spans="1:10" ht="12.75">
      <c r="A53" s="59">
        <v>41061</v>
      </c>
      <c r="B53" s="58">
        <f t="shared" si="2"/>
        <v>639240.95000000042</v>
      </c>
      <c r="D53" s="47">
        <f t="shared" si="0"/>
        <v>7024.6300000000001</v>
      </c>
      <c r="F53" s="39">
        <v>844.33000000000004</v>
      </c>
      <c r="H53" s="58">
        <f t="shared" si="1"/>
        <v>633060.65000000037</v>
      </c>
      <c r="J53" s="38">
        <v>91</v>
      </c>
    </row>
    <row r="54" spans="1:10" ht="12.75">
      <c r="A54" s="59">
        <v>41091</v>
      </c>
      <c r="B54" s="58">
        <f t="shared" si="2"/>
        <v>633060.65000000037</v>
      </c>
      <c r="D54" s="47">
        <f t="shared" si="0"/>
        <v>7034.0100000000002</v>
      </c>
      <c r="F54" s="39">
        <v>431.48000000000002</v>
      </c>
      <c r="H54" s="58">
        <f t="shared" si="1"/>
        <v>626458.12000000034</v>
      </c>
      <c r="J54" s="38">
        <v>90</v>
      </c>
    </row>
    <row r="55" spans="1:10" ht="12.75">
      <c r="A55" s="59">
        <v>41122</v>
      </c>
      <c r="B55" s="58">
        <f t="shared" si="2"/>
        <v>626458.12000000034</v>
      </c>
      <c r="D55" s="47">
        <f t="shared" si="0"/>
        <v>7038.8599999999997</v>
      </c>
      <c r="F55" s="39">
        <v>387.05000000000001</v>
      </c>
      <c r="H55" s="58">
        <f t="shared" si="1"/>
        <v>619806.31000000041</v>
      </c>
      <c r="J55" s="38">
        <v>89</v>
      </c>
    </row>
    <row r="56" spans="1:10" ht="12.75">
      <c r="A56" s="59">
        <v>41153</v>
      </c>
      <c r="B56" s="58">
        <f t="shared" si="2"/>
        <v>619806.31000000041</v>
      </c>
      <c r="D56" s="47">
        <f t="shared" si="0"/>
        <v>7043.25</v>
      </c>
      <c r="F56" s="48">
        <v>1460.47</v>
      </c>
      <c r="G56" s="45"/>
      <c r="H56" s="47">
        <f t="shared" si="1"/>
        <v>614223.53000000038</v>
      </c>
      <c r="J56" s="38">
        <v>88</v>
      </c>
    </row>
    <row r="57" spans="1:10" ht="12.75">
      <c r="A57" s="59">
        <v>41183</v>
      </c>
      <c r="B57" s="47">
        <f t="shared" si="2"/>
        <v>614223.53000000038</v>
      </c>
      <c r="C57" s="45"/>
      <c r="D57" s="61">
        <f t="shared" si="0"/>
        <v>7060.04</v>
      </c>
      <c r="F57" s="39">
        <v>682.69000000000005</v>
      </c>
      <c r="H57" s="58">
        <f t="shared" si="1"/>
        <v>607846.18000000028</v>
      </c>
      <c r="J57" s="38">
        <v>87</v>
      </c>
    </row>
    <row r="58" spans="1:10" ht="12.75">
      <c r="A58" s="59">
        <v>41214</v>
      </c>
      <c r="B58" s="47">
        <f t="shared" si="2"/>
        <v>607846.18000000028</v>
      </c>
      <c r="C58" s="45"/>
      <c r="D58" s="61">
        <f t="shared" si="0"/>
        <v>7067.9799999999996</v>
      </c>
      <c r="F58" s="39">
        <v>388.71000000000004</v>
      </c>
      <c r="H58" s="58">
        <f t="shared" si="1"/>
        <v>601166.91000000027</v>
      </c>
      <c r="J58" s="38">
        <v>86</v>
      </c>
    </row>
    <row r="59" spans="1:10" ht="12.75">
      <c r="A59" s="59">
        <v>41244</v>
      </c>
      <c r="B59" s="61">
        <f t="shared" si="2"/>
        <v>601166.91000000027</v>
      </c>
      <c r="C59" s="62"/>
      <c r="D59" s="61">
        <f t="shared" si="0"/>
        <v>7072.5500000000002</v>
      </c>
      <c r="F59" s="39">
        <v>626.96000000000004</v>
      </c>
      <c r="H59" s="58">
        <f t="shared" si="1"/>
        <v>594721.32000000018</v>
      </c>
      <c r="J59" s="38">
        <v>85</v>
      </c>
    </row>
    <row r="60" spans="1:10" ht="12.75">
      <c r="A60" s="59">
        <v>41275</v>
      </c>
      <c r="B60" s="61">
        <f t="shared" si="2"/>
        <v>594721.32000000018</v>
      </c>
      <c r="C60" s="62"/>
      <c r="D60" s="61">
        <f t="shared" si="0"/>
        <v>7080.0200000000004</v>
      </c>
      <c r="F60" s="39"/>
      <c r="H60" s="58">
        <f t="shared" si="1"/>
        <v>587641.30000000016</v>
      </c>
      <c r="J60" s="38">
        <v>84</v>
      </c>
    </row>
    <row r="61" spans="1:10" ht="12.75">
      <c r="A61" s="59">
        <v>41306</v>
      </c>
      <c r="B61" s="47">
        <f t="shared" si="2"/>
        <v>587641.30000000016</v>
      </c>
      <c r="C61" s="45"/>
      <c r="D61" s="61">
        <f t="shared" si="0"/>
        <v>7080.0200000000004</v>
      </c>
      <c r="F61" s="39"/>
      <c r="H61" s="47">
        <f t="shared" si="1"/>
        <v>580561.28000000014</v>
      </c>
      <c r="J61" s="38">
        <v>83</v>
      </c>
    </row>
    <row r="62" spans="1:10" ht="12.75">
      <c r="A62" s="59">
        <v>41334</v>
      </c>
      <c r="B62" s="47">
        <f t="shared" si="2"/>
        <v>580561.28000000014</v>
      </c>
      <c r="C62" s="45"/>
      <c r="D62" s="61">
        <f t="shared" si="0"/>
        <v>7080.0200000000004</v>
      </c>
      <c r="F62" s="39"/>
      <c r="H62" s="47">
        <f t="shared" si="1"/>
        <v>573481.26000000013</v>
      </c>
      <c r="J62" s="38">
        <v>82</v>
      </c>
    </row>
    <row r="63" spans="1:10" ht="12.75">
      <c r="A63" s="59">
        <v>41365</v>
      </c>
      <c r="B63" s="47">
        <f t="shared" si="2"/>
        <v>573481.26000000013</v>
      </c>
      <c r="C63" s="45"/>
      <c r="D63" s="61">
        <f t="shared" si="0"/>
        <v>7080.0200000000004</v>
      </c>
      <c r="F63" s="39"/>
      <c r="H63" s="61">
        <f t="shared" si="1"/>
        <v>566401.24000000011</v>
      </c>
      <c r="J63" s="38">
        <v>81</v>
      </c>
    </row>
    <row r="64" spans="1:10" ht="12.75">
      <c r="A64" s="59">
        <v>41395</v>
      </c>
      <c r="B64" s="61">
        <f t="shared" si="2"/>
        <v>566401.24000000011</v>
      </c>
      <c r="C64" s="62"/>
      <c r="D64" s="61">
        <f t="shared" si="0"/>
        <v>7080.0200000000004</v>
      </c>
      <c r="F64" s="39"/>
      <c r="H64" s="47">
        <f t="shared" si="1"/>
        <v>559321.22000000009</v>
      </c>
      <c r="J64" s="38">
        <v>80</v>
      </c>
    </row>
    <row r="65" spans="1:10" ht="12.75">
      <c r="A65" s="59">
        <v>41426</v>
      </c>
      <c r="B65" s="47">
        <f t="shared" si="2"/>
        <v>559321.22000000009</v>
      </c>
      <c r="C65" s="45"/>
      <c r="D65" s="61">
        <f t="shared" si="0"/>
        <v>7080.0200000000004</v>
      </c>
      <c r="F65" s="39"/>
      <c r="H65" s="47">
        <f t="shared" si="1"/>
        <v>552241.20000000007</v>
      </c>
      <c r="J65" s="38">
        <v>79</v>
      </c>
    </row>
    <row r="66" spans="1:10" ht="12.75">
      <c r="A66" s="59">
        <v>41456</v>
      </c>
      <c r="B66" s="47">
        <f t="shared" si="2"/>
        <v>552241.20000000007</v>
      </c>
      <c r="C66" s="45"/>
      <c r="D66" s="47">
        <f t="shared" si="0"/>
        <v>7080.0200000000004</v>
      </c>
      <c r="F66" s="39"/>
      <c r="H66" s="47">
        <f t="shared" si="1"/>
        <v>545161.18000000005</v>
      </c>
      <c r="J66" s="38">
        <v>78</v>
      </c>
    </row>
    <row r="67" spans="1:10" ht="12.75">
      <c r="A67" s="59">
        <v>41487</v>
      </c>
      <c r="B67" s="47">
        <f t="shared" si="2"/>
        <v>545161.18000000005</v>
      </c>
      <c r="C67" s="45"/>
      <c r="D67" s="47">
        <f t="shared" si="3" ref="D67:D117">B67/J67</f>
        <v>7080.0153246753252</v>
      </c>
      <c r="F67" s="39"/>
      <c r="H67" s="47">
        <f t="shared" si="1"/>
        <v>538081.16467532469</v>
      </c>
      <c r="J67" s="38">
        <v>77</v>
      </c>
    </row>
    <row r="68" spans="1:10" ht="12.75">
      <c r="A68" s="59">
        <v>41518</v>
      </c>
      <c r="B68" s="47">
        <f t="shared" si="2"/>
        <v>538081.16467532469</v>
      </c>
      <c r="C68" s="45"/>
      <c r="D68" s="47">
        <f t="shared" si="3"/>
        <v>7080.0153246753252</v>
      </c>
      <c r="F68" s="39"/>
      <c r="H68" s="47">
        <f>B68-D68+F68-0.01</f>
        <v>531001.13935064932</v>
      </c>
      <c r="J68" s="38">
        <v>76</v>
      </c>
    </row>
    <row r="69" spans="1:10" ht="12.75">
      <c r="A69" s="59">
        <v>41548</v>
      </c>
      <c r="B69" s="47">
        <f t="shared" si="2"/>
        <v>531001.13935064932</v>
      </c>
      <c r="C69" s="45"/>
      <c r="D69" s="47">
        <f t="shared" si="3"/>
        <v>7080.0151913419913</v>
      </c>
      <c r="E69" s="45"/>
      <c r="F69" s="42"/>
      <c r="G69" s="45"/>
      <c r="H69" s="47">
        <f>B69-D69+F69</f>
        <v>523921.12415930734</v>
      </c>
      <c r="J69" s="38">
        <v>75</v>
      </c>
    </row>
    <row r="70" spans="1:10" ht="12.75">
      <c r="A70" s="59">
        <v>41579</v>
      </c>
      <c r="B70" s="47">
        <f t="shared" si="2"/>
        <v>523921.12415930734</v>
      </c>
      <c r="C70" s="45"/>
      <c r="D70" s="47">
        <f t="shared" si="3"/>
        <v>7080.0151913419913</v>
      </c>
      <c r="E70" s="45"/>
      <c r="F70" s="42">
        <v>-9</v>
      </c>
      <c r="G70" s="45"/>
      <c r="H70" s="47">
        <f>B70-D70+F70-0.01</f>
        <v>516832.09896796534</v>
      </c>
      <c r="J70" s="38">
        <v>74</v>
      </c>
    </row>
    <row r="71" spans="1:10" ht="12.75">
      <c r="A71" s="59">
        <v>41609</v>
      </c>
      <c r="B71" s="47">
        <f t="shared" si="2"/>
        <v>516832.09896796534</v>
      </c>
      <c r="C71" s="45"/>
      <c r="D71" s="47">
        <f t="shared" si="3"/>
        <v>7079.8917666844563</v>
      </c>
      <c r="E71" s="45"/>
      <c r="F71" s="42">
        <v>0</v>
      </c>
      <c r="G71" s="45"/>
      <c r="H71" s="47">
        <f>B71-D71+F71</f>
        <v>509752.20720128086</v>
      </c>
      <c r="J71" s="38">
        <v>73</v>
      </c>
    </row>
    <row r="72" spans="1:10" ht="12.75">
      <c r="A72" s="59">
        <v>41640</v>
      </c>
      <c r="B72" s="47">
        <f t="shared" si="2"/>
        <v>509752.20720128086</v>
      </c>
      <c r="D72" s="47">
        <f t="shared" si="3"/>
        <v>7079.8917666844563</v>
      </c>
      <c r="F72" s="39"/>
      <c r="H72" s="47">
        <f>B72-D72+F72</f>
        <v>502672.31543459638</v>
      </c>
      <c r="J72" s="38">
        <v>72</v>
      </c>
    </row>
    <row r="73" spans="1:10" ht="12.75">
      <c r="A73" s="59">
        <v>41671</v>
      </c>
      <c r="B73" s="47">
        <f t="shared" si="2"/>
        <v>502672.31543459638</v>
      </c>
      <c r="D73" s="47">
        <f t="shared" si="3"/>
        <v>7079.8917666844563</v>
      </c>
      <c r="F73" s="39"/>
      <c r="H73" s="47">
        <f>B73-D73+F73+0.01</f>
        <v>495592.43366791192</v>
      </c>
      <c r="J73" s="38">
        <v>71</v>
      </c>
    </row>
    <row r="74" spans="1:10" ht="12.75">
      <c r="A74" s="59">
        <v>41699</v>
      </c>
      <c r="B74" s="47">
        <f t="shared" si="2"/>
        <v>495592.43366791192</v>
      </c>
      <c r="D74" s="47">
        <f t="shared" si="3"/>
        <v>7079.8919095415986</v>
      </c>
      <c r="F74" s="39"/>
      <c r="H74" s="47">
        <f t="shared" si="4" ref="H74:H137">B74-D74+F74</f>
        <v>488512.54175837029</v>
      </c>
      <c r="J74" s="38">
        <v>70</v>
      </c>
    </row>
    <row r="75" spans="1:10" ht="12.75">
      <c r="A75" s="59">
        <v>41730</v>
      </c>
      <c r="B75" s="47">
        <f t="shared" si="2"/>
        <v>488512.54175837029</v>
      </c>
      <c r="D75" s="47">
        <f t="shared" si="3"/>
        <v>7079.8919095415986</v>
      </c>
      <c r="F75" s="39"/>
      <c r="H75" s="47">
        <f t="shared" si="4"/>
        <v>481432.64984882867</v>
      </c>
      <c r="J75" s="38">
        <v>69</v>
      </c>
    </row>
    <row r="76" spans="1:10" ht="12.75">
      <c r="A76" s="59">
        <v>41760</v>
      </c>
      <c r="B76" s="47">
        <f t="shared" si="2"/>
        <v>481432.64984882867</v>
      </c>
      <c r="D76" s="47">
        <f t="shared" si="3"/>
        <v>7079.8919095415986</v>
      </c>
      <c r="F76" s="39"/>
      <c r="H76" s="47">
        <f t="shared" si="4"/>
        <v>474352.75793928705</v>
      </c>
      <c r="J76" s="38">
        <v>68</v>
      </c>
    </row>
    <row r="77" spans="1:10" ht="12.75">
      <c r="A77" s="59">
        <v>41791</v>
      </c>
      <c r="B77" s="47">
        <f t="shared" si="5" ref="B77:B118">H76</f>
        <v>474352.75793928705</v>
      </c>
      <c r="D77" s="47">
        <f t="shared" si="3"/>
        <v>7079.8919095415977</v>
      </c>
      <c r="F77" s="39"/>
      <c r="H77" s="47">
        <f t="shared" si="4"/>
        <v>467272.86602974543</v>
      </c>
      <c r="J77" s="38">
        <v>67</v>
      </c>
    </row>
    <row r="78" spans="1:10" ht="12.75">
      <c r="A78" s="59">
        <v>41821</v>
      </c>
      <c r="B78" s="47">
        <f t="shared" si="5"/>
        <v>467272.86602974543</v>
      </c>
      <c r="D78" s="47">
        <f t="shared" si="3"/>
        <v>7079.8919095415977</v>
      </c>
      <c r="F78" s="39"/>
      <c r="H78" s="47">
        <f t="shared" si="4"/>
        <v>460192.97412020381</v>
      </c>
      <c r="J78" s="38">
        <v>66</v>
      </c>
    </row>
    <row r="79" spans="1:10" ht="12.75">
      <c r="A79" s="59">
        <v>41852</v>
      </c>
      <c r="B79" s="47">
        <f t="shared" si="5"/>
        <v>460192.97412020381</v>
      </c>
      <c r="D79" s="47">
        <f t="shared" si="3"/>
        <v>7079.8919095415968</v>
      </c>
      <c r="F79" s="39"/>
      <c r="H79" s="47">
        <f t="shared" si="4"/>
        <v>453113.08221066219</v>
      </c>
      <c r="J79" s="38">
        <v>65</v>
      </c>
    </row>
    <row r="80" spans="1:10" ht="12.75">
      <c r="A80" s="59">
        <v>41883</v>
      </c>
      <c r="B80" s="47">
        <f t="shared" si="5"/>
        <v>453113.08221066219</v>
      </c>
      <c r="D80" s="47">
        <f>B80/J80-0.01</f>
        <v>7079.8819095415965</v>
      </c>
      <c r="F80" s="39"/>
      <c r="H80" s="47">
        <f t="shared" si="4"/>
        <v>446033.20030112058</v>
      </c>
      <c r="J80" s="38">
        <v>64</v>
      </c>
    </row>
    <row r="81" spans="1:10" ht="12.75">
      <c r="A81" s="59">
        <v>41913</v>
      </c>
      <c r="B81" s="47">
        <f t="shared" si="5"/>
        <v>446033.20030112058</v>
      </c>
      <c r="D81" s="47">
        <f t="shared" si="3"/>
        <v>7079.8920682717553</v>
      </c>
      <c r="F81" s="39"/>
      <c r="H81" s="47">
        <f t="shared" si="4"/>
        <v>438953.30823284882</v>
      </c>
      <c r="J81" s="38">
        <v>63</v>
      </c>
    </row>
    <row r="82" spans="1:10" ht="12.75">
      <c r="A82" s="59">
        <v>41944</v>
      </c>
      <c r="B82" s="47">
        <f t="shared" si="5"/>
        <v>438953.30823284882</v>
      </c>
      <c r="C82" s="45"/>
      <c r="D82" s="47">
        <f t="shared" si="3"/>
        <v>7079.8920682717553</v>
      </c>
      <c r="F82" s="39"/>
      <c r="H82" s="47">
        <f t="shared" si="4"/>
        <v>431873.41616457707</v>
      </c>
      <c r="J82" s="38">
        <v>62</v>
      </c>
    </row>
    <row r="83" spans="1:10" ht="12.75">
      <c r="A83" s="59">
        <v>41974</v>
      </c>
      <c r="B83" s="47">
        <f t="shared" si="5"/>
        <v>431873.41616457707</v>
      </c>
      <c r="C83" s="45"/>
      <c r="D83" s="47">
        <f t="shared" si="3"/>
        <v>7079.8920682717553</v>
      </c>
      <c r="F83" s="39"/>
      <c r="H83" s="47">
        <f t="shared" si="4"/>
        <v>424793.52409630531</v>
      </c>
      <c r="J83" s="38">
        <v>61</v>
      </c>
    </row>
    <row r="84" spans="1:10" ht="12.75">
      <c r="A84" s="59">
        <v>42005</v>
      </c>
      <c r="B84" s="47">
        <f t="shared" si="5"/>
        <v>424793.52409630531</v>
      </c>
      <c r="C84" s="45"/>
      <c r="D84" s="47">
        <f t="shared" si="3"/>
        <v>7079.8920682717553</v>
      </c>
      <c r="F84" s="39"/>
      <c r="H84" s="47">
        <f t="shared" si="4"/>
        <v>417713.63202803355</v>
      </c>
      <c r="J84" s="38">
        <v>60</v>
      </c>
    </row>
    <row r="85" spans="1:10" ht="12.75">
      <c r="A85" s="59">
        <v>42036</v>
      </c>
      <c r="B85" s="47">
        <f t="shared" si="5"/>
        <v>417713.63202803355</v>
      </c>
      <c r="C85" s="45"/>
      <c r="D85" s="47">
        <f t="shared" si="3"/>
        <v>7079.8920682717553</v>
      </c>
      <c r="F85" s="39"/>
      <c r="H85" s="58">
        <f t="shared" si="4"/>
        <v>410633.73995976179</v>
      </c>
      <c r="J85" s="38">
        <v>59</v>
      </c>
    </row>
    <row r="86" spans="1:10" ht="12.75">
      <c r="A86" s="59">
        <v>42064</v>
      </c>
      <c r="B86" s="47">
        <f t="shared" si="5"/>
        <v>410633.73995976179</v>
      </c>
      <c r="C86" s="45"/>
      <c r="D86" s="47">
        <f t="shared" si="3"/>
        <v>7079.8920682717553</v>
      </c>
      <c r="F86" s="39"/>
      <c r="H86" s="58">
        <f t="shared" si="4"/>
        <v>403553.84789149003</v>
      </c>
      <c r="J86" s="38">
        <v>58</v>
      </c>
    </row>
    <row r="87" spans="1:10" ht="12.75">
      <c r="A87" s="59">
        <v>42095</v>
      </c>
      <c r="B87" s="58">
        <f t="shared" si="5"/>
        <v>403553.84789149003</v>
      </c>
      <c r="D87" s="47">
        <f t="shared" si="3"/>
        <v>7079.8920682717553</v>
      </c>
      <c r="F87" s="39"/>
      <c r="H87" s="58">
        <f t="shared" si="4"/>
        <v>396473.95582321828</v>
      </c>
      <c r="J87" s="38">
        <v>57</v>
      </c>
    </row>
    <row r="88" spans="1:10" ht="12.75">
      <c r="A88" s="59">
        <v>42125</v>
      </c>
      <c r="B88" s="58">
        <f t="shared" si="5"/>
        <v>396473.95582321828</v>
      </c>
      <c r="D88" s="47">
        <f t="shared" si="3"/>
        <v>7079.8920682717553</v>
      </c>
      <c r="F88" s="39"/>
      <c r="H88" s="58">
        <f t="shared" si="4"/>
        <v>389394.06375494652</v>
      </c>
      <c r="J88" s="38">
        <v>56</v>
      </c>
    </row>
    <row r="89" spans="1:10" ht="12.75">
      <c r="A89" s="59">
        <v>42156</v>
      </c>
      <c r="B89" s="58">
        <f t="shared" si="5"/>
        <v>389394.06375494652</v>
      </c>
      <c r="D89" s="47">
        <f t="shared" si="3"/>
        <v>7079.8920682717553</v>
      </c>
      <c r="F89" s="39"/>
      <c r="H89" s="58">
        <f t="shared" si="4"/>
        <v>382314.17168667476</v>
      </c>
      <c r="J89" s="38">
        <v>55</v>
      </c>
    </row>
    <row r="90" spans="1:10" ht="12.75">
      <c r="A90" s="59">
        <v>42186</v>
      </c>
      <c r="B90" s="58">
        <f t="shared" si="5"/>
        <v>382314.17168667476</v>
      </c>
      <c r="D90" s="47">
        <f t="shared" si="3"/>
        <v>7079.8920682717544</v>
      </c>
      <c r="F90" s="39"/>
      <c r="H90" s="58">
        <f t="shared" si="4"/>
        <v>375234.279618403</v>
      </c>
      <c r="J90" s="38">
        <v>54</v>
      </c>
    </row>
    <row r="91" spans="1:10" ht="12.75">
      <c r="A91" s="59">
        <v>42217</v>
      </c>
      <c r="B91" s="58">
        <f t="shared" si="5"/>
        <v>375234.279618403</v>
      </c>
      <c r="D91" s="47">
        <f t="shared" si="3"/>
        <v>7079.8920682717544</v>
      </c>
      <c r="F91" s="39"/>
      <c r="H91" s="58">
        <f t="shared" si="4"/>
        <v>368154.38755013124</v>
      </c>
      <c r="J91" s="38">
        <v>53</v>
      </c>
    </row>
    <row r="92" spans="1:10" ht="12.75">
      <c r="A92" s="59">
        <v>42248</v>
      </c>
      <c r="B92" s="58">
        <f t="shared" si="5"/>
        <v>368154.38755013124</v>
      </c>
      <c r="D92" s="47">
        <f t="shared" si="3"/>
        <v>7079.8920682717544</v>
      </c>
      <c r="F92" s="39"/>
      <c r="H92" s="58">
        <f t="shared" si="4"/>
        <v>361074.49548185949</v>
      </c>
      <c r="J92" s="38">
        <v>52</v>
      </c>
    </row>
    <row r="93" spans="1:10" ht="12.75">
      <c r="A93" s="59">
        <v>42278</v>
      </c>
      <c r="B93" s="58">
        <f t="shared" si="5"/>
        <v>361074.49548185949</v>
      </c>
      <c r="D93" s="47">
        <f t="shared" si="3"/>
        <v>7079.8920682717544</v>
      </c>
      <c r="F93" s="39"/>
      <c r="H93" s="58">
        <f t="shared" si="4"/>
        <v>353994.60341358773</v>
      </c>
      <c r="J93" s="38">
        <v>51</v>
      </c>
    </row>
    <row r="94" spans="1:10" ht="12.75">
      <c r="A94" s="59">
        <v>42309</v>
      </c>
      <c r="B94" s="58">
        <f t="shared" si="5"/>
        <v>353994.60341358773</v>
      </c>
      <c r="D94" s="47">
        <f t="shared" si="3"/>
        <v>7079.8920682717544</v>
      </c>
      <c r="F94" s="39"/>
      <c r="H94" s="58">
        <f t="shared" si="4"/>
        <v>346914.71134531597</v>
      </c>
      <c r="J94" s="38">
        <v>50</v>
      </c>
    </row>
    <row r="95" spans="1:10" ht="12.75">
      <c r="A95" s="59">
        <v>42339</v>
      </c>
      <c r="B95" s="58">
        <f t="shared" si="5"/>
        <v>346914.71134531597</v>
      </c>
      <c r="D95" s="47">
        <f t="shared" si="3"/>
        <v>7079.8920682717544</v>
      </c>
      <c r="F95" s="39"/>
      <c r="H95" s="58">
        <f t="shared" si="4"/>
        <v>339834.81927704421</v>
      </c>
      <c r="J95" s="38">
        <v>49</v>
      </c>
    </row>
    <row r="96" spans="1:10" ht="12.75">
      <c r="A96" s="59">
        <v>42370</v>
      </c>
      <c r="B96" s="58">
        <f t="shared" si="5"/>
        <v>339834.81927704421</v>
      </c>
      <c r="D96" s="47">
        <f t="shared" si="3"/>
        <v>7079.8920682717544</v>
      </c>
      <c r="F96" s="39"/>
      <c r="H96" s="58">
        <f t="shared" si="4"/>
        <v>332754.92720877245</v>
      </c>
      <c r="J96" s="38">
        <v>48</v>
      </c>
    </row>
    <row r="97" spans="1:10" ht="12.75">
      <c r="A97" s="59">
        <v>42401</v>
      </c>
      <c r="B97" s="58">
        <f t="shared" si="5"/>
        <v>332754.92720877245</v>
      </c>
      <c r="D97" s="47">
        <f t="shared" si="3"/>
        <v>7079.8920682717544</v>
      </c>
      <c r="F97" s="39"/>
      <c r="H97" s="58">
        <f t="shared" si="4"/>
        <v>325675.03514050069</v>
      </c>
      <c r="J97" s="38">
        <v>47</v>
      </c>
    </row>
    <row r="98" spans="1:10" ht="12.75">
      <c r="A98" s="59">
        <v>42430</v>
      </c>
      <c r="B98" s="58">
        <f t="shared" si="5"/>
        <v>325675.03514050069</v>
      </c>
      <c r="D98" s="47">
        <f t="shared" si="3"/>
        <v>7079.8920682717544</v>
      </c>
      <c r="F98" s="39"/>
      <c r="H98" s="58">
        <f t="shared" si="4"/>
        <v>318595.14307222894</v>
      </c>
      <c r="J98" s="38">
        <v>46</v>
      </c>
    </row>
    <row r="99" spans="1:10" ht="12.75">
      <c r="A99" s="59">
        <v>42461</v>
      </c>
      <c r="B99" s="58">
        <f t="shared" si="5"/>
        <v>318595.14307222894</v>
      </c>
      <c r="D99" s="47">
        <f t="shared" si="3"/>
        <v>7079.8920682717544</v>
      </c>
      <c r="F99" s="39"/>
      <c r="H99" s="58">
        <f t="shared" si="4"/>
        <v>311515.25100395718</v>
      </c>
      <c r="J99" s="38">
        <v>45</v>
      </c>
    </row>
    <row r="100" spans="1:12" ht="12.75">
      <c r="A100" s="59">
        <v>42491</v>
      </c>
      <c r="B100" s="58">
        <f t="shared" si="5"/>
        <v>311515.25100395718</v>
      </c>
      <c r="D100" s="47">
        <f t="shared" si="3"/>
        <v>7079.8920682717544</v>
      </c>
      <c r="F100" s="39"/>
      <c r="H100" s="58">
        <f t="shared" si="4"/>
        <v>304435.35893568542</v>
      </c>
      <c r="J100" s="38">
        <v>44</v>
      </c>
      <c r="L100" s="58"/>
    </row>
    <row r="101" spans="1:10" ht="12.75">
      <c r="A101" s="59">
        <v>42522</v>
      </c>
      <c r="B101" s="58">
        <f t="shared" si="5"/>
        <v>304435.35893568542</v>
      </c>
      <c r="D101" s="47">
        <f t="shared" si="3"/>
        <v>7079.8920682717544</v>
      </c>
      <c r="F101" s="39"/>
      <c r="H101" s="58">
        <f t="shared" si="4"/>
        <v>297355.46686741366</v>
      </c>
      <c r="J101" s="38">
        <v>43</v>
      </c>
    </row>
    <row r="102" spans="1:10" ht="12.75">
      <c r="A102" s="59">
        <v>42552</v>
      </c>
      <c r="B102" s="58">
        <f t="shared" si="5"/>
        <v>297355.46686741366</v>
      </c>
      <c r="D102" s="47">
        <f t="shared" si="3"/>
        <v>7079.8920682717535</v>
      </c>
      <c r="F102" s="39"/>
      <c r="H102" s="58">
        <f t="shared" si="4"/>
        <v>290275.5747991419</v>
      </c>
      <c r="J102" s="38">
        <v>42</v>
      </c>
    </row>
    <row r="103" spans="1:10" ht="12.75">
      <c r="A103" s="59">
        <v>42583</v>
      </c>
      <c r="B103" s="58">
        <f t="shared" si="5"/>
        <v>290275.5747991419</v>
      </c>
      <c r="D103" s="47">
        <f t="shared" si="3"/>
        <v>7079.8920682717535</v>
      </c>
      <c r="F103" s="39"/>
      <c r="H103" s="58">
        <f t="shared" si="4"/>
        <v>283195.68273087015</v>
      </c>
      <c r="J103" s="38">
        <v>41</v>
      </c>
    </row>
    <row r="104" spans="1:10" ht="12.75">
      <c r="A104" s="59">
        <v>42614</v>
      </c>
      <c r="B104" s="58">
        <f t="shared" si="5"/>
        <v>283195.68273087015</v>
      </c>
      <c r="D104" s="47">
        <f t="shared" si="3"/>
        <v>7079.8920682717535</v>
      </c>
      <c r="F104" s="39"/>
      <c r="H104" s="58">
        <f t="shared" si="4"/>
        <v>276115.79066259839</v>
      </c>
      <c r="J104" s="38">
        <v>40</v>
      </c>
    </row>
    <row r="105" spans="1:10" ht="12.75">
      <c r="A105" s="59">
        <v>42644</v>
      </c>
      <c r="B105" s="58">
        <f t="shared" si="5"/>
        <v>276115.79066259839</v>
      </c>
      <c r="D105" s="47">
        <f t="shared" si="3"/>
        <v>7079.8920682717535</v>
      </c>
      <c r="F105" s="39"/>
      <c r="H105" s="58">
        <f t="shared" si="4"/>
        <v>269035.89859432663</v>
      </c>
      <c r="J105" s="38">
        <v>39</v>
      </c>
    </row>
    <row r="106" spans="1:10" ht="12.75">
      <c r="A106" s="59">
        <v>42675</v>
      </c>
      <c r="B106" s="58">
        <f t="shared" si="5"/>
        <v>269035.89859432663</v>
      </c>
      <c r="D106" s="47">
        <f t="shared" si="3"/>
        <v>7079.8920682717535</v>
      </c>
      <c r="F106" s="39"/>
      <c r="H106" s="58">
        <f t="shared" si="4"/>
        <v>261956.00652605487</v>
      </c>
      <c r="J106" s="38">
        <v>38</v>
      </c>
    </row>
    <row r="107" spans="1:10" ht="12.75">
      <c r="A107" s="59">
        <v>42705</v>
      </c>
      <c r="B107" s="58">
        <f t="shared" si="5"/>
        <v>261956.00652605487</v>
      </c>
      <c r="D107" s="47">
        <f t="shared" si="3"/>
        <v>7079.8920682717535</v>
      </c>
      <c r="F107" s="39"/>
      <c r="H107" s="47">
        <f t="shared" si="4"/>
        <v>254876.11445778312</v>
      </c>
      <c r="J107" s="38">
        <v>37</v>
      </c>
    </row>
    <row r="108" spans="1:10" ht="12.75">
      <c r="A108" s="59">
        <v>42736</v>
      </c>
      <c r="B108" s="58">
        <f t="shared" si="5"/>
        <v>254876.11445778312</v>
      </c>
      <c r="D108" s="47">
        <f t="shared" si="3"/>
        <v>7079.8920682717535</v>
      </c>
      <c r="F108" s="39"/>
      <c r="H108" s="58">
        <f t="shared" si="4"/>
        <v>247796.22238951136</v>
      </c>
      <c r="J108" s="38">
        <v>36</v>
      </c>
    </row>
    <row r="109" spans="1:10" ht="12.75">
      <c r="A109" s="59">
        <v>42767</v>
      </c>
      <c r="B109" s="58">
        <f t="shared" si="5"/>
        <v>247796.22238951136</v>
      </c>
      <c r="D109" s="47">
        <f t="shared" si="3"/>
        <v>7079.8920682717535</v>
      </c>
      <c r="F109" s="39"/>
      <c r="H109" s="58">
        <f t="shared" si="4"/>
        <v>240716.3303212396</v>
      </c>
      <c r="J109" s="38">
        <v>35</v>
      </c>
    </row>
    <row r="110" spans="1:10" ht="12.75">
      <c r="A110" s="59">
        <v>42795</v>
      </c>
      <c r="B110" s="58">
        <f t="shared" si="5"/>
        <v>240716.3303212396</v>
      </c>
      <c r="D110" s="47">
        <f t="shared" si="3"/>
        <v>7079.8920682717526</v>
      </c>
      <c r="F110" s="39"/>
      <c r="H110" s="58">
        <f t="shared" si="4"/>
        <v>233636.43825296784</v>
      </c>
      <c r="J110" s="38">
        <v>34</v>
      </c>
    </row>
    <row r="111" spans="1:10" ht="12.75">
      <c r="A111" s="59">
        <v>42826</v>
      </c>
      <c r="B111" s="58">
        <f t="shared" si="5"/>
        <v>233636.43825296784</v>
      </c>
      <c r="D111" s="47">
        <f t="shared" si="3"/>
        <v>7079.8920682717526</v>
      </c>
      <c r="F111" s="39"/>
      <c r="H111" s="58">
        <f t="shared" si="4"/>
        <v>226556.54618469608</v>
      </c>
      <c r="J111" s="38">
        <v>33</v>
      </c>
    </row>
    <row r="112" spans="1:10" ht="12.75">
      <c r="A112" s="59">
        <v>42856</v>
      </c>
      <c r="B112" s="58">
        <f t="shared" si="5"/>
        <v>226556.54618469608</v>
      </c>
      <c r="D112" s="47">
        <f t="shared" si="3"/>
        <v>7079.8920682717526</v>
      </c>
      <c r="F112" s="39"/>
      <c r="H112" s="58">
        <f t="shared" si="4"/>
        <v>219476.65411642432</v>
      </c>
      <c r="J112" s="38">
        <v>32</v>
      </c>
    </row>
    <row r="113" spans="1:13" ht="12.75">
      <c r="A113" s="59">
        <v>42887</v>
      </c>
      <c r="B113" s="58">
        <f t="shared" si="5"/>
        <v>219476.65411642432</v>
      </c>
      <c r="D113" s="47">
        <f t="shared" si="3"/>
        <v>7079.8920682717526</v>
      </c>
      <c r="F113" s="39"/>
      <c r="H113" s="58">
        <f t="shared" si="4"/>
        <v>212396.76204815257</v>
      </c>
      <c r="J113" s="38">
        <v>31</v>
      </c>
      <c r="M113" s="83"/>
    </row>
    <row r="114" spans="1:13" ht="12.75">
      <c r="A114" s="59">
        <v>42917</v>
      </c>
      <c r="B114" s="58">
        <f t="shared" si="5"/>
        <v>212396.76204815257</v>
      </c>
      <c r="D114" s="47">
        <f t="shared" si="3"/>
        <v>7079.8920682717526</v>
      </c>
      <c r="F114" s="39"/>
      <c r="H114" s="58">
        <f t="shared" si="4"/>
        <v>205316.86997988081</v>
      </c>
      <c r="J114" s="38">
        <v>30</v>
      </c>
      <c r="M114" s="83"/>
    </row>
    <row r="115" spans="1:10" ht="12.75">
      <c r="A115" s="59">
        <v>42948</v>
      </c>
      <c r="B115" s="58">
        <f t="shared" si="5"/>
        <v>205316.86997988081</v>
      </c>
      <c r="D115" s="47">
        <f t="shared" si="3"/>
        <v>7079.8920682717517</v>
      </c>
      <c r="F115" s="39"/>
      <c r="H115" s="58">
        <f t="shared" si="4"/>
        <v>198236.97791160905</v>
      </c>
      <c r="J115" s="38">
        <v>29</v>
      </c>
    </row>
    <row r="116" spans="1:10" ht="12.75">
      <c r="A116" s="59">
        <v>42979</v>
      </c>
      <c r="B116" s="58">
        <f t="shared" si="5"/>
        <v>198236.97791160905</v>
      </c>
      <c r="D116" s="47">
        <f t="shared" si="3"/>
        <v>7079.8920682717517</v>
      </c>
      <c r="F116" s="39"/>
      <c r="H116" s="58">
        <f t="shared" si="4"/>
        <v>191157.08584333729</v>
      </c>
      <c r="J116" s="38">
        <v>28</v>
      </c>
    </row>
    <row r="117" spans="1:10" ht="12.75">
      <c r="A117" s="59">
        <v>43009</v>
      </c>
      <c r="B117" s="58">
        <f t="shared" si="5"/>
        <v>191157.08584333729</v>
      </c>
      <c r="D117" s="47">
        <f t="shared" si="3"/>
        <v>7079.8920682717517</v>
      </c>
      <c r="F117" s="39"/>
      <c r="H117" s="58">
        <f t="shared" si="4"/>
        <v>184077.19377506553</v>
      </c>
      <c r="J117" s="38">
        <v>27</v>
      </c>
    </row>
    <row r="118" spans="1:10" ht="12.75">
      <c r="A118" s="66">
        <v>43065</v>
      </c>
      <c r="B118" s="58">
        <f t="shared" si="5"/>
        <v>184077.19377506553</v>
      </c>
      <c r="D118" s="47">
        <f>B118/J118*26/30</f>
        <v>6135.9064591688511</v>
      </c>
      <c r="F118" s="39"/>
      <c r="H118" s="58">
        <f t="shared" si="4"/>
        <v>177941.28731589668</v>
      </c>
      <c r="J118" s="38">
        <v>26</v>
      </c>
    </row>
    <row r="119" spans="1:10" ht="12.75">
      <c r="A119" s="66">
        <v>43069</v>
      </c>
      <c r="B119" s="58">
        <f>+H118</f>
        <v>177941.28731589668</v>
      </c>
      <c r="D119" s="47">
        <f>ROUND(+B188*0.133333333333333,2)</f>
        <v>395.43000000000001</v>
      </c>
      <c r="F119" s="39"/>
      <c r="H119" s="58">
        <f t="shared" si="4"/>
        <v>177545.85731589669</v>
      </c>
      <c r="J119" s="38">
        <v>60</v>
      </c>
    </row>
    <row r="120" spans="1:10" ht="12.75">
      <c r="A120" s="65">
        <v>43070</v>
      </c>
      <c r="B120" s="47">
        <f t="shared" si="6" ref="B120:B179">+H119</f>
        <v>177545.85731589669</v>
      </c>
      <c r="C120" s="45"/>
      <c r="D120" s="47">
        <f>+$B$188</f>
        <v>2965.6900000000001</v>
      </c>
      <c r="F120" s="39"/>
      <c r="H120" s="61">
        <f t="shared" si="4"/>
        <v>174580.16731589669</v>
      </c>
      <c r="J120" s="38">
        <v>60</v>
      </c>
    </row>
    <row r="121" spans="1:10" ht="12.75">
      <c r="A121" s="59">
        <v>43101</v>
      </c>
      <c r="B121" s="58">
        <f t="shared" si="6"/>
        <v>174580.16731589669</v>
      </c>
      <c r="D121" s="47">
        <f>+$B$188</f>
        <v>2965.6900000000001</v>
      </c>
      <c r="F121" s="39"/>
      <c r="H121" s="58">
        <f t="shared" si="4"/>
        <v>171614.47731589669</v>
      </c>
      <c r="J121" s="38">
        <f>+J120-1</f>
        <v>59</v>
      </c>
    </row>
    <row r="122" spans="1:10" ht="12.75">
      <c r="A122" s="59">
        <v>43132</v>
      </c>
      <c r="B122" s="58">
        <f t="shared" si="6"/>
        <v>171614.47731589669</v>
      </c>
      <c r="D122" s="47">
        <f>+$B$188</f>
        <v>2965.6900000000001</v>
      </c>
      <c r="F122" s="39"/>
      <c r="H122" s="58">
        <f t="shared" si="4"/>
        <v>168648.78731589668</v>
      </c>
      <c r="J122" s="38">
        <f t="shared" si="7" ref="J122:J179">+J121-1</f>
        <v>58</v>
      </c>
    </row>
    <row r="123" spans="1:10" ht="12.75">
      <c r="A123" s="64">
        <v>43160</v>
      </c>
      <c r="B123" s="58">
        <f t="shared" si="6"/>
        <v>168648.78731589668</v>
      </c>
      <c r="D123" s="47">
        <f>+$B$188</f>
        <v>2965.6900000000001</v>
      </c>
      <c r="F123" s="39"/>
      <c r="H123" s="61">
        <f t="shared" si="4"/>
        <v>165683.09731589668</v>
      </c>
      <c r="J123" s="38">
        <f t="shared" si="7"/>
        <v>57</v>
      </c>
    </row>
    <row r="124" spans="1:13" ht="12.75">
      <c r="A124" s="59">
        <v>43191</v>
      </c>
      <c r="B124" s="58">
        <f t="shared" si="6"/>
        <v>165683.09731589668</v>
      </c>
      <c r="D124" s="47">
        <f>+$B$188</f>
        <v>2965.6900000000001</v>
      </c>
      <c r="F124" s="39"/>
      <c r="H124" s="58">
        <f t="shared" si="4"/>
        <v>162717.40731589668</v>
      </c>
      <c r="J124" s="38">
        <f t="shared" si="7"/>
        <v>56</v>
      </c>
      <c r="M124" s="83"/>
    </row>
    <row r="125" spans="1:13" ht="12.75">
      <c r="A125" s="59">
        <v>43221</v>
      </c>
      <c r="B125" s="58">
        <f t="shared" si="6"/>
        <v>162717.40731589668</v>
      </c>
      <c r="D125" s="47">
        <f>+$B$188</f>
        <v>2965.6900000000001</v>
      </c>
      <c r="F125" s="39"/>
      <c r="H125" s="58">
        <f t="shared" si="4"/>
        <v>159751.71731589668</v>
      </c>
      <c r="J125" s="38">
        <f t="shared" si="7"/>
        <v>55</v>
      </c>
      <c r="M125" s="83"/>
    </row>
    <row r="126" spans="1:13" ht="12.75">
      <c r="A126" s="64">
        <v>43252</v>
      </c>
      <c r="B126" s="58">
        <f t="shared" si="6"/>
        <v>159751.71731589668</v>
      </c>
      <c r="D126" s="47">
        <f>+$B$188</f>
        <v>2965.6900000000001</v>
      </c>
      <c r="F126" s="39"/>
      <c r="H126" s="61">
        <f t="shared" si="4"/>
        <v>156786.02731589667</v>
      </c>
      <c r="J126" s="38">
        <f t="shared" si="7"/>
        <v>54</v>
      </c>
      <c r="M126" s="83"/>
    </row>
    <row r="127" spans="1:10" ht="12.75">
      <c r="A127" s="59">
        <v>43282</v>
      </c>
      <c r="B127" s="58">
        <f t="shared" si="6"/>
        <v>156786.02731589667</v>
      </c>
      <c r="D127" s="47">
        <f>+$B$188</f>
        <v>2965.6900000000001</v>
      </c>
      <c r="F127" s="39"/>
      <c r="H127" s="58">
        <f t="shared" si="4"/>
        <v>153820.33731589667</v>
      </c>
      <c r="J127" s="38">
        <f t="shared" si="7"/>
        <v>53</v>
      </c>
    </row>
    <row r="128" spans="1:10" ht="12.75">
      <c r="A128" s="59">
        <v>43313</v>
      </c>
      <c r="B128" s="58">
        <f t="shared" si="6"/>
        <v>153820.33731589667</v>
      </c>
      <c r="D128" s="47">
        <f>+$B$188</f>
        <v>2965.6900000000001</v>
      </c>
      <c r="F128" s="39"/>
      <c r="H128" s="58">
        <f t="shared" si="4"/>
        <v>150854.64731589667</v>
      </c>
      <c r="J128" s="38">
        <f t="shared" si="7"/>
        <v>52</v>
      </c>
    </row>
    <row r="129" spans="1:10" ht="12.75">
      <c r="A129" s="64">
        <v>43344</v>
      </c>
      <c r="B129" s="58">
        <f t="shared" si="6"/>
        <v>150854.64731589667</v>
      </c>
      <c r="D129" s="47">
        <f>+$B$188</f>
        <v>2965.6900000000001</v>
      </c>
      <c r="F129" s="39"/>
      <c r="H129" s="61">
        <f t="shared" si="4"/>
        <v>147888.95731589667</v>
      </c>
      <c r="J129" s="38">
        <f t="shared" si="7"/>
        <v>51</v>
      </c>
    </row>
    <row r="130" spans="1:10" ht="12.75">
      <c r="A130" s="59">
        <v>43374</v>
      </c>
      <c r="B130" s="58">
        <f t="shared" si="6"/>
        <v>147888.95731589667</v>
      </c>
      <c r="D130" s="47">
        <f>+$B$188</f>
        <v>2965.6900000000001</v>
      </c>
      <c r="F130" s="39"/>
      <c r="H130" s="58">
        <f t="shared" si="4"/>
        <v>144923.26731589667</v>
      </c>
      <c r="J130" s="38">
        <f t="shared" si="7"/>
        <v>50</v>
      </c>
    </row>
    <row r="131" spans="1:10" ht="12.75">
      <c r="A131" s="59">
        <v>43405</v>
      </c>
      <c r="B131" s="58">
        <f t="shared" si="6"/>
        <v>144923.26731589667</v>
      </c>
      <c r="D131" s="47">
        <f>+$B$188</f>
        <v>2965.6900000000001</v>
      </c>
      <c r="F131" s="39"/>
      <c r="H131" s="58">
        <f t="shared" si="4"/>
        <v>141957.57731589666</v>
      </c>
      <c r="J131" s="38">
        <f t="shared" si="7"/>
        <v>49</v>
      </c>
    </row>
    <row r="132" spans="1:10" ht="12.75">
      <c r="A132" s="64">
        <v>43435</v>
      </c>
      <c r="B132" s="58">
        <f t="shared" si="6"/>
        <v>141957.57731589666</v>
      </c>
      <c r="D132" s="47">
        <f>+$B$188</f>
        <v>2965.6900000000001</v>
      </c>
      <c r="F132" s="39"/>
      <c r="H132" s="61">
        <f t="shared" si="4"/>
        <v>138991.88731589666</v>
      </c>
      <c r="J132" s="38">
        <f t="shared" si="7"/>
        <v>48</v>
      </c>
    </row>
    <row r="133" spans="1:10" ht="12.75">
      <c r="A133" s="59">
        <v>43466</v>
      </c>
      <c r="B133" s="58">
        <f t="shared" si="6"/>
        <v>138991.88731589666</v>
      </c>
      <c r="D133" s="47">
        <f>+$B$188</f>
        <v>2965.6900000000001</v>
      </c>
      <c r="F133" s="39"/>
      <c r="H133" s="58">
        <f t="shared" si="4"/>
        <v>136026.19731589666</v>
      </c>
      <c r="J133" s="38">
        <f t="shared" si="7"/>
        <v>47</v>
      </c>
    </row>
    <row r="134" spans="1:10" ht="12.75">
      <c r="A134" s="59">
        <v>43497</v>
      </c>
      <c r="B134" s="58">
        <f t="shared" si="6"/>
        <v>136026.19731589666</v>
      </c>
      <c r="D134" s="47">
        <f>+$B$188</f>
        <v>2965.6900000000001</v>
      </c>
      <c r="F134" s="39"/>
      <c r="H134" s="58">
        <f t="shared" si="4"/>
        <v>133060.50731589666</v>
      </c>
      <c r="J134" s="38">
        <f t="shared" si="7"/>
        <v>46</v>
      </c>
    </row>
    <row r="135" spans="1:10" ht="12.75">
      <c r="A135" s="64">
        <v>43525</v>
      </c>
      <c r="B135" s="58">
        <f t="shared" si="6"/>
        <v>133060.50731589666</v>
      </c>
      <c r="D135" s="47">
        <f>+$B$188</f>
        <v>2965.6900000000001</v>
      </c>
      <c r="F135" s="39"/>
      <c r="H135" s="61">
        <f t="shared" si="4"/>
        <v>130094.81731589665</v>
      </c>
      <c r="J135" s="38">
        <f t="shared" si="7"/>
        <v>45</v>
      </c>
    </row>
    <row r="136" spans="1:10" ht="12.75">
      <c r="A136" s="59">
        <v>43556</v>
      </c>
      <c r="B136" s="58">
        <f t="shared" si="6"/>
        <v>130094.81731589665</v>
      </c>
      <c r="D136" s="47">
        <f>+$B$188</f>
        <v>2965.6900000000001</v>
      </c>
      <c r="F136" s="39"/>
      <c r="H136" s="58">
        <f t="shared" si="4"/>
        <v>127129.12731589665</v>
      </c>
      <c r="J136" s="38">
        <f t="shared" si="7"/>
        <v>44</v>
      </c>
    </row>
    <row r="137" spans="1:10" ht="12.75">
      <c r="A137" s="59">
        <v>43586</v>
      </c>
      <c r="B137" s="58">
        <f t="shared" si="6"/>
        <v>127129.12731589665</v>
      </c>
      <c r="D137" s="47">
        <f>+$B$188</f>
        <v>2965.6900000000001</v>
      </c>
      <c r="F137" s="39"/>
      <c r="H137" s="58">
        <f t="shared" si="4"/>
        <v>124163.43731589665</v>
      </c>
      <c r="J137" s="38">
        <f t="shared" si="7"/>
        <v>43</v>
      </c>
    </row>
    <row r="138" spans="1:10" ht="12.75">
      <c r="A138" s="64">
        <v>43617</v>
      </c>
      <c r="B138" s="58">
        <f t="shared" si="6"/>
        <v>124163.43731589665</v>
      </c>
      <c r="D138" s="47">
        <f>+$B$188</f>
        <v>2965.6900000000001</v>
      </c>
      <c r="F138" s="39"/>
      <c r="H138" s="61">
        <f t="shared" si="8" ref="H138:H179">B138-D138+F138</f>
        <v>121197.74731589665</v>
      </c>
      <c r="J138" s="38">
        <f t="shared" si="7"/>
        <v>42</v>
      </c>
    </row>
    <row r="139" spans="1:10" ht="12.75">
      <c r="A139" s="59">
        <v>43647</v>
      </c>
      <c r="B139" s="58">
        <f t="shared" si="6"/>
        <v>121197.74731589665</v>
      </c>
      <c r="D139" s="47">
        <f>+$B$188</f>
        <v>2965.6900000000001</v>
      </c>
      <c r="F139" s="39"/>
      <c r="H139" s="58">
        <f t="shared" si="8"/>
        <v>118232.05731589664</v>
      </c>
      <c r="J139" s="38">
        <f t="shared" si="7"/>
        <v>41</v>
      </c>
    </row>
    <row r="140" spans="1:10" ht="12.75">
      <c r="A140" s="59">
        <v>43678</v>
      </c>
      <c r="B140" s="58">
        <f t="shared" si="6"/>
        <v>118232.05731589664</v>
      </c>
      <c r="D140" s="47">
        <f>+$B$188</f>
        <v>2965.6900000000001</v>
      </c>
      <c r="F140" s="39"/>
      <c r="H140" s="58">
        <f t="shared" si="8"/>
        <v>115266.36731589664</v>
      </c>
      <c r="J140" s="38">
        <f t="shared" si="7"/>
        <v>40</v>
      </c>
    </row>
    <row r="141" spans="1:10" ht="12.75">
      <c r="A141" s="64">
        <v>43709</v>
      </c>
      <c r="B141" s="58">
        <f t="shared" si="6"/>
        <v>115266.36731589664</v>
      </c>
      <c r="D141" s="47">
        <f>+$B$188</f>
        <v>2965.6900000000001</v>
      </c>
      <c r="F141" s="39"/>
      <c r="H141" s="61">
        <f t="shared" si="8"/>
        <v>112300.67731589664</v>
      </c>
      <c r="J141" s="38">
        <f t="shared" si="7"/>
        <v>39</v>
      </c>
    </row>
    <row r="142" spans="1:10" ht="12.75">
      <c r="A142" s="59">
        <v>43739</v>
      </c>
      <c r="B142" s="58">
        <f t="shared" si="6"/>
        <v>112300.67731589664</v>
      </c>
      <c r="D142" s="47">
        <f>+$B$188</f>
        <v>2965.6900000000001</v>
      </c>
      <c r="F142" s="39"/>
      <c r="H142" s="58">
        <f t="shared" si="8"/>
        <v>109334.98731589664</v>
      </c>
      <c r="J142" s="38">
        <f t="shared" si="7"/>
        <v>38</v>
      </c>
    </row>
    <row r="143" spans="1:10" ht="12.75">
      <c r="A143" s="59">
        <v>43770</v>
      </c>
      <c r="B143" s="58">
        <f t="shared" si="6"/>
        <v>109334.98731589664</v>
      </c>
      <c r="D143" s="47">
        <f>+$B$188</f>
        <v>2965.6900000000001</v>
      </c>
      <c r="F143" s="39"/>
      <c r="H143" s="58">
        <f t="shared" si="8"/>
        <v>106369.29731589663</v>
      </c>
      <c r="J143" s="38">
        <f t="shared" si="7"/>
        <v>37</v>
      </c>
    </row>
    <row r="144" spans="1:10" ht="12.75">
      <c r="A144" s="64">
        <v>43800</v>
      </c>
      <c r="B144" s="58">
        <f t="shared" si="6"/>
        <v>106369.29731589663</v>
      </c>
      <c r="D144" s="47">
        <f>+$B$188</f>
        <v>2965.6900000000001</v>
      </c>
      <c r="F144" s="39"/>
      <c r="H144" s="61">
        <f t="shared" si="8"/>
        <v>103403.60731589663</v>
      </c>
      <c r="J144" s="38">
        <f t="shared" si="7"/>
        <v>36</v>
      </c>
    </row>
    <row r="145" spans="1:10" ht="12.75">
      <c r="A145" s="59">
        <v>43831</v>
      </c>
      <c r="B145" s="58">
        <f t="shared" si="6"/>
        <v>103403.60731589663</v>
      </c>
      <c r="D145" s="47">
        <f>+$B$188</f>
        <v>2965.6900000000001</v>
      </c>
      <c r="F145" s="39"/>
      <c r="H145" s="58">
        <f t="shared" si="8"/>
        <v>100437.91731589663</v>
      </c>
      <c r="J145" s="38">
        <f t="shared" si="7"/>
        <v>35</v>
      </c>
    </row>
    <row r="146" spans="1:10" ht="12.75">
      <c r="A146" s="59">
        <v>43862</v>
      </c>
      <c r="B146" s="58">
        <f t="shared" si="6"/>
        <v>100437.91731589663</v>
      </c>
      <c r="D146" s="47">
        <f>+$B$188</f>
        <v>2965.6900000000001</v>
      </c>
      <c r="F146" s="39"/>
      <c r="H146" s="58">
        <f t="shared" si="8"/>
        <v>97472.227315896627</v>
      </c>
      <c r="J146" s="38">
        <f t="shared" si="7"/>
        <v>34</v>
      </c>
    </row>
    <row r="147" spans="1:10" ht="12.75">
      <c r="A147" s="64">
        <v>43891</v>
      </c>
      <c r="B147" s="58">
        <f t="shared" si="6"/>
        <v>97472.227315896627</v>
      </c>
      <c r="D147" s="47">
        <f>+$B$188</f>
        <v>2965.6900000000001</v>
      </c>
      <c r="F147" s="39"/>
      <c r="H147" s="61">
        <f t="shared" si="8"/>
        <v>94506.537315896625</v>
      </c>
      <c r="J147" s="38">
        <f t="shared" si="7"/>
        <v>33</v>
      </c>
    </row>
    <row r="148" spans="1:10" ht="12.75">
      <c r="A148" s="59">
        <v>43922</v>
      </c>
      <c r="B148" s="58">
        <f t="shared" si="6"/>
        <v>94506.537315896625</v>
      </c>
      <c r="D148" s="47">
        <f>+$B$188</f>
        <v>2965.6900000000001</v>
      </c>
      <c r="F148" s="39"/>
      <c r="H148" s="58">
        <f t="shared" si="8"/>
        <v>91540.847315896623</v>
      </c>
      <c r="J148" s="38">
        <f t="shared" si="7"/>
        <v>32</v>
      </c>
    </row>
    <row r="149" spans="1:10" ht="12.75">
      <c r="A149" s="59">
        <v>43952</v>
      </c>
      <c r="B149" s="58">
        <f t="shared" si="6"/>
        <v>91540.847315896623</v>
      </c>
      <c r="D149" s="47">
        <f>+$B$188</f>
        <v>2965.6900000000001</v>
      </c>
      <c r="F149" s="39"/>
      <c r="H149" s="58">
        <f t="shared" si="8"/>
        <v>88575.15731589662</v>
      </c>
      <c r="J149" s="38">
        <f t="shared" si="7"/>
        <v>31</v>
      </c>
    </row>
    <row r="150" spans="1:10" ht="12.75">
      <c r="A150" s="64">
        <v>43983</v>
      </c>
      <c r="B150" s="58">
        <f t="shared" si="6"/>
        <v>88575.15731589662</v>
      </c>
      <c r="D150" s="47">
        <f>+$B$188</f>
        <v>2965.6900000000001</v>
      </c>
      <c r="F150" s="39"/>
      <c r="H150" s="61">
        <f t="shared" si="8"/>
        <v>85609.467315896618</v>
      </c>
      <c r="J150" s="38">
        <f t="shared" si="7"/>
        <v>30</v>
      </c>
    </row>
    <row r="151" spans="1:10" ht="12.75">
      <c r="A151" s="59">
        <v>44013</v>
      </c>
      <c r="B151" s="58">
        <f t="shared" si="6"/>
        <v>85609.467315896618</v>
      </c>
      <c r="D151" s="47">
        <f>+$B$188</f>
        <v>2965.6900000000001</v>
      </c>
      <c r="F151" s="39"/>
      <c r="H151" s="58">
        <f t="shared" si="8"/>
        <v>82643.777315896616</v>
      </c>
      <c r="J151" s="38">
        <f t="shared" si="7"/>
        <v>29</v>
      </c>
    </row>
    <row r="152" spans="1:10" ht="12.75">
      <c r="A152" s="59">
        <v>44044</v>
      </c>
      <c r="B152" s="58">
        <f t="shared" si="6"/>
        <v>82643.777315896616</v>
      </c>
      <c r="D152" s="47">
        <f>+$B$188</f>
        <v>2965.6900000000001</v>
      </c>
      <c r="F152" s="39"/>
      <c r="H152" s="58">
        <f t="shared" si="8"/>
        <v>79678.087315896613</v>
      </c>
      <c r="J152" s="38">
        <f t="shared" si="7"/>
        <v>28</v>
      </c>
    </row>
    <row r="153" spans="1:10" ht="12.75">
      <c r="A153" s="64">
        <v>44075</v>
      </c>
      <c r="B153" s="58">
        <f t="shared" si="6"/>
        <v>79678.087315896613</v>
      </c>
      <c r="D153" s="47">
        <f>+$B$188</f>
        <v>2965.6900000000001</v>
      </c>
      <c r="F153" s="39"/>
      <c r="H153" s="61">
        <f t="shared" si="8"/>
        <v>76712.397315896611</v>
      </c>
      <c r="J153" s="38">
        <f t="shared" si="7"/>
        <v>27</v>
      </c>
    </row>
    <row r="154" spans="1:10" ht="12.75">
      <c r="A154" s="59">
        <v>44105</v>
      </c>
      <c r="B154" s="58">
        <f t="shared" si="6"/>
        <v>76712.397315896611</v>
      </c>
      <c r="D154" s="47">
        <f>+$B$188</f>
        <v>2965.6900000000001</v>
      </c>
      <c r="F154" s="39"/>
      <c r="H154" s="58">
        <f t="shared" si="8"/>
        <v>73746.707315896609</v>
      </c>
      <c r="J154" s="38">
        <f t="shared" si="7"/>
        <v>26</v>
      </c>
    </row>
    <row r="155" spans="1:10" ht="12.75">
      <c r="A155" s="59">
        <v>44136</v>
      </c>
      <c r="B155" s="58">
        <f t="shared" si="6"/>
        <v>73746.707315896609</v>
      </c>
      <c r="D155" s="47">
        <f>+$B$188</f>
        <v>2965.6900000000001</v>
      </c>
      <c r="F155" s="39"/>
      <c r="H155" s="58">
        <f t="shared" si="8"/>
        <v>70781.017315896606</v>
      </c>
      <c r="J155" s="38">
        <f t="shared" si="7"/>
        <v>25</v>
      </c>
    </row>
    <row r="156" spans="1:10" s="62" customFormat="1" ht="12.75">
      <c r="A156" s="64">
        <v>44166</v>
      </c>
      <c r="B156" s="61">
        <f t="shared" si="6"/>
        <v>70781.017315896606</v>
      </c>
      <c r="D156" s="61">
        <f>+$B$188</f>
        <v>2965.6900000000001</v>
      </c>
      <c r="F156" s="48"/>
      <c r="H156" s="61">
        <f t="shared" si="8"/>
        <v>67815.327315896604</v>
      </c>
      <c r="J156" s="62">
        <f t="shared" si="7"/>
        <v>24</v>
      </c>
    </row>
    <row r="157" spans="1:10" ht="12.75">
      <c r="A157" s="59">
        <f>+A156+31</f>
        <v>44197</v>
      </c>
      <c r="B157" s="58">
        <f t="shared" si="6"/>
        <v>67815.327315896604</v>
      </c>
      <c r="D157" s="47">
        <f>+$B$188</f>
        <v>2965.6900000000001</v>
      </c>
      <c r="F157" s="39"/>
      <c r="H157" s="58">
        <f t="shared" si="8"/>
        <v>64849.637315896602</v>
      </c>
      <c r="J157" s="38">
        <f t="shared" si="7"/>
        <v>23</v>
      </c>
    </row>
    <row r="158" spans="1:10" ht="12.75">
      <c r="A158" s="59">
        <f t="shared" si="9" ref="A158:A179">+A157+31</f>
        <v>44228</v>
      </c>
      <c r="B158" s="58">
        <f t="shared" si="6"/>
        <v>64849.637315896602</v>
      </c>
      <c r="D158" s="47">
        <f>+$B$188</f>
        <v>2965.6900000000001</v>
      </c>
      <c r="F158" s="39"/>
      <c r="H158" s="58">
        <f t="shared" si="8"/>
        <v>61883.947315896599</v>
      </c>
      <c r="J158" s="38">
        <f t="shared" si="7"/>
        <v>22</v>
      </c>
    </row>
    <row r="159" spans="1:10" ht="12.75">
      <c r="A159" s="59">
        <f t="shared" si="9"/>
        <v>44259</v>
      </c>
      <c r="B159" s="58">
        <f t="shared" si="6"/>
        <v>61883.947315896599</v>
      </c>
      <c r="D159" s="47">
        <f>+$B$188</f>
        <v>2965.6900000000001</v>
      </c>
      <c r="F159" s="39"/>
      <c r="H159" s="58">
        <f t="shared" si="8"/>
        <v>58918.257315896597</v>
      </c>
      <c r="J159" s="38">
        <f t="shared" si="7"/>
        <v>21</v>
      </c>
    </row>
    <row r="160" spans="1:10" ht="12.75">
      <c r="A160" s="59">
        <f t="shared" si="9"/>
        <v>44290</v>
      </c>
      <c r="B160" s="58">
        <f t="shared" si="6"/>
        <v>58918.257315896597</v>
      </c>
      <c r="D160" s="47">
        <f>+$B$188</f>
        <v>2965.6900000000001</v>
      </c>
      <c r="F160" s="39"/>
      <c r="H160" s="58">
        <f t="shared" si="8"/>
        <v>55952.567315896595</v>
      </c>
      <c r="J160" s="38">
        <f t="shared" si="7"/>
        <v>20</v>
      </c>
    </row>
    <row r="161" spans="1:10" ht="12.75">
      <c r="A161" s="59">
        <f t="shared" si="9"/>
        <v>44321</v>
      </c>
      <c r="B161" s="58">
        <f t="shared" si="6"/>
        <v>55952.567315896595</v>
      </c>
      <c r="D161" s="47">
        <f>+$B$188</f>
        <v>2965.6900000000001</v>
      </c>
      <c r="F161" s="39"/>
      <c r="H161" s="58">
        <f t="shared" si="8"/>
        <v>52986.877315896592</v>
      </c>
      <c r="J161" s="38">
        <f t="shared" si="7"/>
        <v>19</v>
      </c>
    </row>
    <row r="162" spans="1:10" ht="12.75">
      <c r="A162" s="59">
        <f t="shared" si="9"/>
        <v>44352</v>
      </c>
      <c r="B162" s="58">
        <f t="shared" si="6"/>
        <v>52986.877315896592</v>
      </c>
      <c r="D162" s="47">
        <f>+$B$188</f>
        <v>2965.6900000000001</v>
      </c>
      <c r="F162" s="39"/>
      <c r="H162" s="58">
        <f t="shared" si="8"/>
        <v>50021.18731589659</v>
      </c>
      <c r="J162" s="38">
        <f t="shared" si="7"/>
        <v>18</v>
      </c>
    </row>
    <row r="163" spans="1:10" ht="12.75">
      <c r="A163" s="59">
        <f t="shared" si="9"/>
        <v>44383</v>
      </c>
      <c r="B163" s="58">
        <f t="shared" si="6"/>
        <v>50021.18731589659</v>
      </c>
      <c r="D163" s="47">
        <f>+$B$188</f>
        <v>2965.6900000000001</v>
      </c>
      <c r="F163" s="39"/>
      <c r="H163" s="58">
        <f t="shared" si="8"/>
        <v>47055.497315896588</v>
      </c>
      <c r="J163" s="38">
        <f t="shared" si="7"/>
        <v>17</v>
      </c>
    </row>
    <row r="164" spans="1:10" ht="12.75">
      <c r="A164" s="59">
        <f t="shared" si="9"/>
        <v>44414</v>
      </c>
      <c r="B164" s="58">
        <f t="shared" si="6"/>
        <v>47055.497315896588</v>
      </c>
      <c r="D164" s="47">
        <f>+$B$188</f>
        <v>2965.6900000000001</v>
      </c>
      <c r="F164" s="39"/>
      <c r="H164" s="58">
        <f t="shared" si="8"/>
        <v>44089.807315896585</v>
      </c>
      <c r="J164" s="38">
        <f t="shared" si="7"/>
        <v>16</v>
      </c>
    </row>
    <row r="165" spans="1:10" ht="12.75">
      <c r="A165" s="59">
        <f t="shared" si="9"/>
        <v>44445</v>
      </c>
      <c r="B165" s="58">
        <f t="shared" si="6"/>
        <v>44089.807315896585</v>
      </c>
      <c r="D165" s="47">
        <f>+$B$188</f>
        <v>2965.6900000000001</v>
      </c>
      <c r="F165" s="39"/>
      <c r="H165" s="58">
        <f t="shared" si="8"/>
        <v>41124.117315896583</v>
      </c>
      <c r="J165" s="38">
        <f t="shared" si="7"/>
        <v>15</v>
      </c>
    </row>
    <row r="166" spans="1:10" ht="12.75">
      <c r="A166" s="59">
        <f t="shared" si="9"/>
        <v>44476</v>
      </c>
      <c r="B166" s="58">
        <f t="shared" si="6"/>
        <v>41124.117315896583</v>
      </c>
      <c r="D166" s="47">
        <f>+$B$188</f>
        <v>2965.6900000000001</v>
      </c>
      <c r="F166" s="39"/>
      <c r="H166" s="58">
        <f t="shared" si="8"/>
        <v>38158.427315896581</v>
      </c>
      <c r="J166" s="38">
        <f t="shared" si="7"/>
        <v>14</v>
      </c>
    </row>
    <row r="167" spans="1:10" ht="12.75">
      <c r="A167" s="59">
        <f t="shared" si="9"/>
        <v>44507</v>
      </c>
      <c r="B167" s="58">
        <f t="shared" si="6"/>
        <v>38158.427315896581</v>
      </c>
      <c r="D167" s="47">
        <f>+$B$188</f>
        <v>2965.6900000000001</v>
      </c>
      <c r="F167" s="39"/>
      <c r="H167" s="58">
        <f t="shared" si="8"/>
        <v>35192.737315896578</v>
      </c>
      <c r="J167" s="38">
        <f t="shared" si="7"/>
        <v>13</v>
      </c>
    </row>
    <row r="168" spans="1:10" s="45" customFormat="1" ht="12.75">
      <c r="A168" s="65">
        <f t="shared" si="9"/>
        <v>44538</v>
      </c>
      <c r="B168" s="47">
        <f t="shared" si="6"/>
        <v>35192.737315896578</v>
      </c>
      <c r="D168" s="47">
        <f>+$B$188</f>
        <v>2965.6900000000001</v>
      </c>
      <c r="F168" s="42"/>
      <c r="H168" s="47">
        <f t="shared" si="8"/>
        <v>32227.04731589658</v>
      </c>
      <c r="J168" s="45">
        <f t="shared" si="7"/>
        <v>12</v>
      </c>
    </row>
    <row r="169" spans="1:10" ht="12.75">
      <c r="A169" s="59">
        <f t="shared" si="9"/>
        <v>44569</v>
      </c>
      <c r="B169" s="58">
        <f t="shared" si="6"/>
        <v>32227.04731589658</v>
      </c>
      <c r="D169" s="47">
        <f>+$B$188</f>
        <v>2965.6900000000001</v>
      </c>
      <c r="F169" s="39"/>
      <c r="H169" s="58">
        <f t="shared" si="8"/>
        <v>29261.357315896581</v>
      </c>
      <c r="J169" s="38">
        <f t="shared" si="7"/>
        <v>11</v>
      </c>
    </row>
    <row r="170" spans="1:10" ht="12.75">
      <c r="A170" s="59">
        <f t="shared" si="9"/>
        <v>44600</v>
      </c>
      <c r="B170" s="58">
        <f t="shared" si="6"/>
        <v>29261.357315896581</v>
      </c>
      <c r="D170" s="47">
        <f>+$B$188</f>
        <v>2965.6900000000001</v>
      </c>
      <c r="F170" s="39"/>
      <c r="H170" s="58">
        <f t="shared" si="8"/>
        <v>26295.667315896582</v>
      </c>
      <c r="J170" s="38">
        <f t="shared" si="7"/>
        <v>10</v>
      </c>
    </row>
    <row r="171" spans="1:10" ht="12.75">
      <c r="A171" s="59">
        <f t="shared" si="9"/>
        <v>44631</v>
      </c>
      <c r="B171" s="58">
        <f t="shared" si="6"/>
        <v>26295.667315896582</v>
      </c>
      <c r="D171" s="47">
        <f>+$B$188</f>
        <v>2965.6900000000001</v>
      </c>
      <c r="F171" s="39"/>
      <c r="H171" s="58">
        <f t="shared" si="8"/>
        <v>23329.977315896584</v>
      </c>
      <c r="J171" s="38">
        <f t="shared" si="7"/>
        <v>9</v>
      </c>
    </row>
    <row r="172" spans="1:10" ht="12.75">
      <c r="A172" s="59">
        <f t="shared" si="9"/>
        <v>44662</v>
      </c>
      <c r="B172" s="58">
        <f t="shared" si="6"/>
        <v>23329.977315896584</v>
      </c>
      <c r="D172" s="47">
        <f>+$B$188</f>
        <v>2965.6900000000001</v>
      </c>
      <c r="F172" s="39"/>
      <c r="H172" s="58">
        <f t="shared" si="8"/>
        <v>20364.287315896585</v>
      </c>
      <c r="J172" s="38">
        <f t="shared" si="7"/>
        <v>8</v>
      </c>
    </row>
    <row r="173" spans="1:10" ht="12.75">
      <c r="A173" s="59">
        <f t="shared" si="9"/>
        <v>44693</v>
      </c>
      <c r="B173" s="58">
        <f t="shared" si="6"/>
        <v>20364.287315896585</v>
      </c>
      <c r="D173" s="47">
        <f>+$B$188</f>
        <v>2965.6900000000001</v>
      </c>
      <c r="F173" s="39"/>
      <c r="H173" s="58">
        <f t="shared" si="8"/>
        <v>17398.597315896586</v>
      </c>
      <c r="J173" s="38">
        <f t="shared" si="7"/>
        <v>7</v>
      </c>
    </row>
    <row r="174" spans="1:10" ht="12.75">
      <c r="A174" s="59">
        <f t="shared" si="9"/>
        <v>44724</v>
      </c>
      <c r="B174" s="58">
        <f t="shared" si="6"/>
        <v>17398.597315896586</v>
      </c>
      <c r="D174" s="47">
        <f>+$B$188</f>
        <v>2965.6900000000001</v>
      </c>
      <c r="F174" s="39"/>
      <c r="H174" s="58">
        <f t="shared" si="8"/>
        <v>14432.907315896586</v>
      </c>
      <c r="J174" s="38">
        <f t="shared" si="7"/>
        <v>6</v>
      </c>
    </row>
    <row r="175" spans="1:10" ht="12.75">
      <c r="A175" s="59">
        <f t="shared" si="9"/>
        <v>44755</v>
      </c>
      <c r="B175" s="58">
        <f t="shared" si="6"/>
        <v>14432.907315896586</v>
      </c>
      <c r="D175" s="47">
        <f>+$B$188</f>
        <v>2965.6900000000001</v>
      </c>
      <c r="F175" s="39"/>
      <c r="H175" s="58">
        <f t="shared" si="8"/>
        <v>11467.217315896585</v>
      </c>
      <c r="J175" s="38">
        <f t="shared" si="7"/>
        <v>5</v>
      </c>
    </row>
    <row r="176" spans="1:10" ht="12.75">
      <c r="A176" s="59">
        <f t="shared" si="9"/>
        <v>44786</v>
      </c>
      <c r="B176" s="58">
        <f t="shared" si="6"/>
        <v>11467.217315896585</v>
      </c>
      <c r="D176" s="47">
        <f>+$B$188</f>
        <v>2965.6900000000001</v>
      </c>
      <c r="F176" s="39"/>
      <c r="H176" s="58">
        <f t="shared" si="8"/>
        <v>8501.5273158965847</v>
      </c>
      <c r="J176" s="38">
        <f t="shared" si="7"/>
        <v>4</v>
      </c>
    </row>
    <row r="177" spans="1:10" ht="12.75">
      <c r="A177" s="59">
        <f t="shared" si="9"/>
        <v>44817</v>
      </c>
      <c r="B177" s="58">
        <f t="shared" si="6"/>
        <v>8501.5273158965847</v>
      </c>
      <c r="D177" s="47">
        <f>+$B$188</f>
        <v>2965.6900000000001</v>
      </c>
      <c r="F177" s="39"/>
      <c r="H177" s="58">
        <f t="shared" si="8"/>
        <v>5535.8373158965842</v>
      </c>
      <c r="J177" s="38">
        <f t="shared" si="7"/>
        <v>3</v>
      </c>
    </row>
    <row r="178" spans="1:10" ht="12.75">
      <c r="A178" s="59">
        <f t="shared" si="9"/>
        <v>44848</v>
      </c>
      <c r="B178" s="58">
        <f t="shared" si="6"/>
        <v>5535.8373158965842</v>
      </c>
      <c r="D178" s="47">
        <f>+$B$188</f>
        <v>2965.6900000000001</v>
      </c>
      <c r="F178" s="39"/>
      <c r="H178" s="58">
        <f t="shared" si="8"/>
        <v>2570.1473158965841</v>
      </c>
      <c r="J178" s="38">
        <f t="shared" si="7"/>
        <v>2</v>
      </c>
    </row>
    <row r="179" spans="1:10" ht="12.75">
      <c r="A179" s="59">
        <f t="shared" si="9"/>
        <v>44879</v>
      </c>
      <c r="B179" s="58">
        <f t="shared" si="6"/>
        <v>2570.1473158965841</v>
      </c>
      <c r="D179" s="47">
        <f>+$B$188*26/30-0.12</f>
        <v>2570.144666666667</v>
      </c>
      <c r="F179" s="39"/>
      <c r="H179" s="58">
        <f t="shared" si="8"/>
        <v>0.0026492299170968181</v>
      </c>
      <c r="J179" s="38">
        <f t="shared" si="7"/>
        <v>1</v>
      </c>
    </row>
    <row r="180" spans="1:8" ht="12.75">
      <c r="A180" s="59"/>
      <c r="B180" s="58"/>
      <c r="D180" s="47"/>
      <c r="F180" s="39"/>
      <c r="H180" s="58"/>
    </row>
    <row r="181" spans="1:1" ht="12.75">
      <c r="A181" s="45" t="s">
        <v>127</v>
      </c>
    </row>
    <row r="182" spans="1:1" ht="12.75">
      <c r="A182" s="45" t="s">
        <v>119</v>
      </c>
    </row>
    <row r="184" spans="1:1" ht="12.75">
      <c r="A184" s="52" t="s">
        <v>103</v>
      </c>
    </row>
    <row r="185" spans="1:1" ht="12.75">
      <c r="A185" s="52" t="s">
        <v>104</v>
      </c>
    </row>
    <row r="186" spans="2:3" ht="12.75">
      <c r="B186" s="67">
        <f>+H118</f>
        <v>177941.28731589668</v>
      </c>
      <c r="C186" s="52" t="s">
        <v>105</v>
      </c>
    </row>
    <row r="187" spans="2:3" ht="12.75">
      <c r="B187" s="84">
        <v>60</v>
      </c>
      <c r="C187" s="38" t="s">
        <v>120</v>
      </c>
    </row>
    <row r="188" spans="2:3" ht="12.75">
      <c r="B188" s="67">
        <f>ROUND(+B186/B187,2)</f>
        <v>2965.6900000000001</v>
      </c>
      <c r="C188" s="52" t="s">
        <v>99</v>
      </c>
    </row>
    <row r="190" spans="1:1" ht="12.75">
      <c r="A190" s="45" t="s">
        <v>133</v>
      </c>
    </row>
    <row r="191" spans="1:1" ht="12.75">
      <c r="A191" s="45" t="s">
        <v>128</v>
      </c>
    </row>
  </sheetData>
  <dataValidations count="1">
    <dataValidation errorStyle="information" type="list" allowBlank="1" showInputMessage="1" showErrorMessage="1" prompt="This field only accepts 'NEXT' or the current journal ID - OK to accept this value" error="This field only accepts 'NEXT' or the current journal ID - OK to accept this value" sqref="F2:F4">
      <formula1>"NEXT"</formula1>
    </dataValidation>
  </dataValidations>
  <pageMargins left="1.5" right="0.5" top="1.75" bottom="0.5" header="0.5" footer="0.5"/>
  <pageSetup firstPageNumber="8" useFirstPageNumber="1" fitToHeight="0" orientation="portrait" scale="78" r:id="rId1"/>
  <headerFooter alignWithMargins="0">
    <oddHeader>&amp;C&amp;"Arial,Bold"
2022 Rate Case
Oncor Electric Delivery Company LLC
AMS Rate Case Expenses 
Docket No. 35718
Test Year Ending Dec. 31, 2021
Sponsor: W. Alan Ledbetter&amp;R&amp;"Arial,Bold"WP/II-E-4.1.1 AMS Rate Case Expenses
Page &amp;P of 10</oddHeader>
  </headerFooter>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8</vt:i4>
      </vt:variant>
    </vt:vector>
  </HeadingPairs>
  <TitlesOfParts>
    <vt:vector size="8" baseType="lpstr">
      <vt:lpstr>Coversheet</vt:lpstr>
      <vt:lpstr>Connect Information</vt:lpstr>
      <vt:lpstr>Template</vt:lpstr>
      <vt:lpstr>Data Input</vt:lpstr>
      <vt:lpstr>WP II-E-4.1.1 AMS RCE</vt:lpstr>
      <vt:lpstr>11AMSREC</vt:lpstr>
      <vt:lpstr>13AMSREC</vt:lpstr>
      <vt:lpstr>DOC35718</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