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Work Related Files\Karen\"/>
    </mc:Choice>
  </mc:AlternateContent>
  <bookViews>
    <workbookView xWindow="0" yWindow="0" windowWidth="26083" windowHeight="11072" activeTab="0"/>
  </bookViews>
  <sheets>
    <sheet name="WP II-E-1_02" sheetId="1" r:id="rId2"/>
  </sheets>
  <definedNames>
    <definedName name="_xlnm.Print_Area" localSheetId="0">'WP II-E-1_02'!$A$10:$T$102</definedName>
    <definedName name="_xlnm.Print_Titles" localSheetId="0">'WP II-E-1_02'!$A:$B,'WP II-E-1_02'!$1:$8</definedName>
  </definedNames>
  <calcPr calcId="152511" iterate="1" iterateCount="100" iterateDelta="0.00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1" i="1" l="1"/>
</calcChain>
</file>

<file path=xl/sharedStrings.xml><?xml version="1.0" encoding="utf-8"?>
<sst xmlns="http://schemas.openxmlformats.org/spreadsheetml/2006/main" count="155" uniqueCount="93">
  <si>
    <t>350</t>
  </si>
  <si>
    <t>Land and Land Rights</t>
  </si>
  <si>
    <t>Structures and Improvements</t>
  </si>
  <si>
    <t>Station Equipment</t>
  </si>
  <si>
    <t>354</t>
  </si>
  <si>
    <t>Towers and Fixtures</t>
  </si>
  <si>
    <t>355</t>
  </si>
  <si>
    <t>Poles and Fixtures</t>
  </si>
  <si>
    <t>356</t>
  </si>
  <si>
    <t>Overhead Conductor</t>
  </si>
  <si>
    <t>357</t>
  </si>
  <si>
    <t>Underground Conduit</t>
  </si>
  <si>
    <t>358</t>
  </si>
  <si>
    <t>Underground Conductor and Devices</t>
  </si>
  <si>
    <t>DC Tie</t>
  </si>
  <si>
    <t xml:space="preserve">SVC </t>
  </si>
  <si>
    <t>Total Transmission</t>
  </si>
  <si>
    <t>360</t>
  </si>
  <si>
    <t>Total Distribution Substation</t>
  </si>
  <si>
    <t xml:space="preserve"> </t>
  </si>
  <si>
    <t>364</t>
  </si>
  <si>
    <t>Poles, Towers, and Fixtures</t>
  </si>
  <si>
    <t>365</t>
  </si>
  <si>
    <t>Overhead Conductor and Devices</t>
  </si>
  <si>
    <t>366</t>
  </si>
  <si>
    <t>367</t>
  </si>
  <si>
    <t>368</t>
  </si>
  <si>
    <t>Line Transformers</t>
  </si>
  <si>
    <t>369</t>
  </si>
  <si>
    <t>Services</t>
  </si>
  <si>
    <t>Meters (Post AMS)</t>
  </si>
  <si>
    <t>IDR Meters</t>
  </si>
  <si>
    <t>371</t>
  </si>
  <si>
    <t>Installation on Customer Premises</t>
  </si>
  <si>
    <t>373</t>
  </si>
  <si>
    <t>Street Lighting</t>
  </si>
  <si>
    <t>Total Distribution</t>
  </si>
  <si>
    <t>389</t>
  </si>
  <si>
    <t>390</t>
  </si>
  <si>
    <t>397</t>
  </si>
  <si>
    <t>Communication Equipment</t>
  </si>
  <si>
    <t>396</t>
  </si>
  <si>
    <t>Power Operated Equipment</t>
  </si>
  <si>
    <t>Amortized Accounts (Retire Assets &gt; ASL)</t>
  </si>
  <si>
    <t>391</t>
  </si>
  <si>
    <t>Office Furniture and Equipment</t>
  </si>
  <si>
    <t>393</t>
  </si>
  <si>
    <t>Stores Equipment</t>
  </si>
  <si>
    <t>394</t>
  </si>
  <si>
    <t>395</t>
  </si>
  <si>
    <t>Laboratory Equipment</t>
  </si>
  <si>
    <t>398</t>
  </si>
  <si>
    <t>Miscellaneous Equipment</t>
  </si>
  <si>
    <t>General Amortized</t>
  </si>
  <si>
    <t>Other Assets:</t>
  </si>
  <si>
    <t>General Plant Leasehold Improvements</t>
  </si>
  <si>
    <t>(3)</t>
  </si>
  <si>
    <t>(1)</t>
  </si>
  <si>
    <t>AMS Meters</t>
  </si>
  <si>
    <t>AMR Meters</t>
  </si>
  <si>
    <t>Fee Land</t>
  </si>
  <si>
    <t>(2)</t>
  </si>
  <si>
    <t>Total  Company</t>
  </si>
  <si>
    <t>Existing</t>
  </si>
  <si>
    <t xml:space="preserve">Original </t>
  </si>
  <si>
    <t>Annual</t>
  </si>
  <si>
    <t>Cost</t>
  </si>
  <si>
    <t>Accrual</t>
  </si>
  <si>
    <t>Description</t>
  </si>
  <si>
    <t>Per Book</t>
  </si>
  <si>
    <t>ONCOR LEGACY</t>
  </si>
  <si>
    <t>NTUSU</t>
  </si>
  <si>
    <t>ESB Improvements</t>
  </si>
  <si>
    <t>Plant</t>
  </si>
  <si>
    <t>Expense</t>
  </si>
  <si>
    <t>Plane</t>
  </si>
  <si>
    <t>Communiucation Equip</t>
  </si>
  <si>
    <t>Total Other Items</t>
  </si>
  <si>
    <t>IMS</t>
  </si>
  <si>
    <t>Acc</t>
  </si>
  <si>
    <t>Depreciation Expense</t>
  </si>
  <si>
    <t>Allocated</t>
  </si>
  <si>
    <t>Transportation Equipment</t>
  </si>
  <si>
    <t>Communication Equip Depreciated</t>
  </si>
  <si>
    <t>Intangible</t>
  </si>
  <si>
    <t>Retired Fully Accrued Assets</t>
  </si>
  <si>
    <t>Computer Equipment</t>
  </si>
  <si>
    <t>Small Tools</t>
  </si>
  <si>
    <t>Large Tools</t>
  </si>
  <si>
    <t>Total General Plant Excl Transporation</t>
  </si>
  <si>
    <t>Total</t>
  </si>
  <si>
    <t>Total Plant</t>
  </si>
  <si>
    <t>Known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</si>
</sst>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 applyFill="1"/>
    <xf numFmtId="10" fontId="2" fillId="0" borderId="0" xfId="0" applyNumberFormat="1" applyFont="1" applyFill="1"/>
    <xf numFmtId="39" fontId="2" fillId="0" borderId="0" xfId="0" applyNumberFormat="1" applyFont="1" applyFill="1"/>
    <xf numFmtId="0" fontId="2" fillId="0" borderId="0" xfId="0" applyFont="1" applyFill="1" applyAlignment="1">
      <alignment horizontal="left"/>
    </xf>
    <xf numFmtId="43" fontId="2" fillId="0" borderId="0" xfId="18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/>
    <xf numFmtId="43" fontId="3" fillId="0" borderId="0" xfId="18" applyFont="1" applyFill="1"/>
    <xf numFmtId="10" fontId="3" fillId="0" borderId="0" xfId="0" applyNumberFormat="1" applyFont="1" applyFill="1"/>
    <xf numFmtId="39" fontId="3" fillId="0" borderId="0" xfId="0" applyNumberFormat="1" applyFont="1" applyFill="1"/>
    <xf numFmtId="43" fontId="2" fillId="0" borderId="0" xfId="0" applyNumberFormat="1" applyFont="1" applyFill="1"/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44" fontId="3" fillId="0" borderId="0" xfId="16" applyFont="1" applyFill="1" applyAlignment="1">
      <alignment horizontal="center"/>
    </xf>
    <xf numFmtId="0" fontId="3" fillId="0" borderId="0" xfId="0" applyFont="1" applyFill="1" applyAlignment="1">
      <alignment horizont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U103"/>
  <sheetViews>
    <sheetView tabSelected="1" workbookViewId="0" topLeftCell="A1">
      <pane xSplit="2" ySplit="9" topLeftCell="M10" activePane="bottomRight" state="frozen"/>
      <selection pane="topLeft" activeCell="A1" sqref="A1"/>
      <selection pane="bottomLeft" activeCell="A10" sqref="A10"/>
      <selection pane="topRight" activeCell="C1" sqref="C1"/>
      <selection pane="bottomRight" activeCell="T13" sqref="T13"/>
    </sheetView>
  </sheetViews>
  <sheetFormatPr defaultColWidth="9.12428571428571" defaultRowHeight="15.75"/>
  <cols>
    <col min="1" max="1" width="9.42857142857143" style="4" bestFit="1" customWidth="1"/>
    <col min="2" max="2" width="44" style="1" bestFit="1" customWidth="1"/>
    <col min="3" max="3" width="44" style="1" customWidth="1"/>
    <col min="4" max="4" width="9.14285714285714" style="5"/>
    <col min="5" max="5" width="27.4285714285714" style="5" customWidth="1"/>
    <col min="6" max="6" width="17.5714285714286" style="1" bestFit="1" customWidth="1"/>
    <col min="7" max="7" width="14.2857142857143" style="1" customWidth="1"/>
    <col min="8" max="8" width="9.14285714285714" style="1"/>
    <col min="9" max="9" width="22.1428571428571" style="5" bestFit="1" customWidth="1"/>
    <col min="10" max="10" width="10.1428571428571" style="2" bestFit="1" customWidth="1"/>
    <col min="11" max="11" width="22.7142857142857" style="3" customWidth="1"/>
    <col min="12" max="12" width="18.8571428571429" style="5" bestFit="1" customWidth="1"/>
    <col min="13" max="13" width="16.7142857142857" style="1" bestFit="1" customWidth="1"/>
    <col min="14" max="14" width="12.5714285714286" style="1" bestFit="1" customWidth="1"/>
    <col min="15" max="15" width="20.7142857142857" style="5" bestFit="1" customWidth="1"/>
    <col min="16" max="16" width="15.5714285714286" style="2" bestFit="1" customWidth="1"/>
    <col min="17" max="17" width="17.5714285714286" style="5" bestFit="1" customWidth="1"/>
    <col min="18" max="18" width="26.8571428571429" style="5" customWidth="1"/>
    <col min="19" max="19" width="16.5714285714286" style="1" customWidth="1"/>
    <col min="20" max="20" width="24.7142857142857" style="1" customWidth="1"/>
    <col min="21" max="21" width="18.8571428571429" style="1" bestFit="1" customWidth="1"/>
    <col min="22" max="16384" width="9.14285714285714" style="1"/>
  </cols>
  <sheetData>
    <row r="1" spans="1:18" ht="15.65">
      <c r="A1" s="6"/>
      <c r="B1" s="7"/>
      <c r="C1" s="7"/>
      <c r="D1" s="8"/>
      <c r="E1" s="8"/>
      <c r="F1" s="7"/>
      <c r="G1" s="7"/>
      <c r="H1" s="7"/>
      <c r="I1" s="8"/>
      <c r="J1" s="9"/>
      <c r="K1" s="10"/>
      <c r="L1" s="8"/>
      <c r="M1" s="7"/>
      <c r="N1" s="7"/>
      <c r="O1" s="8"/>
      <c r="P1" s="9"/>
      <c r="Q1" s="8"/>
      <c r="R1" s="8"/>
    </row>
    <row r="2" spans="1:18" ht="15.65">
      <c r="A2" s="6"/>
      <c r="B2" s="7"/>
      <c r="C2" s="7"/>
      <c r="D2" s="8"/>
      <c r="E2" s="8"/>
      <c r="F2" s="7"/>
      <c r="G2" s="7"/>
      <c r="H2" s="7"/>
      <c r="I2" s="8"/>
      <c r="J2" s="9"/>
      <c r="K2" s="10"/>
      <c r="L2" s="8"/>
      <c r="M2" s="7"/>
      <c r="N2" s="7"/>
      <c r="O2" s="8"/>
      <c r="P2" s="9"/>
      <c r="Q2" s="8"/>
      <c r="R2" s="8"/>
    </row>
    <row r="3" spans="1:18" ht="15.65">
      <c r="A3" s="17"/>
      <c r="B3" s="17"/>
      <c r="C3" s="17"/>
      <c r="D3" s="17"/>
      <c r="E3" s="17"/>
      <c r="F3" s="7"/>
      <c r="G3" s="7"/>
      <c r="H3" s="7"/>
      <c r="I3" s="8"/>
      <c r="J3" s="9"/>
      <c r="K3" s="10"/>
      <c r="L3" s="8"/>
      <c r="M3" s="7"/>
      <c r="N3" s="7"/>
      <c r="O3" s="8"/>
      <c r="P3" s="9"/>
      <c r="Q3" s="8"/>
      <c r="R3" s="8"/>
    </row>
    <row r="4" spans="1:18" ht="15.65">
      <c r="A4" s="6"/>
      <c r="B4" s="7"/>
      <c r="C4" s="7"/>
      <c r="D4" s="8"/>
      <c r="E4" s="8"/>
      <c r="F4" s="7"/>
      <c r="G4" s="7"/>
      <c r="H4" s="7"/>
      <c r="I4" s="13" t="s">
        <v>70</v>
      </c>
      <c r="J4" s="14"/>
      <c r="K4" s="14"/>
      <c r="L4" s="15"/>
      <c r="M4" s="7"/>
      <c r="N4" s="7"/>
      <c r="O4" s="13" t="s">
        <v>71</v>
      </c>
      <c r="P4" s="14"/>
      <c r="Q4" s="14"/>
      <c r="R4" s="15"/>
    </row>
    <row r="5" spans="1:18" ht="15.65">
      <c r="A5" s="6"/>
      <c r="B5" s="7"/>
      <c r="C5" s="7"/>
      <c r="D5" s="8"/>
      <c r="E5" s="8"/>
      <c r="F5" s="7"/>
      <c r="G5" s="7"/>
      <c r="H5" s="7"/>
      <c r="I5" s="8"/>
      <c r="J5" s="9"/>
      <c r="K5" s="10"/>
      <c r="L5" s="8"/>
      <c r="M5" s="7"/>
      <c r="N5" s="7"/>
      <c r="O5" s="8"/>
      <c r="P5" s="9"/>
      <c r="Q5" s="8"/>
      <c r="R5" s="8"/>
    </row>
    <row r="6" spans="1:18" ht="15.65">
      <c r="A6" s="6"/>
      <c r="B6" s="7"/>
      <c r="C6" s="7"/>
      <c r="D6" s="8"/>
      <c r="E6" s="8"/>
      <c r="F6" s="7"/>
      <c r="G6" s="7"/>
      <c r="H6" s="7"/>
      <c r="I6" s="8"/>
      <c r="J6" s="9"/>
      <c r="K6" s="10"/>
      <c r="L6" s="8"/>
      <c r="M6" s="7"/>
      <c r="N6" s="7"/>
      <c r="O6" s="8"/>
      <c r="P6" s="9"/>
      <c r="Q6" s="8"/>
      <c r="R6" s="8"/>
    </row>
    <row r="7" spans="1:18" ht="15.65">
      <c r="A7" s="6"/>
      <c r="B7" s="7"/>
      <c r="C7" s="7"/>
      <c r="D7" s="8"/>
      <c r="E7" s="8"/>
      <c r="F7" s="7"/>
      <c r="G7" s="7"/>
      <c r="H7" s="7"/>
      <c r="I7" s="8"/>
      <c r="J7" s="9" t="s">
        <v>63</v>
      </c>
      <c r="K7" s="10" t="s">
        <v>63</v>
      </c>
      <c r="L7" s="8" t="s">
        <v>81</v>
      </c>
      <c r="M7" s="7"/>
      <c r="N7" s="7"/>
      <c r="O7" s="8"/>
      <c r="P7" s="9" t="s">
        <v>63</v>
      </c>
      <c r="Q7" s="8" t="s">
        <v>63</v>
      </c>
      <c r="R7" s="8" t="s">
        <v>81</v>
      </c>
    </row>
    <row r="8" spans="1:20" ht="15.65">
      <c r="A8" s="6"/>
      <c r="B8" s="7"/>
      <c r="C8" s="7"/>
      <c r="D8" s="8"/>
      <c r="E8" s="8"/>
      <c r="F8" s="16" t="s">
        <v>92</v>
      </c>
      <c r="G8" s="16"/>
      <c r="H8" s="7"/>
      <c r="I8" s="8" t="s">
        <v>64</v>
      </c>
      <c r="J8" s="9" t="s">
        <v>65</v>
      </c>
      <c r="K8" s="10" t="s">
        <v>65</v>
      </c>
      <c r="L8" s="8" t="s">
        <v>69</v>
      </c>
      <c r="M8" s="7"/>
      <c r="N8" s="7"/>
      <c r="O8" s="8" t="s">
        <v>64</v>
      </c>
      <c r="P8" s="9" t="s">
        <v>65</v>
      </c>
      <c r="Q8" s="8" t="s">
        <v>65</v>
      </c>
      <c r="R8" s="8" t="s">
        <v>69</v>
      </c>
      <c r="T8" s="12" t="s">
        <v>90</v>
      </c>
    </row>
    <row r="9" spans="1:20" ht="15.65">
      <c r="A9" s="6" t="s">
        <v>79</v>
      </c>
      <c r="B9" s="7" t="s">
        <v>68</v>
      </c>
      <c r="C9" s="7" t="s">
        <v>91</v>
      </c>
      <c r="D9" s="8"/>
      <c r="E9" s="8"/>
      <c r="F9" s="7" t="s">
        <v>73</v>
      </c>
      <c r="G9" s="7" t="s">
        <v>74</v>
      </c>
      <c r="H9" s="7"/>
      <c r="I9" s="8" t="s">
        <v>66</v>
      </c>
      <c r="J9" s="9" t="s">
        <v>67</v>
      </c>
      <c r="K9" s="10" t="s">
        <v>67</v>
      </c>
      <c r="L9" s="8"/>
      <c r="M9" s="7"/>
      <c r="N9" s="7"/>
      <c r="O9" s="8" t="s">
        <v>66</v>
      </c>
      <c r="P9" s="9" t="s">
        <v>67</v>
      </c>
      <c r="Q9" s="8" t="s">
        <v>67</v>
      </c>
      <c r="R9" s="8"/>
      <c r="T9" s="8" t="s">
        <v>80</v>
      </c>
    </row>
    <row r="10" spans="4:20" s="7" customFormat="1" ht="15.65">
      <c r="D10" s="8"/>
      <c r="I10" s="8"/>
      <c r="J10" s="9"/>
      <c r="K10" s="10"/>
      <c r="L10" s="8"/>
      <c r="O10" s="8"/>
      <c r="P10" s="9"/>
      <c r="Q10" s="8"/>
      <c r="R10" s="8"/>
      <c r="T10" s="5"/>
    </row>
    <row r="11" spans="20:20" ht="15.65">
      <c r="T11" s="5"/>
    </row>
    <row r="12" spans="20:20" ht="15.8" customHeight="1">
      <c r="T12" s="5"/>
    </row>
    <row r="13" spans="1:20" ht="15.65">
      <c r="A13" s="4">
        <v>303</v>
      </c>
      <c r="B13" s="1" t="s">
        <v>84</v>
      </c>
      <c r="C13" s="5">
        <v>920182464.8599999</v>
      </c>
      <c r="I13" s="5">
        <v>920182464.8599999</v>
      </c>
      <c r="J13" s="5" t="s">
        <v>19</v>
      </c>
      <c r="K13" s="5" t="s">
        <v>19</v>
      </c>
      <c r="L13" s="5">
        <f>66473342.3-1083338.4</f>
        <v>65390003.899999999</v>
      </c>
      <c r="T13" s="5">
        <f>+L13</f>
        <v>65390003.899999999</v>
      </c>
    </row>
    <row r="14" spans="3:3" ht="15.65">
      <c r="C14" s="5"/>
    </row>
    <row r="15" spans="1:20" ht="15.65">
      <c r="A15" s="4">
        <v>303</v>
      </c>
      <c r="B15" s="1" t="s">
        <v>78</v>
      </c>
      <c r="C15" s="5">
        <v>146467816.21000001</v>
      </c>
      <c r="F15" s="11"/>
      <c r="I15" s="5">
        <v>146167816.21000001</v>
      </c>
      <c r="K15" s="3">
        <v>1083338.3999999997</v>
      </c>
      <c r="L15" s="5">
        <v>1083338.3999999997</v>
      </c>
      <c r="T15" s="5">
        <f>+K15+Q15</f>
        <v>1083338.3999999997</v>
      </c>
    </row>
    <row r="16" spans="3:20" ht="15.65">
      <c r="C16" s="5" t="s">
        <v>19</v>
      </c>
      <c r="T16" s="5"/>
    </row>
    <row r="17" spans="3:3" ht="15.65">
      <c r="C17" s="5"/>
    </row>
    <row r="18" spans="1:20" ht="15.65">
      <c r="A18" s="4" t="s">
        <v>0</v>
      </c>
      <c r="B18" s="1" t="s">
        <v>1</v>
      </c>
      <c r="C18" s="5">
        <v>616585378.13999987</v>
      </c>
      <c r="F18" s="5">
        <v>658973.65000000002</v>
      </c>
      <c r="G18" s="5">
        <v>3844.0100000000002</v>
      </c>
      <c r="I18" s="5">
        <v>521566382.51999986</v>
      </c>
      <c r="J18" s="2">
        <v>0.01</v>
      </c>
      <c r="K18" s="3">
        <f>+I18*J18</f>
        <v>5215663.8251999989</v>
      </c>
      <c r="L18" s="5">
        <f>+K18*L$31/K$31</f>
        <v>4909595.5226231124</v>
      </c>
      <c r="O18" s="5">
        <v>94360021.969999999</v>
      </c>
      <c r="P18" s="2">
        <v>0</v>
      </c>
      <c r="Q18" s="5">
        <v>0</v>
      </c>
      <c r="R18" s="5">
        <f>+Q18*R$31/Q$31</f>
        <v>0</v>
      </c>
      <c r="T18" s="5">
        <f t="shared" si="0" ref="T18:T29">+L18+R18+G18</f>
        <v>4913439.5326231122</v>
      </c>
    </row>
    <row r="19" spans="1:21" ht="15.65">
      <c r="A19" s="4">
        <v>352</v>
      </c>
      <c r="B19" s="1" t="s">
        <v>2</v>
      </c>
      <c r="C19" s="5">
        <v>397934615.39999998</v>
      </c>
      <c r="F19" s="5"/>
      <c r="G19" s="5"/>
      <c r="I19" s="5">
        <v>312392691.69</v>
      </c>
      <c r="J19" s="2">
        <v>0.028400000000000002</v>
      </c>
      <c r="K19" s="3">
        <f t="shared" si="1" ref="K19:K29">+I19*J19</f>
        <v>8871952.443996001</v>
      </c>
      <c r="L19" s="5">
        <f t="shared" si="2" ref="L19:L29">+K19*L$31/K$31</f>
        <v>8351323.9073259644</v>
      </c>
      <c r="O19" s="5">
        <v>85541923.709999993</v>
      </c>
      <c r="P19" s="2">
        <v>0.021600000000000001</v>
      </c>
      <c r="Q19" s="5">
        <f>+O19*P19</f>
        <v>1847705.552136</v>
      </c>
      <c r="R19" s="5">
        <f t="shared" si="3" ref="R19:R29">+Q19*R$31/Q$31</f>
        <v>1870264.2554753721</v>
      </c>
      <c r="T19" s="5">
        <f t="shared" si="0"/>
        <v>10221588.162801337</v>
      </c>
      <c r="U19" s="11" t="s">
        <v>19</v>
      </c>
    </row>
    <row r="20" spans="1:20" ht="15.65">
      <c r="A20" s="4">
        <v>353</v>
      </c>
      <c r="B20" s="1" t="s">
        <v>3</v>
      </c>
      <c r="C20" s="5">
        <v>3559128940.8699999</v>
      </c>
      <c r="F20" s="5"/>
      <c r="G20" s="5"/>
      <c r="I20" s="5">
        <v>3275784328.5999999</v>
      </c>
      <c r="J20" s="2">
        <v>0.024899999999999999</v>
      </c>
      <c r="K20" s="3">
        <f t="shared" si="1"/>
        <v>81567029.782139987</v>
      </c>
      <c r="L20" s="5">
        <f t="shared" si="2"/>
        <v>76780470.834257513</v>
      </c>
      <c r="O20" s="5">
        <v>283344612.26999998</v>
      </c>
      <c r="P20" s="2">
        <v>0.025499999999999998</v>
      </c>
      <c r="Q20" s="5">
        <f t="shared" si="4" ref="Q20:Q23">+O20*P20</f>
        <v>7225287.6128849993</v>
      </c>
      <c r="R20" s="5">
        <f t="shared" si="3"/>
        <v>7313501.4084284985</v>
      </c>
      <c r="T20" s="5">
        <f t="shared" si="0"/>
        <v>84093972.242686018</v>
      </c>
    </row>
    <row r="21" spans="1:20" ht="15.65">
      <c r="A21" s="4" t="s">
        <v>4</v>
      </c>
      <c r="B21" s="1" t="s">
        <v>5</v>
      </c>
      <c r="C21" s="5">
        <v>1931024292.7899995</v>
      </c>
      <c r="F21" s="5">
        <v>1371537.48</v>
      </c>
      <c r="G21" s="5">
        <v>17921.419999999998</v>
      </c>
      <c r="I21" s="5">
        <v>1433247198.9199996</v>
      </c>
      <c r="J21" s="2">
        <v>0.0224</v>
      </c>
      <c r="K21" s="3">
        <f t="shared" si="1"/>
        <v>32104737.255807992</v>
      </c>
      <c r="L21" s="5">
        <f t="shared" si="2"/>
        <v>30220750.333743412</v>
      </c>
      <c r="O21" s="5">
        <v>496405556.38999999</v>
      </c>
      <c r="P21" s="2">
        <v>0.020400000000000001</v>
      </c>
      <c r="Q21" s="5">
        <f t="shared" si="4"/>
        <v>10126673.350356</v>
      </c>
      <c r="R21" s="5">
        <f t="shared" si="3"/>
        <v>10250310.26840353</v>
      </c>
      <c r="T21" s="5">
        <f t="shared" si="0"/>
        <v>40488982.02214694</v>
      </c>
    </row>
    <row r="22" spans="1:20" ht="15.65">
      <c r="A22" s="4" t="s">
        <v>6</v>
      </c>
      <c r="B22" s="1" t="s">
        <v>7</v>
      </c>
      <c r="C22" s="5">
        <v>2872599246.0500011</v>
      </c>
      <c r="F22" s="5">
        <v>1828935.1299999999</v>
      </c>
      <c r="G22" s="5">
        <v>42568.470000000001</v>
      </c>
      <c r="I22" s="5">
        <v>2646547290.960001</v>
      </c>
      <c r="J22" s="2">
        <v>0.039899999999999998</v>
      </c>
      <c r="K22" s="3">
        <f t="shared" si="1"/>
        <v>105597236.90930404</v>
      </c>
      <c r="L22" s="5">
        <f t="shared" si="2"/>
        <v>99400524.824164852</v>
      </c>
      <c r="O22" s="5">
        <v>224223019.96000001</v>
      </c>
      <c r="P22" s="2">
        <v>0.028899999999999999</v>
      </c>
      <c r="Q22" s="5">
        <f t="shared" si="4"/>
        <v>6480045.2768439995</v>
      </c>
      <c r="R22" s="5">
        <f t="shared" si="3"/>
        <v>6559160.3819845524</v>
      </c>
      <c r="T22" s="5">
        <f t="shared" si="0"/>
        <v>106002253.6761494</v>
      </c>
    </row>
    <row r="23" spans="1:20" ht="15.65">
      <c r="A23" s="4" t="s">
        <v>8</v>
      </c>
      <c r="B23" s="1" t="s">
        <v>9</v>
      </c>
      <c r="C23" s="5">
        <v>3045455059.4399991</v>
      </c>
      <c r="F23" s="5">
        <v>873739.87</v>
      </c>
      <c r="G23" s="5">
        <v>17278.200000000001</v>
      </c>
      <c r="I23" s="5">
        <v>2597173723.1599994</v>
      </c>
      <c r="J23" s="2">
        <v>0.0339</v>
      </c>
      <c r="K23" s="3">
        <f t="shared" si="1"/>
        <v>88044189.215123981</v>
      </c>
      <c r="L23" s="5">
        <f t="shared" si="2"/>
        <v>82877534.222018108</v>
      </c>
      <c r="O23" s="5">
        <v>447407596.41000003</v>
      </c>
      <c r="P23" s="2">
        <v>0.031399999999999997</v>
      </c>
      <c r="Q23" s="5">
        <f t="shared" si="4"/>
        <v>14048598.527274</v>
      </c>
      <c r="R23" s="5">
        <f t="shared" si="3"/>
        <v>14220118.370435346</v>
      </c>
      <c r="T23" s="5">
        <f t="shared" si="0"/>
        <v>97114930.792453453</v>
      </c>
    </row>
    <row r="24" spans="1:20" ht="15.65">
      <c r="A24" s="4" t="s">
        <v>10</v>
      </c>
      <c r="B24" s="1" t="s">
        <v>11</v>
      </c>
      <c r="C24" s="5">
        <v>60197134.759999998</v>
      </c>
      <c r="F24" s="5"/>
      <c r="G24" s="5"/>
      <c r="I24" s="5">
        <v>60197134.759999998</v>
      </c>
      <c r="J24" s="2">
        <v>0.021899999999999999</v>
      </c>
      <c r="K24" s="3">
        <f t="shared" si="1"/>
        <v>1318317.2512439999</v>
      </c>
      <c r="L24" s="5">
        <f t="shared" si="2"/>
        <v>1240955.0713050722</v>
      </c>
      <c r="O24" s="5">
        <v>0</v>
      </c>
      <c r="P24" s="2">
        <v>0</v>
      </c>
      <c r="Q24" s="5">
        <v>0</v>
      </c>
      <c r="R24" s="5">
        <f t="shared" si="3"/>
        <v>0</v>
      </c>
      <c r="T24" s="5">
        <f t="shared" si="0"/>
        <v>1240955.0713050722</v>
      </c>
    </row>
    <row r="25" spans="1:20" ht="15.65">
      <c r="A25" s="4" t="s">
        <v>12</v>
      </c>
      <c r="B25" s="1" t="s">
        <v>13</v>
      </c>
      <c r="C25" s="5">
        <v>84097342.579999998</v>
      </c>
      <c r="F25" s="5"/>
      <c r="G25" s="5"/>
      <c r="I25" s="5">
        <v>84097342.579999998</v>
      </c>
      <c r="J25" s="2">
        <v>0.027300000000000001</v>
      </c>
      <c r="K25" s="3">
        <f t="shared" si="1"/>
        <v>2295857.4524340001</v>
      </c>
      <c r="L25" s="5">
        <f t="shared" si="2"/>
        <v>2161130.7489931346</v>
      </c>
      <c r="O25" s="5">
        <v>0</v>
      </c>
      <c r="P25" s="2">
        <v>0</v>
      </c>
      <c r="Q25" s="5">
        <v>0</v>
      </c>
      <c r="R25" s="5">
        <f t="shared" si="3"/>
        <v>0</v>
      </c>
      <c r="T25" s="5">
        <f t="shared" si="0"/>
        <v>2161130.7489931346</v>
      </c>
    </row>
    <row r="26" spans="1:20" ht="15.65">
      <c r="A26" s="4">
        <v>352</v>
      </c>
      <c r="B26" s="1" t="s">
        <v>14</v>
      </c>
      <c r="C26" s="5">
        <v>1686568.9399999999</v>
      </c>
      <c r="F26" s="5"/>
      <c r="G26" s="5"/>
      <c r="I26" s="5">
        <v>1686568.9399999999</v>
      </c>
      <c r="J26" s="2">
        <v>0.028400000000000002</v>
      </c>
      <c r="K26" s="3">
        <f t="shared" si="1"/>
        <v>47898.557895999998</v>
      </c>
      <c r="L26" s="5">
        <f t="shared" si="2"/>
        <v>45087.749760652565</v>
      </c>
      <c r="O26" s="5">
        <v>0</v>
      </c>
      <c r="P26" s="2">
        <v>0.021600000000000001</v>
      </c>
      <c r="Q26" s="5">
        <v>0</v>
      </c>
      <c r="R26" s="5">
        <f t="shared" si="3"/>
        <v>0</v>
      </c>
      <c r="T26" s="5">
        <f t="shared" si="0"/>
        <v>45087.749760652565</v>
      </c>
    </row>
    <row r="27" spans="1:20" ht="15.65">
      <c r="A27" s="4">
        <v>353</v>
      </c>
      <c r="B27" s="1" t="s">
        <v>14</v>
      </c>
      <c r="C27" s="5">
        <v>30852548.70999999</v>
      </c>
      <c r="F27" s="5"/>
      <c r="G27" s="5"/>
      <c r="I27" s="5">
        <v>30852548.70999999</v>
      </c>
      <c r="J27" s="2">
        <v>0.024899999999999999</v>
      </c>
      <c r="K27" s="3">
        <f t="shared" si="1"/>
        <v>768228.46287899965</v>
      </c>
      <c r="L27" s="5">
        <f t="shared" si="2"/>
        <v>723146.87988115172</v>
      </c>
      <c r="O27" s="5">
        <v>0</v>
      </c>
      <c r="P27" s="2">
        <v>0.025499999999999998</v>
      </c>
      <c r="Q27" s="5">
        <v>0</v>
      </c>
      <c r="R27" s="5">
        <f t="shared" si="3"/>
        <v>0</v>
      </c>
      <c r="T27" s="5">
        <f t="shared" si="0"/>
        <v>723146.87988115172</v>
      </c>
    </row>
    <row r="28" spans="1:20" ht="15.65">
      <c r="A28" s="4">
        <v>352</v>
      </c>
      <c r="B28" s="1" t="s">
        <v>15</v>
      </c>
      <c r="C28" s="5">
        <v>20424706.280000001</v>
      </c>
      <c r="F28" s="5"/>
      <c r="G28" s="5"/>
      <c r="I28" s="5">
        <v>12728829.08</v>
      </c>
      <c r="J28" s="2">
        <v>0.028400000000000002</v>
      </c>
      <c r="K28" s="3">
        <f t="shared" si="1"/>
        <v>361498.745872</v>
      </c>
      <c r="L28" s="5">
        <f t="shared" si="2"/>
        <v>340285.08808252891</v>
      </c>
      <c r="O28" s="5">
        <v>7695877.2000000002</v>
      </c>
      <c r="P28" s="2">
        <v>0.021600000000000001</v>
      </c>
      <c r="Q28" s="5">
        <f t="shared" si="5" ref="Q28:Q29">+O28*P28</f>
        <v>166230.94752000002</v>
      </c>
      <c r="R28" s="5">
        <f t="shared" si="3"/>
        <v>168260.46711882969</v>
      </c>
      <c r="T28" s="5">
        <f t="shared" si="0"/>
        <v>508545.55520135863</v>
      </c>
    </row>
    <row r="29" spans="1:20" ht="15.65">
      <c r="A29" s="4">
        <v>353</v>
      </c>
      <c r="B29" s="1" t="s">
        <v>15</v>
      </c>
      <c r="C29" s="5">
        <v>339034197.06999999</v>
      </c>
      <c r="F29" s="5"/>
      <c r="G29" s="5"/>
      <c r="I29" s="5">
        <v>273676085.30000001</v>
      </c>
      <c r="J29" s="2">
        <v>0.024899999999999999</v>
      </c>
      <c r="K29" s="3">
        <f t="shared" si="1"/>
        <v>6814534.5239699995</v>
      </c>
      <c r="L29" s="5">
        <f t="shared" si="2"/>
        <v>6414640.4578444632</v>
      </c>
      <c r="O29" s="5">
        <v>65358111.770000003</v>
      </c>
      <c r="P29" s="2">
        <v>0.025499999999999998</v>
      </c>
      <c r="Q29" s="5">
        <f t="shared" si="5"/>
        <v>1666631.850135</v>
      </c>
      <c r="R29" s="5">
        <f t="shared" si="3"/>
        <v>1686979.8181538661</v>
      </c>
      <c r="S29" s="1" t="s">
        <v>19</v>
      </c>
      <c r="T29" s="5">
        <f t="shared" si="0"/>
        <v>8101620.2759983297</v>
      </c>
    </row>
    <row r="30" spans="3:20" ht="15.65">
      <c r="C30" s="5"/>
      <c r="F30" s="5"/>
      <c r="G30" s="5"/>
      <c r="T30" s="5"/>
    </row>
    <row r="31" spans="2:20" ht="15.65">
      <c r="B31" s="1" t="s">
        <v>16</v>
      </c>
      <c r="C31" s="5">
        <f>SUM(C18:C30)</f>
        <v>12959020031.029999</v>
      </c>
      <c r="F31" s="5">
        <f>SUM(F18:F30)</f>
        <v>4733186.1299999999</v>
      </c>
      <c r="G31" s="5">
        <f>SUM(G18:G27)</f>
        <v>81612.100000000006</v>
      </c>
      <c r="I31" s="5">
        <f>SUM(I18:I30)</f>
        <v>11249950125.219999</v>
      </c>
      <c r="J31" s="2">
        <v>0.029600766289562094</v>
      </c>
      <c r="K31" s="5">
        <f>SUM(K18:K30)</f>
        <v>333007144.42586702</v>
      </c>
      <c r="L31" s="5">
        <v>313465445.63999999</v>
      </c>
      <c r="M31" s="3"/>
      <c r="O31" s="5">
        <f>SUM(O18:O30)</f>
        <v>1704336719.6800001</v>
      </c>
      <c r="Q31" s="5">
        <f>SUM(Q18:Q30)</f>
        <v>41561173.117150001</v>
      </c>
      <c r="R31" s="5">
        <v>42068594.969999999</v>
      </c>
      <c r="T31" s="5">
        <f>SUM(T18:T30)</f>
        <v>355615652.70999998</v>
      </c>
    </row>
    <row r="32" spans="3:20" ht="15.65">
      <c r="C32" s="5"/>
      <c r="T32" s="5"/>
    </row>
    <row r="33" spans="1:20" ht="15.65">
      <c r="A33" s="4" t="s">
        <v>17</v>
      </c>
      <c r="B33" s="1" t="s">
        <v>1</v>
      </c>
      <c r="C33" s="5">
        <v>5858701.5199999996</v>
      </c>
      <c r="I33" s="5">
        <v>5858701.5199999996</v>
      </c>
      <c r="J33" s="2">
        <v>0.0121</v>
      </c>
      <c r="K33" s="3">
        <f t="shared" si="6" ref="K33:K34">+I33*J33</f>
        <v>70890.288391999988</v>
      </c>
      <c r="L33" s="5">
        <f>+K33*L$36/K$36</f>
        <v>65330.325555336894</v>
      </c>
      <c r="O33" s="5">
        <v>0</v>
      </c>
      <c r="P33" s="2">
        <v>0</v>
      </c>
      <c r="Q33" s="5">
        <v>0</v>
      </c>
      <c r="R33" s="5">
        <f>+Q33*R$36/Q$36</f>
        <v>0</v>
      </c>
      <c r="T33" s="5">
        <f>+L33+R33</f>
        <v>65330.325555336894</v>
      </c>
    </row>
    <row r="34" spans="1:20" ht="15.65">
      <c r="A34" s="4">
        <v>361</v>
      </c>
      <c r="B34" s="1" t="s">
        <v>2</v>
      </c>
      <c r="C34" s="5">
        <v>227950837.84999999</v>
      </c>
      <c r="I34" s="5">
        <v>190221732.22</v>
      </c>
      <c r="J34" s="2">
        <v>0.0207</v>
      </c>
      <c r="K34" s="3">
        <f t="shared" si="6"/>
        <v>3937589.856954</v>
      </c>
      <c r="L34" s="5">
        <f t="shared" si="7" ref="L34:L35">+K34*L$36/K$36</f>
        <v>3628762.6005373592</v>
      </c>
      <c r="O34" s="5">
        <v>37729105.630000003</v>
      </c>
      <c r="P34" s="2">
        <v>0.026800000000000001</v>
      </c>
      <c r="Q34" s="5">
        <f t="shared" si="8" ref="Q34:Q35">+O34*P34</f>
        <v>1011140.0308840001</v>
      </c>
      <c r="R34" s="5">
        <f>+Q34*R$36/Q$36</f>
        <v>914018.42629829689</v>
      </c>
      <c r="T34" s="5">
        <f>+L34+R34</f>
        <v>4542781.0268356558</v>
      </c>
    </row>
    <row r="35" spans="1:20" ht="15.65">
      <c r="A35" s="4">
        <v>362</v>
      </c>
      <c r="B35" s="1" t="s">
        <v>3</v>
      </c>
      <c r="C35" s="5">
        <v>2436284040.71</v>
      </c>
      <c r="F35" s="11">
        <v>3146147.4399999999</v>
      </c>
      <c r="I35" s="5">
        <v>2328129108.4699998</v>
      </c>
      <c r="J35" s="2">
        <v>0.016899999999999998</v>
      </c>
      <c r="K35" s="3">
        <v>39398551.824878991</v>
      </c>
      <c r="L35" s="5">
        <f t="shared" si="7"/>
        <v>36308502.553907305</v>
      </c>
      <c r="O35" s="5">
        <v>105008784.8</v>
      </c>
      <c r="P35" s="2">
        <v>0.034200000000000001</v>
      </c>
      <c r="Q35" s="5">
        <f t="shared" si="8"/>
        <v>3591300.4401600002</v>
      </c>
      <c r="R35" s="5">
        <f>+Q35*R$36/Q$36</f>
        <v>3246350.3337017037</v>
      </c>
      <c r="T35" s="5">
        <f>+L35+R35</f>
        <v>39554852.887609005</v>
      </c>
    </row>
    <row r="36" spans="2:20" ht="15.65">
      <c r="B36" s="1" t="s">
        <v>18</v>
      </c>
      <c r="C36" s="5">
        <f>SUM(C33:C35)</f>
        <v>2670093580.0799999</v>
      </c>
      <c r="F36" s="5">
        <f>SUM(F33:F35)</f>
        <v>3146147.4399999999</v>
      </c>
      <c r="I36" s="5">
        <f>SUM(I33:I35)</f>
        <v>2524209542.21</v>
      </c>
      <c r="K36" s="5">
        <f>SUM(K33:K35)</f>
        <v>43407031.970224991</v>
      </c>
      <c r="L36" s="5">
        <v>40002595.480000004</v>
      </c>
      <c r="O36" s="5">
        <f>SUM(O33:O35)</f>
        <v>142737890.43000001</v>
      </c>
      <c r="P36" s="2">
        <v>0.032243999523735987</v>
      </c>
      <c r="Q36" s="5">
        <f>SUM(Q33:Q35)</f>
        <v>4602440.4710440002</v>
      </c>
      <c r="R36" s="5">
        <v>4160368.7600000002</v>
      </c>
      <c r="T36" s="5">
        <f>SUM(T33:T35)</f>
        <v>44162964.239999995</v>
      </c>
    </row>
    <row r="37" spans="3:20" ht="15.65">
      <c r="C37" s="5"/>
      <c r="H37" s="1" t="s">
        <v>19</v>
      </c>
      <c r="T37" s="5"/>
    </row>
    <row r="38" spans="1:20" ht="15.65">
      <c r="A38" s="4">
        <v>360</v>
      </c>
      <c r="B38" s="1" t="s">
        <v>1</v>
      </c>
      <c r="C38" s="5">
        <v>18508221.20000001</v>
      </c>
      <c r="I38" s="5">
        <v>18508221.199999999</v>
      </c>
      <c r="J38" s="2">
        <v>0.0121</v>
      </c>
      <c r="K38" s="3">
        <f t="shared" si="9" ref="K38:K47">+I38*J38</f>
        <v>223949.47652</v>
      </c>
      <c r="L38" s="5">
        <f t="shared" si="10" ref="L38:L47">+K38*L$48/K$48</f>
        <v>216136.43981115278</v>
      </c>
      <c r="O38" s="5">
        <v>0</v>
      </c>
      <c r="P38" s="2">
        <v>0</v>
      </c>
      <c r="Q38" s="5">
        <v>0</v>
      </c>
      <c r="T38" s="5">
        <f t="shared" si="11" ref="T38:T47">+L38+R38</f>
        <v>216136.43981115278</v>
      </c>
    </row>
    <row r="39" spans="1:20" ht="15.65">
      <c r="A39" s="4" t="s">
        <v>20</v>
      </c>
      <c r="B39" s="1" t="s">
        <v>21</v>
      </c>
      <c r="C39" s="5">
        <v>2679007190.2999997</v>
      </c>
      <c r="I39" s="5">
        <v>2678358260.8099999</v>
      </c>
      <c r="J39" s="2">
        <v>0.028899999999999999</v>
      </c>
      <c r="K39" s="3">
        <f t="shared" si="9"/>
        <v>77404553.737408996</v>
      </c>
      <c r="L39" s="5">
        <f t="shared" si="10"/>
        <v>74704102.594678581</v>
      </c>
      <c r="O39" s="5">
        <v>648929.49000000011</v>
      </c>
      <c r="P39" s="2">
        <v>0.0448</v>
      </c>
      <c r="Q39" s="5">
        <f t="shared" si="12" ref="Q39:Q47">+O39*P39</f>
        <v>29072.041152000005</v>
      </c>
      <c r="R39" s="5">
        <f>+Q39*R$48/Q$48</f>
        <v>29072.066210647248</v>
      </c>
      <c r="T39" s="5">
        <f t="shared" si="11"/>
        <v>74733174.660889223</v>
      </c>
    </row>
    <row r="40" spans="1:20" ht="15.65">
      <c r="A40" s="4" t="s">
        <v>22</v>
      </c>
      <c r="B40" s="1" t="s">
        <v>23</v>
      </c>
      <c r="C40" s="5">
        <v>1676515251.76</v>
      </c>
      <c r="I40" s="5">
        <v>1675410858.1199999</v>
      </c>
      <c r="J40" s="2">
        <v>0.028299999999999999</v>
      </c>
      <c r="K40" s="3">
        <f t="shared" si="9"/>
        <v>47414127.284795992</v>
      </c>
      <c r="L40" s="5">
        <f t="shared" si="10"/>
        <v>45759967.057451226</v>
      </c>
      <c r="O40" s="5">
        <v>1104393.6400000001</v>
      </c>
      <c r="P40" s="2">
        <v>0.038699999999999998</v>
      </c>
      <c r="Q40" s="5">
        <f t="shared" si="12"/>
        <v>42740.033868000006</v>
      </c>
      <c r="R40" s="5">
        <f t="shared" si="13" ref="R40:R47">+Q40*R$48/Q$48</f>
        <v>42740.070707774212</v>
      </c>
      <c r="T40" s="5">
        <f t="shared" si="11"/>
        <v>45802707.128159001</v>
      </c>
    </row>
    <row r="41" spans="1:20" ht="15.65">
      <c r="A41" s="4" t="s">
        <v>24</v>
      </c>
      <c r="B41" s="1" t="s">
        <v>11</v>
      </c>
      <c r="C41" s="5">
        <v>1082662295.7899995</v>
      </c>
      <c r="I41" s="5">
        <v>1082118478.1099999</v>
      </c>
      <c r="J41" s="2">
        <v>0.019099999999999999</v>
      </c>
      <c r="K41" s="3">
        <f t="shared" si="9"/>
        <v>20668462.931900997</v>
      </c>
      <c r="L41" s="5">
        <f t="shared" si="10"/>
        <v>19947391.991652697</v>
      </c>
      <c r="O41" s="5">
        <v>543817.67999999993</v>
      </c>
      <c r="P41" s="2">
        <v>0.017399999999999999</v>
      </c>
      <c r="Q41" s="5">
        <f t="shared" si="12"/>
        <v>9462.427631999999</v>
      </c>
      <c r="R41" s="5">
        <f t="shared" si="13"/>
        <v>9462.4357881399428</v>
      </c>
      <c r="T41" s="5">
        <f t="shared" si="11"/>
        <v>19956854.427440837</v>
      </c>
    </row>
    <row r="42" spans="1:20" ht="15.65">
      <c r="A42" s="4" t="s">
        <v>25</v>
      </c>
      <c r="B42" s="1" t="s">
        <v>13</v>
      </c>
      <c r="C42" s="5">
        <v>2555767640.0300016</v>
      </c>
      <c r="I42" s="5">
        <v>2553927527.9699998</v>
      </c>
      <c r="J42" s="2">
        <v>0.0258</v>
      </c>
      <c r="K42" s="3">
        <f t="shared" si="9"/>
        <v>65891330.221625991</v>
      </c>
      <c r="L42" s="5">
        <f t="shared" si="10"/>
        <v>63592546.630719222</v>
      </c>
      <c r="O42" s="5">
        <v>1840112.0600000001</v>
      </c>
      <c r="P42" s="2">
        <v>0.031099999999999999</v>
      </c>
      <c r="Q42" s="5">
        <f t="shared" si="12"/>
        <v>57227.485066000001</v>
      </c>
      <c r="R42" s="5">
        <f t="shared" si="13"/>
        <v>57227.534393233458</v>
      </c>
      <c r="T42" s="5">
        <f t="shared" si="11"/>
        <v>63649774.165112458</v>
      </c>
    </row>
    <row r="43" spans="1:20" ht="15.65">
      <c r="A43" s="4" t="s">
        <v>26</v>
      </c>
      <c r="B43" s="1" t="s">
        <v>27</v>
      </c>
      <c r="C43" s="5">
        <v>2493082806.5200005</v>
      </c>
      <c r="I43" s="5">
        <v>2493077762.3999901</v>
      </c>
      <c r="J43" s="2">
        <v>0.023699999999999999</v>
      </c>
      <c r="K43" s="3">
        <f t="shared" si="9"/>
        <v>59085942.968879759</v>
      </c>
      <c r="L43" s="5">
        <f t="shared" si="10"/>
        <v>57024582.305902354</v>
      </c>
      <c r="O43" s="5">
        <v>5044.1199999999999</v>
      </c>
      <c r="P43" s="2">
        <v>0.023699999999999999</v>
      </c>
      <c r="Q43" s="5">
        <f t="shared" si="12"/>
        <v>119.545644</v>
      </c>
      <c r="R43" s="5">
        <f t="shared" si="13"/>
        <v>119.54574704237348</v>
      </c>
      <c r="T43" s="5">
        <f t="shared" si="11"/>
        <v>57024701.851649396</v>
      </c>
    </row>
    <row r="44" spans="1:20" ht="15.65">
      <c r="A44" s="4" t="s">
        <v>28</v>
      </c>
      <c r="B44" s="1" t="s">
        <v>29</v>
      </c>
      <c r="C44" s="5">
        <v>1652238990.3600004</v>
      </c>
      <c r="I44" s="5">
        <v>1652238990.3599999</v>
      </c>
      <c r="J44" s="2">
        <v>0.027900000000000001</v>
      </c>
      <c r="K44" s="3">
        <f t="shared" si="9"/>
        <v>46097467.831043996</v>
      </c>
      <c r="L44" s="5">
        <f t="shared" si="10"/>
        <v>44489242.556551397</v>
      </c>
      <c r="O44" s="5">
        <v>0</v>
      </c>
      <c r="P44" s="2">
        <v>0</v>
      </c>
      <c r="Q44" s="5">
        <f t="shared" si="12"/>
        <v>0</v>
      </c>
      <c r="R44" s="5">
        <f t="shared" si="13"/>
        <v>0</v>
      </c>
      <c r="T44" s="5">
        <f t="shared" si="11"/>
        <v>44489242.556551397</v>
      </c>
    </row>
    <row r="45" spans="1:20" ht="15.65">
      <c r="A45" s="4">
        <v>370</v>
      </c>
      <c r="B45" s="1" t="s">
        <v>30</v>
      </c>
      <c r="C45" s="5">
        <v>199955073.44</v>
      </c>
      <c r="I45" s="5">
        <v>199955073.44</v>
      </c>
      <c r="J45" s="2">
        <v>0.039100000000000003</v>
      </c>
      <c r="K45" s="3">
        <f t="shared" si="9"/>
        <v>7818243.3715040004</v>
      </c>
      <c r="L45" s="5">
        <f t="shared" si="10"/>
        <v>7545484.4286859008</v>
      </c>
      <c r="O45" s="5">
        <v>0</v>
      </c>
      <c r="P45" s="2">
        <v>0</v>
      </c>
      <c r="Q45" s="5">
        <f t="shared" si="12"/>
        <v>0</v>
      </c>
      <c r="R45" s="5">
        <f t="shared" si="13"/>
        <v>0</v>
      </c>
      <c r="T45" s="5">
        <f t="shared" si="11"/>
        <v>7545484.4286859008</v>
      </c>
    </row>
    <row r="46" spans="1:20" ht="15.65">
      <c r="A46" s="4" t="s">
        <v>32</v>
      </c>
      <c r="B46" s="1" t="s">
        <v>33</v>
      </c>
      <c r="C46" s="5">
        <v>54631096.929999992</v>
      </c>
      <c r="I46" s="5">
        <v>54631096.93</v>
      </c>
      <c r="J46" s="2">
        <v>0.0298</v>
      </c>
      <c r="K46" s="3">
        <f t="shared" si="9"/>
        <v>1628006.688514</v>
      </c>
      <c r="L46" s="5">
        <f t="shared" si="10"/>
        <v>1571209.6099172446</v>
      </c>
      <c r="O46" s="5">
        <v>0</v>
      </c>
      <c r="P46" s="2">
        <v>0</v>
      </c>
      <c r="Q46" s="5">
        <f t="shared" si="12"/>
        <v>0</v>
      </c>
      <c r="R46" s="5">
        <f t="shared" si="13"/>
        <v>0</v>
      </c>
      <c r="T46" s="5">
        <f t="shared" si="11"/>
        <v>1571209.6099172446</v>
      </c>
    </row>
    <row r="47" spans="1:20" ht="15.65">
      <c r="A47" s="4" t="s">
        <v>34</v>
      </c>
      <c r="B47" s="1" t="s">
        <v>35</v>
      </c>
      <c r="C47" s="5">
        <v>437411078.04000032</v>
      </c>
      <c r="I47" s="5">
        <v>437403825.88999999</v>
      </c>
      <c r="J47" s="2">
        <v>0.037499999999999999</v>
      </c>
      <c r="K47" s="3">
        <f t="shared" si="9"/>
        <v>16402643.470874999</v>
      </c>
      <c r="L47" s="5">
        <f t="shared" si="10"/>
        <v>15830396.294630161</v>
      </c>
      <c r="O47" s="5">
        <v>7252.1499999999996</v>
      </c>
      <c r="P47" s="2">
        <v>0.038100000000000002</v>
      </c>
      <c r="Q47" s="5">
        <f t="shared" si="12"/>
        <v>276.306915</v>
      </c>
      <c r="R47" s="5">
        <f t="shared" si="13"/>
        <v>276.30715316275842</v>
      </c>
      <c r="T47" s="5">
        <f t="shared" si="11"/>
        <v>15830672.601783324</v>
      </c>
    </row>
    <row r="48" spans="2:21" ht="15.65">
      <c r="B48" s="1" t="s">
        <v>36</v>
      </c>
      <c r="C48" s="5">
        <f>SUM(C38:C47)</f>
        <v>12849779644.370005</v>
      </c>
      <c r="I48" s="5">
        <f>SUM(I38:I47)</f>
        <v>12845630095.22999</v>
      </c>
      <c r="J48" s="2">
        <v>0.026828957907362769</v>
      </c>
      <c r="K48" s="5">
        <f>SUM(K38:K47)</f>
        <v>342634727.98306882</v>
      </c>
      <c r="L48" s="5">
        <v>330681059.91000003</v>
      </c>
      <c r="O48" s="5">
        <f>SUM(O38:O47)</f>
        <v>4149549.1400000006</v>
      </c>
      <c r="P48" s="2">
        <v>0.033472995641401174</v>
      </c>
      <c r="Q48" s="5">
        <f>SUM(Q38:Q47)</f>
        <v>138897.84027700001</v>
      </c>
      <c r="R48" s="5">
        <v>138897.95999999999</v>
      </c>
      <c r="T48" s="5">
        <f>SUM(T38:T47)</f>
        <v>330819957.86999995</v>
      </c>
      <c r="U48" s="11" t="s">
        <v>19</v>
      </c>
    </row>
    <row r="49" spans="3:20" ht="15.65">
      <c r="C49" s="5"/>
      <c r="K49" s="5"/>
      <c r="T49" s="5"/>
    </row>
    <row r="50" spans="3:20" ht="15.65">
      <c r="C50" s="5"/>
      <c r="K50" s="5"/>
      <c r="T50" s="5"/>
    </row>
    <row r="51" spans="1:20" ht="15.65">
      <c r="A51" s="4">
        <v>370</v>
      </c>
      <c r="B51" s="1" t="s">
        <v>31</v>
      </c>
      <c r="C51" s="5">
        <v>162996844.13999999</v>
      </c>
      <c r="I51" s="5">
        <v>162996844.13999999</v>
      </c>
      <c r="J51" s="2">
        <v>0.039100000000000003</v>
      </c>
      <c r="K51" s="3">
        <v>6373176.6058740001</v>
      </c>
      <c r="L51" s="5">
        <v>6246100.2600000007</v>
      </c>
      <c r="O51" s="5">
        <v>0</v>
      </c>
      <c r="P51" s="2">
        <v>0</v>
      </c>
      <c r="Q51" s="5">
        <v>0</v>
      </c>
      <c r="T51" s="5">
        <f t="shared" si="14" ref="T51">+L51+R51</f>
        <v>6246100.2600000007</v>
      </c>
    </row>
    <row r="52" spans="1:20" ht="15.65">
      <c r="A52" s="4">
        <v>370</v>
      </c>
      <c r="B52" s="1" t="s">
        <v>58</v>
      </c>
      <c r="C52" s="5">
        <v>211112886.01000002</v>
      </c>
      <c r="T52" s="5"/>
    </row>
    <row r="53" spans="1:20" ht="15.65">
      <c r="A53" s="4">
        <v>370</v>
      </c>
      <c r="B53" s="1" t="s">
        <v>59</v>
      </c>
      <c r="C53" s="5">
        <v>82679.479999999996</v>
      </c>
      <c r="T53" s="5"/>
    </row>
    <row r="54" spans="3:20" ht="15.65">
      <c r="C54" s="5"/>
      <c r="T54" s="5">
        <f t="shared" si="15" ref="T54">+L54+R54</f>
        <v>0</v>
      </c>
    </row>
    <row r="55" spans="1:18" ht="15.65">
      <c r="A55" s="1"/>
      <c r="D55" s="1"/>
      <c r="E55" s="1"/>
      <c r="I55" s="1"/>
      <c r="J55" s="1"/>
      <c r="K55" s="1"/>
      <c r="L55" s="1"/>
      <c r="O55" s="1"/>
      <c r="P55" s="1"/>
      <c r="Q55" s="1"/>
      <c r="R55" s="1"/>
    </row>
    <row r="56" spans="1:18" ht="15.65">
      <c r="A56" s="1"/>
      <c r="D56" s="1"/>
      <c r="E56" s="1"/>
      <c r="I56" s="1"/>
      <c r="J56" s="1"/>
      <c r="K56" s="1"/>
      <c r="L56" s="1"/>
      <c r="O56" s="1"/>
      <c r="P56" s="1"/>
      <c r="Q56" s="1"/>
      <c r="R56" s="1"/>
    </row>
    <row r="57" spans="1:18" ht="15.65">
      <c r="A57" s="1"/>
      <c r="D57" s="1"/>
      <c r="E57" s="1"/>
      <c r="I57" s="1"/>
      <c r="J57" s="1"/>
      <c r="K57" s="1"/>
      <c r="L57" s="1"/>
      <c r="O57" s="1"/>
      <c r="P57" s="1"/>
      <c r="Q57" s="1"/>
      <c r="R57" s="1"/>
    </row>
    <row r="58" spans="3:20" ht="15.65">
      <c r="C58" s="5"/>
      <c r="T58" s="5">
        <f t="shared" si="16" ref="T58:T60">+L58+R58</f>
        <v>0</v>
      </c>
    </row>
    <row r="59" spans="1:21" ht="15.65">
      <c r="A59" s="4">
        <v>392</v>
      </c>
      <c r="B59" s="1" t="s">
        <v>82</v>
      </c>
      <c r="C59" s="5">
        <v>22863062.020000003</v>
      </c>
      <c r="I59" s="5">
        <f>+C59-O59</f>
        <v>21475509.990000002</v>
      </c>
      <c r="K59" s="3">
        <f>-393542.97+1624639.35</f>
        <v>1231096.3800000001</v>
      </c>
      <c r="L59" s="5">
        <f>1695681.99-Q59</f>
        <v>1624639.3500000001</v>
      </c>
      <c r="O59" s="5">
        <v>1387552.03</v>
      </c>
      <c r="Q59" s="5">
        <v>71042.639999999999</v>
      </c>
      <c r="R59" s="5">
        <v>71042.639999999999</v>
      </c>
      <c r="T59" s="5">
        <f t="shared" si="16"/>
        <v>1695681.99</v>
      </c>
      <c r="U59" s="11"/>
    </row>
    <row r="60" spans="1:20" ht="15.65">
      <c r="A60" s="4">
        <v>397</v>
      </c>
      <c r="B60" s="1" t="s">
        <v>83</v>
      </c>
      <c r="C60" s="5">
        <v>77314645.459999979</v>
      </c>
      <c r="I60" s="5">
        <v>77314645.459999979</v>
      </c>
      <c r="L60" s="5">
        <v>4692074.6699999999</v>
      </c>
      <c r="Q60" s="5">
        <v>0</v>
      </c>
      <c r="T60" s="5">
        <f t="shared" si="16"/>
        <v>4692074.6699999999</v>
      </c>
    </row>
    <row r="61" spans="3:20" ht="15.65">
      <c r="C61" s="5"/>
      <c r="J61" s="1"/>
      <c r="K61" s="1"/>
      <c r="T61" s="5"/>
    </row>
    <row r="62" spans="1:20" ht="15.65">
      <c r="A62" s="4" t="s">
        <v>85</v>
      </c>
      <c r="C62" s="5"/>
      <c r="J62" s="1"/>
      <c r="K62" s="1"/>
      <c r="T62" s="5"/>
    </row>
    <row r="63" spans="1:20" ht="15.65">
      <c r="A63" s="4">
        <v>391</v>
      </c>
      <c r="B63" s="1" t="s">
        <v>86</v>
      </c>
      <c r="C63" s="5">
        <v>92232607.959999993</v>
      </c>
      <c r="E63" s="5">
        <v>0</v>
      </c>
      <c r="I63" s="5">
        <v>92232607.959999993</v>
      </c>
      <c r="J63" s="1"/>
      <c r="K63" s="1"/>
      <c r="M63" s="1">
        <v>0</v>
      </c>
      <c r="T63" s="5"/>
    </row>
    <row r="64" spans="1:20" ht="15.65">
      <c r="A64" s="4">
        <v>394</v>
      </c>
      <c r="B64" s="1" t="s">
        <v>87</v>
      </c>
      <c r="C64" s="5">
        <v>11312220.899999999</v>
      </c>
      <c r="E64" s="5">
        <v>0</v>
      </c>
      <c r="I64" s="5">
        <v>11312220.899999999</v>
      </c>
      <c r="J64" s="1"/>
      <c r="K64" s="1"/>
      <c r="M64" s="1">
        <v>0</v>
      </c>
      <c r="T64" s="5"/>
    </row>
    <row r="65" spans="1:13" ht="15.65">
      <c r="A65" s="4" t="s">
        <v>41</v>
      </c>
      <c r="B65" s="1" t="s">
        <v>42</v>
      </c>
      <c r="C65" s="5">
        <v>3228020.4799999995</v>
      </c>
      <c r="E65" s="5">
        <v>0</v>
      </c>
      <c r="I65" s="5">
        <v>3228020.4799999995</v>
      </c>
      <c r="M65" s="1">
        <v>0</v>
      </c>
    </row>
    <row r="66" spans="1:13" ht="15.65">
      <c r="A66" s="1" t="s">
        <v>39</v>
      </c>
      <c r="B66" s="1" t="s">
        <v>40</v>
      </c>
      <c r="C66" s="1">
        <v>3017140.8800000008</v>
      </c>
      <c r="D66" s="1"/>
      <c r="E66" s="5">
        <v>0</v>
      </c>
      <c r="I66" s="5">
        <v>3017140.8800000008</v>
      </c>
      <c r="J66" s="1"/>
      <c r="K66" s="1"/>
      <c r="M66" s="1">
        <v>0</v>
      </c>
    </row>
    <row r="67" spans="1:20" ht="15.65">
      <c r="A67" s="1"/>
      <c r="D67" s="1"/>
      <c r="E67" s="5">
        <v>0</v>
      </c>
      <c r="J67" s="1"/>
      <c r="K67" s="1"/>
      <c r="T67" s="5"/>
    </row>
    <row r="68" spans="3:20" ht="15.65">
      <c r="C68" s="5">
        <v>109789990.21999998</v>
      </c>
      <c r="E68" s="5">
        <v>0</v>
      </c>
      <c r="I68" s="5">
        <v>109789990.21999998</v>
      </c>
      <c r="M68" s="1">
        <v>0</v>
      </c>
      <c r="T68" s="5"/>
    </row>
    <row r="69" spans="3:20" ht="15.65">
      <c r="C69" s="5"/>
      <c r="T69" s="5"/>
    </row>
    <row r="70" spans="3:20" ht="15.65">
      <c r="C70" s="5"/>
      <c r="T70" s="5">
        <f t="shared" si="17" ref="T70:T83">+L70+R70</f>
        <v>0</v>
      </c>
    </row>
    <row r="71" spans="1:20" ht="15.65">
      <c r="A71" s="4" t="s">
        <v>37</v>
      </c>
      <c r="B71" s="1" t="s">
        <v>1</v>
      </c>
      <c r="C71" s="5">
        <v>142598.20000000004</v>
      </c>
      <c r="I71" s="5">
        <v>142598.20000000001</v>
      </c>
      <c r="J71" s="2">
        <v>0.0178</v>
      </c>
      <c r="K71" s="3">
        <v>2538.2479600000001</v>
      </c>
      <c r="L71" s="5">
        <f>+K71*L$84/K$84</f>
        <v>2971.3126686997853</v>
      </c>
      <c r="O71" s="5">
        <v>0</v>
      </c>
      <c r="P71" s="2">
        <v>0</v>
      </c>
      <c r="Q71" s="5">
        <v>0</v>
      </c>
      <c r="T71" s="5">
        <f t="shared" si="17"/>
        <v>2971.3126686997853</v>
      </c>
    </row>
    <row r="72" spans="1:21" ht="15.65">
      <c r="A72" s="4" t="s">
        <v>38</v>
      </c>
      <c r="B72" s="1" t="s">
        <v>2</v>
      </c>
      <c r="C72" s="5">
        <v>253852225.82999989</v>
      </c>
      <c r="H72" s="1" t="s">
        <v>19</v>
      </c>
      <c r="I72" s="5">
        <v>252408828.78</v>
      </c>
      <c r="J72" s="2">
        <v>0.0178</v>
      </c>
      <c r="K72" s="3">
        <v>4492877.1522840001</v>
      </c>
      <c r="L72" s="5">
        <f>+K72*L$84/K$84</f>
        <v>5259432.1011463599</v>
      </c>
      <c r="O72" s="5">
        <v>1443397.0500000001</v>
      </c>
      <c r="P72" s="2">
        <v>0.022200000000000001</v>
      </c>
      <c r="Q72" s="5">
        <f>+O72*P72</f>
        <v>32043.414510000002</v>
      </c>
      <c r="R72" s="5">
        <f>+Q72*R$84/Q$84</f>
        <v>57000.135225483638</v>
      </c>
      <c r="T72" s="5">
        <f t="shared" si="17"/>
        <v>5316432.2363718431</v>
      </c>
      <c r="U72" s="11"/>
    </row>
    <row r="73" spans="3:21" ht="15.65">
      <c r="C73" s="5"/>
      <c r="T73" s="5">
        <f t="shared" si="17"/>
        <v>0</v>
      </c>
      <c r="U73" s="11"/>
    </row>
    <row r="74" spans="1:20" ht="15.65">
      <c r="A74" s="4" t="s">
        <v>43</v>
      </c>
      <c r="C74" s="5"/>
      <c r="O74" s="5" t="s">
        <v>19</v>
      </c>
      <c r="T74" s="5">
        <f t="shared" si="17"/>
        <v>0</v>
      </c>
    </row>
    <row r="75" spans="1:20" ht="15.65">
      <c r="A75" s="4" t="s">
        <v>44</v>
      </c>
      <c r="B75" s="1" t="s">
        <v>45</v>
      </c>
      <c r="C75" s="5">
        <v>22857229.639999993</v>
      </c>
      <c r="F75" s="11"/>
      <c r="I75" s="5">
        <v>20722829.100000001</v>
      </c>
      <c r="J75" s="2">
        <v>0.068699999999999997</v>
      </c>
      <c r="K75" s="3">
        <f t="shared" si="18" ref="K75:K83">+I75*J75</f>
        <v>1423658.3591700001</v>
      </c>
      <c r="L75" s="5">
        <f>+K75*L$84/K$84</f>
        <v>1666556.6899548182</v>
      </c>
      <c r="O75" s="5">
        <v>2134400.54</v>
      </c>
      <c r="P75" s="2">
        <v>0.0223</v>
      </c>
      <c r="Q75" s="5">
        <f t="shared" si="19" ref="Q75:Q83">+O75*P75</f>
        <v>47597.132042000005</v>
      </c>
      <c r="R75" s="5">
        <f t="shared" si="20" ref="R75:R83">+Q75*R$84/Q$84</f>
        <v>84667.723593954783</v>
      </c>
      <c r="T75" s="5">
        <f t="shared" si="17"/>
        <v>1751224.4135487729</v>
      </c>
    </row>
    <row r="76" spans="1:20" ht="15.65">
      <c r="A76" s="4">
        <v>391</v>
      </c>
      <c r="B76" s="1" t="s">
        <v>86</v>
      </c>
      <c r="C76" s="5">
        <v>192933034.06000006</v>
      </c>
      <c r="F76" s="11"/>
      <c r="I76" s="5">
        <v>192918986.36999998</v>
      </c>
      <c r="J76" s="2">
        <v>0.068699999999999997</v>
      </c>
      <c r="K76" s="3">
        <f t="shared" si="18"/>
        <v>13253534.363618998</v>
      </c>
      <c r="L76" s="5">
        <f t="shared" si="21" ref="L76:L81">+K76*L$84/K$84</f>
        <v>15514794.13369412</v>
      </c>
      <c r="O76" s="5">
        <v>14047.690000000001</v>
      </c>
      <c r="P76" s="2">
        <v>0.0223</v>
      </c>
      <c r="Q76" s="5">
        <f t="shared" si="19"/>
        <v>313.263487</v>
      </c>
      <c r="R76" s="5">
        <f t="shared" si="20"/>
        <v>557.24589258844674</v>
      </c>
      <c r="T76" s="5">
        <f t="shared" si="17"/>
        <v>15515351.379586708</v>
      </c>
    </row>
    <row r="77" spans="1:20" ht="15.65">
      <c r="A77" s="4" t="s">
        <v>46</v>
      </c>
      <c r="B77" s="1" t="s">
        <v>47</v>
      </c>
      <c r="C77" s="5">
        <v>4996536.5899999999</v>
      </c>
      <c r="F77" s="11"/>
      <c r="I77" s="5">
        <v>4996536.5899999989</v>
      </c>
      <c r="J77" s="2">
        <v>0.030200000000000001</v>
      </c>
      <c r="K77" s="3">
        <f t="shared" si="18"/>
        <v>150895.40501799996</v>
      </c>
      <c r="L77" s="5">
        <f t="shared" si="21"/>
        <v>176640.51568018136</v>
      </c>
      <c r="O77" s="5">
        <v>0</v>
      </c>
      <c r="P77" s="2">
        <v>0.017100000000000001</v>
      </c>
      <c r="Q77" s="5">
        <f t="shared" si="19"/>
        <v>0</v>
      </c>
      <c r="R77" s="5">
        <f t="shared" si="20"/>
        <v>0</v>
      </c>
      <c r="T77" s="5">
        <f t="shared" si="17"/>
        <v>176640.51568018136</v>
      </c>
    </row>
    <row r="78" spans="1:21" ht="15.65">
      <c r="A78" s="4" t="s">
        <v>48</v>
      </c>
      <c r="B78" s="1" t="s">
        <v>88</v>
      </c>
      <c r="C78" s="5">
        <v>18277261.680000007</v>
      </c>
      <c r="F78" s="11"/>
      <c r="I78" s="5">
        <v>18277261.680000003</v>
      </c>
      <c r="J78" s="2">
        <v>0.031</v>
      </c>
      <c r="K78" s="3">
        <f t="shared" si="18"/>
        <v>566595.11208000011</v>
      </c>
      <c r="L78" s="5">
        <f t="shared" si="21"/>
        <v>663265.07932923897</v>
      </c>
      <c r="O78" s="5">
        <v>0</v>
      </c>
      <c r="P78" s="2">
        <v>0.032899999999999999</v>
      </c>
      <c r="Q78" s="5">
        <f t="shared" si="19"/>
        <v>0</v>
      </c>
      <c r="R78" s="5">
        <f t="shared" si="20"/>
        <v>0</v>
      </c>
      <c r="T78" s="5">
        <f t="shared" si="17"/>
        <v>663265.07932923897</v>
      </c>
      <c r="U78" s="11"/>
    </row>
    <row r="79" spans="1:20" ht="15.65">
      <c r="A79" s="4">
        <v>394</v>
      </c>
      <c r="B79" s="1" t="s">
        <v>87</v>
      </c>
      <c r="C79" s="5">
        <v>13839101.960000012</v>
      </c>
      <c r="F79" s="11"/>
      <c r="I79" s="5">
        <v>13755751.020000003</v>
      </c>
      <c r="J79" s="2">
        <v>0.031</v>
      </c>
      <c r="K79" s="3">
        <f t="shared" si="18"/>
        <v>426428.28162000008</v>
      </c>
      <c r="L79" s="5">
        <f t="shared" si="21"/>
        <v>499183.60043491801</v>
      </c>
      <c r="O79" s="5">
        <v>83350.940000000002</v>
      </c>
      <c r="P79" s="2">
        <v>0.032899999999999999</v>
      </c>
      <c r="Q79" s="5">
        <f t="shared" si="19"/>
        <v>2742.2459260000001</v>
      </c>
      <c r="R79" s="5">
        <f t="shared" si="20"/>
        <v>4878.0191185540289</v>
      </c>
      <c r="T79" s="5">
        <f t="shared" si="17"/>
        <v>504061.61955347203</v>
      </c>
    </row>
    <row r="80" spans="1:20" ht="15.65">
      <c r="A80" s="4" t="s">
        <v>49</v>
      </c>
      <c r="B80" s="1" t="s">
        <v>50</v>
      </c>
      <c r="C80" s="5">
        <v>51910323.740000002</v>
      </c>
      <c r="F80" s="11"/>
      <c r="I80" s="5">
        <v>51910323.739999995</v>
      </c>
      <c r="J80" s="2">
        <v>0.044299999999999999</v>
      </c>
      <c r="K80" s="3">
        <f t="shared" si="18"/>
        <v>2299627.3416819996</v>
      </c>
      <c r="L80" s="5">
        <f t="shared" si="21"/>
        <v>2691979.6494697602</v>
      </c>
      <c r="O80" s="5">
        <v>0</v>
      </c>
      <c r="P80" s="2">
        <v>0.018499999999999999</v>
      </c>
      <c r="Q80" s="5">
        <f t="shared" si="19"/>
        <v>0</v>
      </c>
      <c r="R80" s="5">
        <f t="shared" si="20"/>
        <v>0</v>
      </c>
      <c r="T80" s="5">
        <f t="shared" si="17"/>
        <v>2691979.6494697602</v>
      </c>
    </row>
    <row r="81" spans="1:20" ht="15.65">
      <c r="A81" s="4" t="s">
        <v>41</v>
      </c>
      <c r="B81" s="1" t="s">
        <v>42</v>
      </c>
      <c r="C81" s="5">
        <v>9669865.9400000013</v>
      </c>
      <c r="I81" s="5">
        <v>9311426.2899999991</v>
      </c>
      <c r="J81" s="2">
        <v>0.031899999999999998</v>
      </c>
      <c r="K81" s="3">
        <f t="shared" si="18"/>
        <v>297034.49865099997</v>
      </c>
      <c r="L81" s="5">
        <f t="shared" si="21"/>
        <v>347713.21903578145</v>
      </c>
      <c r="O81" s="5">
        <v>358439.65000000002</v>
      </c>
      <c r="P81" s="2">
        <v>0.0292</v>
      </c>
      <c r="Q81" s="5">
        <f t="shared" si="19"/>
        <v>10466.43778</v>
      </c>
      <c r="R81" s="5">
        <f t="shared" si="20"/>
        <v>18618.127247423319</v>
      </c>
      <c r="T81" s="5">
        <f t="shared" si="17"/>
        <v>366331.3462832048</v>
      </c>
    </row>
    <row r="82" spans="1:21" ht="15.65">
      <c r="A82" s="4" t="s">
        <v>39</v>
      </c>
      <c r="B82" s="1" t="s">
        <v>40</v>
      </c>
      <c r="C82" s="5">
        <v>68462111.150000036</v>
      </c>
      <c r="F82" s="11"/>
      <c r="I82" s="5">
        <v>68445540.329999998</v>
      </c>
      <c r="J82" s="2">
        <v>0.052600000000000001</v>
      </c>
      <c r="K82" s="3">
        <f t="shared" si="18"/>
        <v>3600235.421358</v>
      </c>
      <c r="L82" s="5">
        <f>+K82*L$84/K$84</f>
        <v>4214491.7621770622</v>
      </c>
      <c r="O82" s="5">
        <v>16570.82</v>
      </c>
      <c r="P82" s="2">
        <v>0.20000000000000001</v>
      </c>
      <c r="Q82" s="5">
        <f t="shared" si="19"/>
        <v>3314.1640000000002</v>
      </c>
      <c r="R82" s="5">
        <f t="shared" si="20"/>
        <v>5895.3703607484158</v>
      </c>
      <c r="T82" s="5">
        <f t="shared" si="17"/>
        <v>4220387.1325378111</v>
      </c>
      <c r="U82" s="11"/>
    </row>
    <row r="83" spans="1:20" ht="15.65">
      <c r="A83" s="4" t="s">
        <v>51</v>
      </c>
      <c r="B83" s="1" t="s">
        <v>52</v>
      </c>
      <c r="C83" s="5">
        <v>12767813.69</v>
      </c>
      <c r="F83" s="11" t="s">
        <v>19</v>
      </c>
      <c r="I83" s="5">
        <v>12736446.77</v>
      </c>
      <c r="J83" s="2">
        <v>0.0482</v>
      </c>
      <c r="K83" s="3">
        <f t="shared" si="18"/>
        <v>613896.734314</v>
      </c>
      <c r="L83" s="5">
        <f>+K83*L$84/K$84</f>
        <v>718637.09640905773</v>
      </c>
      <c r="O83" s="5">
        <v>31366.919999999998</v>
      </c>
      <c r="P83" s="2">
        <v>0.031300000000000001</v>
      </c>
      <c r="Q83" s="5">
        <f t="shared" si="19"/>
        <v>981.78459599999996</v>
      </c>
      <c r="R83" s="5">
        <f t="shared" si="20"/>
        <v>1746.4385612473486</v>
      </c>
      <c r="T83" s="5">
        <f t="shared" si="17"/>
        <v>720383.53497030505</v>
      </c>
    </row>
    <row r="84" spans="2:20" ht="15.65">
      <c r="B84" s="1" t="s">
        <v>53</v>
      </c>
      <c r="C84" s="5">
        <f>SUM(C75:C83)</f>
        <v>395713278.45000011</v>
      </c>
      <c r="D84" s="5" t="s">
        <v>19</v>
      </c>
      <c r="I84" s="5">
        <f>SUM(I75:I83)</f>
        <v>393075101.88999999</v>
      </c>
      <c r="J84" s="2" t="s">
        <v>19</v>
      </c>
      <c r="K84" s="1">
        <f>SUM(K71:K83)</f>
        <v>27127320.917755999</v>
      </c>
      <c r="L84" s="5">
        <v>31755665.16</v>
      </c>
      <c r="M84" s="3">
        <v>31755665.16</v>
      </c>
      <c r="O84" s="5">
        <f>SUM(O71:O83)</f>
        <v>4081573.6099999994</v>
      </c>
      <c r="Q84" s="5">
        <f>SUM(Q71:Q83)</f>
        <v>97458.442341000016</v>
      </c>
      <c r="R84" s="5">
        <v>173363.06</v>
      </c>
      <c r="S84" s="3">
        <v>173363.06</v>
      </c>
      <c r="T84" s="1">
        <f>SUM(T71:T83)</f>
        <v>31929028.219999999</v>
      </c>
    </row>
    <row r="85" spans="3:20" ht="15.65">
      <c r="C85" s="5"/>
      <c r="I85" s="5" t="s">
        <v>19</v>
      </c>
      <c r="J85" s="2" t="s">
        <v>19</v>
      </c>
      <c r="K85" s="1" t="s">
        <v>19</v>
      </c>
      <c r="M85" s="11"/>
      <c r="T85" s="5"/>
    </row>
    <row r="86" spans="2:21" ht="15.65">
      <c r="B86" s="7" t="s">
        <v>89</v>
      </c>
      <c r="C86" s="5">
        <f>+C84+C72+C71+C68+C60</f>
        <v>836812738.16000009</v>
      </c>
      <c r="F86" s="11"/>
      <c r="I86" s="5">
        <f>+I84+I72+I71+I68+I60</f>
        <v>832731164.54999995</v>
      </c>
      <c r="J86" s="2">
        <v>0.03899103018426292</v>
      </c>
      <c r="K86" s="3">
        <v>33306398.230587989</v>
      </c>
      <c r="O86" s="5">
        <v>5469125.6400000006</v>
      </c>
      <c r="Q86" s="5">
        <v>147521.13930100002</v>
      </c>
      <c r="T86" s="5">
        <f>+T84+T59+T60</f>
        <v>38316784.880000003</v>
      </c>
      <c r="U86" s="11"/>
    </row>
    <row r="87" spans="3:20" ht="15.65">
      <c r="C87" s="5"/>
      <c r="T87" s="5"/>
    </row>
    <row r="88" spans="3:20" ht="15.65">
      <c r="C88" s="5"/>
      <c r="T88" s="5"/>
    </row>
    <row r="89" spans="1:20" ht="15.65">
      <c r="A89" s="4" t="s">
        <v>54</v>
      </c>
      <c r="C89" s="5"/>
      <c r="T89" s="5"/>
    </row>
    <row r="90" spans="3:20" ht="15.65">
      <c r="C90" s="5"/>
      <c r="T90" s="5">
        <f t="shared" si="22" ref="T90:T99">+L90+R90</f>
        <v>0</v>
      </c>
    </row>
    <row r="91" spans="1:20" ht="15.65">
      <c r="A91" s="4">
        <v>390</v>
      </c>
      <c r="B91" s="1" t="s">
        <v>55</v>
      </c>
      <c r="C91" s="5">
        <v>25839805.209999997</v>
      </c>
      <c r="D91" s="5" t="s">
        <v>56</v>
      </c>
      <c r="F91" s="5"/>
      <c r="G91" s="5"/>
      <c r="I91" s="5">
        <v>6588405.21</v>
      </c>
      <c r="J91" s="2" t="s">
        <v>56</v>
      </c>
      <c r="K91" s="3">
        <v>440845.34999999998</v>
      </c>
      <c r="L91" s="3">
        <v>440845.34999999998</v>
      </c>
      <c r="O91" s="5">
        <v>0</v>
      </c>
      <c r="P91" s="2" t="s">
        <v>56</v>
      </c>
      <c r="T91" s="5">
        <f t="shared" si="22"/>
        <v>440845.34999999998</v>
      </c>
    </row>
    <row r="92" spans="1:20" ht="15.65">
      <c r="A92" s="4">
        <v>392</v>
      </c>
      <c r="B92" s="1" t="s">
        <v>75</v>
      </c>
      <c r="C92" s="5">
        <v>4277641</v>
      </c>
      <c r="F92" s="5"/>
      <c r="G92" s="5"/>
      <c r="L92" s="3"/>
      <c r="T92" s="5">
        <f t="shared" si="22"/>
        <v>0</v>
      </c>
    </row>
    <row r="93" spans="1:20" ht="15.65">
      <c r="A93" s="4">
        <v>390</v>
      </c>
      <c r="B93" s="1" t="s">
        <v>72</v>
      </c>
      <c r="C93" s="5">
        <v>10713503.41</v>
      </c>
      <c r="F93" s="5"/>
      <c r="G93" s="5"/>
      <c r="L93" s="3"/>
      <c r="T93" s="5">
        <f t="shared" si="22"/>
        <v>0</v>
      </c>
    </row>
    <row r="94" spans="1:20" ht="15.65">
      <c r="A94" s="4">
        <v>397</v>
      </c>
      <c r="B94" s="1" t="s">
        <v>76</v>
      </c>
      <c r="C94" s="5">
        <v>41548504.43</v>
      </c>
      <c r="L94" s="3"/>
      <c r="T94" s="5">
        <f t="shared" si="22"/>
        <v>0</v>
      </c>
    </row>
    <row r="95" spans="1:20" ht="15.65">
      <c r="A95" s="4" t="s">
        <v>44</v>
      </c>
      <c r="B95" s="1" t="s">
        <v>45</v>
      </c>
      <c r="C95" s="5">
        <v>16170086.25</v>
      </c>
      <c r="D95" s="5" t="s">
        <v>57</v>
      </c>
      <c r="I95" s="5">
        <v>16170086.25</v>
      </c>
      <c r="J95" s="2" t="s">
        <v>57</v>
      </c>
      <c r="K95" s="3">
        <v>2310012.3599999999</v>
      </c>
      <c r="L95" s="3">
        <v>2310012.3599999999</v>
      </c>
      <c r="O95" s="5">
        <v>0</v>
      </c>
      <c r="P95" s="2" t="s">
        <v>57</v>
      </c>
      <c r="Q95" s="5">
        <v>0</v>
      </c>
      <c r="T95" s="5">
        <f t="shared" si="22"/>
        <v>2310012.3599999999</v>
      </c>
    </row>
    <row r="96" spans="1:20" ht="15.65">
      <c r="A96" s="4">
        <v>349</v>
      </c>
      <c r="B96" s="1" t="s">
        <v>60</v>
      </c>
      <c r="C96" s="5">
        <v>115906329.25999999</v>
      </c>
      <c r="D96" s="5" t="s">
        <v>61</v>
      </c>
      <c r="I96" s="5">
        <v>93368707.019999996</v>
      </c>
      <c r="J96" s="2" t="s">
        <v>61</v>
      </c>
      <c r="K96" s="3">
        <v>0</v>
      </c>
      <c r="L96" s="3">
        <v>0</v>
      </c>
      <c r="O96" s="5">
        <v>22537622.240000002</v>
      </c>
      <c r="P96" s="2" t="s">
        <v>61</v>
      </c>
      <c r="Q96" s="5">
        <v>0</v>
      </c>
      <c r="T96" s="5">
        <f t="shared" si="22"/>
        <v>0</v>
      </c>
    </row>
    <row r="97" spans="1:20" ht="15.65">
      <c r="A97" s="4">
        <v>374</v>
      </c>
      <c r="B97" s="1" t="s">
        <v>60</v>
      </c>
      <c r="C97" s="5">
        <v>96116029.030000001</v>
      </c>
      <c r="D97" s="5" t="s">
        <v>61</v>
      </c>
      <c r="I97" s="5">
        <v>95936059.930000007</v>
      </c>
      <c r="J97" s="2" t="s">
        <v>61</v>
      </c>
      <c r="K97" s="3">
        <v>0</v>
      </c>
      <c r="L97" s="3">
        <v>0</v>
      </c>
      <c r="O97" s="5">
        <v>179969.09999999998</v>
      </c>
      <c r="P97" s="2" t="s">
        <v>61</v>
      </c>
      <c r="Q97" s="5">
        <v>0</v>
      </c>
      <c r="T97" s="5">
        <f t="shared" si="22"/>
        <v>0</v>
      </c>
    </row>
    <row r="98" spans="1:20" ht="15.65">
      <c r="A98" s="4">
        <v>388</v>
      </c>
      <c r="B98" s="1" t="s">
        <v>60</v>
      </c>
      <c r="C98" s="5">
        <v>33672086.140000001</v>
      </c>
      <c r="D98" s="5" t="s">
        <v>61</v>
      </c>
      <c r="I98" s="5">
        <v>33301137.379999999</v>
      </c>
      <c r="J98" s="2" t="s">
        <v>61</v>
      </c>
      <c r="K98" s="3">
        <v>0</v>
      </c>
      <c r="L98" s="3">
        <v>0</v>
      </c>
      <c r="O98" s="5">
        <v>370948.76000000001</v>
      </c>
      <c r="P98" s="2" t="s">
        <v>61</v>
      </c>
      <c r="Q98" s="5">
        <v>0</v>
      </c>
      <c r="T98" s="5">
        <f t="shared" si="22"/>
        <v>0</v>
      </c>
    </row>
    <row r="99" spans="2:20" ht="15.65">
      <c r="B99" s="7" t="s">
        <v>77</v>
      </c>
      <c r="C99" s="5">
        <v>344243984.73000002</v>
      </c>
      <c r="T99" s="5">
        <f t="shared" si="22"/>
        <v>0</v>
      </c>
    </row>
    <row r="100" spans="2:20" ht="15.65">
      <c r="B100" s="7"/>
      <c r="C100" s="5"/>
      <c r="T100" s="5"/>
    </row>
    <row r="101" spans="2:20" ht="15.65">
      <c r="B101" s="7" t="s">
        <v>62</v>
      </c>
      <c r="C101" s="5">
        <f>+C99+C86+C59+C53+C52+C51+C48+C36+C31+C15+C13</f>
        <v>31123655731.090004</v>
      </c>
      <c r="F101" s="3"/>
      <c r="G101" s="3"/>
      <c r="I101" s="5">
        <f>+I99+I86+I59+I53+I52+I51+I48+I36+I31+I15+I13</f>
        <v>28703343562.409988</v>
      </c>
      <c r="K101" s="5" t="s">
        <v>19</v>
      </c>
      <c r="L101" s="5">
        <f>+L99+L86+L59+L53+L52+L51+L48+L36+L31+L15+L13</f>
        <v>758493182.94000006</v>
      </c>
      <c r="O101" s="5">
        <f>+O99+O86+O59+O53+O52+O51+O48+O36+O31+O15+O13</f>
        <v>1858080836.9200001</v>
      </c>
      <c r="Q101" s="5">
        <f>+Q99+Q86+Q59+Q53+Q52+Q51+Q48+Q36+Q31+Q15+Q13</f>
        <v>46521075.207772002</v>
      </c>
      <c r="R101" s="5">
        <f>+R99+R86+R59+R53+R52+R51+R48+R36+R31+R15+R13</f>
        <v>46438904.329999998</v>
      </c>
      <c r="S101" s="5">
        <f>+S99+S86+S59+S53+S52+S51+S48+S36+S31+S15+S13</f>
        <v>0</v>
      </c>
      <c r="T101" s="5">
        <f>+T13+T15+T31+T36+T48+T51+T59+T60+T84+T91+T95</f>
        <v>844385659.96999991</v>
      </c>
    </row>
    <row r="102" spans="3:20" ht="15.65">
      <c r="C102" s="5"/>
      <c r="T102" s="5" t="s">
        <v>19</v>
      </c>
    </row>
    <row r="103" spans="20:20" ht="15.65">
      <c r="T103" s="11" t="s">
        <v>19</v>
      </c>
    </row>
  </sheetData>
  <mergeCells count="4">
    <mergeCell ref="I4:L4"/>
    <mergeCell ref="F8:G8"/>
    <mergeCell ref="A3:E3"/>
    <mergeCell ref="O4:R4"/>
  </mergeCells>
  <pageMargins left="0.75" right="0.75" top="2" bottom="1" header="0.75" footer="0.5"/>
  <pageSetup fitToHeight="2" fitToWidth="2" orientation="landscape" scale="45" r:id="rId1"/>
  <headerFooter>
    <oddHeader>&amp;C&amp;"Arial,Bold"
2022 RATE CASE
ONCOR ELECTRIC DELIVERY LLC
WP II-E-1_02  PER BOOK DEPRECIATION EXPENSE
FOR THE TEST YEAR ENDING DECEMBER 31, 2021
SPONSOR: D. A. WATSON&amp;R&amp;"Arial,Bold"WP/II-E-1/02
Page 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II-E-1_02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