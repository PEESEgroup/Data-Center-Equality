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activeTab="0"/>
  </bookViews>
  <sheets>
    <sheet name="Sheet1" sheetId="1" r:id="rId2"/>
  </sheets>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6" i="1" l="1"/>
</calcChain>
</file>

<file path=xl/sharedStrings.xml><?xml version="1.0" encoding="utf-8"?>
<sst xmlns="http://schemas.openxmlformats.org/spreadsheetml/2006/main" count="21" uniqueCount="21">
  <si>
    <t>Oncor Electric Delivery Company LLC</t>
  </si>
  <si>
    <t>Test Year Ending 12-31-2021</t>
  </si>
  <si>
    <t>TRAN</t>
  </si>
  <si>
    <t>NTU TRAN</t>
  </si>
  <si>
    <t>DIST</t>
  </si>
  <si>
    <t>Balance at 12-31-2021</t>
  </si>
  <si>
    <t>K&amp;M adjustment</t>
  </si>
  <si>
    <t>Adjusted test year balance</t>
  </si>
  <si>
    <t>O&amp;M K&amp;M Adjustment #41</t>
  </si>
  <si>
    <t>Proposed recovery over</t>
  </si>
  <si>
    <r>
      <t xml:space="preserve">PURA </t>
    </r>
    <r>
      <rPr>
        <sz val="10"/>
        <rFont val="Calibri"/>
        <family val="2"/>
      </rPr>
      <t>§</t>
    </r>
    <r>
      <rPr>
        <sz val="11"/>
        <color theme="1"/>
        <rFont val="Calibri"/>
        <family val="2"/>
        <scheme val="minor"/>
      </rPr>
      <t>36.066. COSTS RELATED TO REPORTING ON SAFETY PROCESSES AND INSPECTIONS FOR CERTAIN UTILITIES</t>
    </r>
  </si>
  <si>
    <t>(a) Costs incurred by an electric utility to comply with Section 38.102 shall be recorded as a regulatory asset for timely recovery in rates established by the commission. (b) The commission may adopt rules relating to the recording of regulatory assets under this section.</t>
  </si>
  <si>
    <r>
      <t xml:space="preserve">Note, PURA §38.102 REPORTS ON SAFETY PROCESSES AND INSPECTIONS and </t>
    </r>
    <r>
      <rPr>
        <sz val="10"/>
        <rFont val="Calibri"/>
        <family val="2"/>
      </rPr>
      <t>§</t>
    </r>
    <r>
      <rPr>
        <sz val="11"/>
        <color theme="1"/>
        <rFont val="Calibri"/>
        <family val="2"/>
        <scheme val="minor"/>
      </rPr>
      <t>38.004 MINIMUM CLEARANCE STANDARD.</t>
    </r>
  </si>
  <si>
    <t>The Public Utility Commission of Texas adopted 16 Texas Administrative Code (TAC) §25.97, relating to Line Inspection and Safety, without changes to the proposed text as published in the November 29, 2019 issue of the Texas Register (44 Tex. Reg. 7272 (2019)). The new rule implemented the safety reporting provisions in Public Utility Regulatory Act (PURA) §38.102, which was enacted by the 86th Texas Legislature in House Bill 4150 (HB 4150). HB 4150 also added §§35.010 and 36.066, and amended §38.004. These changes to PURA became effective on September 1, 2019. This new rule was adopted under Project Number 49827.</t>
  </si>
  <si>
    <t>O&amp;M K&amp;M Adjustment #58</t>
  </si>
  <si>
    <t>Power Line Safety Regulatory Asset (Account 1824700)</t>
  </si>
  <si>
    <t>WP_II-E-4.1.1 PLSA Regulatory Asset</t>
  </si>
  <si>
    <t>Page 1 of 1</t>
  </si>
  <si>
    <t>five years</t>
  </si>
  <si>
    <t>2022 Rate Case</t>
  </si>
  <si>
    <t>Sponsor:  W. Alan Ledbetter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</si>
</sst>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4">
    <font>
      <sz val="11"/>
      <color theme="1"/>
      <name val="Calibri"/>
      <family val="2"/>
      <scheme val="minor"/>
    </font>
    <font>
      <sz val="10"/>
      <color theme="1"/>
      <name val="Arial"/>
      <family val="2"/>
    </font>
    <font>
      <sz val="10"/>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xf numFmtId="0" fontId="0" fillId="0" borderId="1" xfId="0" applyBorder="1"/>
    <xf numFmtId="44" fontId="0" fillId="0" borderId="0" xfId="16" applyFont="1"/>
    <xf numFmtId="44" fontId="0" fillId="0" borderId="1" xfId="16" applyFont="1" applyBorder="1"/>
    <xf numFmtId="0" fontId="0" fillId="0" borderId="0" xfId="0" applyAlignment="1">
      <alignment horizontal="center"/>
    </xf>
    <xf numFmtId="0" fontId="0" fillId="0" borderId="1" xfId="0" applyBorder="1" applyAlignment="1">
      <alignment horizontal="center"/>
    </xf>
    <xf numFmtId="44" fontId="0" fillId="0" borderId="0" xfId="0" applyNumberFormat="1"/>
    <xf numFmtId="44" fontId="0" fillId="0" borderId="1" xfId="0" applyNumberFormat="1" applyBorder="1"/>
    <xf numFmtId="0" fontId="0" fillId="0" borderId="0" xfId="0" applyBorder="1"/>
    <xf numFmtId="0" fontId="0" fillId="0" borderId="0" xfId="0" applyBorder="1" applyAlignment="1">
      <alignment wrapText="1"/>
    </xf>
    <xf numFmtId="0" fontId="3" fillId="0" borderId="0" xfId="0" applyFont="1"/>
    <xf numFmtId="0" fontId="3" fillId="0" borderId="0" xfId="0" applyFon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F25"/>
  <sheetViews>
    <sheetView tabSelected="1" workbookViewId="0" topLeftCell="A1">
      <selection pane="topLeft" activeCell="D16" sqref="D16"/>
    </sheetView>
  </sheetViews>
  <sheetFormatPr defaultRowHeight="15"/>
  <cols>
    <col min="1" max="1" width="10" customWidth="1"/>
    <col min="2" max="2" width="19.2857142857143" bestFit="1" customWidth="1"/>
    <col min="3" max="3" width="23.5714285714286" bestFit="1" customWidth="1"/>
    <col min="4" max="4" width="23" bestFit="1" customWidth="1"/>
    <col min="6" max="6" width="23.5714285714286" bestFit="1" customWidth="1"/>
  </cols>
  <sheetData>
    <row r="1" spans="1:6" s="10" customFormat="1" ht="15">
      <c r="A1" s="10" t="s">
        <v>19</v>
      </c>
      <c r="F1" s="11" t="s">
        <v>16</v>
      </c>
    </row>
    <row r="2" spans="1:6" s="10" customFormat="1" ht="15">
      <c r="A2" s="10" t="s">
        <v>0</v>
      </c>
      <c r="F2" s="11" t="s">
        <v>17</v>
      </c>
    </row>
    <row r="3" spans="1:1" s="10" customFormat="1" ht="15">
      <c r="A3" s="10" t="s">
        <v>15</v>
      </c>
    </row>
    <row r="4" spans="1:1" s="10" customFormat="1" ht="15">
      <c r="A4" s="10" t="s">
        <v>1</v>
      </c>
    </row>
    <row r="5" spans="1:1" s="10" customFormat="1" ht="15">
      <c r="A5" s="10" t="s">
        <v>20</v>
      </c>
    </row>
    <row r="6" s="10" customFormat="1" ht="15"/>
    <row r="7" s="10" customFormat="1" ht="15"/>
    <row r="8" s="10" customFormat="1" ht="15"/>
    <row r="9" s="10" customFormat="1" ht="15"/>
    <row r="10" spans="6:6" ht="15">
      <c r="F10" s="4" t="s">
        <v>8</v>
      </c>
    </row>
    <row r="11" spans="3:6" ht="15">
      <c r="C11" s="4" t="s">
        <v>14</v>
      </c>
      <c r="F11" s="4" t="s">
        <v>9</v>
      </c>
    </row>
    <row r="12" spans="2:6" ht="15">
      <c r="B12" s="1" t="s">
        <v>5</v>
      </c>
      <c r="C12" s="5" t="s">
        <v>6</v>
      </c>
      <c r="D12" s="1" t="s">
        <v>7</v>
      </c>
      <c r="F12" s="5" t="s">
        <v>18</v>
      </c>
    </row>
    <row r="13" spans="1:6" ht="15">
      <c r="A13" t="s">
        <v>2</v>
      </c>
      <c r="B13" s="2">
        <v>6343989.4100000001</v>
      </c>
      <c r="C13" s="2"/>
      <c r="D13" s="2">
        <f>SUM(B13:C13)</f>
        <v>6343989.4100000001</v>
      </c>
      <c r="F13" s="6">
        <f>ROUND(D13/5,2)</f>
        <v>1268797.8799999999</v>
      </c>
    </row>
    <row r="14" spans="1:6" ht="15">
      <c r="A14" t="s">
        <v>3</v>
      </c>
      <c r="B14" s="2">
        <v>556203</v>
      </c>
      <c r="C14" s="2"/>
      <c r="D14" s="2">
        <f t="shared" si="0" ref="D14:D15">SUM(B14:C14)</f>
        <v>556203</v>
      </c>
      <c r="F14" s="6">
        <f>ROUND(D14/5,2)</f>
        <v>111240.60000000001</v>
      </c>
    </row>
    <row r="15" spans="1:6" ht="15">
      <c r="A15" t="s">
        <v>4</v>
      </c>
      <c r="B15" s="3">
        <v>647372.71999999997</v>
      </c>
      <c r="C15" s="3">
        <v>-34164.940000000002</v>
      </c>
      <c r="D15" s="3">
        <f t="shared" si="0"/>
        <v>613207.78000000003</v>
      </c>
      <c r="F15" s="7">
        <f>ROUND(D15/5,2)</f>
        <v>122641.56</v>
      </c>
    </row>
    <row r="16" spans="2:6" ht="15">
      <c r="B16" s="2">
        <f>SUM(B13:B15)</f>
        <v>7547565.1299999999</v>
      </c>
      <c r="C16" s="2">
        <f t="shared" si="1" ref="C16:D16">SUM(C13:C15)</f>
        <v>-34164.940000000002</v>
      </c>
      <c r="D16" s="2">
        <f t="shared" si="1"/>
        <v>7513400.1900000004</v>
      </c>
      <c r="E16" s="2"/>
      <c r="F16" s="2">
        <f t="shared" si="2" ref="F16">SUM(F13:F15)</f>
        <v>1502680.04</v>
      </c>
    </row>
    <row r="19" spans="1:6" ht="15">
      <c r="A19" s="8" t="s">
        <v>10</v>
      </c>
      <c r="B19" s="8"/>
      <c r="C19" s="8"/>
      <c r="D19" s="8"/>
      <c r="E19" s="8"/>
      <c r="F19" s="8"/>
    </row>
    <row r="20" spans="1:6" ht="42.95" customHeight="1">
      <c r="A20" s="9" t="s">
        <v>11</v>
      </c>
      <c r="B20" s="9"/>
      <c r="C20" s="9"/>
      <c r="D20" s="9"/>
      <c r="E20" s="9"/>
      <c r="F20" s="9"/>
    </row>
    <row r="21" spans="1:6" ht="15">
      <c r="A21" s="8"/>
      <c r="B21" s="8"/>
      <c r="C21" s="8"/>
      <c r="D21" s="8"/>
      <c r="E21" s="8"/>
      <c r="F21" s="8"/>
    </row>
    <row r="22" spans="1:6" ht="15">
      <c r="A22" s="8" t="s">
        <v>12</v>
      </c>
      <c r="B22" s="8"/>
      <c r="C22" s="8"/>
      <c r="D22" s="8"/>
      <c r="E22" s="8"/>
      <c r="F22" s="8"/>
    </row>
    <row r="23" spans="1:6" ht="15">
      <c r="A23" s="8"/>
      <c r="B23" s="8"/>
      <c r="C23" s="8"/>
      <c r="D23" s="8"/>
      <c r="E23" s="8"/>
      <c r="F23" s="8"/>
    </row>
    <row r="24" spans="1:6" ht="102.6" customHeight="1">
      <c r="A24" s="9" t="s">
        <v>13</v>
      </c>
      <c r="B24" s="9"/>
      <c r="C24" s="9"/>
      <c r="D24" s="9"/>
      <c r="E24" s="9"/>
      <c r="F24" s="9"/>
    </row>
    <row r="25" spans="1:6" ht="15">
      <c r="A25" s="8"/>
      <c r="B25" s="8"/>
      <c r="C25" s="8"/>
      <c r="D25" s="8"/>
      <c r="E25" s="8"/>
      <c r="F25" s="8"/>
    </row>
  </sheetData>
  <mergeCells count="2">
    <mergeCell ref="A20:F20"/>
    <mergeCell ref="A24:F24"/>
  </mergeCells>
  <printOptions horizontalCentered="1"/>
  <pageMargins left="0.5" right="0.5" top="1.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